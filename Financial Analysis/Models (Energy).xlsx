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58AEF1A-1D55-4825-B61B-A4F84E5BDE41}" xr6:coauthVersionLast="47" xr6:coauthVersionMax="47" xr10:uidLastSave="{00000000-0000-0000-0000-000000000000}"/>
  <bookViews>
    <workbookView xWindow="-108" yWindow="-108" windowWidth="23256" windowHeight="12576" xr2:uid="{14D7A11B-4B63-41BA-92AC-B31B19EF0AA6}"/>
  </bookViews>
  <sheets>
    <sheet name="Main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1" l="1"/>
  <c r="S6" i="1"/>
  <c r="AD8" i="1" l="1"/>
  <c r="AC8" i="1"/>
  <c r="AA7" i="1" l="1"/>
  <c r="Z7" i="1"/>
  <c r="Y7" i="1"/>
  <c r="X7" i="1"/>
  <c r="V7" i="1"/>
  <c r="AA5" i="1" l="1"/>
  <c r="Z5" i="1"/>
  <c r="Y5" i="1"/>
  <c r="X5" i="1"/>
  <c r="V5" i="1"/>
  <c r="AD4" i="1" l="1"/>
  <c r="AC4" i="1"/>
  <c r="AB4" i="1"/>
  <c r="AA4" i="1"/>
  <c r="Z4" i="1"/>
  <c r="Y4" i="1"/>
  <c r="X4" i="1"/>
  <c r="V4" i="1"/>
  <c r="M4" i="1"/>
  <c r="L4" i="1"/>
  <c r="K4" i="1"/>
  <c r="J4" i="1"/>
  <c r="I4" i="1" l="1"/>
  <c r="H4" i="1"/>
  <c r="AD7" i="1" l="1"/>
  <c r="AH7" i="1"/>
  <c r="AG7" i="1"/>
  <c r="AB8" i="1"/>
  <c r="AC7" i="1" l="1"/>
  <c r="AB7" i="1"/>
  <c r="M7" i="1"/>
  <c r="L7" i="1"/>
  <c r="K7" i="1"/>
  <c r="J7" i="1"/>
  <c r="I7" i="1"/>
  <c r="H7" i="1"/>
  <c r="G7" i="1"/>
  <c r="F7" i="1"/>
  <c r="E7" i="1"/>
  <c r="D7" i="1"/>
  <c r="T7" i="1" l="1"/>
  <c r="W7" i="1"/>
  <c r="S7" i="1"/>
  <c r="R7" i="1"/>
  <c r="Q7" i="1"/>
  <c r="N7" i="1"/>
  <c r="O7" i="1"/>
  <c r="P7" i="1"/>
  <c r="AH4" i="1"/>
  <c r="AG4" i="1"/>
  <c r="G4" i="1"/>
  <c r="W4" i="1" s="1"/>
  <c r="F4" i="1"/>
  <c r="E4" i="1"/>
  <c r="D4" i="1"/>
  <c r="U7" i="1" l="1"/>
  <c r="S4" i="1"/>
  <c r="T4" i="1"/>
  <c r="U4" i="1" s="1"/>
  <c r="R4" i="1"/>
  <c r="O4" i="1"/>
  <c r="P4" i="1"/>
  <c r="Q4" i="1"/>
  <c r="N4" i="1"/>
  <c r="AH8" i="1"/>
  <c r="AG8" i="1"/>
  <c r="D8" i="1"/>
  <c r="AH5" i="1" l="1"/>
  <c r="AG5" i="1"/>
  <c r="AD5" i="1"/>
  <c r="AB5" i="1"/>
  <c r="J5" i="1"/>
  <c r="M5" i="1"/>
  <c r="L5" i="1"/>
  <c r="K5" i="1"/>
  <c r="I5" i="1"/>
  <c r="H5" i="1"/>
  <c r="G5" i="1"/>
  <c r="F5" i="1"/>
  <c r="E5" i="1"/>
  <c r="D5" i="1"/>
  <c r="AH6" i="1"/>
  <c r="AG6" i="1"/>
  <c r="AD6" i="1"/>
  <c r="AC6" i="1"/>
  <c r="U6" i="1" s="1"/>
  <c r="AB6" i="1"/>
  <c r="AA6" i="1"/>
  <c r="Z6" i="1"/>
  <c r="Y6" i="1"/>
  <c r="X6" i="1"/>
  <c r="V6" i="1"/>
  <c r="M6" i="1"/>
  <c r="L6" i="1"/>
  <c r="K6" i="1"/>
  <c r="J6" i="1"/>
  <c r="I6" i="1"/>
  <c r="H6" i="1"/>
  <c r="G6" i="1"/>
  <c r="F6" i="1"/>
  <c r="E6" i="1"/>
  <c r="D6" i="1"/>
  <c r="T5" i="1" l="1"/>
  <c r="S5" i="1"/>
  <c r="W5" i="1"/>
  <c r="AB3" i="1"/>
  <c r="AD3" i="1"/>
  <c r="O5" i="1"/>
  <c r="R5" i="1"/>
  <c r="N5" i="1"/>
  <c r="P5" i="1"/>
  <c r="Q5" i="1"/>
  <c r="P6" i="1" l="1"/>
  <c r="Q6" i="1"/>
  <c r="O6" i="1"/>
  <c r="N6" i="1"/>
  <c r="R6" i="1"/>
  <c r="AC5" i="1" l="1"/>
  <c r="U5" i="1" s="1"/>
  <c r="F8" i="1" l="1"/>
  <c r="I8" i="1" l="1"/>
  <c r="H8" i="1"/>
  <c r="E8" i="1"/>
  <c r="K8" i="1" l="1"/>
  <c r="L8" i="1"/>
  <c r="J8" i="1"/>
  <c r="G8" i="1"/>
  <c r="M8" i="1"/>
  <c r="T8" i="1" l="1"/>
  <c r="T3" i="1" s="1"/>
  <c r="S8" i="1"/>
  <c r="S3" i="1" s="1"/>
  <c r="O8" i="1"/>
  <c r="O3" i="1" s="1"/>
  <c r="N8" i="1"/>
  <c r="N3" i="1" s="1"/>
  <c r="Q8" i="1"/>
  <c r="Q3" i="1" s="1"/>
  <c r="R8" i="1"/>
  <c r="R3" i="1" s="1"/>
  <c r="P8" i="1"/>
  <c r="P3" i="1" s="1"/>
  <c r="V8" i="1" l="1"/>
  <c r="W8" i="1" s="1"/>
  <c r="X8" i="1"/>
  <c r="X3" i="1" s="1"/>
  <c r="Y8" i="1" l="1"/>
  <c r="Y3" i="1" s="1"/>
  <c r="Z8" i="1" l="1"/>
  <c r="Z3" i="1" s="1"/>
  <c r="AA8" i="1" l="1"/>
  <c r="AA3" i="1" s="1"/>
  <c r="AC3" i="1" l="1"/>
  <c r="U8" i="1"/>
  <c r="U3" i="1" s="1"/>
</calcChain>
</file>

<file path=xl/sharedStrings.xml><?xml version="1.0" encoding="utf-8"?>
<sst xmlns="http://schemas.openxmlformats.org/spreadsheetml/2006/main" count="45" uniqueCount="45">
  <si>
    <t>Company</t>
  </si>
  <si>
    <t>Ticker</t>
  </si>
  <si>
    <t>Price</t>
  </si>
  <si>
    <t>MC</t>
  </si>
  <si>
    <t>Net Cash</t>
  </si>
  <si>
    <t>EV</t>
  </si>
  <si>
    <t>2023 E</t>
  </si>
  <si>
    <t>2024 E</t>
  </si>
  <si>
    <t>2025 E</t>
  </si>
  <si>
    <t>2026 E</t>
  </si>
  <si>
    <t>2027 E</t>
  </si>
  <si>
    <t>2028 E</t>
  </si>
  <si>
    <t>2024 EV/E</t>
  </si>
  <si>
    <t>2025 EV/E</t>
  </si>
  <si>
    <t>2026 EV/E</t>
  </si>
  <si>
    <t>2027 EV/E</t>
  </si>
  <si>
    <t>2028 EV/E</t>
  </si>
  <si>
    <t>Discount</t>
  </si>
  <si>
    <t>Variance</t>
  </si>
  <si>
    <t>Consensus</t>
  </si>
  <si>
    <t>Founded</t>
  </si>
  <si>
    <t>Industry Average</t>
  </si>
  <si>
    <t>Oklo</t>
  </si>
  <si>
    <t>FuelCell</t>
  </si>
  <si>
    <t>Constellation</t>
  </si>
  <si>
    <t>Bloom</t>
  </si>
  <si>
    <t>BE US</t>
  </si>
  <si>
    <t>FCEL US</t>
  </si>
  <si>
    <t>CEG US</t>
  </si>
  <si>
    <t>OKLO US</t>
  </si>
  <si>
    <t>Updated</t>
  </si>
  <si>
    <t>Earnings Call</t>
  </si>
  <si>
    <t>NuScale</t>
  </si>
  <si>
    <t>SMR US</t>
  </si>
  <si>
    <t>PlugPower</t>
  </si>
  <si>
    <t>PLUG US</t>
  </si>
  <si>
    <t>2025 Rev</t>
  </si>
  <si>
    <t>2024 RevG</t>
  </si>
  <si>
    <t>2025 RevG</t>
  </si>
  <si>
    <t>2025 GM%</t>
  </si>
  <si>
    <t>2025 OM%</t>
  </si>
  <si>
    <t>2025 EV/B</t>
  </si>
  <si>
    <t>2025 B/EV</t>
  </si>
  <si>
    <t>ISBS Var</t>
  </si>
  <si>
    <t>2025 EV/R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</si>
</sst>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409]#,##0"/>
    <numFmt numFmtId="165" formatCode="0\x"/>
    <numFmt numFmtId="166" formatCode="[$$-409]#,##0.00"/>
    <numFmt numFmtId="167" formatCode="0.00\x"/>
    <numFmt numFmtId="168" formatCode="0.0\x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/>
    <xf numFmtId="165" fontId="1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64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1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CEG.xlsx" TargetMode="External"/><Relationship Id="rId1" Type="http://schemas.openxmlformats.org/officeDocument/2006/relationships/externalLinkPath" Target="CE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BE.xlsx" TargetMode="External"/><Relationship Id="rId1" Type="http://schemas.openxmlformats.org/officeDocument/2006/relationships/externalLinkPath" Target="B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OKLO.xlsx" TargetMode="External"/><Relationship Id="rId1" Type="http://schemas.openxmlformats.org/officeDocument/2006/relationships/externalLinkPath" Target="OKL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PLUG.xlsx" TargetMode="External"/><Relationship Id="rId1" Type="http://schemas.openxmlformats.org/officeDocument/2006/relationships/externalLinkPath" Target="PLUG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FCEL.xlsx" TargetMode="External"/><Relationship Id="rId1" Type="http://schemas.openxmlformats.org/officeDocument/2006/relationships/externalLinkPath" Target="F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384.26</v>
          </cell>
          <cell r="E3">
            <v>45950</v>
          </cell>
          <cell r="G3">
            <v>45971</v>
          </cell>
        </row>
        <row r="5">
          <cell r="D5">
            <v>120042.82399999999</v>
          </cell>
        </row>
        <row r="8">
          <cell r="D8">
            <v>-6249</v>
          </cell>
        </row>
        <row r="9">
          <cell r="D9">
            <v>126291.82399999999</v>
          </cell>
        </row>
      </sheetData>
      <sheetData sheetId="1">
        <row r="3">
          <cell r="U3">
            <v>25809.200000000001</v>
          </cell>
        </row>
        <row r="15">
          <cell r="S15">
            <v>1588</v>
          </cell>
          <cell r="T15">
            <v>3742</v>
          </cell>
          <cell r="U15">
            <v>2203.3357160000005</v>
          </cell>
          <cell r="V15">
            <v>3891.0411407519982</v>
          </cell>
          <cell r="W15">
            <v>4232.0017609521583</v>
          </cell>
          <cell r="X15">
            <v>4507.3319396302886</v>
          </cell>
        </row>
        <row r="19">
          <cell r="T19">
            <v>-5.4177702865398469E-2</v>
          </cell>
          <cell r="U19">
            <v>9.5095044127630812E-2</v>
          </cell>
        </row>
        <row r="21">
          <cell r="AH21">
            <v>7.0000000000000007E-2</v>
          </cell>
        </row>
        <row r="22">
          <cell r="U22">
            <v>0.18578801357655411</v>
          </cell>
        </row>
        <row r="23">
          <cell r="U23">
            <v>0.12163589727694003</v>
          </cell>
        </row>
        <row r="27">
          <cell r="AH27">
            <v>-0.48655350922324592</v>
          </cell>
        </row>
        <row r="28">
          <cell r="AH28" t="str">
            <v>Overvalued</v>
          </cell>
        </row>
        <row r="42">
          <cell r="L42">
            <v>53038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132.12</v>
          </cell>
          <cell r="E3">
            <v>45959</v>
          </cell>
          <cell r="G3">
            <v>46058</v>
          </cell>
        </row>
        <row r="5">
          <cell r="D5">
            <v>31246.38</v>
          </cell>
        </row>
        <row r="8">
          <cell r="D8">
            <v>-745.59999999999991</v>
          </cell>
        </row>
        <row r="9">
          <cell r="D9">
            <v>31991.98</v>
          </cell>
        </row>
      </sheetData>
      <sheetData sheetId="1">
        <row r="7">
          <cell r="Y7">
            <v>1976.9399999999998</v>
          </cell>
        </row>
        <row r="28">
          <cell r="W28">
            <v>-302.29999999999995</v>
          </cell>
          <cell r="X28">
            <v>-29.800000000000253</v>
          </cell>
          <cell r="Y28">
            <v>9.224400000000152</v>
          </cell>
          <cell r="Z28">
            <v>215.01444689999951</v>
          </cell>
          <cell r="AA28">
            <v>301.22465602799997</v>
          </cell>
          <cell r="AB28">
            <v>380.12981731463947</v>
          </cell>
        </row>
        <row r="34">
          <cell r="AM34">
            <v>0.09</v>
          </cell>
        </row>
        <row r="36">
          <cell r="X36">
            <v>0.10537763444086101</v>
          </cell>
          <cell r="Y36">
            <v>0.34138960510245608</v>
          </cell>
        </row>
        <row r="40">
          <cell r="AM40">
            <v>-0.7852827016272812</v>
          </cell>
        </row>
        <row r="41">
          <cell r="Y41">
            <v>0.31610691270347108</v>
          </cell>
          <cell r="AM41" t="str">
            <v>Heavily overvalued</v>
          </cell>
        </row>
        <row r="45">
          <cell r="Y45">
            <v>4.4829079284146284E-2</v>
          </cell>
        </row>
        <row r="65">
          <cell r="Q65">
            <v>2638.2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139.09</v>
          </cell>
          <cell r="E3">
            <v>45939</v>
          </cell>
          <cell r="G3">
            <v>45988</v>
          </cell>
        </row>
        <row r="5">
          <cell r="D5">
            <v>20529.684000000001</v>
          </cell>
        </row>
        <row r="8">
          <cell r="D8">
            <v>683</v>
          </cell>
        </row>
        <row r="9">
          <cell r="D9">
            <v>19846.684000000001</v>
          </cell>
        </row>
      </sheetData>
      <sheetData sheetId="1">
        <row r="6">
          <cell r="Q6"/>
        </row>
        <row r="17">
          <cell r="Q17"/>
          <cell r="R17">
            <v>-73.699999999999989</v>
          </cell>
          <cell r="S17">
            <v>-111.6</v>
          </cell>
          <cell r="T17">
            <v>-131.6</v>
          </cell>
          <cell r="U17">
            <v>-92.82</v>
          </cell>
          <cell r="V17">
            <v>-33.285000000000011</v>
          </cell>
        </row>
        <row r="23">
          <cell r="AG23">
            <v>0.09</v>
          </cell>
        </row>
        <row r="29">
          <cell r="AG29">
            <v>-0.87399021483576544</v>
          </cell>
        </row>
        <row r="30">
          <cell r="AG30" t="str">
            <v>Heavily overvalued</v>
          </cell>
        </row>
        <row r="55">
          <cell r="L55">
            <v>27.150046511627909</v>
          </cell>
        </row>
        <row r="56">
          <cell r="L56">
            <v>-0.9631676505757838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2.46</v>
          </cell>
          <cell r="E3">
            <v>45975</v>
          </cell>
          <cell r="G3">
            <v>46079</v>
          </cell>
        </row>
        <row r="5">
          <cell r="D5">
            <v>3422.8440000000001</v>
          </cell>
        </row>
        <row r="8">
          <cell r="D8">
            <v>215.39999999999998</v>
          </cell>
        </row>
        <row r="9">
          <cell r="D9">
            <v>3207.444</v>
          </cell>
        </row>
      </sheetData>
      <sheetData sheetId="1">
        <row r="8">
          <cell r="AB8">
            <v>722.06</v>
          </cell>
        </row>
        <row r="33">
          <cell r="Z33">
            <v>-1368.8</v>
          </cell>
          <cell r="AA33">
            <v>-2104.9</v>
          </cell>
          <cell r="AB33">
            <v>-1049.8714999999997</v>
          </cell>
          <cell r="AC33">
            <v>-504.67788450000006</v>
          </cell>
          <cell r="AD33">
            <v>-346.54102523999978</v>
          </cell>
          <cell r="AE33">
            <v>-189.44181374939978</v>
          </cell>
        </row>
        <row r="39">
          <cell r="AP39">
            <v>0.1</v>
          </cell>
        </row>
        <row r="42">
          <cell r="AA42">
            <v>-0.29443447037701986</v>
          </cell>
          <cell r="AB42">
            <v>0.14831424936386761</v>
          </cell>
        </row>
        <row r="45">
          <cell r="AP45">
            <v>-0.96385102391432786</v>
          </cell>
        </row>
        <row r="46">
          <cell r="AP46" t="str">
            <v>Heavily overvalued</v>
          </cell>
        </row>
        <row r="48">
          <cell r="AB48">
            <v>-0.49127150098329775</v>
          </cell>
        </row>
        <row r="51">
          <cell r="AB51">
            <v>-1.3056691964656677</v>
          </cell>
        </row>
        <row r="93">
          <cell r="P93">
            <v>3353.8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8.34</v>
          </cell>
          <cell r="E3">
            <v>46012</v>
          </cell>
          <cell r="G3">
            <v>46091</v>
          </cell>
        </row>
        <row r="5">
          <cell r="D5">
            <v>397.81800000000004</v>
          </cell>
        </row>
        <row r="8">
          <cell r="D8">
            <v>210.80000000000007</v>
          </cell>
        </row>
        <row r="9">
          <cell r="D9">
            <v>187.01799999999997</v>
          </cell>
        </row>
      </sheetData>
      <sheetData sheetId="1">
        <row r="13">
          <cell r="AI13">
            <v>158</v>
          </cell>
        </row>
        <row r="24">
          <cell r="AC24">
            <v>45.7</v>
          </cell>
          <cell r="AD24">
            <v>31.400000000000002</v>
          </cell>
          <cell r="AE24">
            <v>49.3</v>
          </cell>
          <cell r="AF24">
            <v>114.3</v>
          </cell>
          <cell r="AG24">
            <v>125.6</v>
          </cell>
          <cell r="AH24">
            <v>122.6</v>
          </cell>
        </row>
        <row r="43">
          <cell r="AW43">
            <v>0.12</v>
          </cell>
        </row>
        <row r="45">
          <cell r="AH45">
            <v>-9.0761750405186525E-2</v>
          </cell>
          <cell r="AI45">
            <v>0.40819964349376114</v>
          </cell>
        </row>
        <row r="50">
          <cell r="AI50">
            <v>-0.16835443037974679</v>
          </cell>
        </row>
        <row r="53">
          <cell r="AI53">
            <v>-1.218987341772152</v>
          </cell>
        </row>
        <row r="85">
          <cell r="AI85">
            <v>830.6</v>
          </cell>
        </row>
        <row r="129">
          <cell r="AW129">
            <v>-0.10952164578557977</v>
          </cell>
        </row>
        <row r="130">
          <cell r="AW130" t="str">
            <v>Fairly valued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CEL.xlsx" TargetMode="External"/><Relationship Id="rId2" Type="http://schemas.openxmlformats.org/officeDocument/2006/relationships/hyperlink" Target="CEG.xlsx" TargetMode="External"/><Relationship Id="rId1" Type="http://schemas.openxmlformats.org/officeDocument/2006/relationships/hyperlink" Target="OKLO.xlsx" TargetMode="External"/><Relationship Id="rId5" Type="http://schemas.openxmlformats.org/officeDocument/2006/relationships/hyperlink" Target="PLUG.xlsx" TargetMode="External"/><Relationship Id="rId4" Type="http://schemas.openxmlformats.org/officeDocument/2006/relationships/hyperlink" Target="B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0123-7912-4358-B5CC-BC69536C3F1F}">
  <dimension ref="B2:AH9"/>
  <sheetViews>
    <sheetView tabSelected="1" workbookViewId="0">
      <selection activeCell="B8" sqref="B8"/>
    </sheetView>
  </sheetViews>
  <sheetFormatPr defaultRowHeight="14.4" x14ac:dyDescent="0.3"/>
  <cols>
    <col min="2" max="2" width="16.109375" bestFit="1" customWidth="1"/>
    <col min="3" max="3" width="8.21875" style="10" bestFit="1" customWidth="1"/>
    <col min="4" max="4" width="7.5546875" bestFit="1" customWidth="1"/>
    <col min="5" max="5" width="8.88671875" bestFit="1" customWidth="1"/>
    <col min="6" max="6" width="8.44140625" bestFit="1" customWidth="1"/>
    <col min="7" max="7" width="8.88671875" bestFit="1" customWidth="1"/>
    <col min="8" max="9" width="6.44140625" bestFit="1" customWidth="1"/>
    <col min="10" max="13" width="7.44140625" bestFit="1" customWidth="1"/>
    <col min="14" max="18" width="9.5546875" bestFit="1" customWidth="1"/>
    <col min="19" max="21" width="9.5546875" customWidth="1"/>
    <col min="22" max="22" width="8.5546875" bestFit="1" customWidth="1"/>
    <col min="23" max="23" width="9.6640625" bestFit="1" customWidth="1"/>
    <col min="24" max="25" width="9.77734375" bestFit="1" customWidth="1"/>
    <col min="26" max="26" width="9.88671875" bestFit="1" customWidth="1"/>
    <col min="27" max="27" width="10" bestFit="1" customWidth="1"/>
    <col min="28" max="29" width="8.33203125" bestFit="1" customWidth="1"/>
    <col min="30" max="30" width="17.109375" customWidth="1"/>
    <col min="31" max="31" width="8.44140625" bestFit="1" customWidth="1"/>
    <col min="33" max="34" width="10.5546875" bestFit="1" customWidth="1"/>
  </cols>
  <sheetData>
    <row r="2" spans="2:34" x14ac:dyDescent="0.3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41</v>
      </c>
      <c r="T2" s="2" t="s">
        <v>42</v>
      </c>
      <c r="U2" s="2" t="s">
        <v>43</v>
      </c>
      <c r="V2" s="4" t="s">
        <v>36</v>
      </c>
      <c r="W2" s="4" t="s">
        <v>44</v>
      </c>
      <c r="X2" s="2" t="s">
        <v>37</v>
      </c>
      <c r="Y2" s="2" t="s">
        <v>38</v>
      </c>
      <c r="Z2" s="2" t="s">
        <v>39</v>
      </c>
      <c r="AA2" s="2" t="s">
        <v>40</v>
      </c>
      <c r="AB2" s="2" t="s">
        <v>17</v>
      </c>
      <c r="AC2" s="2" t="s">
        <v>18</v>
      </c>
      <c r="AD2" s="2" t="s">
        <v>19</v>
      </c>
      <c r="AE2" s="2" t="s">
        <v>20</v>
      </c>
      <c r="AF2" s="2"/>
      <c r="AG2" s="2" t="s">
        <v>30</v>
      </c>
      <c r="AH2" s="2" t="s">
        <v>31</v>
      </c>
    </row>
    <row r="3" spans="2:34" x14ac:dyDescent="0.3">
      <c r="B3" s="5" t="s">
        <v>21</v>
      </c>
      <c r="C3" s="2"/>
      <c r="D3" s="2"/>
      <c r="E3" s="3"/>
      <c r="F3" s="3"/>
      <c r="G3" s="3"/>
      <c r="H3" s="2"/>
      <c r="I3" s="2"/>
      <c r="J3" s="2"/>
      <c r="K3" s="2"/>
      <c r="L3" s="2"/>
      <c r="M3" s="2"/>
      <c r="N3" s="6">
        <f>TRIMMEAN(N4:N1048576,80%)</f>
        <v>-1.5237987552852865</v>
      </c>
      <c r="O3" s="6">
        <f t="shared" ref="O3:R3" si="0">TRIMMEAN(O4:O1048576,80%)</f>
        <v>3.793468559837728</v>
      </c>
      <c r="P3" s="6">
        <f t="shared" si="0"/>
        <v>1.6362029746281712</v>
      </c>
      <c r="Q3" s="6">
        <f t="shared" si="0"/>
        <v>1.488996815286624</v>
      </c>
      <c r="R3" s="6">
        <f t="shared" si="0"/>
        <v>1.525432300163132</v>
      </c>
      <c r="S3" s="22">
        <f>TRIMMEAN(S4:S1048576,80%)</f>
        <v>2.381157358874769</v>
      </c>
      <c r="T3" s="8">
        <f>TRIMMEAN(T4:T1048576,80%)</f>
        <v>-0.58003615499289962</v>
      </c>
      <c r="U3" s="8">
        <f>TRIMMEAN(U4:U1048576,80%)</f>
        <v>-0.53329483210807282</v>
      </c>
      <c r="V3" s="7"/>
      <c r="W3" s="7"/>
      <c r="X3" s="8">
        <f t="shared" ref="X3:AC3" si="1">TRIMMEAN(X4:X1048576,80%)</f>
        <v>-5.4177702865398469E-2</v>
      </c>
      <c r="Y3" s="8">
        <f t="shared" si="1"/>
        <v>0.14831424936386761</v>
      </c>
      <c r="Z3" s="8">
        <f t="shared" si="1"/>
        <v>0</v>
      </c>
      <c r="AA3" s="8">
        <f t="shared" si="1"/>
        <v>0</v>
      </c>
      <c r="AB3" s="8">
        <f t="shared" si="1"/>
        <v>0.09</v>
      </c>
      <c r="AC3" s="8">
        <f t="shared" si="1"/>
        <v>-0.7852827016272812</v>
      </c>
      <c r="AD3" s="9" t="str">
        <f>INDEX(AD4:AD8,MODE(MATCH(AD4:AD8,AD4:AD8,0)))</f>
        <v>Heavily overvalued</v>
      </c>
      <c r="AE3" s="10"/>
    </row>
    <row r="4" spans="2:34" x14ac:dyDescent="0.3">
      <c r="B4" s="11" t="s">
        <v>24</v>
      </c>
      <c r="C4" s="10" t="s">
        <v>28</v>
      </c>
      <c r="D4" s="12">
        <f>[1]Main!$D$3</f>
        <v>384.26</v>
      </c>
      <c r="E4" s="13">
        <f>[1]Main!$D$5</f>
        <v>120042.82399999999</v>
      </c>
      <c r="F4" s="13">
        <f>[1]Main!$D$8</f>
        <v>-6249</v>
      </c>
      <c r="G4" s="13">
        <f>[1]Main!$D$9</f>
        <v>126291.82399999999</v>
      </c>
      <c r="H4" s="13">
        <f>[1]Model!S$15</f>
        <v>1588</v>
      </c>
      <c r="I4" s="13">
        <f>[1]Model!T$15</f>
        <v>3742</v>
      </c>
      <c r="J4" s="13">
        <f>[1]Model!U$15</f>
        <v>2203.3357160000005</v>
      </c>
      <c r="K4" s="13">
        <f>[1]Model!V$15</f>
        <v>3891.0411407519982</v>
      </c>
      <c r="L4" s="13">
        <f>[1]Model!W$15</f>
        <v>4232.0017609521583</v>
      </c>
      <c r="M4" s="13">
        <f>[1]Model!X$15</f>
        <v>4507.3319396302886</v>
      </c>
      <c r="N4" s="14">
        <f>$G4/I4</f>
        <v>33.749819347942278</v>
      </c>
      <c r="O4" s="14">
        <f t="shared" ref="O4" si="2">$G4/J4</f>
        <v>57.318466306747766</v>
      </c>
      <c r="P4" s="14">
        <f t="shared" ref="P4" si="3">$G4/K4</f>
        <v>32.457077535703547</v>
      </c>
      <c r="Q4" s="14">
        <f t="shared" ref="Q4" si="4">$G4/L4</f>
        <v>29.842101004132282</v>
      </c>
      <c r="R4" s="14">
        <f t="shared" ref="R4" si="5">$G4/M4</f>
        <v>28.019197541142045</v>
      </c>
      <c r="S4" s="21">
        <f>G4/[1]Model!$L$42</f>
        <v>2.381157358874769</v>
      </c>
      <c r="T4" s="15">
        <f>[1]Model!$L$42/G4-1</f>
        <v>-0.58003615499289962</v>
      </c>
      <c r="U4" s="15">
        <f>AVERAGE(T4,AC4)</f>
        <v>-0.53329483210807282</v>
      </c>
      <c r="V4" s="13">
        <f>[1]Model!$U$3</f>
        <v>25809.200000000001</v>
      </c>
      <c r="W4" s="23">
        <f>G4/V4</f>
        <v>4.893287044929715</v>
      </c>
      <c r="X4" s="15">
        <f>[1]Model!T$19</f>
        <v>-5.4177702865398469E-2</v>
      </c>
      <c r="Y4" s="15">
        <f>[1]Model!U$19</f>
        <v>9.5095044127630812E-2</v>
      </c>
      <c r="Z4" s="15">
        <f>[1]Model!$U$22</f>
        <v>0.18578801357655411</v>
      </c>
      <c r="AA4" s="15">
        <f>[1]Model!$U$23</f>
        <v>0.12163589727694003</v>
      </c>
      <c r="AB4" s="15">
        <f>[1]Model!$AH$21</f>
        <v>7.0000000000000007E-2</v>
      </c>
      <c r="AC4" s="15">
        <f>[1]Model!$AH$27</f>
        <v>-0.48655350922324592</v>
      </c>
      <c r="AD4" s="10" t="str">
        <f>[1]Model!$AH$28</f>
        <v>Overvalued</v>
      </c>
      <c r="AE4" s="10">
        <v>1999</v>
      </c>
      <c r="AG4" s="17">
        <f>[1]Main!$E$3</f>
        <v>45950</v>
      </c>
      <c r="AH4" s="17">
        <f>[1]Main!$G$3</f>
        <v>45971</v>
      </c>
    </row>
    <row r="5" spans="2:34" x14ac:dyDescent="0.3">
      <c r="B5" s="11" t="s">
        <v>25</v>
      </c>
      <c r="C5" s="10" t="s">
        <v>26</v>
      </c>
      <c r="D5" s="12">
        <f>[2]Main!$D$3</f>
        <v>132.12</v>
      </c>
      <c r="E5" s="13">
        <f>[2]Main!$D$5</f>
        <v>31246.38</v>
      </c>
      <c r="F5" s="13">
        <f>[2]Main!$D$8</f>
        <v>-745.59999999999991</v>
      </c>
      <c r="G5" s="13">
        <f>[2]Main!$D$9</f>
        <v>31991.98</v>
      </c>
      <c r="H5" s="13">
        <f>[2]Model!W$28</f>
        <v>-302.29999999999995</v>
      </c>
      <c r="I5" s="13">
        <f>[2]Model!X$28</f>
        <v>-29.800000000000253</v>
      </c>
      <c r="J5" s="13">
        <f>[2]Model!Y$28</f>
        <v>9.224400000000152</v>
      </c>
      <c r="K5" s="13">
        <f>[2]Model!Z$28</f>
        <v>215.01444689999951</v>
      </c>
      <c r="L5" s="13">
        <f>[2]Model!AA$28</f>
        <v>301.22465602799997</v>
      </c>
      <c r="M5" s="13">
        <f>[2]Model!AB$28</f>
        <v>380.12981731463947</v>
      </c>
      <c r="N5" s="14">
        <f>$G5/I5</f>
        <v>-1073.5563758389171</v>
      </c>
      <c r="O5" s="14">
        <f t="shared" ref="O5:R7" si="6">$G5/J5</f>
        <v>3468.1908850439563</v>
      </c>
      <c r="P5" s="14">
        <f t="shared" si="6"/>
        <v>148.78990905610664</v>
      </c>
      <c r="Q5" s="14">
        <f t="shared" si="6"/>
        <v>106.20637905891151</v>
      </c>
      <c r="R5" s="14">
        <f t="shared" si="6"/>
        <v>84.160669704896449</v>
      </c>
      <c r="S5" s="21">
        <f>G5/[2]Model!$Q$65</f>
        <v>12.126442271245548</v>
      </c>
      <c r="T5" s="15">
        <f>[2]Model!$Q$65/G5-1</f>
        <v>-0.91753558235532784</v>
      </c>
      <c r="U5" s="15">
        <f>AVERAGE(T5,AC5)</f>
        <v>-0.85140914199130457</v>
      </c>
      <c r="V5" s="13">
        <f>[2]Model!$Y$7</f>
        <v>1976.9399999999998</v>
      </c>
      <c r="W5" s="23">
        <f t="shared" ref="W5:W8" si="7">G5/V5</f>
        <v>16.182575090796888</v>
      </c>
      <c r="X5" s="15">
        <f>[2]Model!X$36</f>
        <v>0.10537763444086101</v>
      </c>
      <c r="Y5" s="15">
        <f>[2]Model!Y$36</f>
        <v>0.34138960510245608</v>
      </c>
      <c r="Z5" s="15">
        <f>[2]Model!$Y$41</f>
        <v>0.31610691270347108</v>
      </c>
      <c r="AA5" s="15">
        <f>[2]Model!$Y$45</f>
        <v>4.4829079284146284E-2</v>
      </c>
      <c r="AB5" s="15">
        <f>[2]Model!$AM$34</f>
        <v>0.09</v>
      </c>
      <c r="AC5" s="15">
        <f>[2]Model!$AM$40</f>
        <v>-0.7852827016272812</v>
      </c>
      <c r="AD5" s="10" t="str">
        <f>[2]Model!$AM$41</f>
        <v>Heavily overvalued</v>
      </c>
      <c r="AE5" s="10">
        <v>2001</v>
      </c>
      <c r="AG5" s="17">
        <f>[2]Main!$E$3</f>
        <v>45959</v>
      </c>
      <c r="AH5" s="17">
        <f>[2]Main!$G$3</f>
        <v>46058</v>
      </c>
    </row>
    <row r="6" spans="2:34" x14ac:dyDescent="0.3">
      <c r="B6" s="11" t="s">
        <v>22</v>
      </c>
      <c r="C6" s="10" t="s">
        <v>29</v>
      </c>
      <c r="D6" s="12">
        <f>[3]Main!$D$3</f>
        <v>139.09</v>
      </c>
      <c r="E6" s="13">
        <f>[3]Main!$D$5</f>
        <v>20529.684000000001</v>
      </c>
      <c r="F6" s="13">
        <f>[3]Main!$D$8</f>
        <v>683</v>
      </c>
      <c r="G6" s="13">
        <f>[3]Main!$D$9</f>
        <v>19846.684000000001</v>
      </c>
      <c r="H6" s="13">
        <f>[3]Model!Q$17</f>
        <v>0</v>
      </c>
      <c r="I6" s="13">
        <f>[3]Model!R$17</f>
        <v>-73.699999999999989</v>
      </c>
      <c r="J6" s="13">
        <f>[3]Model!S$17</f>
        <v>-111.6</v>
      </c>
      <c r="K6" s="13">
        <f>[3]Model!T$17</f>
        <v>-131.6</v>
      </c>
      <c r="L6" s="13">
        <f>[3]Model!U$17</f>
        <v>-92.82</v>
      </c>
      <c r="M6" s="13">
        <f>[3]Model!V$17</f>
        <v>-33.285000000000011</v>
      </c>
      <c r="N6" s="14">
        <f>$G6/I6</f>
        <v>-269.29014925373139</v>
      </c>
      <c r="O6" s="14">
        <f t="shared" si="6"/>
        <v>-177.83767025089608</v>
      </c>
      <c r="P6" s="14">
        <f t="shared" si="6"/>
        <v>-150.81066869300912</v>
      </c>
      <c r="Q6" s="14">
        <f t="shared" si="6"/>
        <v>-213.81904761904764</v>
      </c>
      <c r="R6" s="14">
        <f t="shared" si="6"/>
        <v>-596.26510440138179</v>
      </c>
      <c r="S6" s="21">
        <f>[3]Model!$L$55</f>
        <v>27.150046511627909</v>
      </c>
      <c r="T6" s="15">
        <f>[3]Model!$L$56</f>
        <v>-0.9631676505757838</v>
      </c>
      <c r="U6" s="15">
        <f>AVERAGE(T6,AC6)</f>
        <v>-0.91857893270577462</v>
      </c>
      <c r="V6" s="18">
        <f>[3]Model!$Q$6</f>
        <v>0</v>
      </c>
      <c r="W6" s="23"/>
      <c r="X6" s="19">
        <f>[3]Model!$P$22</f>
        <v>0</v>
      </c>
      <c r="Y6" s="19">
        <f>[3]Model!$Q$22</f>
        <v>0</v>
      </c>
      <c r="Z6" s="19">
        <f>[3]Model!$Q$23</f>
        <v>0</v>
      </c>
      <c r="AA6" s="19">
        <f>[3]Model!$Q$26</f>
        <v>0</v>
      </c>
      <c r="AB6" s="15">
        <f>[3]Model!$AG$23</f>
        <v>0.09</v>
      </c>
      <c r="AC6" s="15">
        <f>[3]Model!$AG$29</f>
        <v>-0.87399021483576544</v>
      </c>
      <c r="AD6" s="15" t="str">
        <f>[3]Model!$AG$30</f>
        <v>Heavily overvalued</v>
      </c>
      <c r="AE6" s="10">
        <v>2013</v>
      </c>
      <c r="AG6" s="16">
        <f>[3]Main!$E$3</f>
        <v>45939</v>
      </c>
      <c r="AH6" s="16">
        <f>[3]Main!$G$3</f>
        <v>45988</v>
      </c>
    </row>
    <row r="7" spans="2:34" x14ac:dyDescent="0.3">
      <c r="B7" s="11" t="s">
        <v>34</v>
      </c>
      <c r="C7" s="10" t="s">
        <v>35</v>
      </c>
      <c r="D7" s="12">
        <f>[4]Main!$D$3</f>
        <v>2.46</v>
      </c>
      <c r="E7" s="13">
        <f>[4]Main!$D$5</f>
        <v>3422.8440000000001</v>
      </c>
      <c r="F7" s="13">
        <f>[4]Main!$D$8</f>
        <v>215.39999999999998</v>
      </c>
      <c r="G7" s="13">
        <f>[4]Main!$D$9</f>
        <v>3207.444</v>
      </c>
      <c r="H7" s="13">
        <f>[4]Model!Z$33</f>
        <v>-1368.8</v>
      </c>
      <c r="I7" s="13">
        <f>[4]Model!AA$33</f>
        <v>-2104.9</v>
      </c>
      <c r="J7" s="13">
        <f>[4]Model!AB$33</f>
        <v>-1049.8714999999997</v>
      </c>
      <c r="K7" s="13">
        <f>[4]Model!AC$33</f>
        <v>-504.67788450000006</v>
      </c>
      <c r="L7" s="13">
        <f>[4]Model!AD$33</f>
        <v>-346.54102523999978</v>
      </c>
      <c r="M7" s="13">
        <f>[4]Model!AE$33</f>
        <v>-189.44181374939978</v>
      </c>
      <c r="N7" s="14">
        <f>$G7/I7</f>
        <v>-1.5237987552852865</v>
      </c>
      <c r="O7" s="14">
        <f t="shared" si="6"/>
        <v>-3.0550824553290576</v>
      </c>
      <c r="P7" s="14">
        <f t="shared" si="6"/>
        <v>-6.3554280829597154</v>
      </c>
      <c r="Q7" s="14">
        <f t="shared" si="6"/>
        <v>-9.2555967876491927</v>
      </c>
      <c r="R7" s="14">
        <f t="shared" si="6"/>
        <v>-16.931024553232575</v>
      </c>
      <c r="S7" s="21">
        <f>G7/[4]Model!$P$93</f>
        <v>0.95636114258453087</v>
      </c>
      <c r="T7" s="15">
        <f>[4]Model!$P$93/G7-1</f>
        <v>4.563010297295933E-2</v>
      </c>
      <c r="U7" s="15">
        <f>AVERAGE(T7,AC7)</f>
        <v>-0.45911046047068427</v>
      </c>
      <c r="V7" s="13">
        <f>[4]Model!$AB$8</f>
        <v>722.06</v>
      </c>
      <c r="W7" s="23">
        <f t="shared" si="7"/>
        <v>4.4420740658671027</v>
      </c>
      <c r="X7" s="15">
        <f>[4]Model!AA$42</f>
        <v>-0.29443447037701986</v>
      </c>
      <c r="Y7" s="15">
        <f>[4]Model!AB$42</f>
        <v>0.14831424936386761</v>
      </c>
      <c r="Z7" s="15">
        <f>[4]Model!$AB$48</f>
        <v>-0.49127150098329775</v>
      </c>
      <c r="AA7" s="15">
        <f>[4]Model!$AB$51</f>
        <v>-1.3056691964656677</v>
      </c>
      <c r="AB7" s="15">
        <f>[4]Model!$AP$39</f>
        <v>0.1</v>
      </c>
      <c r="AC7" s="15">
        <f>[4]Model!$AP$45</f>
        <v>-0.96385102391432786</v>
      </c>
      <c r="AD7" s="10" t="str">
        <f>[4]Model!$AP$46</f>
        <v>Heavily overvalued</v>
      </c>
      <c r="AE7" s="10">
        <v>1997</v>
      </c>
      <c r="AG7" s="17">
        <f>[4]Main!$E$3</f>
        <v>45975</v>
      </c>
      <c r="AH7" s="17">
        <f>[4]Main!$G$3</f>
        <v>46079</v>
      </c>
    </row>
    <row r="8" spans="2:34" x14ac:dyDescent="0.3">
      <c r="B8" s="11" t="s">
        <v>23</v>
      </c>
      <c r="C8" s="10" t="s">
        <v>27</v>
      </c>
      <c r="D8" s="12">
        <f>[5]Main!$D$3</f>
        <v>8.34</v>
      </c>
      <c r="E8" s="13">
        <f>[5]Main!$D$5</f>
        <v>397.81800000000004</v>
      </c>
      <c r="F8" s="13">
        <f>[5]Main!$D$8</f>
        <v>210.80000000000007</v>
      </c>
      <c r="G8" s="13">
        <f>[5]Main!$D$9</f>
        <v>187.01799999999997</v>
      </c>
      <c r="H8" s="13">
        <f>[5]Model!AC$24</f>
        <v>45.7</v>
      </c>
      <c r="I8" s="13">
        <f>[5]Model!AD$24</f>
        <v>31.400000000000002</v>
      </c>
      <c r="J8" s="13">
        <f>[5]Model!AE$24</f>
        <v>49.3</v>
      </c>
      <c r="K8" s="13">
        <f>[5]Model!AF$24</f>
        <v>114.3</v>
      </c>
      <c r="L8" s="13">
        <f>[5]Model!AG$24</f>
        <v>125.6</v>
      </c>
      <c r="M8" s="13">
        <f>[5]Model!AH$24</f>
        <v>122.6</v>
      </c>
      <c r="N8" s="14">
        <f t="shared" ref="N8" si="8">$G8/I8</f>
        <v>5.9559872611464959</v>
      </c>
      <c r="O8" s="14">
        <f t="shared" ref="O8" si="9">$G8/J8</f>
        <v>3.793468559837728</v>
      </c>
      <c r="P8" s="14">
        <f t="shared" ref="P8" si="10">$G8/K8</f>
        <v>1.6362029746281712</v>
      </c>
      <c r="Q8" s="14">
        <f t="shared" ref="Q8" si="11">$G8/L8</f>
        <v>1.488996815286624</v>
      </c>
      <c r="R8" s="14">
        <f t="shared" ref="R8" si="12">$G8/M8</f>
        <v>1.525432300163132</v>
      </c>
      <c r="S8" s="21">
        <f>G8/[5]Model!$AI$85</f>
        <v>0.22516012521069104</v>
      </c>
      <c r="T8" s="15">
        <f>[5]Model!$AI$85/G8-1</f>
        <v>3.4412837267001049</v>
      </c>
      <c r="U8" s="15">
        <f>AVERAGE(T8,AC8)</f>
        <v>1.6658810404572626</v>
      </c>
      <c r="V8" s="20">
        <f>[5]Model!$AI$13</f>
        <v>158</v>
      </c>
      <c r="W8" s="23">
        <f t="shared" si="7"/>
        <v>1.1836582278481012</v>
      </c>
      <c r="X8" s="15">
        <f>[5]Model!$AH$45</f>
        <v>-9.0761750405186525E-2</v>
      </c>
      <c r="Y8" s="15">
        <f>[5]Model!$AI$45</f>
        <v>0.40819964349376114</v>
      </c>
      <c r="Z8" s="15">
        <f>[5]Model!$AI$50</f>
        <v>-0.16835443037974679</v>
      </c>
      <c r="AA8" s="15">
        <f>[5]Model!$AI$53</f>
        <v>-1.218987341772152</v>
      </c>
      <c r="AB8" s="15">
        <f>[5]Model!$AW$43</f>
        <v>0.12</v>
      </c>
      <c r="AC8" s="15">
        <f>[5]Model!$AW$129</f>
        <v>-0.10952164578557977</v>
      </c>
      <c r="AD8" s="10" t="str">
        <f>[5]Model!$AW$130</f>
        <v>Fairly valued</v>
      </c>
      <c r="AE8" s="10">
        <v>1969</v>
      </c>
      <c r="AG8" s="16">
        <f>[5]Main!$E$3</f>
        <v>46012</v>
      </c>
      <c r="AH8" s="16">
        <f>[5]Main!$G$3</f>
        <v>46091</v>
      </c>
    </row>
    <row r="9" spans="2:34" x14ac:dyDescent="0.3">
      <c r="B9" t="s">
        <v>32</v>
      </c>
      <c r="C9" s="10" t="s">
        <v>33</v>
      </c>
    </row>
  </sheetData>
  <hyperlinks>
    <hyperlink ref="B6" r:id="rId1" xr:uid="{A639A081-823D-480C-B8E3-E8540E353F47}"/>
    <hyperlink ref="B4" r:id="rId2" xr:uid="{1E28E457-F855-40C5-9070-8BE0C79C6684}"/>
    <hyperlink ref="B8" r:id="rId3" xr:uid="{A73CB0F7-E51A-47D4-B42C-E9E12E13F561}"/>
    <hyperlink ref="B5" r:id="rId4" xr:uid="{1C1D4293-4095-4A0E-A38F-07FACA5B80F2}"/>
    <hyperlink ref="B7" r:id="rId5" xr:uid="{229D4175-EC51-46EF-B3C5-E9711257CB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2024-11-16T13:09:59Z</dcterms:created>
  <dcterms:modified xsi:type="dcterms:W3CDTF">2025-12-21T12:18:16Z</dcterms:modified>
</cp:coreProperties>
</file>