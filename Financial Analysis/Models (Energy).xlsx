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936F14D-8F12-430C-BB58-C615FFED205D}" xr6:coauthVersionLast="47" xr6:coauthVersionMax="47" xr10:uidLastSave="{00000000-0000-0000-0000-000000000000}"/>
  <bookViews>
    <workbookView xWindow="-108" yWindow="-108" windowWidth="23256" windowHeight="12576" xr2:uid="{14D7A11B-4B63-41BA-92AC-B31B19EF0AA6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7" i="1" l="1"/>
  <c r="AG7" i="1"/>
  <c r="AD7" i="1"/>
  <c r="AC7" i="1"/>
  <c r="AB7" i="1"/>
  <c r="AA7" i="1"/>
  <c r="Z7" i="1"/>
  <c r="Y7" i="1"/>
  <c r="X7" i="1"/>
  <c r="V7" i="1"/>
  <c r="M7" i="1"/>
  <c r="L7" i="1"/>
  <c r="K7" i="1"/>
  <c r="J7" i="1"/>
  <c r="I7" i="1"/>
  <c r="H7" i="1"/>
  <c r="G7" i="1"/>
  <c r="W7" i="1" s="1"/>
  <c r="F7" i="1"/>
  <c r="E7" i="1"/>
  <c r="D7" i="1"/>
  <c r="T6" i="1"/>
  <c r="S6" i="1"/>
  <c r="P7" i="1" l="1"/>
  <c r="Q7" i="1"/>
  <c r="N7" i="1"/>
  <c r="R7" i="1"/>
  <c r="O7" i="1"/>
  <c r="AD9" i="1"/>
  <c r="AC9" i="1"/>
  <c r="AA8" i="1" l="1"/>
  <c r="Z8" i="1"/>
  <c r="Y8" i="1"/>
  <c r="X8" i="1"/>
  <c r="V8" i="1"/>
  <c r="AA5" i="1" l="1"/>
  <c r="Z5" i="1"/>
  <c r="Y5" i="1"/>
  <c r="X5" i="1"/>
  <c r="V5" i="1"/>
  <c r="AD4" i="1" l="1"/>
  <c r="AC4" i="1"/>
  <c r="AB4" i="1"/>
  <c r="AA4" i="1"/>
  <c r="Z4" i="1"/>
  <c r="Y4" i="1"/>
  <c r="X4" i="1"/>
  <c r="V4" i="1"/>
  <c r="M4" i="1"/>
  <c r="L4" i="1"/>
  <c r="K4" i="1"/>
  <c r="J4" i="1"/>
  <c r="I4" i="1" l="1"/>
  <c r="H4" i="1"/>
  <c r="AD8" i="1" l="1"/>
  <c r="AH8" i="1"/>
  <c r="AG8" i="1"/>
  <c r="AB9" i="1"/>
  <c r="AC8" i="1" l="1"/>
  <c r="AB8" i="1"/>
  <c r="M8" i="1"/>
  <c r="L8" i="1"/>
  <c r="K8" i="1"/>
  <c r="J8" i="1"/>
  <c r="I8" i="1"/>
  <c r="H8" i="1"/>
  <c r="G8" i="1"/>
  <c r="F8" i="1"/>
  <c r="E8" i="1"/>
  <c r="D8" i="1"/>
  <c r="T8" i="1" l="1"/>
  <c r="W8" i="1"/>
  <c r="S8" i="1"/>
  <c r="R8" i="1"/>
  <c r="Q8" i="1"/>
  <c r="N8" i="1"/>
  <c r="O8" i="1"/>
  <c r="P8" i="1"/>
  <c r="AH4" i="1"/>
  <c r="AG4" i="1"/>
  <c r="G4" i="1"/>
  <c r="W4" i="1" s="1"/>
  <c r="F4" i="1"/>
  <c r="E4" i="1"/>
  <c r="D4" i="1"/>
  <c r="U8" i="1" l="1"/>
  <c r="S4" i="1"/>
  <c r="T4" i="1"/>
  <c r="U4" i="1" s="1"/>
  <c r="R4" i="1"/>
  <c r="O4" i="1"/>
  <c r="P4" i="1"/>
  <c r="Q4" i="1"/>
  <c r="N4" i="1"/>
  <c r="AH9" i="1"/>
  <c r="AG9" i="1"/>
  <c r="D9" i="1"/>
  <c r="AH5" i="1" l="1"/>
  <c r="AG5" i="1"/>
  <c r="AD5" i="1"/>
  <c r="AB5" i="1"/>
  <c r="J5" i="1"/>
  <c r="M5" i="1"/>
  <c r="L5" i="1"/>
  <c r="K5" i="1"/>
  <c r="I5" i="1"/>
  <c r="H5" i="1"/>
  <c r="G5" i="1"/>
  <c r="F5" i="1"/>
  <c r="E5" i="1"/>
  <c r="D5" i="1"/>
  <c r="AH6" i="1"/>
  <c r="AG6" i="1"/>
  <c r="AD6" i="1"/>
  <c r="AC6" i="1"/>
  <c r="U6" i="1" s="1"/>
  <c r="AB6" i="1"/>
  <c r="AA6" i="1"/>
  <c r="Z6" i="1"/>
  <c r="Y6" i="1"/>
  <c r="X6" i="1"/>
  <c r="V6" i="1"/>
  <c r="M6" i="1"/>
  <c r="L6" i="1"/>
  <c r="K6" i="1"/>
  <c r="J6" i="1"/>
  <c r="I6" i="1"/>
  <c r="H6" i="1"/>
  <c r="G6" i="1"/>
  <c r="F6" i="1"/>
  <c r="E6" i="1"/>
  <c r="D6" i="1"/>
  <c r="T5" i="1" l="1"/>
  <c r="S5" i="1"/>
  <c r="W5" i="1"/>
  <c r="AB3" i="1"/>
  <c r="AD3" i="1"/>
  <c r="O5" i="1"/>
  <c r="R5" i="1"/>
  <c r="N5" i="1"/>
  <c r="P5" i="1"/>
  <c r="Q5" i="1"/>
  <c r="P6" i="1" l="1"/>
  <c r="Q6" i="1"/>
  <c r="O6" i="1"/>
  <c r="N6" i="1"/>
  <c r="R6" i="1"/>
  <c r="AC5" i="1" l="1"/>
  <c r="U5" i="1" s="1"/>
  <c r="F9" i="1" l="1"/>
  <c r="I9" i="1" l="1"/>
  <c r="H9" i="1"/>
  <c r="E9" i="1"/>
  <c r="K9" i="1" l="1"/>
  <c r="L9" i="1"/>
  <c r="J9" i="1"/>
  <c r="G9" i="1"/>
  <c r="M9" i="1"/>
  <c r="T9" i="1" l="1"/>
  <c r="T3" i="1" s="1"/>
  <c r="S9" i="1"/>
  <c r="S3" i="1" s="1"/>
  <c r="O9" i="1"/>
  <c r="O3" i="1" s="1"/>
  <c r="N9" i="1"/>
  <c r="N3" i="1" s="1"/>
  <c r="Q9" i="1"/>
  <c r="Q3" i="1" s="1"/>
  <c r="R9" i="1"/>
  <c r="R3" i="1" s="1"/>
  <c r="P9" i="1"/>
  <c r="P3" i="1" s="1"/>
  <c r="V9" i="1" l="1"/>
  <c r="W9" i="1" s="1"/>
  <c r="W3" i="1" s="1"/>
  <c r="X9" i="1"/>
  <c r="X3" i="1" s="1"/>
  <c r="Y9" i="1" l="1"/>
  <c r="Y3" i="1" s="1"/>
  <c r="Z9" i="1" l="1"/>
  <c r="Z3" i="1" s="1"/>
  <c r="AA9" i="1" l="1"/>
  <c r="AA3" i="1" s="1"/>
  <c r="AC3" i="1" l="1"/>
  <c r="U9" i="1"/>
  <c r="U3" i="1" s="1"/>
</calcChain>
</file>

<file path=xl/sharedStrings.xml><?xml version="1.0" encoding="utf-8"?>
<sst xmlns="http://schemas.openxmlformats.org/spreadsheetml/2006/main" count="49" uniqueCount="49">
  <si>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</si>
  <si>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</si>
  <si>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</si>
  <si>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</si>
  <si>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</si>
  <si>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</si>
  <si>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</si>
  <si>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</si>
  <si>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</si>
  <si>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</si>
  <si>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</si>
  <si>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</si>
  <si>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</si>
  <si>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</si>
  <si>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</si>
  <si>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</si>
  <si>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</si>
  <si>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</si>
  <si>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</si>
  <si>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</si>
  <si>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Founded</t>
  </si>
  <si>
    <t>Industry Average</t>
  </si>
  <si>
    <t>Oklo</t>
  </si>
  <si>
    <t>FuelCell</t>
  </si>
  <si>
    <t>Constellation</t>
  </si>
  <si>
    <t>Bloom</t>
  </si>
  <si>
    <t>BE US</t>
  </si>
  <si>
    <t>FCEL US</t>
  </si>
  <si>
    <t>CEG US</t>
  </si>
  <si>
    <t>OKLO US</t>
  </si>
  <si>
    <t>Updated</t>
  </si>
  <si>
    <t>Earnings Call</t>
  </si>
  <si>
    <t>NuScale</t>
  </si>
  <si>
    <t>SMR US</t>
  </si>
  <si>
    <t>PlugPower</t>
  </si>
  <si>
    <t>PLUG US</t>
  </si>
  <si>
    <t>2025 Rev</t>
  </si>
  <si>
    <t>2024 RevG</t>
  </si>
  <si>
    <t>2025 RevG</t>
  </si>
  <si>
    <t>2025 GM%</t>
  </si>
  <si>
    <t>2025 OM%</t>
  </si>
  <si>
    <t>2025 EV/B</t>
  </si>
  <si>
    <t>2025 B/EV</t>
  </si>
  <si>
    <t>ISBS Var</t>
  </si>
  <si>
    <t>2025 EV/R</t>
  </si>
  <si>
    <t>Enphase</t>
  </si>
  <si>
    <t>ENPH US</t>
  </si>
  <si>
    <t>General Electric</t>
  </si>
  <si>
    <t>GEV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</si>
</sst>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-409]#,##0"/>
    <numFmt numFmtId="165" formatCode="0\x"/>
    <numFmt numFmtId="166" formatCode="[$$-409]#,##0.00"/>
    <numFmt numFmtId="167" formatCode="0.00\x"/>
    <numFmt numFmtId="168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165" fontId="1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1"/>
    <xf numFmtId="166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64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7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68" fontId="1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EG.xlsx" TargetMode="External"/><Relationship Id="rId1" Type="http://schemas.openxmlformats.org/officeDocument/2006/relationships/externalLinkPath" Target="CE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E.xlsx" TargetMode="External"/><Relationship Id="rId1" Type="http://schemas.openxmlformats.org/officeDocument/2006/relationships/externalLinkPath" Target="B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KLO.xlsx" TargetMode="External"/><Relationship Id="rId1" Type="http://schemas.openxmlformats.org/officeDocument/2006/relationships/externalLinkPath" Target="OKLO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NPH.xlsx" TargetMode="External"/><Relationship Id="rId1" Type="http://schemas.openxmlformats.org/officeDocument/2006/relationships/externalLinkPath" Target="ENPH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312.64</v>
          </cell>
          <cell r="E3">
            <v>46078</v>
          </cell>
          <cell r="G3">
            <v>46149</v>
          </cell>
        </row>
        <row r="5">
          <cell r="D5">
            <v>97637.471999999994</v>
          </cell>
        </row>
        <row r="8">
          <cell r="D8">
            <v>-5244</v>
          </cell>
        </row>
        <row r="9">
          <cell r="D9">
            <v>102881.47199999999</v>
          </cell>
        </row>
      </sheetData>
      <sheetData sheetId="1">
        <row r="3">
          <cell r="X3">
            <v>25533</v>
          </cell>
        </row>
        <row r="15">
          <cell r="V15">
            <v>1588</v>
          </cell>
          <cell r="W15">
            <v>3742</v>
          </cell>
          <cell r="X15">
            <v>2324</v>
          </cell>
          <cell r="Y15">
            <v>3469.3330688000005</v>
          </cell>
          <cell r="Z15">
            <v>3776.8657053040024</v>
          </cell>
          <cell r="AA15">
            <v>4025.1103982722416</v>
          </cell>
        </row>
        <row r="19">
          <cell r="W19">
            <v>-5.4177702865398469E-2</v>
          </cell>
          <cell r="X19">
            <v>8.3375763747454146E-2</v>
          </cell>
        </row>
        <row r="21">
          <cell r="AK21">
            <v>7.0000000000000007E-2</v>
          </cell>
        </row>
        <row r="22">
          <cell r="X22">
            <v>0.18380135510907453</v>
          </cell>
        </row>
        <row r="23">
          <cell r="X23">
            <v>0.12086319664747582</v>
          </cell>
        </row>
        <row r="27">
          <cell r="AK27">
            <v>-0.42864786747104966</v>
          </cell>
        </row>
        <row r="28">
          <cell r="AK28" t="str">
            <v>Overvalued</v>
          </cell>
        </row>
        <row r="42">
          <cell r="L42">
            <v>53038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147.55000000000001</v>
          </cell>
          <cell r="E3">
            <v>46076</v>
          </cell>
          <cell r="G3">
            <v>46148</v>
          </cell>
        </row>
        <row r="5">
          <cell r="D5">
            <v>41387.775000000001</v>
          </cell>
        </row>
        <row r="8">
          <cell r="D8">
            <v>-407.59999999999991</v>
          </cell>
        </row>
        <row r="9">
          <cell r="D9">
            <v>41795.375</v>
          </cell>
        </row>
      </sheetData>
      <sheetData sheetId="1">
        <row r="7">
          <cell r="AC7">
            <v>2024.1000000000001</v>
          </cell>
        </row>
        <row r="28">
          <cell r="AA28">
            <v>-302.29999999999995</v>
          </cell>
          <cell r="AB28">
            <v>-29.800000000000253</v>
          </cell>
          <cell r="AC28">
            <v>-87.799999999999912</v>
          </cell>
          <cell r="AD28">
            <v>361.31132399999984</v>
          </cell>
          <cell r="AE28">
            <v>564.98599631999946</v>
          </cell>
          <cell r="AF28">
            <v>693.81725338200022</v>
          </cell>
        </row>
        <row r="34">
          <cell r="AQ34">
            <v>0.08</v>
          </cell>
        </row>
        <row r="36">
          <cell r="AB36">
            <v>0.10537763444086101</v>
          </cell>
          <cell r="AC36">
            <v>0.37338851947347007</v>
          </cell>
        </row>
        <row r="40">
          <cell r="AQ40">
            <v>-0.65424051466376831</v>
          </cell>
        </row>
        <row r="41">
          <cell r="AC41">
            <v>0.29030186255619789</v>
          </cell>
          <cell r="AQ41" t="str">
            <v>Heavily overvalued</v>
          </cell>
        </row>
        <row r="45">
          <cell r="AC45">
            <v>3.6016007114273052E-2</v>
          </cell>
        </row>
        <row r="65">
          <cell r="R65">
            <v>4396.7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63.83</v>
          </cell>
          <cell r="E3">
            <v>46076</v>
          </cell>
          <cell r="G3">
            <v>46077</v>
          </cell>
        </row>
        <row r="5">
          <cell r="D5">
            <v>9970.2459999999992</v>
          </cell>
        </row>
        <row r="8">
          <cell r="D8">
            <v>1183.5999999999999</v>
          </cell>
        </row>
        <row r="9">
          <cell r="D9">
            <v>8786.6459999999988</v>
          </cell>
        </row>
      </sheetData>
      <sheetData sheetId="1">
        <row r="6">
          <cell r="Q6"/>
        </row>
        <row r="17">
          <cell r="Q17"/>
          <cell r="R17">
            <v>-73.699999999999989</v>
          </cell>
          <cell r="S17">
            <v>-111.6</v>
          </cell>
          <cell r="T17">
            <v>-131.6</v>
          </cell>
          <cell r="U17">
            <v>-92.82</v>
          </cell>
          <cell r="V17">
            <v>-33.285000000000011</v>
          </cell>
        </row>
        <row r="23">
          <cell r="AG23">
            <v>0.09</v>
          </cell>
        </row>
        <row r="29">
          <cell r="AG29">
            <v>-0.69032448443803462</v>
          </cell>
        </row>
        <row r="30">
          <cell r="AG30" t="str">
            <v>Heavily overvalued</v>
          </cell>
        </row>
        <row r="55">
          <cell r="L55">
            <v>12.020035567715457</v>
          </cell>
        </row>
        <row r="56">
          <cell r="L56">
            <v>-0.91680557063525714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49.74</v>
          </cell>
          <cell r="E3">
            <v>46078</v>
          </cell>
          <cell r="G3">
            <v>46140</v>
          </cell>
        </row>
        <row r="5">
          <cell r="D5">
            <v>6510.9660000000003</v>
          </cell>
        </row>
        <row r="8">
          <cell r="D8">
            <v>274.30000000000018</v>
          </cell>
        </row>
        <row r="9">
          <cell r="D9">
            <v>6236.6660000000002</v>
          </cell>
        </row>
      </sheetData>
      <sheetData sheetId="1">
        <row r="3">
          <cell r="V3">
            <v>1473</v>
          </cell>
        </row>
        <row r="18">
          <cell r="T18">
            <v>438.99999999999994</v>
          </cell>
          <cell r="U18">
            <v>102.69999999999995</v>
          </cell>
          <cell r="V18">
            <v>172.09999999999991</v>
          </cell>
          <cell r="W18">
            <v>227.48592500000004</v>
          </cell>
          <cell r="X18">
            <v>242.79734049999996</v>
          </cell>
          <cell r="Y18">
            <v>254.01334320499996</v>
          </cell>
        </row>
        <row r="22">
          <cell r="U22">
            <v>-0.41924218613584774</v>
          </cell>
          <cell r="V22">
            <v>0.1071858087793145</v>
          </cell>
        </row>
        <row r="23">
          <cell r="V23">
            <v>0.4663951120162933</v>
          </cell>
        </row>
        <row r="24">
          <cell r="AI24">
            <v>0.09</v>
          </cell>
        </row>
        <row r="27">
          <cell r="V27">
            <v>0.10692464358452131</v>
          </cell>
        </row>
        <row r="30">
          <cell r="AI30">
            <v>-0.50227926621940466</v>
          </cell>
        </row>
        <row r="31">
          <cell r="AI31" t="str">
            <v>Heavily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1.87</v>
          </cell>
          <cell r="E3">
            <v>46076</v>
          </cell>
          <cell r="G3">
            <v>46079</v>
          </cell>
        </row>
        <row r="5">
          <cell r="D5">
            <v>2601.9180000000001</v>
          </cell>
        </row>
        <row r="8">
          <cell r="D8">
            <v>215.39999999999998</v>
          </cell>
        </row>
        <row r="9">
          <cell r="D9">
            <v>2386.518</v>
          </cell>
        </row>
      </sheetData>
      <sheetData sheetId="1">
        <row r="8">
          <cell r="AB8">
            <v>722.06</v>
          </cell>
        </row>
        <row r="33">
          <cell r="Z33">
            <v>-1368.8</v>
          </cell>
          <cell r="AA33">
            <v>-2104.9</v>
          </cell>
          <cell r="AB33">
            <v>-1049.8714999999997</v>
          </cell>
          <cell r="AC33">
            <v>-504.67788450000006</v>
          </cell>
          <cell r="AD33">
            <v>-346.54102523999978</v>
          </cell>
          <cell r="AE33">
            <v>-189.44181374939978</v>
          </cell>
        </row>
        <row r="39">
          <cell r="AP39">
            <v>0.09</v>
          </cell>
        </row>
        <row r="42">
          <cell r="AA42">
            <v>-0.29443447037701986</v>
          </cell>
          <cell r="AB42">
            <v>0.14831424936386761</v>
          </cell>
        </row>
        <row r="45">
          <cell r="AP45">
            <v>-0.89566878315942533</v>
          </cell>
        </row>
        <row r="46">
          <cell r="AP46" t="str">
            <v>Heavily overvalued</v>
          </cell>
        </row>
        <row r="48">
          <cell r="AB48">
            <v>-0.49127150098329775</v>
          </cell>
        </row>
        <row r="51">
          <cell r="AB51">
            <v>-1.3056691964656677</v>
          </cell>
        </row>
        <row r="93">
          <cell r="P93">
            <v>3353.8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8.34</v>
          </cell>
          <cell r="E3">
            <v>46012</v>
          </cell>
          <cell r="G3">
            <v>46091</v>
          </cell>
        </row>
        <row r="5">
          <cell r="D5">
            <v>397.81800000000004</v>
          </cell>
        </row>
        <row r="8">
          <cell r="D8">
            <v>210.80000000000007</v>
          </cell>
        </row>
        <row r="9">
          <cell r="D9">
            <v>187.01799999999997</v>
          </cell>
        </row>
      </sheetData>
      <sheetData sheetId="1">
        <row r="13">
          <cell r="AE13">
            <v>69.5</v>
          </cell>
          <cell r="AI13">
            <v>158</v>
          </cell>
        </row>
        <row r="24">
          <cell r="AC24">
            <v>45.7</v>
          </cell>
          <cell r="AD24">
            <v>31.400000000000002</v>
          </cell>
          <cell r="AE24">
            <v>49.3</v>
          </cell>
          <cell r="AF24">
            <v>114.3</v>
          </cell>
          <cell r="AG24">
            <v>125.6</v>
          </cell>
          <cell r="AH24">
            <v>122.6</v>
          </cell>
        </row>
        <row r="43">
          <cell r="AW43">
            <v>0.12</v>
          </cell>
        </row>
        <row r="45">
          <cell r="AH45">
            <v>-9.0761750405186525E-2</v>
          </cell>
          <cell r="AI45">
            <v>0.40819964349376114</v>
          </cell>
        </row>
        <row r="50">
          <cell r="AI50">
            <v>-0.16835443037974679</v>
          </cell>
        </row>
        <row r="53">
          <cell r="AI53">
            <v>-1.218987341772152</v>
          </cell>
        </row>
        <row r="85">
          <cell r="AI85">
            <v>830.6</v>
          </cell>
        </row>
        <row r="129">
          <cell r="AW129">
            <v>0.25248761008022935</v>
          </cell>
        </row>
        <row r="130">
          <cell r="AW130" t="str">
            <v>Slightly undervalued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FCEL.xlsx" TargetMode="External"/><Relationship Id="rId2" Type="http://schemas.openxmlformats.org/officeDocument/2006/relationships/hyperlink" Target="CEG.xlsx" TargetMode="External"/><Relationship Id="rId1" Type="http://schemas.openxmlformats.org/officeDocument/2006/relationships/hyperlink" Target="OKLO.xlsx" TargetMode="External"/><Relationship Id="rId6" Type="http://schemas.openxmlformats.org/officeDocument/2006/relationships/hyperlink" Target="enph.xlsx" TargetMode="External"/><Relationship Id="rId5" Type="http://schemas.openxmlformats.org/officeDocument/2006/relationships/hyperlink" Target="PLUG.xlsx" TargetMode="External"/><Relationship Id="rId4" Type="http://schemas.openxmlformats.org/officeDocument/2006/relationships/hyperlink" Target="BE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50123-7912-4358-B5CC-BC69536C3F1F}">
  <dimension ref="B2:AH11"/>
  <sheetViews>
    <sheetView tabSelected="1" workbookViewId="0">
      <selection activeCell="B4" sqref="B4"/>
    </sheetView>
  </sheetViews>
  <sheetFormatPr defaultRowHeight="14.4" x14ac:dyDescent="0.3"/>
  <cols>
    <col min="2" max="2" width="16.109375" bestFit="1" customWidth="1"/>
    <col min="3" max="3" width="8.21875" style="10" bestFit="1" customWidth="1"/>
    <col min="4" max="4" width="7.5546875" bestFit="1" customWidth="1"/>
    <col min="5" max="5" width="8.88671875" bestFit="1" customWidth="1"/>
    <col min="6" max="6" width="8.44140625" bestFit="1" customWidth="1"/>
    <col min="7" max="7" width="8.88671875" bestFit="1" customWidth="1"/>
    <col min="8" max="9" width="6.44140625" bestFit="1" customWidth="1"/>
    <col min="10" max="13" width="7.44140625" bestFit="1" customWidth="1"/>
    <col min="14" max="18" width="9.5546875" bestFit="1" customWidth="1"/>
    <col min="19" max="21" width="9.5546875" customWidth="1"/>
    <col min="22" max="22" width="8.5546875" bestFit="1" customWidth="1"/>
    <col min="23" max="23" width="9.6640625" bestFit="1" customWidth="1"/>
    <col min="24" max="25" width="9.77734375" bestFit="1" customWidth="1"/>
    <col min="26" max="26" width="9.88671875" bestFit="1" customWidth="1"/>
    <col min="27" max="27" width="10" bestFit="1" customWidth="1"/>
    <col min="28" max="29" width="8.33203125" bestFit="1" customWidth="1"/>
    <col min="30" max="30" width="17.109375" customWidth="1"/>
    <col min="31" max="31" width="8.44140625" bestFit="1" customWidth="1"/>
    <col min="33" max="34" width="10.5546875" bestFit="1" customWidth="1"/>
  </cols>
  <sheetData>
    <row r="2" spans="2:34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41</v>
      </c>
      <c r="T2" s="2" t="s">
        <v>42</v>
      </c>
      <c r="U2" s="2" t="s">
        <v>43</v>
      </c>
      <c r="V2" s="4" t="s">
        <v>36</v>
      </c>
      <c r="W2" s="4" t="s">
        <v>44</v>
      </c>
      <c r="X2" s="2" t="s">
        <v>37</v>
      </c>
      <c r="Y2" s="2" t="s">
        <v>38</v>
      </c>
      <c r="Z2" s="2" t="s">
        <v>39</v>
      </c>
      <c r="AA2" s="2" t="s">
        <v>40</v>
      </c>
      <c r="AB2" s="2" t="s">
        <v>17</v>
      </c>
      <c r="AC2" s="2" t="s">
        <v>18</v>
      </c>
      <c r="AD2" s="2" t="s">
        <v>19</v>
      </c>
      <c r="AE2" s="2" t="s">
        <v>20</v>
      </c>
      <c r="AF2" s="2"/>
      <c r="AG2" s="2" t="s">
        <v>30</v>
      </c>
      <c r="AH2" s="2" t="s">
        <v>31</v>
      </c>
    </row>
    <row r="3" spans="2:34" x14ac:dyDescent="0.3">
      <c r="B3" s="5" t="s">
        <v>21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6">
        <f t="shared" ref="N3:U3" si="0">TRIMMEAN(N4:N1048576,80%)</f>
        <v>2.4110978160452419</v>
      </c>
      <c r="O3" s="6">
        <f t="shared" si="0"/>
        <v>0.76015804177924373</v>
      </c>
      <c r="P3" s="6">
        <f t="shared" si="0"/>
        <v>14.525907805441239</v>
      </c>
      <c r="Q3" s="6">
        <f t="shared" si="0"/>
        <v>13.587855726048538</v>
      </c>
      <c r="R3" s="6">
        <f t="shared" si="0"/>
        <v>13.038972824847537</v>
      </c>
      <c r="S3" s="22">
        <f t="shared" si="0"/>
        <v>1.9397690712319469</v>
      </c>
      <c r="T3" s="8">
        <f t="shared" si="0"/>
        <v>-0.48447471669145636</v>
      </c>
      <c r="U3" s="8">
        <f t="shared" si="0"/>
        <v>-0.45656129208125301</v>
      </c>
      <c r="V3" s="7"/>
      <c r="W3" s="24">
        <f t="shared" ref="W3:AC3" si="1">TRIMMEAN(W4:W1048576,80%)</f>
        <v>4.0293530724944189</v>
      </c>
      <c r="X3" s="8">
        <f t="shared" si="1"/>
        <v>-7.2469726635292497E-2</v>
      </c>
      <c r="Y3" s="8">
        <f t="shared" si="1"/>
        <v>0.12775002907159105</v>
      </c>
      <c r="Z3" s="8">
        <f t="shared" si="1"/>
        <v>9.1900677554537263E-2</v>
      </c>
      <c r="AA3" s="8">
        <f t="shared" si="1"/>
        <v>1.8008003557136526E-2</v>
      </c>
      <c r="AB3" s="8">
        <f t="shared" si="1"/>
        <v>9.0000000000000011E-2</v>
      </c>
      <c r="AC3" s="8">
        <f t="shared" si="1"/>
        <v>-0.57825989044158654</v>
      </c>
      <c r="AD3" s="9" t="str">
        <f>INDEX(AD4:AD9,MODE(MATCH(AD4:AD9,AD4:AD9,0)))</f>
        <v>Heavily overvalued</v>
      </c>
      <c r="AE3" s="10"/>
    </row>
    <row r="4" spans="2:34" x14ac:dyDescent="0.3">
      <c r="B4" s="11" t="s">
        <v>24</v>
      </c>
      <c r="C4" s="10" t="s">
        <v>28</v>
      </c>
      <c r="D4" s="12">
        <f>[1]Main!$D$3</f>
        <v>312.64</v>
      </c>
      <c r="E4" s="13">
        <f>[1]Main!$D$5</f>
        <v>97637.471999999994</v>
      </c>
      <c r="F4" s="13">
        <f>[1]Main!$D$8</f>
        <v>-5244</v>
      </c>
      <c r="G4" s="13">
        <f>[1]Main!$D$9</f>
        <v>102881.47199999999</v>
      </c>
      <c r="H4" s="13">
        <f>[1]Model!V$15</f>
        <v>1588</v>
      </c>
      <c r="I4" s="13">
        <f>[1]Model!W$15</f>
        <v>3742</v>
      </c>
      <c r="J4" s="13">
        <f>[1]Model!X$15</f>
        <v>2324</v>
      </c>
      <c r="K4" s="13">
        <f>[1]Model!Y$15</f>
        <v>3469.3330688000005</v>
      </c>
      <c r="L4" s="13">
        <f>[1]Model!Z$15</f>
        <v>3776.8657053040024</v>
      </c>
      <c r="M4" s="13">
        <f>[1]Model!AA$15</f>
        <v>4025.1103982722416</v>
      </c>
      <c r="N4" s="14">
        <f>$G4/I4</f>
        <v>27.493712453233563</v>
      </c>
      <c r="O4" s="14">
        <f t="shared" ref="O4" si="2">$G4/J4</f>
        <v>44.269135972461271</v>
      </c>
      <c r="P4" s="14">
        <f t="shared" ref="P4" si="3">$G4/K4</f>
        <v>29.654538771506715</v>
      </c>
      <c r="Q4" s="14">
        <f t="shared" ref="Q4" si="4">$G4/L4</f>
        <v>27.239907380217268</v>
      </c>
      <c r="R4" s="14">
        <f t="shared" ref="R4" si="5">$G4/M4</f>
        <v>25.559913100560259</v>
      </c>
      <c r="S4" s="21">
        <f>G4/[1]Model!$L$42</f>
        <v>1.9397690712319469</v>
      </c>
      <c r="T4" s="15">
        <f>[1]Model!$L$42/G4-1</f>
        <v>-0.48447471669145636</v>
      </c>
      <c r="U4" s="15">
        <f>AVERAGE(T4,AC4)</f>
        <v>-0.45656129208125301</v>
      </c>
      <c r="V4" s="13">
        <f>[1]Model!$X$3</f>
        <v>25533</v>
      </c>
      <c r="W4" s="23">
        <f>G4/V4</f>
        <v>4.0293530724944189</v>
      </c>
      <c r="X4" s="15">
        <f>[1]Model!W$19</f>
        <v>-5.4177702865398469E-2</v>
      </c>
      <c r="Y4" s="15">
        <f>[1]Model!X$19</f>
        <v>8.3375763747454146E-2</v>
      </c>
      <c r="Z4" s="15">
        <f>[1]Model!$X$22</f>
        <v>0.18380135510907453</v>
      </c>
      <c r="AA4" s="15">
        <f>[1]Model!$X$23</f>
        <v>0.12086319664747582</v>
      </c>
      <c r="AB4" s="15">
        <f>[1]Model!$AK$21</f>
        <v>7.0000000000000007E-2</v>
      </c>
      <c r="AC4" s="15">
        <f>[1]Model!$AK$27</f>
        <v>-0.42864786747104966</v>
      </c>
      <c r="AD4" s="10" t="str">
        <f>[1]Model!$AK$28</f>
        <v>Overvalued</v>
      </c>
      <c r="AE4" s="10">
        <v>1999</v>
      </c>
      <c r="AG4" s="17">
        <f>[1]Main!$E$3</f>
        <v>46078</v>
      </c>
      <c r="AH4" s="17">
        <f>[1]Main!$G$3</f>
        <v>46149</v>
      </c>
    </row>
    <row r="5" spans="2:34" x14ac:dyDescent="0.3">
      <c r="B5" s="11" t="s">
        <v>25</v>
      </c>
      <c r="C5" s="10" t="s">
        <v>26</v>
      </c>
      <c r="D5" s="12">
        <f>[2]Main!$D$3</f>
        <v>147.55000000000001</v>
      </c>
      <c r="E5" s="13">
        <f>[2]Main!$D$5</f>
        <v>41387.775000000001</v>
      </c>
      <c r="F5" s="13">
        <f>[2]Main!$D$8</f>
        <v>-407.59999999999991</v>
      </c>
      <c r="G5" s="13">
        <f>[2]Main!$D$9</f>
        <v>41795.375</v>
      </c>
      <c r="H5" s="13">
        <f>[2]Model!AA$28</f>
        <v>-302.29999999999995</v>
      </c>
      <c r="I5" s="13">
        <f>[2]Model!AB$28</f>
        <v>-29.800000000000253</v>
      </c>
      <c r="J5" s="13">
        <f>[2]Model!AC$28</f>
        <v>-87.799999999999912</v>
      </c>
      <c r="K5" s="13">
        <f>[2]Model!AD$28</f>
        <v>361.31132399999984</v>
      </c>
      <c r="L5" s="13">
        <f>[2]Model!AE$28</f>
        <v>564.98599631999946</v>
      </c>
      <c r="M5" s="13">
        <f>[2]Model!AF$28</f>
        <v>693.81725338200022</v>
      </c>
      <c r="N5" s="14">
        <f>$G5/I5</f>
        <v>-1402.5293624160954</v>
      </c>
      <c r="O5" s="14">
        <f t="shared" ref="O5:R8" si="6">$G5/J5</f>
        <v>-476.02932801822374</v>
      </c>
      <c r="P5" s="14">
        <f t="shared" si="6"/>
        <v>115.6769030577077</v>
      </c>
      <c r="Q5" s="14">
        <f t="shared" si="6"/>
        <v>73.975948558427163</v>
      </c>
      <c r="R5" s="14">
        <f t="shared" si="6"/>
        <v>60.23974583547637</v>
      </c>
      <c r="S5" s="21">
        <f>G5/[2]Model!$R$65</f>
        <v>9.5060784224532036</v>
      </c>
      <c r="T5" s="15">
        <f>[2]Model!$R$65/G5-1</f>
        <v>-0.89480414998070956</v>
      </c>
      <c r="U5" s="15">
        <f>AVERAGE(T5,AC5)</f>
        <v>-0.77452233232223899</v>
      </c>
      <c r="V5" s="13">
        <f>[2]Model!$AC$7</f>
        <v>2024.1000000000001</v>
      </c>
      <c r="W5" s="23">
        <f t="shared" ref="W5:W9" si="7">G5/V5</f>
        <v>20.648868632972679</v>
      </c>
      <c r="X5" s="15">
        <f>[2]Model!AB$36</f>
        <v>0.10537763444086101</v>
      </c>
      <c r="Y5" s="15">
        <f>[2]Model!AC$36</f>
        <v>0.37338851947347007</v>
      </c>
      <c r="Z5" s="15">
        <f>[2]Model!$AC$41</f>
        <v>0.29030186255619789</v>
      </c>
      <c r="AA5" s="15">
        <f>[2]Model!$AC$45</f>
        <v>3.6016007114273052E-2</v>
      </c>
      <c r="AB5" s="15">
        <f>[2]Model!$AQ$34</f>
        <v>0.08</v>
      </c>
      <c r="AC5" s="15">
        <f>[2]Model!$AQ$40</f>
        <v>-0.65424051466376831</v>
      </c>
      <c r="AD5" s="10" t="str">
        <f>[2]Model!$AQ$41</f>
        <v>Heavily overvalued</v>
      </c>
      <c r="AE5" s="10">
        <v>2001</v>
      </c>
      <c r="AG5" s="17">
        <f>[2]Main!$E$3</f>
        <v>46076</v>
      </c>
      <c r="AH5" s="17">
        <f>[2]Main!$G$3</f>
        <v>46148</v>
      </c>
    </row>
    <row r="6" spans="2:34" x14ac:dyDescent="0.3">
      <c r="B6" s="11" t="s">
        <v>22</v>
      </c>
      <c r="C6" s="10" t="s">
        <v>29</v>
      </c>
      <c r="D6" s="12">
        <f>[3]Main!$D$3</f>
        <v>63.83</v>
      </c>
      <c r="E6" s="13">
        <f>[3]Main!$D$5</f>
        <v>9970.2459999999992</v>
      </c>
      <c r="F6" s="13">
        <f>[3]Main!$D$8</f>
        <v>1183.5999999999999</v>
      </c>
      <c r="G6" s="13">
        <f>[3]Main!$D$9</f>
        <v>8786.6459999999988</v>
      </c>
      <c r="H6" s="13">
        <f>[3]Model!Q$17</f>
        <v>0</v>
      </c>
      <c r="I6" s="13">
        <f>[3]Model!R$17</f>
        <v>-73.699999999999989</v>
      </c>
      <c r="J6" s="13">
        <f>[3]Model!S$17</f>
        <v>-111.6</v>
      </c>
      <c r="K6" s="13">
        <f>[3]Model!T$17</f>
        <v>-131.6</v>
      </c>
      <c r="L6" s="13">
        <f>[3]Model!U$17</f>
        <v>-92.82</v>
      </c>
      <c r="M6" s="13">
        <f>[3]Model!V$17</f>
        <v>-33.285000000000011</v>
      </c>
      <c r="N6" s="14">
        <f>$G6/I6</f>
        <v>-119.22179104477613</v>
      </c>
      <c r="O6" s="14">
        <f t="shared" si="6"/>
        <v>-78.73338709677418</v>
      </c>
      <c r="P6" s="14">
        <f t="shared" si="6"/>
        <v>-66.767826747720363</v>
      </c>
      <c r="Q6" s="14">
        <f t="shared" si="6"/>
        <v>-94.66328377504847</v>
      </c>
      <c r="R6" s="14">
        <f t="shared" si="6"/>
        <v>-263.98215412347895</v>
      </c>
      <c r="S6" s="21">
        <f>[3]Model!$L$55</f>
        <v>12.020035567715457</v>
      </c>
      <c r="T6" s="15">
        <f>[3]Model!$L$56</f>
        <v>-0.91680557063525714</v>
      </c>
      <c r="U6" s="15">
        <f>AVERAGE(T6,AC6)</f>
        <v>-0.80356502753664594</v>
      </c>
      <c r="V6" s="18">
        <f>[3]Model!$Q$6</f>
        <v>0</v>
      </c>
      <c r="W6" s="23"/>
      <c r="X6" s="19">
        <f>[3]Model!$P$22</f>
        <v>0</v>
      </c>
      <c r="Y6" s="19">
        <f>[3]Model!$Q$22</f>
        <v>0</v>
      </c>
      <c r="Z6" s="19">
        <f>[3]Model!$Q$23</f>
        <v>0</v>
      </c>
      <c r="AA6" s="19">
        <f>[3]Model!$Q$26</f>
        <v>0</v>
      </c>
      <c r="AB6" s="15">
        <f>[3]Model!$AG$23</f>
        <v>0.09</v>
      </c>
      <c r="AC6" s="15">
        <f>[3]Model!$AG$29</f>
        <v>-0.69032448443803462</v>
      </c>
      <c r="AD6" s="15" t="str">
        <f>[3]Model!$AG$30</f>
        <v>Heavily overvalued</v>
      </c>
      <c r="AE6" s="10">
        <v>2013</v>
      </c>
      <c r="AG6" s="16">
        <f>[3]Main!$E$3</f>
        <v>46076</v>
      </c>
      <c r="AH6" s="16">
        <f>[3]Main!$G$3</f>
        <v>46077</v>
      </c>
    </row>
    <row r="7" spans="2:34" x14ac:dyDescent="0.3">
      <c r="B7" s="11" t="s">
        <v>45</v>
      </c>
      <c r="C7" s="10" t="s">
        <v>46</v>
      </c>
      <c r="D7" s="12">
        <f>[4]Main!$D$3</f>
        <v>49.74</v>
      </c>
      <c r="E7" s="13">
        <f>[4]Main!$D$5</f>
        <v>6510.9660000000003</v>
      </c>
      <c r="F7" s="13">
        <f>[4]Main!$D$8</f>
        <v>274.30000000000018</v>
      </c>
      <c r="G7" s="13">
        <f>[4]Main!$D$9</f>
        <v>6236.6660000000002</v>
      </c>
      <c r="H7" s="13">
        <f>[4]Model!T$18</f>
        <v>438.99999999999994</v>
      </c>
      <c r="I7" s="13">
        <f>[4]Model!U$18</f>
        <v>102.69999999999995</v>
      </c>
      <c r="J7" s="13">
        <f>[4]Model!V$18</f>
        <v>172.09999999999991</v>
      </c>
      <c r="K7" s="13">
        <f>[4]Model!W$18</f>
        <v>227.48592500000004</v>
      </c>
      <c r="L7" s="13">
        <f>[4]Model!X$18</f>
        <v>242.79734049999996</v>
      </c>
      <c r="M7" s="13">
        <f>[4]Model!Y$18</f>
        <v>254.01334320499996</v>
      </c>
      <c r="N7" s="14">
        <f t="shared" ref="N7" si="8">$G7/I7</f>
        <v>60.727030185004899</v>
      </c>
      <c r="O7" s="14">
        <f t="shared" si="6"/>
        <v>36.238617083091249</v>
      </c>
      <c r="P7" s="14">
        <f t="shared" si="6"/>
        <v>27.415612636254306</v>
      </c>
      <c r="Q7" s="14">
        <f t="shared" si="6"/>
        <v>25.686714636810454</v>
      </c>
      <c r="R7" s="14">
        <f t="shared" si="6"/>
        <v>24.552513349531942</v>
      </c>
      <c r="S7" s="21"/>
      <c r="T7" s="15"/>
      <c r="U7" s="15"/>
      <c r="V7" s="20">
        <f>[4]Model!$V$3</f>
        <v>1473</v>
      </c>
      <c r="W7" s="23">
        <f t="shared" si="7"/>
        <v>4.2339891378139853</v>
      </c>
      <c r="X7" s="15">
        <f>[4]Model!U$22</f>
        <v>-0.41924218613584774</v>
      </c>
      <c r="Y7" s="15">
        <f>[4]Model!V$22</f>
        <v>0.1071858087793145</v>
      </c>
      <c r="Z7" s="15">
        <f>[4]Model!$V$23</f>
        <v>0.4663951120162933</v>
      </c>
      <c r="AA7" s="15">
        <f>[4]Model!$V$27</f>
        <v>0.10692464358452131</v>
      </c>
      <c r="AB7" s="15">
        <f>[4]Model!$AI$24</f>
        <v>0.09</v>
      </c>
      <c r="AC7" s="15">
        <f>[4]Model!$AI$30</f>
        <v>-0.50227926621940466</v>
      </c>
      <c r="AD7" s="15" t="str">
        <f>[4]Model!$AI$31</f>
        <v>Heavily overvalued</v>
      </c>
      <c r="AE7" s="10">
        <v>2006</v>
      </c>
      <c r="AG7" s="16">
        <f>[4]Main!$E$3</f>
        <v>46078</v>
      </c>
      <c r="AH7" s="16">
        <f>[4]Main!$G$3</f>
        <v>46140</v>
      </c>
    </row>
    <row r="8" spans="2:34" x14ac:dyDescent="0.3">
      <c r="B8" s="11" t="s">
        <v>34</v>
      </c>
      <c r="C8" s="10" t="s">
        <v>35</v>
      </c>
      <c r="D8" s="12">
        <f>[5]Main!$D$3</f>
        <v>1.87</v>
      </c>
      <c r="E8" s="13">
        <f>[5]Main!$D$5</f>
        <v>2601.9180000000001</v>
      </c>
      <c r="F8" s="13">
        <f>[5]Main!$D$8</f>
        <v>215.39999999999998</v>
      </c>
      <c r="G8" s="13">
        <f>[5]Main!$D$9</f>
        <v>2386.518</v>
      </c>
      <c r="H8" s="13">
        <f>[5]Model!Z$33</f>
        <v>-1368.8</v>
      </c>
      <c r="I8" s="13">
        <f>[5]Model!AA$33</f>
        <v>-2104.9</v>
      </c>
      <c r="J8" s="13">
        <f>[5]Model!AB$33</f>
        <v>-1049.8714999999997</v>
      </c>
      <c r="K8" s="13">
        <f>[5]Model!AC$33</f>
        <v>-504.67788450000006</v>
      </c>
      <c r="L8" s="13">
        <f>[5]Model!AD$33</f>
        <v>-346.54102523999978</v>
      </c>
      <c r="M8" s="13">
        <f>[5]Model!AE$33</f>
        <v>-189.44181374939978</v>
      </c>
      <c r="N8" s="14">
        <f>$G8/I8</f>
        <v>-1.1337916290560122</v>
      </c>
      <c r="O8" s="14">
        <f t="shared" si="6"/>
        <v>-2.2731524762792406</v>
      </c>
      <c r="P8" s="14">
        <f t="shared" si="6"/>
        <v>-4.7287944910928621</v>
      </c>
      <c r="Q8" s="14">
        <f t="shared" si="6"/>
        <v>-6.8866824594496361</v>
      </c>
      <c r="R8" s="14">
        <f t="shared" si="6"/>
        <v>-12.597630653795202</v>
      </c>
      <c r="S8" s="21">
        <f>G8/[5]Model!$P$93</f>
        <v>0.71158626036138106</v>
      </c>
      <c r="T8" s="15">
        <f>[5]Model!$P$93/G8-1</f>
        <v>0.4053110012159975</v>
      </c>
      <c r="U8" s="15">
        <f>AVERAGE(T8,AC8)</f>
        <v>-0.24517889097171391</v>
      </c>
      <c r="V8" s="13">
        <f>[5]Model!$AB$8</f>
        <v>722.06</v>
      </c>
      <c r="W8" s="23">
        <f t="shared" si="7"/>
        <v>3.3051519264327065</v>
      </c>
      <c r="X8" s="15">
        <f>[5]Model!AA$42</f>
        <v>-0.29443447037701986</v>
      </c>
      <c r="Y8" s="15">
        <f>[5]Model!AB$42</f>
        <v>0.14831424936386761</v>
      </c>
      <c r="Z8" s="15">
        <f>[5]Model!$AB$48</f>
        <v>-0.49127150098329775</v>
      </c>
      <c r="AA8" s="15">
        <f>[5]Model!$AB$51</f>
        <v>-1.3056691964656677</v>
      </c>
      <c r="AB8" s="15">
        <f>[5]Model!$AP$39</f>
        <v>0.09</v>
      </c>
      <c r="AC8" s="15">
        <f>[5]Model!$AP$45</f>
        <v>-0.89566878315942533</v>
      </c>
      <c r="AD8" s="10" t="str">
        <f>[5]Model!$AP$46</f>
        <v>Heavily overvalued</v>
      </c>
      <c r="AE8" s="10">
        <v>1997</v>
      </c>
      <c r="AG8" s="17">
        <f>[5]Main!$E$3</f>
        <v>46076</v>
      </c>
      <c r="AH8" s="17">
        <f>[5]Main!$G$3</f>
        <v>46079</v>
      </c>
    </row>
    <row r="9" spans="2:34" x14ac:dyDescent="0.3">
      <c r="B9" s="11" t="s">
        <v>23</v>
      </c>
      <c r="C9" s="10" t="s">
        <v>27</v>
      </c>
      <c r="D9" s="12">
        <f>[6]Main!$D$3</f>
        <v>8.34</v>
      </c>
      <c r="E9" s="13">
        <f>[6]Main!$D$5</f>
        <v>397.81800000000004</v>
      </c>
      <c r="F9" s="13">
        <f>[6]Main!$D$8</f>
        <v>210.80000000000007</v>
      </c>
      <c r="G9" s="13">
        <f>[6]Main!$D$9</f>
        <v>187.01799999999997</v>
      </c>
      <c r="H9" s="13">
        <f>[6]Model!AC$24</f>
        <v>45.7</v>
      </c>
      <c r="I9" s="13">
        <f>[6]Model!AD$24</f>
        <v>31.400000000000002</v>
      </c>
      <c r="J9" s="13">
        <f>[6]Model!AE$24</f>
        <v>49.3</v>
      </c>
      <c r="K9" s="13">
        <f>[6]Model!AF$24</f>
        <v>114.3</v>
      </c>
      <c r="L9" s="13">
        <f>[6]Model!AG$24</f>
        <v>125.6</v>
      </c>
      <c r="M9" s="13">
        <f>[6]Model!AH$24</f>
        <v>122.6</v>
      </c>
      <c r="N9" s="14">
        <f t="shared" ref="N9" si="9">$G9/I9</f>
        <v>5.9559872611464959</v>
      </c>
      <c r="O9" s="14">
        <f t="shared" ref="O9" si="10">$G9/J9</f>
        <v>3.793468559837728</v>
      </c>
      <c r="P9" s="14">
        <f t="shared" ref="P9" si="11">$G9/K9</f>
        <v>1.6362029746281712</v>
      </c>
      <c r="Q9" s="14">
        <f t="shared" ref="Q9" si="12">$G9/L9</f>
        <v>1.488996815286624</v>
      </c>
      <c r="R9" s="14">
        <f t="shared" ref="R9" si="13">$G9/M9</f>
        <v>1.525432300163132</v>
      </c>
      <c r="S9" s="21">
        <f>G9/[6]Model!$AI$85</f>
        <v>0.22516012521069104</v>
      </c>
      <c r="T9" s="15">
        <f>[6]Model!$AI$85/G9-1</f>
        <v>3.4412837267001049</v>
      </c>
      <c r="U9" s="15">
        <f>AVERAGE(T9,AC9)</f>
        <v>1.8468856683901671</v>
      </c>
      <c r="V9" s="20">
        <f>[6]Model!$AI$13</f>
        <v>158</v>
      </c>
      <c r="W9" s="23">
        <f t="shared" si="7"/>
        <v>1.1836582278481012</v>
      </c>
      <c r="X9" s="15">
        <f>[6]Model!$AH$45</f>
        <v>-9.0761750405186525E-2</v>
      </c>
      <c r="Y9" s="15">
        <f>[6]Model!$AI$45</f>
        <v>0.40819964349376114</v>
      </c>
      <c r="Z9" s="15">
        <f>[6]Model!$AI$50</f>
        <v>-0.16835443037974679</v>
      </c>
      <c r="AA9" s="15">
        <f>[6]Model!$AI$53</f>
        <v>-1.218987341772152</v>
      </c>
      <c r="AB9" s="15">
        <f>[6]Model!$AW$43</f>
        <v>0.12</v>
      </c>
      <c r="AC9" s="15">
        <f>[6]Model!$AW$129</f>
        <v>0.25248761008022935</v>
      </c>
      <c r="AD9" s="10" t="str">
        <f>[6]Model!$AW$130</f>
        <v>Slightly undervalued</v>
      </c>
      <c r="AE9" s="10">
        <v>1969</v>
      </c>
      <c r="AG9" s="16">
        <f>[6]Main!$E$3</f>
        <v>46012</v>
      </c>
      <c r="AH9" s="16">
        <f>[6]Main!$G$3</f>
        <v>46091</v>
      </c>
    </row>
    <row r="10" spans="2:34" x14ac:dyDescent="0.3">
      <c r="B10" t="s">
        <v>32</v>
      </c>
      <c r="C10" s="10" t="s">
        <v>33</v>
      </c>
    </row>
    <row r="11" spans="2:34" x14ac:dyDescent="0.3">
      <c r="B11" t="s">
        <v>47</v>
      </c>
      <c r="C11" s="10" t="s">
        <v>48</v>
      </c>
    </row>
  </sheetData>
  <hyperlinks>
    <hyperlink ref="B6" r:id="rId1" xr:uid="{A639A081-823D-480C-B8E3-E8540E353F47}"/>
    <hyperlink ref="B4" r:id="rId2" xr:uid="{1E28E457-F855-40C5-9070-8BE0C79C6684}"/>
    <hyperlink ref="B9" r:id="rId3" xr:uid="{A73CB0F7-E51A-47D4-B42C-E9E12E13F561}"/>
    <hyperlink ref="B5" r:id="rId4" xr:uid="{1C1D4293-4095-4A0E-A38F-07FACA5B80F2}"/>
    <hyperlink ref="B8" r:id="rId5" xr:uid="{229D4175-EC51-46EF-B3C5-E9711257CB8D}"/>
    <hyperlink ref="B7" r:id="rId6" xr:uid="{DFFAF750-74A6-4D62-847F-E0DA365AFC6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2024-11-16T13:09:59Z</dcterms:created>
  <dcterms:modified xsi:type="dcterms:W3CDTF">2026-02-25T09:36:40Z</dcterms:modified>
</cp:coreProperties>
</file>