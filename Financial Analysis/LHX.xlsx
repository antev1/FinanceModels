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F1F6F2F1-31AD-4D24-9DBD-58F98712BDE5}" xr6:coauthVersionLast="47" xr6:coauthVersionMax="47" xr10:uidLastSave="{00000000-0000-0000-0000-000000000000}"/>
  <bookViews>
    <workbookView xWindow="-108" yWindow="-108" windowWidth="23256" windowHeight="12576" activeTab="1" xr2:uid="{C2D3018F-E467-4E1E-BD9F-9383343E0F25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10" i="2" l="1"/>
  <c r="Z10" i="2" s="1"/>
  <c r="K28" i="2"/>
  <c r="K26" i="2"/>
  <c r="K25" i="2"/>
  <c r="K19" i="2"/>
  <c r="K9" i="2"/>
  <c r="K12" i="2" s="1"/>
  <c r="O28" i="2"/>
  <c r="O26" i="2"/>
  <c r="O25" i="2"/>
  <c r="O24" i="2"/>
  <c r="O23" i="2"/>
  <c r="O22" i="2"/>
  <c r="O19" i="2"/>
  <c r="O9" i="2"/>
  <c r="O27" i="2" s="1"/>
  <c r="L29" i="2"/>
  <c r="L27" i="2"/>
  <c r="L26" i="2"/>
  <c r="L25" i="2"/>
  <c r="P28" i="2"/>
  <c r="P23" i="2"/>
  <c r="P22" i="2"/>
  <c r="P24" i="2"/>
  <c r="L19" i="2"/>
  <c r="L9" i="2"/>
  <c r="L12" i="2" s="1"/>
  <c r="L15" i="2" s="1"/>
  <c r="L18" i="2" s="1"/>
  <c r="L20" i="2" s="1"/>
  <c r="P26" i="2"/>
  <c r="P25" i="2"/>
  <c r="P19" i="2"/>
  <c r="P9" i="2"/>
  <c r="P27" i="2" s="1"/>
  <c r="D7" i="1"/>
  <c r="D6" i="1"/>
  <c r="AB3" i="2"/>
  <c r="AA3" i="2"/>
  <c r="Z3" i="2"/>
  <c r="Z22" i="2" s="1"/>
  <c r="Y3" i="2"/>
  <c r="AL29" i="2"/>
  <c r="Y28" i="2"/>
  <c r="AI26" i="2"/>
  <c r="AH26" i="2"/>
  <c r="AG26" i="2"/>
  <c r="AF26" i="2"/>
  <c r="AE26" i="2"/>
  <c r="AD26" i="2"/>
  <c r="AC26" i="2"/>
  <c r="AB26" i="2"/>
  <c r="AA26" i="2"/>
  <c r="Z26" i="2"/>
  <c r="Y26" i="2"/>
  <c r="AI23" i="2"/>
  <c r="AH23" i="2"/>
  <c r="AG23" i="2"/>
  <c r="AF23" i="2"/>
  <c r="AE23" i="2"/>
  <c r="AD23" i="2"/>
  <c r="AC23" i="2"/>
  <c r="AB23" i="2"/>
  <c r="AA23" i="2"/>
  <c r="Z23" i="2"/>
  <c r="Y23" i="2"/>
  <c r="Y22" i="2"/>
  <c r="AC4" i="2"/>
  <c r="AD4" i="2" s="1"/>
  <c r="AE4" i="2" s="1"/>
  <c r="AF4" i="2" s="1"/>
  <c r="AG4" i="2" s="1"/>
  <c r="AH4" i="2" s="1"/>
  <c r="AI4" i="2" s="1"/>
  <c r="AB4" i="2"/>
  <c r="AA4" i="2"/>
  <c r="Z4" i="2"/>
  <c r="Z7" i="2" s="1"/>
  <c r="AI19" i="2"/>
  <c r="AH19" i="2"/>
  <c r="AG19" i="2"/>
  <c r="AF19" i="2"/>
  <c r="AE19" i="2"/>
  <c r="AD19" i="2"/>
  <c r="AC19" i="2"/>
  <c r="AB19" i="2"/>
  <c r="AA19" i="2"/>
  <c r="Z19" i="2"/>
  <c r="Z14" i="2"/>
  <c r="AA14" i="2" s="1"/>
  <c r="AB14" i="2" s="1"/>
  <c r="AC14" i="2" s="1"/>
  <c r="AD14" i="2" s="1"/>
  <c r="AE14" i="2" s="1"/>
  <c r="AF14" i="2" s="1"/>
  <c r="AG14" i="2" s="1"/>
  <c r="AH14" i="2" s="1"/>
  <c r="AI14" i="2" s="1"/>
  <c r="Z13" i="2"/>
  <c r="AA13" i="2" s="1"/>
  <c r="AB13" i="2" s="1"/>
  <c r="AC13" i="2" s="1"/>
  <c r="AD13" i="2" s="1"/>
  <c r="AE13" i="2" s="1"/>
  <c r="AF13" i="2" s="1"/>
  <c r="AG13" i="2" s="1"/>
  <c r="AH13" i="2" s="1"/>
  <c r="AI13" i="2" s="1"/>
  <c r="Y19" i="2"/>
  <c r="Y14" i="2"/>
  <c r="Y13" i="2"/>
  <c r="Y7" i="2"/>
  <c r="Y6" i="2"/>
  <c r="Y8" i="2" s="1"/>
  <c r="Y9" i="2" s="1"/>
  <c r="Y5" i="2"/>
  <c r="Y24" i="2" s="1"/>
  <c r="Y4" i="2"/>
  <c r="W31" i="2"/>
  <c r="V31" i="2"/>
  <c r="U31" i="2"/>
  <c r="T31" i="2"/>
  <c r="W30" i="2"/>
  <c r="V30" i="2"/>
  <c r="U30" i="2"/>
  <c r="T30" i="2"/>
  <c r="W29" i="2"/>
  <c r="V29" i="2"/>
  <c r="U29" i="2"/>
  <c r="T29" i="2"/>
  <c r="W28" i="2"/>
  <c r="V28" i="2"/>
  <c r="U28" i="2"/>
  <c r="W27" i="2"/>
  <c r="V27" i="2"/>
  <c r="U27" i="2"/>
  <c r="T27" i="2"/>
  <c r="W26" i="2"/>
  <c r="V26" i="2"/>
  <c r="U26" i="2"/>
  <c r="T26" i="2"/>
  <c r="W25" i="2"/>
  <c r="V25" i="2"/>
  <c r="U25" i="2"/>
  <c r="T25" i="2"/>
  <c r="W24" i="2"/>
  <c r="V24" i="2"/>
  <c r="U24" i="2"/>
  <c r="W23" i="2"/>
  <c r="V23" i="2"/>
  <c r="U23" i="2"/>
  <c r="W22" i="2"/>
  <c r="V22" i="2"/>
  <c r="U22" i="2"/>
  <c r="X31" i="2"/>
  <c r="X30" i="2"/>
  <c r="X29" i="2"/>
  <c r="X28" i="2"/>
  <c r="X27" i="2"/>
  <c r="X26" i="2"/>
  <c r="X25" i="2"/>
  <c r="X24" i="2"/>
  <c r="X23" i="2"/>
  <c r="X22" i="2"/>
  <c r="AA10" i="2" l="1"/>
  <c r="Z28" i="2"/>
  <c r="L30" i="2"/>
  <c r="L31" i="2"/>
  <c r="K15" i="2"/>
  <c r="K29" i="2"/>
  <c r="K27" i="2"/>
  <c r="O12" i="2"/>
  <c r="P12" i="2"/>
  <c r="Z6" i="2"/>
  <c r="Z25" i="2" s="1"/>
  <c r="Y12" i="2"/>
  <c r="Y27" i="2"/>
  <c r="Y25" i="2"/>
  <c r="AA7" i="2"/>
  <c r="Z5" i="2"/>
  <c r="T17" i="2"/>
  <c r="T11" i="2"/>
  <c r="T19" i="2"/>
  <c r="T8" i="2"/>
  <c r="T5" i="2"/>
  <c r="U17" i="2"/>
  <c r="U11" i="2"/>
  <c r="U19" i="2"/>
  <c r="U8" i="2"/>
  <c r="U5" i="2"/>
  <c r="V19" i="2"/>
  <c r="V8" i="2"/>
  <c r="V5" i="2"/>
  <c r="W19" i="2"/>
  <c r="W8" i="2"/>
  <c r="W5" i="2"/>
  <c r="X19" i="2"/>
  <c r="X8" i="2"/>
  <c r="X5" i="2"/>
  <c r="X9" i="2" s="1"/>
  <c r="X12" i="2" s="1"/>
  <c r="X15" i="2" s="1"/>
  <c r="X18" i="2" s="1"/>
  <c r="X20" i="2" s="1"/>
  <c r="D8" i="1"/>
  <c r="AL26" i="2" s="1"/>
  <c r="D5" i="1"/>
  <c r="F3" i="1"/>
  <c r="AB10" i="2" l="1"/>
  <c r="AA28" i="2"/>
  <c r="K30" i="2"/>
  <c r="K18" i="2"/>
  <c r="O29" i="2"/>
  <c r="O15" i="2"/>
  <c r="P29" i="2"/>
  <c r="P15" i="2"/>
  <c r="D9" i="1"/>
  <c r="Z8" i="2"/>
  <c r="Z9" i="2" s="1"/>
  <c r="AA22" i="2"/>
  <c r="Z24" i="2"/>
  <c r="Y15" i="2"/>
  <c r="Y29" i="2"/>
  <c r="AB7" i="2"/>
  <c r="AA5" i="2"/>
  <c r="AA24" i="2" s="1"/>
  <c r="AA6" i="2"/>
  <c r="AA8" i="2" s="1"/>
  <c r="T9" i="2"/>
  <c r="T12" i="2" s="1"/>
  <c r="T15" i="2" s="1"/>
  <c r="T18" i="2" s="1"/>
  <c r="T20" i="2" s="1"/>
  <c r="U9" i="2"/>
  <c r="U12" i="2" s="1"/>
  <c r="U15" i="2" s="1"/>
  <c r="U18" i="2" s="1"/>
  <c r="U20" i="2" s="1"/>
  <c r="V9" i="2"/>
  <c r="V12" i="2" s="1"/>
  <c r="V15" i="2" s="1"/>
  <c r="V18" i="2" s="1"/>
  <c r="V20" i="2" s="1"/>
  <c r="W9" i="2"/>
  <c r="W12" i="2" s="1"/>
  <c r="W15" i="2" s="1"/>
  <c r="W18" i="2" s="1"/>
  <c r="W20" i="2" s="1"/>
  <c r="AB28" i="2" l="1"/>
  <c r="AC10" i="2"/>
  <c r="K31" i="2"/>
  <c r="K20" i="2"/>
  <c r="O30" i="2"/>
  <c r="O18" i="2"/>
  <c r="P30" i="2"/>
  <c r="P18" i="2"/>
  <c r="AA25" i="2"/>
  <c r="Y16" i="2"/>
  <c r="Y30" i="2" s="1"/>
  <c r="Y18" i="2"/>
  <c r="Z12" i="2"/>
  <c r="Z27" i="2"/>
  <c r="AC3" i="2"/>
  <c r="AB22" i="2"/>
  <c r="AB5" i="2"/>
  <c r="AB24" i="2" s="1"/>
  <c r="AB6" i="2"/>
  <c r="AB8" i="2" s="1"/>
  <c r="AA9" i="2"/>
  <c r="AC7" i="2"/>
  <c r="AC28" i="2" l="1"/>
  <c r="AD10" i="2"/>
  <c r="O31" i="2"/>
  <c r="O20" i="2"/>
  <c r="P31" i="2"/>
  <c r="P20" i="2"/>
  <c r="AB25" i="2"/>
  <c r="Y20" i="2"/>
  <c r="Y31" i="2"/>
  <c r="AD3" i="2"/>
  <c r="AC22" i="2"/>
  <c r="Z15" i="2"/>
  <c r="Z29" i="2"/>
  <c r="AA12" i="2"/>
  <c r="AA27" i="2"/>
  <c r="AB9" i="2"/>
  <c r="AD7" i="2"/>
  <c r="AC5" i="2"/>
  <c r="AC24" i="2" s="1"/>
  <c r="AC6" i="2"/>
  <c r="AC8" i="2" s="1"/>
  <c r="AE10" i="2" l="1"/>
  <c r="AD28" i="2"/>
  <c r="Z16" i="2"/>
  <c r="Z30" i="2" s="1"/>
  <c r="AE3" i="2"/>
  <c r="AD22" i="2"/>
  <c r="AC25" i="2"/>
  <c r="AB12" i="2"/>
  <c r="AB27" i="2"/>
  <c r="AA15" i="2"/>
  <c r="AA16" i="2" s="1"/>
  <c r="AA29" i="2"/>
  <c r="AC9" i="2"/>
  <c r="AD6" i="2"/>
  <c r="AD8" i="2" s="1"/>
  <c r="AD5" i="2"/>
  <c r="AD24" i="2" s="1"/>
  <c r="AE7" i="2"/>
  <c r="AF10" i="2" l="1"/>
  <c r="AE28" i="2"/>
  <c r="AA18" i="2"/>
  <c r="AA30" i="2"/>
  <c r="AB15" i="2"/>
  <c r="AB16" i="2" s="1"/>
  <c r="AB29" i="2"/>
  <c r="AD25" i="2"/>
  <c r="AC12" i="2"/>
  <c r="AC27" i="2"/>
  <c r="AF3" i="2"/>
  <c r="AE22" i="2"/>
  <c r="Z18" i="2"/>
  <c r="AD9" i="2"/>
  <c r="AF7" i="2"/>
  <c r="AE6" i="2"/>
  <c r="AE8" i="2" s="1"/>
  <c r="AE5" i="2"/>
  <c r="AE24" i="2" s="1"/>
  <c r="AG10" i="2" l="1"/>
  <c r="AF28" i="2"/>
  <c r="AC15" i="2"/>
  <c r="AC16" i="2" s="1"/>
  <c r="AC29" i="2"/>
  <c r="AB18" i="2"/>
  <c r="AB30" i="2"/>
  <c r="AG3" i="2"/>
  <c r="AF22" i="2"/>
  <c r="AD12" i="2"/>
  <c r="AD27" i="2"/>
  <c r="Z20" i="2"/>
  <c r="Z31" i="2"/>
  <c r="AE25" i="2"/>
  <c r="AA20" i="2"/>
  <c r="AA31" i="2"/>
  <c r="AE9" i="2"/>
  <c r="AF6" i="2"/>
  <c r="AF8" i="2" s="1"/>
  <c r="AF5" i="2"/>
  <c r="AF24" i="2" s="1"/>
  <c r="AG7" i="2"/>
  <c r="AH10" i="2" l="1"/>
  <c r="AG28" i="2"/>
  <c r="AC18" i="2"/>
  <c r="AC30" i="2"/>
  <c r="AE12" i="2"/>
  <c r="AE27" i="2"/>
  <c r="AD15" i="2"/>
  <c r="AD16" i="2" s="1"/>
  <c r="AD29" i="2"/>
  <c r="AF25" i="2"/>
  <c r="AH3" i="2"/>
  <c r="AG22" i="2"/>
  <c r="AB20" i="2"/>
  <c r="AB31" i="2"/>
  <c r="AF9" i="2"/>
  <c r="AH7" i="2"/>
  <c r="AI7" i="2"/>
  <c r="AG6" i="2"/>
  <c r="AG8" i="2" s="1"/>
  <c r="AG5" i="2"/>
  <c r="AG24" i="2" s="1"/>
  <c r="AI10" i="2" l="1"/>
  <c r="AI28" i="2" s="1"/>
  <c r="AH28" i="2"/>
  <c r="AG25" i="2"/>
  <c r="AC20" i="2"/>
  <c r="AC31" i="2"/>
  <c r="AI3" i="2"/>
  <c r="AH22" i="2"/>
  <c r="AF12" i="2"/>
  <c r="AF27" i="2"/>
  <c r="AD18" i="2"/>
  <c r="AD30" i="2"/>
  <c r="AE15" i="2"/>
  <c r="AE16" i="2" s="1"/>
  <c r="AE29" i="2"/>
  <c r="AG9" i="2"/>
  <c r="AH6" i="2"/>
  <c r="AH8" i="2" s="1"/>
  <c r="AH5" i="2"/>
  <c r="AH24" i="2" s="1"/>
  <c r="AF15" i="2" l="1"/>
  <c r="AF16" i="2" s="1"/>
  <c r="AF29" i="2"/>
  <c r="AG12" i="2"/>
  <c r="AG27" i="2"/>
  <c r="AH25" i="2"/>
  <c r="AI22" i="2"/>
  <c r="AI25" i="2"/>
  <c r="AE18" i="2"/>
  <c r="AE30" i="2"/>
  <c r="AD20" i="2"/>
  <c r="AD31" i="2"/>
  <c r="AI6" i="2"/>
  <c r="AI8" i="2" s="1"/>
  <c r="AI5" i="2"/>
  <c r="AI24" i="2" s="1"/>
  <c r="AH9" i="2"/>
  <c r="AH12" i="2" l="1"/>
  <c r="AH27" i="2"/>
  <c r="AE20" i="2"/>
  <c r="AE31" i="2"/>
  <c r="AG15" i="2"/>
  <c r="AG16" i="2" s="1"/>
  <c r="AG29" i="2"/>
  <c r="AF18" i="2"/>
  <c r="AF30" i="2"/>
  <c r="AI9" i="2"/>
  <c r="AF20" i="2" l="1"/>
  <c r="AF31" i="2"/>
  <c r="AI12" i="2"/>
  <c r="AI27" i="2"/>
  <c r="AG18" i="2"/>
  <c r="AG30" i="2"/>
  <c r="AH15" i="2"/>
  <c r="AH16" i="2" s="1"/>
  <c r="AH29" i="2"/>
  <c r="AG20" i="2" l="1"/>
  <c r="AG31" i="2"/>
  <c r="AI15" i="2"/>
  <c r="AI16" i="2" s="1"/>
  <c r="AI29" i="2"/>
  <c r="AH18" i="2"/>
  <c r="AH30" i="2"/>
  <c r="AI18" i="2" l="1"/>
  <c r="AI30" i="2"/>
  <c r="AH20" i="2"/>
  <c r="AH31" i="2"/>
  <c r="AI20" i="2" l="1"/>
  <c r="AJ18" i="2"/>
  <c r="AK18" i="2" s="1"/>
  <c r="AL18" i="2" s="1"/>
  <c r="AM18" i="2" s="1"/>
  <c r="AN18" i="2" s="1"/>
  <c r="AO18" i="2" s="1"/>
  <c r="AP18" i="2" s="1"/>
  <c r="AQ18" i="2" s="1"/>
  <c r="AR18" i="2" s="1"/>
  <c r="AS18" i="2" s="1"/>
  <c r="AT18" i="2" s="1"/>
  <c r="AU18" i="2" s="1"/>
  <c r="AV18" i="2" s="1"/>
  <c r="AW18" i="2" s="1"/>
  <c r="AX18" i="2" s="1"/>
  <c r="AY18" i="2" s="1"/>
  <c r="AZ18" i="2" s="1"/>
  <c r="BA18" i="2" s="1"/>
  <c r="BB18" i="2" s="1"/>
  <c r="BC18" i="2" s="1"/>
  <c r="BD18" i="2" s="1"/>
  <c r="BE18" i="2" s="1"/>
  <c r="BF18" i="2" s="1"/>
  <c r="BG18" i="2" s="1"/>
  <c r="BH18" i="2" s="1"/>
  <c r="BI18" i="2" s="1"/>
  <c r="BJ18" i="2" s="1"/>
  <c r="BK18" i="2" s="1"/>
  <c r="BL18" i="2" s="1"/>
  <c r="BM18" i="2" s="1"/>
  <c r="BN18" i="2" s="1"/>
  <c r="BO18" i="2" s="1"/>
  <c r="BP18" i="2" s="1"/>
  <c r="BQ18" i="2" s="1"/>
  <c r="BR18" i="2" s="1"/>
  <c r="BS18" i="2" s="1"/>
  <c r="BT18" i="2" s="1"/>
  <c r="BU18" i="2" s="1"/>
  <c r="BV18" i="2" s="1"/>
  <c r="BW18" i="2" s="1"/>
  <c r="BX18" i="2" s="1"/>
  <c r="BY18" i="2" s="1"/>
  <c r="BZ18" i="2" s="1"/>
  <c r="CA18" i="2" s="1"/>
  <c r="CB18" i="2" s="1"/>
  <c r="CC18" i="2" s="1"/>
  <c r="CD18" i="2" s="1"/>
  <c r="CE18" i="2" s="1"/>
  <c r="CF18" i="2" s="1"/>
  <c r="CG18" i="2" s="1"/>
  <c r="CH18" i="2" s="1"/>
  <c r="CI18" i="2" s="1"/>
  <c r="CJ18" i="2" s="1"/>
  <c r="CK18" i="2" s="1"/>
  <c r="CL18" i="2" s="1"/>
  <c r="CM18" i="2" s="1"/>
  <c r="CN18" i="2" s="1"/>
  <c r="CO18" i="2" s="1"/>
  <c r="CP18" i="2" s="1"/>
  <c r="CQ18" i="2" s="1"/>
  <c r="CR18" i="2" s="1"/>
  <c r="CS18" i="2" s="1"/>
  <c r="CT18" i="2" s="1"/>
  <c r="CU18" i="2" s="1"/>
  <c r="CV18" i="2" s="1"/>
  <c r="CW18" i="2" s="1"/>
  <c r="CX18" i="2" s="1"/>
  <c r="CY18" i="2" s="1"/>
  <c r="CZ18" i="2" s="1"/>
  <c r="DA18" i="2" s="1"/>
  <c r="DB18" i="2" s="1"/>
  <c r="DC18" i="2" s="1"/>
  <c r="DD18" i="2" s="1"/>
  <c r="DE18" i="2" s="1"/>
  <c r="DF18" i="2" s="1"/>
  <c r="DG18" i="2" s="1"/>
  <c r="DH18" i="2" s="1"/>
  <c r="DI18" i="2" s="1"/>
  <c r="DJ18" i="2" s="1"/>
  <c r="DK18" i="2" s="1"/>
  <c r="DL18" i="2" s="1"/>
  <c r="DM18" i="2" s="1"/>
  <c r="DN18" i="2" s="1"/>
  <c r="DO18" i="2" s="1"/>
  <c r="DP18" i="2" s="1"/>
  <c r="DQ18" i="2" s="1"/>
  <c r="DR18" i="2" s="1"/>
  <c r="DS18" i="2" s="1"/>
  <c r="DT18" i="2" s="1"/>
  <c r="DU18" i="2" s="1"/>
  <c r="DV18" i="2" s="1"/>
  <c r="DW18" i="2" s="1"/>
  <c r="DX18" i="2" s="1"/>
  <c r="DY18" i="2" s="1"/>
  <c r="DZ18" i="2" s="1"/>
  <c r="EA18" i="2" s="1"/>
  <c r="EB18" i="2" s="1"/>
  <c r="EC18" i="2" s="1"/>
  <c r="ED18" i="2" s="1"/>
  <c r="EE18" i="2" s="1"/>
  <c r="EF18" i="2" s="1"/>
  <c r="EG18" i="2" s="1"/>
  <c r="EH18" i="2" s="1"/>
  <c r="EI18" i="2" s="1"/>
  <c r="EJ18" i="2" s="1"/>
  <c r="EK18" i="2" s="1"/>
  <c r="EL18" i="2" s="1"/>
  <c r="EM18" i="2" s="1"/>
  <c r="EN18" i="2" s="1"/>
  <c r="EO18" i="2" s="1"/>
  <c r="AL25" i="2" s="1"/>
  <c r="AL27" i="2" s="1"/>
  <c r="AL28" i="2" s="1"/>
  <c r="AL30" i="2" s="1"/>
  <c r="AI31" i="2"/>
</calcChain>
</file>

<file path=xl/sharedStrings.xml><?xml version="1.0" encoding="utf-8"?>
<sst xmlns="http://schemas.openxmlformats.org/spreadsheetml/2006/main" count="68" uniqueCount="63">
  <si>
    <t>LHX</t>
  </si>
  <si>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</si>
  <si>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</si>
  <si>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</si>
  <si>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</si>
  <si>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</si>
  <si>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</si>
  <si>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</si>
  <si>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</si>
  <si>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</si>
  <si>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</si>
  <si>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Q424</t>
  </si>
  <si>
    <t>Product revenue</t>
  </si>
  <si>
    <t>Service revenue</t>
  </si>
  <si>
    <t>Total revenue</t>
  </si>
  <si>
    <t>Product cost</t>
  </si>
  <si>
    <t>Service cost</t>
  </si>
  <si>
    <t>Total cost of sales</t>
  </si>
  <si>
    <t>Gross profit</t>
  </si>
  <si>
    <t>SG&amp;A</t>
  </si>
  <si>
    <t>Impairment</t>
  </si>
  <si>
    <t>Operating profit</t>
  </si>
  <si>
    <t>Pension income</t>
  </si>
  <si>
    <t>Interest expense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</si>
  <si>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</si>
  <si>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</si>
  <si>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</si>
  <si>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</si>
  <si>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</si>
  <si>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</si>
  <si>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</si>
  <si>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</si>
  <si>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</si>
  <si>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</si>
  <si>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</si>
  <si>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</si>
  <si>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</si>
  <si>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</si>
  <si>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</si>
  <si>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</si>
  <si>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Q125</t>
  </si>
  <si>
    <t>Q225</t>
  </si>
  <si>
    <t>Q325</t>
  </si>
  <si>
    <t>Q425</t>
  </si>
  <si>
    <t>Product revenue y/y</t>
  </si>
  <si>
    <t>Service revenue y/y</t>
  </si>
  <si>
    <t>Revenue y/y</t>
  </si>
  <si>
    <t>Product Margin</t>
  </si>
  <si>
    <t>Service Margin</t>
  </si>
  <si>
    <t>Gross Margin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</si>
  <si>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</si>
  <si>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</si>
  <si>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</si>
  <si>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</si>
  <si>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</si>
  <si>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</si>
  <si>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</si>
  <si>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</si>
  <si>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</si>
  <si>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</si>
  <si>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</si>
  <si>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</si>
  <si>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Heavily overvalued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</si>
</sst>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1" tint="0.249977111117893"/>
      </left>
      <right style="thin">
        <color theme="1" tint="0.249977111117893"/>
      </right>
      <top style="thin">
        <color theme="1" tint="0.249977111117893"/>
      </top>
      <bottom style="thin">
        <color theme="1" tint="0.249977111117893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2" fillId="2" borderId="1" xfId="0" applyFont="1" applyFill="1" applyBorder="1"/>
    <xf numFmtId="0" fontId="1" fillId="2" borderId="1" xfId="0" applyFont="1" applyFill="1" applyBorder="1"/>
    <xf numFmtId="0" fontId="3" fillId="2" borderId="1" xfId="0" applyFont="1" applyFill="1" applyBorder="1" applyAlignment="1">
      <alignment horizontal="right"/>
    </xf>
    <xf numFmtId="14" fontId="3" fillId="2" borderId="1" xfId="0" applyNumberFormat="1" applyFont="1" applyFill="1" applyBorder="1" applyAlignment="1">
      <alignment horizontal="right"/>
    </xf>
    <xf numFmtId="164" fontId="2" fillId="2" borderId="1" xfId="0" applyNumberFormat="1" applyFont="1" applyFill="1" applyBorder="1"/>
    <xf numFmtId="3" fontId="2" fillId="2" borderId="1" xfId="0" applyNumberFormat="1" applyFont="1" applyFill="1" applyBorder="1"/>
    <xf numFmtId="0" fontId="2" fillId="2" borderId="1" xfId="0" applyFont="1" applyFill="1" applyBorder="1" applyAlignment="1">
      <alignment horizontal="right"/>
    </xf>
    <xf numFmtId="4" fontId="2" fillId="2" borderId="1" xfId="0" applyNumberFormat="1" applyFont="1" applyFill="1" applyBorder="1"/>
    <xf numFmtId="3" fontId="1" fillId="2" borderId="1" xfId="0" applyNumberFormat="1" applyFont="1" applyFill="1" applyBorder="1"/>
    <xf numFmtId="9" fontId="2" fillId="2" borderId="1" xfId="0" applyNumberFormat="1" applyFont="1" applyFill="1" applyBorder="1"/>
    <xf numFmtId="9" fontId="1" fillId="2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22860</xdr:colOff>
      <xdr:row>0</xdr:row>
      <xdr:rowOff>0</xdr:rowOff>
    </xdr:from>
    <xdr:to>
      <xdr:col>24</xdr:col>
      <xdr:colOff>22860</xdr:colOff>
      <xdr:row>35</xdr:row>
      <xdr:rowOff>160020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C51722D1-B671-49A3-26C7-B7853E29A323}"/>
            </a:ext>
          </a:extLst>
        </xdr:cNvPr>
        <xdr:cNvCxnSpPr/>
      </xdr:nvCxnSpPr>
      <xdr:spPr>
        <a:xfrm>
          <a:off x="15247620" y="0"/>
          <a:ext cx="0" cy="656082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EE3D8-C4BE-40FE-8896-BFA45F6A384D}">
  <dimension ref="B2:G9"/>
  <sheetViews>
    <sheetView workbookViewId="0">
      <selection activeCell="E7" sqref="E7"/>
    </sheetView>
  </sheetViews>
  <sheetFormatPr defaultRowHeight="14.4" x14ac:dyDescent="0.3"/>
  <cols>
    <col min="1" max="4" width="8.88671875" style="1"/>
    <col min="5" max="7" width="13.5546875" style="3" customWidth="1"/>
    <col min="8" max="16384" width="8.88671875" style="1"/>
  </cols>
  <sheetData>
    <row r="2" spans="2:7" x14ac:dyDescent="0.3">
      <c r="E2" s="3" t="s">
        <v>8</v>
      </c>
      <c r="F2" s="3" t="s">
        <v>9</v>
      </c>
      <c r="G2" s="3" t="s">
        <v>10</v>
      </c>
    </row>
    <row r="3" spans="2:7" x14ac:dyDescent="0.3">
      <c r="B3" s="2" t="s">
        <v>0</v>
      </c>
      <c r="C3" s="1" t="s">
        <v>1</v>
      </c>
      <c r="D3" s="5">
        <v>277.22000000000003</v>
      </c>
      <c r="E3" s="4">
        <v>45898</v>
      </c>
      <c r="F3" s="4">
        <f ca="1">TODAY()</f>
        <v>45898</v>
      </c>
      <c r="G3" s="4">
        <v>45953</v>
      </c>
    </row>
    <row r="4" spans="2:7" x14ac:dyDescent="0.3">
      <c r="C4" s="1" t="s">
        <v>2</v>
      </c>
      <c r="D4" s="6">
        <v>187.1</v>
      </c>
      <c r="E4" s="3" t="s">
        <v>41</v>
      </c>
    </row>
    <row r="5" spans="2:7" x14ac:dyDescent="0.3">
      <c r="C5" s="1" t="s">
        <v>3</v>
      </c>
      <c r="D5" s="6">
        <f>D3*D4</f>
        <v>51867.862000000001</v>
      </c>
    </row>
    <row r="6" spans="2:7" x14ac:dyDescent="0.3">
      <c r="C6" s="1" t="s">
        <v>4</v>
      </c>
      <c r="D6" s="6">
        <f>482</f>
        <v>482</v>
      </c>
      <c r="E6" s="3" t="s">
        <v>41</v>
      </c>
    </row>
    <row r="7" spans="2:7" x14ac:dyDescent="0.3">
      <c r="C7" s="1" t="s">
        <v>5</v>
      </c>
      <c r="D7" s="6">
        <f>985+141+10976</f>
        <v>12102</v>
      </c>
      <c r="E7" s="3" t="s">
        <v>41</v>
      </c>
    </row>
    <row r="8" spans="2:7" x14ac:dyDescent="0.3">
      <c r="C8" s="1" t="s">
        <v>6</v>
      </c>
      <c r="D8" s="6">
        <f>D6-D7</f>
        <v>-11620</v>
      </c>
    </row>
    <row r="9" spans="2:7" x14ac:dyDescent="0.3">
      <c r="C9" s="1" t="s">
        <v>7</v>
      </c>
      <c r="D9" s="6">
        <f>D5-D8</f>
        <v>63487.862000000001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27D1A-B1AA-4685-BD0F-764C53F340E2}">
  <dimension ref="B2:EO31"/>
  <sheetViews>
    <sheetView tabSelected="1" workbookViewId="0">
      <pane xSplit="2" ySplit="2" topLeftCell="K4" activePane="bottomRight" state="frozen"/>
      <selection pane="topRight" activeCell="C1" sqref="C1"/>
      <selection pane="bottomLeft" activeCell="A3" sqref="A3"/>
      <selection pane="bottomRight" activeCell="Y4" sqref="Y4"/>
    </sheetView>
  </sheetViews>
  <sheetFormatPr defaultRowHeight="14.4" x14ac:dyDescent="0.3"/>
  <cols>
    <col min="1" max="1" width="8.88671875" style="1"/>
    <col min="2" max="2" width="17.5546875" style="1" bestFit="1" customWidth="1"/>
    <col min="3" max="36" width="8.88671875" style="1"/>
    <col min="37" max="37" width="11.88671875" style="1" bestFit="1" customWidth="1"/>
    <col min="38" max="38" width="16.77734375" style="1" customWidth="1"/>
    <col min="39" max="16384" width="8.88671875" style="1"/>
  </cols>
  <sheetData>
    <row r="2" spans="2:35" x14ac:dyDescent="0.3">
      <c r="C2" s="7" t="s">
        <v>29</v>
      </c>
      <c r="D2" s="7" t="s">
        <v>30</v>
      </c>
      <c r="E2" s="7" t="s">
        <v>31</v>
      </c>
      <c r="F2" s="7" t="s">
        <v>32</v>
      </c>
      <c r="G2" s="7" t="s">
        <v>33</v>
      </c>
      <c r="H2" s="7" t="s">
        <v>34</v>
      </c>
      <c r="I2" s="7" t="s">
        <v>35</v>
      </c>
      <c r="J2" s="7" t="s">
        <v>36</v>
      </c>
      <c r="K2" s="7" t="s">
        <v>37</v>
      </c>
      <c r="L2" s="7" t="s">
        <v>38</v>
      </c>
      <c r="M2" s="7" t="s">
        <v>39</v>
      </c>
      <c r="N2" s="7" t="s">
        <v>11</v>
      </c>
      <c r="O2" s="7" t="s">
        <v>40</v>
      </c>
      <c r="P2" s="7" t="s">
        <v>41</v>
      </c>
      <c r="Q2" s="7" t="s">
        <v>42</v>
      </c>
      <c r="R2" s="7" t="s">
        <v>43</v>
      </c>
      <c r="T2" s="1">
        <v>2020</v>
      </c>
      <c r="U2" s="1">
        <v>2021</v>
      </c>
      <c r="V2" s="1">
        <v>2022</v>
      </c>
      <c r="W2" s="1">
        <v>2023</v>
      </c>
      <c r="X2" s="1">
        <v>2024</v>
      </c>
      <c r="Y2" s="1">
        <v>2025</v>
      </c>
      <c r="Z2" s="1">
        <v>2026</v>
      </c>
      <c r="AA2" s="1">
        <v>2027</v>
      </c>
      <c r="AB2" s="1">
        <v>2028</v>
      </c>
      <c r="AC2" s="1">
        <v>2029</v>
      </c>
      <c r="AD2" s="1">
        <v>2030</v>
      </c>
      <c r="AE2" s="1">
        <v>2031</v>
      </c>
      <c r="AF2" s="1">
        <v>2032</v>
      </c>
      <c r="AG2" s="1">
        <v>2033</v>
      </c>
      <c r="AH2" s="1">
        <v>2034</v>
      </c>
      <c r="AI2" s="1">
        <v>2035</v>
      </c>
    </row>
    <row r="3" spans="2:35" x14ac:dyDescent="0.3">
      <c r="B3" s="1" t="s">
        <v>12</v>
      </c>
      <c r="P3" s="6"/>
      <c r="T3" s="6">
        <v>13581</v>
      </c>
      <c r="U3" s="6">
        <v>13156</v>
      </c>
      <c r="V3" s="6">
        <v>12097</v>
      </c>
      <c r="W3" s="6">
        <v>13694</v>
      </c>
      <c r="X3" s="6">
        <v>15134</v>
      </c>
      <c r="Y3" s="6">
        <f>X3*1.08</f>
        <v>16344.720000000001</v>
      </c>
      <c r="Z3" s="6">
        <f>Y3*1.05</f>
        <v>17161.956000000002</v>
      </c>
      <c r="AA3" s="6">
        <f>Z3*1.04</f>
        <v>17848.434240000002</v>
      </c>
      <c r="AB3" s="6">
        <f>AA3*1.03</f>
        <v>18383.887267200003</v>
      </c>
      <c r="AC3" s="6">
        <f t="shared" ref="AC3:AI3" si="0">AB3*1.02</f>
        <v>18751.565012544004</v>
      </c>
      <c r="AD3" s="6">
        <f t="shared" si="0"/>
        <v>19126.596312794885</v>
      </c>
      <c r="AE3" s="6">
        <f t="shared" si="0"/>
        <v>19509.128239050784</v>
      </c>
      <c r="AF3" s="6">
        <f t="shared" si="0"/>
        <v>19899.310803831799</v>
      </c>
      <c r="AG3" s="6">
        <f t="shared" si="0"/>
        <v>20297.297019908434</v>
      </c>
      <c r="AH3" s="6">
        <f t="shared" si="0"/>
        <v>20703.242960306601</v>
      </c>
      <c r="AI3" s="6">
        <f t="shared" si="0"/>
        <v>21117.307819512735</v>
      </c>
    </row>
    <row r="4" spans="2:35" x14ac:dyDescent="0.3">
      <c r="B4" s="1" t="s">
        <v>13</v>
      </c>
      <c r="P4" s="6"/>
      <c r="T4" s="6">
        <v>4613</v>
      </c>
      <c r="U4" s="6">
        <v>4658</v>
      </c>
      <c r="V4" s="6">
        <v>4965</v>
      </c>
      <c r="W4" s="6">
        <v>5725</v>
      </c>
      <c r="X4" s="6">
        <v>6191</v>
      </c>
      <c r="Y4" s="6">
        <f>X4*1.06</f>
        <v>6562.46</v>
      </c>
      <c r="Z4" s="6">
        <f>Y4*1.05</f>
        <v>6890.5830000000005</v>
      </c>
      <c r="AA4" s="6">
        <f>Z4*1.04</f>
        <v>7166.2063200000011</v>
      </c>
      <c r="AB4" s="6">
        <f>AA4*1.03</f>
        <v>7381.1925096000014</v>
      </c>
      <c r="AC4" s="6">
        <f t="shared" ref="AC4:AI4" si="1">AB4*1.03</f>
        <v>7602.6282848880019</v>
      </c>
      <c r="AD4" s="6">
        <f t="shared" si="1"/>
        <v>7830.7071334346419</v>
      </c>
      <c r="AE4" s="6">
        <f t="shared" si="1"/>
        <v>8065.6283474376814</v>
      </c>
      <c r="AF4" s="6">
        <f t="shared" si="1"/>
        <v>8307.5971978608122</v>
      </c>
      <c r="AG4" s="6">
        <f t="shared" si="1"/>
        <v>8556.8251137966363</v>
      </c>
      <c r="AH4" s="6">
        <f t="shared" si="1"/>
        <v>8813.5298672105364</v>
      </c>
      <c r="AI4" s="6">
        <f t="shared" si="1"/>
        <v>9077.9357632268529</v>
      </c>
    </row>
    <row r="5" spans="2:35" s="2" customFormat="1" x14ac:dyDescent="0.3">
      <c r="B5" s="2" t="s">
        <v>14</v>
      </c>
      <c r="K5" s="9">
        <v>5211</v>
      </c>
      <c r="L5" s="9">
        <v>5299</v>
      </c>
      <c r="O5" s="9">
        <v>5132</v>
      </c>
      <c r="P5" s="9">
        <v>5426</v>
      </c>
      <c r="T5" s="9">
        <f t="shared" ref="T5:Y5" si="2">T3+T4</f>
        <v>18194</v>
      </c>
      <c r="U5" s="9">
        <f t="shared" si="2"/>
        <v>17814</v>
      </c>
      <c r="V5" s="9">
        <f t="shared" si="2"/>
        <v>17062</v>
      </c>
      <c r="W5" s="9">
        <f t="shared" si="2"/>
        <v>19419</v>
      </c>
      <c r="X5" s="9">
        <f t="shared" si="2"/>
        <v>21325</v>
      </c>
      <c r="Y5" s="9">
        <f t="shared" si="2"/>
        <v>22907.18</v>
      </c>
      <c r="Z5" s="9">
        <f t="shared" ref="Z5:AI5" si="3">Z3+Z4</f>
        <v>24052.539000000004</v>
      </c>
      <c r="AA5" s="9">
        <f t="shared" si="3"/>
        <v>25014.640560000003</v>
      </c>
      <c r="AB5" s="9">
        <f t="shared" si="3"/>
        <v>25765.079776800005</v>
      </c>
      <c r="AC5" s="9">
        <f t="shared" si="3"/>
        <v>26354.193297432008</v>
      </c>
      <c r="AD5" s="9">
        <f t="shared" si="3"/>
        <v>26957.303446229525</v>
      </c>
      <c r="AE5" s="9">
        <f t="shared" si="3"/>
        <v>27574.756586488467</v>
      </c>
      <c r="AF5" s="9">
        <f t="shared" si="3"/>
        <v>28206.908001692609</v>
      </c>
      <c r="AG5" s="9">
        <f t="shared" si="3"/>
        <v>28854.12213370507</v>
      </c>
      <c r="AH5" s="9">
        <f t="shared" si="3"/>
        <v>29516.772827517139</v>
      </c>
      <c r="AI5" s="9">
        <f t="shared" si="3"/>
        <v>30195.243582739589</v>
      </c>
    </row>
    <row r="6" spans="2:35" x14ac:dyDescent="0.3">
      <c r="B6" s="1" t="s">
        <v>15</v>
      </c>
      <c r="K6" s="6"/>
      <c r="L6" s="6"/>
      <c r="O6" s="6"/>
      <c r="P6" s="6"/>
      <c r="T6" s="6">
        <v>9464</v>
      </c>
      <c r="U6" s="6">
        <v>9007</v>
      </c>
      <c r="V6" s="6">
        <v>8355</v>
      </c>
      <c r="W6" s="6">
        <v>9711</v>
      </c>
      <c r="X6" s="6">
        <v>11019</v>
      </c>
      <c r="Y6" s="6">
        <f>Y3*0.73</f>
        <v>11931.6456</v>
      </c>
      <c r="Z6" s="6">
        <f t="shared" ref="Z6:AI6" si="4">Z3*0.73</f>
        <v>12528.22788</v>
      </c>
      <c r="AA6" s="6">
        <f t="shared" si="4"/>
        <v>13029.356995200002</v>
      </c>
      <c r="AB6" s="6">
        <f t="shared" si="4"/>
        <v>13420.237705056003</v>
      </c>
      <c r="AC6" s="6">
        <f t="shared" si="4"/>
        <v>13688.642459157123</v>
      </c>
      <c r="AD6" s="6">
        <f t="shared" si="4"/>
        <v>13962.415308340265</v>
      </c>
      <c r="AE6" s="6">
        <f t="shared" si="4"/>
        <v>14241.663614507072</v>
      </c>
      <c r="AF6" s="6">
        <f t="shared" si="4"/>
        <v>14526.496886797213</v>
      </c>
      <c r="AG6" s="6">
        <f t="shared" si="4"/>
        <v>14817.026824533157</v>
      </c>
      <c r="AH6" s="6">
        <f t="shared" si="4"/>
        <v>15113.367361023818</v>
      </c>
      <c r="AI6" s="6">
        <f t="shared" si="4"/>
        <v>15415.634708244295</v>
      </c>
    </row>
    <row r="7" spans="2:35" x14ac:dyDescent="0.3">
      <c r="B7" s="1" t="s">
        <v>16</v>
      </c>
      <c r="K7" s="6"/>
      <c r="L7" s="6"/>
      <c r="O7" s="6"/>
      <c r="P7" s="6"/>
      <c r="T7" s="6">
        <v>3422</v>
      </c>
      <c r="U7" s="6">
        <v>3431</v>
      </c>
      <c r="V7" s="6">
        <v>3780</v>
      </c>
      <c r="W7" s="6">
        <v>4595</v>
      </c>
      <c r="X7" s="6">
        <v>4782</v>
      </c>
      <c r="Y7" s="6">
        <f>Y4*0.77</f>
        <v>5053.0942000000005</v>
      </c>
      <c r="Z7" s="6">
        <f t="shared" ref="Z7:AI7" si="5">Z4*0.77</f>
        <v>5305.7489100000003</v>
      </c>
      <c r="AA7" s="6">
        <f t="shared" si="5"/>
        <v>5517.9788664000007</v>
      </c>
      <c r="AB7" s="6">
        <f t="shared" si="5"/>
        <v>5683.5182323920008</v>
      </c>
      <c r="AC7" s="6">
        <f t="shared" si="5"/>
        <v>5854.0237793637616</v>
      </c>
      <c r="AD7" s="6">
        <f t="shared" si="5"/>
        <v>6029.6444927446746</v>
      </c>
      <c r="AE7" s="6">
        <f t="shared" si="5"/>
        <v>6210.5338275270151</v>
      </c>
      <c r="AF7" s="6">
        <f t="shared" si="5"/>
        <v>6396.8498423528254</v>
      </c>
      <c r="AG7" s="6">
        <f t="shared" si="5"/>
        <v>6588.75533762341</v>
      </c>
      <c r="AH7" s="6">
        <f t="shared" si="5"/>
        <v>6786.4179977521135</v>
      </c>
      <c r="AI7" s="6">
        <f t="shared" si="5"/>
        <v>6990.0105376846768</v>
      </c>
    </row>
    <row r="8" spans="2:35" x14ac:dyDescent="0.3">
      <c r="B8" s="1" t="s">
        <v>17</v>
      </c>
      <c r="K8" s="6">
        <v>3863</v>
      </c>
      <c r="L8" s="6">
        <v>3939</v>
      </c>
      <c r="O8" s="6">
        <v>3782</v>
      </c>
      <c r="P8" s="6">
        <v>4091</v>
      </c>
      <c r="T8" s="6">
        <f t="shared" ref="T8:Y8" si="6">T6+T7</f>
        <v>12886</v>
      </c>
      <c r="U8" s="6">
        <f t="shared" si="6"/>
        <v>12438</v>
      </c>
      <c r="V8" s="6">
        <f t="shared" si="6"/>
        <v>12135</v>
      </c>
      <c r="W8" s="6">
        <f t="shared" si="6"/>
        <v>14306</v>
      </c>
      <c r="X8" s="6">
        <f t="shared" si="6"/>
        <v>15801</v>
      </c>
      <c r="Y8" s="6">
        <f t="shared" si="6"/>
        <v>16984.739799999999</v>
      </c>
      <c r="Z8" s="6">
        <f t="shared" ref="Z8:AI8" si="7">Z6+Z7</f>
        <v>17833.976790000001</v>
      </c>
      <c r="AA8" s="6">
        <f t="shared" si="7"/>
        <v>18547.335861600004</v>
      </c>
      <c r="AB8" s="6">
        <f t="shared" si="7"/>
        <v>19103.755937448004</v>
      </c>
      <c r="AC8" s="6">
        <f t="shared" si="7"/>
        <v>19542.666238520884</v>
      </c>
      <c r="AD8" s="6">
        <f t="shared" si="7"/>
        <v>19992.059801084939</v>
      </c>
      <c r="AE8" s="6">
        <f t="shared" si="7"/>
        <v>20452.197442034085</v>
      </c>
      <c r="AF8" s="6">
        <f t="shared" si="7"/>
        <v>20923.346729150038</v>
      </c>
      <c r="AG8" s="6">
        <f t="shared" si="7"/>
        <v>21405.782162156567</v>
      </c>
      <c r="AH8" s="6">
        <f t="shared" si="7"/>
        <v>21899.785358775931</v>
      </c>
      <c r="AI8" s="6">
        <f t="shared" si="7"/>
        <v>22405.645245928972</v>
      </c>
    </row>
    <row r="9" spans="2:35" s="2" customFormat="1" x14ac:dyDescent="0.3">
      <c r="B9" s="2" t="s">
        <v>18</v>
      </c>
      <c r="K9" s="9">
        <f t="shared" ref="K9" si="8">K5-K8</f>
        <v>1348</v>
      </c>
      <c r="L9" s="9">
        <f t="shared" ref="L9" si="9">L5-L8</f>
        <v>1360</v>
      </c>
      <c r="O9" s="9">
        <f t="shared" ref="O9:P9" si="10">O5-O8</f>
        <v>1350</v>
      </c>
      <c r="P9" s="9">
        <f t="shared" si="10"/>
        <v>1335</v>
      </c>
      <c r="T9" s="9">
        <f t="shared" ref="T9:Y9" si="11">T5-T8</f>
        <v>5308</v>
      </c>
      <c r="U9" s="9">
        <f t="shared" si="11"/>
        <v>5376</v>
      </c>
      <c r="V9" s="9">
        <f t="shared" si="11"/>
        <v>4927</v>
      </c>
      <c r="W9" s="9">
        <f t="shared" si="11"/>
        <v>5113</v>
      </c>
      <c r="X9" s="9">
        <f t="shared" si="11"/>
        <v>5524</v>
      </c>
      <c r="Y9" s="9">
        <f t="shared" si="11"/>
        <v>5922.4402000000009</v>
      </c>
      <c r="Z9" s="9">
        <f t="shared" ref="Z9:AI9" si="12">Z5-Z8</f>
        <v>6218.5622100000037</v>
      </c>
      <c r="AA9" s="9">
        <f t="shared" si="12"/>
        <v>6467.3046983999993</v>
      </c>
      <c r="AB9" s="9">
        <f t="shared" si="12"/>
        <v>6661.3238393520005</v>
      </c>
      <c r="AC9" s="9">
        <f t="shared" si="12"/>
        <v>6811.5270589111242</v>
      </c>
      <c r="AD9" s="9">
        <f t="shared" si="12"/>
        <v>6965.2436451445865</v>
      </c>
      <c r="AE9" s="9">
        <f t="shared" si="12"/>
        <v>7122.5591444543825</v>
      </c>
      <c r="AF9" s="9">
        <f t="shared" si="12"/>
        <v>7283.5612725425708</v>
      </c>
      <c r="AG9" s="9">
        <f t="shared" si="12"/>
        <v>7448.3399715485029</v>
      </c>
      <c r="AH9" s="9">
        <f t="shared" si="12"/>
        <v>7616.9874687412084</v>
      </c>
      <c r="AI9" s="9">
        <f t="shared" si="12"/>
        <v>7789.5983368106172</v>
      </c>
    </row>
    <row r="10" spans="2:35" x14ac:dyDescent="0.3">
      <c r="B10" s="1" t="s">
        <v>19</v>
      </c>
      <c r="K10" s="6">
        <v>970</v>
      </c>
      <c r="L10" s="6">
        <v>884</v>
      </c>
      <c r="O10" s="6">
        <v>825</v>
      </c>
      <c r="P10" s="6">
        <v>764</v>
      </c>
      <c r="T10" s="6">
        <v>3315</v>
      </c>
      <c r="U10" s="6">
        <v>3280</v>
      </c>
      <c r="V10" s="6">
        <v>2998</v>
      </c>
      <c r="W10" s="6">
        <v>3313</v>
      </c>
      <c r="X10" s="6">
        <v>3568</v>
      </c>
      <c r="Y10" s="6">
        <f>X10*0.87</f>
        <v>3104.16</v>
      </c>
      <c r="Z10" s="6">
        <f>Y10*1.04</f>
        <v>3228.3263999999999</v>
      </c>
      <c r="AA10" s="6">
        <f>Z10*1.03</f>
        <v>3325.1761919999999</v>
      </c>
      <c r="AB10" s="6">
        <f>AA10*1.02</f>
        <v>3391.67971584</v>
      </c>
      <c r="AC10" s="6">
        <f>AB10*1.01</f>
        <v>3425.5965129984002</v>
      </c>
      <c r="AD10" s="6">
        <f t="shared" ref="AD10:AI10" si="13">AC10*1.01</f>
        <v>3459.8524781283841</v>
      </c>
      <c r="AE10" s="6">
        <f t="shared" si="13"/>
        <v>3494.4510029096677</v>
      </c>
      <c r="AF10" s="6">
        <f t="shared" si="13"/>
        <v>3529.3955129387646</v>
      </c>
      <c r="AG10" s="6">
        <f t="shared" si="13"/>
        <v>3564.6894680681521</v>
      </c>
      <c r="AH10" s="6">
        <f t="shared" si="13"/>
        <v>3600.3363627488338</v>
      </c>
      <c r="AI10" s="6">
        <f t="shared" si="13"/>
        <v>3636.3397263763222</v>
      </c>
    </row>
    <row r="11" spans="2:35" x14ac:dyDescent="0.3">
      <c r="B11" s="1" t="s">
        <v>20</v>
      </c>
      <c r="K11" s="6">
        <v>0</v>
      </c>
      <c r="L11" s="6">
        <v>0</v>
      </c>
      <c r="O11" s="6">
        <v>0</v>
      </c>
      <c r="P11" s="6">
        <v>0</v>
      </c>
      <c r="T11" s="6">
        <f>51+767</f>
        <v>818</v>
      </c>
      <c r="U11" s="6">
        <f>-220+207</f>
        <v>-13</v>
      </c>
      <c r="V11" s="6">
        <v>802</v>
      </c>
      <c r="W11" s="6">
        <v>374</v>
      </c>
      <c r="X11" s="6">
        <v>38</v>
      </c>
      <c r="Y11" s="6">
        <v>0</v>
      </c>
      <c r="Z11" s="6">
        <v>0</v>
      </c>
      <c r="AA11" s="6">
        <v>0</v>
      </c>
      <c r="AB11" s="6">
        <v>0</v>
      </c>
      <c r="AC11" s="6">
        <v>0</v>
      </c>
      <c r="AD11" s="6">
        <v>0</v>
      </c>
      <c r="AE11" s="6">
        <v>0</v>
      </c>
      <c r="AF11" s="6">
        <v>0</v>
      </c>
      <c r="AG11" s="6">
        <v>0</v>
      </c>
      <c r="AH11" s="6">
        <v>0</v>
      </c>
      <c r="AI11" s="6">
        <v>0</v>
      </c>
    </row>
    <row r="12" spans="2:35" s="2" customFormat="1" x14ac:dyDescent="0.3">
      <c r="B12" s="2" t="s">
        <v>21</v>
      </c>
      <c r="K12" s="9">
        <f t="shared" ref="K12" si="14">K9-K10-K11</f>
        <v>378</v>
      </c>
      <c r="L12" s="9">
        <f t="shared" ref="L12" si="15">L9-L10-L11</f>
        <v>476</v>
      </c>
      <c r="O12" s="9">
        <f t="shared" ref="O12:P12" si="16">O9-O10-O11</f>
        <v>525</v>
      </c>
      <c r="P12" s="9">
        <f t="shared" si="16"/>
        <v>571</v>
      </c>
      <c r="T12" s="9">
        <f t="shared" ref="T12:Y12" si="17">T9-T10-T11</f>
        <v>1175</v>
      </c>
      <c r="U12" s="9">
        <f t="shared" si="17"/>
        <v>2109</v>
      </c>
      <c r="V12" s="9">
        <f t="shared" si="17"/>
        <v>1127</v>
      </c>
      <c r="W12" s="9">
        <f t="shared" si="17"/>
        <v>1426</v>
      </c>
      <c r="X12" s="9">
        <f t="shared" si="17"/>
        <v>1918</v>
      </c>
      <c r="Y12" s="9">
        <f t="shared" si="17"/>
        <v>2818.2802000000011</v>
      </c>
      <c r="Z12" s="9">
        <f t="shared" ref="Z12:AI12" si="18">Z9-Z10-Z11</f>
        <v>2990.2358100000038</v>
      </c>
      <c r="AA12" s="9">
        <f t="shared" si="18"/>
        <v>3142.1285063999994</v>
      </c>
      <c r="AB12" s="9">
        <f t="shared" si="18"/>
        <v>3269.6441235120005</v>
      </c>
      <c r="AC12" s="9">
        <f t="shared" si="18"/>
        <v>3385.930545912724</v>
      </c>
      <c r="AD12" s="9">
        <f t="shared" si="18"/>
        <v>3505.3911670162024</v>
      </c>
      <c r="AE12" s="9">
        <f t="shared" si="18"/>
        <v>3628.1081415447147</v>
      </c>
      <c r="AF12" s="9">
        <f t="shared" si="18"/>
        <v>3754.1657596038062</v>
      </c>
      <c r="AG12" s="9">
        <f t="shared" si="18"/>
        <v>3883.6505034803508</v>
      </c>
      <c r="AH12" s="9">
        <f t="shared" si="18"/>
        <v>4016.6511059923746</v>
      </c>
      <c r="AI12" s="9">
        <f t="shared" si="18"/>
        <v>4153.2586104342954</v>
      </c>
    </row>
    <row r="13" spans="2:35" x14ac:dyDescent="0.3">
      <c r="B13" s="1" t="s">
        <v>22</v>
      </c>
      <c r="K13" s="6">
        <v>-88</v>
      </c>
      <c r="L13" s="6">
        <v>-86</v>
      </c>
      <c r="O13" s="6">
        <v>-84</v>
      </c>
      <c r="P13" s="6">
        <v>-105</v>
      </c>
      <c r="T13" s="6">
        <v>-401</v>
      </c>
      <c r="U13" s="6">
        <v>-439</v>
      </c>
      <c r="V13" s="6">
        <v>-425</v>
      </c>
      <c r="W13" s="6">
        <v>-338</v>
      </c>
      <c r="X13" s="6">
        <v>-354</v>
      </c>
      <c r="Y13" s="6">
        <f>X13*1.01</f>
        <v>-357.54</v>
      </c>
      <c r="Z13" s="6">
        <f t="shared" ref="Z13:AI13" si="19">Y13*1.01</f>
        <v>-361.11540000000002</v>
      </c>
      <c r="AA13" s="6">
        <f t="shared" si="19"/>
        <v>-364.72655400000002</v>
      </c>
      <c r="AB13" s="6">
        <f t="shared" si="19"/>
        <v>-368.37381954</v>
      </c>
      <c r="AC13" s="6">
        <f t="shared" si="19"/>
        <v>-372.0575577354</v>
      </c>
      <c r="AD13" s="6">
        <f t="shared" si="19"/>
        <v>-375.77813331275399</v>
      </c>
      <c r="AE13" s="6">
        <f t="shared" si="19"/>
        <v>-379.53591464588152</v>
      </c>
      <c r="AF13" s="6">
        <f t="shared" si="19"/>
        <v>-383.33127379234031</v>
      </c>
      <c r="AG13" s="6">
        <f t="shared" si="19"/>
        <v>-387.1645865302637</v>
      </c>
      <c r="AH13" s="6">
        <f t="shared" si="19"/>
        <v>-391.03623239556634</v>
      </c>
      <c r="AI13" s="6">
        <f t="shared" si="19"/>
        <v>-394.94659471952201</v>
      </c>
    </row>
    <row r="14" spans="2:35" x14ac:dyDescent="0.3">
      <c r="B14" s="1" t="s">
        <v>23</v>
      </c>
      <c r="K14" s="6">
        <v>176</v>
      </c>
      <c r="L14" s="6">
        <v>172</v>
      </c>
      <c r="O14" s="6">
        <v>150</v>
      </c>
      <c r="P14" s="6">
        <v>152</v>
      </c>
      <c r="T14" s="6">
        <v>254</v>
      </c>
      <c r="U14" s="6">
        <v>265</v>
      </c>
      <c r="V14" s="6">
        <v>279</v>
      </c>
      <c r="W14" s="6">
        <v>543</v>
      </c>
      <c r="X14" s="6">
        <v>675</v>
      </c>
      <c r="Y14" s="6">
        <f>X14*1.01</f>
        <v>681.75</v>
      </c>
      <c r="Z14" s="6">
        <f t="shared" ref="Z14:AI14" si="20">Y14*1.01</f>
        <v>688.5675</v>
      </c>
      <c r="AA14" s="6">
        <f t="shared" si="20"/>
        <v>695.45317499999999</v>
      </c>
      <c r="AB14" s="6">
        <f t="shared" si="20"/>
        <v>702.40770674999999</v>
      </c>
      <c r="AC14" s="6">
        <f t="shared" si="20"/>
        <v>709.43178381749999</v>
      </c>
      <c r="AD14" s="6">
        <f t="shared" si="20"/>
        <v>716.52610165567501</v>
      </c>
      <c r="AE14" s="6">
        <f t="shared" si="20"/>
        <v>723.69136267223178</v>
      </c>
      <c r="AF14" s="6">
        <f t="shared" si="20"/>
        <v>730.92827629895407</v>
      </c>
      <c r="AG14" s="6">
        <f t="shared" si="20"/>
        <v>738.23755906194367</v>
      </c>
      <c r="AH14" s="6">
        <f t="shared" si="20"/>
        <v>745.61993465256307</v>
      </c>
      <c r="AI14" s="6">
        <f t="shared" si="20"/>
        <v>753.07613399908871</v>
      </c>
    </row>
    <row r="15" spans="2:35" s="2" customFormat="1" x14ac:dyDescent="0.3">
      <c r="B15" s="2" t="s">
        <v>24</v>
      </c>
      <c r="K15" s="9">
        <f t="shared" ref="K15" si="21">K12-K13-K14</f>
        <v>290</v>
      </c>
      <c r="L15" s="9">
        <f t="shared" ref="L15" si="22">L12-L13-L14</f>
        <v>390</v>
      </c>
      <c r="O15" s="9">
        <f t="shared" ref="O15:P15" si="23">O12-O13-O14</f>
        <v>459</v>
      </c>
      <c r="P15" s="9">
        <f t="shared" si="23"/>
        <v>524</v>
      </c>
      <c r="T15" s="9">
        <f t="shared" ref="T15:Y15" si="24">T12-T13-T14</f>
        <v>1322</v>
      </c>
      <c r="U15" s="9">
        <f t="shared" si="24"/>
        <v>2283</v>
      </c>
      <c r="V15" s="9">
        <f t="shared" si="24"/>
        <v>1273</v>
      </c>
      <c r="W15" s="9">
        <f t="shared" si="24"/>
        <v>1221</v>
      </c>
      <c r="X15" s="9">
        <f t="shared" si="24"/>
        <v>1597</v>
      </c>
      <c r="Y15" s="9">
        <f t="shared" si="24"/>
        <v>2494.070200000001</v>
      </c>
      <c r="Z15" s="9">
        <f t="shared" ref="Z15:AI15" si="25">Z12-Z13-Z14</f>
        <v>2662.7837100000038</v>
      </c>
      <c r="AA15" s="9">
        <f t="shared" si="25"/>
        <v>2811.4018853999992</v>
      </c>
      <c r="AB15" s="9">
        <f t="shared" si="25"/>
        <v>2935.6102363020009</v>
      </c>
      <c r="AC15" s="9">
        <f t="shared" si="25"/>
        <v>3048.5563198306236</v>
      </c>
      <c r="AD15" s="9">
        <f t="shared" si="25"/>
        <v>3164.6431986732814</v>
      </c>
      <c r="AE15" s="9">
        <f t="shared" si="25"/>
        <v>3283.9526935183644</v>
      </c>
      <c r="AF15" s="9">
        <f t="shared" si="25"/>
        <v>3406.5687570971922</v>
      </c>
      <c r="AG15" s="9">
        <f t="shared" si="25"/>
        <v>3532.5775309486712</v>
      </c>
      <c r="AH15" s="9">
        <f t="shared" si="25"/>
        <v>3662.0674037353779</v>
      </c>
      <c r="AI15" s="9">
        <f t="shared" si="25"/>
        <v>3795.129071154729</v>
      </c>
    </row>
    <row r="16" spans="2:35" x14ac:dyDescent="0.3">
      <c r="B16" s="1" t="s">
        <v>25</v>
      </c>
      <c r="K16" s="6">
        <v>5</v>
      </c>
      <c r="L16" s="6">
        <v>23</v>
      </c>
      <c r="O16" s="6">
        <v>73</v>
      </c>
      <c r="P16" s="6">
        <v>66</v>
      </c>
      <c r="T16" s="6">
        <v>234</v>
      </c>
      <c r="U16" s="6">
        <v>440</v>
      </c>
      <c r="V16" s="6">
        <v>212</v>
      </c>
      <c r="W16" s="6">
        <v>23</v>
      </c>
      <c r="X16" s="6">
        <v>85</v>
      </c>
      <c r="Y16" s="6">
        <f>Y15*0.1</f>
        <v>249.4070200000001</v>
      </c>
      <c r="Z16" s="6">
        <f t="shared" ref="Z16:AI16" si="26">Z15*0.1</f>
        <v>266.27837100000039</v>
      </c>
      <c r="AA16" s="6">
        <f t="shared" si="26"/>
        <v>281.14018853999994</v>
      </c>
      <c r="AB16" s="6">
        <f t="shared" si="26"/>
        <v>293.56102363020011</v>
      </c>
      <c r="AC16" s="6">
        <f t="shared" si="26"/>
        <v>304.85563198306238</v>
      </c>
      <c r="AD16" s="6">
        <f t="shared" si="26"/>
        <v>316.46431986732819</v>
      </c>
      <c r="AE16" s="6">
        <f t="shared" si="26"/>
        <v>328.39526935183648</v>
      </c>
      <c r="AF16" s="6">
        <f t="shared" si="26"/>
        <v>340.65687570971926</v>
      </c>
      <c r="AG16" s="6">
        <f t="shared" si="26"/>
        <v>353.25775309486716</v>
      </c>
      <c r="AH16" s="6">
        <f t="shared" si="26"/>
        <v>366.2067403735378</v>
      </c>
      <c r="AI16" s="6">
        <f t="shared" si="26"/>
        <v>379.5129071154729</v>
      </c>
    </row>
    <row r="17" spans="2:145" x14ac:dyDescent="0.3">
      <c r="B17" s="1" t="s">
        <v>26</v>
      </c>
      <c r="K17" s="6">
        <v>2</v>
      </c>
      <c r="L17" s="6">
        <v>1</v>
      </c>
      <c r="O17" s="6">
        <v>0</v>
      </c>
      <c r="P17" s="6">
        <v>0</v>
      </c>
      <c r="T17" s="6">
        <f>2-33</f>
        <v>-31</v>
      </c>
      <c r="U17" s="6">
        <f>1-4</f>
        <v>-3</v>
      </c>
      <c r="V17" s="6">
        <v>-1</v>
      </c>
      <c r="W17" s="6">
        <v>-29</v>
      </c>
      <c r="X17" s="6">
        <v>10</v>
      </c>
      <c r="Y17" s="6">
        <v>0</v>
      </c>
      <c r="Z17" s="6">
        <v>0</v>
      </c>
      <c r="AA17" s="6">
        <v>0</v>
      </c>
      <c r="AB17" s="6">
        <v>0</v>
      </c>
      <c r="AC17" s="6">
        <v>0</v>
      </c>
      <c r="AD17" s="6">
        <v>0</v>
      </c>
      <c r="AE17" s="6">
        <v>0</v>
      </c>
      <c r="AF17" s="6">
        <v>0</v>
      </c>
      <c r="AG17" s="6">
        <v>0</v>
      </c>
      <c r="AH17" s="6">
        <v>0</v>
      </c>
      <c r="AI17" s="6">
        <v>0</v>
      </c>
    </row>
    <row r="18" spans="2:145" s="2" customFormat="1" x14ac:dyDescent="0.3">
      <c r="B18" s="2" t="s">
        <v>27</v>
      </c>
      <c r="K18" s="9">
        <f t="shared" ref="K18" si="27">K15-K16-K17</f>
        <v>283</v>
      </c>
      <c r="L18" s="9">
        <f t="shared" ref="L18" si="28">L15-L16-L17</f>
        <v>366</v>
      </c>
      <c r="O18" s="9">
        <f t="shared" ref="O18:P18" si="29">O15-O16-O17</f>
        <v>386</v>
      </c>
      <c r="P18" s="9">
        <f t="shared" si="29"/>
        <v>458</v>
      </c>
      <c r="T18" s="9">
        <f t="shared" ref="T18:Y18" si="30">T15-T16-T17</f>
        <v>1119</v>
      </c>
      <c r="U18" s="9">
        <f t="shared" si="30"/>
        <v>1846</v>
      </c>
      <c r="V18" s="9">
        <f t="shared" si="30"/>
        <v>1062</v>
      </c>
      <c r="W18" s="9">
        <f t="shared" si="30"/>
        <v>1227</v>
      </c>
      <c r="X18" s="9">
        <f t="shared" si="30"/>
        <v>1502</v>
      </c>
      <c r="Y18" s="9">
        <f t="shared" si="30"/>
        <v>2244.6631800000009</v>
      </c>
      <c r="Z18" s="9">
        <f t="shared" ref="Z18:AI18" si="31">Z15-Z16-Z17</f>
        <v>2396.5053390000035</v>
      </c>
      <c r="AA18" s="9">
        <f t="shared" si="31"/>
        <v>2530.2616968599991</v>
      </c>
      <c r="AB18" s="9">
        <f t="shared" si="31"/>
        <v>2642.0492126718009</v>
      </c>
      <c r="AC18" s="9">
        <f t="shared" si="31"/>
        <v>2743.7006878475613</v>
      </c>
      <c r="AD18" s="9">
        <f t="shared" si="31"/>
        <v>2848.178878805953</v>
      </c>
      <c r="AE18" s="9">
        <f t="shared" si="31"/>
        <v>2955.5574241665281</v>
      </c>
      <c r="AF18" s="9">
        <f t="shared" si="31"/>
        <v>3065.9118813874729</v>
      </c>
      <c r="AG18" s="9">
        <f t="shared" si="31"/>
        <v>3179.3197778538042</v>
      </c>
      <c r="AH18" s="9">
        <f t="shared" si="31"/>
        <v>3295.8606633618401</v>
      </c>
      <c r="AI18" s="9">
        <f t="shared" si="31"/>
        <v>3415.6161640392561</v>
      </c>
      <c r="AJ18" s="2">
        <f>AI18*(1+$AL$23)</f>
        <v>3381.4600023988637</v>
      </c>
      <c r="AK18" s="2">
        <f t="shared" ref="AK18:CV18" si="32">AJ18*(1+$AL$23)</f>
        <v>3347.6454023748752</v>
      </c>
      <c r="AL18" s="2">
        <f t="shared" si="32"/>
        <v>3314.1689483511263</v>
      </c>
      <c r="AM18" s="2">
        <f t="shared" si="32"/>
        <v>3281.0272588676153</v>
      </c>
      <c r="AN18" s="2">
        <f t="shared" si="32"/>
        <v>3248.2169862789392</v>
      </c>
      <c r="AO18" s="2">
        <f t="shared" si="32"/>
        <v>3215.7348164161499</v>
      </c>
      <c r="AP18" s="2">
        <f t="shared" si="32"/>
        <v>3183.5774682519882</v>
      </c>
      <c r="AQ18" s="2">
        <f t="shared" si="32"/>
        <v>3151.7416935694682</v>
      </c>
      <c r="AR18" s="2">
        <f t="shared" si="32"/>
        <v>3120.2242766337736</v>
      </c>
      <c r="AS18" s="2">
        <f t="shared" si="32"/>
        <v>3089.0220338674358</v>
      </c>
      <c r="AT18" s="2">
        <f t="shared" si="32"/>
        <v>3058.1318135287615</v>
      </c>
      <c r="AU18" s="2">
        <f t="shared" si="32"/>
        <v>3027.5504953934737</v>
      </c>
      <c r="AV18" s="2">
        <f t="shared" si="32"/>
        <v>2997.2749904395391</v>
      </c>
      <c r="AW18" s="2">
        <f t="shared" si="32"/>
        <v>2967.3022405351435</v>
      </c>
      <c r="AX18" s="2">
        <f t="shared" si="32"/>
        <v>2937.6292181297922</v>
      </c>
      <c r="AY18" s="2">
        <f t="shared" si="32"/>
        <v>2908.2529259484941</v>
      </c>
      <c r="AZ18" s="2">
        <f t="shared" si="32"/>
        <v>2879.1703966890091</v>
      </c>
      <c r="BA18" s="2">
        <f t="shared" si="32"/>
        <v>2850.378692722119</v>
      </c>
      <c r="BB18" s="2">
        <f t="shared" si="32"/>
        <v>2821.8749057948976</v>
      </c>
      <c r="BC18" s="2">
        <f t="shared" si="32"/>
        <v>2793.6561567369486</v>
      </c>
      <c r="BD18" s="2">
        <f t="shared" si="32"/>
        <v>2765.719595169579</v>
      </c>
      <c r="BE18" s="2">
        <f t="shared" si="32"/>
        <v>2738.062399217883</v>
      </c>
      <c r="BF18" s="2">
        <f t="shared" si="32"/>
        <v>2710.6817752257043</v>
      </c>
      <c r="BG18" s="2">
        <f t="shared" si="32"/>
        <v>2683.5749574734473</v>
      </c>
      <c r="BH18" s="2">
        <f t="shared" si="32"/>
        <v>2656.7392078987127</v>
      </c>
      <c r="BI18" s="2">
        <f t="shared" si="32"/>
        <v>2630.1718158197255</v>
      </c>
      <c r="BJ18" s="2">
        <f t="shared" si="32"/>
        <v>2603.8700976615282</v>
      </c>
      <c r="BK18" s="2">
        <f t="shared" si="32"/>
        <v>2577.8313966849128</v>
      </c>
      <c r="BL18" s="2">
        <f t="shared" si="32"/>
        <v>2552.0530827180637</v>
      </c>
      <c r="BM18" s="2">
        <f t="shared" si="32"/>
        <v>2526.532551890883</v>
      </c>
      <c r="BN18" s="2">
        <f t="shared" si="32"/>
        <v>2501.2672263719742</v>
      </c>
      <c r="BO18" s="2">
        <f t="shared" si="32"/>
        <v>2476.2545541082545</v>
      </c>
      <c r="BP18" s="2">
        <f t="shared" si="32"/>
        <v>2451.492008567172</v>
      </c>
      <c r="BQ18" s="2">
        <f t="shared" si="32"/>
        <v>2426.9770884815002</v>
      </c>
      <c r="BR18" s="2">
        <f t="shared" si="32"/>
        <v>2402.7073175966852</v>
      </c>
      <c r="BS18" s="2">
        <f t="shared" si="32"/>
        <v>2378.6802444207183</v>
      </c>
      <c r="BT18" s="2">
        <f t="shared" si="32"/>
        <v>2354.893441976511</v>
      </c>
      <c r="BU18" s="2">
        <f t="shared" si="32"/>
        <v>2331.3445075567461</v>
      </c>
      <c r="BV18" s="2">
        <f t="shared" si="32"/>
        <v>2308.0310624811787</v>
      </c>
      <c r="BW18" s="2">
        <f t="shared" si="32"/>
        <v>2284.9507518563669</v>
      </c>
      <c r="BX18" s="2">
        <f t="shared" si="32"/>
        <v>2262.1012443378031</v>
      </c>
      <c r="BY18" s="2">
        <f t="shared" si="32"/>
        <v>2239.4802318944248</v>
      </c>
      <c r="BZ18" s="2">
        <f t="shared" si="32"/>
        <v>2217.0854295754807</v>
      </c>
      <c r="CA18" s="2">
        <f t="shared" si="32"/>
        <v>2194.9145752797258</v>
      </c>
      <c r="CB18" s="2">
        <f t="shared" si="32"/>
        <v>2172.9654295269283</v>
      </c>
      <c r="CC18" s="2">
        <f t="shared" si="32"/>
        <v>2151.2357752316589</v>
      </c>
      <c r="CD18" s="2">
        <f t="shared" si="32"/>
        <v>2129.7234174793421</v>
      </c>
      <c r="CE18" s="2">
        <f t="shared" si="32"/>
        <v>2108.4261833045484</v>
      </c>
      <c r="CF18" s="2">
        <f t="shared" si="32"/>
        <v>2087.3419214715027</v>
      </c>
      <c r="CG18" s="2">
        <f t="shared" si="32"/>
        <v>2066.4685022567878</v>
      </c>
      <c r="CH18" s="2">
        <f t="shared" si="32"/>
        <v>2045.8038172342199</v>
      </c>
      <c r="CI18" s="2">
        <f t="shared" si="32"/>
        <v>2025.3457790618777</v>
      </c>
      <c r="CJ18" s="2">
        <f t="shared" si="32"/>
        <v>2005.0923212712589</v>
      </c>
      <c r="CK18" s="2">
        <f t="shared" si="32"/>
        <v>1985.0413980585463</v>
      </c>
      <c r="CL18" s="2">
        <f t="shared" si="32"/>
        <v>1965.1909840779608</v>
      </c>
      <c r="CM18" s="2">
        <f t="shared" si="32"/>
        <v>1945.5390742371812</v>
      </c>
      <c r="CN18" s="2">
        <f t="shared" si="32"/>
        <v>1926.0836834948095</v>
      </c>
      <c r="CO18" s="2">
        <f t="shared" si="32"/>
        <v>1906.8228466598614</v>
      </c>
      <c r="CP18" s="2">
        <f t="shared" si="32"/>
        <v>1887.7546181932628</v>
      </c>
      <c r="CQ18" s="2">
        <f t="shared" si="32"/>
        <v>1868.87707201133</v>
      </c>
      <c r="CR18" s="2">
        <f t="shared" si="32"/>
        <v>1850.1883012912167</v>
      </c>
      <c r="CS18" s="2">
        <f t="shared" si="32"/>
        <v>1831.6864182783045</v>
      </c>
      <c r="CT18" s="2">
        <f t="shared" si="32"/>
        <v>1813.3695540955214</v>
      </c>
      <c r="CU18" s="2">
        <f t="shared" si="32"/>
        <v>1795.2358585545662</v>
      </c>
      <c r="CV18" s="2">
        <f t="shared" si="32"/>
        <v>1777.2834999690206</v>
      </c>
      <c r="CW18" s="2">
        <f t="shared" ref="CW18:EO18" si="33">CV18*(1+$AL$23)</f>
        <v>1759.5106649693303</v>
      </c>
      <c r="CX18" s="2">
        <f t="shared" si="33"/>
        <v>1741.9155583196371</v>
      </c>
      <c r="CY18" s="2">
        <f t="shared" si="33"/>
        <v>1724.4964027364406</v>
      </c>
      <c r="CZ18" s="2">
        <f t="shared" si="33"/>
        <v>1707.2514387090762</v>
      </c>
      <c r="DA18" s="2">
        <f t="shared" si="33"/>
        <v>1690.1789243219855</v>
      </c>
      <c r="DB18" s="2">
        <f t="shared" si="33"/>
        <v>1673.2771350787657</v>
      </c>
      <c r="DC18" s="2">
        <f t="shared" si="33"/>
        <v>1656.544363727978</v>
      </c>
      <c r="DD18" s="2">
        <f t="shared" si="33"/>
        <v>1639.9789200906982</v>
      </c>
      <c r="DE18" s="2">
        <f t="shared" si="33"/>
        <v>1623.5791308897913</v>
      </c>
      <c r="DF18" s="2">
        <f t="shared" si="33"/>
        <v>1607.3433395808934</v>
      </c>
      <c r="DG18" s="2">
        <f t="shared" si="33"/>
        <v>1591.2699061850844</v>
      </c>
      <c r="DH18" s="2">
        <f t="shared" si="33"/>
        <v>1575.3572071232336</v>
      </c>
      <c r="DI18" s="2">
        <f t="shared" si="33"/>
        <v>1559.6036350520012</v>
      </c>
      <c r="DJ18" s="2">
        <f t="shared" si="33"/>
        <v>1544.0075987014811</v>
      </c>
      <c r="DK18" s="2">
        <f t="shared" si="33"/>
        <v>1528.5675227144663</v>
      </c>
      <c r="DL18" s="2">
        <f t="shared" si="33"/>
        <v>1513.2818474873218</v>
      </c>
      <c r="DM18" s="2">
        <f t="shared" si="33"/>
        <v>1498.1490290124486</v>
      </c>
      <c r="DN18" s="2">
        <f t="shared" si="33"/>
        <v>1483.167538722324</v>
      </c>
      <c r="DO18" s="2">
        <f t="shared" si="33"/>
        <v>1468.3358633351008</v>
      </c>
      <c r="DP18" s="2">
        <f t="shared" si="33"/>
        <v>1453.6525047017499</v>
      </c>
      <c r="DQ18" s="2">
        <f t="shared" si="33"/>
        <v>1439.1159796547324</v>
      </c>
      <c r="DR18" s="2">
        <f t="shared" si="33"/>
        <v>1424.7248198581851</v>
      </c>
      <c r="DS18" s="2">
        <f t="shared" si="33"/>
        <v>1410.4775716596032</v>
      </c>
      <c r="DT18" s="2">
        <f t="shared" si="33"/>
        <v>1396.3727959430071</v>
      </c>
      <c r="DU18" s="2">
        <f t="shared" si="33"/>
        <v>1382.409067983577</v>
      </c>
      <c r="DV18" s="2">
        <f t="shared" si="33"/>
        <v>1368.5849773037412</v>
      </c>
      <c r="DW18" s="2">
        <f t="shared" si="33"/>
        <v>1354.8991275307037</v>
      </c>
      <c r="DX18" s="2">
        <f t="shared" si="33"/>
        <v>1341.3501362553966</v>
      </c>
      <c r="DY18" s="2">
        <f t="shared" si="33"/>
        <v>1327.9366348928427</v>
      </c>
      <c r="DZ18" s="2">
        <f t="shared" si="33"/>
        <v>1314.6572685439141</v>
      </c>
      <c r="EA18" s="2">
        <f t="shared" si="33"/>
        <v>1301.5106958584749</v>
      </c>
      <c r="EB18" s="2">
        <f t="shared" si="33"/>
        <v>1288.4955888998902</v>
      </c>
      <c r="EC18" s="2">
        <f t="shared" si="33"/>
        <v>1275.6106330108912</v>
      </c>
      <c r="ED18" s="2">
        <f t="shared" si="33"/>
        <v>1262.8545266807823</v>
      </c>
      <c r="EE18" s="2">
        <f t="shared" si="33"/>
        <v>1250.2259814139745</v>
      </c>
      <c r="EF18" s="2">
        <f t="shared" si="33"/>
        <v>1237.7237215998348</v>
      </c>
      <c r="EG18" s="2">
        <f t="shared" si="33"/>
        <v>1225.3464843838365</v>
      </c>
      <c r="EH18" s="2">
        <f t="shared" si="33"/>
        <v>1213.0930195399981</v>
      </c>
      <c r="EI18" s="2">
        <f t="shared" si="33"/>
        <v>1200.9620893445981</v>
      </c>
      <c r="EJ18" s="2">
        <f t="shared" si="33"/>
        <v>1188.9524684511521</v>
      </c>
      <c r="EK18" s="2">
        <f t="shared" si="33"/>
        <v>1177.0629437666405</v>
      </c>
      <c r="EL18" s="2">
        <f t="shared" si="33"/>
        <v>1165.292314328974</v>
      </c>
      <c r="EM18" s="2">
        <f t="shared" si="33"/>
        <v>1153.6393911856842</v>
      </c>
      <c r="EN18" s="2">
        <f t="shared" si="33"/>
        <v>1142.1029972738274</v>
      </c>
      <c r="EO18" s="2">
        <f t="shared" si="33"/>
        <v>1130.6819673010891</v>
      </c>
    </row>
    <row r="19" spans="2:145" x14ac:dyDescent="0.3">
      <c r="B19" s="1" t="s">
        <v>2</v>
      </c>
      <c r="K19" s="6">
        <f t="shared" ref="K19" si="34">188.3</f>
        <v>188.3</v>
      </c>
      <c r="L19" s="6">
        <f t="shared" ref="L19" si="35">188.3</f>
        <v>188.3</v>
      </c>
      <c r="O19" s="6">
        <f t="shared" ref="O19:P19" si="36">188.3</f>
        <v>188.3</v>
      </c>
      <c r="P19" s="6">
        <f t="shared" si="36"/>
        <v>188.3</v>
      </c>
      <c r="T19" s="6">
        <f t="shared" ref="T19:Y19" si="37">188.3</f>
        <v>188.3</v>
      </c>
      <c r="U19" s="6">
        <f t="shared" si="37"/>
        <v>188.3</v>
      </c>
      <c r="V19" s="6">
        <f t="shared" si="37"/>
        <v>188.3</v>
      </c>
      <c r="W19" s="6">
        <f t="shared" si="37"/>
        <v>188.3</v>
      </c>
      <c r="X19" s="6">
        <f t="shared" si="37"/>
        <v>188.3</v>
      </c>
      <c r="Y19" s="6">
        <f t="shared" si="37"/>
        <v>188.3</v>
      </c>
      <c r="Z19" s="6">
        <f t="shared" ref="Z19:AI19" si="38">188.3</f>
        <v>188.3</v>
      </c>
      <c r="AA19" s="6">
        <f t="shared" si="38"/>
        <v>188.3</v>
      </c>
      <c r="AB19" s="6">
        <f t="shared" si="38"/>
        <v>188.3</v>
      </c>
      <c r="AC19" s="6">
        <f t="shared" si="38"/>
        <v>188.3</v>
      </c>
      <c r="AD19" s="6">
        <f t="shared" si="38"/>
        <v>188.3</v>
      </c>
      <c r="AE19" s="6">
        <f t="shared" si="38"/>
        <v>188.3</v>
      </c>
      <c r="AF19" s="6">
        <f t="shared" si="38"/>
        <v>188.3</v>
      </c>
      <c r="AG19" s="6">
        <f t="shared" si="38"/>
        <v>188.3</v>
      </c>
      <c r="AH19" s="6">
        <f t="shared" si="38"/>
        <v>188.3</v>
      </c>
      <c r="AI19" s="6">
        <f t="shared" si="38"/>
        <v>188.3</v>
      </c>
    </row>
    <row r="20" spans="2:145" x14ac:dyDescent="0.3">
      <c r="B20" s="1" t="s">
        <v>28</v>
      </c>
      <c r="K20" s="8">
        <f t="shared" ref="K20" si="39">K18/K19</f>
        <v>1.5029208709506106</v>
      </c>
      <c r="L20" s="8">
        <f t="shared" ref="L20" si="40">L18/L19</f>
        <v>1.9437068507700477</v>
      </c>
      <c r="O20" s="8">
        <f t="shared" ref="O20:P20" si="41">O18/O19</f>
        <v>2.0499203398831649</v>
      </c>
      <c r="P20" s="8">
        <f t="shared" si="41"/>
        <v>2.4322889006903874</v>
      </c>
      <c r="T20" s="8">
        <f t="shared" ref="T20:Y20" si="42">T18/T19</f>
        <v>5.9426447158789166</v>
      </c>
      <c r="U20" s="8">
        <f t="shared" si="42"/>
        <v>9.8035050451407315</v>
      </c>
      <c r="V20" s="8">
        <f t="shared" si="42"/>
        <v>5.6399362719065316</v>
      </c>
      <c r="W20" s="8">
        <f t="shared" si="42"/>
        <v>6.5161975570897503</v>
      </c>
      <c r="X20" s="8">
        <f t="shared" si="42"/>
        <v>7.9766330323951138</v>
      </c>
      <c r="Y20" s="8">
        <f t="shared" si="42"/>
        <v>11.920675411577275</v>
      </c>
      <c r="Z20" s="8">
        <f t="shared" ref="Z20:AI20" si="43">Z18/Z19</f>
        <v>12.727059686670225</v>
      </c>
      <c r="AA20" s="8">
        <f t="shared" si="43"/>
        <v>13.437396159638869</v>
      </c>
      <c r="AB20" s="8">
        <f t="shared" si="43"/>
        <v>14.031063264321832</v>
      </c>
      <c r="AC20" s="8">
        <f t="shared" si="43"/>
        <v>14.570901156917477</v>
      </c>
      <c r="AD20" s="8">
        <f t="shared" si="43"/>
        <v>15.125750816813344</v>
      </c>
      <c r="AE20" s="8">
        <f t="shared" si="43"/>
        <v>15.696003314745235</v>
      </c>
      <c r="AF20" s="8">
        <f t="shared" si="43"/>
        <v>16.282059911776276</v>
      </c>
      <c r="AG20" s="8">
        <f t="shared" si="43"/>
        <v>16.884332330609688</v>
      </c>
      <c r="AH20" s="8">
        <f t="shared" si="43"/>
        <v>17.503243034316728</v>
      </c>
      <c r="AI20" s="8">
        <f t="shared" si="43"/>
        <v>18.139225512688562</v>
      </c>
    </row>
    <row r="22" spans="2:145" x14ac:dyDescent="0.3">
      <c r="B22" s="1" t="s">
        <v>44</v>
      </c>
      <c r="K22" s="10"/>
      <c r="L22" s="10"/>
      <c r="O22" s="10" t="e">
        <f t="shared" ref="O22:P23" si="44">O3/K3-1</f>
        <v>#DIV/0!</v>
      </c>
      <c r="P22" s="10" t="e">
        <f t="shared" si="44"/>
        <v>#DIV/0!</v>
      </c>
      <c r="T22" s="10"/>
      <c r="U22" s="10">
        <f t="shared" ref="U22:W24" si="45">U3/T3-1</f>
        <v>-3.1293719166482603E-2</v>
      </c>
      <c r="V22" s="10">
        <f t="shared" si="45"/>
        <v>-8.0495591365156605E-2</v>
      </c>
      <c r="W22" s="10">
        <f t="shared" si="45"/>
        <v>0.13201620236422262</v>
      </c>
      <c r="X22" s="10">
        <f>X3/W3-1</f>
        <v>0.10515554257338988</v>
      </c>
      <c r="Y22" s="10">
        <f t="shared" ref="Y22:AI24" si="46">Y3/X3-1</f>
        <v>8.0000000000000071E-2</v>
      </c>
      <c r="Z22" s="10">
        <f t="shared" si="46"/>
        <v>5.0000000000000044E-2</v>
      </c>
      <c r="AA22" s="10">
        <f t="shared" si="46"/>
        <v>4.0000000000000036E-2</v>
      </c>
      <c r="AB22" s="10">
        <f t="shared" si="46"/>
        <v>3.0000000000000027E-2</v>
      </c>
      <c r="AC22" s="10">
        <f t="shared" si="46"/>
        <v>2.0000000000000018E-2</v>
      </c>
      <c r="AD22" s="10">
        <f t="shared" si="46"/>
        <v>2.0000000000000018E-2</v>
      </c>
      <c r="AE22" s="10">
        <f t="shared" si="46"/>
        <v>2.0000000000000018E-2</v>
      </c>
      <c r="AF22" s="10">
        <f t="shared" si="46"/>
        <v>2.0000000000000018E-2</v>
      </c>
      <c r="AG22" s="10">
        <f t="shared" si="46"/>
        <v>2.0000000000000018E-2</v>
      </c>
      <c r="AH22" s="10">
        <f t="shared" si="46"/>
        <v>2.0000000000000018E-2</v>
      </c>
      <c r="AI22" s="10">
        <f t="shared" si="46"/>
        <v>2.0000000000000018E-2</v>
      </c>
    </row>
    <row r="23" spans="2:145" x14ac:dyDescent="0.3">
      <c r="B23" s="1" t="s">
        <v>45</v>
      </c>
      <c r="K23" s="10"/>
      <c r="L23" s="10"/>
      <c r="O23" s="10" t="e">
        <f t="shared" si="44"/>
        <v>#DIV/0!</v>
      </c>
      <c r="P23" s="10" t="e">
        <f t="shared" si="44"/>
        <v>#DIV/0!</v>
      </c>
      <c r="T23" s="10"/>
      <c r="U23" s="10">
        <f t="shared" si="45"/>
        <v>9.7550401040538137E-3</v>
      </c>
      <c r="V23" s="10">
        <f t="shared" si="45"/>
        <v>6.5908115070845819E-2</v>
      </c>
      <c r="W23" s="10">
        <f t="shared" si="45"/>
        <v>0.15307150050352458</v>
      </c>
      <c r="X23" s="10">
        <f t="shared" ref="X23:X24" si="47">X4/W4-1</f>
        <v>8.1397379912663714E-2</v>
      </c>
      <c r="Y23" s="10">
        <f t="shared" si="46"/>
        <v>6.0000000000000053E-2</v>
      </c>
      <c r="Z23" s="10">
        <f t="shared" si="46"/>
        <v>5.0000000000000044E-2</v>
      </c>
      <c r="AA23" s="10">
        <f t="shared" si="46"/>
        <v>4.0000000000000036E-2</v>
      </c>
      <c r="AB23" s="10">
        <f t="shared" si="46"/>
        <v>3.0000000000000027E-2</v>
      </c>
      <c r="AC23" s="10">
        <f t="shared" si="46"/>
        <v>3.0000000000000027E-2</v>
      </c>
      <c r="AD23" s="10">
        <f t="shared" si="46"/>
        <v>3.0000000000000027E-2</v>
      </c>
      <c r="AE23" s="10">
        <f t="shared" si="46"/>
        <v>3.0000000000000027E-2</v>
      </c>
      <c r="AF23" s="10">
        <f t="shared" si="46"/>
        <v>3.0000000000000027E-2</v>
      </c>
      <c r="AG23" s="10">
        <f t="shared" si="46"/>
        <v>3.0000000000000027E-2</v>
      </c>
      <c r="AH23" s="10">
        <f t="shared" si="46"/>
        <v>3.0000000000000027E-2</v>
      </c>
      <c r="AI23" s="10">
        <f t="shared" si="46"/>
        <v>3.0000000000000027E-2</v>
      </c>
      <c r="AK23" s="1" t="s">
        <v>53</v>
      </c>
      <c r="AL23" s="10">
        <v>-0.01</v>
      </c>
    </row>
    <row r="24" spans="2:145" x14ac:dyDescent="0.3">
      <c r="B24" s="1" t="s">
        <v>46</v>
      </c>
      <c r="K24" s="11"/>
      <c r="L24" s="11"/>
      <c r="O24" s="11">
        <f>O5/K5-1</f>
        <v>-1.5160237958165457E-2</v>
      </c>
      <c r="P24" s="11">
        <f>P5/L5-1</f>
        <v>2.3966786186072842E-2</v>
      </c>
      <c r="T24" s="11"/>
      <c r="U24" s="11">
        <f t="shared" si="45"/>
        <v>-2.0886006375728239E-2</v>
      </c>
      <c r="V24" s="11">
        <f t="shared" si="45"/>
        <v>-4.2213988997417795E-2</v>
      </c>
      <c r="W24" s="11">
        <f t="shared" si="45"/>
        <v>0.13814324229281438</v>
      </c>
      <c r="X24" s="11">
        <f t="shared" si="47"/>
        <v>9.815129512333276E-2</v>
      </c>
      <c r="Y24" s="11">
        <f t="shared" si="46"/>
        <v>7.4193669402110141E-2</v>
      </c>
      <c r="Z24" s="11">
        <f t="shared" si="46"/>
        <v>5.0000000000000266E-2</v>
      </c>
      <c r="AA24" s="11">
        <f t="shared" si="46"/>
        <v>4.0000000000000036E-2</v>
      </c>
      <c r="AB24" s="11">
        <f t="shared" si="46"/>
        <v>3.0000000000000027E-2</v>
      </c>
      <c r="AC24" s="11">
        <f t="shared" si="46"/>
        <v>2.2864804834117569E-2</v>
      </c>
      <c r="AD24" s="11">
        <f t="shared" si="46"/>
        <v>2.2884788845207726E-2</v>
      </c>
      <c r="AE24" s="11">
        <f t="shared" si="46"/>
        <v>2.2904855505690547E-2</v>
      </c>
      <c r="AF24" s="11">
        <f t="shared" si="46"/>
        <v>2.2925004368448132E-2</v>
      </c>
      <c r="AG24" s="11">
        <f t="shared" si="46"/>
        <v>2.2945234974837581E-2</v>
      </c>
      <c r="AH24" s="11">
        <f t="shared" si="46"/>
        <v>2.2965546854673224E-2</v>
      </c>
      <c r="AI24" s="11">
        <f t="shared" si="46"/>
        <v>2.2985939526218857E-2</v>
      </c>
      <c r="AK24" s="1" t="s">
        <v>54</v>
      </c>
      <c r="AL24" s="10">
        <v>0.08</v>
      </c>
    </row>
    <row r="25" spans="2:145" x14ac:dyDescent="0.3">
      <c r="B25" s="1" t="s">
        <v>47</v>
      </c>
      <c r="K25" s="10" t="e">
        <f t="shared" ref="K25" si="48">(K3-K6)/K3</f>
        <v>#DIV/0!</v>
      </c>
      <c r="L25" s="10" t="e">
        <f t="shared" ref="L25:L26" si="49">(L3-L6)/L3</f>
        <v>#DIV/0!</v>
      </c>
      <c r="O25" s="10" t="e">
        <f t="shared" ref="O25:P25" si="50">(O3-O6)/O3</f>
        <v>#DIV/0!</v>
      </c>
      <c r="P25" s="10" t="e">
        <f t="shared" si="50"/>
        <v>#DIV/0!</v>
      </c>
      <c r="T25" s="10">
        <f t="shared" ref="T25:W25" si="51">(T3-T6)/T3</f>
        <v>0.3031440983727266</v>
      </c>
      <c r="U25" s="10">
        <f t="shared" si="51"/>
        <v>0.31536941319550016</v>
      </c>
      <c r="V25" s="10">
        <f t="shared" si="51"/>
        <v>0.3093328924526742</v>
      </c>
      <c r="W25" s="10">
        <f t="shared" si="51"/>
        <v>0.29085730977070251</v>
      </c>
      <c r="X25" s="10">
        <f>(X3-X6)/X3</f>
        <v>0.27190432139553322</v>
      </c>
      <c r="Y25" s="10">
        <f t="shared" ref="Y25:AI25" si="52">(Y3-Y6)/Y3</f>
        <v>0.27000000000000007</v>
      </c>
      <c r="Z25" s="10">
        <f t="shared" si="52"/>
        <v>0.27000000000000007</v>
      </c>
      <c r="AA25" s="10">
        <f t="shared" si="52"/>
        <v>0.27</v>
      </c>
      <c r="AB25" s="10">
        <f t="shared" si="52"/>
        <v>0.27</v>
      </c>
      <c r="AC25" s="10">
        <f t="shared" si="52"/>
        <v>0.27</v>
      </c>
      <c r="AD25" s="10">
        <f t="shared" si="52"/>
        <v>0.27000000000000007</v>
      </c>
      <c r="AE25" s="10">
        <f t="shared" si="52"/>
        <v>0.27</v>
      </c>
      <c r="AF25" s="10">
        <f t="shared" si="52"/>
        <v>0.27</v>
      </c>
      <c r="AG25" s="10">
        <f t="shared" si="52"/>
        <v>0.26999999999999996</v>
      </c>
      <c r="AH25" s="10">
        <f t="shared" si="52"/>
        <v>0.27</v>
      </c>
      <c r="AI25" s="10">
        <f t="shared" si="52"/>
        <v>0.27</v>
      </c>
      <c r="AK25" s="1" t="s">
        <v>55</v>
      </c>
      <c r="AL25" s="6">
        <f>NPV(AL24,Y18:EO18)</f>
        <v>35821.445969259075</v>
      </c>
    </row>
    <row r="26" spans="2:145" x14ac:dyDescent="0.3">
      <c r="B26" s="1" t="s">
        <v>48</v>
      </c>
      <c r="K26" s="10" t="e">
        <f t="shared" ref="K26" si="53">(K4-K7)/K4</f>
        <v>#DIV/0!</v>
      </c>
      <c r="L26" s="10" t="e">
        <f t="shared" si="49"/>
        <v>#DIV/0!</v>
      </c>
      <c r="O26" s="10" t="e">
        <f t="shared" ref="O26:P26" si="54">(O4-O7)/O4</f>
        <v>#DIV/0!</v>
      </c>
      <c r="P26" s="10" t="e">
        <f t="shared" si="54"/>
        <v>#DIV/0!</v>
      </c>
      <c r="T26" s="10">
        <f t="shared" ref="T26:W26" si="55">(T4-T7)/T4</f>
        <v>0.25818339475395619</v>
      </c>
      <c r="U26" s="10">
        <f t="shared" si="55"/>
        <v>0.2634177758694719</v>
      </c>
      <c r="V26" s="10">
        <f t="shared" si="55"/>
        <v>0.23867069486404835</v>
      </c>
      <c r="W26" s="10">
        <f t="shared" si="55"/>
        <v>0.19737991266375546</v>
      </c>
      <c r="X26" s="10">
        <f>(X4-X7)/X4</f>
        <v>0.22758843482474561</v>
      </c>
      <c r="Y26" s="10">
        <f t="shared" ref="Y26:AI26" si="56">(Y4-Y7)/Y4</f>
        <v>0.22999999999999993</v>
      </c>
      <c r="Z26" s="10">
        <f t="shared" si="56"/>
        <v>0.23</v>
      </c>
      <c r="AA26" s="10">
        <f t="shared" si="56"/>
        <v>0.23000000000000004</v>
      </c>
      <c r="AB26" s="10">
        <f t="shared" si="56"/>
        <v>0.23000000000000004</v>
      </c>
      <c r="AC26" s="10">
        <f t="shared" si="56"/>
        <v>0.22999999999999998</v>
      </c>
      <c r="AD26" s="10">
        <f t="shared" si="56"/>
        <v>0.22999999999999995</v>
      </c>
      <c r="AE26" s="10">
        <f t="shared" si="56"/>
        <v>0.22999999999999995</v>
      </c>
      <c r="AF26" s="10">
        <f t="shared" si="56"/>
        <v>0.23</v>
      </c>
      <c r="AG26" s="10">
        <f t="shared" si="56"/>
        <v>0.22999999999999998</v>
      </c>
      <c r="AH26" s="10">
        <f t="shared" si="56"/>
        <v>0.22999999999999995</v>
      </c>
      <c r="AI26" s="10">
        <f t="shared" si="56"/>
        <v>0.22999999999999998</v>
      </c>
      <c r="AK26" s="1" t="s">
        <v>56</v>
      </c>
      <c r="AL26" s="6">
        <f>Main!D8</f>
        <v>-11620</v>
      </c>
    </row>
    <row r="27" spans="2:145" x14ac:dyDescent="0.3">
      <c r="B27" s="1" t="s">
        <v>49</v>
      </c>
      <c r="K27" s="10">
        <f t="shared" ref="K27" si="57">K9/K5</f>
        <v>0.2586835540203416</v>
      </c>
      <c r="L27" s="10">
        <f t="shared" ref="L27" si="58">L9/L5</f>
        <v>0.25665219852802418</v>
      </c>
      <c r="O27" s="10">
        <f t="shared" ref="O27:P27" si="59">O9/O5</f>
        <v>0.26305533904910366</v>
      </c>
      <c r="P27" s="10">
        <f t="shared" si="59"/>
        <v>0.24603759675635828</v>
      </c>
      <c r="T27" s="10">
        <f t="shared" ref="T27:W27" si="60">T9/T5</f>
        <v>0.29174453116412002</v>
      </c>
      <c r="U27" s="10">
        <f t="shared" si="60"/>
        <v>0.30178511283260356</v>
      </c>
      <c r="V27" s="10">
        <f t="shared" si="60"/>
        <v>0.28877036689719843</v>
      </c>
      <c r="W27" s="10">
        <f t="shared" si="60"/>
        <v>0.26329883104176321</v>
      </c>
      <c r="X27" s="10">
        <f>X9/X5</f>
        <v>0.25903868698710436</v>
      </c>
      <c r="Y27" s="10">
        <f t="shared" ref="Y27:AI27" si="61">Y9/Y5</f>
        <v>0.25854078066352998</v>
      </c>
      <c r="Z27" s="10">
        <f t="shared" si="61"/>
        <v>0.25854078066353003</v>
      </c>
      <c r="AA27" s="10">
        <f t="shared" si="61"/>
        <v>0.25854078066352987</v>
      </c>
      <c r="AB27" s="10">
        <f t="shared" si="61"/>
        <v>0.25854078066352992</v>
      </c>
      <c r="AC27" s="10">
        <f t="shared" si="61"/>
        <v>0.25846084461916918</v>
      </c>
      <c r="AD27" s="10">
        <f t="shared" si="61"/>
        <v>0.25838057797723846</v>
      </c>
      <c r="AE27" s="10">
        <f t="shared" si="61"/>
        <v>0.25829998252620701</v>
      </c>
      <c r="AF27" s="10">
        <f t="shared" si="61"/>
        <v>0.25821906010065004</v>
      </c>
      <c r="AG27" s="10">
        <f t="shared" si="61"/>
        <v>0.25813781258130702</v>
      </c>
      <c r="AH27" s="10">
        <f t="shared" si="61"/>
        <v>0.25805624189512477</v>
      </c>
      <c r="AI27" s="10">
        <f t="shared" si="61"/>
        <v>0.25797435001529051</v>
      </c>
      <c r="AK27" s="1" t="s">
        <v>57</v>
      </c>
      <c r="AL27" s="6">
        <f>AL25+AL26</f>
        <v>24201.445969259075</v>
      </c>
    </row>
    <row r="28" spans="2:145" x14ac:dyDescent="0.3">
      <c r="B28" s="1" t="s">
        <v>50</v>
      </c>
      <c r="K28" s="10" t="e">
        <f>K10/G10-1</f>
        <v>#DIV/0!</v>
      </c>
      <c r="L28" s="10"/>
      <c r="O28" s="10">
        <f>O10/K10-1</f>
        <v>-0.14948453608247425</v>
      </c>
      <c r="P28" s="10">
        <f>P10/L10-1</f>
        <v>-0.13574660633484159</v>
      </c>
      <c r="T28" s="10"/>
      <c r="U28" s="10">
        <f t="shared" ref="U28:W28" si="62">U10/T10-1</f>
        <v>-1.0558069381598756E-2</v>
      </c>
      <c r="V28" s="10">
        <f t="shared" si="62"/>
        <v>-8.5975609756097526E-2</v>
      </c>
      <c r="W28" s="10">
        <f t="shared" si="62"/>
        <v>0.10507004669779851</v>
      </c>
      <c r="X28" s="10">
        <f>X10/W10-1</f>
        <v>7.6969514035617248E-2</v>
      </c>
      <c r="Y28" s="10">
        <f t="shared" ref="Y28:AI28" si="63">Y10/X10-1</f>
        <v>-0.13</v>
      </c>
      <c r="Z28" s="10">
        <f t="shared" si="63"/>
        <v>4.0000000000000036E-2</v>
      </c>
      <c r="AA28" s="10">
        <f t="shared" si="63"/>
        <v>3.0000000000000027E-2</v>
      </c>
      <c r="AB28" s="10">
        <f t="shared" si="63"/>
        <v>2.0000000000000018E-2</v>
      </c>
      <c r="AC28" s="10">
        <f t="shared" si="63"/>
        <v>1.0000000000000009E-2</v>
      </c>
      <c r="AD28" s="10">
        <f t="shared" si="63"/>
        <v>1.0000000000000009E-2</v>
      </c>
      <c r="AE28" s="10">
        <f t="shared" si="63"/>
        <v>1.0000000000000009E-2</v>
      </c>
      <c r="AF28" s="10">
        <f t="shared" si="63"/>
        <v>1.0000000000000009E-2</v>
      </c>
      <c r="AG28" s="10">
        <f t="shared" si="63"/>
        <v>1.0000000000000009E-2</v>
      </c>
      <c r="AH28" s="10">
        <f t="shared" si="63"/>
        <v>1.0000000000000009E-2</v>
      </c>
      <c r="AI28" s="10">
        <f t="shared" si="63"/>
        <v>1.0000000000000009E-2</v>
      </c>
      <c r="AK28" s="1" t="s">
        <v>58</v>
      </c>
      <c r="AL28" s="5">
        <f>AL27/AI19</f>
        <v>128.52600089887983</v>
      </c>
    </row>
    <row r="29" spans="2:145" x14ac:dyDescent="0.3">
      <c r="B29" s="1" t="s">
        <v>51</v>
      </c>
      <c r="K29" s="10">
        <f t="shared" ref="K29" si="64">K12/K5</f>
        <v>7.2538860103626937E-2</v>
      </c>
      <c r="L29" s="10">
        <f t="shared" ref="L29" si="65">L12/L5</f>
        <v>8.982826948480846E-2</v>
      </c>
      <c r="O29" s="10">
        <f t="shared" ref="O29:P29" si="66">O12/O5</f>
        <v>0.10229929851909587</v>
      </c>
      <c r="P29" s="10">
        <f t="shared" si="66"/>
        <v>0.10523405823811278</v>
      </c>
      <c r="T29" s="10">
        <f t="shared" ref="T29:W29" si="67">T12/T5</f>
        <v>6.4581730240738711E-2</v>
      </c>
      <c r="U29" s="10">
        <f t="shared" si="67"/>
        <v>0.11839003031323678</v>
      </c>
      <c r="V29" s="10">
        <f t="shared" si="67"/>
        <v>6.6053217676708478E-2</v>
      </c>
      <c r="W29" s="10">
        <f t="shared" si="67"/>
        <v>7.3433235491013951E-2</v>
      </c>
      <c r="X29" s="10">
        <f>X12/X5</f>
        <v>8.9941383352872217E-2</v>
      </c>
      <c r="Y29" s="10">
        <f t="shared" ref="Y29:AI29" si="68">Y12/Y5</f>
        <v>0.1230304297604507</v>
      </c>
      <c r="Z29" s="10">
        <f t="shared" si="68"/>
        <v>0.12432100453095631</v>
      </c>
      <c r="AA29" s="10">
        <f t="shared" si="68"/>
        <v>0.12561157930146163</v>
      </c>
      <c r="AB29" s="10">
        <f t="shared" si="68"/>
        <v>0.1269021540719672</v>
      </c>
      <c r="AC29" s="10">
        <f t="shared" si="68"/>
        <v>0.12847786717276047</v>
      </c>
      <c r="AD29" s="10">
        <f t="shared" si="68"/>
        <v>0.13003493372429636</v>
      </c>
      <c r="AE29" s="10">
        <f t="shared" si="68"/>
        <v>0.13157353284933346</v>
      </c>
      <c r="AF29" s="10">
        <f t="shared" si="68"/>
        <v>0.13309384209635919</v>
      </c>
      <c r="AG29" s="10">
        <f t="shared" si="68"/>
        <v>0.13459603745642229</v>
      </c>
      <c r="AH29" s="10">
        <f t="shared" si="68"/>
        <v>0.13608029337976388</v>
      </c>
      <c r="AI29" s="10">
        <f t="shared" si="68"/>
        <v>0.13754678279225438</v>
      </c>
      <c r="AK29" s="1" t="s">
        <v>59</v>
      </c>
      <c r="AL29" s="5">
        <f>Main!D3</f>
        <v>277.22000000000003</v>
      </c>
    </row>
    <row r="30" spans="2:145" x14ac:dyDescent="0.3">
      <c r="B30" s="1" t="s">
        <v>25</v>
      </c>
      <c r="K30" s="10">
        <f t="shared" ref="K30" si="69">K16/K15</f>
        <v>1.7241379310344827E-2</v>
      </c>
      <c r="L30" s="10">
        <f t="shared" ref="L30" si="70">L16/L15</f>
        <v>5.8974358974358973E-2</v>
      </c>
      <c r="O30" s="10">
        <f t="shared" ref="O30:P30" si="71">O16/O15</f>
        <v>0.15904139433551198</v>
      </c>
      <c r="P30" s="10">
        <f t="shared" si="71"/>
        <v>0.12595419847328243</v>
      </c>
      <c r="T30" s="10">
        <f t="shared" ref="T30:W30" si="72">T16/T15</f>
        <v>0.17700453857791226</v>
      </c>
      <c r="U30" s="10">
        <f t="shared" si="72"/>
        <v>0.19272886552781429</v>
      </c>
      <c r="V30" s="10">
        <f t="shared" si="72"/>
        <v>0.16653574234092694</v>
      </c>
      <c r="W30" s="10">
        <f t="shared" si="72"/>
        <v>1.8837018837018837E-2</v>
      </c>
      <c r="X30" s="10">
        <f>X16/X15</f>
        <v>5.3224796493425174E-2</v>
      </c>
      <c r="Y30" s="10">
        <f t="shared" ref="Y30:AI30" si="73">Y16/Y15</f>
        <v>0.1</v>
      </c>
      <c r="Z30" s="10">
        <f t="shared" si="73"/>
        <v>0.1</v>
      </c>
      <c r="AA30" s="10">
        <f t="shared" si="73"/>
        <v>0.1</v>
      </c>
      <c r="AB30" s="10">
        <f t="shared" si="73"/>
        <v>0.1</v>
      </c>
      <c r="AC30" s="10">
        <f t="shared" si="73"/>
        <v>0.1</v>
      </c>
      <c r="AD30" s="10">
        <f t="shared" si="73"/>
        <v>0.10000000000000002</v>
      </c>
      <c r="AE30" s="10">
        <f t="shared" si="73"/>
        <v>0.1</v>
      </c>
      <c r="AF30" s="10">
        <f t="shared" si="73"/>
        <v>0.1</v>
      </c>
      <c r="AG30" s="10">
        <f t="shared" si="73"/>
        <v>0.1</v>
      </c>
      <c r="AH30" s="10">
        <f t="shared" si="73"/>
        <v>0.1</v>
      </c>
      <c r="AI30" s="10">
        <f t="shared" si="73"/>
        <v>0.1</v>
      </c>
      <c r="AK30" s="2" t="s">
        <v>60</v>
      </c>
      <c r="AL30" s="11">
        <f>AL28/AL29-1</f>
        <v>-0.5363754386448315</v>
      </c>
    </row>
    <row r="31" spans="2:145" x14ac:dyDescent="0.3">
      <c r="B31" s="1" t="s">
        <v>52</v>
      </c>
      <c r="K31" s="10">
        <f t="shared" ref="K31" si="74">K18/K5</f>
        <v>5.4308194204567263E-2</v>
      </c>
      <c r="L31" s="10">
        <f t="shared" ref="L31" si="75">L18/L5</f>
        <v>6.9069635780335911E-2</v>
      </c>
      <c r="O31" s="10">
        <f t="shared" ref="O31:P31" si="76">O18/O5</f>
        <v>7.5214341387373346E-2</v>
      </c>
      <c r="P31" s="10">
        <f t="shared" si="76"/>
        <v>8.4408403980833033E-2</v>
      </c>
      <c r="T31" s="10">
        <f t="shared" ref="T31:W31" si="77">T18/T5</f>
        <v>6.1503792459052437E-2</v>
      </c>
      <c r="U31" s="10">
        <f t="shared" si="77"/>
        <v>0.10362636128887392</v>
      </c>
      <c r="V31" s="10">
        <f t="shared" si="77"/>
        <v>6.2243582229515884E-2</v>
      </c>
      <c r="W31" s="10">
        <f t="shared" si="77"/>
        <v>6.3185539935115095E-2</v>
      </c>
      <c r="X31" s="10">
        <f>X18/X5</f>
        <v>7.0433763188745599E-2</v>
      </c>
      <c r="Y31" s="10">
        <f t="shared" ref="Y31:AI31" si="78">Y18/Y5</f>
        <v>9.7989502854563537E-2</v>
      </c>
      <c r="Z31" s="10">
        <f t="shared" si="78"/>
        <v>9.963627286915544E-2</v>
      </c>
      <c r="AA31" s="10">
        <f t="shared" si="78"/>
        <v>0.10115123144747673</v>
      </c>
      <c r="AB31" s="10">
        <f t="shared" si="78"/>
        <v>0.1025438009724626</v>
      </c>
      <c r="AC31" s="10">
        <f t="shared" si="78"/>
        <v>0.10410869560233937</v>
      </c>
      <c r="AD31" s="10">
        <f t="shared" si="78"/>
        <v>0.10565518485508324</v>
      </c>
      <c r="AE31" s="10">
        <f t="shared" si="78"/>
        <v>0.10718344565967051</v>
      </c>
      <c r="AF31" s="10">
        <f t="shared" si="78"/>
        <v>0.10869365338460696</v>
      </c>
      <c r="AG31" s="10">
        <f t="shared" si="78"/>
        <v>0.11018598185456413</v>
      </c>
      <c r="AH31" s="10">
        <f t="shared" si="78"/>
        <v>0.11166060336681724</v>
      </c>
      <c r="AI31" s="10">
        <f t="shared" si="78"/>
        <v>0.11311768870749278</v>
      </c>
      <c r="AK31" s="1" t="s">
        <v>61</v>
      </c>
      <c r="AL31" s="7" t="s">
        <v>62</v>
      </c>
    </row>
  </sheetData>
  <phoneticPr fontId="4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2025-04-24T08:54:55Z</dcterms:created>
  <dcterms:modified xsi:type="dcterms:W3CDTF">2025-08-29T17:35:29Z</dcterms:modified>
</cp:coreProperties>
</file>