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9EF925A-D699-4334-ADA0-ED0471ADD804}" xr6:coauthVersionLast="47" xr6:coauthVersionMax="47" xr10:uidLastSave="{00000000-0000-0000-0000-000000000000}"/>
  <bookViews>
    <workbookView xWindow="-108" yWindow="-108" windowWidth="23256" windowHeight="12576" activeTab="1" xr2:uid="{C2D3018F-E467-4E1E-BD9F-9383343E0F2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26" i="2" l="1"/>
  <c r="AL26" i="2"/>
  <c r="AK26" i="2"/>
  <c r="AJ26" i="2"/>
  <c r="AI26" i="2"/>
  <c r="AH26" i="2"/>
  <c r="AG26" i="2"/>
  <c r="AF26" i="2"/>
  <c r="AE26" i="2"/>
  <c r="AD26" i="2"/>
  <c r="AM23" i="2"/>
  <c r="AL23" i="2"/>
  <c r="AK23" i="2"/>
  <c r="AJ23" i="2"/>
  <c r="AI23" i="2"/>
  <c r="AH23" i="2"/>
  <c r="AG23" i="2"/>
  <c r="AF23" i="2"/>
  <c r="AE23" i="2"/>
  <c r="AK21" i="2"/>
  <c r="AL21" i="2" s="1"/>
  <c r="AM21" i="2" s="1"/>
  <c r="AJ21" i="2"/>
  <c r="AI21" i="2"/>
  <c r="AH21" i="2"/>
  <c r="AG21" i="2"/>
  <c r="AF21" i="2"/>
  <c r="AE21" i="2"/>
  <c r="AK20" i="2"/>
  <c r="AL20" i="2" s="1"/>
  <c r="AM20" i="2" s="1"/>
  <c r="AJ20" i="2"/>
  <c r="AI20" i="2"/>
  <c r="AH20" i="2"/>
  <c r="AG20" i="2"/>
  <c r="AF20" i="2"/>
  <c r="AE20" i="2"/>
  <c r="AJ19" i="2"/>
  <c r="AK19" i="2" s="1"/>
  <c r="AL19" i="2" s="1"/>
  <c r="AM19" i="2" s="1"/>
  <c r="AI19" i="2"/>
  <c r="AH19" i="2"/>
  <c r="AG19" i="2"/>
  <c r="AF19" i="2"/>
  <c r="AE19" i="2"/>
  <c r="AD50" i="2"/>
  <c r="AD49" i="2"/>
  <c r="AD48" i="2"/>
  <c r="AD23" i="2"/>
  <c r="AC49" i="2"/>
  <c r="AC48" i="2"/>
  <c r="AC50" i="2"/>
  <c r="AC22" i="2"/>
  <c r="AD22" i="2" s="1"/>
  <c r="AE22" i="2" s="1"/>
  <c r="AF22" i="2" s="1"/>
  <c r="AG22" i="2" s="1"/>
  <c r="AH22" i="2" s="1"/>
  <c r="AI22" i="2" s="1"/>
  <c r="AJ22" i="2" s="1"/>
  <c r="AK22" i="2" s="1"/>
  <c r="AL22" i="2" s="1"/>
  <c r="AM22" i="2" s="1"/>
  <c r="AC21" i="2"/>
  <c r="AC20" i="2"/>
  <c r="AC19" i="2"/>
  <c r="R23" i="2"/>
  <c r="Q23" i="2"/>
  <c r="Q27" i="2" s="1"/>
  <c r="Q30" i="2" s="1"/>
  <c r="P23" i="2"/>
  <c r="P51" i="2" s="1"/>
  <c r="O23" i="2"/>
  <c r="O51" i="2" s="1"/>
  <c r="R7" i="2"/>
  <c r="D7" i="1"/>
  <c r="AA14" i="2"/>
  <c r="R13" i="2"/>
  <c r="R12" i="2"/>
  <c r="R11" i="2"/>
  <c r="R10" i="2"/>
  <c r="R9" i="2"/>
  <c r="R40" i="2" s="1"/>
  <c r="AC14" i="2"/>
  <c r="D6" i="1"/>
  <c r="AM37" i="2"/>
  <c r="AL37" i="2"/>
  <c r="AK37" i="2"/>
  <c r="AJ37" i="2"/>
  <c r="AI37" i="2"/>
  <c r="AH37" i="2"/>
  <c r="AG37" i="2"/>
  <c r="AF37" i="2"/>
  <c r="AE37" i="2"/>
  <c r="AD37" i="2"/>
  <c r="AC37" i="2"/>
  <c r="R37" i="2"/>
  <c r="D4" i="1"/>
  <c r="AB7" i="2"/>
  <c r="AA7" i="2"/>
  <c r="J7" i="2"/>
  <c r="N7" i="2"/>
  <c r="AC7" i="2"/>
  <c r="Q7" i="2"/>
  <c r="AC35" i="2"/>
  <c r="AC32" i="2"/>
  <c r="AD32" i="2" s="1"/>
  <c r="AE32" i="2" s="1"/>
  <c r="AF32" i="2" s="1"/>
  <c r="AG32" i="2" s="1"/>
  <c r="AH32" i="2" s="1"/>
  <c r="AI32" i="2" s="1"/>
  <c r="AJ32" i="2" s="1"/>
  <c r="AK32" i="2" s="1"/>
  <c r="AL32" i="2" s="1"/>
  <c r="AM32" i="2" s="1"/>
  <c r="AC31" i="2"/>
  <c r="AD31" i="2" s="1"/>
  <c r="AE31" i="2" s="1"/>
  <c r="AF31" i="2" s="1"/>
  <c r="AG31" i="2" s="1"/>
  <c r="AH31" i="2" s="1"/>
  <c r="AI31" i="2" s="1"/>
  <c r="AJ31" i="2" s="1"/>
  <c r="AK31" i="2" s="1"/>
  <c r="AL31" i="2" s="1"/>
  <c r="AM31" i="2" s="1"/>
  <c r="AC29" i="2"/>
  <c r="N28" i="2"/>
  <c r="N35" i="2"/>
  <c r="N34" i="2"/>
  <c r="N32" i="2"/>
  <c r="N31" i="2"/>
  <c r="N37" i="2"/>
  <c r="N43" i="2"/>
  <c r="M43" i="2"/>
  <c r="N42" i="2"/>
  <c r="M42" i="2"/>
  <c r="N41" i="2"/>
  <c r="M41" i="2"/>
  <c r="N40" i="2"/>
  <c r="M40" i="2"/>
  <c r="E14" i="2"/>
  <c r="I14" i="2"/>
  <c r="AB13" i="2"/>
  <c r="AB12" i="2"/>
  <c r="AB11" i="2"/>
  <c r="AB10" i="2"/>
  <c r="AB9" i="2"/>
  <c r="J14" i="2"/>
  <c r="N14" i="2"/>
  <c r="O43" i="2"/>
  <c r="O42" i="2"/>
  <c r="O41" i="2"/>
  <c r="O40" i="2"/>
  <c r="K14" i="2"/>
  <c r="O14" i="2"/>
  <c r="P43" i="2"/>
  <c r="P42" i="2"/>
  <c r="P41" i="2"/>
  <c r="P40" i="2"/>
  <c r="L14" i="2"/>
  <c r="P14" i="2"/>
  <c r="Q43" i="2"/>
  <c r="Q42" i="2"/>
  <c r="Q41" i="2"/>
  <c r="Q40" i="2"/>
  <c r="M14" i="2"/>
  <c r="Q14" i="2"/>
  <c r="M37" i="2"/>
  <c r="M27" i="2"/>
  <c r="M54" i="2" s="1"/>
  <c r="Q55" i="2"/>
  <c r="K37" i="2"/>
  <c r="K27" i="2"/>
  <c r="K30" i="2" s="1"/>
  <c r="O55" i="2"/>
  <c r="O37" i="2"/>
  <c r="P55" i="2"/>
  <c r="L37" i="2"/>
  <c r="L27" i="2"/>
  <c r="L30" i="2" s="1"/>
  <c r="L33" i="2" s="1"/>
  <c r="L36" i="2" s="1"/>
  <c r="P37" i="2"/>
  <c r="AP56" i="2"/>
  <c r="AA55" i="2"/>
  <c r="Z55" i="2"/>
  <c r="Y55" i="2"/>
  <c r="AA53" i="2"/>
  <c r="Z53" i="2"/>
  <c r="Y53" i="2"/>
  <c r="X53" i="2"/>
  <c r="AA52" i="2"/>
  <c r="Z52" i="2"/>
  <c r="Y52" i="2"/>
  <c r="X52" i="2"/>
  <c r="AA46" i="2"/>
  <c r="Z46" i="2"/>
  <c r="Y46" i="2"/>
  <c r="AA45" i="2"/>
  <c r="Z45" i="2"/>
  <c r="Y45" i="2"/>
  <c r="AB55" i="2"/>
  <c r="AB53" i="2"/>
  <c r="AB52" i="2"/>
  <c r="AB46" i="2"/>
  <c r="AB45" i="2"/>
  <c r="P27" i="2" l="1"/>
  <c r="P54" i="2" s="1"/>
  <c r="AC23" i="2"/>
  <c r="Q51" i="2"/>
  <c r="O27" i="2"/>
  <c r="O54" i="2" s="1"/>
  <c r="AC42" i="2"/>
  <c r="R14" i="2"/>
  <c r="AC43" i="2"/>
  <c r="AC40" i="2"/>
  <c r="AC28" i="2"/>
  <c r="AD28" i="2" s="1"/>
  <c r="AD55" i="2" s="1"/>
  <c r="R55" i="2"/>
  <c r="R43" i="2"/>
  <c r="L38" i="2"/>
  <c r="AC41" i="2"/>
  <c r="R41" i="2"/>
  <c r="R42" i="2"/>
  <c r="AB14" i="2"/>
  <c r="L54" i="2"/>
  <c r="L56" i="2"/>
  <c r="M30" i="2"/>
  <c r="Q56" i="2"/>
  <c r="Q33" i="2"/>
  <c r="Q54" i="2"/>
  <c r="L57" i="2"/>
  <c r="L58" i="2"/>
  <c r="K33" i="2"/>
  <c r="K56" i="2"/>
  <c r="K54" i="2"/>
  <c r="X35" i="2"/>
  <c r="X29" i="2"/>
  <c r="X37" i="2"/>
  <c r="X26" i="2"/>
  <c r="X23" i="2"/>
  <c r="Y35" i="2"/>
  <c r="Y29" i="2"/>
  <c r="Y37" i="2"/>
  <c r="Y26" i="2"/>
  <c r="Y23" i="2"/>
  <c r="Z37" i="2"/>
  <c r="Z26" i="2"/>
  <c r="Z23" i="2"/>
  <c r="AA37" i="2"/>
  <c r="AA26" i="2"/>
  <c r="AA23" i="2"/>
  <c r="AB37" i="2"/>
  <c r="AB26" i="2"/>
  <c r="N26" i="2" s="1"/>
  <c r="AB23" i="2"/>
  <c r="N23" i="2" s="1"/>
  <c r="D8" i="1"/>
  <c r="AP53" i="2" s="1"/>
  <c r="D5" i="1"/>
  <c r="F3" i="1"/>
  <c r="O30" i="2" l="1"/>
  <c r="O56" i="2" s="1"/>
  <c r="P30" i="2"/>
  <c r="P33" i="2" s="1"/>
  <c r="R27" i="2"/>
  <c r="R30" i="2" s="1"/>
  <c r="R51" i="2"/>
  <c r="AE28" i="2"/>
  <c r="AF28" i="2" s="1"/>
  <c r="N27" i="2"/>
  <c r="AC55" i="2"/>
  <c r="AA51" i="2"/>
  <c r="Z51" i="2"/>
  <c r="AB27" i="2"/>
  <c r="AB51" i="2"/>
  <c r="Y51" i="2"/>
  <c r="M56" i="2"/>
  <c r="M33" i="2"/>
  <c r="Q57" i="2"/>
  <c r="Q36" i="2"/>
  <c r="K57" i="2"/>
  <c r="K36" i="2"/>
  <c r="D9" i="1"/>
  <c r="X27" i="2"/>
  <c r="Y27" i="2"/>
  <c r="Z27" i="2"/>
  <c r="AA27" i="2"/>
  <c r="O33" i="2" l="1"/>
  <c r="O36" i="2" s="1"/>
  <c r="P56" i="2"/>
  <c r="AC16" i="2"/>
  <c r="AC17" i="2"/>
  <c r="AC51" i="2"/>
  <c r="AE55" i="2"/>
  <c r="AC26" i="2"/>
  <c r="AC27" i="2" s="1"/>
  <c r="AC30" i="2" s="1"/>
  <c r="AC33" i="2" s="1"/>
  <c r="R54" i="2"/>
  <c r="R33" i="2"/>
  <c r="R56" i="2"/>
  <c r="N54" i="2"/>
  <c r="N30" i="2"/>
  <c r="AC64" i="2"/>
  <c r="AC63" i="2"/>
  <c r="AA30" i="2"/>
  <c r="AA54" i="2"/>
  <c r="Y30" i="2"/>
  <c r="Y54" i="2"/>
  <c r="X30" i="2"/>
  <c r="X54" i="2"/>
  <c r="Z30" i="2"/>
  <c r="Z54" i="2"/>
  <c r="AB30" i="2"/>
  <c r="AB54" i="2"/>
  <c r="M57" i="2"/>
  <c r="M36" i="2"/>
  <c r="Q58" i="2"/>
  <c r="Q38" i="2"/>
  <c r="AF55" i="2"/>
  <c r="AG28" i="2"/>
  <c r="K58" i="2"/>
  <c r="K38" i="2"/>
  <c r="O57" i="2"/>
  <c r="P57" i="2"/>
  <c r="P36" i="2"/>
  <c r="AD16" i="2" l="1"/>
  <c r="AC45" i="2"/>
  <c r="AD17" i="2"/>
  <c r="AC46" i="2"/>
  <c r="AC56" i="2"/>
  <c r="AC54" i="2"/>
  <c r="N33" i="2"/>
  <c r="N56" i="2"/>
  <c r="R36" i="2"/>
  <c r="AC34" i="2"/>
  <c r="AC57" i="2" s="1"/>
  <c r="R57" i="2"/>
  <c r="Y33" i="2"/>
  <c r="Y56" i="2"/>
  <c r="AA33" i="2"/>
  <c r="AA56" i="2"/>
  <c r="Z33" i="2"/>
  <c r="Z56" i="2"/>
  <c r="X33" i="2"/>
  <c r="X56" i="2"/>
  <c r="AB33" i="2"/>
  <c r="AB56" i="2"/>
  <c r="M58" i="2"/>
  <c r="M38" i="2"/>
  <c r="AG55" i="2"/>
  <c r="AH28" i="2"/>
  <c r="O58" i="2"/>
  <c r="O38" i="2"/>
  <c r="P58" i="2"/>
  <c r="P38" i="2"/>
  <c r="AD51" i="2" l="1"/>
  <c r="AD46" i="2"/>
  <c r="AE17" i="2"/>
  <c r="AD45" i="2"/>
  <c r="AE16" i="2"/>
  <c r="AC36" i="2"/>
  <c r="AC58" i="2" s="1"/>
  <c r="N36" i="2"/>
  <c r="N57" i="2"/>
  <c r="R38" i="2"/>
  <c r="R58" i="2"/>
  <c r="Y36" i="2"/>
  <c r="Y57" i="2"/>
  <c r="AA36" i="2"/>
  <c r="AA57" i="2"/>
  <c r="AB36" i="2"/>
  <c r="AB57" i="2"/>
  <c r="Z36" i="2"/>
  <c r="Z57" i="2"/>
  <c r="X36" i="2"/>
  <c r="X57" i="2"/>
  <c r="AI28" i="2"/>
  <c r="AH55" i="2"/>
  <c r="AD27" i="2" l="1"/>
  <c r="AD54" i="2" s="1"/>
  <c r="AE51" i="2"/>
  <c r="AE46" i="2"/>
  <c r="AF17" i="2"/>
  <c r="AF16" i="2"/>
  <c r="AE45" i="2"/>
  <c r="AC38" i="2"/>
  <c r="N38" i="2"/>
  <c r="N58" i="2"/>
  <c r="AB38" i="2"/>
  <c r="AB58" i="2"/>
  <c r="X38" i="2"/>
  <c r="X58" i="2"/>
  <c r="Y38" i="2"/>
  <c r="Y58" i="2"/>
  <c r="AA38" i="2"/>
  <c r="AA58" i="2"/>
  <c r="Z38" i="2"/>
  <c r="Z58" i="2"/>
  <c r="AJ28" i="2"/>
  <c r="AI55" i="2"/>
  <c r="AD30" i="2" l="1"/>
  <c r="AD56" i="2" s="1"/>
  <c r="AE27" i="2"/>
  <c r="AE54" i="2" s="1"/>
  <c r="AG16" i="2"/>
  <c r="AF45" i="2"/>
  <c r="AF51" i="2"/>
  <c r="AG17" i="2"/>
  <c r="AF46" i="2"/>
  <c r="AK28" i="2"/>
  <c r="AJ55" i="2"/>
  <c r="AF27" i="2" l="1"/>
  <c r="AD33" i="2"/>
  <c r="AD34" i="2" s="1"/>
  <c r="AD57" i="2" s="1"/>
  <c r="AE30" i="2"/>
  <c r="AE56" i="2" s="1"/>
  <c r="AH17" i="2"/>
  <c r="AG46" i="2"/>
  <c r="AG45" i="2"/>
  <c r="AH16" i="2"/>
  <c r="AG51" i="2"/>
  <c r="AL28" i="2"/>
  <c r="AK55" i="2"/>
  <c r="AG27" i="2" l="1"/>
  <c r="AG54" i="2" s="1"/>
  <c r="AE33" i="2"/>
  <c r="AE34" i="2" s="1"/>
  <c r="AE57" i="2" s="1"/>
  <c r="AD36" i="2"/>
  <c r="AI16" i="2"/>
  <c r="AH45" i="2"/>
  <c r="AH51" i="2"/>
  <c r="AF30" i="2"/>
  <c r="AF54" i="2"/>
  <c r="AH46" i="2"/>
  <c r="AI17" i="2"/>
  <c r="AM28" i="2"/>
  <c r="AM55" i="2" s="1"/>
  <c r="AL55" i="2"/>
  <c r="AD38" i="2" l="1"/>
  <c r="AG30" i="2"/>
  <c r="AG56" i="2" s="1"/>
  <c r="AD58" i="2"/>
  <c r="AH27" i="2"/>
  <c r="AI45" i="2"/>
  <c r="AJ16" i="2"/>
  <c r="AF56" i="2"/>
  <c r="AF33" i="2"/>
  <c r="AI51" i="2"/>
  <c r="AI46" i="2"/>
  <c r="AJ17" i="2"/>
  <c r="AE36" i="2"/>
  <c r="AG33" i="2" l="1"/>
  <c r="AG34" i="2" s="1"/>
  <c r="AG57" i="2" s="1"/>
  <c r="AH54" i="2"/>
  <c r="AH30" i="2"/>
  <c r="AF34" i="2"/>
  <c r="AF57" i="2" s="1"/>
  <c r="AE58" i="2"/>
  <c r="AE38" i="2"/>
  <c r="AK16" i="2"/>
  <c r="AJ45" i="2"/>
  <c r="AJ51" i="2"/>
  <c r="AJ46" i="2"/>
  <c r="AK17" i="2"/>
  <c r="AI27" i="2"/>
  <c r="AK51" i="2" l="1"/>
  <c r="AL17" i="2"/>
  <c r="AK46" i="2"/>
  <c r="AG36" i="2"/>
  <c r="AF36" i="2"/>
  <c r="AJ27" i="2"/>
  <c r="AK45" i="2"/>
  <c r="AL16" i="2"/>
  <c r="AI30" i="2"/>
  <c r="AI54" i="2"/>
  <c r="AH33" i="2"/>
  <c r="AH56" i="2"/>
  <c r="AK27" i="2" l="1"/>
  <c r="AK54" i="2" s="1"/>
  <c r="AH34" i="2"/>
  <c r="AH57" i="2" s="1"/>
  <c r="AF38" i="2"/>
  <c r="AF58" i="2"/>
  <c r="AJ30" i="2"/>
  <c r="AJ54" i="2"/>
  <c r="AI33" i="2"/>
  <c r="AI56" i="2"/>
  <c r="AL51" i="2"/>
  <c r="AM17" i="2"/>
  <c r="AL46" i="2"/>
  <c r="AG38" i="2"/>
  <c r="AG58" i="2"/>
  <c r="AM16" i="2"/>
  <c r="AL45" i="2"/>
  <c r="AK30" i="2" l="1"/>
  <c r="AK33" i="2" s="1"/>
  <c r="AH36" i="2"/>
  <c r="AJ33" i="2"/>
  <c r="AJ56" i="2"/>
  <c r="AM51" i="2"/>
  <c r="AM46" i="2"/>
  <c r="AL27" i="2"/>
  <c r="AM45" i="2"/>
  <c r="AI34" i="2"/>
  <c r="AI57" i="2" s="1"/>
  <c r="AH38" i="2" l="1"/>
  <c r="AI36" i="2"/>
  <c r="AI58" i="2" s="1"/>
  <c r="AH58" i="2"/>
  <c r="AK56" i="2"/>
  <c r="AL30" i="2"/>
  <c r="AL54" i="2"/>
  <c r="AM27" i="2"/>
  <c r="AJ34" i="2"/>
  <c r="AJ57" i="2" s="1"/>
  <c r="AK34" i="2"/>
  <c r="AK57" i="2" s="1"/>
  <c r="AI38" i="2" l="1"/>
  <c r="AK36" i="2"/>
  <c r="AK38" i="2" s="1"/>
  <c r="AJ36" i="2"/>
  <c r="AM54" i="2"/>
  <c r="AM30" i="2"/>
  <c r="AL33" i="2"/>
  <c r="AL56" i="2"/>
  <c r="AJ38" i="2" l="1"/>
  <c r="AK58" i="2"/>
  <c r="AJ58" i="2"/>
  <c r="AL34" i="2"/>
  <c r="AL57" i="2" s="1"/>
  <c r="AM33" i="2"/>
  <c r="AM56" i="2"/>
  <c r="AM34" i="2" l="1"/>
  <c r="AM57" i="2" s="1"/>
  <c r="AL36" i="2"/>
  <c r="AM36" i="2" l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CO36" i="2" s="1"/>
  <c r="CP36" i="2" s="1"/>
  <c r="CQ36" i="2" s="1"/>
  <c r="CR36" i="2" s="1"/>
  <c r="CS36" i="2" s="1"/>
  <c r="CT36" i="2" s="1"/>
  <c r="CU36" i="2" s="1"/>
  <c r="CV36" i="2" s="1"/>
  <c r="CW36" i="2" s="1"/>
  <c r="CX36" i="2" s="1"/>
  <c r="CY36" i="2" s="1"/>
  <c r="CZ36" i="2" s="1"/>
  <c r="DA36" i="2" s="1"/>
  <c r="DB36" i="2" s="1"/>
  <c r="DC36" i="2" s="1"/>
  <c r="DD36" i="2" s="1"/>
  <c r="DE36" i="2" s="1"/>
  <c r="DF36" i="2" s="1"/>
  <c r="DG36" i="2" s="1"/>
  <c r="DH36" i="2" s="1"/>
  <c r="DI36" i="2" s="1"/>
  <c r="DJ36" i="2" s="1"/>
  <c r="DK36" i="2" s="1"/>
  <c r="DL36" i="2" s="1"/>
  <c r="DM36" i="2" s="1"/>
  <c r="DN36" i="2" s="1"/>
  <c r="DO36" i="2" s="1"/>
  <c r="DP36" i="2" s="1"/>
  <c r="DQ36" i="2" s="1"/>
  <c r="DR36" i="2" s="1"/>
  <c r="DS36" i="2" s="1"/>
  <c r="DT36" i="2" s="1"/>
  <c r="DU36" i="2" s="1"/>
  <c r="DV36" i="2" s="1"/>
  <c r="DW36" i="2" s="1"/>
  <c r="DX36" i="2" s="1"/>
  <c r="DY36" i="2" s="1"/>
  <c r="DZ36" i="2" s="1"/>
  <c r="EA36" i="2" s="1"/>
  <c r="EB36" i="2" s="1"/>
  <c r="EC36" i="2" s="1"/>
  <c r="ED36" i="2" s="1"/>
  <c r="EE36" i="2" s="1"/>
  <c r="EF36" i="2" s="1"/>
  <c r="EG36" i="2" s="1"/>
  <c r="EH36" i="2" s="1"/>
  <c r="EI36" i="2" s="1"/>
  <c r="EJ36" i="2" s="1"/>
  <c r="EK36" i="2" s="1"/>
  <c r="EL36" i="2" s="1"/>
  <c r="EM36" i="2" s="1"/>
  <c r="EN36" i="2" s="1"/>
  <c r="EO36" i="2" s="1"/>
  <c r="EP36" i="2" s="1"/>
  <c r="EQ36" i="2" s="1"/>
  <c r="ER36" i="2" s="1"/>
  <c r="ES36" i="2" s="1"/>
  <c r="AL58" i="2"/>
  <c r="AL38" i="2"/>
  <c r="AP52" i="2" l="1"/>
  <c r="AP54" i="2" s="1"/>
  <c r="AP55" i="2" s="1"/>
  <c r="AP57" i="2" s="1"/>
  <c r="AM38" i="2"/>
  <c r="AM5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D19" authorId="0" shapeId="0" xr:uid="{5D05702B-8D53-49C2-98C8-0C8D760EC9B3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(Q425) guidance of 11.5b for FY26</t>
        </r>
      </text>
    </comment>
    <comment ref="AD20" authorId="0" shapeId="0" xr:uid="{BBD42A78-0CC9-4A61-95EC-4BDEB661E6BB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(Q425) guidance of 8b for FY26</t>
        </r>
      </text>
    </comment>
    <comment ref="AD21" authorId="0" shapeId="0" xr:uid="{DC4F5559-BA9A-4C75-B9A9-2A044D84000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(Q425) guidance of 4.4b for FY26</t>
        </r>
      </text>
    </comment>
    <comment ref="AB22" authorId="0" shapeId="0" xr:uid="{9C62C891-3202-4D13-B21D-0B3C0F2F25F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excluding divestiture</t>
        </r>
      </text>
    </comment>
    <comment ref="AC22" authorId="0" shapeId="0" xr:uid="{38C166F0-9C96-4401-A8EB-06D9B82322BE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excluding divestiture</t>
        </r>
      </text>
    </comment>
    <comment ref="O23" authorId="0" shapeId="0" xr:uid="{5A09593A-BD6C-4637-80C3-FBFADD5F0FD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+ divestiture</t>
        </r>
      </text>
    </comment>
  </commentList>
</comments>
</file>

<file path=xl/sharedStrings.xml><?xml version="1.0" encoding="utf-8"?>
<sst xmlns="http://schemas.openxmlformats.org/spreadsheetml/2006/main" count="98" uniqueCount="87">
  <si>
    <t>LHX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</si>
  <si>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</si>
  <si>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</si>
  <si>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</si>
  <si>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</si>
  <si>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</si>
  <si>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</si>
  <si>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</si>
  <si>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</si>
  <si>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</si>
  <si>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</si>
  <si>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</si>
  <si>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</si>
  <si>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</si>
  <si>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</si>
  <si>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</si>
  <si>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</si>
  <si>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</si>
  <si>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</si>
  <si>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</si>
  <si>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Impairment</t>
  </si>
  <si>
    <t>Operating profit</t>
  </si>
  <si>
    <t>Pension income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</si>
  <si>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</si>
  <si>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</si>
  <si>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</si>
  <si>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</si>
  <si>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</si>
  <si>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</si>
  <si>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</si>
  <si>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</si>
  <si>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</si>
  <si>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</si>
  <si>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</si>
  <si>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</si>
  <si>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</si>
  <si>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</si>
  <si>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</si>
  <si>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</si>
  <si>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</si>
  <si>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</si>
  <si>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</si>
  <si>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</si>
  <si>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</si>
  <si>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</si>
  <si>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</si>
  <si>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</si>
  <si>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</si>
  <si>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</si>
  <si>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</si>
  <si>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</si>
  <si>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</si>
  <si>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</si>
  <si>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</si>
  <si>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</si>
  <si>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</si>
  <si>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</si>
  <si>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</si>
  <si>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</si>
  <si>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</si>
  <si>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</si>
  <si>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</si>
  <si>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</si>
  <si>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L+S/E</t>
  </si>
  <si>
    <t>EV/B</t>
  </si>
  <si>
    <t>B/EV</t>
  </si>
  <si>
    <t>Communication Systems</t>
  </si>
  <si>
    <t>Integrated Mission Systems</t>
  </si>
  <si>
    <t>Space &amp; Airborne Systems</t>
  </si>
  <si>
    <t>Aerojet Rocketdyne</t>
  </si>
  <si>
    <t>Eliminations</t>
  </si>
  <si>
    <t>Communication Systems y/y</t>
  </si>
  <si>
    <t>Integrated Mission Systems y/y</t>
  </si>
  <si>
    <t>Space &amp; Airborne Systems y/y</t>
  </si>
  <si>
    <t>Aerojet Rocketdyne y/y</t>
  </si>
  <si>
    <t>Backlog</t>
  </si>
  <si>
    <t>Q126</t>
  </si>
  <si>
    <t>Q226</t>
  </si>
  <si>
    <t>Q326</t>
  </si>
  <si>
    <t>Q426</t>
  </si>
  <si>
    <t>Q126 - Segment Recast: further details in Q425 8K below</t>
  </si>
  <si>
    <t>Space &amp; Mission Systems</t>
  </si>
  <si>
    <t>Communication &amp; Spectrum Dominance</t>
  </si>
  <si>
    <t>Missile Solutions</t>
  </si>
  <si>
    <t>SMS y/y</t>
  </si>
  <si>
    <t>CSD y/y</t>
  </si>
  <si>
    <t>MSL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</si>
</sst>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/>
      <diagonal/>
    </border>
    <border>
      <left style="thin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5" fillId="2" borderId="1" xfId="0" applyNumberFormat="1" applyFont="1" applyFill="1" applyBorder="1"/>
    <xf numFmtId="3" fontId="3" fillId="2" borderId="1" xfId="0" applyNumberFormat="1" applyFont="1" applyFill="1" applyBorder="1"/>
    <xf numFmtId="9" fontId="3" fillId="2" borderId="1" xfId="0" applyNumberFormat="1" applyFont="1" applyFill="1" applyBorder="1"/>
    <xf numFmtId="3" fontId="3" fillId="2" borderId="1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right"/>
    </xf>
    <xf numFmtId="0" fontId="3" fillId="2" borderId="4" xfId="0" applyFont="1" applyFill="1" applyBorder="1" applyAlignment="1">
      <alignment horizontal="right"/>
    </xf>
    <xf numFmtId="0" fontId="3" fillId="2" borderId="5" xfId="0" applyFont="1" applyFill="1" applyBorder="1" applyAlignment="1">
      <alignment horizontal="right"/>
    </xf>
    <xf numFmtId="0" fontId="3" fillId="2" borderId="6" xfId="0" applyFont="1" applyFill="1" applyBorder="1" applyAlignment="1">
      <alignment horizontal="right"/>
    </xf>
    <xf numFmtId="0" fontId="2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350519</xdr:colOff>
      <xdr:row>5</xdr:row>
      <xdr:rowOff>15392</xdr:rowOff>
    </xdr:from>
    <xdr:to>
      <xdr:col>20</xdr:col>
      <xdr:colOff>448832</xdr:colOff>
      <xdr:row>27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BE102A-D844-58DB-D15D-54C5D1781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8559" y="929792"/>
          <a:ext cx="9882393" cy="40460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342900</xdr:colOff>
      <xdr:row>28</xdr:row>
      <xdr:rowOff>85042</xdr:rowOff>
    </xdr:from>
    <xdr:to>
      <xdr:col>18</xdr:col>
      <xdr:colOff>381000</xdr:colOff>
      <xdr:row>48</xdr:row>
      <xdr:rowOff>144779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59227FE-4EF3-0D67-B8C6-AA611DC08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0940" y="5205682"/>
          <a:ext cx="8602980" cy="37173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30480</xdr:colOff>
      <xdr:row>0</xdr:row>
      <xdr:rowOff>0</xdr:rowOff>
    </xdr:from>
    <xdr:to>
      <xdr:col>29</xdr:col>
      <xdr:colOff>30480</xdr:colOff>
      <xdr:row>70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722D1-B671-49A3-26C7-B7853E29A323}"/>
            </a:ext>
          </a:extLst>
        </xdr:cNvPr>
        <xdr:cNvCxnSpPr/>
      </xdr:nvCxnSpPr>
      <xdr:spPr>
        <a:xfrm>
          <a:off x="19438620" y="0"/>
          <a:ext cx="0" cy="120700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7620</xdr:rowOff>
    </xdr:from>
    <xdr:to>
      <xdr:col>18</xdr:col>
      <xdr:colOff>30480</xdr:colOff>
      <xdr:row>70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870A800-6D1D-DF73-A45F-2CD25545360F}"/>
            </a:ext>
          </a:extLst>
        </xdr:cNvPr>
        <xdr:cNvCxnSpPr/>
      </xdr:nvCxnSpPr>
      <xdr:spPr>
        <a:xfrm>
          <a:off x="12733020" y="7620"/>
          <a:ext cx="0" cy="12214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E3D8-C4BE-40FE-8896-BFA45F6A384D}">
  <dimension ref="B2:I31"/>
  <sheetViews>
    <sheetView workbookViewId="0">
      <selection activeCell="I1" sqref="I1"/>
    </sheetView>
  </sheetViews>
  <sheetFormatPr defaultRowHeight="14.4" x14ac:dyDescent="0.3"/>
  <cols>
    <col min="1" max="4" width="8.88671875" style="1"/>
    <col min="5" max="7" width="13.5546875" style="3" customWidth="1"/>
    <col min="8" max="16384" width="8.88671875" style="1"/>
  </cols>
  <sheetData>
    <row r="2" spans="2:9" x14ac:dyDescent="0.3">
      <c r="E2" s="3" t="s">
        <v>8</v>
      </c>
      <c r="F2" s="3" t="s">
        <v>9</v>
      </c>
      <c r="G2" s="3" t="s">
        <v>10</v>
      </c>
    </row>
    <row r="3" spans="2:9" x14ac:dyDescent="0.3">
      <c r="B3" s="2" t="s">
        <v>0</v>
      </c>
      <c r="C3" s="1" t="s">
        <v>1</v>
      </c>
      <c r="D3" s="5">
        <v>347</v>
      </c>
      <c r="E3" s="4">
        <v>46070</v>
      </c>
      <c r="F3" s="4">
        <f ca="1">TODAY()</f>
        <v>46070</v>
      </c>
      <c r="G3" s="4">
        <v>46135</v>
      </c>
    </row>
    <row r="4" spans="2:9" x14ac:dyDescent="0.3">
      <c r="C4" s="1" t="s">
        <v>2</v>
      </c>
      <c r="D4" s="6">
        <f>186.8</f>
        <v>186.8</v>
      </c>
      <c r="E4" s="3" t="s">
        <v>43</v>
      </c>
      <c r="I4" s="1" t="s">
        <v>80</v>
      </c>
    </row>
    <row r="5" spans="2:9" x14ac:dyDescent="0.3">
      <c r="C5" s="1" t="s">
        <v>3</v>
      </c>
      <c r="D5" s="6">
        <f>D3*D4</f>
        <v>64819.600000000006</v>
      </c>
    </row>
    <row r="6" spans="2:9" x14ac:dyDescent="0.3">
      <c r="C6" s="1" t="s">
        <v>4</v>
      </c>
      <c r="D6" s="6">
        <f>1069</f>
        <v>1069</v>
      </c>
      <c r="E6" s="3" t="s">
        <v>43</v>
      </c>
    </row>
    <row r="7" spans="2:9" x14ac:dyDescent="0.3">
      <c r="C7" s="1" t="s">
        <v>5</v>
      </c>
      <c r="D7" s="6">
        <f>10443</f>
        <v>10443</v>
      </c>
      <c r="E7" s="3" t="s">
        <v>43</v>
      </c>
    </row>
    <row r="8" spans="2:9" x14ac:dyDescent="0.3">
      <c r="C8" s="1" t="s">
        <v>6</v>
      </c>
      <c r="D8" s="6">
        <f>D6-D7</f>
        <v>-9374</v>
      </c>
    </row>
    <row r="9" spans="2:9" x14ac:dyDescent="0.3">
      <c r="C9" s="1" t="s">
        <v>7</v>
      </c>
      <c r="D9" s="6">
        <f>D5-D8</f>
        <v>74193.600000000006</v>
      </c>
      <c r="I9"/>
    </row>
    <row r="29" spans="5:7" x14ac:dyDescent="0.3">
      <c r="F29" s="24"/>
    </row>
    <row r="30" spans="5:7" x14ac:dyDescent="0.3">
      <c r="E30" s="22"/>
      <c r="F30" s="26"/>
      <c r="G30" s="23"/>
    </row>
    <row r="31" spans="5:7" x14ac:dyDescent="0.3">
      <c r="F31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7D1A-B1AA-4685-BD0F-764C53F340E2}">
  <dimension ref="B2:ES64"/>
  <sheetViews>
    <sheetView tabSelected="1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RowHeight="14.4" x14ac:dyDescent="0.3"/>
  <cols>
    <col min="1" max="1" width="8.88671875" style="1"/>
    <col min="2" max="2" width="34.109375" style="1" bestFit="1" customWidth="1"/>
    <col min="3" max="40" width="8.88671875" style="1"/>
    <col min="41" max="41" width="11.88671875" style="1" bestFit="1" customWidth="1"/>
    <col min="42" max="42" width="16.77734375" style="1" customWidth="1"/>
    <col min="43" max="16384" width="8.88671875" style="1"/>
  </cols>
  <sheetData>
    <row r="2" spans="2:39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  <c r="K2" s="7" t="s">
        <v>37</v>
      </c>
      <c r="L2" s="7" t="s">
        <v>38</v>
      </c>
      <c r="M2" s="7" t="s">
        <v>39</v>
      </c>
      <c r="N2" s="7" t="s">
        <v>11</v>
      </c>
      <c r="O2" s="7" t="s">
        <v>40</v>
      </c>
      <c r="P2" s="7" t="s">
        <v>41</v>
      </c>
      <c r="Q2" s="7" t="s">
        <v>42</v>
      </c>
      <c r="R2" s="7" t="s">
        <v>43</v>
      </c>
      <c r="S2" s="7" t="s">
        <v>76</v>
      </c>
      <c r="T2" s="7" t="s">
        <v>77</v>
      </c>
      <c r="U2" s="7" t="s">
        <v>78</v>
      </c>
      <c r="V2" s="7" t="s">
        <v>79</v>
      </c>
      <c r="X2" s="1">
        <v>2020</v>
      </c>
      <c r="Y2" s="1">
        <v>2021</v>
      </c>
      <c r="Z2" s="1">
        <v>2022</v>
      </c>
      <c r="AA2" s="1">
        <v>2023</v>
      </c>
      <c r="AB2" s="1">
        <v>2024</v>
      </c>
      <c r="AC2" s="1">
        <v>2025</v>
      </c>
      <c r="AD2" s="1">
        <v>2026</v>
      </c>
      <c r="AE2" s="1">
        <v>2027</v>
      </c>
      <c r="AF2" s="1">
        <v>2028</v>
      </c>
      <c r="AG2" s="1">
        <v>2029</v>
      </c>
      <c r="AH2" s="1">
        <v>2030</v>
      </c>
      <c r="AI2" s="1">
        <v>2031</v>
      </c>
      <c r="AJ2" s="1">
        <v>2032</v>
      </c>
      <c r="AK2" s="1">
        <v>2033</v>
      </c>
      <c r="AL2" s="1">
        <v>2034</v>
      </c>
      <c r="AM2" s="1">
        <v>2035</v>
      </c>
    </row>
    <row r="3" spans="2:39" x14ac:dyDescent="0.3">
      <c r="B3" s="1" t="s">
        <v>66</v>
      </c>
      <c r="C3" s="7"/>
      <c r="D3" s="7"/>
      <c r="E3" s="7"/>
      <c r="F3" s="7"/>
      <c r="G3" s="7"/>
      <c r="H3" s="7"/>
      <c r="I3" s="7"/>
      <c r="J3" s="15">
        <v>6300</v>
      </c>
      <c r="K3" s="7"/>
      <c r="L3" s="7"/>
      <c r="M3" s="7"/>
      <c r="N3" s="15">
        <v>7340</v>
      </c>
      <c r="O3" s="7"/>
      <c r="P3" s="7"/>
      <c r="Q3" s="15">
        <v>7100</v>
      </c>
      <c r="R3" s="15">
        <v>6935</v>
      </c>
      <c r="S3" s="7"/>
      <c r="T3" s="7"/>
      <c r="U3" s="7"/>
      <c r="V3" s="7"/>
      <c r="AA3" s="15">
        <v>6300</v>
      </c>
      <c r="AB3" s="15">
        <v>7300</v>
      </c>
      <c r="AC3" s="15">
        <v>7100</v>
      </c>
    </row>
    <row r="4" spans="2:39" x14ac:dyDescent="0.3">
      <c r="B4" s="1" t="s">
        <v>67</v>
      </c>
      <c r="C4" s="7"/>
      <c r="D4" s="7"/>
      <c r="E4" s="7"/>
      <c r="F4" s="7"/>
      <c r="G4" s="7"/>
      <c r="H4" s="7"/>
      <c r="I4" s="7"/>
      <c r="J4" s="15">
        <v>9700</v>
      </c>
      <c r="K4" s="7"/>
      <c r="L4" s="7"/>
      <c r="M4" s="7"/>
      <c r="N4" s="15">
        <v>10500</v>
      </c>
      <c r="O4" s="7"/>
      <c r="P4" s="7"/>
      <c r="Q4" s="15">
        <v>10100</v>
      </c>
      <c r="R4" s="15">
        <v>10100</v>
      </c>
      <c r="S4" s="7"/>
      <c r="T4" s="7"/>
      <c r="U4" s="7"/>
      <c r="V4" s="7"/>
      <c r="AA4" s="15">
        <v>9700</v>
      </c>
      <c r="AB4" s="15">
        <v>10500</v>
      </c>
      <c r="AC4" s="15">
        <v>10100</v>
      </c>
    </row>
    <row r="5" spans="2:39" x14ac:dyDescent="0.3">
      <c r="B5" s="1" t="s">
        <v>68</v>
      </c>
      <c r="C5" s="7"/>
      <c r="D5" s="7"/>
      <c r="E5" s="7"/>
      <c r="F5" s="7"/>
      <c r="G5" s="7"/>
      <c r="H5" s="7"/>
      <c r="I5" s="7"/>
      <c r="J5" s="15">
        <v>9500</v>
      </c>
      <c r="K5" s="7"/>
      <c r="L5" s="7"/>
      <c r="M5" s="7"/>
      <c r="N5" s="15">
        <v>9400</v>
      </c>
      <c r="O5" s="7"/>
      <c r="P5" s="7"/>
      <c r="Q5" s="15">
        <v>10800</v>
      </c>
      <c r="R5" s="15">
        <v>10800</v>
      </c>
      <c r="S5" s="7"/>
      <c r="T5" s="7"/>
      <c r="U5" s="7"/>
      <c r="V5" s="7"/>
      <c r="AA5" s="15">
        <v>9500</v>
      </c>
      <c r="AB5" s="15">
        <v>9400</v>
      </c>
      <c r="AC5" s="15">
        <v>10800</v>
      </c>
    </row>
    <row r="6" spans="2:39" x14ac:dyDescent="0.3">
      <c r="B6" s="1" t="s">
        <v>69</v>
      </c>
      <c r="C6" s="7"/>
      <c r="D6" s="7"/>
      <c r="E6" s="7"/>
      <c r="F6" s="7"/>
      <c r="G6" s="7"/>
      <c r="H6" s="7"/>
      <c r="I6" s="7"/>
      <c r="J6" s="15">
        <v>7200</v>
      </c>
      <c r="K6" s="7"/>
      <c r="L6" s="7"/>
      <c r="M6" s="7"/>
      <c r="N6" s="15">
        <v>7000</v>
      </c>
      <c r="O6" s="7"/>
      <c r="P6" s="7"/>
      <c r="Q6" s="15">
        <v>8300</v>
      </c>
      <c r="R6" s="15">
        <v>8300</v>
      </c>
      <c r="S6" s="7"/>
      <c r="T6" s="7"/>
      <c r="U6" s="7"/>
      <c r="V6" s="7"/>
      <c r="AA6" s="15">
        <v>7200</v>
      </c>
      <c r="AB6" s="15">
        <v>7000</v>
      </c>
      <c r="AC6" s="15">
        <v>8300</v>
      </c>
    </row>
    <row r="7" spans="2:39" s="2" customFormat="1" x14ac:dyDescent="0.3">
      <c r="B7" s="2" t="s">
        <v>75</v>
      </c>
      <c r="C7" s="14"/>
      <c r="D7" s="14"/>
      <c r="E7" s="14"/>
      <c r="F7" s="14"/>
      <c r="G7" s="14"/>
      <c r="H7" s="14"/>
      <c r="I7" s="14"/>
      <c r="J7" s="16">
        <f>SUM(J3:J6)</f>
        <v>32700</v>
      </c>
      <c r="K7" s="14"/>
      <c r="L7" s="14"/>
      <c r="M7" s="14"/>
      <c r="N7" s="16">
        <f>SUM(N3:N6)</f>
        <v>34240</v>
      </c>
      <c r="O7" s="14"/>
      <c r="P7" s="14"/>
      <c r="Q7" s="16">
        <f>SUM(Q3:Q6)</f>
        <v>36300</v>
      </c>
      <c r="R7" s="16">
        <f>SUM(R3:R6)</f>
        <v>36135</v>
      </c>
      <c r="S7" s="14"/>
      <c r="T7" s="14"/>
      <c r="U7" s="14"/>
      <c r="V7" s="14"/>
      <c r="AA7" s="16">
        <f>SUM(AA3:AA6)</f>
        <v>32700</v>
      </c>
      <c r="AB7" s="16">
        <f>SUM(AB3:AB6)</f>
        <v>34200</v>
      </c>
      <c r="AC7" s="16">
        <f>SUM(AC3:AC6)</f>
        <v>36300</v>
      </c>
    </row>
    <row r="8" spans="2:39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2:39" x14ac:dyDescent="0.3">
      <c r="B9" s="1" t="s">
        <v>66</v>
      </c>
      <c r="C9" s="7"/>
      <c r="D9" s="7"/>
      <c r="E9" s="15">
        <v>1686</v>
      </c>
      <c r="F9" s="7"/>
      <c r="G9" s="7"/>
      <c r="H9" s="7"/>
      <c r="I9" s="15">
        <v>1683</v>
      </c>
      <c r="J9" s="15">
        <v>1800</v>
      </c>
      <c r="K9" s="15">
        <v>1294</v>
      </c>
      <c r="L9" s="15">
        <v>1346</v>
      </c>
      <c r="M9" s="15">
        <v>1382</v>
      </c>
      <c r="N9" s="15">
        <v>1728</v>
      </c>
      <c r="O9" s="15">
        <v>1352</v>
      </c>
      <c r="P9" s="15">
        <v>1376</v>
      </c>
      <c r="Q9" s="15">
        <v>1462</v>
      </c>
      <c r="R9" s="15">
        <f>AC9-Q9-P9-O9</f>
        <v>1483</v>
      </c>
      <c r="S9" s="20"/>
      <c r="T9" s="20"/>
      <c r="U9" s="20"/>
      <c r="V9" s="20"/>
      <c r="AA9" s="15">
        <v>5070</v>
      </c>
      <c r="AB9" s="15">
        <f>SUM(K9:N9)</f>
        <v>5750</v>
      </c>
      <c r="AC9" s="6">
        <v>5673</v>
      </c>
    </row>
    <row r="10" spans="2:39" x14ac:dyDescent="0.3">
      <c r="B10" s="1" t="s">
        <v>67</v>
      </c>
      <c r="C10" s="7"/>
      <c r="D10" s="7"/>
      <c r="E10" s="15">
        <v>1568</v>
      </c>
      <c r="F10" s="7"/>
      <c r="G10" s="7"/>
      <c r="H10" s="7"/>
      <c r="I10" s="15">
        <v>1671</v>
      </c>
      <c r="J10" s="15">
        <v>1627</v>
      </c>
      <c r="K10" s="15">
        <v>1627</v>
      </c>
      <c r="L10" s="15">
        <v>1671</v>
      </c>
      <c r="M10" s="15">
        <v>1608</v>
      </c>
      <c r="N10" s="15">
        <v>1773</v>
      </c>
      <c r="O10" s="15">
        <v>1592</v>
      </c>
      <c r="P10" s="15">
        <v>1622</v>
      </c>
      <c r="Q10" s="15">
        <v>1700</v>
      </c>
      <c r="R10" s="15">
        <f t="shared" ref="R10:R13" si="0">AC10-Q10-P10-O10</f>
        <v>1716</v>
      </c>
      <c r="S10" s="20"/>
      <c r="T10" s="20"/>
      <c r="U10" s="20"/>
      <c r="V10" s="20"/>
      <c r="AA10" s="15">
        <v>6446</v>
      </c>
      <c r="AB10" s="15">
        <f t="shared" ref="AB10:AB13" si="1">SUM(K10:N10)</f>
        <v>6679</v>
      </c>
      <c r="AC10" s="6">
        <v>6630</v>
      </c>
    </row>
    <row r="11" spans="2:39" x14ac:dyDescent="0.3">
      <c r="B11" s="1" t="s">
        <v>68</v>
      </c>
      <c r="C11" s="7"/>
      <c r="D11" s="7"/>
      <c r="E11" s="15">
        <v>1255</v>
      </c>
      <c r="F11" s="7"/>
      <c r="G11" s="7"/>
      <c r="H11" s="7"/>
      <c r="I11" s="15">
        <v>1382</v>
      </c>
      <c r="J11" s="15">
        <v>1363</v>
      </c>
      <c r="K11" s="15">
        <v>1751</v>
      </c>
      <c r="L11" s="15">
        <v>1707</v>
      </c>
      <c r="M11" s="15">
        <v>1683</v>
      </c>
      <c r="N11" s="15">
        <v>1437</v>
      </c>
      <c r="O11" s="15">
        <v>1611</v>
      </c>
      <c r="P11" s="15">
        <v>1787</v>
      </c>
      <c r="Q11" s="15">
        <v>1809</v>
      </c>
      <c r="R11" s="15">
        <f t="shared" si="0"/>
        <v>1739</v>
      </c>
      <c r="S11" s="20"/>
      <c r="T11" s="20"/>
      <c r="U11" s="20"/>
      <c r="V11" s="20"/>
      <c r="AA11" s="15">
        <v>6856</v>
      </c>
      <c r="AB11" s="15">
        <f t="shared" si="1"/>
        <v>6578</v>
      </c>
      <c r="AC11" s="6">
        <v>6946</v>
      </c>
    </row>
    <row r="12" spans="2:39" x14ac:dyDescent="0.3">
      <c r="B12" s="1" t="s">
        <v>69</v>
      </c>
      <c r="C12" s="7"/>
      <c r="D12" s="7"/>
      <c r="E12" s="15">
        <v>455</v>
      </c>
      <c r="F12" s="7"/>
      <c r="G12" s="7"/>
      <c r="H12" s="7"/>
      <c r="I12" s="15">
        <v>596</v>
      </c>
      <c r="J12" s="15">
        <v>597</v>
      </c>
      <c r="K12" s="15">
        <v>584</v>
      </c>
      <c r="L12" s="15">
        <v>633</v>
      </c>
      <c r="M12" s="15">
        <v>669</v>
      </c>
      <c r="N12" s="15">
        <v>628</v>
      </c>
      <c r="O12" s="15">
        <v>629</v>
      </c>
      <c r="P12" s="15">
        <v>698</v>
      </c>
      <c r="Q12" s="15">
        <v>755</v>
      </c>
      <c r="R12" s="15">
        <f t="shared" si="0"/>
        <v>763</v>
      </c>
      <c r="S12" s="20"/>
      <c r="T12" s="20"/>
      <c r="U12" s="20"/>
      <c r="V12" s="20"/>
      <c r="AA12" s="15">
        <v>1243</v>
      </c>
      <c r="AB12" s="15">
        <f t="shared" si="1"/>
        <v>2514</v>
      </c>
      <c r="AC12" s="6">
        <v>2845</v>
      </c>
    </row>
    <row r="13" spans="2:39" x14ac:dyDescent="0.3">
      <c r="B13" s="1" t="s">
        <v>70</v>
      </c>
      <c r="C13" s="7"/>
      <c r="D13" s="7"/>
      <c r="E13" s="15">
        <v>-49</v>
      </c>
      <c r="F13" s="7"/>
      <c r="G13" s="7"/>
      <c r="H13" s="7"/>
      <c r="I13" s="15">
        <v>-40</v>
      </c>
      <c r="J13" s="15">
        <v>-47</v>
      </c>
      <c r="K13" s="15">
        <v>-45</v>
      </c>
      <c r="L13" s="15">
        <v>-58</v>
      </c>
      <c r="M13" s="15">
        <v>-50</v>
      </c>
      <c r="N13" s="15">
        <v>-43</v>
      </c>
      <c r="O13" s="15">
        <v>-52</v>
      </c>
      <c r="P13" s="15">
        <v>-57</v>
      </c>
      <c r="Q13" s="15">
        <v>-67</v>
      </c>
      <c r="R13" s="15">
        <f t="shared" si="0"/>
        <v>-53</v>
      </c>
      <c r="S13" s="20"/>
      <c r="T13" s="20"/>
      <c r="U13" s="20"/>
      <c r="V13" s="20"/>
      <c r="AA13" s="15">
        <v>-196</v>
      </c>
      <c r="AB13" s="15">
        <f t="shared" si="1"/>
        <v>-196</v>
      </c>
      <c r="AC13" s="1">
        <v>-229</v>
      </c>
    </row>
    <row r="14" spans="2:39" s="2" customFormat="1" x14ac:dyDescent="0.3">
      <c r="B14" s="2" t="s">
        <v>14</v>
      </c>
      <c r="C14" s="14"/>
      <c r="D14" s="14"/>
      <c r="E14" s="16">
        <f>SUM(E9:E13)</f>
        <v>4915</v>
      </c>
      <c r="F14" s="14"/>
      <c r="G14" s="14"/>
      <c r="H14" s="14"/>
      <c r="I14" s="16">
        <f t="shared" ref="I14:R14" si="2">SUM(I9:I13)</f>
        <v>5292</v>
      </c>
      <c r="J14" s="16">
        <f t="shared" si="2"/>
        <v>5340</v>
      </c>
      <c r="K14" s="16">
        <f t="shared" si="2"/>
        <v>5211</v>
      </c>
      <c r="L14" s="16">
        <f t="shared" si="2"/>
        <v>5299</v>
      </c>
      <c r="M14" s="16">
        <f t="shared" si="2"/>
        <v>5292</v>
      </c>
      <c r="N14" s="16">
        <f t="shared" si="2"/>
        <v>5523</v>
      </c>
      <c r="O14" s="16">
        <f t="shared" si="2"/>
        <v>5132</v>
      </c>
      <c r="P14" s="16">
        <f t="shared" si="2"/>
        <v>5426</v>
      </c>
      <c r="Q14" s="16">
        <f t="shared" si="2"/>
        <v>5659</v>
      </c>
      <c r="R14" s="16">
        <f t="shared" si="2"/>
        <v>5648</v>
      </c>
      <c r="S14" s="21"/>
      <c r="T14" s="21"/>
      <c r="U14" s="21"/>
      <c r="V14" s="21"/>
      <c r="AA14" s="16">
        <f t="shared" ref="AA14" si="3">SUM(AA9:AA13)</f>
        <v>19419</v>
      </c>
      <c r="AB14" s="16">
        <f>SUM(AB9:AB13)</f>
        <v>21325</v>
      </c>
      <c r="AC14" s="16">
        <f>SUM(AC9:AC13)</f>
        <v>21865</v>
      </c>
    </row>
    <row r="15" spans="2:39" x14ac:dyDescent="0.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spans="2:39" x14ac:dyDescent="0.3">
      <c r="B16" s="1" t="s">
        <v>12</v>
      </c>
      <c r="P16" s="6"/>
      <c r="X16" s="6">
        <v>13581</v>
      </c>
      <c r="Y16" s="6">
        <v>13156</v>
      </c>
      <c r="Z16" s="6">
        <v>12097</v>
      </c>
      <c r="AA16" s="6">
        <v>13694</v>
      </c>
      <c r="AB16" s="6">
        <v>15134</v>
      </c>
      <c r="AC16" s="18">
        <f>AC23*0.71</f>
        <v>15524.15</v>
      </c>
      <c r="AD16" s="6">
        <f>AC16*1.05</f>
        <v>16300.3575</v>
      </c>
      <c r="AE16" s="6">
        <f>AD16*1.04</f>
        <v>16952.371800000001</v>
      </c>
      <c r="AF16" s="6">
        <f>AE16*1.03</f>
        <v>17460.942954000002</v>
      </c>
      <c r="AG16" s="6">
        <f t="shared" ref="AG16:AM16" si="4">AF16*1.02</f>
        <v>17810.161813080002</v>
      </c>
      <c r="AH16" s="6">
        <f t="shared" si="4"/>
        <v>18166.365049341603</v>
      </c>
      <c r="AI16" s="6">
        <f t="shared" si="4"/>
        <v>18529.692350328434</v>
      </c>
      <c r="AJ16" s="6">
        <f t="shared" si="4"/>
        <v>18900.286197335005</v>
      </c>
      <c r="AK16" s="6">
        <f t="shared" si="4"/>
        <v>19278.291921281703</v>
      </c>
      <c r="AL16" s="6">
        <f t="shared" si="4"/>
        <v>19663.857759707338</v>
      </c>
      <c r="AM16" s="6">
        <f t="shared" si="4"/>
        <v>20057.134914901486</v>
      </c>
    </row>
    <row r="17" spans="2:39" x14ac:dyDescent="0.3">
      <c r="B17" s="1" t="s">
        <v>13</v>
      </c>
      <c r="P17" s="6"/>
      <c r="X17" s="6">
        <v>4613</v>
      </c>
      <c r="Y17" s="6">
        <v>4658</v>
      </c>
      <c r="Z17" s="6">
        <v>4965</v>
      </c>
      <c r="AA17" s="6">
        <v>5725</v>
      </c>
      <c r="AB17" s="6">
        <v>6191</v>
      </c>
      <c r="AC17" s="18">
        <f>AC23*0.29</f>
        <v>6340.8499999999995</v>
      </c>
      <c r="AD17" s="6">
        <f>AC17*1.05</f>
        <v>6657.8924999999999</v>
      </c>
      <c r="AE17" s="6">
        <f>AD17*1.04</f>
        <v>6924.2082</v>
      </c>
      <c r="AF17" s="6">
        <f>AE17*1.03</f>
        <v>7131.9344460000002</v>
      </c>
      <c r="AG17" s="6">
        <f t="shared" ref="AG17:AM17" si="5">AF17*1.03</f>
        <v>7345.8924793800006</v>
      </c>
      <c r="AH17" s="6">
        <f t="shared" si="5"/>
        <v>7566.2692537614012</v>
      </c>
      <c r="AI17" s="6">
        <f t="shared" si="5"/>
        <v>7793.2573313742432</v>
      </c>
      <c r="AJ17" s="6">
        <f t="shared" si="5"/>
        <v>8027.0550513154703</v>
      </c>
      <c r="AK17" s="6">
        <f t="shared" si="5"/>
        <v>8267.8667028549353</v>
      </c>
      <c r="AL17" s="6">
        <f t="shared" si="5"/>
        <v>8515.9027039405828</v>
      </c>
      <c r="AM17" s="6">
        <f t="shared" si="5"/>
        <v>8771.3797850587998</v>
      </c>
    </row>
    <row r="18" spans="2:39" x14ac:dyDescent="0.3">
      <c r="P18" s="6"/>
      <c r="X18" s="6"/>
      <c r="Y18" s="6"/>
      <c r="Z18" s="6"/>
      <c r="AA18" s="6"/>
      <c r="AB18" s="6"/>
      <c r="AC18" s="18"/>
      <c r="AD18" s="6"/>
      <c r="AE18" s="6"/>
      <c r="AF18" s="6"/>
      <c r="AG18" s="6"/>
      <c r="AH18" s="6"/>
      <c r="AI18" s="6"/>
      <c r="AJ18" s="6"/>
      <c r="AK18" s="6"/>
      <c r="AL18" s="6"/>
      <c r="AM18" s="6"/>
    </row>
    <row r="19" spans="2:39" x14ac:dyDescent="0.3">
      <c r="B19" s="1" t="s">
        <v>81</v>
      </c>
      <c r="O19" s="6">
        <v>2411</v>
      </c>
      <c r="P19" s="6">
        <v>2770</v>
      </c>
      <c r="Q19" s="6">
        <v>2803</v>
      </c>
      <c r="R19" s="6">
        <v>2727</v>
      </c>
      <c r="X19" s="6"/>
      <c r="Y19" s="6"/>
      <c r="Z19" s="6"/>
      <c r="AA19" s="6"/>
      <c r="AB19" s="6">
        <v>10186</v>
      </c>
      <c r="AC19" s="6">
        <f>SUM(O19:R19)</f>
        <v>10711</v>
      </c>
      <c r="AD19" s="6">
        <v>11500</v>
      </c>
      <c r="AE19" s="6">
        <f>AD19*1.05</f>
        <v>12075</v>
      </c>
      <c r="AF19" s="6">
        <f>AE19*1.04</f>
        <v>12558</v>
      </c>
      <c r="AG19" s="6">
        <f>AF19*1.03</f>
        <v>12934.74</v>
      </c>
      <c r="AH19" s="6">
        <f>AG19*1.02</f>
        <v>13193.434800000001</v>
      </c>
      <c r="AI19" s="6">
        <f t="shared" ref="AI19:AM19" si="6">AH19*1.02</f>
        <v>13457.303496</v>
      </c>
      <c r="AJ19" s="6">
        <f t="shared" si="6"/>
        <v>13726.44956592</v>
      </c>
      <c r="AK19" s="6">
        <f t="shared" si="6"/>
        <v>14000.978557238401</v>
      </c>
      <c r="AL19" s="6">
        <f t="shared" si="6"/>
        <v>14280.998128383169</v>
      </c>
      <c r="AM19" s="6">
        <f t="shared" si="6"/>
        <v>14566.618090950833</v>
      </c>
    </row>
    <row r="20" spans="2:39" x14ac:dyDescent="0.3">
      <c r="B20" s="1" t="s">
        <v>82</v>
      </c>
      <c r="O20" s="6">
        <v>1809</v>
      </c>
      <c r="P20" s="6">
        <v>1861</v>
      </c>
      <c r="Q20" s="6">
        <v>1935</v>
      </c>
      <c r="R20" s="6">
        <v>1961</v>
      </c>
      <c r="X20" s="6"/>
      <c r="Y20" s="6"/>
      <c r="Z20" s="6"/>
      <c r="AA20" s="6"/>
      <c r="AB20" s="6">
        <v>7272</v>
      </c>
      <c r="AC20" s="6">
        <f t="shared" ref="AC20:AC22" si="7">SUM(O20:R20)</f>
        <v>7566</v>
      </c>
      <c r="AD20" s="6">
        <v>8000</v>
      </c>
      <c r="AE20" s="6">
        <f>AD20*1.05</f>
        <v>8400</v>
      </c>
      <c r="AF20" s="6">
        <f>AE20*1.04</f>
        <v>8736</v>
      </c>
      <c r="AG20" s="6">
        <f>AF20*1.03</f>
        <v>8998.08</v>
      </c>
      <c r="AH20" s="6">
        <f>AG20*1.02</f>
        <v>9178.0416000000005</v>
      </c>
      <c r="AI20" s="6">
        <f t="shared" ref="AI20:AM20" si="8">AH20*1.02</f>
        <v>9361.6024320000015</v>
      </c>
      <c r="AJ20" s="6">
        <f>AI20*1.01</f>
        <v>9455.2184563200008</v>
      </c>
      <c r="AK20" s="6">
        <f t="shared" ref="AK20:AM20" si="9">AJ20*1.01</f>
        <v>9549.7706408832</v>
      </c>
      <c r="AL20" s="6">
        <f t="shared" si="9"/>
        <v>9645.2683472920326</v>
      </c>
      <c r="AM20" s="6">
        <f t="shared" si="9"/>
        <v>9741.721030764953</v>
      </c>
    </row>
    <row r="21" spans="2:39" x14ac:dyDescent="0.3">
      <c r="B21" s="1" t="s">
        <v>83</v>
      </c>
      <c r="O21" s="6">
        <v>840</v>
      </c>
      <c r="P21" s="6">
        <v>925</v>
      </c>
      <c r="Q21" s="6">
        <v>1008</v>
      </c>
      <c r="R21" s="6">
        <v>1024</v>
      </c>
      <c r="X21" s="6"/>
      <c r="Y21" s="6"/>
      <c r="Z21" s="6"/>
      <c r="AA21" s="6"/>
      <c r="AB21" s="6">
        <v>3525</v>
      </c>
      <c r="AC21" s="6">
        <f t="shared" si="7"/>
        <v>3797</v>
      </c>
      <c r="AD21" s="6">
        <v>4400</v>
      </c>
      <c r="AE21" s="6">
        <f>AD21*1.1</f>
        <v>4840</v>
      </c>
      <c r="AF21" s="6">
        <f>AE21*1.08</f>
        <v>5227.2000000000007</v>
      </c>
      <c r="AG21" s="6">
        <f>AF21*1.06</f>
        <v>5540.8320000000012</v>
      </c>
      <c r="AH21" s="6">
        <f>AG21*1.05</f>
        <v>5817.8736000000017</v>
      </c>
      <c r="AI21" s="6">
        <f>AH21*1.04</f>
        <v>6050.588544000002</v>
      </c>
      <c r="AJ21" s="6">
        <f>AI21*1.03</f>
        <v>6232.1062003200022</v>
      </c>
      <c r="AK21" s="6">
        <f t="shared" ref="AK21:AM21" si="10">AJ21*1.03</f>
        <v>6419.0693863296028</v>
      </c>
      <c r="AL21" s="6">
        <f t="shared" si="10"/>
        <v>6611.6414679194913</v>
      </c>
      <c r="AM21" s="6">
        <f t="shared" si="10"/>
        <v>6809.9907119570762</v>
      </c>
    </row>
    <row r="22" spans="2:39" x14ac:dyDescent="0.3">
      <c r="B22" s="1" t="s">
        <v>70</v>
      </c>
      <c r="O22" s="6">
        <v>-74</v>
      </c>
      <c r="P22" s="6">
        <v>-130</v>
      </c>
      <c r="Q22" s="6">
        <v>-87</v>
      </c>
      <c r="R22" s="6">
        <v>-64</v>
      </c>
      <c r="X22" s="6"/>
      <c r="Y22" s="6"/>
      <c r="Z22" s="6"/>
      <c r="AA22" s="6"/>
      <c r="AB22" s="6">
        <v>-369</v>
      </c>
      <c r="AC22" s="6">
        <f t="shared" si="7"/>
        <v>-355</v>
      </c>
      <c r="AD22" s="6">
        <f>AC22*1.01</f>
        <v>-358.55</v>
      </c>
      <c r="AE22" s="6">
        <f t="shared" ref="AE22:AM22" si="11">AD22*1.01</f>
        <v>-362.13550000000004</v>
      </c>
      <c r="AF22" s="6">
        <f t="shared" si="11"/>
        <v>-365.75685500000003</v>
      </c>
      <c r="AG22" s="6">
        <f t="shared" si="11"/>
        <v>-369.41442355000004</v>
      </c>
      <c r="AH22" s="6">
        <f t="shared" si="11"/>
        <v>-373.10856778550004</v>
      </c>
      <c r="AI22" s="6">
        <f t="shared" si="11"/>
        <v>-376.83965346335503</v>
      </c>
      <c r="AJ22" s="6">
        <f t="shared" si="11"/>
        <v>-380.60804999798859</v>
      </c>
      <c r="AK22" s="6">
        <f t="shared" si="11"/>
        <v>-384.41413049796847</v>
      </c>
      <c r="AL22" s="6">
        <f t="shared" si="11"/>
        <v>-388.25827180294817</v>
      </c>
      <c r="AM22" s="6">
        <f t="shared" si="11"/>
        <v>-392.14085452097765</v>
      </c>
    </row>
    <row r="23" spans="2:39" s="2" customFormat="1" x14ac:dyDescent="0.3">
      <c r="B23" s="2" t="s">
        <v>14</v>
      </c>
      <c r="K23" s="9">
        <v>5211</v>
      </c>
      <c r="L23" s="9">
        <v>5299</v>
      </c>
      <c r="M23" s="9">
        <v>5292</v>
      </c>
      <c r="N23" s="9">
        <f>AB23-M23-L23-K23</f>
        <v>5523</v>
      </c>
      <c r="O23" s="9">
        <f>SUM(O19:O22)+146</f>
        <v>5132</v>
      </c>
      <c r="P23" s="9">
        <f>SUM(P19:P22)</f>
        <v>5426</v>
      </c>
      <c r="Q23" s="9">
        <f>SUM(Q19:Q22)</f>
        <v>5659</v>
      </c>
      <c r="R23" s="9">
        <f>SUM(R19:R22)</f>
        <v>5648</v>
      </c>
      <c r="S23" s="16"/>
      <c r="T23" s="16"/>
      <c r="U23" s="16"/>
      <c r="V23" s="16"/>
      <c r="X23" s="9">
        <f>X16+X17</f>
        <v>18194</v>
      </c>
      <c r="Y23" s="9">
        <f>Y16+Y17</f>
        <v>17814</v>
      </c>
      <c r="Z23" s="9">
        <f>Z16+Z17</f>
        <v>17062</v>
      </c>
      <c r="AA23" s="9">
        <f>AA16+AA17</f>
        <v>19419</v>
      </c>
      <c r="AB23" s="9">
        <f>AB16+AB17</f>
        <v>21325</v>
      </c>
      <c r="AC23" s="9">
        <f>SUM(O23:R23)</f>
        <v>21865</v>
      </c>
      <c r="AD23" s="9">
        <f>SUM(AD19:AD22)</f>
        <v>23541.45</v>
      </c>
      <c r="AE23" s="9">
        <f t="shared" ref="AE23:AM23" si="12">SUM(AE19:AE22)</f>
        <v>24952.8645</v>
      </c>
      <c r="AF23" s="9">
        <f t="shared" si="12"/>
        <v>26155.443145000001</v>
      </c>
      <c r="AG23" s="9">
        <f t="shared" si="12"/>
        <v>27104.237576450003</v>
      </c>
      <c r="AH23" s="9">
        <f t="shared" si="12"/>
        <v>27816.241432214501</v>
      </c>
      <c r="AI23" s="9">
        <f t="shared" si="12"/>
        <v>28492.654818536648</v>
      </c>
      <c r="AJ23" s="9">
        <f t="shared" si="12"/>
        <v>29033.166172562018</v>
      </c>
      <c r="AK23" s="9">
        <f t="shared" si="12"/>
        <v>29585.404453953237</v>
      </c>
      <c r="AL23" s="9">
        <f t="shared" si="12"/>
        <v>30149.649671791743</v>
      </c>
      <c r="AM23" s="9">
        <f t="shared" si="12"/>
        <v>30726.188979151884</v>
      </c>
    </row>
    <row r="24" spans="2:39" x14ac:dyDescent="0.3">
      <c r="B24" s="1" t="s">
        <v>15</v>
      </c>
      <c r="K24" s="6"/>
      <c r="L24" s="6"/>
      <c r="M24" s="6"/>
      <c r="N24" s="6"/>
      <c r="O24" s="6"/>
      <c r="P24" s="6"/>
      <c r="Q24" s="6"/>
      <c r="X24" s="6">
        <v>9464</v>
      </c>
      <c r="Y24" s="6">
        <v>9007</v>
      </c>
      <c r="Z24" s="6">
        <v>8355</v>
      </c>
      <c r="AA24" s="6">
        <v>9711</v>
      </c>
      <c r="AB24" s="6">
        <v>11019</v>
      </c>
      <c r="AC24" s="18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 spans="2:39" x14ac:dyDescent="0.3">
      <c r="B25" s="1" t="s">
        <v>16</v>
      </c>
      <c r="K25" s="6"/>
      <c r="L25" s="6"/>
      <c r="M25" s="6"/>
      <c r="N25" s="6"/>
      <c r="O25" s="6"/>
      <c r="P25" s="6"/>
      <c r="Q25" s="6"/>
      <c r="X25" s="6">
        <v>3422</v>
      </c>
      <c r="Y25" s="6">
        <v>3431</v>
      </c>
      <c r="Z25" s="6">
        <v>3780</v>
      </c>
      <c r="AA25" s="6">
        <v>4595</v>
      </c>
      <c r="AB25" s="6">
        <v>4782</v>
      </c>
      <c r="AC25" s="18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2:39" x14ac:dyDescent="0.3">
      <c r="B26" s="1" t="s">
        <v>17</v>
      </c>
      <c r="K26" s="6">
        <v>3863</v>
      </c>
      <c r="L26" s="6">
        <v>3939</v>
      </c>
      <c r="M26" s="6">
        <v>3873</v>
      </c>
      <c r="N26" s="9">
        <f>AB26-M26-L26-K26</f>
        <v>4126</v>
      </c>
      <c r="O26" s="6">
        <v>3782</v>
      </c>
      <c r="P26" s="6">
        <v>4091</v>
      </c>
      <c r="Q26" s="6">
        <v>4165</v>
      </c>
      <c r="R26" s="6">
        <v>4202</v>
      </c>
      <c r="S26" s="6"/>
      <c r="T26" s="6"/>
      <c r="U26" s="6"/>
      <c r="V26" s="6"/>
      <c r="X26" s="6">
        <f t="shared" ref="X26:AB26" si="13">X24+X25</f>
        <v>12886</v>
      </c>
      <c r="Y26" s="6">
        <f t="shared" si="13"/>
        <v>12438</v>
      </c>
      <c r="Z26" s="6">
        <f t="shared" si="13"/>
        <v>12135</v>
      </c>
      <c r="AA26" s="6">
        <f t="shared" si="13"/>
        <v>14306</v>
      </c>
      <c r="AB26" s="6">
        <f t="shared" si="13"/>
        <v>15801</v>
      </c>
      <c r="AC26" s="6">
        <f>SUM(O26:R26)</f>
        <v>16240</v>
      </c>
      <c r="AD26" s="6">
        <f>AD23*0.73</f>
        <v>17185.2585</v>
      </c>
      <c r="AE26" s="6">
        <f t="shared" ref="AE26:AM26" si="14">AE23*0.73</f>
        <v>18215.591085</v>
      </c>
      <c r="AF26" s="6">
        <f t="shared" si="14"/>
        <v>19093.473495850001</v>
      </c>
      <c r="AG26" s="6">
        <f t="shared" si="14"/>
        <v>19786.093430808502</v>
      </c>
      <c r="AH26" s="6">
        <f t="shared" si="14"/>
        <v>20305.856245516585</v>
      </c>
      <c r="AI26" s="6">
        <f t="shared" si="14"/>
        <v>20799.638017531754</v>
      </c>
      <c r="AJ26" s="6">
        <f t="shared" si="14"/>
        <v>21194.211305970271</v>
      </c>
      <c r="AK26" s="6">
        <f t="shared" si="14"/>
        <v>21597.345251385861</v>
      </c>
      <c r="AL26" s="6">
        <f t="shared" si="14"/>
        <v>22009.244260407973</v>
      </c>
      <c r="AM26" s="6">
        <f t="shared" si="14"/>
        <v>22430.117954780875</v>
      </c>
    </row>
    <row r="27" spans="2:39" s="2" customFormat="1" x14ac:dyDescent="0.3">
      <c r="B27" s="2" t="s">
        <v>18</v>
      </c>
      <c r="K27" s="9">
        <f t="shared" ref="K27" si="15">K23-K26</f>
        <v>1348</v>
      </c>
      <c r="L27" s="9">
        <f t="shared" ref="L27:M27" si="16">L23-L26</f>
        <v>1360</v>
      </c>
      <c r="M27" s="9">
        <f t="shared" si="16"/>
        <v>1419</v>
      </c>
      <c r="N27" s="9">
        <f t="shared" ref="N27" si="17">N23-N26</f>
        <v>1397</v>
      </c>
      <c r="O27" s="9">
        <f t="shared" ref="O27:P27" si="18">O23-O26</f>
        <v>1350</v>
      </c>
      <c r="P27" s="9">
        <f t="shared" si="18"/>
        <v>1335</v>
      </c>
      <c r="Q27" s="9">
        <f t="shared" ref="Q27:R27" si="19">Q23-Q26</f>
        <v>1494</v>
      </c>
      <c r="R27" s="9">
        <f t="shared" si="19"/>
        <v>1446</v>
      </c>
      <c r="S27" s="9"/>
      <c r="T27" s="9"/>
      <c r="U27" s="9"/>
      <c r="V27" s="9"/>
      <c r="X27" s="9">
        <f t="shared" ref="X27:AC27" si="20">X23-X26</f>
        <v>5308</v>
      </c>
      <c r="Y27" s="9">
        <f t="shared" si="20"/>
        <v>5376</v>
      </c>
      <c r="Z27" s="9">
        <f t="shared" si="20"/>
        <v>4927</v>
      </c>
      <c r="AA27" s="9">
        <f t="shared" si="20"/>
        <v>5113</v>
      </c>
      <c r="AB27" s="9">
        <f t="shared" si="20"/>
        <v>5524</v>
      </c>
      <c r="AC27" s="9">
        <f t="shared" si="20"/>
        <v>5625</v>
      </c>
      <c r="AD27" s="9">
        <f t="shared" ref="AD27:AM27" si="21">AD23-AD26</f>
        <v>6356.1915000000008</v>
      </c>
      <c r="AE27" s="9">
        <f t="shared" si="21"/>
        <v>6737.2734149999997</v>
      </c>
      <c r="AF27" s="9">
        <f t="shared" si="21"/>
        <v>7061.9696491499999</v>
      </c>
      <c r="AG27" s="9">
        <f t="shared" si="21"/>
        <v>7318.1441456415014</v>
      </c>
      <c r="AH27" s="9">
        <f t="shared" si="21"/>
        <v>7510.3851866979167</v>
      </c>
      <c r="AI27" s="9">
        <f t="shared" si="21"/>
        <v>7693.0168010048947</v>
      </c>
      <c r="AJ27" s="9">
        <f t="shared" si="21"/>
        <v>7838.9548665917464</v>
      </c>
      <c r="AK27" s="9">
        <f t="shared" si="21"/>
        <v>7988.0592025673759</v>
      </c>
      <c r="AL27" s="9">
        <f t="shared" si="21"/>
        <v>8140.4054113837701</v>
      </c>
      <c r="AM27" s="9">
        <f t="shared" si="21"/>
        <v>8296.0710243710091</v>
      </c>
    </row>
    <row r="28" spans="2:39" x14ac:dyDescent="0.3">
      <c r="B28" s="1" t="s">
        <v>19</v>
      </c>
      <c r="K28" s="6">
        <v>970</v>
      </c>
      <c r="L28" s="6">
        <v>884</v>
      </c>
      <c r="M28" s="6">
        <v>924</v>
      </c>
      <c r="N28" s="6">
        <f>AB28-M28-L28-K28+AB29</f>
        <v>828</v>
      </c>
      <c r="O28" s="6">
        <v>825</v>
      </c>
      <c r="P28" s="6">
        <v>764</v>
      </c>
      <c r="Q28" s="6">
        <v>873</v>
      </c>
      <c r="R28" s="6">
        <v>968</v>
      </c>
      <c r="S28" s="6"/>
      <c r="T28" s="6"/>
      <c r="U28" s="6"/>
      <c r="V28" s="6"/>
      <c r="X28" s="6">
        <v>3315</v>
      </c>
      <c r="Y28" s="6">
        <v>3280</v>
      </c>
      <c r="Z28" s="6">
        <v>2998</v>
      </c>
      <c r="AA28" s="6">
        <v>3313</v>
      </c>
      <c r="AB28" s="6">
        <v>3568</v>
      </c>
      <c r="AC28" s="6">
        <f t="shared" ref="AC28:AC29" si="22">SUM(O28:R28)</f>
        <v>3430</v>
      </c>
      <c r="AD28" s="6">
        <f>AC28*1.04</f>
        <v>3567.2000000000003</v>
      </c>
      <c r="AE28" s="6">
        <f>AD28*1.03</f>
        <v>3674.2160000000003</v>
      </c>
      <c r="AF28" s="6">
        <f>AE28*1.02</f>
        <v>3747.7003200000004</v>
      </c>
      <c r="AG28" s="6">
        <f>AF28*1.01</f>
        <v>3785.1773232000005</v>
      </c>
      <c r="AH28" s="6">
        <f t="shared" ref="AH28:AM28" si="23">AG28*1.01</f>
        <v>3823.0290964320006</v>
      </c>
      <c r="AI28" s="6">
        <f t="shared" si="23"/>
        <v>3861.2593873963206</v>
      </c>
      <c r="AJ28" s="6">
        <f t="shared" si="23"/>
        <v>3899.8719812702839</v>
      </c>
      <c r="AK28" s="6">
        <f t="shared" si="23"/>
        <v>3938.8707010829867</v>
      </c>
      <c r="AL28" s="6">
        <f t="shared" si="23"/>
        <v>3978.2594080938165</v>
      </c>
      <c r="AM28" s="6">
        <f t="shared" si="23"/>
        <v>4018.0420021747545</v>
      </c>
    </row>
    <row r="29" spans="2:39" x14ac:dyDescent="0.3">
      <c r="B29" s="1" t="s">
        <v>20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1">
        <v>85</v>
      </c>
      <c r="X29" s="6">
        <f>51+767</f>
        <v>818</v>
      </c>
      <c r="Y29" s="6">
        <f>-220+207</f>
        <v>-13</v>
      </c>
      <c r="Z29" s="6">
        <v>802</v>
      </c>
      <c r="AA29" s="6">
        <v>374</v>
      </c>
      <c r="AB29" s="6">
        <v>38</v>
      </c>
      <c r="AC29" s="6">
        <f t="shared" si="22"/>
        <v>85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2:39" s="2" customFormat="1" x14ac:dyDescent="0.3">
      <c r="B30" s="2" t="s">
        <v>21</v>
      </c>
      <c r="K30" s="9">
        <f t="shared" ref="K30" si="24">K27-K28-K29</f>
        <v>378</v>
      </c>
      <c r="L30" s="9">
        <f t="shared" ref="L30:M30" si="25">L27-L28-L29</f>
        <v>476</v>
      </c>
      <c r="M30" s="9">
        <f t="shared" si="25"/>
        <v>495</v>
      </c>
      <c r="N30" s="9">
        <f t="shared" ref="N30" si="26">N27-N28-N29</f>
        <v>569</v>
      </c>
      <c r="O30" s="9">
        <f t="shared" ref="O30:P30" si="27">O27-O28-O29</f>
        <v>525</v>
      </c>
      <c r="P30" s="9">
        <f t="shared" si="27"/>
        <v>571</v>
      </c>
      <c r="Q30" s="9">
        <f t="shared" ref="Q30:R30" si="28">Q27-Q28-Q29</f>
        <v>621</v>
      </c>
      <c r="R30" s="9">
        <f t="shared" si="28"/>
        <v>393</v>
      </c>
      <c r="S30" s="9"/>
      <c r="T30" s="9"/>
      <c r="U30" s="9"/>
      <c r="V30" s="9"/>
      <c r="X30" s="9">
        <f t="shared" ref="X30:AC30" si="29">X27-X28-X29</f>
        <v>1175</v>
      </c>
      <c r="Y30" s="9">
        <f t="shared" si="29"/>
        <v>2109</v>
      </c>
      <c r="Z30" s="9">
        <f t="shared" si="29"/>
        <v>1127</v>
      </c>
      <c r="AA30" s="9">
        <f t="shared" si="29"/>
        <v>1426</v>
      </c>
      <c r="AB30" s="9">
        <f t="shared" si="29"/>
        <v>1918</v>
      </c>
      <c r="AC30" s="9">
        <f t="shared" si="29"/>
        <v>2110</v>
      </c>
      <c r="AD30" s="9">
        <f t="shared" ref="AD30:AM30" si="30">AD27-AD28-AD29</f>
        <v>2788.9915000000005</v>
      </c>
      <c r="AE30" s="9">
        <f t="shared" si="30"/>
        <v>3063.0574149999993</v>
      </c>
      <c r="AF30" s="9">
        <f t="shared" si="30"/>
        <v>3314.2693291499995</v>
      </c>
      <c r="AG30" s="9">
        <f t="shared" si="30"/>
        <v>3532.9668224415009</v>
      </c>
      <c r="AH30" s="9">
        <f t="shared" si="30"/>
        <v>3687.356090265916</v>
      </c>
      <c r="AI30" s="9">
        <f t="shared" si="30"/>
        <v>3831.7574136085741</v>
      </c>
      <c r="AJ30" s="9">
        <f t="shared" si="30"/>
        <v>3939.0828853214625</v>
      </c>
      <c r="AK30" s="9">
        <f t="shared" si="30"/>
        <v>4049.1885014843892</v>
      </c>
      <c r="AL30" s="9">
        <f t="shared" si="30"/>
        <v>4162.146003289954</v>
      </c>
      <c r="AM30" s="9">
        <f t="shared" si="30"/>
        <v>4278.029022196255</v>
      </c>
    </row>
    <row r="31" spans="2:39" x14ac:dyDescent="0.3">
      <c r="B31" s="1" t="s">
        <v>22</v>
      </c>
      <c r="K31" s="6">
        <v>-88</v>
      </c>
      <c r="L31" s="6">
        <v>-86</v>
      </c>
      <c r="M31" s="6">
        <v>-101</v>
      </c>
      <c r="N31" s="6">
        <f>AB31-M31-L31-K31</f>
        <v>-79</v>
      </c>
      <c r="O31" s="6">
        <v>-84</v>
      </c>
      <c r="P31" s="6">
        <v>-105</v>
      </c>
      <c r="Q31" s="6">
        <v>-98</v>
      </c>
      <c r="R31" s="6">
        <v>-132</v>
      </c>
      <c r="S31" s="6"/>
      <c r="T31" s="6"/>
      <c r="U31" s="6"/>
      <c r="V31" s="6"/>
      <c r="X31" s="6">
        <v>-401</v>
      </c>
      <c r="Y31" s="6">
        <v>-439</v>
      </c>
      <c r="Z31" s="6">
        <v>-425</v>
      </c>
      <c r="AA31" s="6">
        <v>-338</v>
      </c>
      <c r="AB31" s="6">
        <v>-354</v>
      </c>
      <c r="AC31" s="6">
        <f t="shared" ref="AC31:AC32" si="31">SUM(O31:R31)</f>
        <v>-419</v>
      </c>
      <c r="AD31" s="6">
        <f t="shared" ref="AD31:AM31" si="32">AC31*1.01</f>
        <v>-423.19</v>
      </c>
      <c r="AE31" s="6">
        <f t="shared" si="32"/>
        <v>-427.42189999999999</v>
      </c>
      <c r="AF31" s="6">
        <f t="shared" si="32"/>
        <v>-431.69611900000001</v>
      </c>
      <c r="AG31" s="6">
        <f t="shared" si="32"/>
        <v>-436.01308019000004</v>
      </c>
      <c r="AH31" s="6">
        <f t="shared" si="32"/>
        <v>-440.37321099190007</v>
      </c>
      <c r="AI31" s="6">
        <f t="shared" si="32"/>
        <v>-444.77694310181909</v>
      </c>
      <c r="AJ31" s="6">
        <f t="shared" si="32"/>
        <v>-449.22471253283726</v>
      </c>
      <c r="AK31" s="6">
        <f t="shared" si="32"/>
        <v>-453.71695965816565</v>
      </c>
      <c r="AL31" s="6">
        <f t="shared" si="32"/>
        <v>-458.25412925474728</v>
      </c>
      <c r="AM31" s="6">
        <f t="shared" si="32"/>
        <v>-462.83667054729477</v>
      </c>
    </row>
    <row r="32" spans="2:39" x14ac:dyDescent="0.3">
      <c r="B32" s="1" t="s">
        <v>23</v>
      </c>
      <c r="K32" s="6">
        <v>176</v>
      </c>
      <c r="L32" s="6">
        <v>172</v>
      </c>
      <c r="M32" s="6">
        <v>166</v>
      </c>
      <c r="N32" s="6">
        <f>AB32-M32-L32-K32</f>
        <v>161</v>
      </c>
      <c r="O32" s="6">
        <v>150</v>
      </c>
      <c r="P32" s="6">
        <v>152</v>
      </c>
      <c r="Q32" s="6">
        <v>152</v>
      </c>
      <c r="R32" s="6">
        <v>143</v>
      </c>
      <c r="S32" s="6"/>
      <c r="T32" s="6"/>
      <c r="U32" s="6"/>
      <c r="V32" s="6"/>
      <c r="X32" s="6">
        <v>254</v>
      </c>
      <c r="Y32" s="6">
        <v>265</v>
      </c>
      <c r="Z32" s="6">
        <v>279</v>
      </c>
      <c r="AA32" s="6">
        <v>543</v>
      </c>
      <c r="AB32" s="6">
        <v>675</v>
      </c>
      <c r="AC32" s="6">
        <f t="shared" si="31"/>
        <v>597</v>
      </c>
      <c r="AD32" s="6">
        <f t="shared" ref="AD32:AM32" si="33">AC32*1.01</f>
        <v>602.97</v>
      </c>
      <c r="AE32" s="6">
        <f t="shared" si="33"/>
        <v>608.99970000000008</v>
      </c>
      <c r="AF32" s="6">
        <f t="shared" si="33"/>
        <v>615.08969700000011</v>
      </c>
      <c r="AG32" s="6">
        <f t="shared" si="33"/>
        <v>621.24059397000008</v>
      </c>
      <c r="AH32" s="6">
        <f t="shared" si="33"/>
        <v>627.45299990970011</v>
      </c>
      <c r="AI32" s="6">
        <f t="shared" si="33"/>
        <v>633.72752990879712</v>
      </c>
      <c r="AJ32" s="6">
        <f t="shared" si="33"/>
        <v>640.06480520788512</v>
      </c>
      <c r="AK32" s="6">
        <f t="shared" si="33"/>
        <v>646.46545325996397</v>
      </c>
      <c r="AL32" s="6">
        <f t="shared" si="33"/>
        <v>652.9301077925636</v>
      </c>
      <c r="AM32" s="6">
        <f t="shared" si="33"/>
        <v>659.45940887048926</v>
      </c>
    </row>
    <row r="33" spans="2:149" s="2" customFormat="1" x14ac:dyDescent="0.3">
      <c r="B33" s="2" t="s">
        <v>24</v>
      </c>
      <c r="K33" s="9">
        <f t="shared" ref="K33" si="34">K30-K31-K32</f>
        <v>290</v>
      </c>
      <c r="L33" s="9">
        <f t="shared" ref="L33:M33" si="35">L30-L31-L32</f>
        <v>390</v>
      </c>
      <c r="M33" s="9">
        <f t="shared" si="35"/>
        <v>430</v>
      </c>
      <c r="N33" s="9">
        <f t="shared" ref="N33" si="36">N30-N31-N32</f>
        <v>487</v>
      </c>
      <c r="O33" s="9">
        <f t="shared" ref="O33:P33" si="37">O30-O31-O32</f>
        <v>459</v>
      </c>
      <c r="P33" s="9">
        <f t="shared" si="37"/>
        <v>524</v>
      </c>
      <c r="Q33" s="9">
        <f t="shared" ref="Q33:R33" si="38">Q30-Q31-Q32</f>
        <v>567</v>
      </c>
      <c r="R33" s="9">
        <f t="shared" si="38"/>
        <v>382</v>
      </c>
      <c r="S33" s="9"/>
      <c r="T33" s="9"/>
      <c r="U33" s="9"/>
      <c r="V33" s="9"/>
      <c r="X33" s="9">
        <f t="shared" ref="X33:AC33" si="39">X30-X31-X32</f>
        <v>1322</v>
      </c>
      <c r="Y33" s="9">
        <f t="shared" si="39"/>
        <v>2283</v>
      </c>
      <c r="Z33" s="9">
        <f t="shared" si="39"/>
        <v>1273</v>
      </c>
      <c r="AA33" s="9">
        <f t="shared" si="39"/>
        <v>1221</v>
      </c>
      <c r="AB33" s="9">
        <f t="shared" si="39"/>
        <v>1597</v>
      </c>
      <c r="AC33" s="9">
        <f t="shared" si="39"/>
        <v>1932</v>
      </c>
      <c r="AD33" s="9">
        <f t="shared" ref="AD33:AM33" si="40">AD30-AD31-AD32</f>
        <v>2609.2115000000003</v>
      </c>
      <c r="AE33" s="9">
        <f t="shared" si="40"/>
        <v>2881.4796149999993</v>
      </c>
      <c r="AF33" s="9">
        <f t="shared" si="40"/>
        <v>3130.8757511499998</v>
      </c>
      <c r="AG33" s="9">
        <f t="shared" si="40"/>
        <v>3347.7393086615007</v>
      </c>
      <c r="AH33" s="9">
        <f t="shared" si="40"/>
        <v>3500.2763013481153</v>
      </c>
      <c r="AI33" s="9">
        <f t="shared" si="40"/>
        <v>3642.8068268015959</v>
      </c>
      <c r="AJ33" s="9">
        <f t="shared" si="40"/>
        <v>3748.2427926464152</v>
      </c>
      <c r="AK33" s="9">
        <f t="shared" si="40"/>
        <v>3856.4400078825906</v>
      </c>
      <c r="AL33" s="9">
        <f t="shared" si="40"/>
        <v>3967.4700247521378</v>
      </c>
      <c r="AM33" s="9">
        <f t="shared" si="40"/>
        <v>4081.4062838730601</v>
      </c>
    </row>
    <row r="34" spans="2:149" x14ac:dyDescent="0.3">
      <c r="B34" s="1" t="s">
        <v>25</v>
      </c>
      <c r="K34" s="6">
        <v>5</v>
      </c>
      <c r="L34" s="6">
        <v>23</v>
      </c>
      <c r="M34" s="6">
        <v>26</v>
      </c>
      <c r="N34" s="6">
        <f t="shared" ref="N34:N35" si="41">AB34-M34-L34-K34</f>
        <v>31</v>
      </c>
      <c r="O34" s="6">
        <v>73</v>
      </c>
      <c r="P34" s="6">
        <v>66</v>
      </c>
      <c r="Q34" s="6">
        <v>105</v>
      </c>
      <c r="R34" s="6">
        <v>82</v>
      </c>
      <c r="S34" s="6"/>
      <c r="T34" s="6"/>
      <c r="U34" s="6"/>
      <c r="V34" s="6"/>
      <c r="X34" s="6">
        <v>234</v>
      </c>
      <c r="Y34" s="6">
        <v>440</v>
      </c>
      <c r="Z34" s="6">
        <v>212</v>
      </c>
      <c r="AA34" s="6">
        <v>23</v>
      </c>
      <c r="AB34" s="6">
        <v>85</v>
      </c>
      <c r="AC34" s="6">
        <f t="shared" ref="AC34:AC35" si="42">SUM(O34:R34)</f>
        <v>326</v>
      </c>
      <c r="AD34" s="6">
        <f>AD33*0.15</f>
        <v>391.38172500000002</v>
      </c>
      <c r="AE34" s="6">
        <f t="shared" ref="AE34:AM34" si="43">AE33*0.15</f>
        <v>432.22194224999987</v>
      </c>
      <c r="AF34" s="6">
        <f t="shared" si="43"/>
        <v>469.63136267249996</v>
      </c>
      <c r="AG34" s="6">
        <f t="shared" si="43"/>
        <v>502.1608962992251</v>
      </c>
      <c r="AH34" s="6">
        <f t="shared" si="43"/>
        <v>525.04144520221723</v>
      </c>
      <c r="AI34" s="6">
        <f t="shared" si="43"/>
        <v>546.42102402023932</v>
      </c>
      <c r="AJ34" s="6">
        <f t="shared" si="43"/>
        <v>562.23641889696228</v>
      </c>
      <c r="AK34" s="6">
        <f t="shared" si="43"/>
        <v>578.4660011823886</v>
      </c>
      <c r="AL34" s="6">
        <f t="shared" si="43"/>
        <v>595.12050371282066</v>
      </c>
      <c r="AM34" s="6">
        <f t="shared" si="43"/>
        <v>612.210942580959</v>
      </c>
    </row>
    <row r="35" spans="2:149" x14ac:dyDescent="0.3">
      <c r="B35" s="1" t="s">
        <v>26</v>
      </c>
      <c r="K35" s="6">
        <v>2</v>
      </c>
      <c r="L35" s="6">
        <v>1</v>
      </c>
      <c r="M35" s="6">
        <v>4</v>
      </c>
      <c r="N35" s="6">
        <f t="shared" si="41"/>
        <v>3</v>
      </c>
      <c r="O35" s="6">
        <v>0</v>
      </c>
      <c r="P35" s="6">
        <v>0</v>
      </c>
      <c r="Q35" s="6">
        <v>0</v>
      </c>
      <c r="R35" s="6">
        <v>0</v>
      </c>
      <c r="S35" s="6"/>
      <c r="T35" s="6"/>
      <c r="U35" s="6"/>
      <c r="V35" s="6"/>
      <c r="X35" s="6">
        <f>2-33</f>
        <v>-31</v>
      </c>
      <c r="Y35" s="6">
        <f>1-4</f>
        <v>-3</v>
      </c>
      <c r="Z35" s="6">
        <v>-1</v>
      </c>
      <c r="AA35" s="6">
        <v>-29</v>
      </c>
      <c r="AB35" s="6">
        <v>10</v>
      </c>
      <c r="AC35" s="6">
        <f t="shared" si="42"/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>
        <v>0</v>
      </c>
      <c r="AJ35" s="6">
        <v>0</v>
      </c>
      <c r="AK35" s="6">
        <v>0</v>
      </c>
      <c r="AL35" s="6">
        <v>0</v>
      </c>
      <c r="AM35" s="6">
        <v>0</v>
      </c>
    </row>
    <row r="36" spans="2:149" s="2" customFormat="1" x14ac:dyDescent="0.3">
      <c r="B36" s="2" t="s">
        <v>27</v>
      </c>
      <c r="K36" s="9">
        <f t="shared" ref="K36" si="44">K33-K34-K35</f>
        <v>283</v>
      </c>
      <c r="L36" s="9">
        <f t="shared" ref="L36:M36" si="45">L33-L34-L35</f>
        <v>366</v>
      </c>
      <c r="M36" s="9">
        <f t="shared" si="45"/>
        <v>400</v>
      </c>
      <c r="N36" s="9">
        <f t="shared" ref="N36" si="46">N33-N34-N35</f>
        <v>453</v>
      </c>
      <c r="O36" s="9">
        <f t="shared" ref="O36:P36" si="47">O33-O34-O35</f>
        <v>386</v>
      </c>
      <c r="P36" s="9">
        <f t="shared" si="47"/>
        <v>458</v>
      </c>
      <c r="Q36" s="9">
        <f t="shared" ref="Q36:R36" si="48">Q33-Q34-Q35</f>
        <v>462</v>
      </c>
      <c r="R36" s="9">
        <f t="shared" si="48"/>
        <v>300</v>
      </c>
      <c r="S36" s="9"/>
      <c r="T36" s="9"/>
      <c r="U36" s="9"/>
      <c r="V36" s="9"/>
      <c r="X36" s="9">
        <f t="shared" ref="X36:AC36" si="49">X33-X34-X35</f>
        <v>1119</v>
      </c>
      <c r="Y36" s="9">
        <f t="shared" si="49"/>
        <v>1846</v>
      </c>
      <c r="Z36" s="9">
        <f t="shared" si="49"/>
        <v>1062</v>
      </c>
      <c r="AA36" s="9">
        <f t="shared" si="49"/>
        <v>1227</v>
      </c>
      <c r="AB36" s="9">
        <f t="shared" si="49"/>
        <v>1502</v>
      </c>
      <c r="AC36" s="9">
        <f t="shared" si="49"/>
        <v>1606</v>
      </c>
      <c r="AD36" s="9">
        <f t="shared" ref="AD36:AM36" si="50">AD33-AD34-AD35</f>
        <v>2217.8297750000002</v>
      </c>
      <c r="AE36" s="9">
        <f t="shared" si="50"/>
        <v>2449.2576727499995</v>
      </c>
      <c r="AF36" s="9">
        <f t="shared" si="50"/>
        <v>2661.2443884774998</v>
      </c>
      <c r="AG36" s="9">
        <f t="shared" si="50"/>
        <v>2845.5784123622757</v>
      </c>
      <c r="AH36" s="9">
        <f t="shared" si="50"/>
        <v>2975.234856145898</v>
      </c>
      <c r="AI36" s="9">
        <f t="shared" si="50"/>
        <v>3096.3858027813567</v>
      </c>
      <c r="AJ36" s="9">
        <f t="shared" si="50"/>
        <v>3186.0063737494529</v>
      </c>
      <c r="AK36" s="9">
        <f t="shared" si="50"/>
        <v>3277.9740067002022</v>
      </c>
      <c r="AL36" s="9">
        <f t="shared" si="50"/>
        <v>3372.3495210393171</v>
      </c>
      <c r="AM36" s="9">
        <f t="shared" si="50"/>
        <v>3469.1953412921011</v>
      </c>
      <c r="AN36" s="2">
        <f>AM36*(1+$AP$50)</f>
        <v>3434.5033878791801</v>
      </c>
      <c r="AO36" s="2">
        <f>AN36*(1+$AP$50)</f>
        <v>3400.158354000388</v>
      </c>
      <c r="AP36" s="2">
        <f>AO36*(1+$AP$50)</f>
        <v>3366.156770460384</v>
      </c>
      <c r="AQ36" s="2">
        <f>AP36*(1+$AP$50)</f>
        <v>3332.4952027557802</v>
      </c>
      <c r="AR36" s="2">
        <f>AQ36*(1+$AP$50)</f>
        <v>3299.1702507282225</v>
      </c>
      <c r="AS36" s="2">
        <f>AR36*(1+$AP$50)</f>
        <v>3266.1785482209402</v>
      </c>
      <c r="AT36" s="2">
        <f>AS36*(1+$AP$50)</f>
        <v>3233.5167627387309</v>
      </c>
      <c r="AU36" s="2">
        <f>AT36*(1+$AP$50)</f>
        <v>3201.1815951113435</v>
      </c>
      <c r="AV36" s="2">
        <f>AU36*(1+$AP$50)</f>
        <v>3169.1697791602301</v>
      </c>
      <c r="AW36" s="2">
        <f>AV36*(1+$AP$50)</f>
        <v>3137.478081368628</v>
      </c>
      <c r="AX36" s="2">
        <f>AW36*(1+$AP$50)</f>
        <v>3106.1033005549416</v>
      </c>
      <c r="AY36" s="2">
        <f>AX36*(1+$AP$50)</f>
        <v>3075.0422675493924</v>
      </c>
      <c r="AZ36" s="2">
        <f>AY36*(1+$AP$50)</f>
        <v>3044.2918448738983</v>
      </c>
      <c r="BA36" s="2">
        <f>AZ36*(1+$AP$50)</f>
        <v>3013.8489264251593</v>
      </c>
      <c r="BB36" s="2">
        <f>BA36*(1+$AP$50)</f>
        <v>2983.7104371609075</v>
      </c>
      <c r="BC36" s="2">
        <f>BB36*(1+$AP$50)</f>
        <v>2953.8733327892983</v>
      </c>
      <c r="BD36" s="2">
        <f>BC36*(1+$AP$50)</f>
        <v>2924.3345994614051</v>
      </c>
      <c r="BE36" s="2">
        <f>BD36*(1+$AP$50)</f>
        <v>2895.0912534667909</v>
      </c>
      <c r="BF36" s="2">
        <f>BE36*(1+$AP$50)</f>
        <v>2866.1403409321229</v>
      </c>
      <c r="BG36" s="2">
        <f>BF36*(1+$AP$50)</f>
        <v>2837.4789375228015</v>
      </c>
      <c r="BH36" s="2">
        <f>BG36*(1+$AP$50)</f>
        <v>2809.1041481475736</v>
      </c>
      <c r="BI36" s="2">
        <f>BH36*(1+$AP$50)</f>
        <v>2781.0131066660979</v>
      </c>
      <c r="BJ36" s="2">
        <f>BI36*(1+$AP$50)</f>
        <v>2753.2029755994367</v>
      </c>
      <c r="BK36" s="2">
        <f>BJ36*(1+$AP$50)</f>
        <v>2725.6709458434425</v>
      </c>
      <c r="BL36" s="2">
        <f>BK36*(1+$AP$50)</f>
        <v>2698.4142363850078</v>
      </c>
      <c r="BM36" s="2">
        <f>BL36*(1+$AP$50)</f>
        <v>2671.4300940211579</v>
      </c>
      <c r="BN36" s="2">
        <f>BM36*(1+$AP$50)</f>
        <v>2644.7157930809462</v>
      </c>
      <c r="BO36" s="2">
        <f>BN36*(1+$AP$50)</f>
        <v>2618.2686351501366</v>
      </c>
      <c r="BP36" s="2">
        <f>BO36*(1+$AP$50)</f>
        <v>2592.0859487986349</v>
      </c>
      <c r="BQ36" s="2">
        <f>BP36*(1+$AP$50)</f>
        <v>2566.1650893106485</v>
      </c>
      <c r="BR36" s="2">
        <f>BQ36*(1+$AP$50)</f>
        <v>2540.5034384175419</v>
      </c>
      <c r="BS36" s="2">
        <f>BR36*(1+$AP$50)</f>
        <v>2515.0984040333665</v>
      </c>
      <c r="BT36" s="2">
        <f>BS36*(1+$AP$50)</f>
        <v>2489.9474199930328</v>
      </c>
      <c r="BU36" s="2">
        <f>BT36*(1+$AP$50)</f>
        <v>2465.0479457931024</v>
      </c>
      <c r="BV36" s="2">
        <f>BU36*(1+$AP$50)</f>
        <v>2440.3974663351714</v>
      </c>
      <c r="BW36" s="2">
        <f>BV36*(1+$AP$50)</f>
        <v>2415.9934916718198</v>
      </c>
      <c r="BX36" s="2">
        <f>BW36*(1+$AP$50)</f>
        <v>2391.8335567551017</v>
      </c>
      <c r="BY36" s="2">
        <f>BX36*(1+$AP$50)</f>
        <v>2367.9152211875507</v>
      </c>
      <c r="BZ36" s="2">
        <f>BY36*(1+$AP$50)</f>
        <v>2344.2360689756752</v>
      </c>
      <c r="CA36" s="2">
        <f>BZ36*(1+$AP$50)</f>
        <v>2320.7937082859185</v>
      </c>
      <c r="CB36" s="2">
        <f>CA36*(1+$AP$50)</f>
        <v>2297.5857712030593</v>
      </c>
      <c r="CC36" s="2">
        <f>CB36*(1+$AP$50)</f>
        <v>2274.6099134910287</v>
      </c>
      <c r="CD36" s="2">
        <f>CC36*(1+$AP$50)</f>
        <v>2251.8638143561184</v>
      </c>
      <c r="CE36" s="2">
        <f>CD36*(1+$AP$50)</f>
        <v>2229.3451762125574</v>
      </c>
      <c r="CF36" s="2">
        <f>CE36*(1+$AP$50)</f>
        <v>2207.0517244504317</v>
      </c>
      <c r="CG36" s="2">
        <f>CF36*(1+$AP$50)</f>
        <v>2184.9812072059276</v>
      </c>
      <c r="CH36" s="2">
        <f>CG36*(1+$AP$50)</f>
        <v>2163.1313951338684</v>
      </c>
      <c r="CI36" s="2">
        <f>CH36*(1+$AP$50)</f>
        <v>2141.5000811825298</v>
      </c>
      <c r="CJ36" s="2">
        <f>CI36*(1+$AP$50)</f>
        <v>2120.0850803707044</v>
      </c>
      <c r="CK36" s="2">
        <f>CJ36*(1+$AP$50)</f>
        <v>2098.8842295669974</v>
      </c>
      <c r="CL36" s="2">
        <f>CK36*(1+$AP$50)</f>
        <v>2077.8953872713273</v>
      </c>
      <c r="CM36" s="2">
        <f>CL36*(1+$AP$50)</f>
        <v>2057.1164333986139</v>
      </c>
      <c r="CN36" s="2">
        <f>CM36*(1+$AP$50)</f>
        <v>2036.5452690646277</v>
      </c>
      <c r="CO36" s="2">
        <f>CN36*(1+$AP$50)</f>
        <v>2016.1798163739813</v>
      </c>
      <c r="CP36" s="2">
        <f>CO36*(1+$AP$50)</f>
        <v>1996.0180182102415</v>
      </c>
      <c r="CQ36" s="2">
        <f>CP36*(1+$AP$50)</f>
        <v>1976.057838028139</v>
      </c>
      <c r="CR36" s="2">
        <f>CQ36*(1+$AP$50)</f>
        <v>1956.2972596478576</v>
      </c>
      <c r="CS36" s="2">
        <f>CR36*(1+$AP$50)</f>
        <v>1936.7342870513789</v>
      </c>
      <c r="CT36" s="2">
        <f>CS36*(1+$AP$50)</f>
        <v>1917.3669441808652</v>
      </c>
      <c r="CU36" s="2">
        <f>CT36*(1+$AP$50)</f>
        <v>1898.1932747390565</v>
      </c>
      <c r="CV36" s="2">
        <f>CU36*(1+$AP$50)</f>
        <v>1879.2113419916659</v>
      </c>
      <c r="CW36" s="2">
        <f>CV36*(1+$AP$50)</f>
        <v>1860.4192285717493</v>
      </c>
      <c r="CX36" s="2">
        <f>CW36*(1+$AP$50)</f>
        <v>1841.8150362860317</v>
      </c>
      <c r="CY36" s="2">
        <f>CX36*(1+$AP$50)</f>
        <v>1823.3968859231713</v>
      </c>
      <c r="CZ36" s="2">
        <f>CY36*(1+$AP$50)</f>
        <v>1805.1629170639396</v>
      </c>
      <c r="DA36" s="2">
        <f>CZ36*(1+$AP$50)</f>
        <v>1787.1112878933002</v>
      </c>
      <c r="DB36" s="2">
        <f>DA36*(1+$AP$50)</f>
        <v>1769.2401750143672</v>
      </c>
      <c r="DC36" s="2">
        <f>DB36*(1+$AP$50)</f>
        <v>1751.5477732642235</v>
      </c>
      <c r="DD36" s="2">
        <f>DC36*(1+$AP$50)</f>
        <v>1734.0322955315812</v>
      </c>
      <c r="DE36" s="2">
        <f>DD36*(1+$AP$50)</f>
        <v>1716.6919725762655</v>
      </c>
      <c r="DF36" s="2">
        <f>DE36*(1+$AP$50)</f>
        <v>1699.5250528505028</v>
      </c>
      <c r="DG36" s="2">
        <f>DF36*(1+$AP$50)</f>
        <v>1682.5298023219977</v>
      </c>
      <c r="DH36" s="2">
        <f>DG36*(1+$AP$50)</f>
        <v>1665.7045042987777</v>
      </c>
      <c r="DI36" s="2">
        <f>DH36*(1+$AP$50)</f>
        <v>1649.0474592557898</v>
      </c>
      <c r="DJ36" s="2">
        <f>DI36*(1+$AP$50)</f>
        <v>1632.556984663232</v>
      </c>
      <c r="DK36" s="2">
        <f>DJ36*(1+$AP$50)</f>
        <v>1616.2314148165997</v>
      </c>
      <c r="DL36" s="2">
        <f>DK36*(1+$AP$50)</f>
        <v>1600.0691006684337</v>
      </c>
      <c r="DM36" s="2">
        <f>DL36*(1+$AP$50)</f>
        <v>1584.0684096617495</v>
      </c>
      <c r="DN36" s="2">
        <f>DM36*(1+$AP$50)</f>
        <v>1568.227725565132</v>
      </c>
      <c r="DO36" s="2">
        <f>DN36*(1+$AP$50)</f>
        <v>1552.5454483094807</v>
      </c>
      <c r="DP36" s="2">
        <f>DO36*(1+$AP$50)</f>
        <v>1537.0199938263859</v>
      </c>
      <c r="DQ36" s="2">
        <f>DP36*(1+$AP$50)</f>
        <v>1521.6497938881221</v>
      </c>
      <c r="DR36" s="2">
        <f>DQ36*(1+$AP$50)</f>
        <v>1506.4332959492408</v>
      </c>
      <c r="DS36" s="2">
        <f>DR36*(1+$AP$50)</f>
        <v>1491.3689629897483</v>
      </c>
      <c r="DT36" s="2">
        <f>DS36*(1+$AP$50)</f>
        <v>1476.4552733598507</v>
      </c>
      <c r="DU36" s="2">
        <f>DT36*(1+$AP$50)</f>
        <v>1461.6907206262522</v>
      </c>
      <c r="DV36" s="2">
        <f>DU36*(1+$AP$50)</f>
        <v>1447.0738134199896</v>
      </c>
      <c r="DW36" s="2">
        <f>DV36*(1+$AP$50)</f>
        <v>1432.6030752857896</v>
      </c>
      <c r="DX36" s="2">
        <f>DW36*(1+$AP$50)</f>
        <v>1418.2770445329318</v>
      </c>
      <c r="DY36" s="2">
        <f>DX36*(1+$AP$50)</f>
        <v>1404.0942740876023</v>
      </c>
      <c r="DZ36" s="2">
        <f>DY36*(1+$AP$50)</f>
        <v>1390.0533313467263</v>
      </c>
      <c r="EA36" s="2">
        <f>DZ36*(1+$AP$50)</f>
        <v>1376.1527980332589</v>
      </c>
      <c r="EB36" s="2">
        <f>EA36*(1+$AP$50)</f>
        <v>1362.3912700529263</v>
      </c>
      <c r="EC36" s="2">
        <f>EB36*(1+$AP$50)</f>
        <v>1348.7673573523971</v>
      </c>
      <c r="ED36" s="2">
        <f>EC36*(1+$AP$50)</f>
        <v>1335.279683778873</v>
      </c>
      <c r="EE36" s="2">
        <f>ED36*(1+$AP$50)</f>
        <v>1321.9268869410844</v>
      </c>
      <c r="EF36" s="2">
        <f>EE36*(1+$AP$50)</f>
        <v>1308.7076180716736</v>
      </c>
      <c r="EG36" s="2">
        <f>EF36*(1+$AP$50)</f>
        <v>1295.6205418909567</v>
      </c>
      <c r="EH36" s="2">
        <f>EG36*(1+$AP$50)</f>
        <v>1282.6643364720471</v>
      </c>
      <c r="EI36" s="2">
        <f>EH36*(1+$AP$50)</f>
        <v>1269.8376931073267</v>
      </c>
      <c r="EJ36" s="2">
        <f>EI36*(1+$AP$50)</f>
        <v>1257.1393161762535</v>
      </c>
      <c r="EK36" s="2">
        <f>EJ36*(1+$AP$50)</f>
        <v>1244.567923014491</v>
      </c>
      <c r="EL36" s="2">
        <f>EK36*(1+$AP$50)</f>
        <v>1232.1222437843462</v>
      </c>
      <c r="EM36" s="2">
        <f>EL36*(1+$AP$50)</f>
        <v>1219.8010213465027</v>
      </c>
      <c r="EN36" s="2">
        <f>EM36*(1+$AP$50)</f>
        <v>1207.6030111330376</v>
      </c>
      <c r="EO36" s="2">
        <f>EN36*(1+$AP$50)</f>
        <v>1195.5269810217073</v>
      </c>
      <c r="EP36" s="2">
        <f>EO36*(1+$AP$50)</f>
        <v>1183.5717112114903</v>
      </c>
      <c r="EQ36" s="2">
        <f>EP36*(1+$AP$50)</f>
        <v>1171.7359940993754</v>
      </c>
      <c r="ER36" s="2">
        <f>EQ36*(1+$AP$50)</f>
        <v>1160.0186341583817</v>
      </c>
      <c r="ES36" s="2">
        <f>ER36*(1+$AP$50)</f>
        <v>1148.4184478167979</v>
      </c>
    </row>
    <row r="37" spans="2:149" x14ac:dyDescent="0.3">
      <c r="B37" s="1" t="s">
        <v>2</v>
      </c>
      <c r="K37" s="6">
        <f t="shared" ref="K37" si="51">188.3</f>
        <v>188.3</v>
      </c>
      <c r="L37" s="6">
        <f t="shared" ref="L37:N37" si="52">188.3</f>
        <v>188.3</v>
      </c>
      <c r="M37" s="6">
        <f t="shared" si="52"/>
        <v>188.3</v>
      </c>
      <c r="N37" s="6">
        <f t="shared" si="52"/>
        <v>188.3</v>
      </c>
      <c r="O37" s="6">
        <f t="shared" ref="O37:P37" si="53">188.3</f>
        <v>188.3</v>
      </c>
      <c r="P37" s="6">
        <f t="shared" si="53"/>
        <v>188.3</v>
      </c>
      <c r="Q37" s="6">
        <v>187.1</v>
      </c>
      <c r="R37" s="6">
        <f>186.8</f>
        <v>186.8</v>
      </c>
      <c r="S37" s="6"/>
      <c r="T37" s="6"/>
      <c r="U37" s="6"/>
      <c r="V37" s="6"/>
      <c r="X37" s="6">
        <f t="shared" ref="X37:AB37" si="54">188.3</f>
        <v>188.3</v>
      </c>
      <c r="Y37" s="6">
        <f t="shared" si="54"/>
        <v>188.3</v>
      </c>
      <c r="Z37" s="6">
        <f t="shared" si="54"/>
        <v>188.3</v>
      </c>
      <c r="AA37" s="6">
        <f t="shared" si="54"/>
        <v>188.3</v>
      </c>
      <c r="AB37" s="6">
        <f t="shared" si="54"/>
        <v>188.3</v>
      </c>
      <c r="AC37" s="6">
        <f>186.8</f>
        <v>186.8</v>
      </c>
      <c r="AD37" s="6">
        <f>186.8</f>
        <v>186.8</v>
      </c>
      <c r="AE37" s="6">
        <f>186.8</f>
        <v>186.8</v>
      </c>
      <c r="AF37" s="6">
        <f>186.8</f>
        <v>186.8</v>
      </c>
      <c r="AG37" s="6">
        <f>186.8</f>
        <v>186.8</v>
      </c>
      <c r="AH37" s="6">
        <f>186.8</f>
        <v>186.8</v>
      </c>
      <c r="AI37" s="6">
        <f>186.8</f>
        <v>186.8</v>
      </c>
      <c r="AJ37" s="6">
        <f>186.8</f>
        <v>186.8</v>
      </c>
      <c r="AK37" s="6">
        <f>186.8</f>
        <v>186.8</v>
      </c>
      <c r="AL37" s="6">
        <f>186.8</f>
        <v>186.8</v>
      </c>
      <c r="AM37" s="6">
        <f>186.8</f>
        <v>186.8</v>
      </c>
    </row>
    <row r="38" spans="2:149" x14ac:dyDescent="0.3">
      <c r="B38" s="1" t="s">
        <v>28</v>
      </c>
      <c r="K38" s="8">
        <f t="shared" ref="K38" si="55">K36/K37</f>
        <v>1.5029208709506106</v>
      </c>
      <c r="L38" s="8">
        <f t="shared" ref="L38:M38" si="56">L36/L37</f>
        <v>1.9437068507700477</v>
      </c>
      <c r="M38" s="8">
        <f t="shared" si="56"/>
        <v>2.1242697822623473</v>
      </c>
      <c r="N38" s="8">
        <f t="shared" ref="N38" si="57">N36/N37</f>
        <v>2.4057355284121082</v>
      </c>
      <c r="O38" s="8">
        <f t="shared" ref="O38:P38" si="58">O36/O37</f>
        <v>2.0499203398831649</v>
      </c>
      <c r="P38" s="8">
        <f t="shared" si="58"/>
        <v>2.4322889006903874</v>
      </c>
      <c r="Q38" s="8">
        <f t="shared" ref="Q38:R38" si="59">Q36/Q37</f>
        <v>2.4692677712453235</v>
      </c>
      <c r="R38" s="8">
        <f t="shared" si="59"/>
        <v>1.6059957173447537</v>
      </c>
      <c r="S38" s="8"/>
      <c r="T38" s="8"/>
      <c r="U38" s="8"/>
      <c r="V38" s="8"/>
      <c r="X38" s="8">
        <f t="shared" ref="X38:AC38" si="60">X36/X37</f>
        <v>5.9426447158789166</v>
      </c>
      <c r="Y38" s="8">
        <f t="shared" si="60"/>
        <v>9.8035050451407315</v>
      </c>
      <c r="Z38" s="8">
        <f t="shared" si="60"/>
        <v>5.6399362719065316</v>
      </c>
      <c r="AA38" s="8">
        <f t="shared" si="60"/>
        <v>6.5161975570897503</v>
      </c>
      <c r="AB38" s="8">
        <f t="shared" si="60"/>
        <v>7.9766330323951138</v>
      </c>
      <c r="AC38" s="8">
        <f t="shared" si="60"/>
        <v>8.5974304068522471</v>
      </c>
      <c r="AD38" s="8">
        <f t="shared" ref="AD38:AM38" si="61">AD36/AD37</f>
        <v>11.87275040149893</v>
      </c>
      <c r="AE38" s="8">
        <f t="shared" si="61"/>
        <v>13.111657777034258</v>
      </c>
      <c r="AF38" s="8">
        <f t="shared" si="61"/>
        <v>14.246490302342075</v>
      </c>
      <c r="AG38" s="8">
        <f t="shared" si="61"/>
        <v>15.233289145408326</v>
      </c>
      <c r="AH38" s="8">
        <f t="shared" si="61"/>
        <v>15.927381456883822</v>
      </c>
      <c r="AI38" s="8">
        <f t="shared" si="61"/>
        <v>16.575941128379853</v>
      </c>
      <c r="AJ38" s="8">
        <f t="shared" si="61"/>
        <v>17.0557086389157</v>
      </c>
      <c r="AK38" s="8">
        <f t="shared" si="61"/>
        <v>17.548040721093159</v>
      </c>
      <c r="AL38" s="8">
        <f t="shared" si="61"/>
        <v>18.053262960595916</v>
      </c>
      <c r="AM38" s="8">
        <f t="shared" si="61"/>
        <v>18.571709535824951</v>
      </c>
    </row>
    <row r="40" spans="2:149" x14ac:dyDescent="0.3">
      <c r="B40" s="1" t="s">
        <v>71</v>
      </c>
      <c r="M40" s="10">
        <f>M9/I9-1</f>
        <v>-0.17884729649435527</v>
      </c>
      <c r="N40" s="10">
        <f>N9/J9-1</f>
        <v>-4.0000000000000036E-2</v>
      </c>
      <c r="O40" s="10">
        <f>O9/K9-1</f>
        <v>4.4822256568779029E-2</v>
      </c>
      <c r="P40" s="10">
        <f>P9/L9-1</f>
        <v>2.2288261515601704E-2</v>
      </c>
      <c r="Q40" s="10">
        <f>Q9/M9-1</f>
        <v>5.7887120115774238E-2</v>
      </c>
      <c r="R40" s="10">
        <f>R9/N9-1</f>
        <v>-0.14178240740740744</v>
      </c>
      <c r="S40" s="10"/>
      <c r="T40" s="10"/>
      <c r="U40" s="10"/>
      <c r="V40" s="10"/>
      <c r="AC40" s="10">
        <f>AC9/AB9-1</f>
        <v>-1.3391304347826094E-2</v>
      </c>
    </row>
    <row r="41" spans="2:149" x14ac:dyDescent="0.3">
      <c r="B41" s="1" t="s">
        <v>72</v>
      </c>
      <c r="M41" s="10">
        <f>M10/I10-1</f>
        <v>-3.7701974865350096E-2</v>
      </c>
      <c r="N41" s="10">
        <f>N10/J10-1</f>
        <v>8.973570989551316E-2</v>
      </c>
      <c r="O41" s="10">
        <f>O10/K10-1</f>
        <v>-2.1511985248924392E-2</v>
      </c>
      <c r="P41" s="10">
        <f>P10/L10-1</f>
        <v>-2.9323758228605667E-2</v>
      </c>
      <c r="Q41" s="10">
        <f>Q10/M10-1</f>
        <v>5.7213930348258613E-2</v>
      </c>
      <c r="R41" s="10">
        <f>R10/N10-1</f>
        <v>-3.2148900169204686E-2</v>
      </c>
      <c r="S41" s="10"/>
      <c r="T41" s="10"/>
      <c r="U41" s="10"/>
      <c r="V41" s="10"/>
      <c r="AC41" s="10">
        <f>AC10/AB10-1</f>
        <v>-7.3364276089235014E-3</v>
      </c>
    </row>
    <row r="42" spans="2:149" x14ac:dyDescent="0.3">
      <c r="B42" s="1" t="s">
        <v>73</v>
      </c>
      <c r="M42" s="10">
        <f>M11/I11-1</f>
        <v>0.21780028943560059</v>
      </c>
      <c r="N42" s="10">
        <f>N11/J11-1</f>
        <v>5.4292002934702932E-2</v>
      </c>
      <c r="O42" s="10">
        <f>O11/K11-1</f>
        <v>-7.9954311821816115E-2</v>
      </c>
      <c r="P42" s="10">
        <f>P11/L11-1</f>
        <v>4.6865846514352771E-2</v>
      </c>
      <c r="Q42" s="10">
        <f>Q11/M11-1</f>
        <v>7.4866310160427885E-2</v>
      </c>
      <c r="R42" s="10">
        <f>R11/N11-1</f>
        <v>0.21016005567153795</v>
      </c>
      <c r="S42" s="10"/>
      <c r="T42" s="10"/>
      <c r="U42" s="10"/>
      <c r="V42" s="10"/>
      <c r="AC42" s="10">
        <f>AC11/AB11-1</f>
        <v>5.5944055944056048E-2</v>
      </c>
    </row>
    <row r="43" spans="2:149" x14ac:dyDescent="0.3">
      <c r="B43" s="1" t="s">
        <v>74</v>
      </c>
      <c r="M43" s="10">
        <f>M12/I12-1</f>
        <v>0.12248322147651014</v>
      </c>
      <c r="N43" s="10">
        <f>N12/J12-1</f>
        <v>5.1926298157453976E-2</v>
      </c>
      <c r="O43" s="10">
        <f>O12/K12-1</f>
        <v>7.7054794520547976E-2</v>
      </c>
      <c r="P43" s="10">
        <f>P12/L12-1</f>
        <v>0.10268562401263814</v>
      </c>
      <c r="Q43" s="10">
        <f>Q12/M12-1</f>
        <v>0.12855007473841562</v>
      </c>
      <c r="R43" s="10">
        <f>R12/N12-1</f>
        <v>0.21496815286624193</v>
      </c>
      <c r="S43" s="10"/>
      <c r="T43" s="10"/>
      <c r="U43" s="10"/>
      <c r="V43" s="10"/>
      <c r="AC43" s="10">
        <f>AC12/AB12-1</f>
        <v>0.13166268894192523</v>
      </c>
    </row>
    <row r="45" spans="2:149" x14ac:dyDescent="0.3">
      <c r="B45" s="1" t="s">
        <v>44</v>
      </c>
      <c r="K45" s="10"/>
      <c r="L45" s="10"/>
      <c r="M45" s="10"/>
      <c r="O45" s="10"/>
      <c r="P45" s="10"/>
      <c r="Q45" s="10"/>
      <c r="X45" s="10"/>
      <c r="Y45" s="10">
        <f>Y16/X16-1</f>
        <v>-3.1293719166482603E-2</v>
      </c>
      <c r="Z45" s="10">
        <f>Z16/Y16-1</f>
        <v>-8.0495591365156605E-2</v>
      </c>
      <c r="AA45" s="10">
        <f>AA16/Z16-1</f>
        <v>0.13201620236422262</v>
      </c>
      <c r="AB45" s="10">
        <f>AB16/AA16-1</f>
        <v>0.10515554257338988</v>
      </c>
      <c r="AC45" s="19">
        <f>AC16/AB16-1</f>
        <v>2.5779701334742944E-2</v>
      </c>
      <c r="AD45" s="10">
        <f>AD16/AC16-1</f>
        <v>5.0000000000000044E-2</v>
      </c>
      <c r="AE45" s="10">
        <f>AE16/AD16-1</f>
        <v>4.0000000000000036E-2</v>
      </c>
      <c r="AF45" s="10">
        <f>AF16/AE16-1</f>
        <v>3.0000000000000027E-2</v>
      </c>
      <c r="AG45" s="10">
        <f>AG16/AF16-1</f>
        <v>2.0000000000000018E-2</v>
      </c>
      <c r="AH45" s="10">
        <f>AH16/AG16-1</f>
        <v>2.0000000000000018E-2</v>
      </c>
      <c r="AI45" s="10">
        <f>AI16/AH16-1</f>
        <v>2.0000000000000018E-2</v>
      </c>
      <c r="AJ45" s="10">
        <f>AJ16/AI16-1</f>
        <v>2.0000000000000018E-2</v>
      </c>
      <c r="AK45" s="10">
        <f>AK16/AJ16-1</f>
        <v>2.0000000000000018E-2</v>
      </c>
      <c r="AL45" s="10">
        <f>AL16/AK16-1</f>
        <v>2.0000000000000018E-2</v>
      </c>
      <c r="AM45" s="10">
        <f>AM16/AL16-1</f>
        <v>2.0000000000000018E-2</v>
      </c>
    </row>
    <row r="46" spans="2:149" x14ac:dyDescent="0.3">
      <c r="B46" s="1" t="s">
        <v>45</v>
      </c>
      <c r="K46" s="10"/>
      <c r="L46" s="10"/>
      <c r="M46" s="10"/>
      <c r="O46" s="10"/>
      <c r="P46" s="10"/>
      <c r="Q46" s="10"/>
      <c r="X46" s="10"/>
      <c r="Y46" s="10">
        <f>Y17/X17-1</f>
        <v>9.7550401040538137E-3</v>
      </c>
      <c r="Z46" s="10">
        <f>Z17/Y17-1</f>
        <v>6.5908115070845819E-2</v>
      </c>
      <c r="AA46" s="10">
        <f>AA17/Z17-1</f>
        <v>0.15307150050352458</v>
      </c>
      <c r="AB46" s="10">
        <f>AB17/AA17-1</f>
        <v>8.1397379912663714E-2</v>
      </c>
      <c r="AC46" s="19">
        <f>AC17/AB17-1</f>
        <v>2.4204490389274635E-2</v>
      </c>
      <c r="AD46" s="10">
        <f>AD17/AC17-1</f>
        <v>5.0000000000000044E-2</v>
      </c>
      <c r="AE46" s="10">
        <f>AE17/AD17-1</f>
        <v>4.0000000000000036E-2</v>
      </c>
      <c r="AF46" s="10">
        <f>AF17/AE17-1</f>
        <v>3.0000000000000027E-2</v>
      </c>
      <c r="AG46" s="10">
        <f>AG17/AF17-1</f>
        <v>3.0000000000000027E-2</v>
      </c>
      <c r="AH46" s="10">
        <f>AH17/AG17-1</f>
        <v>3.0000000000000027E-2</v>
      </c>
      <c r="AI46" s="10">
        <f>AI17/AH17-1</f>
        <v>3.0000000000000027E-2</v>
      </c>
      <c r="AJ46" s="10">
        <f>AJ17/AI17-1</f>
        <v>3.0000000000000027E-2</v>
      </c>
      <c r="AK46" s="10">
        <f>AK17/AJ17-1</f>
        <v>3.0000000000000027E-2</v>
      </c>
      <c r="AL46" s="10">
        <f>AL17/AK17-1</f>
        <v>3.0000000000000027E-2</v>
      </c>
      <c r="AM46" s="10">
        <f>AM17/AL17-1</f>
        <v>3.0000000000000027E-2</v>
      </c>
    </row>
    <row r="47" spans="2:149" x14ac:dyDescent="0.3">
      <c r="K47" s="10"/>
      <c r="L47" s="10"/>
      <c r="M47" s="10"/>
      <c r="O47" s="10"/>
      <c r="P47" s="10"/>
      <c r="Q47" s="10"/>
      <c r="X47" s="10"/>
      <c r="Y47" s="10"/>
      <c r="Z47" s="10"/>
      <c r="AA47" s="10"/>
      <c r="AB47" s="10"/>
      <c r="AC47" s="19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P47" s="10"/>
    </row>
    <row r="48" spans="2:149" x14ac:dyDescent="0.3">
      <c r="B48" s="1" t="s">
        <v>84</v>
      </c>
      <c r="K48" s="10"/>
      <c r="L48" s="10"/>
      <c r="M48" s="10"/>
      <c r="O48" s="10"/>
      <c r="P48" s="10"/>
      <c r="Q48" s="10"/>
      <c r="X48" s="10"/>
      <c r="Y48" s="10"/>
      <c r="Z48" s="10"/>
      <c r="AA48" s="10"/>
      <c r="AB48" s="10"/>
      <c r="AC48" s="10">
        <f t="shared" ref="AC48:AD49" si="62">AC19/AB19-1</f>
        <v>5.1541331238955435E-2</v>
      </c>
      <c r="AD48" s="10">
        <f t="shared" si="62"/>
        <v>7.3662589860890693E-2</v>
      </c>
      <c r="AE48" s="10"/>
      <c r="AF48" s="10"/>
      <c r="AG48" s="10"/>
      <c r="AH48" s="10"/>
      <c r="AI48" s="10"/>
      <c r="AJ48" s="10"/>
      <c r="AK48" s="10"/>
      <c r="AL48" s="10"/>
      <c r="AM48" s="10"/>
      <c r="AP48" s="10"/>
    </row>
    <row r="49" spans="2:42" x14ac:dyDescent="0.3">
      <c r="B49" s="1" t="s">
        <v>85</v>
      </c>
      <c r="K49" s="10"/>
      <c r="L49" s="10"/>
      <c r="M49" s="10"/>
      <c r="O49" s="10"/>
      <c r="P49" s="10"/>
      <c r="Q49" s="10"/>
      <c r="X49" s="10"/>
      <c r="Y49" s="10"/>
      <c r="Z49" s="10"/>
      <c r="AA49" s="10"/>
      <c r="AB49" s="10"/>
      <c r="AC49" s="10">
        <f t="shared" si="62"/>
        <v>4.0429042904290391E-2</v>
      </c>
      <c r="AD49" s="10">
        <f t="shared" si="62"/>
        <v>5.7361882104150164E-2</v>
      </c>
      <c r="AE49" s="10"/>
      <c r="AF49" s="10"/>
      <c r="AG49" s="10"/>
      <c r="AH49" s="10"/>
      <c r="AI49" s="10"/>
      <c r="AJ49" s="10"/>
      <c r="AK49" s="10"/>
      <c r="AL49" s="10"/>
      <c r="AM49" s="10"/>
      <c r="AP49" s="10"/>
    </row>
    <row r="50" spans="2:42" x14ac:dyDescent="0.3">
      <c r="B50" s="1" t="s">
        <v>86</v>
      </c>
      <c r="K50" s="10"/>
      <c r="L50" s="10"/>
      <c r="M50" s="10"/>
      <c r="O50" s="10"/>
      <c r="P50" s="10"/>
      <c r="Q50" s="10"/>
      <c r="R50" s="10"/>
      <c r="X50" s="10"/>
      <c r="Y50" s="10"/>
      <c r="Z50" s="10"/>
      <c r="AA50" s="10"/>
      <c r="AB50" s="10"/>
      <c r="AC50" s="10">
        <f>AC21/AB21-1</f>
        <v>7.7163120567375953E-2</v>
      </c>
      <c r="AD50" s="10">
        <f>AD21/AC21-1</f>
        <v>0.15880958651567023</v>
      </c>
      <c r="AE50" s="10"/>
      <c r="AF50" s="10"/>
      <c r="AG50" s="10"/>
      <c r="AH50" s="10"/>
      <c r="AI50" s="10"/>
      <c r="AJ50" s="10"/>
      <c r="AK50" s="10"/>
      <c r="AL50" s="10"/>
      <c r="AM50" s="10"/>
      <c r="AO50" s="1" t="s">
        <v>53</v>
      </c>
      <c r="AP50" s="10">
        <v>-0.01</v>
      </c>
    </row>
    <row r="51" spans="2:42" x14ac:dyDescent="0.3">
      <c r="B51" s="1" t="s">
        <v>46</v>
      </c>
      <c r="K51" s="11"/>
      <c r="L51" s="11"/>
      <c r="M51" s="11"/>
      <c r="O51" s="11">
        <f>O23/K23-1</f>
        <v>-1.5160237958165457E-2</v>
      </c>
      <c r="P51" s="11">
        <f>P23/L23-1</f>
        <v>2.3966786186072842E-2</v>
      </c>
      <c r="Q51" s="11">
        <f>Q23/M23-1</f>
        <v>6.9349962207104987E-2</v>
      </c>
      <c r="R51" s="11">
        <f>R23/N23-1</f>
        <v>2.2632627195364741E-2</v>
      </c>
      <c r="S51" s="11"/>
      <c r="T51" s="11"/>
      <c r="U51" s="11"/>
      <c r="V51" s="11"/>
      <c r="X51" s="11"/>
      <c r="Y51" s="11">
        <f t="shared" ref="Y51:AA51" si="63">Y23/X23-1</f>
        <v>-2.0886006375728239E-2</v>
      </c>
      <c r="Z51" s="11">
        <f t="shared" si="63"/>
        <v>-4.2213988997417795E-2</v>
      </c>
      <c r="AA51" s="11">
        <f t="shared" si="63"/>
        <v>0.13814324229281438</v>
      </c>
      <c r="AB51" s="11">
        <f t="shared" ref="AB51" si="64">AB23/AA23-1</f>
        <v>9.815129512333276E-2</v>
      </c>
      <c r="AC51" s="11">
        <f t="shared" ref="AC50:AM51" si="65">AC23/AB23-1</f>
        <v>2.5322391559202906E-2</v>
      </c>
      <c r="AD51" s="11">
        <f t="shared" si="65"/>
        <v>7.6672764692430784E-2</v>
      </c>
      <c r="AE51" s="11">
        <f t="shared" si="65"/>
        <v>5.9954442058581803E-2</v>
      </c>
      <c r="AF51" s="11">
        <f t="shared" si="65"/>
        <v>4.8194011753640575E-2</v>
      </c>
      <c r="AG51" s="11">
        <f t="shared" si="65"/>
        <v>3.6275219127051006E-2</v>
      </c>
      <c r="AH51" s="11">
        <f t="shared" si="65"/>
        <v>2.6269097360005933E-2</v>
      </c>
      <c r="AI51" s="11">
        <f t="shared" si="65"/>
        <v>2.4317210072054563E-2</v>
      </c>
      <c r="AJ51" s="11">
        <f t="shared" si="65"/>
        <v>1.8970199774916319E-2</v>
      </c>
      <c r="AK51" s="11">
        <f t="shared" si="65"/>
        <v>1.902094584203895E-2</v>
      </c>
      <c r="AL51" s="11">
        <f t="shared" si="65"/>
        <v>1.9071742578902429E-2</v>
      </c>
      <c r="AM51" s="11">
        <f t="shared" si="65"/>
        <v>1.9122587281654502E-2</v>
      </c>
      <c r="AO51" s="1" t="s">
        <v>54</v>
      </c>
      <c r="AP51" s="10">
        <v>7.0000000000000007E-2</v>
      </c>
    </row>
    <row r="52" spans="2:42" x14ac:dyDescent="0.3">
      <c r="B52" s="1" t="s">
        <v>47</v>
      </c>
      <c r="K52" s="10"/>
      <c r="L52" s="10"/>
      <c r="M52" s="10"/>
      <c r="O52" s="10"/>
      <c r="P52" s="10"/>
      <c r="Q52" s="10"/>
      <c r="X52" s="10">
        <f>(X16-X24)/X16</f>
        <v>0.3031440983727266</v>
      </c>
      <c r="Y52" s="10">
        <f>(Y16-Y24)/Y16</f>
        <v>0.31536941319550016</v>
      </c>
      <c r="Z52" s="10">
        <f>(Z16-Z24)/Z16</f>
        <v>0.3093328924526742</v>
      </c>
      <c r="AA52" s="10">
        <f>(AA16-AA24)/AA16</f>
        <v>0.29085730977070251</v>
      </c>
      <c r="AB52" s="10">
        <f>(AB16-AB24)/AB16</f>
        <v>0.27190432139553322</v>
      </c>
      <c r="AC52" s="19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O52" s="1" t="s">
        <v>55</v>
      </c>
      <c r="AP52" s="6">
        <f>NPV(AP51,AD36:ES36)</f>
        <v>42049.467519013982</v>
      </c>
    </row>
    <row r="53" spans="2:42" x14ac:dyDescent="0.3">
      <c r="B53" s="1" t="s">
        <v>48</v>
      </c>
      <c r="K53" s="10"/>
      <c r="L53" s="10"/>
      <c r="M53" s="10"/>
      <c r="O53" s="10"/>
      <c r="P53" s="10"/>
      <c r="Q53" s="10"/>
      <c r="X53" s="10">
        <f>(X17-X25)/X17</f>
        <v>0.25818339475395619</v>
      </c>
      <c r="Y53" s="10">
        <f>(Y17-Y25)/Y17</f>
        <v>0.2634177758694719</v>
      </c>
      <c r="Z53" s="10">
        <f>(Z17-Z25)/Z17</f>
        <v>0.23867069486404835</v>
      </c>
      <c r="AA53" s="10">
        <f>(AA17-AA25)/AA17</f>
        <v>0.19737991266375546</v>
      </c>
      <c r="AB53" s="10">
        <f>(AB17-AB25)/AB17</f>
        <v>0.22758843482474561</v>
      </c>
      <c r="AC53" s="19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O53" s="1" t="s">
        <v>56</v>
      </c>
      <c r="AP53" s="6">
        <f>Main!D8</f>
        <v>-9374</v>
      </c>
    </row>
    <row r="54" spans="2:42" x14ac:dyDescent="0.3">
      <c r="B54" s="1" t="s">
        <v>49</v>
      </c>
      <c r="K54" s="10">
        <f t="shared" ref="K54" si="66">K27/K23</f>
        <v>0.2586835540203416</v>
      </c>
      <c r="L54" s="10">
        <f t="shared" ref="L54:N54" si="67">L27/L23</f>
        <v>0.25665219852802418</v>
      </c>
      <c r="M54" s="10">
        <f t="shared" si="67"/>
        <v>0.26814058956916098</v>
      </c>
      <c r="N54" s="10">
        <f t="shared" si="67"/>
        <v>0.25294224153539741</v>
      </c>
      <c r="O54" s="10">
        <f t="shared" ref="O54:P54" si="68">O27/O23</f>
        <v>0.26305533904910366</v>
      </c>
      <c r="P54" s="10">
        <f t="shared" si="68"/>
        <v>0.24603759675635828</v>
      </c>
      <c r="Q54" s="10">
        <f t="shared" ref="Q54:R54" si="69">Q27/Q23</f>
        <v>0.26400424103198444</v>
      </c>
      <c r="R54" s="10">
        <f t="shared" si="69"/>
        <v>0.25601983002832862</v>
      </c>
      <c r="S54" s="10"/>
      <c r="T54" s="10"/>
      <c r="U54" s="10"/>
      <c r="V54" s="10"/>
      <c r="X54" s="10">
        <f t="shared" ref="X54:AA54" si="70">X27/X23</f>
        <v>0.29174453116412002</v>
      </c>
      <c r="Y54" s="10">
        <f t="shared" si="70"/>
        <v>0.30178511283260356</v>
      </c>
      <c r="Z54" s="10">
        <f t="shared" si="70"/>
        <v>0.28877036689719843</v>
      </c>
      <c r="AA54" s="10">
        <f t="shared" si="70"/>
        <v>0.26329883104176321</v>
      </c>
      <c r="AB54" s="10">
        <f>AB27/AB23</f>
        <v>0.25903868698710436</v>
      </c>
      <c r="AC54" s="10">
        <f t="shared" ref="AC54:AM54" si="71">AC27/AC23</f>
        <v>0.25726046192545166</v>
      </c>
      <c r="AD54" s="10">
        <f t="shared" si="71"/>
        <v>0.27</v>
      </c>
      <c r="AE54" s="10">
        <f t="shared" si="71"/>
        <v>0.26999999999999996</v>
      </c>
      <c r="AF54" s="10">
        <f t="shared" si="71"/>
        <v>0.26999999999999996</v>
      </c>
      <c r="AG54" s="10">
        <f t="shared" si="71"/>
        <v>0.27</v>
      </c>
      <c r="AH54" s="10">
        <f t="shared" si="71"/>
        <v>0.27000000000000007</v>
      </c>
      <c r="AI54" s="10">
        <f t="shared" si="71"/>
        <v>0.26999999999999996</v>
      </c>
      <c r="AJ54" s="10">
        <f t="shared" si="71"/>
        <v>0.27000000000000007</v>
      </c>
      <c r="AK54" s="10">
        <f t="shared" si="71"/>
        <v>0.27000000000000007</v>
      </c>
      <c r="AL54" s="10">
        <f t="shared" si="71"/>
        <v>0.26999999999999996</v>
      </c>
      <c r="AM54" s="10">
        <f t="shared" si="71"/>
        <v>0.27</v>
      </c>
      <c r="AO54" s="1" t="s">
        <v>57</v>
      </c>
      <c r="AP54" s="6">
        <f>AP52+AP53</f>
        <v>32675.467519013982</v>
      </c>
    </row>
    <row r="55" spans="2:42" x14ac:dyDescent="0.3">
      <c r="B55" s="1" t="s">
        <v>50</v>
      </c>
      <c r="K55" s="10"/>
      <c r="L55" s="10"/>
      <c r="M55" s="10"/>
      <c r="O55" s="10">
        <f>O28/K28-1</f>
        <v>-0.14948453608247425</v>
      </c>
      <c r="P55" s="10">
        <f>P28/L28-1</f>
        <v>-0.13574660633484159</v>
      </c>
      <c r="Q55" s="10">
        <f>Q28/M28-1</f>
        <v>-5.5194805194805241E-2</v>
      </c>
      <c r="R55" s="10">
        <f>R28/N28-1</f>
        <v>0.16908212560386482</v>
      </c>
      <c r="S55" s="10"/>
      <c r="T55" s="10"/>
      <c r="U55" s="10"/>
      <c r="V55" s="10"/>
      <c r="X55" s="10"/>
      <c r="Y55" s="10">
        <f t="shared" ref="Y55:AA55" si="72">Y28/X28-1</f>
        <v>-1.0558069381598756E-2</v>
      </c>
      <c r="Z55" s="10">
        <f t="shared" si="72"/>
        <v>-8.5975609756097526E-2</v>
      </c>
      <c r="AA55" s="10">
        <f t="shared" si="72"/>
        <v>0.10507004669779851</v>
      </c>
      <c r="AB55" s="10">
        <f>AB28/AA28-1</f>
        <v>7.6969514035617248E-2</v>
      </c>
      <c r="AC55" s="10">
        <f t="shared" ref="AC55:AM55" si="73">AC28/AB28-1</f>
        <v>-3.8677130044843078E-2</v>
      </c>
      <c r="AD55" s="10">
        <f t="shared" si="73"/>
        <v>4.0000000000000036E-2</v>
      </c>
      <c r="AE55" s="10">
        <f t="shared" si="73"/>
        <v>3.0000000000000027E-2</v>
      </c>
      <c r="AF55" s="10">
        <f t="shared" si="73"/>
        <v>2.0000000000000018E-2</v>
      </c>
      <c r="AG55" s="10">
        <f t="shared" si="73"/>
        <v>1.0000000000000009E-2</v>
      </c>
      <c r="AH55" s="10">
        <f t="shared" si="73"/>
        <v>1.0000000000000009E-2</v>
      </c>
      <c r="AI55" s="10">
        <f t="shared" si="73"/>
        <v>1.0000000000000009E-2</v>
      </c>
      <c r="AJ55" s="10">
        <f t="shared" si="73"/>
        <v>1.0000000000000009E-2</v>
      </c>
      <c r="AK55" s="10">
        <f t="shared" si="73"/>
        <v>1.0000000000000009E-2</v>
      </c>
      <c r="AL55" s="10">
        <f t="shared" si="73"/>
        <v>1.0000000000000009E-2</v>
      </c>
      <c r="AM55" s="10">
        <f t="shared" si="73"/>
        <v>1.0000000000000009E-2</v>
      </c>
      <c r="AO55" s="1" t="s">
        <v>58</v>
      </c>
      <c r="AP55" s="5">
        <f>AP54/AM37</f>
        <v>174.9222029925802</v>
      </c>
    </row>
    <row r="56" spans="2:42" x14ac:dyDescent="0.3">
      <c r="B56" s="1" t="s">
        <v>51</v>
      </c>
      <c r="K56" s="10">
        <f t="shared" ref="K56" si="74">K30/K23</f>
        <v>7.2538860103626937E-2</v>
      </c>
      <c r="L56" s="10">
        <f t="shared" ref="L56:M56" si="75">L30/L23</f>
        <v>8.982826948480846E-2</v>
      </c>
      <c r="M56" s="10">
        <f t="shared" si="75"/>
        <v>9.3537414965986401E-2</v>
      </c>
      <c r="N56" s="10">
        <f t="shared" ref="N56" si="76">N30/N23</f>
        <v>0.10302371899330075</v>
      </c>
      <c r="O56" s="10">
        <f t="shared" ref="O56:P56" si="77">O30/O23</f>
        <v>0.10229929851909587</v>
      </c>
      <c r="P56" s="10">
        <f t="shared" si="77"/>
        <v>0.10523405823811278</v>
      </c>
      <c r="Q56" s="10">
        <f t="shared" ref="Q56:R56" si="78">Q30/Q23</f>
        <v>0.10973670259763209</v>
      </c>
      <c r="R56" s="10">
        <f t="shared" si="78"/>
        <v>6.9582152974504249E-2</v>
      </c>
      <c r="S56" s="10"/>
      <c r="T56" s="10"/>
      <c r="U56" s="10"/>
      <c r="V56" s="10"/>
      <c r="X56" s="10">
        <f t="shared" ref="X56:AA56" si="79">X30/X23</f>
        <v>6.4581730240738711E-2</v>
      </c>
      <c r="Y56" s="10">
        <f t="shared" si="79"/>
        <v>0.11839003031323678</v>
      </c>
      <c r="Z56" s="10">
        <f t="shared" si="79"/>
        <v>6.6053217676708478E-2</v>
      </c>
      <c r="AA56" s="10">
        <f t="shared" si="79"/>
        <v>7.3433235491013951E-2</v>
      </c>
      <c r="AB56" s="10">
        <f>AB30/AB23</f>
        <v>8.9941383352872217E-2</v>
      </c>
      <c r="AC56" s="10">
        <f t="shared" ref="AC56:AM56" si="80">AC30/AC23</f>
        <v>9.6501257717813857E-2</v>
      </c>
      <c r="AD56" s="10">
        <f t="shared" si="80"/>
        <v>0.1184715257556353</v>
      </c>
      <c r="AE56" s="10">
        <f t="shared" si="80"/>
        <v>0.12275373895449956</v>
      </c>
      <c r="AF56" s="10">
        <f t="shared" si="80"/>
        <v>0.12671432522769438</v>
      </c>
      <c r="AG56" s="10">
        <f t="shared" si="80"/>
        <v>0.13034739724651698</v>
      </c>
      <c r="AH56" s="10">
        <f t="shared" si="80"/>
        <v>0.13256126278784455</v>
      </c>
      <c r="AI56" s="10">
        <f t="shared" si="80"/>
        <v>0.13448228808484786</v>
      </c>
      <c r="AJ56" s="10">
        <f t="shared" si="80"/>
        <v>0.1356752777809028</v>
      </c>
      <c r="AK56" s="10">
        <f t="shared" si="80"/>
        <v>0.13686439567816461</v>
      </c>
      <c r="AL56" s="10">
        <f t="shared" si="80"/>
        <v>0.13804956437633475</v>
      </c>
      <c r="AM56" s="10">
        <f t="shared" si="80"/>
        <v>0.13923070723476161</v>
      </c>
      <c r="AO56" s="1" t="s">
        <v>59</v>
      </c>
      <c r="AP56" s="5">
        <f>Main!D3</f>
        <v>347</v>
      </c>
    </row>
    <row r="57" spans="2:42" x14ac:dyDescent="0.3">
      <c r="B57" s="1" t="s">
        <v>25</v>
      </c>
      <c r="K57" s="10">
        <f t="shared" ref="K57" si="81">K34/K33</f>
        <v>1.7241379310344827E-2</v>
      </c>
      <c r="L57" s="10">
        <f t="shared" ref="L57:M57" si="82">L34/L33</f>
        <v>5.8974358974358973E-2</v>
      </c>
      <c r="M57" s="10">
        <f t="shared" si="82"/>
        <v>6.0465116279069767E-2</v>
      </c>
      <c r="N57" s="10">
        <f t="shared" ref="N57" si="83">N34/N33</f>
        <v>6.3655030800821355E-2</v>
      </c>
      <c r="O57" s="10">
        <f t="shared" ref="O57:P57" si="84">O34/O33</f>
        <v>0.15904139433551198</v>
      </c>
      <c r="P57" s="10">
        <f t="shared" si="84"/>
        <v>0.12595419847328243</v>
      </c>
      <c r="Q57" s="10">
        <f t="shared" ref="Q57:R57" si="85">Q34/Q33</f>
        <v>0.18518518518518517</v>
      </c>
      <c r="R57" s="10">
        <f t="shared" si="85"/>
        <v>0.21465968586387435</v>
      </c>
      <c r="S57" s="10"/>
      <c r="T57" s="10"/>
      <c r="U57" s="10"/>
      <c r="V57" s="10"/>
      <c r="X57" s="10">
        <f t="shared" ref="X57:AA57" si="86">X34/X33</f>
        <v>0.17700453857791226</v>
      </c>
      <c r="Y57" s="10">
        <f t="shared" si="86"/>
        <v>0.19272886552781429</v>
      </c>
      <c r="Z57" s="10">
        <f t="shared" si="86"/>
        <v>0.16653574234092694</v>
      </c>
      <c r="AA57" s="10">
        <f t="shared" si="86"/>
        <v>1.8837018837018837E-2</v>
      </c>
      <c r="AB57" s="10">
        <f>AB34/AB33</f>
        <v>5.3224796493425174E-2</v>
      </c>
      <c r="AC57" s="10">
        <f t="shared" ref="AC57:AM57" si="87">AC34/AC33</f>
        <v>0.16873706004140787</v>
      </c>
      <c r="AD57" s="10">
        <f t="shared" si="87"/>
        <v>0.15</v>
      </c>
      <c r="AE57" s="10">
        <f t="shared" si="87"/>
        <v>0.15</v>
      </c>
      <c r="AF57" s="10">
        <f t="shared" si="87"/>
        <v>0.15</v>
      </c>
      <c r="AG57" s="10">
        <f t="shared" si="87"/>
        <v>0.15</v>
      </c>
      <c r="AH57" s="10">
        <f t="shared" si="87"/>
        <v>0.14999999999999997</v>
      </c>
      <c r="AI57" s="10">
        <f t="shared" si="87"/>
        <v>0.15</v>
      </c>
      <c r="AJ57" s="10">
        <f t="shared" si="87"/>
        <v>0.15</v>
      </c>
      <c r="AK57" s="10">
        <f t="shared" si="87"/>
        <v>0.15</v>
      </c>
      <c r="AL57" s="10">
        <f t="shared" si="87"/>
        <v>0.15</v>
      </c>
      <c r="AM57" s="10">
        <f t="shared" si="87"/>
        <v>0.15</v>
      </c>
      <c r="AO57" s="2" t="s">
        <v>60</v>
      </c>
      <c r="AP57" s="11">
        <f>AP55/AP56-1</f>
        <v>-0.49590143229803973</v>
      </c>
    </row>
    <row r="58" spans="2:42" x14ac:dyDescent="0.3">
      <c r="B58" s="1" t="s">
        <v>52</v>
      </c>
      <c r="K58" s="10">
        <f t="shared" ref="K58" si="88">K36/K23</f>
        <v>5.4308194204567263E-2</v>
      </c>
      <c r="L58" s="10">
        <f t="shared" ref="L58:M58" si="89">L36/L23</f>
        <v>6.9069635780335911E-2</v>
      </c>
      <c r="M58" s="10">
        <f t="shared" si="89"/>
        <v>7.5585789871504161E-2</v>
      </c>
      <c r="N58" s="10">
        <f t="shared" ref="N58" si="90">N36/N23</f>
        <v>8.2020640956002172E-2</v>
      </c>
      <c r="O58" s="10">
        <f t="shared" ref="O58:P58" si="91">O36/O23</f>
        <v>7.5214341387373346E-2</v>
      </c>
      <c r="P58" s="10">
        <f t="shared" si="91"/>
        <v>8.4408403980833033E-2</v>
      </c>
      <c r="Q58" s="10">
        <f t="shared" ref="Q58:R58" si="92">Q36/Q23</f>
        <v>8.1639865700653833E-2</v>
      </c>
      <c r="R58" s="10">
        <f t="shared" si="92"/>
        <v>5.3116147308781871E-2</v>
      </c>
      <c r="S58" s="10"/>
      <c r="T58" s="10"/>
      <c r="U58" s="10"/>
      <c r="V58" s="10"/>
      <c r="X58" s="10">
        <f t="shared" ref="X58:AA58" si="93">X36/X23</f>
        <v>6.1503792459052437E-2</v>
      </c>
      <c r="Y58" s="10">
        <f t="shared" si="93"/>
        <v>0.10362636128887392</v>
      </c>
      <c r="Z58" s="10">
        <f t="shared" si="93"/>
        <v>6.2243582229515884E-2</v>
      </c>
      <c r="AA58" s="10">
        <f t="shared" si="93"/>
        <v>6.3185539935115095E-2</v>
      </c>
      <c r="AB58" s="10">
        <f>AB36/AB23</f>
        <v>7.0433763188745599E-2</v>
      </c>
      <c r="AC58" s="10">
        <f t="shared" ref="AC58:AM58" si="94">AC36/AC23</f>
        <v>7.3450720329293395E-2</v>
      </c>
      <c r="AD58" s="10">
        <f t="shared" si="94"/>
        <v>9.4209565468567152E-2</v>
      </c>
      <c r="AE58" s="10">
        <f t="shared" si="94"/>
        <v>9.8155371009608916E-2</v>
      </c>
      <c r="AF58" s="10">
        <f t="shared" si="94"/>
        <v>0.10174724908020669</v>
      </c>
      <c r="AG58" s="10">
        <f t="shared" si="94"/>
        <v>0.1049864769055414</v>
      </c>
      <c r="AH58" s="10">
        <f t="shared" si="94"/>
        <v>0.10696034773052493</v>
      </c>
      <c r="AI58" s="10">
        <f t="shared" si="94"/>
        <v>0.1086731237401901</v>
      </c>
      <c r="AJ58" s="10">
        <f t="shared" si="94"/>
        <v>0.10973678705288467</v>
      </c>
      <c r="AK58" s="10">
        <f t="shared" si="94"/>
        <v>0.11079699829022265</v>
      </c>
      <c r="AL58" s="10">
        <f t="shared" si="94"/>
        <v>0.11185368844250666</v>
      </c>
      <c r="AM58" s="10">
        <f t="shared" si="94"/>
        <v>0.11290678917733647</v>
      </c>
      <c r="AO58" s="1" t="s">
        <v>61</v>
      </c>
      <c r="AP58" s="7" t="s">
        <v>62</v>
      </c>
    </row>
    <row r="61" spans="2:42" s="12" customFormat="1" x14ac:dyDescent="0.3">
      <c r="B61" s="12" t="s">
        <v>63</v>
      </c>
      <c r="P61" s="17">
        <v>41240</v>
      </c>
      <c r="Q61" s="17">
        <v>41014</v>
      </c>
      <c r="R61" s="17">
        <v>41195</v>
      </c>
      <c r="AC61" s="17">
        <v>41195</v>
      </c>
    </row>
    <row r="63" spans="2:42" x14ac:dyDescent="0.3">
      <c r="B63" s="1" t="s">
        <v>64</v>
      </c>
      <c r="P63" s="13"/>
      <c r="AC63" s="13">
        <f>Main!$D$9/Model!AC61</f>
        <v>1.8010341060808353</v>
      </c>
    </row>
    <row r="64" spans="2:42" x14ac:dyDescent="0.3">
      <c r="B64" s="1" t="s">
        <v>65</v>
      </c>
      <c r="P64" s="10"/>
      <c r="AC64" s="10">
        <f>AC61/Main!$D$9-1</f>
        <v>-0.44476342972978811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2025-04-24T08:54:55Z</dcterms:created>
  <dcterms:modified xsi:type="dcterms:W3CDTF">2026-02-17T12:14:40Z</dcterms:modified>
</cp:coreProperties>
</file>