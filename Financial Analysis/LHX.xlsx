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5DA4A1D0-1DCC-4892-A1F1-3D4AD4FEB762}" xr6:coauthVersionLast="47" xr6:coauthVersionMax="47" xr10:uidLastSave="{00000000-0000-0000-0000-000000000000}"/>
  <bookViews>
    <workbookView xWindow="-108" yWindow="-108" windowWidth="23256" windowHeight="12576" activeTab="1" xr2:uid="{C2D3018F-E467-4E1E-BD9F-9383343E0F2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7" i="2" l="1"/>
  <c r="W7" i="2"/>
  <c r="J7" i="2"/>
  <c r="N7" i="2"/>
  <c r="Y7" i="2"/>
  <c r="Q7" i="2"/>
  <c r="Y30" i="2"/>
  <c r="Y27" i="2"/>
  <c r="Z27" i="2" s="1"/>
  <c r="AA27" i="2" s="1"/>
  <c r="AB27" i="2" s="1"/>
  <c r="AC27" i="2" s="1"/>
  <c r="AD27" i="2" s="1"/>
  <c r="AE27" i="2" s="1"/>
  <c r="AF27" i="2" s="1"/>
  <c r="AG27" i="2" s="1"/>
  <c r="AH27" i="2" s="1"/>
  <c r="AI27" i="2" s="1"/>
  <c r="Y26" i="2"/>
  <c r="Z26" i="2" s="1"/>
  <c r="AA26" i="2" s="1"/>
  <c r="AB26" i="2" s="1"/>
  <c r="AC26" i="2" s="1"/>
  <c r="AD26" i="2" s="1"/>
  <c r="AE26" i="2" s="1"/>
  <c r="AF26" i="2" s="1"/>
  <c r="AG26" i="2" s="1"/>
  <c r="AH26" i="2" s="1"/>
  <c r="AI26" i="2" s="1"/>
  <c r="Y24" i="2"/>
  <c r="R10" i="2"/>
  <c r="R11" i="2"/>
  <c r="Y11" i="2" s="1"/>
  <c r="R9" i="2"/>
  <c r="R35" i="2" s="1"/>
  <c r="N23" i="2"/>
  <c r="R23" i="2" s="1"/>
  <c r="N30" i="2"/>
  <c r="N29" i="2"/>
  <c r="N27" i="2"/>
  <c r="N26" i="2"/>
  <c r="N32" i="2"/>
  <c r="R13" i="2"/>
  <c r="R12" i="2"/>
  <c r="Y12" i="2" s="1"/>
  <c r="N38" i="2"/>
  <c r="M38" i="2"/>
  <c r="N37" i="2"/>
  <c r="M37" i="2"/>
  <c r="N36" i="2"/>
  <c r="M36" i="2"/>
  <c r="N35" i="2"/>
  <c r="M35" i="2"/>
  <c r="E14" i="2"/>
  <c r="I14" i="2"/>
  <c r="X13" i="2"/>
  <c r="X12" i="2"/>
  <c r="X11" i="2"/>
  <c r="X10" i="2"/>
  <c r="X9" i="2"/>
  <c r="J14" i="2"/>
  <c r="N14" i="2"/>
  <c r="O38" i="2"/>
  <c r="O37" i="2"/>
  <c r="O36" i="2"/>
  <c r="O35" i="2"/>
  <c r="K14" i="2"/>
  <c r="O14" i="2"/>
  <c r="P38" i="2"/>
  <c r="P37" i="2"/>
  <c r="P36" i="2"/>
  <c r="P35" i="2"/>
  <c r="L14" i="2"/>
  <c r="P14" i="2"/>
  <c r="Y17" i="2"/>
  <c r="Y20" i="2" s="1"/>
  <c r="Y16" i="2"/>
  <c r="Z16" i="2" s="1"/>
  <c r="Z40" i="2" s="1"/>
  <c r="Q38" i="2"/>
  <c r="Q37" i="2"/>
  <c r="Q36" i="2"/>
  <c r="Q35" i="2"/>
  <c r="M14" i="2"/>
  <c r="Q14" i="2"/>
  <c r="M32" i="2"/>
  <c r="M22" i="2"/>
  <c r="M45" i="2" s="1"/>
  <c r="Q46" i="2"/>
  <c r="Q42" i="2"/>
  <c r="Q22" i="2"/>
  <c r="Q25" i="2" s="1"/>
  <c r="K32" i="2"/>
  <c r="K22" i="2"/>
  <c r="K25" i="2" s="1"/>
  <c r="O46" i="2"/>
  <c r="O42" i="2"/>
  <c r="O32" i="2"/>
  <c r="O22" i="2"/>
  <c r="O45" i="2" s="1"/>
  <c r="P46" i="2"/>
  <c r="P42" i="2"/>
  <c r="L32" i="2"/>
  <c r="L22" i="2"/>
  <c r="L25" i="2" s="1"/>
  <c r="L28" i="2" s="1"/>
  <c r="L31" i="2" s="1"/>
  <c r="P32" i="2"/>
  <c r="P22" i="2"/>
  <c r="P45" i="2" s="1"/>
  <c r="D7" i="1"/>
  <c r="D6" i="1"/>
  <c r="AL47" i="2"/>
  <c r="W46" i="2"/>
  <c r="V46" i="2"/>
  <c r="U46" i="2"/>
  <c r="W44" i="2"/>
  <c r="V44" i="2"/>
  <c r="U44" i="2"/>
  <c r="T44" i="2"/>
  <c r="W43" i="2"/>
  <c r="V43" i="2"/>
  <c r="U43" i="2"/>
  <c r="T43" i="2"/>
  <c r="W41" i="2"/>
  <c r="V41" i="2"/>
  <c r="U41" i="2"/>
  <c r="W40" i="2"/>
  <c r="V40" i="2"/>
  <c r="U40" i="2"/>
  <c r="X46" i="2"/>
  <c r="X44" i="2"/>
  <c r="X43" i="2"/>
  <c r="X41" i="2"/>
  <c r="X40" i="2"/>
  <c r="Y37" i="2" l="1"/>
  <c r="R14" i="2"/>
  <c r="R18" i="2" s="1"/>
  <c r="Y18" i="2" s="1"/>
  <c r="Y38" i="2"/>
  <c r="Y9" i="2"/>
  <c r="Y35" i="2" s="1"/>
  <c r="Y23" i="2"/>
  <c r="Z23" i="2" s="1"/>
  <c r="Z46" i="2" s="1"/>
  <c r="R46" i="2"/>
  <c r="R38" i="2"/>
  <c r="Y19" i="2"/>
  <c r="Y43" i="2" s="1"/>
  <c r="L33" i="2"/>
  <c r="Y40" i="2"/>
  <c r="Y10" i="2"/>
  <c r="Y36" i="2" s="1"/>
  <c r="R36" i="2"/>
  <c r="R37" i="2"/>
  <c r="X14" i="2"/>
  <c r="Y41" i="2"/>
  <c r="AA16" i="2"/>
  <c r="AB16" i="2" s="1"/>
  <c r="L45" i="2"/>
  <c r="Z17" i="2"/>
  <c r="Z18" i="2" s="1"/>
  <c r="Y44" i="2"/>
  <c r="L47" i="2"/>
  <c r="M25" i="2"/>
  <c r="Q47" i="2"/>
  <c r="Q28" i="2"/>
  <c r="Q45" i="2"/>
  <c r="L48" i="2"/>
  <c r="L49" i="2"/>
  <c r="K28" i="2"/>
  <c r="K47" i="2"/>
  <c r="K45" i="2"/>
  <c r="O25" i="2"/>
  <c r="P25" i="2"/>
  <c r="Z19" i="2"/>
  <c r="Z43" i="2" s="1"/>
  <c r="T30" i="2"/>
  <c r="T24" i="2"/>
  <c r="T32" i="2"/>
  <c r="T21" i="2"/>
  <c r="T18" i="2"/>
  <c r="U30" i="2"/>
  <c r="U24" i="2"/>
  <c r="U32" i="2"/>
  <c r="U21" i="2"/>
  <c r="U18" i="2"/>
  <c r="V32" i="2"/>
  <c r="V21" i="2"/>
  <c r="V18" i="2"/>
  <c r="W32" i="2"/>
  <c r="W21" i="2"/>
  <c r="W18" i="2"/>
  <c r="X32" i="2"/>
  <c r="X21" i="2"/>
  <c r="N21" i="2" s="1"/>
  <c r="X18" i="2"/>
  <c r="N18" i="2" s="1"/>
  <c r="R42" i="2" s="1"/>
  <c r="D8" i="1"/>
  <c r="AL44" i="2" s="1"/>
  <c r="D5" i="1"/>
  <c r="F3" i="1"/>
  <c r="AA23" i="2" l="1"/>
  <c r="R22" i="2"/>
  <c r="R25" i="2" s="1"/>
  <c r="N22" i="2"/>
  <c r="Y46" i="2"/>
  <c r="W42" i="2"/>
  <c r="V42" i="2"/>
  <c r="Y42" i="2"/>
  <c r="Z20" i="2"/>
  <c r="Z21" i="2" s="1"/>
  <c r="Z22" i="2" s="1"/>
  <c r="Z41" i="2"/>
  <c r="AA17" i="2"/>
  <c r="AA18" i="2" s="1"/>
  <c r="AA42" i="2" s="1"/>
  <c r="X22" i="2"/>
  <c r="X42" i="2"/>
  <c r="U42" i="2"/>
  <c r="M47" i="2"/>
  <c r="M28" i="2"/>
  <c r="Q48" i="2"/>
  <c r="Q31" i="2"/>
  <c r="AB23" i="2"/>
  <c r="AA46" i="2"/>
  <c r="K48" i="2"/>
  <c r="K31" i="2"/>
  <c r="O47" i="2"/>
  <c r="O28" i="2"/>
  <c r="P47" i="2"/>
  <c r="P28" i="2"/>
  <c r="D9" i="1"/>
  <c r="AA40" i="2"/>
  <c r="Z42" i="2"/>
  <c r="AA19" i="2"/>
  <c r="T22" i="2"/>
  <c r="U22" i="2"/>
  <c r="V22" i="2"/>
  <c r="W22" i="2"/>
  <c r="R21" i="2" l="1"/>
  <c r="Y21" i="2" s="1"/>
  <c r="Y22" i="2" s="1"/>
  <c r="Y25" i="2" s="1"/>
  <c r="Y28" i="2" s="1"/>
  <c r="R45" i="2"/>
  <c r="R28" i="2"/>
  <c r="R29" i="2" s="1"/>
  <c r="R47" i="2"/>
  <c r="N45" i="2"/>
  <c r="N25" i="2"/>
  <c r="Y55" i="2"/>
  <c r="Y54" i="2"/>
  <c r="Z44" i="2"/>
  <c r="W25" i="2"/>
  <c r="W45" i="2"/>
  <c r="U25" i="2"/>
  <c r="U45" i="2"/>
  <c r="T25" i="2"/>
  <c r="T45" i="2"/>
  <c r="V25" i="2"/>
  <c r="V45" i="2"/>
  <c r="X25" i="2"/>
  <c r="X45" i="2"/>
  <c r="AB17" i="2"/>
  <c r="AB18" i="2" s="1"/>
  <c r="AB42" i="2" s="1"/>
  <c r="AA41" i="2"/>
  <c r="AA20" i="2"/>
  <c r="AA44" i="2" s="1"/>
  <c r="M48" i="2"/>
  <c r="M31" i="2"/>
  <c r="Q49" i="2"/>
  <c r="Q33" i="2"/>
  <c r="AB46" i="2"/>
  <c r="AC23" i="2"/>
  <c r="K49" i="2"/>
  <c r="K33" i="2"/>
  <c r="O48" i="2"/>
  <c r="O31" i="2"/>
  <c r="P48" i="2"/>
  <c r="P31" i="2"/>
  <c r="AA43" i="2"/>
  <c r="Z25" i="2"/>
  <c r="Z45" i="2"/>
  <c r="AC16" i="2"/>
  <c r="AB40" i="2"/>
  <c r="AB19" i="2"/>
  <c r="Y47" i="2" l="1"/>
  <c r="Y45" i="2"/>
  <c r="N28" i="2"/>
  <c r="N47" i="2"/>
  <c r="R31" i="2"/>
  <c r="Y29" i="2"/>
  <c r="Y48" i="2" s="1"/>
  <c r="R48" i="2"/>
  <c r="U28" i="2"/>
  <c r="U47" i="2"/>
  <c r="W28" i="2"/>
  <c r="W47" i="2"/>
  <c r="V28" i="2"/>
  <c r="V47" i="2"/>
  <c r="AC17" i="2"/>
  <c r="AB41" i="2"/>
  <c r="AB20" i="2"/>
  <c r="AB44" i="2" s="1"/>
  <c r="T28" i="2"/>
  <c r="T47" i="2"/>
  <c r="X28" i="2"/>
  <c r="X47" i="2"/>
  <c r="AA21" i="2"/>
  <c r="AA22" i="2" s="1"/>
  <c r="AA25" i="2" s="1"/>
  <c r="M49" i="2"/>
  <c r="M33" i="2"/>
  <c r="AC46" i="2"/>
  <c r="AD23" i="2"/>
  <c r="O49" i="2"/>
  <c r="O33" i="2"/>
  <c r="P49" i="2"/>
  <c r="P33" i="2"/>
  <c r="AB43" i="2"/>
  <c r="AD16" i="2"/>
  <c r="AC40" i="2"/>
  <c r="Z28" i="2"/>
  <c r="Z29" i="2" s="1"/>
  <c r="Z47" i="2"/>
  <c r="AC19" i="2"/>
  <c r="Y31" i="2" l="1"/>
  <c r="Y49" i="2" s="1"/>
  <c r="N31" i="2"/>
  <c r="N48" i="2"/>
  <c r="R33" i="2"/>
  <c r="R49" i="2"/>
  <c r="AB21" i="2"/>
  <c r="AB22" i="2" s="1"/>
  <c r="AB25" i="2" s="1"/>
  <c r="AA45" i="2"/>
  <c r="AD17" i="2"/>
  <c r="AC41" i="2"/>
  <c r="AC20" i="2"/>
  <c r="AC44" i="2" s="1"/>
  <c r="U31" i="2"/>
  <c r="U48" i="2"/>
  <c r="W31" i="2"/>
  <c r="W48" i="2"/>
  <c r="X31" i="2"/>
  <c r="X48" i="2"/>
  <c r="V31" i="2"/>
  <c r="V48" i="2"/>
  <c r="AC18" i="2"/>
  <c r="AC42" i="2" s="1"/>
  <c r="T31" i="2"/>
  <c r="T48" i="2"/>
  <c r="AE23" i="2"/>
  <c r="AD46" i="2"/>
  <c r="Z48" i="2"/>
  <c r="AE16" i="2"/>
  <c r="AD40" i="2"/>
  <c r="AC43" i="2"/>
  <c r="AA28" i="2"/>
  <c r="AA29" i="2" s="1"/>
  <c r="AA47" i="2"/>
  <c r="AD19" i="2"/>
  <c r="Y33" i="2" l="1"/>
  <c r="N33" i="2"/>
  <c r="N49" i="2"/>
  <c r="AB45" i="2"/>
  <c r="AC21" i="2"/>
  <c r="AC22" i="2" s="1"/>
  <c r="AC25" i="2" s="1"/>
  <c r="X33" i="2"/>
  <c r="X49" i="2"/>
  <c r="AE17" i="2"/>
  <c r="AE18" i="2" s="1"/>
  <c r="AD41" i="2"/>
  <c r="AD20" i="2"/>
  <c r="AD44" i="2" s="1"/>
  <c r="T33" i="2"/>
  <c r="T49" i="2"/>
  <c r="U33" i="2"/>
  <c r="U49" i="2"/>
  <c r="W33" i="2"/>
  <c r="W49" i="2"/>
  <c r="AD18" i="2"/>
  <c r="AD42" i="2" s="1"/>
  <c r="V33" i="2"/>
  <c r="V49" i="2"/>
  <c r="AF23" i="2"/>
  <c r="AE46" i="2"/>
  <c r="AA31" i="2"/>
  <c r="AA48" i="2"/>
  <c r="AB28" i="2"/>
  <c r="AB29" i="2" s="1"/>
  <c r="AB47" i="2"/>
  <c r="AD43" i="2"/>
  <c r="AF16" i="2"/>
  <c r="AE40" i="2"/>
  <c r="Z31" i="2"/>
  <c r="AE19" i="2"/>
  <c r="AC45" i="2" l="1"/>
  <c r="AD21" i="2"/>
  <c r="AD22" i="2" s="1"/>
  <c r="AD45" i="2" s="1"/>
  <c r="AE42" i="2"/>
  <c r="AF17" i="2"/>
  <c r="AF18" i="2" s="1"/>
  <c r="AF42" i="2" s="1"/>
  <c r="AE41" i="2"/>
  <c r="AE20" i="2"/>
  <c r="AE44" i="2" s="1"/>
  <c r="AG23" i="2"/>
  <c r="AF46" i="2"/>
  <c r="AC28" i="2"/>
  <c r="AC29" i="2" s="1"/>
  <c r="AC47" i="2"/>
  <c r="AB31" i="2"/>
  <c r="AB48" i="2"/>
  <c r="AG16" i="2"/>
  <c r="AF40" i="2"/>
  <c r="Z33" i="2"/>
  <c r="Z49" i="2"/>
  <c r="AE43" i="2"/>
  <c r="AA33" i="2"/>
  <c r="AA49" i="2"/>
  <c r="AF19" i="2"/>
  <c r="AE21" i="2" l="1"/>
  <c r="AE22" i="2" s="1"/>
  <c r="AE25" i="2" s="1"/>
  <c r="AD25" i="2"/>
  <c r="AD28" i="2" s="1"/>
  <c r="AD29" i="2" s="1"/>
  <c r="AG17" i="2"/>
  <c r="AG18" i="2" s="1"/>
  <c r="AG42" i="2" s="1"/>
  <c r="AF41" i="2"/>
  <c r="AF20" i="2"/>
  <c r="AF21" i="2" s="1"/>
  <c r="AF22" i="2" s="1"/>
  <c r="AH23" i="2"/>
  <c r="AG46" i="2"/>
  <c r="AC31" i="2"/>
  <c r="AC48" i="2"/>
  <c r="AF43" i="2"/>
  <c r="AH16" i="2"/>
  <c r="AG40" i="2"/>
  <c r="AB33" i="2"/>
  <c r="AB49" i="2"/>
  <c r="AG19" i="2"/>
  <c r="AE45" i="2" l="1"/>
  <c r="AD47" i="2"/>
  <c r="AF44" i="2"/>
  <c r="AH17" i="2"/>
  <c r="AH18" i="2" s="1"/>
  <c r="AH42" i="2" s="1"/>
  <c r="AG41" i="2"/>
  <c r="AG20" i="2"/>
  <c r="AG21" i="2" s="1"/>
  <c r="AG22" i="2" s="1"/>
  <c r="AI23" i="2"/>
  <c r="AI46" i="2" s="1"/>
  <c r="AH46" i="2"/>
  <c r="AG43" i="2"/>
  <c r="AC33" i="2"/>
  <c r="AC49" i="2"/>
  <c r="AI16" i="2"/>
  <c r="AH40" i="2"/>
  <c r="AF25" i="2"/>
  <c r="AF45" i="2"/>
  <c r="AD31" i="2"/>
  <c r="AD48" i="2"/>
  <c r="AE28" i="2"/>
  <c r="AE29" i="2" s="1"/>
  <c r="AE47" i="2"/>
  <c r="AH19" i="2"/>
  <c r="AG44" i="2" l="1"/>
  <c r="AI17" i="2"/>
  <c r="AI18" i="2" s="1"/>
  <c r="AI42" i="2" s="1"/>
  <c r="AH41" i="2"/>
  <c r="AH20" i="2"/>
  <c r="AH21" i="2" s="1"/>
  <c r="AH22" i="2" s="1"/>
  <c r="AF28" i="2"/>
  <c r="AF29" i="2" s="1"/>
  <c r="AF47" i="2"/>
  <c r="AG25" i="2"/>
  <c r="AG45" i="2"/>
  <c r="AH43" i="2"/>
  <c r="AI40" i="2"/>
  <c r="AE31" i="2"/>
  <c r="AE48" i="2"/>
  <c r="AD33" i="2"/>
  <c r="AD49" i="2"/>
  <c r="AI19" i="2"/>
  <c r="AI43" i="2" s="1"/>
  <c r="AH44" i="2" l="1"/>
  <c r="AI41" i="2"/>
  <c r="AI20" i="2"/>
  <c r="AI44" i="2" s="1"/>
  <c r="AH25" i="2"/>
  <c r="AH45" i="2"/>
  <c r="AE33" i="2"/>
  <c r="AE49" i="2"/>
  <c r="AG28" i="2"/>
  <c r="AG29" i="2" s="1"/>
  <c r="AG47" i="2"/>
  <c r="AF31" i="2"/>
  <c r="AF48" i="2"/>
  <c r="AI21" i="2" l="1"/>
  <c r="AI22" i="2" s="1"/>
  <c r="AI45" i="2" s="1"/>
  <c r="AF33" i="2"/>
  <c r="AF49" i="2"/>
  <c r="AG31" i="2"/>
  <c r="AG48" i="2"/>
  <c r="AH28" i="2"/>
  <c r="AH29" i="2" s="1"/>
  <c r="AH47" i="2"/>
  <c r="AI25" i="2" l="1"/>
  <c r="AI28" i="2" s="1"/>
  <c r="AI29" i="2" s="1"/>
  <c r="AG33" i="2"/>
  <c r="AG49" i="2"/>
  <c r="AH31" i="2"/>
  <c r="AH48" i="2"/>
  <c r="AI47" i="2" l="1"/>
  <c r="AI31" i="2"/>
  <c r="AI48" i="2"/>
  <c r="AH33" i="2"/>
  <c r="AH49" i="2"/>
  <c r="AI33" i="2" l="1"/>
  <c r="AJ31" i="2"/>
  <c r="AK31" i="2" s="1"/>
  <c r="AL31" i="2" s="1"/>
  <c r="AM31" i="2" s="1"/>
  <c r="AN31" i="2" s="1"/>
  <c r="AO31" i="2" s="1"/>
  <c r="AP31" i="2" s="1"/>
  <c r="AQ31" i="2" s="1"/>
  <c r="AR31" i="2" s="1"/>
  <c r="AS31" i="2" s="1"/>
  <c r="AT31" i="2" s="1"/>
  <c r="AU31" i="2" s="1"/>
  <c r="AV31" i="2" s="1"/>
  <c r="AW31" i="2" s="1"/>
  <c r="AX31" i="2" s="1"/>
  <c r="AY31" i="2" s="1"/>
  <c r="AZ31" i="2" s="1"/>
  <c r="BA31" i="2" s="1"/>
  <c r="BB31" i="2" s="1"/>
  <c r="BC31" i="2" s="1"/>
  <c r="BD31" i="2" s="1"/>
  <c r="BE31" i="2" s="1"/>
  <c r="BF31" i="2" s="1"/>
  <c r="BG31" i="2" s="1"/>
  <c r="BH31" i="2" s="1"/>
  <c r="BI31" i="2" s="1"/>
  <c r="BJ31" i="2" s="1"/>
  <c r="BK31" i="2" s="1"/>
  <c r="BL31" i="2" s="1"/>
  <c r="BM31" i="2" s="1"/>
  <c r="BN31" i="2" s="1"/>
  <c r="BO31" i="2" s="1"/>
  <c r="BP31" i="2" s="1"/>
  <c r="BQ31" i="2" s="1"/>
  <c r="BR31" i="2" s="1"/>
  <c r="BS31" i="2" s="1"/>
  <c r="BT31" i="2" s="1"/>
  <c r="BU31" i="2" s="1"/>
  <c r="BV31" i="2" s="1"/>
  <c r="BW31" i="2" s="1"/>
  <c r="BX31" i="2" s="1"/>
  <c r="BY31" i="2" s="1"/>
  <c r="BZ31" i="2" s="1"/>
  <c r="CA31" i="2" s="1"/>
  <c r="CB31" i="2" s="1"/>
  <c r="CC31" i="2" s="1"/>
  <c r="CD31" i="2" s="1"/>
  <c r="CE31" i="2" s="1"/>
  <c r="CF31" i="2" s="1"/>
  <c r="CG31" i="2" s="1"/>
  <c r="CH31" i="2" s="1"/>
  <c r="CI31" i="2" s="1"/>
  <c r="CJ31" i="2" s="1"/>
  <c r="CK31" i="2" s="1"/>
  <c r="CL31" i="2" s="1"/>
  <c r="CM31" i="2" s="1"/>
  <c r="CN31" i="2" s="1"/>
  <c r="CO31" i="2" s="1"/>
  <c r="CP31" i="2" s="1"/>
  <c r="CQ31" i="2" s="1"/>
  <c r="CR31" i="2" s="1"/>
  <c r="CS31" i="2" s="1"/>
  <c r="CT31" i="2" s="1"/>
  <c r="CU31" i="2" s="1"/>
  <c r="CV31" i="2" s="1"/>
  <c r="CW31" i="2" s="1"/>
  <c r="CX31" i="2" s="1"/>
  <c r="CY31" i="2" s="1"/>
  <c r="CZ31" i="2" s="1"/>
  <c r="DA31" i="2" s="1"/>
  <c r="DB31" i="2" s="1"/>
  <c r="DC31" i="2" s="1"/>
  <c r="DD31" i="2" s="1"/>
  <c r="DE31" i="2" s="1"/>
  <c r="DF31" i="2" s="1"/>
  <c r="DG31" i="2" s="1"/>
  <c r="DH31" i="2" s="1"/>
  <c r="DI31" i="2" s="1"/>
  <c r="DJ31" i="2" s="1"/>
  <c r="DK31" i="2" s="1"/>
  <c r="DL31" i="2" s="1"/>
  <c r="DM31" i="2" s="1"/>
  <c r="DN31" i="2" s="1"/>
  <c r="DO31" i="2" s="1"/>
  <c r="DP31" i="2" s="1"/>
  <c r="DQ31" i="2" s="1"/>
  <c r="DR31" i="2" s="1"/>
  <c r="DS31" i="2" s="1"/>
  <c r="DT31" i="2" s="1"/>
  <c r="DU31" i="2" s="1"/>
  <c r="DV31" i="2" s="1"/>
  <c r="DW31" i="2" s="1"/>
  <c r="DX31" i="2" s="1"/>
  <c r="DY31" i="2" s="1"/>
  <c r="DZ31" i="2" s="1"/>
  <c r="EA31" i="2" s="1"/>
  <c r="EB31" i="2" s="1"/>
  <c r="EC31" i="2" s="1"/>
  <c r="ED31" i="2" s="1"/>
  <c r="EE31" i="2" s="1"/>
  <c r="EF31" i="2" s="1"/>
  <c r="EG31" i="2" s="1"/>
  <c r="EH31" i="2" s="1"/>
  <c r="EI31" i="2" s="1"/>
  <c r="EJ31" i="2" s="1"/>
  <c r="EK31" i="2" s="1"/>
  <c r="EL31" i="2" s="1"/>
  <c r="EM31" i="2" s="1"/>
  <c r="EN31" i="2" s="1"/>
  <c r="EO31" i="2" s="1"/>
  <c r="AL43" i="2" s="1"/>
  <c r="AL45" i="2" s="1"/>
  <c r="AL46" i="2" s="1"/>
  <c r="AL48" i="2" s="1"/>
  <c r="AI49" i="2"/>
</calcChain>
</file>

<file path=xl/sharedStrings.xml><?xml version="1.0" encoding="utf-8"?>
<sst xmlns="http://schemas.openxmlformats.org/spreadsheetml/2006/main" count="86" uniqueCount="76">
  <si>
    <t>LHX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</si>
  <si>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</si>
  <si>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</si>
  <si>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</si>
  <si>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</si>
  <si>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</si>
  <si>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</si>
  <si>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</si>
  <si>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</si>
  <si>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</si>
  <si>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</si>
  <si>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Q424</t>
  </si>
  <si>
    <t>Product revenue</t>
  </si>
  <si>
    <t>Service revenue</t>
  </si>
  <si>
    <t>Total revenue</t>
  </si>
  <si>
    <t>Product cost</t>
  </si>
  <si>
    <t>Service cost</t>
  </si>
  <si>
    <t>Total cost of sales</t>
  </si>
  <si>
    <t>Gross profit</t>
  </si>
  <si>
    <t>SG&amp;A</t>
  </si>
  <si>
    <t>Impairment</t>
  </si>
  <si>
    <t>Operating profit</t>
  </si>
  <si>
    <t>Pension income</t>
  </si>
  <si>
    <t>Interest expense</t>
  </si>
  <si>
    <t>Pretax profit</t>
  </si>
  <si>
    <t>Taxes</t>
  </si>
  <si>
    <t>MI</t>
  </si>
  <si>
    <t>Net profit</t>
  </si>
  <si>
    <t>EPS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</si>
  <si>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</si>
  <si>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</si>
  <si>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</si>
  <si>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</si>
  <si>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</si>
  <si>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</si>
  <si>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</si>
  <si>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</si>
  <si>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</si>
  <si>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</si>
  <si>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</si>
  <si>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Q125</t>
  </si>
  <si>
    <t>Q225</t>
  </si>
  <si>
    <t>Q325</t>
  </si>
  <si>
    <t>Q425</t>
  </si>
  <si>
    <t>Product revenue y/y</t>
  </si>
  <si>
    <t>Service revenue y/y</t>
  </si>
  <si>
    <t>Revenue y/y</t>
  </si>
  <si>
    <t>Product Margin</t>
  </si>
  <si>
    <t>Service Margin</t>
  </si>
  <si>
    <t>Gross Margin</t>
  </si>
  <si>
    <t>SG&amp;A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</si>
  <si>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</si>
  <si>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</si>
  <si>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</si>
  <si>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</si>
  <si>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</si>
  <si>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</si>
  <si>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</si>
  <si>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</si>
  <si>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</si>
  <si>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</si>
  <si>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</si>
  <si>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Heavily overvalued</t>
  </si>
  <si>
    <t>L+S/E</t>
  </si>
  <si>
    <t>EV/B</t>
  </si>
  <si>
    <t>B/EV</t>
  </si>
  <si>
    <t>Communication Systems</t>
  </si>
  <si>
    <t>Integrated Mission Systems</t>
  </si>
  <si>
    <t>Space &amp; Airborne Systems</t>
  </si>
  <si>
    <t>Aerojet Rocketdyne</t>
  </si>
  <si>
    <t>Eliminations</t>
  </si>
  <si>
    <t>Communication Systems y/y</t>
  </si>
  <si>
    <t>Integrated Mission Systems y/y</t>
  </si>
  <si>
    <t>Space &amp; Airborne Systems y/y</t>
  </si>
  <si>
    <t>Aerojet Rocketdyne y/y</t>
  </si>
  <si>
    <t>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</si>
</sst>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0.0\x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  <xf numFmtId="4" fontId="2" fillId="2" borderId="1" xfId="0" applyNumberFormat="1" applyFont="1" applyFill="1" applyBorder="1"/>
    <xf numFmtId="3" fontId="1" fillId="2" borderId="1" xfId="0" applyNumberFormat="1" applyFont="1" applyFill="1" applyBorder="1"/>
    <xf numFmtId="9" fontId="2" fillId="2" borderId="1" xfId="0" applyNumberFormat="1" applyFont="1" applyFill="1" applyBorder="1"/>
    <xf numFmtId="9" fontId="1" fillId="2" borderId="1" xfId="0" applyNumberFormat="1" applyFont="1" applyFill="1" applyBorder="1"/>
    <xf numFmtId="0" fontId="5" fillId="2" borderId="1" xfId="0" applyFont="1" applyFill="1" applyBorder="1"/>
    <xf numFmtId="165" fontId="2" fillId="2" borderId="1" xfId="0" applyNumberFormat="1" applyFont="1" applyFill="1" applyBorder="1"/>
    <xf numFmtId="0" fontId="1" fillId="2" borderId="1" xfId="0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3" fontId="5" fillId="2" borderId="1" xfId="0" applyNumberFormat="1" applyFont="1" applyFill="1" applyBorder="1"/>
    <xf numFmtId="3" fontId="3" fillId="2" borderId="1" xfId="0" applyNumberFormat="1" applyFont="1" applyFill="1" applyBorder="1"/>
    <xf numFmtId="9" fontId="3" fillId="2" borderId="1" xfId="0" applyNumberFormat="1" applyFont="1" applyFill="1" applyBorder="1"/>
    <xf numFmtId="3" fontId="3" fillId="2" borderId="1" xfId="0" applyNumberFormat="1" applyFont="1" applyFill="1" applyBorder="1" applyAlignment="1">
      <alignment horizontal="right"/>
    </xf>
    <xf numFmtId="3" fontId="6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22860</xdr:colOff>
      <xdr:row>0</xdr:row>
      <xdr:rowOff>0</xdr:rowOff>
    </xdr:from>
    <xdr:to>
      <xdr:col>24</xdr:col>
      <xdr:colOff>22860</xdr:colOff>
      <xdr:row>61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51722D1-B671-49A3-26C7-B7853E29A323}"/>
            </a:ext>
          </a:extLst>
        </xdr:cNvPr>
        <xdr:cNvCxnSpPr/>
      </xdr:nvCxnSpPr>
      <xdr:spPr>
        <a:xfrm>
          <a:off x="15864840" y="0"/>
          <a:ext cx="0" cy="10058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22860</xdr:colOff>
      <xdr:row>0</xdr:row>
      <xdr:rowOff>7620</xdr:rowOff>
    </xdr:from>
    <xdr:to>
      <xdr:col>17</xdr:col>
      <xdr:colOff>22860</xdr:colOff>
      <xdr:row>61</xdr:row>
      <xdr:rowOff>152400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870A800-6D1D-DF73-A45F-2CD25545360F}"/>
            </a:ext>
          </a:extLst>
        </xdr:cNvPr>
        <xdr:cNvCxnSpPr/>
      </xdr:nvCxnSpPr>
      <xdr:spPr>
        <a:xfrm>
          <a:off x="11597640" y="7620"/>
          <a:ext cx="0" cy="102031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EE3D8-C4BE-40FE-8896-BFA45F6A384D}">
  <dimension ref="B2:G9"/>
  <sheetViews>
    <sheetView workbookViewId="0">
      <selection activeCell="F3" sqref="F3"/>
    </sheetView>
  </sheetViews>
  <sheetFormatPr defaultRowHeight="14.4" x14ac:dyDescent="0.3"/>
  <cols>
    <col min="1" max="4" width="8.88671875" style="1"/>
    <col min="5" max="7" width="13.5546875" style="3" customWidth="1"/>
    <col min="8" max="16384" width="8.88671875" style="1"/>
  </cols>
  <sheetData>
    <row r="2" spans="2:7" x14ac:dyDescent="0.3">
      <c r="E2" s="3" t="s">
        <v>8</v>
      </c>
      <c r="F2" s="3" t="s">
        <v>9</v>
      </c>
      <c r="G2" s="3" t="s">
        <v>10</v>
      </c>
    </row>
    <row r="3" spans="2:7" x14ac:dyDescent="0.3">
      <c r="B3" s="2" t="s">
        <v>0</v>
      </c>
      <c r="C3" s="1" t="s">
        <v>1</v>
      </c>
      <c r="D3" s="5">
        <v>277.77999999999997</v>
      </c>
      <c r="E3" s="4">
        <v>45983</v>
      </c>
      <c r="F3" s="4">
        <f ca="1">TODAY()</f>
        <v>46059</v>
      </c>
      <c r="G3" s="4">
        <v>46044</v>
      </c>
    </row>
    <row r="4" spans="2:7" x14ac:dyDescent="0.3">
      <c r="C4" s="1" t="s">
        <v>2</v>
      </c>
      <c r="D4" s="6">
        <v>187.1</v>
      </c>
      <c r="E4" s="3" t="s">
        <v>42</v>
      </c>
    </row>
    <row r="5" spans="2:7" x14ac:dyDescent="0.3">
      <c r="C5" s="1" t="s">
        <v>3</v>
      </c>
      <c r="D5" s="6">
        <f>D3*D4</f>
        <v>51972.637999999992</v>
      </c>
    </row>
    <row r="6" spans="2:7" x14ac:dyDescent="0.3">
      <c r="C6" s="1" t="s">
        <v>4</v>
      </c>
      <c r="D6" s="6">
        <f>482</f>
        <v>482</v>
      </c>
      <c r="E6" s="3" t="s">
        <v>41</v>
      </c>
    </row>
    <row r="7" spans="2:7" x14ac:dyDescent="0.3">
      <c r="C7" s="1" t="s">
        <v>5</v>
      </c>
      <c r="D7" s="6">
        <f>985+141+10976</f>
        <v>12102</v>
      </c>
      <c r="E7" s="3" t="s">
        <v>41</v>
      </c>
    </row>
    <row r="8" spans="2:7" x14ac:dyDescent="0.3">
      <c r="C8" s="1" t="s">
        <v>6</v>
      </c>
      <c r="D8" s="6">
        <f>D6-D7</f>
        <v>-11620</v>
      </c>
    </row>
    <row r="9" spans="2:7" x14ac:dyDescent="0.3">
      <c r="C9" s="1" t="s">
        <v>7</v>
      </c>
      <c r="D9" s="6">
        <f>D5-D8</f>
        <v>63592.637999999992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7D1A-B1AA-4685-BD0F-764C53F340E2}">
  <dimension ref="B2:EO55"/>
  <sheetViews>
    <sheetView tabSelected="1" workbookViewId="0">
      <pane xSplit="2" ySplit="2" topLeftCell="X26" activePane="bottomRight" state="frozen"/>
      <selection pane="topRight" activeCell="C1" sqref="C1"/>
      <selection pane="bottomLeft" activeCell="A3" sqref="A3"/>
      <selection pane="bottomRight" activeCell="AL52" sqref="AL52"/>
    </sheetView>
  </sheetViews>
  <sheetFormatPr defaultRowHeight="14.4" x14ac:dyDescent="0.3"/>
  <cols>
    <col min="1" max="1" width="8.88671875" style="1"/>
    <col min="2" max="2" width="26.5546875" style="1" bestFit="1" customWidth="1"/>
    <col min="3" max="36" width="8.88671875" style="1"/>
    <col min="37" max="37" width="11.88671875" style="1" bestFit="1" customWidth="1"/>
    <col min="38" max="38" width="16.77734375" style="1" customWidth="1"/>
    <col min="39" max="16384" width="8.88671875" style="1"/>
  </cols>
  <sheetData>
    <row r="2" spans="2:35" x14ac:dyDescent="0.3"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  <c r="K2" s="7" t="s">
        <v>37</v>
      </c>
      <c r="L2" s="7" t="s">
        <v>38</v>
      </c>
      <c r="M2" s="7" t="s">
        <v>39</v>
      </c>
      <c r="N2" s="7" t="s">
        <v>11</v>
      </c>
      <c r="O2" s="7" t="s">
        <v>40</v>
      </c>
      <c r="P2" s="7" t="s">
        <v>41</v>
      </c>
      <c r="Q2" s="7" t="s">
        <v>42</v>
      </c>
      <c r="R2" s="7" t="s">
        <v>43</v>
      </c>
      <c r="T2" s="1">
        <v>2020</v>
      </c>
      <c r="U2" s="1">
        <v>2021</v>
      </c>
      <c r="V2" s="1">
        <v>2022</v>
      </c>
      <c r="W2" s="1">
        <v>2023</v>
      </c>
      <c r="X2" s="1">
        <v>2024</v>
      </c>
      <c r="Y2" s="1">
        <v>2025</v>
      </c>
      <c r="Z2" s="1">
        <v>2026</v>
      </c>
      <c r="AA2" s="1">
        <v>2027</v>
      </c>
      <c r="AB2" s="1">
        <v>2028</v>
      </c>
      <c r="AC2" s="1">
        <v>2029</v>
      </c>
      <c r="AD2" s="1">
        <v>2030</v>
      </c>
      <c r="AE2" s="1">
        <v>2031</v>
      </c>
      <c r="AF2" s="1">
        <v>2032</v>
      </c>
      <c r="AG2" s="1">
        <v>2033</v>
      </c>
      <c r="AH2" s="1">
        <v>2034</v>
      </c>
      <c r="AI2" s="1">
        <v>2035</v>
      </c>
    </row>
    <row r="3" spans="2:35" x14ac:dyDescent="0.3">
      <c r="B3" s="1" t="s">
        <v>66</v>
      </c>
      <c r="C3" s="7"/>
      <c r="D3" s="7"/>
      <c r="E3" s="7"/>
      <c r="F3" s="7"/>
      <c r="G3" s="7"/>
      <c r="H3" s="7"/>
      <c r="I3" s="7"/>
      <c r="J3" s="15">
        <v>6300</v>
      </c>
      <c r="K3" s="7"/>
      <c r="L3" s="7"/>
      <c r="M3" s="7"/>
      <c r="N3" s="15">
        <v>7300</v>
      </c>
      <c r="O3" s="7"/>
      <c r="P3" s="7"/>
      <c r="Q3" s="15">
        <v>7100</v>
      </c>
      <c r="R3" s="7"/>
      <c r="W3" s="15">
        <v>6300</v>
      </c>
      <c r="X3" s="15">
        <v>7300</v>
      </c>
      <c r="Y3" s="15">
        <v>7100</v>
      </c>
    </row>
    <row r="4" spans="2:35" x14ac:dyDescent="0.3">
      <c r="B4" s="1" t="s">
        <v>67</v>
      </c>
      <c r="C4" s="7"/>
      <c r="D4" s="7"/>
      <c r="E4" s="7"/>
      <c r="F4" s="7"/>
      <c r="G4" s="7"/>
      <c r="H4" s="7"/>
      <c r="I4" s="7"/>
      <c r="J4" s="15">
        <v>9700</v>
      </c>
      <c r="K4" s="7"/>
      <c r="L4" s="7"/>
      <c r="M4" s="7"/>
      <c r="N4" s="15">
        <v>10500</v>
      </c>
      <c r="O4" s="7"/>
      <c r="P4" s="7"/>
      <c r="Q4" s="15">
        <v>10100</v>
      </c>
      <c r="R4" s="7"/>
      <c r="W4" s="15">
        <v>9700</v>
      </c>
      <c r="X4" s="15">
        <v>10500</v>
      </c>
      <c r="Y4" s="15">
        <v>10100</v>
      </c>
    </row>
    <row r="5" spans="2:35" x14ac:dyDescent="0.3">
      <c r="B5" s="1" t="s">
        <v>68</v>
      </c>
      <c r="C5" s="7"/>
      <c r="D5" s="7"/>
      <c r="E5" s="7"/>
      <c r="F5" s="7"/>
      <c r="G5" s="7"/>
      <c r="H5" s="7"/>
      <c r="I5" s="7"/>
      <c r="J5" s="15">
        <v>9500</v>
      </c>
      <c r="K5" s="7"/>
      <c r="L5" s="7"/>
      <c r="M5" s="7"/>
      <c r="N5" s="15">
        <v>9400</v>
      </c>
      <c r="O5" s="7"/>
      <c r="P5" s="7"/>
      <c r="Q5" s="15">
        <v>10800</v>
      </c>
      <c r="R5" s="7"/>
      <c r="W5" s="15">
        <v>9500</v>
      </c>
      <c r="X5" s="15">
        <v>9400</v>
      </c>
      <c r="Y5" s="15">
        <v>10800</v>
      </c>
    </row>
    <row r="6" spans="2:35" x14ac:dyDescent="0.3">
      <c r="B6" s="1" t="s">
        <v>69</v>
      </c>
      <c r="C6" s="7"/>
      <c r="D6" s="7"/>
      <c r="E6" s="7"/>
      <c r="F6" s="7"/>
      <c r="G6" s="7"/>
      <c r="H6" s="7"/>
      <c r="I6" s="7"/>
      <c r="J6" s="15">
        <v>7200</v>
      </c>
      <c r="K6" s="7"/>
      <c r="L6" s="7"/>
      <c r="M6" s="7"/>
      <c r="N6" s="15">
        <v>7000</v>
      </c>
      <c r="O6" s="7"/>
      <c r="P6" s="7"/>
      <c r="Q6" s="15">
        <v>8300</v>
      </c>
      <c r="R6" s="7"/>
      <c r="W6" s="15">
        <v>7200</v>
      </c>
      <c r="X6" s="15">
        <v>7000</v>
      </c>
      <c r="Y6" s="15">
        <v>8300</v>
      </c>
    </row>
    <row r="7" spans="2:35" s="2" customFormat="1" x14ac:dyDescent="0.3">
      <c r="B7" s="2" t="s">
        <v>75</v>
      </c>
      <c r="C7" s="14"/>
      <c r="D7" s="14"/>
      <c r="E7" s="14"/>
      <c r="F7" s="14"/>
      <c r="G7" s="14"/>
      <c r="H7" s="14"/>
      <c r="I7" s="14"/>
      <c r="J7" s="16">
        <f>SUM(J3:J6)</f>
        <v>32700</v>
      </c>
      <c r="K7" s="14"/>
      <c r="L7" s="14"/>
      <c r="M7" s="14"/>
      <c r="N7" s="16">
        <f>SUM(N3:N6)</f>
        <v>34200</v>
      </c>
      <c r="O7" s="14"/>
      <c r="P7" s="14"/>
      <c r="Q7" s="16">
        <f>SUM(Q3:Q6)</f>
        <v>36300</v>
      </c>
      <c r="R7" s="14"/>
      <c r="W7" s="16">
        <f>SUM(W3:W6)</f>
        <v>32700</v>
      </c>
      <c r="X7" s="16">
        <f>SUM(X3:X6)</f>
        <v>34200</v>
      </c>
      <c r="Y7" s="16">
        <f>SUM(Y3:Y6)</f>
        <v>36300</v>
      </c>
    </row>
    <row r="8" spans="2:35" x14ac:dyDescent="0.3"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2:35" x14ac:dyDescent="0.3">
      <c r="B9" s="1" t="s">
        <v>66</v>
      </c>
      <c r="C9" s="7"/>
      <c r="D9" s="7"/>
      <c r="E9" s="15">
        <v>1686</v>
      </c>
      <c r="F9" s="7"/>
      <c r="G9" s="7"/>
      <c r="H9" s="7"/>
      <c r="I9" s="15">
        <v>1683</v>
      </c>
      <c r="J9" s="15">
        <v>1800</v>
      </c>
      <c r="K9" s="15">
        <v>1294</v>
      </c>
      <c r="L9" s="15">
        <v>1346</v>
      </c>
      <c r="M9" s="15">
        <v>1382</v>
      </c>
      <c r="N9" s="15">
        <v>1728</v>
      </c>
      <c r="O9" s="15">
        <v>1352</v>
      </c>
      <c r="P9" s="15">
        <v>1376</v>
      </c>
      <c r="Q9" s="15">
        <v>1462</v>
      </c>
      <c r="R9" s="20">
        <f>N9*1.01</f>
        <v>1745.28</v>
      </c>
      <c r="W9" s="15"/>
      <c r="X9" s="15">
        <f>SUM(K9:N9)</f>
        <v>5750</v>
      </c>
      <c r="Y9" s="18">
        <f>SUM(O9:R9)</f>
        <v>5935.28</v>
      </c>
    </row>
    <row r="10" spans="2:35" x14ac:dyDescent="0.3">
      <c r="B10" s="1" t="s">
        <v>67</v>
      </c>
      <c r="C10" s="7"/>
      <c r="D10" s="7"/>
      <c r="E10" s="15">
        <v>1568</v>
      </c>
      <c r="F10" s="7"/>
      <c r="G10" s="7"/>
      <c r="H10" s="7"/>
      <c r="I10" s="15">
        <v>1671</v>
      </c>
      <c r="J10" s="15">
        <v>1627</v>
      </c>
      <c r="K10" s="15">
        <v>1627</v>
      </c>
      <c r="L10" s="15">
        <v>1671</v>
      </c>
      <c r="M10" s="15">
        <v>1608</v>
      </c>
      <c r="N10" s="15">
        <v>1773</v>
      </c>
      <c r="O10" s="15">
        <v>1592</v>
      </c>
      <c r="P10" s="15">
        <v>1622</v>
      </c>
      <c r="Q10" s="15">
        <v>1700</v>
      </c>
      <c r="R10" s="20">
        <f>N10*0.98</f>
        <v>1737.54</v>
      </c>
      <c r="W10" s="15"/>
      <c r="X10" s="15">
        <f t="shared" ref="X10:X13" si="0">SUM(K10:N10)</f>
        <v>6679</v>
      </c>
      <c r="Y10" s="18">
        <f>SUM(O10:R10)</f>
        <v>6651.54</v>
      </c>
    </row>
    <row r="11" spans="2:35" x14ac:dyDescent="0.3">
      <c r="B11" s="1" t="s">
        <v>68</v>
      </c>
      <c r="C11" s="7"/>
      <c r="D11" s="7"/>
      <c r="E11" s="15">
        <v>1255</v>
      </c>
      <c r="F11" s="7"/>
      <c r="G11" s="7"/>
      <c r="H11" s="7"/>
      <c r="I11" s="15">
        <v>1382</v>
      </c>
      <c r="J11" s="15">
        <v>1363</v>
      </c>
      <c r="K11" s="15">
        <v>1751</v>
      </c>
      <c r="L11" s="15">
        <v>1707</v>
      </c>
      <c r="M11" s="15">
        <v>1683</v>
      </c>
      <c r="N11" s="15">
        <v>1437</v>
      </c>
      <c r="O11" s="15">
        <v>1611</v>
      </c>
      <c r="P11" s="15">
        <v>1787</v>
      </c>
      <c r="Q11" s="15">
        <v>1809</v>
      </c>
      <c r="R11" s="20">
        <f>N11*1.3</f>
        <v>1868.1000000000001</v>
      </c>
      <c r="W11" s="15"/>
      <c r="X11" s="15">
        <f t="shared" si="0"/>
        <v>6578</v>
      </c>
      <c r="Y11" s="18">
        <f>SUM(O11:R11)</f>
        <v>7075.1</v>
      </c>
    </row>
    <row r="12" spans="2:35" x14ac:dyDescent="0.3">
      <c r="B12" s="1" t="s">
        <v>69</v>
      </c>
      <c r="C12" s="7"/>
      <c r="D12" s="7"/>
      <c r="E12" s="15">
        <v>455</v>
      </c>
      <c r="F12" s="7"/>
      <c r="G12" s="7"/>
      <c r="H12" s="7"/>
      <c r="I12" s="15">
        <v>596</v>
      </c>
      <c r="J12" s="15">
        <v>597</v>
      </c>
      <c r="K12" s="15">
        <v>584</v>
      </c>
      <c r="L12" s="15">
        <v>633</v>
      </c>
      <c r="M12" s="15">
        <v>669</v>
      </c>
      <c r="N12" s="15">
        <v>628</v>
      </c>
      <c r="O12" s="15">
        <v>629</v>
      </c>
      <c r="P12" s="15">
        <v>698</v>
      </c>
      <c r="Q12" s="15">
        <v>755</v>
      </c>
      <c r="R12" s="20">
        <f>N12*1.25</f>
        <v>785</v>
      </c>
      <c r="W12" s="15"/>
      <c r="X12" s="15">
        <f t="shared" si="0"/>
        <v>2514</v>
      </c>
      <c r="Y12" s="18">
        <f>SUM(O12:R12)</f>
        <v>2867</v>
      </c>
    </row>
    <row r="13" spans="2:35" x14ac:dyDescent="0.3">
      <c r="B13" s="1" t="s">
        <v>70</v>
      </c>
      <c r="C13" s="7"/>
      <c r="D13" s="7"/>
      <c r="E13" s="15">
        <v>-49</v>
      </c>
      <c r="F13" s="7"/>
      <c r="G13" s="7"/>
      <c r="H13" s="7"/>
      <c r="I13" s="15">
        <v>-40</v>
      </c>
      <c r="J13" s="15">
        <v>-47</v>
      </c>
      <c r="K13" s="15">
        <v>-45</v>
      </c>
      <c r="L13" s="15">
        <v>-58</v>
      </c>
      <c r="M13" s="15">
        <v>-50</v>
      </c>
      <c r="N13" s="15">
        <v>-43</v>
      </c>
      <c r="O13" s="15">
        <v>-52</v>
      </c>
      <c r="P13" s="15">
        <v>-57</v>
      </c>
      <c r="Q13" s="15">
        <v>-67</v>
      </c>
      <c r="R13" s="20">
        <f>N13*1.7</f>
        <v>-73.099999999999994</v>
      </c>
      <c r="W13" s="15"/>
      <c r="X13" s="15">
        <f t="shared" si="0"/>
        <v>-196</v>
      </c>
    </row>
    <row r="14" spans="2:35" s="2" customFormat="1" x14ac:dyDescent="0.3">
      <c r="B14" s="2" t="s">
        <v>14</v>
      </c>
      <c r="C14" s="14"/>
      <c r="D14" s="14"/>
      <c r="E14" s="16">
        <f>SUM(E9:E13)</f>
        <v>4915</v>
      </c>
      <c r="F14" s="14"/>
      <c r="G14" s="14"/>
      <c r="H14" s="14"/>
      <c r="I14" s="16">
        <f t="shared" ref="I14:R14" si="1">SUM(I9:I13)</f>
        <v>5292</v>
      </c>
      <c r="J14" s="16">
        <f t="shared" si="1"/>
        <v>5340</v>
      </c>
      <c r="K14" s="16">
        <f t="shared" si="1"/>
        <v>5211</v>
      </c>
      <c r="L14" s="16">
        <f t="shared" si="1"/>
        <v>5299</v>
      </c>
      <c r="M14" s="16">
        <f t="shared" si="1"/>
        <v>5292</v>
      </c>
      <c r="N14" s="16">
        <f t="shared" si="1"/>
        <v>5523</v>
      </c>
      <c r="O14" s="16">
        <f t="shared" si="1"/>
        <v>5132</v>
      </c>
      <c r="P14" s="16">
        <f t="shared" si="1"/>
        <v>5426</v>
      </c>
      <c r="Q14" s="16">
        <f t="shared" si="1"/>
        <v>5659</v>
      </c>
      <c r="R14" s="21">
        <f t="shared" si="1"/>
        <v>6062.82</v>
      </c>
      <c r="W14" s="16"/>
      <c r="X14" s="16">
        <f>SUM(X9:X13)</f>
        <v>21325</v>
      </c>
    </row>
    <row r="15" spans="2:35" x14ac:dyDescent="0.3"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2:35" x14ac:dyDescent="0.3">
      <c r="B16" s="1" t="s">
        <v>12</v>
      </c>
      <c r="P16" s="6"/>
      <c r="T16" s="6">
        <v>13581</v>
      </c>
      <c r="U16" s="6">
        <v>13156</v>
      </c>
      <c r="V16" s="6">
        <v>12097</v>
      </c>
      <c r="W16" s="6">
        <v>13694</v>
      </c>
      <c r="X16" s="6">
        <v>15134</v>
      </c>
      <c r="Y16" s="18">
        <f>X16*1.06</f>
        <v>16042.04</v>
      </c>
      <c r="Z16" s="6">
        <f>Y16*1.05</f>
        <v>16844.142</v>
      </c>
      <c r="AA16" s="6">
        <f>Z16*1.04</f>
        <v>17517.90768</v>
      </c>
      <c r="AB16" s="6">
        <f>AA16*1.03</f>
        <v>18043.444910400001</v>
      </c>
      <c r="AC16" s="6">
        <f t="shared" ref="AC16:AI16" si="2">AB16*1.02</f>
        <v>18404.313808608003</v>
      </c>
      <c r="AD16" s="6">
        <f t="shared" si="2"/>
        <v>18772.400084780165</v>
      </c>
      <c r="AE16" s="6">
        <f t="shared" si="2"/>
        <v>19147.848086475769</v>
      </c>
      <c r="AF16" s="6">
        <f t="shared" si="2"/>
        <v>19530.805048205286</v>
      </c>
      <c r="AG16" s="6">
        <f t="shared" si="2"/>
        <v>19921.421149169393</v>
      </c>
      <c r="AH16" s="6">
        <f t="shared" si="2"/>
        <v>20319.84957215278</v>
      </c>
      <c r="AI16" s="6">
        <f t="shared" si="2"/>
        <v>20726.246563595836</v>
      </c>
    </row>
    <row r="17" spans="2:145" x14ac:dyDescent="0.3">
      <c r="B17" s="1" t="s">
        <v>13</v>
      </c>
      <c r="P17" s="6"/>
      <c r="T17" s="6">
        <v>4613</v>
      </c>
      <c r="U17" s="6">
        <v>4658</v>
      </c>
      <c r="V17" s="6">
        <v>4965</v>
      </c>
      <c r="W17" s="6">
        <v>5725</v>
      </c>
      <c r="X17" s="6">
        <v>6191</v>
      </c>
      <c r="Y17" s="18">
        <f>X17*1.04</f>
        <v>6438.64</v>
      </c>
      <c r="Z17" s="6">
        <f>Y17*1.05</f>
        <v>6760.572000000001</v>
      </c>
      <c r="AA17" s="6">
        <f>Z17*1.04</f>
        <v>7030.9948800000011</v>
      </c>
      <c r="AB17" s="6">
        <f>AA17*1.03</f>
        <v>7241.9247264000014</v>
      </c>
      <c r="AC17" s="6">
        <f t="shared" ref="AC17:AI17" si="3">AB17*1.03</f>
        <v>7459.1824681920016</v>
      </c>
      <c r="AD17" s="6">
        <f t="shared" si="3"/>
        <v>7682.9579422377619</v>
      </c>
      <c r="AE17" s="6">
        <f t="shared" si="3"/>
        <v>7913.4466805048951</v>
      </c>
      <c r="AF17" s="6">
        <f t="shared" si="3"/>
        <v>8150.8500809200423</v>
      </c>
      <c r="AG17" s="6">
        <f t="shared" si="3"/>
        <v>8395.3755833476444</v>
      </c>
      <c r="AH17" s="6">
        <f t="shared" si="3"/>
        <v>8647.236850848074</v>
      </c>
      <c r="AI17" s="6">
        <f t="shared" si="3"/>
        <v>8906.6539563735168</v>
      </c>
    </row>
    <row r="18" spans="2:145" s="2" customFormat="1" x14ac:dyDescent="0.3">
      <c r="B18" s="2" t="s">
        <v>14</v>
      </c>
      <c r="K18" s="9">
        <v>5211</v>
      </c>
      <c r="L18" s="9">
        <v>5299</v>
      </c>
      <c r="M18" s="9">
        <v>5292</v>
      </c>
      <c r="N18" s="9">
        <f>X18-M18-L18-K18</f>
        <v>5523</v>
      </c>
      <c r="O18" s="9">
        <v>5132</v>
      </c>
      <c r="P18" s="9">
        <v>5426</v>
      </c>
      <c r="Q18" s="9">
        <v>5659</v>
      </c>
      <c r="R18" s="16">
        <f>R14</f>
        <v>6062.82</v>
      </c>
      <c r="T18" s="9">
        <f t="shared" ref="T18:X18" si="4">T16+T17</f>
        <v>18194</v>
      </c>
      <c r="U18" s="9">
        <f t="shared" si="4"/>
        <v>17814</v>
      </c>
      <c r="V18" s="9">
        <f t="shared" si="4"/>
        <v>17062</v>
      </c>
      <c r="W18" s="9">
        <f t="shared" si="4"/>
        <v>19419</v>
      </c>
      <c r="X18" s="9">
        <f t="shared" si="4"/>
        <v>21325</v>
      </c>
      <c r="Y18" s="9">
        <f>SUM(O18:R18)</f>
        <v>22279.82</v>
      </c>
      <c r="Z18" s="9">
        <f t="shared" ref="Z18:AI18" si="5">Z16+Z17</f>
        <v>23604.714</v>
      </c>
      <c r="AA18" s="9">
        <f t="shared" si="5"/>
        <v>24548.902560000002</v>
      </c>
      <c r="AB18" s="9">
        <f t="shared" si="5"/>
        <v>25285.369636800002</v>
      </c>
      <c r="AC18" s="9">
        <f t="shared" si="5"/>
        <v>25863.496276800004</v>
      </c>
      <c r="AD18" s="9">
        <f t="shared" si="5"/>
        <v>26455.358027017926</v>
      </c>
      <c r="AE18" s="9">
        <f t="shared" si="5"/>
        <v>27061.294766980664</v>
      </c>
      <c r="AF18" s="9">
        <f t="shared" si="5"/>
        <v>27681.655129125327</v>
      </c>
      <c r="AG18" s="9">
        <f t="shared" si="5"/>
        <v>28316.796732517039</v>
      </c>
      <c r="AH18" s="9">
        <f t="shared" si="5"/>
        <v>28967.086423000852</v>
      </c>
      <c r="AI18" s="9">
        <f t="shared" si="5"/>
        <v>29632.900519969353</v>
      </c>
    </row>
    <row r="19" spans="2:145" x14ac:dyDescent="0.3">
      <c r="B19" s="1" t="s">
        <v>15</v>
      </c>
      <c r="K19" s="6"/>
      <c r="L19" s="6"/>
      <c r="M19" s="6"/>
      <c r="N19" s="6"/>
      <c r="O19" s="6"/>
      <c r="P19" s="6"/>
      <c r="Q19" s="6"/>
      <c r="T19" s="6">
        <v>9464</v>
      </c>
      <c r="U19" s="6">
        <v>9007</v>
      </c>
      <c r="V19" s="6">
        <v>8355</v>
      </c>
      <c r="W19" s="6">
        <v>9711</v>
      </c>
      <c r="X19" s="6">
        <v>11019</v>
      </c>
      <c r="Y19" s="18">
        <f>Y16*0.73</f>
        <v>11710.689200000001</v>
      </c>
      <c r="Z19" s="6">
        <f t="shared" ref="Z19:AI19" si="6">Z16*0.73</f>
        <v>12296.22366</v>
      </c>
      <c r="AA19" s="6">
        <f t="shared" si="6"/>
        <v>12788.072606399999</v>
      </c>
      <c r="AB19" s="6">
        <f t="shared" si="6"/>
        <v>13171.714784592001</v>
      </c>
      <c r="AC19" s="6">
        <f t="shared" si="6"/>
        <v>13435.149080283842</v>
      </c>
      <c r="AD19" s="6">
        <f t="shared" si="6"/>
        <v>13703.85206188952</v>
      </c>
      <c r="AE19" s="6">
        <f t="shared" si="6"/>
        <v>13977.929103127311</v>
      </c>
      <c r="AF19" s="6">
        <f t="shared" si="6"/>
        <v>14257.487685189859</v>
      </c>
      <c r="AG19" s="6">
        <f t="shared" si="6"/>
        <v>14542.637438893657</v>
      </c>
      <c r="AH19" s="6">
        <f t="shared" si="6"/>
        <v>14833.490187671528</v>
      </c>
      <c r="AI19" s="6">
        <f t="shared" si="6"/>
        <v>15130.15999142496</v>
      </c>
    </row>
    <row r="20" spans="2:145" x14ac:dyDescent="0.3">
      <c r="B20" s="1" t="s">
        <v>16</v>
      </c>
      <c r="K20" s="6"/>
      <c r="L20" s="6"/>
      <c r="M20" s="6"/>
      <c r="N20" s="6"/>
      <c r="O20" s="6"/>
      <c r="P20" s="6"/>
      <c r="Q20" s="6"/>
      <c r="T20" s="6">
        <v>3422</v>
      </c>
      <c r="U20" s="6">
        <v>3431</v>
      </c>
      <c r="V20" s="6">
        <v>3780</v>
      </c>
      <c r="W20" s="6">
        <v>4595</v>
      </c>
      <c r="X20" s="6">
        <v>4782</v>
      </c>
      <c r="Y20" s="18">
        <f>Y17*0.77</f>
        <v>4957.7528000000002</v>
      </c>
      <c r="Z20" s="6">
        <f t="shared" ref="Z20:AI20" si="7">Z17*0.77</f>
        <v>5205.640440000001</v>
      </c>
      <c r="AA20" s="6">
        <f t="shared" si="7"/>
        <v>5413.8660576000011</v>
      </c>
      <c r="AB20" s="6">
        <f t="shared" si="7"/>
        <v>5576.2820393280008</v>
      </c>
      <c r="AC20" s="6">
        <f t="shared" si="7"/>
        <v>5743.5705005078416</v>
      </c>
      <c r="AD20" s="6">
        <f t="shared" si="7"/>
        <v>5915.8776155230771</v>
      </c>
      <c r="AE20" s="6">
        <f t="shared" si="7"/>
        <v>6093.3539439887691</v>
      </c>
      <c r="AF20" s="6">
        <f t="shared" si="7"/>
        <v>6276.154562308433</v>
      </c>
      <c r="AG20" s="6">
        <f t="shared" si="7"/>
        <v>6464.4391991776865</v>
      </c>
      <c r="AH20" s="6">
        <f t="shared" si="7"/>
        <v>6658.3723751530169</v>
      </c>
      <c r="AI20" s="6">
        <f t="shared" si="7"/>
        <v>6858.123546407608</v>
      </c>
    </row>
    <row r="21" spans="2:145" x14ac:dyDescent="0.3">
      <c r="B21" s="1" t="s">
        <v>17</v>
      </c>
      <c r="K21" s="6">
        <v>3863</v>
      </c>
      <c r="L21" s="6">
        <v>3939</v>
      </c>
      <c r="M21" s="6">
        <v>3873</v>
      </c>
      <c r="N21" s="9">
        <f>X21-M21-L21-K21</f>
        <v>4126</v>
      </c>
      <c r="O21" s="6">
        <v>3782</v>
      </c>
      <c r="P21" s="6">
        <v>4091</v>
      </c>
      <c r="Q21" s="6">
        <v>4165</v>
      </c>
      <c r="R21" s="6">
        <f>R18-R22</f>
        <v>4486.4867999999997</v>
      </c>
      <c r="T21" s="6">
        <f t="shared" ref="T21:X21" si="8">T19+T20</f>
        <v>12886</v>
      </c>
      <c r="U21" s="6">
        <f t="shared" si="8"/>
        <v>12438</v>
      </c>
      <c r="V21" s="6">
        <f t="shared" si="8"/>
        <v>12135</v>
      </c>
      <c r="W21" s="6">
        <f t="shared" si="8"/>
        <v>14306</v>
      </c>
      <c r="X21" s="6">
        <f t="shared" si="8"/>
        <v>15801</v>
      </c>
      <c r="Y21" s="6">
        <f>SUM(O21:R21)</f>
        <v>16524.486799999999</v>
      </c>
      <c r="Z21" s="6">
        <f t="shared" ref="Z21:AI21" si="9">Z19+Z20</f>
        <v>17501.864099999999</v>
      </c>
      <c r="AA21" s="6">
        <f t="shared" si="9"/>
        <v>18201.938664000001</v>
      </c>
      <c r="AB21" s="6">
        <f t="shared" si="9"/>
        <v>18747.996823920002</v>
      </c>
      <c r="AC21" s="6">
        <f t="shared" si="9"/>
        <v>19178.719580791683</v>
      </c>
      <c r="AD21" s="6">
        <f t="shared" si="9"/>
        <v>19619.729677412597</v>
      </c>
      <c r="AE21" s="6">
        <f t="shared" si="9"/>
        <v>20071.283047116081</v>
      </c>
      <c r="AF21" s="6">
        <f t="shared" si="9"/>
        <v>20533.64224749829</v>
      </c>
      <c r="AG21" s="6">
        <f t="shared" si="9"/>
        <v>21007.076638071343</v>
      </c>
      <c r="AH21" s="6">
        <f t="shared" si="9"/>
        <v>21491.862562824546</v>
      </c>
      <c r="AI21" s="6">
        <f t="shared" si="9"/>
        <v>21988.283537832569</v>
      </c>
    </row>
    <row r="22" spans="2:145" s="2" customFormat="1" x14ac:dyDescent="0.3">
      <c r="B22" s="2" t="s">
        <v>18</v>
      </c>
      <c r="K22" s="9">
        <f t="shared" ref="K22" si="10">K18-K21</f>
        <v>1348</v>
      </c>
      <c r="L22" s="9">
        <f t="shared" ref="L22:M22" si="11">L18-L21</f>
        <v>1360</v>
      </c>
      <c r="M22" s="9">
        <f t="shared" si="11"/>
        <v>1419</v>
      </c>
      <c r="N22" s="9">
        <f t="shared" ref="N22" si="12">N18-N21</f>
        <v>1397</v>
      </c>
      <c r="O22" s="9">
        <f t="shared" ref="O22:P22" si="13">O18-O21</f>
        <v>1350</v>
      </c>
      <c r="P22" s="9">
        <f t="shared" si="13"/>
        <v>1335</v>
      </c>
      <c r="Q22" s="9">
        <f t="shared" ref="Q22" si="14">Q18-Q21</f>
        <v>1494</v>
      </c>
      <c r="R22" s="9">
        <f>R18*0.26</f>
        <v>1576.3332</v>
      </c>
      <c r="T22" s="9">
        <f t="shared" ref="T22:Y22" si="15">T18-T21</f>
        <v>5308</v>
      </c>
      <c r="U22" s="9">
        <f t="shared" si="15"/>
        <v>5376</v>
      </c>
      <c r="V22" s="9">
        <f t="shared" si="15"/>
        <v>4927</v>
      </c>
      <c r="W22" s="9">
        <f t="shared" si="15"/>
        <v>5113</v>
      </c>
      <c r="X22" s="9">
        <f t="shared" si="15"/>
        <v>5524</v>
      </c>
      <c r="Y22" s="9">
        <f t="shared" si="15"/>
        <v>5755.3332000000009</v>
      </c>
      <c r="Z22" s="9">
        <f t="shared" ref="Z22:AI22" si="16">Z18-Z21</f>
        <v>6102.8499000000011</v>
      </c>
      <c r="AA22" s="9">
        <f t="shared" si="16"/>
        <v>6346.9638960000011</v>
      </c>
      <c r="AB22" s="9">
        <f t="shared" si="16"/>
        <v>6537.3728128799994</v>
      </c>
      <c r="AC22" s="9">
        <f t="shared" si="16"/>
        <v>6684.7766960083209</v>
      </c>
      <c r="AD22" s="9">
        <f t="shared" si="16"/>
        <v>6835.6283496053293</v>
      </c>
      <c r="AE22" s="9">
        <f t="shared" si="16"/>
        <v>6990.0117198645821</v>
      </c>
      <c r="AF22" s="9">
        <f t="shared" si="16"/>
        <v>7148.0128816270371</v>
      </c>
      <c r="AG22" s="9">
        <f t="shared" si="16"/>
        <v>7309.7200944456963</v>
      </c>
      <c r="AH22" s="9">
        <f t="shared" si="16"/>
        <v>7475.2238601763056</v>
      </c>
      <c r="AI22" s="9">
        <f t="shared" si="16"/>
        <v>7644.6169821367839</v>
      </c>
    </row>
    <row r="23" spans="2:145" x14ac:dyDescent="0.3">
      <c r="B23" s="1" t="s">
        <v>19</v>
      </c>
      <c r="K23" s="6">
        <v>970</v>
      </c>
      <c r="L23" s="6">
        <v>884</v>
      </c>
      <c r="M23" s="6">
        <v>924</v>
      </c>
      <c r="N23" s="6">
        <f>X23-M23-L23-K23+X24</f>
        <v>828</v>
      </c>
      <c r="O23" s="6">
        <v>825</v>
      </c>
      <c r="P23" s="6">
        <v>764</v>
      </c>
      <c r="Q23" s="6">
        <v>873</v>
      </c>
      <c r="R23" s="6">
        <f>N23*0.98</f>
        <v>811.43999999999994</v>
      </c>
      <c r="T23" s="6">
        <v>3315</v>
      </c>
      <c r="U23" s="6">
        <v>3280</v>
      </c>
      <c r="V23" s="6">
        <v>2998</v>
      </c>
      <c r="W23" s="6">
        <v>3313</v>
      </c>
      <c r="X23" s="6">
        <v>3568</v>
      </c>
      <c r="Y23" s="6">
        <f t="shared" ref="Y23:Y24" si="17">SUM(O23:R23)</f>
        <v>3273.44</v>
      </c>
      <c r="Z23" s="6">
        <f>Y23*1.04</f>
        <v>3404.3776000000003</v>
      </c>
      <c r="AA23" s="6">
        <f>Z23*1.03</f>
        <v>3506.5089280000002</v>
      </c>
      <c r="AB23" s="6">
        <f>AA23*1.02</f>
        <v>3576.6391065600001</v>
      </c>
      <c r="AC23" s="6">
        <f>AB23*1.01</f>
        <v>3612.4054976256002</v>
      </c>
      <c r="AD23" s="6">
        <f t="shared" ref="AD23:AI23" si="18">AC23*1.01</f>
        <v>3648.5295526018563</v>
      </c>
      <c r="AE23" s="6">
        <f t="shared" si="18"/>
        <v>3685.0148481278748</v>
      </c>
      <c r="AF23" s="6">
        <f t="shared" si="18"/>
        <v>3721.8649966091534</v>
      </c>
      <c r="AG23" s="6">
        <f t="shared" si="18"/>
        <v>3759.083646575245</v>
      </c>
      <c r="AH23" s="6">
        <f t="shared" si="18"/>
        <v>3796.6744830409975</v>
      </c>
      <c r="AI23" s="6">
        <f t="shared" si="18"/>
        <v>3834.6412278714074</v>
      </c>
    </row>
    <row r="24" spans="2:145" x14ac:dyDescent="0.3">
      <c r="B24" s="1" t="s">
        <v>20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1">
        <v>0</v>
      </c>
      <c r="T24" s="6">
        <f>51+767</f>
        <v>818</v>
      </c>
      <c r="U24" s="6">
        <f>-220+207</f>
        <v>-13</v>
      </c>
      <c r="V24" s="6">
        <v>802</v>
      </c>
      <c r="W24" s="6">
        <v>374</v>
      </c>
      <c r="X24" s="6">
        <v>38</v>
      </c>
      <c r="Y24" s="6">
        <f t="shared" si="17"/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</row>
    <row r="25" spans="2:145" s="2" customFormat="1" x14ac:dyDescent="0.3">
      <c r="B25" s="2" t="s">
        <v>21</v>
      </c>
      <c r="K25" s="9">
        <f t="shared" ref="K25" si="19">K22-K23-K24</f>
        <v>378</v>
      </c>
      <c r="L25" s="9">
        <f t="shared" ref="L25:M25" si="20">L22-L23-L24</f>
        <v>476</v>
      </c>
      <c r="M25" s="9">
        <f t="shared" si="20"/>
        <v>495</v>
      </c>
      <c r="N25" s="9">
        <f t="shared" ref="N25" si="21">N22-N23-N24</f>
        <v>569</v>
      </c>
      <c r="O25" s="9">
        <f t="shared" ref="O25:P25" si="22">O22-O23-O24</f>
        <v>525</v>
      </c>
      <c r="P25" s="9">
        <f t="shared" si="22"/>
        <v>571</v>
      </c>
      <c r="Q25" s="9">
        <f t="shared" ref="Q25:R25" si="23">Q22-Q23-Q24</f>
        <v>621</v>
      </c>
      <c r="R25" s="9">
        <f t="shared" si="23"/>
        <v>764.89320000000009</v>
      </c>
      <c r="T25" s="9">
        <f t="shared" ref="T25:Y25" si="24">T22-T23-T24</f>
        <v>1175</v>
      </c>
      <c r="U25" s="9">
        <f t="shared" si="24"/>
        <v>2109</v>
      </c>
      <c r="V25" s="9">
        <f t="shared" si="24"/>
        <v>1127</v>
      </c>
      <c r="W25" s="9">
        <f t="shared" si="24"/>
        <v>1426</v>
      </c>
      <c r="X25" s="9">
        <f t="shared" si="24"/>
        <v>1918</v>
      </c>
      <c r="Y25" s="9">
        <f t="shared" si="24"/>
        <v>2481.8932000000009</v>
      </c>
      <c r="Z25" s="9">
        <f t="shared" ref="Z25:AI25" si="25">Z22-Z23-Z24</f>
        <v>2698.4723000000008</v>
      </c>
      <c r="AA25" s="9">
        <f t="shared" si="25"/>
        <v>2840.4549680000009</v>
      </c>
      <c r="AB25" s="9">
        <f t="shared" si="25"/>
        <v>2960.7337063199993</v>
      </c>
      <c r="AC25" s="9">
        <f t="shared" si="25"/>
        <v>3072.3711983827206</v>
      </c>
      <c r="AD25" s="9">
        <f t="shared" si="25"/>
        <v>3187.098797003473</v>
      </c>
      <c r="AE25" s="9">
        <f t="shared" si="25"/>
        <v>3304.9968717367074</v>
      </c>
      <c r="AF25" s="9">
        <f t="shared" si="25"/>
        <v>3426.1478850178837</v>
      </c>
      <c r="AG25" s="9">
        <f t="shared" si="25"/>
        <v>3550.6364478704513</v>
      </c>
      <c r="AH25" s="9">
        <f t="shared" si="25"/>
        <v>3678.5493771353081</v>
      </c>
      <c r="AI25" s="9">
        <f t="shared" si="25"/>
        <v>3809.9757542653765</v>
      </c>
    </row>
    <row r="26" spans="2:145" x14ac:dyDescent="0.3">
      <c r="B26" s="1" t="s">
        <v>22</v>
      </c>
      <c r="K26" s="6">
        <v>-88</v>
      </c>
      <c r="L26" s="6">
        <v>-86</v>
      </c>
      <c r="M26" s="6">
        <v>-101</v>
      </c>
      <c r="N26" s="6">
        <f>X26-M26-L26-K26</f>
        <v>-79</v>
      </c>
      <c r="O26" s="6">
        <v>-84</v>
      </c>
      <c r="P26" s="6">
        <v>-105</v>
      </c>
      <c r="Q26" s="6">
        <v>-98</v>
      </c>
      <c r="R26" s="6">
        <v>-100</v>
      </c>
      <c r="T26" s="6">
        <v>-401</v>
      </c>
      <c r="U26" s="6">
        <v>-439</v>
      </c>
      <c r="V26" s="6">
        <v>-425</v>
      </c>
      <c r="W26" s="6">
        <v>-338</v>
      </c>
      <c r="X26" s="6">
        <v>-354</v>
      </c>
      <c r="Y26" s="6">
        <f t="shared" ref="Y26:Y27" si="26">SUM(O26:R26)</f>
        <v>-387</v>
      </c>
      <c r="Z26" s="6">
        <f t="shared" ref="Z26:AI26" si="27">Y26*1.01</f>
        <v>-390.87</v>
      </c>
      <c r="AA26" s="6">
        <f t="shared" si="27"/>
        <v>-394.77870000000001</v>
      </c>
      <c r="AB26" s="6">
        <f t="shared" si="27"/>
        <v>-398.72648700000002</v>
      </c>
      <c r="AC26" s="6">
        <f t="shared" si="27"/>
        <v>-402.71375187000001</v>
      </c>
      <c r="AD26" s="6">
        <f t="shared" si="27"/>
        <v>-406.7408893887</v>
      </c>
      <c r="AE26" s="6">
        <f t="shared" si="27"/>
        <v>-410.80829828258697</v>
      </c>
      <c r="AF26" s="6">
        <f t="shared" si="27"/>
        <v>-414.91638126541284</v>
      </c>
      <c r="AG26" s="6">
        <f t="shared" si="27"/>
        <v>-419.06554507806698</v>
      </c>
      <c r="AH26" s="6">
        <f t="shared" si="27"/>
        <v>-423.25620052884767</v>
      </c>
      <c r="AI26" s="6">
        <f t="shared" si="27"/>
        <v>-427.48876253413613</v>
      </c>
    </row>
    <row r="27" spans="2:145" x14ac:dyDescent="0.3">
      <c r="B27" s="1" t="s">
        <v>23</v>
      </c>
      <c r="K27" s="6">
        <v>176</v>
      </c>
      <c r="L27" s="6">
        <v>172</v>
      </c>
      <c r="M27" s="6">
        <v>166</v>
      </c>
      <c r="N27" s="6">
        <f>X27-M27-L27-K27</f>
        <v>161</v>
      </c>
      <c r="O27" s="6">
        <v>150</v>
      </c>
      <c r="P27" s="6">
        <v>152</v>
      </c>
      <c r="Q27" s="6">
        <v>152</v>
      </c>
      <c r="R27" s="6">
        <v>152</v>
      </c>
      <c r="T27" s="6">
        <v>254</v>
      </c>
      <c r="U27" s="6">
        <v>265</v>
      </c>
      <c r="V27" s="6">
        <v>279</v>
      </c>
      <c r="W27" s="6">
        <v>543</v>
      </c>
      <c r="X27" s="6">
        <v>675</v>
      </c>
      <c r="Y27" s="6">
        <f t="shared" si="26"/>
        <v>606</v>
      </c>
      <c r="Z27" s="6">
        <f t="shared" ref="Z27:AI27" si="28">Y27*1.01</f>
        <v>612.06000000000006</v>
      </c>
      <c r="AA27" s="6">
        <f t="shared" si="28"/>
        <v>618.18060000000003</v>
      </c>
      <c r="AB27" s="6">
        <f t="shared" si="28"/>
        <v>624.36240600000008</v>
      </c>
      <c r="AC27" s="6">
        <f t="shared" si="28"/>
        <v>630.60603006000008</v>
      </c>
      <c r="AD27" s="6">
        <f t="shared" si="28"/>
        <v>636.91209036060013</v>
      </c>
      <c r="AE27" s="6">
        <f t="shared" si="28"/>
        <v>643.28121126420615</v>
      </c>
      <c r="AF27" s="6">
        <f t="shared" si="28"/>
        <v>649.71402337684822</v>
      </c>
      <c r="AG27" s="6">
        <f t="shared" si="28"/>
        <v>656.21116361061672</v>
      </c>
      <c r="AH27" s="6">
        <f t="shared" si="28"/>
        <v>662.77327524672285</v>
      </c>
      <c r="AI27" s="6">
        <f t="shared" si="28"/>
        <v>669.40100799919003</v>
      </c>
    </row>
    <row r="28" spans="2:145" s="2" customFormat="1" x14ac:dyDescent="0.3">
      <c r="B28" s="2" t="s">
        <v>24</v>
      </c>
      <c r="K28" s="9">
        <f t="shared" ref="K28" si="29">K25-K26-K27</f>
        <v>290</v>
      </c>
      <c r="L28" s="9">
        <f t="shared" ref="L28:M28" si="30">L25-L26-L27</f>
        <v>390</v>
      </c>
      <c r="M28" s="9">
        <f t="shared" si="30"/>
        <v>430</v>
      </c>
      <c r="N28" s="9">
        <f t="shared" ref="N28" si="31">N25-N26-N27</f>
        <v>487</v>
      </c>
      <c r="O28" s="9">
        <f t="shared" ref="O28:P28" si="32">O25-O26-O27</f>
        <v>459</v>
      </c>
      <c r="P28" s="9">
        <f t="shared" si="32"/>
        <v>524</v>
      </c>
      <c r="Q28" s="9">
        <f t="shared" ref="Q28:R28" si="33">Q25-Q26-Q27</f>
        <v>567</v>
      </c>
      <c r="R28" s="9">
        <f t="shared" si="33"/>
        <v>712.89320000000009</v>
      </c>
      <c r="T28" s="9">
        <f t="shared" ref="T28:Y28" si="34">T25-T26-T27</f>
        <v>1322</v>
      </c>
      <c r="U28" s="9">
        <f t="shared" si="34"/>
        <v>2283</v>
      </c>
      <c r="V28" s="9">
        <f t="shared" si="34"/>
        <v>1273</v>
      </c>
      <c r="W28" s="9">
        <f t="shared" si="34"/>
        <v>1221</v>
      </c>
      <c r="X28" s="9">
        <f t="shared" si="34"/>
        <v>1597</v>
      </c>
      <c r="Y28" s="9">
        <f t="shared" si="34"/>
        <v>2262.8932000000009</v>
      </c>
      <c r="Z28" s="9">
        <f t="shared" ref="Z28:AI28" si="35">Z25-Z26-Z27</f>
        <v>2477.2823000000008</v>
      </c>
      <c r="AA28" s="9">
        <f t="shared" si="35"/>
        <v>2617.0530680000006</v>
      </c>
      <c r="AB28" s="9">
        <f t="shared" si="35"/>
        <v>2735.097787319999</v>
      </c>
      <c r="AC28" s="9">
        <f t="shared" si="35"/>
        <v>2844.4789201927206</v>
      </c>
      <c r="AD28" s="9">
        <f t="shared" si="35"/>
        <v>2956.9275960315726</v>
      </c>
      <c r="AE28" s="9">
        <f t="shared" si="35"/>
        <v>3072.5239587550886</v>
      </c>
      <c r="AF28" s="9">
        <f t="shared" si="35"/>
        <v>3191.3502429064483</v>
      </c>
      <c r="AG28" s="9">
        <f t="shared" si="35"/>
        <v>3313.4908293379012</v>
      </c>
      <c r="AH28" s="9">
        <f t="shared" si="35"/>
        <v>3439.0323024174331</v>
      </c>
      <c r="AI28" s="9">
        <f t="shared" si="35"/>
        <v>3568.0635088003223</v>
      </c>
    </row>
    <row r="29" spans="2:145" x14ac:dyDescent="0.3">
      <c r="B29" s="1" t="s">
        <v>25</v>
      </c>
      <c r="K29" s="6">
        <v>5</v>
      </c>
      <c r="L29" s="6">
        <v>23</v>
      </c>
      <c r="M29" s="6">
        <v>26</v>
      </c>
      <c r="N29" s="6">
        <f t="shared" ref="N29:N30" si="36">X29-M29-L29-K29</f>
        <v>31</v>
      </c>
      <c r="O29" s="6">
        <v>73</v>
      </c>
      <c r="P29" s="6">
        <v>66</v>
      </c>
      <c r="Q29" s="6">
        <v>105</v>
      </c>
      <c r="R29" s="6">
        <f>R28*0.15</f>
        <v>106.93398000000001</v>
      </c>
      <c r="T29" s="6">
        <v>234</v>
      </c>
      <c r="U29" s="6">
        <v>440</v>
      </c>
      <c r="V29" s="6">
        <v>212</v>
      </c>
      <c r="W29" s="6">
        <v>23</v>
      </c>
      <c r="X29" s="6">
        <v>85</v>
      </c>
      <c r="Y29" s="6">
        <f t="shared" ref="Y29:Y30" si="37">SUM(O29:R29)</f>
        <v>350.93398000000002</v>
      </c>
      <c r="Z29" s="6">
        <f>Z28*0.15</f>
        <v>371.59234500000008</v>
      </c>
      <c r="AA29" s="6">
        <f t="shared" ref="AA29:AI29" si="38">AA28*0.15</f>
        <v>392.55796020000008</v>
      </c>
      <c r="AB29" s="6">
        <f t="shared" si="38"/>
        <v>410.26466809799985</v>
      </c>
      <c r="AC29" s="6">
        <f t="shared" si="38"/>
        <v>426.6718380289081</v>
      </c>
      <c r="AD29" s="6">
        <f t="shared" si="38"/>
        <v>443.53913940473586</v>
      </c>
      <c r="AE29" s="6">
        <f t="shared" si="38"/>
        <v>460.87859381326325</v>
      </c>
      <c r="AF29" s="6">
        <f t="shared" si="38"/>
        <v>478.7025364359672</v>
      </c>
      <c r="AG29" s="6">
        <f t="shared" si="38"/>
        <v>497.02362440068515</v>
      </c>
      <c r="AH29" s="6">
        <f t="shared" si="38"/>
        <v>515.85484536261492</v>
      </c>
      <c r="AI29" s="6">
        <f t="shared" si="38"/>
        <v>535.20952632004833</v>
      </c>
    </row>
    <row r="30" spans="2:145" x14ac:dyDescent="0.3">
      <c r="B30" s="1" t="s">
        <v>26</v>
      </c>
      <c r="K30" s="6">
        <v>2</v>
      </c>
      <c r="L30" s="6">
        <v>1</v>
      </c>
      <c r="M30" s="6">
        <v>4</v>
      </c>
      <c r="N30" s="6">
        <f t="shared" si="36"/>
        <v>3</v>
      </c>
      <c r="O30" s="6">
        <v>0</v>
      </c>
      <c r="P30" s="6">
        <v>0</v>
      </c>
      <c r="Q30" s="6">
        <v>0</v>
      </c>
      <c r="R30" s="6">
        <v>0</v>
      </c>
      <c r="T30" s="6">
        <f>2-33</f>
        <v>-31</v>
      </c>
      <c r="U30" s="6">
        <f>1-4</f>
        <v>-3</v>
      </c>
      <c r="V30" s="6">
        <v>-1</v>
      </c>
      <c r="W30" s="6">
        <v>-29</v>
      </c>
      <c r="X30" s="6">
        <v>10</v>
      </c>
      <c r="Y30" s="6">
        <f t="shared" si="37"/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</row>
    <row r="31" spans="2:145" s="2" customFormat="1" x14ac:dyDescent="0.3">
      <c r="B31" s="2" t="s">
        <v>27</v>
      </c>
      <c r="K31" s="9">
        <f t="shared" ref="K31" si="39">K28-K29-K30</f>
        <v>283</v>
      </c>
      <c r="L31" s="9">
        <f t="shared" ref="L31:M31" si="40">L28-L29-L30</f>
        <v>366</v>
      </c>
      <c r="M31" s="9">
        <f t="shared" si="40"/>
        <v>400</v>
      </c>
      <c r="N31" s="9">
        <f t="shared" ref="N31" si="41">N28-N29-N30</f>
        <v>453</v>
      </c>
      <c r="O31" s="9">
        <f t="shared" ref="O31:P31" si="42">O28-O29-O30</f>
        <v>386</v>
      </c>
      <c r="P31" s="9">
        <f t="shared" si="42"/>
        <v>458</v>
      </c>
      <c r="Q31" s="9">
        <f t="shared" ref="Q31:R31" si="43">Q28-Q29-Q30</f>
        <v>462</v>
      </c>
      <c r="R31" s="9">
        <f t="shared" si="43"/>
        <v>605.95922000000007</v>
      </c>
      <c r="T31" s="9">
        <f t="shared" ref="T31:Y31" si="44">T28-T29-T30</f>
        <v>1119</v>
      </c>
      <c r="U31" s="9">
        <f t="shared" si="44"/>
        <v>1846</v>
      </c>
      <c r="V31" s="9">
        <f t="shared" si="44"/>
        <v>1062</v>
      </c>
      <c r="W31" s="9">
        <f t="shared" si="44"/>
        <v>1227</v>
      </c>
      <c r="X31" s="9">
        <f t="shared" si="44"/>
        <v>1502</v>
      </c>
      <c r="Y31" s="9">
        <f t="shared" si="44"/>
        <v>1911.9592200000009</v>
      </c>
      <c r="Z31" s="9">
        <f t="shared" ref="Z31:AI31" si="45">Z28-Z29-Z30</f>
        <v>2105.6899550000007</v>
      </c>
      <c r="AA31" s="9">
        <f t="shared" si="45"/>
        <v>2224.4951078000004</v>
      </c>
      <c r="AB31" s="9">
        <f t="shared" si="45"/>
        <v>2324.8331192219994</v>
      </c>
      <c r="AC31" s="9">
        <f t="shared" si="45"/>
        <v>2417.8070821638125</v>
      </c>
      <c r="AD31" s="9">
        <f t="shared" si="45"/>
        <v>2513.3884566268366</v>
      </c>
      <c r="AE31" s="9">
        <f t="shared" si="45"/>
        <v>2611.6453649418254</v>
      </c>
      <c r="AF31" s="9">
        <f t="shared" si="45"/>
        <v>2712.6477064704814</v>
      </c>
      <c r="AG31" s="9">
        <f t="shared" si="45"/>
        <v>2816.4672049372161</v>
      </c>
      <c r="AH31" s="9">
        <f t="shared" si="45"/>
        <v>2923.1774570548182</v>
      </c>
      <c r="AI31" s="9">
        <f t="shared" si="45"/>
        <v>3032.8539824802738</v>
      </c>
      <c r="AJ31" s="2">
        <f>AI31*(1+$AL$41)</f>
        <v>3002.5254426554711</v>
      </c>
      <c r="AK31" s="2">
        <f t="shared" ref="AK31:CV31" si="46">AJ31*(1+$AL$41)</f>
        <v>2972.5001882289166</v>
      </c>
      <c r="AL31" s="2">
        <f t="shared" si="46"/>
        <v>2942.7751863466274</v>
      </c>
      <c r="AM31" s="2">
        <f t="shared" si="46"/>
        <v>2913.3474344831611</v>
      </c>
      <c r="AN31" s="2">
        <f t="shared" si="46"/>
        <v>2884.2139601383296</v>
      </c>
      <c r="AO31" s="2">
        <f t="shared" si="46"/>
        <v>2855.3718205369464</v>
      </c>
      <c r="AP31" s="2">
        <f t="shared" si="46"/>
        <v>2826.8181023315769</v>
      </c>
      <c r="AQ31" s="2">
        <f t="shared" si="46"/>
        <v>2798.5499213082612</v>
      </c>
      <c r="AR31" s="2">
        <f t="shared" si="46"/>
        <v>2770.5644220951785</v>
      </c>
      <c r="AS31" s="2">
        <f t="shared" si="46"/>
        <v>2742.8587778742267</v>
      </c>
      <c r="AT31" s="2">
        <f t="shared" si="46"/>
        <v>2715.4301900954842</v>
      </c>
      <c r="AU31" s="2">
        <f t="shared" si="46"/>
        <v>2688.2758881945292</v>
      </c>
      <c r="AV31" s="2">
        <f t="shared" si="46"/>
        <v>2661.3931293125838</v>
      </c>
      <c r="AW31" s="2">
        <f t="shared" si="46"/>
        <v>2634.7791980194579</v>
      </c>
      <c r="AX31" s="2">
        <f t="shared" si="46"/>
        <v>2608.4314060392635</v>
      </c>
      <c r="AY31" s="2">
        <f t="shared" si="46"/>
        <v>2582.347091978871</v>
      </c>
      <c r="AZ31" s="2">
        <f t="shared" si="46"/>
        <v>2556.5236210590824</v>
      </c>
      <c r="BA31" s="2">
        <f t="shared" si="46"/>
        <v>2530.9583848484917</v>
      </c>
      <c r="BB31" s="2">
        <f t="shared" si="46"/>
        <v>2505.6488010000066</v>
      </c>
      <c r="BC31" s="2">
        <f t="shared" si="46"/>
        <v>2480.5923129900066</v>
      </c>
      <c r="BD31" s="2">
        <f t="shared" si="46"/>
        <v>2455.7863898601063</v>
      </c>
      <c r="BE31" s="2">
        <f t="shared" si="46"/>
        <v>2431.2285259615051</v>
      </c>
      <c r="BF31" s="2">
        <f t="shared" si="46"/>
        <v>2406.9162407018898</v>
      </c>
      <c r="BG31" s="2">
        <f t="shared" si="46"/>
        <v>2382.8470782948707</v>
      </c>
      <c r="BH31" s="2">
        <f t="shared" si="46"/>
        <v>2359.0186075119218</v>
      </c>
      <c r="BI31" s="2">
        <f t="shared" si="46"/>
        <v>2335.4284214368026</v>
      </c>
      <c r="BJ31" s="2">
        <f t="shared" si="46"/>
        <v>2312.0741372224347</v>
      </c>
      <c r="BK31" s="2">
        <f t="shared" si="46"/>
        <v>2288.9533958502102</v>
      </c>
      <c r="BL31" s="2">
        <f t="shared" si="46"/>
        <v>2266.0638618917083</v>
      </c>
      <c r="BM31" s="2">
        <f t="shared" si="46"/>
        <v>2243.4032232727914</v>
      </c>
      <c r="BN31" s="2">
        <f t="shared" si="46"/>
        <v>2220.9691910400634</v>
      </c>
      <c r="BO31" s="2">
        <f t="shared" si="46"/>
        <v>2198.7594991296628</v>
      </c>
      <c r="BP31" s="2">
        <f t="shared" si="46"/>
        <v>2176.7719041383662</v>
      </c>
      <c r="BQ31" s="2">
        <f t="shared" si="46"/>
        <v>2155.0041850969824</v>
      </c>
      <c r="BR31" s="2">
        <f t="shared" si="46"/>
        <v>2133.4541432460123</v>
      </c>
      <c r="BS31" s="2">
        <f t="shared" si="46"/>
        <v>2112.119601813552</v>
      </c>
      <c r="BT31" s="2">
        <f t="shared" si="46"/>
        <v>2090.9984057954166</v>
      </c>
      <c r="BU31" s="2">
        <f t="shared" si="46"/>
        <v>2070.0884217374623</v>
      </c>
      <c r="BV31" s="2">
        <f t="shared" si="46"/>
        <v>2049.3875375200878</v>
      </c>
      <c r="BW31" s="2">
        <f t="shared" si="46"/>
        <v>2028.893662144887</v>
      </c>
      <c r="BX31" s="2">
        <f t="shared" si="46"/>
        <v>2008.6047255234382</v>
      </c>
      <c r="BY31" s="2">
        <f t="shared" si="46"/>
        <v>1988.5186782682038</v>
      </c>
      <c r="BZ31" s="2">
        <f t="shared" si="46"/>
        <v>1968.6334914855217</v>
      </c>
      <c r="CA31" s="2">
        <f t="shared" si="46"/>
        <v>1948.9471565706665</v>
      </c>
      <c r="CB31" s="2">
        <f t="shared" si="46"/>
        <v>1929.4576850049598</v>
      </c>
      <c r="CC31" s="2">
        <f t="shared" si="46"/>
        <v>1910.1631081549101</v>
      </c>
      <c r="CD31" s="2">
        <f t="shared" si="46"/>
        <v>1891.0614770733609</v>
      </c>
      <c r="CE31" s="2">
        <f t="shared" si="46"/>
        <v>1872.1508623026273</v>
      </c>
      <c r="CF31" s="2">
        <f t="shared" si="46"/>
        <v>1853.429353679601</v>
      </c>
      <c r="CG31" s="2">
        <f t="shared" si="46"/>
        <v>1834.8950601428051</v>
      </c>
      <c r="CH31" s="2">
        <f t="shared" si="46"/>
        <v>1816.5461095413771</v>
      </c>
      <c r="CI31" s="2">
        <f t="shared" si="46"/>
        <v>1798.3806484459633</v>
      </c>
      <c r="CJ31" s="2">
        <f t="shared" si="46"/>
        <v>1780.3968419615037</v>
      </c>
      <c r="CK31" s="2">
        <f t="shared" si="46"/>
        <v>1762.5928735418886</v>
      </c>
      <c r="CL31" s="2">
        <f t="shared" si="46"/>
        <v>1744.9669448064697</v>
      </c>
      <c r="CM31" s="2">
        <f t="shared" si="46"/>
        <v>1727.517275358405</v>
      </c>
      <c r="CN31" s="2">
        <f t="shared" si="46"/>
        <v>1710.242102604821</v>
      </c>
      <c r="CO31" s="2">
        <f t="shared" si="46"/>
        <v>1693.1396815787728</v>
      </c>
      <c r="CP31" s="2">
        <f t="shared" si="46"/>
        <v>1676.2082847629849</v>
      </c>
      <c r="CQ31" s="2">
        <f t="shared" si="46"/>
        <v>1659.446201915355</v>
      </c>
      <c r="CR31" s="2">
        <f t="shared" si="46"/>
        <v>1642.8517398962015</v>
      </c>
      <c r="CS31" s="2">
        <f t="shared" si="46"/>
        <v>1626.4232224972395</v>
      </c>
      <c r="CT31" s="2">
        <f t="shared" si="46"/>
        <v>1610.1589902722671</v>
      </c>
      <c r="CU31" s="2">
        <f t="shared" si="46"/>
        <v>1594.0574003695444</v>
      </c>
      <c r="CV31" s="2">
        <f t="shared" si="46"/>
        <v>1578.116826365849</v>
      </c>
      <c r="CW31" s="2">
        <f t="shared" ref="CW31:EO31" si="47">CV31*(1+$AL$41)</f>
        <v>1562.3356581021906</v>
      </c>
      <c r="CX31" s="2">
        <f t="shared" si="47"/>
        <v>1546.7123015211687</v>
      </c>
      <c r="CY31" s="2">
        <f t="shared" si="47"/>
        <v>1531.245178505957</v>
      </c>
      <c r="CZ31" s="2">
        <f t="shared" si="47"/>
        <v>1515.9327267208973</v>
      </c>
      <c r="DA31" s="2">
        <f t="shared" si="47"/>
        <v>1500.7733994536884</v>
      </c>
      <c r="DB31" s="2">
        <f t="shared" si="47"/>
        <v>1485.7656654591515</v>
      </c>
      <c r="DC31" s="2">
        <f t="shared" si="47"/>
        <v>1470.90800880456</v>
      </c>
      <c r="DD31" s="2">
        <f t="shared" si="47"/>
        <v>1456.1989287165145</v>
      </c>
      <c r="DE31" s="2">
        <f t="shared" si="47"/>
        <v>1441.6369394293492</v>
      </c>
      <c r="DF31" s="2">
        <f t="shared" si="47"/>
        <v>1427.2205700350557</v>
      </c>
      <c r="DG31" s="2">
        <f t="shared" si="47"/>
        <v>1412.9483643347053</v>
      </c>
      <c r="DH31" s="2">
        <f t="shared" si="47"/>
        <v>1398.8188806913581</v>
      </c>
      <c r="DI31" s="2">
        <f t="shared" si="47"/>
        <v>1384.8306918844446</v>
      </c>
      <c r="DJ31" s="2">
        <f t="shared" si="47"/>
        <v>1370.9823849656002</v>
      </c>
      <c r="DK31" s="2">
        <f t="shared" si="47"/>
        <v>1357.2725611159442</v>
      </c>
      <c r="DL31" s="2">
        <f t="shared" si="47"/>
        <v>1343.6998355047847</v>
      </c>
      <c r="DM31" s="2">
        <f t="shared" si="47"/>
        <v>1330.2628371497369</v>
      </c>
      <c r="DN31" s="2">
        <f t="shared" si="47"/>
        <v>1316.9602087782396</v>
      </c>
      <c r="DO31" s="2">
        <f t="shared" si="47"/>
        <v>1303.7906066904573</v>
      </c>
      <c r="DP31" s="2">
        <f t="shared" si="47"/>
        <v>1290.7527006235528</v>
      </c>
      <c r="DQ31" s="2">
        <f t="shared" si="47"/>
        <v>1277.8451736173172</v>
      </c>
      <c r="DR31" s="2">
        <f t="shared" si="47"/>
        <v>1265.0667218811441</v>
      </c>
      <c r="DS31" s="2">
        <f t="shared" si="47"/>
        <v>1252.4160546623327</v>
      </c>
      <c r="DT31" s="2">
        <f t="shared" si="47"/>
        <v>1239.8918941157094</v>
      </c>
      <c r="DU31" s="2">
        <f t="shared" si="47"/>
        <v>1227.4929751745524</v>
      </c>
      <c r="DV31" s="2">
        <f t="shared" si="47"/>
        <v>1215.2180454228069</v>
      </c>
      <c r="DW31" s="2">
        <f t="shared" si="47"/>
        <v>1203.0658649685788</v>
      </c>
      <c r="DX31" s="2">
        <f t="shared" si="47"/>
        <v>1191.035206318893</v>
      </c>
      <c r="DY31" s="2">
        <f t="shared" si="47"/>
        <v>1179.1248542557041</v>
      </c>
      <c r="DZ31" s="2">
        <f t="shared" si="47"/>
        <v>1167.3336057131471</v>
      </c>
      <c r="EA31" s="2">
        <f t="shared" si="47"/>
        <v>1155.6602696560155</v>
      </c>
      <c r="EB31" s="2">
        <f t="shared" si="47"/>
        <v>1144.1036669594553</v>
      </c>
      <c r="EC31" s="2">
        <f t="shared" si="47"/>
        <v>1132.6626302898608</v>
      </c>
      <c r="ED31" s="2">
        <f t="shared" si="47"/>
        <v>1121.3360039869622</v>
      </c>
      <c r="EE31" s="2">
        <f t="shared" si="47"/>
        <v>1110.1226439470925</v>
      </c>
      <c r="EF31" s="2">
        <f t="shared" si="47"/>
        <v>1099.0214175076214</v>
      </c>
      <c r="EG31" s="2">
        <f t="shared" si="47"/>
        <v>1088.0312033325451</v>
      </c>
      <c r="EH31" s="2">
        <f t="shared" si="47"/>
        <v>1077.1508912992197</v>
      </c>
      <c r="EI31" s="2">
        <f t="shared" si="47"/>
        <v>1066.3793823862275</v>
      </c>
      <c r="EJ31" s="2">
        <f t="shared" si="47"/>
        <v>1055.7155885623652</v>
      </c>
      <c r="EK31" s="2">
        <f t="shared" si="47"/>
        <v>1045.1584326767415</v>
      </c>
      <c r="EL31" s="2">
        <f t="shared" si="47"/>
        <v>1034.7068483499741</v>
      </c>
      <c r="EM31" s="2">
        <f t="shared" si="47"/>
        <v>1024.3597798664744</v>
      </c>
      <c r="EN31" s="2">
        <f t="shared" si="47"/>
        <v>1014.1161820678096</v>
      </c>
      <c r="EO31" s="2">
        <f t="shared" si="47"/>
        <v>1003.9750202471315</v>
      </c>
    </row>
    <row r="32" spans="2:145" x14ac:dyDescent="0.3">
      <c r="B32" s="1" t="s">
        <v>2</v>
      </c>
      <c r="K32" s="6">
        <f t="shared" ref="K32" si="48">188.3</f>
        <v>188.3</v>
      </c>
      <c r="L32" s="6">
        <f t="shared" ref="L32:N32" si="49">188.3</f>
        <v>188.3</v>
      </c>
      <c r="M32" s="6">
        <f t="shared" si="49"/>
        <v>188.3</v>
      </c>
      <c r="N32" s="6">
        <f t="shared" si="49"/>
        <v>188.3</v>
      </c>
      <c r="O32" s="6">
        <f t="shared" ref="O32:P32" si="50">188.3</f>
        <v>188.3</v>
      </c>
      <c r="P32" s="6">
        <f t="shared" si="50"/>
        <v>188.3</v>
      </c>
      <c r="Q32" s="6">
        <v>187.1</v>
      </c>
      <c r="R32" s="6">
        <v>187.1</v>
      </c>
      <c r="T32" s="6">
        <f t="shared" ref="T32:X32" si="51">188.3</f>
        <v>188.3</v>
      </c>
      <c r="U32" s="6">
        <f t="shared" si="51"/>
        <v>188.3</v>
      </c>
      <c r="V32" s="6">
        <f t="shared" si="51"/>
        <v>188.3</v>
      </c>
      <c r="W32" s="6">
        <f t="shared" si="51"/>
        <v>188.3</v>
      </c>
      <c r="X32" s="6">
        <f t="shared" si="51"/>
        <v>188.3</v>
      </c>
      <c r="Y32" s="6">
        <v>187.1</v>
      </c>
      <c r="Z32" s="6">
        <v>187.1</v>
      </c>
      <c r="AA32" s="6">
        <v>187.1</v>
      </c>
      <c r="AB32" s="6">
        <v>187.1</v>
      </c>
      <c r="AC32" s="6">
        <v>187.1</v>
      </c>
      <c r="AD32" s="6">
        <v>187.1</v>
      </c>
      <c r="AE32" s="6">
        <v>187.1</v>
      </c>
      <c r="AF32" s="6">
        <v>187.1</v>
      </c>
      <c r="AG32" s="6">
        <v>187.1</v>
      </c>
      <c r="AH32" s="6">
        <v>187.1</v>
      </c>
      <c r="AI32" s="6">
        <v>187.1</v>
      </c>
    </row>
    <row r="33" spans="2:38" x14ac:dyDescent="0.3">
      <c r="B33" s="1" t="s">
        <v>28</v>
      </c>
      <c r="K33" s="8">
        <f t="shared" ref="K33" si="52">K31/K32</f>
        <v>1.5029208709506106</v>
      </c>
      <c r="L33" s="8">
        <f t="shared" ref="L33:M33" si="53">L31/L32</f>
        <v>1.9437068507700477</v>
      </c>
      <c r="M33" s="8">
        <f t="shared" si="53"/>
        <v>2.1242697822623473</v>
      </c>
      <c r="N33" s="8">
        <f t="shared" ref="N33" si="54">N31/N32</f>
        <v>2.4057355284121082</v>
      </c>
      <c r="O33" s="8">
        <f t="shared" ref="O33:P33" si="55">O31/O32</f>
        <v>2.0499203398831649</v>
      </c>
      <c r="P33" s="8">
        <f t="shared" si="55"/>
        <v>2.4322889006903874</v>
      </c>
      <c r="Q33" s="8">
        <f t="shared" ref="Q33:R33" si="56">Q31/Q32</f>
        <v>2.4692677712453235</v>
      </c>
      <c r="R33" s="8">
        <f t="shared" si="56"/>
        <v>3.2386917156600754</v>
      </c>
      <c r="T33" s="8">
        <f t="shared" ref="T33:Y33" si="57">T31/T32</f>
        <v>5.9426447158789166</v>
      </c>
      <c r="U33" s="8">
        <f t="shared" si="57"/>
        <v>9.8035050451407315</v>
      </c>
      <c r="V33" s="8">
        <f t="shared" si="57"/>
        <v>5.6399362719065316</v>
      </c>
      <c r="W33" s="8">
        <f t="shared" si="57"/>
        <v>6.5161975570897503</v>
      </c>
      <c r="X33" s="8">
        <f t="shared" si="57"/>
        <v>7.9766330323951138</v>
      </c>
      <c r="Y33" s="8">
        <f t="shared" si="57"/>
        <v>10.218916194548374</v>
      </c>
      <c r="Z33" s="8">
        <f t="shared" ref="Z33:AI33" si="58">Z31/Z32</f>
        <v>11.25435571886692</v>
      </c>
      <c r="AA33" s="8">
        <f t="shared" si="58"/>
        <v>11.889337828968468</v>
      </c>
      <c r="AB33" s="8">
        <f t="shared" si="58"/>
        <v>12.425617954152857</v>
      </c>
      <c r="AC33" s="8">
        <f t="shared" si="58"/>
        <v>12.922539188475749</v>
      </c>
      <c r="AD33" s="8">
        <f t="shared" si="58"/>
        <v>13.433396347551238</v>
      </c>
      <c r="AE33" s="8">
        <f t="shared" si="58"/>
        <v>13.958553527214461</v>
      </c>
      <c r="AF33" s="8">
        <f t="shared" si="58"/>
        <v>14.498384321060831</v>
      </c>
      <c r="AG33" s="8">
        <f t="shared" si="58"/>
        <v>15.053272073421786</v>
      </c>
      <c r="AH33" s="8">
        <f t="shared" si="58"/>
        <v>15.62361013925611</v>
      </c>
      <c r="AI33" s="8">
        <f t="shared" si="58"/>
        <v>16.209802151150583</v>
      </c>
    </row>
    <row r="35" spans="2:38" x14ac:dyDescent="0.3">
      <c r="B35" s="1" t="s">
        <v>71</v>
      </c>
      <c r="M35" s="10">
        <f t="shared" ref="M35:N38" si="59">M9/I9-1</f>
        <v>-0.17884729649435527</v>
      </c>
      <c r="N35" s="10">
        <f t="shared" si="59"/>
        <v>-4.0000000000000036E-2</v>
      </c>
      <c r="O35" s="10">
        <f>O9/K9-1</f>
        <v>4.4822256568779029E-2</v>
      </c>
      <c r="P35" s="10">
        <f>P9/L9-1</f>
        <v>2.2288261515601704E-2</v>
      </c>
      <c r="Q35" s="10">
        <f>Q9/M9-1</f>
        <v>5.7887120115774238E-2</v>
      </c>
      <c r="R35" s="10">
        <f>R9/N9-1</f>
        <v>1.0000000000000009E-2</v>
      </c>
      <c r="Y35" s="10">
        <f>Y9/X9-1</f>
        <v>3.2222608695652077E-2</v>
      </c>
    </row>
    <row r="36" spans="2:38" x14ac:dyDescent="0.3">
      <c r="B36" s="1" t="s">
        <v>72</v>
      </c>
      <c r="M36" s="10">
        <f t="shared" si="59"/>
        <v>-3.7701974865350096E-2</v>
      </c>
      <c r="N36" s="10">
        <f t="shared" si="59"/>
        <v>8.973570989551316E-2</v>
      </c>
      <c r="O36" s="10">
        <f t="shared" ref="O36:R38" si="60">O10/K10-1</f>
        <v>-2.1511985248924392E-2</v>
      </c>
      <c r="P36" s="10">
        <f t="shared" si="60"/>
        <v>-2.9323758228605667E-2</v>
      </c>
      <c r="Q36" s="10">
        <f t="shared" si="60"/>
        <v>5.7213930348258613E-2</v>
      </c>
      <c r="R36" s="10">
        <f t="shared" si="60"/>
        <v>-2.0000000000000018E-2</v>
      </c>
      <c r="Y36" s="10">
        <f t="shared" ref="Y36:Y38" si="61">Y10/X10-1</f>
        <v>-4.1113939212457096E-3</v>
      </c>
    </row>
    <row r="37" spans="2:38" x14ac:dyDescent="0.3">
      <c r="B37" s="1" t="s">
        <v>73</v>
      </c>
      <c r="M37" s="10">
        <f t="shared" si="59"/>
        <v>0.21780028943560059</v>
      </c>
      <c r="N37" s="10">
        <f t="shared" si="59"/>
        <v>5.4292002934702932E-2</v>
      </c>
      <c r="O37" s="10">
        <f t="shared" si="60"/>
        <v>-7.9954311821816115E-2</v>
      </c>
      <c r="P37" s="10">
        <f t="shared" si="60"/>
        <v>4.6865846514352771E-2</v>
      </c>
      <c r="Q37" s="10">
        <f t="shared" si="60"/>
        <v>7.4866310160427885E-2</v>
      </c>
      <c r="R37" s="10">
        <f t="shared" si="60"/>
        <v>0.30000000000000004</v>
      </c>
      <c r="Y37" s="10">
        <f t="shared" si="61"/>
        <v>7.5570082091821256E-2</v>
      </c>
    </row>
    <row r="38" spans="2:38" x14ac:dyDescent="0.3">
      <c r="B38" s="1" t="s">
        <v>74</v>
      </c>
      <c r="M38" s="10">
        <f t="shared" si="59"/>
        <v>0.12248322147651014</v>
      </c>
      <c r="N38" s="10">
        <f t="shared" si="59"/>
        <v>5.1926298157453976E-2</v>
      </c>
      <c r="O38" s="10">
        <f t="shared" si="60"/>
        <v>7.7054794520547976E-2</v>
      </c>
      <c r="P38" s="10">
        <f t="shared" si="60"/>
        <v>0.10268562401263814</v>
      </c>
      <c r="Q38" s="10">
        <f t="shared" si="60"/>
        <v>0.12855007473841562</v>
      </c>
      <c r="R38" s="10">
        <f t="shared" si="60"/>
        <v>0.25</v>
      </c>
      <c r="Y38" s="10">
        <f t="shared" si="61"/>
        <v>0.14041368337311066</v>
      </c>
    </row>
    <row r="40" spans="2:38" x14ac:dyDescent="0.3">
      <c r="B40" s="1" t="s">
        <v>44</v>
      </c>
      <c r="K40" s="10"/>
      <c r="L40" s="10"/>
      <c r="M40" s="10"/>
      <c r="O40" s="10"/>
      <c r="P40" s="10"/>
      <c r="Q40" s="10"/>
      <c r="T40" s="10"/>
      <c r="U40" s="10">
        <f t="shared" ref="U40:W42" si="62">U16/T16-1</f>
        <v>-3.1293719166482603E-2</v>
      </c>
      <c r="V40" s="10">
        <f t="shared" si="62"/>
        <v>-8.0495591365156605E-2</v>
      </c>
      <c r="W40" s="10">
        <f t="shared" si="62"/>
        <v>0.13201620236422262</v>
      </c>
      <c r="X40" s="10">
        <f>X16/W16-1</f>
        <v>0.10515554257338988</v>
      </c>
      <c r="Y40" s="19">
        <f t="shared" ref="Y40:AI42" si="63">Y16/X16-1</f>
        <v>6.0000000000000053E-2</v>
      </c>
      <c r="Z40" s="10">
        <f t="shared" si="63"/>
        <v>4.9999999999999822E-2</v>
      </c>
      <c r="AA40" s="10">
        <f t="shared" si="63"/>
        <v>4.0000000000000036E-2</v>
      </c>
      <c r="AB40" s="10">
        <f t="shared" si="63"/>
        <v>3.0000000000000027E-2</v>
      </c>
      <c r="AC40" s="10">
        <f t="shared" si="63"/>
        <v>2.0000000000000018E-2</v>
      </c>
      <c r="AD40" s="10">
        <f t="shared" si="63"/>
        <v>2.0000000000000018E-2</v>
      </c>
      <c r="AE40" s="10">
        <f t="shared" si="63"/>
        <v>2.0000000000000018E-2</v>
      </c>
      <c r="AF40" s="10">
        <f t="shared" si="63"/>
        <v>2.0000000000000018E-2</v>
      </c>
      <c r="AG40" s="10">
        <f t="shared" si="63"/>
        <v>2.0000000000000018E-2</v>
      </c>
      <c r="AH40" s="10">
        <f t="shared" si="63"/>
        <v>2.0000000000000018E-2</v>
      </c>
      <c r="AI40" s="10">
        <f t="shared" si="63"/>
        <v>2.0000000000000018E-2</v>
      </c>
    </row>
    <row r="41" spans="2:38" x14ac:dyDescent="0.3">
      <c r="B41" s="1" t="s">
        <v>45</v>
      </c>
      <c r="K41" s="10"/>
      <c r="L41" s="10"/>
      <c r="M41" s="10"/>
      <c r="O41" s="10"/>
      <c r="P41" s="10"/>
      <c r="Q41" s="10"/>
      <c r="T41" s="10"/>
      <c r="U41" s="10">
        <f t="shared" si="62"/>
        <v>9.7550401040538137E-3</v>
      </c>
      <c r="V41" s="10">
        <f t="shared" si="62"/>
        <v>6.5908115070845819E-2</v>
      </c>
      <c r="W41" s="10">
        <f t="shared" si="62"/>
        <v>0.15307150050352458</v>
      </c>
      <c r="X41" s="10">
        <f t="shared" ref="X41:X42" si="64">X17/W17-1</f>
        <v>8.1397379912663714E-2</v>
      </c>
      <c r="Y41" s="19">
        <f t="shared" si="63"/>
        <v>4.0000000000000036E-2</v>
      </c>
      <c r="Z41" s="10">
        <f t="shared" si="63"/>
        <v>5.0000000000000044E-2</v>
      </c>
      <c r="AA41" s="10">
        <f t="shared" si="63"/>
        <v>4.0000000000000036E-2</v>
      </c>
      <c r="AB41" s="10">
        <f t="shared" si="63"/>
        <v>3.0000000000000027E-2</v>
      </c>
      <c r="AC41" s="10">
        <f t="shared" si="63"/>
        <v>3.0000000000000027E-2</v>
      </c>
      <c r="AD41" s="10">
        <f t="shared" si="63"/>
        <v>3.0000000000000027E-2</v>
      </c>
      <c r="AE41" s="10">
        <f t="shared" si="63"/>
        <v>3.0000000000000027E-2</v>
      </c>
      <c r="AF41" s="10">
        <f t="shared" si="63"/>
        <v>3.0000000000000027E-2</v>
      </c>
      <c r="AG41" s="10">
        <f t="shared" si="63"/>
        <v>3.0000000000000027E-2</v>
      </c>
      <c r="AH41" s="10">
        <f t="shared" si="63"/>
        <v>3.0000000000000027E-2</v>
      </c>
      <c r="AI41" s="10">
        <f t="shared" si="63"/>
        <v>3.0000000000000027E-2</v>
      </c>
      <c r="AK41" s="1" t="s">
        <v>53</v>
      </c>
      <c r="AL41" s="10">
        <v>-0.01</v>
      </c>
    </row>
    <row r="42" spans="2:38" x14ac:dyDescent="0.3">
      <c r="B42" s="1" t="s">
        <v>46</v>
      </c>
      <c r="K42" s="11"/>
      <c r="L42" s="11"/>
      <c r="M42" s="11"/>
      <c r="O42" s="11">
        <f>O18/K18-1</f>
        <v>-1.5160237958165457E-2</v>
      </c>
      <c r="P42" s="11">
        <f>P18/L18-1</f>
        <v>2.3966786186072842E-2</v>
      </c>
      <c r="Q42" s="11">
        <f>Q18/M18-1</f>
        <v>6.9349962207104987E-2</v>
      </c>
      <c r="R42" s="11">
        <f>R18/N18-1</f>
        <v>9.774035850081475E-2</v>
      </c>
      <c r="T42" s="11"/>
      <c r="U42" s="11">
        <f t="shared" si="62"/>
        <v>-2.0886006375728239E-2</v>
      </c>
      <c r="V42" s="11">
        <f t="shared" si="62"/>
        <v>-4.2213988997417795E-2</v>
      </c>
      <c r="W42" s="11">
        <f t="shared" si="62"/>
        <v>0.13814324229281438</v>
      </c>
      <c r="X42" s="11">
        <f t="shared" si="64"/>
        <v>9.815129512333276E-2</v>
      </c>
      <c r="Y42" s="11">
        <f t="shared" si="63"/>
        <v>4.4774677608440783E-2</v>
      </c>
      <c r="Z42" s="11">
        <f t="shared" si="63"/>
        <v>5.946609981588713E-2</v>
      </c>
      <c r="AA42" s="11">
        <f t="shared" si="63"/>
        <v>4.0000000000000036E-2</v>
      </c>
      <c r="AB42" s="11">
        <f t="shared" si="63"/>
        <v>3.0000000000000027E-2</v>
      </c>
      <c r="AC42" s="11">
        <f t="shared" si="63"/>
        <v>2.2864077065284594E-2</v>
      </c>
      <c r="AD42" s="11">
        <f t="shared" si="63"/>
        <v>2.2884058051688472E-2</v>
      </c>
      <c r="AE42" s="11">
        <f t="shared" si="63"/>
        <v>2.2904121703585245E-2</v>
      </c>
      <c r="AF42" s="11">
        <f t="shared" si="63"/>
        <v>2.2924267574277568E-2</v>
      </c>
      <c r="AG42" s="11">
        <f t="shared" si="63"/>
        <v>2.2944495205543092E-2</v>
      </c>
      <c r="AH42" s="11">
        <f t="shared" si="63"/>
        <v>2.2964804127617588E-2</v>
      </c>
      <c r="AI42" s="11">
        <f t="shared" si="63"/>
        <v>2.2985193859187181E-2</v>
      </c>
      <c r="AK42" s="1" t="s">
        <v>54</v>
      </c>
      <c r="AL42" s="10">
        <v>7.0000000000000007E-2</v>
      </c>
    </row>
    <row r="43" spans="2:38" x14ac:dyDescent="0.3">
      <c r="B43" s="1" t="s">
        <v>47</v>
      </c>
      <c r="K43" s="10"/>
      <c r="L43" s="10"/>
      <c r="M43" s="10"/>
      <c r="O43" s="10"/>
      <c r="P43" s="10"/>
      <c r="Q43" s="10"/>
      <c r="T43" s="10">
        <f t="shared" ref="T43:W43" si="65">(T16-T19)/T16</f>
        <v>0.3031440983727266</v>
      </c>
      <c r="U43" s="10">
        <f t="shared" si="65"/>
        <v>0.31536941319550016</v>
      </c>
      <c r="V43" s="10">
        <f t="shared" si="65"/>
        <v>0.3093328924526742</v>
      </c>
      <c r="W43" s="10">
        <f t="shared" si="65"/>
        <v>0.29085730977070251</v>
      </c>
      <c r="X43" s="10">
        <f>(X16-X19)/X16</f>
        <v>0.27190432139553322</v>
      </c>
      <c r="Y43" s="19">
        <f t="shared" ref="Y43:AI43" si="66">(Y16-Y19)/Y16</f>
        <v>0.27</v>
      </c>
      <c r="Z43" s="10">
        <f t="shared" si="66"/>
        <v>0.27</v>
      </c>
      <c r="AA43" s="10">
        <f t="shared" si="66"/>
        <v>0.27000000000000007</v>
      </c>
      <c r="AB43" s="10">
        <f t="shared" si="66"/>
        <v>0.27</v>
      </c>
      <c r="AC43" s="10">
        <f t="shared" si="66"/>
        <v>0.27000000000000007</v>
      </c>
      <c r="AD43" s="10">
        <f t="shared" si="66"/>
        <v>0.27</v>
      </c>
      <c r="AE43" s="10">
        <f t="shared" si="66"/>
        <v>0.27</v>
      </c>
      <c r="AF43" s="10">
        <f t="shared" si="66"/>
        <v>0.26999999999999996</v>
      </c>
      <c r="AG43" s="10">
        <f t="shared" si="66"/>
        <v>0.27</v>
      </c>
      <c r="AH43" s="10">
        <f t="shared" si="66"/>
        <v>0.27</v>
      </c>
      <c r="AI43" s="10">
        <f t="shared" si="66"/>
        <v>0.27</v>
      </c>
      <c r="AK43" s="1" t="s">
        <v>55</v>
      </c>
      <c r="AL43" s="6">
        <f>NPV(AL42,Y31:EO31)</f>
        <v>36105.72402856344</v>
      </c>
    </row>
    <row r="44" spans="2:38" x14ac:dyDescent="0.3">
      <c r="B44" s="1" t="s">
        <v>48</v>
      </c>
      <c r="K44" s="10"/>
      <c r="L44" s="10"/>
      <c r="M44" s="10"/>
      <c r="O44" s="10"/>
      <c r="P44" s="10"/>
      <c r="Q44" s="10"/>
      <c r="T44" s="10">
        <f t="shared" ref="T44:W44" si="67">(T17-T20)/T17</f>
        <v>0.25818339475395619</v>
      </c>
      <c r="U44" s="10">
        <f t="shared" si="67"/>
        <v>0.2634177758694719</v>
      </c>
      <c r="V44" s="10">
        <f t="shared" si="67"/>
        <v>0.23867069486404835</v>
      </c>
      <c r="W44" s="10">
        <f t="shared" si="67"/>
        <v>0.19737991266375546</v>
      </c>
      <c r="X44" s="10">
        <f>(X17-X20)/X17</f>
        <v>0.22758843482474561</v>
      </c>
      <c r="Y44" s="19">
        <f t="shared" ref="Y44:AI44" si="68">(Y17-Y20)/Y17</f>
        <v>0.23</v>
      </c>
      <c r="Z44" s="10">
        <f t="shared" si="68"/>
        <v>0.22999999999999995</v>
      </c>
      <c r="AA44" s="10">
        <f t="shared" si="68"/>
        <v>0.22999999999999995</v>
      </c>
      <c r="AB44" s="10">
        <f t="shared" si="68"/>
        <v>0.23000000000000004</v>
      </c>
      <c r="AC44" s="10">
        <f t="shared" si="68"/>
        <v>0.22999999999999995</v>
      </c>
      <c r="AD44" s="10">
        <f t="shared" si="68"/>
        <v>0.22999999999999995</v>
      </c>
      <c r="AE44" s="10">
        <f t="shared" si="68"/>
        <v>0.23</v>
      </c>
      <c r="AF44" s="10">
        <f t="shared" si="68"/>
        <v>0.22999999999999995</v>
      </c>
      <c r="AG44" s="10">
        <f t="shared" si="68"/>
        <v>0.22999999999999995</v>
      </c>
      <c r="AH44" s="10">
        <f t="shared" si="68"/>
        <v>0.23</v>
      </c>
      <c r="AI44" s="10">
        <f t="shared" si="68"/>
        <v>0.22999999999999998</v>
      </c>
      <c r="AK44" s="1" t="s">
        <v>56</v>
      </c>
      <c r="AL44" s="6">
        <f>Main!D8</f>
        <v>-11620</v>
      </c>
    </row>
    <row r="45" spans="2:38" x14ac:dyDescent="0.3">
      <c r="B45" s="1" t="s">
        <v>49</v>
      </c>
      <c r="K45" s="10">
        <f t="shared" ref="K45" si="69">K22/K18</f>
        <v>0.2586835540203416</v>
      </c>
      <c r="L45" s="10">
        <f t="shared" ref="L45:N45" si="70">L22/L18</f>
        <v>0.25665219852802418</v>
      </c>
      <c r="M45" s="10">
        <f t="shared" si="70"/>
        <v>0.26814058956916098</v>
      </c>
      <c r="N45" s="10">
        <f t="shared" si="70"/>
        <v>0.25294224153539741</v>
      </c>
      <c r="O45" s="10">
        <f t="shared" ref="O45:P45" si="71">O22/O18</f>
        <v>0.26305533904910366</v>
      </c>
      <c r="P45" s="10">
        <f t="shared" si="71"/>
        <v>0.24603759675635828</v>
      </c>
      <c r="Q45" s="10">
        <f t="shared" ref="Q45:R45" si="72">Q22/Q18</f>
        <v>0.26400424103198444</v>
      </c>
      <c r="R45" s="10">
        <f t="shared" si="72"/>
        <v>0.26</v>
      </c>
      <c r="T45" s="10">
        <f t="shared" ref="T45:W45" si="73">T22/T18</f>
        <v>0.29174453116412002</v>
      </c>
      <c r="U45" s="10">
        <f t="shared" si="73"/>
        <v>0.30178511283260356</v>
      </c>
      <c r="V45" s="10">
        <f t="shared" si="73"/>
        <v>0.28877036689719843</v>
      </c>
      <c r="W45" s="10">
        <f t="shared" si="73"/>
        <v>0.26329883104176321</v>
      </c>
      <c r="X45" s="10">
        <f>X22/X18</f>
        <v>0.25903868698710436</v>
      </c>
      <c r="Y45" s="10">
        <f t="shared" ref="Y45:AI45" si="74">Y22/Y18</f>
        <v>0.25832045321730612</v>
      </c>
      <c r="Z45" s="10">
        <f t="shared" si="74"/>
        <v>0.25854369173886205</v>
      </c>
      <c r="AA45" s="10">
        <f t="shared" si="74"/>
        <v>0.25854369173886199</v>
      </c>
      <c r="AB45" s="10">
        <f t="shared" si="74"/>
        <v>0.25854369173886194</v>
      </c>
      <c r="AC45" s="10">
        <f t="shared" si="74"/>
        <v>0.25846376779324609</v>
      </c>
      <c r="AD45" s="10">
        <f t="shared" si="74"/>
        <v>0.2583835131856595</v>
      </c>
      <c r="AE45" s="10">
        <f t="shared" si="74"/>
        <v>0.25830292970288965</v>
      </c>
      <c r="AF45" s="10">
        <f t="shared" si="74"/>
        <v>0.25822201917782855</v>
      </c>
      <c r="AG45" s="10">
        <f t="shared" si="74"/>
        <v>0.25814078348952946</v>
      </c>
      <c r="AH45" s="10">
        <f t="shared" si="74"/>
        <v>0.25805922456325203</v>
      </c>
      <c r="AI45" s="10">
        <f t="shared" si="74"/>
        <v>0.25797734437049602</v>
      </c>
      <c r="AK45" s="1" t="s">
        <v>57</v>
      </c>
      <c r="AL45" s="6">
        <f>AL43+AL44</f>
        <v>24485.72402856344</v>
      </c>
    </row>
    <row r="46" spans="2:38" x14ac:dyDescent="0.3">
      <c r="B46" s="1" t="s">
        <v>50</v>
      </c>
      <c r="K46" s="10"/>
      <c r="L46" s="10"/>
      <c r="M46" s="10"/>
      <c r="O46" s="10">
        <f>O23/K23-1</f>
        <v>-0.14948453608247425</v>
      </c>
      <c r="P46" s="10">
        <f>P23/L23-1</f>
        <v>-0.13574660633484159</v>
      </c>
      <c r="Q46" s="10">
        <f>Q23/M23-1</f>
        <v>-5.5194805194805241E-2</v>
      </c>
      <c r="R46" s="10">
        <f>R23/N23-1</f>
        <v>-2.0000000000000018E-2</v>
      </c>
      <c r="T46" s="10"/>
      <c r="U46" s="10">
        <f t="shared" ref="U46:W46" si="75">U23/T23-1</f>
        <v>-1.0558069381598756E-2</v>
      </c>
      <c r="V46" s="10">
        <f t="shared" si="75"/>
        <v>-8.5975609756097526E-2</v>
      </c>
      <c r="W46" s="10">
        <f t="shared" si="75"/>
        <v>0.10507004669779851</v>
      </c>
      <c r="X46" s="10">
        <f>X23/W23-1</f>
        <v>7.6969514035617248E-2</v>
      </c>
      <c r="Y46" s="10">
        <f t="shared" ref="Y46:AI46" si="76">Y23/X23-1</f>
        <v>-8.2556053811659202E-2</v>
      </c>
      <c r="Z46" s="10">
        <f t="shared" si="76"/>
        <v>4.0000000000000036E-2</v>
      </c>
      <c r="AA46" s="10">
        <f t="shared" si="76"/>
        <v>3.0000000000000027E-2</v>
      </c>
      <c r="AB46" s="10">
        <f t="shared" si="76"/>
        <v>2.0000000000000018E-2</v>
      </c>
      <c r="AC46" s="10">
        <f t="shared" si="76"/>
        <v>1.0000000000000009E-2</v>
      </c>
      <c r="AD46" s="10">
        <f t="shared" si="76"/>
        <v>1.0000000000000009E-2</v>
      </c>
      <c r="AE46" s="10">
        <f t="shared" si="76"/>
        <v>1.0000000000000009E-2</v>
      </c>
      <c r="AF46" s="10">
        <f t="shared" si="76"/>
        <v>1.0000000000000009E-2</v>
      </c>
      <c r="AG46" s="10">
        <f t="shared" si="76"/>
        <v>1.0000000000000009E-2</v>
      </c>
      <c r="AH46" s="10">
        <f t="shared" si="76"/>
        <v>1.0000000000000009E-2</v>
      </c>
      <c r="AI46" s="10">
        <f t="shared" si="76"/>
        <v>1.0000000000000009E-2</v>
      </c>
      <c r="AK46" s="1" t="s">
        <v>58</v>
      </c>
      <c r="AL46" s="5">
        <f>AL45/AI32</f>
        <v>130.86971688168595</v>
      </c>
    </row>
    <row r="47" spans="2:38" x14ac:dyDescent="0.3">
      <c r="B47" s="1" t="s">
        <v>51</v>
      </c>
      <c r="K47" s="10">
        <f t="shared" ref="K47" si="77">K25/K18</f>
        <v>7.2538860103626937E-2</v>
      </c>
      <c r="L47" s="10">
        <f t="shared" ref="L47:M47" si="78">L25/L18</f>
        <v>8.982826948480846E-2</v>
      </c>
      <c r="M47" s="10">
        <f t="shared" si="78"/>
        <v>9.3537414965986401E-2</v>
      </c>
      <c r="N47" s="10">
        <f t="shared" ref="N47" si="79">N25/N18</f>
        <v>0.10302371899330075</v>
      </c>
      <c r="O47" s="10">
        <f t="shared" ref="O47:P47" si="80">O25/O18</f>
        <v>0.10229929851909587</v>
      </c>
      <c r="P47" s="10">
        <f t="shared" si="80"/>
        <v>0.10523405823811278</v>
      </c>
      <c r="Q47" s="10">
        <f t="shared" ref="Q47:R47" si="81">Q25/Q18</f>
        <v>0.10973670259763209</v>
      </c>
      <c r="R47" s="10">
        <f t="shared" si="81"/>
        <v>0.12616129128029532</v>
      </c>
      <c r="T47" s="10">
        <f t="shared" ref="T47:W47" si="82">T25/T18</f>
        <v>6.4581730240738711E-2</v>
      </c>
      <c r="U47" s="10">
        <f t="shared" si="82"/>
        <v>0.11839003031323678</v>
      </c>
      <c r="V47" s="10">
        <f t="shared" si="82"/>
        <v>6.6053217676708478E-2</v>
      </c>
      <c r="W47" s="10">
        <f t="shared" si="82"/>
        <v>7.3433235491013951E-2</v>
      </c>
      <c r="X47" s="10">
        <f>X25/X18</f>
        <v>8.9941383352872217E-2</v>
      </c>
      <c r="Y47" s="10">
        <f t="shared" ref="Y47:AI47" si="83">Y25/Y18</f>
        <v>0.11139646550106783</v>
      </c>
      <c r="Z47" s="10">
        <f t="shared" si="83"/>
        <v>0.11431921183200952</v>
      </c>
      <c r="AA47" s="10">
        <f t="shared" si="83"/>
        <v>0.11570598567726771</v>
      </c>
      <c r="AB47" s="10">
        <f t="shared" si="83"/>
        <v>0.11709275952252585</v>
      </c>
      <c r="AC47" s="10">
        <f t="shared" si="83"/>
        <v>0.11879179695974398</v>
      </c>
      <c r="AD47" s="10">
        <f t="shared" si="83"/>
        <v>0.12047082461513471</v>
      </c>
      <c r="AE47" s="10">
        <f t="shared" si="83"/>
        <v>0.12213003480414987</v>
      </c>
      <c r="AF47" s="10">
        <f t="shared" si="83"/>
        <v>0.12376961814732866</v>
      </c>
      <c r="AG47" s="10">
        <f t="shared" si="83"/>
        <v>0.12538976358837747</v>
      </c>
      <c r="AH47" s="10">
        <f t="shared" si="83"/>
        <v>0.1269906584120388</v>
      </c>
      <c r="AI47" s="10">
        <f t="shared" si="83"/>
        <v>0.12857248826175038</v>
      </c>
      <c r="AK47" s="1" t="s">
        <v>59</v>
      </c>
      <c r="AL47" s="5">
        <f>Main!D3</f>
        <v>277.77999999999997</v>
      </c>
    </row>
    <row r="48" spans="2:38" x14ac:dyDescent="0.3">
      <c r="B48" s="1" t="s">
        <v>25</v>
      </c>
      <c r="K48" s="10">
        <f t="shared" ref="K48" si="84">K29/K28</f>
        <v>1.7241379310344827E-2</v>
      </c>
      <c r="L48" s="10">
        <f t="shared" ref="L48:M48" si="85">L29/L28</f>
        <v>5.8974358974358973E-2</v>
      </c>
      <c r="M48" s="10">
        <f t="shared" si="85"/>
        <v>6.0465116279069767E-2</v>
      </c>
      <c r="N48" s="10">
        <f t="shared" ref="N48" si="86">N29/N28</f>
        <v>6.3655030800821355E-2</v>
      </c>
      <c r="O48" s="10">
        <f t="shared" ref="O48:P48" si="87">O29/O28</f>
        <v>0.15904139433551198</v>
      </c>
      <c r="P48" s="10">
        <f t="shared" si="87"/>
        <v>0.12595419847328243</v>
      </c>
      <c r="Q48" s="10">
        <f t="shared" ref="Q48:R48" si="88">Q29/Q28</f>
        <v>0.18518518518518517</v>
      </c>
      <c r="R48" s="10">
        <f t="shared" si="88"/>
        <v>0.15</v>
      </c>
      <c r="T48" s="10">
        <f t="shared" ref="T48:W48" si="89">T29/T28</f>
        <v>0.17700453857791226</v>
      </c>
      <c r="U48" s="10">
        <f t="shared" si="89"/>
        <v>0.19272886552781429</v>
      </c>
      <c r="V48" s="10">
        <f t="shared" si="89"/>
        <v>0.16653574234092694</v>
      </c>
      <c r="W48" s="10">
        <f t="shared" si="89"/>
        <v>1.8837018837018837E-2</v>
      </c>
      <c r="X48" s="10">
        <f>X29/X28</f>
        <v>5.3224796493425174E-2</v>
      </c>
      <c r="Y48" s="10">
        <f t="shared" ref="Y48:AI48" si="90">Y29/Y28</f>
        <v>0.155081989728901</v>
      </c>
      <c r="Z48" s="10">
        <f t="shared" si="90"/>
        <v>0.15</v>
      </c>
      <c r="AA48" s="10">
        <f t="shared" si="90"/>
        <v>0.15</v>
      </c>
      <c r="AB48" s="10">
        <f t="shared" si="90"/>
        <v>0.15</v>
      </c>
      <c r="AC48" s="10">
        <f t="shared" si="90"/>
        <v>0.15</v>
      </c>
      <c r="AD48" s="10">
        <f t="shared" si="90"/>
        <v>0.15</v>
      </c>
      <c r="AE48" s="10">
        <f t="shared" si="90"/>
        <v>0.15</v>
      </c>
      <c r="AF48" s="10">
        <f t="shared" si="90"/>
        <v>0.15</v>
      </c>
      <c r="AG48" s="10">
        <f t="shared" si="90"/>
        <v>0.15</v>
      </c>
      <c r="AH48" s="10">
        <f t="shared" si="90"/>
        <v>0.15</v>
      </c>
      <c r="AI48" s="10">
        <f t="shared" si="90"/>
        <v>0.15</v>
      </c>
      <c r="AK48" s="2" t="s">
        <v>60</v>
      </c>
      <c r="AL48" s="11">
        <f>AL46/AL47-1</f>
        <v>-0.5288727882436246</v>
      </c>
    </row>
    <row r="49" spans="2:38" x14ac:dyDescent="0.3">
      <c r="B49" s="1" t="s">
        <v>52</v>
      </c>
      <c r="K49" s="10">
        <f t="shared" ref="K49" si="91">K31/K18</f>
        <v>5.4308194204567263E-2</v>
      </c>
      <c r="L49" s="10">
        <f t="shared" ref="L49:M49" si="92">L31/L18</f>
        <v>6.9069635780335911E-2</v>
      </c>
      <c r="M49" s="10">
        <f t="shared" si="92"/>
        <v>7.5585789871504161E-2</v>
      </c>
      <c r="N49" s="10">
        <f t="shared" ref="N49" si="93">N31/N18</f>
        <v>8.2020640956002172E-2</v>
      </c>
      <c r="O49" s="10">
        <f t="shared" ref="O49:P49" si="94">O31/O18</f>
        <v>7.5214341387373346E-2</v>
      </c>
      <c r="P49" s="10">
        <f t="shared" si="94"/>
        <v>8.4408403980833033E-2</v>
      </c>
      <c r="Q49" s="10">
        <f t="shared" ref="Q49:R49" si="95">Q31/Q18</f>
        <v>8.1639865700653833E-2</v>
      </c>
      <c r="R49" s="10">
        <f t="shared" si="95"/>
        <v>9.9946760748298669E-2</v>
      </c>
      <c r="T49" s="10">
        <f t="shared" ref="T49:W49" si="96">T31/T18</f>
        <v>6.1503792459052437E-2</v>
      </c>
      <c r="U49" s="10">
        <f t="shared" si="96"/>
        <v>0.10362636128887392</v>
      </c>
      <c r="V49" s="10">
        <f t="shared" si="96"/>
        <v>6.2243582229515884E-2</v>
      </c>
      <c r="W49" s="10">
        <f t="shared" si="96"/>
        <v>6.3185539935115095E-2</v>
      </c>
      <c r="X49" s="10">
        <f>X31/X18</f>
        <v>7.0433763188745599E-2</v>
      </c>
      <c r="Y49" s="10">
        <f t="shared" ref="Y49:AI49" si="97">Y31/Y18</f>
        <v>8.5815739085863388E-2</v>
      </c>
      <c r="Z49" s="10">
        <f t="shared" si="97"/>
        <v>8.920633204875944E-2</v>
      </c>
      <c r="AA49" s="10">
        <f t="shared" si="97"/>
        <v>9.061484937516491E-2</v>
      </c>
      <c r="AB49" s="10">
        <f t="shared" si="97"/>
        <v>9.1943805948498658E-2</v>
      </c>
      <c r="AC49" s="10">
        <f t="shared" si="97"/>
        <v>9.3483381221456385E-2</v>
      </c>
      <c r="AD49" s="10">
        <f t="shared" si="97"/>
        <v>9.5004892924147974E-2</v>
      </c>
      <c r="AE49" s="10">
        <f t="shared" si="97"/>
        <v>9.6508514741448087E-2</v>
      </c>
      <c r="AF49" s="10">
        <f t="shared" si="97"/>
        <v>9.7994418824196738E-2</v>
      </c>
      <c r="AG49" s="10">
        <f t="shared" si="97"/>
        <v>9.9462775805533865E-2</v>
      </c>
      <c r="AH49" s="10">
        <f t="shared" si="97"/>
        <v>0.10091375481704352</v>
      </c>
      <c r="AI49" s="10">
        <f t="shared" si="97"/>
        <v>0.10234752350470923</v>
      </c>
      <c r="AK49" s="1" t="s">
        <v>61</v>
      </c>
      <c r="AL49" s="7" t="s">
        <v>62</v>
      </c>
    </row>
    <row r="52" spans="2:38" s="12" customFormat="1" x14ac:dyDescent="0.3">
      <c r="B52" s="12" t="s">
        <v>63</v>
      </c>
      <c r="P52" s="17">
        <v>41240</v>
      </c>
      <c r="Q52" s="17">
        <v>41014</v>
      </c>
      <c r="Y52" s="17">
        <v>41014</v>
      </c>
    </row>
    <row r="54" spans="2:38" x14ac:dyDescent="0.3">
      <c r="B54" s="1" t="s">
        <v>64</v>
      </c>
      <c r="P54" s="13"/>
      <c r="Y54" s="13">
        <f>Main!$D$9/Model!Y52</f>
        <v>1.5505105086068169</v>
      </c>
    </row>
    <row r="55" spans="2:38" x14ac:dyDescent="0.3">
      <c r="B55" s="1" t="s">
        <v>65</v>
      </c>
      <c r="P55" s="10"/>
      <c r="Y55" s="10">
        <f>Y52/Main!$D$9-1</f>
        <v>-0.3550511302896413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2025-04-24T08:54:55Z</dcterms:created>
  <dcterms:modified xsi:type="dcterms:W3CDTF">2026-02-06T11:04:38Z</dcterms:modified>
</cp:coreProperties>
</file>