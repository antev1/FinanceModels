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5BAE5792-0558-4472-9354-D439278BC761}" xr6:coauthVersionLast="47" xr6:coauthVersionMax="47" xr10:uidLastSave="{00000000-0000-0000-0000-000000000000}"/>
  <bookViews>
    <workbookView xWindow="-108" yWindow="-108" windowWidth="23256" windowHeight="12576" activeTab="1" xr2:uid="{011E3A81-6E3D-4A18-A3DD-9F9C3A2571F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3" i="2" l="1"/>
  <c r="AH13" i="2"/>
  <c r="AG13" i="2"/>
  <c r="AF13" i="2"/>
  <c r="AE13" i="2"/>
  <c r="AD13" i="2"/>
  <c r="AC13" i="2"/>
  <c r="AB13" i="2"/>
  <c r="AA13" i="2"/>
  <c r="AF5" i="2"/>
  <c r="AG5" i="2" s="1"/>
  <c r="AH5" i="2" s="1"/>
  <c r="AI5" i="2" s="1"/>
  <c r="AE5" i="2"/>
  <c r="AD5" i="2"/>
  <c r="AC5" i="2"/>
  <c r="AB5" i="2"/>
  <c r="AA5" i="2"/>
  <c r="AD12" i="2"/>
  <c r="AE12" i="2" s="1"/>
  <c r="AF12" i="2" s="1"/>
  <c r="AG12" i="2" s="1"/>
  <c r="AH12" i="2" s="1"/>
  <c r="AI12" i="2" s="1"/>
  <c r="AC14" i="2"/>
  <c r="AD14" i="2" s="1"/>
  <c r="AE14" i="2" s="1"/>
  <c r="AF14" i="2" s="1"/>
  <c r="AG14" i="2" s="1"/>
  <c r="AH14" i="2" s="1"/>
  <c r="AI14" i="2" s="1"/>
  <c r="AB14" i="2"/>
  <c r="AA14" i="2"/>
  <c r="Z14" i="2"/>
  <c r="Z13" i="2"/>
  <c r="Z33" i="2" s="1"/>
  <c r="AH3" i="2"/>
  <c r="AI3" i="2" s="1"/>
  <c r="AG3" i="2"/>
  <c r="AF3" i="2"/>
  <c r="AE3" i="2"/>
  <c r="AD3" i="2"/>
  <c r="AC3" i="2"/>
  <c r="AC7" i="2" s="1"/>
  <c r="AL32" i="2"/>
  <c r="AL29" i="2"/>
  <c r="AI21" i="2"/>
  <c r="AH21" i="2"/>
  <c r="AG21" i="2"/>
  <c r="AF21" i="2"/>
  <c r="AE21" i="2"/>
  <c r="AD21" i="2"/>
  <c r="AC21" i="2"/>
  <c r="AB21" i="2"/>
  <c r="AA21" i="2"/>
  <c r="Z21" i="2"/>
  <c r="AC17" i="2"/>
  <c r="AD17" i="2" s="1"/>
  <c r="AE17" i="2" s="1"/>
  <c r="AF17" i="2" s="1"/>
  <c r="AG17" i="2" s="1"/>
  <c r="AH17" i="2" s="1"/>
  <c r="AI17" i="2" s="1"/>
  <c r="AB17" i="2"/>
  <c r="AA17" i="2"/>
  <c r="Z17" i="2"/>
  <c r="Z34" i="2"/>
  <c r="AC12" i="2"/>
  <c r="AB12" i="2"/>
  <c r="AA12" i="2"/>
  <c r="Z12" i="2"/>
  <c r="Z10" i="2"/>
  <c r="Z11" i="2" s="1"/>
  <c r="Z31" i="2" s="1"/>
  <c r="AA9" i="2"/>
  <c r="AA10" i="2" s="1"/>
  <c r="Z9" i="2"/>
  <c r="AI8" i="2"/>
  <c r="AH8" i="2"/>
  <c r="AG8" i="2"/>
  <c r="AF8" i="2"/>
  <c r="AE8" i="2"/>
  <c r="AD8" i="2"/>
  <c r="AC8" i="2"/>
  <c r="AB8" i="2"/>
  <c r="AA8" i="2"/>
  <c r="Z8" i="2"/>
  <c r="AB7" i="2"/>
  <c r="AA7" i="2"/>
  <c r="AA28" i="2" s="1"/>
  <c r="Z7" i="2"/>
  <c r="AA6" i="2"/>
  <c r="AA27" i="2" s="1"/>
  <c r="Z6" i="2"/>
  <c r="Z5" i="2"/>
  <c r="AA26" i="2" s="1"/>
  <c r="AA4" i="2"/>
  <c r="AB4" i="2" s="1"/>
  <c r="Z4" i="2"/>
  <c r="Z25" i="2" s="1"/>
  <c r="AB3" i="2"/>
  <c r="AA3" i="2"/>
  <c r="Z3" i="2"/>
  <c r="Y34" i="2"/>
  <c r="Y33" i="2"/>
  <c r="Z32" i="2"/>
  <c r="Y32" i="2"/>
  <c r="Y30" i="2"/>
  <c r="AA29" i="2"/>
  <c r="Y29" i="2"/>
  <c r="Y28" i="2"/>
  <c r="Z27" i="2"/>
  <c r="Y27" i="2"/>
  <c r="Y26" i="2"/>
  <c r="AA25" i="2"/>
  <c r="Y25" i="2"/>
  <c r="Z24" i="2"/>
  <c r="Y24" i="2"/>
  <c r="Y19" i="2"/>
  <c r="Y17" i="2"/>
  <c r="Y14" i="2"/>
  <c r="Y13" i="2"/>
  <c r="Y15" i="2" s="1"/>
  <c r="Y12" i="2"/>
  <c r="Y9" i="2"/>
  <c r="Y8" i="2"/>
  <c r="Y10" i="2" s="1"/>
  <c r="Y7" i="2"/>
  <c r="Y5" i="2"/>
  <c r="Y4" i="2"/>
  <c r="Y3" i="2"/>
  <c r="Y21" i="2"/>
  <c r="R37" i="2"/>
  <c r="Q37" i="2"/>
  <c r="R36" i="2"/>
  <c r="Q36" i="2"/>
  <c r="R35" i="2"/>
  <c r="Q35" i="2"/>
  <c r="R34" i="2"/>
  <c r="Q34" i="2"/>
  <c r="R33" i="2"/>
  <c r="Q33" i="2"/>
  <c r="R32" i="2"/>
  <c r="Q32" i="2"/>
  <c r="R31" i="2"/>
  <c r="Q31" i="2"/>
  <c r="R30" i="2"/>
  <c r="Q30" i="2"/>
  <c r="R29" i="2"/>
  <c r="Q29" i="2"/>
  <c r="R28" i="2"/>
  <c r="Q28" i="2"/>
  <c r="R27" i="2"/>
  <c r="Q27" i="2"/>
  <c r="R26" i="2"/>
  <c r="Q26" i="2"/>
  <c r="R25" i="2"/>
  <c r="Q25" i="2"/>
  <c r="R24" i="2"/>
  <c r="Q24" i="2"/>
  <c r="R21" i="2"/>
  <c r="R22" i="2" s="1"/>
  <c r="Q21" i="2"/>
  <c r="Q22" i="2" s="1"/>
  <c r="R20" i="2"/>
  <c r="Q20" i="2"/>
  <c r="R19" i="2"/>
  <c r="Q19" i="2"/>
  <c r="R18" i="2"/>
  <c r="Q18" i="2"/>
  <c r="R16" i="2"/>
  <c r="Q16" i="2"/>
  <c r="R15" i="2"/>
  <c r="Q15" i="2"/>
  <c r="R14" i="2"/>
  <c r="Q14" i="2"/>
  <c r="R13" i="2"/>
  <c r="Q13" i="2"/>
  <c r="R12" i="2"/>
  <c r="Q12" i="2"/>
  <c r="R10" i="2"/>
  <c r="R11" i="2" s="1"/>
  <c r="Q10" i="2"/>
  <c r="Q11" i="2" s="1"/>
  <c r="R9" i="2"/>
  <c r="Q9" i="2"/>
  <c r="R8" i="2"/>
  <c r="Q8" i="2"/>
  <c r="R7" i="2"/>
  <c r="Q7" i="2"/>
  <c r="R6" i="2"/>
  <c r="Q6" i="2"/>
  <c r="R5" i="2"/>
  <c r="Q5" i="2"/>
  <c r="R4" i="2"/>
  <c r="Q4" i="2"/>
  <c r="R3" i="2"/>
  <c r="Q3" i="2"/>
  <c r="D37" i="2"/>
  <c r="C37" i="2"/>
  <c r="D36" i="2"/>
  <c r="C36" i="2"/>
  <c r="D35" i="2"/>
  <c r="C35" i="2"/>
  <c r="D33" i="2"/>
  <c r="C33" i="2"/>
  <c r="D31" i="2"/>
  <c r="C31" i="2"/>
  <c r="D30" i="2"/>
  <c r="C30" i="2"/>
  <c r="D29" i="2"/>
  <c r="C29" i="2"/>
  <c r="D28" i="2"/>
  <c r="C28" i="2"/>
  <c r="O37" i="2"/>
  <c r="N37" i="2"/>
  <c r="M37" i="2"/>
  <c r="L37" i="2"/>
  <c r="K37" i="2"/>
  <c r="J37" i="2"/>
  <c r="I37" i="2"/>
  <c r="H37" i="2"/>
  <c r="G37" i="2"/>
  <c r="O36" i="2"/>
  <c r="N36" i="2"/>
  <c r="M36" i="2"/>
  <c r="L36" i="2"/>
  <c r="K36" i="2"/>
  <c r="J36" i="2"/>
  <c r="I36" i="2"/>
  <c r="H36" i="2"/>
  <c r="G36" i="2"/>
  <c r="O35" i="2"/>
  <c r="N35" i="2"/>
  <c r="M35" i="2"/>
  <c r="L35" i="2"/>
  <c r="K35" i="2"/>
  <c r="J35" i="2"/>
  <c r="I35" i="2"/>
  <c r="H35" i="2"/>
  <c r="G35" i="2"/>
  <c r="O34" i="2"/>
  <c r="N34" i="2"/>
  <c r="M34" i="2"/>
  <c r="L34" i="2"/>
  <c r="K34" i="2"/>
  <c r="H34" i="2"/>
  <c r="G34" i="2"/>
  <c r="O33" i="2"/>
  <c r="N33" i="2"/>
  <c r="M33" i="2"/>
  <c r="L33" i="2"/>
  <c r="K33" i="2"/>
  <c r="J33" i="2"/>
  <c r="I33" i="2"/>
  <c r="H33" i="2"/>
  <c r="G33" i="2"/>
  <c r="O32" i="2"/>
  <c r="N32" i="2"/>
  <c r="M32" i="2"/>
  <c r="L32" i="2"/>
  <c r="K32" i="2"/>
  <c r="H32" i="2"/>
  <c r="G32" i="2"/>
  <c r="O31" i="2"/>
  <c r="N31" i="2"/>
  <c r="M31" i="2"/>
  <c r="L31" i="2"/>
  <c r="K31" i="2"/>
  <c r="J31" i="2"/>
  <c r="I31" i="2"/>
  <c r="H31" i="2"/>
  <c r="G31" i="2"/>
  <c r="O30" i="2"/>
  <c r="N30" i="2"/>
  <c r="M30" i="2"/>
  <c r="L30" i="2"/>
  <c r="K30" i="2"/>
  <c r="J30" i="2"/>
  <c r="I30" i="2"/>
  <c r="H30" i="2"/>
  <c r="G30" i="2"/>
  <c r="O29" i="2"/>
  <c r="N29" i="2"/>
  <c r="M29" i="2"/>
  <c r="L29" i="2"/>
  <c r="K29" i="2"/>
  <c r="J29" i="2"/>
  <c r="I29" i="2"/>
  <c r="H29" i="2"/>
  <c r="G29" i="2"/>
  <c r="O28" i="2"/>
  <c r="N28" i="2"/>
  <c r="M28" i="2"/>
  <c r="L28" i="2"/>
  <c r="K28" i="2"/>
  <c r="J28" i="2"/>
  <c r="I28" i="2"/>
  <c r="H28" i="2"/>
  <c r="G28" i="2"/>
  <c r="O27" i="2"/>
  <c r="N27" i="2"/>
  <c r="M27" i="2"/>
  <c r="L27" i="2"/>
  <c r="K27" i="2"/>
  <c r="H27" i="2"/>
  <c r="G27" i="2"/>
  <c r="O26" i="2"/>
  <c r="N26" i="2"/>
  <c r="M26" i="2"/>
  <c r="L26" i="2"/>
  <c r="K26" i="2"/>
  <c r="H26" i="2"/>
  <c r="G26" i="2"/>
  <c r="O25" i="2"/>
  <c r="N25" i="2"/>
  <c r="M25" i="2"/>
  <c r="L25" i="2"/>
  <c r="K25" i="2"/>
  <c r="H25" i="2"/>
  <c r="G25" i="2"/>
  <c r="O24" i="2"/>
  <c r="N24" i="2"/>
  <c r="M24" i="2"/>
  <c r="L24" i="2"/>
  <c r="K24" i="2"/>
  <c r="H24" i="2"/>
  <c r="G24" i="2"/>
  <c r="P34" i="2"/>
  <c r="P32" i="2"/>
  <c r="P27" i="2"/>
  <c r="P26" i="2"/>
  <c r="P25" i="2"/>
  <c r="P24" i="2"/>
  <c r="P33" i="2"/>
  <c r="P30" i="2"/>
  <c r="P29" i="2"/>
  <c r="P28" i="2"/>
  <c r="W37" i="2"/>
  <c r="V37" i="2"/>
  <c r="U37" i="2"/>
  <c r="T37" i="2"/>
  <c r="W36" i="2"/>
  <c r="V36" i="2"/>
  <c r="U36" i="2"/>
  <c r="T36" i="2"/>
  <c r="W35" i="2"/>
  <c r="V35" i="2"/>
  <c r="U35" i="2"/>
  <c r="T35" i="2"/>
  <c r="W34" i="2"/>
  <c r="V34" i="2"/>
  <c r="U34" i="2"/>
  <c r="W33" i="2"/>
  <c r="V33" i="2"/>
  <c r="U33" i="2"/>
  <c r="T33" i="2"/>
  <c r="W32" i="2"/>
  <c r="V32" i="2"/>
  <c r="U32" i="2"/>
  <c r="W31" i="2"/>
  <c r="V31" i="2"/>
  <c r="U31" i="2"/>
  <c r="T31" i="2"/>
  <c r="W30" i="2"/>
  <c r="V30" i="2"/>
  <c r="U30" i="2"/>
  <c r="T30" i="2"/>
  <c r="W29" i="2"/>
  <c r="V29" i="2"/>
  <c r="U29" i="2"/>
  <c r="W28" i="2"/>
  <c r="V28" i="2"/>
  <c r="U28" i="2"/>
  <c r="T28" i="2"/>
  <c r="W27" i="2"/>
  <c r="V27" i="2"/>
  <c r="U27" i="2"/>
  <c r="W26" i="2"/>
  <c r="V26" i="2"/>
  <c r="U26" i="2"/>
  <c r="W25" i="2"/>
  <c r="V25" i="2"/>
  <c r="W24" i="2"/>
  <c r="V24" i="2"/>
  <c r="U24" i="2"/>
  <c r="X37" i="2"/>
  <c r="X36" i="2"/>
  <c r="X35" i="2"/>
  <c r="X33" i="2"/>
  <c r="X34" i="2"/>
  <c r="X32" i="2"/>
  <c r="X31" i="2"/>
  <c r="X30" i="2"/>
  <c r="X29" i="2"/>
  <c r="X28" i="2"/>
  <c r="X27" i="2"/>
  <c r="X26" i="2"/>
  <c r="X25" i="2"/>
  <c r="X24" i="2"/>
  <c r="J19" i="2"/>
  <c r="J17" i="2"/>
  <c r="J14" i="2"/>
  <c r="J13" i="2"/>
  <c r="J12" i="2"/>
  <c r="J9" i="2"/>
  <c r="J8" i="2"/>
  <c r="J10" i="2" s="1"/>
  <c r="J7" i="2"/>
  <c r="J5" i="2"/>
  <c r="J4" i="2"/>
  <c r="J3" i="2"/>
  <c r="J6" i="2" s="1"/>
  <c r="J21" i="2"/>
  <c r="J15" i="2"/>
  <c r="C21" i="2"/>
  <c r="C15" i="2"/>
  <c r="C10" i="2"/>
  <c r="C6" i="2"/>
  <c r="G21" i="2"/>
  <c r="G15" i="2"/>
  <c r="G10" i="2"/>
  <c r="G6" i="2"/>
  <c r="D21" i="2"/>
  <c r="D15" i="2"/>
  <c r="D10" i="2"/>
  <c r="D6" i="2"/>
  <c r="H21" i="2"/>
  <c r="H15" i="2"/>
  <c r="H10" i="2"/>
  <c r="H6" i="2"/>
  <c r="T21" i="2"/>
  <c r="T15" i="2"/>
  <c r="T10" i="2"/>
  <c r="T6" i="2"/>
  <c r="U21" i="2"/>
  <c r="U15" i="2"/>
  <c r="U10" i="2"/>
  <c r="U6" i="2"/>
  <c r="N19" i="2"/>
  <c r="N17" i="2"/>
  <c r="N14" i="2"/>
  <c r="N13" i="2"/>
  <c r="N12" i="2"/>
  <c r="N9" i="2"/>
  <c r="N8" i="2"/>
  <c r="N7" i="2"/>
  <c r="N5" i="2"/>
  <c r="N4" i="2"/>
  <c r="N3" i="2"/>
  <c r="N21" i="2"/>
  <c r="I21" i="2"/>
  <c r="I15" i="2"/>
  <c r="I10" i="2"/>
  <c r="I6" i="2"/>
  <c r="M21" i="2"/>
  <c r="M15" i="2"/>
  <c r="M10" i="2"/>
  <c r="M6" i="2"/>
  <c r="V21" i="2"/>
  <c r="V15" i="2"/>
  <c r="V10" i="2"/>
  <c r="V6" i="2"/>
  <c r="W21" i="2"/>
  <c r="W15" i="2"/>
  <c r="W10" i="2"/>
  <c r="W6" i="2"/>
  <c r="X21" i="2"/>
  <c r="X15" i="2"/>
  <c r="X10" i="2"/>
  <c r="X6" i="2"/>
  <c r="K21" i="2"/>
  <c r="K15" i="2"/>
  <c r="K10" i="2"/>
  <c r="K6" i="2"/>
  <c r="O21" i="2"/>
  <c r="O15" i="2"/>
  <c r="O10" i="2"/>
  <c r="O6" i="2"/>
  <c r="L21" i="2"/>
  <c r="L15" i="2"/>
  <c r="L10" i="2"/>
  <c r="L6" i="2"/>
  <c r="P21" i="2"/>
  <c r="P15" i="2"/>
  <c r="P10" i="2"/>
  <c r="P6" i="2"/>
  <c r="D9" i="1"/>
  <c r="D8" i="1"/>
  <c r="D7" i="1"/>
  <c r="D6" i="1"/>
  <c r="D5" i="1"/>
  <c r="D4" i="1"/>
  <c r="F3" i="1"/>
  <c r="AA11" i="2" l="1"/>
  <c r="AA31" i="2" s="1"/>
  <c r="AD9" i="2"/>
  <c r="AC9" i="2"/>
  <c r="AC10" i="2" s="1"/>
  <c r="AA33" i="2"/>
  <c r="AB9" i="2"/>
  <c r="AB10" i="2" s="1"/>
  <c r="AA15" i="2"/>
  <c r="AB6" i="2"/>
  <c r="AB33" i="2" s="1"/>
  <c r="AA34" i="2"/>
  <c r="Z15" i="2"/>
  <c r="Z16" i="2" s="1"/>
  <c r="AA32" i="2"/>
  <c r="AB32" i="2"/>
  <c r="Z28" i="2"/>
  <c r="AB26" i="2"/>
  <c r="AA30" i="2"/>
  <c r="Z30" i="2"/>
  <c r="Z26" i="2"/>
  <c r="AC4" i="2"/>
  <c r="AB25" i="2"/>
  <c r="AB29" i="2"/>
  <c r="Z29" i="2"/>
  <c r="AA24" i="2"/>
  <c r="Y6" i="2"/>
  <c r="Y11" i="2" s="1"/>
  <c r="J11" i="2"/>
  <c r="J16" i="2" s="1"/>
  <c r="J18" i="2" s="1"/>
  <c r="J20" i="2" s="1"/>
  <c r="J22" i="2" s="1"/>
  <c r="C11" i="2"/>
  <c r="C16" i="2" s="1"/>
  <c r="C18" i="2" s="1"/>
  <c r="C20" i="2" s="1"/>
  <c r="C22" i="2" s="1"/>
  <c r="G11" i="2"/>
  <c r="G16" i="2" s="1"/>
  <c r="G18" i="2" s="1"/>
  <c r="G20" i="2" s="1"/>
  <c r="G22" i="2" s="1"/>
  <c r="D11" i="2"/>
  <c r="D16" i="2" s="1"/>
  <c r="D18" i="2" s="1"/>
  <c r="D20" i="2" s="1"/>
  <c r="D22" i="2" s="1"/>
  <c r="H11" i="2"/>
  <c r="H16" i="2" s="1"/>
  <c r="H18" i="2" s="1"/>
  <c r="H20" i="2" s="1"/>
  <c r="H22" i="2" s="1"/>
  <c r="I11" i="2"/>
  <c r="I16" i="2" s="1"/>
  <c r="I18" i="2" s="1"/>
  <c r="I20" i="2" s="1"/>
  <c r="I22" i="2" s="1"/>
  <c r="L11" i="2"/>
  <c r="T11" i="2"/>
  <c r="T16" i="2" s="1"/>
  <c r="T18" i="2" s="1"/>
  <c r="T20" i="2" s="1"/>
  <c r="T22" i="2" s="1"/>
  <c r="U11" i="2"/>
  <c r="U16" i="2" s="1"/>
  <c r="U18" i="2" s="1"/>
  <c r="U20" i="2" s="1"/>
  <c r="U22" i="2" s="1"/>
  <c r="N10" i="2"/>
  <c r="N6" i="2"/>
  <c r="N11" i="2" s="1"/>
  <c r="P11" i="2"/>
  <c r="N15" i="2"/>
  <c r="M11" i="2"/>
  <c r="M16" i="2" s="1"/>
  <c r="M18" i="2" s="1"/>
  <c r="M20" i="2" s="1"/>
  <c r="M22" i="2" s="1"/>
  <c r="V11" i="2"/>
  <c r="V16" i="2" s="1"/>
  <c r="V18" i="2" s="1"/>
  <c r="V20" i="2" s="1"/>
  <c r="V22" i="2" s="1"/>
  <c r="W11" i="2"/>
  <c r="W16" i="2" s="1"/>
  <c r="W18" i="2" s="1"/>
  <c r="W20" i="2" s="1"/>
  <c r="W22" i="2" s="1"/>
  <c r="X11" i="2"/>
  <c r="X16" i="2" s="1"/>
  <c r="X18" i="2" s="1"/>
  <c r="X20" i="2" s="1"/>
  <c r="X22" i="2" s="1"/>
  <c r="K11" i="2"/>
  <c r="K16" i="2" s="1"/>
  <c r="K18" i="2" s="1"/>
  <c r="K20" i="2" s="1"/>
  <c r="K22" i="2" s="1"/>
  <c r="O11" i="2"/>
  <c r="O16" i="2" s="1"/>
  <c r="O18" i="2" s="1"/>
  <c r="O20" i="2" s="1"/>
  <c r="O22" i="2" s="1"/>
  <c r="L16" i="2"/>
  <c r="AA16" i="2" l="1"/>
  <c r="AB30" i="2"/>
  <c r="AE9" i="2"/>
  <c r="AB11" i="2"/>
  <c r="AB31" i="2" s="1"/>
  <c r="AB27" i="2"/>
  <c r="AB15" i="2"/>
  <c r="AB16" i="2" s="1"/>
  <c r="Z35" i="2"/>
  <c r="Z18" i="2"/>
  <c r="AD7" i="2"/>
  <c r="AD10" i="2" s="1"/>
  <c r="AB34" i="2"/>
  <c r="AC32" i="2"/>
  <c r="AC6" i="2"/>
  <c r="Y16" i="2"/>
  <c r="Y31" i="2"/>
  <c r="AC30" i="2"/>
  <c r="AC26" i="2"/>
  <c r="AD4" i="2"/>
  <c r="AC29" i="2"/>
  <c r="AC25" i="2"/>
  <c r="AB28" i="2"/>
  <c r="AB24" i="2"/>
  <c r="P16" i="2"/>
  <c r="P31" i="2"/>
  <c r="L18" i="2"/>
  <c r="L20" i="2" s="1"/>
  <c r="L22" i="2" s="1"/>
  <c r="N16" i="2"/>
  <c r="N18" i="2" s="1"/>
  <c r="N20" i="2" s="1"/>
  <c r="N22" i="2" s="1"/>
  <c r="AA35" i="2" l="1"/>
  <c r="AA18" i="2"/>
  <c r="AA19" i="2" s="1"/>
  <c r="AC34" i="2"/>
  <c r="AB18" i="2"/>
  <c r="AB35" i="2"/>
  <c r="AD34" i="2"/>
  <c r="Z19" i="2"/>
  <c r="Z36" i="2" s="1"/>
  <c r="AE7" i="2"/>
  <c r="AE10" i="2" s="1"/>
  <c r="AF9" i="2"/>
  <c r="AC15" i="2"/>
  <c r="AC11" i="2"/>
  <c r="AC31" i="2" s="1"/>
  <c r="AE34" i="2"/>
  <c r="AD32" i="2"/>
  <c r="AD6" i="2"/>
  <c r="AC27" i="2"/>
  <c r="Y18" i="2"/>
  <c r="Y35" i="2"/>
  <c r="AD30" i="2"/>
  <c r="AD26" i="2"/>
  <c r="AE4" i="2"/>
  <c r="AD29" i="2"/>
  <c r="AD25" i="2"/>
  <c r="AC28" i="2"/>
  <c r="AC24" i="2"/>
  <c r="P18" i="2"/>
  <c r="P35" i="2"/>
  <c r="AA20" i="2" l="1"/>
  <c r="AA36" i="2"/>
  <c r="Z20" i="2"/>
  <c r="Z37" i="2" s="1"/>
  <c r="AB19" i="2"/>
  <c r="AB20" i="2" s="1"/>
  <c r="AF7" i="2"/>
  <c r="AF10" i="2" s="1"/>
  <c r="AG9" i="2"/>
  <c r="AD15" i="2"/>
  <c r="AD11" i="2"/>
  <c r="AD31" i="2" s="1"/>
  <c r="AC16" i="2"/>
  <c r="AC33" i="2"/>
  <c r="AF34" i="2"/>
  <c r="AE32" i="2"/>
  <c r="AD27" i="2"/>
  <c r="AE6" i="2"/>
  <c r="Y20" i="2"/>
  <c r="Y36" i="2"/>
  <c r="AE30" i="2"/>
  <c r="AE26" i="2"/>
  <c r="AE29" i="2"/>
  <c r="AF4" i="2"/>
  <c r="AE25" i="2"/>
  <c r="AD28" i="2"/>
  <c r="AD24" i="2"/>
  <c r="P20" i="2"/>
  <c r="P36" i="2"/>
  <c r="Z22" i="2" l="1"/>
  <c r="AA22" i="2"/>
  <c r="AA37" i="2"/>
  <c r="AB22" i="2"/>
  <c r="AB37" i="2"/>
  <c r="AB36" i="2"/>
  <c r="AD33" i="2"/>
  <c r="AG7" i="2"/>
  <c r="AG10" i="2" s="1"/>
  <c r="AD16" i="2"/>
  <c r="AD18" i="2" s="1"/>
  <c r="AE15" i="2"/>
  <c r="AE11" i="2"/>
  <c r="AC18" i="2"/>
  <c r="AC19" i="2" s="1"/>
  <c r="AC35" i="2"/>
  <c r="AI9" i="2"/>
  <c r="AH9" i="2"/>
  <c r="AG34" i="2"/>
  <c r="AF32" i="2"/>
  <c r="AE27" i="2"/>
  <c r="AF6" i="2"/>
  <c r="Y22" i="2"/>
  <c r="Y37" i="2"/>
  <c r="AF30" i="2"/>
  <c r="AF26" i="2"/>
  <c r="AF25" i="2"/>
  <c r="AG4" i="2"/>
  <c r="AF29" i="2"/>
  <c r="AE24" i="2"/>
  <c r="AE28" i="2"/>
  <c r="P22" i="2"/>
  <c r="P37" i="2"/>
  <c r="AE33" i="2" l="1"/>
  <c r="AE16" i="2"/>
  <c r="AE18" i="2" s="1"/>
  <c r="AE19" i="2" s="1"/>
  <c r="AE36" i="2" s="1"/>
  <c r="AI7" i="2"/>
  <c r="AI10" i="2" s="1"/>
  <c r="AH7" i="2"/>
  <c r="AH10" i="2" s="1"/>
  <c r="AD19" i="2"/>
  <c r="AD36" i="2" s="1"/>
  <c r="AD35" i="2"/>
  <c r="AC20" i="2"/>
  <c r="AC36" i="2"/>
  <c r="AE31" i="2"/>
  <c r="AF15" i="2"/>
  <c r="AF11" i="2"/>
  <c r="AF31" i="2" s="1"/>
  <c r="AI34" i="2"/>
  <c r="AH34" i="2"/>
  <c r="AG32" i="2"/>
  <c r="AG6" i="2"/>
  <c r="AF27" i="2"/>
  <c r="AG26" i="2"/>
  <c r="AG30" i="2"/>
  <c r="AH4" i="2"/>
  <c r="AG25" i="2"/>
  <c r="AG29" i="2"/>
  <c r="AF24" i="2"/>
  <c r="AF28" i="2"/>
  <c r="AE35" i="2" l="1"/>
  <c r="AD20" i="2"/>
  <c r="AD22" i="2" s="1"/>
  <c r="AF16" i="2"/>
  <c r="AF18" i="2" s="1"/>
  <c r="AF19" i="2" s="1"/>
  <c r="AF36" i="2" s="1"/>
  <c r="AE20" i="2"/>
  <c r="AE37" i="2" s="1"/>
  <c r="AG15" i="2"/>
  <c r="AG11" i="2"/>
  <c r="AC22" i="2"/>
  <c r="AC37" i="2"/>
  <c r="AF33" i="2"/>
  <c r="AH32" i="2"/>
  <c r="AI32" i="2"/>
  <c r="AG27" i="2"/>
  <c r="AI6" i="2"/>
  <c r="AH6" i="2"/>
  <c r="AH30" i="2"/>
  <c r="AH26" i="2"/>
  <c r="AH29" i="2"/>
  <c r="AH25" i="2"/>
  <c r="AI4" i="2"/>
  <c r="AG24" i="2"/>
  <c r="AG28" i="2"/>
  <c r="AD37" i="2" l="1"/>
  <c r="AE22" i="2"/>
  <c r="AF35" i="2"/>
  <c r="AG16" i="2"/>
  <c r="AF20" i="2"/>
  <c r="AF22" i="2" s="1"/>
  <c r="AG31" i="2"/>
  <c r="AG33" i="2"/>
  <c r="AH15" i="2"/>
  <c r="AH11" i="2"/>
  <c r="AH31" i="2" s="1"/>
  <c r="AI15" i="2"/>
  <c r="AI11" i="2"/>
  <c r="AI31" i="2" s="1"/>
  <c r="AH27" i="2"/>
  <c r="AI27" i="2"/>
  <c r="AI30" i="2"/>
  <c r="AI26" i="2"/>
  <c r="AI25" i="2"/>
  <c r="AI29" i="2"/>
  <c r="AH28" i="2"/>
  <c r="AH24" i="2"/>
  <c r="AI33" i="2" l="1"/>
  <c r="AF37" i="2"/>
  <c r="AG18" i="2"/>
  <c r="AG35" i="2"/>
  <c r="AH33" i="2"/>
  <c r="AI16" i="2"/>
  <c r="AH16" i="2"/>
  <c r="AI28" i="2"/>
  <c r="AI24" i="2"/>
  <c r="AG19" i="2" l="1"/>
  <c r="AG36" i="2" s="1"/>
  <c r="AH18" i="2"/>
  <c r="AH35" i="2"/>
  <c r="AI18" i="2"/>
  <c r="AI19" i="2" s="1"/>
  <c r="AI35" i="2"/>
  <c r="AG20" i="2" l="1"/>
  <c r="AG22" i="2" s="1"/>
  <c r="AI20" i="2"/>
  <c r="AI36" i="2"/>
  <c r="AH19" i="2"/>
  <c r="AH36" i="2" s="1"/>
  <c r="AG37" i="2" l="1"/>
  <c r="AI22" i="2"/>
  <c r="AJ20" i="2"/>
  <c r="AK20" i="2" s="1"/>
  <c r="AL20" i="2" s="1"/>
  <c r="AM20" i="2" s="1"/>
  <c r="AN20" i="2" s="1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CU20" i="2" s="1"/>
  <c r="CV20" i="2" s="1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G20" i="2" s="1"/>
  <c r="DH20" i="2" s="1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DS20" i="2" s="1"/>
  <c r="DT20" i="2" s="1"/>
  <c r="DU20" i="2" s="1"/>
  <c r="DV20" i="2" s="1"/>
  <c r="DW20" i="2" s="1"/>
  <c r="DX20" i="2" s="1"/>
  <c r="DY20" i="2" s="1"/>
  <c r="DZ20" i="2" s="1"/>
  <c r="EA20" i="2" s="1"/>
  <c r="EB20" i="2" s="1"/>
  <c r="EC20" i="2" s="1"/>
  <c r="ED20" i="2" s="1"/>
  <c r="EE20" i="2" s="1"/>
  <c r="EF20" i="2" s="1"/>
  <c r="EG20" i="2" s="1"/>
  <c r="EH20" i="2" s="1"/>
  <c r="EI20" i="2" s="1"/>
  <c r="EJ20" i="2" s="1"/>
  <c r="EK20" i="2" s="1"/>
  <c r="EL20" i="2" s="1"/>
  <c r="EM20" i="2" s="1"/>
  <c r="EN20" i="2" s="1"/>
  <c r="AI37" i="2"/>
  <c r="AH20" i="2"/>
  <c r="AH22" i="2" l="1"/>
  <c r="AH37" i="2"/>
  <c r="AL28" i="2"/>
  <c r="AL30" i="2" s="1"/>
  <c r="AL31" i="2" s="1"/>
  <c r="AL33" i="2" s="1"/>
</calcChain>
</file>

<file path=xl/sharedStrings.xml><?xml version="1.0" encoding="utf-8"?>
<sst xmlns="http://schemas.openxmlformats.org/spreadsheetml/2006/main" count="74" uniqueCount="69">
  <si>
    <t>LIF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</si>
  <si>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</si>
  <si>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</si>
  <si>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</si>
  <si>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</si>
  <si>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</si>
  <si>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</si>
  <si>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</si>
  <si>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</si>
  <si>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</si>
  <si>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</si>
  <si>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Q225</t>
  </si>
  <si>
    <t>Subscription revenue</t>
  </si>
  <si>
    <t>Hardware revenue</t>
  </si>
  <si>
    <t>Other revenue</t>
  </si>
  <si>
    <t>Total revenue</t>
  </si>
  <si>
    <t>Other cost</t>
  </si>
  <si>
    <t>Subscription cost</t>
  </si>
  <si>
    <t>Hardware cost</t>
  </si>
  <si>
    <t>Total cost of sales</t>
  </si>
  <si>
    <t>Gross profit</t>
  </si>
  <si>
    <t>R&amp;D</t>
  </si>
  <si>
    <t>S&amp;M</t>
  </si>
  <si>
    <t>G&amp;A</t>
  </si>
  <si>
    <t>Total opex</t>
  </si>
  <si>
    <t>Operating profit</t>
  </si>
  <si>
    <t>Net finance expense</t>
  </si>
  <si>
    <t>Pretax profit</t>
  </si>
  <si>
    <t>Taxes</t>
  </si>
  <si>
    <t>Net profit</t>
  </si>
  <si>
    <t>EPS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</si>
  <si>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</si>
  <si>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</si>
  <si>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</si>
  <si>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</si>
  <si>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</si>
  <si>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</si>
  <si>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</si>
  <si>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</si>
  <si>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</si>
  <si>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Q325</t>
  </si>
  <si>
    <t>Q425</t>
  </si>
  <si>
    <t>Q122</t>
  </si>
  <si>
    <t>Q222</t>
  </si>
  <si>
    <t>Q322</t>
  </si>
  <si>
    <t>Q422</t>
  </si>
  <si>
    <t>Subscription revenue y/y</t>
  </si>
  <si>
    <t>Hardware revenue y/y</t>
  </si>
  <si>
    <t>Other revenue y/y</t>
  </si>
  <si>
    <t>Revenue y/y</t>
  </si>
  <si>
    <t>Subscription Margin</t>
  </si>
  <si>
    <t>Hardware Margin</t>
  </si>
  <si>
    <t>Other Margin</t>
  </si>
  <si>
    <t>Gross Margin</t>
  </si>
  <si>
    <t>R&amp;D y/y</t>
  </si>
  <si>
    <t>S&amp;M Margin</t>
  </si>
  <si>
    <t>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</si>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</sst>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0" fontId="1" fillId="0" borderId="0" xfId="0" applyFont="1" applyAlignment="1">
      <alignment horizontal="right"/>
    </xf>
    <xf numFmtId="9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</xdr:colOff>
      <xdr:row>0</xdr:row>
      <xdr:rowOff>7620</xdr:rowOff>
    </xdr:from>
    <xdr:to>
      <xdr:col>16</xdr:col>
      <xdr:colOff>15240</xdr:colOff>
      <xdr:row>39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8E73D69-9741-AC88-F767-64F0CA1724A6}"/>
            </a:ext>
          </a:extLst>
        </xdr:cNvPr>
        <xdr:cNvCxnSpPr/>
      </xdr:nvCxnSpPr>
      <xdr:spPr>
        <a:xfrm>
          <a:off x="10607040" y="7620"/>
          <a:ext cx="0" cy="7231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7620</xdr:colOff>
      <xdr:row>0</xdr:row>
      <xdr:rowOff>7620</xdr:rowOff>
    </xdr:from>
    <xdr:to>
      <xdr:col>24</xdr:col>
      <xdr:colOff>7620</xdr:colOff>
      <xdr:row>42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F243A5C-040C-2374-15FA-04E8D5FF020F}"/>
            </a:ext>
          </a:extLst>
        </xdr:cNvPr>
        <xdr:cNvCxnSpPr/>
      </xdr:nvCxnSpPr>
      <xdr:spPr>
        <a:xfrm>
          <a:off x="15476220" y="7620"/>
          <a:ext cx="0" cy="7780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7804-6A74-426D-B404-B0467284AE0E}">
  <dimension ref="B2:G9"/>
  <sheetViews>
    <sheetView workbookViewId="0">
      <selection activeCell="D4" sqref="D4"/>
    </sheetView>
  </sheetViews>
  <sheetFormatPr defaultRowHeight="14.4" x14ac:dyDescent="0.3"/>
  <cols>
    <col min="5" max="5" width="11.88671875" style="2" bestFit="1" customWidth="1"/>
    <col min="6" max="7" width="11.21875" style="2" bestFit="1" customWidth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1" t="s">
        <v>0</v>
      </c>
      <c r="C3" t="s">
        <v>1</v>
      </c>
      <c r="D3" s="4">
        <v>103.11</v>
      </c>
      <c r="E3" s="3">
        <v>45909</v>
      </c>
      <c r="F3" s="3">
        <f ca="1">TODAY()</f>
        <v>45909</v>
      </c>
      <c r="G3" s="3">
        <v>45979</v>
      </c>
    </row>
    <row r="4" spans="2:7" x14ac:dyDescent="0.3">
      <c r="C4" t="s">
        <v>2</v>
      </c>
      <c r="D4" s="5">
        <f>77.5</f>
        <v>77.5</v>
      </c>
      <c r="E4" s="2" t="s">
        <v>11</v>
      </c>
    </row>
    <row r="5" spans="2:7" x14ac:dyDescent="0.3">
      <c r="C5" t="s">
        <v>3</v>
      </c>
      <c r="D5" s="5">
        <f>D3*D4</f>
        <v>7991.0249999999996</v>
      </c>
    </row>
    <row r="6" spans="2:7" x14ac:dyDescent="0.3">
      <c r="C6" t="s">
        <v>4</v>
      </c>
      <c r="D6" s="5">
        <f>432.7</f>
        <v>432.7</v>
      </c>
      <c r="E6" s="2" t="s">
        <v>11</v>
      </c>
    </row>
    <row r="7" spans="2:7" x14ac:dyDescent="0.3">
      <c r="C7" t="s">
        <v>5</v>
      </c>
      <c r="D7" s="5">
        <f>309.3</f>
        <v>309.3</v>
      </c>
      <c r="E7" s="2" t="s">
        <v>11</v>
      </c>
    </row>
    <row r="8" spans="2:7" x14ac:dyDescent="0.3">
      <c r="C8" t="s">
        <v>6</v>
      </c>
      <c r="D8" s="5">
        <f>D6-D7</f>
        <v>123.39999999999998</v>
      </c>
    </row>
    <row r="9" spans="2:7" x14ac:dyDescent="0.3">
      <c r="C9" t="s">
        <v>7</v>
      </c>
      <c r="D9" s="5">
        <f>D5-D8</f>
        <v>7867.625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856E-6B6D-4710-9512-492CCC5BA48B}">
  <dimension ref="B2:EN37"/>
  <sheetViews>
    <sheetView tabSelected="1" workbookViewId="0">
      <pane xSplit="2" ySplit="2" topLeftCell="W9" activePane="bottomRight" state="frozen"/>
      <selection pane="topRight" activeCell="C1" sqref="C1"/>
      <selection pane="bottomLeft" activeCell="A3" sqref="A3"/>
      <selection pane="bottomRight" activeCell="AL24" sqref="AL24"/>
    </sheetView>
  </sheetViews>
  <sheetFormatPr defaultRowHeight="14.4" x14ac:dyDescent="0.3"/>
  <cols>
    <col min="2" max="2" width="21.109375" bestFit="1" customWidth="1"/>
    <col min="3" max="6" width="8.88671875" customWidth="1"/>
    <col min="37" max="37" width="11.88671875" bestFit="1" customWidth="1"/>
    <col min="38" max="38" width="16.44140625" style="6" bestFit="1" customWidth="1"/>
  </cols>
  <sheetData>
    <row r="2" spans="2:38" x14ac:dyDescent="0.3">
      <c r="C2" s="6" t="s">
        <v>42</v>
      </c>
      <c r="D2" s="6" t="s">
        <v>43</v>
      </c>
      <c r="E2" s="6" t="s">
        <v>44</v>
      </c>
      <c r="F2" s="6" t="s">
        <v>45</v>
      </c>
      <c r="G2" s="6" t="s">
        <v>31</v>
      </c>
      <c r="H2" s="6" t="s">
        <v>32</v>
      </c>
      <c r="I2" s="6" t="s">
        <v>33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39</v>
      </c>
      <c r="P2" s="6" t="s">
        <v>11</v>
      </c>
      <c r="Q2" s="6" t="s">
        <v>40</v>
      </c>
      <c r="R2" s="6" t="s">
        <v>41</v>
      </c>
      <c r="T2">
        <v>2020</v>
      </c>
      <c r="U2">
        <v>2021</v>
      </c>
      <c r="V2">
        <v>2022</v>
      </c>
      <c r="W2">
        <v>2023</v>
      </c>
      <c r="X2">
        <v>2024</v>
      </c>
      <c r="Y2">
        <v>2025</v>
      </c>
      <c r="Z2">
        <v>2026</v>
      </c>
      <c r="AA2">
        <v>2027</v>
      </c>
      <c r="AB2">
        <v>2028</v>
      </c>
      <c r="AC2">
        <v>2029</v>
      </c>
      <c r="AD2">
        <v>2030</v>
      </c>
      <c r="AE2">
        <v>2031</v>
      </c>
      <c r="AF2">
        <v>2032</v>
      </c>
      <c r="AG2">
        <v>2033</v>
      </c>
      <c r="AH2">
        <v>2034</v>
      </c>
      <c r="AI2">
        <v>2035</v>
      </c>
    </row>
    <row r="3" spans="2:38" x14ac:dyDescent="0.3">
      <c r="B3" t="s">
        <v>12</v>
      </c>
      <c r="C3" s="5">
        <v>33.1</v>
      </c>
      <c r="D3" s="5">
        <v>36</v>
      </c>
      <c r="G3" s="5">
        <v>51.7</v>
      </c>
      <c r="H3" s="5">
        <v>52.7</v>
      </c>
      <c r="I3" s="5">
        <v>56.6</v>
      </c>
      <c r="J3" s="5">
        <f>W3-I3-H3-G3</f>
        <v>59.800000000000011</v>
      </c>
      <c r="K3" s="5">
        <v>61.6</v>
      </c>
      <c r="L3" s="5">
        <v>65.7</v>
      </c>
      <c r="M3" s="5">
        <v>71.8</v>
      </c>
      <c r="N3" s="5">
        <f>X3-M3-L3-K3</f>
        <v>78.700000000000017</v>
      </c>
      <c r="O3" s="5">
        <v>81.900000000000006</v>
      </c>
      <c r="P3" s="5">
        <v>88.6</v>
      </c>
      <c r="Q3" s="5">
        <f>M3*1.35</f>
        <v>96.93</v>
      </c>
      <c r="R3" s="5">
        <f>N3*1.32</f>
        <v>103.88400000000003</v>
      </c>
      <c r="T3" s="5">
        <v>58.5</v>
      </c>
      <c r="U3" s="5">
        <v>86.6</v>
      </c>
      <c r="V3" s="5">
        <v>153.30000000000001</v>
      </c>
      <c r="W3" s="5">
        <v>220.8</v>
      </c>
      <c r="X3" s="5">
        <v>277.8</v>
      </c>
      <c r="Y3" s="5">
        <f>SUM(O3:R3)</f>
        <v>371.31400000000002</v>
      </c>
      <c r="Z3" s="5">
        <f>Y3*1.3</f>
        <v>482.70820000000003</v>
      </c>
      <c r="AA3" s="5">
        <f>Z3*1.25</f>
        <v>603.38525000000004</v>
      </c>
      <c r="AB3" s="5">
        <f>AA3*1.2</f>
        <v>724.06230000000005</v>
      </c>
      <c r="AC3" s="5">
        <f>AB3*1.15</f>
        <v>832.67164500000001</v>
      </c>
      <c r="AD3" s="5">
        <f>AC3*1.1</f>
        <v>915.93880950000005</v>
      </c>
      <c r="AE3" s="5">
        <f>AD3*1.08</f>
        <v>989.21391426000014</v>
      </c>
      <c r="AF3" s="5">
        <f>AE3*1.06</f>
        <v>1048.5667491156003</v>
      </c>
      <c r="AG3" s="5">
        <f>AF3*1.05</f>
        <v>1100.9950865713804</v>
      </c>
      <c r="AH3" s="5">
        <f t="shared" ref="AH3:AI3" si="0">AG3*1.05</f>
        <v>1156.0448408999496</v>
      </c>
      <c r="AI3" s="5">
        <f t="shared" si="0"/>
        <v>1213.847082944947</v>
      </c>
    </row>
    <row r="4" spans="2:38" x14ac:dyDescent="0.3">
      <c r="B4" t="s">
        <v>13</v>
      </c>
      <c r="C4" s="5">
        <v>9.6</v>
      </c>
      <c r="D4" s="5">
        <v>6.8</v>
      </c>
      <c r="G4" s="5">
        <v>10</v>
      </c>
      <c r="H4" s="5">
        <v>11.6</v>
      </c>
      <c r="I4" s="5">
        <v>15.5</v>
      </c>
      <c r="J4" s="5">
        <f t="shared" ref="J4:J5" si="1">W4-I4-H4-G4</f>
        <v>21.1</v>
      </c>
      <c r="K4" s="5">
        <v>10.199999999999999</v>
      </c>
      <c r="L4" s="5">
        <v>11.9</v>
      </c>
      <c r="M4" s="5">
        <v>11.7</v>
      </c>
      <c r="N4" s="5">
        <f>X4-M4-L4-K4</f>
        <v>23.800000000000008</v>
      </c>
      <c r="O4" s="5">
        <v>8.9</v>
      </c>
      <c r="P4" s="5">
        <v>12.3</v>
      </c>
      <c r="Q4" s="5">
        <f>M4*1.03</f>
        <v>12.051</v>
      </c>
      <c r="R4" s="5">
        <f>N4*0.9</f>
        <v>21.420000000000009</v>
      </c>
      <c r="T4" s="5">
        <v>0</v>
      </c>
      <c r="U4" s="5">
        <v>1</v>
      </c>
      <c r="V4" s="5">
        <v>47.9</v>
      </c>
      <c r="W4" s="5">
        <v>58.2</v>
      </c>
      <c r="X4" s="5">
        <v>57.6</v>
      </c>
      <c r="Y4" s="5">
        <f t="shared" ref="Y4:Y5" si="2">SUM(O4:R4)</f>
        <v>54.671000000000014</v>
      </c>
      <c r="Z4" s="5">
        <f>Y4*1.02</f>
        <v>55.764420000000015</v>
      </c>
      <c r="AA4" s="5">
        <f t="shared" ref="AA4:AI4" si="3">Z4*1.02</f>
        <v>56.87970840000002</v>
      </c>
      <c r="AB4" s="5">
        <f t="shared" si="3"/>
        <v>58.017302568000019</v>
      </c>
      <c r="AC4" s="5">
        <f t="shared" si="3"/>
        <v>59.177648619360021</v>
      </c>
      <c r="AD4" s="5">
        <f t="shared" si="3"/>
        <v>60.361201591747225</v>
      </c>
      <c r="AE4" s="5">
        <f t="shared" si="3"/>
        <v>61.568425623582172</v>
      </c>
      <c r="AF4" s="5">
        <f t="shared" si="3"/>
        <v>62.799794136053819</v>
      </c>
      <c r="AG4" s="5">
        <f t="shared" si="3"/>
        <v>64.0557900187749</v>
      </c>
      <c r="AH4" s="5">
        <f t="shared" si="3"/>
        <v>65.336905819150402</v>
      </c>
      <c r="AI4" s="5">
        <f t="shared" si="3"/>
        <v>66.643643935533419</v>
      </c>
    </row>
    <row r="5" spans="2:38" x14ac:dyDescent="0.3">
      <c r="B5" t="s">
        <v>14</v>
      </c>
      <c r="C5" s="5">
        <v>8.3000000000000007</v>
      </c>
      <c r="D5" s="5">
        <v>6</v>
      </c>
      <c r="G5" s="5">
        <v>6.5</v>
      </c>
      <c r="H5" s="5">
        <v>6.5</v>
      </c>
      <c r="I5" s="5">
        <v>6.5</v>
      </c>
      <c r="J5" s="5">
        <f t="shared" si="1"/>
        <v>6</v>
      </c>
      <c r="K5" s="5">
        <v>6.5</v>
      </c>
      <c r="L5" s="5">
        <v>7.3</v>
      </c>
      <c r="M5" s="5">
        <v>9.3000000000000007</v>
      </c>
      <c r="N5" s="5">
        <f>X5-M5-L5-K5</f>
        <v>13</v>
      </c>
      <c r="O5" s="5">
        <v>12.8</v>
      </c>
      <c r="P5" s="5">
        <v>14.5</v>
      </c>
      <c r="Q5" s="5">
        <f>M5*1.95</f>
        <v>18.135000000000002</v>
      </c>
      <c r="R5" s="5">
        <f>N5*1.95</f>
        <v>25.349999999999998</v>
      </c>
      <c r="T5" s="5">
        <v>22.2</v>
      </c>
      <c r="U5" s="5">
        <v>25.1</v>
      </c>
      <c r="V5" s="5">
        <v>27.1</v>
      </c>
      <c r="W5" s="5">
        <v>25.5</v>
      </c>
      <c r="X5" s="5">
        <v>36.1</v>
      </c>
      <c r="Y5" s="5">
        <f t="shared" si="2"/>
        <v>70.784999999999997</v>
      </c>
      <c r="Z5" s="5">
        <f>Y5*1.8</f>
        <v>127.413</v>
      </c>
      <c r="AA5" s="5">
        <f>Z5*1.5</f>
        <v>191.11949999999999</v>
      </c>
      <c r="AB5" s="5">
        <f>AA5*1.35</f>
        <v>258.011325</v>
      </c>
      <c r="AC5" s="5">
        <f>AB5*1.2</f>
        <v>309.61358999999999</v>
      </c>
      <c r="AD5" s="5">
        <f>AC5*1.15</f>
        <v>356.05562849999995</v>
      </c>
      <c r="AE5" s="5">
        <f>AD5*1.1</f>
        <v>391.66119134999997</v>
      </c>
      <c r="AF5" s="5">
        <f t="shared" ref="AF5:AI5" si="4">AE5*1.1</f>
        <v>430.827310485</v>
      </c>
      <c r="AG5" s="5">
        <f t="shared" si="4"/>
        <v>473.91004153350002</v>
      </c>
      <c r="AH5" s="5">
        <f t="shared" si="4"/>
        <v>521.3010456868501</v>
      </c>
      <c r="AI5" s="5">
        <f t="shared" si="4"/>
        <v>573.43115025553516</v>
      </c>
    </row>
    <row r="6" spans="2:38" s="1" customFormat="1" x14ac:dyDescent="0.3">
      <c r="B6" s="1" t="s">
        <v>15</v>
      </c>
      <c r="C6" s="8">
        <f>SUM(C3:C5)</f>
        <v>51</v>
      </c>
      <c r="D6" s="8">
        <f>SUM(D3:D5)</f>
        <v>48.8</v>
      </c>
      <c r="G6" s="8">
        <f>SUM(G3:G5)</f>
        <v>68.2</v>
      </c>
      <c r="H6" s="8">
        <f>SUM(H3:H5)</f>
        <v>70.8</v>
      </c>
      <c r="I6" s="8">
        <f>SUM(I3:I5)</f>
        <v>78.599999999999994</v>
      </c>
      <c r="J6" s="8">
        <f>SUM(J3:J5)</f>
        <v>86.9</v>
      </c>
      <c r="K6" s="8">
        <f>SUM(K3:K5)</f>
        <v>78.3</v>
      </c>
      <c r="L6" s="8">
        <f>SUM(L3:L5)</f>
        <v>84.9</v>
      </c>
      <c r="M6" s="8">
        <f>SUM(M3:M5)</f>
        <v>92.8</v>
      </c>
      <c r="N6" s="8">
        <f>SUM(N3:N5)</f>
        <v>115.50000000000003</v>
      </c>
      <c r="O6" s="8">
        <f>SUM(O3:O5)</f>
        <v>103.60000000000001</v>
      </c>
      <c r="P6" s="8">
        <f>SUM(P3:P5)</f>
        <v>115.39999999999999</v>
      </c>
      <c r="Q6" s="8">
        <f t="shared" ref="Q6:R6" si="5">SUM(Q3:Q5)</f>
        <v>127.11600000000001</v>
      </c>
      <c r="R6" s="8">
        <f t="shared" si="5"/>
        <v>150.65400000000002</v>
      </c>
      <c r="T6" s="8">
        <f>SUM(T3:T5)</f>
        <v>80.7</v>
      </c>
      <c r="U6" s="8">
        <f>SUM(U3:U5)</f>
        <v>112.69999999999999</v>
      </c>
      <c r="V6" s="8">
        <f>SUM(V3:V5)</f>
        <v>228.3</v>
      </c>
      <c r="W6" s="8">
        <f>SUM(W3:W5)</f>
        <v>304.5</v>
      </c>
      <c r="X6" s="8">
        <f>SUM(X3:X5)</f>
        <v>371.50000000000006</v>
      </c>
      <c r="Y6" s="8">
        <f>SUM(Y3:Y5)</f>
        <v>496.77</v>
      </c>
      <c r="Z6" s="8">
        <f t="shared" ref="Z6:AI6" si="6">SUM(Z3:Z5)</f>
        <v>665.88562000000002</v>
      </c>
      <c r="AA6" s="8">
        <f t="shared" si="6"/>
        <v>851.38445840000009</v>
      </c>
      <c r="AB6" s="8">
        <f t="shared" si="6"/>
        <v>1040.0909275680001</v>
      </c>
      <c r="AC6" s="8">
        <f t="shared" si="6"/>
        <v>1201.4628836193601</v>
      </c>
      <c r="AD6" s="8">
        <f t="shared" si="6"/>
        <v>1332.3556395917471</v>
      </c>
      <c r="AE6" s="8">
        <f t="shared" si="6"/>
        <v>1442.4435312335822</v>
      </c>
      <c r="AF6" s="8">
        <f t="shared" si="6"/>
        <v>1542.1938537366541</v>
      </c>
      <c r="AG6" s="8">
        <f t="shared" si="6"/>
        <v>1638.9609181236551</v>
      </c>
      <c r="AH6" s="8">
        <f t="shared" si="6"/>
        <v>1742.6827924059501</v>
      </c>
      <c r="AI6" s="8">
        <f t="shared" si="6"/>
        <v>1853.9218771360156</v>
      </c>
      <c r="AL6" s="10"/>
    </row>
    <row r="7" spans="2:38" x14ac:dyDescent="0.3">
      <c r="B7" t="s">
        <v>17</v>
      </c>
      <c r="C7" s="5">
        <v>7.1</v>
      </c>
      <c r="D7" s="5">
        <v>7.9</v>
      </c>
      <c r="G7" s="5">
        <v>8</v>
      </c>
      <c r="H7" s="5">
        <v>6.4</v>
      </c>
      <c r="I7" s="5">
        <v>8.3000000000000007</v>
      </c>
      <c r="J7" s="5">
        <f t="shared" ref="J7:J9" si="7">W7-I7-H7-G7</f>
        <v>8.2999999999999972</v>
      </c>
      <c r="K7" s="5">
        <v>9.3000000000000007</v>
      </c>
      <c r="L7" s="5">
        <v>10.4</v>
      </c>
      <c r="M7" s="5">
        <v>10.7</v>
      </c>
      <c r="N7" s="5">
        <f>X7-M7-L7-K7</f>
        <v>10.599999999999998</v>
      </c>
      <c r="O7" s="5">
        <v>10.4</v>
      </c>
      <c r="P7" s="5">
        <v>13</v>
      </c>
      <c r="Q7" s="5">
        <f>Q3*0.14</f>
        <v>13.570200000000002</v>
      </c>
      <c r="R7" s="5">
        <f>R3*0.14</f>
        <v>14.543760000000006</v>
      </c>
      <c r="T7" s="5">
        <v>13.6</v>
      </c>
      <c r="U7" s="5">
        <v>17.8</v>
      </c>
      <c r="V7" s="5">
        <v>30.7</v>
      </c>
      <c r="W7" s="5">
        <v>31</v>
      </c>
      <c r="X7" s="5">
        <v>41</v>
      </c>
      <c r="Y7" s="5">
        <f t="shared" ref="Y7:Y9" si="8">SUM(O7:R7)</f>
        <v>51.513960000000004</v>
      </c>
      <c r="Z7" s="5">
        <f>Z3*0.13</f>
        <v>62.752066000000006</v>
      </c>
      <c r="AA7" s="5">
        <f>AA3*0.12</f>
        <v>72.406230000000008</v>
      </c>
      <c r="AB7" s="5">
        <f t="shared" ref="AB7:AI7" si="9">AB3*0.12</f>
        <v>86.887476000000007</v>
      </c>
      <c r="AC7" s="5">
        <f t="shared" si="9"/>
        <v>99.920597399999991</v>
      </c>
      <c r="AD7" s="5">
        <f t="shared" si="9"/>
        <v>109.91265714000001</v>
      </c>
      <c r="AE7" s="5">
        <f t="shared" si="9"/>
        <v>118.70566971120002</v>
      </c>
      <c r="AF7" s="5">
        <f t="shared" si="9"/>
        <v>125.82800989387202</v>
      </c>
      <c r="AG7" s="5">
        <f t="shared" si="9"/>
        <v>132.11941038856565</v>
      </c>
      <c r="AH7" s="5">
        <f t="shared" si="9"/>
        <v>138.72538090799395</v>
      </c>
      <c r="AI7" s="5">
        <f t="shared" si="9"/>
        <v>145.66164995339363</v>
      </c>
    </row>
    <row r="8" spans="2:38" x14ac:dyDescent="0.3">
      <c r="B8" t="s">
        <v>18</v>
      </c>
      <c r="C8" s="5">
        <v>7.8</v>
      </c>
      <c r="D8" s="5">
        <v>10.8</v>
      </c>
      <c r="G8" s="5">
        <v>9.4</v>
      </c>
      <c r="H8" s="5">
        <v>8.6999999999999993</v>
      </c>
      <c r="I8" s="5">
        <v>11.6</v>
      </c>
      <c r="J8" s="5">
        <f t="shared" si="7"/>
        <v>17.699999999999996</v>
      </c>
      <c r="K8" s="5">
        <v>8</v>
      </c>
      <c r="L8" s="5">
        <v>9.9</v>
      </c>
      <c r="M8" s="5">
        <v>11.2</v>
      </c>
      <c r="N8" s="5">
        <f>X8-M8-L8-K8</f>
        <v>18.100000000000001</v>
      </c>
      <c r="O8" s="5">
        <v>8.6</v>
      </c>
      <c r="P8" s="5">
        <v>10.199999999999999</v>
      </c>
      <c r="Q8" s="5">
        <f>Q4*0.83</f>
        <v>10.002329999999999</v>
      </c>
      <c r="R8" s="5">
        <f>R4*0.83</f>
        <v>17.778600000000008</v>
      </c>
      <c r="T8" s="5">
        <v>0</v>
      </c>
      <c r="U8" s="5">
        <v>1.3</v>
      </c>
      <c r="V8" s="5">
        <v>45.4</v>
      </c>
      <c r="W8" s="5">
        <v>47.4</v>
      </c>
      <c r="X8" s="5">
        <v>47.2</v>
      </c>
      <c r="Y8" s="5">
        <f t="shared" si="8"/>
        <v>46.580930000000009</v>
      </c>
      <c r="Z8" s="5">
        <f>Z4*0.85</f>
        <v>47.399757000000015</v>
      </c>
      <c r="AA8" s="5">
        <f t="shared" ref="AA8:AI8" si="10">AA4*0.85</f>
        <v>48.347752140000019</v>
      </c>
      <c r="AB8" s="5">
        <f t="shared" si="10"/>
        <v>49.314707182800014</v>
      </c>
      <c r="AC8" s="5">
        <f t="shared" si="10"/>
        <v>50.301001326456017</v>
      </c>
      <c r="AD8" s="5">
        <f t="shared" si="10"/>
        <v>51.307021352985139</v>
      </c>
      <c r="AE8" s="5">
        <f t="shared" si="10"/>
        <v>52.333161780044847</v>
      </c>
      <c r="AF8" s="5">
        <f t="shared" si="10"/>
        <v>53.379825015645743</v>
      </c>
      <c r="AG8" s="5">
        <f t="shared" si="10"/>
        <v>54.447421515958666</v>
      </c>
      <c r="AH8" s="5">
        <f t="shared" si="10"/>
        <v>55.536369946277837</v>
      </c>
      <c r="AI8" s="5">
        <f t="shared" si="10"/>
        <v>56.647097345203406</v>
      </c>
    </row>
    <row r="9" spans="2:38" x14ac:dyDescent="0.3">
      <c r="B9" t="s">
        <v>16</v>
      </c>
      <c r="C9" s="5">
        <v>1</v>
      </c>
      <c r="D9" s="5">
        <v>0.9</v>
      </c>
      <c r="G9" s="5">
        <v>0.8</v>
      </c>
      <c r="H9" s="5">
        <v>0.9</v>
      </c>
      <c r="I9" s="5">
        <v>0.9</v>
      </c>
      <c r="J9" s="5">
        <f t="shared" si="7"/>
        <v>0.90000000000000013</v>
      </c>
      <c r="K9" s="5">
        <v>0.9</v>
      </c>
      <c r="L9" s="5">
        <v>0.9</v>
      </c>
      <c r="M9" s="5">
        <v>1</v>
      </c>
      <c r="N9" s="5">
        <f>X9-M9-L9-K9</f>
        <v>1.2999999999999998</v>
      </c>
      <c r="O9" s="5">
        <v>1.3</v>
      </c>
      <c r="P9" s="5">
        <v>1.6</v>
      </c>
      <c r="Q9" s="5">
        <f>Q5*0.1</f>
        <v>1.8135000000000003</v>
      </c>
      <c r="R9" s="5">
        <f>R5*0.1</f>
        <v>2.5350000000000001</v>
      </c>
      <c r="T9" s="5">
        <v>1.8</v>
      </c>
      <c r="U9" s="5">
        <v>3.6</v>
      </c>
      <c r="V9" s="5">
        <v>3.6</v>
      </c>
      <c r="W9" s="5">
        <v>3.5</v>
      </c>
      <c r="X9" s="5">
        <v>4.0999999999999996</v>
      </c>
      <c r="Y9" s="5">
        <f t="shared" si="8"/>
        <v>7.2485000000000008</v>
      </c>
      <c r="Z9" s="5">
        <f>Z5*0.1</f>
        <v>12.741300000000001</v>
      </c>
      <c r="AA9" s="5">
        <f t="shared" ref="AA9:AI9" si="11">AA5*0.1</f>
        <v>19.11195</v>
      </c>
      <c r="AB9" s="5">
        <f t="shared" si="11"/>
        <v>25.801132500000001</v>
      </c>
      <c r="AC9" s="5">
        <f t="shared" si="11"/>
        <v>30.961359000000002</v>
      </c>
      <c r="AD9" s="5">
        <f t="shared" si="11"/>
        <v>35.605562849999998</v>
      </c>
      <c r="AE9" s="5">
        <f t="shared" si="11"/>
        <v>39.166119135000002</v>
      </c>
      <c r="AF9" s="5">
        <f t="shared" si="11"/>
        <v>43.082731048500001</v>
      </c>
      <c r="AG9" s="5">
        <f t="shared" si="11"/>
        <v>47.391004153350003</v>
      </c>
      <c r="AH9" s="5">
        <f t="shared" si="11"/>
        <v>52.130104568685013</v>
      </c>
      <c r="AI9" s="5">
        <f t="shared" si="11"/>
        <v>57.343115025553516</v>
      </c>
    </row>
    <row r="10" spans="2:38" x14ac:dyDescent="0.3">
      <c r="B10" t="s">
        <v>19</v>
      </c>
      <c r="C10" s="5">
        <f>SUM(C7:C9)</f>
        <v>15.899999999999999</v>
      </c>
      <c r="D10" s="5">
        <f>SUM(D7:D9)</f>
        <v>19.600000000000001</v>
      </c>
      <c r="G10" s="5">
        <f>SUM(G7:G9)</f>
        <v>18.2</v>
      </c>
      <c r="H10" s="5">
        <f>SUM(H7:H9)</f>
        <v>16</v>
      </c>
      <c r="I10" s="5">
        <f>SUM(I7:I9)</f>
        <v>20.799999999999997</v>
      </c>
      <c r="J10" s="5">
        <f>SUM(J7:J9)</f>
        <v>26.899999999999991</v>
      </c>
      <c r="K10" s="5">
        <f>SUM(K7:K9)</f>
        <v>18.2</v>
      </c>
      <c r="L10" s="5">
        <f>SUM(L7:L9)</f>
        <v>21.2</v>
      </c>
      <c r="M10" s="5">
        <f>SUM(M7:M9)</f>
        <v>22.9</v>
      </c>
      <c r="N10" s="5">
        <f>SUM(N7:N9)</f>
        <v>30</v>
      </c>
      <c r="O10" s="5">
        <f>SUM(O7:O9)</f>
        <v>20.3</v>
      </c>
      <c r="P10" s="5">
        <f>SUM(P7:P9)</f>
        <v>24.8</v>
      </c>
      <c r="Q10" s="5">
        <f t="shared" ref="Q10:R10" si="12">SUM(Q7:Q9)</f>
        <v>25.386030000000002</v>
      </c>
      <c r="R10" s="5">
        <f t="shared" si="12"/>
        <v>34.857360000000014</v>
      </c>
      <c r="T10" s="5">
        <f>SUM(T7:T9)</f>
        <v>15.4</v>
      </c>
      <c r="U10" s="5">
        <f>SUM(U7:U9)</f>
        <v>22.700000000000003</v>
      </c>
      <c r="V10" s="5">
        <f>SUM(V7:V9)</f>
        <v>79.699999999999989</v>
      </c>
      <c r="W10" s="5">
        <f>SUM(W7:W9)</f>
        <v>81.900000000000006</v>
      </c>
      <c r="X10" s="5">
        <f>SUM(X7:X9)</f>
        <v>92.3</v>
      </c>
      <c r="Y10" s="5">
        <f>SUM(Y7:Y9)</f>
        <v>105.34339000000003</v>
      </c>
      <c r="Z10" s="5">
        <f t="shared" ref="Z10:AI10" si="13">SUM(Z7:Z9)</f>
        <v>122.89312300000002</v>
      </c>
      <c r="AA10" s="5">
        <f t="shared" si="13"/>
        <v>139.86593214000004</v>
      </c>
      <c r="AB10" s="5">
        <f t="shared" si="13"/>
        <v>162.00331568280001</v>
      </c>
      <c r="AC10" s="5">
        <f t="shared" si="13"/>
        <v>181.18295772645604</v>
      </c>
      <c r="AD10" s="5">
        <f t="shared" si="13"/>
        <v>196.82524134298512</v>
      </c>
      <c r="AE10" s="5">
        <f t="shared" si="13"/>
        <v>210.20495062624488</v>
      </c>
      <c r="AF10" s="5">
        <f t="shared" si="13"/>
        <v>222.29056595801777</v>
      </c>
      <c r="AG10" s="5">
        <f t="shared" si="13"/>
        <v>233.95783605787432</v>
      </c>
      <c r="AH10" s="5">
        <f t="shared" si="13"/>
        <v>246.39185542295678</v>
      </c>
      <c r="AI10" s="5">
        <f t="shared" si="13"/>
        <v>259.65186232415056</v>
      </c>
    </row>
    <row r="11" spans="2:38" s="1" customFormat="1" x14ac:dyDescent="0.3">
      <c r="B11" s="1" t="s">
        <v>20</v>
      </c>
      <c r="C11" s="8">
        <f>C6-C10</f>
        <v>35.1</v>
      </c>
      <c r="D11" s="8">
        <f>D6-D10</f>
        <v>29.199999999999996</v>
      </c>
      <c r="G11" s="8">
        <f>G6-G10</f>
        <v>50</v>
      </c>
      <c r="H11" s="8">
        <f>H6-H10</f>
        <v>54.8</v>
      </c>
      <c r="I11" s="8">
        <f>I6-I10</f>
        <v>57.8</v>
      </c>
      <c r="J11" s="8">
        <f>J6-J10</f>
        <v>60.000000000000014</v>
      </c>
      <c r="K11" s="8">
        <f>K6-K10</f>
        <v>60.099999999999994</v>
      </c>
      <c r="L11" s="8">
        <f>L6-L10</f>
        <v>63.7</v>
      </c>
      <c r="M11" s="8">
        <f>M6-M10</f>
        <v>69.900000000000006</v>
      </c>
      <c r="N11" s="8">
        <f>N6-N10</f>
        <v>85.500000000000028</v>
      </c>
      <c r="O11" s="8">
        <f>O6-O10</f>
        <v>83.300000000000011</v>
      </c>
      <c r="P11" s="8">
        <f>P6-P10</f>
        <v>90.6</v>
      </c>
      <c r="Q11" s="8">
        <f t="shared" ref="Q11:R11" si="14">Q6-Q10</f>
        <v>101.72997000000001</v>
      </c>
      <c r="R11" s="8">
        <f t="shared" si="14"/>
        <v>115.79664000000001</v>
      </c>
      <c r="T11" s="8">
        <f>T6-T10</f>
        <v>65.3</v>
      </c>
      <c r="U11" s="8">
        <f>U6-U10</f>
        <v>89.999999999999986</v>
      </c>
      <c r="V11" s="8">
        <f>V6-V10</f>
        <v>148.60000000000002</v>
      </c>
      <c r="W11" s="8">
        <f>W6-W10</f>
        <v>222.6</v>
      </c>
      <c r="X11" s="8">
        <f>X6-X10</f>
        <v>279.20000000000005</v>
      </c>
      <c r="Y11" s="8">
        <f>Y6-Y10</f>
        <v>391.42660999999998</v>
      </c>
      <c r="Z11" s="8">
        <f t="shared" ref="Z11:AI11" si="15">Z6-Z10</f>
        <v>542.99249699999996</v>
      </c>
      <c r="AA11" s="8">
        <f t="shared" si="15"/>
        <v>711.51852626000004</v>
      </c>
      <c r="AB11" s="8">
        <f t="shared" si="15"/>
        <v>878.08761188520009</v>
      </c>
      <c r="AC11" s="8">
        <f t="shared" si="15"/>
        <v>1020.2799258929041</v>
      </c>
      <c r="AD11" s="8">
        <f t="shared" si="15"/>
        <v>1135.5303982487621</v>
      </c>
      <c r="AE11" s="8">
        <f t="shared" si="15"/>
        <v>1232.2385806073373</v>
      </c>
      <c r="AF11" s="8">
        <f t="shared" si="15"/>
        <v>1319.9032877786362</v>
      </c>
      <c r="AG11" s="8">
        <f t="shared" si="15"/>
        <v>1405.0030820657807</v>
      </c>
      <c r="AH11" s="8">
        <f t="shared" si="15"/>
        <v>1496.2909369829933</v>
      </c>
      <c r="AI11" s="8">
        <f t="shared" si="15"/>
        <v>1594.2700148118652</v>
      </c>
      <c r="AL11" s="10"/>
    </row>
    <row r="12" spans="2:38" x14ac:dyDescent="0.3">
      <c r="B12" t="s">
        <v>21</v>
      </c>
      <c r="C12" s="5">
        <v>25.7</v>
      </c>
      <c r="D12" s="5">
        <v>27</v>
      </c>
      <c r="G12" s="5">
        <v>27.2</v>
      </c>
      <c r="H12" s="5">
        <v>23.2</v>
      </c>
      <c r="I12" s="5">
        <v>24.6</v>
      </c>
      <c r="J12" s="5">
        <f t="shared" ref="J12:J14" si="16">W12-I12-H12-G12</f>
        <v>26.000000000000004</v>
      </c>
      <c r="K12" s="5">
        <v>27.3</v>
      </c>
      <c r="L12" s="5">
        <v>27</v>
      </c>
      <c r="M12" s="5">
        <v>29</v>
      </c>
      <c r="N12" s="5">
        <f>X12-M12-L12-K12</f>
        <v>29.799999999999994</v>
      </c>
      <c r="O12" s="5">
        <v>30.4</v>
      </c>
      <c r="P12" s="5">
        <v>32.299999999999997</v>
      </c>
      <c r="Q12" s="5">
        <f>M12*1.15</f>
        <v>33.349999999999994</v>
      </c>
      <c r="R12" s="5">
        <f>N12*1.15</f>
        <v>34.269999999999989</v>
      </c>
      <c r="T12" s="5">
        <v>39.6</v>
      </c>
      <c r="U12" s="5">
        <v>51</v>
      </c>
      <c r="V12" s="5">
        <v>102.5</v>
      </c>
      <c r="W12" s="5">
        <v>101</v>
      </c>
      <c r="X12" s="5">
        <v>113.1</v>
      </c>
      <c r="Y12" s="5">
        <f t="shared" ref="Y12:Y14" si="17">SUM(O12:R12)</f>
        <v>130.31999999999996</v>
      </c>
      <c r="Z12" s="5">
        <f>Y12*1.2</f>
        <v>156.38399999999996</v>
      </c>
      <c r="AA12" s="5">
        <f>Z12*1.15</f>
        <v>179.84159999999994</v>
      </c>
      <c r="AB12" s="5">
        <f>AA12*1.1</f>
        <v>197.82575999999995</v>
      </c>
      <c r="AC12" s="5">
        <f>AB12*1.1</f>
        <v>217.60833599999995</v>
      </c>
      <c r="AD12" s="5">
        <f t="shared" ref="AD12:AI12" si="18">AC12*1.1</f>
        <v>239.36916959999996</v>
      </c>
      <c r="AE12" s="5">
        <f t="shared" si="18"/>
        <v>263.30608655999998</v>
      </c>
      <c r="AF12" s="5">
        <f t="shared" si="18"/>
        <v>289.63669521600002</v>
      </c>
      <c r="AG12" s="5">
        <f t="shared" si="18"/>
        <v>318.60036473760005</v>
      </c>
      <c r="AH12" s="5">
        <f t="shared" si="18"/>
        <v>350.46040121136008</v>
      </c>
      <c r="AI12" s="5">
        <f t="shared" si="18"/>
        <v>385.50644133249614</v>
      </c>
    </row>
    <row r="13" spans="2:38" x14ac:dyDescent="0.3">
      <c r="B13" t="s">
        <v>22</v>
      </c>
      <c r="C13" s="5">
        <v>23.2</v>
      </c>
      <c r="D13" s="5">
        <v>22.9</v>
      </c>
      <c r="G13" s="5">
        <v>24.3</v>
      </c>
      <c r="H13" s="5">
        <v>23.3</v>
      </c>
      <c r="I13" s="5">
        <v>25.7</v>
      </c>
      <c r="J13" s="5">
        <f t="shared" si="16"/>
        <v>25.799999999999994</v>
      </c>
      <c r="K13" s="5">
        <v>24.7</v>
      </c>
      <c r="L13" s="5">
        <v>24.4</v>
      </c>
      <c r="M13" s="5">
        <v>30.7</v>
      </c>
      <c r="N13" s="5">
        <f>X13-M13-L13-K13</f>
        <v>33.600000000000009</v>
      </c>
      <c r="O13" s="5">
        <v>35.299999999999997</v>
      </c>
      <c r="P13" s="5">
        <v>38.9</v>
      </c>
      <c r="Q13" s="5">
        <f>Q6*0.32</f>
        <v>40.677120000000002</v>
      </c>
      <c r="R13" s="5">
        <f>R6*0.285</f>
        <v>42.936390000000003</v>
      </c>
      <c r="T13" s="5">
        <v>30.2</v>
      </c>
      <c r="U13" s="5">
        <v>47.5</v>
      </c>
      <c r="V13" s="5">
        <v>92.4</v>
      </c>
      <c r="W13" s="5">
        <v>99.1</v>
      </c>
      <c r="X13" s="5">
        <v>113.4</v>
      </c>
      <c r="Y13" s="5">
        <f t="shared" si="17"/>
        <v>157.81351000000001</v>
      </c>
      <c r="Z13" s="5">
        <f>Z6*0.3</f>
        <v>199.76568599999999</v>
      </c>
      <c r="AA13" s="5">
        <f t="shared" ref="AA13:AI13" si="19">AA6*0.3</f>
        <v>255.41533752000001</v>
      </c>
      <c r="AB13" s="5">
        <f t="shared" si="19"/>
        <v>312.02727827040002</v>
      </c>
      <c r="AC13" s="5">
        <f t="shared" si="19"/>
        <v>360.438865085808</v>
      </c>
      <c r="AD13" s="5">
        <f t="shared" si="19"/>
        <v>399.70669187752412</v>
      </c>
      <c r="AE13" s="5">
        <f t="shared" si="19"/>
        <v>432.73305937007467</v>
      </c>
      <c r="AF13" s="5">
        <f t="shared" si="19"/>
        <v>462.65815612099618</v>
      </c>
      <c r="AG13" s="5">
        <f t="shared" si="19"/>
        <v>491.68827543709654</v>
      </c>
      <c r="AH13" s="5">
        <f t="shared" si="19"/>
        <v>522.80483772178502</v>
      </c>
      <c r="AI13" s="5">
        <f t="shared" si="19"/>
        <v>556.17656314080466</v>
      </c>
    </row>
    <row r="14" spans="2:38" x14ac:dyDescent="0.3">
      <c r="B14" t="s">
        <v>23</v>
      </c>
      <c r="C14" s="5">
        <v>13.2</v>
      </c>
      <c r="D14" s="5">
        <v>12.8</v>
      </c>
      <c r="G14" s="5">
        <v>13.2</v>
      </c>
      <c r="H14" s="5">
        <v>12.5</v>
      </c>
      <c r="I14" s="5">
        <v>14.1</v>
      </c>
      <c r="J14" s="5">
        <f t="shared" si="16"/>
        <v>12.8</v>
      </c>
      <c r="K14" s="5">
        <v>14.4</v>
      </c>
      <c r="L14" s="5">
        <v>14.6</v>
      </c>
      <c r="M14" s="5">
        <v>15.2</v>
      </c>
      <c r="N14" s="5">
        <f>X14-M14-L14-K14</f>
        <v>16.5</v>
      </c>
      <c r="O14" s="5">
        <v>15.6</v>
      </c>
      <c r="P14" s="5">
        <v>17.399999999999999</v>
      </c>
      <c r="Q14" s="5">
        <f>M14*1.2</f>
        <v>18.239999999999998</v>
      </c>
      <c r="R14" s="5">
        <f>N14*1.2</f>
        <v>19.8</v>
      </c>
      <c r="T14" s="5">
        <v>12.1</v>
      </c>
      <c r="U14" s="5">
        <v>23.7</v>
      </c>
      <c r="V14" s="5">
        <v>48.1</v>
      </c>
      <c r="W14" s="5">
        <v>52.6</v>
      </c>
      <c r="X14" s="5">
        <v>60.7</v>
      </c>
      <c r="Y14" s="5">
        <f t="shared" si="17"/>
        <v>71.039999999999992</v>
      </c>
      <c r="Z14" s="5">
        <f>Y14*1.15</f>
        <v>81.695999999999984</v>
      </c>
      <c r="AA14" s="5">
        <f>Z14*1.12</f>
        <v>91.49951999999999</v>
      </c>
      <c r="AB14" s="5">
        <f>AA14*1.1</f>
        <v>100.649472</v>
      </c>
      <c r="AC14" s="5">
        <f t="shared" ref="AC14:AI14" si="20">AB14*1.1</f>
        <v>110.71441920000001</v>
      </c>
      <c r="AD14" s="5">
        <f t="shared" si="20"/>
        <v>121.78586112000002</v>
      </c>
      <c r="AE14" s="5">
        <f t="shared" si="20"/>
        <v>133.96444723200003</v>
      </c>
      <c r="AF14" s="5">
        <f t="shared" si="20"/>
        <v>147.36089195520003</v>
      </c>
      <c r="AG14" s="5">
        <f t="shared" si="20"/>
        <v>162.09698115072004</v>
      </c>
      <c r="AH14" s="5">
        <f t="shared" si="20"/>
        <v>178.30667926579207</v>
      </c>
      <c r="AI14" s="5">
        <f t="shared" si="20"/>
        <v>196.13734719237129</v>
      </c>
    </row>
    <row r="15" spans="2:38" x14ac:dyDescent="0.3">
      <c r="B15" t="s">
        <v>24</v>
      </c>
      <c r="C15" s="5">
        <f>SUM(C12:C14)</f>
        <v>62.099999999999994</v>
      </c>
      <c r="D15" s="5">
        <f>SUM(D12:D14)</f>
        <v>62.7</v>
      </c>
      <c r="G15" s="5">
        <f>SUM(G12:G14)</f>
        <v>64.7</v>
      </c>
      <c r="H15" s="5">
        <f>SUM(H12:H14)</f>
        <v>59</v>
      </c>
      <c r="I15" s="5">
        <f>SUM(I12:I14)</f>
        <v>64.399999999999991</v>
      </c>
      <c r="J15" s="5">
        <f>SUM(J12:J14)</f>
        <v>64.599999999999994</v>
      </c>
      <c r="K15" s="5">
        <f>SUM(K12:K14)</f>
        <v>66.400000000000006</v>
      </c>
      <c r="L15" s="5">
        <f>SUM(L12:L14)</f>
        <v>66</v>
      </c>
      <c r="M15" s="5">
        <f>SUM(M12:M14)</f>
        <v>74.900000000000006</v>
      </c>
      <c r="N15" s="5">
        <f>SUM(N12:N14)</f>
        <v>79.900000000000006</v>
      </c>
      <c r="O15" s="5">
        <f>SUM(O12:O14)</f>
        <v>81.299999999999983</v>
      </c>
      <c r="P15" s="5">
        <f>SUM(P12:P14)</f>
        <v>88.6</v>
      </c>
      <c r="Q15" s="5">
        <f t="shared" ref="Q15:R15" si="21">SUM(Q12:Q14)</f>
        <v>92.267119999999991</v>
      </c>
      <c r="R15" s="5">
        <f t="shared" si="21"/>
        <v>97.006389999999996</v>
      </c>
      <c r="T15" s="5">
        <f>SUM(T12:T14)</f>
        <v>81.899999999999991</v>
      </c>
      <c r="U15" s="5">
        <f>SUM(U12:U14)</f>
        <v>122.2</v>
      </c>
      <c r="V15" s="5">
        <f>SUM(V12:V14)</f>
        <v>243</v>
      </c>
      <c r="W15" s="5">
        <f>SUM(W12:W14)</f>
        <v>252.7</v>
      </c>
      <c r="X15" s="5">
        <f>SUM(X12:X14)</f>
        <v>287.2</v>
      </c>
      <c r="Y15" s="5">
        <f>SUM(Y12:Y14)</f>
        <v>359.17350999999996</v>
      </c>
      <c r="Z15" s="5">
        <f t="shared" ref="Z15:AI15" si="22">SUM(Z12:Z14)</f>
        <v>437.84568599999994</v>
      </c>
      <c r="AA15" s="5">
        <f t="shared" si="22"/>
        <v>526.75645751999991</v>
      </c>
      <c r="AB15" s="5">
        <f t="shared" si="22"/>
        <v>610.50251027039997</v>
      </c>
      <c r="AC15" s="5">
        <f t="shared" si="22"/>
        <v>688.76162028580802</v>
      </c>
      <c r="AD15" s="5">
        <f t="shared" si="22"/>
        <v>760.86172259752414</v>
      </c>
      <c r="AE15" s="5">
        <f t="shared" si="22"/>
        <v>830.00359316207471</v>
      </c>
      <c r="AF15" s="5">
        <f t="shared" si="22"/>
        <v>899.65574329219623</v>
      </c>
      <c r="AG15" s="5">
        <f t="shared" si="22"/>
        <v>972.38562132541665</v>
      </c>
      <c r="AH15" s="5">
        <f t="shared" si="22"/>
        <v>1051.5719181989373</v>
      </c>
      <c r="AI15" s="5">
        <f t="shared" si="22"/>
        <v>1137.8203516656722</v>
      </c>
    </row>
    <row r="16" spans="2:38" s="1" customFormat="1" x14ac:dyDescent="0.3">
      <c r="B16" s="1" t="s">
        <v>25</v>
      </c>
      <c r="C16" s="8">
        <f>C11-C15</f>
        <v>-26.999999999999993</v>
      </c>
      <c r="D16" s="8">
        <f>D11-D15</f>
        <v>-33.500000000000007</v>
      </c>
      <c r="G16" s="8">
        <f>G11-G15</f>
        <v>-14.700000000000003</v>
      </c>
      <c r="H16" s="8">
        <f>H11-H15</f>
        <v>-4.2000000000000028</v>
      </c>
      <c r="I16" s="8">
        <f>I11-I15</f>
        <v>-6.5999999999999943</v>
      </c>
      <c r="J16" s="8">
        <f>J11-J15</f>
        <v>-4.5999999999999801</v>
      </c>
      <c r="K16" s="8">
        <f>K11-K15</f>
        <v>-6.3000000000000114</v>
      </c>
      <c r="L16" s="8">
        <f>L11-L15</f>
        <v>-2.2999999999999972</v>
      </c>
      <c r="M16" s="8">
        <f>M11-M15</f>
        <v>-5</v>
      </c>
      <c r="N16" s="8">
        <f>N11-N15</f>
        <v>5.6000000000000227</v>
      </c>
      <c r="O16" s="8">
        <f>O11-O15</f>
        <v>2.0000000000000284</v>
      </c>
      <c r="P16" s="8">
        <f>P11-P15</f>
        <v>2</v>
      </c>
      <c r="Q16" s="8">
        <f t="shared" ref="Q16:R16" si="23">Q11-Q15</f>
        <v>9.4628500000000173</v>
      </c>
      <c r="R16" s="8">
        <f t="shared" si="23"/>
        <v>18.790250000000015</v>
      </c>
      <c r="T16" s="8">
        <f>T11-T15</f>
        <v>-16.599999999999994</v>
      </c>
      <c r="U16" s="8">
        <f>U11-U15</f>
        <v>-32.200000000000017</v>
      </c>
      <c r="V16" s="8">
        <f>V11-V15</f>
        <v>-94.399999999999977</v>
      </c>
      <c r="W16" s="8">
        <f>W11-W15</f>
        <v>-30.099999999999994</v>
      </c>
      <c r="X16" s="8">
        <f>X11-X15</f>
        <v>-7.9999999999999432</v>
      </c>
      <c r="Y16" s="8">
        <f>Y11-Y15</f>
        <v>32.253100000000018</v>
      </c>
      <c r="Z16" s="8">
        <f t="shared" ref="Z16:AI16" si="24">Z11-Z15</f>
        <v>105.14681100000001</v>
      </c>
      <c r="AA16" s="8">
        <f t="shared" si="24"/>
        <v>184.76206874000013</v>
      </c>
      <c r="AB16" s="8">
        <f t="shared" si="24"/>
        <v>267.58510161480012</v>
      </c>
      <c r="AC16" s="8">
        <f t="shared" si="24"/>
        <v>331.51830560709607</v>
      </c>
      <c r="AD16" s="8">
        <f t="shared" si="24"/>
        <v>374.668675651238</v>
      </c>
      <c r="AE16" s="8">
        <f t="shared" si="24"/>
        <v>402.23498744526262</v>
      </c>
      <c r="AF16" s="8">
        <f t="shared" si="24"/>
        <v>420.24754448644001</v>
      </c>
      <c r="AG16" s="8">
        <f t="shared" si="24"/>
        <v>432.61746074036409</v>
      </c>
      <c r="AH16" s="8">
        <f t="shared" si="24"/>
        <v>444.71901878405606</v>
      </c>
      <c r="AI16" s="8">
        <f t="shared" si="24"/>
        <v>456.44966314619296</v>
      </c>
      <c r="AL16" s="10"/>
    </row>
    <row r="17" spans="2:144" x14ac:dyDescent="0.3">
      <c r="B17" t="s">
        <v>26</v>
      </c>
      <c r="C17" s="5">
        <v>-1.9</v>
      </c>
      <c r="D17" s="5">
        <v>-0.4</v>
      </c>
      <c r="G17" s="5">
        <v>-0.9</v>
      </c>
      <c r="H17" s="5">
        <v>-0.1</v>
      </c>
      <c r="I17" s="5">
        <v>0.2</v>
      </c>
      <c r="J17" s="5">
        <f>W17-I17-H17-G17</f>
        <v>-1.6</v>
      </c>
      <c r="K17" s="5">
        <v>2</v>
      </c>
      <c r="L17" s="5">
        <v>3.1</v>
      </c>
      <c r="M17" s="5">
        <v>-7.9</v>
      </c>
      <c r="N17" s="5">
        <f>X17-M17-L17-K17</f>
        <v>-0.60000000000000009</v>
      </c>
      <c r="O17" s="5">
        <v>-2</v>
      </c>
      <c r="P17" s="5">
        <v>-4.5999999999999996</v>
      </c>
      <c r="Q17" s="5">
        <v>0</v>
      </c>
      <c r="R17" s="5">
        <v>0</v>
      </c>
      <c r="T17" s="5">
        <v>-0.3</v>
      </c>
      <c r="U17" s="5">
        <v>1.4</v>
      </c>
      <c r="V17" s="5">
        <v>-3.1</v>
      </c>
      <c r="W17" s="5">
        <v>-2.4</v>
      </c>
      <c r="X17" s="5">
        <v>-3.4</v>
      </c>
      <c r="Y17" s="5">
        <f>SUM(O17:R17)</f>
        <v>-6.6</v>
      </c>
      <c r="Z17" s="5">
        <f>Y17*1.2</f>
        <v>-7.919999999999999</v>
      </c>
      <c r="AA17" s="5">
        <f t="shared" ref="AA17:AI17" si="25">Z17*1.2</f>
        <v>-9.5039999999999978</v>
      </c>
      <c r="AB17" s="5">
        <f t="shared" si="25"/>
        <v>-11.404799999999996</v>
      </c>
      <c r="AC17" s="5">
        <f t="shared" si="25"/>
        <v>-13.685759999999995</v>
      </c>
      <c r="AD17" s="5">
        <f t="shared" si="25"/>
        <v>-16.422911999999993</v>
      </c>
      <c r="AE17" s="5">
        <f t="shared" si="25"/>
        <v>-19.707494399999991</v>
      </c>
      <c r="AF17" s="5">
        <f t="shared" si="25"/>
        <v>-23.648993279999988</v>
      </c>
      <c r="AG17" s="5">
        <f t="shared" si="25"/>
        <v>-28.378791935999985</v>
      </c>
      <c r="AH17" s="5">
        <f t="shared" si="25"/>
        <v>-34.054550323199983</v>
      </c>
      <c r="AI17" s="5">
        <f t="shared" si="25"/>
        <v>-40.865460387839981</v>
      </c>
    </row>
    <row r="18" spans="2:144" s="1" customFormat="1" x14ac:dyDescent="0.3">
      <c r="B18" s="1" t="s">
        <v>27</v>
      </c>
      <c r="C18" s="8">
        <f>C16-C17</f>
        <v>-25.099999999999994</v>
      </c>
      <c r="D18" s="8">
        <f>D16-D17</f>
        <v>-33.100000000000009</v>
      </c>
      <c r="G18" s="8">
        <f>G16-G17</f>
        <v>-13.800000000000002</v>
      </c>
      <c r="H18" s="8">
        <f>H16-H17</f>
        <v>-4.1000000000000032</v>
      </c>
      <c r="I18" s="8">
        <f>I16-I17</f>
        <v>-6.7999999999999945</v>
      </c>
      <c r="J18" s="8">
        <f>J16-J17</f>
        <v>-2.99999999999998</v>
      </c>
      <c r="K18" s="8">
        <f>K16-K17</f>
        <v>-8.3000000000000114</v>
      </c>
      <c r="L18" s="8">
        <f>L16-L17</f>
        <v>-5.3999999999999968</v>
      </c>
      <c r="M18" s="8">
        <f>M16-M17</f>
        <v>2.9000000000000004</v>
      </c>
      <c r="N18" s="8">
        <f>N16-N17</f>
        <v>6.2000000000000224</v>
      </c>
      <c r="O18" s="8">
        <f>O16-O17</f>
        <v>4.0000000000000284</v>
      </c>
      <c r="P18" s="8">
        <f>P16-P17</f>
        <v>6.6</v>
      </c>
      <c r="Q18" s="8">
        <f t="shared" ref="Q18:R18" si="26">Q16-Q17</f>
        <v>9.4628500000000173</v>
      </c>
      <c r="R18" s="8">
        <f t="shared" si="26"/>
        <v>18.790250000000015</v>
      </c>
      <c r="T18" s="8">
        <f>T16-T17</f>
        <v>-16.299999999999994</v>
      </c>
      <c r="U18" s="8">
        <f>U16-U17</f>
        <v>-33.600000000000016</v>
      </c>
      <c r="V18" s="8">
        <f>V16-V17</f>
        <v>-91.299999999999983</v>
      </c>
      <c r="W18" s="8">
        <f>W16-W17</f>
        <v>-27.699999999999996</v>
      </c>
      <c r="X18" s="8">
        <f>X16-X17</f>
        <v>-4.5999999999999428</v>
      </c>
      <c r="Y18" s="8">
        <f>Y16-Y17</f>
        <v>38.853100000000019</v>
      </c>
      <c r="Z18" s="8">
        <f t="shared" ref="Z18:AI18" si="27">Z16-Z17</f>
        <v>113.06681100000002</v>
      </c>
      <c r="AA18" s="8">
        <f t="shared" si="27"/>
        <v>194.26606874000012</v>
      </c>
      <c r="AB18" s="8">
        <f t="shared" si="27"/>
        <v>278.98990161480015</v>
      </c>
      <c r="AC18" s="8">
        <f t="shared" si="27"/>
        <v>345.20406560709608</v>
      </c>
      <c r="AD18" s="8">
        <f t="shared" si="27"/>
        <v>391.091587651238</v>
      </c>
      <c r="AE18" s="8">
        <f t="shared" si="27"/>
        <v>421.94248184526259</v>
      </c>
      <c r="AF18" s="8">
        <f t="shared" si="27"/>
        <v>443.89653776644002</v>
      </c>
      <c r="AG18" s="8">
        <f t="shared" si="27"/>
        <v>460.99625267636407</v>
      </c>
      <c r="AH18" s="8">
        <f t="shared" si="27"/>
        <v>478.77356910725604</v>
      </c>
      <c r="AI18" s="8">
        <f t="shared" si="27"/>
        <v>497.31512353403292</v>
      </c>
      <c r="AL18" s="10"/>
    </row>
    <row r="19" spans="2:144" x14ac:dyDescent="0.3">
      <c r="B19" t="s">
        <v>28</v>
      </c>
      <c r="C19" s="5">
        <v>0.1</v>
      </c>
      <c r="D19" s="5">
        <v>-0.1</v>
      </c>
      <c r="G19" s="5">
        <v>0.1</v>
      </c>
      <c r="H19" s="5">
        <v>0.3</v>
      </c>
      <c r="I19" s="5">
        <v>-0.2</v>
      </c>
      <c r="J19" s="5">
        <f>W19-I19-H19-G19</f>
        <v>0.4</v>
      </c>
      <c r="K19" s="5">
        <v>1.4</v>
      </c>
      <c r="L19" s="5">
        <v>5.5</v>
      </c>
      <c r="M19" s="5">
        <v>-4.7</v>
      </c>
      <c r="N19" s="5">
        <f>X19-M19-L19-K19</f>
        <v>-2.2999999999999994</v>
      </c>
      <c r="O19" s="5">
        <v>-0.2</v>
      </c>
      <c r="P19" s="5">
        <v>-0.4</v>
      </c>
      <c r="Q19" s="5">
        <f>Q18*0.1</f>
        <v>0.94628500000000182</v>
      </c>
      <c r="R19" s="5">
        <f>R18*0.1</f>
        <v>1.8790250000000015</v>
      </c>
      <c r="T19" s="5">
        <v>0</v>
      </c>
      <c r="U19" s="5">
        <v>-0.1</v>
      </c>
      <c r="V19" s="5">
        <v>0.3</v>
      </c>
      <c r="W19" s="5">
        <v>0.6</v>
      </c>
      <c r="X19" s="5">
        <v>-0.1</v>
      </c>
      <c r="Y19" s="5">
        <f>SUM(O19:R19)</f>
        <v>2.225310000000003</v>
      </c>
      <c r="Z19" s="5">
        <f>Z18*0.15</f>
        <v>16.960021650000002</v>
      </c>
      <c r="AA19" s="5">
        <f t="shared" ref="AA19:AI19" si="28">AA18*0.15</f>
        <v>29.139910311000015</v>
      </c>
      <c r="AB19" s="5">
        <f t="shared" si="28"/>
        <v>41.848485242220022</v>
      </c>
      <c r="AC19" s="5">
        <f t="shared" si="28"/>
        <v>51.780609841064411</v>
      </c>
      <c r="AD19" s="5">
        <f t="shared" si="28"/>
        <v>58.663738147685699</v>
      </c>
      <c r="AE19" s="5">
        <f t="shared" si="28"/>
        <v>63.291372276789389</v>
      </c>
      <c r="AF19" s="5">
        <f t="shared" si="28"/>
        <v>66.584480664965994</v>
      </c>
      <c r="AG19" s="5">
        <f t="shared" si="28"/>
        <v>69.149437901454604</v>
      </c>
      <c r="AH19" s="5">
        <f t="shared" si="28"/>
        <v>71.8160353660884</v>
      </c>
      <c r="AI19" s="5">
        <f t="shared" si="28"/>
        <v>74.597268530104941</v>
      </c>
    </row>
    <row r="20" spans="2:144" s="1" customFormat="1" x14ac:dyDescent="0.3">
      <c r="B20" s="1" t="s">
        <v>29</v>
      </c>
      <c r="C20" s="8">
        <f>C18-C19</f>
        <v>-25.199999999999996</v>
      </c>
      <c r="D20" s="8">
        <f>D18-D19</f>
        <v>-33.000000000000007</v>
      </c>
      <c r="G20" s="8">
        <f>G18-G19</f>
        <v>-13.900000000000002</v>
      </c>
      <c r="H20" s="8">
        <f>H18-H19</f>
        <v>-4.400000000000003</v>
      </c>
      <c r="I20" s="8">
        <f>I18-I19</f>
        <v>-6.5999999999999943</v>
      </c>
      <c r="J20" s="8">
        <f>J18-J19</f>
        <v>-3.3999999999999799</v>
      </c>
      <c r="K20" s="8">
        <f>K18-K19</f>
        <v>-9.7000000000000117</v>
      </c>
      <c r="L20" s="8">
        <f>L18-L19</f>
        <v>-10.899999999999997</v>
      </c>
      <c r="M20" s="8">
        <f>M18-M19</f>
        <v>7.6000000000000005</v>
      </c>
      <c r="N20" s="8">
        <f>N18-N19</f>
        <v>8.5000000000000213</v>
      </c>
      <c r="O20" s="8">
        <f>O18-O19</f>
        <v>4.2000000000000286</v>
      </c>
      <c r="P20" s="8">
        <f>P18-P19</f>
        <v>7</v>
      </c>
      <c r="Q20" s="8">
        <f t="shared" ref="Q20:R20" si="29">Q18-Q19</f>
        <v>8.5165650000000159</v>
      </c>
      <c r="R20" s="8">
        <f t="shared" si="29"/>
        <v>16.911225000000012</v>
      </c>
      <c r="T20" s="8">
        <f>T18-T19</f>
        <v>-16.299999999999994</v>
      </c>
      <c r="U20" s="8">
        <f>U18-U19</f>
        <v>-33.500000000000014</v>
      </c>
      <c r="V20" s="8">
        <f>V18-V19</f>
        <v>-91.59999999999998</v>
      </c>
      <c r="W20" s="8">
        <f>W18-W19</f>
        <v>-28.299999999999997</v>
      </c>
      <c r="X20" s="8">
        <f>X18-X19</f>
        <v>-4.4999999999999432</v>
      </c>
      <c r="Y20" s="8">
        <f>Y18-Y19</f>
        <v>36.627790000000019</v>
      </c>
      <c r="Z20" s="8">
        <f>Z18-Z19</f>
        <v>96.106789350000014</v>
      </c>
      <c r="AA20" s="8">
        <f t="shared" ref="AA20:AI20" si="30">AA18-AA19</f>
        <v>165.1261584290001</v>
      </c>
      <c r="AB20" s="8">
        <f t="shared" si="30"/>
        <v>237.14141637258012</v>
      </c>
      <c r="AC20" s="8">
        <f t="shared" si="30"/>
        <v>293.42345576603168</v>
      </c>
      <c r="AD20" s="8">
        <f t="shared" si="30"/>
        <v>332.4278495035523</v>
      </c>
      <c r="AE20" s="8">
        <f t="shared" si="30"/>
        <v>358.6511095684732</v>
      </c>
      <c r="AF20" s="8">
        <f t="shared" si="30"/>
        <v>377.31205710147401</v>
      </c>
      <c r="AG20" s="8">
        <f t="shared" si="30"/>
        <v>391.84681477490949</v>
      </c>
      <c r="AH20" s="8">
        <f t="shared" si="30"/>
        <v>406.95753374116765</v>
      </c>
      <c r="AI20" s="8">
        <f t="shared" si="30"/>
        <v>422.71785500392798</v>
      </c>
      <c r="AJ20" s="1">
        <f>AI20*(1+$AL$26)</f>
        <v>418.49067645388868</v>
      </c>
      <c r="AK20" s="1">
        <f t="shared" ref="AK20:CV20" si="31">AJ20*(1+$AL$26)</f>
        <v>414.3057696893498</v>
      </c>
      <c r="AL20" s="10">
        <f t="shared" si="31"/>
        <v>410.16271199245631</v>
      </c>
      <c r="AM20" s="1">
        <f t="shared" si="31"/>
        <v>406.06108487253175</v>
      </c>
      <c r="AN20" s="1">
        <f t="shared" si="31"/>
        <v>402.00047402380642</v>
      </c>
      <c r="AO20" s="1">
        <f t="shared" si="31"/>
        <v>397.98046928356837</v>
      </c>
      <c r="AP20" s="1">
        <f t="shared" si="31"/>
        <v>394.0006645907327</v>
      </c>
      <c r="AQ20" s="1">
        <f t="shared" si="31"/>
        <v>390.06065794482538</v>
      </c>
      <c r="AR20" s="1">
        <f t="shared" si="31"/>
        <v>386.16005136537711</v>
      </c>
      <c r="AS20" s="1">
        <f t="shared" si="31"/>
        <v>382.29845085172332</v>
      </c>
      <c r="AT20" s="1">
        <f t="shared" si="31"/>
        <v>378.47546634320611</v>
      </c>
      <c r="AU20" s="1">
        <f t="shared" si="31"/>
        <v>374.69071167977404</v>
      </c>
      <c r="AV20" s="1">
        <f t="shared" si="31"/>
        <v>370.94380456297631</v>
      </c>
      <c r="AW20" s="1">
        <f t="shared" si="31"/>
        <v>367.23436651734653</v>
      </c>
      <c r="AX20" s="1">
        <f t="shared" si="31"/>
        <v>363.56202285217307</v>
      </c>
      <c r="AY20" s="1">
        <f t="shared" si="31"/>
        <v>359.92640262365131</v>
      </c>
      <c r="AZ20" s="1">
        <f t="shared" si="31"/>
        <v>356.32713859741477</v>
      </c>
      <c r="BA20" s="1">
        <f t="shared" si="31"/>
        <v>352.76386721144064</v>
      </c>
      <c r="BB20" s="1">
        <f t="shared" si="31"/>
        <v>349.23622853932625</v>
      </c>
      <c r="BC20" s="1">
        <f t="shared" si="31"/>
        <v>345.74386625393299</v>
      </c>
      <c r="BD20" s="1">
        <f t="shared" si="31"/>
        <v>342.28642759139365</v>
      </c>
      <c r="BE20" s="1">
        <f t="shared" si="31"/>
        <v>338.86356331547972</v>
      </c>
      <c r="BF20" s="1">
        <f t="shared" si="31"/>
        <v>335.4749276823249</v>
      </c>
      <c r="BG20" s="1">
        <f t="shared" si="31"/>
        <v>332.12017840550163</v>
      </c>
      <c r="BH20" s="1">
        <f t="shared" si="31"/>
        <v>328.79897662144663</v>
      </c>
      <c r="BI20" s="1">
        <f t="shared" si="31"/>
        <v>325.51098685523215</v>
      </c>
      <c r="BJ20" s="1">
        <f t="shared" si="31"/>
        <v>322.25587698667982</v>
      </c>
      <c r="BK20" s="1">
        <f t="shared" si="31"/>
        <v>319.03331821681303</v>
      </c>
      <c r="BL20" s="1">
        <f t="shared" si="31"/>
        <v>315.84298503464487</v>
      </c>
      <c r="BM20" s="1">
        <f t="shared" si="31"/>
        <v>312.6845551842984</v>
      </c>
      <c r="BN20" s="1">
        <f t="shared" si="31"/>
        <v>309.55770963245544</v>
      </c>
      <c r="BO20" s="1">
        <f t="shared" si="31"/>
        <v>306.46213253613087</v>
      </c>
      <c r="BP20" s="1">
        <f t="shared" si="31"/>
        <v>303.39751121076955</v>
      </c>
      <c r="BQ20" s="1">
        <f t="shared" si="31"/>
        <v>300.36353609866183</v>
      </c>
      <c r="BR20" s="1">
        <f t="shared" si="31"/>
        <v>297.35990073767522</v>
      </c>
      <c r="BS20" s="1">
        <f t="shared" si="31"/>
        <v>294.38630173029844</v>
      </c>
      <c r="BT20" s="1">
        <f t="shared" si="31"/>
        <v>291.44243871299545</v>
      </c>
      <c r="BU20" s="1">
        <f t="shared" si="31"/>
        <v>288.52801432586551</v>
      </c>
      <c r="BV20" s="1">
        <f t="shared" si="31"/>
        <v>285.64273418260683</v>
      </c>
      <c r="BW20" s="1">
        <f t="shared" si="31"/>
        <v>282.78630684078075</v>
      </c>
      <c r="BX20" s="1">
        <f t="shared" si="31"/>
        <v>279.95844377237296</v>
      </c>
      <c r="BY20" s="1">
        <f t="shared" si="31"/>
        <v>277.15885933464921</v>
      </c>
      <c r="BZ20" s="1">
        <f t="shared" si="31"/>
        <v>274.3872707413027</v>
      </c>
      <c r="CA20" s="1">
        <f t="shared" si="31"/>
        <v>271.6433980338897</v>
      </c>
      <c r="CB20" s="1">
        <f t="shared" si="31"/>
        <v>268.92696405355082</v>
      </c>
      <c r="CC20" s="1">
        <f t="shared" si="31"/>
        <v>266.23769441301533</v>
      </c>
      <c r="CD20" s="1">
        <f t="shared" si="31"/>
        <v>263.5753174688852</v>
      </c>
      <c r="CE20" s="1">
        <f t="shared" si="31"/>
        <v>260.93956429419637</v>
      </c>
      <c r="CF20" s="1">
        <f t="shared" si="31"/>
        <v>258.33016865125438</v>
      </c>
      <c r="CG20" s="1">
        <f t="shared" si="31"/>
        <v>255.74686696474183</v>
      </c>
      <c r="CH20" s="1">
        <f t="shared" si="31"/>
        <v>253.18939829509441</v>
      </c>
      <c r="CI20" s="1">
        <f t="shared" si="31"/>
        <v>250.65750431214346</v>
      </c>
      <c r="CJ20" s="1">
        <f t="shared" si="31"/>
        <v>248.15092926902201</v>
      </c>
      <c r="CK20" s="1">
        <f t="shared" si="31"/>
        <v>245.6694199763318</v>
      </c>
      <c r="CL20" s="1">
        <f t="shared" si="31"/>
        <v>243.21272577656848</v>
      </c>
      <c r="CM20" s="1">
        <f t="shared" si="31"/>
        <v>240.78059851880278</v>
      </c>
      <c r="CN20" s="1">
        <f t="shared" si="31"/>
        <v>238.37279253361476</v>
      </c>
      <c r="CO20" s="1">
        <f t="shared" si="31"/>
        <v>235.9890646082786</v>
      </c>
      <c r="CP20" s="1">
        <f t="shared" si="31"/>
        <v>233.62917396219581</v>
      </c>
      <c r="CQ20" s="1">
        <f t="shared" si="31"/>
        <v>231.29288222257384</v>
      </c>
      <c r="CR20" s="1">
        <f t="shared" si="31"/>
        <v>228.97995340034811</v>
      </c>
      <c r="CS20" s="1">
        <f t="shared" si="31"/>
        <v>226.69015386634462</v>
      </c>
      <c r="CT20" s="1">
        <f t="shared" si="31"/>
        <v>224.42325232768115</v>
      </c>
      <c r="CU20" s="1">
        <f t="shared" si="31"/>
        <v>222.17901980440433</v>
      </c>
      <c r="CV20" s="1">
        <f t="shared" si="31"/>
        <v>219.9572296063603</v>
      </c>
      <c r="CW20" s="1">
        <f t="shared" ref="CW20:EN20" si="32">CV20*(1+$AL$26)</f>
        <v>217.75765731029671</v>
      </c>
      <c r="CX20" s="1">
        <f t="shared" si="32"/>
        <v>215.58008073719373</v>
      </c>
      <c r="CY20" s="1">
        <f t="shared" si="32"/>
        <v>213.42427992982178</v>
      </c>
      <c r="CZ20" s="1">
        <f t="shared" si="32"/>
        <v>211.29003713052356</v>
      </c>
      <c r="DA20" s="1">
        <f t="shared" si="32"/>
        <v>209.17713675921831</v>
      </c>
      <c r="DB20" s="1">
        <f t="shared" si="32"/>
        <v>207.08536539162614</v>
      </c>
      <c r="DC20" s="1">
        <f t="shared" si="32"/>
        <v>205.01451173770988</v>
      </c>
      <c r="DD20" s="1">
        <f t="shared" si="32"/>
        <v>202.96436662033278</v>
      </c>
      <c r="DE20" s="1">
        <f t="shared" si="32"/>
        <v>200.93472295412946</v>
      </c>
      <c r="DF20" s="1">
        <f t="shared" si="32"/>
        <v>198.92537572458815</v>
      </c>
      <c r="DG20" s="1">
        <f t="shared" si="32"/>
        <v>196.93612196734227</v>
      </c>
      <c r="DH20" s="1">
        <f t="shared" si="32"/>
        <v>194.96676074766884</v>
      </c>
      <c r="DI20" s="1">
        <f t="shared" si="32"/>
        <v>193.01709314019215</v>
      </c>
      <c r="DJ20" s="1">
        <f t="shared" si="32"/>
        <v>191.08692220879021</v>
      </c>
      <c r="DK20" s="1">
        <f t="shared" si="32"/>
        <v>189.1760529867023</v>
      </c>
      <c r="DL20" s="1">
        <f t="shared" si="32"/>
        <v>187.28429245683529</v>
      </c>
      <c r="DM20" s="1">
        <f t="shared" si="32"/>
        <v>185.41144953226694</v>
      </c>
      <c r="DN20" s="1">
        <f t="shared" si="32"/>
        <v>183.55733503694427</v>
      </c>
      <c r="DO20" s="1">
        <f t="shared" si="32"/>
        <v>181.72176168657481</v>
      </c>
      <c r="DP20" s="1">
        <f t="shared" si="32"/>
        <v>179.90454406970906</v>
      </c>
      <c r="DQ20" s="1">
        <f t="shared" si="32"/>
        <v>178.10549862901198</v>
      </c>
      <c r="DR20" s="1">
        <f t="shared" si="32"/>
        <v>176.32444364272186</v>
      </c>
      <c r="DS20" s="1">
        <f t="shared" si="32"/>
        <v>174.56119920629465</v>
      </c>
      <c r="DT20" s="1">
        <f t="shared" si="32"/>
        <v>172.8155872142317</v>
      </c>
      <c r="DU20" s="1">
        <f t="shared" si="32"/>
        <v>171.08743134208939</v>
      </c>
      <c r="DV20" s="1">
        <f t="shared" si="32"/>
        <v>169.37655702866849</v>
      </c>
      <c r="DW20" s="1">
        <f t="shared" si="32"/>
        <v>167.68279145838179</v>
      </c>
      <c r="DX20" s="1">
        <f t="shared" si="32"/>
        <v>166.00596354379798</v>
      </c>
      <c r="DY20" s="1">
        <f t="shared" si="32"/>
        <v>164.34590390835999</v>
      </c>
      <c r="DZ20" s="1">
        <f t="shared" si="32"/>
        <v>162.70244486927638</v>
      </c>
      <c r="EA20" s="1">
        <f t="shared" si="32"/>
        <v>161.07542042058361</v>
      </c>
      <c r="EB20" s="1">
        <f t="shared" si="32"/>
        <v>159.46466621637776</v>
      </c>
      <c r="EC20" s="1">
        <f t="shared" si="32"/>
        <v>157.870019554214</v>
      </c>
      <c r="ED20" s="1">
        <f t="shared" si="32"/>
        <v>156.29131935867184</v>
      </c>
      <c r="EE20" s="1">
        <f t="shared" si="32"/>
        <v>154.72840616508512</v>
      </c>
      <c r="EF20" s="1">
        <f t="shared" si="32"/>
        <v>153.18112210343426</v>
      </c>
      <c r="EG20" s="1">
        <f t="shared" si="32"/>
        <v>151.64931088239993</v>
      </c>
      <c r="EH20" s="1">
        <f t="shared" si="32"/>
        <v>150.13281777357594</v>
      </c>
      <c r="EI20" s="1">
        <f t="shared" si="32"/>
        <v>148.63148959584018</v>
      </c>
      <c r="EJ20" s="1">
        <f t="shared" si="32"/>
        <v>147.14517469988178</v>
      </c>
      <c r="EK20" s="1">
        <f t="shared" si="32"/>
        <v>145.67372295288297</v>
      </c>
      <c r="EL20" s="1">
        <f t="shared" si="32"/>
        <v>144.21698572335413</v>
      </c>
      <c r="EM20" s="1">
        <f t="shared" si="32"/>
        <v>142.77481586612058</v>
      </c>
      <c r="EN20" s="1">
        <f t="shared" si="32"/>
        <v>141.34706770745936</v>
      </c>
    </row>
    <row r="21" spans="2:144" x14ac:dyDescent="0.3">
      <c r="B21" t="s">
        <v>2</v>
      </c>
      <c r="C21" s="5">
        <f>77.5</f>
        <v>77.5</v>
      </c>
      <c r="D21" s="5">
        <f>77.5</f>
        <v>77.5</v>
      </c>
      <c r="G21" s="5">
        <f>77.5</f>
        <v>77.5</v>
      </c>
      <c r="H21" s="5">
        <f>77.5</f>
        <v>77.5</v>
      </c>
      <c r="I21" s="5">
        <f>77.5</f>
        <v>77.5</v>
      </c>
      <c r="J21" s="5">
        <f>77.5</f>
        <v>77.5</v>
      </c>
      <c r="K21" s="5">
        <f>77.5</f>
        <v>77.5</v>
      </c>
      <c r="L21" s="5">
        <f>77.5</f>
        <v>77.5</v>
      </c>
      <c r="M21" s="5">
        <f>77.5</f>
        <v>77.5</v>
      </c>
      <c r="N21" s="5">
        <f>77.5</f>
        <v>77.5</v>
      </c>
      <c r="O21" s="5">
        <f>77.5</f>
        <v>77.5</v>
      </c>
      <c r="P21" s="5">
        <f>77.5</f>
        <v>77.5</v>
      </c>
      <c r="Q21" s="5">
        <f t="shared" ref="Q21:R21" si="33">77.5</f>
        <v>77.5</v>
      </c>
      <c r="R21" s="5">
        <f t="shared" si="33"/>
        <v>77.5</v>
      </c>
      <c r="T21" s="5">
        <f>77.5</f>
        <v>77.5</v>
      </c>
      <c r="U21" s="5">
        <f>77.5</f>
        <v>77.5</v>
      </c>
      <c r="V21" s="5">
        <f>77.5</f>
        <v>77.5</v>
      </c>
      <c r="W21" s="5">
        <f>77.5</f>
        <v>77.5</v>
      </c>
      <c r="X21" s="5">
        <f>77.5</f>
        <v>77.5</v>
      </c>
      <c r="Y21" s="5">
        <f>77.5</f>
        <v>77.5</v>
      </c>
      <c r="Z21" s="5">
        <f>77.5</f>
        <v>77.5</v>
      </c>
      <c r="AA21" s="5">
        <f t="shared" ref="AA21:AI21" si="34">77.5</f>
        <v>77.5</v>
      </c>
      <c r="AB21" s="5">
        <f t="shared" si="34"/>
        <v>77.5</v>
      </c>
      <c r="AC21" s="5">
        <f t="shared" si="34"/>
        <v>77.5</v>
      </c>
      <c r="AD21" s="5">
        <f t="shared" si="34"/>
        <v>77.5</v>
      </c>
      <c r="AE21" s="5">
        <f t="shared" si="34"/>
        <v>77.5</v>
      </c>
      <c r="AF21" s="5">
        <f t="shared" si="34"/>
        <v>77.5</v>
      </c>
      <c r="AG21" s="5">
        <f t="shared" si="34"/>
        <v>77.5</v>
      </c>
      <c r="AH21" s="5">
        <f t="shared" si="34"/>
        <v>77.5</v>
      </c>
      <c r="AI21" s="5">
        <f t="shared" si="34"/>
        <v>77.5</v>
      </c>
    </row>
    <row r="22" spans="2:144" x14ac:dyDescent="0.3">
      <c r="B22" t="s">
        <v>30</v>
      </c>
      <c r="C22" s="7">
        <f>C20/C21</f>
        <v>-0.32516129032258057</v>
      </c>
      <c r="D22" s="7">
        <f>D20/D21</f>
        <v>-0.42580645161290331</v>
      </c>
      <c r="G22" s="7">
        <f>G20/G21</f>
        <v>-0.17935483870967744</v>
      </c>
      <c r="H22" s="7">
        <f>H20/H21</f>
        <v>-5.6774193548387135E-2</v>
      </c>
      <c r="I22" s="7">
        <f>I20/I21</f>
        <v>-8.5161290322580574E-2</v>
      </c>
      <c r="J22" s="7">
        <f>J20/J21</f>
        <v>-4.3870967741935225E-2</v>
      </c>
      <c r="K22" s="7">
        <f>K20/K21</f>
        <v>-0.1251612903225808</v>
      </c>
      <c r="L22" s="7">
        <f>L20/L21</f>
        <v>-0.14064516129032253</v>
      </c>
      <c r="M22" s="7">
        <f>M20/M21</f>
        <v>9.8064516129032261E-2</v>
      </c>
      <c r="N22" s="7">
        <f>N20/N21</f>
        <v>0.10967741935483899</v>
      </c>
      <c r="O22" s="7">
        <f>O20/O21</f>
        <v>5.419354838709714E-2</v>
      </c>
      <c r="P22" s="7">
        <f>P20/P21</f>
        <v>9.0322580645161285E-2</v>
      </c>
      <c r="Q22" s="7">
        <f t="shared" ref="Q22:R22" si="35">Q20/Q21</f>
        <v>0.10989116129032278</v>
      </c>
      <c r="R22" s="7">
        <f t="shared" si="35"/>
        <v>0.21820935483870985</v>
      </c>
      <c r="T22" s="7">
        <f>T20/T21</f>
        <v>-0.21032258064516121</v>
      </c>
      <c r="U22" s="7">
        <f>U20/U21</f>
        <v>-0.43225806451612919</v>
      </c>
      <c r="V22" s="7">
        <f>V20/V21</f>
        <v>-1.1819354838709675</v>
      </c>
      <c r="W22" s="7">
        <f>W20/W21</f>
        <v>-0.3651612903225806</v>
      </c>
      <c r="X22" s="7">
        <f>X20/X21</f>
        <v>-5.8064516129031525E-2</v>
      </c>
      <c r="Y22" s="7">
        <f>Y20/Y21</f>
        <v>0.47261664516129054</v>
      </c>
      <c r="Z22" s="7">
        <f>Z20/Z21</f>
        <v>1.2400876045161293</v>
      </c>
      <c r="AA22" s="7">
        <f t="shared" ref="AA22:AI22" si="36">AA20/AA21</f>
        <v>2.1306601087612917</v>
      </c>
      <c r="AB22" s="7">
        <f t="shared" si="36"/>
        <v>3.059889243517163</v>
      </c>
      <c r="AC22" s="7">
        <f t="shared" si="36"/>
        <v>3.7861091066584733</v>
      </c>
      <c r="AD22" s="7">
        <f t="shared" si="36"/>
        <v>4.2893916064974489</v>
      </c>
      <c r="AE22" s="7">
        <f t="shared" si="36"/>
        <v>4.6277562524964289</v>
      </c>
      <c r="AF22" s="7">
        <f t="shared" si="36"/>
        <v>4.8685426722770844</v>
      </c>
      <c r="AG22" s="7">
        <f t="shared" si="36"/>
        <v>5.0560879325794774</v>
      </c>
      <c r="AH22" s="7">
        <f t="shared" si="36"/>
        <v>5.2510649514989378</v>
      </c>
      <c r="AI22" s="7">
        <f t="shared" si="36"/>
        <v>5.454423935534555</v>
      </c>
    </row>
    <row r="24" spans="2:144" x14ac:dyDescent="0.3">
      <c r="B24" t="s">
        <v>46</v>
      </c>
      <c r="C24" s="9"/>
      <c r="D24" s="9"/>
      <c r="G24" s="9">
        <f t="shared" ref="G24:O27" si="37">G3/C3-1</f>
        <v>0.5619335347432024</v>
      </c>
      <c r="H24" s="9">
        <f t="shared" si="37"/>
        <v>0.46388888888888902</v>
      </c>
      <c r="I24" s="9"/>
      <c r="J24" s="9"/>
      <c r="K24" s="9">
        <f t="shared" si="37"/>
        <v>0.1914893617021276</v>
      </c>
      <c r="L24" s="9">
        <f t="shared" si="37"/>
        <v>0.24667931688804545</v>
      </c>
      <c r="M24" s="9">
        <f t="shared" si="37"/>
        <v>0.26855123674911652</v>
      </c>
      <c r="N24" s="9">
        <f t="shared" si="37"/>
        <v>0.31605351170568574</v>
      </c>
      <c r="O24" s="9">
        <f t="shared" si="37"/>
        <v>0.32954545454545459</v>
      </c>
      <c r="P24" s="9">
        <f>P3/L3-1</f>
        <v>0.34855403348554015</v>
      </c>
      <c r="Q24" s="9">
        <f t="shared" ref="Q24:R27" si="38">Q3/M3-1</f>
        <v>0.35000000000000009</v>
      </c>
      <c r="R24" s="9">
        <f t="shared" si="38"/>
        <v>0.32000000000000006</v>
      </c>
      <c r="T24" s="9"/>
      <c r="U24" s="9">
        <f t="shared" ref="T24:W27" si="39">U3/T3-1</f>
        <v>0.48034188034188019</v>
      </c>
      <c r="V24" s="9">
        <f t="shared" si="39"/>
        <v>0.77020785219399568</v>
      </c>
      <c r="W24" s="9">
        <f t="shared" si="39"/>
        <v>0.44031311154598818</v>
      </c>
      <c r="X24" s="9">
        <f>X3/W3-1</f>
        <v>0.25815217391304346</v>
      </c>
      <c r="Y24" s="9">
        <f t="shared" ref="Y24:AI24" si="40">Y3/X3-1</f>
        <v>0.33662347012239024</v>
      </c>
      <c r="Z24" s="9">
        <f t="shared" si="40"/>
        <v>0.30000000000000004</v>
      </c>
      <c r="AA24" s="9">
        <f t="shared" si="40"/>
        <v>0.25</v>
      </c>
      <c r="AB24" s="9">
        <f t="shared" si="40"/>
        <v>0.19999999999999996</v>
      </c>
      <c r="AC24" s="9">
        <f t="shared" si="40"/>
        <v>0.14999999999999991</v>
      </c>
      <c r="AD24" s="9">
        <f t="shared" si="40"/>
        <v>0.10000000000000009</v>
      </c>
      <c r="AE24" s="9">
        <f t="shared" si="40"/>
        <v>8.0000000000000071E-2</v>
      </c>
      <c r="AF24" s="9">
        <f t="shared" si="40"/>
        <v>6.0000000000000053E-2</v>
      </c>
      <c r="AG24" s="9">
        <f t="shared" si="40"/>
        <v>5.0000000000000044E-2</v>
      </c>
      <c r="AH24" s="9">
        <f t="shared" si="40"/>
        <v>5.0000000000000044E-2</v>
      </c>
      <c r="AI24" s="9">
        <f t="shared" si="40"/>
        <v>5.0000000000000044E-2</v>
      </c>
    </row>
    <row r="25" spans="2:144" x14ac:dyDescent="0.3">
      <c r="B25" t="s">
        <v>47</v>
      </c>
      <c r="C25" s="9"/>
      <c r="D25" s="9"/>
      <c r="G25" s="9">
        <f t="shared" si="37"/>
        <v>4.1666666666666741E-2</v>
      </c>
      <c r="H25" s="9">
        <f t="shared" si="37"/>
        <v>0.70588235294117641</v>
      </c>
      <c r="I25" s="9"/>
      <c r="J25" s="9"/>
      <c r="K25" s="9">
        <f t="shared" si="37"/>
        <v>2.0000000000000018E-2</v>
      </c>
      <c r="L25" s="9">
        <f t="shared" si="37"/>
        <v>2.5862068965517349E-2</v>
      </c>
      <c r="M25" s="9">
        <f t="shared" si="37"/>
        <v>-0.24516129032258072</v>
      </c>
      <c r="N25" s="9">
        <f t="shared" si="37"/>
        <v>0.12796208530805719</v>
      </c>
      <c r="O25" s="9">
        <f t="shared" si="37"/>
        <v>-0.12745098039215674</v>
      </c>
      <c r="P25" s="9">
        <f t="shared" ref="P25:P27" si="41">P4/L4-1</f>
        <v>3.3613445378151363E-2</v>
      </c>
      <c r="Q25" s="9">
        <f t="shared" si="38"/>
        <v>3.0000000000000027E-2</v>
      </c>
      <c r="R25" s="9">
        <f t="shared" si="38"/>
        <v>-9.9999999999999978E-2</v>
      </c>
      <c r="T25" s="9"/>
      <c r="U25" s="9"/>
      <c r="V25" s="9">
        <f t="shared" si="39"/>
        <v>46.9</v>
      </c>
      <c r="W25" s="9">
        <f t="shared" si="39"/>
        <v>0.21503131524008356</v>
      </c>
      <c r="X25" s="9">
        <f t="shared" ref="X25:AI37" si="42">X4/W4-1</f>
        <v>-1.0309278350515538E-2</v>
      </c>
      <c r="Y25" s="9">
        <f t="shared" si="42"/>
        <v>-5.0850694444444233E-2</v>
      </c>
      <c r="Z25" s="9">
        <f t="shared" si="42"/>
        <v>2.0000000000000018E-2</v>
      </c>
      <c r="AA25" s="9">
        <f t="shared" si="42"/>
        <v>2.0000000000000018E-2</v>
      </c>
      <c r="AB25" s="9">
        <f t="shared" si="42"/>
        <v>2.0000000000000018E-2</v>
      </c>
      <c r="AC25" s="9">
        <f t="shared" si="42"/>
        <v>2.0000000000000018E-2</v>
      </c>
      <c r="AD25" s="9">
        <f t="shared" si="42"/>
        <v>2.0000000000000018E-2</v>
      </c>
      <c r="AE25" s="9">
        <f t="shared" si="42"/>
        <v>2.0000000000000018E-2</v>
      </c>
      <c r="AF25" s="9">
        <f t="shared" si="42"/>
        <v>2.0000000000000018E-2</v>
      </c>
      <c r="AG25" s="9">
        <f t="shared" si="42"/>
        <v>2.0000000000000018E-2</v>
      </c>
      <c r="AH25" s="9">
        <f t="shared" si="42"/>
        <v>2.0000000000000018E-2</v>
      </c>
      <c r="AI25" s="9">
        <f t="shared" si="42"/>
        <v>2.0000000000000018E-2</v>
      </c>
    </row>
    <row r="26" spans="2:144" x14ac:dyDescent="0.3">
      <c r="B26" t="s">
        <v>48</v>
      </c>
      <c r="C26" s="9"/>
      <c r="D26" s="9"/>
      <c r="G26" s="9">
        <f t="shared" si="37"/>
        <v>-0.2168674698795181</v>
      </c>
      <c r="H26" s="9">
        <f t="shared" si="37"/>
        <v>8.3333333333333259E-2</v>
      </c>
      <c r="I26" s="9"/>
      <c r="J26" s="9"/>
      <c r="K26" s="9">
        <f t="shared" si="37"/>
        <v>0</v>
      </c>
      <c r="L26" s="9">
        <f t="shared" si="37"/>
        <v>0.12307692307692308</v>
      </c>
      <c r="M26" s="9">
        <f t="shared" si="37"/>
        <v>0.43076923076923079</v>
      </c>
      <c r="N26" s="9">
        <f t="shared" si="37"/>
        <v>1.1666666666666665</v>
      </c>
      <c r="O26" s="9">
        <f t="shared" si="37"/>
        <v>0.96923076923076934</v>
      </c>
      <c r="P26" s="9">
        <f t="shared" si="41"/>
        <v>0.98630136986301364</v>
      </c>
      <c r="Q26" s="9">
        <f t="shared" si="38"/>
        <v>0.95</v>
      </c>
      <c r="R26" s="9">
        <f t="shared" si="38"/>
        <v>0.94999999999999973</v>
      </c>
      <c r="T26" s="9"/>
      <c r="U26" s="9">
        <f t="shared" si="39"/>
        <v>0.13063063063063063</v>
      </c>
      <c r="V26" s="9">
        <f t="shared" si="39"/>
        <v>7.9681274900398336E-2</v>
      </c>
      <c r="W26" s="9">
        <f t="shared" si="39"/>
        <v>-5.9040590405904148E-2</v>
      </c>
      <c r="X26" s="9">
        <f t="shared" si="42"/>
        <v>0.415686274509804</v>
      </c>
      <c r="Y26" s="9">
        <f t="shared" si="42"/>
        <v>0.96080332409972291</v>
      </c>
      <c r="Z26" s="9">
        <f t="shared" si="42"/>
        <v>0.8</v>
      </c>
      <c r="AA26" s="9">
        <f t="shared" si="42"/>
        <v>0.5</v>
      </c>
      <c r="AB26" s="9">
        <f t="shared" si="42"/>
        <v>0.35000000000000009</v>
      </c>
      <c r="AC26" s="9">
        <f t="shared" si="42"/>
        <v>0.19999999999999996</v>
      </c>
      <c r="AD26" s="9">
        <f t="shared" si="42"/>
        <v>0.14999999999999991</v>
      </c>
      <c r="AE26" s="9">
        <f t="shared" si="42"/>
        <v>0.10000000000000009</v>
      </c>
      <c r="AF26" s="9">
        <f t="shared" si="42"/>
        <v>0.10000000000000009</v>
      </c>
      <c r="AG26" s="9">
        <f t="shared" si="42"/>
        <v>0.10000000000000009</v>
      </c>
      <c r="AH26" s="9">
        <f t="shared" si="42"/>
        <v>0.10000000000000009</v>
      </c>
      <c r="AI26" s="9">
        <f t="shared" si="42"/>
        <v>0.10000000000000009</v>
      </c>
      <c r="AK26" t="s">
        <v>59</v>
      </c>
      <c r="AL26" s="11">
        <v>-0.01</v>
      </c>
    </row>
    <row r="27" spans="2:144" x14ac:dyDescent="0.3">
      <c r="B27" t="s">
        <v>49</v>
      </c>
      <c r="C27" s="9"/>
      <c r="D27" s="9"/>
      <c r="G27" s="9">
        <f t="shared" si="37"/>
        <v>0.33725490196078445</v>
      </c>
      <c r="H27" s="9">
        <f t="shared" si="37"/>
        <v>0.45081967213114749</v>
      </c>
      <c r="I27" s="9"/>
      <c r="J27" s="9"/>
      <c r="K27" s="9">
        <f t="shared" si="37"/>
        <v>0.14809384164222861</v>
      </c>
      <c r="L27" s="9">
        <f t="shared" si="37"/>
        <v>0.19915254237288149</v>
      </c>
      <c r="M27" s="9">
        <f t="shared" si="37"/>
        <v>0.18066157760814261</v>
      </c>
      <c r="N27" s="9">
        <f t="shared" si="37"/>
        <v>0.32911392405063311</v>
      </c>
      <c r="O27" s="9">
        <f t="shared" si="37"/>
        <v>0.32311621966794402</v>
      </c>
      <c r="P27" s="9">
        <f t="shared" si="41"/>
        <v>0.35924617196701991</v>
      </c>
      <c r="Q27" s="9">
        <f t="shared" si="38"/>
        <v>0.36978448275862097</v>
      </c>
      <c r="R27" s="9">
        <f t="shared" si="38"/>
        <v>0.30436363636363617</v>
      </c>
      <c r="T27" s="9"/>
      <c r="U27" s="9">
        <f t="shared" si="39"/>
        <v>0.39653035935563796</v>
      </c>
      <c r="V27" s="9">
        <f t="shared" si="39"/>
        <v>1.0257320319432122</v>
      </c>
      <c r="W27" s="9">
        <f t="shared" si="39"/>
        <v>0.33377135348226017</v>
      </c>
      <c r="X27" s="9">
        <f t="shared" si="42"/>
        <v>0.22003284072249607</v>
      </c>
      <c r="Y27" s="9">
        <f t="shared" si="42"/>
        <v>0.3372005383580079</v>
      </c>
      <c r="Z27" s="9">
        <f t="shared" si="42"/>
        <v>0.34043042051653694</v>
      </c>
      <c r="AA27" s="9">
        <f t="shared" si="42"/>
        <v>0.27857462727607785</v>
      </c>
      <c r="AB27" s="9">
        <f t="shared" si="42"/>
        <v>0.22164659843877654</v>
      </c>
      <c r="AC27" s="9">
        <f t="shared" si="42"/>
        <v>0.15515177738228059</v>
      </c>
      <c r="AD27" s="9">
        <f t="shared" si="42"/>
        <v>0.10894448572400139</v>
      </c>
      <c r="AE27" s="9">
        <f t="shared" si="42"/>
        <v>8.26265062949465E-2</v>
      </c>
      <c r="AF27" s="9">
        <f t="shared" si="42"/>
        <v>6.9153710591197237E-2</v>
      </c>
      <c r="AG27" s="9">
        <f t="shared" si="42"/>
        <v>6.2746368851451129E-2</v>
      </c>
      <c r="AH27" s="9">
        <f t="shared" si="42"/>
        <v>6.3285141906275433E-2</v>
      </c>
      <c r="AI27" s="9">
        <f t="shared" si="42"/>
        <v>6.383208993329692E-2</v>
      </c>
      <c r="AK27" t="s">
        <v>60</v>
      </c>
      <c r="AL27" s="11">
        <v>0.09</v>
      </c>
    </row>
    <row r="28" spans="2:144" x14ac:dyDescent="0.3">
      <c r="B28" t="s">
        <v>50</v>
      </c>
      <c r="C28" s="9">
        <f t="shared" ref="C28:D30" si="43">(C3-C7)/C3</f>
        <v>0.78549848942598188</v>
      </c>
      <c r="D28" s="9">
        <f t="shared" si="43"/>
        <v>0.78055555555555556</v>
      </c>
      <c r="G28" s="9">
        <f t="shared" ref="G28:P30" si="44">(G3-G7)/G3</f>
        <v>0.84526112185686653</v>
      </c>
      <c r="H28" s="9">
        <f t="shared" si="44"/>
        <v>0.87855787476280833</v>
      </c>
      <c r="I28" s="9">
        <f t="shared" si="44"/>
        <v>0.85335689045936391</v>
      </c>
      <c r="J28" s="9">
        <f t="shared" si="44"/>
        <v>0.86120401337792651</v>
      </c>
      <c r="K28" s="9">
        <f t="shared" si="44"/>
        <v>0.84902597402597391</v>
      </c>
      <c r="L28" s="9">
        <f t="shared" si="44"/>
        <v>0.84170471841704719</v>
      </c>
      <c r="M28" s="9">
        <f t="shared" si="44"/>
        <v>0.85097493036211691</v>
      </c>
      <c r="N28" s="9">
        <f t="shared" si="44"/>
        <v>0.86531130876747153</v>
      </c>
      <c r="O28" s="9">
        <f t="shared" si="44"/>
        <v>0.87301587301587291</v>
      </c>
      <c r="P28" s="9">
        <f>(P3-P7)/P3</f>
        <v>0.85327313769751689</v>
      </c>
      <c r="Q28" s="9">
        <f t="shared" ref="Q28:R28" si="45">(Q3-Q7)/Q3</f>
        <v>0.86</v>
      </c>
      <c r="R28" s="9">
        <f t="shared" si="45"/>
        <v>0.86</v>
      </c>
      <c r="T28" s="9">
        <f t="shared" ref="T28:W30" si="46">(T3-T7)/T3</f>
        <v>0.76752136752136746</v>
      </c>
      <c r="U28" s="9">
        <f t="shared" si="46"/>
        <v>0.79445727482678985</v>
      </c>
      <c r="V28" s="9">
        <f t="shared" si="46"/>
        <v>0.79973907371167641</v>
      </c>
      <c r="W28" s="9">
        <f t="shared" si="46"/>
        <v>0.85960144927536231</v>
      </c>
      <c r="X28" s="9">
        <f>(X3-X7)/X3</f>
        <v>0.85241180705543562</v>
      </c>
      <c r="Y28" s="9">
        <f t="shared" ref="Y28:AI28" si="47">(Y3-Y7)/Y3</f>
        <v>0.86126577505830648</v>
      </c>
      <c r="Z28" s="9">
        <f t="shared" si="47"/>
        <v>0.87</v>
      </c>
      <c r="AA28" s="9">
        <f t="shared" si="47"/>
        <v>0.87999999999999989</v>
      </c>
      <c r="AB28" s="9">
        <f t="shared" si="47"/>
        <v>0.88</v>
      </c>
      <c r="AC28" s="9">
        <f t="shared" si="47"/>
        <v>0.88</v>
      </c>
      <c r="AD28" s="9">
        <f t="shared" si="47"/>
        <v>0.88</v>
      </c>
      <c r="AE28" s="9">
        <f t="shared" si="47"/>
        <v>0.88</v>
      </c>
      <c r="AF28" s="9">
        <f t="shared" si="47"/>
        <v>0.88</v>
      </c>
      <c r="AG28" s="9">
        <f t="shared" si="47"/>
        <v>0.87999999999999989</v>
      </c>
      <c r="AH28" s="9">
        <f t="shared" si="47"/>
        <v>0.88</v>
      </c>
      <c r="AI28" s="9">
        <f t="shared" si="47"/>
        <v>0.88</v>
      </c>
      <c r="AK28" t="s">
        <v>61</v>
      </c>
      <c r="AL28" s="12">
        <f>NPV(AL27,Y20:EN20)</f>
        <v>3322.3560667952738</v>
      </c>
    </row>
    <row r="29" spans="2:144" x14ac:dyDescent="0.3">
      <c r="B29" t="s">
        <v>51</v>
      </c>
      <c r="C29" s="9">
        <f t="shared" si="43"/>
        <v>0.1875</v>
      </c>
      <c r="D29" s="9">
        <f t="shared" si="43"/>
        <v>-0.58823529411764719</v>
      </c>
      <c r="G29" s="9">
        <f t="shared" si="44"/>
        <v>5.9999999999999963E-2</v>
      </c>
      <c r="H29" s="9">
        <f t="shared" si="44"/>
        <v>0.25000000000000006</v>
      </c>
      <c r="I29" s="9">
        <f t="shared" si="44"/>
        <v>0.25161290322580648</v>
      </c>
      <c r="J29" s="9">
        <f t="shared" si="44"/>
        <v>0.16113744075829409</v>
      </c>
      <c r="K29" s="9">
        <f t="shared" si="44"/>
        <v>0.21568627450980388</v>
      </c>
      <c r="L29" s="9">
        <f t="shared" si="44"/>
        <v>0.16806722689075629</v>
      </c>
      <c r="M29" s="9">
        <f t="shared" si="44"/>
        <v>4.2735042735042736E-2</v>
      </c>
      <c r="N29" s="9">
        <f t="shared" si="44"/>
        <v>0.23949579831932793</v>
      </c>
      <c r="O29" s="9">
        <f t="shared" si="44"/>
        <v>3.3707865168539401E-2</v>
      </c>
      <c r="P29" s="9">
        <f t="shared" ref="P29:R30" si="48">(P4-P8)/P4</f>
        <v>0.17073170731707327</v>
      </c>
      <c r="Q29" s="9">
        <f t="shared" si="48"/>
        <v>0.1700000000000001</v>
      </c>
      <c r="R29" s="9">
        <f t="shared" si="48"/>
        <v>0.16999999999999996</v>
      </c>
      <c r="T29" s="9"/>
      <c r="U29" s="9">
        <f t="shared" si="46"/>
        <v>-0.30000000000000004</v>
      </c>
      <c r="V29" s="9">
        <f t="shared" si="46"/>
        <v>5.2192066805845511E-2</v>
      </c>
      <c r="W29" s="9">
        <f t="shared" si="46"/>
        <v>0.18556701030927841</v>
      </c>
      <c r="X29" s="9">
        <f t="shared" ref="X29:AI30" si="49">(X4-X8)/X4</f>
        <v>0.18055555555555552</v>
      </c>
      <c r="Y29" s="9">
        <f t="shared" si="49"/>
        <v>0.14797735545353116</v>
      </c>
      <c r="Z29" s="9">
        <f t="shared" si="49"/>
        <v>0.14999999999999997</v>
      </c>
      <c r="AA29" s="9">
        <f t="shared" si="49"/>
        <v>0.14999999999999997</v>
      </c>
      <c r="AB29" s="9">
        <f t="shared" si="49"/>
        <v>0.15000000000000005</v>
      </c>
      <c r="AC29" s="9">
        <f t="shared" si="49"/>
        <v>0.15</v>
      </c>
      <c r="AD29" s="9">
        <f t="shared" si="49"/>
        <v>0.15000000000000005</v>
      </c>
      <c r="AE29" s="9">
        <f t="shared" si="49"/>
        <v>0.15</v>
      </c>
      <c r="AF29" s="9">
        <f t="shared" si="49"/>
        <v>0.15000000000000005</v>
      </c>
      <c r="AG29" s="9">
        <f t="shared" si="49"/>
        <v>0.14999999999999997</v>
      </c>
      <c r="AH29" s="9">
        <f t="shared" si="49"/>
        <v>0.15000000000000008</v>
      </c>
      <c r="AI29" s="9">
        <f t="shared" si="49"/>
        <v>0.15</v>
      </c>
      <c r="AK29" t="s">
        <v>62</v>
      </c>
      <c r="AL29" s="12">
        <f>Main!D8</f>
        <v>123.39999999999998</v>
      </c>
    </row>
    <row r="30" spans="2:144" x14ac:dyDescent="0.3">
      <c r="B30" t="s">
        <v>52</v>
      </c>
      <c r="C30" s="9">
        <f t="shared" si="43"/>
        <v>0.87951807228915668</v>
      </c>
      <c r="D30" s="9">
        <f t="shared" si="43"/>
        <v>0.85</v>
      </c>
      <c r="G30" s="9">
        <f t="shared" si="44"/>
        <v>0.87692307692307692</v>
      </c>
      <c r="H30" s="9">
        <f t="shared" si="44"/>
        <v>0.86153846153846148</v>
      </c>
      <c r="I30" s="9">
        <f t="shared" si="44"/>
        <v>0.86153846153846148</v>
      </c>
      <c r="J30" s="9">
        <f t="shared" si="44"/>
        <v>0.85</v>
      </c>
      <c r="K30" s="9">
        <f t="shared" si="44"/>
        <v>0.86153846153846148</v>
      </c>
      <c r="L30" s="9">
        <f t="shared" si="44"/>
        <v>0.87671232876712324</v>
      </c>
      <c r="M30" s="9">
        <f t="shared" si="44"/>
        <v>0.89247311827956988</v>
      </c>
      <c r="N30" s="9">
        <f t="shared" si="44"/>
        <v>0.89999999999999991</v>
      </c>
      <c r="O30" s="9">
        <f t="shared" si="44"/>
        <v>0.8984375</v>
      </c>
      <c r="P30" s="9">
        <f t="shared" si="48"/>
        <v>0.8896551724137931</v>
      </c>
      <c r="Q30" s="9">
        <f t="shared" si="48"/>
        <v>0.89999999999999991</v>
      </c>
      <c r="R30" s="9">
        <f t="shared" si="48"/>
        <v>0.9</v>
      </c>
      <c r="T30" s="9">
        <f t="shared" si="46"/>
        <v>0.91891891891891886</v>
      </c>
      <c r="U30" s="9">
        <f t="shared" si="46"/>
        <v>0.85657370517928277</v>
      </c>
      <c r="V30" s="9">
        <f t="shared" si="46"/>
        <v>0.86715867158671578</v>
      </c>
      <c r="W30" s="9">
        <f t="shared" si="46"/>
        <v>0.86274509803921573</v>
      </c>
      <c r="X30" s="9">
        <f t="shared" si="49"/>
        <v>0.88642659279778391</v>
      </c>
      <c r="Y30" s="9">
        <f t="shared" si="49"/>
        <v>0.89759836123472492</v>
      </c>
      <c r="Z30" s="9">
        <f t="shared" si="49"/>
        <v>0.9</v>
      </c>
      <c r="AA30" s="9">
        <f t="shared" si="49"/>
        <v>0.89999999999999991</v>
      </c>
      <c r="AB30" s="9">
        <f t="shared" si="49"/>
        <v>0.9</v>
      </c>
      <c r="AC30" s="9">
        <f t="shared" si="49"/>
        <v>0.89999999999999991</v>
      </c>
      <c r="AD30" s="9">
        <f t="shared" si="49"/>
        <v>0.89999999999999991</v>
      </c>
      <c r="AE30" s="9">
        <f t="shared" si="49"/>
        <v>0.89999999999999991</v>
      </c>
      <c r="AF30" s="9">
        <f t="shared" si="49"/>
        <v>0.89999999999999991</v>
      </c>
      <c r="AG30" s="9">
        <f t="shared" si="49"/>
        <v>0.89999999999999991</v>
      </c>
      <c r="AH30" s="9">
        <f t="shared" si="49"/>
        <v>0.9</v>
      </c>
      <c r="AI30" s="9">
        <f t="shared" si="49"/>
        <v>0.9</v>
      </c>
      <c r="AK30" t="s">
        <v>63</v>
      </c>
      <c r="AL30" s="12">
        <f>AL28+AL29</f>
        <v>3445.7560667952739</v>
      </c>
    </row>
    <row r="31" spans="2:144" x14ac:dyDescent="0.3">
      <c r="B31" t="s">
        <v>53</v>
      </c>
      <c r="C31" s="9">
        <f t="shared" ref="C31:D31" si="50">C11/C6</f>
        <v>0.68823529411764706</v>
      </c>
      <c r="D31" s="9">
        <f t="shared" si="50"/>
        <v>0.59836065573770492</v>
      </c>
      <c r="G31" s="9">
        <f t="shared" ref="G31:P31" si="51">G11/G6</f>
        <v>0.73313782991202348</v>
      </c>
      <c r="H31" s="9">
        <f t="shared" si="51"/>
        <v>0.77401129943502822</v>
      </c>
      <c r="I31" s="9">
        <f t="shared" si="51"/>
        <v>0.73536895674300251</v>
      </c>
      <c r="J31" s="9">
        <f t="shared" si="51"/>
        <v>0.6904487917146146</v>
      </c>
      <c r="K31" s="9">
        <f t="shared" si="51"/>
        <v>0.76756066411238821</v>
      </c>
      <c r="L31" s="9">
        <f t="shared" si="51"/>
        <v>0.75029446407538281</v>
      </c>
      <c r="M31" s="9">
        <f t="shared" si="51"/>
        <v>0.75323275862068972</v>
      </c>
      <c r="N31" s="9">
        <f t="shared" si="51"/>
        <v>0.74025974025974028</v>
      </c>
      <c r="O31" s="9">
        <f t="shared" si="51"/>
        <v>0.80405405405405406</v>
      </c>
      <c r="P31" s="9">
        <f>P11/P6</f>
        <v>0.78509532062391685</v>
      </c>
      <c r="Q31" s="9">
        <f t="shared" ref="Q31:R31" si="52">Q11/Q6</f>
        <v>0.8002924100821297</v>
      </c>
      <c r="R31" s="9">
        <f t="shared" si="52"/>
        <v>0.76862638894420321</v>
      </c>
      <c r="T31" s="9">
        <f t="shared" ref="T31:W31" si="53">T11/T6</f>
        <v>0.80916976456009904</v>
      </c>
      <c r="U31" s="9">
        <f t="shared" si="53"/>
        <v>0.79858030168589167</v>
      </c>
      <c r="V31" s="9">
        <f t="shared" si="53"/>
        <v>0.6508979413053001</v>
      </c>
      <c r="W31" s="9">
        <f t="shared" si="53"/>
        <v>0.73103448275862071</v>
      </c>
      <c r="X31" s="9">
        <f>X11/X6</f>
        <v>0.7515477792732167</v>
      </c>
      <c r="Y31" s="9">
        <f t="shared" ref="Y31:AI31" si="54">Y11/Y6</f>
        <v>0.78794333393723448</v>
      </c>
      <c r="Z31" s="9">
        <f t="shared" si="54"/>
        <v>0.81544409533877593</v>
      </c>
      <c r="AA31" s="9">
        <f t="shared" si="54"/>
        <v>0.83571942057428561</v>
      </c>
      <c r="AB31" s="9">
        <f t="shared" si="54"/>
        <v>0.84424119912130624</v>
      </c>
      <c r="AC31" s="9">
        <f t="shared" si="54"/>
        <v>0.84919803999217236</v>
      </c>
      <c r="AD31" s="9">
        <f t="shared" si="54"/>
        <v>0.85227274498324257</v>
      </c>
      <c r="AE31" s="9">
        <f t="shared" si="54"/>
        <v>0.85427162583863714</v>
      </c>
      <c r="AF31" s="9">
        <f t="shared" si="54"/>
        <v>0.855860814501744</v>
      </c>
      <c r="AG31" s="9">
        <f t="shared" si="54"/>
        <v>0.85725233989977123</v>
      </c>
      <c r="AH31" s="9">
        <f t="shared" si="54"/>
        <v>0.85861348003397231</v>
      </c>
      <c r="AI31" s="9">
        <f t="shared" si="54"/>
        <v>0.85994455023894156</v>
      </c>
      <c r="AK31" t="s">
        <v>64</v>
      </c>
      <c r="AL31" s="13">
        <f>AL30/AI21</f>
        <v>44.461368603809987</v>
      </c>
    </row>
    <row r="32" spans="2:144" x14ac:dyDescent="0.3">
      <c r="B32" t="s">
        <v>54</v>
      </c>
      <c r="C32" s="9"/>
      <c r="D32" s="9"/>
      <c r="G32" s="9">
        <f t="shared" ref="G32:O32" si="55">G12/C12-1</f>
        <v>5.8365758754863828E-2</v>
      </c>
      <c r="H32" s="9">
        <f t="shared" si="55"/>
        <v>-0.14074074074074072</v>
      </c>
      <c r="I32" s="9"/>
      <c r="J32" s="9"/>
      <c r="K32" s="9">
        <f t="shared" si="55"/>
        <v>3.6764705882352811E-3</v>
      </c>
      <c r="L32" s="9">
        <f t="shared" si="55"/>
        <v>0.1637931034482758</v>
      </c>
      <c r="M32" s="9">
        <f t="shared" si="55"/>
        <v>0.17886178861788604</v>
      </c>
      <c r="N32" s="9">
        <f t="shared" si="55"/>
        <v>0.14615384615384586</v>
      </c>
      <c r="O32" s="9">
        <f t="shared" si="55"/>
        <v>0.11355311355311337</v>
      </c>
      <c r="P32" s="9">
        <f>P12/L12-1</f>
        <v>0.19629629629629619</v>
      </c>
      <c r="Q32" s="9">
        <f t="shared" ref="Q32:R32" si="56">Q12/M12-1</f>
        <v>0.14999999999999991</v>
      </c>
      <c r="R32" s="9">
        <f t="shared" si="56"/>
        <v>0.14999999999999991</v>
      </c>
      <c r="T32" s="9"/>
      <c r="U32" s="9">
        <f t="shared" ref="T32:W32" si="57">U12/T12-1</f>
        <v>0.28787878787878785</v>
      </c>
      <c r="V32" s="9">
        <f t="shared" si="57"/>
        <v>1.0098039215686274</v>
      </c>
      <c r="W32" s="9">
        <f t="shared" si="57"/>
        <v>-1.4634146341463428E-2</v>
      </c>
      <c r="X32" s="9">
        <f>X12/W12-1</f>
        <v>0.11980198019801969</v>
      </c>
      <c r="Y32" s="9">
        <f t="shared" ref="Y32:AI32" si="58">Y12/X12-1</f>
        <v>0.15225464190981408</v>
      </c>
      <c r="Z32" s="9">
        <f t="shared" si="58"/>
        <v>0.19999999999999996</v>
      </c>
      <c r="AA32" s="9">
        <f t="shared" si="58"/>
        <v>0.14999999999999991</v>
      </c>
      <c r="AB32" s="9">
        <f t="shared" si="58"/>
        <v>0.10000000000000009</v>
      </c>
      <c r="AC32" s="9">
        <f t="shared" si="58"/>
        <v>0.10000000000000009</v>
      </c>
      <c r="AD32" s="9">
        <f t="shared" si="58"/>
        <v>0.10000000000000009</v>
      </c>
      <c r="AE32" s="9">
        <f t="shared" si="58"/>
        <v>0.10000000000000009</v>
      </c>
      <c r="AF32" s="9">
        <f t="shared" si="58"/>
        <v>0.10000000000000009</v>
      </c>
      <c r="AG32" s="9">
        <f t="shared" si="58"/>
        <v>0.10000000000000009</v>
      </c>
      <c r="AH32" s="9">
        <f t="shared" si="58"/>
        <v>0.10000000000000009</v>
      </c>
      <c r="AI32" s="9">
        <f t="shared" si="58"/>
        <v>0.10000000000000009</v>
      </c>
      <c r="AK32" t="s">
        <v>65</v>
      </c>
      <c r="AL32" s="13">
        <f>Main!D3</f>
        <v>103.11</v>
      </c>
    </row>
    <row r="33" spans="2:38" x14ac:dyDescent="0.3">
      <c r="B33" t="s">
        <v>55</v>
      </c>
      <c r="C33" s="9">
        <f t="shared" ref="C33:D33" si="59">C13/C6</f>
        <v>0.45490196078431372</v>
      </c>
      <c r="D33" s="9">
        <f t="shared" si="59"/>
        <v>0.46926229508196721</v>
      </c>
      <c r="G33" s="9">
        <f t="shared" ref="G33:P33" si="60">G13/G6</f>
        <v>0.35630498533724342</v>
      </c>
      <c r="H33" s="9">
        <f t="shared" si="60"/>
        <v>0.32909604519774016</v>
      </c>
      <c r="I33" s="9">
        <f t="shared" si="60"/>
        <v>0.32697201017811706</v>
      </c>
      <c r="J33" s="9">
        <f t="shared" si="60"/>
        <v>0.29689298043728413</v>
      </c>
      <c r="K33" s="9">
        <f t="shared" si="60"/>
        <v>0.31545338441890164</v>
      </c>
      <c r="L33" s="9">
        <f t="shared" si="60"/>
        <v>0.28739693757361601</v>
      </c>
      <c r="M33" s="9">
        <f t="shared" si="60"/>
        <v>0.33081896551724138</v>
      </c>
      <c r="N33" s="9">
        <f t="shared" si="60"/>
        <v>0.29090909090909089</v>
      </c>
      <c r="O33" s="9">
        <f t="shared" si="60"/>
        <v>0.34073359073359066</v>
      </c>
      <c r="P33" s="9">
        <f>P13/P6</f>
        <v>0.33708838821490467</v>
      </c>
      <c r="Q33" s="9">
        <f t="shared" ref="Q33:R33" si="61">Q13/Q6</f>
        <v>0.32</v>
      </c>
      <c r="R33" s="9">
        <f t="shared" si="61"/>
        <v>0.28499999999999998</v>
      </c>
      <c r="T33" s="9">
        <f t="shared" ref="T33:W33" si="62">T13/T6</f>
        <v>0.37422552664188352</v>
      </c>
      <c r="U33" s="9">
        <f t="shared" si="62"/>
        <v>0.42147293700088734</v>
      </c>
      <c r="V33" s="9">
        <f t="shared" si="62"/>
        <v>0.40473061760841</v>
      </c>
      <c r="W33" s="9">
        <f t="shared" si="62"/>
        <v>0.32545155993431851</v>
      </c>
      <c r="X33" s="9">
        <f>X13/X6</f>
        <v>0.30524899057873484</v>
      </c>
      <c r="Y33" s="9">
        <f t="shared" ref="Y33:AI33" si="63">Y13/Y6</f>
        <v>0.31767922781166336</v>
      </c>
      <c r="Z33" s="9">
        <f t="shared" si="63"/>
        <v>0.3</v>
      </c>
      <c r="AA33" s="9">
        <f t="shared" si="63"/>
        <v>0.3</v>
      </c>
      <c r="AB33" s="9">
        <f t="shared" si="63"/>
        <v>0.3</v>
      </c>
      <c r="AC33" s="9">
        <f t="shared" si="63"/>
        <v>0.3</v>
      </c>
      <c r="AD33" s="9">
        <f t="shared" si="63"/>
        <v>0.3</v>
      </c>
      <c r="AE33" s="9">
        <f t="shared" si="63"/>
        <v>0.3</v>
      </c>
      <c r="AF33" s="9">
        <f t="shared" si="63"/>
        <v>0.3</v>
      </c>
      <c r="AG33" s="9">
        <f t="shared" si="63"/>
        <v>0.3</v>
      </c>
      <c r="AH33" s="9">
        <f t="shared" si="63"/>
        <v>0.3</v>
      </c>
      <c r="AI33" s="9">
        <f t="shared" si="63"/>
        <v>0.3</v>
      </c>
      <c r="AK33" s="1" t="s">
        <v>66</v>
      </c>
      <c r="AL33" s="14">
        <f>AL31/AL32-1</f>
        <v>-0.56879673548821663</v>
      </c>
    </row>
    <row r="34" spans="2:38" x14ac:dyDescent="0.3">
      <c r="B34" t="s">
        <v>56</v>
      </c>
      <c r="C34" s="9"/>
      <c r="D34" s="9"/>
      <c r="G34" s="9">
        <f t="shared" ref="G34:O34" si="64">G14/C14-1</f>
        <v>0</v>
      </c>
      <c r="H34" s="9">
        <f t="shared" si="64"/>
        <v>-2.34375E-2</v>
      </c>
      <c r="I34" s="9"/>
      <c r="J34" s="9"/>
      <c r="K34" s="9">
        <f t="shared" si="64"/>
        <v>9.090909090909105E-2</v>
      </c>
      <c r="L34" s="9">
        <f t="shared" si="64"/>
        <v>0.16799999999999993</v>
      </c>
      <c r="M34" s="9">
        <f t="shared" si="64"/>
        <v>7.8014184397163122E-2</v>
      </c>
      <c r="N34" s="9">
        <f t="shared" si="64"/>
        <v>0.2890625</v>
      </c>
      <c r="O34" s="9">
        <f t="shared" si="64"/>
        <v>8.3333333333333259E-2</v>
      </c>
      <c r="P34" s="9">
        <f>P14/L14-1</f>
        <v>0.1917808219178081</v>
      </c>
      <c r="Q34" s="9">
        <f t="shared" ref="Q34:R34" si="65">Q14/M14-1</f>
        <v>0.19999999999999996</v>
      </c>
      <c r="R34" s="9">
        <f t="shared" si="65"/>
        <v>0.19999999999999996</v>
      </c>
      <c r="T34" s="9"/>
      <c r="U34" s="9">
        <f t="shared" ref="T34:W34" si="66">U14/T14-1</f>
        <v>0.95867768595041314</v>
      </c>
      <c r="V34" s="9">
        <f t="shared" si="66"/>
        <v>1.0295358649789033</v>
      </c>
      <c r="W34" s="9">
        <f t="shared" si="66"/>
        <v>9.3555093555093505E-2</v>
      </c>
      <c r="X34" s="9">
        <f>X14/W14-1</f>
        <v>0.1539923954372624</v>
      </c>
      <c r="Y34" s="9">
        <f t="shared" ref="Y34:AI34" si="67">Y14/X14-1</f>
        <v>0.17034596375617772</v>
      </c>
      <c r="Z34" s="9">
        <f t="shared" si="67"/>
        <v>0.14999999999999991</v>
      </c>
      <c r="AA34" s="9">
        <f t="shared" si="67"/>
        <v>0.12000000000000011</v>
      </c>
      <c r="AB34" s="9">
        <f t="shared" si="67"/>
        <v>0.10000000000000009</v>
      </c>
      <c r="AC34" s="9">
        <f t="shared" si="67"/>
        <v>0.10000000000000009</v>
      </c>
      <c r="AD34" s="9">
        <f t="shared" si="67"/>
        <v>0.10000000000000009</v>
      </c>
      <c r="AE34" s="9">
        <f t="shared" si="67"/>
        <v>0.10000000000000009</v>
      </c>
      <c r="AF34" s="9">
        <f t="shared" si="67"/>
        <v>0.10000000000000009</v>
      </c>
      <c r="AG34" s="9">
        <f t="shared" si="67"/>
        <v>0.10000000000000009</v>
      </c>
      <c r="AH34" s="9">
        <f t="shared" si="67"/>
        <v>0.10000000000000009</v>
      </c>
      <c r="AI34" s="9">
        <f t="shared" si="67"/>
        <v>0.10000000000000009</v>
      </c>
      <c r="AK34" t="s">
        <v>67</v>
      </c>
      <c r="AL34" s="6" t="s">
        <v>68</v>
      </c>
    </row>
    <row r="35" spans="2:38" x14ac:dyDescent="0.3">
      <c r="B35" t="s">
        <v>57</v>
      </c>
      <c r="C35" s="9">
        <f t="shared" ref="C35:D35" si="68">C16/C6</f>
        <v>-0.52941176470588225</v>
      </c>
      <c r="D35" s="9">
        <f t="shared" si="68"/>
        <v>-0.68647540983606581</v>
      </c>
      <c r="G35" s="9">
        <f t="shared" ref="G35:P35" si="69">G16/G6</f>
        <v>-0.21554252199413493</v>
      </c>
      <c r="H35" s="9">
        <f t="shared" si="69"/>
        <v>-5.9322033898305128E-2</v>
      </c>
      <c r="I35" s="9">
        <f t="shared" si="69"/>
        <v>-8.3969465648854894E-2</v>
      </c>
      <c r="J35" s="9">
        <f t="shared" si="69"/>
        <v>-5.2934407364786877E-2</v>
      </c>
      <c r="K35" s="9">
        <f t="shared" si="69"/>
        <v>-8.045977011494268E-2</v>
      </c>
      <c r="L35" s="9">
        <f t="shared" si="69"/>
        <v>-2.7090694935217867E-2</v>
      </c>
      <c r="M35" s="9">
        <f t="shared" si="69"/>
        <v>-5.387931034482759E-2</v>
      </c>
      <c r="N35" s="9">
        <f t="shared" si="69"/>
        <v>4.8484848484848672E-2</v>
      </c>
      <c r="O35" s="9">
        <f t="shared" si="69"/>
        <v>1.9305019305019579E-2</v>
      </c>
      <c r="P35" s="9">
        <f>P16/P6</f>
        <v>1.7331022530329292E-2</v>
      </c>
      <c r="Q35" s="9">
        <f t="shared" ref="Q35:R35" si="70">Q16/Q6</f>
        <v>7.4442635073476329E-2</v>
      </c>
      <c r="R35" s="9">
        <f t="shared" si="70"/>
        <v>0.12472453436350851</v>
      </c>
      <c r="T35" s="9">
        <f t="shared" ref="T35:W35" si="71">T16/T6</f>
        <v>-0.20570012391573722</v>
      </c>
      <c r="U35" s="9">
        <f t="shared" si="71"/>
        <v>-0.28571428571428592</v>
      </c>
      <c r="V35" s="9">
        <f t="shared" si="71"/>
        <v>-0.41349102058694687</v>
      </c>
      <c r="W35" s="9">
        <f t="shared" si="71"/>
        <v>-9.8850574712643663E-2</v>
      </c>
      <c r="X35" s="9">
        <f>X16/X6</f>
        <v>-2.1534320323014649E-2</v>
      </c>
      <c r="Y35" s="9">
        <f t="shared" ref="Y35:AI35" si="72">Y16/Y6</f>
        <v>6.4925619501982848E-2</v>
      </c>
      <c r="Z35" s="9">
        <f t="shared" si="72"/>
        <v>0.1579052135109931</v>
      </c>
      <c r="AA35" s="9">
        <f t="shared" si="72"/>
        <v>0.21701367333768576</v>
      </c>
      <c r="AB35" s="9">
        <f t="shared" si="72"/>
        <v>0.25727087365378992</v>
      </c>
      <c r="AC35" s="9">
        <f t="shared" si="72"/>
        <v>0.27592887814262734</v>
      </c>
      <c r="AD35" s="9">
        <f t="shared" si="72"/>
        <v>0.28120770800057698</v>
      </c>
      <c r="AE35" s="9">
        <f t="shared" si="72"/>
        <v>0.27885666144675347</v>
      </c>
      <c r="AF35" s="9">
        <f t="shared" si="72"/>
        <v>0.27249981801457868</v>
      </c>
      <c r="AG35" s="9">
        <f t="shared" si="72"/>
        <v>0.2639583750634158</v>
      </c>
      <c r="AH35" s="9">
        <f t="shared" si="72"/>
        <v>0.25519217881877199</v>
      </c>
      <c r="AI35" s="9">
        <f t="shared" si="72"/>
        <v>0.24620760387774684</v>
      </c>
    </row>
    <row r="36" spans="2:38" x14ac:dyDescent="0.3">
      <c r="B36" t="s">
        <v>28</v>
      </c>
      <c r="C36" s="9">
        <f t="shared" ref="C36:D36" si="73">C19/C18</f>
        <v>-3.9840637450199211E-3</v>
      </c>
      <c r="D36" s="9">
        <f t="shared" si="73"/>
        <v>3.021148036253776E-3</v>
      </c>
      <c r="G36" s="9">
        <f t="shared" ref="G36:P36" si="74">G19/G18</f>
        <v>-7.2463768115942021E-3</v>
      </c>
      <c r="H36" s="9">
        <f t="shared" si="74"/>
        <v>-7.3170731707317013E-2</v>
      </c>
      <c r="I36" s="9">
        <f t="shared" si="74"/>
        <v>2.9411764705882377E-2</v>
      </c>
      <c r="J36" s="9">
        <f t="shared" si="74"/>
        <v>-0.13333333333333422</v>
      </c>
      <c r="K36" s="9">
        <f t="shared" si="74"/>
        <v>-0.16867469879518049</v>
      </c>
      <c r="L36" s="9">
        <f t="shared" si="74"/>
        <v>-1.018518518518519</v>
      </c>
      <c r="M36" s="9">
        <f t="shared" si="74"/>
        <v>-1.6206896551724137</v>
      </c>
      <c r="N36" s="9">
        <f t="shared" si="74"/>
        <v>-0.37096774193548243</v>
      </c>
      <c r="O36" s="9">
        <f t="shared" si="74"/>
        <v>-4.9999999999999649E-2</v>
      </c>
      <c r="P36" s="9">
        <f>P19/P18</f>
        <v>-6.0606060606060615E-2</v>
      </c>
      <c r="Q36" s="9">
        <f t="shared" ref="Q36:R36" si="75">Q19/Q18</f>
        <v>0.1</v>
      </c>
      <c r="R36" s="9">
        <f t="shared" si="75"/>
        <v>0.1</v>
      </c>
      <c r="T36" s="9">
        <f t="shared" ref="T36:W36" si="76">T19/T18</f>
        <v>0</v>
      </c>
      <c r="U36" s="9">
        <f t="shared" si="76"/>
        <v>2.9761904761904752E-3</v>
      </c>
      <c r="V36" s="9">
        <f t="shared" si="76"/>
        <v>-3.2858707557502742E-3</v>
      </c>
      <c r="W36" s="9">
        <f t="shared" si="76"/>
        <v>-2.1660649819494587E-2</v>
      </c>
      <c r="X36" s="9">
        <f>X19/X18</f>
        <v>2.1739130434782879E-2</v>
      </c>
      <c r="Y36" s="9">
        <f t="shared" ref="Y36:AI36" si="77">Y19/Y18</f>
        <v>5.7274966476291517E-2</v>
      </c>
      <c r="Z36" s="9">
        <f t="shared" si="77"/>
        <v>0.15</v>
      </c>
      <c r="AA36" s="9">
        <f t="shared" si="77"/>
        <v>0.15</v>
      </c>
      <c r="AB36" s="9">
        <f t="shared" si="77"/>
        <v>0.15</v>
      </c>
      <c r="AC36" s="9">
        <f t="shared" si="77"/>
        <v>0.15</v>
      </c>
      <c r="AD36" s="9">
        <f t="shared" si="77"/>
        <v>0.15</v>
      </c>
      <c r="AE36" s="9">
        <f t="shared" si="77"/>
        <v>0.15</v>
      </c>
      <c r="AF36" s="9">
        <f t="shared" si="77"/>
        <v>0.15</v>
      </c>
      <c r="AG36" s="9">
        <f t="shared" si="77"/>
        <v>0.15</v>
      </c>
      <c r="AH36" s="9">
        <f t="shared" si="77"/>
        <v>0.15</v>
      </c>
      <c r="AI36" s="9">
        <f t="shared" si="77"/>
        <v>0.15</v>
      </c>
    </row>
    <row r="37" spans="2:38" x14ac:dyDescent="0.3">
      <c r="B37" t="s">
        <v>58</v>
      </c>
      <c r="C37" s="9">
        <f t="shared" ref="C37:D37" si="78">C20/C6</f>
        <v>-0.49411764705882344</v>
      </c>
      <c r="D37" s="9">
        <f t="shared" si="78"/>
        <v>-0.67622950819672145</v>
      </c>
      <c r="G37" s="9">
        <f t="shared" ref="G37:P37" si="79">G20/G6</f>
        <v>-0.20381231671554254</v>
      </c>
      <c r="H37" s="9">
        <f t="shared" si="79"/>
        <v>-6.2146892655367277E-2</v>
      </c>
      <c r="I37" s="9">
        <f t="shared" si="79"/>
        <v>-8.3969465648854894E-2</v>
      </c>
      <c r="J37" s="9">
        <f t="shared" si="79"/>
        <v>-3.9125431530494588E-2</v>
      </c>
      <c r="K37" s="9">
        <f t="shared" si="79"/>
        <v>-0.12388250319284817</v>
      </c>
      <c r="L37" s="9">
        <f t="shared" si="79"/>
        <v>-0.12838633686690218</v>
      </c>
      <c r="M37" s="9">
        <f t="shared" si="79"/>
        <v>8.1896551724137942E-2</v>
      </c>
      <c r="N37" s="9">
        <f t="shared" si="79"/>
        <v>7.3593073593073766E-2</v>
      </c>
      <c r="O37" s="9">
        <f t="shared" si="79"/>
        <v>4.0540540540540813E-2</v>
      </c>
      <c r="P37" s="9">
        <f>P20/P6</f>
        <v>6.0658578856152515E-2</v>
      </c>
      <c r="Q37" s="9">
        <f t="shared" ref="Q37:R37" si="80">Q20/Q6</f>
        <v>6.6998371566128687E-2</v>
      </c>
      <c r="R37" s="9">
        <f t="shared" si="80"/>
        <v>0.11225208092715766</v>
      </c>
      <c r="T37" s="9">
        <f t="shared" ref="T37:W37" si="81">T20/T6</f>
        <v>-0.2019826517967781</v>
      </c>
      <c r="U37" s="9">
        <f t="shared" si="81"/>
        <v>-0.29724933451641544</v>
      </c>
      <c r="V37" s="9">
        <f t="shared" si="81"/>
        <v>-0.40122645641699506</v>
      </c>
      <c r="W37" s="9">
        <f t="shared" si="81"/>
        <v>-9.2939244663382589E-2</v>
      </c>
      <c r="X37" s="9">
        <f>X20/X6</f>
        <v>-1.2113055181695673E-2</v>
      </c>
      <c r="Y37" s="9">
        <f t="shared" ref="Y37:AI37" si="82">Y20/Y6</f>
        <v>7.3731887996457149E-2</v>
      </c>
      <c r="Z37" s="9">
        <f t="shared" si="82"/>
        <v>0.1443292758747366</v>
      </c>
      <c r="AA37" s="9">
        <f t="shared" si="82"/>
        <v>0.1939501676355713</v>
      </c>
      <c r="AB37" s="9">
        <f t="shared" si="82"/>
        <v>0.22800065848769366</v>
      </c>
      <c r="AC37" s="9">
        <f t="shared" si="82"/>
        <v>0.24422182305133303</v>
      </c>
      <c r="AD37" s="9">
        <f t="shared" si="82"/>
        <v>0.24950384088546579</v>
      </c>
      <c r="AE37" s="9">
        <f t="shared" si="82"/>
        <v>0.24864135184671918</v>
      </c>
      <c r="AF37" s="9">
        <f t="shared" si="82"/>
        <v>0.24465929246655138</v>
      </c>
      <c r="AG37" s="9">
        <f t="shared" si="82"/>
        <v>0.23908246404283431</v>
      </c>
      <c r="AH37" s="9">
        <f t="shared" si="82"/>
        <v>0.23352358531027989</v>
      </c>
      <c r="AI37" s="9">
        <f t="shared" si="82"/>
        <v>0.22801276591921607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2025-09-09T07:09:33Z</dcterms:created>
  <dcterms:modified xsi:type="dcterms:W3CDTF">2025-09-09T08:15:22Z</dcterms:modified>
</cp:coreProperties>
</file>