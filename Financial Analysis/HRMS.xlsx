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7BA49C43-7E92-40A9-8A80-93C3D153F9DF}" xr6:coauthVersionLast="47" xr6:coauthVersionMax="47" xr10:uidLastSave="{00000000-0000-0000-0000-000000000000}"/>
  <bookViews>
    <workbookView xWindow="-108" yWindow="-108" windowWidth="23256" windowHeight="12576" activeTab="1" xr2:uid="{C4BF79F1-8F77-4375-9B67-0BA0B548E64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3" i="2" l="1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B3" i="2"/>
  <c r="AA12" i="2"/>
  <c r="AA11" i="2"/>
  <c r="AA9" i="2"/>
  <c r="AA7" i="2"/>
  <c r="AA6" i="2"/>
  <c r="AA4" i="2"/>
  <c r="AA3" i="2"/>
  <c r="R22" i="2"/>
  <c r="R21" i="2"/>
  <c r="R20" i="2"/>
  <c r="R19" i="2"/>
  <c r="R18" i="2"/>
  <c r="R17" i="2"/>
  <c r="R13" i="2"/>
  <c r="R15" i="2" s="1"/>
  <c r="R11" i="2"/>
  <c r="R10" i="2"/>
  <c r="R9" i="2"/>
  <c r="R7" i="2"/>
  <c r="R8" i="2" s="1"/>
  <c r="R6" i="2"/>
  <c r="R5" i="2"/>
  <c r="R4" i="2" s="1"/>
  <c r="R3" i="2"/>
  <c r="L22" i="2"/>
  <c r="K22" i="2"/>
  <c r="L21" i="2"/>
  <c r="K21" i="2"/>
  <c r="L20" i="2"/>
  <c r="K20" i="2"/>
  <c r="L19" i="2"/>
  <c r="K19" i="2"/>
  <c r="L18" i="2"/>
  <c r="K18" i="2"/>
  <c r="L17" i="2"/>
  <c r="K17" i="2"/>
  <c r="J12" i="2"/>
  <c r="J11" i="2"/>
  <c r="J9" i="2"/>
  <c r="J7" i="2"/>
  <c r="J6" i="2"/>
  <c r="J4" i="2"/>
  <c r="J3" i="2"/>
  <c r="H9" i="2"/>
  <c r="V12" i="2"/>
  <c r="V9" i="2"/>
  <c r="I12" i="2"/>
  <c r="I5" i="2"/>
  <c r="I8" i="2" s="1"/>
  <c r="I10" i="2" s="1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L12" i="2"/>
  <c r="L11" i="2"/>
  <c r="L9" i="2"/>
  <c r="L7" i="2"/>
  <c r="L6" i="2"/>
  <c r="L4" i="2"/>
  <c r="L3" i="2"/>
  <c r="K12" i="2"/>
  <c r="K5" i="2"/>
  <c r="K8" i="2" s="1"/>
  <c r="K10" i="2" s="1"/>
  <c r="N12" i="2"/>
  <c r="N11" i="2"/>
  <c r="N9" i="2"/>
  <c r="N7" i="2"/>
  <c r="N6" i="2"/>
  <c r="N4" i="2"/>
  <c r="N3" i="2"/>
  <c r="M12" i="2"/>
  <c r="M5" i="2"/>
  <c r="M8" i="2" s="1"/>
  <c r="M10" i="2" s="1"/>
  <c r="P12" i="2"/>
  <c r="P11" i="2"/>
  <c r="P9" i="2"/>
  <c r="P7" i="2"/>
  <c r="P6" i="2"/>
  <c r="P4" i="2"/>
  <c r="P3" i="2"/>
  <c r="W12" i="2"/>
  <c r="W5" i="2"/>
  <c r="W8" i="2" s="1"/>
  <c r="W10" i="2" s="1"/>
  <c r="X12" i="2"/>
  <c r="X5" i="2"/>
  <c r="X8" i="2" s="1"/>
  <c r="X10" i="2" s="1"/>
  <c r="Y12" i="2"/>
  <c r="Y5" i="2"/>
  <c r="Y8" i="2" s="1"/>
  <c r="Y10" i="2" s="1"/>
  <c r="Z12" i="2"/>
  <c r="Z5" i="2"/>
  <c r="Z8" i="2" s="1"/>
  <c r="Z10" i="2" s="1"/>
  <c r="Z13" i="2" s="1"/>
  <c r="Z15" i="2" s="1"/>
  <c r="Q22" i="2"/>
  <c r="Q21" i="2"/>
  <c r="Q20" i="2"/>
  <c r="Q19" i="2"/>
  <c r="Q18" i="2"/>
  <c r="Q17" i="2"/>
  <c r="O12" i="2"/>
  <c r="Q12" i="2"/>
  <c r="O5" i="2"/>
  <c r="O8" i="2" s="1"/>
  <c r="O10" i="2" s="1"/>
  <c r="D7" i="1"/>
  <c r="D6" i="1"/>
  <c r="Q5" i="2"/>
  <c r="Q8" i="2" s="1"/>
  <c r="Q10" i="2" s="1"/>
  <c r="J5" i="2" l="1"/>
  <c r="J8" i="2" s="1"/>
  <c r="J10" i="2" s="1"/>
  <c r="J13" i="2" s="1"/>
  <c r="J15" i="2" s="1"/>
  <c r="I13" i="2"/>
  <c r="I15" i="2" s="1"/>
  <c r="L5" i="2"/>
  <c r="L8" i="2" s="1"/>
  <c r="L10" i="2" s="1"/>
  <c r="L13" i="2" s="1"/>
  <c r="L15" i="2" s="1"/>
  <c r="K13" i="2"/>
  <c r="K15" i="2" s="1"/>
  <c r="P20" i="2"/>
  <c r="P21" i="2"/>
  <c r="N5" i="2"/>
  <c r="N8" i="2" s="1"/>
  <c r="N10" i="2" s="1"/>
  <c r="N13" i="2" s="1"/>
  <c r="N15" i="2" s="1"/>
  <c r="P17" i="2"/>
  <c r="M13" i="2"/>
  <c r="M15" i="2" s="1"/>
  <c r="P5" i="2"/>
  <c r="P8" i="2" s="1"/>
  <c r="P19" i="2" s="1"/>
  <c r="W13" i="2"/>
  <c r="W15" i="2" s="1"/>
  <c r="X13" i="2"/>
  <c r="X15" i="2" s="1"/>
  <c r="Y13" i="2"/>
  <c r="Y15" i="2" s="1"/>
  <c r="O13" i="2"/>
  <c r="O15" i="2" s="1"/>
  <c r="Q13" i="2"/>
  <c r="Q15" i="2" s="1"/>
  <c r="I21" i="2"/>
  <c r="G17" i="2"/>
  <c r="G21" i="2"/>
  <c r="G20" i="2"/>
  <c r="I20" i="2"/>
  <c r="D8" i="1"/>
  <c r="AN22" i="2" s="1"/>
  <c r="H11" i="2"/>
  <c r="H7" i="2"/>
  <c r="J21" i="2" s="1"/>
  <c r="H6" i="2"/>
  <c r="H4" i="2"/>
  <c r="H3" i="2"/>
  <c r="AN25" i="2"/>
  <c r="U20" i="2"/>
  <c r="U17" i="2"/>
  <c r="E17" i="2"/>
  <c r="T12" i="2"/>
  <c r="T7" i="2"/>
  <c r="U21" i="2" s="1"/>
  <c r="T5" i="2"/>
  <c r="T18" i="2" s="1"/>
  <c r="D11" i="2"/>
  <c r="D9" i="2"/>
  <c r="D4" i="2"/>
  <c r="D3" i="2"/>
  <c r="C12" i="2"/>
  <c r="C7" i="2"/>
  <c r="E21" i="2" s="1"/>
  <c r="C6" i="2"/>
  <c r="D6" i="2" s="1"/>
  <c r="C5" i="2"/>
  <c r="F11" i="2"/>
  <c r="F9" i="2"/>
  <c r="F7" i="2"/>
  <c r="F6" i="2"/>
  <c r="F4" i="2"/>
  <c r="F3" i="2"/>
  <c r="U12" i="2"/>
  <c r="U5" i="2"/>
  <c r="U8" i="2" s="1"/>
  <c r="U10" i="2" s="1"/>
  <c r="E12" i="2"/>
  <c r="G12" i="2"/>
  <c r="H12" i="2" s="1"/>
  <c r="E5" i="2"/>
  <c r="E8" i="2" s="1"/>
  <c r="E10" i="2" s="1"/>
  <c r="E22" i="2" s="1"/>
  <c r="G5" i="2"/>
  <c r="G18" i="2" s="1"/>
  <c r="D5" i="1"/>
  <c r="F3" i="1"/>
  <c r="P10" i="2" l="1"/>
  <c r="P22" i="2" s="1"/>
  <c r="P18" i="2"/>
  <c r="F17" i="2"/>
  <c r="I19" i="2"/>
  <c r="V21" i="2"/>
  <c r="U13" i="2"/>
  <c r="U15" i="2" s="1"/>
  <c r="C8" i="2"/>
  <c r="C10" i="2" s="1"/>
  <c r="C22" i="2" s="1"/>
  <c r="I18" i="2"/>
  <c r="H21" i="2"/>
  <c r="H20" i="2"/>
  <c r="J20" i="2"/>
  <c r="H17" i="2"/>
  <c r="I17" i="2"/>
  <c r="F20" i="2"/>
  <c r="AB9" i="2"/>
  <c r="AC9" i="2" s="1"/>
  <c r="AD9" i="2" s="1"/>
  <c r="AE9" i="2" s="1"/>
  <c r="AF9" i="2" s="1"/>
  <c r="AG9" i="2" s="1"/>
  <c r="AH9" i="2" s="1"/>
  <c r="AI9" i="2" s="1"/>
  <c r="AJ9" i="2" s="1"/>
  <c r="AK9" i="2" s="1"/>
  <c r="D9" i="1"/>
  <c r="AB12" i="2"/>
  <c r="AC12" i="2" s="1"/>
  <c r="AD12" i="2" s="1"/>
  <c r="AE12" i="2" s="1"/>
  <c r="AF12" i="2" s="1"/>
  <c r="AG12" i="2" s="1"/>
  <c r="AH12" i="2" s="1"/>
  <c r="AI12" i="2" s="1"/>
  <c r="AJ12" i="2" s="1"/>
  <c r="AK12" i="2" s="1"/>
  <c r="F12" i="2"/>
  <c r="E18" i="2"/>
  <c r="D7" i="2"/>
  <c r="F21" i="2" s="1"/>
  <c r="D12" i="2"/>
  <c r="E19" i="2"/>
  <c r="H5" i="2"/>
  <c r="T8" i="2"/>
  <c r="U22" i="2"/>
  <c r="G8" i="2"/>
  <c r="G19" i="2" s="1"/>
  <c r="D5" i="2"/>
  <c r="D18" i="2" s="1"/>
  <c r="E20" i="2"/>
  <c r="F5" i="2"/>
  <c r="F18" i="2" s="1"/>
  <c r="C18" i="2"/>
  <c r="U18" i="2"/>
  <c r="U19" i="2"/>
  <c r="V20" i="2"/>
  <c r="E13" i="2"/>
  <c r="E15" i="2" s="1"/>
  <c r="P13" i="2" l="1"/>
  <c r="P15" i="2" s="1"/>
  <c r="C19" i="2"/>
  <c r="J17" i="2"/>
  <c r="C13" i="2"/>
  <c r="C15" i="2" s="1"/>
  <c r="F8" i="2"/>
  <c r="F19" i="2" s="1"/>
  <c r="AB6" i="2"/>
  <c r="AC6" i="2" s="1"/>
  <c r="AD6" i="2" s="1"/>
  <c r="AE6" i="2" s="1"/>
  <c r="AF6" i="2" s="1"/>
  <c r="AG6" i="2" s="1"/>
  <c r="X21" i="2"/>
  <c r="W21" i="2"/>
  <c r="H8" i="2"/>
  <c r="H19" i="2" s="1"/>
  <c r="H18" i="2"/>
  <c r="W20" i="2"/>
  <c r="D8" i="2"/>
  <c r="D10" i="2" s="1"/>
  <c r="T10" i="2"/>
  <c r="T19" i="2"/>
  <c r="G10" i="2"/>
  <c r="G22" i="2" s="1"/>
  <c r="V5" i="2"/>
  <c r="V18" i="2" s="1"/>
  <c r="V17" i="2"/>
  <c r="W17" i="2"/>
  <c r="AH6" i="2" l="1"/>
  <c r="AG20" i="2"/>
  <c r="H10" i="2"/>
  <c r="H22" i="2" s="1"/>
  <c r="F10" i="2"/>
  <c r="F22" i="2" s="1"/>
  <c r="Y20" i="2"/>
  <c r="J18" i="2"/>
  <c r="X20" i="2"/>
  <c r="X17" i="2"/>
  <c r="I22" i="2"/>
  <c r="AA20" i="2"/>
  <c r="Z20" i="2"/>
  <c r="D19" i="2"/>
  <c r="D13" i="2"/>
  <c r="D15" i="2" s="1"/>
  <c r="D22" i="2"/>
  <c r="F13" i="2"/>
  <c r="F15" i="2" s="1"/>
  <c r="T22" i="2"/>
  <c r="T13" i="2"/>
  <c r="T15" i="2" s="1"/>
  <c r="G13" i="2"/>
  <c r="G15" i="2" s="1"/>
  <c r="V8" i="2"/>
  <c r="V10" i="2" s="1"/>
  <c r="Y17" i="2"/>
  <c r="AI6" i="2" l="1"/>
  <c r="AH20" i="2"/>
  <c r="H13" i="2"/>
  <c r="H15" i="2" s="1"/>
  <c r="J19" i="2"/>
  <c r="W19" i="2"/>
  <c r="W18" i="2"/>
  <c r="Y21" i="2"/>
  <c r="X18" i="2"/>
  <c r="AB20" i="2"/>
  <c r="V19" i="2"/>
  <c r="V13" i="2"/>
  <c r="V15" i="2" s="1"/>
  <c r="V22" i="2"/>
  <c r="Y18" i="2"/>
  <c r="Z17" i="2"/>
  <c r="AJ6" i="2" l="1"/>
  <c r="AI20" i="2"/>
  <c r="Z21" i="2"/>
  <c r="X19" i="2"/>
  <c r="AC20" i="2"/>
  <c r="AA5" i="2"/>
  <c r="AB5" i="2"/>
  <c r="Z18" i="2"/>
  <c r="X22" i="2"/>
  <c r="AA17" i="2"/>
  <c r="Y19" i="2"/>
  <c r="AJ20" i="2" l="1"/>
  <c r="AK6" i="2"/>
  <c r="AK20" i="2" s="1"/>
  <c r="J22" i="2"/>
  <c r="AB7" i="2"/>
  <c r="AA21" i="2"/>
  <c r="AD20" i="2"/>
  <c r="AC3" i="2"/>
  <c r="AD3" i="2" s="1"/>
  <c r="AD5" i="2" s="1"/>
  <c r="AB17" i="2"/>
  <c r="AA8" i="2"/>
  <c r="AA18" i="2"/>
  <c r="Z19" i="2"/>
  <c r="Y22" i="2"/>
  <c r="AC7" i="2" l="1"/>
  <c r="AB21" i="2"/>
  <c r="W22" i="2"/>
  <c r="AF20" i="2"/>
  <c r="AE20" i="2"/>
  <c r="AC5" i="2"/>
  <c r="AC4" i="2" s="1"/>
  <c r="Z22" i="2"/>
  <c r="AB8" i="2"/>
  <c r="AB18" i="2"/>
  <c r="AA10" i="2"/>
  <c r="AA19" i="2"/>
  <c r="AB4" i="2"/>
  <c r="AC17" i="2"/>
  <c r="AD7" i="2" l="1"/>
  <c r="AC21" i="2"/>
  <c r="AE3" i="2"/>
  <c r="AE5" i="2" s="1"/>
  <c r="AD17" i="2"/>
  <c r="AD4" i="2"/>
  <c r="AC8" i="2"/>
  <c r="AC18" i="2"/>
  <c r="AA22" i="2"/>
  <c r="AB10" i="2"/>
  <c r="AB11" i="2" s="1"/>
  <c r="AB19" i="2"/>
  <c r="AE7" i="2" l="1"/>
  <c r="AD21" i="2"/>
  <c r="AA13" i="2"/>
  <c r="AF3" i="2"/>
  <c r="AE17" i="2"/>
  <c r="AE4" i="2"/>
  <c r="AD8" i="2"/>
  <c r="AD18" i="2"/>
  <c r="AC10" i="2"/>
  <c r="AC11" i="2" s="1"/>
  <c r="AC19" i="2"/>
  <c r="AB22" i="2"/>
  <c r="AF5" i="2" l="1"/>
  <c r="AG3" i="2"/>
  <c r="AA15" i="2"/>
  <c r="AF7" i="2"/>
  <c r="AE21" i="2"/>
  <c r="AB13" i="2"/>
  <c r="AB15" i="2" s="1"/>
  <c r="AE8" i="2"/>
  <c r="AE18" i="2"/>
  <c r="AC22" i="2"/>
  <c r="AD19" i="2"/>
  <c r="AD10" i="2"/>
  <c r="AD11" i="2" s="1"/>
  <c r="AF17" i="2"/>
  <c r="AF21" i="2" l="1"/>
  <c r="AG7" i="2"/>
  <c r="AH3" i="2"/>
  <c r="AG5" i="2"/>
  <c r="AG17" i="2"/>
  <c r="AD22" i="2"/>
  <c r="AF4" i="2"/>
  <c r="AF8" i="2"/>
  <c r="AF18" i="2"/>
  <c r="AC13" i="2"/>
  <c r="AE10" i="2"/>
  <c r="AE11" i="2" s="1"/>
  <c r="AE19" i="2"/>
  <c r="AG18" i="2" l="1"/>
  <c r="AG8" i="2"/>
  <c r="AG4" i="2"/>
  <c r="AC15" i="2"/>
  <c r="AH5" i="2"/>
  <c r="AH17" i="2"/>
  <c r="AI3" i="2"/>
  <c r="AG21" i="2"/>
  <c r="AH7" i="2"/>
  <c r="AD13" i="2"/>
  <c r="AD15" i="2" s="1"/>
  <c r="AE22" i="2"/>
  <c r="AF10" i="2"/>
  <c r="AF11" i="2" s="1"/>
  <c r="AF19" i="2"/>
  <c r="AI17" i="2" l="1"/>
  <c r="AI5" i="2"/>
  <c r="AJ3" i="2"/>
  <c r="AH18" i="2"/>
  <c r="AH8" i="2"/>
  <c r="AG10" i="2"/>
  <c r="AG11" i="2" s="1"/>
  <c r="AG19" i="2"/>
  <c r="AI7" i="2"/>
  <c r="AH21" i="2"/>
  <c r="AH4" i="2"/>
  <c r="AF22" i="2"/>
  <c r="AE13" i="2"/>
  <c r="AJ7" i="2" l="1"/>
  <c r="AI21" i="2"/>
  <c r="AG22" i="2"/>
  <c r="AI4" i="2"/>
  <c r="AI18" i="2"/>
  <c r="AI8" i="2"/>
  <c r="AH19" i="2"/>
  <c r="AH10" i="2"/>
  <c r="AH11" i="2" s="1"/>
  <c r="AE15" i="2"/>
  <c r="AJ17" i="2"/>
  <c r="AJ5" i="2"/>
  <c r="AJ4" i="2" s="1"/>
  <c r="AK3" i="2"/>
  <c r="AF13" i="2"/>
  <c r="AF15" i="2" s="1"/>
  <c r="AG13" i="2" l="1"/>
  <c r="AG15" i="2" s="1"/>
  <c r="AK17" i="2"/>
  <c r="AK5" i="2"/>
  <c r="AJ8" i="2"/>
  <c r="AJ18" i="2"/>
  <c r="AI19" i="2"/>
  <c r="AI10" i="2"/>
  <c r="AI11" i="2" s="1"/>
  <c r="AH22" i="2"/>
  <c r="AJ21" i="2"/>
  <c r="AK7" i="2"/>
  <c r="AK21" i="2" s="1"/>
  <c r="AH13" i="2" l="1"/>
  <c r="AH15" i="2" s="1"/>
  <c r="AI22" i="2"/>
  <c r="AJ10" i="2"/>
  <c r="AJ11" i="2" s="1"/>
  <c r="AJ19" i="2"/>
  <c r="AK18" i="2"/>
  <c r="AK8" i="2"/>
  <c r="AK4" i="2"/>
  <c r="AI13" i="2" l="1"/>
  <c r="AI15" i="2" s="1"/>
  <c r="AK10" i="2"/>
  <c r="AK11" i="2" s="1"/>
  <c r="AK19" i="2"/>
  <c r="AJ22" i="2"/>
  <c r="AJ13" i="2"/>
  <c r="AJ15" i="2" s="1"/>
  <c r="AK22" i="2" l="1"/>
  <c r="AK13" i="2" l="1"/>
  <c r="AK15" i="2" l="1"/>
  <c r="AL13" i="2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FI13" i="2" s="1"/>
  <c r="AN21" i="2" s="1"/>
  <c r="AN23" i="2" s="1"/>
  <c r="AN24" i="2" s="1"/>
  <c r="AN26" i="2" s="1"/>
</calcChain>
</file>

<file path=xl/sharedStrings.xml><?xml version="1.0" encoding="utf-8"?>
<sst xmlns="http://schemas.openxmlformats.org/spreadsheetml/2006/main" count="60" uniqueCount="55">
  <si>
    <t>HRMS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</si>
  <si>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</si>
  <si>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</si>
  <si>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</si>
  <si>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</si>
  <si>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</si>
  <si>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</si>
  <si>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</si>
  <si>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</si>
  <si>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</si>
  <si>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</si>
  <si>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H120</t>
  </si>
  <si>
    <t>Revenue</t>
  </si>
  <si>
    <t>H118</t>
  </si>
  <si>
    <t>H218</t>
  </si>
  <si>
    <t>H119</t>
  </si>
  <si>
    <t>H219</t>
  </si>
  <si>
    <t>H220</t>
  </si>
  <si>
    <t>Cost of sales</t>
  </si>
  <si>
    <t>Gross profit</t>
  </si>
  <si>
    <t>SG&amp;A</t>
  </si>
  <si>
    <t>Other operating expenses</t>
  </si>
  <si>
    <t>Operating profit</t>
  </si>
  <si>
    <t>Net financial expense</t>
  </si>
  <si>
    <t>Pretax profit</t>
  </si>
  <si>
    <t>Taxes</t>
  </si>
  <si>
    <t>MI</t>
  </si>
  <si>
    <t>Net profit</t>
  </si>
  <si>
    <t>EPS</t>
  </si>
  <si>
    <t>Revenue y/y</t>
  </si>
  <si>
    <t>Gross Margin</t>
  </si>
  <si>
    <t>Operating Margin</t>
  </si>
  <si>
    <t>SG&amp;A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</si>
  <si>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</si>
  <si>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</si>
  <si>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</si>
  <si>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</si>
  <si>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</si>
  <si>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</si>
  <si>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</si>
  <si>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</si>
  <si>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</si>
  <si>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H121</t>
  </si>
  <si>
    <t>H221</t>
  </si>
  <si>
    <t>Operating y/y</t>
  </si>
  <si>
    <t>H122</t>
  </si>
  <si>
    <t>H222</t>
  </si>
  <si>
    <t>H123</t>
  </si>
  <si>
    <t>H223</t>
  </si>
  <si>
    <t>H124</t>
  </si>
  <si>
    <t>H224</t>
  </si>
  <si>
    <t>H125</t>
  </si>
  <si>
    <t>H225</t>
  </si>
  <si>
    <t>Net Margin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</si>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</sst>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0</xdr:row>
      <xdr:rowOff>0</xdr:rowOff>
    </xdr:from>
    <xdr:to>
      <xdr:col>8</xdr:col>
      <xdr:colOff>30480</xdr:colOff>
      <xdr:row>34</xdr:row>
      <xdr:rowOff>68580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DD418EE-1F65-4F2D-87D2-65719F1D625C}"/>
            </a:ext>
          </a:extLst>
        </xdr:cNvPr>
        <xdr:cNvCxnSpPr/>
      </xdr:nvCxnSpPr>
      <xdr:spPr>
        <a:xfrm>
          <a:off x="5814060" y="0"/>
          <a:ext cx="0" cy="6103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22860</xdr:colOff>
      <xdr:row>0</xdr:row>
      <xdr:rowOff>0</xdr:rowOff>
    </xdr:from>
    <xdr:to>
      <xdr:col>26</xdr:col>
      <xdr:colOff>22860</xdr:colOff>
      <xdr:row>31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80B6B79-757D-DDD9-BCB5-27EA938D22BE}"/>
            </a:ext>
          </a:extLst>
        </xdr:cNvPr>
        <xdr:cNvCxnSpPr/>
      </xdr:nvCxnSpPr>
      <xdr:spPr>
        <a:xfrm>
          <a:off x="16779240" y="0"/>
          <a:ext cx="0" cy="5707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0</xdr:row>
      <xdr:rowOff>7620</xdr:rowOff>
    </xdr:from>
    <xdr:to>
      <xdr:col>17</xdr:col>
      <xdr:colOff>15240</xdr:colOff>
      <xdr:row>33</xdr:row>
      <xdr:rowOff>106680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105CEF8-766A-A17E-D720-75FFAFB34BE8}"/>
            </a:ext>
          </a:extLst>
        </xdr:cNvPr>
        <xdr:cNvCxnSpPr/>
      </xdr:nvCxnSpPr>
      <xdr:spPr>
        <a:xfrm>
          <a:off x="1128522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245C-3D80-43F1-8008-E1114DAEB8E9}">
  <dimension ref="B2:G9"/>
  <sheetViews>
    <sheetView workbookViewId="0">
      <selection activeCell="E7" sqref="E7"/>
    </sheetView>
  </sheetViews>
  <sheetFormatPr defaultRowHeight="14.4" x14ac:dyDescent="0.3"/>
  <cols>
    <col min="4" max="4" width="9.44140625" bestFit="1" customWidth="1"/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2071</v>
      </c>
      <c r="E3" s="3">
        <v>45965</v>
      </c>
      <c r="F3" s="3">
        <f ca="1">TODAY()</f>
        <v>45965</v>
      </c>
      <c r="G3" s="3">
        <v>46065</v>
      </c>
    </row>
    <row r="4" spans="2:7" x14ac:dyDescent="0.3">
      <c r="C4" t="s">
        <v>2</v>
      </c>
      <c r="D4" s="5">
        <v>105.6</v>
      </c>
      <c r="E4" s="2" t="s">
        <v>52</v>
      </c>
    </row>
    <row r="5" spans="2:7" x14ac:dyDescent="0.3">
      <c r="C5" t="s">
        <v>3</v>
      </c>
      <c r="D5" s="5">
        <f>D3*D4</f>
        <v>218697.59999999998</v>
      </c>
    </row>
    <row r="6" spans="2:7" x14ac:dyDescent="0.3">
      <c r="C6" t="s">
        <v>4</v>
      </c>
      <c r="D6" s="5">
        <f>10321+229</f>
        <v>10550</v>
      </c>
      <c r="E6" s="2" t="s">
        <v>52</v>
      </c>
    </row>
    <row r="7" spans="2:7" x14ac:dyDescent="0.3">
      <c r="C7" t="s">
        <v>5</v>
      </c>
      <c r="D7" s="5">
        <f>2+30</f>
        <v>32</v>
      </c>
      <c r="E7" s="2" t="s">
        <v>52</v>
      </c>
    </row>
    <row r="8" spans="2:7" x14ac:dyDescent="0.3">
      <c r="C8" t="s">
        <v>6</v>
      </c>
      <c r="D8" s="5">
        <f>D6-D7</f>
        <v>10518</v>
      </c>
    </row>
    <row r="9" spans="2:7" x14ac:dyDescent="0.3">
      <c r="C9" t="s">
        <v>7</v>
      </c>
      <c r="D9" s="5">
        <f>D5-D8</f>
        <v>208179.59999999998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74AD-DD33-4B7E-8233-5E79767483A9}">
  <dimension ref="B2:FI27"/>
  <sheetViews>
    <sheetView tabSelected="1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N27" sqref="AN27"/>
    </sheetView>
  </sheetViews>
  <sheetFormatPr defaultRowHeight="14.4" x14ac:dyDescent="0.3"/>
  <cols>
    <col min="2" max="2" width="22.109375" bestFit="1" customWidth="1"/>
    <col min="17" max="17" width="8.88671875" customWidth="1"/>
    <col min="39" max="39" width="11.88671875" bestFit="1" customWidth="1"/>
    <col min="40" max="40" width="16.44140625" bestFit="1" customWidth="1"/>
  </cols>
  <sheetData>
    <row r="2" spans="2:165" x14ac:dyDescent="0.3">
      <c r="C2" s="6" t="s">
        <v>13</v>
      </c>
      <c r="D2" s="6" t="s">
        <v>14</v>
      </c>
      <c r="E2" s="6" t="s">
        <v>15</v>
      </c>
      <c r="F2" s="6" t="s">
        <v>16</v>
      </c>
      <c r="G2" s="6" t="s">
        <v>11</v>
      </c>
      <c r="H2" s="6" t="s">
        <v>17</v>
      </c>
      <c r="I2" s="6" t="s">
        <v>42</v>
      </c>
      <c r="J2" s="6" t="s">
        <v>43</v>
      </c>
      <c r="K2" s="6" t="s">
        <v>45</v>
      </c>
      <c r="L2" s="6" t="s">
        <v>46</v>
      </c>
      <c r="M2" s="6" t="s">
        <v>47</v>
      </c>
      <c r="N2" s="6" t="s">
        <v>48</v>
      </c>
      <c r="O2" s="6" t="s">
        <v>49</v>
      </c>
      <c r="P2" s="6" t="s">
        <v>50</v>
      </c>
      <c r="Q2" s="6" t="s">
        <v>51</v>
      </c>
      <c r="R2" s="6" t="s">
        <v>52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  <c r="AB2">
        <v>2026</v>
      </c>
      <c r="AC2">
        <v>2027</v>
      </c>
      <c r="AD2">
        <v>2028</v>
      </c>
      <c r="AE2">
        <v>2029</v>
      </c>
      <c r="AF2">
        <v>2030</v>
      </c>
      <c r="AG2">
        <v>2031</v>
      </c>
      <c r="AH2">
        <v>2032</v>
      </c>
      <c r="AI2">
        <v>2033</v>
      </c>
      <c r="AJ2">
        <v>2034</v>
      </c>
      <c r="AK2">
        <v>2035</v>
      </c>
    </row>
    <row r="3" spans="2:165" s="1" customFormat="1" x14ac:dyDescent="0.3">
      <c r="B3" s="1" t="s">
        <v>12</v>
      </c>
      <c r="C3" s="8">
        <v>2853</v>
      </c>
      <c r="D3" s="8">
        <f>T3-C3</f>
        <v>3113.1000000000004</v>
      </c>
      <c r="E3" s="8">
        <v>3284.2</v>
      </c>
      <c r="F3" s="8">
        <f>U3-E3</f>
        <v>3599.2</v>
      </c>
      <c r="G3" s="8">
        <v>2488</v>
      </c>
      <c r="H3" s="8">
        <f>6389.4-G3</f>
        <v>3901.3999999999996</v>
      </c>
      <c r="I3" s="8">
        <v>4235.1000000000004</v>
      </c>
      <c r="J3" s="8">
        <f>W3-I3</f>
        <v>4746.8999999999996</v>
      </c>
      <c r="K3" s="8">
        <v>5475</v>
      </c>
      <c r="L3" s="8">
        <f>X3-K3</f>
        <v>6127</v>
      </c>
      <c r="M3" s="8">
        <v>6698</v>
      </c>
      <c r="N3" s="8">
        <f>Y3-M3</f>
        <v>6729</v>
      </c>
      <c r="O3" s="8">
        <v>7504</v>
      </c>
      <c r="P3" s="8">
        <f>Z3-O3</f>
        <v>7666</v>
      </c>
      <c r="Q3" s="8">
        <v>8034</v>
      </c>
      <c r="R3" s="8">
        <f>P3*1.06</f>
        <v>8125.96</v>
      </c>
      <c r="S3" s="10"/>
      <c r="T3" s="8">
        <v>5966.1</v>
      </c>
      <c r="U3" s="8">
        <v>6883.4</v>
      </c>
      <c r="V3" s="8">
        <v>6389.4</v>
      </c>
      <c r="W3" s="8">
        <v>8982</v>
      </c>
      <c r="X3" s="8">
        <v>11602</v>
      </c>
      <c r="Y3" s="8">
        <v>13427</v>
      </c>
      <c r="Z3" s="8">
        <v>15170</v>
      </c>
      <c r="AA3" s="8">
        <f>SUM(Q3:R3)</f>
        <v>16159.96</v>
      </c>
      <c r="AB3" s="8">
        <f>AA3*1.06</f>
        <v>17129.5576</v>
      </c>
      <c r="AC3" s="8">
        <f>AB3*1.05</f>
        <v>17986.035480000002</v>
      </c>
      <c r="AD3" s="8">
        <f>AC3*1.04</f>
        <v>18705.476899200003</v>
      </c>
      <c r="AE3" s="8">
        <f t="shared" ref="AE3:AF3" si="0">AD3*1.03</f>
        <v>19266.641206176002</v>
      </c>
      <c r="AF3" s="8">
        <f t="shared" si="0"/>
        <v>19844.640442361284</v>
      </c>
      <c r="AG3" s="8">
        <f t="shared" ref="AG3" si="1">AF3*1.03</f>
        <v>20439.979655632123</v>
      </c>
      <c r="AH3" s="8">
        <f t="shared" ref="AH3" si="2">AG3*1.03</f>
        <v>21053.179045301087</v>
      </c>
      <c r="AI3" s="8">
        <f t="shared" ref="AI3" si="3">AH3*1.03</f>
        <v>21684.774416660119</v>
      </c>
      <c r="AJ3" s="8">
        <f t="shared" ref="AJ3" si="4">AI3*1.03</f>
        <v>22335.317649159922</v>
      </c>
      <c r="AK3" s="8">
        <f t="shared" ref="AK3" si="5">AJ3*1.03</f>
        <v>23005.377178634721</v>
      </c>
    </row>
    <row r="4" spans="2:165" x14ac:dyDescent="0.3">
      <c r="B4" t="s">
        <v>18</v>
      </c>
      <c r="C4" s="5">
        <v>859</v>
      </c>
      <c r="D4" s="5">
        <f>T4-C4</f>
        <v>932.8</v>
      </c>
      <c r="E4" s="5">
        <v>1029.0999999999999</v>
      </c>
      <c r="F4" s="5">
        <f>U4-E4</f>
        <v>1095.8000000000002</v>
      </c>
      <c r="G4" s="5">
        <v>870.7</v>
      </c>
      <c r="H4" s="5">
        <f>2013.3-G4</f>
        <v>1142.5999999999999</v>
      </c>
      <c r="I4" s="5">
        <v>1207.2</v>
      </c>
      <c r="J4" s="11">
        <f>W4-I4</f>
        <v>1372.8</v>
      </c>
      <c r="K4" s="5">
        <v>1586</v>
      </c>
      <c r="L4" s="11">
        <f>X4-K4</f>
        <v>1803</v>
      </c>
      <c r="M4" s="5">
        <v>1863</v>
      </c>
      <c r="N4" s="11">
        <f>Y4-M4</f>
        <v>1857</v>
      </c>
      <c r="O4" s="5">
        <v>2206</v>
      </c>
      <c r="P4" s="11">
        <f>Z4-O4</f>
        <v>2305</v>
      </c>
      <c r="Q4" s="5">
        <v>2356</v>
      </c>
      <c r="R4" s="5">
        <f>R3-R5</f>
        <v>2437.7880000000005</v>
      </c>
      <c r="T4" s="5">
        <v>1791.8</v>
      </c>
      <c r="U4" s="5">
        <v>2124.9</v>
      </c>
      <c r="V4" s="5">
        <v>2013.3</v>
      </c>
      <c r="W4" s="5">
        <v>2580</v>
      </c>
      <c r="X4" s="5">
        <v>3389</v>
      </c>
      <c r="Y4" s="5">
        <v>3720</v>
      </c>
      <c r="Z4" s="5">
        <v>4511</v>
      </c>
      <c r="AA4" s="11">
        <f>SUM(Q4:R4)</f>
        <v>4793.7880000000005</v>
      </c>
      <c r="AB4" s="5">
        <f t="shared" ref="X4:AF4" si="6">AB3-AB5</f>
        <v>5138.8672800000004</v>
      </c>
      <c r="AC4" s="5">
        <f t="shared" si="6"/>
        <v>5395.810644000001</v>
      </c>
      <c r="AD4" s="5">
        <f t="shared" si="6"/>
        <v>5611.6430697600008</v>
      </c>
      <c r="AE4" s="5">
        <f t="shared" si="6"/>
        <v>5779.992361852801</v>
      </c>
      <c r="AF4" s="5">
        <f t="shared" si="6"/>
        <v>5953.3921327083863</v>
      </c>
      <c r="AG4" s="5">
        <f t="shared" ref="AG4:AK4" si="7">AG3-AG5</f>
        <v>6131.993896689637</v>
      </c>
      <c r="AH4" s="5">
        <f t="shared" si="7"/>
        <v>6315.9537135903265</v>
      </c>
      <c r="AI4" s="5">
        <f t="shared" si="7"/>
        <v>6505.4323249980371</v>
      </c>
      <c r="AJ4" s="5">
        <f t="shared" si="7"/>
        <v>6700.5952947479782</v>
      </c>
      <c r="AK4" s="5">
        <f t="shared" si="7"/>
        <v>6901.6131535904169</v>
      </c>
    </row>
    <row r="5" spans="2:165" s="1" customFormat="1" x14ac:dyDescent="0.3">
      <c r="B5" s="1" t="s">
        <v>19</v>
      </c>
      <c r="C5" s="8">
        <f t="shared" ref="C5:I5" si="8">C3-C4</f>
        <v>1994</v>
      </c>
      <c r="D5" s="8">
        <f t="shared" si="8"/>
        <v>2180.3000000000002</v>
      </c>
      <c r="E5" s="8">
        <f t="shared" si="8"/>
        <v>2255.1</v>
      </c>
      <c r="F5" s="8">
        <f t="shared" si="8"/>
        <v>2503.3999999999996</v>
      </c>
      <c r="G5" s="8">
        <f t="shared" si="8"/>
        <v>1617.3</v>
      </c>
      <c r="H5" s="8">
        <f t="shared" si="8"/>
        <v>2758.7999999999997</v>
      </c>
      <c r="I5" s="8">
        <f t="shared" si="8"/>
        <v>3027.9000000000005</v>
      </c>
      <c r="J5" s="8">
        <f t="shared" ref="J5" si="9">J3-J4</f>
        <v>3374.0999999999995</v>
      </c>
      <c r="K5" s="8">
        <f t="shared" ref="K5:L5" si="10">K3-K4</f>
        <v>3889</v>
      </c>
      <c r="L5" s="8">
        <f t="shared" si="10"/>
        <v>4324</v>
      </c>
      <c r="M5" s="8">
        <f t="shared" ref="M5:N5" si="11">M3-M4</f>
        <v>4835</v>
      </c>
      <c r="N5" s="8">
        <f t="shared" si="11"/>
        <v>4872</v>
      </c>
      <c r="O5" s="8">
        <f t="shared" ref="O5:Q5" si="12">O3-O4</f>
        <v>5298</v>
      </c>
      <c r="P5" s="8">
        <f t="shared" ref="P5" si="13">P3-P4</f>
        <v>5361</v>
      </c>
      <c r="Q5" s="8">
        <f t="shared" si="12"/>
        <v>5678</v>
      </c>
      <c r="R5" s="8">
        <f>R3*0.7</f>
        <v>5688.1719999999996</v>
      </c>
      <c r="T5" s="8">
        <f>T3-T4</f>
        <v>4174.3</v>
      </c>
      <c r="U5" s="8">
        <f>U3-U4</f>
        <v>4758.5</v>
      </c>
      <c r="V5" s="8">
        <f>V3-V4</f>
        <v>4376.0999999999995</v>
      </c>
      <c r="W5" s="8">
        <f t="shared" ref="W5:X5" si="14">W3-W4</f>
        <v>6402</v>
      </c>
      <c r="X5" s="8">
        <f t="shared" si="14"/>
        <v>8213</v>
      </c>
      <c r="Y5" s="8">
        <f t="shared" ref="Y5:Z5" si="15">Y3-Y4</f>
        <v>9707</v>
      </c>
      <c r="Z5" s="8">
        <f t="shared" si="15"/>
        <v>10659</v>
      </c>
      <c r="AA5" s="8">
        <f t="shared" ref="X5:AF5" si="16">AA3*0.7</f>
        <v>11311.971999999998</v>
      </c>
      <c r="AB5" s="8">
        <f t="shared" si="16"/>
        <v>11990.69032</v>
      </c>
      <c r="AC5" s="8">
        <f t="shared" si="16"/>
        <v>12590.224836000001</v>
      </c>
      <c r="AD5" s="8">
        <f t="shared" si="16"/>
        <v>13093.833829440002</v>
      </c>
      <c r="AE5" s="8">
        <f t="shared" si="16"/>
        <v>13486.648844323201</v>
      </c>
      <c r="AF5" s="8">
        <f t="shared" si="16"/>
        <v>13891.248309652898</v>
      </c>
      <c r="AG5" s="8">
        <f t="shared" ref="AG5:AK5" si="17">AG3*0.7</f>
        <v>14307.985758942486</v>
      </c>
      <c r="AH5" s="8">
        <f t="shared" si="17"/>
        <v>14737.225331710761</v>
      </c>
      <c r="AI5" s="8">
        <f t="shared" si="17"/>
        <v>15179.342091662082</v>
      </c>
      <c r="AJ5" s="8">
        <f t="shared" si="17"/>
        <v>15634.722354411944</v>
      </c>
      <c r="AK5" s="8">
        <f t="shared" si="17"/>
        <v>16103.764025044304</v>
      </c>
    </row>
    <row r="6" spans="2:165" x14ac:dyDescent="0.3">
      <c r="B6" t="s">
        <v>20</v>
      </c>
      <c r="C6" s="5">
        <f>120+611</f>
        <v>731</v>
      </c>
      <c r="D6" s="5">
        <f>T6-C6</f>
        <v>831.3</v>
      </c>
      <c r="E6" s="5">
        <v>842.2</v>
      </c>
      <c r="F6" s="5">
        <f>U6-E6</f>
        <v>973.5</v>
      </c>
      <c r="G6" s="5">
        <v>768.5</v>
      </c>
      <c r="H6" s="5">
        <f>1698.5-G6</f>
        <v>930</v>
      </c>
      <c r="I6" s="5">
        <v>935</v>
      </c>
      <c r="J6" s="11">
        <f t="shared" ref="J6:J7" si="18">W6-I6</f>
        <v>1202</v>
      </c>
      <c r="K6" s="5">
        <v>1178</v>
      </c>
      <c r="L6" s="11">
        <f t="shared" ref="L6:L7" si="19">X6-K6</f>
        <v>1502</v>
      </c>
      <c r="M6" s="5">
        <v>1485</v>
      </c>
      <c r="N6" s="11">
        <f t="shared" ref="N6:N7" si="20">Y6-M6</f>
        <v>1684</v>
      </c>
      <c r="O6" s="5">
        <v>1682</v>
      </c>
      <c r="P6" s="11">
        <f t="shared" ref="P6:P7" si="21">Z6-O6</f>
        <v>1887</v>
      </c>
      <c r="Q6" s="5">
        <v>1832</v>
      </c>
      <c r="R6" s="5">
        <f>P6*1.08</f>
        <v>2037.96</v>
      </c>
      <c r="T6" s="5">
        <v>1562.3</v>
      </c>
      <c r="U6" s="5">
        <v>1815.7</v>
      </c>
      <c r="V6" s="5">
        <v>1698.5</v>
      </c>
      <c r="W6" s="5">
        <v>2137</v>
      </c>
      <c r="X6" s="5">
        <v>2680</v>
      </c>
      <c r="Y6" s="5">
        <v>3169</v>
      </c>
      <c r="Z6" s="5">
        <v>3569</v>
      </c>
      <c r="AA6" s="11">
        <f t="shared" ref="AA6:AA7" si="22">SUM(Q6:R6)</f>
        <v>3869.96</v>
      </c>
      <c r="AB6" s="5">
        <f t="shared" ref="AB6" si="23">AA6*1.03</f>
        <v>3986.0588000000002</v>
      </c>
      <c r="AC6" s="5">
        <f>AB6*1.02</f>
        <v>4065.7799760000003</v>
      </c>
      <c r="AD6" s="5">
        <f t="shared" ref="AD6:AF6" si="24">AC6*1.02</f>
        <v>4147.0955755200002</v>
      </c>
      <c r="AE6" s="5">
        <f t="shared" si="24"/>
        <v>4230.0374870304004</v>
      </c>
      <c r="AF6" s="5">
        <f t="shared" si="24"/>
        <v>4314.6382367710085</v>
      </c>
      <c r="AG6" s="5">
        <f t="shared" ref="AG6:AG7" si="25">AF6*1.02</f>
        <v>4400.9310015064284</v>
      </c>
      <c r="AH6" s="5">
        <f t="shared" ref="AH6:AH7" si="26">AG6*1.02</f>
        <v>4488.9496215365571</v>
      </c>
      <c r="AI6" s="5">
        <f t="shared" ref="AI6:AI7" si="27">AH6*1.02</f>
        <v>4578.7286139672879</v>
      </c>
      <c r="AJ6" s="5">
        <f t="shared" ref="AJ6:AJ7" si="28">AI6*1.02</f>
        <v>4670.3031862466341</v>
      </c>
      <c r="AK6" s="5">
        <f t="shared" ref="AK6:AK7" si="29">AJ6*1.02</f>
        <v>4763.7092499715673</v>
      </c>
    </row>
    <row r="7" spans="2:165" x14ac:dyDescent="0.3">
      <c r="B7" t="s">
        <v>21</v>
      </c>
      <c r="C7" s="5">
        <f>267-53</f>
        <v>214</v>
      </c>
      <c r="D7" s="5">
        <f>T7-C7</f>
        <v>270.70000000000005</v>
      </c>
      <c r="E7" s="5">
        <v>269</v>
      </c>
      <c r="F7" s="5">
        <f>U7-E7</f>
        <v>335</v>
      </c>
      <c r="G7" s="5">
        <v>314.2</v>
      </c>
      <c r="H7" s="5">
        <f>696.2-G7</f>
        <v>382.00000000000006</v>
      </c>
      <c r="I7" s="5">
        <v>371.1</v>
      </c>
      <c r="J7" s="11">
        <f t="shared" si="18"/>
        <v>362.9</v>
      </c>
      <c r="K7" s="5">
        <v>406</v>
      </c>
      <c r="L7" s="11">
        <f t="shared" si="19"/>
        <v>430</v>
      </c>
      <c r="M7" s="5">
        <v>403</v>
      </c>
      <c r="N7" s="11">
        <f t="shared" si="20"/>
        <v>486</v>
      </c>
      <c r="O7" s="5">
        <v>467</v>
      </c>
      <c r="P7" s="11">
        <f t="shared" si="21"/>
        <v>475</v>
      </c>
      <c r="Q7" s="5">
        <v>519</v>
      </c>
      <c r="R7" s="5">
        <f>P7*1.1</f>
        <v>522.5</v>
      </c>
      <c r="T7" s="5">
        <f>536.7-52</f>
        <v>484.70000000000005</v>
      </c>
      <c r="U7" s="5">
        <v>604</v>
      </c>
      <c r="V7" s="5">
        <v>696.2</v>
      </c>
      <c r="W7" s="5">
        <v>734</v>
      </c>
      <c r="X7" s="5">
        <v>836</v>
      </c>
      <c r="Y7" s="5">
        <v>889</v>
      </c>
      <c r="Z7" s="5">
        <v>942</v>
      </c>
      <c r="AA7" s="11">
        <f t="shared" si="22"/>
        <v>1041.5</v>
      </c>
      <c r="AB7" s="5">
        <f>AA7*1.03</f>
        <v>1072.7450000000001</v>
      </c>
      <c r="AC7" s="5">
        <f>AB7*1.02</f>
        <v>1094.1999000000001</v>
      </c>
      <c r="AD7" s="5">
        <f t="shared" ref="AD7:AF7" si="30">AC7*1.02</f>
        <v>1116.0838980000001</v>
      </c>
      <c r="AE7" s="5">
        <f t="shared" si="30"/>
        <v>1138.4055759600001</v>
      </c>
      <c r="AF7" s="5">
        <f t="shared" si="30"/>
        <v>1161.1736874792</v>
      </c>
      <c r="AG7" s="5">
        <f t="shared" si="25"/>
        <v>1184.3971612287839</v>
      </c>
      <c r="AH7" s="5">
        <f t="shared" si="26"/>
        <v>1208.0851044533597</v>
      </c>
      <c r="AI7" s="5">
        <f t="shared" si="27"/>
        <v>1232.2468065424268</v>
      </c>
      <c r="AJ7" s="5">
        <f t="shared" si="28"/>
        <v>1256.8917426732753</v>
      </c>
      <c r="AK7" s="5">
        <f t="shared" si="29"/>
        <v>1282.0295775267409</v>
      </c>
    </row>
    <row r="8" spans="2:165" s="1" customFormat="1" x14ac:dyDescent="0.3">
      <c r="B8" s="1" t="s">
        <v>22</v>
      </c>
      <c r="C8" s="8">
        <f t="shared" ref="C8:L8" si="31">C5-C6-C7</f>
        <v>1049</v>
      </c>
      <c r="D8" s="8">
        <f t="shared" si="31"/>
        <v>1078.3000000000002</v>
      </c>
      <c r="E8" s="8">
        <f t="shared" si="31"/>
        <v>1143.8999999999999</v>
      </c>
      <c r="F8" s="8">
        <f t="shared" si="31"/>
        <v>1194.8999999999996</v>
      </c>
      <c r="G8" s="8">
        <f t="shared" si="31"/>
        <v>534.59999999999991</v>
      </c>
      <c r="H8" s="8">
        <f t="shared" si="31"/>
        <v>1446.7999999999997</v>
      </c>
      <c r="I8" s="8">
        <f t="shared" ref="I8:J8" si="32">I5-I6-I7</f>
        <v>1721.8000000000006</v>
      </c>
      <c r="J8" s="8">
        <f t="shared" si="32"/>
        <v>1809.1999999999994</v>
      </c>
      <c r="K8" s="8">
        <f t="shared" si="31"/>
        <v>2305</v>
      </c>
      <c r="L8" s="8">
        <f t="shared" si="31"/>
        <v>2392</v>
      </c>
      <c r="M8" s="8">
        <f t="shared" ref="M8:N8" si="33">M5-M6-M7</f>
        <v>2947</v>
      </c>
      <c r="N8" s="8">
        <f t="shared" si="33"/>
        <v>2702</v>
      </c>
      <c r="O8" s="8">
        <f t="shared" ref="O8:R8" si="34">O5-O6-O7</f>
        <v>3149</v>
      </c>
      <c r="P8" s="8">
        <f t="shared" ref="P8" si="35">P5-P6-P7</f>
        <v>2999</v>
      </c>
      <c r="Q8" s="8">
        <f t="shared" si="34"/>
        <v>3327</v>
      </c>
      <c r="R8" s="8">
        <f t="shared" si="34"/>
        <v>3127.7119999999995</v>
      </c>
      <c r="T8" s="8">
        <f>T5-T6-T7</f>
        <v>2127.3000000000002</v>
      </c>
      <c r="U8" s="8">
        <f>U5-U6-U7</f>
        <v>2338.8000000000002</v>
      </c>
      <c r="V8" s="8">
        <f>V5-V6-V7</f>
        <v>1981.3999999999994</v>
      </c>
      <c r="W8" s="8">
        <f t="shared" ref="W8" si="36">W5-W6-W7</f>
        <v>3531</v>
      </c>
      <c r="X8" s="8">
        <f t="shared" ref="X8:Y8" si="37">X5-X6-X7</f>
        <v>4697</v>
      </c>
      <c r="Y8" s="8">
        <f t="shared" si="37"/>
        <v>5649</v>
      </c>
      <c r="Z8" s="8">
        <f t="shared" ref="W8:AF8" si="38">Z5-Z6-Z7</f>
        <v>6148</v>
      </c>
      <c r="AA8" s="8">
        <f t="shared" si="38"/>
        <v>6400.5119999999979</v>
      </c>
      <c r="AB8" s="8">
        <f t="shared" si="38"/>
        <v>6931.8865199999991</v>
      </c>
      <c r="AC8" s="8">
        <f t="shared" si="38"/>
        <v>7430.2449600000018</v>
      </c>
      <c r="AD8" s="8">
        <f t="shared" si="38"/>
        <v>7830.6543559200009</v>
      </c>
      <c r="AE8" s="8">
        <f t="shared" si="38"/>
        <v>8118.2057813328011</v>
      </c>
      <c r="AF8" s="8">
        <f t="shared" si="38"/>
        <v>8415.4363854026888</v>
      </c>
      <c r="AG8" s="8">
        <f t="shared" ref="AG8:AK8" si="39">AG5-AG6-AG7</f>
        <v>8722.6575962072729</v>
      </c>
      <c r="AH8" s="8">
        <f t="shared" si="39"/>
        <v>9040.1906057208435</v>
      </c>
      <c r="AI8" s="8">
        <f t="shared" si="39"/>
        <v>9368.3666711523674</v>
      </c>
      <c r="AJ8" s="8">
        <f t="shared" si="39"/>
        <v>9707.527425492035</v>
      </c>
      <c r="AK8" s="8">
        <f t="shared" si="39"/>
        <v>10058.025197545996</v>
      </c>
    </row>
    <row r="9" spans="2:165" x14ac:dyDescent="0.3">
      <c r="B9" t="s">
        <v>23</v>
      </c>
      <c r="C9" s="5">
        <v>18</v>
      </c>
      <c r="D9" s="5">
        <f>T9-C9</f>
        <v>43.8</v>
      </c>
      <c r="E9" s="5">
        <v>16.3</v>
      </c>
      <c r="F9" s="5">
        <f>U9-E9</f>
        <v>52.3</v>
      </c>
      <c r="G9" s="5">
        <v>43.4</v>
      </c>
      <c r="H9" s="5">
        <f>86.1-91.1-G9</f>
        <v>-48.4</v>
      </c>
      <c r="I9" s="5">
        <v>47</v>
      </c>
      <c r="J9" s="11">
        <f>W9-I9</f>
        <v>49</v>
      </c>
      <c r="K9" s="5">
        <v>35</v>
      </c>
      <c r="L9" s="11">
        <f>X9-K9</f>
        <v>27</v>
      </c>
      <c r="M9" s="5">
        <v>-75</v>
      </c>
      <c r="N9" s="11">
        <f>Y9-M9</f>
        <v>-115</v>
      </c>
      <c r="O9" s="5">
        <v>-141</v>
      </c>
      <c r="P9" s="11">
        <f>Z9-O9</f>
        <v>-142</v>
      </c>
      <c r="Q9" s="5">
        <v>-148</v>
      </c>
      <c r="R9" s="5">
        <f>P9*1.05</f>
        <v>-149.1</v>
      </c>
      <c r="T9" s="5">
        <v>61.8</v>
      </c>
      <c r="U9" s="5">
        <v>68.599999999999994</v>
      </c>
      <c r="V9" s="5">
        <f>-91.1+86.1</f>
        <v>-5</v>
      </c>
      <c r="W9" s="5">
        <v>96</v>
      </c>
      <c r="X9" s="5">
        <v>62</v>
      </c>
      <c r="Y9" s="5">
        <v>-190</v>
      </c>
      <c r="Z9" s="5">
        <v>-283</v>
      </c>
      <c r="AA9" s="11">
        <f>SUM(Q9:R9)</f>
        <v>-297.10000000000002</v>
      </c>
      <c r="AB9" s="5">
        <f t="shared" ref="X9:AF9" si="40">AA9*0.9</f>
        <v>-267.39000000000004</v>
      </c>
      <c r="AC9" s="5">
        <f t="shared" si="40"/>
        <v>-240.65100000000004</v>
      </c>
      <c r="AD9" s="5">
        <f t="shared" si="40"/>
        <v>-216.58590000000004</v>
      </c>
      <c r="AE9" s="5">
        <f t="shared" si="40"/>
        <v>-194.92731000000003</v>
      </c>
      <c r="AF9" s="5">
        <f t="shared" si="40"/>
        <v>-175.43457900000004</v>
      </c>
      <c r="AG9" s="5">
        <f t="shared" ref="AG9" si="41">AF9*0.9</f>
        <v>-157.89112110000005</v>
      </c>
      <c r="AH9" s="5">
        <f t="shared" ref="AH9" si="42">AG9*0.9</f>
        <v>-142.10200899000006</v>
      </c>
      <c r="AI9" s="5">
        <f t="shared" ref="AI9" si="43">AH9*0.9</f>
        <v>-127.89180809100006</v>
      </c>
      <c r="AJ9" s="5">
        <f t="shared" ref="AJ9" si="44">AI9*0.9</f>
        <v>-115.10262728190006</v>
      </c>
      <c r="AK9" s="5">
        <f t="shared" ref="AK9" si="45">AJ9*0.9</f>
        <v>-103.59236455371006</v>
      </c>
    </row>
    <row r="10" spans="2:165" s="1" customFormat="1" x14ac:dyDescent="0.3">
      <c r="B10" s="1" t="s">
        <v>24</v>
      </c>
      <c r="C10" s="8">
        <f t="shared" ref="C10:L10" si="46">C8-C9</f>
        <v>1031</v>
      </c>
      <c r="D10" s="8">
        <f t="shared" si="46"/>
        <v>1034.5000000000002</v>
      </c>
      <c r="E10" s="8">
        <f t="shared" si="46"/>
        <v>1127.5999999999999</v>
      </c>
      <c r="F10" s="8">
        <f t="shared" si="46"/>
        <v>1142.5999999999997</v>
      </c>
      <c r="G10" s="8">
        <f t="shared" si="46"/>
        <v>491.19999999999993</v>
      </c>
      <c r="H10" s="8">
        <f t="shared" si="46"/>
        <v>1495.1999999999998</v>
      </c>
      <c r="I10" s="8">
        <f t="shared" ref="I10:J10" si="47">I8-I9</f>
        <v>1674.8000000000006</v>
      </c>
      <c r="J10" s="8">
        <f t="shared" si="47"/>
        <v>1760.1999999999994</v>
      </c>
      <c r="K10" s="8">
        <f t="shared" si="46"/>
        <v>2270</v>
      </c>
      <c r="L10" s="8">
        <f t="shared" si="46"/>
        <v>2365</v>
      </c>
      <c r="M10" s="8">
        <f t="shared" ref="M10:N10" si="48">M8-M9</f>
        <v>3022</v>
      </c>
      <c r="N10" s="8">
        <f t="shared" si="48"/>
        <v>2817</v>
      </c>
      <c r="O10" s="8">
        <f t="shared" ref="O10:R10" si="49">O8-O9</f>
        <v>3290</v>
      </c>
      <c r="P10" s="8">
        <f t="shared" ref="P10" si="50">P8-P9</f>
        <v>3141</v>
      </c>
      <c r="Q10" s="8">
        <f t="shared" si="49"/>
        <v>3475</v>
      </c>
      <c r="R10" s="8">
        <f t="shared" si="49"/>
        <v>3276.8119999999994</v>
      </c>
      <c r="T10" s="8">
        <f>T8-T9</f>
        <v>2065.5</v>
      </c>
      <c r="U10" s="8">
        <f>U8-U9</f>
        <v>2270.2000000000003</v>
      </c>
      <c r="V10" s="8">
        <f>V8-V9</f>
        <v>1986.3999999999994</v>
      </c>
      <c r="W10" s="8">
        <f t="shared" ref="W10" si="51">W8-W9</f>
        <v>3435</v>
      </c>
      <c r="X10" s="8">
        <f t="shared" ref="X10:Y10" si="52">X8-X9</f>
        <v>4635</v>
      </c>
      <c r="Y10" s="8">
        <f t="shared" si="52"/>
        <v>5839</v>
      </c>
      <c r="Z10" s="8">
        <f t="shared" ref="W10:AF10" si="53">Z8-Z9</f>
        <v>6431</v>
      </c>
      <c r="AA10" s="8">
        <f t="shared" si="53"/>
        <v>6697.6119999999983</v>
      </c>
      <c r="AB10" s="8">
        <f t="shared" si="53"/>
        <v>7199.2765199999994</v>
      </c>
      <c r="AC10" s="8">
        <f t="shared" si="53"/>
        <v>7670.8959600000017</v>
      </c>
      <c r="AD10" s="8">
        <f t="shared" si="53"/>
        <v>8047.2402559200009</v>
      </c>
      <c r="AE10" s="8">
        <f t="shared" si="53"/>
        <v>8313.133091332802</v>
      </c>
      <c r="AF10" s="8">
        <f t="shared" si="53"/>
        <v>8590.8709644026894</v>
      </c>
      <c r="AG10" s="8">
        <f t="shared" ref="AG10:AK10" si="54">AG8-AG9</f>
        <v>8880.5487173072725</v>
      </c>
      <c r="AH10" s="8">
        <f t="shared" si="54"/>
        <v>9182.2926147108428</v>
      </c>
      <c r="AI10" s="8">
        <f t="shared" si="54"/>
        <v>9496.2584792433681</v>
      </c>
      <c r="AJ10" s="8">
        <f t="shared" si="54"/>
        <v>9822.6300527739349</v>
      </c>
      <c r="AK10" s="8">
        <f t="shared" si="54"/>
        <v>10161.617562099706</v>
      </c>
    </row>
    <row r="11" spans="2:165" x14ac:dyDescent="0.3">
      <c r="B11" t="s">
        <v>25</v>
      </c>
      <c r="C11" s="5">
        <v>335</v>
      </c>
      <c r="D11" s="5">
        <f>T11-C11</f>
        <v>337.20000000000005</v>
      </c>
      <c r="E11" s="5">
        <v>383.4</v>
      </c>
      <c r="F11" s="5">
        <f>U11-E11</f>
        <v>367.6</v>
      </c>
      <c r="G11" s="5">
        <v>160.69999999999999</v>
      </c>
      <c r="H11" s="5">
        <f>613-G11</f>
        <v>452.3</v>
      </c>
      <c r="I11" s="5">
        <v>510.8</v>
      </c>
      <c r="J11" s="11">
        <f t="shared" ref="J11:J12" si="55">W11-I11</f>
        <v>504.2</v>
      </c>
      <c r="K11" s="5">
        <v>647</v>
      </c>
      <c r="L11" s="11">
        <f t="shared" ref="L11:L12" si="56">X11-K11</f>
        <v>658</v>
      </c>
      <c r="M11" s="5">
        <v>831</v>
      </c>
      <c r="N11" s="11">
        <f t="shared" ref="N11:N12" si="57">Y11-M11</f>
        <v>792</v>
      </c>
      <c r="O11" s="5">
        <v>927</v>
      </c>
      <c r="P11" s="11">
        <f t="shared" ref="P11:P12" si="58">Z11-O11</f>
        <v>918</v>
      </c>
      <c r="Q11" s="5">
        <v>1230</v>
      </c>
      <c r="R11" s="5">
        <f>R10*0.28</f>
        <v>917.50735999999995</v>
      </c>
      <c r="T11" s="5">
        <v>672.2</v>
      </c>
      <c r="U11" s="5">
        <v>751</v>
      </c>
      <c r="V11" s="5">
        <v>613</v>
      </c>
      <c r="W11" s="5">
        <v>1015</v>
      </c>
      <c r="X11" s="5">
        <v>1305</v>
      </c>
      <c r="Y11" s="5">
        <v>1623</v>
      </c>
      <c r="Z11" s="5">
        <v>1845</v>
      </c>
      <c r="AA11" s="11">
        <f t="shared" ref="AA11:AA12" si="59">SUM(Q11:R11)</f>
        <v>2147.5073600000001</v>
      </c>
      <c r="AB11" s="5">
        <f>AB10*0.3</f>
        <v>2159.7829559999996</v>
      </c>
      <c r="AC11" s="5">
        <f t="shared" ref="AC11:AK11" si="60">AC10*0.3</f>
        <v>2301.2687880000003</v>
      </c>
      <c r="AD11" s="5">
        <f t="shared" si="60"/>
        <v>2414.1720767760003</v>
      </c>
      <c r="AE11" s="5">
        <f t="shared" si="60"/>
        <v>2493.9399273998406</v>
      </c>
      <c r="AF11" s="5">
        <f t="shared" si="60"/>
        <v>2577.2612893208066</v>
      </c>
      <c r="AG11" s="5">
        <f t="shared" si="60"/>
        <v>2664.1646151921818</v>
      </c>
      <c r="AH11" s="5">
        <f t="shared" si="60"/>
        <v>2754.6877844132528</v>
      </c>
      <c r="AI11" s="5">
        <f t="shared" si="60"/>
        <v>2848.8775437730105</v>
      </c>
      <c r="AJ11" s="5">
        <f t="shared" si="60"/>
        <v>2946.7890158321802</v>
      </c>
      <c r="AK11" s="5">
        <f t="shared" si="60"/>
        <v>3048.4852686299114</v>
      </c>
    </row>
    <row r="12" spans="2:165" x14ac:dyDescent="0.3">
      <c r="B12" t="s">
        <v>26</v>
      </c>
      <c r="C12" s="5">
        <f>-12+2</f>
        <v>-10</v>
      </c>
      <c r="D12" s="5">
        <f>T12-C12</f>
        <v>-1.5000000000000018</v>
      </c>
      <c r="E12" s="5">
        <f>-12.8+2.7</f>
        <v>-10.100000000000001</v>
      </c>
      <c r="F12" s="5">
        <f>U12-E12</f>
        <v>1.2000000000000011</v>
      </c>
      <c r="G12" s="5">
        <f>-3-1.4</f>
        <v>-4.4000000000000004</v>
      </c>
      <c r="H12" s="5">
        <f>-16.1+4.1-G12</f>
        <v>-7.6000000000000014</v>
      </c>
      <c r="I12" s="5">
        <f>-12.9+3.3</f>
        <v>-9.6000000000000014</v>
      </c>
      <c r="J12" s="11">
        <f t="shared" si="55"/>
        <v>-16.399999999999999</v>
      </c>
      <c r="K12" s="5">
        <f>-25+6</f>
        <v>-19</v>
      </c>
      <c r="L12" s="11">
        <f t="shared" si="56"/>
        <v>-18</v>
      </c>
      <c r="M12" s="5">
        <f>-43+8</f>
        <v>-35</v>
      </c>
      <c r="N12" s="11">
        <f t="shared" si="57"/>
        <v>-58</v>
      </c>
      <c r="O12" s="5">
        <f>-16+10</f>
        <v>-6</v>
      </c>
      <c r="P12" s="11">
        <f t="shared" si="58"/>
        <v>-10</v>
      </c>
      <c r="Q12" s="5">
        <f>-26+25</f>
        <v>-1</v>
      </c>
      <c r="R12" s="5">
        <v>0</v>
      </c>
      <c r="T12" s="5">
        <f>-16.6+5.1</f>
        <v>-11.500000000000002</v>
      </c>
      <c r="U12" s="5">
        <f>-15.9+7</f>
        <v>-8.9</v>
      </c>
      <c r="V12" s="5">
        <f>-16.1+4.1</f>
        <v>-12.000000000000002</v>
      </c>
      <c r="W12" s="5">
        <f>-34+8</f>
        <v>-26</v>
      </c>
      <c r="X12" s="5">
        <f>-50+13</f>
        <v>-37</v>
      </c>
      <c r="Y12" s="5">
        <f>-105+12</f>
        <v>-93</v>
      </c>
      <c r="Z12" s="5">
        <f>-44+28</f>
        <v>-16</v>
      </c>
      <c r="AA12" s="11">
        <f t="shared" si="59"/>
        <v>-1</v>
      </c>
      <c r="AB12" s="5">
        <f t="shared" ref="X12:AF12" si="61">AA12*1.02</f>
        <v>-1.02</v>
      </c>
      <c r="AC12" s="5">
        <f t="shared" si="61"/>
        <v>-1.0404</v>
      </c>
      <c r="AD12" s="5">
        <f t="shared" si="61"/>
        <v>-1.0612079999999999</v>
      </c>
      <c r="AE12" s="5">
        <f t="shared" si="61"/>
        <v>-1.08243216</v>
      </c>
      <c r="AF12" s="5">
        <f t="shared" si="61"/>
        <v>-1.1040808032</v>
      </c>
      <c r="AG12" s="5">
        <f t="shared" ref="AG12" si="62">AF12*1.02</f>
        <v>-1.1261624192640001</v>
      </c>
      <c r="AH12" s="5">
        <f t="shared" ref="AH12" si="63">AG12*1.02</f>
        <v>-1.14868566764928</v>
      </c>
      <c r="AI12" s="5">
        <f t="shared" ref="AI12" si="64">AH12*1.02</f>
        <v>-1.1716593810022657</v>
      </c>
      <c r="AJ12" s="5">
        <f t="shared" ref="AJ12" si="65">AI12*1.02</f>
        <v>-1.1950925686223111</v>
      </c>
      <c r="AK12" s="5">
        <f t="shared" ref="AK12" si="66">AJ12*1.02</f>
        <v>-1.2189944199947573</v>
      </c>
    </row>
    <row r="13" spans="2:165" s="1" customFormat="1" x14ac:dyDescent="0.3">
      <c r="B13" s="1" t="s">
        <v>27</v>
      </c>
      <c r="C13" s="8">
        <f t="shared" ref="C13:I13" si="67">C10-C11-C12</f>
        <v>706</v>
      </c>
      <c r="D13" s="8">
        <f t="shared" si="67"/>
        <v>698.80000000000018</v>
      </c>
      <c r="E13" s="8">
        <f t="shared" si="67"/>
        <v>754.3</v>
      </c>
      <c r="F13" s="8">
        <f t="shared" si="67"/>
        <v>773.79999999999961</v>
      </c>
      <c r="G13" s="8">
        <f t="shared" si="67"/>
        <v>334.89999999999992</v>
      </c>
      <c r="H13" s="8">
        <f t="shared" si="67"/>
        <v>1050.4999999999998</v>
      </c>
      <c r="I13" s="8">
        <f t="shared" si="67"/>
        <v>1173.6000000000006</v>
      </c>
      <c r="J13" s="8">
        <f t="shared" ref="J13" si="68">J10-J11-J12</f>
        <v>1272.3999999999994</v>
      </c>
      <c r="K13" s="8">
        <f t="shared" ref="I13:L13" si="69">K10-K11-K12</f>
        <v>1642</v>
      </c>
      <c r="L13" s="8">
        <f t="shared" si="69"/>
        <v>1725</v>
      </c>
      <c r="M13" s="8">
        <f t="shared" ref="M13:N13" si="70">M10-M11-M12</f>
        <v>2226</v>
      </c>
      <c r="N13" s="8">
        <f t="shared" si="70"/>
        <v>2083</v>
      </c>
      <c r="O13" s="8">
        <f t="shared" ref="O13:Q13" si="71">O10-O11-O12</f>
        <v>2369</v>
      </c>
      <c r="P13" s="8">
        <f t="shared" ref="P13" si="72">P10-P11-P12</f>
        <v>2233</v>
      </c>
      <c r="Q13" s="8">
        <f t="shared" si="71"/>
        <v>2246</v>
      </c>
      <c r="R13" s="8">
        <f t="shared" ref="R13" si="73">R10-R11-R12</f>
        <v>2359.3046399999994</v>
      </c>
      <c r="T13" s="8">
        <f>T10-T11-T12</f>
        <v>1404.8</v>
      </c>
      <c r="U13" s="8">
        <f>U10-U11-U12</f>
        <v>1528.1000000000004</v>
      </c>
      <c r="V13" s="8">
        <f>V10-V11-V12</f>
        <v>1385.3999999999994</v>
      </c>
      <c r="W13" s="8">
        <f t="shared" ref="W13" si="74">W10-W11-W12</f>
        <v>2446</v>
      </c>
      <c r="X13" s="8">
        <f t="shared" ref="X13:Y13" si="75">X10-X11-X12</f>
        <v>3367</v>
      </c>
      <c r="Y13" s="8">
        <f t="shared" si="75"/>
        <v>4309</v>
      </c>
      <c r="Z13" s="8">
        <f t="shared" ref="X13:AF13" si="76">Z10-Z11-Z12</f>
        <v>4602</v>
      </c>
      <c r="AA13" s="8">
        <f t="shared" si="76"/>
        <v>4551.1046399999977</v>
      </c>
      <c r="AB13" s="8">
        <f t="shared" si="76"/>
        <v>5040.5135640000008</v>
      </c>
      <c r="AC13" s="8">
        <f t="shared" si="76"/>
        <v>5370.6675720000012</v>
      </c>
      <c r="AD13" s="8">
        <f t="shared" si="76"/>
        <v>5634.1293871440002</v>
      </c>
      <c r="AE13" s="8">
        <f t="shared" si="76"/>
        <v>5820.2755960929617</v>
      </c>
      <c r="AF13" s="8">
        <f t="shared" si="76"/>
        <v>6014.7137558850836</v>
      </c>
      <c r="AG13" s="8">
        <f t="shared" ref="AG13:AK13" si="77">AG10-AG11-AG12</f>
        <v>6217.510264534355</v>
      </c>
      <c r="AH13" s="8">
        <f t="shared" si="77"/>
        <v>6428.7535159652398</v>
      </c>
      <c r="AI13" s="8">
        <f t="shared" si="77"/>
        <v>6648.5525948513596</v>
      </c>
      <c r="AJ13" s="8">
        <f t="shared" si="77"/>
        <v>6877.0361295103767</v>
      </c>
      <c r="AK13" s="8">
        <f t="shared" si="77"/>
        <v>7114.3512878897891</v>
      </c>
      <c r="AL13" s="1">
        <f>AK13*(1+$AN$19)</f>
        <v>7043.2077750108911</v>
      </c>
      <c r="AM13" s="1">
        <f t="shared" ref="AM13:CX13" si="78">AL13*(1+$AN$19)</f>
        <v>6972.7756972607822</v>
      </c>
      <c r="AN13" s="1">
        <f t="shared" si="78"/>
        <v>6903.0479402881747</v>
      </c>
      <c r="AO13" s="1">
        <f t="shared" si="78"/>
        <v>6834.0174608852931</v>
      </c>
      <c r="AP13" s="1">
        <f t="shared" si="78"/>
        <v>6765.6772862764401</v>
      </c>
      <c r="AQ13" s="1">
        <f t="shared" si="78"/>
        <v>6698.0205134136759</v>
      </c>
      <c r="AR13" s="1">
        <f t="shared" si="78"/>
        <v>6631.0403082795392</v>
      </c>
      <c r="AS13" s="1">
        <f t="shared" si="78"/>
        <v>6564.7299051967439</v>
      </c>
      <c r="AT13" s="1">
        <f t="shared" si="78"/>
        <v>6499.082606144776</v>
      </c>
      <c r="AU13" s="1">
        <f t="shared" si="78"/>
        <v>6434.0917800833286</v>
      </c>
      <c r="AV13" s="1">
        <f t="shared" si="78"/>
        <v>6369.7508622824953</v>
      </c>
      <c r="AW13" s="1">
        <f t="shared" si="78"/>
        <v>6306.0533536596704</v>
      </c>
      <c r="AX13" s="1">
        <f t="shared" si="78"/>
        <v>6242.9928201230732</v>
      </c>
      <c r="AY13" s="1">
        <f t="shared" si="78"/>
        <v>6180.5628919218425</v>
      </c>
      <c r="AZ13" s="1">
        <f t="shared" si="78"/>
        <v>6118.7572630026243</v>
      </c>
      <c r="BA13" s="1">
        <f t="shared" si="78"/>
        <v>6057.5696903725984</v>
      </c>
      <c r="BB13" s="1">
        <f t="shared" si="78"/>
        <v>5996.9939934688728</v>
      </c>
      <c r="BC13" s="1">
        <f t="shared" si="78"/>
        <v>5937.0240535341836</v>
      </c>
      <c r="BD13" s="1">
        <f t="shared" si="78"/>
        <v>5877.6538129988421</v>
      </c>
      <c r="BE13" s="1">
        <f t="shared" si="78"/>
        <v>5818.8772748688534</v>
      </c>
      <c r="BF13" s="1">
        <f t="shared" si="78"/>
        <v>5760.6885021201651</v>
      </c>
      <c r="BG13" s="1">
        <f t="shared" si="78"/>
        <v>5703.0816170989638</v>
      </c>
      <c r="BH13" s="1">
        <f t="shared" si="78"/>
        <v>5646.0508009279738</v>
      </c>
      <c r="BI13" s="1">
        <f t="shared" si="78"/>
        <v>5589.5902929186941</v>
      </c>
      <c r="BJ13" s="1">
        <f t="shared" si="78"/>
        <v>5533.6943899895068</v>
      </c>
      <c r="BK13" s="1">
        <f t="shared" si="78"/>
        <v>5478.3574460896116</v>
      </c>
      <c r="BL13" s="1">
        <f t="shared" si="78"/>
        <v>5423.5738716287151</v>
      </c>
      <c r="BM13" s="1">
        <f t="shared" si="78"/>
        <v>5369.3381329124277</v>
      </c>
      <c r="BN13" s="1">
        <f t="shared" si="78"/>
        <v>5315.6447515833033</v>
      </c>
      <c r="BO13" s="1">
        <f t="shared" si="78"/>
        <v>5262.4883040674704</v>
      </c>
      <c r="BP13" s="1">
        <f t="shared" si="78"/>
        <v>5209.8634210267955</v>
      </c>
      <c r="BQ13" s="1">
        <f t="shared" si="78"/>
        <v>5157.7647868165277</v>
      </c>
      <c r="BR13" s="1">
        <f t="shared" si="78"/>
        <v>5106.1871389483622</v>
      </c>
      <c r="BS13" s="1">
        <f t="shared" si="78"/>
        <v>5055.1252675588785</v>
      </c>
      <c r="BT13" s="1">
        <f t="shared" si="78"/>
        <v>5004.5740148832892</v>
      </c>
      <c r="BU13" s="1">
        <f t="shared" si="78"/>
        <v>4954.5282747344563</v>
      </c>
      <c r="BV13" s="1">
        <f t="shared" si="78"/>
        <v>4904.9829919871117</v>
      </c>
      <c r="BW13" s="1">
        <f t="shared" si="78"/>
        <v>4855.933162067241</v>
      </c>
      <c r="BX13" s="1">
        <f t="shared" si="78"/>
        <v>4807.3738304465687</v>
      </c>
      <c r="BY13" s="1">
        <f t="shared" si="78"/>
        <v>4759.3000921421026</v>
      </c>
      <c r="BZ13" s="1">
        <f t="shared" si="78"/>
        <v>4711.7070912206818</v>
      </c>
      <c r="CA13" s="1">
        <f t="shared" si="78"/>
        <v>4664.5900203084748</v>
      </c>
      <c r="CB13" s="1">
        <f t="shared" si="78"/>
        <v>4617.9441201053896</v>
      </c>
      <c r="CC13" s="1">
        <f t="shared" si="78"/>
        <v>4571.7646789043356</v>
      </c>
      <c r="CD13" s="1">
        <f t="shared" si="78"/>
        <v>4526.0470321152925</v>
      </c>
      <c r="CE13" s="1">
        <f t="shared" si="78"/>
        <v>4480.7865617941397</v>
      </c>
      <c r="CF13" s="1">
        <f t="shared" si="78"/>
        <v>4435.9786961761984</v>
      </c>
      <c r="CG13" s="1">
        <f t="shared" si="78"/>
        <v>4391.6189092144359</v>
      </c>
      <c r="CH13" s="1">
        <f t="shared" si="78"/>
        <v>4347.7027201222918</v>
      </c>
      <c r="CI13" s="1">
        <f t="shared" si="78"/>
        <v>4304.2256929210689</v>
      </c>
      <c r="CJ13" s="1">
        <f t="shared" si="78"/>
        <v>4261.1834359918585</v>
      </c>
      <c r="CK13" s="1">
        <f t="shared" si="78"/>
        <v>4218.5716016319402</v>
      </c>
      <c r="CL13" s="1">
        <f t="shared" si="78"/>
        <v>4176.3858856156212</v>
      </c>
      <c r="CM13" s="1">
        <f t="shared" si="78"/>
        <v>4134.6220267594654</v>
      </c>
      <c r="CN13" s="1">
        <f t="shared" si="78"/>
        <v>4093.2758064918708</v>
      </c>
      <c r="CO13" s="1">
        <f t="shared" si="78"/>
        <v>4052.343048426952</v>
      </c>
      <c r="CP13" s="1">
        <f t="shared" si="78"/>
        <v>4011.8196179426823</v>
      </c>
      <c r="CQ13" s="1">
        <f t="shared" si="78"/>
        <v>3971.7014217632554</v>
      </c>
      <c r="CR13" s="1">
        <f t="shared" si="78"/>
        <v>3931.9844075456231</v>
      </c>
      <c r="CS13" s="1">
        <f t="shared" si="78"/>
        <v>3892.6645634701667</v>
      </c>
      <c r="CT13" s="1">
        <f t="shared" si="78"/>
        <v>3853.7379178354649</v>
      </c>
      <c r="CU13" s="1">
        <f t="shared" si="78"/>
        <v>3815.2005386571104</v>
      </c>
      <c r="CV13" s="1">
        <f t="shared" si="78"/>
        <v>3777.0485332705393</v>
      </c>
      <c r="CW13" s="1">
        <f t="shared" si="78"/>
        <v>3739.2780479378339</v>
      </c>
      <c r="CX13" s="1">
        <f t="shared" si="78"/>
        <v>3701.8852674584555</v>
      </c>
      <c r="CY13" s="1">
        <f t="shared" ref="CY13:FI13" si="79">CX13*(1+$AN$19)</f>
        <v>3664.8664147838708</v>
      </c>
      <c r="CZ13" s="1">
        <f t="shared" si="79"/>
        <v>3628.2177506360322</v>
      </c>
      <c r="DA13" s="1">
        <f t="shared" si="79"/>
        <v>3591.9355731296719</v>
      </c>
      <c r="DB13" s="1">
        <f t="shared" si="79"/>
        <v>3556.0162173983749</v>
      </c>
      <c r="DC13" s="1">
        <f t="shared" si="79"/>
        <v>3520.4560552243911</v>
      </c>
      <c r="DD13" s="1">
        <f t="shared" si="79"/>
        <v>3485.2514946721471</v>
      </c>
      <c r="DE13" s="1">
        <f t="shared" si="79"/>
        <v>3450.3989797254258</v>
      </c>
      <c r="DF13" s="1">
        <f t="shared" si="79"/>
        <v>3415.8949899281715</v>
      </c>
      <c r="DG13" s="1">
        <f t="shared" si="79"/>
        <v>3381.7360400288899</v>
      </c>
      <c r="DH13" s="1">
        <f t="shared" si="79"/>
        <v>3347.9186796286008</v>
      </c>
      <c r="DI13" s="1">
        <f t="shared" si="79"/>
        <v>3314.439492832315</v>
      </c>
      <c r="DJ13" s="1">
        <f t="shared" si="79"/>
        <v>3281.295097903992</v>
      </c>
      <c r="DK13" s="1">
        <f t="shared" si="79"/>
        <v>3248.4821469249518</v>
      </c>
      <c r="DL13" s="1">
        <f t="shared" si="79"/>
        <v>3215.9973254557021</v>
      </c>
      <c r="DM13" s="1">
        <f t="shared" si="79"/>
        <v>3183.8373522011452</v>
      </c>
      <c r="DN13" s="1">
        <f t="shared" si="79"/>
        <v>3151.9989786791339</v>
      </c>
      <c r="DO13" s="1">
        <f t="shared" si="79"/>
        <v>3120.4789888923424</v>
      </c>
      <c r="DP13" s="1">
        <f t="shared" si="79"/>
        <v>3089.2741990034187</v>
      </c>
      <c r="DQ13" s="1">
        <f t="shared" si="79"/>
        <v>3058.3814570133845</v>
      </c>
      <c r="DR13" s="1">
        <f t="shared" si="79"/>
        <v>3027.7976424432509</v>
      </c>
      <c r="DS13" s="1">
        <f t="shared" si="79"/>
        <v>2997.5196660188185</v>
      </c>
      <c r="DT13" s="1">
        <f t="shared" si="79"/>
        <v>2967.5444693586301</v>
      </c>
      <c r="DU13" s="1">
        <f t="shared" si="79"/>
        <v>2937.8690246650435</v>
      </c>
      <c r="DV13" s="1">
        <f t="shared" si="79"/>
        <v>2908.4903344183931</v>
      </c>
      <c r="DW13" s="1">
        <f t="shared" si="79"/>
        <v>2879.405431074209</v>
      </c>
      <c r="DX13" s="1">
        <f t="shared" si="79"/>
        <v>2850.611376763467</v>
      </c>
      <c r="DY13" s="1">
        <f t="shared" si="79"/>
        <v>2822.1052629958322</v>
      </c>
      <c r="DZ13" s="1">
        <f t="shared" si="79"/>
        <v>2793.884210365874</v>
      </c>
      <c r="EA13" s="1">
        <f t="shared" si="79"/>
        <v>2765.9453682622152</v>
      </c>
      <c r="EB13" s="1">
        <f t="shared" si="79"/>
        <v>2738.2859145795928</v>
      </c>
      <c r="EC13" s="1">
        <f t="shared" si="79"/>
        <v>2710.9030554337969</v>
      </c>
      <c r="ED13" s="1">
        <f t="shared" si="79"/>
        <v>2683.7940248794589</v>
      </c>
      <c r="EE13" s="1">
        <f t="shared" si="79"/>
        <v>2656.9560846306645</v>
      </c>
      <c r="EF13" s="1">
        <f t="shared" si="79"/>
        <v>2630.3865237843579</v>
      </c>
      <c r="EG13" s="1">
        <f t="shared" si="79"/>
        <v>2604.0826585465143</v>
      </c>
      <c r="EH13" s="1">
        <f t="shared" si="79"/>
        <v>2578.041831961049</v>
      </c>
      <c r="EI13" s="1">
        <f t="shared" si="79"/>
        <v>2552.2614136414386</v>
      </c>
      <c r="EJ13" s="1">
        <f t="shared" si="79"/>
        <v>2526.738799505024</v>
      </c>
      <c r="EK13" s="1">
        <f t="shared" si="79"/>
        <v>2501.4714115099737</v>
      </c>
      <c r="EL13" s="1">
        <f t="shared" si="79"/>
        <v>2476.456697394874</v>
      </c>
      <c r="EM13" s="1">
        <f t="shared" si="79"/>
        <v>2451.6921304209254</v>
      </c>
      <c r="EN13" s="1">
        <f t="shared" si="79"/>
        <v>2427.1752091167164</v>
      </c>
      <c r="EO13" s="1">
        <f t="shared" si="79"/>
        <v>2402.903457025549</v>
      </c>
      <c r="EP13" s="1">
        <f t="shared" si="79"/>
        <v>2378.8744224552934</v>
      </c>
      <c r="EQ13" s="1">
        <f t="shared" si="79"/>
        <v>2355.0856782307405</v>
      </c>
      <c r="ER13" s="1">
        <f t="shared" si="79"/>
        <v>2331.5348214484329</v>
      </c>
      <c r="ES13" s="1">
        <f t="shared" si="79"/>
        <v>2308.2194732339485</v>
      </c>
      <c r="ET13" s="1">
        <f t="shared" si="79"/>
        <v>2285.1372785016092</v>
      </c>
      <c r="EU13" s="1">
        <f t="shared" si="79"/>
        <v>2262.2859057165929</v>
      </c>
      <c r="EV13" s="1">
        <f t="shared" si="79"/>
        <v>2239.663046659427</v>
      </c>
      <c r="EW13" s="1">
        <f t="shared" si="79"/>
        <v>2217.2664161928328</v>
      </c>
      <c r="EX13" s="1">
        <f t="shared" si="79"/>
        <v>2195.0937520309044</v>
      </c>
      <c r="EY13" s="1">
        <f t="shared" si="79"/>
        <v>2173.1428145105951</v>
      </c>
      <c r="EZ13" s="1">
        <f t="shared" si="79"/>
        <v>2151.4113863654893</v>
      </c>
      <c r="FA13" s="1">
        <f t="shared" si="79"/>
        <v>2129.8972725018343</v>
      </c>
      <c r="FB13" s="1">
        <f t="shared" si="79"/>
        <v>2108.598299776816</v>
      </c>
      <c r="FC13" s="1">
        <f t="shared" si="79"/>
        <v>2087.512316779048</v>
      </c>
      <c r="FD13" s="1">
        <f t="shared" si="79"/>
        <v>2066.6371936112573</v>
      </c>
      <c r="FE13" s="1">
        <f t="shared" si="79"/>
        <v>2045.9708216751446</v>
      </c>
      <c r="FF13" s="1">
        <f t="shared" si="79"/>
        <v>2025.5111134583931</v>
      </c>
      <c r="FG13" s="1">
        <f t="shared" si="79"/>
        <v>2005.2560023238091</v>
      </c>
      <c r="FH13" s="1">
        <f t="shared" si="79"/>
        <v>1985.2034423005709</v>
      </c>
      <c r="FI13" s="1">
        <f t="shared" si="79"/>
        <v>1965.3514078775652</v>
      </c>
    </row>
    <row r="14" spans="2:165" x14ac:dyDescent="0.3">
      <c r="B14" t="s">
        <v>2</v>
      </c>
      <c r="C14" s="5">
        <v>105.569</v>
      </c>
      <c r="D14" s="5">
        <v>105.569</v>
      </c>
      <c r="E14" s="5">
        <v>105.569</v>
      </c>
      <c r="F14" s="5">
        <v>105.569</v>
      </c>
      <c r="G14" s="5">
        <v>105.569</v>
      </c>
      <c r="H14" s="5">
        <v>105.569</v>
      </c>
      <c r="I14" s="5">
        <v>105.569</v>
      </c>
      <c r="J14" s="5">
        <v>105.569</v>
      </c>
      <c r="K14" s="5">
        <v>105.569</v>
      </c>
      <c r="L14" s="5">
        <v>105.569</v>
      </c>
      <c r="M14" s="5">
        <v>105.569</v>
      </c>
      <c r="N14" s="5">
        <v>105.569</v>
      </c>
      <c r="O14" s="5">
        <v>105.569</v>
      </c>
      <c r="P14" s="5">
        <v>105.569</v>
      </c>
      <c r="Q14" s="5">
        <v>105.569</v>
      </c>
      <c r="R14" s="5">
        <v>105.569</v>
      </c>
      <c r="T14" s="5">
        <v>105.569</v>
      </c>
      <c r="U14" s="5">
        <v>105.569</v>
      </c>
      <c r="V14" s="5">
        <v>105.569</v>
      </c>
      <c r="W14" s="5">
        <v>105.569</v>
      </c>
      <c r="X14" s="5">
        <v>105.569</v>
      </c>
      <c r="Y14" s="5">
        <v>105.569</v>
      </c>
      <c r="Z14" s="5">
        <v>105.569</v>
      </c>
      <c r="AA14" s="5">
        <v>105.569</v>
      </c>
      <c r="AB14" s="5">
        <v>105.569</v>
      </c>
      <c r="AC14" s="5">
        <v>105.569</v>
      </c>
      <c r="AD14" s="5">
        <v>105.569</v>
      </c>
      <c r="AE14" s="5">
        <v>105.569</v>
      </c>
      <c r="AF14" s="5">
        <v>105.569</v>
      </c>
      <c r="AG14" s="5">
        <v>105.569</v>
      </c>
      <c r="AH14" s="5">
        <v>105.569</v>
      </c>
      <c r="AI14" s="5">
        <v>105.569</v>
      </c>
      <c r="AJ14" s="5">
        <v>105.569</v>
      </c>
      <c r="AK14" s="5">
        <v>105.569</v>
      </c>
    </row>
    <row r="15" spans="2:165" s="1" customFormat="1" x14ac:dyDescent="0.3">
      <c r="B15" s="1" t="s">
        <v>28</v>
      </c>
      <c r="C15" s="7">
        <f t="shared" ref="C15:I15" si="80">C13/C14</f>
        <v>6.6875692674932985</v>
      </c>
      <c r="D15" s="7">
        <f t="shared" si="80"/>
        <v>6.6193674279381272</v>
      </c>
      <c r="E15" s="7">
        <f t="shared" si="80"/>
        <v>7.1450899411759128</v>
      </c>
      <c r="F15" s="7">
        <f t="shared" si="80"/>
        <v>7.3298032566378346</v>
      </c>
      <c r="G15" s="7">
        <f t="shared" si="80"/>
        <v>3.1723327870871176</v>
      </c>
      <c r="H15" s="7">
        <f t="shared" si="80"/>
        <v>9.9508378406539766</v>
      </c>
      <c r="I15" s="7">
        <f t="shared" si="80"/>
        <v>11.116899847493114</v>
      </c>
      <c r="J15" s="7">
        <f t="shared" ref="J15" si="81">J13/J14</f>
        <v>12.052780645833526</v>
      </c>
      <c r="K15" s="7">
        <f t="shared" ref="I15:L15" si="82">K13/K14</f>
        <v>15.553808409665717</v>
      </c>
      <c r="L15" s="7">
        <f t="shared" si="82"/>
        <v>16.340024060093398</v>
      </c>
      <c r="M15" s="7">
        <f t="shared" ref="M15:N15" si="83">M13/M14</f>
        <v>21.085735395807482</v>
      </c>
      <c r="N15" s="7">
        <f t="shared" si="83"/>
        <v>19.73117108242003</v>
      </c>
      <c r="O15" s="7">
        <f t="shared" ref="O15:Q15" si="84">O13/O14</f>
        <v>22.440299709194935</v>
      </c>
      <c r="P15" s="7">
        <f t="shared" ref="P15" si="85">P13/P14</f>
        <v>21.152042739819453</v>
      </c>
      <c r="Q15" s="7">
        <f t="shared" si="84"/>
        <v>21.275184950127404</v>
      </c>
      <c r="R15" s="7">
        <f t="shared" ref="R15" si="86">R13/R14</f>
        <v>22.348460627646368</v>
      </c>
      <c r="T15" s="7">
        <f>T13/T14</f>
        <v>13.306936695431423</v>
      </c>
      <c r="U15" s="7">
        <f>U13/U14</f>
        <v>14.474893197813754</v>
      </c>
      <c r="V15" s="7">
        <f>V13/V14</f>
        <v>13.123170627741093</v>
      </c>
      <c r="W15" s="7">
        <f t="shared" ref="W15" si="87">W13/W14</f>
        <v>23.169680493326638</v>
      </c>
      <c r="X15" s="7">
        <f t="shared" ref="X15:Y15" si="88">X13/X14</f>
        <v>31.893832469759115</v>
      </c>
      <c r="Y15" s="7">
        <f t="shared" si="88"/>
        <v>40.816906478227509</v>
      </c>
      <c r="Z15" s="7">
        <f t="shared" ref="X15:AF15" si="89">Z13/Z14</f>
        <v>43.592342449014389</v>
      </c>
      <c r="AA15" s="7">
        <f t="shared" si="89"/>
        <v>43.110237285566761</v>
      </c>
      <c r="AB15" s="7">
        <f t="shared" si="89"/>
        <v>47.74615241216646</v>
      </c>
      <c r="AC15" s="7">
        <f t="shared" si="89"/>
        <v>50.873528895793285</v>
      </c>
      <c r="AD15" s="7">
        <f t="shared" si="89"/>
        <v>53.369165068760715</v>
      </c>
      <c r="AE15" s="7">
        <f t="shared" si="89"/>
        <v>55.13243088494692</v>
      </c>
      <c r="AF15" s="7">
        <f t="shared" si="89"/>
        <v>56.974242020717099</v>
      </c>
      <c r="AG15" s="7">
        <f t="shared" ref="AG15:AK15" si="90">AG13/AG14</f>
        <v>58.895227429779148</v>
      </c>
      <c r="AH15" s="7">
        <f t="shared" si="90"/>
        <v>60.896224421612779</v>
      </c>
      <c r="AI15" s="7">
        <f t="shared" si="90"/>
        <v>62.978266298358037</v>
      </c>
      <c r="AJ15" s="7">
        <f t="shared" si="90"/>
        <v>65.142571488887612</v>
      </c>
      <c r="AK15" s="7">
        <f t="shared" si="90"/>
        <v>67.390534038304693</v>
      </c>
    </row>
    <row r="17" spans="2:40" x14ac:dyDescent="0.3">
      <c r="B17" s="1" t="s">
        <v>29</v>
      </c>
      <c r="E17" s="9">
        <f>E3/C3-1</f>
        <v>0.15113915177006643</v>
      </c>
      <c r="F17" s="9">
        <f t="shared" ref="F17:J17" si="91">F3/D3-1</f>
        <v>0.15614660627670141</v>
      </c>
      <c r="G17" s="9">
        <f t="shared" si="91"/>
        <v>-0.24243346933804266</v>
      </c>
      <c r="H17" s="9">
        <f t="shared" si="91"/>
        <v>8.3963102911758014E-2</v>
      </c>
      <c r="I17" s="9">
        <f t="shared" si="91"/>
        <v>0.70221061093247594</v>
      </c>
      <c r="J17" s="9">
        <f t="shared" si="91"/>
        <v>0.21671707592146405</v>
      </c>
      <c r="K17" s="9">
        <f t="shared" ref="K17" si="92">K3/I3-1</f>
        <v>0.29276758518098744</v>
      </c>
      <c r="L17" s="9">
        <f t="shared" ref="L17" si="93">L3/J3-1</f>
        <v>0.29073711264193491</v>
      </c>
      <c r="M17" s="9">
        <f t="shared" ref="M17" si="94">M3/K3-1</f>
        <v>0.22337899543378992</v>
      </c>
      <c r="N17" s="9">
        <f t="shared" ref="N17" si="95">N3/L3-1</f>
        <v>9.8253631467275948E-2</v>
      </c>
      <c r="O17" s="9">
        <f t="shared" ref="O17" si="96">O3/M3-1</f>
        <v>0.12033442818751872</v>
      </c>
      <c r="P17" s="9">
        <f t="shared" ref="P17:Q17" si="97">P3/N3-1</f>
        <v>0.13924803091098226</v>
      </c>
      <c r="Q17" s="9">
        <f t="shared" si="97"/>
        <v>7.0628997867803855E-2</v>
      </c>
      <c r="R17" s="9">
        <f t="shared" ref="R17" si="98">R3/P3-1</f>
        <v>6.0000000000000053E-2</v>
      </c>
      <c r="U17" s="9">
        <f>U3/T3-1</f>
        <v>0.15375203231591805</v>
      </c>
      <c r="V17" s="9">
        <f t="shared" ref="V17:AF17" si="99">V3/U3-1</f>
        <v>-7.1766859400877459E-2</v>
      </c>
      <c r="W17" s="9">
        <f t="shared" si="99"/>
        <v>0.40576579960559678</v>
      </c>
      <c r="X17" s="9">
        <f t="shared" si="99"/>
        <v>0.2916945001113338</v>
      </c>
      <c r="Y17" s="9">
        <f t="shared" si="99"/>
        <v>0.15730046543699361</v>
      </c>
      <c r="Z17" s="9">
        <f t="shared" si="99"/>
        <v>0.12981306323080366</v>
      </c>
      <c r="AA17" s="9">
        <f t="shared" si="99"/>
        <v>6.5257745550428403E-2</v>
      </c>
      <c r="AB17" s="9">
        <f t="shared" si="99"/>
        <v>6.0000000000000053E-2</v>
      </c>
      <c r="AC17" s="9">
        <f t="shared" si="99"/>
        <v>5.0000000000000044E-2</v>
      </c>
      <c r="AD17" s="9">
        <f t="shared" si="99"/>
        <v>4.0000000000000036E-2</v>
      </c>
      <c r="AE17" s="9">
        <f t="shared" si="99"/>
        <v>3.0000000000000027E-2</v>
      </c>
      <c r="AF17" s="9">
        <f t="shared" si="99"/>
        <v>3.0000000000000027E-2</v>
      </c>
      <c r="AG17" s="9">
        <f t="shared" ref="AG17" si="100">AG3/AF3-1</f>
        <v>3.0000000000000027E-2</v>
      </c>
      <c r="AH17" s="9">
        <f t="shared" ref="AH17" si="101">AH3/AG3-1</f>
        <v>3.0000000000000027E-2</v>
      </c>
      <c r="AI17" s="9">
        <f t="shared" ref="AI17" si="102">AI3/AH3-1</f>
        <v>3.0000000000000027E-2</v>
      </c>
      <c r="AJ17" s="9">
        <f t="shared" ref="AJ17" si="103">AJ3/AI3-1</f>
        <v>3.0000000000000027E-2</v>
      </c>
      <c r="AK17" s="9">
        <f t="shared" ref="AK17" si="104">AK3/AJ3-1</f>
        <v>3.0000000000000027E-2</v>
      </c>
    </row>
    <row r="18" spans="2:40" x14ac:dyDescent="0.3">
      <c r="B18" s="1" t="s">
        <v>30</v>
      </c>
      <c r="C18" s="9">
        <f>C5/C3</f>
        <v>0.69891342446547489</v>
      </c>
      <c r="D18" s="9">
        <f t="shared" ref="D18:E18" si="105">D5/D3</f>
        <v>0.70036298223635607</v>
      </c>
      <c r="E18" s="9">
        <f t="shared" si="105"/>
        <v>0.6866512392667925</v>
      </c>
      <c r="F18" s="9">
        <f t="shared" ref="F18:L18" si="106">F5/F3</f>
        <v>0.69554345410091123</v>
      </c>
      <c r="G18" s="9">
        <f t="shared" si="106"/>
        <v>0.65004019292604498</v>
      </c>
      <c r="H18" s="9">
        <f t="shared" si="106"/>
        <v>0.70713077356846255</v>
      </c>
      <c r="I18" s="9">
        <f t="shared" si="106"/>
        <v>0.71495360204009362</v>
      </c>
      <c r="J18" s="9">
        <f t="shared" si="106"/>
        <v>0.71080073311002967</v>
      </c>
      <c r="K18" s="9">
        <f t="shared" si="106"/>
        <v>0.71031963470319637</v>
      </c>
      <c r="L18" s="9">
        <f t="shared" si="106"/>
        <v>0.70572874163538435</v>
      </c>
      <c r="M18" s="9">
        <f t="shared" ref="M18:P18" si="107">M5/M3</f>
        <v>0.7218572708271126</v>
      </c>
      <c r="N18" s="9">
        <f t="shared" si="107"/>
        <v>0.72403031654034777</v>
      </c>
      <c r="O18" s="9">
        <f t="shared" si="107"/>
        <v>0.70602345415778256</v>
      </c>
      <c r="P18" s="9">
        <f t="shared" ref="P18:Q18" si="108">P5/P3</f>
        <v>0.69932168014609963</v>
      </c>
      <c r="Q18" s="9">
        <f t="shared" si="108"/>
        <v>0.70674632810555138</v>
      </c>
      <c r="R18" s="9">
        <f t="shared" ref="R18" si="109">R5/R3</f>
        <v>0.7</v>
      </c>
      <c r="T18" s="9">
        <f t="shared" ref="T18:AF18" si="110">T5/T3</f>
        <v>0.69966980104255705</v>
      </c>
      <c r="U18" s="9">
        <f t="shared" si="110"/>
        <v>0.69130081064590176</v>
      </c>
      <c r="V18" s="9">
        <f t="shared" si="110"/>
        <v>0.68489999060944684</v>
      </c>
      <c r="W18" s="9">
        <f t="shared" si="110"/>
        <v>0.71275885103540415</v>
      </c>
      <c r="X18" s="9">
        <f t="shared" si="110"/>
        <v>0.70789519048439919</v>
      </c>
      <c r="Y18" s="9">
        <f t="shared" si="110"/>
        <v>0.7229463022268563</v>
      </c>
      <c r="Z18" s="9">
        <f t="shared" si="110"/>
        <v>0.70263678312458799</v>
      </c>
      <c r="AA18" s="9">
        <f t="shared" si="110"/>
        <v>0.7</v>
      </c>
      <c r="AB18" s="9">
        <f t="shared" si="110"/>
        <v>0.7</v>
      </c>
      <c r="AC18" s="9">
        <f t="shared" si="110"/>
        <v>0.7</v>
      </c>
      <c r="AD18" s="9">
        <f t="shared" si="110"/>
        <v>0.7</v>
      </c>
      <c r="AE18" s="9">
        <f t="shared" si="110"/>
        <v>0.7</v>
      </c>
      <c r="AF18" s="9">
        <f t="shared" si="110"/>
        <v>0.7</v>
      </c>
      <c r="AG18" s="9">
        <f t="shared" ref="AG18:AK18" si="111">AG5/AG3</f>
        <v>0.7</v>
      </c>
      <c r="AH18" s="9">
        <f t="shared" si="111"/>
        <v>0.7</v>
      </c>
      <c r="AI18" s="9">
        <f t="shared" si="111"/>
        <v>0.7</v>
      </c>
      <c r="AJ18" s="9">
        <f t="shared" si="111"/>
        <v>0.7</v>
      </c>
      <c r="AK18" s="9">
        <f t="shared" si="111"/>
        <v>0.7</v>
      </c>
    </row>
    <row r="19" spans="2:40" x14ac:dyDescent="0.3">
      <c r="B19" t="s">
        <v>31</v>
      </c>
      <c r="C19" s="9">
        <f>C8/C3</f>
        <v>0.36768314055380302</v>
      </c>
      <c r="D19" s="9">
        <f t="shared" ref="D19:E19" si="112">D8/D3</f>
        <v>0.34637499598470978</v>
      </c>
      <c r="E19" s="9">
        <f t="shared" si="112"/>
        <v>0.34830400097436209</v>
      </c>
      <c r="F19" s="9">
        <f t="shared" ref="F19:L19" si="113">F8/F3</f>
        <v>0.33199044232051561</v>
      </c>
      <c r="G19" s="9">
        <f t="shared" si="113"/>
        <v>0.21487138263665592</v>
      </c>
      <c r="H19" s="9">
        <f t="shared" si="113"/>
        <v>0.37084123647921258</v>
      </c>
      <c r="I19" s="9">
        <f t="shared" si="113"/>
        <v>0.40655474487025112</v>
      </c>
      <c r="J19" s="9">
        <f t="shared" si="113"/>
        <v>0.38113294992521424</v>
      </c>
      <c r="K19" s="9">
        <f t="shared" si="113"/>
        <v>0.42100456621004567</v>
      </c>
      <c r="L19" s="9">
        <f t="shared" si="113"/>
        <v>0.39040313367063817</v>
      </c>
      <c r="M19" s="9">
        <f t="shared" ref="M19:P19" si="114">M8/M3</f>
        <v>0.43998208420424006</v>
      </c>
      <c r="N19" s="9">
        <f t="shared" si="114"/>
        <v>0.40154554911576756</v>
      </c>
      <c r="O19" s="9">
        <f t="shared" si="114"/>
        <v>0.41964285714285715</v>
      </c>
      <c r="P19" s="9">
        <f t="shared" ref="P19:Q19" si="115">P8/P3</f>
        <v>0.39120793112444563</v>
      </c>
      <c r="Q19" s="9">
        <f t="shared" si="115"/>
        <v>0.41411501120238986</v>
      </c>
      <c r="R19" s="9">
        <f t="shared" ref="R19" si="116">R8/R3</f>
        <v>0.38490369137923391</v>
      </c>
      <c r="T19" s="9">
        <f t="shared" ref="T19:AF19" si="117">T8/T3</f>
        <v>0.35656458993312212</v>
      </c>
      <c r="U19" s="9">
        <f t="shared" si="117"/>
        <v>0.3397739489205916</v>
      </c>
      <c r="V19" s="9">
        <f t="shared" si="117"/>
        <v>0.3101073653238175</v>
      </c>
      <c r="W19" s="9">
        <f t="shared" si="117"/>
        <v>0.39311957247828994</v>
      </c>
      <c r="X19" s="9">
        <f t="shared" si="117"/>
        <v>0.40484399241510083</v>
      </c>
      <c r="Y19" s="9">
        <f t="shared" si="117"/>
        <v>0.42071944589260446</v>
      </c>
      <c r="Z19" s="9">
        <f t="shared" si="117"/>
        <v>0.40527356624917599</v>
      </c>
      <c r="AA19" s="9">
        <f t="shared" si="117"/>
        <v>0.39607226750561253</v>
      </c>
      <c r="AB19" s="9">
        <f t="shared" si="117"/>
        <v>0.40467399578375562</v>
      </c>
      <c r="AC19" s="9">
        <f t="shared" si="117"/>
        <v>0.41311188161850554</v>
      </c>
      <c r="AD19" s="9">
        <f t="shared" si="117"/>
        <v>0.4186289608181496</v>
      </c>
      <c r="AE19" s="9">
        <f t="shared" si="117"/>
        <v>0.42136071848010936</v>
      </c>
      <c r="AF19" s="9">
        <f t="shared" si="117"/>
        <v>0.42406595422302085</v>
      </c>
      <c r="AG19" s="9">
        <f t="shared" ref="AG19:AK19" si="118">AG8/AG3</f>
        <v>0.42674492554124399</v>
      </c>
      <c r="AH19" s="9">
        <f t="shared" si="118"/>
        <v>0.4293978874291931</v>
      </c>
      <c r="AI19" s="9">
        <f t="shared" si="118"/>
        <v>0.43202509240560871</v>
      </c>
      <c r="AJ19" s="9">
        <f t="shared" si="118"/>
        <v>0.43462679053759307</v>
      </c>
      <c r="AK19" s="9">
        <f t="shared" si="118"/>
        <v>0.43720322946441259</v>
      </c>
      <c r="AM19" t="s">
        <v>33</v>
      </c>
      <c r="AN19" s="9">
        <v>-0.01</v>
      </c>
    </row>
    <row r="20" spans="2:40" x14ac:dyDescent="0.3">
      <c r="B20" t="s">
        <v>32</v>
      </c>
      <c r="E20" s="9">
        <f t="shared" ref="E20" si="119">E6/C6-1</f>
        <v>0.15212038303693576</v>
      </c>
      <c r="F20" s="9">
        <f t="shared" ref="F20:F21" si="120">F6/D6-1</f>
        <v>0.17105738000721771</v>
      </c>
      <c r="G20" s="9">
        <f t="shared" ref="G20:G21" si="121">G6/E6-1</f>
        <v>-8.7508905248159685E-2</v>
      </c>
      <c r="H20" s="9">
        <f t="shared" ref="H20:H21" si="122">H6/F6-1</f>
        <v>-4.4684129429892194E-2</v>
      </c>
      <c r="I20" s="9">
        <f t="shared" ref="I20:I21" si="123">I6/G6-1</f>
        <v>0.21665582303188025</v>
      </c>
      <c r="J20" s="9">
        <f t="shared" ref="J20:J21" si="124">J6/H6-1</f>
        <v>0.2924731182795699</v>
      </c>
      <c r="K20" s="9">
        <f t="shared" ref="K20:K21" si="125">K6/I6-1</f>
        <v>0.25989304812834235</v>
      </c>
      <c r="L20" s="9">
        <f t="shared" ref="L20:L21" si="126">L6/J6-1</f>
        <v>0.24958402662229617</v>
      </c>
      <c r="M20" s="9">
        <f t="shared" ref="M20:M21" si="127">M6/K6-1</f>
        <v>0.26061120543293725</v>
      </c>
      <c r="N20" s="9">
        <f t="shared" ref="N20:N21" si="128">N6/L6-1</f>
        <v>0.12117177097203724</v>
      </c>
      <c r="O20" s="9">
        <f t="shared" ref="O20:O21" si="129">O6/M6-1</f>
        <v>0.1326599326599327</v>
      </c>
      <c r="P20" s="9">
        <f t="shared" ref="P20:Q21" si="130">P6/N6-1</f>
        <v>0.12054631828978613</v>
      </c>
      <c r="Q20" s="9">
        <f t="shared" si="130"/>
        <v>8.9179548156955946E-2</v>
      </c>
      <c r="R20" s="9">
        <f t="shared" ref="R20:R21" si="131">R6/P6-1</f>
        <v>8.0000000000000071E-2</v>
      </c>
      <c r="U20" s="9">
        <f t="shared" ref="U20:AF20" si="132">U6/T6-1</f>
        <v>0.1621967611854318</v>
      </c>
      <c r="V20" s="9">
        <f t="shared" si="132"/>
        <v>-6.4548108167648888E-2</v>
      </c>
      <c r="W20" s="9">
        <f t="shared" si="132"/>
        <v>0.25816897262290261</v>
      </c>
      <c r="X20" s="9">
        <f t="shared" si="132"/>
        <v>0.25409452503509589</v>
      </c>
      <c r="Y20" s="9">
        <f t="shared" si="132"/>
        <v>0.18246268656716413</v>
      </c>
      <c r="Z20" s="9">
        <f t="shared" si="132"/>
        <v>0.1262227832123699</v>
      </c>
      <c r="AA20" s="9">
        <f t="shared" si="132"/>
        <v>8.432614177640807E-2</v>
      </c>
      <c r="AB20" s="9">
        <f t="shared" si="132"/>
        <v>3.0000000000000027E-2</v>
      </c>
      <c r="AC20" s="9">
        <f t="shared" si="132"/>
        <v>2.0000000000000018E-2</v>
      </c>
      <c r="AD20" s="9">
        <f t="shared" si="132"/>
        <v>2.0000000000000018E-2</v>
      </c>
      <c r="AE20" s="9">
        <f t="shared" si="132"/>
        <v>2.0000000000000018E-2</v>
      </c>
      <c r="AF20" s="9">
        <f t="shared" si="132"/>
        <v>2.0000000000000018E-2</v>
      </c>
      <c r="AG20" s="9">
        <f t="shared" ref="AG20:AG21" si="133">AG6/AF6-1</f>
        <v>2.0000000000000018E-2</v>
      </c>
      <c r="AH20" s="9">
        <f t="shared" ref="AH20:AH21" si="134">AH6/AG6-1</f>
        <v>2.0000000000000018E-2</v>
      </c>
      <c r="AI20" s="9">
        <f t="shared" ref="AI20:AI21" si="135">AI6/AH6-1</f>
        <v>2.0000000000000018E-2</v>
      </c>
      <c r="AJ20" s="9">
        <f t="shared" ref="AJ20:AJ21" si="136">AJ6/AI6-1</f>
        <v>2.0000000000000018E-2</v>
      </c>
      <c r="AK20" s="9">
        <f t="shared" ref="AK20:AK21" si="137">AK6/AJ6-1</f>
        <v>2.0000000000000018E-2</v>
      </c>
      <c r="AM20" t="s">
        <v>34</v>
      </c>
      <c r="AN20" s="9">
        <v>0.06</v>
      </c>
    </row>
    <row r="21" spans="2:40" x14ac:dyDescent="0.3">
      <c r="B21" t="s">
        <v>44</v>
      </c>
      <c r="E21" s="9">
        <f t="shared" ref="E21" si="138">E7/C7-1</f>
        <v>0.2570093457943925</v>
      </c>
      <c r="F21" s="9">
        <f t="shared" si="120"/>
        <v>0.23753232360546717</v>
      </c>
      <c r="G21" s="9">
        <f t="shared" si="121"/>
        <v>0.16802973977695168</v>
      </c>
      <c r="H21" s="9">
        <f t="shared" si="122"/>
        <v>0.14029850746268679</v>
      </c>
      <c r="I21" s="9">
        <f t="shared" si="123"/>
        <v>0.18109484404837684</v>
      </c>
      <c r="J21" s="9">
        <f t="shared" si="124"/>
        <v>-5.0000000000000155E-2</v>
      </c>
      <c r="K21" s="9">
        <f t="shared" si="125"/>
        <v>9.4044731878199839E-2</v>
      </c>
      <c r="L21" s="9">
        <f t="shared" si="126"/>
        <v>0.18489942132818959</v>
      </c>
      <c r="M21" s="9">
        <f t="shared" si="127"/>
        <v>-7.3891625615764012E-3</v>
      </c>
      <c r="N21" s="9">
        <f t="shared" si="128"/>
        <v>0.13023255813953494</v>
      </c>
      <c r="O21" s="9">
        <f t="shared" si="129"/>
        <v>0.15880893300248133</v>
      </c>
      <c r="P21" s="9">
        <f t="shared" si="130"/>
        <v>-2.2633744855967031E-2</v>
      </c>
      <c r="Q21" s="9">
        <f t="shared" si="130"/>
        <v>0.11134903640256955</v>
      </c>
      <c r="R21" s="9">
        <f t="shared" si="131"/>
        <v>0.10000000000000009</v>
      </c>
      <c r="U21" s="9">
        <f t="shared" ref="U21" si="139">U7/T7-1</f>
        <v>0.24613162781101705</v>
      </c>
      <c r="V21" s="9">
        <f t="shared" ref="V21" si="140">V7/U7-1</f>
        <v>0.15264900662251657</v>
      </c>
      <c r="W21" s="9">
        <f t="shared" ref="W21" si="141">W7/V7-1</f>
        <v>5.4294742889974046E-2</v>
      </c>
      <c r="X21" s="9">
        <f t="shared" ref="X21" si="142">X7/W7-1</f>
        <v>0.13896457765667569</v>
      </c>
      <c r="Y21" s="9">
        <f t="shared" ref="Y21" si="143">Y7/X7-1</f>
        <v>6.3397129186602896E-2</v>
      </c>
      <c r="Z21" s="9">
        <f t="shared" ref="Z21" si="144">Z7/Y7-1</f>
        <v>5.9617547806524174E-2</v>
      </c>
      <c r="AA21" s="9">
        <f t="shared" ref="AA21" si="145">AA7/Z7-1</f>
        <v>0.10562632696390661</v>
      </c>
      <c r="AB21" s="9">
        <f t="shared" ref="AB21" si="146">AB7/AA7-1</f>
        <v>3.0000000000000027E-2</v>
      </c>
      <c r="AC21" s="9">
        <f t="shared" ref="AC21" si="147">AC7/AB7-1</f>
        <v>2.0000000000000018E-2</v>
      </c>
      <c r="AD21" s="9">
        <f t="shared" ref="AD21" si="148">AD7/AC7-1</f>
        <v>2.0000000000000018E-2</v>
      </c>
      <c r="AE21" s="9">
        <f t="shared" ref="AE21" si="149">AE7/AD7-1</f>
        <v>2.0000000000000018E-2</v>
      </c>
      <c r="AF21" s="9">
        <f t="shared" ref="AF21" si="150">AF7/AE7-1</f>
        <v>2.0000000000000018E-2</v>
      </c>
      <c r="AG21" s="9">
        <f t="shared" si="133"/>
        <v>2.0000000000000018E-2</v>
      </c>
      <c r="AH21" s="9">
        <f t="shared" si="134"/>
        <v>2.0000000000000018E-2</v>
      </c>
      <c r="AI21" s="9">
        <f t="shared" si="135"/>
        <v>2.0000000000000018E-2</v>
      </c>
      <c r="AJ21" s="9">
        <f t="shared" si="136"/>
        <v>2.0000000000000018E-2</v>
      </c>
      <c r="AK21" s="9">
        <f t="shared" si="137"/>
        <v>2.0000000000000018E-2</v>
      </c>
      <c r="AM21" t="s">
        <v>35</v>
      </c>
      <c r="AN21" s="5">
        <f>NPV(AN20,AA13:FI13)</f>
        <v>99028.06411286295</v>
      </c>
    </row>
    <row r="22" spans="2:40" x14ac:dyDescent="0.3">
      <c r="B22" t="s">
        <v>25</v>
      </c>
      <c r="C22" s="9">
        <f>C11/C10</f>
        <v>0.32492725509214354</v>
      </c>
      <c r="D22" s="9">
        <f t="shared" ref="D22:AF22" si="151">D11/D10</f>
        <v>0.32595456742387624</v>
      </c>
      <c r="E22" s="9">
        <f t="shared" si="151"/>
        <v>0.34001418942887551</v>
      </c>
      <c r="F22" s="9">
        <f t="shared" si="151"/>
        <v>0.32172238753719595</v>
      </c>
      <c r="G22" s="9">
        <f t="shared" si="151"/>
        <v>0.32715798045602607</v>
      </c>
      <c r="H22" s="9">
        <f t="shared" si="151"/>
        <v>0.30250133761369719</v>
      </c>
      <c r="I22" s="9">
        <f t="shared" si="151"/>
        <v>0.3049916407929304</v>
      </c>
      <c r="J22" s="9">
        <f t="shared" si="151"/>
        <v>0.28644472219066025</v>
      </c>
      <c r="K22" s="9">
        <f t="shared" si="151"/>
        <v>0.28502202643171803</v>
      </c>
      <c r="L22" s="9">
        <f t="shared" si="151"/>
        <v>0.27822410147991544</v>
      </c>
      <c r="M22" s="9">
        <f t="shared" ref="M22:P22" si="152">M11/M10</f>
        <v>0.27498345466578422</v>
      </c>
      <c r="N22" s="9">
        <f t="shared" si="152"/>
        <v>0.28115015974440893</v>
      </c>
      <c r="O22" s="9">
        <f t="shared" si="152"/>
        <v>0.28176291793313069</v>
      </c>
      <c r="P22" s="9">
        <f t="shared" ref="P22:Q22" si="153">P11/P10</f>
        <v>0.29226361031518627</v>
      </c>
      <c r="Q22" s="9">
        <f t="shared" si="153"/>
        <v>0.35395683453237409</v>
      </c>
      <c r="R22" s="9">
        <f t="shared" ref="R22:R23" si="154">R11/R10</f>
        <v>0.28000000000000003</v>
      </c>
      <c r="T22" s="9">
        <f t="shared" si="151"/>
        <v>0.32544178165093202</v>
      </c>
      <c r="U22" s="9">
        <f t="shared" si="151"/>
        <v>0.33080785833847232</v>
      </c>
      <c r="V22" s="9">
        <f t="shared" si="151"/>
        <v>0.30859846959323406</v>
      </c>
      <c r="W22" s="9">
        <f t="shared" si="151"/>
        <v>0.29548762736535661</v>
      </c>
      <c r="X22" s="9">
        <f t="shared" si="151"/>
        <v>0.28155339805825241</v>
      </c>
      <c r="Y22" s="9">
        <f t="shared" si="151"/>
        <v>0.27795855454701146</v>
      </c>
      <c r="Z22" s="9">
        <f t="shared" si="151"/>
        <v>0.28689161872181618</v>
      </c>
      <c r="AA22" s="9">
        <f t="shared" si="151"/>
        <v>0.32063776761030655</v>
      </c>
      <c r="AB22" s="9">
        <f t="shared" si="151"/>
        <v>0.3</v>
      </c>
      <c r="AC22" s="9">
        <f t="shared" si="151"/>
        <v>0.3</v>
      </c>
      <c r="AD22" s="9">
        <f t="shared" si="151"/>
        <v>0.3</v>
      </c>
      <c r="AE22" s="9">
        <f t="shared" si="151"/>
        <v>0.3</v>
      </c>
      <c r="AF22" s="9">
        <f t="shared" si="151"/>
        <v>0.3</v>
      </c>
      <c r="AG22" s="9">
        <f t="shared" ref="AG22:AK22" si="155">AG11/AG10</f>
        <v>0.3</v>
      </c>
      <c r="AH22" s="9">
        <f t="shared" si="155"/>
        <v>0.3</v>
      </c>
      <c r="AI22" s="9">
        <f t="shared" si="155"/>
        <v>0.3</v>
      </c>
      <c r="AJ22" s="9">
        <f t="shared" si="155"/>
        <v>0.3</v>
      </c>
      <c r="AK22" s="9">
        <f t="shared" si="155"/>
        <v>0.3</v>
      </c>
      <c r="AM22" t="s">
        <v>36</v>
      </c>
      <c r="AN22" s="5">
        <f>Main!D8</f>
        <v>10518</v>
      </c>
    </row>
    <row r="23" spans="2:40" x14ac:dyDescent="0.3">
      <c r="B23" t="s">
        <v>53</v>
      </c>
      <c r="C23" s="9">
        <f>C13/C3</f>
        <v>0.24745881528215913</v>
      </c>
      <c r="D23" s="9">
        <f t="shared" ref="D23:R23" si="156">D13/D3</f>
        <v>0.22447078474832163</v>
      </c>
      <c r="E23" s="9">
        <f t="shared" si="156"/>
        <v>0.22967541562633215</v>
      </c>
      <c r="F23" s="9">
        <f t="shared" si="156"/>
        <v>0.21499222049344288</v>
      </c>
      <c r="G23" s="9">
        <f t="shared" si="156"/>
        <v>0.1346061093247588</v>
      </c>
      <c r="H23" s="9">
        <f t="shared" si="156"/>
        <v>0.26926231609165935</v>
      </c>
      <c r="I23" s="9">
        <f t="shared" si="156"/>
        <v>0.27711270099879587</v>
      </c>
      <c r="J23" s="9">
        <f t="shared" si="156"/>
        <v>0.26804862120541817</v>
      </c>
      <c r="K23" s="9">
        <f t="shared" si="156"/>
        <v>0.29990867579908675</v>
      </c>
      <c r="L23" s="9">
        <f t="shared" si="156"/>
        <v>0.28154072139709485</v>
      </c>
      <c r="M23" s="9">
        <f t="shared" si="156"/>
        <v>0.33233801134667063</v>
      </c>
      <c r="N23" s="9">
        <f t="shared" si="156"/>
        <v>0.3095556546292168</v>
      </c>
      <c r="O23" s="9">
        <f t="shared" si="156"/>
        <v>0.31569829424307039</v>
      </c>
      <c r="P23" s="9">
        <f t="shared" si="156"/>
        <v>0.29128619879989565</v>
      </c>
      <c r="Q23" s="9">
        <f t="shared" si="156"/>
        <v>0.27956186208613393</v>
      </c>
      <c r="R23" s="9">
        <f t="shared" si="156"/>
        <v>0.29034165070957763</v>
      </c>
      <c r="T23" s="9">
        <f t="shared" ref="T23:AK23" si="157">T13/T3</f>
        <v>0.23546370325673385</v>
      </c>
      <c r="U23" s="9">
        <f t="shared" si="157"/>
        <v>0.2219978498997589</v>
      </c>
      <c r="V23" s="9">
        <f t="shared" si="157"/>
        <v>0.21682787116161134</v>
      </c>
      <c r="W23" s="9">
        <f t="shared" si="157"/>
        <v>0.27232242262302381</v>
      </c>
      <c r="X23" s="9">
        <f t="shared" si="157"/>
        <v>0.29020858472677125</v>
      </c>
      <c r="Y23" s="9">
        <f t="shared" si="157"/>
        <v>0.32092053325389142</v>
      </c>
      <c r="Z23" s="9">
        <f t="shared" si="157"/>
        <v>0.3033618984838497</v>
      </c>
      <c r="AA23" s="9">
        <f t="shared" si="157"/>
        <v>0.28162845947638471</v>
      </c>
      <c r="AB23" s="9">
        <f t="shared" si="157"/>
        <v>0.29425824540850959</v>
      </c>
      <c r="AC23" s="9">
        <f t="shared" si="157"/>
        <v>0.29860207814957568</v>
      </c>
      <c r="AD23" s="9">
        <f t="shared" si="157"/>
        <v>0.30120212478437058</v>
      </c>
      <c r="AE23" s="9">
        <f t="shared" si="157"/>
        <v>0.30209082806956761</v>
      </c>
      <c r="AF23" s="9">
        <f t="shared" si="157"/>
        <v>0.30309008486975647</v>
      </c>
      <c r="AG23" s="9">
        <f t="shared" si="157"/>
        <v>0.30418377949907371</v>
      </c>
      <c r="AH23" s="9">
        <f t="shared" si="157"/>
        <v>0.30535785128375137</v>
      </c>
      <c r="AI23" s="9">
        <f t="shared" si="157"/>
        <v>0.30660003498783767</v>
      </c>
      <c r="AJ23" s="9">
        <f t="shared" si="157"/>
        <v>0.3078996340026996</v>
      </c>
      <c r="AK23" s="9">
        <f t="shared" si="157"/>
        <v>0.30924732216505213</v>
      </c>
      <c r="AM23" t="s">
        <v>37</v>
      </c>
      <c r="AN23" s="5">
        <f>AN21+AN22</f>
        <v>109546.06411286295</v>
      </c>
    </row>
    <row r="24" spans="2:40" x14ac:dyDescent="0.3">
      <c r="AM24" t="s">
        <v>38</v>
      </c>
      <c r="AN24" s="4">
        <f>AN23/AF14</f>
        <v>1037.6726511841823</v>
      </c>
    </row>
    <row r="25" spans="2:40" x14ac:dyDescent="0.3">
      <c r="AM25" t="s">
        <v>39</v>
      </c>
      <c r="AN25" s="4">
        <f>Main!D3</f>
        <v>2071</v>
      </c>
    </row>
    <row r="26" spans="2:40" x14ac:dyDescent="0.3">
      <c r="AM26" s="1" t="s">
        <v>40</v>
      </c>
      <c r="AN26" s="10">
        <f>AN24/AN25-1</f>
        <v>-0.49895091685940018</v>
      </c>
    </row>
    <row r="27" spans="2:40" x14ac:dyDescent="0.3">
      <c r="AM27" t="s">
        <v>41</v>
      </c>
      <c r="AN27" s="6" t="s">
        <v>54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2021-01-24T14:19:56Z</dcterms:created>
  <dcterms:modified xsi:type="dcterms:W3CDTF">2025-11-04T12:20:55Z</dcterms:modified>
</cp:coreProperties>
</file>