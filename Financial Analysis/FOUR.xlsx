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3CE40EF-8523-43C1-BC4B-135982255413}" xr6:coauthVersionLast="47" xr6:coauthVersionMax="47" xr10:uidLastSave="{00000000-0000-0000-0000-000000000000}"/>
  <bookViews>
    <workbookView xWindow="-108" yWindow="-108" windowWidth="23256" windowHeight="12576" activeTab="1" xr2:uid="{9FA048E8-CD64-4FE4-A115-46129781B05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3" i="2" l="1"/>
  <c r="AB3" i="2"/>
  <c r="AB5" i="2"/>
  <c r="R5" i="2"/>
  <c r="R3" i="2"/>
  <c r="R23" i="2"/>
  <c r="Q23" i="2"/>
  <c r="Q5" i="2"/>
  <c r="D7" i="1"/>
  <c r="D6" i="1"/>
  <c r="AK25" i="2"/>
  <c r="AJ25" i="2"/>
  <c r="AI25" i="2"/>
  <c r="AH25" i="2"/>
  <c r="AG25" i="2"/>
  <c r="AF25" i="2"/>
  <c r="AE25" i="2"/>
  <c r="AD25" i="2"/>
  <c r="AC25" i="2"/>
  <c r="AB25" i="2"/>
  <c r="AA25" i="2"/>
  <c r="R25" i="2"/>
  <c r="Q25" i="2"/>
  <c r="D4" i="1"/>
  <c r="AA14" i="2"/>
  <c r="R20" i="2"/>
  <c r="Q20" i="2"/>
  <c r="P20" i="2"/>
  <c r="P5" i="2"/>
  <c r="P25" i="2"/>
  <c r="O5" i="2"/>
  <c r="AO36" i="2"/>
  <c r="AA19" i="2" l="1"/>
  <c r="AB19" i="2" s="1"/>
  <c r="AC19" i="2" s="1"/>
  <c r="AD19" i="2" s="1"/>
  <c r="AE19" i="2" s="1"/>
  <c r="AF19" i="2" s="1"/>
  <c r="AG19" i="2" s="1"/>
  <c r="AH19" i="2" s="1"/>
  <c r="AI19" i="2" s="1"/>
  <c r="AJ19" i="2" s="1"/>
  <c r="AK19" i="2" s="1"/>
  <c r="AA18" i="2"/>
  <c r="AA17" i="2"/>
  <c r="AA16" i="2"/>
  <c r="AA11" i="2"/>
  <c r="AA8" i="2"/>
  <c r="AA7" i="2"/>
  <c r="R29" i="2"/>
  <c r="O32" i="2"/>
  <c r="P31" i="2"/>
  <c r="Q30" i="2"/>
  <c r="P30" i="2"/>
  <c r="O30" i="2"/>
  <c r="P29" i="2"/>
  <c r="P28" i="2"/>
  <c r="O28" i="2"/>
  <c r="O25" i="2"/>
  <c r="O20" i="2"/>
  <c r="R15" i="2"/>
  <c r="AA15" i="2"/>
  <c r="AB15" i="2" s="1"/>
  <c r="P32" i="2"/>
  <c r="AA9" i="2"/>
  <c r="AA6" i="2"/>
  <c r="Y31" i="2"/>
  <c r="Z32" i="2"/>
  <c r="M32" i="2"/>
  <c r="L32" i="2"/>
  <c r="K32" i="2"/>
  <c r="J32" i="2"/>
  <c r="I32" i="2"/>
  <c r="H32" i="2"/>
  <c r="G32" i="2"/>
  <c r="M31" i="2"/>
  <c r="L31" i="2"/>
  <c r="K31" i="2"/>
  <c r="J31" i="2"/>
  <c r="I31" i="2"/>
  <c r="H31" i="2"/>
  <c r="G31" i="2"/>
  <c r="M30" i="2"/>
  <c r="L30" i="2"/>
  <c r="K30" i="2"/>
  <c r="K29" i="2"/>
  <c r="H29" i="2"/>
  <c r="M28" i="2"/>
  <c r="L28" i="2"/>
  <c r="K28" i="2"/>
  <c r="N32" i="2"/>
  <c r="N31" i="2"/>
  <c r="N30" i="2"/>
  <c r="N28" i="2"/>
  <c r="Y23" i="2"/>
  <c r="Y22" i="2"/>
  <c r="Y19" i="2"/>
  <c r="Y18" i="2"/>
  <c r="Y17" i="2"/>
  <c r="Y16" i="2"/>
  <c r="Y15" i="2"/>
  <c r="Y11" i="2"/>
  <c r="Y10" i="2"/>
  <c r="Y32" i="2" s="1"/>
  <c r="Y9" i="2"/>
  <c r="Y8" i="2"/>
  <c r="Y7" i="2"/>
  <c r="Y6" i="2"/>
  <c r="Y4" i="2"/>
  <c r="Y5" i="2" s="1"/>
  <c r="Y29" i="2" s="1"/>
  <c r="Y3" i="2"/>
  <c r="Y25" i="2"/>
  <c r="Z23" i="2"/>
  <c r="Z22" i="2"/>
  <c r="Z19" i="2"/>
  <c r="Z18" i="2"/>
  <c r="Z17" i="2"/>
  <c r="Z16" i="2"/>
  <c r="Z15" i="2"/>
  <c r="Z11" i="2"/>
  <c r="Z10" i="2"/>
  <c r="Z9" i="2"/>
  <c r="Z31" i="2" s="1"/>
  <c r="Z8" i="2"/>
  <c r="Z7" i="2"/>
  <c r="Z6" i="2"/>
  <c r="Z30" i="2" s="1"/>
  <c r="Z4" i="2"/>
  <c r="Z3" i="2"/>
  <c r="Z28" i="2" s="1"/>
  <c r="Z25" i="2"/>
  <c r="G25" i="2"/>
  <c r="G20" i="2"/>
  <c r="G12" i="2"/>
  <c r="G5" i="2"/>
  <c r="G29" i="2" s="1"/>
  <c r="K25" i="2"/>
  <c r="K20" i="2"/>
  <c r="K12" i="2"/>
  <c r="K5" i="2"/>
  <c r="H25" i="2"/>
  <c r="H20" i="2"/>
  <c r="H12" i="2"/>
  <c r="H5" i="2"/>
  <c r="L25" i="2"/>
  <c r="L20" i="2"/>
  <c r="L12" i="2"/>
  <c r="L5" i="2"/>
  <c r="L29" i="2" s="1"/>
  <c r="I25" i="2"/>
  <c r="I20" i="2"/>
  <c r="I12" i="2"/>
  <c r="I5" i="2"/>
  <c r="I29" i="2" s="1"/>
  <c r="M25" i="2"/>
  <c r="M20" i="2"/>
  <c r="M12" i="2"/>
  <c r="M5" i="2"/>
  <c r="M29" i="2" s="1"/>
  <c r="J25" i="2"/>
  <c r="J20" i="2"/>
  <c r="J12" i="2"/>
  <c r="J5" i="2"/>
  <c r="J29" i="2" s="1"/>
  <c r="N25" i="2"/>
  <c r="N20" i="2"/>
  <c r="N12" i="2"/>
  <c r="N5" i="2"/>
  <c r="N13" i="2" s="1"/>
  <c r="N33" i="2" s="1"/>
  <c r="D8" i="1"/>
  <c r="AO33" i="2" s="1"/>
  <c r="D5" i="1"/>
  <c r="F3" i="1"/>
  <c r="AB20" i="2" l="1"/>
  <c r="AA20" i="2"/>
  <c r="AB6" i="2"/>
  <c r="AC6" i="2" s="1"/>
  <c r="AD6" i="2" s="1"/>
  <c r="AE6" i="2" s="1"/>
  <c r="AF6" i="2" s="1"/>
  <c r="AG6" i="2" s="1"/>
  <c r="AH6" i="2" s="1"/>
  <c r="AI6" i="2" s="1"/>
  <c r="AJ6" i="2" s="1"/>
  <c r="AK6" i="2" s="1"/>
  <c r="AK30" i="2" s="1"/>
  <c r="Q31" i="2"/>
  <c r="R28" i="2"/>
  <c r="R31" i="2"/>
  <c r="R4" i="2"/>
  <c r="AA4" i="2" s="1"/>
  <c r="N21" i="2"/>
  <c r="N29" i="2"/>
  <c r="R10" i="2"/>
  <c r="R32" i="2" s="1"/>
  <c r="R12" i="2"/>
  <c r="R13" i="2" s="1"/>
  <c r="R30" i="2"/>
  <c r="AA3" i="2"/>
  <c r="AA31" i="2" s="1"/>
  <c r="Q28" i="2"/>
  <c r="AD30" i="2"/>
  <c r="P12" i="2"/>
  <c r="P13" i="2" s="1"/>
  <c r="P33" i="2" s="1"/>
  <c r="AC15" i="2"/>
  <c r="AC20" i="2" s="1"/>
  <c r="AA30" i="2"/>
  <c r="O29" i="2"/>
  <c r="O12" i="2"/>
  <c r="O13" i="2" s="1"/>
  <c r="O31" i="2"/>
  <c r="D9" i="1"/>
  <c r="Q29" i="2"/>
  <c r="Y20" i="2"/>
  <c r="Y12" i="2"/>
  <c r="Y13" i="2" s="1"/>
  <c r="Y33" i="2" s="1"/>
  <c r="Z20" i="2"/>
  <c r="Z12" i="2"/>
  <c r="Z5" i="2"/>
  <c r="Z29" i="2" s="1"/>
  <c r="G13" i="2"/>
  <c r="K13" i="2"/>
  <c r="H13" i="2"/>
  <c r="L13" i="2"/>
  <c r="I13" i="2"/>
  <c r="M13" i="2"/>
  <c r="J13" i="2"/>
  <c r="AC30" i="2" l="1"/>
  <c r="AB30" i="2"/>
  <c r="AF30" i="2"/>
  <c r="AE30" i="2"/>
  <c r="AJ30" i="2"/>
  <c r="AG30" i="2"/>
  <c r="AH30" i="2"/>
  <c r="AI30" i="2"/>
  <c r="AA28" i="2"/>
  <c r="N35" i="2"/>
  <c r="N34" i="2"/>
  <c r="N24" i="2"/>
  <c r="J21" i="2"/>
  <c r="J33" i="2"/>
  <c r="AA5" i="2"/>
  <c r="AA29" i="2" s="1"/>
  <c r="AB28" i="2"/>
  <c r="Q12" i="2"/>
  <c r="Q13" i="2" s="1"/>
  <c r="Q21" i="2" s="1"/>
  <c r="Q32" i="2"/>
  <c r="AA10" i="2"/>
  <c r="I21" i="2"/>
  <c r="I33" i="2"/>
  <c r="L21" i="2"/>
  <c r="L33" i="2"/>
  <c r="M21" i="2"/>
  <c r="M33" i="2"/>
  <c r="H21" i="2"/>
  <c r="H33" i="2"/>
  <c r="K21" i="2"/>
  <c r="K33" i="2"/>
  <c r="G21" i="2"/>
  <c r="G33" i="2"/>
  <c r="P21" i="2"/>
  <c r="AB9" i="2"/>
  <c r="AB31" i="2" s="1"/>
  <c r="AC5" i="2"/>
  <c r="AD15" i="2"/>
  <c r="AD20" i="2" s="1"/>
  <c r="O33" i="2"/>
  <c r="O21" i="2"/>
  <c r="R33" i="2"/>
  <c r="R21" i="2"/>
  <c r="Y21" i="2"/>
  <c r="Z13" i="2"/>
  <c r="AB4" i="2" l="1"/>
  <c r="AB10" i="2"/>
  <c r="AC28" i="2"/>
  <c r="AC10" i="2"/>
  <c r="AC32" i="2" s="1"/>
  <c r="Q33" i="2"/>
  <c r="H24" i="2"/>
  <c r="H34" i="2"/>
  <c r="H35" i="2"/>
  <c r="M24" i="2"/>
  <c r="M35" i="2"/>
  <c r="M34" i="2"/>
  <c r="G24" i="2"/>
  <c r="G34" i="2"/>
  <c r="G35" i="2"/>
  <c r="L24" i="2"/>
  <c r="L35" i="2"/>
  <c r="L34" i="2"/>
  <c r="J24" i="2"/>
  <c r="J34" i="2"/>
  <c r="J35" i="2"/>
  <c r="Z21" i="2"/>
  <c r="Z33" i="2"/>
  <c r="K24" i="2"/>
  <c r="K34" i="2"/>
  <c r="K35" i="2"/>
  <c r="I24" i="2"/>
  <c r="I34" i="2"/>
  <c r="I35" i="2"/>
  <c r="N26" i="2"/>
  <c r="N36" i="2"/>
  <c r="Y24" i="2"/>
  <c r="Y34" i="2"/>
  <c r="Y35" i="2"/>
  <c r="AA32" i="2"/>
  <c r="AA12" i="2"/>
  <c r="AA13" i="2" s="1"/>
  <c r="AA33" i="2" s="1"/>
  <c r="P35" i="2"/>
  <c r="AC9" i="2"/>
  <c r="AC31" i="2" s="1"/>
  <c r="AD3" i="2"/>
  <c r="AC29" i="2"/>
  <c r="AE15" i="2"/>
  <c r="AE20" i="2" s="1"/>
  <c r="R22" i="2"/>
  <c r="R34" i="2" s="1"/>
  <c r="R35" i="2"/>
  <c r="Q35" i="2"/>
  <c r="AD10" i="2" l="1"/>
  <c r="AD32" i="2" s="1"/>
  <c r="AD5" i="2"/>
  <c r="AC12" i="2"/>
  <c r="AC13" i="2" s="1"/>
  <c r="AC33" i="2" s="1"/>
  <c r="AB29" i="2"/>
  <c r="AB32" i="2"/>
  <c r="AB12" i="2"/>
  <c r="AB13" i="2" s="1"/>
  <c r="AB21" i="2" s="1"/>
  <c r="AB23" i="2" s="1"/>
  <c r="AB35" i="2" s="1"/>
  <c r="AD28" i="2"/>
  <c r="AD4" i="2"/>
  <c r="AA21" i="2"/>
  <c r="G26" i="2"/>
  <c r="G36" i="2"/>
  <c r="I26" i="2"/>
  <c r="I36" i="2"/>
  <c r="J26" i="2"/>
  <c r="J36" i="2"/>
  <c r="Y26" i="2"/>
  <c r="Y36" i="2"/>
  <c r="M26" i="2"/>
  <c r="M36" i="2"/>
  <c r="K26" i="2"/>
  <c r="K36" i="2"/>
  <c r="L26" i="2"/>
  <c r="L36" i="2"/>
  <c r="Z24" i="2"/>
  <c r="Z35" i="2"/>
  <c r="Z34" i="2"/>
  <c r="H26" i="2"/>
  <c r="H36" i="2"/>
  <c r="AD9" i="2"/>
  <c r="AE3" i="2"/>
  <c r="AC4" i="2"/>
  <c r="P34" i="2"/>
  <c r="P24" i="2"/>
  <c r="AF15" i="2"/>
  <c r="AF20" i="2" s="1"/>
  <c r="O35" i="2"/>
  <c r="AA23" i="2"/>
  <c r="AA22" i="2"/>
  <c r="O34" i="2"/>
  <c r="O24" i="2"/>
  <c r="R24" i="2"/>
  <c r="Q24" i="2"/>
  <c r="Q34" i="2"/>
  <c r="AE28" i="2" l="1"/>
  <c r="AE5" i="2"/>
  <c r="AD12" i="2"/>
  <c r="AD13" i="2" s="1"/>
  <c r="AD21" i="2" s="1"/>
  <c r="AB22" i="2"/>
  <c r="AB34" i="2" s="1"/>
  <c r="AA35" i="2"/>
  <c r="AB33" i="2"/>
  <c r="AD31" i="2"/>
  <c r="AE10" i="2"/>
  <c r="AE32" i="2" s="1"/>
  <c r="AC21" i="2"/>
  <c r="AC23" i="2" s="1"/>
  <c r="AC35" i="2" s="1"/>
  <c r="Z26" i="2"/>
  <c r="Z36" i="2"/>
  <c r="P26" i="2"/>
  <c r="P36" i="2"/>
  <c r="AD29" i="2"/>
  <c r="AF3" i="2"/>
  <c r="AF5" i="2" s="1"/>
  <c r="AE4" i="2"/>
  <c r="AE9" i="2"/>
  <c r="AE31" i="2" s="1"/>
  <c r="AG15" i="2"/>
  <c r="AG20" i="2" s="1"/>
  <c r="O26" i="2"/>
  <c r="O36" i="2"/>
  <c r="AA34" i="2"/>
  <c r="AA24" i="2"/>
  <c r="R26" i="2"/>
  <c r="R36" i="2"/>
  <c r="Q26" i="2"/>
  <c r="Q36" i="2"/>
  <c r="AB24" i="2" l="1"/>
  <c r="AB26" i="2" s="1"/>
  <c r="AC22" i="2"/>
  <c r="AC34" i="2" s="1"/>
  <c r="AD33" i="2"/>
  <c r="AF10" i="2"/>
  <c r="AF32" i="2" s="1"/>
  <c r="AG3" i="2"/>
  <c r="AE29" i="2"/>
  <c r="AF9" i="2"/>
  <c r="AF12" i="2" s="1"/>
  <c r="AF13" i="2" s="1"/>
  <c r="AE12" i="2"/>
  <c r="AE13" i="2" s="1"/>
  <c r="AE33" i="2" s="1"/>
  <c r="AF28" i="2"/>
  <c r="AH15" i="2"/>
  <c r="AH20" i="2" s="1"/>
  <c r="AD23" i="2"/>
  <c r="AD35" i="2" s="1"/>
  <c r="AD22" i="2"/>
  <c r="AD34" i="2" s="1"/>
  <c r="AA26" i="2"/>
  <c r="AA36" i="2"/>
  <c r="AG5" i="2" l="1"/>
  <c r="AG29" i="2" s="1"/>
  <c r="AB36" i="2"/>
  <c r="AH3" i="2"/>
  <c r="AH5" i="2" s="1"/>
  <c r="AH29" i="2" s="1"/>
  <c r="AG10" i="2"/>
  <c r="AG32" i="2" s="1"/>
  <c r="AG9" i="2"/>
  <c r="AG31" i="2" s="1"/>
  <c r="AC24" i="2"/>
  <c r="AC36" i="2" s="1"/>
  <c r="AF31" i="2"/>
  <c r="AG28" i="2"/>
  <c r="AE21" i="2"/>
  <c r="AE22" i="2" s="1"/>
  <c r="AE34" i="2" s="1"/>
  <c r="AF4" i="2"/>
  <c r="AF29" i="2"/>
  <c r="AG4" i="2"/>
  <c r="AI15" i="2"/>
  <c r="AI20" i="2" s="1"/>
  <c r="AF21" i="2"/>
  <c r="AF33" i="2"/>
  <c r="AD24" i="2"/>
  <c r="AI3" i="2"/>
  <c r="AI5" i="2" s="1"/>
  <c r="AH28" i="2"/>
  <c r="AH10" i="2" l="1"/>
  <c r="AH32" i="2" s="1"/>
  <c r="AH9" i="2"/>
  <c r="AG12" i="2"/>
  <c r="AG13" i="2" s="1"/>
  <c r="AG21" i="2" s="1"/>
  <c r="AC26" i="2"/>
  <c r="AI9" i="2"/>
  <c r="AI29" i="2"/>
  <c r="AE23" i="2"/>
  <c r="AE35" i="2" s="1"/>
  <c r="AH4" i="2"/>
  <c r="AJ15" i="2"/>
  <c r="AJ20" i="2" s="1"/>
  <c r="AF23" i="2"/>
  <c r="AF35" i="2" s="1"/>
  <c r="AF22" i="2"/>
  <c r="AF34" i="2" s="1"/>
  <c r="AH12" i="2"/>
  <c r="AH13" i="2" s="1"/>
  <c r="AH31" i="2"/>
  <c r="AD36" i="2"/>
  <c r="AD26" i="2"/>
  <c r="AJ3" i="2"/>
  <c r="AJ5" i="2" s="1"/>
  <c r="AI10" i="2"/>
  <c r="AI32" i="2" s="1"/>
  <c r="AI28" i="2"/>
  <c r="AG33" i="2" l="1"/>
  <c r="AJ9" i="2"/>
  <c r="AE24" i="2"/>
  <c r="AE26" i="2" s="1"/>
  <c r="AK15" i="2"/>
  <c r="AK20" i="2" s="1"/>
  <c r="AI12" i="2"/>
  <c r="AI13" i="2" s="1"/>
  <c r="AI31" i="2"/>
  <c r="AG23" i="2"/>
  <c r="AG35" i="2" s="1"/>
  <c r="AG22" i="2"/>
  <c r="AG34" i="2" s="1"/>
  <c r="AI4" i="2"/>
  <c r="AK3" i="2"/>
  <c r="AK5" i="2" s="1"/>
  <c r="AJ10" i="2"/>
  <c r="AJ32" i="2" s="1"/>
  <c r="AJ29" i="2"/>
  <c r="AJ4" i="2"/>
  <c r="AJ28" i="2"/>
  <c r="AH21" i="2"/>
  <c r="AH33" i="2"/>
  <c r="AF24" i="2"/>
  <c r="AK9" i="2" l="1"/>
  <c r="AE36" i="2"/>
  <c r="AF26" i="2"/>
  <c r="AF36" i="2"/>
  <c r="AK10" i="2"/>
  <c r="AK32" i="2" s="1"/>
  <c r="AK29" i="2"/>
  <c r="AK28" i="2"/>
  <c r="AH22" i="2"/>
  <c r="AH34" i="2" s="1"/>
  <c r="AH23" i="2"/>
  <c r="AH35" i="2" s="1"/>
  <c r="AG24" i="2"/>
  <c r="AJ12" i="2"/>
  <c r="AJ13" i="2" s="1"/>
  <c r="AJ31" i="2"/>
  <c r="AI21" i="2"/>
  <c r="AI33" i="2"/>
  <c r="AI22" i="2" l="1"/>
  <c r="AI34" i="2" s="1"/>
  <c r="AI23" i="2"/>
  <c r="AI35" i="2" s="1"/>
  <c r="AK4" i="2"/>
  <c r="AJ21" i="2"/>
  <c r="AJ33" i="2"/>
  <c r="AK12" i="2"/>
  <c r="AK13" i="2" s="1"/>
  <c r="AK31" i="2"/>
  <c r="AG26" i="2"/>
  <c r="AG36" i="2"/>
  <c r="AH24" i="2"/>
  <c r="AI24" i="2" l="1"/>
  <c r="AI26" i="2" s="1"/>
  <c r="AK21" i="2"/>
  <c r="AK33" i="2"/>
  <c r="AJ22" i="2"/>
  <c r="AJ34" i="2" s="1"/>
  <c r="AJ23" i="2"/>
  <c r="AJ35" i="2" s="1"/>
  <c r="AH26" i="2"/>
  <c r="AH36" i="2"/>
  <c r="AI36" i="2" l="1"/>
  <c r="AJ24" i="2"/>
  <c r="AJ36" i="2" s="1"/>
  <c r="AK22" i="2"/>
  <c r="AK34" i="2" s="1"/>
  <c r="AK23" i="2"/>
  <c r="AK35" i="2" s="1"/>
  <c r="AK24" i="2" l="1"/>
  <c r="AK26" i="2" s="1"/>
  <c r="AJ26" i="2"/>
  <c r="AL24" i="2" l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AO32" i="2" s="1"/>
  <c r="AO34" i="2" s="1"/>
  <c r="AO35" i="2" s="1"/>
  <c r="AO37" i="2" s="1"/>
  <c r="AK36" i="2"/>
</calcChain>
</file>

<file path=xl/sharedStrings.xml><?xml version="1.0" encoding="utf-8"?>
<sst xmlns="http://schemas.openxmlformats.org/spreadsheetml/2006/main" count="73" uniqueCount="68">
  <si>
    <t>FOUR</t>
  </si>
  <si>
    <t>Price</t>
  </si>
  <si>
    <t>Shares</t>
  </si>
  <si>
    <t>EV</t>
  </si>
  <si>
    <t>MC</t>
  </si>
  <si>
    <t>Cash</t>
  </si>
  <si>
    <t>Debt</t>
  </si>
  <si>
    <t>Net Cash</t>
  </si>
  <si>
    <t>Last checked</t>
  </si>
  <si>
    <t>Today</t>
  </si>
  <si>
    <t>Earnings</t>
  </si>
  <si>
    <t>Revenue</t>
  </si>
  <si>
    <t>Cost of sales</t>
  </si>
  <si>
    <t>Gross profit</t>
  </si>
  <si>
    <t>G&amp;A</t>
  </si>
  <si>
    <t>D&amp;A</t>
  </si>
  <si>
    <t>Professional expense</t>
  </si>
  <si>
    <t>Other expense</t>
  </si>
  <si>
    <t>S&amp;M</t>
  </si>
  <si>
    <t>Impairment</t>
  </si>
  <si>
    <t>Operating profit</t>
  </si>
  <si>
    <t>Interest income</t>
  </si>
  <si>
    <t>Investment income</t>
  </si>
  <si>
    <t>Finance expense</t>
  </si>
  <si>
    <t>Interest expense</t>
  </si>
  <si>
    <t>Pretax profit</t>
  </si>
  <si>
    <t>Taxes</t>
  </si>
  <si>
    <t>MI</t>
  </si>
  <si>
    <t>Net profit</t>
  </si>
  <si>
    <t>EPS</t>
  </si>
  <si>
    <t>Net finance expense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</si>
  <si>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</si>
  <si>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</si>
  <si>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</si>
  <si>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</si>
  <si>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</si>
  <si>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</si>
  <si>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</si>
  <si>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</si>
  <si>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</si>
  <si>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</si>
  <si>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</si>
  <si>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</si>
  <si>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</si>
  <si>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</si>
  <si>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</si>
  <si>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</si>
  <si>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Total operating expense</t>
  </si>
  <si>
    <t>Other income</t>
  </si>
  <si>
    <t>Revenue y/y</t>
  </si>
  <si>
    <t>Gross Margin</t>
  </si>
  <si>
    <t>G&amp;A y/y</t>
  </si>
  <si>
    <t>Professional Margin</t>
  </si>
  <si>
    <t>S&amp;M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</si>
  <si>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</si>
  <si>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</si>
  <si>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</si>
  <si>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</si>
  <si>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</si>
  <si>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</si>
  <si>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</si>
  <si>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</si>
  <si>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</si>
  <si>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</si>
  <si>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</si>
  <si>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</si>
  <si>
    <t>Debt expense</t>
  </si>
  <si>
    <t>Q325 dilu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</si>
</sst>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7620</xdr:rowOff>
    </xdr:from>
    <xdr:to>
      <xdr:col>16</xdr:col>
      <xdr:colOff>22860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FAFE1CF-FA27-6372-EF9B-8DFF01E4E69A}"/>
            </a:ext>
          </a:extLst>
        </xdr:cNvPr>
        <xdr:cNvCxnSpPr/>
      </xdr:nvCxnSpPr>
      <xdr:spPr>
        <a:xfrm>
          <a:off x="10591800" y="7620"/>
          <a:ext cx="0" cy="7414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15240</xdr:colOff>
      <xdr:row>0</xdr:row>
      <xdr:rowOff>7620</xdr:rowOff>
    </xdr:from>
    <xdr:to>
      <xdr:col>26</xdr:col>
      <xdr:colOff>15240</xdr:colOff>
      <xdr:row>40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E4ABCD4-DDA1-DD02-C985-F9C3390BF18A}"/>
            </a:ext>
          </a:extLst>
        </xdr:cNvPr>
        <xdr:cNvCxnSpPr/>
      </xdr:nvCxnSpPr>
      <xdr:spPr>
        <a:xfrm>
          <a:off x="1668018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74E81-96ED-46CE-A3C1-5B881134D282}">
  <dimension ref="B2:G9"/>
  <sheetViews>
    <sheetView workbookViewId="0">
      <selection activeCell="E7" sqref="E7"/>
    </sheetView>
  </sheetViews>
  <sheetFormatPr defaultRowHeight="14.4" x14ac:dyDescent="0.3"/>
  <cols>
    <col min="5" max="7" width="12.777343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66.900000000000006</v>
      </c>
      <c r="E3" s="3">
        <v>46001</v>
      </c>
      <c r="F3" s="3">
        <f ca="1">TODAY()</f>
        <v>46001</v>
      </c>
      <c r="G3" s="3">
        <v>46084</v>
      </c>
    </row>
    <row r="4" spans="2:7" x14ac:dyDescent="0.3">
      <c r="C4" t="s">
        <v>2</v>
      </c>
      <c r="D4" s="5">
        <f>89.4+1.3</f>
        <v>90.7</v>
      </c>
      <c r="E4" s="2" t="s">
        <v>67</v>
      </c>
    </row>
    <row r="5" spans="2:7" x14ac:dyDescent="0.3">
      <c r="C5" t="s">
        <v>4</v>
      </c>
      <c r="D5" s="5">
        <f>D3*D4</f>
        <v>6067.8300000000008</v>
      </c>
    </row>
    <row r="6" spans="2:7" x14ac:dyDescent="0.3">
      <c r="C6" t="s">
        <v>5</v>
      </c>
      <c r="D6" s="5">
        <f>1511.5</f>
        <v>1511.5</v>
      </c>
      <c r="E6" s="2" t="s">
        <v>45</v>
      </c>
    </row>
    <row r="7" spans="2:7" x14ac:dyDescent="0.3">
      <c r="C7" t="s">
        <v>6</v>
      </c>
      <c r="D7" s="5">
        <f>699.4+4019.8</f>
        <v>4719.2</v>
      </c>
      <c r="E7" s="2" t="s">
        <v>45</v>
      </c>
    </row>
    <row r="8" spans="2:7" x14ac:dyDescent="0.3">
      <c r="C8" t="s">
        <v>7</v>
      </c>
      <c r="D8" s="5">
        <f>D6-D7</f>
        <v>-3207.7</v>
      </c>
    </row>
    <row r="9" spans="2:7" x14ac:dyDescent="0.3">
      <c r="C9" t="s">
        <v>3</v>
      </c>
      <c r="D9" s="5">
        <f>D5-D8</f>
        <v>9275.5300000000007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74867-C015-4EB5-A6A7-44303FBA5A30}">
  <dimension ref="B2:EP38"/>
  <sheetViews>
    <sheetView tabSelected="1" workbookViewId="0">
      <pane xSplit="2" ySplit="2" topLeftCell="W12" activePane="bottomRight" state="frozen"/>
      <selection pane="topRight" activeCell="C1" sqref="C1"/>
      <selection pane="bottomLeft" activeCell="A3" sqref="A3"/>
      <selection pane="bottomRight" activeCell="AO38" sqref="AO38"/>
    </sheetView>
  </sheetViews>
  <sheetFormatPr defaultRowHeight="14.4" x14ac:dyDescent="0.3"/>
  <cols>
    <col min="2" max="2" width="20.77734375" bestFit="1" customWidth="1"/>
    <col min="40" max="40" width="12" bestFit="1" customWidth="1"/>
    <col min="41" max="41" width="13" customWidth="1"/>
  </cols>
  <sheetData>
    <row r="2" spans="2:37" x14ac:dyDescent="0.3"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N2" s="6" t="s">
        <v>42</v>
      </c>
      <c r="O2" s="6" t="s">
        <v>43</v>
      </c>
      <c r="P2" s="6" t="s">
        <v>44</v>
      </c>
      <c r="Q2" s="6" t="s">
        <v>45</v>
      </c>
      <c r="R2" s="6" t="s">
        <v>46</v>
      </c>
      <c r="U2">
        <v>2019</v>
      </c>
      <c r="V2">
        <v>2020</v>
      </c>
      <c r="W2">
        <v>2021</v>
      </c>
      <c r="X2">
        <v>2022</v>
      </c>
      <c r="Y2">
        <v>2023</v>
      </c>
      <c r="Z2">
        <v>2024</v>
      </c>
      <c r="AA2">
        <v>2025</v>
      </c>
      <c r="AB2">
        <v>2026</v>
      </c>
      <c r="AC2">
        <v>2027</v>
      </c>
      <c r="AD2">
        <v>2028</v>
      </c>
      <c r="AE2">
        <v>2029</v>
      </c>
      <c r="AF2">
        <v>2030</v>
      </c>
      <c r="AG2">
        <v>2031</v>
      </c>
      <c r="AH2">
        <v>2032</v>
      </c>
      <c r="AI2">
        <v>2033</v>
      </c>
      <c r="AJ2">
        <v>2034</v>
      </c>
      <c r="AK2">
        <v>2035</v>
      </c>
    </row>
    <row r="3" spans="2:37" s="1" customFormat="1" x14ac:dyDescent="0.3">
      <c r="B3" s="1" t="s">
        <v>11</v>
      </c>
      <c r="G3" s="8">
        <v>547</v>
      </c>
      <c r="H3" s="8">
        <v>637</v>
      </c>
      <c r="I3" s="8">
        <v>675.4</v>
      </c>
      <c r="J3" s="8">
        <v>705.4</v>
      </c>
      <c r="K3" s="8">
        <v>707.4</v>
      </c>
      <c r="L3" s="8">
        <v>827</v>
      </c>
      <c r="M3" s="8">
        <v>909.2</v>
      </c>
      <c r="N3" s="8">
        <v>887</v>
      </c>
      <c r="O3" s="8">
        <v>848.3</v>
      </c>
      <c r="P3" s="8">
        <v>966.2</v>
      </c>
      <c r="Q3" s="8">
        <v>1176.9000000000001</v>
      </c>
      <c r="R3" s="8">
        <f>N3*1.35</f>
        <v>1197.45</v>
      </c>
      <c r="Y3" s="8">
        <f>SUM(G3:J3)</f>
        <v>2564.8000000000002</v>
      </c>
      <c r="Z3" s="8">
        <f>SUM(K3:N3)</f>
        <v>3330.6000000000004</v>
      </c>
      <c r="AA3" s="8">
        <f>SUM(O3:R3)</f>
        <v>4188.8500000000004</v>
      </c>
      <c r="AB3" s="8">
        <f>AA3*1.15</f>
        <v>4817.1774999999998</v>
      </c>
      <c r="AC3" s="8">
        <f>AB3*1.06</f>
        <v>5106.2081500000004</v>
      </c>
      <c r="AD3" s="8">
        <f>AC3*1.05</f>
        <v>5361.5185575000005</v>
      </c>
      <c r="AE3" s="8">
        <f>AD3*1.04</f>
        <v>5575.9792998000003</v>
      </c>
      <c r="AF3" s="8">
        <f>AE3*1.03</f>
        <v>5743.2586787940008</v>
      </c>
      <c r="AG3" s="8">
        <f>AF3*1.03</f>
        <v>5915.5564391578209</v>
      </c>
      <c r="AH3" s="8">
        <f t="shared" ref="AH3:AK3" si="0">AG3*1.03</f>
        <v>6093.0231323325561</v>
      </c>
      <c r="AI3" s="8">
        <f t="shared" si="0"/>
        <v>6275.813826302533</v>
      </c>
      <c r="AJ3" s="8">
        <f t="shared" si="0"/>
        <v>6464.0882410916092</v>
      </c>
      <c r="AK3" s="8">
        <f t="shared" si="0"/>
        <v>6658.0108883243574</v>
      </c>
    </row>
    <row r="4" spans="2:37" x14ac:dyDescent="0.3">
      <c r="B4" t="s">
        <v>12</v>
      </c>
      <c r="G4" s="5">
        <v>401.6</v>
      </c>
      <c r="H4" s="5">
        <v>470.1</v>
      </c>
      <c r="I4" s="5">
        <v>495.1</v>
      </c>
      <c r="J4" s="5">
        <v>510.2</v>
      </c>
      <c r="K4" s="5">
        <v>519.6</v>
      </c>
      <c r="L4" s="5">
        <v>595.20000000000005</v>
      </c>
      <c r="M4" s="5">
        <v>641.9</v>
      </c>
      <c r="N4" s="5">
        <v>600.79999999999995</v>
      </c>
      <c r="O4" s="5">
        <v>591.29999999999995</v>
      </c>
      <c r="P4" s="5">
        <v>673.7</v>
      </c>
      <c r="Q4" s="5">
        <v>747.9</v>
      </c>
      <c r="R4" s="5">
        <f t="shared" ref="Q4:R4" si="1">R3-R5</f>
        <v>790.31700000000001</v>
      </c>
      <c r="Y4" s="5">
        <f>SUM(G4:J4)</f>
        <v>1877.0000000000002</v>
      </c>
      <c r="Z4" s="5">
        <f>SUM(K4:N4)</f>
        <v>2357.5</v>
      </c>
      <c r="AA4" s="5">
        <f>SUM(O4:R4)</f>
        <v>2803.2170000000001</v>
      </c>
      <c r="AB4" s="5">
        <f>AB3-AB5</f>
        <v>3179.3371499999998</v>
      </c>
      <c r="AC4" s="5">
        <f t="shared" ref="AC4:AK4" si="2">AC3-AC5</f>
        <v>3319.0352975000005</v>
      </c>
      <c r="AD4" s="5">
        <f t="shared" si="2"/>
        <v>3431.3718768000003</v>
      </c>
      <c r="AE4" s="5">
        <f t="shared" si="2"/>
        <v>3568.6267518720006</v>
      </c>
      <c r="AF4" s="5">
        <f t="shared" si="2"/>
        <v>3675.6855544281607</v>
      </c>
      <c r="AG4" s="5">
        <f t="shared" si="2"/>
        <v>3785.9561210610054</v>
      </c>
      <c r="AH4" s="5">
        <f t="shared" si="2"/>
        <v>3899.5348046928361</v>
      </c>
      <c r="AI4" s="5">
        <f t="shared" si="2"/>
        <v>4016.5208488336211</v>
      </c>
      <c r="AJ4" s="5">
        <f t="shared" si="2"/>
        <v>4137.0164742986299</v>
      </c>
      <c r="AK4" s="5">
        <f t="shared" si="2"/>
        <v>4261.1269685275893</v>
      </c>
    </row>
    <row r="5" spans="2:37" s="1" customFormat="1" x14ac:dyDescent="0.3">
      <c r="B5" s="1" t="s">
        <v>13</v>
      </c>
      <c r="G5" s="8">
        <f t="shared" ref="G5:Q5" si="3">G3-G4</f>
        <v>145.39999999999998</v>
      </c>
      <c r="H5" s="8">
        <f t="shared" si="3"/>
        <v>166.89999999999998</v>
      </c>
      <c r="I5" s="8">
        <f t="shared" si="3"/>
        <v>180.29999999999995</v>
      </c>
      <c r="J5" s="8">
        <f t="shared" si="3"/>
        <v>195.2</v>
      </c>
      <c r="K5" s="8">
        <f t="shared" si="3"/>
        <v>187.79999999999995</v>
      </c>
      <c r="L5" s="8">
        <f t="shared" si="3"/>
        <v>231.79999999999995</v>
      </c>
      <c r="M5" s="8">
        <f t="shared" si="3"/>
        <v>267.30000000000007</v>
      </c>
      <c r="N5" s="8">
        <f t="shared" si="3"/>
        <v>286.20000000000005</v>
      </c>
      <c r="O5" s="8">
        <f t="shared" si="3"/>
        <v>257</v>
      </c>
      <c r="P5" s="8">
        <f t="shared" si="3"/>
        <v>292.5</v>
      </c>
      <c r="Q5" s="8">
        <f t="shared" si="3"/>
        <v>429.00000000000011</v>
      </c>
      <c r="R5" s="8">
        <f>R3*0.34</f>
        <v>407.13300000000004</v>
      </c>
      <c r="Y5" s="8">
        <f>Y3-Y4</f>
        <v>687.8</v>
      </c>
      <c r="Z5" s="8">
        <f>Z3-Z4</f>
        <v>973.10000000000036</v>
      </c>
      <c r="AA5" s="8">
        <f>AA3-AA4</f>
        <v>1385.6330000000003</v>
      </c>
      <c r="AB5" s="8">
        <f>AB3*0.34</f>
        <v>1637.8403499999999</v>
      </c>
      <c r="AC5" s="8">
        <f>AC3*0.35</f>
        <v>1787.1728525000001</v>
      </c>
      <c r="AD5" s="8">
        <f>AD3*0.36</f>
        <v>1930.1466807000002</v>
      </c>
      <c r="AE5" s="8">
        <f t="shared" ref="AE5:AK5" si="4">AE3*0.36</f>
        <v>2007.3525479279999</v>
      </c>
      <c r="AF5" s="8">
        <f t="shared" si="4"/>
        <v>2067.5731243658402</v>
      </c>
      <c r="AG5" s="8">
        <f t="shared" si="4"/>
        <v>2129.6003180968155</v>
      </c>
      <c r="AH5" s="8">
        <f t="shared" si="4"/>
        <v>2193.48832763972</v>
      </c>
      <c r="AI5" s="8">
        <f t="shared" si="4"/>
        <v>2259.2929774689119</v>
      </c>
      <c r="AJ5" s="8">
        <f t="shared" si="4"/>
        <v>2327.0717667929794</v>
      </c>
      <c r="AK5" s="8">
        <f t="shared" si="4"/>
        <v>2396.8839197967686</v>
      </c>
    </row>
    <row r="6" spans="2:37" x14ac:dyDescent="0.3">
      <c r="B6" t="s">
        <v>14</v>
      </c>
      <c r="G6" s="5">
        <v>85.7</v>
      </c>
      <c r="H6" s="5">
        <v>82.1</v>
      </c>
      <c r="I6" s="5">
        <v>76.3</v>
      </c>
      <c r="J6" s="5">
        <v>85.2</v>
      </c>
      <c r="K6" s="5">
        <v>107.1</v>
      </c>
      <c r="L6" s="5">
        <v>110.1</v>
      </c>
      <c r="M6" s="5">
        <v>118.2</v>
      </c>
      <c r="N6" s="5">
        <v>124.1</v>
      </c>
      <c r="O6" s="5">
        <v>154</v>
      </c>
      <c r="P6" s="5">
        <v>130.4</v>
      </c>
      <c r="Q6" s="5">
        <v>188.4</v>
      </c>
      <c r="R6" s="5">
        <v>193</v>
      </c>
      <c r="Y6" s="5">
        <f t="shared" ref="Y6:Y11" si="5">SUM(G6:J6)</f>
        <v>329.3</v>
      </c>
      <c r="Z6" s="5">
        <f t="shared" ref="Z6:Z11" si="6">SUM(K6:N6)</f>
        <v>459.5</v>
      </c>
      <c r="AA6" s="5">
        <f t="shared" ref="AA6:AA11" si="7">SUM(O6:R6)</f>
        <v>665.8</v>
      </c>
      <c r="AB6" s="5">
        <f>AA6*1.12</f>
        <v>745.69600000000003</v>
      </c>
      <c r="AC6" s="5">
        <f>AB6*1.07</f>
        <v>797.89472000000012</v>
      </c>
      <c r="AD6" s="5">
        <f>AC6*1.04</f>
        <v>829.81050880000021</v>
      </c>
      <c r="AE6" s="5">
        <f>AD6*1.03</f>
        <v>854.70482406400026</v>
      </c>
      <c r="AF6" s="5">
        <f>AE6*1.02</f>
        <v>871.79892054528034</v>
      </c>
      <c r="AG6" s="5">
        <f>AF6*1.02</f>
        <v>889.23489895618593</v>
      </c>
      <c r="AH6" s="5">
        <f t="shared" ref="AH6:AK6" si="8">AG6*1.02</f>
        <v>907.01959693530966</v>
      </c>
      <c r="AI6" s="5">
        <f t="shared" si="8"/>
        <v>925.15998887401588</v>
      </c>
      <c r="AJ6" s="5">
        <f t="shared" si="8"/>
        <v>943.66318865149617</v>
      </c>
      <c r="AK6" s="5">
        <f t="shared" si="8"/>
        <v>962.53645242452615</v>
      </c>
    </row>
    <row r="7" spans="2:37" x14ac:dyDescent="0.3">
      <c r="B7" t="s">
        <v>17</v>
      </c>
      <c r="G7" s="5">
        <v>7</v>
      </c>
      <c r="H7" s="5">
        <v>5.6</v>
      </c>
      <c r="I7" s="5">
        <v>8.9</v>
      </c>
      <c r="J7" s="5">
        <v>1.6</v>
      </c>
      <c r="K7" s="5">
        <v>2.1</v>
      </c>
      <c r="L7" s="5">
        <v>0.3</v>
      </c>
      <c r="M7" s="5">
        <v>1.5</v>
      </c>
      <c r="N7" s="5">
        <v>0.1</v>
      </c>
      <c r="O7" s="5">
        <v>-3.7</v>
      </c>
      <c r="P7" s="5">
        <v>-0.9</v>
      </c>
      <c r="Q7" s="5">
        <v>-2.8</v>
      </c>
      <c r="R7" s="5">
        <v>0</v>
      </c>
      <c r="Y7" s="5">
        <f t="shared" si="5"/>
        <v>23.1</v>
      </c>
      <c r="Z7" s="5">
        <f t="shared" si="6"/>
        <v>4</v>
      </c>
      <c r="AA7" s="5">
        <f t="shared" si="7"/>
        <v>-7.4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</row>
    <row r="8" spans="2:37" x14ac:dyDescent="0.3">
      <c r="B8" t="s">
        <v>15</v>
      </c>
      <c r="G8" s="5">
        <v>35.299999999999997</v>
      </c>
      <c r="H8" s="5">
        <v>35.9</v>
      </c>
      <c r="I8" s="5">
        <v>40</v>
      </c>
      <c r="J8" s="5">
        <v>42.6</v>
      </c>
      <c r="K8" s="5">
        <v>44.8</v>
      </c>
      <c r="L8" s="5">
        <v>46.7</v>
      </c>
      <c r="M8" s="5">
        <v>51.6</v>
      </c>
      <c r="N8" s="5">
        <v>56.4</v>
      </c>
      <c r="O8" s="5">
        <v>56</v>
      </c>
      <c r="P8" s="5">
        <v>57.6</v>
      </c>
      <c r="Q8" s="5">
        <v>85.8</v>
      </c>
      <c r="R8" s="5">
        <v>90</v>
      </c>
      <c r="Y8" s="5">
        <f t="shared" si="5"/>
        <v>153.79999999999998</v>
      </c>
      <c r="Z8" s="5">
        <f t="shared" si="6"/>
        <v>199.5</v>
      </c>
      <c r="AA8" s="5">
        <f t="shared" si="7"/>
        <v>289.39999999999998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</row>
    <row r="9" spans="2:37" x14ac:dyDescent="0.3">
      <c r="B9" t="s">
        <v>16</v>
      </c>
      <c r="G9" s="5">
        <v>6.1</v>
      </c>
      <c r="H9" s="5">
        <v>5.4</v>
      </c>
      <c r="I9" s="5">
        <v>5.7</v>
      </c>
      <c r="J9" s="5">
        <v>15.9</v>
      </c>
      <c r="K9" s="5">
        <v>8</v>
      </c>
      <c r="L9" s="5">
        <v>11.6</v>
      </c>
      <c r="M9" s="5">
        <v>9.4</v>
      </c>
      <c r="N9" s="5">
        <v>12.4</v>
      </c>
      <c r="O9" s="5">
        <v>18.600000000000001</v>
      </c>
      <c r="P9" s="5">
        <v>15.2</v>
      </c>
      <c r="Q9" s="5">
        <v>35.299999999999997</v>
      </c>
      <c r="R9" s="5">
        <v>36</v>
      </c>
      <c r="Y9" s="5">
        <f t="shared" si="5"/>
        <v>33.1</v>
      </c>
      <c r="Z9" s="5">
        <f t="shared" si="6"/>
        <v>41.4</v>
      </c>
      <c r="AA9" s="5">
        <f t="shared" si="7"/>
        <v>105.1</v>
      </c>
      <c r="AB9" s="5">
        <f>AB3*0.02</f>
        <v>96.343549999999993</v>
      </c>
      <c r="AC9" s="5">
        <f t="shared" ref="AC9:AK9" si="9">AC3*0.02</f>
        <v>102.12416300000001</v>
      </c>
      <c r="AD9" s="5">
        <f t="shared" si="9"/>
        <v>107.23037115000001</v>
      </c>
      <c r="AE9" s="5">
        <f t="shared" si="9"/>
        <v>111.519585996</v>
      </c>
      <c r="AF9" s="5">
        <f t="shared" si="9"/>
        <v>114.86517357588002</v>
      </c>
      <c r="AG9" s="5">
        <f t="shared" si="9"/>
        <v>118.31112878315642</v>
      </c>
      <c r="AH9" s="5">
        <f t="shared" si="9"/>
        <v>121.86046264665113</v>
      </c>
      <c r="AI9" s="5">
        <f t="shared" si="9"/>
        <v>125.51627652605066</v>
      </c>
      <c r="AJ9" s="5">
        <f t="shared" si="9"/>
        <v>129.28176482183218</v>
      </c>
      <c r="AK9" s="5">
        <f t="shared" si="9"/>
        <v>133.16021776648716</v>
      </c>
    </row>
    <row r="10" spans="2:37" x14ac:dyDescent="0.3">
      <c r="B10" t="s">
        <v>18</v>
      </c>
      <c r="G10" s="5">
        <v>2.5</v>
      </c>
      <c r="H10" s="5">
        <v>4</v>
      </c>
      <c r="I10" s="5">
        <v>4.7</v>
      </c>
      <c r="J10" s="5">
        <v>3.9</v>
      </c>
      <c r="K10" s="5">
        <v>4.4000000000000004</v>
      </c>
      <c r="L10" s="5">
        <v>3.9</v>
      </c>
      <c r="M10" s="5">
        <v>6.2</v>
      </c>
      <c r="N10" s="5">
        <v>7.2</v>
      </c>
      <c r="O10" s="5">
        <v>6.7</v>
      </c>
      <c r="P10" s="5">
        <v>7.1</v>
      </c>
      <c r="Q10" s="5">
        <v>7.7</v>
      </c>
      <c r="R10" s="5">
        <f t="shared" ref="Q10:R10" si="10">R3*0.008</f>
        <v>9.579600000000001</v>
      </c>
      <c r="Y10" s="5">
        <f t="shared" si="5"/>
        <v>15.1</v>
      </c>
      <c r="Z10" s="5">
        <f t="shared" si="6"/>
        <v>21.7</v>
      </c>
      <c r="AA10" s="5">
        <f t="shared" si="7"/>
        <v>31.079599999999999</v>
      </c>
      <c r="AB10" s="5">
        <f>AB3*0.008</f>
        <v>38.537419999999997</v>
      </c>
      <c r="AC10" s="5">
        <f t="shared" ref="AC10:AK10" si="11">AC3*0.008</f>
        <v>40.849665200000004</v>
      </c>
      <c r="AD10" s="5">
        <f t="shared" si="11"/>
        <v>42.892148460000001</v>
      </c>
      <c r="AE10" s="5">
        <f t="shared" si="11"/>
        <v>44.607834398400001</v>
      </c>
      <c r="AF10" s="5">
        <f t="shared" si="11"/>
        <v>45.946069430352004</v>
      </c>
      <c r="AG10" s="5">
        <f t="shared" si="11"/>
        <v>47.324451513262566</v>
      </c>
      <c r="AH10" s="5">
        <f t="shared" si="11"/>
        <v>48.744185058660449</v>
      </c>
      <c r="AI10" s="5">
        <f t="shared" si="11"/>
        <v>50.206510610420267</v>
      </c>
      <c r="AJ10" s="5">
        <f t="shared" si="11"/>
        <v>51.712705928732873</v>
      </c>
      <c r="AK10" s="5">
        <f t="shared" si="11"/>
        <v>53.264087106594857</v>
      </c>
    </row>
    <row r="11" spans="2:37" x14ac:dyDescent="0.3">
      <c r="B11" t="s">
        <v>19</v>
      </c>
      <c r="G11" s="5">
        <v>0</v>
      </c>
      <c r="H11" s="5">
        <v>0</v>
      </c>
      <c r="I11" s="5">
        <v>0</v>
      </c>
      <c r="J11" s="5">
        <v>18.600000000000001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Y11" s="5">
        <f t="shared" si="5"/>
        <v>18.600000000000001</v>
      </c>
      <c r="Z11" s="5">
        <f t="shared" si="6"/>
        <v>0</v>
      </c>
      <c r="AA11" s="5">
        <f t="shared" si="7"/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</row>
    <row r="12" spans="2:37" x14ac:dyDescent="0.3">
      <c r="B12" t="s">
        <v>47</v>
      </c>
      <c r="G12" s="5">
        <f t="shared" ref="G12:N12" si="12">SUM(G6:G11)</f>
        <v>136.6</v>
      </c>
      <c r="H12" s="5">
        <f t="shared" si="12"/>
        <v>133</v>
      </c>
      <c r="I12" s="5">
        <f t="shared" si="12"/>
        <v>135.6</v>
      </c>
      <c r="J12" s="5">
        <f t="shared" si="12"/>
        <v>167.8</v>
      </c>
      <c r="K12" s="5">
        <f t="shared" si="12"/>
        <v>166.4</v>
      </c>
      <c r="L12" s="5">
        <f t="shared" si="12"/>
        <v>172.6</v>
      </c>
      <c r="M12" s="5">
        <f t="shared" si="12"/>
        <v>186.9</v>
      </c>
      <c r="N12" s="5">
        <f t="shared" si="12"/>
        <v>200.2</v>
      </c>
      <c r="O12" s="5">
        <f t="shared" ref="O12:R12" si="13">SUM(O6:O11)</f>
        <v>231.6</v>
      </c>
      <c r="P12" s="5">
        <f t="shared" si="13"/>
        <v>209.39999999999998</v>
      </c>
      <c r="Q12" s="5">
        <f t="shared" si="13"/>
        <v>314.39999999999998</v>
      </c>
      <c r="R12" s="5">
        <f t="shared" si="13"/>
        <v>328.57960000000003</v>
      </c>
      <c r="Y12" s="5">
        <f>SUM(Y6:Y11)</f>
        <v>573.00000000000011</v>
      </c>
      <c r="Z12" s="5">
        <f>SUM(Z6:Z11)</f>
        <v>726.1</v>
      </c>
      <c r="AA12" s="5">
        <f>SUM(AA6:AA11)</f>
        <v>1083.9795999999999</v>
      </c>
      <c r="AB12" s="5">
        <f>SUM(AB6:AB11)</f>
        <v>880.57696999999996</v>
      </c>
      <c r="AC12" s="5">
        <f t="shared" ref="AC12:AK12" si="14">SUM(AC6:AC11)</f>
        <v>940.86854820000019</v>
      </c>
      <c r="AD12" s="5">
        <f t="shared" si="14"/>
        <v>979.93302841000025</v>
      </c>
      <c r="AE12" s="5">
        <f t="shared" si="14"/>
        <v>1010.8322444584003</v>
      </c>
      <c r="AF12" s="5">
        <f t="shared" si="14"/>
        <v>1032.6101635515124</v>
      </c>
      <c r="AG12" s="5">
        <f t="shared" si="14"/>
        <v>1054.8704792526048</v>
      </c>
      <c r="AH12" s="5">
        <f t="shared" si="14"/>
        <v>1077.6242446406211</v>
      </c>
      <c r="AI12" s="5">
        <f t="shared" si="14"/>
        <v>1100.8827760104869</v>
      </c>
      <c r="AJ12" s="5">
        <f t="shared" si="14"/>
        <v>1124.6576594020612</v>
      </c>
      <c r="AK12" s="5">
        <f t="shared" si="14"/>
        <v>1148.9607572976081</v>
      </c>
    </row>
    <row r="13" spans="2:37" s="1" customFormat="1" x14ac:dyDescent="0.3">
      <c r="B13" s="1" t="s">
        <v>20</v>
      </c>
      <c r="G13" s="8">
        <f t="shared" ref="G13:N13" si="15">G5-G12</f>
        <v>8.7999999999999829</v>
      </c>
      <c r="H13" s="8">
        <f t="shared" si="15"/>
        <v>33.899999999999977</v>
      </c>
      <c r="I13" s="8">
        <f t="shared" si="15"/>
        <v>44.69999999999996</v>
      </c>
      <c r="J13" s="8">
        <f t="shared" si="15"/>
        <v>27.399999999999977</v>
      </c>
      <c r="K13" s="8">
        <f t="shared" si="15"/>
        <v>21.399999999999949</v>
      </c>
      <c r="L13" s="8">
        <f t="shared" si="15"/>
        <v>59.19999999999996</v>
      </c>
      <c r="M13" s="8">
        <f t="shared" si="15"/>
        <v>80.400000000000063</v>
      </c>
      <c r="N13" s="8">
        <f t="shared" si="15"/>
        <v>86.000000000000057</v>
      </c>
      <c r="O13" s="8">
        <f t="shared" ref="O13:R13" si="16">O5-O12</f>
        <v>25.400000000000006</v>
      </c>
      <c r="P13" s="8">
        <f t="shared" si="16"/>
        <v>83.100000000000023</v>
      </c>
      <c r="Q13" s="8">
        <f t="shared" si="16"/>
        <v>114.60000000000014</v>
      </c>
      <c r="R13" s="8">
        <f t="shared" si="16"/>
        <v>78.553400000000011</v>
      </c>
      <c r="Y13" s="8">
        <f>Y5-Y12</f>
        <v>114.79999999999984</v>
      </c>
      <c r="Z13" s="8">
        <f>Z5-Z12</f>
        <v>247.00000000000034</v>
      </c>
      <c r="AA13" s="8">
        <f>AA5-AA12</f>
        <v>301.65340000000037</v>
      </c>
      <c r="AB13" s="8">
        <f>AB5-AB12</f>
        <v>757.26337999999998</v>
      </c>
      <c r="AC13" s="8">
        <f t="shared" ref="AC13:AK13" si="17">AC5-AC12</f>
        <v>846.3043042999999</v>
      </c>
      <c r="AD13" s="8">
        <f t="shared" si="17"/>
        <v>950.21365228999991</v>
      </c>
      <c r="AE13" s="8">
        <f t="shared" si="17"/>
        <v>996.52030346959964</v>
      </c>
      <c r="AF13" s="8">
        <f t="shared" si="17"/>
        <v>1034.9629608143277</v>
      </c>
      <c r="AG13" s="8">
        <f t="shared" si="17"/>
        <v>1074.7298388442107</v>
      </c>
      <c r="AH13" s="8">
        <f t="shared" si="17"/>
        <v>1115.8640829990989</v>
      </c>
      <c r="AI13" s="8">
        <f t="shared" si="17"/>
        <v>1158.410201458425</v>
      </c>
      <c r="AJ13" s="8">
        <f t="shared" si="17"/>
        <v>1202.4141073909182</v>
      </c>
      <c r="AK13" s="8">
        <f t="shared" si="17"/>
        <v>1247.9231624991605</v>
      </c>
    </row>
    <row r="14" spans="2:37" s="1" customFormat="1" x14ac:dyDescent="0.3">
      <c r="B14" t="s">
        <v>66</v>
      </c>
      <c r="G14" s="8"/>
      <c r="H14" s="8"/>
      <c r="I14" s="8"/>
      <c r="J14" s="8"/>
      <c r="K14" s="8"/>
      <c r="L14" s="8"/>
      <c r="M14" s="8"/>
      <c r="N14" s="8"/>
      <c r="O14" s="8"/>
      <c r="P14" s="5">
        <v>3.1</v>
      </c>
      <c r="Q14" s="11">
        <v>9.1999999999999993</v>
      </c>
      <c r="R14" s="11"/>
      <c r="Y14" s="8"/>
      <c r="Z14" s="8"/>
      <c r="AA14" s="5">
        <f t="shared" ref="AA14:AA19" si="18">SUM(O14:R14)</f>
        <v>12.299999999999999</v>
      </c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2:37" x14ac:dyDescent="0.3">
      <c r="B15" t="s">
        <v>21</v>
      </c>
      <c r="G15" s="5">
        <v>-7.6</v>
      </c>
      <c r="H15" s="5">
        <v>-8.8000000000000007</v>
      </c>
      <c r="I15" s="5">
        <v>-9.6</v>
      </c>
      <c r="J15" s="5">
        <v>-5.9</v>
      </c>
      <c r="K15" s="5">
        <v>-5.4</v>
      </c>
      <c r="L15" s="5">
        <v>-5</v>
      </c>
      <c r="M15" s="5">
        <v>-9.6999999999999993</v>
      </c>
      <c r="N15" s="5">
        <v>-13.6</v>
      </c>
      <c r="O15" s="5">
        <v>-12.4</v>
      </c>
      <c r="P15" s="5">
        <v>-19.2</v>
      </c>
      <c r="Q15" s="5">
        <v>-17.5</v>
      </c>
      <c r="R15" s="5">
        <f t="shared" ref="Q15:R15" si="19">N15*1.2</f>
        <v>-16.32</v>
      </c>
      <c r="Y15" s="5">
        <f>SUM(G15:J15)</f>
        <v>-31.9</v>
      </c>
      <c r="Z15" s="5">
        <f>SUM(K15:N15)</f>
        <v>-33.700000000000003</v>
      </c>
      <c r="AA15" s="5">
        <f t="shared" si="18"/>
        <v>-65.42</v>
      </c>
      <c r="AB15" s="5">
        <f>AA15*1.05</f>
        <v>-68.691000000000003</v>
      </c>
      <c r="AC15" s="5">
        <f t="shared" ref="AC15:AK15" si="20">AB15*1.05</f>
        <v>-72.125550000000004</v>
      </c>
      <c r="AD15" s="5">
        <f t="shared" si="20"/>
        <v>-75.731827500000009</v>
      </c>
      <c r="AE15" s="5">
        <f t="shared" si="20"/>
        <v>-79.518418875000009</v>
      </c>
      <c r="AF15" s="5">
        <f t="shared" si="20"/>
        <v>-83.494339818750007</v>
      </c>
      <c r="AG15" s="5">
        <f t="shared" si="20"/>
        <v>-87.669056809687504</v>
      </c>
      <c r="AH15" s="5">
        <f t="shared" si="20"/>
        <v>-92.052509650171885</v>
      </c>
      <c r="AI15" s="5">
        <f t="shared" si="20"/>
        <v>-96.655135132680485</v>
      </c>
      <c r="AJ15" s="5">
        <f t="shared" si="20"/>
        <v>-101.48789188931451</v>
      </c>
      <c r="AK15" s="5">
        <f t="shared" si="20"/>
        <v>-106.56228648378024</v>
      </c>
    </row>
    <row r="16" spans="2:37" x14ac:dyDescent="0.3">
      <c r="B16" t="s">
        <v>48</v>
      </c>
      <c r="G16" s="5">
        <v>-0.1</v>
      </c>
      <c r="H16" s="5">
        <v>0.4</v>
      </c>
      <c r="I16" s="5">
        <v>0</v>
      </c>
      <c r="J16" s="5">
        <v>3.6</v>
      </c>
      <c r="K16" s="5">
        <v>-1.4</v>
      </c>
      <c r="L16" s="5">
        <v>-0.4</v>
      </c>
      <c r="M16" s="5">
        <v>1.5</v>
      </c>
      <c r="N16" s="5">
        <v>-1.5</v>
      </c>
      <c r="O16" s="5">
        <v>1.2</v>
      </c>
      <c r="P16" s="5">
        <v>3</v>
      </c>
      <c r="Q16" s="5">
        <v>1.4</v>
      </c>
      <c r="R16" s="5">
        <v>0</v>
      </c>
      <c r="Y16" s="5">
        <f>SUM(G16:J16)</f>
        <v>3.9000000000000004</v>
      </c>
      <c r="Z16" s="5">
        <f>SUM(K16:N16)</f>
        <v>-1.7999999999999998</v>
      </c>
      <c r="AA16" s="5">
        <f t="shared" si="18"/>
        <v>5.6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</row>
    <row r="17" spans="2:146" x14ac:dyDescent="0.3">
      <c r="B17" t="s">
        <v>22</v>
      </c>
      <c r="G17" s="5">
        <v>-8.9</v>
      </c>
      <c r="H17" s="5">
        <v>0</v>
      </c>
      <c r="I17" s="5">
        <v>-2.6</v>
      </c>
      <c r="J17" s="5">
        <v>-0.7</v>
      </c>
      <c r="K17" s="5">
        <v>-11</v>
      </c>
      <c r="L17" s="5">
        <v>0.2</v>
      </c>
      <c r="M17" s="5">
        <v>-10.8</v>
      </c>
      <c r="N17" s="5">
        <v>-45.1</v>
      </c>
      <c r="O17" s="5">
        <v>-0.3</v>
      </c>
      <c r="P17" s="5">
        <v>0.3</v>
      </c>
      <c r="Q17" s="5">
        <v>0</v>
      </c>
      <c r="R17" s="5">
        <v>0</v>
      </c>
      <c r="Y17" s="5">
        <f>SUM(G17:J17)</f>
        <v>-12.2</v>
      </c>
      <c r="Z17" s="5">
        <f>SUM(K17:N17)</f>
        <v>-66.7</v>
      </c>
      <c r="AA17" s="5">
        <f t="shared" si="18"/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</row>
    <row r="18" spans="2:146" x14ac:dyDescent="0.3">
      <c r="B18" t="s">
        <v>23</v>
      </c>
      <c r="G18" s="5">
        <v>0.5</v>
      </c>
      <c r="H18" s="5">
        <v>0.8</v>
      </c>
      <c r="I18" s="5">
        <v>1.5</v>
      </c>
      <c r="J18" s="5">
        <v>0.6</v>
      </c>
      <c r="K18" s="5">
        <v>1.2</v>
      </c>
      <c r="L18" s="5">
        <v>3.6</v>
      </c>
      <c r="M18" s="5">
        <v>289.39999999999998</v>
      </c>
      <c r="N18" s="5">
        <v>-5.2</v>
      </c>
      <c r="O18" s="5">
        <v>-3</v>
      </c>
      <c r="P18" s="5">
        <v>0.8</v>
      </c>
      <c r="Q18" s="5">
        <v>0.2</v>
      </c>
      <c r="R18" s="5">
        <v>0</v>
      </c>
      <c r="Y18" s="5">
        <f>SUM(G18:J18)</f>
        <v>3.4</v>
      </c>
      <c r="Z18" s="5">
        <f>SUM(K18:N18)</f>
        <v>289</v>
      </c>
      <c r="AA18" s="5">
        <f t="shared" si="18"/>
        <v>-2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</row>
    <row r="19" spans="2:146" x14ac:dyDescent="0.3">
      <c r="B19" t="s">
        <v>24</v>
      </c>
      <c r="G19" s="5">
        <v>8.1</v>
      </c>
      <c r="H19" s="5">
        <v>8</v>
      </c>
      <c r="I19" s="5">
        <v>8</v>
      </c>
      <c r="J19" s="5">
        <v>8</v>
      </c>
      <c r="K19" s="5">
        <v>8.1</v>
      </c>
      <c r="L19" s="5">
        <v>8.1</v>
      </c>
      <c r="M19" s="5">
        <v>18.3</v>
      </c>
      <c r="N19" s="5">
        <v>27.3</v>
      </c>
      <c r="O19" s="5">
        <v>28.5</v>
      </c>
      <c r="P19" s="5">
        <v>39.4</v>
      </c>
      <c r="Q19" s="5">
        <v>60.8</v>
      </c>
      <c r="R19" s="5">
        <v>60.8</v>
      </c>
      <c r="Y19" s="5">
        <f>SUM(G19:J19)</f>
        <v>32.1</v>
      </c>
      <c r="Z19" s="5">
        <f>SUM(K19:N19)</f>
        <v>61.8</v>
      </c>
      <c r="AA19" s="5">
        <f t="shared" si="18"/>
        <v>189.5</v>
      </c>
      <c r="AB19" s="5">
        <f>AA19*1.03</f>
        <v>195.185</v>
      </c>
      <c r="AC19" s="5">
        <f t="shared" ref="AC19:AK19" si="21">AB19*1.03</f>
        <v>201.04055</v>
      </c>
      <c r="AD19" s="5">
        <f t="shared" si="21"/>
        <v>207.0717665</v>
      </c>
      <c r="AE19" s="5">
        <f t="shared" si="21"/>
        <v>213.28391949499999</v>
      </c>
      <c r="AF19" s="5">
        <f t="shared" si="21"/>
        <v>219.68243707984999</v>
      </c>
      <c r="AG19" s="5">
        <f t="shared" si="21"/>
        <v>226.27291019224549</v>
      </c>
      <c r="AH19" s="5">
        <f t="shared" si="21"/>
        <v>233.06109749801286</v>
      </c>
      <c r="AI19" s="5">
        <f t="shared" si="21"/>
        <v>240.05293042295324</v>
      </c>
      <c r="AJ19" s="5">
        <f t="shared" si="21"/>
        <v>247.25451833564185</v>
      </c>
      <c r="AK19" s="5">
        <f t="shared" si="21"/>
        <v>254.67215388571111</v>
      </c>
    </row>
    <row r="20" spans="2:146" x14ac:dyDescent="0.3">
      <c r="B20" t="s">
        <v>30</v>
      </c>
      <c r="G20" s="5">
        <f t="shared" ref="G20:O20" si="22">SUM(G15:G19)</f>
        <v>-8.0000000000000018</v>
      </c>
      <c r="H20" s="5">
        <f t="shared" si="22"/>
        <v>0.39999999999999947</v>
      </c>
      <c r="I20" s="5">
        <f t="shared" si="22"/>
        <v>-2.6999999999999993</v>
      </c>
      <c r="J20" s="5">
        <f t="shared" si="22"/>
        <v>5.6</v>
      </c>
      <c r="K20" s="5">
        <f t="shared" si="22"/>
        <v>-8.5000000000000018</v>
      </c>
      <c r="L20" s="5">
        <f t="shared" si="22"/>
        <v>6.5</v>
      </c>
      <c r="M20" s="5">
        <f t="shared" si="22"/>
        <v>288.7</v>
      </c>
      <c r="N20" s="5">
        <f t="shared" si="22"/>
        <v>-38.100000000000009</v>
      </c>
      <c r="O20" s="5">
        <f t="shared" si="22"/>
        <v>13.999999999999998</v>
      </c>
      <c r="P20" s="5">
        <f>SUM(P14:P19)</f>
        <v>27.400000000000002</v>
      </c>
      <c r="Q20" s="5">
        <f t="shared" ref="Q20:R20" si="23">SUM(Q14:Q19)</f>
        <v>54.099999999999994</v>
      </c>
      <c r="R20" s="5">
        <f t="shared" si="23"/>
        <v>44.48</v>
      </c>
      <c r="Y20" s="5">
        <f>SUM(Y15:Y19)</f>
        <v>-4.7000000000000028</v>
      </c>
      <c r="Z20" s="5">
        <f>SUM(Z15:Z19)</f>
        <v>248.60000000000002</v>
      </c>
      <c r="AA20" s="5">
        <f t="shared" ref="AA20:AK20" si="24">SUM(AA14:AA19)</f>
        <v>139.97999999999999</v>
      </c>
      <c r="AB20" s="5">
        <f t="shared" si="24"/>
        <v>126.494</v>
      </c>
      <c r="AC20" s="5">
        <f t="shared" si="24"/>
        <v>128.91499999999999</v>
      </c>
      <c r="AD20" s="5">
        <f t="shared" si="24"/>
        <v>131.33993899999999</v>
      </c>
      <c r="AE20" s="5">
        <f t="shared" si="24"/>
        <v>133.76550061999998</v>
      </c>
      <c r="AF20" s="5">
        <f t="shared" si="24"/>
        <v>136.18809726109998</v>
      </c>
      <c r="AG20" s="5">
        <f t="shared" si="24"/>
        <v>138.60385338255799</v>
      </c>
      <c r="AH20" s="5">
        <f t="shared" si="24"/>
        <v>141.00858784784097</v>
      </c>
      <c r="AI20" s="5">
        <f t="shared" si="24"/>
        <v>143.39779529027277</v>
      </c>
      <c r="AJ20" s="5">
        <f t="shared" si="24"/>
        <v>145.76662644632734</v>
      </c>
      <c r="AK20" s="5">
        <f t="shared" si="24"/>
        <v>148.10986740193087</v>
      </c>
    </row>
    <row r="21" spans="2:146" s="1" customFormat="1" x14ac:dyDescent="0.3">
      <c r="B21" s="1" t="s">
        <v>25</v>
      </c>
      <c r="G21" s="8">
        <f t="shared" ref="G21:O21" si="25">G13-G20</f>
        <v>16.799999999999983</v>
      </c>
      <c r="H21" s="8">
        <f t="shared" si="25"/>
        <v>33.499999999999979</v>
      </c>
      <c r="I21" s="8">
        <f t="shared" si="25"/>
        <v>47.399999999999963</v>
      </c>
      <c r="J21" s="8">
        <f t="shared" si="25"/>
        <v>21.799999999999976</v>
      </c>
      <c r="K21" s="8">
        <f t="shared" si="25"/>
        <v>29.899999999999949</v>
      </c>
      <c r="L21" s="8">
        <f t="shared" si="25"/>
        <v>52.69999999999996</v>
      </c>
      <c r="M21" s="8">
        <f t="shared" si="25"/>
        <v>-208.29999999999993</v>
      </c>
      <c r="N21" s="8">
        <f t="shared" si="25"/>
        <v>124.10000000000007</v>
      </c>
      <c r="O21" s="8">
        <f t="shared" si="25"/>
        <v>11.400000000000007</v>
      </c>
      <c r="P21" s="8">
        <f t="shared" ref="P21:R21" si="26">P13-P20</f>
        <v>55.700000000000017</v>
      </c>
      <c r="Q21" s="8">
        <f t="shared" si="26"/>
        <v>60.500000000000142</v>
      </c>
      <c r="R21" s="8">
        <f t="shared" si="26"/>
        <v>34.073400000000014</v>
      </c>
      <c r="Y21" s="8">
        <f>Y13-Y20</f>
        <v>119.49999999999984</v>
      </c>
      <c r="Z21" s="8">
        <f>Z13-Z20</f>
        <v>-1.5999999999996817</v>
      </c>
      <c r="AA21" s="8">
        <f>AA13-AA20</f>
        <v>161.67340000000038</v>
      </c>
      <c r="AB21" s="8">
        <f>AB13-AB20</f>
        <v>630.76937999999996</v>
      </c>
      <c r="AC21" s="8">
        <f t="shared" ref="AC21:AK21" si="27">AC13-AC20</f>
        <v>717.38930429999994</v>
      </c>
      <c r="AD21" s="8">
        <f t="shared" si="27"/>
        <v>818.87371328999996</v>
      </c>
      <c r="AE21" s="8">
        <f t="shared" si="27"/>
        <v>862.75480284959963</v>
      </c>
      <c r="AF21" s="8">
        <f t="shared" si="27"/>
        <v>898.77486355322776</v>
      </c>
      <c r="AG21" s="8">
        <f t="shared" si="27"/>
        <v>936.1259854616527</v>
      </c>
      <c r="AH21" s="8">
        <f t="shared" si="27"/>
        <v>974.85549515125786</v>
      </c>
      <c r="AI21" s="8">
        <f t="shared" si="27"/>
        <v>1015.0124061681522</v>
      </c>
      <c r="AJ21" s="8">
        <f t="shared" si="27"/>
        <v>1056.6474809445908</v>
      </c>
      <c r="AK21" s="8">
        <f t="shared" si="27"/>
        <v>1099.8132950972297</v>
      </c>
    </row>
    <row r="22" spans="2:146" x14ac:dyDescent="0.3">
      <c r="B22" t="s">
        <v>26</v>
      </c>
      <c r="G22" s="5">
        <v>-3.6</v>
      </c>
      <c r="H22" s="5">
        <v>-3.3</v>
      </c>
      <c r="I22" s="5">
        <v>0.9</v>
      </c>
      <c r="J22" s="5">
        <v>2.6</v>
      </c>
      <c r="K22" s="5">
        <v>1.4</v>
      </c>
      <c r="L22" s="5">
        <v>-1.8</v>
      </c>
      <c r="M22" s="5">
        <v>-280.5</v>
      </c>
      <c r="N22" s="5">
        <v>15.2</v>
      </c>
      <c r="O22" s="5">
        <v>-8.1</v>
      </c>
      <c r="P22" s="5">
        <v>14.6</v>
      </c>
      <c r="Q22" s="5">
        <v>27.1</v>
      </c>
      <c r="R22" s="5">
        <f t="shared" ref="Q22:R22" si="28">R21*0.15</f>
        <v>5.1110100000000021</v>
      </c>
      <c r="Y22" s="5">
        <f>SUM(G22:J22)</f>
        <v>-3.4</v>
      </c>
      <c r="Z22" s="5">
        <f>SUM(K22:N22)</f>
        <v>-265.7</v>
      </c>
      <c r="AA22" s="5">
        <f>SUM(O22:R22)</f>
        <v>38.711010000000002</v>
      </c>
      <c r="AB22" s="5">
        <f>AB21*0.15</f>
        <v>94.61540699999999</v>
      </c>
      <c r="AC22" s="5">
        <f t="shared" ref="AC22:AK22" si="29">AC21*0.15</f>
        <v>107.60839564499999</v>
      </c>
      <c r="AD22" s="5">
        <f t="shared" si="29"/>
        <v>122.83105699349998</v>
      </c>
      <c r="AE22" s="5">
        <f t="shared" si="29"/>
        <v>129.41322042743994</v>
      </c>
      <c r="AF22" s="5">
        <f t="shared" si="29"/>
        <v>134.81622953298415</v>
      </c>
      <c r="AG22" s="5">
        <f t="shared" si="29"/>
        <v>140.41889781924789</v>
      </c>
      <c r="AH22" s="5">
        <f t="shared" si="29"/>
        <v>146.22832427268867</v>
      </c>
      <c r="AI22" s="5">
        <f t="shared" si="29"/>
        <v>152.25186092522281</v>
      </c>
      <c r="AJ22" s="5">
        <f t="shared" si="29"/>
        <v>158.49712214168861</v>
      </c>
      <c r="AK22" s="5">
        <f t="shared" si="29"/>
        <v>164.97199426458445</v>
      </c>
    </row>
    <row r="23" spans="2:146" x14ac:dyDescent="0.3">
      <c r="B23" t="s">
        <v>27</v>
      </c>
      <c r="G23" s="5">
        <v>5.6</v>
      </c>
      <c r="H23" s="5">
        <v>11.7</v>
      </c>
      <c r="I23" s="5">
        <v>13.9</v>
      </c>
      <c r="J23" s="5">
        <v>5.5</v>
      </c>
      <c r="K23" s="5">
        <v>7.9</v>
      </c>
      <c r="L23" s="5">
        <v>15.3</v>
      </c>
      <c r="M23" s="5">
        <v>18.399999999999999</v>
      </c>
      <c r="N23" s="5">
        <v>23.3</v>
      </c>
      <c r="O23" s="5">
        <v>2.8</v>
      </c>
      <c r="P23" s="5">
        <v>7.1</v>
      </c>
      <c r="Q23" s="5">
        <f>5.3+15.1</f>
        <v>20.399999999999999</v>
      </c>
      <c r="R23" s="5">
        <f>5.3+15.1</f>
        <v>20.399999999999999</v>
      </c>
      <c r="Y23" s="5">
        <f>SUM(G23:J23)</f>
        <v>36.699999999999996</v>
      </c>
      <c r="Z23" s="5">
        <f>SUM(K23:N23)</f>
        <v>64.900000000000006</v>
      </c>
      <c r="AA23" s="5">
        <f>SUM(O23:R23)</f>
        <v>50.699999999999996</v>
      </c>
      <c r="AB23" s="5">
        <f>AB21*0.18</f>
        <v>113.53848839999999</v>
      </c>
      <c r="AC23" s="5">
        <f t="shared" ref="AC23:AK23" si="30">AC21*0.18</f>
        <v>129.13007477399998</v>
      </c>
      <c r="AD23" s="5">
        <f t="shared" si="30"/>
        <v>147.39726839219998</v>
      </c>
      <c r="AE23" s="5">
        <f t="shared" si="30"/>
        <v>155.29586451292792</v>
      </c>
      <c r="AF23" s="5">
        <f t="shared" si="30"/>
        <v>161.77947543958098</v>
      </c>
      <c r="AG23" s="5">
        <f t="shared" si="30"/>
        <v>168.50267738309748</v>
      </c>
      <c r="AH23" s="5">
        <f t="shared" si="30"/>
        <v>175.47398912722642</v>
      </c>
      <c r="AI23" s="5">
        <f t="shared" si="30"/>
        <v>182.7022331102674</v>
      </c>
      <c r="AJ23" s="5">
        <f t="shared" si="30"/>
        <v>190.19654657002633</v>
      </c>
      <c r="AK23" s="5">
        <f t="shared" si="30"/>
        <v>197.96639311750133</v>
      </c>
    </row>
    <row r="24" spans="2:146" s="1" customFormat="1" x14ac:dyDescent="0.3">
      <c r="B24" s="1" t="s">
        <v>28</v>
      </c>
      <c r="G24" s="8">
        <f t="shared" ref="G24:O24" si="31">G21-G22-G23</f>
        <v>14.799999999999985</v>
      </c>
      <c r="H24" s="8">
        <f t="shared" si="31"/>
        <v>25.099999999999977</v>
      </c>
      <c r="I24" s="8">
        <f t="shared" si="31"/>
        <v>32.599999999999966</v>
      </c>
      <c r="J24" s="8">
        <f t="shared" si="31"/>
        <v>13.699999999999974</v>
      </c>
      <c r="K24" s="8">
        <f t="shared" si="31"/>
        <v>20.599999999999952</v>
      </c>
      <c r="L24" s="8">
        <f t="shared" si="31"/>
        <v>39.19999999999996</v>
      </c>
      <c r="M24" s="8">
        <f t="shared" si="31"/>
        <v>53.800000000000075</v>
      </c>
      <c r="N24" s="8">
        <f t="shared" si="31"/>
        <v>85.600000000000065</v>
      </c>
      <c r="O24" s="8">
        <f t="shared" si="31"/>
        <v>16.700000000000006</v>
      </c>
      <c r="P24" s="8">
        <f t="shared" ref="P24:R24" si="32">P21-P22-P23</f>
        <v>34.000000000000014</v>
      </c>
      <c r="Q24" s="8">
        <f t="shared" si="32"/>
        <v>13.000000000000142</v>
      </c>
      <c r="R24" s="8">
        <f t="shared" si="32"/>
        <v>8.5623900000000148</v>
      </c>
      <c r="Y24" s="8">
        <f>Y21-Y22-Y23</f>
        <v>86.199999999999847</v>
      </c>
      <c r="Z24" s="8">
        <f>Z21-Z22-Z23</f>
        <v>199.2000000000003</v>
      </c>
      <c r="AA24" s="8">
        <f>AA21-AA22-AA23</f>
        <v>72.26239000000038</v>
      </c>
      <c r="AB24" s="8">
        <f>AB21-AB22-AB23</f>
        <v>422.61548459999995</v>
      </c>
      <c r="AC24" s="8">
        <f t="shared" ref="AC24:AK24" si="33">AC21-AC22-AC23</f>
        <v>480.65083388099998</v>
      </c>
      <c r="AD24" s="8">
        <f t="shared" si="33"/>
        <v>548.64538790430004</v>
      </c>
      <c r="AE24" s="8">
        <f t="shared" si="33"/>
        <v>578.04571790923183</v>
      </c>
      <c r="AF24" s="8">
        <f t="shared" si="33"/>
        <v>602.1791585806626</v>
      </c>
      <c r="AG24" s="8">
        <f t="shared" si="33"/>
        <v>627.20441025930722</v>
      </c>
      <c r="AH24" s="8">
        <f t="shared" si="33"/>
        <v>653.15318175134269</v>
      </c>
      <c r="AI24" s="8">
        <f t="shared" si="33"/>
        <v>680.05831213266197</v>
      </c>
      <c r="AJ24" s="8">
        <f t="shared" si="33"/>
        <v>707.95381223287586</v>
      </c>
      <c r="AK24" s="8">
        <f t="shared" si="33"/>
        <v>736.87490771514388</v>
      </c>
      <c r="AL24" s="1">
        <f>AK24*(1+$AO$30)</f>
        <v>729.50615863799248</v>
      </c>
      <c r="AM24" s="1">
        <f t="shared" ref="AM24:CX24" si="34">AL24*(1+$AO$30)</f>
        <v>722.21109705161257</v>
      </c>
      <c r="AN24" s="1">
        <f t="shared" si="34"/>
        <v>714.98898608109641</v>
      </c>
      <c r="AO24" s="1">
        <f t="shared" si="34"/>
        <v>707.83909622028546</v>
      </c>
      <c r="AP24" s="1">
        <f t="shared" si="34"/>
        <v>700.76070525808257</v>
      </c>
      <c r="AQ24" s="1">
        <f t="shared" si="34"/>
        <v>693.75309820550171</v>
      </c>
      <c r="AR24" s="1">
        <f t="shared" si="34"/>
        <v>686.81556722344669</v>
      </c>
      <c r="AS24" s="1">
        <f t="shared" si="34"/>
        <v>679.94741155121221</v>
      </c>
      <c r="AT24" s="1">
        <f t="shared" si="34"/>
        <v>673.1479374357001</v>
      </c>
      <c r="AU24" s="1">
        <f t="shared" si="34"/>
        <v>666.41645806134306</v>
      </c>
      <c r="AV24" s="1">
        <f t="shared" si="34"/>
        <v>659.75229348072958</v>
      </c>
      <c r="AW24" s="1">
        <f t="shared" si="34"/>
        <v>653.15477054592225</v>
      </c>
      <c r="AX24" s="1">
        <f t="shared" si="34"/>
        <v>646.62322284046297</v>
      </c>
      <c r="AY24" s="1">
        <f t="shared" si="34"/>
        <v>640.15699061205828</v>
      </c>
      <c r="AZ24" s="1">
        <f t="shared" si="34"/>
        <v>633.75542070593769</v>
      </c>
      <c r="BA24" s="1">
        <f t="shared" si="34"/>
        <v>627.41786649887831</v>
      </c>
      <c r="BB24" s="1">
        <f t="shared" si="34"/>
        <v>621.14368783388954</v>
      </c>
      <c r="BC24" s="1">
        <f t="shared" si="34"/>
        <v>614.93225095555067</v>
      </c>
      <c r="BD24" s="1">
        <f t="shared" si="34"/>
        <v>608.78292844599514</v>
      </c>
      <c r="BE24" s="1">
        <f t="shared" si="34"/>
        <v>602.69509916153515</v>
      </c>
      <c r="BF24" s="1">
        <f t="shared" si="34"/>
        <v>596.66814816991985</v>
      </c>
      <c r="BG24" s="1">
        <f t="shared" si="34"/>
        <v>590.70146668822065</v>
      </c>
      <c r="BH24" s="1">
        <f t="shared" si="34"/>
        <v>584.79445202133843</v>
      </c>
      <c r="BI24" s="1">
        <f t="shared" si="34"/>
        <v>578.94650750112498</v>
      </c>
      <c r="BJ24" s="1">
        <f t="shared" si="34"/>
        <v>573.15704242611378</v>
      </c>
      <c r="BK24" s="1">
        <f t="shared" si="34"/>
        <v>567.42547200185265</v>
      </c>
      <c r="BL24" s="1">
        <f t="shared" si="34"/>
        <v>561.7512172818341</v>
      </c>
      <c r="BM24" s="1">
        <f t="shared" si="34"/>
        <v>556.13370510901575</v>
      </c>
      <c r="BN24" s="1">
        <f t="shared" si="34"/>
        <v>550.57236805792559</v>
      </c>
      <c r="BO24" s="1">
        <f t="shared" si="34"/>
        <v>545.06664437734628</v>
      </c>
      <c r="BP24" s="1">
        <f t="shared" si="34"/>
        <v>539.61597793357282</v>
      </c>
      <c r="BQ24" s="1">
        <f t="shared" si="34"/>
        <v>534.21981815423703</v>
      </c>
      <c r="BR24" s="1">
        <f t="shared" si="34"/>
        <v>528.87761997269467</v>
      </c>
      <c r="BS24" s="1">
        <f t="shared" si="34"/>
        <v>523.58884377296772</v>
      </c>
      <c r="BT24" s="1">
        <f t="shared" si="34"/>
        <v>518.35295533523799</v>
      </c>
      <c r="BU24" s="1">
        <f t="shared" si="34"/>
        <v>513.16942578188559</v>
      </c>
      <c r="BV24" s="1">
        <f t="shared" si="34"/>
        <v>508.03773152406671</v>
      </c>
      <c r="BW24" s="1">
        <f t="shared" si="34"/>
        <v>502.95735420882602</v>
      </c>
      <c r="BX24" s="1">
        <f t="shared" si="34"/>
        <v>497.92778066673776</v>
      </c>
      <c r="BY24" s="1">
        <f t="shared" si="34"/>
        <v>492.94850286007039</v>
      </c>
      <c r="BZ24" s="1">
        <f t="shared" si="34"/>
        <v>488.01901783146968</v>
      </c>
      <c r="CA24" s="1">
        <f t="shared" si="34"/>
        <v>483.13882765315498</v>
      </c>
      <c r="CB24" s="1">
        <f t="shared" si="34"/>
        <v>478.30743937662345</v>
      </c>
      <c r="CC24" s="1">
        <f t="shared" si="34"/>
        <v>473.52436498285721</v>
      </c>
      <c r="CD24" s="1">
        <f t="shared" si="34"/>
        <v>468.78912133302862</v>
      </c>
      <c r="CE24" s="1">
        <f t="shared" si="34"/>
        <v>464.1012301196983</v>
      </c>
      <c r="CF24" s="1">
        <f t="shared" si="34"/>
        <v>459.46021781850129</v>
      </c>
      <c r="CG24" s="1">
        <f t="shared" si="34"/>
        <v>454.86561564031626</v>
      </c>
      <c r="CH24" s="1">
        <f t="shared" si="34"/>
        <v>450.31695948391308</v>
      </c>
      <c r="CI24" s="1">
        <f t="shared" si="34"/>
        <v>445.81378988907397</v>
      </c>
      <c r="CJ24" s="1">
        <f t="shared" si="34"/>
        <v>441.35565199018322</v>
      </c>
      <c r="CK24" s="1">
        <f t="shared" si="34"/>
        <v>436.9420954702814</v>
      </c>
      <c r="CL24" s="1">
        <f t="shared" si="34"/>
        <v>432.57267451557857</v>
      </c>
      <c r="CM24" s="1">
        <f t="shared" si="34"/>
        <v>428.24694777042276</v>
      </c>
      <c r="CN24" s="1">
        <f t="shared" si="34"/>
        <v>423.96447829271852</v>
      </c>
      <c r="CO24" s="1">
        <f t="shared" si="34"/>
        <v>419.72483350979132</v>
      </c>
      <c r="CP24" s="1">
        <f t="shared" si="34"/>
        <v>415.5275851746934</v>
      </c>
      <c r="CQ24" s="1">
        <f t="shared" si="34"/>
        <v>411.37230932294648</v>
      </c>
      <c r="CR24" s="1">
        <f t="shared" si="34"/>
        <v>407.25858622971703</v>
      </c>
      <c r="CS24" s="1">
        <f t="shared" si="34"/>
        <v>403.18600036741987</v>
      </c>
      <c r="CT24" s="1">
        <f t="shared" si="34"/>
        <v>399.15414036374568</v>
      </c>
      <c r="CU24" s="1">
        <f t="shared" si="34"/>
        <v>395.1625989601082</v>
      </c>
      <c r="CV24" s="1">
        <f t="shared" si="34"/>
        <v>391.2109729705071</v>
      </c>
      <c r="CW24" s="1">
        <f t="shared" si="34"/>
        <v>387.29886324080201</v>
      </c>
      <c r="CX24" s="1">
        <f t="shared" si="34"/>
        <v>383.425874608394</v>
      </c>
      <c r="CY24" s="1">
        <f t="shared" ref="CY24:EP24" si="35">CX24*(1+$AO$30)</f>
        <v>379.59161586231005</v>
      </c>
      <c r="CZ24" s="1">
        <f t="shared" si="35"/>
        <v>375.79569970368692</v>
      </c>
      <c r="DA24" s="1">
        <f t="shared" si="35"/>
        <v>372.03774270665002</v>
      </c>
      <c r="DB24" s="1">
        <f t="shared" si="35"/>
        <v>368.3173652795835</v>
      </c>
      <c r="DC24" s="1">
        <f t="shared" si="35"/>
        <v>364.63419162678764</v>
      </c>
      <c r="DD24" s="1">
        <f t="shared" si="35"/>
        <v>360.98784971051975</v>
      </c>
      <c r="DE24" s="1">
        <f t="shared" si="35"/>
        <v>357.37797121341453</v>
      </c>
      <c r="DF24" s="1">
        <f t="shared" si="35"/>
        <v>353.8041915012804</v>
      </c>
      <c r="DG24" s="1">
        <f t="shared" si="35"/>
        <v>350.2661495862676</v>
      </c>
      <c r="DH24" s="1">
        <f t="shared" si="35"/>
        <v>346.76348809040491</v>
      </c>
      <c r="DI24" s="1">
        <f t="shared" si="35"/>
        <v>343.29585320950088</v>
      </c>
      <c r="DJ24" s="1">
        <f t="shared" si="35"/>
        <v>339.86289467740585</v>
      </c>
      <c r="DK24" s="1">
        <f t="shared" si="35"/>
        <v>336.46426573063178</v>
      </c>
      <c r="DL24" s="1">
        <f t="shared" si="35"/>
        <v>333.09962307332546</v>
      </c>
      <c r="DM24" s="1">
        <f t="shared" si="35"/>
        <v>329.7686268425922</v>
      </c>
      <c r="DN24" s="1">
        <f t="shared" si="35"/>
        <v>326.47094057416626</v>
      </c>
      <c r="DO24" s="1">
        <f t="shared" si="35"/>
        <v>323.20623116842461</v>
      </c>
      <c r="DP24" s="1">
        <f t="shared" si="35"/>
        <v>319.97416885674033</v>
      </c>
      <c r="DQ24" s="1">
        <f t="shared" si="35"/>
        <v>316.77442716817291</v>
      </c>
      <c r="DR24" s="1">
        <f t="shared" si="35"/>
        <v>313.60668289649118</v>
      </c>
      <c r="DS24" s="1">
        <f t="shared" si="35"/>
        <v>310.47061606752624</v>
      </c>
      <c r="DT24" s="1">
        <f t="shared" si="35"/>
        <v>307.36590990685096</v>
      </c>
      <c r="DU24" s="1">
        <f t="shared" si="35"/>
        <v>304.29225080778247</v>
      </c>
      <c r="DV24" s="1">
        <f t="shared" si="35"/>
        <v>301.24932829970464</v>
      </c>
      <c r="DW24" s="1">
        <f t="shared" si="35"/>
        <v>298.23683501670757</v>
      </c>
      <c r="DX24" s="1">
        <f t="shared" si="35"/>
        <v>295.25446666654051</v>
      </c>
      <c r="DY24" s="1">
        <f t="shared" si="35"/>
        <v>292.30192199987511</v>
      </c>
      <c r="DZ24" s="1">
        <f t="shared" si="35"/>
        <v>289.37890277987634</v>
      </c>
      <c r="EA24" s="1">
        <f t="shared" si="35"/>
        <v>286.48511375207755</v>
      </c>
      <c r="EB24" s="1">
        <f t="shared" si="35"/>
        <v>283.62026261455679</v>
      </c>
      <c r="EC24" s="1">
        <f t="shared" si="35"/>
        <v>280.78405998841123</v>
      </c>
      <c r="ED24" s="1">
        <f t="shared" si="35"/>
        <v>277.97621938852711</v>
      </c>
      <c r="EE24" s="1">
        <f t="shared" si="35"/>
        <v>275.19645719464182</v>
      </c>
      <c r="EF24" s="1">
        <f t="shared" si="35"/>
        <v>272.44449262269541</v>
      </c>
      <c r="EG24" s="1">
        <f t="shared" si="35"/>
        <v>269.72004769646844</v>
      </c>
      <c r="EH24" s="1">
        <f t="shared" si="35"/>
        <v>267.02284721950377</v>
      </c>
      <c r="EI24" s="1">
        <f t="shared" si="35"/>
        <v>264.35261874730872</v>
      </c>
      <c r="EJ24" s="1">
        <f t="shared" si="35"/>
        <v>261.70909255983565</v>
      </c>
      <c r="EK24" s="1">
        <f t="shared" si="35"/>
        <v>259.09200163423731</v>
      </c>
      <c r="EL24" s="1">
        <f t="shared" si="35"/>
        <v>256.50108161789495</v>
      </c>
      <c r="EM24" s="1">
        <f t="shared" si="35"/>
        <v>253.936070801716</v>
      </c>
      <c r="EN24" s="1">
        <f t="shared" si="35"/>
        <v>251.39671009369883</v>
      </c>
      <c r="EO24" s="1">
        <f t="shared" si="35"/>
        <v>248.88274299276185</v>
      </c>
      <c r="EP24" s="1">
        <f t="shared" si="35"/>
        <v>246.39391556283422</v>
      </c>
    </row>
    <row r="25" spans="2:146" x14ac:dyDescent="0.3">
      <c r="B25" t="s">
        <v>2</v>
      </c>
      <c r="G25" s="5">
        <f t="shared" ref="G25:O25" si="36">67.8+19.8+1.5</f>
        <v>89.1</v>
      </c>
      <c r="H25" s="5">
        <f t="shared" si="36"/>
        <v>89.1</v>
      </c>
      <c r="I25" s="5">
        <f t="shared" si="36"/>
        <v>89.1</v>
      </c>
      <c r="J25" s="5">
        <f t="shared" si="36"/>
        <v>89.1</v>
      </c>
      <c r="K25" s="5">
        <f t="shared" si="36"/>
        <v>89.1</v>
      </c>
      <c r="L25" s="5">
        <f t="shared" si="36"/>
        <v>89.1</v>
      </c>
      <c r="M25" s="5">
        <f t="shared" si="36"/>
        <v>89.1</v>
      </c>
      <c r="N25" s="5">
        <f t="shared" si="36"/>
        <v>89.1</v>
      </c>
      <c r="O25" s="5">
        <f t="shared" si="36"/>
        <v>89.1</v>
      </c>
      <c r="P25" s="5">
        <f>67.3+19.8+1.3</f>
        <v>88.399999999999991</v>
      </c>
      <c r="Q25" s="5">
        <f>89.4+1.3</f>
        <v>90.7</v>
      </c>
      <c r="R25" s="5">
        <f>89.4+1.3</f>
        <v>90.7</v>
      </c>
      <c r="Y25" s="5">
        <f>67.8+19.8+1.5</f>
        <v>89.1</v>
      </c>
      <c r="Z25" s="5">
        <f>67.8+19.8+1.5</f>
        <v>89.1</v>
      </c>
      <c r="AA25" s="5">
        <f>89.4+1.3</f>
        <v>90.7</v>
      </c>
      <c r="AB25" s="5">
        <f>89.4+1.3</f>
        <v>90.7</v>
      </c>
      <c r="AC25" s="5">
        <f>89.4+1.3</f>
        <v>90.7</v>
      </c>
      <c r="AD25" s="5">
        <f>89.4+1.3</f>
        <v>90.7</v>
      </c>
      <c r="AE25" s="5">
        <f>89.4+1.3</f>
        <v>90.7</v>
      </c>
      <c r="AF25" s="5">
        <f>89.4+1.3</f>
        <v>90.7</v>
      </c>
      <c r="AG25" s="5">
        <f>89.4+1.3</f>
        <v>90.7</v>
      </c>
      <c r="AH25" s="5">
        <f>89.4+1.3</f>
        <v>90.7</v>
      </c>
      <c r="AI25" s="5">
        <f>89.4+1.3</f>
        <v>90.7</v>
      </c>
      <c r="AJ25" s="5">
        <f>89.4+1.3</f>
        <v>90.7</v>
      </c>
      <c r="AK25" s="5">
        <f>89.4+1.3</f>
        <v>90.7</v>
      </c>
    </row>
    <row r="26" spans="2:146" x14ac:dyDescent="0.3">
      <c r="B26" t="s">
        <v>29</v>
      </c>
      <c r="G26" s="7">
        <f t="shared" ref="G26:O26" si="37">G24/G25</f>
        <v>0.1661054994388326</v>
      </c>
      <c r="H26" s="7">
        <f t="shared" si="37"/>
        <v>0.28170594837261481</v>
      </c>
      <c r="I26" s="7">
        <f t="shared" si="37"/>
        <v>0.36588103254769888</v>
      </c>
      <c r="J26" s="7">
        <f t="shared" si="37"/>
        <v>0.15375982042648681</v>
      </c>
      <c r="K26" s="7">
        <f t="shared" si="37"/>
        <v>0.23120089786756401</v>
      </c>
      <c r="L26" s="7">
        <f t="shared" si="37"/>
        <v>0.4399551066217729</v>
      </c>
      <c r="M26" s="7">
        <f t="shared" si="37"/>
        <v>0.6038159371492714</v>
      </c>
      <c r="N26" s="7">
        <f t="shared" si="37"/>
        <v>0.96071829405162823</v>
      </c>
      <c r="O26" s="7">
        <f t="shared" si="37"/>
        <v>0.18742985409652085</v>
      </c>
      <c r="P26" s="7">
        <f t="shared" ref="P26:R26" si="38">P24/P25</f>
        <v>0.3846153846153848</v>
      </c>
      <c r="Q26" s="7">
        <f t="shared" si="38"/>
        <v>0.14332965821389351</v>
      </c>
      <c r="R26" s="7">
        <f t="shared" si="38"/>
        <v>9.4403417861080641E-2</v>
      </c>
      <c r="Y26" s="7">
        <f>Y24/Y25</f>
        <v>0.96745230078563249</v>
      </c>
      <c r="Z26" s="7">
        <f>Z24/Z25</f>
        <v>2.2356902356902393</v>
      </c>
      <c r="AA26" s="7">
        <f>AA24/AA25</f>
        <v>0.79671874310915525</v>
      </c>
      <c r="AB26" s="7">
        <f>AB24/AB25</f>
        <v>4.6594871510474078</v>
      </c>
      <c r="AC26" s="7">
        <f t="shared" ref="AC26:AK26" si="39">AC24/AC25</f>
        <v>5.299347672337376</v>
      </c>
      <c r="AD26" s="7">
        <f t="shared" si="39"/>
        <v>6.0490119945347303</v>
      </c>
      <c r="AE26" s="7">
        <f t="shared" si="39"/>
        <v>6.3731611676872308</v>
      </c>
      <c r="AF26" s="7">
        <f t="shared" si="39"/>
        <v>6.6392409986842624</v>
      </c>
      <c r="AG26" s="7">
        <f t="shared" si="39"/>
        <v>6.9151533655932438</v>
      </c>
      <c r="AH26" s="7">
        <f t="shared" si="39"/>
        <v>7.2012478693643072</v>
      </c>
      <c r="AI26" s="7">
        <f t="shared" si="39"/>
        <v>7.4978865725762063</v>
      </c>
      <c r="AJ26" s="7">
        <f t="shared" si="39"/>
        <v>7.8054444568123023</v>
      </c>
      <c r="AK26" s="7">
        <f t="shared" si="39"/>
        <v>8.1243098976311341</v>
      </c>
    </row>
    <row r="28" spans="2:146" x14ac:dyDescent="0.3">
      <c r="B28" t="s">
        <v>49</v>
      </c>
      <c r="G28" s="9"/>
      <c r="H28" s="9"/>
      <c r="I28" s="9"/>
      <c r="J28" s="9"/>
      <c r="K28" s="9">
        <f t="shared" ref="K28:M28" si="40">K3/G3-1</f>
        <v>0.29323583180987201</v>
      </c>
      <c r="L28" s="9">
        <f t="shared" si="40"/>
        <v>0.29827315541601251</v>
      </c>
      <c r="M28" s="9">
        <f t="shared" si="40"/>
        <v>0.34616523541604982</v>
      </c>
      <c r="N28" s="9">
        <f>N3/J3-1</f>
        <v>0.25744258576694068</v>
      </c>
      <c r="O28" s="9">
        <f t="shared" ref="O28:R28" si="41">O3/K3-1</f>
        <v>0.19918009612666099</v>
      </c>
      <c r="P28" s="9">
        <f t="shared" si="41"/>
        <v>0.1683192261185007</v>
      </c>
      <c r="Q28" s="9">
        <f t="shared" si="41"/>
        <v>0.29443466783985928</v>
      </c>
      <c r="R28" s="9">
        <f t="shared" si="41"/>
        <v>0.35000000000000009</v>
      </c>
      <c r="Y28" s="9"/>
      <c r="Z28" s="9">
        <f>Z3/Y3-1</f>
        <v>0.29858078602620086</v>
      </c>
      <c r="AA28" s="9">
        <f t="shared" ref="AA28:AK28" si="42">AA3/Z3-1</f>
        <v>0.25768630276826987</v>
      </c>
      <c r="AB28" s="9">
        <f t="shared" si="42"/>
        <v>0.14999999999999991</v>
      </c>
      <c r="AC28" s="9">
        <f t="shared" si="42"/>
        <v>6.0000000000000053E-2</v>
      </c>
      <c r="AD28" s="9">
        <f t="shared" si="42"/>
        <v>5.0000000000000044E-2</v>
      </c>
      <c r="AE28" s="9">
        <f t="shared" si="42"/>
        <v>4.0000000000000036E-2</v>
      </c>
      <c r="AF28" s="9">
        <f t="shared" si="42"/>
        <v>3.0000000000000027E-2</v>
      </c>
      <c r="AG28" s="9">
        <f t="shared" si="42"/>
        <v>3.0000000000000027E-2</v>
      </c>
      <c r="AH28" s="9">
        <f t="shared" si="42"/>
        <v>3.0000000000000027E-2</v>
      </c>
      <c r="AI28" s="9">
        <f t="shared" si="42"/>
        <v>3.0000000000000027E-2</v>
      </c>
      <c r="AJ28" s="9">
        <f t="shared" si="42"/>
        <v>3.0000000000000027E-2</v>
      </c>
      <c r="AK28" s="9">
        <f t="shared" si="42"/>
        <v>3.0000000000000027E-2</v>
      </c>
    </row>
    <row r="29" spans="2:146" x14ac:dyDescent="0.3">
      <c r="B29" t="s">
        <v>50</v>
      </c>
      <c r="G29" s="9">
        <f t="shared" ref="G29:M29" si="43">G5/G3</f>
        <v>0.26581352833638022</v>
      </c>
      <c r="H29" s="9">
        <f t="shared" si="43"/>
        <v>0.26200941915227627</v>
      </c>
      <c r="I29" s="9">
        <f t="shared" si="43"/>
        <v>0.26695291679005029</v>
      </c>
      <c r="J29" s="9">
        <f t="shared" si="43"/>
        <v>0.27672242699177768</v>
      </c>
      <c r="K29" s="9">
        <f t="shared" si="43"/>
        <v>0.26547921967769289</v>
      </c>
      <c r="L29" s="9">
        <f t="shared" si="43"/>
        <v>0.28029020556227324</v>
      </c>
      <c r="M29" s="9">
        <f t="shared" si="43"/>
        <v>0.29399472063352405</v>
      </c>
      <c r="N29" s="9">
        <f>N5/N3</f>
        <v>0.32266065388951526</v>
      </c>
      <c r="O29" s="9">
        <f t="shared" ref="O29:R29" si="44">O5/O3</f>
        <v>0.30295885889425911</v>
      </c>
      <c r="P29" s="9">
        <f t="shared" si="44"/>
        <v>0.30273235354998962</v>
      </c>
      <c r="Q29" s="9">
        <f t="shared" si="44"/>
        <v>0.3645169513127709</v>
      </c>
      <c r="R29" s="9">
        <f t="shared" si="44"/>
        <v>0.34</v>
      </c>
      <c r="Y29" s="9">
        <f>Y5/Y3</f>
        <v>0.26816905801621954</v>
      </c>
      <c r="Z29" s="9">
        <f>Z5/Z3</f>
        <v>0.29216957905482505</v>
      </c>
      <c r="AA29" s="9">
        <f t="shared" ref="AA29:AK29" si="45">AA5/AA3</f>
        <v>0.33079078983491894</v>
      </c>
      <c r="AB29" s="9">
        <f t="shared" si="45"/>
        <v>0.34</v>
      </c>
      <c r="AC29" s="9">
        <f t="shared" si="45"/>
        <v>0.35</v>
      </c>
      <c r="AD29" s="9">
        <f t="shared" si="45"/>
        <v>0.36</v>
      </c>
      <c r="AE29" s="9">
        <f t="shared" si="45"/>
        <v>0.36</v>
      </c>
      <c r="AF29" s="9">
        <f t="shared" si="45"/>
        <v>0.36</v>
      </c>
      <c r="AG29" s="9">
        <f t="shared" si="45"/>
        <v>0.36</v>
      </c>
      <c r="AH29" s="9">
        <f t="shared" si="45"/>
        <v>0.36</v>
      </c>
      <c r="AI29" s="9">
        <f t="shared" si="45"/>
        <v>0.36</v>
      </c>
      <c r="AJ29" s="9">
        <f t="shared" si="45"/>
        <v>0.36</v>
      </c>
      <c r="AK29" s="9">
        <f t="shared" si="45"/>
        <v>0.36</v>
      </c>
    </row>
    <row r="30" spans="2:146" x14ac:dyDescent="0.3">
      <c r="B30" t="s">
        <v>51</v>
      </c>
      <c r="G30" s="9"/>
      <c r="H30" s="9"/>
      <c r="I30" s="9"/>
      <c r="J30" s="9"/>
      <c r="K30" s="9">
        <f t="shared" ref="K30:M30" si="46">K6/G6-1</f>
        <v>0.24970828471411899</v>
      </c>
      <c r="L30" s="9">
        <f t="shared" si="46"/>
        <v>0.34104750304506704</v>
      </c>
      <c r="M30" s="9">
        <f t="shared" si="46"/>
        <v>0.54914809960681521</v>
      </c>
      <c r="N30" s="9">
        <f>N6/J6-1</f>
        <v>0.45657276995305152</v>
      </c>
      <c r="O30" s="9">
        <f t="shared" ref="O30:R30" si="47">O6/K6-1</f>
        <v>0.43790849673202614</v>
      </c>
      <c r="P30" s="9">
        <f t="shared" si="47"/>
        <v>0.18437783832879218</v>
      </c>
      <c r="Q30" s="9">
        <f t="shared" si="47"/>
        <v>0.59390862944162448</v>
      </c>
      <c r="R30" s="9">
        <f t="shared" si="47"/>
        <v>0.55519742143432715</v>
      </c>
      <c r="Y30" s="9"/>
      <c r="Z30" s="9">
        <f>Z6/Y6-1</f>
        <v>0.39538414819313683</v>
      </c>
      <c r="AA30" s="9">
        <f t="shared" ref="AA30:AK30" si="48">AA6/Z6-1</f>
        <v>0.44896626768226322</v>
      </c>
      <c r="AB30" s="9">
        <f t="shared" si="48"/>
        <v>0.12000000000000011</v>
      </c>
      <c r="AC30" s="9">
        <f t="shared" si="48"/>
        <v>7.0000000000000062E-2</v>
      </c>
      <c r="AD30" s="9">
        <f t="shared" si="48"/>
        <v>4.0000000000000036E-2</v>
      </c>
      <c r="AE30" s="9">
        <f t="shared" si="48"/>
        <v>3.0000000000000027E-2</v>
      </c>
      <c r="AF30" s="9">
        <f t="shared" si="48"/>
        <v>2.0000000000000018E-2</v>
      </c>
      <c r="AG30" s="9">
        <f t="shared" si="48"/>
        <v>2.0000000000000018E-2</v>
      </c>
      <c r="AH30" s="9">
        <f t="shared" si="48"/>
        <v>2.0000000000000018E-2</v>
      </c>
      <c r="AI30" s="9">
        <f t="shared" si="48"/>
        <v>2.0000000000000018E-2</v>
      </c>
      <c r="AJ30" s="9">
        <f t="shared" si="48"/>
        <v>2.0000000000000018E-2</v>
      </c>
      <c r="AK30" s="9">
        <f t="shared" si="48"/>
        <v>2.0000000000000018E-2</v>
      </c>
      <c r="AN30" t="s">
        <v>56</v>
      </c>
      <c r="AO30" s="9">
        <v>-0.01</v>
      </c>
    </row>
    <row r="31" spans="2:146" x14ac:dyDescent="0.3">
      <c r="B31" t="s">
        <v>52</v>
      </c>
      <c r="G31" s="9">
        <f t="shared" ref="G31:M31" si="49">G9/G3</f>
        <v>1.1151736745886653E-2</v>
      </c>
      <c r="H31" s="9">
        <f t="shared" si="49"/>
        <v>8.4772370486656205E-3</v>
      </c>
      <c r="I31" s="9">
        <f t="shared" si="49"/>
        <v>8.4394432928634883E-3</v>
      </c>
      <c r="J31" s="9">
        <f t="shared" si="49"/>
        <v>2.2540402608449108E-2</v>
      </c>
      <c r="K31" s="9">
        <f t="shared" si="49"/>
        <v>1.1309018942606729E-2</v>
      </c>
      <c r="L31" s="9">
        <f t="shared" si="49"/>
        <v>1.4026602176541716E-2</v>
      </c>
      <c r="M31" s="9">
        <f t="shared" si="49"/>
        <v>1.0338759348878134E-2</v>
      </c>
      <c r="N31" s="9">
        <f>N9/N3</f>
        <v>1.3979706877113867E-2</v>
      </c>
      <c r="O31" s="9">
        <f t="shared" ref="O31:R31" si="50">O9/O3</f>
        <v>2.1926205351880234E-2</v>
      </c>
      <c r="P31" s="9">
        <f t="shared" si="50"/>
        <v>1.5731732560546469E-2</v>
      </c>
      <c r="Q31" s="9">
        <f t="shared" si="50"/>
        <v>2.9994052170957596E-2</v>
      </c>
      <c r="R31" s="9">
        <f t="shared" si="50"/>
        <v>3.0063885757234121E-2</v>
      </c>
      <c r="Y31" s="9">
        <f>Y9/Y3</f>
        <v>1.290548970679975E-2</v>
      </c>
      <c r="Z31" s="9">
        <f>Z9/Z3</f>
        <v>1.2430192758061608E-2</v>
      </c>
      <c r="AA31" s="9">
        <f t="shared" ref="AA31:AK31" si="51">AA9/AA3</f>
        <v>2.5090418611313364E-2</v>
      </c>
      <c r="AB31" s="9">
        <f t="shared" si="51"/>
        <v>0.02</v>
      </c>
      <c r="AC31" s="9">
        <f t="shared" si="51"/>
        <v>0.02</v>
      </c>
      <c r="AD31" s="9">
        <f t="shared" si="51"/>
        <v>0.02</v>
      </c>
      <c r="AE31" s="9">
        <f t="shared" si="51"/>
        <v>0.02</v>
      </c>
      <c r="AF31" s="9">
        <f t="shared" si="51"/>
        <v>0.02</v>
      </c>
      <c r="AG31" s="9">
        <f t="shared" si="51"/>
        <v>0.02</v>
      </c>
      <c r="AH31" s="9">
        <f t="shared" si="51"/>
        <v>0.02</v>
      </c>
      <c r="AI31" s="9">
        <f t="shared" si="51"/>
        <v>0.02</v>
      </c>
      <c r="AJ31" s="9">
        <f t="shared" si="51"/>
        <v>0.02</v>
      </c>
      <c r="AK31" s="9">
        <f t="shared" si="51"/>
        <v>2.0000000000000004E-2</v>
      </c>
      <c r="AN31" t="s">
        <v>57</v>
      </c>
      <c r="AO31" s="9">
        <v>0.09</v>
      </c>
    </row>
    <row r="32" spans="2:146" x14ac:dyDescent="0.3">
      <c r="B32" t="s">
        <v>53</v>
      </c>
      <c r="G32" s="9">
        <f t="shared" ref="G32:M32" si="52">G10/G3</f>
        <v>4.570383912248629E-3</v>
      </c>
      <c r="H32" s="9">
        <f t="shared" si="52"/>
        <v>6.2794348508634227E-3</v>
      </c>
      <c r="I32" s="9">
        <f t="shared" si="52"/>
        <v>6.9588392063962105E-3</v>
      </c>
      <c r="J32" s="9">
        <f t="shared" si="52"/>
        <v>5.5287779982988372E-3</v>
      </c>
      <c r="K32" s="9">
        <f t="shared" si="52"/>
        <v>6.2199604184337018E-3</v>
      </c>
      <c r="L32" s="9">
        <f t="shared" si="52"/>
        <v>4.7158403869407492E-3</v>
      </c>
      <c r="M32" s="9">
        <f t="shared" si="52"/>
        <v>6.8191816981962167E-3</v>
      </c>
      <c r="N32" s="9">
        <f>N10/N3</f>
        <v>8.1172491544532141E-3</v>
      </c>
      <c r="O32" s="9">
        <f t="shared" ref="O32:R32" si="53">O10/O3</f>
        <v>7.8981492396557832E-3</v>
      </c>
      <c r="P32" s="9">
        <f t="shared" si="53"/>
        <v>7.3483750776236799E-3</v>
      </c>
      <c r="Q32" s="9">
        <f t="shared" si="53"/>
        <v>6.5426119466394763E-3</v>
      </c>
      <c r="R32" s="9">
        <f t="shared" si="53"/>
        <v>8.0000000000000002E-3</v>
      </c>
      <c r="Y32" s="9">
        <f>Y10/Y3</f>
        <v>5.8873986275732992E-3</v>
      </c>
      <c r="Z32" s="9">
        <f>Z10/Z3</f>
        <v>6.5153425809163501E-3</v>
      </c>
      <c r="AA32" s="9">
        <f t="shared" ref="AA32:AK32" si="54">AA10/AA3</f>
        <v>7.4196020387457167E-3</v>
      </c>
      <c r="AB32" s="9">
        <f t="shared" si="54"/>
        <v>8.0000000000000002E-3</v>
      </c>
      <c r="AC32" s="9">
        <f t="shared" si="54"/>
        <v>8.0000000000000002E-3</v>
      </c>
      <c r="AD32" s="9">
        <f t="shared" si="54"/>
        <v>8.0000000000000002E-3</v>
      </c>
      <c r="AE32" s="9">
        <f t="shared" si="54"/>
        <v>8.0000000000000002E-3</v>
      </c>
      <c r="AF32" s="9">
        <f t="shared" si="54"/>
        <v>8.0000000000000002E-3</v>
      </c>
      <c r="AG32" s="9">
        <f t="shared" si="54"/>
        <v>8.0000000000000002E-3</v>
      </c>
      <c r="AH32" s="9">
        <f t="shared" si="54"/>
        <v>8.0000000000000002E-3</v>
      </c>
      <c r="AI32" s="9">
        <f t="shared" si="54"/>
        <v>8.0000000000000002E-3</v>
      </c>
      <c r="AJ32" s="9">
        <f t="shared" si="54"/>
        <v>8.0000000000000002E-3</v>
      </c>
      <c r="AK32" s="9">
        <f t="shared" si="54"/>
        <v>8.0000000000000002E-3</v>
      </c>
      <c r="AN32" t="s">
        <v>58</v>
      </c>
      <c r="AO32" s="5">
        <f>NPV(AO31,AA24:EP24)</f>
        <v>6312.2008905832199</v>
      </c>
    </row>
    <row r="33" spans="2:41" x14ac:dyDescent="0.3">
      <c r="B33" t="s">
        <v>54</v>
      </c>
      <c r="G33" s="9">
        <f t="shared" ref="G33:M33" si="55">G13/G3</f>
        <v>1.6087751371115143E-2</v>
      </c>
      <c r="H33" s="9">
        <f t="shared" si="55"/>
        <v>5.3218210361067469E-2</v>
      </c>
      <c r="I33" s="9">
        <f t="shared" si="55"/>
        <v>6.6183002665087295E-2</v>
      </c>
      <c r="J33" s="9">
        <f t="shared" si="55"/>
        <v>3.8843209526509749E-2</v>
      </c>
      <c r="K33" s="9">
        <f t="shared" si="55"/>
        <v>3.025162567147293E-2</v>
      </c>
      <c r="L33" s="9">
        <f t="shared" si="55"/>
        <v>7.1584038694074925E-2</v>
      </c>
      <c r="M33" s="9">
        <f t="shared" si="55"/>
        <v>8.8429388473383261E-2</v>
      </c>
      <c r="N33" s="9">
        <f>N13/N3</f>
        <v>9.6956031567080103E-2</v>
      </c>
      <c r="O33" s="9">
        <f t="shared" ref="O33:R33" si="56">O13/O3</f>
        <v>2.9942237416008495E-2</v>
      </c>
      <c r="P33" s="9">
        <f t="shared" si="56"/>
        <v>8.600703788035606E-2</v>
      </c>
      <c r="Q33" s="9">
        <f t="shared" si="56"/>
        <v>9.7374458322712312E-2</v>
      </c>
      <c r="R33" s="9">
        <f t="shared" si="56"/>
        <v>6.5600567873397644E-2</v>
      </c>
      <c r="Y33" s="9">
        <f>Y13/Y3</f>
        <v>4.4759825327510855E-2</v>
      </c>
      <c r="Z33" s="9">
        <f>Z13/Z3</f>
        <v>7.4160811865729995E-2</v>
      </c>
      <c r="AA33" s="9">
        <f t="shared" ref="AA33:AK33" si="57">AA13/AA3</f>
        <v>7.2013416570180441E-2</v>
      </c>
      <c r="AB33" s="9">
        <f t="shared" si="57"/>
        <v>0.15720063875578594</v>
      </c>
      <c r="AC33" s="9">
        <f t="shared" si="57"/>
        <v>0.16574026742329331</v>
      </c>
      <c r="AD33" s="9">
        <f t="shared" si="57"/>
        <v>0.17722845535259529</v>
      </c>
      <c r="AE33" s="9">
        <f t="shared" si="57"/>
        <v>0.17871664328189721</v>
      </c>
      <c r="AF33" s="9">
        <f t="shared" si="57"/>
        <v>0.18020483121119918</v>
      </c>
      <c r="AG33" s="9">
        <f t="shared" si="57"/>
        <v>0.18167857071400312</v>
      </c>
      <c r="AH33" s="9">
        <f t="shared" si="57"/>
        <v>0.18313800206629433</v>
      </c>
      <c r="AI33" s="9">
        <f t="shared" si="57"/>
        <v>0.18458326418215557</v>
      </c>
      <c r="AJ33" s="9">
        <f t="shared" si="57"/>
        <v>0.18601449462698905</v>
      </c>
      <c r="AK33" s="9">
        <f t="shared" si="57"/>
        <v>0.18743182963061047</v>
      </c>
      <c r="AN33" t="s">
        <v>59</v>
      </c>
      <c r="AO33" s="5">
        <f>Main!D8</f>
        <v>-3207.7</v>
      </c>
    </row>
    <row r="34" spans="2:41" x14ac:dyDescent="0.3">
      <c r="B34" t="s">
        <v>26</v>
      </c>
      <c r="G34" s="9">
        <f t="shared" ref="G34:M34" si="58">G22/G21</f>
        <v>-0.2142857142857145</v>
      </c>
      <c r="H34" s="9">
        <f t="shared" si="58"/>
        <v>-9.8507462686567224E-2</v>
      </c>
      <c r="I34" s="9">
        <f t="shared" si="58"/>
        <v>1.8987341772151913E-2</v>
      </c>
      <c r="J34" s="9">
        <f t="shared" si="58"/>
        <v>0.11926605504587169</v>
      </c>
      <c r="K34" s="9">
        <f t="shared" si="58"/>
        <v>4.6822742474916468E-2</v>
      </c>
      <c r="L34" s="9">
        <f t="shared" si="58"/>
        <v>-3.4155597722960181E-2</v>
      </c>
      <c r="M34" s="9">
        <f t="shared" si="58"/>
        <v>1.3466154584733563</v>
      </c>
      <c r="N34" s="9">
        <f>N22/N21</f>
        <v>0.12248186946011275</v>
      </c>
      <c r="O34" s="9">
        <f t="shared" ref="O34:R34" si="59">O22/O21</f>
        <v>-0.71052631578947323</v>
      </c>
      <c r="P34" s="9">
        <f t="shared" si="59"/>
        <v>0.26211849192100528</v>
      </c>
      <c r="Q34" s="9">
        <f t="shared" si="59"/>
        <v>0.44793388429751962</v>
      </c>
      <c r="R34" s="9">
        <f t="shared" si="59"/>
        <v>0.15</v>
      </c>
      <c r="Y34" s="9">
        <f>Y22/Y21</f>
        <v>-2.845188284518832E-2</v>
      </c>
      <c r="Z34" s="9">
        <f>Z22/Z21</f>
        <v>166.06250000003303</v>
      </c>
      <c r="AA34" s="9">
        <f t="shared" ref="AA34:AK34" si="60">AA22/AA21</f>
        <v>0.23943957385692333</v>
      </c>
      <c r="AB34" s="9">
        <f t="shared" si="60"/>
        <v>0.15</v>
      </c>
      <c r="AC34" s="9">
        <f t="shared" si="60"/>
        <v>0.15</v>
      </c>
      <c r="AD34" s="9">
        <f t="shared" si="60"/>
        <v>0.15</v>
      </c>
      <c r="AE34" s="9">
        <f t="shared" si="60"/>
        <v>0.15</v>
      </c>
      <c r="AF34" s="9">
        <f t="shared" si="60"/>
        <v>0.15</v>
      </c>
      <c r="AG34" s="9">
        <f t="shared" si="60"/>
        <v>0.15</v>
      </c>
      <c r="AH34" s="9">
        <f t="shared" si="60"/>
        <v>0.15</v>
      </c>
      <c r="AI34" s="9">
        <f t="shared" si="60"/>
        <v>0.15</v>
      </c>
      <c r="AJ34" s="9">
        <f t="shared" si="60"/>
        <v>0.15</v>
      </c>
      <c r="AK34" s="9">
        <f t="shared" si="60"/>
        <v>0.15</v>
      </c>
      <c r="AN34" t="s">
        <v>60</v>
      </c>
      <c r="AO34" s="5">
        <f>AO32+AO33</f>
        <v>3104.5008905832201</v>
      </c>
    </row>
    <row r="35" spans="2:41" x14ac:dyDescent="0.3">
      <c r="B35" t="s">
        <v>27</v>
      </c>
      <c r="G35" s="9">
        <f t="shared" ref="G35:M35" si="61">G23/G21</f>
        <v>0.33333333333333365</v>
      </c>
      <c r="H35" s="9">
        <f t="shared" si="61"/>
        <v>0.3492537313432838</v>
      </c>
      <c r="I35" s="9">
        <f t="shared" si="61"/>
        <v>0.29324894514767957</v>
      </c>
      <c r="J35" s="9">
        <f t="shared" si="61"/>
        <v>0.25229357798165164</v>
      </c>
      <c r="K35" s="9">
        <f t="shared" si="61"/>
        <v>0.26421404682274297</v>
      </c>
      <c r="L35" s="9">
        <f t="shared" si="61"/>
        <v>0.29032258064516153</v>
      </c>
      <c r="M35" s="9">
        <f t="shared" si="61"/>
        <v>-8.8334133461353839E-2</v>
      </c>
      <c r="N35" s="9">
        <f>N23/N21</f>
        <v>0.18775181305398864</v>
      </c>
      <c r="O35" s="9">
        <f t="shared" ref="O35:R35" si="62">O23/O21</f>
        <v>0.24561403508771912</v>
      </c>
      <c r="P35" s="9">
        <f t="shared" si="62"/>
        <v>0.12746858168761216</v>
      </c>
      <c r="Q35" s="9">
        <f t="shared" si="62"/>
        <v>0.3371900826446273</v>
      </c>
      <c r="R35" s="9">
        <f t="shared" si="62"/>
        <v>0.5987074961700326</v>
      </c>
      <c r="Y35" s="9">
        <f>Y23/Y21</f>
        <v>0.30711297071129745</v>
      </c>
      <c r="Z35" s="9">
        <f>Z23/Z21</f>
        <v>-40.562500000008072</v>
      </c>
      <c r="AA35" s="9">
        <f t="shared" ref="AA35:AK35" si="63">AA23/AA21</f>
        <v>0.31359518634481537</v>
      </c>
      <c r="AB35" s="9">
        <f t="shared" si="63"/>
        <v>0.18</v>
      </c>
      <c r="AC35" s="9">
        <f t="shared" si="63"/>
        <v>0.18</v>
      </c>
      <c r="AD35" s="9">
        <f t="shared" si="63"/>
        <v>0.18</v>
      </c>
      <c r="AE35" s="9">
        <f t="shared" si="63"/>
        <v>0.18</v>
      </c>
      <c r="AF35" s="9">
        <f t="shared" si="63"/>
        <v>0.17999999999999997</v>
      </c>
      <c r="AG35" s="9">
        <f t="shared" si="63"/>
        <v>0.18</v>
      </c>
      <c r="AH35" s="9">
        <f t="shared" si="63"/>
        <v>0.18</v>
      </c>
      <c r="AI35" s="9">
        <f t="shared" si="63"/>
        <v>0.18</v>
      </c>
      <c r="AJ35" s="9">
        <f t="shared" si="63"/>
        <v>0.18</v>
      </c>
      <c r="AK35" s="9">
        <f t="shared" si="63"/>
        <v>0.18</v>
      </c>
      <c r="AN35" t="s">
        <v>61</v>
      </c>
      <c r="AO35" s="4">
        <f>AO34/AK25</f>
        <v>34.228234736308927</v>
      </c>
    </row>
    <row r="36" spans="2:41" x14ac:dyDescent="0.3">
      <c r="B36" t="s">
        <v>55</v>
      </c>
      <c r="G36" s="9">
        <f t="shared" ref="G36:M36" si="64">G24/G3</f>
        <v>2.7056672760511855E-2</v>
      </c>
      <c r="H36" s="9">
        <f t="shared" si="64"/>
        <v>3.9403453689167936E-2</v>
      </c>
      <c r="I36" s="9">
        <f t="shared" si="64"/>
        <v>4.8267693218833237E-2</v>
      </c>
      <c r="J36" s="9">
        <f t="shared" si="64"/>
        <v>1.9421604763254854E-2</v>
      </c>
      <c r="K36" s="9">
        <f t="shared" si="64"/>
        <v>2.9120723777212261E-2</v>
      </c>
      <c r="L36" s="9">
        <f t="shared" si="64"/>
        <v>4.740024183796851E-2</v>
      </c>
      <c r="M36" s="9">
        <f t="shared" si="64"/>
        <v>5.9172899252089829E-2</v>
      </c>
      <c r="N36" s="9">
        <f>N24/N3</f>
        <v>9.6505073280721609E-2</v>
      </c>
      <c r="O36" s="9">
        <f t="shared" ref="O36:R36" si="65">O24/O3</f>
        <v>1.9686431686903226E-2</v>
      </c>
      <c r="P36" s="9">
        <f t="shared" si="65"/>
        <v>3.518940178016975E-2</v>
      </c>
      <c r="Q36" s="9">
        <f t="shared" si="65"/>
        <v>1.1045968221599237E-2</v>
      </c>
      <c r="R36" s="9">
        <f t="shared" si="65"/>
        <v>7.1505198546912311E-3</v>
      </c>
      <c r="Y36" s="9">
        <f>Y24/Y3</f>
        <v>3.3608858390517714E-2</v>
      </c>
      <c r="Z36" s="9">
        <f>Z24/Z3</f>
        <v>5.9809043415600879E-2</v>
      </c>
      <c r="AA36" s="9">
        <f t="shared" ref="AA36:AK36" si="66">AA24/AA3</f>
        <v>1.7251128591379585E-2</v>
      </c>
      <c r="AB36" s="9">
        <f t="shared" si="66"/>
        <v>8.7730934681148856E-2</v>
      </c>
      <c r="AC36" s="9">
        <f t="shared" si="66"/>
        <v>9.4130677747831321E-2</v>
      </c>
      <c r="AD36" s="9">
        <f t="shared" si="66"/>
        <v>0.10233022268230767</v>
      </c>
      <c r="AE36" s="9">
        <f t="shared" si="66"/>
        <v>0.10366712048768997</v>
      </c>
      <c r="AF36" s="9">
        <f t="shared" si="66"/>
        <v>0.10484973640558905</v>
      </c>
      <c r="AG36" s="9">
        <f t="shared" si="66"/>
        <v>0.10602627440210854</v>
      </c>
      <c r="AH36" s="9">
        <f t="shared" si="66"/>
        <v>0.10719689841408823</v>
      </c>
      <c r="AI36" s="9">
        <f t="shared" si="66"/>
        <v>0.10836177282418304</v>
      </c>
      <c r="AJ36" s="9">
        <f t="shared" si="66"/>
        <v>0.10952106249609637</v>
      </c>
      <c r="AK36" s="9">
        <f t="shared" si="66"/>
        <v>0.11067493281023989</v>
      </c>
      <c r="AN36" t="s">
        <v>62</v>
      </c>
      <c r="AO36" s="4">
        <f>Main!D3</f>
        <v>66.900000000000006</v>
      </c>
    </row>
    <row r="37" spans="2:41" x14ac:dyDescent="0.3">
      <c r="AN37" s="1" t="s">
        <v>63</v>
      </c>
      <c r="AO37" s="10">
        <f>AO35/AO36-1</f>
        <v>-0.4883671937771461</v>
      </c>
    </row>
    <row r="38" spans="2:41" x14ac:dyDescent="0.3">
      <c r="AN38" t="s">
        <v>64</v>
      </c>
      <c r="AO38" s="6" t="s">
        <v>65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2025-04-09T08:45:43Z</dcterms:created>
  <dcterms:modified xsi:type="dcterms:W3CDTF">2025-12-10T10:44:30Z</dcterms:modified>
</cp:coreProperties>
</file>