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717ED00-24E0-4003-98F9-84474B12E17B}" xr6:coauthVersionLast="47" xr6:coauthVersionMax="47" xr10:uidLastSave="{00000000-0000-0000-0000-000000000000}"/>
  <bookViews>
    <workbookView xWindow="-108" yWindow="-108" windowWidth="23256" windowHeight="12576" xr2:uid="{153C9AC3-4937-4AF0-88DB-8A8DCD4DED3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C9" i="2"/>
  <c r="C12" i="2" s="1"/>
  <c r="C14" i="2" s="1"/>
  <c r="C16" i="2" s="1"/>
  <c r="C7" i="2"/>
  <c r="E16" i="2"/>
  <c r="E15" i="2"/>
  <c r="E14" i="2"/>
  <c r="E12" i="2"/>
  <c r="E9" i="2"/>
  <c r="E7" i="2"/>
  <c r="C5" i="2"/>
  <c r="E5" i="2"/>
  <c r="D9" i="1"/>
  <c r="D8" i="1"/>
  <c r="D7" i="1"/>
  <c r="D6" i="1"/>
  <c r="D5" i="1"/>
  <c r="D4" i="1"/>
  <c r="F3" i="1"/>
</calcChain>
</file>

<file path=xl/sharedStrings.xml><?xml version="1.0" encoding="utf-8"?>
<sst xmlns="http://schemas.openxmlformats.org/spreadsheetml/2006/main" count="34" uniqueCount="30">
  <si>
    <t>MRO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</si>
  <si>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</si>
  <si>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</si>
  <si>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</si>
  <si>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</si>
  <si>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</si>
  <si>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</si>
  <si>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</si>
  <si>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</si>
  <si>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</si>
  <si>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</si>
  <si>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H125</t>
  </si>
  <si>
    <t>Revenue</t>
  </si>
  <si>
    <t>Cost of sales</t>
  </si>
  <si>
    <t>Gross profit</t>
  </si>
  <si>
    <t>H124</t>
  </si>
  <si>
    <t>H224</t>
  </si>
  <si>
    <t>H225</t>
  </si>
  <si>
    <t>H126</t>
  </si>
  <si>
    <t>H226</t>
  </si>
  <si>
    <t>Opex</t>
  </si>
  <si>
    <t>Engines</t>
  </si>
  <si>
    <t>Structures</t>
  </si>
  <si>
    <t>Operating profit</t>
  </si>
  <si>
    <t>Finance costs</t>
  </si>
  <si>
    <t>Finance income</t>
  </si>
  <si>
    <t>Pretax profit</t>
  </si>
  <si>
    <t>Taxes</t>
  </si>
  <si>
    <t>Net profit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</si>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</sst>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/>
    <xf numFmtId="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2ADF-7B03-4BF6-A87D-EC5C8FFF3605}">
  <dimension ref="B2:G9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4" bestFit="1" customWidth="1"/>
    <col min="6" max="7" width="11.21875" style="4" bestFit="1" customWidth="1"/>
    <col min="8" max="16384" width="8.88671875" style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2" t="s">
        <v>0</v>
      </c>
      <c r="C3" s="1" t="s">
        <v>1</v>
      </c>
      <c r="D3" s="6">
        <v>6.4779999999999998</v>
      </c>
      <c r="E3" s="5">
        <v>46078</v>
      </c>
      <c r="F3" s="5">
        <f ca="1">TODAY()</f>
        <v>46078</v>
      </c>
      <c r="G3" s="5">
        <v>46080</v>
      </c>
    </row>
    <row r="4" spans="2:7" x14ac:dyDescent="0.3">
      <c r="C4" s="1" t="s">
        <v>2</v>
      </c>
      <c r="D4" s="7">
        <f>1279</f>
        <v>1279</v>
      </c>
      <c r="E4" s="4" t="s">
        <v>11</v>
      </c>
    </row>
    <row r="5" spans="2:7" x14ac:dyDescent="0.3">
      <c r="C5" s="1" t="s">
        <v>3</v>
      </c>
      <c r="D5" s="7">
        <f>D3*D4</f>
        <v>8285.3619999999992</v>
      </c>
    </row>
    <row r="6" spans="2:7" x14ac:dyDescent="0.3">
      <c r="C6" s="1" t="s">
        <v>4</v>
      </c>
      <c r="D6" s="7">
        <f>124+7+59</f>
        <v>190</v>
      </c>
      <c r="E6" s="4" t="s">
        <v>11</v>
      </c>
    </row>
    <row r="7" spans="2:7" x14ac:dyDescent="0.3">
      <c r="C7" s="1" t="s">
        <v>5</v>
      </c>
      <c r="D7" s="7">
        <f>1475+53</f>
        <v>1528</v>
      </c>
      <c r="E7" s="4" t="s">
        <v>11</v>
      </c>
    </row>
    <row r="8" spans="2:7" x14ac:dyDescent="0.3">
      <c r="C8" s="1" t="s">
        <v>6</v>
      </c>
      <c r="D8" s="7">
        <f>D6-D7</f>
        <v>-1338</v>
      </c>
    </row>
    <row r="9" spans="2:7" x14ac:dyDescent="0.3">
      <c r="C9" s="1" t="s">
        <v>7</v>
      </c>
      <c r="D9" s="7">
        <f>D5-D8</f>
        <v>9623.3619999999992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3872-0B1B-4464-B937-75CF3F0CA77A}">
  <dimension ref="B2:Z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4" sqref="E14"/>
    </sheetView>
  </sheetViews>
  <sheetFormatPr defaultRowHeight="14.4" x14ac:dyDescent="0.3"/>
  <cols>
    <col min="1" max="1" width="8.88671875" style="1"/>
    <col min="2" max="2" width="14.5546875" style="1" bestFit="1" customWidth="1"/>
    <col min="3" max="16384" width="8.88671875" style="1"/>
  </cols>
  <sheetData>
    <row r="2" spans="2:26" x14ac:dyDescent="0.3">
      <c r="C2" s="3" t="s">
        <v>15</v>
      </c>
      <c r="D2" s="3" t="s">
        <v>16</v>
      </c>
      <c r="E2" s="3" t="s">
        <v>11</v>
      </c>
      <c r="F2" s="3" t="s">
        <v>17</v>
      </c>
      <c r="G2" s="3" t="s">
        <v>18</v>
      </c>
      <c r="H2" s="3" t="s">
        <v>19</v>
      </c>
      <c r="J2" s="1">
        <v>2019</v>
      </c>
      <c r="K2" s="1">
        <v>2020</v>
      </c>
      <c r="L2" s="1">
        <v>2021</v>
      </c>
      <c r="M2" s="1">
        <v>2022</v>
      </c>
      <c r="N2" s="1">
        <v>2023</v>
      </c>
      <c r="O2" s="1">
        <v>2024</v>
      </c>
      <c r="P2" s="1">
        <v>2025</v>
      </c>
      <c r="Q2" s="1">
        <v>2026</v>
      </c>
      <c r="R2" s="1">
        <v>2027</v>
      </c>
      <c r="S2" s="1">
        <v>2028</v>
      </c>
      <c r="T2" s="1">
        <v>2029</v>
      </c>
      <c r="U2" s="1">
        <v>2030</v>
      </c>
      <c r="V2" s="1">
        <v>2031</v>
      </c>
      <c r="W2" s="1">
        <v>2032</v>
      </c>
      <c r="X2" s="1">
        <v>2033</v>
      </c>
      <c r="Y2" s="1">
        <v>2034</v>
      </c>
      <c r="Z2" s="1">
        <v>2035</v>
      </c>
    </row>
    <row r="3" spans="2:26" x14ac:dyDescent="0.3">
      <c r="B3" s="1" t="s">
        <v>21</v>
      </c>
      <c r="C3" s="8">
        <v>720</v>
      </c>
      <c r="D3" s="3"/>
      <c r="E3" s="8">
        <v>781</v>
      </c>
      <c r="F3" s="3"/>
      <c r="G3" s="3"/>
      <c r="H3" s="3"/>
    </row>
    <row r="4" spans="2:26" x14ac:dyDescent="0.3">
      <c r="B4" s="1" t="s">
        <v>22</v>
      </c>
      <c r="C4" s="8">
        <v>1022</v>
      </c>
      <c r="D4" s="3"/>
      <c r="E4" s="8">
        <v>939</v>
      </c>
      <c r="F4" s="3"/>
      <c r="G4" s="3"/>
      <c r="H4" s="3"/>
    </row>
    <row r="5" spans="2:26" s="2" customFormat="1" x14ac:dyDescent="0.3">
      <c r="B5" s="2" t="s">
        <v>12</v>
      </c>
      <c r="C5" s="9">
        <f>SUM(C3:C4)</f>
        <v>1742</v>
      </c>
      <c r="E5" s="9">
        <f>SUM(E3:E4)</f>
        <v>1720</v>
      </c>
    </row>
    <row r="6" spans="2:26" x14ac:dyDescent="0.3">
      <c r="B6" s="1" t="s">
        <v>13</v>
      </c>
      <c r="C6" s="7">
        <v>1338</v>
      </c>
      <c r="E6" s="7">
        <v>1266</v>
      </c>
    </row>
    <row r="7" spans="2:26" s="2" customFormat="1" x14ac:dyDescent="0.3">
      <c r="B7" s="2" t="s">
        <v>14</v>
      </c>
      <c r="C7" s="9">
        <f>C5-C6</f>
        <v>404</v>
      </c>
      <c r="E7" s="9">
        <f>E5-E6</f>
        <v>454</v>
      </c>
    </row>
    <row r="8" spans="2:26" x14ac:dyDescent="0.3">
      <c r="B8" s="1" t="s">
        <v>20</v>
      </c>
      <c r="C8" s="7">
        <v>466</v>
      </c>
      <c r="E8" s="7">
        <v>13</v>
      </c>
    </row>
    <row r="9" spans="2:26" s="2" customFormat="1" x14ac:dyDescent="0.3">
      <c r="B9" s="2" t="s">
        <v>23</v>
      </c>
      <c r="C9" s="9">
        <f>C7-C8</f>
        <v>-62</v>
      </c>
      <c r="E9" s="9">
        <f>E7-E8</f>
        <v>441</v>
      </c>
    </row>
    <row r="10" spans="2:26" x14ac:dyDescent="0.3">
      <c r="B10" s="1" t="s">
        <v>24</v>
      </c>
      <c r="C10" s="7">
        <v>45</v>
      </c>
      <c r="E10" s="7">
        <v>62</v>
      </c>
    </row>
    <row r="11" spans="2:26" x14ac:dyDescent="0.3">
      <c r="B11" s="1" t="s">
        <v>25</v>
      </c>
      <c r="C11" s="7">
        <v>-2</v>
      </c>
      <c r="E11" s="7">
        <v>0</v>
      </c>
    </row>
    <row r="12" spans="2:26" s="2" customFormat="1" x14ac:dyDescent="0.3">
      <c r="B12" s="2" t="s">
        <v>26</v>
      </c>
      <c r="C12" s="9">
        <f>C9-C10-C11</f>
        <v>-105</v>
      </c>
      <c r="E12" s="9">
        <f>E9-E10-E11</f>
        <v>379</v>
      </c>
    </row>
    <row r="13" spans="2:26" x14ac:dyDescent="0.3">
      <c r="B13" s="1" t="s">
        <v>27</v>
      </c>
      <c r="C13" s="7">
        <v>-25</v>
      </c>
      <c r="E13" s="7">
        <v>94</v>
      </c>
    </row>
    <row r="14" spans="2:26" s="2" customFormat="1" x14ac:dyDescent="0.3">
      <c r="B14" s="2" t="s">
        <v>28</v>
      </c>
      <c r="C14" s="9">
        <f>C12-C13</f>
        <v>-80</v>
      </c>
      <c r="E14" s="9">
        <f>E12-E13</f>
        <v>285</v>
      </c>
    </row>
    <row r="15" spans="2:26" x14ac:dyDescent="0.3">
      <c r="B15" s="1" t="s">
        <v>2</v>
      </c>
      <c r="C15" s="7">
        <f>1279</f>
        <v>1279</v>
      </c>
      <c r="E15" s="7">
        <f>1279</f>
        <v>1279</v>
      </c>
    </row>
    <row r="16" spans="2:26" x14ac:dyDescent="0.3">
      <c r="B16" s="1" t="s">
        <v>29</v>
      </c>
      <c r="C16" s="10">
        <f>C14/C15</f>
        <v>-6.2548866301798275E-2</v>
      </c>
      <c r="E16" s="10">
        <f>E14/E15</f>
        <v>0.22283033620015638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2026-02-25T17:30:37Z</dcterms:created>
  <dcterms:modified xsi:type="dcterms:W3CDTF">2026-02-25T17:40:50Z</dcterms:modified>
</cp:coreProperties>
</file>