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6CEC7B9-EF25-4755-B26D-449501D0946B}" xr6:coauthVersionLast="47" xr6:coauthVersionMax="47" xr10:uidLastSave="{00000000-0000-0000-0000-000000000000}"/>
  <bookViews>
    <workbookView xWindow="-108" yWindow="-108" windowWidth="23256" windowHeight="12576" xr2:uid="{23F63AA5-7803-4ED9-8AF9-166BE1B1437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44" i="2" l="1"/>
  <c r="R24" i="2"/>
  <c r="N20" i="2"/>
  <c r="N17" i="2"/>
  <c r="N12" i="2"/>
  <c r="Q22" i="2"/>
  <c r="P22" i="2"/>
  <c r="O22" i="2"/>
  <c r="M22" i="2"/>
  <c r="L22" i="2"/>
  <c r="L48" i="2" s="1"/>
  <c r="K22" i="2"/>
  <c r="R22" i="2"/>
  <c r="R20" i="2"/>
  <c r="R17" i="2"/>
  <c r="R12" i="2"/>
  <c r="AC7" i="2"/>
  <c r="AD7" i="2"/>
  <c r="N7" i="2"/>
  <c r="R7" i="2"/>
  <c r="D7" i="1"/>
  <c r="D6" i="1"/>
  <c r="D4" i="1"/>
  <c r="D5" i="1"/>
  <c r="AQ48" i="2"/>
  <c r="AN38" i="2"/>
  <c r="AM38" i="2"/>
  <c r="AL38" i="2"/>
  <c r="AK38" i="2"/>
  <c r="AJ38" i="2"/>
  <c r="AI38" i="2"/>
  <c r="AH38" i="2"/>
  <c r="AG38" i="2"/>
  <c r="AF38" i="2"/>
  <c r="AE38" i="2"/>
  <c r="AB44" i="2"/>
  <c r="AB43" i="2"/>
  <c r="AB42" i="2"/>
  <c r="AB41" i="2"/>
  <c r="AC44" i="2"/>
  <c r="AC43" i="2"/>
  <c r="AC42" i="2"/>
  <c r="AC41" i="2"/>
  <c r="P44" i="2"/>
  <c r="O44" i="2"/>
  <c r="P43" i="2"/>
  <c r="O43" i="2"/>
  <c r="P42" i="2"/>
  <c r="O42" i="2"/>
  <c r="P41" i="2"/>
  <c r="O41" i="2"/>
  <c r="Q44" i="2"/>
  <c r="Q43" i="2"/>
  <c r="Q42" i="2"/>
  <c r="Q41" i="2"/>
  <c r="N21" i="2"/>
  <c r="AA22" i="2"/>
  <c r="F22" i="2" s="1"/>
  <c r="AB22" i="2"/>
  <c r="AB24" i="2" s="1"/>
  <c r="AB46" i="2" s="1"/>
  <c r="AC22" i="2"/>
  <c r="O48" i="2"/>
  <c r="M48" i="2"/>
  <c r="Q24" i="2"/>
  <c r="Q46" i="2" s="1"/>
  <c r="AD36" i="2"/>
  <c r="AD32" i="2"/>
  <c r="AD31" i="2"/>
  <c r="AE31" i="2" s="1"/>
  <c r="AF31" i="2" s="1"/>
  <c r="AG31" i="2" s="1"/>
  <c r="AH31" i="2" s="1"/>
  <c r="AI31" i="2" s="1"/>
  <c r="AJ31" i="2" s="1"/>
  <c r="AK31" i="2" s="1"/>
  <c r="AL31" i="2" s="1"/>
  <c r="AM31" i="2" s="1"/>
  <c r="AN31" i="2" s="1"/>
  <c r="AD30" i="2"/>
  <c r="AE30" i="2" s="1"/>
  <c r="AD27" i="2"/>
  <c r="AD26" i="2"/>
  <c r="AE26" i="2" s="1"/>
  <c r="AF26" i="2" s="1"/>
  <c r="AG26" i="2" s="1"/>
  <c r="AH26" i="2" s="1"/>
  <c r="AI26" i="2" s="1"/>
  <c r="AJ26" i="2" s="1"/>
  <c r="AK26" i="2" s="1"/>
  <c r="AL26" i="2" s="1"/>
  <c r="AM26" i="2" s="1"/>
  <c r="AN26" i="2" s="1"/>
  <c r="AD38" i="2"/>
  <c r="R38" i="2"/>
  <c r="R33" i="2"/>
  <c r="Z48" i="2"/>
  <c r="Y48" i="2"/>
  <c r="X48" i="2"/>
  <c r="AB47" i="2"/>
  <c r="AA47" i="2"/>
  <c r="Z47" i="2"/>
  <c r="Y47" i="2"/>
  <c r="Z45" i="2"/>
  <c r="Y45" i="2"/>
  <c r="AC47" i="2"/>
  <c r="P48" i="2"/>
  <c r="I48" i="2"/>
  <c r="H48" i="2"/>
  <c r="G48" i="2"/>
  <c r="E48" i="2"/>
  <c r="D48" i="2"/>
  <c r="C48" i="2"/>
  <c r="P47" i="2"/>
  <c r="O47" i="2"/>
  <c r="M47" i="2"/>
  <c r="L47" i="2"/>
  <c r="K47" i="2"/>
  <c r="I47" i="2"/>
  <c r="H47" i="2"/>
  <c r="G47" i="2"/>
  <c r="I45" i="2"/>
  <c r="H45" i="2"/>
  <c r="G45" i="2"/>
  <c r="Q47" i="2"/>
  <c r="F36" i="2"/>
  <c r="F35" i="2"/>
  <c r="F32" i="2"/>
  <c r="F31" i="2"/>
  <c r="F30" i="2"/>
  <c r="F27" i="2"/>
  <c r="F26" i="2"/>
  <c r="F25" i="2"/>
  <c r="F23" i="2"/>
  <c r="F38" i="2"/>
  <c r="J36" i="2"/>
  <c r="J35" i="2"/>
  <c r="J32" i="2"/>
  <c r="J31" i="2"/>
  <c r="J30" i="2"/>
  <c r="J27" i="2"/>
  <c r="J26" i="2"/>
  <c r="J25" i="2"/>
  <c r="J23" i="2"/>
  <c r="J38" i="2"/>
  <c r="D38" i="2"/>
  <c r="D33" i="2"/>
  <c r="D28" i="2"/>
  <c r="D24" i="2"/>
  <c r="D46" i="2" s="1"/>
  <c r="I38" i="2"/>
  <c r="H38" i="2"/>
  <c r="G38" i="2"/>
  <c r="I33" i="2"/>
  <c r="H33" i="2"/>
  <c r="G33" i="2"/>
  <c r="I28" i="2"/>
  <c r="H28" i="2"/>
  <c r="G28" i="2"/>
  <c r="I24" i="2"/>
  <c r="I46" i="2" s="1"/>
  <c r="H24" i="2"/>
  <c r="H46" i="2" s="1"/>
  <c r="G24" i="2"/>
  <c r="G46" i="2" s="1"/>
  <c r="C38" i="2"/>
  <c r="C33" i="2"/>
  <c r="C28" i="2"/>
  <c r="C24" i="2"/>
  <c r="C46" i="2" s="1"/>
  <c r="E38" i="2"/>
  <c r="E33" i="2"/>
  <c r="E28" i="2"/>
  <c r="E24" i="2"/>
  <c r="E46" i="2" s="1"/>
  <c r="N36" i="2"/>
  <c r="N35" i="2"/>
  <c r="N32" i="2"/>
  <c r="N31" i="2"/>
  <c r="N30" i="2"/>
  <c r="N27" i="2"/>
  <c r="N26" i="2"/>
  <c r="N25" i="2"/>
  <c r="N23" i="2"/>
  <c r="N38" i="2"/>
  <c r="O28" i="2"/>
  <c r="O33" i="2"/>
  <c r="O38" i="2"/>
  <c r="X38" i="2"/>
  <c r="X33" i="2"/>
  <c r="X28" i="2"/>
  <c r="X24" i="2"/>
  <c r="X46" i="2" s="1"/>
  <c r="Y38" i="2"/>
  <c r="Y33" i="2"/>
  <c r="Y28" i="2"/>
  <c r="Y24" i="2"/>
  <c r="Y46" i="2" s="1"/>
  <c r="Z38" i="2"/>
  <c r="Z33" i="2"/>
  <c r="Z28" i="2"/>
  <c r="Z24" i="2"/>
  <c r="Z46" i="2" s="1"/>
  <c r="AA38" i="2"/>
  <c r="AA33" i="2"/>
  <c r="AA28" i="2"/>
  <c r="AB38" i="2"/>
  <c r="AB33" i="2"/>
  <c r="AB28" i="2"/>
  <c r="AC38" i="2"/>
  <c r="AC33" i="2"/>
  <c r="AC28" i="2"/>
  <c r="K38" i="2"/>
  <c r="K33" i="2"/>
  <c r="K28" i="2"/>
  <c r="L38" i="2"/>
  <c r="L33" i="2"/>
  <c r="L28" i="2"/>
  <c r="P38" i="2"/>
  <c r="P33" i="2"/>
  <c r="P28" i="2"/>
  <c r="P24" i="2"/>
  <c r="P46" i="2" s="1"/>
  <c r="M38" i="2"/>
  <c r="M33" i="2"/>
  <c r="M28" i="2"/>
  <c r="Q38" i="2"/>
  <c r="Q33" i="2"/>
  <c r="Q28" i="2"/>
  <c r="F3" i="1"/>
  <c r="N22" i="2" l="1"/>
  <c r="Q48" i="2"/>
  <c r="M24" i="2"/>
  <c r="M46" i="2" s="1"/>
  <c r="D8" i="1"/>
  <c r="AQ45" i="2" s="1"/>
  <c r="M45" i="2"/>
  <c r="R44" i="2"/>
  <c r="AD21" i="2"/>
  <c r="AE33" i="2"/>
  <c r="AF30" i="2"/>
  <c r="R43" i="2"/>
  <c r="AD20" i="2"/>
  <c r="AD12" i="2"/>
  <c r="R41" i="2"/>
  <c r="AD17" i="2"/>
  <c r="R42" i="2"/>
  <c r="L24" i="2"/>
  <c r="L46" i="2" s="1"/>
  <c r="L45" i="2"/>
  <c r="Q45" i="2"/>
  <c r="N47" i="2"/>
  <c r="O24" i="2"/>
  <c r="O46" i="2" s="1"/>
  <c r="AD33" i="2"/>
  <c r="O45" i="2"/>
  <c r="AA48" i="2"/>
  <c r="AA45" i="2"/>
  <c r="AA24" i="2"/>
  <c r="AA46" i="2" s="1"/>
  <c r="J22" i="2"/>
  <c r="J48" i="2" s="1"/>
  <c r="AB45" i="2"/>
  <c r="AB48" i="2"/>
  <c r="AC45" i="2"/>
  <c r="AC48" i="2"/>
  <c r="AC24" i="2"/>
  <c r="AC46" i="2" s="1"/>
  <c r="K45" i="2"/>
  <c r="K24" i="2"/>
  <c r="K46" i="2" s="1"/>
  <c r="K48" i="2"/>
  <c r="P45" i="2"/>
  <c r="F28" i="2"/>
  <c r="J33" i="2"/>
  <c r="F33" i="2"/>
  <c r="J47" i="2"/>
  <c r="J28" i="2"/>
  <c r="G29" i="2"/>
  <c r="H29" i="2"/>
  <c r="I29" i="2"/>
  <c r="F48" i="2"/>
  <c r="F24" i="2"/>
  <c r="D29" i="2"/>
  <c r="C29" i="2"/>
  <c r="E29" i="2"/>
  <c r="Q29" i="2"/>
  <c r="N33" i="2"/>
  <c r="N28" i="2"/>
  <c r="X29" i="2"/>
  <c r="Y29" i="2"/>
  <c r="Z29" i="2"/>
  <c r="AB29" i="2"/>
  <c r="P29" i="2"/>
  <c r="L29" i="2" l="1"/>
  <c r="L34" i="2" s="1"/>
  <c r="M29" i="2"/>
  <c r="M49" i="2" s="1"/>
  <c r="D9" i="1"/>
  <c r="Q56" i="2" s="1"/>
  <c r="O29" i="2"/>
  <c r="O34" i="2" s="1"/>
  <c r="AD41" i="2"/>
  <c r="AE12" i="2"/>
  <c r="AD43" i="2"/>
  <c r="AE20" i="2"/>
  <c r="AD22" i="2"/>
  <c r="AD45" i="2" s="1"/>
  <c r="AF33" i="2"/>
  <c r="AG30" i="2"/>
  <c r="AD42" i="2"/>
  <c r="AE17" i="2"/>
  <c r="AD44" i="2"/>
  <c r="AE21" i="2"/>
  <c r="K29" i="2"/>
  <c r="K34" i="2" s="1"/>
  <c r="AC29" i="2"/>
  <c r="AC34" i="2" s="1"/>
  <c r="AA29" i="2"/>
  <c r="AA49" i="2" s="1"/>
  <c r="J45" i="2"/>
  <c r="J24" i="2"/>
  <c r="J46" i="2" s="1"/>
  <c r="N24" i="2"/>
  <c r="N46" i="2" s="1"/>
  <c r="R45" i="2"/>
  <c r="N48" i="2"/>
  <c r="N45" i="2"/>
  <c r="C34" i="2"/>
  <c r="C49" i="2"/>
  <c r="P34" i="2"/>
  <c r="P49" i="2"/>
  <c r="D34" i="2"/>
  <c r="D49" i="2"/>
  <c r="R47" i="2"/>
  <c r="AD25" i="2"/>
  <c r="AE25" i="2" s="1"/>
  <c r="R28" i="2"/>
  <c r="AB34" i="2"/>
  <c r="AB49" i="2"/>
  <c r="I49" i="2"/>
  <c r="I34" i="2"/>
  <c r="Y34" i="2"/>
  <c r="Y49" i="2"/>
  <c r="G34" i="2"/>
  <c r="G49" i="2"/>
  <c r="F29" i="2"/>
  <c r="F46" i="2"/>
  <c r="R48" i="2"/>
  <c r="Q34" i="2"/>
  <c r="Q49" i="2"/>
  <c r="H34" i="2"/>
  <c r="H49" i="2"/>
  <c r="X34" i="2"/>
  <c r="X49" i="2"/>
  <c r="Z34" i="2"/>
  <c r="Z49" i="2"/>
  <c r="E34" i="2"/>
  <c r="E49" i="2"/>
  <c r="L49" i="2" l="1"/>
  <c r="M34" i="2"/>
  <c r="M50" i="2" s="1"/>
  <c r="O49" i="2"/>
  <c r="Q55" i="2"/>
  <c r="K49" i="2"/>
  <c r="AG33" i="2"/>
  <c r="AH30" i="2"/>
  <c r="AC49" i="2"/>
  <c r="AA34" i="2"/>
  <c r="AA50" i="2" s="1"/>
  <c r="AE28" i="2"/>
  <c r="AF25" i="2"/>
  <c r="AF47" i="2" s="1"/>
  <c r="AF21" i="2"/>
  <c r="AE44" i="2"/>
  <c r="AF20" i="2"/>
  <c r="AE43" i="2"/>
  <c r="AF17" i="2"/>
  <c r="AG17" i="2" s="1"/>
  <c r="AE42" i="2"/>
  <c r="AE22" i="2"/>
  <c r="AE48" i="2" s="1"/>
  <c r="AF12" i="2"/>
  <c r="AE41" i="2"/>
  <c r="J29" i="2"/>
  <c r="N29" i="2"/>
  <c r="N49" i="2" s="1"/>
  <c r="F34" i="2"/>
  <c r="F49" i="2"/>
  <c r="Z37" i="2"/>
  <c r="Z50" i="2"/>
  <c r="D37" i="2"/>
  <c r="D50" i="2"/>
  <c r="G37" i="2"/>
  <c r="G50" i="2"/>
  <c r="O37" i="2"/>
  <c r="O50" i="2"/>
  <c r="Q37" i="2"/>
  <c r="Q50" i="2"/>
  <c r="Y37" i="2"/>
  <c r="Y50" i="2"/>
  <c r="K37" i="2"/>
  <c r="K50" i="2"/>
  <c r="AB37" i="2"/>
  <c r="AB50" i="2"/>
  <c r="AC37" i="2"/>
  <c r="AC50" i="2"/>
  <c r="X37" i="2"/>
  <c r="X50" i="2"/>
  <c r="I37" i="2"/>
  <c r="I50" i="2"/>
  <c r="P37" i="2"/>
  <c r="P50" i="2"/>
  <c r="E37" i="2"/>
  <c r="E50" i="2"/>
  <c r="H37" i="2"/>
  <c r="H50" i="2"/>
  <c r="C37" i="2"/>
  <c r="C50" i="2"/>
  <c r="AE47" i="2"/>
  <c r="AD47" i="2"/>
  <c r="AD28" i="2"/>
  <c r="AD48" i="2"/>
  <c r="L37" i="2"/>
  <c r="L50" i="2"/>
  <c r="M37" i="2" l="1"/>
  <c r="M39" i="2" s="1"/>
  <c r="AA37" i="2"/>
  <c r="AA39" i="2" s="1"/>
  <c r="AF42" i="2"/>
  <c r="AF28" i="2"/>
  <c r="AG25" i="2"/>
  <c r="AH17" i="2"/>
  <c r="AG42" i="2"/>
  <c r="AF43" i="2"/>
  <c r="AG20" i="2"/>
  <c r="AI30" i="2"/>
  <c r="AH33" i="2"/>
  <c r="AE24" i="2"/>
  <c r="AE46" i="2" s="1"/>
  <c r="AE45" i="2"/>
  <c r="AG12" i="2"/>
  <c r="AF22" i="2"/>
  <c r="AF48" i="2" s="1"/>
  <c r="AF41" i="2"/>
  <c r="AG21" i="2"/>
  <c r="AF44" i="2"/>
  <c r="J49" i="2"/>
  <c r="J34" i="2"/>
  <c r="N34" i="2"/>
  <c r="N37" i="2" s="1"/>
  <c r="N39" i="2" s="1"/>
  <c r="H39" i="2"/>
  <c r="H51" i="2"/>
  <c r="E39" i="2"/>
  <c r="E51" i="2"/>
  <c r="AC39" i="2"/>
  <c r="AC51" i="2"/>
  <c r="Y39" i="2"/>
  <c r="Y51" i="2"/>
  <c r="D39" i="2"/>
  <c r="D51" i="2"/>
  <c r="P39" i="2"/>
  <c r="P51" i="2"/>
  <c r="AB39" i="2"/>
  <c r="AB51" i="2"/>
  <c r="Q39" i="2"/>
  <c r="Q51" i="2"/>
  <c r="L39" i="2"/>
  <c r="L51" i="2"/>
  <c r="C39" i="2"/>
  <c r="C51" i="2"/>
  <c r="I39" i="2"/>
  <c r="I51" i="2"/>
  <c r="O39" i="2"/>
  <c r="O51" i="2"/>
  <c r="Z39" i="2"/>
  <c r="Z51" i="2"/>
  <c r="X39" i="2"/>
  <c r="X51" i="2"/>
  <c r="K39" i="2"/>
  <c r="K51" i="2"/>
  <c r="G39" i="2"/>
  <c r="G51" i="2"/>
  <c r="F37" i="2"/>
  <c r="F50" i="2"/>
  <c r="M51" i="2" l="1"/>
  <c r="AA51" i="2"/>
  <c r="AE29" i="2"/>
  <c r="AE49" i="2" s="1"/>
  <c r="AE23" i="2"/>
  <c r="AI17" i="2"/>
  <c r="AH42" i="2"/>
  <c r="AH21" i="2"/>
  <c r="AG44" i="2"/>
  <c r="AG22" i="2"/>
  <c r="AG48" i="2" s="1"/>
  <c r="AH12" i="2"/>
  <c r="AH20" i="2"/>
  <c r="AG43" i="2"/>
  <c r="AG41" i="2"/>
  <c r="AG28" i="2"/>
  <c r="AH25" i="2"/>
  <c r="AG47" i="2"/>
  <c r="AF24" i="2"/>
  <c r="AF46" i="2" s="1"/>
  <c r="AF45" i="2"/>
  <c r="AI33" i="2"/>
  <c r="AJ30" i="2"/>
  <c r="J37" i="2"/>
  <c r="J50" i="2"/>
  <c r="N51" i="2"/>
  <c r="N50" i="2"/>
  <c r="F39" i="2"/>
  <c r="F51" i="2"/>
  <c r="AE34" i="2" l="1"/>
  <c r="AE35" i="2" s="1"/>
  <c r="AE50" i="2" s="1"/>
  <c r="AH41" i="2"/>
  <c r="AH22" i="2"/>
  <c r="AH48" i="2" s="1"/>
  <c r="AI12" i="2"/>
  <c r="AG24" i="2"/>
  <c r="AG29" i="2" s="1"/>
  <c r="AG45" i="2"/>
  <c r="AF29" i="2"/>
  <c r="AH28" i="2"/>
  <c r="AI25" i="2"/>
  <c r="AH47" i="2"/>
  <c r="AJ33" i="2"/>
  <c r="AK30" i="2"/>
  <c r="AH44" i="2"/>
  <c r="AI21" i="2"/>
  <c r="AI20" i="2"/>
  <c r="AH43" i="2"/>
  <c r="AJ17" i="2"/>
  <c r="AI42" i="2"/>
  <c r="AF23" i="2"/>
  <c r="J51" i="2"/>
  <c r="J39" i="2"/>
  <c r="AE36" i="2" l="1"/>
  <c r="AE37" i="2" s="1"/>
  <c r="AE51" i="2" s="1"/>
  <c r="AG34" i="2"/>
  <c r="AG49" i="2"/>
  <c r="AJ20" i="2"/>
  <c r="AI43" i="2"/>
  <c r="AJ25" i="2"/>
  <c r="AI28" i="2"/>
  <c r="AI47" i="2"/>
  <c r="AF34" i="2"/>
  <c r="AF49" i="2"/>
  <c r="AJ21" i="2"/>
  <c r="AI44" i="2"/>
  <c r="AL30" i="2"/>
  <c r="AK33" i="2"/>
  <c r="AG23" i="2"/>
  <c r="AG46" i="2"/>
  <c r="AK17" i="2"/>
  <c r="AJ42" i="2"/>
  <c r="AI22" i="2"/>
  <c r="AI48" i="2" s="1"/>
  <c r="AJ12" i="2"/>
  <c r="AI41" i="2"/>
  <c r="AH24" i="2"/>
  <c r="AH45" i="2"/>
  <c r="AE39" i="2" l="1"/>
  <c r="AK25" i="2"/>
  <c r="AJ28" i="2"/>
  <c r="AJ47" i="2"/>
  <c r="AJ22" i="2"/>
  <c r="AJ48" i="2" s="1"/>
  <c r="AK12" i="2"/>
  <c r="AJ41" i="2"/>
  <c r="AL17" i="2"/>
  <c r="AK42" i="2"/>
  <c r="AI24" i="2"/>
  <c r="AI46" i="2" s="1"/>
  <c r="AI45" i="2"/>
  <c r="AK20" i="2"/>
  <c r="AJ43" i="2"/>
  <c r="AH23" i="2"/>
  <c r="AH29" i="2"/>
  <c r="AH46" i="2"/>
  <c r="AM30" i="2"/>
  <c r="AL33" i="2"/>
  <c r="AJ44" i="2"/>
  <c r="AK21" i="2"/>
  <c r="AF36" i="2"/>
  <c r="AF35" i="2"/>
  <c r="AF50" i="2" s="1"/>
  <c r="AG36" i="2"/>
  <c r="AG35" i="2"/>
  <c r="AG50" i="2" s="1"/>
  <c r="AI29" i="2" l="1"/>
  <c r="AI49" i="2" s="1"/>
  <c r="AG37" i="2"/>
  <c r="AF37" i="2"/>
  <c r="AF39" i="2" s="1"/>
  <c r="AL20" i="2"/>
  <c r="AK43" i="2"/>
  <c r="AK22" i="2"/>
  <c r="AL12" i="2"/>
  <c r="AK41" i="2"/>
  <c r="AJ45" i="2"/>
  <c r="AJ24" i="2"/>
  <c r="AL21" i="2"/>
  <c r="AK44" i="2"/>
  <c r="AN30" i="2"/>
  <c r="AN33" i="2" s="1"/>
  <c r="AM33" i="2"/>
  <c r="AI23" i="2"/>
  <c r="AH49" i="2"/>
  <c r="AH34" i="2"/>
  <c r="AM17" i="2"/>
  <c r="AL42" i="2"/>
  <c r="AL25" i="2"/>
  <c r="AK28" i="2"/>
  <c r="AK47" i="2"/>
  <c r="AG39" i="2" l="1"/>
  <c r="AG51" i="2"/>
  <c r="AI34" i="2"/>
  <c r="AI36" i="2" s="1"/>
  <c r="AF51" i="2"/>
  <c r="AH36" i="2"/>
  <c r="AH35" i="2"/>
  <c r="AH50" i="2" s="1"/>
  <c r="AM21" i="2"/>
  <c r="AL44" i="2"/>
  <c r="AM20" i="2"/>
  <c r="AL43" i="2"/>
  <c r="AJ23" i="2"/>
  <c r="AJ29" i="2"/>
  <c r="AJ46" i="2"/>
  <c r="AM12" i="2"/>
  <c r="AL22" i="2"/>
  <c r="AL48" i="2" s="1"/>
  <c r="AL41" i="2"/>
  <c r="AK45" i="2"/>
  <c r="AK24" i="2"/>
  <c r="AK23" i="2" s="1"/>
  <c r="AN17" i="2"/>
  <c r="AN42" i="2" s="1"/>
  <c r="AM42" i="2"/>
  <c r="AK48" i="2"/>
  <c r="AM25" i="2"/>
  <c r="AL28" i="2"/>
  <c r="AL47" i="2"/>
  <c r="AI35" i="2" l="1"/>
  <c r="AI50" i="2" s="1"/>
  <c r="AH37" i="2"/>
  <c r="AH51" i="2" s="1"/>
  <c r="AJ49" i="2"/>
  <c r="AJ34" i="2"/>
  <c r="AK29" i="2"/>
  <c r="AK46" i="2"/>
  <c r="AN20" i="2"/>
  <c r="AN43" i="2" s="1"/>
  <c r="AM43" i="2"/>
  <c r="AI37" i="2"/>
  <c r="AL24" i="2"/>
  <c r="AL46" i="2" s="1"/>
  <c r="AL45" i="2"/>
  <c r="AN21" i="2"/>
  <c r="AN44" i="2" s="1"/>
  <c r="AM44" i="2"/>
  <c r="AN25" i="2"/>
  <c r="AM28" i="2"/>
  <c r="AM47" i="2"/>
  <c r="AN12" i="2"/>
  <c r="AM22" i="2"/>
  <c r="AM41" i="2"/>
  <c r="AL29" i="2" l="1"/>
  <c r="AL49" i="2" s="1"/>
  <c r="AH39" i="2"/>
  <c r="AL23" i="2"/>
  <c r="AK49" i="2"/>
  <c r="AK34" i="2"/>
  <c r="AJ35" i="2"/>
  <c r="AJ50" i="2" s="1"/>
  <c r="AJ36" i="2"/>
  <c r="AN28" i="2"/>
  <c r="AN47" i="2"/>
  <c r="AM24" i="2"/>
  <c r="AM46" i="2" s="1"/>
  <c r="AM45" i="2"/>
  <c r="AN22" i="2"/>
  <c r="AN48" i="2" s="1"/>
  <c r="AN41" i="2"/>
  <c r="AM48" i="2"/>
  <c r="AI51" i="2"/>
  <c r="AI39" i="2"/>
  <c r="AJ37" i="2" l="1"/>
  <c r="AJ39" i="2" s="1"/>
  <c r="AL34" i="2"/>
  <c r="AL35" i="2" s="1"/>
  <c r="AL50" i="2" s="1"/>
  <c r="AM23" i="2"/>
  <c r="AN24" i="2"/>
  <c r="AN29" i="2" s="1"/>
  <c r="AN45" i="2"/>
  <c r="AK36" i="2"/>
  <c r="AK35" i="2"/>
  <c r="AK50" i="2" s="1"/>
  <c r="AM29" i="2"/>
  <c r="AJ51" i="2" l="1"/>
  <c r="AL36" i="2"/>
  <c r="AL37" i="2" s="1"/>
  <c r="AL51" i="2" s="1"/>
  <c r="AK37" i="2"/>
  <c r="AK39" i="2" s="1"/>
  <c r="AN49" i="2"/>
  <c r="AN34" i="2"/>
  <c r="AM49" i="2"/>
  <c r="AM34" i="2"/>
  <c r="AN23" i="2"/>
  <c r="AN46" i="2"/>
  <c r="AL39" i="2" l="1"/>
  <c r="AK51" i="2"/>
  <c r="AM36" i="2"/>
  <c r="AM35" i="2"/>
  <c r="AM50" i="2" s="1"/>
  <c r="AN36" i="2"/>
  <c r="AN35" i="2"/>
  <c r="AN50" i="2" s="1"/>
  <c r="AM37" i="2" l="1"/>
  <c r="AM51" i="2" s="1"/>
  <c r="AN37" i="2"/>
  <c r="AM39" i="2" l="1"/>
  <c r="AO37" i="2"/>
  <c r="AP37" i="2" s="1"/>
  <c r="AQ37" i="2" s="1"/>
  <c r="AR37" i="2" s="1"/>
  <c r="AS37" i="2" s="1"/>
  <c r="AT37" i="2" s="1"/>
  <c r="AU37" i="2" s="1"/>
  <c r="AV37" i="2" s="1"/>
  <c r="AW37" i="2" s="1"/>
  <c r="AX37" i="2" s="1"/>
  <c r="AY37" i="2" s="1"/>
  <c r="AZ37" i="2" s="1"/>
  <c r="BA37" i="2" s="1"/>
  <c r="BB37" i="2" s="1"/>
  <c r="BC37" i="2" s="1"/>
  <c r="BD37" i="2" s="1"/>
  <c r="BE37" i="2" s="1"/>
  <c r="BF37" i="2" s="1"/>
  <c r="BG37" i="2" s="1"/>
  <c r="BH37" i="2" s="1"/>
  <c r="BI37" i="2" s="1"/>
  <c r="BJ37" i="2" s="1"/>
  <c r="BK37" i="2" s="1"/>
  <c r="BL37" i="2" s="1"/>
  <c r="BM37" i="2" s="1"/>
  <c r="BN37" i="2" s="1"/>
  <c r="BO37" i="2" s="1"/>
  <c r="BP37" i="2" s="1"/>
  <c r="BQ37" i="2" s="1"/>
  <c r="BR37" i="2" s="1"/>
  <c r="BS37" i="2" s="1"/>
  <c r="BT37" i="2" s="1"/>
  <c r="BU37" i="2" s="1"/>
  <c r="BV37" i="2" s="1"/>
  <c r="BW37" i="2" s="1"/>
  <c r="BX37" i="2" s="1"/>
  <c r="BY37" i="2" s="1"/>
  <c r="BZ37" i="2" s="1"/>
  <c r="CA37" i="2" s="1"/>
  <c r="CB37" i="2" s="1"/>
  <c r="CC37" i="2" s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AN51" i="2"/>
  <c r="AN39" i="2"/>
  <c r="R29" i="2" l="1"/>
  <c r="R34" i="2" s="1"/>
  <c r="AD35" i="2" s="1"/>
  <c r="AD23" i="2"/>
  <c r="AD24" i="2" s="1"/>
  <c r="R46" i="2"/>
  <c r="AD29" i="2" l="1"/>
  <c r="AD46" i="2"/>
  <c r="R49" i="2"/>
  <c r="R37" i="2"/>
  <c r="R50" i="2"/>
  <c r="AD49" i="2" l="1"/>
  <c r="AD34" i="2"/>
  <c r="R51" i="2"/>
  <c r="R39" i="2"/>
  <c r="AD37" i="2" l="1"/>
  <c r="AD50" i="2"/>
  <c r="AQ46" i="2" l="1"/>
  <c r="AQ47" i="2" s="1"/>
  <c r="AQ49" i="2" s="1"/>
  <c r="AD39" i="2"/>
  <c r="AD51" i="2"/>
</calcChain>
</file>

<file path=xl/sharedStrings.xml><?xml version="1.0" encoding="utf-8"?>
<sst xmlns="http://schemas.openxmlformats.org/spreadsheetml/2006/main" count="91" uniqueCount="84">
  <si>
    <t>OSK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</si>
  <si>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</si>
  <si>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</si>
  <si>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</si>
  <si>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</si>
  <si>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</si>
  <si>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</si>
  <si>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</si>
  <si>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</si>
  <si>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</si>
  <si>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</si>
  <si>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Q325</t>
  </si>
  <si>
    <t>Revenue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</si>
  <si>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</si>
  <si>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</si>
  <si>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</si>
  <si>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</si>
  <si>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</si>
  <si>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</si>
  <si>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</si>
  <si>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</si>
  <si>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</si>
  <si>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</si>
  <si>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Q425</t>
  </si>
  <si>
    <t>Cost of sales</t>
  </si>
  <si>
    <t>Gross profit</t>
  </si>
  <si>
    <t>SG&amp;A</t>
  </si>
  <si>
    <t>Amortisation</t>
  </si>
  <si>
    <t>Impairment</t>
  </si>
  <si>
    <t>Total opex</t>
  </si>
  <si>
    <t>Operating profit</t>
  </si>
  <si>
    <t>Interest expense</t>
  </si>
  <si>
    <t>Interest income</t>
  </si>
  <si>
    <t>Other income</t>
  </si>
  <si>
    <t>Net other income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</si>
  <si>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</si>
  <si>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</si>
  <si>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</si>
  <si>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</si>
  <si>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</si>
  <si>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</si>
  <si>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</si>
  <si>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</si>
  <si>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</si>
  <si>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Revenue y/y</t>
  </si>
  <si>
    <t>Gross Margin</t>
  </si>
  <si>
    <t>SG&amp;A y/y</t>
  </si>
  <si>
    <t>SG&amp;A Margin</t>
  </si>
  <si>
    <t>Operating Margin</t>
  </si>
  <si>
    <t>Net Margin</t>
  </si>
  <si>
    <t>Access</t>
  </si>
  <si>
    <t>Vocational</t>
  </si>
  <si>
    <t>Transport</t>
  </si>
  <si>
    <t>Other</t>
  </si>
  <si>
    <t>2024 10-K for segment info</t>
  </si>
  <si>
    <t>Access y/y</t>
  </si>
  <si>
    <t>Vocational y/y</t>
  </si>
  <si>
    <t>Transport y/y</t>
  </si>
  <si>
    <t>Other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</si>
  <si>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</si>
  <si>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</si>
  <si>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</si>
  <si>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</si>
  <si>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</si>
  <si>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</si>
  <si>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</si>
  <si>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</si>
  <si>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</si>
  <si>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</si>
  <si>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</si>
  <si>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</si>
  <si>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Backlog</t>
  </si>
  <si>
    <t>Aerial work platforms</t>
  </si>
  <si>
    <t>Telehandlers</t>
  </si>
  <si>
    <t>Municipal fire apparatus</t>
  </si>
  <si>
    <t>Airport products</t>
  </si>
  <si>
    <t>Refuse and recycling vehicles</t>
  </si>
  <si>
    <t>Defense</t>
  </si>
  <si>
    <t>Delivery vehicles</t>
  </si>
  <si>
    <t>Access (total)</t>
  </si>
  <si>
    <t>Vocational (total)</t>
  </si>
  <si>
    <t>Transport (total)</t>
  </si>
  <si>
    <t>Other (total)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</si>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</sst>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9" fontId="1" fillId="2" borderId="1" xfId="0" applyNumberFormat="1" applyFont="1" applyFill="1" applyBorder="1"/>
    <xf numFmtId="0" fontId="5" fillId="2" borderId="1" xfId="0" applyFont="1" applyFill="1" applyBorder="1"/>
    <xf numFmtId="3" fontId="5" fillId="2" borderId="1" xfId="0" applyNumberFormat="1" applyFont="1" applyFill="1" applyBorder="1"/>
    <xf numFmtId="165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30480</xdr:colOff>
      <xdr:row>0</xdr:row>
      <xdr:rowOff>7620</xdr:rowOff>
    </xdr:from>
    <xdr:to>
      <xdr:col>18</xdr:col>
      <xdr:colOff>30480</xdr:colOff>
      <xdr:row>56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B02AF8F-C984-7E42-4F59-644D4D56A511}"/>
            </a:ext>
          </a:extLst>
        </xdr:cNvPr>
        <xdr:cNvCxnSpPr/>
      </xdr:nvCxnSpPr>
      <xdr:spPr>
        <a:xfrm>
          <a:off x="12092940" y="7620"/>
          <a:ext cx="0" cy="103403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30480</xdr:colOff>
      <xdr:row>0</xdr:row>
      <xdr:rowOff>7620</xdr:rowOff>
    </xdr:from>
    <xdr:to>
      <xdr:col>30</xdr:col>
      <xdr:colOff>30480</xdr:colOff>
      <xdr:row>56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D93B432-FA02-D37D-A50C-1A2409BFF725}"/>
            </a:ext>
          </a:extLst>
        </xdr:cNvPr>
        <xdr:cNvCxnSpPr/>
      </xdr:nvCxnSpPr>
      <xdr:spPr>
        <a:xfrm>
          <a:off x="19408140" y="7620"/>
          <a:ext cx="0" cy="103403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3F220-92FB-4C76-B59F-8093233487C3}">
  <dimension ref="B2:I9"/>
  <sheetViews>
    <sheetView tabSelected="1" workbookViewId="0">
      <selection activeCell="E7" sqref="E7"/>
    </sheetView>
  </sheetViews>
  <sheetFormatPr defaultRowHeight="14.4" x14ac:dyDescent="0.3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9" x14ac:dyDescent="0.3">
      <c r="E2" s="3" t="s">
        <v>8</v>
      </c>
      <c r="F2" s="3" t="s">
        <v>9</v>
      </c>
      <c r="G2" s="3" t="s">
        <v>10</v>
      </c>
    </row>
    <row r="3" spans="2:9" x14ac:dyDescent="0.3">
      <c r="B3" s="2" t="s">
        <v>0</v>
      </c>
      <c r="C3" s="1" t="s">
        <v>1</v>
      </c>
      <c r="D3" s="5">
        <v>171.08</v>
      </c>
      <c r="E3" s="4">
        <v>46067</v>
      </c>
      <c r="F3" s="4">
        <f ca="1">TODAY()</f>
        <v>46067</v>
      </c>
      <c r="G3" s="4">
        <v>46135</v>
      </c>
    </row>
    <row r="4" spans="2:9" x14ac:dyDescent="0.3">
      <c r="C4" s="1" t="s">
        <v>2</v>
      </c>
      <c r="D4" s="6">
        <f>63.3</f>
        <v>63.3</v>
      </c>
      <c r="E4" s="3" t="s">
        <v>23</v>
      </c>
    </row>
    <row r="5" spans="2:9" x14ac:dyDescent="0.3">
      <c r="C5" s="1" t="s">
        <v>3</v>
      </c>
      <c r="D5" s="6">
        <f>D3*D4</f>
        <v>10829.364</v>
      </c>
    </row>
    <row r="6" spans="2:9" x14ac:dyDescent="0.3">
      <c r="C6" s="1" t="s">
        <v>4</v>
      </c>
      <c r="D6" s="6">
        <f>479.8</f>
        <v>479.8</v>
      </c>
      <c r="E6" s="3" t="s">
        <v>23</v>
      </c>
    </row>
    <row r="7" spans="2:9" x14ac:dyDescent="0.3">
      <c r="C7" s="1" t="s">
        <v>5</v>
      </c>
      <c r="D7" s="6">
        <f>0.6+1100.3</f>
        <v>1100.8999999999999</v>
      </c>
      <c r="E7" s="3" t="s">
        <v>23</v>
      </c>
      <c r="I7" s="1" t="s">
        <v>54</v>
      </c>
    </row>
    <row r="8" spans="2:9" x14ac:dyDescent="0.3">
      <c r="C8" s="1" t="s">
        <v>6</v>
      </c>
      <c r="D8" s="6">
        <f>D6-D7</f>
        <v>-621.09999999999991</v>
      </c>
    </row>
    <row r="9" spans="2:9" x14ac:dyDescent="0.3">
      <c r="C9" s="1" t="s">
        <v>7</v>
      </c>
      <c r="D9" s="6">
        <f>D5-D8</f>
        <v>11450.464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911E-65B1-4B35-91E7-54A830ED7832}">
  <dimension ref="B2:ER56"/>
  <sheetViews>
    <sheetView workbookViewId="0">
      <pane xSplit="2" ySplit="2" topLeftCell="AC27" activePane="bottomRight" state="frozen"/>
      <selection pane="topRight" activeCell="C1" sqref="C1"/>
      <selection pane="bottomLeft" activeCell="A3" sqref="A3"/>
      <selection pane="bottomRight" activeCell="AQ50" sqref="AQ50"/>
    </sheetView>
  </sheetViews>
  <sheetFormatPr defaultRowHeight="14.4" x14ac:dyDescent="0.3"/>
  <cols>
    <col min="1" max="1" width="8.88671875" style="1"/>
    <col min="2" max="2" width="24.77734375" style="1" bestFit="1" customWidth="1"/>
    <col min="3" max="6" width="8.88671875" style="1" customWidth="1"/>
    <col min="7" max="41" width="8.88671875" style="1"/>
    <col min="42" max="42" width="12" style="1" bestFit="1" customWidth="1"/>
    <col min="43" max="43" width="16.21875" style="1" bestFit="1" customWidth="1"/>
    <col min="44" max="16384" width="8.88671875" style="1"/>
  </cols>
  <sheetData>
    <row r="2" spans="2:40" x14ac:dyDescent="0.3">
      <c r="C2" s="7" t="s">
        <v>40</v>
      </c>
      <c r="D2" s="7" t="s">
        <v>41</v>
      </c>
      <c r="E2" s="7" t="s">
        <v>42</v>
      </c>
      <c r="F2" s="7" t="s">
        <v>43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11</v>
      </c>
      <c r="R2" s="7" t="s">
        <v>23</v>
      </c>
      <c r="S2" s="7"/>
      <c r="T2" s="7"/>
      <c r="U2" s="7"/>
      <c r="V2" s="7"/>
      <c r="X2" s="1">
        <v>2019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50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1">
        <v>1832.2</v>
      </c>
      <c r="O3" s="7"/>
      <c r="P3" s="7"/>
      <c r="Q3" s="7"/>
      <c r="R3" s="11">
        <v>1275.8</v>
      </c>
      <c r="S3" s="7"/>
      <c r="T3" s="7"/>
      <c r="U3" s="7"/>
      <c r="V3" s="7"/>
      <c r="AC3" s="11">
        <v>1832.2</v>
      </c>
      <c r="AD3" s="11">
        <v>1275.8</v>
      </c>
    </row>
    <row r="4" spans="2:40" x14ac:dyDescent="0.3">
      <c r="B4" s="1" t="s">
        <v>51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11">
        <v>6318.1</v>
      </c>
      <c r="O4" s="7"/>
      <c r="P4" s="7"/>
      <c r="Q4" s="7"/>
      <c r="R4" s="11">
        <v>6614.8</v>
      </c>
      <c r="S4" s="7"/>
      <c r="T4" s="7"/>
      <c r="U4" s="7"/>
      <c r="V4" s="7"/>
      <c r="AC4" s="11">
        <v>6318.1</v>
      </c>
      <c r="AD4" s="11">
        <v>6614.8</v>
      </c>
    </row>
    <row r="5" spans="2:40" x14ac:dyDescent="0.3">
      <c r="B5" s="1" t="s">
        <v>52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11">
        <v>6531</v>
      </c>
      <c r="O5" s="7"/>
      <c r="P5" s="7"/>
      <c r="Q5" s="7"/>
      <c r="R5" s="11">
        <v>6181.2</v>
      </c>
      <c r="S5" s="7"/>
      <c r="T5" s="7"/>
      <c r="U5" s="7"/>
      <c r="V5" s="7"/>
      <c r="AC5" s="11">
        <v>6531</v>
      </c>
      <c r="AD5" s="11">
        <v>6181.2</v>
      </c>
    </row>
    <row r="6" spans="2:40" x14ac:dyDescent="0.3">
      <c r="B6" s="1" t="s">
        <v>53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1">
        <v>62</v>
      </c>
      <c r="O6" s="7"/>
      <c r="P6" s="7"/>
      <c r="Q6" s="7"/>
      <c r="R6" s="11">
        <v>109.2</v>
      </c>
      <c r="S6" s="7"/>
      <c r="T6" s="7"/>
      <c r="U6" s="7"/>
      <c r="V6" s="7"/>
      <c r="AC6" s="11">
        <v>62</v>
      </c>
      <c r="AD6" s="11">
        <v>109.2</v>
      </c>
    </row>
    <row r="7" spans="2:40" s="2" customFormat="1" x14ac:dyDescent="0.3">
      <c r="B7" s="2" t="s">
        <v>71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7">
        <v>14300</v>
      </c>
      <c r="N7" s="17">
        <f>SUM(N3:N6)</f>
        <v>14743.3</v>
      </c>
      <c r="O7" s="16"/>
      <c r="P7" s="16"/>
      <c r="Q7" s="17">
        <v>13700</v>
      </c>
      <c r="R7" s="17">
        <f>SUM(R3:R6)</f>
        <v>14181</v>
      </c>
      <c r="S7" s="16"/>
      <c r="T7" s="16"/>
      <c r="U7" s="16"/>
      <c r="V7" s="16"/>
      <c r="AC7" s="17">
        <f>SUM(AC3:AC6)</f>
        <v>14743.3</v>
      </c>
      <c r="AD7" s="17">
        <f>SUM(AD3:AD6)</f>
        <v>14181</v>
      </c>
    </row>
    <row r="8" spans="2:40" x14ac:dyDescent="0.3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</row>
    <row r="9" spans="2:40" x14ac:dyDescent="0.3">
      <c r="B9" s="1" t="s">
        <v>72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11">
        <v>545.6</v>
      </c>
      <c r="O9" s="7"/>
      <c r="P9" s="7"/>
      <c r="Q9" s="7"/>
      <c r="R9" s="11">
        <v>548.6</v>
      </c>
      <c r="S9" s="7"/>
      <c r="T9" s="7"/>
      <c r="U9" s="7"/>
      <c r="V9" s="7"/>
    </row>
    <row r="10" spans="2:40" x14ac:dyDescent="0.3">
      <c r="B10" s="1" t="s">
        <v>73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11">
        <v>322</v>
      </c>
      <c r="O10" s="7"/>
      <c r="P10" s="7"/>
      <c r="Q10" s="7"/>
      <c r="R10" s="11">
        <v>311.2</v>
      </c>
      <c r="S10" s="7"/>
      <c r="T10" s="7"/>
      <c r="U10" s="7"/>
      <c r="V10" s="7"/>
    </row>
    <row r="11" spans="2:40" x14ac:dyDescent="0.3">
      <c r="B11" s="1" t="s">
        <v>53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11">
        <v>289.39999999999998</v>
      </c>
      <c r="O11" s="7"/>
      <c r="P11" s="7"/>
      <c r="Q11" s="7"/>
      <c r="R11" s="11">
        <v>311.8</v>
      </c>
      <c r="S11" s="7"/>
      <c r="T11" s="7"/>
      <c r="U11" s="7"/>
      <c r="V11" s="7"/>
    </row>
    <row r="12" spans="2:40" s="2" customFormat="1" x14ac:dyDescent="0.3">
      <c r="B12" s="2" t="s">
        <v>79</v>
      </c>
      <c r="C12" s="16"/>
      <c r="D12" s="16"/>
      <c r="E12" s="16"/>
      <c r="F12" s="16"/>
      <c r="G12" s="16"/>
      <c r="H12" s="16"/>
      <c r="I12" s="16"/>
      <c r="J12" s="16"/>
      <c r="K12" s="17">
        <v>1237.5</v>
      </c>
      <c r="L12" s="17">
        <v>1406.9</v>
      </c>
      <c r="M12" s="17">
        <v>1363.3</v>
      </c>
      <c r="N12" s="17">
        <f>SUM(N9:N11)</f>
        <v>1157</v>
      </c>
      <c r="O12" s="17">
        <v>957.1</v>
      </c>
      <c r="P12" s="17">
        <v>1256</v>
      </c>
      <c r="Q12" s="17">
        <v>1109.7</v>
      </c>
      <c r="R12" s="17">
        <f>SUM(R9:R11)</f>
        <v>1171.5999999999999</v>
      </c>
      <c r="S12" s="17"/>
      <c r="T12" s="17"/>
      <c r="U12" s="17"/>
      <c r="V12" s="17"/>
      <c r="AA12" s="17">
        <v>3972.1</v>
      </c>
      <c r="AB12" s="17">
        <v>4990</v>
      </c>
      <c r="AC12" s="17">
        <v>5164.7</v>
      </c>
      <c r="AD12" s="9">
        <f>SUM(O12:R12)</f>
        <v>4494.3999999999996</v>
      </c>
      <c r="AE12" s="9">
        <f>AD12*0.95</f>
        <v>4269.6799999999994</v>
      </c>
      <c r="AF12" s="9">
        <f>AE12*1.02</f>
        <v>4355.0735999999997</v>
      </c>
      <c r="AG12" s="9">
        <f t="shared" ref="AG12:AI12" si="0">AF12*1.02</f>
        <v>4442.175072</v>
      </c>
      <c r="AH12" s="9">
        <f t="shared" si="0"/>
        <v>4531.0185734400002</v>
      </c>
      <c r="AI12" s="9">
        <f t="shared" si="0"/>
        <v>4621.6389449088001</v>
      </c>
      <c r="AJ12" s="9">
        <f>AI12*1.01</f>
        <v>4667.8553343578878</v>
      </c>
      <c r="AK12" s="9">
        <f t="shared" ref="AK12:AN12" si="1">AJ12*1.01</f>
        <v>4714.5338877014665</v>
      </c>
      <c r="AL12" s="9">
        <f t="shared" si="1"/>
        <v>4761.6792265784816</v>
      </c>
      <c r="AM12" s="9">
        <f t="shared" si="1"/>
        <v>4809.2960188442667</v>
      </c>
      <c r="AN12" s="9">
        <f t="shared" si="1"/>
        <v>4857.3889790327094</v>
      </c>
    </row>
    <row r="13" spans="2:40" x14ac:dyDescent="0.3">
      <c r="B13" s="1" t="s">
        <v>74</v>
      </c>
      <c r="C13" s="7"/>
      <c r="D13" s="7"/>
      <c r="E13" s="7"/>
      <c r="F13" s="7"/>
      <c r="G13" s="7"/>
      <c r="H13" s="7"/>
      <c r="I13" s="7"/>
      <c r="J13" s="7"/>
      <c r="K13" s="11"/>
      <c r="L13" s="11"/>
      <c r="M13" s="11"/>
      <c r="N13" s="11">
        <v>334.6</v>
      </c>
      <c r="O13" s="11"/>
      <c r="P13" s="11"/>
      <c r="Q13" s="11"/>
      <c r="R13" s="11">
        <v>382.9</v>
      </c>
      <c r="S13" s="11"/>
      <c r="T13" s="11"/>
      <c r="U13" s="11"/>
      <c r="V13" s="11"/>
      <c r="AA13" s="11"/>
      <c r="AB13" s="11"/>
      <c r="AC13" s="11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spans="2:40" x14ac:dyDescent="0.3">
      <c r="B14" s="1" t="s">
        <v>75</v>
      </c>
      <c r="C14" s="7"/>
      <c r="D14" s="7"/>
      <c r="E14" s="7"/>
      <c r="F14" s="7"/>
      <c r="G14" s="7"/>
      <c r="H14" s="7"/>
      <c r="I14" s="7"/>
      <c r="J14" s="7"/>
      <c r="K14" s="11"/>
      <c r="L14" s="11"/>
      <c r="M14" s="11"/>
      <c r="N14" s="11">
        <v>234.4</v>
      </c>
      <c r="O14" s="11"/>
      <c r="P14" s="11"/>
      <c r="Q14" s="11"/>
      <c r="R14" s="11">
        <v>252.7</v>
      </c>
      <c r="S14" s="11"/>
      <c r="T14" s="11"/>
      <c r="U14" s="11"/>
      <c r="V14" s="11"/>
      <c r="AA14" s="11"/>
      <c r="AB14" s="11"/>
      <c r="AC14" s="11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spans="2:40" x14ac:dyDescent="0.3">
      <c r="B15" s="1" t="s">
        <v>76</v>
      </c>
      <c r="C15" s="7"/>
      <c r="D15" s="7"/>
      <c r="E15" s="7"/>
      <c r="F15" s="7"/>
      <c r="G15" s="7"/>
      <c r="H15" s="7"/>
      <c r="I15" s="7"/>
      <c r="J15" s="7"/>
      <c r="K15" s="11"/>
      <c r="L15" s="11"/>
      <c r="M15" s="11"/>
      <c r="N15" s="11">
        <v>193.9</v>
      </c>
      <c r="O15" s="11"/>
      <c r="P15" s="11"/>
      <c r="Q15" s="11"/>
      <c r="R15" s="11">
        <v>156.1</v>
      </c>
      <c r="S15" s="11"/>
      <c r="T15" s="11"/>
      <c r="U15" s="11"/>
      <c r="V15" s="11"/>
      <c r="AA15" s="11"/>
      <c r="AB15" s="11"/>
      <c r="AC15" s="11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spans="2:40" x14ac:dyDescent="0.3">
      <c r="B16" s="1" t="s">
        <v>53</v>
      </c>
      <c r="C16" s="7"/>
      <c r="D16" s="7"/>
      <c r="E16" s="7"/>
      <c r="F16" s="7"/>
      <c r="G16" s="7"/>
      <c r="H16" s="7"/>
      <c r="I16" s="7"/>
      <c r="J16" s="7"/>
      <c r="K16" s="11"/>
      <c r="L16" s="11"/>
      <c r="M16" s="11"/>
      <c r="N16" s="11">
        <v>117.7</v>
      </c>
      <c r="O16" s="11"/>
      <c r="P16" s="11"/>
      <c r="Q16" s="11"/>
      <c r="R16" s="11">
        <v>130.69999999999999</v>
      </c>
      <c r="S16" s="11"/>
      <c r="T16" s="11"/>
      <c r="U16" s="11"/>
      <c r="V16" s="11"/>
      <c r="AA16" s="11"/>
      <c r="AB16" s="11"/>
      <c r="AC16" s="11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spans="2:40" s="2" customFormat="1" x14ac:dyDescent="0.3">
      <c r="B17" s="2" t="s">
        <v>80</v>
      </c>
      <c r="C17" s="16"/>
      <c r="D17" s="16"/>
      <c r="E17" s="16"/>
      <c r="F17" s="16"/>
      <c r="G17" s="16"/>
      <c r="H17" s="16"/>
      <c r="I17" s="16"/>
      <c r="J17" s="16"/>
      <c r="K17" s="17">
        <v>772.4</v>
      </c>
      <c r="L17" s="17">
        <v>843.1</v>
      </c>
      <c r="M17" s="17">
        <v>814.2</v>
      </c>
      <c r="N17" s="17">
        <f>SUM(N13:N16)</f>
        <v>880.6</v>
      </c>
      <c r="O17" s="17">
        <v>866.8</v>
      </c>
      <c r="P17" s="17">
        <v>969.7</v>
      </c>
      <c r="Q17" s="17">
        <v>968</v>
      </c>
      <c r="R17" s="17">
        <f>SUM(R13:R16)</f>
        <v>922.39999999999986</v>
      </c>
      <c r="S17" s="17"/>
      <c r="T17" s="17"/>
      <c r="U17" s="17"/>
      <c r="V17" s="17"/>
      <c r="AA17" s="17">
        <v>2175.6999999999998</v>
      </c>
      <c r="AB17" s="17">
        <v>2578.1</v>
      </c>
      <c r="AC17" s="17">
        <v>3310.3</v>
      </c>
      <c r="AD17" s="9">
        <f t="shared" ref="AD17:AD21" si="2">SUM(O17:R17)</f>
        <v>3726.8999999999996</v>
      </c>
      <c r="AE17" s="9">
        <f>AD17*1.1</f>
        <v>4099.59</v>
      </c>
      <c r="AF17" s="9">
        <f>AE17*1.07</f>
        <v>4386.5613000000003</v>
      </c>
      <c r="AG17" s="9">
        <f>AF17*1.04</f>
        <v>4562.0237520000001</v>
      </c>
      <c r="AH17" s="9">
        <f>AG17*1.03</f>
        <v>4698.8844645600002</v>
      </c>
      <c r="AI17" s="9">
        <f>AH17*1.03</f>
        <v>4839.8509984968005</v>
      </c>
      <c r="AJ17" s="9">
        <f>AI17*1.02</f>
        <v>4936.6480184667362</v>
      </c>
      <c r="AK17" s="9">
        <f t="shared" ref="AK17:AN17" si="3">AJ17*1.02</f>
        <v>5035.3809788360713</v>
      </c>
      <c r="AL17" s="9">
        <f t="shared" si="3"/>
        <v>5136.0885984127926</v>
      </c>
      <c r="AM17" s="9">
        <f t="shared" si="3"/>
        <v>5238.8103703810484</v>
      </c>
      <c r="AN17" s="9">
        <f t="shared" si="3"/>
        <v>5343.5865777886693</v>
      </c>
    </row>
    <row r="18" spans="2:40" x14ac:dyDescent="0.3">
      <c r="B18" s="1" t="s">
        <v>77</v>
      </c>
      <c r="C18" s="7"/>
      <c r="D18" s="7"/>
      <c r="E18" s="7"/>
      <c r="F18" s="7"/>
      <c r="G18" s="7"/>
      <c r="H18" s="7"/>
      <c r="I18" s="7"/>
      <c r="J18" s="7"/>
      <c r="K18" s="11"/>
      <c r="L18" s="11"/>
      <c r="M18" s="11"/>
      <c r="N18" s="11">
        <v>498.8</v>
      </c>
      <c r="O18" s="11"/>
      <c r="P18" s="11"/>
      <c r="Q18" s="11"/>
      <c r="R18" s="11">
        <v>401.7</v>
      </c>
      <c r="S18" s="11"/>
      <c r="T18" s="11"/>
      <c r="U18" s="11"/>
      <c r="V18" s="11"/>
      <c r="AA18" s="11"/>
      <c r="AB18" s="11"/>
      <c r="AC18" s="11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spans="2:40" x14ac:dyDescent="0.3">
      <c r="B19" s="1" t="s">
        <v>78</v>
      </c>
      <c r="C19" s="7"/>
      <c r="D19" s="7"/>
      <c r="E19" s="7"/>
      <c r="F19" s="7"/>
      <c r="G19" s="7"/>
      <c r="H19" s="7"/>
      <c r="I19" s="7"/>
      <c r="J19" s="7"/>
      <c r="K19" s="11"/>
      <c r="L19" s="11"/>
      <c r="M19" s="11"/>
      <c r="N19" s="11">
        <v>35</v>
      </c>
      <c r="O19" s="11"/>
      <c r="P19" s="11"/>
      <c r="Q19" s="11"/>
      <c r="R19" s="11">
        <v>165</v>
      </c>
      <c r="S19" s="11"/>
      <c r="T19" s="11"/>
      <c r="U19" s="11"/>
      <c r="V19" s="11"/>
      <c r="AA19" s="11"/>
      <c r="AB19" s="11"/>
      <c r="AC19" s="11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 spans="2:40" s="2" customFormat="1" x14ac:dyDescent="0.3">
      <c r="B20" s="2" t="s">
        <v>81</v>
      </c>
      <c r="C20" s="16"/>
      <c r="D20" s="16"/>
      <c r="E20" s="16"/>
      <c r="F20" s="16"/>
      <c r="G20" s="16"/>
      <c r="H20" s="16"/>
      <c r="I20" s="16"/>
      <c r="J20" s="16"/>
      <c r="K20" s="17">
        <v>509.1</v>
      </c>
      <c r="L20" s="17">
        <v>571.9</v>
      </c>
      <c r="M20" s="17">
        <v>540.4</v>
      </c>
      <c r="N20" s="17">
        <f>SUM(N18:N19)</f>
        <v>533.79999999999995</v>
      </c>
      <c r="O20" s="17">
        <v>463</v>
      </c>
      <c r="P20" s="17">
        <v>479.1</v>
      </c>
      <c r="Q20" s="17">
        <v>587.9</v>
      </c>
      <c r="R20" s="17">
        <f>SUM(R18:R19)</f>
        <v>566.70000000000005</v>
      </c>
      <c r="S20" s="17"/>
      <c r="T20" s="17"/>
      <c r="U20" s="17"/>
      <c r="V20" s="17"/>
      <c r="AA20" s="17">
        <v>2059.1</v>
      </c>
      <c r="AB20" s="17">
        <v>2001.4</v>
      </c>
      <c r="AC20" s="17">
        <v>2155.1999999999998</v>
      </c>
      <c r="AD20" s="9">
        <f t="shared" si="2"/>
        <v>2096.6999999999998</v>
      </c>
      <c r="AE20" s="9">
        <f>AD20*1.15</f>
        <v>2411.2049999999995</v>
      </c>
      <c r="AF20" s="9">
        <f>AE20*1.06</f>
        <v>2555.8772999999997</v>
      </c>
      <c r="AG20" s="9">
        <f>AF20*1.04</f>
        <v>2658.1123919999995</v>
      </c>
      <c r="AH20" s="9">
        <f>AG20*1.03</f>
        <v>2737.8557637599997</v>
      </c>
      <c r="AI20" s="9">
        <f>AH20*1.03</f>
        <v>2819.9914366727999</v>
      </c>
      <c r="AJ20" s="9">
        <f>AI20*1.02</f>
        <v>2876.391265406256</v>
      </c>
      <c r="AK20" s="9">
        <f t="shared" ref="AK20:AN20" si="4">AJ20*1.02</f>
        <v>2933.9190907143811</v>
      </c>
      <c r="AL20" s="9">
        <f t="shared" si="4"/>
        <v>2992.5974725286687</v>
      </c>
      <c r="AM20" s="9">
        <f t="shared" si="4"/>
        <v>3052.4494219792423</v>
      </c>
      <c r="AN20" s="9">
        <f t="shared" si="4"/>
        <v>3113.498410418827</v>
      </c>
    </row>
    <row r="21" spans="2:40" x14ac:dyDescent="0.3">
      <c r="B21" s="1" t="s">
        <v>82</v>
      </c>
      <c r="C21" s="7"/>
      <c r="D21" s="7"/>
      <c r="E21" s="7"/>
      <c r="F21" s="7"/>
      <c r="G21" s="7"/>
      <c r="H21" s="7"/>
      <c r="I21" s="7"/>
      <c r="J21" s="7"/>
      <c r="K21" s="11">
        <v>24.8</v>
      </c>
      <c r="L21" s="11">
        <v>25</v>
      </c>
      <c r="M21" s="11">
        <v>23.5</v>
      </c>
      <c r="N21" s="11">
        <f t="shared" ref="N17:N21" si="5">AC21-M21-L21-K21</f>
        <v>26.7</v>
      </c>
      <c r="O21" s="11">
        <v>25.9</v>
      </c>
      <c r="P21" s="11">
        <v>27.3</v>
      </c>
      <c r="Q21" s="11">
        <v>23</v>
      </c>
      <c r="R21" s="11">
        <v>28.1</v>
      </c>
      <c r="S21" s="11"/>
      <c r="T21" s="11"/>
      <c r="U21" s="11"/>
      <c r="V21" s="11"/>
      <c r="AA21" s="11">
        <v>75.099999999999994</v>
      </c>
      <c r="AB21" s="11">
        <v>88.4</v>
      </c>
      <c r="AC21" s="11">
        <v>100</v>
      </c>
      <c r="AD21" s="6">
        <f t="shared" si="2"/>
        <v>104.30000000000001</v>
      </c>
      <c r="AE21" s="6">
        <f>AD21*1.03</f>
        <v>107.42900000000002</v>
      </c>
      <c r="AF21" s="6">
        <f t="shared" ref="AF21:AN21" si="6">AE21*1.03</f>
        <v>110.65187000000002</v>
      </c>
      <c r="AG21" s="6">
        <f t="shared" si="6"/>
        <v>113.97142610000002</v>
      </c>
      <c r="AH21" s="6">
        <f t="shared" si="6"/>
        <v>117.39056888300001</v>
      </c>
      <c r="AI21" s="6">
        <f t="shared" si="6"/>
        <v>120.91228594949001</v>
      </c>
      <c r="AJ21" s="6">
        <f t="shared" si="6"/>
        <v>124.53965452797472</v>
      </c>
      <c r="AK21" s="6">
        <f t="shared" si="6"/>
        <v>128.27584416381396</v>
      </c>
      <c r="AL21" s="6">
        <f t="shared" si="6"/>
        <v>132.12411948872838</v>
      </c>
      <c r="AM21" s="6">
        <f t="shared" si="6"/>
        <v>136.08784307339025</v>
      </c>
      <c r="AN21" s="6">
        <f t="shared" si="6"/>
        <v>140.17047836559195</v>
      </c>
    </row>
    <row r="22" spans="2:40" s="2" customFormat="1" x14ac:dyDescent="0.3">
      <c r="B22" s="2" t="s">
        <v>12</v>
      </c>
      <c r="C22" s="9">
        <v>1945.7</v>
      </c>
      <c r="D22" s="9">
        <v>2066</v>
      </c>
      <c r="E22" s="9">
        <v>2066.6999999999998</v>
      </c>
      <c r="F22" s="9">
        <f>AA22-E22-D22-C22</f>
        <v>2203.6000000000004</v>
      </c>
      <c r="G22" s="9">
        <v>2268.1</v>
      </c>
      <c r="H22" s="9">
        <v>2413.1</v>
      </c>
      <c r="I22" s="9">
        <v>2509.9</v>
      </c>
      <c r="J22" s="9">
        <f>AB22-I22-H22-G22</f>
        <v>2466.7999999999997</v>
      </c>
      <c r="K22" s="9">
        <f t="shared" ref="K22:Q22" si="7">K12+K17+K20+K21</f>
        <v>2543.8000000000002</v>
      </c>
      <c r="L22" s="9">
        <f t="shared" si="7"/>
        <v>2846.9</v>
      </c>
      <c r="M22" s="9">
        <f t="shared" si="7"/>
        <v>2741.4</v>
      </c>
      <c r="N22" s="9">
        <f t="shared" si="7"/>
        <v>2598.0999999999995</v>
      </c>
      <c r="O22" s="9">
        <f t="shared" si="7"/>
        <v>2312.8000000000002</v>
      </c>
      <c r="P22" s="9">
        <f t="shared" si="7"/>
        <v>2732.1</v>
      </c>
      <c r="Q22" s="9">
        <f t="shared" si="7"/>
        <v>2688.6</v>
      </c>
      <c r="R22" s="9">
        <f>R12+R17+R20+R21</f>
        <v>2688.7999999999997</v>
      </c>
      <c r="S22" s="9"/>
      <c r="T22" s="9"/>
      <c r="U22" s="9"/>
      <c r="V22" s="9"/>
      <c r="X22" s="9">
        <v>8382</v>
      </c>
      <c r="Y22" s="9">
        <v>6856.8</v>
      </c>
      <c r="Z22" s="9">
        <v>7737.3</v>
      </c>
      <c r="AA22" s="9">
        <f>SUM(AA12:AA21)</f>
        <v>8282</v>
      </c>
      <c r="AB22" s="9">
        <f>SUM(AB12:AB21)</f>
        <v>9657.9</v>
      </c>
      <c r="AC22" s="9">
        <f>SUM(AC12:AC21)</f>
        <v>10730.2</v>
      </c>
      <c r="AD22" s="9">
        <f>SUM(O22:R22)</f>
        <v>10422.299999999999</v>
      </c>
      <c r="AE22" s="9">
        <f>SUM(AE12:AE21)</f>
        <v>10887.904</v>
      </c>
      <c r="AF22" s="9">
        <f t="shared" ref="AF22:AN22" si="8">SUM(AF12:AF21)</f>
        <v>11408.164070000001</v>
      </c>
      <c r="AG22" s="9">
        <f t="shared" si="8"/>
        <v>11776.282642099999</v>
      </c>
      <c r="AH22" s="9">
        <f t="shared" si="8"/>
        <v>12085.149370642999</v>
      </c>
      <c r="AI22" s="9">
        <f t="shared" si="8"/>
        <v>12402.393666027889</v>
      </c>
      <c r="AJ22" s="9">
        <f t="shared" si="8"/>
        <v>12605.434272758854</v>
      </c>
      <c r="AK22" s="9">
        <f t="shared" si="8"/>
        <v>12812.109801415732</v>
      </c>
      <c r="AL22" s="9">
        <f t="shared" si="8"/>
        <v>13022.489417008672</v>
      </c>
      <c r="AM22" s="9">
        <f t="shared" si="8"/>
        <v>13236.643654277948</v>
      </c>
      <c r="AN22" s="9">
        <f t="shared" si="8"/>
        <v>13454.644445605798</v>
      </c>
    </row>
    <row r="23" spans="2:40" x14ac:dyDescent="0.3">
      <c r="B23" s="1" t="s">
        <v>24</v>
      </c>
      <c r="C23" s="6">
        <v>1741.9</v>
      </c>
      <c r="D23" s="6">
        <v>1819</v>
      </c>
      <c r="E23" s="6">
        <v>1778.1</v>
      </c>
      <c r="F23" s="6">
        <f>AA23-E23-D23-C23</f>
        <v>1888.6</v>
      </c>
      <c r="G23" s="6">
        <v>1934.3</v>
      </c>
      <c r="H23" s="6">
        <v>1988.6</v>
      </c>
      <c r="I23" s="6">
        <v>2041.8</v>
      </c>
      <c r="J23" s="6">
        <f>AB23-I23-H23-G23</f>
        <v>2012.4000000000003</v>
      </c>
      <c r="K23" s="6">
        <v>2073.8000000000002</v>
      </c>
      <c r="L23" s="6">
        <v>2300.8000000000002</v>
      </c>
      <c r="M23" s="6">
        <v>2235.4</v>
      </c>
      <c r="N23" s="6">
        <f>AC23-M23-L23-K23</f>
        <v>2150.7999999999993</v>
      </c>
      <c r="O23" s="6">
        <v>1912.9</v>
      </c>
      <c r="P23" s="6">
        <v>2207.6</v>
      </c>
      <c r="Q23" s="6">
        <v>2218.1</v>
      </c>
      <c r="R23" s="6">
        <v>2264.6999999999998</v>
      </c>
      <c r="S23" s="6"/>
      <c r="T23" s="6"/>
      <c r="U23" s="6"/>
      <c r="V23" s="6"/>
      <c r="X23" s="6">
        <v>6864.6</v>
      </c>
      <c r="Y23" s="6">
        <v>5736.5</v>
      </c>
      <c r="Z23" s="6">
        <v>6516.5</v>
      </c>
      <c r="AA23" s="6">
        <v>7227.6</v>
      </c>
      <c r="AB23" s="6">
        <v>7977.1</v>
      </c>
      <c r="AC23" s="6">
        <v>8760.7999999999993</v>
      </c>
      <c r="AD23" s="6">
        <f>SUM(O23:R23)</f>
        <v>8603.2999999999993</v>
      </c>
      <c r="AE23" s="6">
        <f>AE22-AE24</f>
        <v>8928.0812800000003</v>
      </c>
      <c r="AF23" s="6">
        <f t="shared" ref="AF23:AN23" si="9">AF22-AF24</f>
        <v>9354.6945374000006</v>
      </c>
      <c r="AG23" s="6">
        <f t="shared" si="9"/>
        <v>9656.5517665219995</v>
      </c>
      <c r="AH23" s="6">
        <f t="shared" si="9"/>
        <v>9909.8224839272589</v>
      </c>
      <c r="AI23" s="6">
        <f t="shared" si="9"/>
        <v>10169.962806142868</v>
      </c>
      <c r="AJ23" s="6">
        <f t="shared" si="9"/>
        <v>10336.45610366226</v>
      </c>
      <c r="AK23" s="6">
        <f t="shared" si="9"/>
        <v>10505.930037160901</v>
      </c>
      <c r="AL23" s="6">
        <f t="shared" si="9"/>
        <v>10678.441321947112</v>
      </c>
      <c r="AM23" s="6">
        <f t="shared" si="9"/>
        <v>10854.047796507917</v>
      </c>
      <c r="AN23" s="6">
        <f t="shared" si="9"/>
        <v>11032.808445396755</v>
      </c>
    </row>
    <row r="24" spans="2:40" s="2" customFormat="1" x14ac:dyDescent="0.3">
      <c r="B24" s="2" t="s">
        <v>25</v>
      </c>
      <c r="C24" s="9">
        <f t="shared" ref="C24:R24" si="10">C22-C23</f>
        <v>203.79999999999995</v>
      </c>
      <c r="D24" s="9">
        <f t="shared" si="10"/>
        <v>247</v>
      </c>
      <c r="E24" s="9">
        <f t="shared" si="10"/>
        <v>288.59999999999991</v>
      </c>
      <c r="F24" s="9">
        <f t="shared" si="10"/>
        <v>315.00000000000045</v>
      </c>
      <c r="G24" s="9">
        <f t="shared" si="10"/>
        <v>333.79999999999995</v>
      </c>
      <c r="H24" s="9">
        <f t="shared" si="10"/>
        <v>424.5</v>
      </c>
      <c r="I24" s="9">
        <f t="shared" si="10"/>
        <v>468.10000000000014</v>
      </c>
      <c r="J24" s="9">
        <f t="shared" si="10"/>
        <v>454.39999999999941</v>
      </c>
      <c r="K24" s="9">
        <f t="shared" si="10"/>
        <v>470</v>
      </c>
      <c r="L24" s="9">
        <f t="shared" si="10"/>
        <v>546.09999999999991</v>
      </c>
      <c r="M24" s="9">
        <f t="shared" si="10"/>
        <v>506</v>
      </c>
      <c r="N24" s="9">
        <f t="shared" si="10"/>
        <v>447.30000000000018</v>
      </c>
      <c r="O24" s="9">
        <f t="shared" si="10"/>
        <v>399.90000000000009</v>
      </c>
      <c r="P24" s="9">
        <f t="shared" si="10"/>
        <v>524.5</v>
      </c>
      <c r="Q24" s="9">
        <f t="shared" si="10"/>
        <v>470.5</v>
      </c>
      <c r="R24" s="9">
        <f t="shared" si="10"/>
        <v>424.09999999999991</v>
      </c>
      <c r="S24" s="9"/>
      <c r="T24" s="9"/>
      <c r="U24" s="9"/>
      <c r="V24" s="9"/>
      <c r="X24" s="9">
        <f t="shared" ref="X24:AD24" si="11">X22-X23</f>
        <v>1517.3999999999996</v>
      </c>
      <c r="Y24" s="9">
        <f t="shared" si="11"/>
        <v>1120.3000000000002</v>
      </c>
      <c r="Z24" s="9">
        <f t="shared" si="11"/>
        <v>1220.8000000000002</v>
      </c>
      <c r="AA24" s="9">
        <f t="shared" si="11"/>
        <v>1054.3999999999996</v>
      </c>
      <c r="AB24" s="9">
        <f t="shared" si="11"/>
        <v>1680.7999999999993</v>
      </c>
      <c r="AC24" s="9">
        <f t="shared" si="11"/>
        <v>1969.4000000000015</v>
      </c>
      <c r="AD24" s="9">
        <f t="shared" si="11"/>
        <v>1819</v>
      </c>
      <c r="AE24" s="9">
        <f>AE22*0.18</f>
        <v>1959.8227200000001</v>
      </c>
      <c r="AF24" s="9">
        <f t="shared" ref="AF24:AN24" si="12">AF22*0.18</f>
        <v>2053.4695326000001</v>
      </c>
      <c r="AG24" s="9">
        <f t="shared" si="12"/>
        <v>2119.7308755779995</v>
      </c>
      <c r="AH24" s="9">
        <f t="shared" si="12"/>
        <v>2175.3268867157399</v>
      </c>
      <c r="AI24" s="9">
        <f t="shared" si="12"/>
        <v>2232.4308598850198</v>
      </c>
      <c r="AJ24" s="9">
        <f t="shared" si="12"/>
        <v>2268.9781690965938</v>
      </c>
      <c r="AK24" s="9">
        <f t="shared" si="12"/>
        <v>2306.1797642548318</v>
      </c>
      <c r="AL24" s="9">
        <f t="shared" si="12"/>
        <v>2344.0480950615606</v>
      </c>
      <c r="AM24" s="9">
        <f t="shared" si="12"/>
        <v>2382.5958577700308</v>
      </c>
      <c r="AN24" s="9">
        <f t="shared" si="12"/>
        <v>2421.8360002090435</v>
      </c>
    </row>
    <row r="25" spans="2:40" x14ac:dyDescent="0.3">
      <c r="B25" s="1" t="s">
        <v>26</v>
      </c>
      <c r="C25" s="6">
        <v>169.2</v>
      </c>
      <c r="D25" s="6">
        <v>167.9</v>
      </c>
      <c r="E25" s="6">
        <v>166.3</v>
      </c>
      <c r="F25" s="6">
        <f t="shared" ref="F25:F27" si="13">AA25-E25-D25-C25</f>
        <v>159.39999999999992</v>
      </c>
      <c r="G25" s="6">
        <v>199.1</v>
      </c>
      <c r="H25" s="6">
        <v>185.4</v>
      </c>
      <c r="I25" s="6">
        <v>201.6</v>
      </c>
      <c r="J25" s="6">
        <f t="shared" ref="J25:J27" si="14">AB25-I25-H25-G25</f>
        <v>224.29999999999998</v>
      </c>
      <c r="K25" s="6">
        <v>196.8</v>
      </c>
      <c r="L25" s="6">
        <v>220</v>
      </c>
      <c r="M25" s="6">
        <v>226.4</v>
      </c>
      <c r="N25" s="6">
        <f t="shared" ref="N25:N27" si="15">AC25-M25-L25-K25</f>
        <v>209.2</v>
      </c>
      <c r="O25" s="6">
        <v>211</v>
      </c>
      <c r="P25" s="6">
        <v>213.3</v>
      </c>
      <c r="Q25" s="6">
        <v>196.2</v>
      </c>
      <c r="R25" s="6">
        <v>198.2</v>
      </c>
      <c r="S25" s="6"/>
      <c r="T25" s="6"/>
      <c r="U25" s="6"/>
      <c r="V25" s="6"/>
      <c r="X25" s="6">
        <v>683.5</v>
      </c>
      <c r="Y25" s="6">
        <v>620.6</v>
      </c>
      <c r="Z25" s="6">
        <v>666.5</v>
      </c>
      <c r="AA25" s="6">
        <v>662.8</v>
      </c>
      <c r="AB25" s="6">
        <v>810.4</v>
      </c>
      <c r="AC25" s="6">
        <v>852.4</v>
      </c>
      <c r="AD25" s="6">
        <f t="shared" ref="AD25:AD27" si="16">SUM(O25:R25)</f>
        <v>818.7</v>
      </c>
      <c r="AE25" s="6">
        <f>AD25*1.03</f>
        <v>843.26100000000008</v>
      </c>
      <c r="AF25" s="6">
        <f t="shared" ref="AF25" si="17">AE25*1.03</f>
        <v>868.55883000000006</v>
      </c>
      <c r="AG25" s="6">
        <f>AF25*1.02</f>
        <v>885.93000660000007</v>
      </c>
      <c r="AH25" s="6">
        <f>AG25*1.02</f>
        <v>903.64860673200008</v>
      </c>
      <c r="AI25" s="6">
        <f>AH25*1.02</f>
        <v>921.72157886664013</v>
      </c>
      <c r="AJ25" s="6">
        <f>AI25*1.01</f>
        <v>930.93879465530654</v>
      </c>
      <c r="AK25" s="6">
        <f t="shared" ref="AK25:AN25" si="18">AJ25*1.01</f>
        <v>940.24818260185964</v>
      </c>
      <c r="AL25" s="6">
        <f t="shared" si="18"/>
        <v>949.65066442787827</v>
      </c>
      <c r="AM25" s="6">
        <f t="shared" si="18"/>
        <v>959.14717107215711</v>
      </c>
      <c r="AN25" s="6">
        <f t="shared" si="18"/>
        <v>968.73864278287874</v>
      </c>
    </row>
    <row r="26" spans="2:40" x14ac:dyDescent="0.3">
      <c r="B26" s="1" t="s">
        <v>27</v>
      </c>
      <c r="C26" s="6">
        <v>2.8</v>
      </c>
      <c r="D26" s="6">
        <v>2.8</v>
      </c>
      <c r="E26" s="6">
        <v>3</v>
      </c>
      <c r="F26" s="6">
        <f t="shared" si="13"/>
        <v>3</v>
      </c>
      <c r="G26" s="6">
        <v>3.9</v>
      </c>
      <c r="H26" s="6">
        <v>4.2</v>
      </c>
      <c r="I26" s="6">
        <v>10</v>
      </c>
      <c r="J26" s="6">
        <f t="shared" si="14"/>
        <v>14.699999999999998</v>
      </c>
      <c r="K26" s="6">
        <v>13.5</v>
      </c>
      <c r="L26" s="6">
        <v>13.6</v>
      </c>
      <c r="M26" s="6">
        <v>13.4</v>
      </c>
      <c r="N26" s="6">
        <f t="shared" si="15"/>
        <v>14.200000000000003</v>
      </c>
      <c r="O26" s="6">
        <v>13.6</v>
      </c>
      <c r="P26" s="6">
        <v>13.8</v>
      </c>
      <c r="Q26" s="6">
        <v>13.9</v>
      </c>
      <c r="R26" s="6">
        <v>13.9</v>
      </c>
      <c r="S26" s="6"/>
      <c r="T26" s="6"/>
      <c r="U26" s="6"/>
      <c r="V26" s="6"/>
      <c r="X26" s="6">
        <v>36.9</v>
      </c>
      <c r="Y26" s="6">
        <v>11</v>
      </c>
      <c r="Z26" s="6">
        <v>9.6</v>
      </c>
      <c r="AA26" s="6">
        <v>11.6</v>
      </c>
      <c r="AB26" s="6">
        <v>32.799999999999997</v>
      </c>
      <c r="AC26" s="6">
        <v>54.7</v>
      </c>
      <c r="AD26" s="6">
        <f t="shared" si="16"/>
        <v>55.199999999999996</v>
      </c>
      <c r="AE26" s="6">
        <f>AD26*1.03</f>
        <v>56.855999999999995</v>
      </c>
      <c r="AF26" s="6">
        <f t="shared" ref="AF26:AN26" si="19">AE26*1.03</f>
        <v>58.561679999999996</v>
      </c>
      <c r="AG26" s="6">
        <f t="shared" si="19"/>
        <v>60.3185304</v>
      </c>
      <c r="AH26" s="6">
        <f t="shared" si="19"/>
        <v>62.128086312000001</v>
      </c>
      <c r="AI26" s="6">
        <f t="shared" si="19"/>
        <v>63.991928901360005</v>
      </c>
      <c r="AJ26" s="6">
        <f t="shared" si="19"/>
        <v>65.911686768400813</v>
      </c>
      <c r="AK26" s="6">
        <f t="shared" si="19"/>
        <v>67.889037371452844</v>
      </c>
      <c r="AL26" s="6">
        <f t="shared" si="19"/>
        <v>69.925708492596428</v>
      </c>
      <c r="AM26" s="6">
        <f t="shared" si="19"/>
        <v>72.023479747374324</v>
      </c>
      <c r="AN26" s="6">
        <f t="shared" si="19"/>
        <v>74.184184139795562</v>
      </c>
    </row>
    <row r="27" spans="2:40" x14ac:dyDescent="0.3">
      <c r="B27" s="1" t="s">
        <v>28</v>
      </c>
      <c r="C27" s="6">
        <v>0</v>
      </c>
      <c r="D27" s="6">
        <v>0</v>
      </c>
      <c r="E27" s="6">
        <v>2.1</v>
      </c>
      <c r="F27" s="6">
        <f t="shared" si="13"/>
        <v>5.6</v>
      </c>
      <c r="G27" s="6">
        <v>0</v>
      </c>
      <c r="H27" s="6">
        <v>0</v>
      </c>
      <c r="I27" s="6">
        <v>0</v>
      </c>
      <c r="J27" s="6">
        <f t="shared" si="14"/>
        <v>0</v>
      </c>
      <c r="K27" s="6">
        <v>0</v>
      </c>
      <c r="L27" s="6">
        <v>51.6</v>
      </c>
      <c r="M27" s="6">
        <v>0</v>
      </c>
      <c r="N27" s="6">
        <f t="shared" si="15"/>
        <v>0</v>
      </c>
      <c r="O27" s="6">
        <v>0</v>
      </c>
      <c r="P27" s="6">
        <v>5.7</v>
      </c>
      <c r="Q27" s="6">
        <v>0</v>
      </c>
      <c r="R27" s="6">
        <v>0</v>
      </c>
      <c r="S27" s="6"/>
      <c r="T27" s="6"/>
      <c r="U27" s="6"/>
      <c r="V27" s="6"/>
      <c r="X27" s="6">
        <v>0</v>
      </c>
      <c r="Y27" s="6">
        <v>0</v>
      </c>
      <c r="Z27" s="6">
        <v>0</v>
      </c>
      <c r="AA27" s="6">
        <v>7.7</v>
      </c>
      <c r="AB27" s="6">
        <v>0</v>
      </c>
      <c r="AC27" s="6">
        <v>51.6</v>
      </c>
      <c r="AD27" s="6">
        <f t="shared" si="16"/>
        <v>5.7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  <c r="AN27" s="6">
        <v>0</v>
      </c>
    </row>
    <row r="28" spans="2:40" x14ac:dyDescent="0.3">
      <c r="B28" s="1" t="s">
        <v>29</v>
      </c>
      <c r="C28" s="6">
        <f t="shared" ref="C28:R28" si="20">SUM(C25:C27)</f>
        <v>172</v>
      </c>
      <c r="D28" s="6">
        <f t="shared" si="20"/>
        <v>170.70000000000002</v>
      </c>
      <c r="E28" s="6">
        <f t="shared" si="20"/>
        <v>171.4</v>
      </c>
      <c r="F28" s="6">
        <f t="shared" si="20"/>
        <v>167.99999999999991</v>
      </c>
      <c r="G28" s="6">
        <f t="shared" si="20"/>
        <v>203</v>
      </c>
      <c r="H28" s="6">
        <f t="shared" si="20"/>
        <v>189.6</v>
      </c>
      <c r="I28" s="6">
        <f t="shared" si="20"/>
        <v>211.6</v>
      </c>
      <c r="J28" s="6">
        <f t="shared" si="20"/>
        <v>238.99999999999997</v>
      </c>
      <c r="K28" s="6">
        <f t="shared" si="20"/>
        <v>210.3</v>
      </c>
      <c r="L28" s="6">
        <f t="shared" si="20"/>
        <v>285.2</v>
      </c>
      <c r="M28" s="6">
        <f t="shared" si="20"/>
        <v>239.8</v>
      </c>
      <c r="N28" s="6">
        <f t="shared" si="20"/>
        <v>223.39999999999998</v>
      </c>
      <c r="O28" s="6">
        <f t="shared" si="20"/>
        <v>224.6</v>
      </c>
      <c r="P28" s="6">
        <f t="shared" si="20"/>
        <v>232.8</v>
      </c>
      <c r="Q28" s="6">
        <f t="shared" si="20"/>
        <v>210.1</v>
      </c>
      <c r="R28" s="6">
        <f t="shared" si="20"/>
        <v>212.1</v>
      </c>
      <c r="S28" s="6"/>
      <c r="T28" s="6"/>
      <c r="U28" s="6"/>
      <c r="V28" s="6"/>
      <c r="X28" s="6">
        <f t="shared" ref="X28:AE28" si="21">SUM(X25:X27)</f>
        <v>720.4</v>
      </c>
      <c r="Y28" s="6">
        <f t="shared" si="21"/>
        <v>631.6</v>
      </c>
      <c r="Z28" s="6">
        <f t="shared" si="21"/>
        <v>676.1</v>
      </c>
      <c r="AA28" s="6">
        <f t="shared" si="21"/>
        <v>682.1</v>
      </c>
      <c r="AB28" s="6">
        <f t="shared" si="21"/>
        <v>843.19999999999993</v>
      </c>
      <c r="AC28" s="6">
        <f t="shared" si="21"/>
        <v>958.7</v>
      </c>
      <c r="AD28" s="6">
        <f t="shared" si="21"/>
        <v>879.60000000000014</v>
      </c>
      <c r="AE28" s="6">
        <f t="shared" si="21"/>
        <v>900.11700000000008</v>
      </c>
      <c r="AF28" s="6">
        <f t="shared" ref="AF28:AN28" si="22">SUM(AF25:AF27)</f>
        <v>927.12051000000008</v>
      </c>
      <c r="AG28" s="6">
        <f t="shared" si="22"/>
        <v>946.24853700000006</v>
      </c>
      <c r="AH28" s="6">
        <f t="shared" si="22"/>
        <v>965.77669304400013</v>
      </c>
      <c r="AI28" s="6">
        <f t="shared" si="22"/>
        <v>985.71350776800011</v>
      </c>
      <c r="AJ28" s="6">
        <f t="shared" si="22"/>
        <v>996.85048142370738</v>
      </c>
      <c r="AK28" s="6">
        <f t="shared" si="22"/>
        <v>1008.1372199733125</v>
      </c>
      <c r="AL28" s="6">
        <f t="shared" si="22"/>
        <v>1019.5763729204747</v>
      </c>
      <c r="AM28" s="6">
        <f t="shared" si="22"/>
        <v>1031.1706508195314</v>
      </c>
      <c r="AN28" s="6">
        <f t="shared" si="22"/>
        <v>1042.9228269226744</v>
      </c>
    </row>
    <row r="29" spans="2:40" s="2" customFormat="1" x14ac:dyDescent="0.3">
      <c r="B29" s="2" t="s">
        <v>30</v>
      </c>
      <c r="C29" s="9">
        <f t="shared" ref="C29:R29" si="23">C24-C28</f>
        <v>31.799999999999955</v>
      </c>
      <c r="D29" s="9">
        <f t="shared" si="23"/>
        <v>76.299999999999983</v>
      </c>
      <c r="E29" s="9">
        <f t="shared" si="23"/>
        <v>117.1999999999999</v>
      </c>
      <c r="F29" s="9">
        <f t="shared" si="23"/>
        <v>147.00000000000054</v>
      </c>
      <c r="G29" s="9">
        <f t="shared" si="23"/>
        <v>130.79999999999995</v>
      </c>
      <c r="H29" s="9">
        <f t="shared" si="23"/>
        <v>234.9</v>
      </c>
      <c r="I29" s="9">
        <f t="shared" si="23"/>
        <v>256.50000000000011</v>
      </c>
      <c r="J29" s="9">
        <f t="shared" si="23"/>
        <v>215.39999999999944</v>
      </c>
      <c r="K29" s="9">
        <f t="shared" si="23"/>
        <v>259.7</v>
      </c>
      <c r="L29" s="9">
        <f t="shared" si="23"/>
        <v>260.89999999999992</v>
      </c>
      <c r="M29" s="9">
        <f t="shared" si="23"/>
        <v>266.2</v>
      </c>
      <c r="N29" s="9">
        <f t="shared" si="23"/>
        <v>223.9000000000002</v>
      </c>
      <c r="O29" s="9">
        <f t="shared" si="23"/>
        <v>175.3000000000001</v>
      </c>
      <c r="P29" s="9">
        <f t="shared" si="23"/>
        <v>291.7</v>
      </c>
      <c r="Q29" s="9">
        <f t="shared" si="23"/>
        <v>260.39999999999998</v>
      </c>
      <c r="R29" s="9">
        <f t="shared" si="23"/>
        <v>211.99999999999991</v>
      </c>
      <c r="S29" s="9"/>
      <c r="T29" s="9"/>
      <c r="U29" s="9"/>
      <c r="V29" s="9"/>
      <c r="X29" s="9">
        <f t="shared" ref="X29:AE29" si="24">X24-X28</f>
        <v>796.99999999999966</v>
      </c>
      <c r="Y29" s="9">
        <f t="shared" si="24"/>
        <v>488.70000000000016</v>
      </c>
      <c r="Z29" s="9">
        <f t="shared" si="24"/>
        <v>544.70000000000016</v>
      </c>
      <c r="AA29" s="9">
        <f t="shared" si="24"/>
        <v>372.29999999999961</v>
      </c>
      <c r="AB29" s="9">
        <f t="shared" si="24"/>
        <v>837.59999999999934</v>
      </c>
      <c r="AC29" s="9">
        <f t="shared" si="24"/>
        <v>1010.7000000000014</v>
      </c>
      <c r="AD29" s="9">
        <f t="shared" si="24"/>
        <v>939.39999999999986</v>
      </c>
      <c r="AE29" s="9">
        <f t="shared" si="24"/>
        <v>1059.7057199999999</v>
      </c>
      <c r="AF29" s="9">
        <f t="shared" ref="AF29:AN29" si="25">AF24-AF28</f>
        <v>1126.3490225999999</v>
      </c>
      <c r="AG29" s="9">
        <f t="shared" si="25"/>
        <v>1173.4823385779996</v>
      </c>
      <c r="AH29" s="9">
        <f t="shared" si="25"/>
        <v>1209.5501936717396</v>
      </c>
      <c r="AI29" s="9">
        <f t="shared" si="25"/>
        <v>1246.7173521170198</v>
      </c>
      <c r="AJ29" s="9">
        <f t="shared" si="25"/>
        <v>1272.1276876728864</v>
      </c>
      <c r="AK29" s="9">
        <f t="shared" si="25"/>
        <v>1298.0425442815192</v>
      </c>
      <c r="AL29" s="9">
        <f t="shared" si="25"/>
        <v>1324.471722141086</v>
      </c>
      <c r="AM29" s="9">
        <f t="shared" si="25"/>
        <v>1351.4252069504994</v>
      </c>
      <c r="AN29" s="9">
        <f t="shared" si="25"/>
        <v>1378.9131732863691</v>
      </c>
    </row>
    <row r="30" spans="2:40" x14ac:dyDescent="0.3">
      <c r="B30" s="1" t="s">
        <v>31</v>
      </c>
      <c r="C30" s="6">
        <v>12.6</v>
      </c>
      <c r="D30" s="6">
        <v>13.2</v>
      </c>
      <c r="E30" s="6">
        <v>13.4</v>
      </c>
      <c r="F30" s="6">
        <f t="shared" ref="F30:F32" si="26">AA30-E30-D30-C30</f>
        <v>14.200000000000001</v>
      </c>
      <c r="G30" s="6">
        <v>13.4</v>
      </c>
      <c r="H30" s="6">
        <v>13.3</v>
      </c>
      <c r="I30" s="6">
        <v>19.600000000000001</v>
      </c>
      <c r="J30" s="6">
        <f t="shared" ref="J30:J32" si="27">AB30-I30-H30-G30</f>
        <v>22.29999999999999</v>
      </c>
      <c r="K30" s="6">
        <v>22.4</v>
      </c>
      <c r="L30" s="6">
        <v>32</v>
      </c>
      <c r="M30" s="6">
        <v>33.6</v>
      </c>
      <c r="N30" s="6">
        <f t="shared" ref="N30:N32" si="28">AC30-M30-L30-K30</f>
        <v>31.500000000000007</v>
      </c>
      <c r="O30" s="6">
        <v>27</v>
      </c>
      <c r="P30" s="6">
        <v>30.1</v>
      </c>
      <c r="Q30" s="6">
        <v>30.6</v>
      </c>
      <c r="R30" s="6">
        <v>29.9</v>
      </c>
      <c r="S30" s="6"/>
      <c r="T30" s="6"/>
      <c r="U30" s="6"/>
      <c r="V30" s="6"/>
      <c r="X30" s="6">
        <v>54.4</v>
      </c>
      <c r="Y30" s="6">
        <v>59.3</v>
      </c>
      <c r="Z30" s="6">
        <v>48.2</v>
      </c>
      <c r="AA30" s="6">
        <v>53.4</v>
      </c>
      <c r="AB30" s="6">
        <v>68.599999999999994</v>
      </c>
      <c r="AC30" s="6">
        <v>119.5</v>
      </c>
      <c r="AD30" s="6">
        <f t="shared" ref="AD30:AD32" si="29">SUM(O30:R30)</f>
        <v>117.6</v>
      </c>
      <c r="AE30" s="6">
        <f>AD30*1.02</f>
        <v>119.952</v>
      </c>
      <c r="AF30" s="6">
        <f t="shared" ref="AF30:AN30" si="30">AE30*1.02</f>
        <v>122.35104</v>
      </c>
      <c r="AG30" s="6">
        <f t="shared" si="30"/>
        <v>124.7980608</v>
      </c>
      <c r="AH30" s="6">
        <f t="shared" si="30"/>
        <v>127.294022016</v>
      </c>
      <c r="AI30" s="6">
        <f t="shared" si="30"/>
        <v>129.83990245632</v>
      </c>
      <c r="AJ30" s="6">
        <f t="shared" si="30"/>
        <v>132.4367005054464</v>
      </c>
      <c r="AK30" s="6">
        <f t="shared" si="30"/>
        <v>135.08543451555533</v>
      </c>
      <c r="AL30" s="6">
        <f t="shared" si="30"/>
        <v>137.78714320586644</v>
      </c>
      <c r="AM30" s="6">
        <f t="shared" si="30"/>
        <v>140.54288606998378</v>
      </c>
      <c r="AN30" s="6">
        <f t="shared" si="30"/>
        <v>143.35374379138347</v>
      </c>
    </row>
    <row r="31" spans="2:40" x14ac:dyDescent="0.3">
      <c r="B31" s="1" t="s">
        <v>32</v>
      </c>
      <c r="C31" s="6">
        <v>-1</v>
      </c>
      <c r="D31" s="6">
        <v>-1.3</v>
      </c>
      <c r="E31" s="6">
        <v>-2.5</v>
      </c>
      <c r="F31" s="6">
        <f t="shared" si="26"/>
        <v>-4.7</v>
      </c>
      <c r="G31" s="6">
        <v>-6.2</v>
      </c>
      <c r="H31" s="6">
        <v>-5.2</v>
      </c>
      <c r="I31" s="6">
        <v>-1.9</v>
      </c>
      <c r="J31" s="6">
        <f t="shared" si="27"/>
        <v>-1.5</v>
      </c>
      <c r="K31" s="6">
        <v>-1.6</v>
      </c>
      <c r="L31" s="6">
        <v>-1.7</v>
      </c>
      <c r="M31" s="6">
        <v>-1.9</v>
      </c>
      <c r="N31" s="6">
        <f t="shared" si="28"/>
        <v>-2.399999999999999</v>
      </c>
      <c r="O31" s="6">
        <v>-2</v>
      </c>
      <c r="P31" s="6">
        <v>-2</v>
      </c>
      <c r="Q31" s="6">
        <v>-2.5</v>
      </c>
      <c r="R31" s="6">
        <v>-2.2000000000000002</v>
      </c>
      <c r="S31" s="6"/>
      <c r="T31" s="6"/>
      <c r="U31" s="6"/>
      <c r="V31" s="6"/>
      <c r="X31" s="6">
        <v>-6.8</v>
      </c>
      <c r="Y31" s="6">
        <v>-7.5</v>
      </c>
      <c r="Z31" s="6">
        <v>-3.5</v>
      </c>
      <c r="AA31" s="6">
        <v>-9.5</v>
      </c>
      <c r="AB31" s="6">
        <v>-14.8</v>
      </c>
      <c r="AC31" s="6">
        <v>-7.6</v>
      </c>
      <c r="AD31" s="6">
        <f t="shared" si="29"/>
        <v>-8.6999999999999993</v>
      </c>
      <c r="AE31" s="6">
        <f>AD31*1.02</f>
        <v>-8.8739999999999988</v>
      </c>
      <c r="AF31" s="6">
        <f t="shared" ref="AF31:AN31" si="31">AE31*1.02</f>
        <v>-9.0514799999999997</v>
      </c>
      <c r="AG31" s="6">
        <f t="shared" si="31"/>
        <v>-9.2325096000000002</v>
      </c>
      <c r="AH31" s="6">
        <f t="shared" si="31"/>
        <v>-9.4171597919999996</v>
      </c>
      <c r="AI31" s="6">
        <f t="shared" si="31"/>
        <v>-9.6055029878399996</v>
      </c>
      <c r="AJ31" s="6">
        <f t="shared" si="31"/>
        <v>-9.7976130475967995</v>
      </c>
      <c r="AK31" s="6">
        <f t="shared" si="31"/>
        <v>-9.9935653085487353</v>
      </c>
      <c r="AL31" s="6">
        <f t="shared" si="31"/>
        <v>-10.19343661471971</v>
      </c>
      <c r="AM31" s="6">
        <f t="shared" si="31"/>
        <v>-10.397305347014104</v>
      </c>
      <c r="AN31" s="6">
        <f t="shared" si="31"/>
        <v>-10.605251453954386</v>
      </c>
    </row>
    <row r="32" spans="2:40" x14ac:dyDescent="0.3">
      <c r="B32" s="1" t="s">
        <v>33</v>
      </c>
      <c r="C32" s="6">
        <v>-1.1000000000000001</v>
      </c>
      <c r="D32" s="6">
        <v>15.1</v>
      </c>
      <c r="E32" s="6">
        <v>6.8</v>
      </c>
      <c r="F32" s="6">
        <f t="shared" si="26"/>
        <v>32</v>
      </c>
      <c r="G32" s="6">
        <v>-5.8</v>
      </c>
      <c r="H32" s="6">
        <v>-4.8</v>
      </c>
      <c r="I32" s="6">
        <v>-2.6</v>
      </c>
      <c r="J32" s="6">
        <f t="shared" si="27"/>
        <v>-0.60000000000000142</v>
      </c>
      <c r="K32" s="6">
        <v>2</v>
      </c>
      <c r="L32" s="6">
        <v>1.5</v>
      </c>
      <c r="M32" s="6">
        <v>-3.6</v>
      </c>
      <c r="N32" s="6">
        <f t="shared" si="28"/>
        <v>-4.0999999999999996</v>
      </c>
      <c r="O32" s="6">
        <v>-0.5</v>
      </c>
      <c r="P32" s="6">
        <v>-7.3</v>
      </c>
      <c r="Q32" s="6">
        <v>-6.1</v>
      </c>
      <c r="R32" s="6">
        <v>2.5</v>
      </c>
      <c r="S32" s="6"/>
      <c r="T32" s="6"/>
      <c r="U32" s="6"/>
      <c r="V32" s="6"/>
      <c r="X32" s="6">
        <v>-1.3</v>
      </c>
      <c r="Y32" s="6">
        <v>-2.2000000000000002</v>
      </c>
      <c r="Z32" s="6">
        <v>2.1</v>
      </c>
      <c r="AA32" s="6">
        <v>52.8</v>
      </c>
      <c r="AB32" s="6">
        <v>-13.8</v>
      </c>
      <c r="AC32" s="6">
        <v>-4.2</v>
      </c>
      <c r="AD32" s="6">
        <f t="shared" si="29"/>
        <v>-11.399999999999999</v>
      </c>
      <c r="AE32" s="6">
        <v>0</v>
      </c>
      <c r="AF32" s="6">
        <v>0</v>
      </c>
      <c r="AG32" s="6">
        <v>0</v>
      </c>
      <c r="AH32" s="6">
        <v>0</v>
      </c>
      <c r="AI32" s="6">
        <v>0</v>
      </c>
      <c r="AJ32" s="6">
        <v>0</v>
      </c>
      <c r="AK32" s="6">
        <v>0</v>
      </c>
      <c r="AL32" s="6">
        <v>0</v>
      </c>
      <c r="AM32" s="6">
        <v>0</v>
      </c>
      <c r="AN32" s="6">
        <v>0</v>
      </c>
    </row>
    <row r="33" spans="2:148" x14ac:dyDescent="0.3">
      <c r="B33" s="1" t="s">
        <v>34</v>
      </c>
      <c r="C33" s="6">
        <f t="shared" ref="C33:R33" si="32">SUM(C30:C32)</f>
        <v>10.5</v>
      </c>
      <c r="D33" s="6">
        <f t="shared" si="32"/>
        <v>27</v>
      </c>
      <c r="E33" s="6">
        <f t="shared" si="32"/>
        <v>17.7</v>
      </c>
      <c r="F33" s="6">
        <f t="shared" si="32"/>
        <v>41.5</v>
      </c>
      <c r="G33" s="6">
        <f t="shared" si="32"/>
        <v>1.4000000000000004</v>
      </c>
      <c r="H33" s="6">
        <f t="shared" si="32"/>
        <v>3.3000000000000016</v>
      </c>
      <c r="I33" s="6">
        <f t="shared" si="32"/>
        <v>15.100000000000003</v>
      </c>
      <c r="J33" s="6">
        <f t="shared" si="32"/>
        <v>20.199999999999989</v>
      </c>
      <c r="K33" s="6">
        <f t="shared" si="32"/>
        <v>22.799999999999997</v>
      </c>
      <c r="L33" s="6">
        <f t="shared" si="32"/>
        <v>31.8</v>
      </c>
      <c r="M33" s="6">
        <f t="shared" si="32"/>
        <v>28.1</v>
      </c>
      <c r="N33" s="6">
        <f t="shared" si="32"/>
        <v>25.000000000000007</v>
      </c>
      <c r="O33" s="6">
        <f t="shared" si="32"/>
        <v>24.5</v>
      </c>
      <c r="P33" s="6">
        <f t="shared" si="32"/>
        <v>20.8</v>
      </c>
      <c r="Q33" s="6">
        <f t="shared" si="32"/>
        <v>22</v>
      </c>
      <c r="R33" s="6">
        <f t="shared" si="32"/>
        <v>30.2</v>
      </c>
      <c r="S33" s="6"/>
      <c r="T33" s="6"/>
      <c r="U33" s="6"/>
      <c r="V33" s="6"/>
      <c r="X33" s="6">
        <f t="shared" ref="X33:AE33" si="33">SUM(X30:X32)</f>
        <v>46.300000000000004</v>
      </c>
      <c r="Y33" s="6">
        <f t="shared" si="33"/>
        <v>49.599999999999994</v>
      </c>
      <c r="Z33" s="6">
        <f t="shared" si="33"/>
        <v>46.800000000000004</v>
      </c>
      <c r="AA33" s="6">
        <f t="shared" si="33"/>
        <v>96.699999999999989</v>
      </c>
      <c r="AB33" s="6">
        <f t="shared" si="33"/>
        <v>40</v>
      </c>
      <c r="AC33" s="6">
        <f t="shared" si="33"/>
        <v>107.7</v>
      </c>
      <c r="AD33" s="6">
        <f t="shared" si="33"/>
        <v>97.5</v>
      </c>
      <c r="AE33" s="6">
        <f t="shared" si="33"/>
        <v>111.078</v>
      </c>
      <c r="AF33" s="6">
        <f t="shared" ref="AF33:AN33" si="34">SUM(AF30:AF32)</f>
        <v>113.29956</v>
      </c>
      <c r="AG33" s="6">
        <f t="shared" si="34"/>
        <v>115.5655512</v>
      </c>
      <c r="AH33" s="6">
        <f t="shared" si="34"/>
        <v>117.87686222400001</v>
      </c>
      <c r="AI33" s="6">
        <f t="shared" si="34"/>
        <v>120.23439946848001</v>
      </c>
      <c r="AJ33" s="6">
        <f t="shared" si="34"/>
        <v>122.6390874578496</v>
      </c>
      <c r="AK33" s="6">
        <f t="shared" si="34"/>
        <v>125.0918692070066</v>
      </c>
      <c r="AL33" s="6">
        <f t="shared" si="34"/>
        <v>127.59370659114673</v>
      </c>
      <c r="AM33" s="6">
        <f t="shared" si="34"/>
        <v>130.14558072296967</v>
      </c>
      <c r="AN33" s="6">
        <f t="shared" si="34"/>
        <v>132.74849233742907</v>
      </c>
    </row>
    <row r="34" spans="2:148" s="2" customFormat="1" x14ac:dyDescent="0.3">
      <c r="B34" s="2" t="s">
        <v>35</v>
      </c>
      <c r="C34" s="9">
        <f t="shared" ref="C34:R34" si="35">C29-C33</f>
        <v>21.299999999999955</v>
      </c>
      <c r="D34" s="9">
        <f t="shared" si="35"/>
        <v>49.299999999999983</v>
      </c>
      <c r="E34" s="9">
        <f t="shared" si="35"/>
        <v>99.499999999999901</v>
      </c>
      <c r="F34" s="9">
        <f t="shared" si="35"/>
        <v>105.50000000000054</v>
      </c>
      <c r="G34" s="9">
        <f t="shared" si="35"/>
        <v>129.39999999999995</v>
      </c>
      <c r="H34" s="9">
        <f t="shared" si="35"/>
        <v>231.6</v>
      </c>
      <c r="I34" s="9">
        <f t="shared" si="35"/>
        <v>241.40000000000012</v>
      </c>
      <c r="J34" s="9">
        <f t="shared" si="35"/>
        <v>195.19999999999945</v>
      </c>
      <c r="K34" s="9">
        <f t="shared" si="35"/>
        <v>236.89999999999998</v>
      </c>
      <c r="L34" s="9">
        <f t="shared" si="35"/>
        <v>229.09999999999991</v>
      </c>
      <c r="M34" s="9">
        <f t="shared" si="35"/>
        <v>238.1</v>
      </c>
      <c r="N34" s="9">
        <f t="shared" si="35"/>
        <v>198.9000000000002</v>
      </c>
      <c r="O34" s="9">
        <f t="shared" si="35"/>
        <v>150.8000000000001</v>
      </c>
      <c r="P34" s="9">
        <f t="shared" si="35"/>
        <v>270.89999999999998</v>
      </c>
      <c r="Q34" s="9">
        <f t="shared" si="35"/>
        <v>238.39999999999998</v>
      </c>
      <c r="R34" s="9">
        <f t="shared" si="35"/>
        <v>181.79999999999993</v>
      </c>
      <c r="S34" s="9"/>
      <c r="T34" s="9"/>
      <c r="U34" s="9"/>
      <c r="V34" s="9"/>
      <c r="X34" s="9">
        <f t="shared" ref="X34:AE34" si="36">X29-X33</f>
        <v>750.6999999999997</v>
      </c>
      <c r="Y34" s="9">
        <f t="shared" si="36"/>
        <v>439.10000000000014</v>
      </c>
      <c r="Z34" s="9">
        <f t="shared" si="36"/>
        <v>497.90000000000015</v>
      </c>
      <c r="AA34" s="9">
        <f t="shared" si="36"/>
        <v>275.59999999999962</v>
      </c>
      <c r="AB34" s="9">
        <f t="shared" si="36"/>
        <v>797.59999999999934</v>
      </c>
      <c r="AC34" s="9">
        <f t="shared" si="36"/>
        <v>903.00000000000136</v>
      </c>
      <c r="AD34" s="9">
        <f t="shared" si="36"/>
        <v>841.89999999999986</v>
      </c>
      <c r="AE34" s="9">
        <f t="shared" si="36"/>
        <v>948.62771999999995</v>
      </c>
      <c r="AF34" s="9">
        <f t="shared" ref="AF34:AN34" si="37">AF29-AF33</f>
        <v>1013.0494625999999</v>
      </c>
      <c r="AG34" s="9">
        <f t="shared" si="37"/>
        <v>1057.9167873779995</v>
      </c>
      <c r="AH34" s="9">
        <f t="shared" si="37"/>
        <v>1091.6733314477397</v>
      </c>
      <c r="AI34" s="9">
        <f t="shared" si="37"/>
        <v>1126.4829526485398</v>
      </c>
      <c r="AJ34" s="9">
        <f t="shared" si="37"/>
        <v>1149.4886002150367</v>
      </c>
      <c r="AK34" s="9">
        <f t="shared" si="37"/>
        <v>1172.9506750745127</v>
      </c>
      <c r="AL34" s="9">
        <f t="shared" si="37"/>
        <v>1196.8780155499394</v>
      </c>
      <c r="AM34" s="9">
        <f t="shared" si="37"/>
        <v>1221.2796262275297</v>
      </c>
      <c r="AN34" s="9">
        <f t="shared" si="37"/>
        <v>1246.16468094894</v>
      </c>
    </row>
    <row r="35" spans="2:148" x14ac:dyDescent="0.3">
      <c r="B35" s="1" t="s">
        <v>36</v>
      </c>
      <c r="C35" s="6">
        <v>20.8</v>
      </c>
      <c r="D35" s="6">
        <v>15.4</v>
      </c>
      <c r="E35" s="6">
        <v>32.200000000000003</v>
      </c>
      <c r="F35" s="6">
        <f t="shared" ref="F35:F36" si="38">AA35-E35-D35-C35</f>
        <v>29.099999999999998</v>
      </c>
      <c r="G35" s="6">
        <v>34.200000000000003</v>
      </c>
      <c r="H35" s="6">
        <v>56.3</v>
      </c>
      <c r="I35" s="6">
        <v>55.3</v>
      </c>
      <c r="J35" s="6">
        <f t="shared" ref="J35:J36" si="39">AB35-I35-H35-G35</f>
        <v>44.199999999999989</v>
      </c>
      <c r="K35" s="6">
        <v>54.7</v>
      </c>
      <c r="L35" s="6">
        <v>53.5</v>
      </c>
      <c r="M35" s="6">
        <v>56.6</v>
      </c>
      <c r="N35" s="6">
        <f t="shared" ref="N35:N36" si="40">AC35-M35-L35-K35</f>
        <v>45.2</v>
      </c>
      <c r="O35" s="6">
        <v>36.799999999999997</v>
      </c>
      <c r="P35" s="6">
        <v>65.2</v>
      </c>
      <c r="Q35" s="6">
        <v>41.7</v>
      </c>
      <c r="R35" s="6">
        <v>47.8</v>
      </c>
      <c r="S35" s="6"/>
      <c r="T35" s="6"/>
      <c r="U35" s="6"/>
      <c r="V35" s="6"/>
      <c r="X35" s="6">
        <v>171.3</v>
      </c>
      <c r="Y35" s="6">
        <v>112.8</v>
      </c>
      <c r="Z35" s="6">
        <v>25.2</v>
      </c>
      <c r="AA35" s="6">
        <v>97.5</v>
      </c>
      <c r="AB35" s="6">
        <v>190</v>
      </c>
      <c r="AC35" s="6">
        <v>210</v>
      </c>
      <c r="AD35" s="6">
        <f t="shared" ref="AD35:AD36" si="41">SUM(O35:R35)</f>
        <v>191.5</v>
      </c>
      <c r="AE35" s="6">
        <f>AE34*0.22</f>
        <v>208.69809839999999</v>
      </c>
      <c r="AF35" s="6">
        <f t="shared" ref="AF35:AN35" si="42">AF34*0.22</f>
        <v>222.87088177199996</v>
      </c>
      <c r="AG35" s="6">
        <f t="shared" si="42"/>
        <v>232.7416932231599</v>
      </c>
      <c r="AH35" s="6">
        <f t="shared" si="42"/>
        <v>240.16813291850272</v>
      </c>
      <c r="AI35" s="6">
        <f t="shared" si="42"/>
        <v>247.82624958267877</v>
      </c>
      <c r="AJ35" s="6">
        <f t="shared" si="42"/>
        <v>252.88749204730809</v>
      </c>
      <c r="AK35" s="6">
        <f t="shared" si="42"/>
        <v>258.04914851639279</v>
      </c>
      <c r="AL35" s="6">
        <f t="shared" si="42"/>
        <v>263.31316342098665</v>
      </c>
      <c r="AM35" s="6">
        <f t="shared" si="42"/>
        <v>268.68151777005653</v>
      </c>
      <c r="AN35" s="6">
        <f t="shared" si="42"/>
        <v>274.1562298087668</v>
      </c>
    </row>
    <row r="36" spans="2:148" x14ac:dyDescent="0.3">
      <c r="B36" s="1" t="s">
        <v>37</v>
      </c>
      <c r="C36" s="6">
        <v>0.7</v>
      </c>
      <c r="D36" s="6">
        <v>1.8</v>
      </c>
      <c r="E36" s="6">
        <v>0.4</v>
      </c>
      <c r="F36" s="6">
        <f t="shared" si="38"/>
        <v>1.3</v>
      </c>
      <c r="G36" s="6">
        <v>6.7</v>
      </c>
      <c r="H36" s="6">
        <v>0.3</v>
      </c>
      <c r="I36" s="6">
        <v>2.4</v>
      </c>
      <c r="J36" s="6">
        <f t="shared" si="39"/>
        <v>0.19999999999999929</v>
      </c>
      <c r="K36" s="6">
        <v>2.8</v>
      </c>
      <c r="L36" s="6">
        <v>7</v>
      </c>
      <c r="M36" s="6">
        <v>1.2</v>
      </c>
      <c r="N36" s="6">
        <f t="shared" si="40"/>
        <v>0.60000000000000053</v>
      </c>
      <c r="O36" s="6">
        <v>1.9</v>
      </c>
      <c r="P36" s="6">
        <v>0.9</v>
      </c>
      <c r="Q36" s="6">
        <v>0.5</v>
      </c>
      <c r="R36" s="6">
        <v>0.2</v>
      </c>
      <c r="S36" s="6"/>
      <c r="T36" s="6"/>
      <c r="U36" s="6"/>
      <c r="V36" s="6"/>
      <c r="X36" s="6">
        <v>0</v>
      </c>
      <c r="Y36" s="6">
        <v>1.8</v>
      </c>
      <c r="Z36" s="6">
        <v>0</v>
      </c>
      <c r="AA36" s="6">
        <v>4.2</v>
      </c>
      <c r="AB36" s="6">
        <v>9.6</v>
      </c>
      <c r="AC36" s="6">
        <v>11.6</v>
      </c>
      <c r="AD36" s="6">
        <f t="shared" si="41"/>
        <v>3.5</v>
      </c>
      <c r="AE36" s="6">
        <f>AE34*0.01</f>
        <v>9.4862772</v>
      </c>
      <c r="AF36" s="6">
        <f t="shared" ref="AF36:AN36" si="43">AF34*0.01</f>
        <v>10.130494625999999</v>
      </c>
      <c r="AG36" s="6">
        <f t="shared" si="43"/>
        <v>10.579167873779996</v>
      </c>
      <c r="AH36" s="6">
        <f t="shared" si="43"/>
        <v>10.916733314477396</v>
      </c>
      <c r="AI36" s="6">
        <f t="shared" si="43"/>
        <v>11.264829526485398</v>
      </c>
      <c r="AJ36" s="6">
        <f t="shared" si="43"/>
        <v>11.494886002150368</v>
      </c>
      <c r="AK36" s="6">
        <f t="shared" si="43"/>
        <v>11.729506750745127</v>
      </c>
      <c r="AL36" s="6">
        <f t="shared" si="43"/>
        <v>11.968780155499394</v>
      </c>
      <c r="AM36" s="6">
        <f t="shared" si="43"/>
        <v>12.212796262275297</v>
      </c>
      <c r="AN36" s="6">
        <f t="shared" si="43"/>
        <v>12.4616468094894</v>
      </c>
    </row>
    <row r="37" spans="2:148" s="2" customFormat="1" x14ac:dyDescent="0.3">
      <c r="B37" s="2" t="s">
        <v>38</v>
      </c>
      <c r="C37" s="9">
        <f t="shared" ref="C37:R37" si="44">C34-C35-C36</f>
        <v>-0.20000000000004614</v>
      </c>
      <c r="D37" s="9">
        <f t="shared" si="44"/>
        <v>32.099999999999987</v>
      </c>
      <c r="E37" s="9">
        <f t="shared" si="44"/>
        <v>66.899999999999892</v>
      </c>
      <c r="F37" s="9">
        <f t="shared" si="44"/>
        <v>75.100000000000549</v>
      </c>
      <c r="G37" s="9">
        <f t="shared" si="44"/>
        <v>88.499999999999943</v>
      </c>
      <c r="H37" s="9">
        <f t="shared" si="44"/>
        <v>175</v>
      </c>
      <c r="I37" s="9">
        <f t="shared" si="44"/>
        <v>183.70000000000013</v>
      </c>
      <c r="J37" s="9">
        <f t="shared" si="44"/>
        <v>150.79999999999947</v>
      </c>
      <c r="K37" s="9">
        <f t="shared" si="44"/>
        <v>179.39999999999998</v>
      </c>
      <c r="L37" s="9">
        <f t="shared" si="44"/>
        <v>168.59999999999991</v>
      </c>
      <c r="M37" s="9">
        <f t="shared" si="44"/>
        <v>180.3</v>
      </c>
      <c r="N37" s="9">
        <f t="shared" si="44"/>
        <v>153.10000000000022</v>
      </c>
      <c r="O37" s="9">
        <f t="shared" si="44"/>
        <v>112.10000000000009</v>
      </c>
      <c r="P37" s="9">
        <f t="shared" si="44"/>
        <v>204.79999999999998</v>
      </c>
      <c r="Q37" s="9">
        <f t="shared" si="44"/>
        <v>196.2</v>
      </c>
      <c r="R37" s="9">
        <f t="shared" si="44"/>
        <v>133.79999999999995</v>
      </c>
      <c r="S37" s="9"/>
      <c r="T37" s="9"/>
      <c r="U37" s="9"/>
      <c r="V37" s="9"/>
      <c r="X37" s="9">
        <f t="shared" ref="X37:AE37" si="45">X34-X35-X36</f>
        <v>579.39999999999964</v>
      </c>
      <c r="Y37" s="9">
        <f t="shared" si="45"/>
        <v>324.50000000000011</v>
      </c>
      <c r="Z37" s="9">
        <f t="shared" si="45"/>
        <v>472.70000000000016</v>
      </c>
      <c r="AA37" s="9">
        <f t="shared" si="45"/>
        <v>173.89999999999964</v>
      </c>
      <c r="AB37" s="9">
        <f t="shared" si="45"/>
        <v>597.99999999999932</v>
      </c>
      <c r="AC37" s="9">
        <f t="shared" si="45"/>
        <v>681.40000000000134</v>
      </c>
      <c r="AD37" s="9">
        <f t="shared" si="45"/>
        <v>646.89999999999986</v>
      </c>
      <c r="AE37" s="9">
        <f t="shared" si="45"/>
        <v>730.4433444</v>
      </c>
      <c r="AF37" s="9">
        <f t="shared" ref="AF37:AN37" si="46">AF34-AF35-AF36</f>
        <v>780.04808620199992</v>
      </c>
      <c r="AG37" s="9">
        <f t="shared" si="46"/>
        <v>814.59592628105963</v>
      </c>
      <c r="AH37" s="9">
        <f t="shared" si="46"/>
        <v>840.58846521475959</v>
      </c>
      <c r="AI37" s="9">
        <f t="shared" si="46"/>
        <v>867.39187353937564</v>
      </c>
      <c r="AJ37" s="9">
        <f t="shared" si="46"/>
        <v>885.10622216557829</v>
      </c>
      <c r="AK37" s="9">
        <f t="shared" si="46"/>
        <v>903.1720198073748</v>
      </c>
      <c r="AL37" s="9">
        <f t="shared" si="46"/>
        <v>921.59607197345326</v>
      </c>
      <c r="AM37" s="9">
        <f t="shared" si="46"/>
        <v>940.3853121951978</v>
      </c>
      <c r="AN37" s="9">
        <f t="shared" si="46"/>
        <v>959.54680433068393</v>
      </c>
      <c r="AO37" s="2">
        <f>AN37*(1+$AQ$42)</f>
        <v>949.9513362873771</v>
      </c>
      <c r="AP37" s="2">
        <f t="shared" ref="AP37:DA37" si="47">AO37*(1+$AQ$42)</f>
        <v>940.45182292450329</v>
      </c>
      <c r="AQ37" s="2">
        <f t="shared" si="47"/>
        <v>931.04730469525828</v>
      </c>
      <c r="AR37" s="2">
        <f t="shared" si="47"/>
        <v>921.73683164830572</v>
      </c>
      <c r="AS37" s="2">
        <f t="shared" si="47"/>
        <v>912.51946333182264</v>
      </c>
      <c r="AT37" s="2">
        <f t="shared" si="47"/>
        <v>903.39426869850445</v>
      </c>
      <c r="AU37" s="2">
        <f t="shared" si="47"/>
        <v>894.36032601151942</v>
      </c>
      <c r="AV37" s="2">
        <f t="shared" si="47"/>
        <v>885.41672275140422</v>
      </c>
      <c r="AW37" s="2">
        <f t="shared" si="47"/>
        <v>876.56255552389018</v>
      </c>
      <c r="AX37" s="2">
        <f t="shared" si="47"/>
        <v>867.79692996865128</v>
      </c>
      <c r="AY37" s="2">
        <f t="shared" si="47"/>
        <v>859.11896066896475</v>
      </c>
      <c r="AZ37" s="2">
        <f t="shared" si="47"/>
        <v>850.52777106227506</v>
      </c>
      <c r="BA37" s="2">
        <f t="shared" si="47"/>
        <v>842.02249335165232</v>
      </c>
      <c r="BB37" s="2">
        <f t="shared" si="47"/>
        <v>833.60226841813574</v>
      </c>
      <c r="BC37" s="2">
        <f t="shared" si="47"/>
        <v>825.26624573395441</v>
      </c>
      <c r="BD37" s="2">
        <f t="shared" si="47"/>
        <v>817.0135832766149</v>
      </c>
      <c r="BE37" s="2">
        <f t="shared" si="47"/>
        <v>808.84344744384873</v>
      </c>
      <c r="BF37" s="2">
        <f t="shared" si="47"/>
        <v>800.75501296941025</v>
      </c>
      <c r="BG37" s="2">
        <f t="shared" si="47"/>
        <v>792.74746283971615</v>
      </c>
      <c r="BH37" s="2">
        <f t="shared" si="47"/>
        <v>784.81998821131901</v>
      </c>
      <c r="BI37" s="2">
        <f t="shared" si="47"/>
        <v>776.97178832920576</v>
      </c>
      <c r="BJ37" s="2">
        <f t="shared" si="47"/>
        <v>769.20207044591371</v>
      </c>
      <c r="BK37" s="2">
        <f t="shared" si="47"/>
        <v>761.51004974145451</v>
      </c>
      <c r="BL37" s="2">
        <f t="shared" si="47"/>
        <v>753.89494924403994</v>
      </c>
      <c r="BM37" s="2">
        <f t="shared" si="47"/>
        <v>746.35599975159948</v>
      </c>
      <c r="BN37" s="2">
        <f t="shared" si="47"/>
        <v>738.89243975408351</v>
      </c>
      <c r="BO37" s="2">
        <f t="shared" si="47"/>
        <v>731.50351535654272</v>
      </c>
      <c r="BP37" s="2">
        <f t="shared" si="47"/>
        <v>724.1884802029773</v>
      </c>
      <c r="BQ37" s="2">
        <f t="shared" si="47"/>
        <v>716.94659540094756</v>
      </c>
      <c r="BR37" s="2">
        <f t="shared" si="47"/>
        <v>709.77712944693803</v>
      </c>
      <c r="BS37" s="2">
        <f t="shared" si="47"/>
        <v>702.67935815246869</v>
      </c>
      <c r="BT37" s="2">
        <f t="shared" si="47"/>
        <v>695.65256457094404</v>
      </c>
      <c r="BU37" s="2">
        <f t="shared" si="47"/>
        <v>688.69603892523457</v>
      </c>
      <c r="BV37" s="2">
        <f t="shared" si="47"/>
        <v>681.80907853598217</v>
      </c>
      <c r="BW37" s="2">
        <f t="shared" si="47"/>
        <v>674.99098775062237</v>
      </c>
      <c r="BX37" s="2">
        <f t="shared" si="47"/>
        <v>668.24107787311618</v>
      </c>
      <c r="BY37" s="2">
        <f t="shared" si="47"/>
        <v>661.55866709438499</v>
      </c>
      <c r="BZ37" s="2">
        <f t="shared" si="47"/>
        <v>654.94308042344107</v>
      </c>
      <c r="CA37" s="2">
        <f t="shared" si="47"/>
        <v>648.39364961920671</v>
      </c>
      <c r="CB37" s="2">
        <f t="shared" si="47"/>
        <v>641.90971312301463</v>
      </c>
      <c r="CC37" s="2">
        <f t="shared" si="47"/>
        <v>635.49061599178447</v>
      </c>
      <c r="CD37" s="2">
        <f t="shared" si="47"/>
        <v>629.13570983186662</v>
      </c>
      <c r="CE37" s="2">
        <f t="shared" si="47"/>
        <v>622.84435273354791</v>
      </c>
      <c r="CF37" s="2">
        <f t="shared" si="47"/>
        <v>616.61590920621245</v>
      </c>
      <c r="CG37" s="2">
        <f t="shared" si="47"/>
        <v>610.44975011415033</v>
      </c>
      <c r="CH37" s="2">
        <f t="shared" si="47"/>
        <v>604.34525261300882</v>
      </c>
      <c r="CI37" s="2">
        <f t="shared" si="47"/>
        <v>598.30180008687876</v>
      </c>
      <c r="CJ37" s="2">
        <f t="shared" si="47"/>
        <v>592.31878208600995</v>
      </c>
      <c r="CK37" s="2">
        <f t="shared" si="47"/>
        <v>586.39559426514984</v>
      </c>
      <c r="CL37" s="2">
        <f t="shared" si="47"/>
        <v>580.53163832249834</v>
      </c>
      <c r="CM37" s="2">
        <f t="shared" si="47"/>
        <v>574.72632193927336</v>
      </c>
      <c r="CN37" s="2">
        <f t="shared" si="47"/>
        <v>568.97905871988064</v>
      </c>
      <c r="CO37" s="2">
        <f t="shared" si="47"/>
        <v>563.28926813268185</v>
      </c>
      <c r="CP37" s="2">
        <f t="shared" si="47"/>
        <v>557.65637545135507</v>
      </c>
      <c r="CQ37" s="2">
        <f t="shared" si="47"/>
        <v>552.07981169684149</v>
      </c>
      <c r="CR37" s="2">
        <f t="shared" si="47"/>
        <v>546.55901357987307</v>
      </c>
      <c r="CS37" s="2">
        <f t="shared" si="47"/>
        <v>541.09342344407435</v>
      </c>
      <c r="CT37" s="2">
        <f t="shared" si="47"/>
        <v>535.68248920963356</v>
      </c>
      <c r="CU37" s="2">
        <f t="shared" si="47"/>
        <v>530.32566431753719</v>
      </c>
      <c r="CV37" s="2">
        <f t="shared" si="47"/>
        <v>525.02240767436183</v>
      </c>
      <c r="CW37" s="2">
        <f t="shared" si="47"/>
        <v>519.77218359761821</v>
      </c>
      <c r="CX37" s="2">
        <f t="shared" si="47"/>
        <v>514.57446176164206</v>
      </c>
      <c r="CY37" s="2">
        <f t="shared" si="47"/>
        <v>509.42871714402565</v>
      </c>
      <c r="CZ37" s="2">
        <f t="shared" si="47"/>
        <v>504.33442997258538</v>
      </c>
      <c r="DA37" s="2">
        <f t="shared" si="47"/>
        <v>499.29108567285954</v>
      </c>
      <c r="DB37" s="2">
        <f t="shared" ref="DB37:ER37" si="48">DA37*(1+$AQ$42)</f>
        <v>494.29817481613094</v>
      </c>
      <c r="DC37" s="2">
        <f t="shared" si="48"/>
        <v>489.35519306796965</v>
      </c>
      <c r="DD37" s="2">
        <f t="shared" si="48"/>
        <v>484.46164113728997</v>
      </c>
      <c r="DE37" s="2">
        <f t="shared" si="48"/>
        <v>479.61702472591708</v>
      </c>
      <c r="DF37" s="2">
        <f t="shared" si="48"/>
        <v>474.82085447865791</v>
      </c>
      <c r="DG37" s="2">
        <f t="shared" si="48"/>
        <v>470.07264593387134</v>
      </c>
      <c r="DH37" s="2">
        <f t="shared" si="48"/>
        <v>465.3719194745326</v>
      </c>
      <c r="DI37" s="2">
        <f t="shared" si="48"/>
        <v>460.71820027978725</v>
      </c>
      <c r="DJ37" s="2">
        <f t="shared" si="48"/>
        <v>456.1110182769894</v>
      </c>
      <c r="DK37" s="2">
        <f t="shared" si="48"/>
        <v>451.54990809421952</v>
      </c>
      <c r="DL37" s="2">
        <f t="shared" si="48"/>
        <v>447.0344090132773</v>
      </c>
      <c r="DM37" s="2">
        <f t="shared" si="48"/>
        <v>442.56406492314454</v>
      </c>
      <c r="DN37" s="2">
        <f t="shared" si="48"/>
        <v>438.13842427391307</v>
      </c>
      <c r="DO37" s="2">
        <f t="shared" si="48"/>
        <v>433.75704003117391</v>
      </c>
      <c r="DP37" s="2">
        <f t="shared" si="48"/>
        <v>429.41946963086218</v>
      </c>
      <c r="DQ37" s="2">
        <f t="shared" si="48"/>
        <v>425.12527493455354</v>
      </c>
      <c r="DR37" s="2">
        <f t="shared" si="48"/>
        <v>420.87402218520799</v>
      </c>
      <c r="DS37" s="2">
        <f t="shared" si="48"/>
        <v>416.66528196335588</v>
      </c>
      <c r="DT37" s="2">
        <f t="shared" si="48"/>
        <v>412.49862914372233</v>
      </c>
      <c r="DU37" s="2">
        <f t="shared" si="48"/>
        <v>408.37364285228512</v>
      </c>
      <c r="DV37" s="2">
        <f t="shared" si="48"/>
        <v>404.28990642376226</v>
      </c>
      <c r="DW37" s="2">
        <f t="shared" si="48"/>
        <v>400.24700735952462</v>
      </c>
      <c r="DX37" s="2">
        <f t="shared" si="48"/>
        <v>396.24453728592937</v>
      </c>
      <c r="DY37" s="2">
        <f t="shared" si="48"/>
        <v>392.28209191307008</v>
      </c>
      <c r="DZ37" s="2">
        <f t="shared" si="48"/>
        <v>388.35927099393939</v>
      </c>
      <c r="EA37" s="2">
        <f t="shared" si="48"/>
        <v>384.47567828399997</v>
      </c>
      <c r="EB37" s="2">
        <f t="shared" si="48"/>
        <v>380.63092150115995</v>
      </c>
      <c r="EC37" s="2">
        <f t="shared" si="48"/>
        <v>376.82461228614835</v>
      </c>
      <c r="ED37" s="2">
        <f t="shared" si="48"/>
        <v>373.05636616328684</v>
      </c>
      <c r="EE37" s="2">
        <f t="shared" si="48"/>
        <v>369.32580250165398</v>
      </c>
      <c r="EF37" s="2">
        <f t="shared" si="48"/>
        <v>365.63254447663746</v>
      </c>
      <c r="EG37" s="2">
        <f t="shared" si="48"/>
        <v>361.9762190318711</v>
      </c>
      <c r="EH37" s="2">
        <f t="shared" si="48"/>
        <v>358.35645684155236</v>
      </c>
      <c r="EI37" s="2">
        <f t="shared" si="48"/>
        <v>354.77289227313685</v>
      </c>
      <c r="EJ37" s="2">
        <f t="shared" si="48"/>
        <v>351.22516335040547</v>
      </c>
      <c r="EK37" s="2">
        <f t="shared" si="48"/>
        <v>347.71291171690143</v>
      </c>
      <c r="EL37" s="2">
        <f t="shared" si="48"/>
        <v>344.23578259973243</v>
      </c>
      <c r="EM37" s="2">
        <f t="shared" si="48"/>
        <v>340.79342477373513</v>
      </c>
      <c r="EN37" s="2">
        <f t="shared" si="48"/>
        <v>337.3854905259978</v>
      </c>
      <c r="EO37" s="2">
        <f t="shared" si="48"/>
        <v>334.01163562073782</v>
      </c>
      <c r="EP37" s="2">
        <f t="shared" si="48"/>
        <v>330.67151926453045</v>
      </c>
      <c r="EQ37" s="2">
        <f t="shared" si="48"/>
        <v>327.36480407188515</v>
      </c>
      <c r="ER37" s="2">
        <f t="shared" si="48"/>
        <v>324.09115603116629</v>
      </c>
    </row>
    <row r="38" spans="2:148" x14ac:dyDescent="0.3">
      <c r="B38" s="1" t="s">
        <v>2</v>
      </c>
      <c r="C38" s="6">
        <f t="shared" ref="C38:R38" si="49">63.3</f>
        <v>63.3</v>
      </c>
      <c r="D38" s="6">
        <f t="shared" si="49"/>
        <v>63.3</v>
      </c>
      <c r="E38" s="6">
        <f t="shared" si="49"/>
        <v>63.3</v>
      </c>
      <c r="F38" s="6">
        <f t="shared" si="49"/>
        <v>63.3</v>
      </c>
      <c r="G38" s="6">
        <f t="shared" si="49"/>
        <v>63.3</v>
      </c>
      <c r="H38" s="6">
        <f t="shared" si="49"/>
        <v>63.3</v>
      </c>
      <c r="I38" s="6">
        <f t="shared" si="49"/>
        <v>63.3</v>
      </c>
      <c r="J38" s="6">
        <f t="shared" si="49"/>
        <v>63.3</v>
      </c>
      <c r="K38" s="6">
        <f t="shared" si="49"/>
        <v>63.3</v>
      </c>
      <c r="L38" s="6">
        <f t="shared" si="49"/>
        <v>63.3</v>
      </c>
      <c r="M38" s="6">
        <f t="shared" si="49"/>
        <v>63.3</v>
      </c>
      <c r="N38" s="6">
        <f t="shared" si="49"/>
        <v>63.3</v>
      </c>
      <c r="O38" s="6">
        <f t="shared" si="49"/>
        <v>63.3</v>
      </c>
      <c r="P38" s="6">
        <f t="shared" si="49"/>
        <v>63.3</v>
      </c>
      <c r="Q38" s="6">
        <f t="shared" si="49"/>
        <v>63.3</v>
      </c>
      <c r="R38" s="6">
        <f t="shared" si="49"/>
        <v>63.3</v>
      </c>
      <c r="S38" s="6"/>
      <c r="T38" s="6"/>
      <c r="U38" s="6"/>
      <c r="V38" s="6"/>
      <c r="X38" s="6">
        <f t="shared" ref="X38:AE38" si="50">63.3</f>
        <v>63.3</v>
      </c>
      <c r="Y38" s="6">
        <f t="shared" si="50"/>
        <v>63.3</v>
      </c>
      <c r="Z38" s="6">
        <f t="shared" si="50"/>
        <v>63.3</v>
      </c>
      <c r="AA38" s="6">
        <f t="shared" si="50"/>
        <v>63.3</v>
      </c>
      <c r="AB38" s="6">
        <f t="shared" si="50"/>
        <v>63.3</v>
      </c>
      <c r="AC38" s="6">
        <f t="shared" si="50"/>
        <v>63.3</v>
      </c>
      <c r="AD38" s="6">
        <f t="shared" si="50"/>
        <v>63.3</v>
      </c>
      <c r="AE38" s="6">
        <f t="shared" si="50"/>
        <v>63.3</v>
      </c>
      <c r="AF38" s="6">
        <f t="shared" ref="AF38:AN38" si="51">63.3</f>
        <v>63.3</v>
      </c>
      <c r="AG38" s="6">
        <f t="shared" si="51"/>
        <v>63.3</v>
      </c>
      <c r="AH38" s="6">
        <f t="shared" si="51"/>
        <v>63.3</v>
      </c>
      <c r="AI38" s="6">
        <f t="shared" si="51"/>
        <v>63.3</v>
      </c>
      <c r="AJ38" s="6">
        <f t="shared" si="51"/>
        <v>63.3</v>
      </c>
      <c r="AK38" s="6">
        <f t="shared" si="51"/>
        <v>63.3</v>
      </c>
      <c r="AL38" s="6">
        <f t="shared" si="51"/>
        <v>63.3</v>
      </c>
      <c r="AM38" s="6">
        <f t="shared" si="51"/>
        <v>63.3</v>
      </c>
      <c r="AN38" s="6">
        <f t="shared" si="51"/>
        <v>63.3</v>
      </c>
    </row>
    <row r="39" spans="2:148" x14ac:dyDescent="0.3">
      <c r="B39" s="1" t="s">
        <v>39</v>
      </c>
      <c r="C39" s="8">
        <f t="shared" ref="C39:R39" si="52">C37/C38</f>
        <v>-3.1595576619280591E-3</v>
      </c>
      <c r="D39" s="8">
        <f t="shared" si="52"/>
        <v>0.50710900473933629</v>
      </c>
      <c r="E39" s="8">
        <f t="shared" si="52"/>
        <v>1.0568720379146903</v>
      </c>
      <c r="F39" s="8">
        <f t="shared" si="52"/>
        <v>1.1864139020537212</v>
      </c>
      <c r="G39" s="8">
        <f t="shared" si="52"/>
        <v>1.3981042654028428</v>
      </c>
      <c r="H39" s="8">
        <f t="shared" si="52"/>
        <v>2.764612954186414</v>
      </c>
      <c r="I39" s="8">
        <f t="shared" si="52"/>
        <v>2.9020537124802548</v>
      </c>
      <c r="J39" s="8">
        <f t="shared" si="52"/>
        <v>2.3823064770931985</v>
      </c>
      <c r="K39" s="8">
        <f t="shared" si="52"/>
        <v>2.8341232227488149</v>
      </c>
      <c r="L39" s="8">
        <f t="shared" si="52"/>
        <v>2.6635071090047382</v>
      </c>
      <c r="M39" s="8">
        <f t="shared" si="52"/>
        <v>2.8483412322274884</v>
      </c>
      <c r="N39" s="8">
        <f t="shared" si="52"/>
        <v>2.4186413902053747</v>
      </c>
      <c r="O39" s="8">
        <f t="shared" si="52"/>
        <v>1.7709320695102702</v>
      </c>
      <c r="P39" s="8">
        <f t="shared" si="52"/>
        <v>3.235387045813586</v>
      </c>
      <c r="Q39" s="8">
        <f t="shared" si="52"/>
        <v>3.0995260663507107</v>
      </c>
      <c r="R39" s="8">
        <f t="shared" si="52"/>
        <v>2.1137440758293833</v>
      </c>
      <c r="S39" s="8"/>
      <c r="T39" s="8"/>
      <c r="U39" s="8"/>
      <c r="V39" s="8"/>
      <c r="X39" s="8">
        <f t="shared" ref="X39:AE39" si="53">X37/X38</f>
        <v>9.15323854660347</v>
      </c>
      <c r="Y39" s="8">
        <f t="shared" si="53"/>
        <v>5.1263823064770948</v>
      </c>
      <c r="Z39" s="8">
        <f t="shared" si="53"/>
        <v>7.4676145339652473</v>
      </c>
      <c r="AA39" s="8">
        <f t="shared" si="53"/>
        <v>2.7472353870458082</v>
      </c>
      <c r="AB39" s="8">
        <f t="shared" si="53"/>
        <v>9.4470774091627074</v>
      </c>
      <c r="AC39" s="8">
        <f t="shared" si="53"/>
        <v>10.764612954186436</v>
      </c>
      <c r="AD39" s="8">
        <f t="shared" si="53"/>
        <v>10.219589257503948</v>
      </c>
      <c r="AE39" s="8">
        <f t="shared" si="53"/>
        <v>11.539389327014218</v>
      </c>
      <c r="AF39" s="8">
        <f t="shared" ref="AF39:AN39" si="54">AF37/AF38</f>
        <v>12.323034537156397</v>
      </c>
      <c r="AG39" s="8">
        <f t="shared" si="54"/>
        <v>12.868814001280564</v>
      </c>
      <c r="AH39" s="8">
        <f t="shared" si="54"/>
        <v>13.279438628985144</v>
      </c>
      <c r="AI39" s="8">
        <f t="shared" si="54"/>
        <v>13.702873199674181</v>
      </c>
      <c r="AJ39" s="8">
        <f t="shared" si="54"/>
        <v>13.982720729314034</v>
      </c>
      <c r="AK39" s="8">
        <f t="shared" si="54"/>
        <v>14.268120376103868</v>
      </c>
      <c r="AL39" s="8">
        <f t="shared" si="54"/>
        <v>14.559179652029279</v>
      </c>
      <c r="AM39" s="8">
        <f t="shared" si="54"/>
        <v>14.856008091551308</v>
      </c>
      <c r="AN39" s="8">
        <f t="shared" si="54"/>
        <v>15.158717288004485</v>
      </c>
    </row>
    <row r="41" spans="2:148" x14ac:dyDescent="0.3">
      <c r="B41" s="1" t="s">
        <v>55</v>
      </c>
      <c r="O41" s="10">
        <f>O12/K12-1</f>
        <v>-0.22658585858585856</v>
      </c>
      <c r="P41" s="10">
        <f>P12/L12-1</f>
        <v>-0.10725709005615192</v>
      </c>
      <c r="Q41" s="10">
        <f>Q12/M12-1</f>
        <v>-0.18601921807379151</v>
      </c>
      <c r="R41" s="10">
        <f>R12/N12-1</f>
        <v>1.2618841832324978E-2</v>
      </c>
      <c r="S41" s="10"/>
      <c r="T41" s="10"/>
      <c r="U41" s="10"/>
      <c r="V41" s="10"/>
      <c r="AB41" s="10">
        <f>AB12/AA12-1</f>
        <v>0.25626243045240549</v>
      </c>
      <c r="AC41" s="10">
        <f>AC12/AB12-1</f>
        <v>3.5010020040080025E-2</v>
      </c>
      <c r="AD41" s="10">
        <f t="shared" ref="AD41:AN41" si="55">AD12/AC12-1</f>
        <v>-0.12978488585977888</v>
      </c>
      <c r="AE41" s="10">
        <f t="shared" si="55"/>
        <v>-5.0000000000000044E-2</v>
      </c>
      <c r="AF41" s="10">
        <f t="shared" si="55"/>
        <v>2.0000000000000018E-2</v>
      </c>
      <c r="AG41" s="10">
        <f t="shared" si="55"/>
        <v>2.0000000000000018E-2</v>
      </c>
      <c r="AH41" s="10">
        <f t="shared" si="55"/>
        <v>2.0000000000000018E-2</v>
      </c>
      <c r="AI41" s="10">
        <f t="shared" si="55"/>
        <v>2.0000000000000018E-2</v>
      </c>
      <c r="AJ41" s="10">
        <f t="shared" si="55"/>
        <v>1.0000000000000009E-2</v>
      </c>
      <c r="AK41" s="10">
        <f t="shared" si="55"/>
        <v>1.0000000000000009E-2</v>
      </c>
      <c r="AL41" s="10">
        <f t="shared" si="55"/>
        <v>1.0000000000000009E-2</v>
      </c>
      <c r="AM41" s="10">
        <f t="shared" si="55"/>
        <v>1.0000000000000009E-2</v>
      </c>
      <c r="AN41" s="10">
        <f t="shared" si="55"/>
        <v>1.0000000000000009E-2</v>
      </c>
    </row>
    <row r="42" spans="2:148" x14ac:dyDescent="0.3">
      <c r="B42" s="1" t="s">
        <v>56</v>
      </c>
      <c r="O42" s="10">
        <f>O17/K17-1</f>
        <v>0.12221646815121701</v>
      </c>
      <c r="P42" s="10">
        <f>P17/L17-1</f>
        <v>0.15016012335428774</v>
      </c>
      <c r="Q42" s="10">
        <f>Q17/M17-1</f>
        <v>0.18889707688528601</v>
      </c>
      <c r="R42" s="10">
        <f>R17/N17-1</f>
        <v>4.7467635702929556E-2</v>
      </c>
      <c r="S42" s="10"/>
      <c r="T42" s="10"/>
      <c r="U42" s="10"/>
      <c r="V42" s="10"/>
      <c r="AB42" s="10">
        <f>AB17/AA17-1</f>
        <v>0.18495196948108661</v>
      </c>
      <c r="AC42" s="10">
        <f>AC17/AB17-1</f>
        <v>0.28400760249796364</v>
      </c>
      <c r="AD42" s="10">
        <f t="shared" ref="AD42:AN42" si="56">AD17/AC17-1</f>
        <v>0.12584962088028262</v>
      </c>
      <c r="AE42" s="10">
        <f t="shared" si="56"/>
        <v>0.10000000000000009</v>
      </c>
      <c r="AF42" s="10">
        <f t="shared" si="56"/>
        <v>7.0000000000000062E-2</v>
      </c>
      <c r="AG42" s="10">
        <f t="shared" si="56"/>
        <v>4.0000000000000036E-2</v>
      </c>
      <c r="AH42" s="10">
        <f t="shared" si="56"/>
        <v>3.0000000000000027E-2</v>
      </c>
      <c r="AI42" s="10">
        <f t="shared" si="56"/>
        <v>3.0000000000000027E-2</v>
      </c>
      <c r="AJ42" s="10">
        <f t="shared" si="56"/>
        <v>2.0000000000000018E-2</v>
      </c>
      <c r="AK42" s="10">
        <f t="shared" si="56"/>
        <v>2.0000000000000018E-2</v>
      </c>
      <c r="AL42" s="10">
        <f t="shared" si="56"/>
        <v>2.0000000000000018E-2</v>
      </c>
      <c r="AM42" s="10">
        <f t="shared" si="56"/>
        <v>2.0000000000000018E-2</v>
      </c>
      <c r="AN42" s="10">
        <f t="shared" si="56"/>
        <v>2.0000000000000018E-2</v>
      </c>
      <c r="AP42" s="1" t="s">
        <v>59</v>
      </c>
      <c r="AQ42" s="10">
        <v>-0.01</v>
      </c>
    </row>
    <row r="43" spans="2:148" x14ac:dyDescent="0.3">
      <c r="B43" s="1" t="s">
        <v>57</v>
      </c>
      <c r="O43" s="10">
        <f t="shared" ref="O43:O44" si="57">O20/K20-1</f>
        <v>-9.055195442938524E-2</v>
      </c>
      <c r="P43" s="10">
        <f t="shared" ref="P43:P44" si="58">P20/L20-1</f>
        <v>-0.16226613044238491</v>
      </c>
      <c r="Q43" s="10">
        <f t="shared" ref="Q43:R44" si="59">Q20/M20-1</f>
        <v>8.7897853441894824E-2</v>
      </c>
      <c r="R43" s="10">
        <f t="shared" si="59"/>
        <v>6.1633570625702738E-2</v>
      </c>
      <c r="S43" s="10"/>
      <c r="T43" s="10"/>
      <c r="U43" s="10"/>
      <c r="V43" s="10"/>
      <c r="AB43" s="10">
        <f t="shared" ref="AB43:AC44" si="60">AB20/AA20-1</f>
        <v>-2.8021951337963147E-2</v>
      </c>
      <c r="AC43" s="10">
        <f t="shared" si="60"/>
        <v>7.6846207654641674E-2</v>
      </c>
      <c r="AD43" s="10">
        <f t="shared" ref="AD43:AN43" si="61">AD20/AC20-1</f>
        <v>-2.7143652561247178E-2</v>
      </c>
      <c r="AE43" s="10">
        <f t="shared" si="61"/>
        <v>0.14999999999999991</v>
      </c>
      <c r="AF43" s="10">
        <f t="shared" si="61"/>
        <v>6.0000000000000053E-2</v>
      </c>
      <c r="AG43" s="10">
        <f t="shared" si="61"/>
        <v>4.0000000000000036E-2</v>
      </c>
      <c r="AH43" s="10">
        <f t="shared" si="61"/>
        <v>3.0000000000000027E-2</v>
      </c>
      <c r="AI43" s="10">
        <f t="shared" si="61"/>
        <v>3.0000000000000027E-2</v>
      </c>
      <c r="AJ43" s="10">
        <f t="shared" si="61"/>
        <v>2.0000000000000018E-2</v>
      </c>
      <c r="AK43" s="10">
        <f t="shared" si="61"/>
        <v>2.0000000000000018E-2</v>
      </c>
      <c r="AL43" s="10">
        <f t="shared" si="61"/>
        <v>2.0000000000000018E-2</v>
      </c>
      <c r="AM43" s="10">
        <f t="shared" si="61"/>
        <v>2.0000000000000018E-2</v>
      </c>
      <c r="AN43" s="10">
        <f t="shared" si="61"/>
        <v>2.0000000000000018E-2</v>
      </c>
      <c r="AP43" s="1" t="s">
        <v>60</v>
      </c>
      <c r="AQ43" s="10">
        <v>0.09</v>
      </c>
    </row>
    <row r="44" spans="2:148" x14ac:dyDescent="0.3">
      <c r="B44" s="1" t="s">
        <v>58</v>
      </c>
      <c r="O44" s="10">
        <f t="shared" si="57"/>
        <v>4.4354838709677269E-2</v>
      </c>
      <c r="P44" s="10">
        <f t="shared" si="58"/>
        <v>9.2000000000000082E-2</v>
      </c>
      <c r="Q44" s="10">
        <f t="shared" si="59"/>
        <v>-2.1276595744680882E-2</v>
      </c>
      <c r="R44" s="10">
        <f t="shared" si="59"/>
        <v>5.2434456928839079E-2</v>
      </c>
      <c r="S44" s="10"/>
      <c r="T44" s="10"/>
      <c r="U44" s="10"/>
      <c r="V44" s="10"/>
      <c r="AB44" s="10">
        <f t="shared" si="60"/>
        <v>0.17709720372836224</v>
      </c>
      <c r="AC44" s="10">
        <f t="shared" si="60"/>
        <v>0.13122171945701355</v>
      </c>
      <c r="AD44" s="10">
        <f t="shared" ref="AD44:AN44" si="62">AD21/AC21-1</f>
        <v>4.3000000000000149E-2</v>
      </c>
      <c r="AE44" s="10">
        <f t="shared" si="62"/>
        <v>3.0000000000000027E-2</v>
      </c>
      <c r="AF44" s="10">
        <f t="shared" si="62"/>
        <v>3.0000000000000027E-2</v>
      </c>
      <c r="AG44" s="10">
        <f t="shared" si="62"/>
        <v>3.0000000000000027E-2</v>
      </c>
      <c r="AH44" s="10">
        <f t="shared" si="62"/>
        <v>3.0000000000000027E-2</v>
      </c>
      <c r="AI44" s="10">
        <f t="shared" si="62"/>
        <v>3.0000000000000027E-2</v>
      </c>
      <c r="AJ44" s="10">
        <f t="shared" si="62"/>
        <v>3.0000000000000027E-2</v>
      </c>
      <c r="AK44" s="10">
        <f t="shared" si="62"/>
        <v>3.0000000000000027E-2</v>
      </c>
      <c r="AL44" s="10">
        <f t="shared" si="62"/>
        <v>3.0000000000000027E-2</v>
      </c>
      <c r="AM44" s="10">
        <f t="shared" si="62"/>
        <v>3.0000000000000027E-2</v>
      </c>
      <c r="AN44" s="10">
        <f t="shared" si="62"/>
        <v>3.0000000000000027E-2</v>
      </c>
      <c r="AP44" s="1" t="s">
        <v>61</v>
      </c>
      <c r="AQ44" s="6">
        <f>NPV(AQ43,AE37:ER37)</f>
        <v>9450.1596402163977</v>
      </c>
    </row>
    <row r="45" spans="2:148" x14ac:dyDescent="0.3">
      <c r="B45" s="1" t="s">
        <v>44</v>
      </c>
      <c r="C45" s="10"/>
      <c r="D45" s="10"/>
      <c r="E45" s="10"/>
      <c r="F45" s="10"/>
      <c r="G45" s="10">
        <f t="shared" ref="G45:R45" si="63">G22/C22-1</f>
        <v>0.16569872025492094</v>
      </c>
      <c r="H45" s="10">
        <f t="shared" si="63"/>
        <v>0.16800580832526624</v>
      </c>
      <c r="I45" s="10">
        <f t="shared" si="63"/>
        <v>0.21444815406203133</v>
      </c>
      <c r="J45" s="10">
        <f t="shared" si="63"/>
        <v>0.11944091486658159</v>
      </c>
      <c r="K45" s="10">
        <f t="shared" si="63"/>
        <v>0.12155548697147411</v>
      </c>
      <c r="L45" s="10">
        <f t="shared" si="63"/>
        <v>0.17976876217313831</v>
      </c>
      <c r="M45" s="10">
        <f t="shared" si="63"/>
        <v>9.2234750388461739E-2</v>
      </c>
      <c r="N45" s="10">
        <f t="shared" si="63"/>
        <v>5.322685260256188E-2</v>
      </c>
      <c r="O45" s="10">
        <f t="shared" si="63"/>
        <v>-9.0809025866813387E-2</v>
      </c>
      <c r="P45" s="10">
        <f t="shared" si="63"/>
        <v>-4.0324563560363957E-2</v>
      </c>
      <c r="Q45" s="10">
        <f t="shared" si="63"/>
        <v>-1.9260231998249111E-2</v>
      </c>
      <c r="R45" s="10">
        <f t="shared" si="63"/>
        <v>3.4910126630999683E-2</v>
      </c>
      <c r="S45" s="10"/>
      <c r="T45" s="10"/>
      <c r="U45" s="10"/>
      <c r="V45" s="10"/>
      <c r="X45" s="10"/>
      <c r="Y45" s="10">
        <f>Y22/X22-1</f>
        <v>-0.1819613457408733</v>
      </c>
      <c r="Z45" s="10">
        <f>Z22/Y22-1</f>
        <v>0.12841267063353157</v>
      </c>
      <c r="AA45" s="10">
        <f>AA22/Z22-1</f>
        <v>7.0399234875214933E-2</v>
      </c>
      <c r="AB45" s="10">
        <f>AB22/AA22-1</f>
        <v>0.16613136923448435</v>
      </c>
      <c r="AC45" s="10">
        <f>AC22/AB22-1</f>
        <v>0.11102827736878629</v>
      </c>
      <c r="AD45" s="10">
        <f t="shared" ref="AD45:AN45" si="64">AD22/AC22-1</f>
        <v>-2.8694712120929888E-2</v>
      </c>
      <c r="AE45" s="10">
        <f t="shared" si="64"/>
        <v>4.4673824395766948E-2</v>
      </c>
      <c r="AF45" s="10">
        <f t="shared" si="64"/>
        <v>4.7783307971855704E-2</v>
      </c>
      <c r="AG45" s="10">
        <f t="shared" si="64"/>
        <v>3.2267994204960404E-2</v>
      </c>
      <c r="AH45" s="10">
        <f t="shared" si="64"/>
        <v>2.6227863064258283E-2</v>
      </c>
      <c r="AI45" s="10">
        <f t="shared" si="64"/>
        <v>2.6250755009742166E-2</v>
      </c>
      <c r="AJ45" s="10">
        <f t="shared" si="64"/>
        <v>1.6371082244157842E-2</v>
      </c>
      <c r="AK45" s="10">
        <f t="shared" si="64"/>
        <v>1.6395748387940667E-2</v>
      </c>
      <c r="AL45" s="10">
        <f t="shared" si="64"/>
        <v>1.6420372511145143E-2</v>
      </c>
      <c r="AM45" s="10">
        <f t="shared" si="64"/>
        <v>1.6444953834216181E-2</v>
      </c>
      <c r="AN45" s="10">
        <f t="shared" si="64"/>
        <v>1.6469491588783081E-2</v>
      </c>
      <c r="AP45" s="1" t="s">
        <v>62</v>
      </c>
      <c r="AQ45" s="6">
        <f>Main!D8</f>
        <v>-621.09999999999991</v>
      </c>
    </row>
    <row r="46" spans="2:148" x14ac:dyDescent="0.3">
      <c r="B46" s="1" t="s">
        <v>45</v>
      </c>
      <c r="C46" s="10">
        <f t="shared" ref="C46:P46" si="65">C24/C22</f>
        <v>0.10474379400729812</v>
      </c>
      <c r="D46" s="10">
        <f t="shared" si="65"/>
        <v>0.11955469506292353</v>
      </c>
      <c r="E46" s="10">
        <f t="shared" si="65"/>
        <v>0.1396429089853389</v>
      </c>
      <c r="F46" s="10">
        <f t="shared" si="65"/>
        <v>0.14294790343074987</v>
      </c>
      <c r="G46" s="10">
        <f t="shared" si="65"/>
        <v>0.14717164146201664</v>
      </c>
      <c r="H46" s="10">
        <f t="shared" si="65"/>
        <v>0.17591479839210974</v>
      </c>
      <c r="I46" s="10">
        <f t="shared" si="65"/>
        <v>0.18650145424120487</v>
      </c>
      <c r="J46" s="10">
        <f t="shared" si="65"/>
        <v>0.18420625912112837</v>
      </c>
      <c r="K46" s="10">
        <f t="shared" si="65"/>
        <v>0.18476295306234766</v>
      </c>
      <c r="L46" s="10">
        <f t="shared" si="65"/>
        <v>0.19182268432329899</v>
      </c>
      <c r="M46" s="10">
        <f t="shared" si="65"/>
        <v>0.18457722331655357</v>
      </c>
      <c r="N46" s="10">
        <f t="shared" si="65"/>
        <v>0.17216427389245997</v>
      </c>
      <c r="O46" s="10">
        <f t="shared" si="65"/>
        <v>0.1729072985126254</v>
      </c>
      <c r="P46" s="10">
        <f t="shared" si="65"/>
        <v>0.19197686761099522</v>
      </c>
      <c r="Q46" s="10">
        <f>Q24/Q22</f>
        <v>0.17499814029606486</v>
      </c>
      <c r="R46" s="10">
        <f>R24/R22</f>
        <v>0.15772835465635227</v>
      </c>
      <c r="S46" s="10"/>
      <c r="T46" s="10"/>
      <c r="U46" s="10"/>
      <c r="V46" s="10"/>
      <c r="X46" s="10">
        <f t="shared" ref="X46:AB46" si="66">X24/X22</f>
        <v>0.18103078024337863</v>
      </c>
      <c r="Y46" s="10">
        <f t="shared" si="66"/>
        <v>0.16338525259596315</v>
      </c>
      <c r="Z46" s="10">
        <f t="shared" si="66"/>
        <v>0.15778113812311789</v>
      </c>
      <c r="AA46" s="10">
        <f t="shared" si="66"/>
        <v>0.12731224341946384</v>
      </c>
      <c r="AB46" s="10">
        <f t="shared" si="66"/>
        <v>0.17403369262469059</v>
      </c>
      <c r="AC46" s="10">
        <f>AC24/AC22</f>
        <v>0.18353805148086721</v>
      </c>
      <c r="AD46" s="10">
        <f t="shared" ref="AD46:AN46" si="67">AD24/AD22</f>
        <v>0.17452961438454084</v>
      </c>
      <c r="AE46" s="10">
        <f t="shared" si="67"/>
        <v>0.18</v>
      </c>
      <c r="AF46" s="10">
        <f t="shared" si="67"/>
        <v>0.18</v>
      </c>
      <c r="AG46" s="10">
        <f t="shared" si="67"/>
        <v>0.17999999999999997</v>
      </c>
      <c r="AH46" s="10">
        <f t="shared" si="67"/>
        <v>0.18</v>
      </c>
      <c r="AI46" s="10">
        <f t="shared" si="67"/>
        <v>0.18</v>
      </c>
      <c r="AJ46" s="10">
        <f t="shared" si="67"/>
        <v>0.18000000000000002</v>
      </c>
      <c r="AK46" s="10">
        <f t="shared" si="67"/>
        <v>0.18</v>
      </c>
      <c r="AL46" s="10">
        <f t="shared" si="67"/>
        <v>0.17999999999999997</v>
      </c>
      <c r="AM46" s="10">
        <f t="shared" si="67"/>
        <v>0.18</v>
      </c>
      <c r="AN46" s="10">
        <f t="shared" si="67"/>
        <v>0.18</v>
      </c>
      <c r="AP46" s="1" t="s">
        <v>63</v>
      </c>
      <c r="AQ46" s="6">
        <f>AQ44+AQ45</f>
        <v>8829.0596402163974</v>
      </c>
    </row>
    <row r="47" spans="2:148" x14ac:dyDescent="0.3">
      <c r="B47" s="1" t="s">
        <v>46</v>
      </c>
      <c r="C47" s="10"/>
      <c r="D47" s="10"/>
      <c r="E47" s="10"/>
      <c r="F47" s="10"/>
      <c r="G47" s="10">
        <f t="shared" ref="G47:R47" si="68">G25/C25-1</f>
        <v>0.17671394799054374</v>
      </c>
      <c r="H47" s="10">
        <f t="shared" si="68"/>
        <v>0.10422870756402625</v>
      </c>
      <c r="I47" s="10">
        <f t="shared" si="68"/>
        <v>0.21226698737221872</v>
      </c>
      <c r="J47" s="10">
        <f t="shared" si="68"/>
        <v>0.40715181932245992</v>
      </c>
      <c r="K47" s="10">
        <f t="shared" si="68"/>
        <v>-1.1551983927674425E-2</v>
      </c>
      <c r="L47" s="10">
        <f t="shared" si="68"/>
        <v>0.18662351672060407</v>
      </c>
      <c r="M47" s="10">
        <f t="shared" si="68"/>
        <v>0.12301587301587302</v>
      </c>
      <c r="N47" s="10">
        <f t="shared" si="68"/>
        <v>-6.732055283102989E-2</v>
      </c>
      <c r="O47" s="10">
        <f t="shared" si="68"/>
        <v>7.2154471544715326E-2</v>
      </c>
      <c r="P47" s="10">
        <f t="shared" si="68"/>
        <v>-3.0454545454545401E-2</v>
      </c>
      <c r="Q47" s="10">
        <f t="shared" si="68"/>
        <v>-0.13339222614840995</v>
      </c>
      <c r="R47" s="10">
        <f t="shared" si="68"/>
        <v>-5.2581261950286784E-2</v>
      </c>
      <c r="S47" s="10"/>
      <c r="T47" s="10"/>
      <c r="U47" s="10"/>
      <c r="V47" s="10"/>
      <c r="X47" s="10"/>
      <c r="Y47" s="10">
        <f>Y25/X25-1</f>
        <v>-9.2026335040234053E-2</v>
      </c>
      <c r="Z47" s="10">
        <f>Z25/Y25-1</f>
        <v>7.3960683209796985E-2</v>
      </c>
      <c r="AA47" s="10">
        <f>AA25/Z25-1</f>
        <v>-5.5513878469618527E-3</v>
      </c>
      <c r="AB47" s="10">
        <f>AB25/AA25-1</f>
        <v>0.22269161134580573</v>
      </c>
      <c r="AC47" s="10">
        <f>AC25/AB25-1</f>
        <v>5.1826258637709843E-2</v>
      </c>
      <c r="AD47" s="10">
        <f t="shared" ref="AD47:AN47" si="69">AD25/AC25-1</f>
        <v>-3.9535429375879838E-2</v>
      </c>
      <c r="AE47" s="10">
        <f t="shared" si="69"/>
        <v>3.0000000000000027E-2</v>
      </c>
      <c r="AF47" s="10">
        <f t="shared" si="69"/>
        <v>3.0000000000000027E-2</v>
      </c>
      <c r="AG47" s="10">
        <f t="shared" si="69"/>
        <v>2.0000000000000018E-2</v>
      </c>
      <c r="AH47" s="10">
        <f t="shared" si="69"/>
        <v>2.0000000000000018E-2</v>
      </c>
      <c r="AI47" s="10">
        <f t="shared" si="69"/>
        <v>2.0000000000000018E-2</v>
      </c>
      <c r="AJ47" s="10">
        <f t="shared" si="69"/>
        <v>1.0000000000000009E-2</v>
      </c>
      <c r="AK47" s="10">
        <f t="shared" si="69"/>
        <v>1.0000000000000009E-2</v>
      </c>
      <c r="AL47" s="10">
        <f t="shared" si="69"/>
        <v>1.0000000000000009E-2</v>
      </c>
      <c r="AM47" s="10">
        <f t="shared" si="69"/>
        <v>1.0000000000000009E-2</v>
      </c>
      <c r="AN47" s="10">
        <f t="shared" si="69"/>
        <v>1.0000000000000009E-2</v>
      </c>
      <c r="AP47" s="1" t="s">
        <v>64</v>
      </c>
      <c r="AQ47" s="5">
        <f>AQ46/AN38</f>
        <v>139.47961516929539</v>
      </c>
    </row>
    <row r="48" spans="2:148" x14ac:dyDescent="0.3">
      <c r="B48" s="1" t="s">
        <v>47</v>
      </c>
      <c r="C48" s="10">
        <f t="shared" ref="C48:P48" si="70">C25/C22</f>
        <v>8.6960990903016899E-2</v>
      </c>
      <c r="D48" s="10">
        <f t="shared" si="70"/>
        <v>8.126815101645693E-2</v>
      </c>
      <c r="E48" s="10">
        <f t="shared" si="70"/>
        <v>8.0466444089611469E-2</v>
      </c>
      <c r="F48" s="10">
        <f t="shared" si="70"/>
        <v>7.2336177164639637E-2</v>
      </c>
      <c r="G48" s="10">
        <f t="shared" si="70"/>
        <v>8.7782725629381428E-2</v>
      </c>
      <c r="H48" s="10">
        <f t="shared" si="70"/>
        <v>7.6830632795988563E-2</v>
      </c>
      <c r="I48" s="10">
        <f t="shared" si="70"/>
        <v>8.0321925176301837E-2</v>
      </c>
      <c r="J48" s="10">
        <f t="shared" si="70"/>
        <v>9.092751743149019E-2</v>
      </c>
      <c r="K48" s="10">
        <f t="shared" si="70"/>
        <v>7.7364572686531963E-2</v>
      </c>
      <c r="L48" s="10">
        <f t="shared" si="70"/>
        <v>7.7277038181882043E-2</v>
      </c>
      <c r="M48" s="10">
        <f t="shared" si="70"/>
        <v>8.258554023491646E-2</v>
      </c>
      <c r="N48" s="10">
        <f t="shared" si="70"/>
        <v>8.0520380277895404E-2</v>
      </c>
      <c r="O48" s="10">
        <f t="shared" si="70"/>
        <v>9.1231407817364232E-2</v>
      </c>
      <c r="P48" s="10">
        <f t="shared" si="70"/>
        <v>7.8071812891182618E-2</v>
      </c>
      <c r="Q48" s="10">
        <f>Q25/Q22</f>
        <v>7.2974782414639588E-2</v>
      </c>
      <c r="R48" s="10">
        <f>R25/R22</f>
        <v>7.3713180601011605E-2</v>
      </c>
      <c r="S48" s="10"/>
      <c r="T48" s="10"/>
      <c r="U48" s="10"/>
      <c r="V48" s="10"/>
      <c r="X48" s="10">
        <f t="shared" ref="X48:AB48" si="71">X25/X22</f>
        <v>8.1543784299689809E-2</v>
      </c>
      <c r="Y48" s="10">
        <f t="shared" si="71"/>
        <v>9.0508692101271729E-2</v>
      </c>
      <c r="Z48" s="10">
        <f t="shared" si="71"/>
        <v>8.6141160353094742E-2</v>
      </c>
      <c r="AA48" s="10">
        <f t="shared" si="71"/>
        <v>8.0028978507606846E-2</v>
      </c>
      <c r="AB48" s="10">
        <f t="shared" si="71"/>
        <v>8.3910580975160229E-2</v>
      </c>
      <c r="AC48" s="10">
        <f>AC25/AC22</f>
        <v>7.9439339434493286E-2</v>
      </c>
      <c r="AD48" s="10">
        <f t="shared" ref="AD48:AN48" si="72">AD25/AD22</f>
        <v>7.8552718689732598E-2</v>
      </c>
      <c r="AE48" s="10">
        <f t="shared" si="72"/>
        <v>7.7449341948643197E-2</v>
      </c>
      <c r="AF48" s="10">
        <f t="shared" si="72"/>
        <v>7.6134847348842516E-2</v>
      </c>
      <c r="AG48" s="10">
        <f t="shared" si="72"/>
        <v>7.5230022369946886E-2</v>
      </c>
      <c r="AH48" s="10">
        <f t="shared" si="72"/>
        <v>7.4773474370711954E-2</v>
      </c>
      <c r="AI48" s="10">
        <f t="shared" si="72"/>
        <v>7.4318039217814935E-2</v>
      </c>
      <c r="AJ48" s="10">
        <f t="shared" si="72"/>
        <v>7.3852179505399865E-2</v>
      </c>
      <c r="AK48" s="10">
        <f t="shared" si="72"/>
        <v>7.3387458988055404E-2</v>
      </c>
      <c r="AL48" s="10">
        <f t="shared" si="72"/>
        <v>7.2923896039995217E-2</v>
      </c>
      <c r="AM48" s="10">
        <f t="shared" si="72"/>
        <v>7.24615088328808E-2</v>
      </c>
      <c r="AN48" s="10">
        <f t="shared" si="72"/>
        <v>7.2000315333435858E-2</v>
      </c>
      <c r="AP48" s="1" t="s">
        <v>65</v>
      </c>
      <c r="AQ48" s="5">
        <f>Main!D3</f>
        <v>171.08</v>
      </c>
    </row>
    <row r="49" spans="2:43" x14ac:dyDescent="0.3">
      <c r="B49" s="1" t="s">
        <v>48</v>
      </c>
      <c r="C49" s="10">
        <f t="shared" ref="C49:P49" si="73">C29/C22</f>
        <v>1.6343732332836487E-2</v>
      </c>
      <c r="D49" s="10">
        <f t="shared" si="73"/>
        <v>3.6931268151016446E-2</v>
      </c>
      <c r="E49" s="10">
        <f t="shared" si="73"/>
        <v>5.6708762761890893E-2</v>
      </c>
      <c r="F49" s="10">
        <f t="shared" si="73"/>
        <v>6.6709021601016757E-2</v>
      </c>
      <c r="G49" s="10">
        <f t="shared" si="73"/>
        <v>5.7669414928795008E-2</v>
      </c>
      <c r="H49" s="10">
        <f t="shared" si="73"/>
        <v>9.7343665824043774E-2</v>
      </c>
      <c r="I49" s="10">
        <f t="shared" si="73"/>
        <v>0.1021953065859198</v>
      </c>
      <c r="J49" s="10">
        <f t="shared" si="73"/>
        <v>8.731960434571083E-2</v>
      </c>
      <c r="K49" s="10">
        <f t="shared" si="73"/>
        <v>0.10209135938359933</v>
      </c>
      <c r="L49" s="10">
        <f t="shared" si="73"/>
        <v>9.164354209842282E-2</v>
      </c>
      <c r="M49" s="10">
        <f t="shared" si="73"/>
        <v>9.7103669657839051E-2</v>
      </c>
      <c r="N49" s="10">
        <f t="shared" si="73"/>
        <v>8.6178361110042054E-2</v>
      </c>
      <c r="O49" s="10">
        <f t="shared" si="73"/>
        <v>7.5795572466274677E-2</v>
      </c>
      <c r="P49" s="10">
        <f t="shared" si="73"/>
        <v>0.10676768785915595</v>
      </c>
      <c r="Q49" s="10">
        <f>Q29/Q22</f>
        <v>9.6853380941754066E-2</v>
      </c>
      <c r="R49" s="10">
        <f>R29/R22</f>
        <v>7.884558167212137E-2</v>
      </c>
      <c r="S49" s="10"/>
      <c r="T49" s="10"/>
      <c r="U49" s="10"/>
      <c r="V49" s="10"/>
      <c r="X49" s="10">
        <f t="shared" ref="X49:AB49" si="74">X29/X22</f>
        <v>9.508470532092575E-2</v>
      </c>
      <c r="Y49" s="10">
        <f t="shared" si="74"/>
        <v>7.1272313615680802E-2</v>
      </c>
      <c r="Z49" s="10">
        <f t="shared" si="74"/>
        <v>7.0399234875214892E-2</v>
      </c>
      <c r="AA49" s="10">
        <f t="shared" si="74"/>
        <v>4.4952909925138812E-2</v>
      </c>
      <c r="AB49" s="10">
        <f t="shared" si="74"/>
        <v>8.6726928214207993E-2</v>
      </c>
      <c r="AC49" s="10">
        <f>AC29/AC22</f>
        <v>9.4192093344019803E-2</v>
      </c>
      <c r="AD49" s="10">
        <f t="shared" ref="AD49:AN49" si="75">AD29/AD22</f>
        <v>9.0133655718987168E-2</v>
      </c>
      <c r="AE49" s="10">
        <f t="shared" si="75"/>
        <v>9.7328716344302804E-2</v>
      </c>
      <c r="AF49" s="10">
        <f t="shared" si="75"/>
        <v>9.8731839381759501E-2</v>
      </c>
      <c r="AG49" s="10">
        <f t="shared" si="75"/>
        <v>9.9647942754262822E-2</v>
      </c>
      <c r="AH49" s="10">
        <f t="shared" si="75"/>
        <v>0.10008566353428403</v>
      </c>
      <c r="AI49" s="10">
        <f t="shared" si="75"/>
        <v>0.1005223173597509</v>
      </c>
      <c r="AJ49" s="10">
        <f t="shared" si="75"/>
        <v>0.10091898939349002</v>
      </c>
      <c r="AK49" s="10">
        <f t="shared" si="75"/>
        <v>0.10131372306363516</v>
      </c>
      <c r="AL49" s="10">
        <f t="shared" si="75"/>
        <v>0.10170649249376189</v>
      </c>
      <c r="AM49" s="10">
        <f t="shared" si="75"/>
        <v>0.10209727195562393</v>
      </c>
      <c r="AN49" s="10">
        <f t="shared" si="75"/>
        <v>0.10248603587118302</v>
      </c>
      <c r="AP49" s="2" t="s">
        <v>66</v>
      </c>
      <c r="AQ49" s="12">
        <f>AQ47/AQ48-1</f>
        <v>-0.18471115753276024</v>
      </c>
    </row>
    <row r="50" spans="2:43" x14ac:dyDescent="0.3">
      <c r="B50" s="1" t="s">
        <v>36</v>
      </c>
      <c r="C50" s="10">
        <f t="shared" ref="C50:P50" si="76">C35/C34</f>
        <v>0.97652582159624624</v>
      </c>
      <c r="D50" s="10">
        <f t="shared" si="76"/>
        <v>0.31237322515212995</v>
      </c>
      <c r="E50" s="10">
        <f t="shared" si="76"/>
        <v>0.32361809045226164</v>
      </c>
      <c r="F50" s="10">
        <f t="shared" si="76"/>
        <v>0.2758293838862545</v>
      </c>
      <c r="G50" s="10">
        <f t="shared" si="76"/>
        <v>0.26429675425038651</v>
      </c>
      <c r="H50" s="10">
        <f t="shared" si="76"/>
        <v>0.24309153713298789</v>
      </c>
      <c r="I50" s="10">
        <f t="shared" si="76"/>
        <v>0.22908036454018216</v>
      </c>
      <c r="J50" s="10">
        <f t="shared" si="76"/>
        <v>0.22643442622950877</v>
      </c>
      <c r="K50" s="10">
        <f t="shared" si="76"/>
        <v>0.23089911355002113</v>
      </c>
      <c r="L50" s="10">
        <f t="shared" si="76"/>
        <v>0.23352247926669586</v>
      </c>
      <c r="M50" s="10">
        <f t="shared" si="76"/>
        <v>0.23771524569508612</v>
      </c>
      <c r="N50" s="10">
        <f t="shared" si="76"/>
        <v>0.22724987430869761</v>
      </c>
      <c r="O50" s="10">
        <f t="shared" si="76"/>
        <v>0.24403183023872663</v>
      </c>
      <c r="P50" s="10">
        <f t="shared" si="76"/>
        <v>0.24067921742340351</v>
      </c>
      <c r="Q50" s="10">
        <f>Q35/Q34</f>
        <v>0.17491610738255037</v>
      </c>
      <c r="R50" s="10">
        <f>R35/R34</f>
        <v>0.26292629262926304</v>
      </c>
      <c r="S50" s="10"/>
      <c r="T50" s="10"/>
      <c r="U50" s="10"/>
      <c r="V50" s="10"/>
      <c r="X50" s="10">
        <f t="shared" ref="X50:AB50" si="77">X35/X34</f>
        <v>0.22818702544292005</v>
      </c>
      <c r="Y50" s="10">
        <f t="shared" si="77"/>
        <v>0.2568890913231609</v>
      </c>
      <c r="Z50" s="10">
        <f t="shared" si="77"/>
        <v>5.0612572805784274E-2</v>
      </c>
      <c r="AA50" s="10">
        <f t="shared" si="77"/>
        <v>0.35377358490566085</v>
      </c>
      <c r="AB50" s="10">
        <f t="shared" si="77"/>
        <v>0.23821464393179559</v>
      </c>
      <c r="AC50" s="10">
        <f>AC35/AC34</f>
        <v>0.23255813953488336</v>
      </c>
      <c r="AD50" s="10">
        <f t="shared" ref="AD50:AN50" si="78">AD35/AD34</f>
        <v>0.22746169378786082</v>
      </c>
      <c r="AE50" s="10">
        <f t="shared" si="78"/>
        <v>0.22</v>
      </c>
      <c r="AF50" s="10">
        <f t="shared" si="78"/>
        <v>0.22</v>
      </c>
      <c r="AG50" s="10">
        <f t="shared" si="78"/>
        <v>0.22</v>
      </c>
      <c r="AH50" s="10">
        <f t="shared" si="78"/>
        <v>0.22</v>
      </c>
      <c r="AI50" s="10">
        <f t="shared" si="78"/>
        <v>0.22</v>
      </c>
      <c r="AJ50" s="10">
        <f t="shared" si="78"/>
        <v>0.22</v>
      </c>
      <c r="AK50" s="10">
        <f t="shared" si="78"/>
        <v>0.22</v>
      </c>
      <c r="AL50" s="10">
        <f t="shared" si="78"/>
        <v>0.22</v>
      </c>
      <c r="AM50" s="10">
        <f t="shared" si="78"/>
        <v>0.22</v>
      </c>
      <c r="AN50" s="10">
        <f t="shared" si="78"/>
        <v>0.22</v>
      </c>
      <c r="AP50" s="1" t="s">
        <v>67</v>
      </c>
      <c r="AQ50" s="7" t="s">
        <v>83</v>
      </c>
    </row>
    <row r="51" spans="2:43" x14ac:dyDescent="0.3">
      <c r="B51" s="1" t="s">
        <v>49</v>
      </c>
      <c r="C51" s="10">
        <f t="shared" ref="C51:P51" si="79">C37/C22</f>
        <v>-1.0279076938893259E-4</v>
      </c>
      <c r="D51" s="10">
        <f t="shared" si="79"/>
        <v>1.5537270087124872E-2</v>
      </c>
      <c r="E51" s="10">
        <f t="shared" si="79"/>
        <v>3.2370445637973533E-2</v>
      </c>
      <c r="F51" s="10">
        <f t="shared" si="79"/>
        <v>3.4080595389363103E-2</v>
      </c>
      <c r="G51" s="10">
        <f t="shared" si="79"/>
        <v>3.9019443587143397E-2</v>
      </c>
      <c r="H51" s="10">
        <f t="shared" si="79"/>
        <v>7.2520823836558793E-2</v>
      </c>
      <c r="I51" s="10">
        <f t="shared" si="79"/>
        <v>7.3190166938921913E-2</v>
      </c>
      <c r="J51" s="10">
        <f t="shared" si="79"/>
        <v>6.1131830711853206E-2</v>
      </c>
      <c r="K51" s="10">
        <f t="shared" si="79"/>
        <v>7.0524412296564185E-2</v>
      </c>
      <c r="L51" s="10">
        <f t="shared" si="79"/>
        <v>5.922231198847866E-2</v>
      </c>
      <c r="M51" s="10">
        <f t="shared" si="79"/>
        <v>6.5769314948566429E-2</v>
      </c>
      <c r="N51" s="10">
        <f t="shared" si="79"/>
        <v>5.8927677918478985E-2</v>
      </c>
      <c r="O51" s="10">
        <f t="shared" si="79"/>
        <v>4.8469387755102081E-2</v>
      </c>
      <c r="P51" s="10">
        <f t="shared" si="79"/>
        <v>7.4960652977563047E-2</v>
      </c>
      <c r="Q51" s="10">
        <f>Q37/Q22</f>
        <v>7.2974782414639588E-2</v>
      </c>
      <c r="R51" s="10">
        <f>R37/R22</f>
        <v>4.9761975602499245E-2</v>
      </c>
      <c r="S51" s="10"/>
      <c r="T51" s="10"/>
      <c r="U51" s="10"/>
      <c r="V51" s="10"/>
      <c r="X51" s="10">
        <f t="shared" ref="X51:AB51" si="80">X37/X22</f>
        <v>6.9124314006203724E-2</v>
      </c>
      <c r="Y51" s="10">
        <f t="shared" si="80"/>
        <v>4.7325282930813221E-2</v>
      </c>
      <c r="Z51" s="10">
        <f t="shared" si="80"/>
        <v>6.1093663164152892E-2</v>
      </c>
      <c r="AA51" s="10">
        <f t="shared" si="80"/>
        <v>2.0997343636802661E-2</v>
      </c>
      <c r="AB51" s="10">
        <f t="shared" si="80"/>
        <v>6.1918222387889639E-2</v>
      </c>
      <c r="AC51" s="10">
        <f>AC37/AC22</f>
        <v>6.3503010195523041E-2</v>
      </c>
      <c r="AD51" s="10">
        <f t="shared" ref="AD51:AN51" si="81">AD37/AD22</f>
        <v>6.2068833175018941E-2</v>
      </c>
      <c r="AE51" s="10">
        <f t="shared" si="81"/>
        <v>6.7087599633501541E-2</v>
      </c>
      <c r="AF51" s="10">
        <f t="shared" si="81"/>
        <v>6.8376303269803859E-2</v>
      </c>
      <c r="AG51" s="10">
        <f t="shared" si="81"/>
        <v>6.9172586208902098E-2</v>
      </c>
      <c r="AH51" s="10">
        <f t="shared" si="81"/>
        <v>6.9555488263694953E-2</v>
      </c>
      <c r="AI51" s="10">
        <f t="shared" si="81"/>
        <v>6.9937456985847718E-2</v>
      </c>
      <c r="AJ51" s="10">
        <f t="shared" si="81"/>
        <v>7.021624190118933E-2</v>
      </c>
      <c r="AK51" s="10">
        <f t="shared" si="81"/>
        <v>7.049362156633833E-2</v>
      </c>
      <c r="AL51" s="10">
        <f t="shared" si="81"/>
        <v>7.0769577341315157E-2</v>
      </c>
      <c r="AM51" s="10">
        <f t="shared" si="81"/>
        <v>7.1044090689203893E-2</v>
      </c>
      <c r="AN51" s="10">
        <f t="shared" si="81"/>
        <v>7.1317143177578798E-2</v>
      </c>
    </row>
    <row r="54" spans="2:43" s="13" customFormat="1" x14ac:dyDescent="0.3">
      <c r="B54" s="13" t="s">
        <v>68</v>
      </c>
      <c r="Q54" s="14">
        <v>9840.5</v>
      </c>
      <c r="AD54" s="14">
        <v>9840.5</v>
      </c>
    </row>
    <row r="55" spans="2:43" x14ac:dyDescent="0.3">
      <c r="B55" s="1" t="s">
        <v>69</v>
      </c>
      <c r="Q55" s="15">
        <f>Main!D9/Model!Q54</f>
        <v>1.1636059143336213</v>
      </c>
    </row>
    <row r="56" spans="2:43" x14ac:dyDescent="0.3">
      <c r="B56" s="1" t="s">
        <v>70</v>
      </c>
      <c r="Q56" s="10">
        <f>Q54/Main!D9-1</f>
        <v>-0.1406025118283416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2025-12-06T10:52:33Z</dcterms:created>
  <dcterms:modified xsi:type="dcterms:W3CDTF">2026-02-14T12:34:17Z</dcterms:modified>
</cp:coreProperties>
</file>