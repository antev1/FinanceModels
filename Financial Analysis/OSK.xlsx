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9E4D067F-035C-40F1-9738-F3AC423ED364}" xr6:coauthVersionLast="47" xr6:coauthVersionMax="47" xr10:uidLastSave="{00000000-0000-0000-0000-000000000000}"/>
  <bookViews>
    <workbookView xWindow="-108" yWindow="-108" windowWidth="23256" windowHeight="12576" xr2:uid="{23F63AA5-7803-4ED9-8AF9-166BE1B1437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7" i="2" l="1"/>
  <c r="Q46" i="2"/>
  <c r="AM39" i="2"/>
  <c r="AM36" i="2"/>
  <c r="AJ29" i="2"/>
  <c r="AI29" i="2"/>
  <c r="AH29" i="2"/>
  <c r="AG29" i="2"/>
  <c r="AF29" i="2"/>
  <c r="AE29" i="2"/>
  <c r="AD29" i="2"/>
  <c r="AC29" i="2"/>
  <c r="AB29" i="2"/>
  <c r="AA29" i="2"/>
  <c r="X35" i="2"/>
  <c r="X34" i="2"/>
  <c r="X33" i="2"/>
  <c r="X32" i="2"/>
  <c r="Y35" i="2"/>
  <c r="Y34" i="2"/>
  <c r="Y33" i="2"/>
  <c r="Y32" i="2"/>
  <c r="P35" i="2"/>
  <c r="O35" i="2"/>
  <c r="P34" i="2"/>
  <c r="O34" i="2"/>
  <c r="P33" i="2"/>
  <c r="O33" i="2"/>
  <c r="P32" i="2"/>
  <c r="O32" i="2"/>
  <c r="Q35" i="2"/>
  <c r="Q34" i="2"/>
  <c r="Q33" i="2"/>
  <c r="Q32" i="2"/>
  <c r="N12" i="2"/>
  <c r="R12" i="2" s="1"/>
  <c r="N11" i="2"/>
  <c r="R11" i="2" s="1"/>
  <c r="N10" i="2"/>
  <c r="R10" i="2" s="1"/>
  <c r="N9" i="2"/>
  <c r="R9" i="2" s="1"/>
  <c r="W13" i="2"/>
  <c r="F13" i="2" s="1"/>
  <c r="X13" i="2"/>
  <c r="X15" i="2" s="1"/>
  <c r="X37" i="2" s="1"/>
  <c r="Y13" i="2"/>
  <c r="O13" i="2"/>
  <c r="O39" i="2" s="1"/>
  <c r="K13" i="2"/>
  <c r="L13" i="2"/>
  <c r="L39" i="2" s="1"/>
  <c r="M13" i="2"/>
  <c r="M39" i="2" s="1"/>
  <c r="Q13" i="2"/>
  <c r="Z27" i="2"/>
  <c r="Z23" i="2"/>
  <c r="Z22" i="2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Z21" i="2"/>
  <c r="AA21" i="2" s="1"/>
  <c r="Z18" i="2"/>
  <c r="Z17" i="2"/>
  <c r="AA17" i="2" s="1"/>
  <c r="AB17" i="2" s="1"/>
  <c r="AC17" i="2" s="1"/>
  <c r="AD17" i="2" s="1"/>
  <c r="AE17" i="2" s="1"/>
  <c r="AF17" i="2" s="1"/>
  <c r="AG17" i="2" s="1"/>
  <c r="AH17" i="2" s="1"/>
  <c r="AI17" i="2" s="1"/>
  <c r="AJ17" i="2" s="1"/>
  <c r="Z29" i="2"/>
  <c r="R29" i="2"/>
  <c r="R24" i="2"/>
  <c r="V39" i="2"/>
  <c r="U39" i="2"/>
  <c r="T39" i="2"/>
  <c r="X38" i="2"/>
  <c r="W38" i="2"/>
  <c r="V38" i="2"/>
  <c r="U38" i="2"/>
  <c r="V36" i="2"/>
  <c r="U36" i="2"/>
  <c r="Y38" i="2"/>
  <c r="P39" i="2"/>
  <c r="I39" i="2"/>
  <c r="H39" i="2"/>
  <c r="G39" i="2"/>
  <c r="E39" i="2"/>
  <c r="D39" i="2"/>
  <c r="C39" i="2"/>
  <c r="P38" i="2"/>
  <c r="O38" i="2"/>
  <c r="M38" i="2"/>
  <c r="L38" i="2"/>
  <c r="K38" i="2"/>
  <c r="I38" i="2"/>
  <c r="H38" i="2"/>
  <c r="G38" i="2"/>
  <c r="I36" i="2"/>
  <c r="H36" i="2"/>
  <c r="G36" i="2"/>
  <c r="Q39" i="2"/>
  <c r="Q38" i="2"/>
  <c r="F27" i="2"/>
  <c r="F26" i="2"/>
  <c r="F23" i="2"/>
  <c r="F22" i="2"/>
  <c r="F21" i="2"/>
  <c r="F18" i="2"/>
  <c r="F17" i="2"/>
  <c r="F16" i="2"/>
  <c r="F14" i="2"/>
  <c r="F29" i="2"/>
  <c r="J27" i="2"/>
  <c r="J26" i="2"/>
  <c r="J23" i="2"/>
  <c r="J22" i="2"/>
  <c r="J21" i="2"/>
  <c r="J18" i="2"/>
  <c r="J17" i="2"/>
  <c r="J16" i="2"/>
  <c r="J14" i="2"/>
  <c r="J29" i="2"/>
  <c r="D29" i="2"/>
  <c r="D24" i="2"/>
  <c r="D19" i="2"/>
  <c r="D15" i="2"/>
  <c r="D37" i="2" s="1"/>
  <c r="I29" i="2"/>
  <c r="H29" i="2"/>
  <c r="G29" i="2"/>
  <c r="I24" i="2"/>
  <c r="H24" i="2"/>
  <c r="G24" i="2"/>
  <c r="I19" i="2"/>
  <c r="H19" i="2"/>
  <c r="G19" i="2"/>
  <c r="I15" i="2"/>
  <c r="I37" i="2" s="1"/>
  <c r="H15" i="2"/>
  <c r="H37" i="2" s="1"/>
  <c r="G15" i="2"/>
  <c r="G37" i="2" s="1"/>
  <c r="C29" i="2"/>
  <c r="C24" i="2"/>
  <c r="C19" i="2"/>
  <c r="C15" i="2"/>
  <c r="C37" i="2" s="1"/>
  <c r="E29" i="2"/>
  <c r="E24" i="2"/>
  <c r="E19" i="2"/>
  <c r="E15" i="2"/>
  <c r="E37" i="2" s="1"/>
  <c r="N27" i="2"/>
  <c r="N26" i="2"/>
  <c r="N23" i="2"/>
  <c r="N22" i="2"/>
  <c r="N21" i="2"/>
  <c r="N18" i="2"/>
  <c r="N17" i="2"/>
  <c r="N16" i="2"/>
  <c r="N14" i="2"/>
  <c r="N29" i="2"/>
  <c r="O19" i="2"/>
  <c r="O24" i="2"/>
  <c r="O29" i="2"/>
  <c r="T29" i="2"/>
  <c r="T24" i="2"/>
  <c r="T19" i="2"/>
  <c r="T15" i="2"/>
  <c r="T37" i="2" s="1"/>
  <c r="U29" i="2"/>
  <c r="U24" i="2"/>
  <c r="U19" i="2"/>
  <c r="U15" i="2"/>
  <c r="U37" i="2" s="1"/>
  <c r="V29" i="2"/>
  <c r="V24" i="2"/>
  <c r="V19" i="2"/>
  <c r="V15" i="2"/>
  <c r="V37" i="2" s="1"/>
  <c r="W29" i="2"/>
  <c r="W24" i="2"/>
  <c r="W19" i="2"/>
  <c r="X29" i="2"/>
  <c r="X24" i="2"/>
  <c r="X19" i="2"/>
  <c r="Y29" i="2"/>
  <c r="Y24" i="2"/>
  <c r="Y19" i="2"/>
  <c r="K29" i="2"/>
  <c r="K24" i="2"/>
  <c r="K19" i="2"/>
  <c r="L29" i="2"/>
  <c r="L24" i="2"/>
  <c r="L19" i="2"/>
  <c r="P29" i="2"/>
  <c r="P24" i="2"/>
  <c r="P19" i="2"/>
  <c r="P15" i="2"/>
  <c r="P37" i="2" s="1"/>
  <c r="M29" i="2"/>
  <c r="M24" i="2"/>
  <c r="M19" i="2"/>
  <c r="M15" i="2"/>
  <c r="M37" i="2" s="1"/>
  <c r="Q29" i="2"/>
  <c r="Q24" i="2"/>
  <c r="Q19" i="2"/>
  <c r="Q15" i="2"/>
  <c r="Q37" i="2" s="1"/>
  <c r="D9" i="1"/>
  <c r="D8" i="1"/>
  <c r="D7" i="1"/>
  <c r="D6" i="1"/>
  <c r="D5" i="1"/>
  <c r="D4" i="1"/>
  <c r="F3" i="1"/>
  <c r="M36" i="2" l="1"/>
  <c r="R35" i="2"/>
  <c r="Z12" i="2"/>
  <c r="AA24" i="2"/>
  <c r="AB21" i="2"/>
  <c r="R34" i="2"/>
  <c r="Z11" i="2"/>
  <c r="Z9" i="2"/>
  <c r="R32" i="2"/>
  <c r="R13" i="2"/>
  <c r="Z10" i="2"/>
  <c r="R33" i="2"/>
  <c r="L15" i="2"/>
  <c r="L37" i="2" s="1"/>
  <c r="L36" i="2"/>
  <c r="Q36" i="2"/>
  <c r="N38" i="2"/>
  <c r="O15" i="2"/>
  <c r="O37" i="2" s="1"/>
  <c r="Z24" i="2"/>
  <c r="O36" i="2"/>
  <c r="W39" i="2"/>
  <c r="W36" i="2"/>
  <c r="W15" i="2"/>
  <c r="W37" i="2" s="1"/>
  <c r="J13" i="2"/>
  <c r="J39" i="2" s="1"/>
  <c r="X36" i="2"/>
  <c r="X39" i="2"/>
  <c r="Y36" i="2"/>
  <c r="Y39" i="2"/>
  <c r="Y15" i="2"/>
  <c r="Y37" i="2" s="1"/>
  <c r="K36" i="2"/>
  <c r="K15" i="2"/>
  <c r="K37" i="2" s="1"/>
  <c r="K39" i="2"/>
  <c r="N13" i="2"/>
  <c r="P36" i="2"/>
  <c r="F19" i="2"/>
  <c r="J24" i="2"/>
  <c r="F24" i="2"/>
  <c r="J38" i="2"/>
  <c r="J19" i="2"/>
  <c r="G20" i="2"/>
  <c r="H20" i="2"/>
  <c r="I20" i="2"/>
  <c r="F39" i="2"/>
  <c r="R16" i="2"/>
  <c r="F15" i="2"/>
  <c r="D20" i="2"/>
  <c r="C20" i="2"/>
  <c r="E20" i="2"/>
  <c r="Q20" i="2"/>
  <c r="N24" i="2"/>
  <c r="N19" i="2"/>
  <c r="T20" i="2"/>
  <c r="U20" i="2"/>
  <c r="V20" i="2"/>
  <c r="X20" i="2"/>
  <c r="L20" i="2"/>
  <c r="P20" i="2"/>
  <c r="M20" i="2"/>
  <c r="O20" i="2" l="1"/>
  <c r="Z32" i="2"/>
  <c r="AA9" i="2"/>
  <c r="Z34" i="2"/>
  <c r="AA11" i="2"/>
  <c r="Z13" i="2"/>
  <c r="Z36" i="2" s="1"/>
  <c r="AB24" i="2"/>
  <c r="AC21" i="2"/>
  <c r="Z33" i="2"/>
  <c r="AA10" i="2"/>
  <c r="Z35" i="2"/>
  <c r="AA12" i="2"/>
  <c r="K20" i="2"/>
  <c r="K25" i="2" s="1"/>
  <c r="Y20" i="2"/>
  <c r="Y25" i="2" s="1"/>
  <c r="W20" i="2"/>
  <c r="W40" i="2" s="1"/>
  <c r="J36" i="2"/>
  <c r="J15" i="2"/>
  <c r="J37" i="2" s="1"/>
  <c r="N15" i="2"/>
  <c r="N37" i="2" s="1"/>
  <c r="R36" i="2"/>
  <c r="R15" i="2"/>
  <c r="N39" i="2"/>
  <c r="N36" i="2"/>
  <c r="M25" i="2"/>
  <c r="M40" i="2"/>
  <c r="C25" i="2"/>
  <c r="C40" i="2"/>
  <c r="P25" i="2"/>
  <c r="P40" i="2"/>
  <c r="D25" i="2"/>
  <c r="D40" i="2"/>
  <c r="L25" i="2"/>
  <c r="L40" i="2"/>
  <c r="R38" i="2"/>
  <c r="Z16" i="2"/>
  <c r="AA16" i="2" s="1"/>
  <c r="R19" i="2"/>
  <c r="X25" i="2"/>
  <c r="X40" i="2"/>
  <c r="O25" i="2"/>
  <c r="O40" i="2"/>
  <c r="I40" i="2"/>
  <c r="I25" i="2"/>
  <c r="U25" i="2"/>
  <c r="U40" i="2"/>
  <c r="G25" i="2"/>
  <c r="G40" i="2"/>
  <c r="F20" i="2"/>
  <c r="F37" i="2"/>
  <c r="R39" i="2"/>
  <c r="Q25" i="2"/>
  <c r="Q40" i="2"/>
  <c r="H25" i="2"/>
  <c r="H40" i="2"/>
  <c r="T25" i="2"/>
  <c r="T40" i="2"/>
  <c r="V25" i="2"/>
  <c r="V40" i="2"/>
  <c r="E25" i="2"/>
  <c r="E40" i="2"/>
  <c r="K40" i="2" l="1"/>
  <c r="AC24" i="2"/>
  <c r="AD21" i="2"/>
  <c r="Y40" i="2"/>
  <c r="W25" i="2"/>
  <c r="W41" i="2" s="1"/>
  <c r="AA19" i="2"/>
  <c r="AB16" i="2"/>
  <c r="AB38" i="2" s="1"/>
  <c r="AB12" i="2"/>
  <c r="AA35" i="2"/>
  <c r="AB11" i="2"/>
  <c r="AA34" i="2"/>
  <c r="AB10" i="2"/>
  <c r="AC10" i="2" s="1"/>
  <c r="AA33" i="2"/>
  <c r="AA13" i="2"/>
  <c r="AA39" i="2" s="1"/>
  <c r="AB9" i="2"/>
  <c r="AA32" i="2"/>
  <c r="J20" i="2"/>
  <c r="N20" i="2"/>
  <c r="N40" i="2" s="1"/>
  <c r="F25" i="2"/>
  <c r="F40" i="2"/>
  <c r="V28" i="2"/>
  <c r="V41" i="2"/>
  <c r="D28" i="2"/>
  <c r="D41" i="2"/>
  <c r="G28" i="2"/>
  <c r="G41" i="2"/>
  <c r="O28" i="2"/>
  <c r="O41" i="2"/>
  <c r="Q28" i="2"/>
  <c r="Q41" i="2"/>
  <c r="U28" i="2"/>
  <c r="U41" i="2"/>
  <c r="K28" i="2"/>
  <c r="K41" i="2"/>
  <c r="X28" i="2"/>
  <c r="X41" i="2"/>
  <c r="Y28" i="2"/>
  <c r="Y41" i="2"/>
  <c r="T28" i="2"/>
  <c r="T41" i="2"/>
  <c r="I28" i="2"/>
  <c r="I41" i="2"/>
  <c r="P28" i="2"/>
  <c r="P41" i="2"/>
  <c r="E28" i="2"/>
  <c r="E41" i="2"/>
  <c r="H28" i="2"/>
  <c r="H41" i="2"/>
  <c r="C28" i="2"/>
  <c r="C41" i="2"/>
  <c r="AA38" i="2"/>
  <c r="Z38" i="2"/>
  <c r="Z19" i="2"/>
  <c r="Z39" i="2"/>
  <c r="L28" i="2"/>
  <c r="L41" i="2"/>
  <c r="M28" i="2"/>
  <c r="M41" i="2"/>
  <c r="W28" i="2" l="1"/>
  <c r="AB33" i="2"/>
  <c r="AB19" i="2"/>
  <c r="AC16" i="2"/>
  <c r="AD10" i="2"/>
  <c r="AC33" i="2"/>
  <c r="AB34" i="2"/>
  <c r="AC11" i="2"/>
  <c r="AE21" i="2"/>
  <c r="AD24" i="2"/>
  <c r="AA15" i="2"/>
  <c r="AA37" i="2" s="1"/>
  <c r="AA36" i="2"/>
  <c r="AC9" i="2"/>
  <c r="AB13" i="2"/>
  <c r="AB39" i="2" s="1"/>
  <c r="AB32" i="2"/>
  <c r="AC12" i="2"/>
  <c r="AB35" i="2"/>
  <c r="J40" i="2"/>
  <c r="J25" i="2"/>
  <c r="N25" i="2"/>
  <c r="N28" i="2" s="1"/>
  <c r="N30" i="2" s="1"/>
  <c r="H30" i="2"/>
  <c r="H42" i="2"/>
  <c r="E30" i="2"/>
  <c r="E42" i="2"/>
  <c r="Y30" i="2"/>
  <c r="Y42" i="2"/>
  <c r="U30" i="2"/>
  <c r="U42" i="2"/>
  <c r="D30" i="2"/>
  <c r="D42" i="2"/>
  <c r="M30" i="2"/>
  <c r="M42" i="2"/>
  <c r="P30" i="2"/>
  <c r="P42" i="2"/>
  <c r="X30" i="2"/>
  <c r="X42" i="2"/>
  <c r="Q30" i="2"/>
  <c r="Q42" i="2"/>
  <c r="W30" i="2"/>
  <c r="W42" i="2"/>
  <c r="L30" i="2"/>
  <c r="L42" i="2"/>
  <c r="C30" i="2"/>
  <c r="C42" i="2"/>
  <c r="I30" i="2"/>
  <c r="I42" i="2"/>
  <c r="O30" i="2"/>
  <c r="O42" i="2"/>
  <c r="V30" i="2"/>
  <c r="V42" i="2"/>
  <c r="T30" i="2"/>
  <c r="T42" i="2"/>
  <c r="K30" i="2"/>
  <c r="K42" i="2"/>
  <c r="G30" i="2"/>
  <c r="G42" i="2"/>
  <c r="F28" i="2"/>
  <c r="F41" i="2"/>
  <c r="AA20" i="2" l="1"/>
  <c r="AA40" i="2" s="1"/>
  <c r="AA14" i="2"/>
  <c r="AE10" i="2"/>
  <c r="AD33" i="2"/>
  <c r="AD12" i="2"/>
  <c r="AC35" i="2"/>
  <c r="AC13" i="2"/>
  <c r="AC39" i="2" s="1"/>
  <c r="AD9" i="2"/>
  <c r="AD11" i="2"/>
  <c r="AC34" i="2"/>
  <c r="AC32" i="2"/>
  <c r="AC19" i="2"/>
  <c r="AD16" i="2"/>
  <c r="AC38" i="2"/>
  <c r="AB15" i="2"/>
  <c r="AB37" i="2" s="1"/>
  <c r="AB36" i="2"/>
  <c r="AE24" i="2"/>
  <c r="AF21" i="2"/>
  <c r="J28" i="2"/>
  <c r="J41" i="2"/>
  <c r="N42" i="2"/>
  <c r="N41" i="2"/>
  <c r="F30" i="2"/>
  <c r="F42" i="2"/>
  <c r="AA25" i="2" l="1"/>
  <c r="AA26" i="2" s="1"/>
  <c r="AA41" i="2" s="1"/>
  <c r="AD32" i="2"/>
  <c r="AD13" i="2"/>
  <c r="AD39" i="2" s="1"/>
  <c r="AE9" i="2"/>
  <c r="AC15" i="2"/>
  <c r="AC20" i="2" s="1"/>
  <c r="AC36" i="2"/>
  <c r="AB20" i="2"/>
  <c r="AD19" i="2"/>
  <c r="AE16" i="2"/>
  <c r="AD38" i="2"/>
  <c r="AF24" i="2"/>
  <c r="AG21" i="2"/>
  <c r="AD35" i="2"/>
  <c r="AE12" i="2"/>
  <c r="AE11" i="2"/>
  <c r="AD34" i="2"/>
  <c r="AF10" i="2"/>
  <c r="AE33" i="2"/>
  <c r="AB14" i="2"/>
  <c r="J42" i="2"/>
  <c r="J30" i="2"/>
  <c r="AA27" i="2" l="1"/>
  <c r="AA28" i="2" s="1"/>
  <c r="AA42" i="2" s="1"/>
  <c r="AC25" i="2"/>
  <c r="AC40" i="2"/>
  <c r="AF11" i="2"/>
  <c r="AE34" i="2"/>
  <c r="AF16" i="2"/>
  <c r="AE19" i="2"/>
  <c r="AE38" i="2"/>
  <c r="AB25" i="2"/>
  <c r="AB40" i="2"/>
  <c r="AF12" i="2"/>
  <c r="AE35" i="2"/>
  <c r="AH21" i="2"/>
  <c r="AG24" i="2"/>
  <c r="AC14" i="2"/>
  <c r="AC37" i="2"/>
  <c r="AG10" i="2"/>
  <c r="AF33" i="2"/>
  <c r="AE13" i="2"/>
  <c r="AE39" i="2" s="1"/>
  <c r="AF9" i="2"/>
  <c r="AE32" i="2"/>
  <c r="AD15" i="2"/>
  <c r="AD36" i="2"/>
  <c r="AA30" i="2" l="1"/>
  <c r="AG16" i="2"/>
  <c r="AF19" i="2"/>
  <c r="AF38" i="2"/>
  <c r="AF13" i="2"/>
  <c r="AF39" i="2" s="1"/>
  <c r="AG9" i="2"/>
  <c r="AF32" i="2"/>
  <c r="AH10" i="2"/>
  <c r="AG33" i="2"/>
  <c r="AE15" i="2"/>
  <c r="AE37" i="2" s="1"/>
  <c r="AE36" i="2"/>
  <c r="AG11" i="2"/>
  <c r="AF34" i="2"/>
  <c r="AD14" i="2"/>
  <c r="AD20" i="2"/>
  <c r="AD37" i="2"/>
  <c r="AI21" i="2"/>
  <c r="AH24" i="2"/>
  <c r="AF35" i="2"/>
  <c r="AG12" i="2"/>
  <c r="AB27" i="2"/>
  <c r="AB26" i="2"/>
  <c r="AB41" i="2" s="1"/>
  <c r="AC27" i="2"/>
  <c r="AC26" i="2"/>
  <c r="AC41" i="2" s="1"/>
  <c r="AE20" i="2" l="1"/>
  <c r="AE40" i="2" s="1"/>
  <c r="AC28" i="2"/>
  <c r="AB28" i="2"/>
  <c r="AB30" i="2" s="1"/>
  <c r="AH11" i="2"/>
  <c r="AG34" i="2"/>
  <c r="AG13" i="2"/>
  <c r="AH9" i="2"/>
  <c r="AG32" i="2"/>
  <c r="AF36" i="2"/>
  <c r="AF15" i="2"/>
  <c r="AH12" i="2"/>
  <c r="AG35" i="2"/>
  <c r="AJ21" i="2"/>
  <c r="AJ24" i="2" s="1"/>
  <c r="AI24" i="2"/>
  <c r="AE14" i="2"/>
  <c r="AD40" i="2"/>
  <c r="AD25" i="2"/>
  <c r="AI10" i="2"/>
  <c r="AH33" i="2"/>
  <c r="AH16" i="2"/>
  <c r="AG19" i="2"/>
  <c r="AG38" i="2"/>
  <c r="AC30" i="2" l="1"/>
  <c r="AC42" i="2"/>
  <c r="AE25" i="2"/>
  <c r="AE27" i="2" s="1"/>
  <c r="AB42" i="2"/>
  <c r="AD27" i="2"/>
  <c r="AD26" i="2"/>
  <c r="AD41" i="2" s="1"/>
  <c r="AI12" i="2"/>
  <c r="AH35" i="2"/>
  <c r="AI11" i="2"/>
  <c r="AH34" i="2"/>
  <c r="AF14" i="2"/>
  <c r="AF20" i="2"/>
  <c r="AF37" i="2"/>
  <c r="AI9" i="2"/>
  <c r="AH13" i="2"/>
  <c r="AH39" i="2" s="1"/>
  <c r="AH32" i="2"/>
  <c r="AG36" i="2"/>
  <c r="AG15" i="2"/>
  <c r="AG14" i="2" s="1"/>
  <c r="AJ10" i="2"/>
  <c r="AJ33" i="2" s="1"/>
  <c r="AI33" i="2"/>
  <c r="AE26" i="2"/>
  <c r="AE41" i="2" s="1"/>
  <c r="AG39" i="2"/>
  <c r="AI16" i="2"/>
  <c r="AH19" i="2"/>
  <c r="AH38" i="2"/>
  <c r="AD28" i="2" l="1"/>
  <c r="AD42" i="2" s="1"/>
  <c r="AF40" i="2"/>
  <c r="AF25" i="2"/>
  <c r="AG20" i="2"/>
  <c r="AG37" i="2"/>
  <c r="AJ11" i="2"/>
  <c r="AJ34" i="2" s="1"/>
  <c r="AI34" i="2"/>
  <c r="AE28" i="2"/>
  <c r="AH15" i="2"/>
  <c r="AH37" i="2" s="1"/>
  <c r="AH36" i="2"/>
  <c r="AJ12" i="2"/>
  <c r="AJ35" i="2" s="1"/>
  <c r="AI35" i="2"/>
  <c r="AJ16" i="2"/>
  <c r="AI19" i="2"/>
  <c r="AI38" i="2"/>
  <c r="AJ9" i="2"/>
  <c r="AI13" i="2"/>
  <c r="AI32" i="2"/>
  <c r="AH20" i="2" l="1"/>
  <c r="AH40" i="2" s="1"/>
  <c r="AD30" i="2"/>
  <c r="AH14" i="2"/>
  <c r="AG40" i="2"/>
  <c r="AG25" i="2"/>
  <c r="AF26" i="2"/>
  <c r="AF41" i="2" s="1"/>
  <c r="AF27" i="2"/>
  <c r="AF28" i="2" s="1"/>
  <c r="AJ19" i="2"/>
  <c r="AJ38" i="2"/>
  <c r="AI15" i="2"/>
  <c r="AI37" i="2" s="1"/>
  <c r="AI36" i="2"/>
  <c r="AJ13" i="2"/>
  <c r="AJ39" i="2" s="1"/>
  <c r="AJ32" i="2"/>
  <c r="AI39" i="2"/>
  <c r="AE42" i="2"/>
  <c r="AE30" i="2"/>
  <c r="AH25" i="2" l="1"/>
  <c r="AH26" i="2" s="1"/>
  <c r="AH41" i="2" s="1"/>
  <c r="AI14" i="2"/>
  <c r="AJ15" i="2"/>
  <c r="AJ36" i="2"/>
  <c r="AF42" i="2"/>
  <c r="AF30" i="2"/>
  <c r="AJ20" i="2"/>
  <c r="AG27" i="2"/>
  <c r="AG26" i="2"/>
  <c r="AG41" i="2" s="1"/>
  <c r="AI20" i="2"/>
  <c r="AH27" i="2" l="1"/>
  <c r="AH28" i="2" s="1"/>
  <c r="AH42" i="2" s="1"/>
  <c r="AG28" i="2"/>
  <c r="AG30" i="2" s="1"/>
  <c r="AJ40" i="2"/>
  <c r="AJ25" i="2"/>
  <c r="AI40" i="2"/>
  <c r="AI25" i="2"/>
  <c r="AJ14" i="2"/>
  <c r="AJ37" i="2"/>
  <c r="AH30" i="2" l="1"/>
  <c r="AG42" i="2"/>
  <c r="AI27" i="2"/>
  <c r="AI26" i="2"/>
  <c r="AI41" i="2" s="1"/>
  <c r="AJ27" i="2"/>
  <c r="AJ26" i="2"/>
  <c r="AJ41" i="2" s="1"/>
  <c r="AI28" i="2" l="1"/>
  <c r="AI42" i="2" s="1"/>
  <c r="AJ28" i="2"/>
  <c r="AI30" i="2" l="1"/>
  <c r="AK28" i="2"/>
  <c r="AL28" i="2" s="1"/>
  <c r="AM28" i="2" s="1"/>
  <c r="AN28" i="2" s="1"/>
  <c r="AO28" i="2" s="1"/>
  <c r="AP28" i="2" s="1"/>
  <c r="AQ28" i="2" s="1"/>
  <c r="AR28" i="2" s="1"/>
  <c r="AS28" i="2" s="1"/>
  <c r="AT28" i="2" s="1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BG28" i="2" s="1"/>
  <c r="BH28" i="2" s="1"/>
  <c r="BI28" i="2" s="1"/>
  <c r="BJ28" i="2" s="1"/>
  <c r="BK28" i="2" s="1"/>
  <c r="BL28" i="2" s="1"/>
  <c r="BM28" i="2" s="1"/>
  <c r="BN28" i="2" s="1"/>
  <c r="BO28" i="2" s="1"/>
  <c r="BP28" i="2" s="1"/>
  <c r="BQ28" i="2" s="1"/>
  <c r="BR28" i="2" s="1"/>
  <c r="BS28" i="2" s="1"/>
  <c r="BT28" i="2" s="1"/>
  <c r="BU28" i="2" s="1"/>
  <c r="BV28" i="2" s="1"/>
  <c r="BW28" i="2" s="1"/>
  <c r="BX28" i="2" s="1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CI28" i="2" s="1"/>
  <c r="CJ28" i="2" s="1"/>
  <c r="CK28" i="2" s="1"/>
  <c r="CL28" i="2" s="1"/>
  <c r="CM28" i="2" s="1"/>
  <c r="CN28" i="2" s="1"/>
  <c r="CO28" i="2" s="1"/>
  <c r="CP28" i="2" s="1"/>
  <c r="CQ28" i="2" s="1"/>
  <c r="CR28" i="2" s="1"/>
  <c r="CS28" i="2" s="1"/>
  <c r="CT28" i="2" s="1"/>
  <c r="CU28" i="2" s="1"/>
  <c r="CV28" i="2" s="1"/>
  <c r="CW28" i="2" s="1"/>
  <c r="CX28" i="2" s="1"/>
  <c r="CY28" i="2" s="1"/>
  <c r="CZ28" i="2" s="1"/>
  <c r="DA28" i="2" s="1"/>
  <c r="DB28" i="2" s="1"/>
  <c r="DC28" i="2" s="1"/>
  <c r="DD28" i="2" s="1"/>
  <c r="DE28" i="2" s="1"/>
  <c r="DF28" i="2" s="1"/>
  <c r="DG28" i="2" s="1"/>
  <c r="DH28" i="2" s="1"/>
  <c r="DI28" i="2" s="1"/>
  <c r="DJ28" i="2" s="1"/>
  <c r="DK28" i="2" s="1"/>
  <c r="DL28" i="2" s="1"/>
  <c r="DM28" i="2" s="1"/>
  <c r="DN28" i="2" s="1"/>
  <c r="DO28" i="2" s="1"/>
  <c r="DP28" i="2" s="1"/>
  <c r="DQ28" i="2" s="1"/>
  <c r="DR28" i="2" s="1"/>
  <c r="DS28" i="2" s="1"/>
  <c r="DT28" i="2" s="1"/>
  <c r="DU28" i="2" s="1"/>
  <c r="DV28" i="2" s="1"/>
  <c r="DW28" i="2" s="1"/>
  <c r="DX28" i="2" s="1"/>
  <c r="DY28" i="2" s="1"/>
  <c r="DZ28" i="2" s="1"/>
  <c r="EA28" i="2" s="1"/>
  <c r="EB28" i="2" s="1"/>
  <c r="EC28" i="2" s="1"/>
  <c r="ED28" i="2" s="1"/>
  <c r="EE28" i="2" s="1"/>
  <c r="EF28" i="2" s="1"/>
  <c r="EG28" i="2" s="1"/>
  <c r="EH28" i="2" s="1"/>
  <c r="EI28" i="2" s="1"/>
  <c r="EJ28" i="2" s="1"/>
  <c r="EK28" i="2" s="1"/>
  <c r="EL28" i="2" s="1"/>
  <c r="EM28" i="2" s="1"/>
  <c r="EN28" i="2" s="1"/>
  <c r="AJ42" i="2"/>
  <c r="AJ30" i="2"/>
  <c r="R20" i="2" l="1"/>
  <c r="R25" i="2" s="1"/>
  <c r="R26" i="2" s="1"/>
  <c r="Z26" i="2" s="1"/>
  <c r="R14" i="2"/>
  <c r="Z14" i="2" s="1"/>
  <c r="Z15" i="2" s="1"/>
  <c r="R37" i="2"/>
  <c r="Z20" i="2" l="1"/>
  <c r="Z37" i="2"/>
  <c r="R40" i="2"/>
  <c r="R28" i="2"/>
  <c r="R41" i="2"/>
  <c r="Z40" i="2" l="1"/>
  <c r="Z25" i="2"/>
  <c r="R42" i="2"/>
  <c r="R30" i="2"/>
  <c r="Z28" i="2" l="1"/>
  <c r="Z41" i="2"/>
  <c r="AM35" i="2" l="1"/>
  <c r="AM37" i="2" s="1"/>
  <c r="AM38" i="2" s="1"/>
  <c r="AM40" i="2" s="1"/>
  <c r="Z30" i="2"/>
  <c r="Z42" i="2"/>
</calcChain>
</file>

<file path=xl/sharedStrings.xml><?xml version="1.0" encoding="utf-8"?>
<sst xmlns="http://schemas.openxmlformats.org/spreadsheetml/2006/main" count="82" uniqueCount="73">
  <si>
    <t>OSK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</si>
  <si>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</si>
  <si>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</si>
  <si>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</si>
  <si>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</si>
  <si>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</si>
  <si>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</si>
  <si>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</si>
  <si>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</si>
  <si>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</si>
  <si>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</si>
  <si>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Q325</t>
  </si>
  <si>
    <t>Revenue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</si>
  <si>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</si>
  <si>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</si>
  <si>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</si>
  <si>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</si>
  <si>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</si>
  <si>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</si>
  <si>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</si>
  <si>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</si>
  <si>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</si>
  <si>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</si>
  <si>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Q425</t>
  </si>
  <si>
    <t>Cost of sales</t>
  </si>
  <si>
    <t>Gross profit</t>
  </si>
  <si>
    <t>SG&amp;A</t>
  </si>
  <si>
    <t>Amortisation</t>
  </si>
  <si>
    <t>Impairment</t>
  </si>
  <si>
    <t>Total opex</t>
  </si>
  <si>
    <t>Operating profit</t>
  </si>
  <si>
    <t>Interest expense</t>
  </si>
  <si>
    <t>Interest income</t>
  </si>
  <si>
    <t>Other income</t>
  </si>
  <si>
    <t>Net other income</t>
  </si>
  <si>
    <t>Pretax profit</t>
  </si>
  <si>
    <t>Taxes</t>
  </si>
  <si>
    <t>MI</t>
  </si>
  <si>
    <t>Net profit</t>
  </si>
  <si>
    <t>EPS</t>
  </si>
  <si>
    <t>Q122</t>
  </si>
  <si>
    <t>Q222</t>
  </si>
  <si>
    <t>Q322</t>
  </si>
  <si>
    <t>Q422</t>
  </si>
  <si>
    <t>Revenue y/y</t>
  </si>
  <si>
    <t>Gross Margin</t>
  </si>
  <si>
    <t>SG&amp;A y/y</t>
  </si>
  <si>
    <t>SG&amp;A Margin</t>
  </si>
  <si>
    <t>Operating Margin</t>
  </si>
  <si>
    <t>Net Margin</t>
  </si>
  <si>
    <t>Access</t>
  </si>
  <si>
    <t>Vocational</t>
  </si>
  <si>
    <t>Transport</t>
  </si>
  <si>
    <t>Other</t>
  </si>
  <si>
    <t>2024 10-K for segment info</t>
  </si>
  <si>
    <t>Access y/y</t>
  </si>
  <si>
    <t>Vocational y/y</t>
  </si>
  <si>
    <t>Transport y/y</t>
  </si>
  <si>
    <t>Other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</si>
  <si>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</si>
  <si>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</si>
  <si>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</si>
  <si>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</si>
  <si>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</si>
  <si>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</si>
  <si>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</si>
  <si>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</si>
  <si>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</si>
  <si>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Fairly valued</t>
  </si>
  <si>
    <t>L+S/E</t>
  </si>
  <si>
    <t>EV/B</t>
  </si>
  <si>
    <t>B/EV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</si>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</sst>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\x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 applyAlignment="1"/>
    <xf numFmtId="3" fontId="2" fillId="2" borderId="1" xfId="0" applyNumberFormat="1" applyFont="1" applyFill="1" applyBorder="1" applyAlignment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right"/>
    </xf>
    <xf numFmtId="9" fontId="1" fillId="2" borderId="1" xfId="0" applyNumberFormat="1" applyFont="1" applyFill="1" applyBorder="1"/>
    <xf numFmtId="0" fontId="5" fillId="2" borderId="1" xfId="0" applyFont="1" applyFill="1" applyBorder="1"/>
    <xf numFmtId="3" fontId="5" fillId="2" borderId="1" xfId="0" applyNumberFormat="1" applyFont="1" applyFill="1" applyBorder="1"/>
    <xf numFmtId="165" fontId="2" fillId="2" borderId="1" xfId="0" applyNumberFormat="1" applyFont="1" applyFill="1" applyBorder="1"/>
    <xf numFmtId="0" fontId="1" fillId="2" borderId="1" xfId="0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</xdr:colOff>
      <xdr:row>0</xdr:row>
      <xdr:rowOff>7620</xdr:rowOff>
    </xdr:from>
    <xdr:to>
      <xdr:col>17</xdr:col>
      <xdr:colOff>22860</xdr:colOff>
      <xdr:row>47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B02AF8F-C984-7E42-4F59-644D4D56A511}"/>
            </a:ext>
          </a:extLst>
        </xdr:cNvPr>
        <xdr:cNvCxnSpPr/>
      </xdr:nvCxnSpPr>
      <xdr:spPr>
        <a:xfrm>
          <a:off x="1083564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30480</xdr:colOff>
      <xdr:row>0</xdr:row>
      <xdr:rowOff>7620</xdr:rowOff>
    </xdr:from>
    <xdr:to>
      <xdr:col>25</xdr:col>
      <xdr:colOff>30480</xdr:colOff>
      <xdr:row>47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D93B432-FA02-D37D-A50C-1A2409BFF725}"/>
            </a:ext>
          </a:extLst>
        </xdr:cNvPr>
        <xdr:cNvCxnSpPr/>
      </xdr:nvCxnSpPr>
      <xdr:spPr>
        <a:xfrm>
          <a:off x="1572006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F220-92FB-4C76-B59F-8093233487C3}">
  <dimension ref="B2:I9"/>
  <sheetViews>
    <sheetView tabSelected="1" workbookViewId="0">
      <selection activeCell="I8" sqref="I8"/>
    </sheetView>
  </sheetViews>
  <sheetFormatPr defaultRowHeight="14.4" x14ac:dyDescent="0.3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9" x14ac:dyDescent="0.3">
      <c r="E2" s="3" t="s">
        <v>8</v>
      </c>
      <c r="F2" s="3" t="s">
        <v>9</v>
      </c>
      <c r="G2" s="3" t="s">
        <v>10</v>
      </c>
    </row>
    <row r="3" spans="2:9" x14ac:dyDescent="0.3">
      <c r="B3" s="2" t="s">
        <v>0</v>
      </c>
      <c r="C3" s="1" t="s">
        <v>1</v>
      </c>
      <c r="D3" s="5">
        <v>129.43</v>
      </c>
      <c r="E3" s="4">
        <v>45997</v>
      </c>
      <c r="F3" s="4">
        <f ca="1">TODAY()</f>
        <v>45997</v>
      </c>
      <c r="G3" s="4">
        <v>46056</v>
      </c>
    </row>
    <row r="4" spans="2:9" x14ac:dyDescent="0.3">
      <c r="C4" s="1" t="s">
        <v>2</v>
      </c>
      <c r="D4" s="6">
        <f>63.3</f>
        <v>63.3</v>
      </c>
      <c r="E4" s="3" t="s">
        <v>11</v>
      </c>
    </row>
    <row r="5" spans="2:9" x14ac:dyDescent="0.3">
      <c r="C5" s="1" t="s">
        <v>3</v>
      </c>
      <c r="D5" s="6">
        <f>D3*D4</f>
        <v>8192.9189999999999</v>
      </c>
    </row>
    <row r="6" spans="2:9" x14ac:dyDescent="0.3">
      <c r="C6" s="1" t="s">
        <v>4</v>
      </c>
      <c r="D6" s="6">
        <f>211.8</f>
        <v>211.8</v>
      </c>
      <c r="E6" s="3" t="s">
        <v>11</v>
      </c>
    </row>
    <row r="7" spans="2:9" x14ac:dyDescent="0.3">
      <c r="C7" s="1" t="s">
        <v>5</v>
      </c>
      <c r="D7" s="6">
        <f>106.7+1099.7</f>
        <v>1206.4000000000001</v>
      </c>
      <c r="E7" s="3" t="s">
        <v>11</v>
      </c>
      <c r="I7" s="1" t="s">
        <v>54</v>
      </c>
    </row>
    <row r="8" spans="2:9" x14ac:dyDescent="0.3">
      <c r="C8" s="1" t="s">
        <v>6</v>
      </c>
      <c r="D8" s="6">
        <f>D6-D7</f>
        <v>-994.60000000000014</v>
      </c>
    </row>
    <row r="9" spans="2:9" x14ac:dyDescent="0.3">
      <c r="C9" s="1" t="s">
        <v>7</v>
      </c>
      <c r="D9" s="6">
        <f>D5-D8</f>
        <v>9187.5190000000002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911E-65B1-4B35-91E7-54A830ED7832}">
  <dimension ref="B2:EN47"/>
  <sheetViews>
    <sheetView workbookViewId="0">
      <pane xSplit="2" ySplit="2" topLeftCell="V18" activePane="bottomRight" state="frozen"/>
      <selection pane="topRight" activeCell="C1" sqref="C1"/>
      <selection pane="bottomLeft" activeCell="A3" sqref="A3"/>
      <selection pane="bottomRight" activeCell="R7" sqref="R7"/>
    </sheetView>
  </sheetViews>
  <sheetFormatPr defaultRowHeight="14.4" x14ac:dyDescent="0.3"/>
  <cols>
    <col min="1" max="1" width="8.88671875" style="1"/>
    <col min="2" max="2" width="15.44140625" style="1" bestFit="1" customWidth="1"/>
    <col min="3" max="6" width="8.88671875" style="1" customWidth="1"/>
    <col min="7" max="37" width="8.88671875" style="1"/>
    <col min="38" max="39" width="12" style="1" bestFit="1" customWidth="1"/>
    <col min="40" max="16384" width="8.88671875" style="1"/>
  </cols>
  <sheetData>
    <row r="2" spans="2:36" x14ac:dyDescent="0.3">
      <c r="C2" s="7" t="s">
        <v>40</v>
      </c>
      <c r="D2" s="7" t="s">
        <v>41</v>
      </c>
      <c r="E2" s="7" t="s">
        <v>42</v>
      </c>
      <c r="F2" s="7" t="s">
        <v>43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11</v>
      </c>
      <c r="R2" s="7" t="s">
        <v>23</v>
      </c>
      <c r="T2" s="1">
        <v>2019</v>
      </c>
      <c r="U2" s="1">
        <v>2020</v>
      </c>
      <c r="V2" s="1">
        <v>2021</v>
      </c>
      <c r="W2" s="1">
        <v>2022</v>
      </c>
      <c r="X2" s="1">
        <v>2023</v>
      </c>
      <c r="Y2" s="1">
        <v>2024</v>
      </c>
      <c r="Z2" s="1">
        <v>2025</v>
      </c>
      <c r="AA2" s="1">
        <v>2026</v>
      </c>
      <c r="AB2" s="1">
        <v>2027</v>
      </c>
      <c r="AC2" s="1">
        <v>2028</v>
      </c>
      <c r="AD2" s="1">
        <v>2029</v>
      </c>
      <c r="AE2" s="1">
        <v>2030</v>
      </c>
      <c r="AF2" s="1">
        <v>2031</v>
      </c>
      <c r="AG2" s="1">
        <v>2032</v>
      </c>
      <c r="AH2" s="1">
        <v>2033</v>
      </c>
      <c r="AI2" s="1">
        <v>2034</v>
      </c>
      <c r="AJ2" s="1">
        <v>2035</v>
      </c>
    </row>
    <row r="3" spans="2:36" x14ac:dyDescent="0.3">
      <c r="B3" s="1" t="s">
        <v>50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2:36" x14ac:dyDescent="0.3">
      <c r="B4" s="1" t="s">
        <v>51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2:36" x14ac:dyDescent="0.3">
      <c r="B5" s="1" t="s">
        <v>52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2:36" x14ac:dyDescent="0.3">
      <c r="B6" s="1" t="s">
        <v>53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2:36" s="2" customFormat="1" x14ac:dyDescent="0.3">
      <c r="B7" s="2" t="s">
        <v>72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9">
        <v>14300</v>
      </c>
      <c r="N7" s="18"/>
      <c r="O7" s="18"/>
      <c r="P7" s="18"/>
      <c r="Q7" s="19">
        <v>13700</v>
      </c>
      <c r="R7" s="18"/>
      <c r="Z7" s="19">
        <v>13700</v>
      </c>
    </row>
    <row r="8" spans="2:36" x14ac:dyDescent="0.3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2:36" x14ac:dyDescent="0.3">
      <c r="B9" s="1" t="s">
        <v>50</v>
      </c>
      <c r="C9" s="7"/>
      <c r="D9" s="7"/>
      <c r="E9" s="7"/>
      <c r="F9" s="7"/>
      <c r="G9" s="7"/>
      <c r="H9" s="7"/>
      <c r="I9" s="7"/>
      <c r="J9" s="7"/>
      <c r="K9" s="13">
        <v>1237.5</v>
      </c>
      <c r="L9" s="13">
        <v>1406.9</v>
      </c>
      <c r="M9" s="13">
        <v>1363.3</v>
      </c>
      <c r="N9" s="13">
        <f>Y9-M9-L9-K9</f>
        <v>1156.9999999999995</v>
      </c>
      <c r="O9" s="13">
        <v>957.1</v>
      </c>
      <c r="P9" s="13">
        <v>1256</v>
      </c>
      <c r="Q9" s="13">
        <v>1109.7</v>
      </c>
      <c r="R9" s="13">
        <f>N9*0.85</f>
        <v>983.44999999999959</v>
      </c>
      <c r="W9" s="13">
        <v>3972.1</v>
      </c>
      <c r="X9" s="13">
        <v>4990</v>
      </c>
      <c r="Y9" s="13">
        <v>5164.7</v>
      </c>
      <c r="Z9" s="10">
        <f>SUM(O9:R9)</f>
        <v>4306.25</v>
      </c>
      <c r="AA9" s="6">
        <f>Z9*0.95</f>
        <v>4090.9375</v>
      </c>
      <c r="AB9" s="6">
        <f>AA9*1.02</f>
        <v>4172.7562500000004</v>
      </c>
      <c r="AC9" s="6">
        <f t="shared" ref="AC9:AJ9" si="0">AB9*1.02</f>
        <v>4256.2113750000008</v>
      </c>
      <c r="AD9" s="6">
        <f t="shared" si="0"/>
        <v>4341.3356025000012</v>
      </c>
      <c r="AE9" s="6">
        <f t="shared" si="0"/>
        <v>4428.1623145500016</v>
      </c>
      <c r="AF9" s="6">
        <f>AE9*1.01</f>
        <v>4472.4439376955015</v>
      </c>
      <c r="AG9" s="6">
        <f t="shared" ref="AG9:AJ9" si="1">AF9*1.01</f>
        <v>4517.1683770724567</v>
      </c>
      <c r="AH9" s="6">
        <f t="shared" si="1"/>
        <v>4562.3400608431812</v>
      </c>
      <c r="AI9" s="6">
        <f t="shared" si="1"/>
        <v>4607.9634614516126</v>
      </c>
      <c r="AJ9" s="6">
        <f t="shared" si="1"/>
        <v>4654.0430960661288</v>
      </c>
    </row>
    <row r="10" spans="2:36" x14ac:dyDescent="0.3">
      <c r="B10" s="1" t="s">
        <v>51</v>
      </c>
      <c r="C10" s="7"/>
      <c r="D10" s="7"/>
      <c r="E10" s="7"/>
      <c r="F10" s="7"/>
      <c r="G10" s="7"/>
      <c r="H10" s="7"/>
      <c r="I10" s="7"/>
      <c r="J10" s="7"/>
      <c r="K10" s="13">
        <v>772.4</v>
      </c>
      <c r="L10" s="13">
        <v>843.1</v>
      </c>
      <c r="M10" s="13">
        <v>814.2</v>
      </c>
      <c r="N10" s="13">
        <f t="shared" ref="N10:N12" si="2">Y10-M10-L10-K10</f>
        <v>880.60000000000048</v>
      </c>
      <c r="O10" s="13">
        <v>866.8</v>
      </c>
      <c r="P10" s="13">
        <v>969.7</v>
      </c>
      <c r="Q10" s="13">
        <v>968</v>
      </c>
      <c r="R10" s="13">
        <f>N10*1.15</f>
        <v>1012.6900000000005</v>
      </c>
      <c r="W10" s="13">
        <v>2175.6999999999998</v>
      </c>
      <c r="X10" s="13">
        <v>2578.1</v>
      </c>
      <c r="Y10" s="13">
        <v>3310.3</v>
      </c>
      <c r="Z10" s="10">
        <f t="shared" ref="Z10:Z12" si="3">SUM(O10:R10)</f>
        <v>3817.1900000000005</v>
      </c>
      <c r="AA10" s="6">
        <f>Z10*1.1</f>
        <v>4198.9090000000006</v>
      </c>
      <c r="AB10" s="6">
        <f>AA10*1.07</f>
        <v>4492.8326300000008</v>
      </c>
      <c r="AC10" s="6">
        <f>AB10*1.04</f>
        <v>4672.5459352000007</v>
      </c>
      <c r="AD10" s="6">
        <f>AC10*1.03</f>
        <v>4812.7223132560011</v>
      </c>
      <c r="AE10" s="6">
        <f>AD10*1.03</f>
        <v>4957.1039826536817</v>
      </c>
      <c r="AF10" s="6">
        <f>AE10*1.02</f>
        <v>5056.2460623067554</v>
      </c>
      <c r="AG10" s="6">
        <f t="shared" ref="AG10:AJ10" si="4">AF10*1.02</f>
        <v>5157.3709835528907</v>
      </c>
      <c r="AH10" s="6">
        <f t="shared" si="4"/>
        <v>5260.5184032239486</v>
      </c>
      <c r="AI10" s="6">
        <f t="shared" si="4"/>
        <v>5365.7287712884272</v>
      </c>
      <c r="AJ10" s="6">
        <f t="shared" si="4"/>
        <v>5473.0433467141956</v>
      </c>
    </row>
    <row r="11" spans="2:36" x14ac:dyDescent="0.3">
      <c r="B11" s="1" t="s">
        <v>52</v>
      </c>
      <c r="C11" s="7"/>
      <c r="D11" s="7"/>
      <c r="E11" s="7"/>
      <c r="F11" s="7"/>
      <c r="G11" s="7"/>
      <c r="H11" s="7"/>
      <c r="I11" s="7"/>
      <c r="J11" s="7"/>
      <c r="K11" s="13">
        <v>509.1</v>
      </c>
      <c r="L11" s="13">
        <v>571.9</v>
      </c>
      <c r="M11" s="13">
        <v>540.4</v>
      </c>
      <c r="N11" s="13">
        <f t="shared" si="2"/>
        <v>533.79999999999961</v>
      </c>
      <c r="O11" s="13">
        <v>463</v>
      </c>
      <c r="P11" s="13">
        <v>479.1</v>
      </c>
      <c r="Q11" s="13">
        <v>587.9</v>
      </c>
      <c r="R11" s="13">
        <f>N11*1.12</f>
        <v>597.85599999999965</v>
      </c>
      <c r="W11" s="13">
        <v>2059.1</v>
      </c>
      <c r="X11" s="13">
        <v>2001.4</v>
      </c>
      <c r="Y11" s="13">
        <v>2155.1999999999998</v>
      </c>
      <c r="Z11" s="10">
        <f t="shared" si="3"/>
        <v>2127.8559999999998</v>
      </c>
      <c r="AA11" s="6">
        <f>Z11*1.15</f>
        <v>2447.0343999999996</v>
      </c>
      <c r="AB11" s="6">
        <f>AA11*1.06</f>
        <v>2593.8564639999995</v>
      </c>
      <c r="AC11" s="6">
        <f>AB11*1.04</f>
        <v>2697.6107225599994</v>
      </c>
      <c r="AD11" s="6">
        <f>AC11*1.03</f>
        <v>2778.5390442367993</v>
      </c>
      <c r="AE11" s="6">
        <f>AD11*1.03</f>
        <v>2861.8952155639035</v>
      </c>
      <c r="AF11" s="6">
        <f>AE11*1.02</f>
        <v>2919.1331198751818</v>
      </c>
      <c r="AG11" s="6">
        <f t="shared" ref="AG11:AJ11" si="5">AF11*1.02</f>
        <v>2977.5157822726856</v>
      </c>
      <c r="AH11" s="6">
        <f t="shared" si="5"/>
        <v>3037.0660979181393</v>
      </c>
      <c r="AI11" s="6">
        <f t="shared" si="5"/>
        <v>3097.8074198765021</v>
      </c>
      <c r="AJ11" s="6">
        <f t="shared" si="5"/>
        <v>3159.763568274032</v>
      </c>
    </row>
    <row r="12" spans="2:36" x14ac:dyDescent="0.3">
      <c r="B12" s="1" t="s">
        <v>53</v>
      </c>
      <c r="C12" s="7"/>
      <c r="D12" s="7"/>
      <c r="E12" s="7"/>
      <c r="F12" s="7"/>
      <c r="G12" s="7"/>
      <c r="H12" s="7"/>
      <c r="I12" s="7"/>
      <c r="J12" s="7"/>
      <c r="K12" s="13">
        <v>24.8</v>
      </c>
      <c r="L12" s="13">
        <v>25</v>
      </c>
      <c r="M12" s="13">
        <v>23.5</v>
      </c>
      <c r="N12" s="13">
        <f t="shared" si="2"/>
        <v>26.7</v>
      </c>
      <c r="O12" s="13">
        <v>25.9</v>
      </c>
      <c r="P12" s="13">
        <v>27.3</v>
      </c>
      <c r="Q12" s="13">
        <v>23</v>
      </c>
      <c r="R12" s="13">
        <f>N12*1.03</f>
        <v>27.501000000000001</v>
      </c>
      <c r="W12" s="13">
        <v>75.099999999999994</v>
      </c>
      <c r="X12" s="13">
        <v>88.4</v>
      </c>
      <c r="Y12" s="13">
        <v>100</v>
      </c>
      <c r="Z12" s="10">
        <f t="shared" si="3"/>
        <v>103.70100000000001</v>
      </c>
      <c r="AA12" s="6">
        <f>Z12*1.03</f>
        <v>106.81203000000001</v>
      </c>
      <c r="AB12" s="6">
        <f t="shared" ref="AB12:AJ12" si="6">AA12*1.03</f>
        <v>110.0163909</v>
      </c>
      <c r="AC12" s="6">
        <f t="shared" si="6"/>
        <v>113.31688262700001</v>
      </c>
      <c r="AD12" s="6">
        <f t="shared" si="6"/>
        <v>116.71638910581001</v>
      </c>
      <c r="AE12" s="6">
        <f t="shared" si="6"/>
        <v>120.21788077898431</v>
      </c>
      <c r="AF12" s="6">
        <f t="shared" si="6"/>
        <v>123.82441720235384</v>
      </c>
      <c r="AG12" s="6">
        <f t="shared" si="6"/>
        <v>127.53914971842445</v>
      </c>
      <c r="AH12" s="6">
        <f t="shared" si="6"/>
        <v>131.36532420997719</v>
      </c>
      <c r="AI12" s="6">
        <f t="shared" si="6"/>
        <v>135.30628393627651</v>
      </c>
      <c r="AJ12" s="6">
        <f t="shared" si="6"/>
        <v>139.36547245436481</v>
      </c>
    </row>
    <row r="13" spans="2:36" s="2" customFormat="1" x14ac:dyDescent="0.3">
      <c r="B13" s="2" t="s">
        <v>12</v>
      </c>
      <c r="C13" s="9">
        <v>1945.7</v>
      </c>
      <c r="D13" s="9">
        <v>2066</v>
      </c>
      <c r="E13" s="9">
        <v>2066.6999999999998</v>
      </c>
      <c r="F13" s="9">
        <f>W13-E13-D13-C13</f>
        <v>2203.6000000000004</v>
      </c>
      <c r="G13" s="9">
        <v>2268.1</v>
      </c>
      <c r="H13" s="9">
        <v>2413.1</v>
      </c>
      <c r="I13" s="9">
        <v>2509.9</v>
      </c>
      <c r="J13" s="9">
        <f>X13-I13-H13-G13</f>
        <v>2466.7999999999997</v>
      </c>
      <c r="K13" s="9">
        <f>SUM(K9:K12)</f>
        <v>2543.8000000000002</v>
      </c>
      <c r="L13" s="9">
        <f>SUM(L9:L12)</f>
        <v>2846.9</v>
      </c>
      <c r="M13" s="9">
        <f>SUM(M9:M12)</f>
        <v>2741.4</v>
      </c>
      <c r="N13" s="9">
        <f>Y13-M13-L13-K13</f>
        <v>2598.1000000000013</v>
      </c>
      <c r="O13" s="9">
        <f>SUM(O9:O12)</f>
        <v>2312.8000000000002</v>
      </c>
      <c r="P13" s="9">
        <v>2732.1</v>
      </c>
      <c r="Q13" s="9">
        <f>SUM(Q9:Q12)</f>
        <v>2688.6</v>
      </c>
      <c r="R13" s="9">
        <f>SUM(R9:R12)</f>
        <v>2621.4969999999998</v>
      </c>
      <c r="T13" s="9">
        <v>8382</v>
      </c>
      <c r="U13" s="9">
        <v>6856.8</v>
      </c>
      <c r="V13" s="9">
        <v>7737.3</v>
      </c>
      <c r="W13" s="9">
        <f>SUM(W9:W12)</f>
        <v>8282</v>
      </c>
      <c r="X13" s="9">
        <f>SUM(X9:X12)</f>
        <v>9657.9</v>
      </c>
      <c r="Y13" s="9">
        <f>SUM(Y9:Y12)</f>
        <v>10730.2</v>
      </c>
      <c r="Z13" s="9">
        <f>SUM(O13:R13)</f>
        <v>10354.996999999999</v>
      </c>
      <c r="AA13" s="9">
        <f>SUM(AA9:AA12)</f>
        <v>10843.692929999999</v>
      </c>
      <c r="AB13" s="9">
        <f t="shared" ref="AB13:AJ13" si="7">SUM(AB9:AB12)</f>
        <v>11369.4617349</v>
      </c>
      <c r="AC13" s="9">
        <f t="shared" si="7"/>
        <v>11739.684915387001</v>
      </c>
      <c r="AD13" s="9">
        <f t="shared" si="7"/>
        <v>12049.313349098611</v>
      </c>
      <c r="AE13" s="9">
        <f t="shared" si="7"/>
        <v>12367.379393546571</v>
      </c>
      <c r="AF13" s="9">
        <f t="shared" si="7"/>
        <v>12571.647537079793</v>
      </c>
      <c r="AG13" s="9">
        <f t="shared" si="7"/>
        <v>12779.594292616457</v>
      </c>
      <c r="AH13" s="9">
        <f t="shared" si="7"/>
        <v>12991.289886195245</v>
      </c>
      <c r="AI13" s="9">
        <f t="shared" si="7"/>
        <v>13206.805936552819</v>
      </c>
      <c r="AJ13" s="9">
        <f t="shared" si="7"/>
        <v>13426.215483508722</v>
      </c>
    </row>
    <row r="14" spans="2:36" x14ac:dyDescent="0.3">
      <c r="B14" s="1" t="s">
        <v>24</v>
      </c>
      <c r="C14" s="10">
        <v>1741.9</v>
      </c>
      <c r="D14" s="10">
        <v>1819</v>
      </c>
      <c r="E14" s="10">
        <v>1778.1</v>
      </c>
      <c r="F14" s="10">
        <f>W14-E14-D14-C14</f>
        <v>1888.6</v>
      </c>
      <c r="G14" s="10">
        <v>1934.3</v>
      </c>
      <c r="H14" s="10">
        <v>1988.6</v>
      </c>
      <c r="I14" s="10">
        <v>2041.8</v>
      </c>
      <c r="J14" s="10">
        <f>X14-I14-H14-G14</f>
        <v>2012.4000000000003</v>
      </c>
      <c r="K14" s="10">
        <v>2073.8000000000002</v>
      </c>
      <c r="L14" s="10">
        <v>2300.8000000000002</v>
      </c>
      <c r="M14" s="10">
        <v>2235.4</v>
      </c>
      <c r="N14" s="10">
        <f>Y14-M14-L14-K14</f>
        <v>2150.7999999999993</v>
      </c>
      <c r="O14" s="10">
        <v>1912.9</v>
      </c>
      <c r="P14" s="10">
        <v>2207.6</v>
      </c>
      <c r="Q14" s="10">
        <v>2218.1</v>
      </c>
      <c r="R14" s="10">
        <f>R13-R15</f>
        <v>2175.8425099999999</v>
      </c>
      <c r="T14" s="10">
        <v>6864.6</v>
      </c>
      <c r="U14" s="10">
        <v>5736.5</v>
      </c>
      <c r="V14" s="10">
        <v>6516.5</v>
      </c>
      <c r="W14" s="10">
        <v>7227.6</v>
      </c>
      <c r="X14" s="10">
        <v>7977.1</v>
      </c>
      <c r="Y14" s="10">
        <v>8760.7999999999993</v>
      </c>
      <c r="Z14" s="10">
        <f>SUM(O14:R14)</f>
        <v>8514.4425100000008</v>
      </c>
      <c r="AA14" s="6">
        <f>AA13-AA15</f>
        <v>8891.8282025999997</v>
      </c>
      <c r="AB14" s="6">
        <f t="shared" ref="AB14:AJ14" si="8">AB13-AB15</f>
        <v>9322.9586226179999</v>
      </c>
      <c r="AC14" s="6">
        <f t="shared" si="8"/>
        <v>9626.5416306173411</v>
      </c>
      <c r="AD14" s="6">
        <f t="shared" si="8"/>
        <v>9880.4369462608611</v>
      </c>
      <c r="AE14" s="6">
        <f t="shared" si="8"/>
        <v>10141.251102708189</v>
      </c>
      <c r="AF14" s="6">
        <f t="shared" si="8"/>
        <v>10308.75098040543</v>
      </c>
      <c r="AG14" s="6">
        <f t="shared" si="8"/>
        <v>10479.267319945495</v>
      </c>
      <c r="AH14" s="6">
        <f t="shared" si="8"/>
        <v>10652.857706680101</v>
      </c>
      <c r="AI14" s="6">
        <f t="shared" si="8"/>
        <v>10829.580867973311</v>
      </c>
      <c r="AJ14" s="6">
        <f t="shared" si="8"/>
        <v>11009.496696477152</v>
      </c>
    </row>
    <row r="15" spans="2:36" s="2" customFormat="1" x14ac:dyDescent="0.3">
      <c r="B15" s="2" t="s">
        <v>25</v>
      </c>
      <c r="C15" s="9">
        <f>C13-C14</f>
        <v>203.79999999999995</v>
      </c>
      <c r="D15" s="9">
        <f>D13-D14</f>
        <v>247</v>
      </c>
      <c r="E15" s="9">
        <f>E13-E14</f>
        <v>288.59999999999991</v>
      </c>
      <c r="F15" s="9">
        <f>F13-F14</f>
        <v>315.00000000000045</v>
      </c>
      <c r="G15" s="9">
        <f>G13-G14</f>
        <v>333.79999999999995</v>
      </c>
      <c r="H15" s="9">
        <f>H13-H14</f>
        <v>424.5</v>
      </c>
      <c r="I15" s="9">
        <f>I13-I14</f>
        <v>468.10000000000014</v>
      </c>
      <c r="J15" s="9">
        <f>J13-J14</f>
        <v>454.39999999999941</v>
      </c>
      <c r="K15" s="9">
        <f>K13-K14</f>
        <v>470</v>
      </c>
      <c r="L15" s="9">
        <f>L13-L14</f>
        <v>546.09999999999991</v>
      </c>
      <c r="M15" s="9">
        <f>M13-M14</f>
        <v>506</v>
      </c>
      <c r="N15" s="9">
        <f>N13-N14</f>
        <v>447.300000000002</v>
      </c>
      <c r="O15" s="9">
        <f>O13-O14</f>
        <v>399.90000000000009</v>
      </c>
      <c r="P15" s="9">
        <f>P13-P14</f>
        <v>524.5</v>
      </c>
      <c r="Q15" s="9">
        <f>Q13-Q14</f>
        <v>470.5</v>
      </c>
      <c r="R15" s="9">
        <f>R13*0.17</f>
        <v>445.65449000000001</v>
      </c>
      <c r="T15" s="9">
        <f>T13-T14</f>
        <v>1517.3999999999996</v>
      </c>
      <c r="U15" s="9">
        <f>U13-U14</f>
        <v>1120.3000000000002</v>
      </c>
      <c r="V15" s="9">
        <f>V13-V14</f>
        <v>1220.8000000000002</v>
      </c>
      <c r="W15" s="9">
        <f>W13-W14</f>
        <v>1054.3999999999996</v>
      </c>
      <c r="X15" s="9">
        <f>X13-X14</f>
        <v>1680.7999999999993</v>
      </c>
      <c r="Y15" s="9">
        <f>Y13-Y14</f>
        <v>1969.4000000000015</v>
      </c>
      <c r="Z15" s="9">
        <f>Z13-Z14</f>
        <v>1840.5544899999986</v>
      </c>
      <c r="AA15" s="11">
        <f>AA13*0.18</f>
        <v>1951.8647273999998</v>
      </c>
      <c r="AB15" s="11">
        <f t="shared" ref="AB15:AJ15" si="9">AB13*0.18</f>
        <v>2046.5031122819998</v>
      </c>
      <c r="AC15" s="11">
        <f t="shared" si="9"/>
        <v>2113.1432847696601</v>
      </c>
      <c r="AD15" s="11">
        <f t="shared" si="9"/>
        <v>2168.87640283775</v>
      </c>
      <c r="AE15" s="11">
        <f t="shared" si="9"/>
        <v>2226.1282908383828</v>
      </c>
      <c r="AF15" s="11">
        <f t="shared" si="9"/>
        <v>2262.8965566743627</v>
      </c>
      <c r="AG15" s="11">
        <f t="shared" si="9"/>
        <v>2300.3269726709623</v>
      </c>
      <c r="AH15" s="11">
        <f t="shared" si="9"/>
        <v>2338.4321795151441</v>
      </c>
      <c r="AI15" s="11">
        <f t="shared" si="9"/>
        <v>2377.2250685795075</v>
      </c>
      <c r="AJ15" s="11">
        <f t="shared" si="9"/>
        <v>2416.7187870315697</v>
      </c>
    </row>
    <row r="16" spans="2:36" x14ac:dyDescent="0.3">
      <c r="B16" s="1" t="s">
        <v>26</v>
      </c>
      <c r="C16" s="10">
        <v>169.2</v>
      </c>
      <c r="D16" s="10">
        <v>167.9</v>
      </c>
      <c r="E16" s="10">
        <v>166.3</v>
      </c>
      <c r="F16" s="10">
        <f t="shared" ref="F16:F18" si="10">W16-E16-D16-C16</f>
        <v>159.39999999999992</v>
      </c>
      <c r="G16" s="10">
        <v>199.1</v>
      </c>
      <c r="H16" s="10">
        <v>185.4</v>
      </c>
      <c r="I16" s="10">
        <v>201.6</v>
      </c>
      <c r="J16" s="10">
        <f t="shared" ref="J16:J18" si="11">X16-I16-H16-G16</f>
        <v>224.29999999999998</v>
      </c>
      <c r="K16" s="10">
        <v>196.8</v>
      </c>
      <c r="L16" s="10">
        <v>220</v>
      </c>
      <c r="M16" s="10">
        <v>226.4</v>
      </c>
      <c r="N16" s="10">
        <f t="shared" ref="N16:N18" si="12">Y16-M16-L16-K16</f>
        <v>209.2</v>
      </c>
      <c r="O16" s="10">
        <v>211</v>
      </c>
      <c r="P16" s="10">
        <v>213.3</v>
      </c>
      <c r="Q16" s="10">
        <v>196.2</v>
      </c>
      <c r="R16" s="10">
        <f>N16*0.94</f>
        <v>196.64799999999997</v>
      </c>
      <c r="T16" s="10">
        <v>683.5</v>
      </c>
      <c r="U16" s="10">
        <v>620.6</v>
      </c>
      <c r="V16" s="10">
        <v>666.5</v>
      </c>
      <c r="W16" s="10">
        <v>662.8</v>
      </c>
      <c r="X16" s="10">
        <v>810.4</v>
      </c>
      <c r="Y16" s="10">
        <v>852.4</v>
      </c>
      <c r="Z16" s="10">
        <f t="shared" ref="Z16:Z18" si="13">SUM(O16:R16)</f>
        <v>817.14799999999991</v>
      </c>
      <c r="AA16" s="6">
        <f>Z16*1.03</f>
        <v>841.66243999999995</v>
      </c>
      <c r="AB16" s="6">
        <f t="shared" ref="AB16" si="14">AA16*1.03</f>
        <v>866.91231319999997</v>
      </c>
      <c r="AC16" s="6">
        <f>AB16*1.02</f>
        <v>884.25055946399993</v>
      </c>
      <c r="AD16" s="6">
        <f>AC16*1.02</f>
        <v>901.93557065327991</v>
      </c>
      <c r="AE16" s="6">
        <f>AD16*1.02</f>
        <v>919.97428206634549</v>
      </c>
      <c r="AF16" s="6">
        <f>AE16*1.01</f>
        <v>929.17402488700895</v>
      </c>
      <c r="AG16" s="6">
        <f t="shared" ref="AG16:AJ16" si="15">AF16*1.01</f>
        <v>938.465765135879</v>
      </c>
      <c r="AH16" s="6">
        <f t="shared" si="15"/>
        <v>947.85042278723779</v>
      </c>
      <c r="AI16" s="6">
        <f t="shared" si="15"/>
        <v>957.32892701511014</v>
      </c>
      <c r="AJ16" s="6">
        <f t="shared" si="15"/>
        <v>966.90221628526126</v>
      </c>
    </row>
    <row r="17" spans="2:144" x14ac:dyDescent="0.3">
      <c r="B17" s="1" t="s">
        <v>27</v>
      </c>
      <c r="C17" s="10">
        <v>2.8</v>
      </c>
      <c r="D17" s="10">
        <v>2.8</v>
      </c>
      <c r="E17" s="10">
        <v>3</v>
      </c>
      <c r="F17" s="10">
        <f t="shared" si="10"/>
        <v>3</v>
      </c>
      <c r="G17" s="10">
        <v>3.9</v>
      </c>
      <c r="H17" s="10">
        <v>4.2</v>
      </c>
      <c r="I17" s="10">
        <v>10</v>
      </c>
      <c r="J17" s="10">
        <f t="shared" si="11"/>
        <v>14.699999999999998</v>
      </c>
      <c r="K17" s="10">
        <v>13.5</v>
      </c>
      <c r="L17" s="10">
        <v>13.6</v>
      </c>
      <c r="M17" s="10">
        <v>13.4</v>
      </c>
      <c r="N17" s="10">
        <f t="shared" si="12"/>
        <v>14.200000000000003</v>
      </c>
      <c r="O17" s="10">
        <v>13.6</v>
      </c>
      <c r="P17" s="10">
        <v>13.8</v>
      </c>
      <c r="Q17" s="10">
        <v>13.9</v>
      </c>
      <c r="R17" s="10">
        <v>13.9</v>
      </c>
      <c r="T17" s="10">
        <v>36.9</v>
      </c>
      <c r="U17" s="10">
        <v>11</v>
      </c>
      <c r="V17" s="10">
        <v>9.6</v>
      </c>
      <c r="W17" s="10">
        <v>11.6</v>
      </c>
      <c r="X17" s="10">
        <v>32.799999999999997</v>
      </c>
      <c r="Y17" s="10">
        <v>54.7</v>
      </c>
      <c r="Z17" s="10">
        <f t="shared" si="13"/>
        <v>55.199999999999996</v>
      </c>
      <c r="AA17" s="6">
        <f>Z17*1.03</f>
        <v>56.855999999999995</v>
      </c>
      <c r="AB17" s="6">
        <f t="shared" ref="AB17:AJ17" si="16">AA17*1.03</f>
        <v>58.561679999999996</v>
      </c>
      <c r="AC17" s="6">
        <f t="shared" si="16"/>
        <v>60.3185304</v>
      </c>
      <c r="AD17" s="6">
        <f t="shared" si="16"/>
        <v>62.128086312000001</v>
      </c>
      <c r="AE17" s="6">
        <f t="shared" si="16"/>
        <v>63.991928901360005</v>
      </c>
      <c r="AF17" s="6">
        <f t="shared" si="16"/>
        <v>65.911686768400813</v>
      </c>
      <c r="AG17" s="6">
        <f t="shared" si="16"/>
        <v>67.889037371452844</v>
      </c>
      <c r="AH17" s="6">
        <f t="shared" si="16"/>
        <v>69.925708492596428</v>
      </c>
      <c r="AI17" s="6">
        <f t="shared" si="16"/>
        <v>72.023479747374324</v>
      </c>
      <c r="AJ17" s="6">
        <f t="shared" si="16"/>
        <v>74.184184139795562</v>
      </c>
    </row>
    <row r="18" spans="2:144" x14ac:dyDescent="0.3">
      <c r="B18" s="1" t="s">
        <v>28</v>
      </c>
      <c r="C18" s="10">
        <v>0</v>
      </c>
      <c r="D18" s="10">
        <v>0</v>
      </c>
      <c r="E18" s="10">
        <v>2.1</v>
      </c>
      <c r="F18" s="10">
        <f t="shared" si="10"/>
        <v>5.6</v>
      </c>
      <c r="G18" s="10">
        <v>0</v>
      </c>
      <c r="H18" s="10">
        <v>0</v>
      </c>
      <c r="I18" s="10">
        <v>0</v>
      </c>
      <c r="J18" s="10">
        <f t="shared" si="11"/>
        <v>0</v>
      </c>
      <c r="K18" s="10">
        <v>0</v>
      </c>
      <c r="L18" s="10">
        <v>51.6</v>
      </c>
      <c r="M18" s="10">
        <v>0</v>
      </c>
      <c r="N18" s="10">
        <f t="shared" si="12"/>
        <v>0</v>
      </c>
      <c r="O18" s="10">
        <v>0</v>
      </c>
      <c r="P18" s="10">
        <v>5.7</v>
      </c>
      <c r="Q18" s="10">
        <v>0</v>
      </c>
      <c r="R18" s="10">
        <v>0</v>
      </c>
      <c r="T18" s="10">
        <v>0</v>
      </c>
      <c r="U18" s="10">
        <v>0</v>
      </c>
      <c r="V18" s="10">
        <v>0</v>
      </c>
      <c r="W18" s="10">
        <v>7.7</v>
      </c>
      <c r="X18" s="10">
        <v>0</v>
      </c>
      <c r="Y18" s="10">
        <v>51.6</v>
      </c>
      <c r="Z18" s="10">
        <f t="shared" si="13"/>
        <v>5.7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2:144" x14ac:dyDescent="0.3">
      <c r="B19" s="1" t="s">
        <v>29</v>
      </c>
      <c r="C19" s="10">
        <f>SUM(C16:C18)</f>
        <v>172</v>
      </c>
      <c r="D19" s="10">
        <f>SUM(D16:D18)</f>
        <v>170.70000000000002</v>
      </c>
      <c r="E19" s="10">
        <f>SUM(E16:E18)</f>
        <v>171.4</v>
      </c>
      <c r="F19" s="10">
        <f>SUM(F16:F18)</f>
        <v>167.99999999999991</v>
      </c>
      <c r="G19" s="10">
        <f>SUM(G16:G18)</f>
        <v>203</v>
      </c>
      <c r="H19" s="10">
        <f>SUM(H16:H18)</f>
        <v>189.6</v>
      </c>
      <c r="I19" s="10">
        <f>SUM(I16:I18)</f>
        <v>211.6</v>
      </c>
      <c r="J19" s="10">
        <f>SUM(J16:J18)</f>
        <v>238.99999999999997</v>
      </c>
      <c r="K19" s="10">
        <f>SUM(K16:K18)</f>
        <v>210.3</v>
      </c>
      <c r="L19" s="10">
        <f>SUM(L16:L18)</f>
        <v>285.2</v>
      </c>
      <c r="M19" s="10">
        <f>SUM(M16:M18)</f>
        <v>239.8</v>
      </c>
      <c r="N19" s="10">
        <f>SUM(N16:N18)</f>
        <v>223.39999999999998</v>
      </c>
      <c r="O19" s="10">
        <f>SUM(O16:O18)</f>
        <v>224.6</v>
      </c>
      <c r="P19" s="10">
        <f>SUM(P16:P18)</f>
        <v>232.8</v>
      </c>
      <c r="Q19" s="10">
        <f>SUM(Q16:Q18)</f>
        <v>210.1</v>
      </c>
      <c r="R19" s="10">
        <f>SUM(R16:R18)</f>
        <v>210.54799999999997</v>
      </c>
      <c r="T19" s="10">
        <f>SUM(T16:T18)</f>
        <v>720.4</v>
      </c>
      <c r="U19" s="10">
        <f>SUM(U16:U18)</f>
        <v>631.6</v>
      </c>
      <c r="V19" s="10">
        <f>SUM(V16:V18)</f>
        <v>676.1</v>
      </c>
      <c r="W19" s="10">
        <f>SUM(W16:W18)</f>
        <v>682.1</v>
      </c>
      <c r="X19" s="10">
        <f>SUM(X16:X18)</f>
        <v>843.19999999999993</v>
      </c>
      <c r="Y19" s="10">
        <f>SUM(Y16:Y18)</f>
        <v>958.7</v>
      </c>
      <c r="Z19" s="10">
        <f>SUM(Z16:Z18)</f>
        <v>878.048</v>
      </c>
      <c r="AA19" s="10">
        <f>SUM(AA16:AA18)</f>
        <v>898.51843999999994</v>
      </c>
      <c r="AB19" s="10">
        <f t="shared" ref="AB19:AJ19" si="17">SUM(AB16:AB18)</f>
        <v>925.4739932</v>
      </c>
      <c r="AC19" s="10">
        <f t="shared" si="17"/>
        <v>944.56908986399992</v>
      </c>
      <c r="AD19" s="10">
        <f t="shared" si="17"/>
        <v>964.06365696527996</v>
      </c>
      <c r="AE19" s="10">
        <f t="shared" si="17"/>
        <v>983.96621096770548</v>
      </c>
      <c r="AF19" s="10">
        <f t="shared" si="17"/>
        <v>995.0857116554098</v>
      </c>
      <c r="AG19" s="10">
        <f t="shared" si="17"/>
        <v>1006.3548025073319</v>
      </c>
      <c r="AH19" s="10">
        <f t="shared" si="17"/>
        <v>1017.7761312798342</v>
      </c>
      <c r="AI19" s="10">
        <f t="shared" si="17"/>
        <v>1029.3524067624844</v>
      </c>
      <c r="AJ19" s="10">
        <f t="shared" si="17"/>
        <v>1041.0864004250568</v>
      </c>
    </row>
    <row r="20" spans="2:144" s="2" customFormat="1" x14ac:dyDescent="0.3">
      <c r="B20" s="2" t="s">
        <v>30</v>
      </c>
      <c r="C20" s="9">
        <f>C15-C19</f>
        <v>31.799999999999955</v>
      </c>
      <c r="D20" s="9">
        <f>D15-D19</f>
        <v>76.299999999999983</v>
      </c>
      <c r="E20" s="9">
        <f>E15-E19</f>
        <v>117.1999999999999</v>
      </c>
      <c r="F20" s="9">
        <f>F15-F19</f>
        <v>147.00000000000054</v>
      </c>
      <c r="G20" s="9">
        <f>G15-G19</f>
        <v>130.79999999999995</v>
      </c>
      <c r="H20" s="9">
        <f>H15-H19</f>
        <v>234.9</v>
      </c>
      <c r="I20" s="9">
        <f>I15-I19</f>
        <v>256.50000000000011</v>
      </c>
      <c r="J20" s="9">
        <f>J15-J19</f>
        <v>215.39999999999944</v>
      </c>
      <c r="K20" s="9">
        <f>K15-K19</f>
        <v>259.7</v>
      </c>
      <c r="L20" s="9">
        <f>L15-L19</f>
        <v>260.89999999999992</v>
      </c>
      <c r="M20" s="9">
        <f>M15-M19</f>
        <v>266.2</v>
      </c>
      <c r="N20" s="9">
        <f>N15-N19</f>
        <v>223.90000000000202</v>
      </c>
      <c r="O20" s="9">
        <f>O15-O19</f>
        <v>175.3000000000001</v>
      </c>
      <c r="P20" s="9">
        <f>P15-P19</f>
        <v>291.7</v>
      </c>
      <c r="Q20" s="9">
        <f>Q15-Q19</f>
        <v>260.39999999999998</v>
      </c>
      <c r="R20" s="9">
        <f>R15-R19</f>
        <v>235.10649000000004</v>
      </c>
      <c r="T20" s="9">
        <f>T15-T19</f>
        <v>796.99999999999966</v>
      </c>
      <c r="U20" s="9">
        <f>U15-U19</f>
        <v>488.70000000000016</v>
      </c>
      <c r="V20" s="9">
        <f>V15-V19</f>
        <v>544.70000000000016</v>
      </c>
      <c r="W20" s="9">
        <f>W15-W19</f>
        <v>372.29999999999961</v>
      </c>
      <c r="X20" s="9">
        <f>X15-X19</f>
        <v>837.59999999999934</v>
      </c>
      <c r="Y20" s="9">
        <f>Y15-Y19</f>
        <v>1010.7000000000014</v>
      </c>
      <c r="Z20" s="9">
        <f>Z15-Z19</f>
        <v>962.50648999999862</v>
      </c>
      <c r="AA20" s="9">
        <f>AA15-AA19</f>
        <v>1053.3462873999997</v>
      </c>
      <c r="AB20" s="9">
        <f t="shared" ref="AB20:AJ20" si="18">AB15-AB19</f>
        <v>1121.0291190819999</v>
      </c>
      <c r="AC20" s="9">
        <f t="shared" si="18"/>
        <v>1168.5741949056601</v>
      </c>
      <c r="AD20" s="9">
        <f t="shared" si="18"/>
        <v>1204.81274587247</v>
      </c>
      <c r="AE20" s="9">
        <f t="shared" si="18"/>
        <v>1242.1620798706772</v>
      </c>
      <c r="AF20" s="9">
        <f t="shared" si="18"/>
        <v>1267.8108450189529</v>
      </c>
      <c r="AG20" s="9">
        <f t="shared" si="18"/>
        <v>1293.9721701636304</v>
      </c>
      <c r="AH20" s="9">
        <f t="shared" si="18"/>
        <v>1320.6560482353098</v>
      </c>
      <c r="AI20" s="9">
        <f t="shared" si="18"/>
        <v>1347.8726618170231</v>
      </c>
      <c r="AJ20" s="9">
        <f t="shared" si="18"/>
        <v>1375.6323866065129</v>
      </c>
    </row>
    <row r="21" spans="2:144" x14ac:dyDescent="0.3">
      <c r="B21" s="1" t="s">
        <v>31</v>
      </c>
      <c r="C21" s="10">
        <v>12.6</v>
      </c>
      <c r="D21" s="10">
        <v>13.2</v>
      </c>
      <c r="E21" s="10">
        <v>13.4</v>
      </c>
      <c r="F21" s="10">
        <f t="shared" ref="F21:F23" si="19">W21-E21-D21-C21</f>
        <v>14.200000000000001</v>
      </c>
      <c r="G21" s="10">
        <v>13.4</v>
      </c>
      <c r="H21" s="10">
        <v>13.3</v>
      </c>
      <c r="I21" s="10">
        <v>19.600000000000001</v>
      </c>
      <c r="J21" s="10">
        <f t="shared" ref="J21:J23" si="20">X21-I21-H21-G21</f>
        <v>22.29999999999999</v>
      </c>
      <c r="K21" s="10">
        <v>22.4</v>
      </c>
      <c r="L21" s="10">
        <v>32</v>
      </c>
      <c r="M21" s="10">
        <v>33.6</v>
      </c>
      <c r="N21" s="10">
        <f t="shared" ref="N21:N23" si="21">Y21-M21-L21-K21</f>
        <v>31.500000000000007</v>
      </c>
      <c r="O21" s="10">
        <v>27</v>
      </c>
      <c r="P21" s="10">
        <v>30.1</v>
      </c>
      <c r="Q21" s="10">
        <v>30.6</v>
      </c>
      <c r="R21" s="10">
        <v>30.6</v>
      </c>
      <c r="T21" s="10">
        <v>54.4</v>
      </c>
      <c r="U21" s="10">
        <v>59.3</v>
      </c>
      <c r="V21" s="10">
        <v>48.2</v>
      </c>
      <c r="W21" s="10">
        <v>53.4</v>
      </c>
      <c r="X21" s="10">
        <v>68.599999999999994</v>
      </c>
      <c r="Y21" s="10">
        <v>119.5</v>
      </c>
      <c r="Z21" s="10">
        <f t="shared" ref="Z21:Z23" si="22">SUM(O21:R21)</f>
        <v>118.30000000000001</v>
      </c>
      <c r="AA21" s="6">
        <f>Z21*1.02</f>
        <v>120.66600000000001</v>
      </c>
      <c r="AB21" s="6">
        <f t="shared" ref="AB21:AJ21" si="23">AA21*1.02</f>
        <v>123.07932000000001</v>
      </c>
      <c r="AC21" s="6">
        <f t="shared" si="23"/>
        <v>125.54090640000001</v>
      </c>
      <c r="AD21" s="6">
        <f t="shared" si="23"/>
        <v>128.05172452800002</v>
      </c>
      <c r="AE21" s="6">
        <f t="shared" si="23"/>
        <v>130.61275901856001</v>
      </c>
      <c r="AF21" s="6">
        <f t="shared" si="23"/>
        <v>133.22501419893121</v>
      </c>
      <c r="AG21" s="6">
        <f t="shared" si="23"/>
        <v>135.88951448290985</v>
      </c>
      <c r="AH21" s="6">
        <f t="shared" si="23"/>
        <v>138.60730477256806</v>
      </c>
      <c r="AI21" s="6">
        <f t="shared" si="23"/>
        <v>141.37945086801943</v>
      </c>
      <c r="AJ21" s="6">
        <f t="shared" si="23"/>
        <v>144.20703988537983</v>
      </c>
    </row>
    <row r="22" spans="2:144" x14ac:dyDescent="0.3">
      <c r="B22" s="1" t="s">
        <v>32</v>
      </c>
      <c r="C22" s="10">
        <v>-1</v>
      </c>
      <c r="D22" s="10">
        <v>-1.3</v>
      </c>
      <c r="E22" s="10">
        <v>-2.5</v>
      </c>
      <c r="F22" s="10">
        <f t="shared" si="19"/>
        <v>-4.7</v>
      </c>
      <c r="G22" s="10">
        <v>-6.2</v>
      </c>
      <c r="H22" s="10">
        <v>-5.2</v>
      </c>
      <c r="I22" s="10">
        <v>-1.9</v>
      </c>
      <c r="J22" s="10">
        <f t="shared" si="20"/>
        <v>-1.5</v>
      </c>
      <c r="K22" s="10">
        <v>-1.6</v>
      </c>
      <c r="L22" s="10">
        <v>-1.7</v>
      </c>
      <c r="M22" s="10">
        <v>-1.9</v>
      </c>
      <c r="N22" s="10">
        <f t="shared" si="21"/>
        <v>-2.399999999999999</v>
      </c>
      <c r="O22" s="10">
        <v>-2</v>
      </c>
      <c r="P22" s="10">
        <v>-2</v>
      </c>
      <c r="Q22" s="10">
        <v>-2.5</v>
      </c>
      <c r="R22" s="10">
        <v>-2.5</v>
      </c>
      <c r="T22" s="10">
        <v>-6.8</v>
      </c>
      <c r="U22" s="10">
        <v>-7.5</v>
      </c>
      <c r="V22" s="10">
        <v>-3.5</v>
      </c>
      <c r="W22" s="10">
        <v>-9.5</v>
      </c>
      <c r="X22" s="10">
        <v>-14.8</v>
      </c>
      <c r="Y22" s="10">
        <v>-7.6</v>
      </c>
      <c r="Z22" s="10">
        <f t="shared" si="22"/>
        <v>-9</v>
      </c>
      <c r="AA22" s="6">
        <f>Z22*1.02</f>
        <v>-9.18</v>
      </c>
      <c r="AB22" s="6">
        <f t="shared" ref="AB22:AJ22" si="24">AA22*1.02</f>
        <v>-9.3635999999999999</v>
      </c>
      <c r="AC22" s="6">
        <f t="shared" si="24"/>
        <v>-9.550872</v>
      </c>
      <c r="AD22" s="6">
        <f t="shared" si="24"/>
        <v>-9.7418894399999996</v>
      </c>
      <c r="AE22" s="6">
        <f t="shared" si="24"/>
        <v>-9.9367272288000006</v>
      </c>
      <c r="AF22" s="6">
        <f t="shared" si="24"/>
        <v>-10.135461773376001</v>
      </c>
      <c r="AG22" s="6">
        <f t="shared" si="24"/>
        <v>-10.338171008843521</v>
      </c>
      <c r="AH22" s="6">
        <f t="shared" si="24"/>
        <v>-10.54493442902039</v>
      </c>
      <c r="AI22" s="6">
        <f t="shared" si="24"/>
        <v>-10.755833117600798</v>
      </c>
      <c r="AJ22" s="6">
        <f t="shared" si="24"/>
        <v>-10.970949779952814</v>
      </c>
    </row>
    <row r="23" spans="2:144" x14ac:dyDescent="0.3">
      <c r="B23" s="1" t="s">
        <v>33</v>
      </c>
      <c r="C23" s="10">
        <v>-1.1000000000000001</v>
      </c>
      <c r="D23" s="10">
        <v>15.1</v>
      </c>
      <c r="E23" s="10">
        <v>6.8</v>
      </c>
      <c r="F23" s="10">
        <f t="shared" si="19"/>
        <v>32</v>
      </c>
      <c r="G23" s="10">
        <v>-5.8</v>
      </c>
      <c r="H23" s="10">
        <v>-4.8</v>
      </c>
      <c r="I23" s="10">
        <v>-2.6</v>
      </c>
      <c r="J23" s="10">
        <f t="shared" si="20"/>
        <v>-0.60000000000000142</v>
      </c>
      <c r="K23" s="10">
        <v>2</v>
      </c>
      <c r="L23" s="10">
        <v>1.5</v>
      </c>
      <c r="M23" s="10">
        <v>-3.6</v>
      </c>
      <c r="N23" s="10">
        <f t="shared" si="21"/>
        <v>-4.0999999999999996</v>
      </c>
      <c r="O23" s="10">
        <v>-0.5</v>
      </c>
      <c r="P23" s="10">
        <v>-7.3</v>
      </c>
      <c r="Q23" s="10">
        <v>-6.1</v>
      </c>
      <c r="R23" s="10">
        <v>-6.1</v>
      </c>
      <c r="T23" s="10">
        <v>-1.3</v>
      </c>
      <c r="U23" s="10">
        <v>-2.2000000000000002</v>
      </c>
      <c r="V23" s="10">
        <v>2.1</v>
      </c>
      <c r="W23" s="10">
        <v>52.8</v>
      </c>
      <c r="X23" s="10">
        <v>-13.8</v>
      </c>
      <c r="Y23" s="10">
        <v>-4.2</v>
      </c>
      <c r="Z23" s="10">
        <f t="shared" si="22"/>
        <v>-20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2:144" x14ac:dyDescent="0.3">
      <c r="B24" s="1" t="s">
        <v>34</v>
      </c>
      <c r="C24" s="10">
        <f>SUM(C21:C23)</f>
        <v>10.5</v>
      </c>
      <c r="D24" s="10">
        <f>SUM(D21:D23)</f>
        <v>27</v>
      </c>
      <c r="E24" s="10">
        <f>SUM(E21:E23)</f>
        <v>17.7</v>
      </c>
      <c r="F24" s="10">
        <f>SUM(F21:F23)</f>
        <v>41.5</v>
      </c>
      <c r="G24" s="10">
        <f>SUM(G21:G23)</f>
        <v>1.4000000000000004</v>
      </c>
      <c r="H24" s="10">
        <f>SUM(H21:H23)</f>
        <v>3.3000000000000016</v>
      </c>
      <c r="I24" s="10">
        <f>SUM(I21:I23)</f>
        <v>15.100000000000003</v>
      </c>
      <c r="J24" s="10">
        <f>SUM(J21:J23)</f>
        <v>20.199999999999989</v>
      </c>
      <c r="K24" s="10">
        <f>SUM(K21:K23)</f>
        <v>22.799999999999997</v>
      </c>
      <c r="L24" s="10">
        <f>SUM(L21:L23)</f>
        <v>31.8</v>
      </c>
      <c r="M24" s="10">
        <f>SUM(M21:M23)</f>
        <v>28.1</v>
      </c>
      <c r="N24" s="10">
        <f>SUM(N21:N23)</f>
        <v>25.000000000000007</v>
      </c>
      <c r="O24" s="10">
        <f>SUM(O21:O23)</f>
        <v>24.5</v>
      </c>
      <c r="P24" s="10">
        <f>SUM(P21:P23)</f>
        <v>20.8</v>
      </c>
      <c r="Q24" s="10">
        <f>SUM(Q21:Q23)</f>
        <v>22</v>
      </c>
      <c r="R24" s="10">
        <f>SUM(R21:R23)</f>
        <v>22</v>
      </c>
      <c r="T24" s="10">
        <f>SUM(T21:T23)</f>
        <v>46.300000000000004</v>
      </c>
      <c r="U24" s="10">
        <f>SUM(U21:U23)</f>
        <v>49.599999999999994</v>
      </c>
      <c r="V24" s="10">
        <f>SUM(V21:V23)</f>
        <v>46.800000000000004</v>
      </c>
      <c r="W24" s="10">
        <f>SUM(W21:W23)</f>
        <v>96.699999999999989</v>
      </c>
      <c r="X24" s="10">
        <f>SUM(X21:X23)</f>
        <v>40</v>
      </c>
      <c r="Y24" s="10">
        <f>SUM(Y21:Y23)</f>
        <v>107.7</v>
      </c>
      <c r="Z24" s="10">
        <f>SUM(Z21:Z23)</f>
        <v>89.300000000000011</v>
      </c>
      <c r="AA24" s="10">
        <f>SUM(AA21:AA23)</f>
        <v>111.48600000000002</v>
      </c>
      <c r="AB24" s="10">
        <f t="shared" ref="AB24:AJ24" si="25">SUM(AB21:AB23)</f>
        <v>113.71572</v>
      </c>
      <c r="AC24" s="10">
        <f t="shared" si="25"/>
        <v>115.99003440000001</v>
      </c>
      <c r="AD24" s="10">
        <f t="shared" si="25"/>
        <v>118.30983508800003</v>
      </c>
      <c r="AE24" s="10">
        <f t="shared" si="25"/>
        <v>120.67603178976002</v>
      </c>
      <c r="AF24" s="10">
        <f t="shared" si="25"/>
        <v>123.08955242555521</v>
      </c>
      <c r="AG24" s="10">
        <f t="shared" si="25"/>
        <v>125.55134347406633</v>
      </c>
      <c r="AH24" s="10">
        <f t="shared" si="25"/>
        <v>128.06237034354766</v>
      </c>
      <c r="AI24" s="10">
        <f t="shared" si="25"/>
        <v>130.62361775041865</v>
      </c>
      <c r="AJ24" s="10">
        <f t="shared" si="25"/>
        <v>133.23609010542702</v>
      </c>
    </row>
    <row r="25" spans="2:144" s="2" customFormat="1" x14ac:dyDescent="0.3">
      <c r="B25" s="2" t="s">
        <v>35</v>
      </c>
      <c r="C25" s="9">
        <f>C20-C24</f>
        <v>21.299999999999955</v>
      </c>
      <c r="D25" s="9">
        <f>D20-D24</f>
        <v>49.299999999999983</v>
      </c>
      <c r="E25" s="9">
        <f>E20-E24</f>
        <v>99.499999999999901</v>
      </c>
      <c r="F25" s="9">
        <f>F20-F24</f>
        <v>105.50000000000054</v>
      </c>
      <c r="G25" s="9">
        <f>G20-G24</f>
        <v>129.39999999999995</v>
      </c>
      <c r="H25" s="9">
        <f>H20-H24</f>
        <v>231.6</v>
      </c>
      <c r="I25" s="9">
        <f>I20-I24</f>
        <v>241.40000000000012</v>
      </c>
      <c r="J25" s="9">
        <f>J20-J24</f>
        <v>195.19999999999945</v>
      </c>
      <c r="K25" s="9">
        <f>K20-K24</f>
        <v>236.89999999999998</v>
      </c>
      <c r="L25" s="9">
        <f>L20-L24</f>
        <v>229.09999999999991</v>
      </c>
      <c r="M25" s="9">
        <f>M20-M24</f>
        <v>238.1</v>
      </c>
      <c r="N25" s="9">
        <f>N20-N24</f>
        <v>198.90000000000202</v>
      </c>
      <c r="O25" s="9">
        <f>O20-O24</f>
        <v>150.8000000000001</v>
      </c>
      <c r="P25" s="9">
        <f>P20-P24</f>
        <v>270.89999999999998</v>
      </c>
      <c r="Q25" s="9">
        <f>Q20-Q24</f>
        <v>238.39999999999998</v>
      </c>
      <c r="R25" s="9">
        <f>R20-R24</f>
        <v>213.10649000000004</v>
      </c>
      <c r="T25" s="9">
        <f>T20-T24</f>
        <v>750.6999999999997</v>
      </c>
      <c r="U25" s="9">
        <f>U20-U24</f>
        <v>439.10000000000014</v>
      </c>
      <c r="V25" s="9">
        <f>V20-V24</f>
        <v>497.90000000000015</v>
      </c>
      <c r="W25" s="9">
        <f>W20-W24</f>
        <v>275.59999999999962</v>
      </c>
      <c r="X25" s="9">
        <f>X20-X24</f>
        <v>797.59999999999934</v>
      </c>
      <c r="Y25" s="9">
        <f>Y20-Y24</f>
        <v>903.00000000000136</v>
      </c>
      <c r="Z25" s="9">
        <f>Z20-Z24</f>
        <v>873.20648999999867</v>
      </c>
      <c r="AA25" s="9">
        <f>AA20-AA24</f>
        <v>941.86028739999972</v>
      </c>
      <c r="AB25" s="9">
        <f t="shared" ref="AB25:AJ25" si="26">AB20-AB24</f>
        <v>1007.3133990819998</v>
      </c>
      <c r="AC25" s="9">
        <f t="shared" si="26"/>
        <v>1052.5841605056601</v>
      </c>
      <c r="AD25" s="9">
        <f t="shared" si="26"/>
        <v>1086.50291078447</v>
      </c>
      <c r="AE25" s="9">
        <f t="shared" si="26"/>
        <v>1121.4860480809173</v>
      </c>
      <c r="AF25" s="9">
        <f t="shared" si="26"/>
        <v>1144.7212925933977</v>
      </c>
      <c r="AG25" s="9">
        <f t="shared" si="26"/>
        <v>1168.4208266895641</v>
      </c>
      <c r="AH25" s="9">
        <f t="shared" si="26"/>
        <v>1192.5936778917621</v>
      </c>
      <c r="AI25" s="9">
        <f t="shared" si="26"/>
        <v>1217.2490440666045</v>
      </c>
      <c r="AJ25" s="9">
        <f t="shared" si="26"/>
        <v>1242.396296501086</v>
      </c>
    </row>
    <row r="26" spans="2:144" x14ac:dyDescent="0.3">
      <c r="B26" s="1" t="s">
        <v>36</v>
      </c>
      <c r="C26" s="10">
        <v>20.8</v>
      </c>
      <c r="D26" s="10">
        <v>15.4</v>
      </c>
      <c r="E26" s="10">
        <v>32.200000000000003</v>
      </c>
      <c r="F26" s="10">
        <f t="shared" ref="F26:F27" si="27">W26-E26-D26-C26</f>
        <v>29.099999999999998</v>
      </c>
      <c r="G26" s="10">
        <v>34.200000000000003</v>
      </c>
      <c r="H26" s="10">
        <v>56.3</v>
      </c>
      <c r="I26" s="10">
        <v>55.3</v>
      </c>
      <c r="J26" s="10">
        <f t="shared" ref="J26:J27" si="28">X26-I26-H26-G26</f>
        <v>44.199999999999989</v>
      </c>
      <c r="K26" s="10">
        <v>54.7</v>
      </c>
      <c r="L26" s="10">
        <v>53.5</v>
      </c>
      <c r="M26" s="10">
        <v>56.6</v>
      </c>
      <c r="N26" s="10">
        <f t="shared" ref="N26:N27" si="29">Y26-M26-L26-K26</f>
        <v>45.2</v>
      </c>
      <c r="O26" s="10">
        <v>36.799999999999997</v>
      </c>
      <c r="P26" s="10">
        <v>65.2</v>
      </c>
      <c r="Q26" s="10">
        <v>41.7</v>
      </c>
      <c r="R26" s="10">
        <f>R25*0.23</f>
        <v>49.014492700000012</v>
      </c>
      <c r="T26" s="10">
        <v>171.3</v>
      </c>
      <c r="U26" s="10">
        <v>112.8</v>
      </c>
      <c r="V26" s="10">
        <v>25.2</v>
      </c>
      <c r="W26" s="10">
        <v>97.5</v>
      </c>
      <c r="X26" s="10">
        <v>190</v>
      </c>
      <c r="Y26" s="10">
        <v>210</v>
      </c>
      <c r="Z26" s="10">
        <f t="shared" ref="Z26:Z27" si="30">SUM(O26:R26)</f>
        <v>192.71449269999999</v>
      </c>
      <c r="AA26" s="6">
        <f>AA25*0.22</f>
        <v>207.20926322799994</v>
      </c>
      <c r="AB26" s="6">
        <f t="shared" ref="AB26:AJ26" si="31">AB25*0.22</f>
        <v>221.60894779803996</v>
      </c>
      <c r="AC26" s="6">
        <f t="shared" si="31"/>
        <v>231.56851531124522</v>
      </c>
      <c r="AD26" s="6">
        <f t="shared" si="31"/>
        <v>239.03064037258341</v>
      </c>
      <c r="AE26" s="6">
        <f t="shared" si="31"/>
        <v>246.7269305778018</v>
      </c>
      <c r="AF26" s="6">
        <f t="shared" si="31"/>
        <v>251.8386843705475</v>
      </c>
      <c r="AG26" s="6">
        <f t="shared" si="31"/>
        <v>257.05258187170409</v>
      </c>
      <c r="AH26" s="6">
        <f t="shared" si="31"/>
        <v>262.37060913618768</v>
      </c>
      <c r="AI26" s="6">
        <f t="shared" si="31"/>
        <v>267.79478969465299</v>
      </c>
      <c r="AJ26" s="6">
        <f t="shared" si="31"/>
        <v>273.32718523023891</v>
      </c>
    </row>
    <row r="27" spans="2:144" x14ac:dyDescent="0.3">
      <c r="B27" s="1" t="s">
        <v>37</v>
      </c>
      <c r="C27" s="10">
        <v>0.7</v>
      </c>
      <c r="D27" s="10">
        <v>1.8</v>
      </c>
      <c r="E27" s="10">
        <v>0.4</v>
      </c>
      <c r="F27" s="10">
        <f t="shared" si="27"/>
        <v>1.3</v>
      </c>
      <c r="G27" s="10">
        <v>6.7</v>
      </c>
      <c r="H27" s="10">
        <v>0.3</v>
      </c>
      <c r="I27" s="10">
        <v>2.4</v>
      </c>
      <c r="J27" s="10">
        <f t="shared" si="28"/>
        <v>0.19999999999999929</v>
      </c>
      <c r="K27" s="10">
        <v>2.8</v>
      </c>
      <c r="L27" s="10">
        <v>7</v>
      </c>
      <c r="M27" s="10">
        <v>1.2</v>
      </c>
      <c r="N27" s="10">
        <f t="shared" si="29"/>
        <v>0.60000000000000053</v>
      </c>
      <c r="O27" s="10">
        <v>1.9</v>
      </c>
      <c r="P27" s="10">
        <v>0.9</v>
      </c>
      <c r="Q27" s="10">
        <v>0.5</v>
      </c>
      <c r="R27" s="10">
        <v>0.5</v>
      </c>
      <c r="T27" s="10">
        <v>0</v>
      </c>
      <c r="U27" s="10">
        <v>1.8</v>
      </c>
      <c r="V27" s="10">
        <v>0</v>
      </c>
      <c r="W27" s="10">
        <v>4.2</v>
      </c>
      <c r="X27" s="10">
        <v>9.6</v>
      </c>
      <c r="Y27" s="10">
        <v>11.6</v>
      </c>
      <c r="Z27" s="10">
        <f t="shared" si="30"/>
        <v>3.8</v>
      </c>
      <c r="AA27" s="6">
        <f>AA25*0.01</f>
        <v>9.4186028739999976</v>
      </c>
      <c r="AB27" s="6">
        <f t="shared" ref="AB27:AJ27" si="32">AB25*0.01</f>
        <v>10.073133990819999</v>
      </c>
      <c r="AC27" s="6">
        <f t="shared" si="32"/>
        <v>10.5258416050566</v>
      </c>
      <c r="AD27" s="6">
        <f t="shared" si="32"/>
        <v>10.8650291078447</v>
      </c>
      <c r="AE27" s="6">
        <f t="shared" si="32"/>
        <v>11.214860480809174</v>
      </c>
      <c r="AF27" s="6">
        <f t="shared" si="32"/>
        <v>11.447212925933977</v>
      </c>
      <c r="AG27" s="6">
        <f t="shared" si="32"/>
        <v>11.684208266895642</v>
      </c>
      <c r="AH27" s="6">
        <f t="shared" si="32"/>
        <v>11.925936778917622</v>
      </c>
      <c r="AI27" s="6">
        <f t="shared" si="32"/>
        <v>12.172490440666046</v>
      </c>
      <c r="AJ27" s="6">
        <f t="shared" si="32"/>
        <v>12.42396296501086</v>
      </c>
    </row>
    <row r="28" spans="2:144" s="2" customFormat="1" x14ac:dyDescent="0.3">
      <c r="B28" s="2" t="s">
        <v>38</v>
      </c>
      <c r="C28" s="9">
        <f>C25-C26-C27</f>
        <v>-0.20000000000004614</v>
      </c>
      <c r="D28" s="9">
        <f>D25-D26-D27</f>
        <v>32.099999999999987</v>
      </c>
      <c r="E28" s="9">
        <f>E25-E26-E27</f>
        <v>66.899999999999892</v>
      </c>
      <c r="F28" s="9">
        <f>F25-F26-F27</f>
        <v>75.100000000000549</v>
      </c>
      <c r="G28" s="9">
        <f>G25-G26-G27</f>
        <v>88.499999999999943</v>
      </c>
      <c r="H28" s="9">
        <f>H25-H26-H27</f>
        <v>175</v>
      </c>
      <c r="I28" s="9">
        <f>I25-I26-I27</f>
        <v>183.70000000000013</v>
      </c>
      <c r="J28" s="9">
        <f>J25-J26-J27</f>
        <v>150.79999999999947</v>
      </c>
      <c r="K28" s="9">
        <f>K25-K26-K27</f>
        <v>179.39999999999998</v>
      </c>
      <c r="L28" s="9">
        <f>L25-L26-L27</f>
        <v>168.59999999999991</v>
      </c>
      <c r="M28" s="9">
        <f>M25-M26-M27</f>
        <v>180.3</v>
      </c>
      <c r="N28" s="9">
        <f>N25-N26-N27</f>
        <v>153.10000000000204</v>
      </c>
      <c r="O28" s="9">
        <f>O25-O26-O27</f>
        <v>112.10000000000009</v>
      </c>
      <c r="P28" s="9">
        <f>P25-P26-P27</f>
        <v>204.79999999999998</v>
      </c>
      <c r="Q28" s="9">
        <f>Q25-Q26-Q27</f>
        <v>196.2</v>
      </c>
      <c r="R28" s="9">
        <f>R25-R26-R27</f>
        <v>163.59199730000003</v>
      </c>
      <c r="T28" s="9">
        <f>T25-T26-T27</f>
        <v>579.39999999999964</v>
      </c>
      <c r="U28" s="9">
        <f>U25-U26-U27</f>
        <v>324.50000000000011</v>
      </c>
      <c r="V28" s="9">
        <f>V25-V26-V27</f>
        <v>472.70000000000016</v>
      </c>
      <c r="W28" s="9">
        <f>W25-W26-W27</f>
        <v>173.89999999999964</v>
      </c>
      <c r="X28" s="9">
        <f>X25-X26-X27</f>
        <v>597.99999999999932</v>
      </c>
      <c r="Y28" s="9">
        <f>Y25-Y26-Y27</f>
        <v>681.40000000000134</v>
      </c>
      <c r="Z28" s="9">
        <f>Z25-Z26-Z27</f>
        <v>676.69199729999877</v>
      </c>
      <c r="AA28" s="9">
        <f>AA25-AA26-AA27</f>
        <v>725.23242129799974</v>
      </c>
      <c r="AB28" s="9">
        <f t="shared" ref="AB28:AJ28" si="33">AB25-AB26-AB27</f>
        <v>775.63131729313989</v>
      </c>
      <c r="AC28" s="9">
        <f t="shared" si="33"/>
        <v>810.4898035893583</v>
      </c>
      <c r="AD28" s="9">
        <f t="shared" si="33"/>
        <v>836.60724130404185</v>
      </c>
      <c r="AE28" s="9">
        <f t="shared" si="33"/>
        <v>863.54425702230628</v>
      </c>
      <c r="AF28" s="9">
        <f t="shared" si="33"/>
        <v>881.43539529691623</v>
      </c>
      <c r="AG28" s="9">
        <f t="shared" si="33"/>
        <v>899.68403655096438</v>
      </c>
      <c r="AH28" s="9">
        <f t="shared" si="33"/>
        <v>918.29713197665683</v>
      </c>
      <c r="AI28" s="9">
        <f t="shared" si="33"/>
        <v>937.28176393128547</v>
      </c>
      <c r="AJ28" s="9">
        <f t="shared" si="33"/>
        <v>956.64514830583619</v>
      </c>
      <c r="AK28" s="2">
        <f>AJ28*(1+$AM$33)</f>
        <v>947.07869682277783</v>
      </c>
      <c r="AL28" s="2">
        <f t="shared" ref="AL28:CW28" si="34">AK28*(1+$AM$33)</f>
        <v>937.60790985455003</v>
      </c>
      <c r="AM28" s="2">
        <f t="shared" si="34"/>
        <v>928.23183075600457</v>
      </c>
      <c r="AN28" s="2">
        <f t="shared" si="34"/>
        <v>918.94951244844447</v>
      </c>
      <c r="AO28" s="2">
        <f t="shared" si="34"/>
        <v>909.76001732396003</v>
      </c>
      <c r="AP28" s="2">
        <f t="shared" si="34"/>
        <v>900.66241715072044</v>
      </c>
      <c r="AQ28" s="2">
        <f t="shared" si="34"/>
        <v>891.65579297921317</v>
      </c>
      <c r="AR28" s="2">
        <f t="shared" si="34"/>
        <v>882.73923504942104</v>
      </c>
      <c r="AS28" s="2">
        <f t="shared" si="34"/>
        <v>873.91184269892688</v>
      </c>
      <c r="AT28" s="2">
        <f t="shared" si="34"/>
        <v>865.17272427193757</v>
      </c>
      <c r="AU28" s="2">
        <f t="shared" si="34"/>
        <v>856.52099702921817</v>
      </c>
      <c r="AV28" s="2">
        <f t="shared" si="34"/>
        <v>847.95578705892592</v>
      </c>
      <c r="AW28" s="2">
        <f t="shared" si="34"/>
        <v>839.47622918833667</v>
      </c>
      <c r="AX28" s="2">
        <f t="shared" si="34"/>
        <v>831.08146689645332</v>
      </c>
      <c r="AY28" s="2">
        <f t="shared" si="34"/>
        <v>822.77065222748877</v>
      </c>
      <c r="AZ28" s="2">
        <f t="shared" si="34"/>
        <v>814.54294570521392</v>
      </c>
      <c r="BA28" s="2">
        <f t="shared" si="34"/>
        <v>806.39751624816176</v>
      </c>
      <c r="BB28" s="2">
        <f t="shared" si="34"/>
        <v>798.33354108568017</v>
      </c>
      <c r="BC28" s="2">
        <f t="shared" si="34"/>
        <v>790.35020567482331</v>
      </c>
      <c r="BD28" s="2">
        <f t="shared" si="34"/>
        <v>782.44670361807505</v>
      </c>
      <c r="BE28" s="2">
        <f t="shared" si="34"/>
        <v>774.6222365818943</v>
      </c>
      <c r="BF28" s="2">
        <f t="shared" si="34"/>
        <v>766.8760142160753</v>
      </c>
      <c r="BG28" s="2">
        <f t="shared" si="34"/>
        <v>759.20725407391456</v>
      </c>
      <c r="BH28" s="2">
        <f t="shared" si="34"/>
        <v>751.61518153317536</v>
      </c>
      <c r="BI28" s="2">
        <f t="shared" si="34"/>
        <v>744.09902971784356</v>
      </c>
      <c r="BJ28" s="2">
        <f t="shared" si="34"/>
        <v>736.65803942066509</v>
      </c>
      <c r="BK28" s="2">
        <f t="shared" si="34"/>
        <v>729.29145902645848</v>
      </c>
      <c r="BL28" s="2">
        <f t="shared" si="34"/>
        <v>721.99854443619392</v>
      </c>
      <c r="BM28" s="2">
        <f t="shared" si="34"/>
        <v>714.77855899183203</v>
      </c>
      <c r="BN28" s="2">
        <f t="shared" si="34"/>
        <v>707.63077340191376</v>
      </c>
      <c r="BO28" s="2">
        <f t="shared" si="34"/>
        <v>700.55446566789465</v>
      </c>
      <c r="BP28" s="2">
        <f t="shared" si="34"/>
        <v>693.54892101121573</v>
      </c>
      <c r="BQ28" s="2">
        <f t="shared" si="34"/>
        <v>686.61343180110362</v>
      </c>
      <c r="BR28" s="2">
        <f t="shared" si="34"/>
        <v>679.74729748309255</v>
      </c>
      <c r="BS28" s="2">
        <f t="shared" si="34"/>
        <v>672.9498245082616</v>
      </c>
      <c r="BT28" s="2">
        <f t="shared" si="34"/>
        <v>666.220326263179</v>
      </c>
      <c r="BU28" s="2">
        <f t="shared" si="34"/>
        <v>659.5581230005472</v>
      </c>
      <c r="BV28" s="2">
        <f t="shared" si="34"/>
        <v>652.96254177054175</v>
      </c>
      <c r="BW28" s="2">
        <f t="shared" si="34"/>
        <v>646.43291635283629</v>
      </c>
      <c r="BX28" s="2">
        <f t="shared" si="34"/>
        <v>639.96858718930787</v>
      </c>
      <c r="BY28" s="2">
        <f t="shared" si="34"/>
        <v>633.56890131741477</v>
      </c>
      <c r="BZ28" s="2">
        <f t="shared" si="34"/>
        <v>627.23321230424062</v>
      </c>
      <c r="CA28" s="2">
        <f t="shared" si="34"/>
        <v>620.96088018119826</v>
      </c>
      <c r="CB28" s="2">
        <f t="shared" si="34"/>
        <v>614.75127137938625</v>
      </c>
      <c r="CC28" s="2">
        <f t="shared" si="34"/>
        <v>608.60375866559241</v>
      </c>
      <c r="CD28" s="2">
        <f t="shared" si="34"/>
        <v>602.51772107893646</v>
      </c>
      <c r="CE28" s="2">
        <f t="shared" si="34"/>
        <v>596.4925438681471</v>
      </c>
      <c r="CF28" s="2">
        <f t="shared" si="34"/>
        <v>590.52761842946563</v>
      </c>
      <c r="CG28" s="2">
        <f t="shared" si="34"/>
        <v>584.62234224517101</v>
      </c>
      <c r="CH28" s="2">
        <f t="shared" si="34"/>
        <v>578.77611882271924</v>
      </c>
      <c r="CI28" s="2">
        <f t="shared" si="34"/>
        <v>572.98835763449199</v>
      </c>
      <c r="CJ28" s="2">
        <f t="shared" si="34"/>
        <v>567.25847405814704</v>
      </c>
      <c r="CK28" s="2">
        <f t="shared" si="34"/>
        <v>561.5858893175656</v>
      </c>
      <c r="CL28" s="2">
        <f t="shared" si="34"/>
        <v>555.97003042438996</v>
      </c>
      <c r="CM28" s="2">
        <f t="shared" si="34"/>
        <v>550.410330120146</v>
      </c>
      <c r="CN28" s="2">
        <f t="shared" si="34"/>
        <v>544.90622681894456</v>
      </c>
      <c r="CO28" s="2">
        <f t="shared" si="34"/>
        <v>539.45716455075512</v>
      </c>
      <c r="CP28" s="2">
        <f t="shared" si="34"/>
        <v>534.06259290524758</v>
      </c>
      <c r="CQ28" s="2">
        <f t="shared" si="34"/>
        <v>528.72196697619506</v>
      </c>
      <c r="CR28" s="2">
        <f t="shared" si="34"/>
        <v>523.43474730643311</v>
      </c>
      <c r="CS28" s="2">
        <f t="shared" si="34"/>
        <v>518.20039983336881</v>
      </c>
      <c r="CT28" s="2">
        <f t="shared" si="34"/>
        <v>513.01839583503511</v>
      </c>
      <c r="CU28" s="2">
        <f t="shared" si="34"/>
        <v>507.88821187668475</v>
      </c>
      <c r="CV28" s="2">
        <f t="shared" si="34"/>
        <v>502.80932975791791</v>
      </c>
      <c r="CW28" s="2">
        <f t="shared" si="34"/>
        <v>497.78123646033873</v>
      </c>
      <c r="CX28" s="2">
        <f t="shared" ref="CX28:EN28" si="35">CW28*(1+$AM$33)</f>
        <v>492.80342409573535</v>
      </c>
      <c r="CY28" s="2">
        <f t="shared" si="35"/>
        <v>487.87538985477801</v>
      </c>
      <c r="CZ28" s="2">
        <f t="shared" si="35"/>
        <v>482.99663595623025</v>
      </c>
      <c r="DA28" s="2">
        <f t="shared" si="35"/>
        <v>478.16666959666793</v>
      </c>
      <c r="DB28" s="2">
        <f t="shared" si="35"/>
        <v>473.38500290070124</v>
      </c>
      <c r="DC28" s="2">
        <f t="shared" si="35"/>
        <v>468.65115287169419</v>
      </c>
      <c r="DD28" s="2">
        <f t="shared" si="35"/>
        <v>463.96464134297725</v>
      </c>
      <c r="DE28" s="2">
        <f t="shared" si="35"/>
        <v>459.32499492954747</v>
      </c>
      <c r="DF28" s="2">
        <f t="shared" si="35"/>
        <v>454.73174498025202</v>
      </c>
      <c r="DG28" s="2">
        <f t="shared" si="35"/>
        <v>450.18442753044951</v>
      </c>
      <c r="DH28" s="2">
        <f t="shared" si="35"/>
        <v>445.682583255145</v>
      </c>
      <c r="DI28" s="2">
        <f t="shared" si="35"/>
        <v>441.22575742259357</v>
      </c>
      <c r="DJ28" s="2">
        <f t="shared" si="35"/>
        <v>436.81349984836766</v>
      </c>
      <c r="DK28" s="2">
        <f t="shared" si="35"/>
        <v>432.44536484988396</v>
      </c>
      <c r="DL28" s="2">
        <f t="shared" si="35"/>
        <v>428.12091120138513</v>
      </c>
      <c r="DM28" s="2">
        <f t="shared" si="35"/>
        <v>423.83970208937126</v>
      </c>
      <c r="DN28" s="2">
        <f t="shared" si="35"/>
        <v>419.60130506847753</v>
      </c>
      <c r="DO28" s="2">
        <f t="shared" si="35"/>
        <v>415.40529201779276</v>
      </c>
      <c r="DP28" s="2">
        <f t="shared" si="35"/>
        <v>411.25123909761481</v>
      </c>
      <c r="DQ28" s="2">
        <f t="shared" si="35"/>
        <v>407.13872670663864</v>
      </c>
      <c r="DR28" s="2">
        <f t="shared" si="35"/>
        <v>403.06733943957227</v>
      </c>
      <c r="DS28" s="2">
        <f t="shared" si="35"/>
        <v>399.03666604517656</v>
      </c>
      <c r="DT28" s="2">
        <f t="shared" si="35"/>
        <v>395.04629938472482</v>
      </c>
      <c r="DU28" s="2">
        <f t="shared" si="35"/>
        <v>391.09583639087759</v>
      </c>
      <c r="DV28" s="2">
        <f t="shared" si="35"/>
        <v>387.18487802696882</v>
      </c>
      <c r="DW28" s="2">
        <f t="shared" si="35"/>
        <v>383.3130292466991</v>
      </c>
      <c r="DX28" s="2">
        <f t="shared" si="35"/>
        <v>379.47989895423211</v>
      </c>
      <c r="DY28" s="2">
        <f t="shared" si="35"/>
        <v>375.68509996468981</v>
      </c>
      <c r="DZ28" s="2">
        <f t="shared" si="35"/>
        <v>371.92824896504288</v>
      </c>
      <c r="EA28" s="2">
        <f t="shared" si="35"/>
        <v>368.20896647539246</v>
      </c>
      <c r="EB28" s="2">
        <f t="shared" si="35"/>
        <v>364.52687681063856</v>
      </c>
      <c r="EC28" s="2">
        <f t="shared" si="35"/>
        <v>360.88160804253215</v>
      </c>
      <c r="ED28" s="2">
        <f t="shared" si="35"/>
        <v>357.27279196210685</v>
      </c>
      <c r="EE28" s="2">
        <f t="shared" si="35"/>
        <v>353.70006404248579</v>
      </c>
      <c r="EF28" s="2">
        <f t="shared" si="35"/>
        <v>350.16306340206091</v>
      </c>
      <c r="EG28" s="2">
        <f t="shared" si="35"/>
        <v>346.6614327680403</v>
      </c>
      <c r="EH28" s="2">
        <f t="shared" si="35"/>
        <v>343.19481844035988</v>
      </c>
      <c r="EI28" s="2">
        <f t="shared" si="35"/>
        <v>339.76287025595627</v>
      </c>
      <c r="EJ28" s="2">
        <f t="shared" si="35"/>
        <v>336.36524155339669</v>
      </c>
      <c r="EK28" s="2">
        <f t="shared" si="35"/>
        <v>333.00158913786271</v>
      </c>
      <c r="EL28" s="2">
        <f t="shared" si="35"/>
        <v>329.67157324648406</v>
      </c>
      <c r="EM28" s="2">
        <f t="shared" si="35"/>
        <v>326.3748575140192</v>
      </c>
      <c r="EN28" s="2">
        <f t="shared" si="35"/>
        <v>323.111108938879</v>
      </c>
    </row>
    <row r="29" spans="2:144" x14ac:dyDescent="0.3">
      <c r="B29" s="1" t="s">
        <v>2</v>
      </c>
      <c r="C29" s="10">
        <f>63.3</f>
        <v>63.3</v>
      </c>
      <c r="D29" s="10">
        <f>63.3</f>
        <v>63.3</v>
      </c>
      <c r="E29" s="10">
        <f>63.3</f>
        <v>63.3</v>
      </c>
      <c r="F29" s="10">
        <f>63.3</f>
        <v>63.3</v>
      </c>
      <c r="G29" s="10">
        <f>63.3</f>
        <v>63.3</v>
      </c>
      <c r="H29" s="10">
        <f>63.3</f>
        <v>63.3</v>
      </c>
      <c r="I29" s="10">
        <f>63.3</f>
        <v>63.3</v>
      </c>
      <c r="J29" s="10">
        <f>63.3</f>
        <v>63.3</v>
      </c>
      <c r="K29" s="10">
        <f>63.3</f>
        <v>63.3</v>
      </c>
      <c r="L29" s="10">
        <f>63.3</f>
        <v>63.3</v>
      </c>
      <c r="M29" s="10">
        <f>63.3</f>
        <v>63.3</v>
      </c>
      <c r="N29" s="10">
        <f>63.3</f>
        <v>63.3</v>
      </c>
      <c r="O29" s="10">
        <f>63.3</f>
        <v>63.3</v>
      </c>
      <c r="P29" s="10">
        <f>63.3</f>
        <v>63.3</v>
      </c>
      <c r="Q29" s="10">
        <f>63.3</f>
        <v>63.3</v>
      </c>
      <c r="R29" s="10">
        <f>63.3</f>
        <v>63.3</v>
      </c>
      <c r="T29" s="10">
        <f>63.3</f>
        <v>63.3</v>
      </c>
      <c r="U29" s="10">
        <f>63.3</f>
        <v>63.3</v>
      </c>
      <c r="V29" s="10">
        <f>63.3</f>
        <v>63.3</v>
      </c>
      <c r="W29" s="10">
        <f>63.3</f>
        <v>63.3</v>
      </c>
      <c r="X29" s="10">
        <f>63.3</f>
        <v>63.3</v>
      </c>
      <c r="Y29" s="10">
        <f>63.3</f>
        <v>63.3</v>
      </c>
      <c r="Z29" s="10">
        <f>63.3</f>
        <v>63.3</v>
      </c>
      <c r="AA29" s="10">
        <f>63.3</f>
        <v>63.3</v>
      </c>
      <c r="AB29" s="10">
        <f t="shared" ref="AB29:AJ29" si="36">63.3</f>
        <v>63.3</v>
      </c>
      <c r="AC29" s="10">
        <f t="shared" si="36"/>
        <v>63.3</v>
      </c>
      <c r="AD29" s="10">
        <f t="shared" si="36"/>
        <v>63.3</v>
      </c>
      <c r="AE29" s="10">
        <f t="shared" si="36"/>
        <v>63.3</v>
      </c>
      <c r="AF29" s="10">
        <f t="shared" si="36"/>
        <v>63.3</v>
      </c>
      <c r="AG29" s="10">
        <f t="shared" si="36"/>
        <v>63.3</v>
      </c>
      <c r="AH29" s="10">
        <f t="shared" si="36"/>
        <v>63.3</v>
      </c>
      <c r="AI29" s="10">
        <f t="shared" si="36"/>
        <v>63.3</v>
      </c>
      <c r="AJ29" s="10">
        <f t="shared" si="36"/>
        <v>63.3</v>
      </c>
    </row>
    <row r="30" spans="2:144" x14ac:dyDescent="0.3">
      <c r="B30" s="1" t="s">
        <v>39</v>
      </c>
      <c r="C30" s="8">
        <f>C28/C29</f>
        <v>-3.1595576619280591E-3</v>
      </c>
      <c r="D30" s="8">
        <f>D28/D29</f>
        <v>0.50710900473933629</v>
      </c>
      <c r="E30" s="8">
        <f>E28/E29</f>
        <v>1.0568720379146903</v>
      </c>
      <c r="F30" s="8">
        <f>F28/F29</f>
        <v>1.1864139020537212</v>
      </c>
      <c r="G30" s="8">
        <f>G28/G29</f>
        <v>1.3981042654028428</v>
      </c>
      <c r="H30" s="8">
        <f>H28/H29</f>
        <v>2.764612954186414</v>
      </c>
      <c r="I30" s="8">
        <f>I28/I29</f>
        <v>2.9020537124802548</v>
      </c>
      <c r="J30" s="8">
        <f>J28/J29</f>
        <v>2.3823064770931985</v>
      </c>
      <c r="K30" s="8">
        <f>K28/K29</f>
        <v>2.8341232227488149</v>
      </c>
      <c r="L30" s="8">
        <f>L28/L29</f>
        <v>2.6635071090047382</v>
      </c>
      <c r="M30" s="8">
        <f>M28/M29</f>
        <v>2.8483412322274884</v>
      </c>
      <c r="N30" s="8">
        <f>N28/N29</f>
        <v>2.4186413902054036</v>
      </c>
      <c r="O30" s="8">
        <f>O28/O29</f>
        <v>1.7709320695102702</v>
      </c>
      <c r="P30" s="8">
        <f>P28/P29</f>
        <v>3.235387045813586</v>
      </c>
      <c r="Q30" s="8">
        <f>Q28/Q29</f>
        <v>3.0995260663507107</v>
      </c>
      <c r="R30" s="8">
        <f>R28/R29</f>
        <v>2.584391742496051</v>
      </c>
      <c r="T30" s="8">
        <f>T28/T29</f>
        <v>9.15323854660347</v>
      </c>
      <c r="U30" s="8">
        <f>U28/U29</f>
        <v>5.1263823064770948</v>
      </c>
      <c r="V30" s="8">
        <f>V28/V29</f>
        <v>7.4676145339652473</v>
      </c>
      <c r="W30" s="8">
        <f>W28/W29</f>
        <v>2.7472353870458082</v>
      </c>
      <c r="X30" s="8">
        <f>X28/X29</f>
        <v>9.4470774091627074</v>
      </c>
      <c r="Y30" s="8">
        <f>Y28/Y29</f>
        <v>10.764612954186436</v>
      </c>
      <c r="Z30" s="8">
        <f>Z28/Z29</f>
        <v>10.690236924170597</v>
      </c>
      <c r="AA30" s="8">
        <f>AA28/AA29</f>
        <v>11.457068266951023</v>
      </c>
      <c r="AB30" s="8">
        <f t="shared" ref="AB30:AJ30" si="37">AB28/AB29</f>
        <v>12.253259356921642</v>
      </c>
      <c r="AC30" s="8">
        <f t="shared" si="37"/>
        <v>12.80394634422367</v>
      </c>
      <c r="AD30" s="8">
        <f t="shared" si="37"/>
        <v>13.216544096430361</v>
      </c>
      <c r="AE30" s="8">
        <f t="shared" si="37"/>
        <v>13.642089368440859</v>
      </c>
      <c r="AF30" s="8">
        <f t="shared" si="37"/>
        <v>13.924729783521585</v>
      </c>
      <c r="AG30" s="8">
        <f t="shared" si="37"/>
        <v>14.213017954991539</v>
      </c>
      <c r="AH30" s="8">
        <f t="shared" si="37"/>
        <v>14.507063696313695</v>
      </c>
      <c r="AI30" s="8">
        <f t="shared" si="37"/>
        <v>14.806978893069282</v>
      </c>
      <c r="AJ30" s="8">
        <f t="shared" si="37"/>
        <v>15.112877540376561</v>
      </c>
    </row>
    <row r="32" spans="2:144" x14ac:dyDescent="0.3">
      <c r="B32" s="1" t="s">
        <v>55</v>
      </c>
      <c r="O32" s="12">
        <f t="shared" ref="O32:O35" si="38">O9/K9-1</f>
        <v>-0.22658585858585856</v>
      </c>
      <c r="P32" s="12">
        <f t="shared" ref="P32:P35" si="39">P9/L9-1</f>
        <v>-0.10725709005615192</v>
      </c>
      <c r="Q32" s="12">
        <f t="shared" ref="Q32:R35" si="40">Q9/M9-1</f>
        <v>-0.18601921807379151</v>
      </c>
      <c r="R32" s="12">
        <f t="shared" si="40"/>
        <v>-0.15000000000000002</v>
      </c>
      <c r="X32" s="12">
        <f t="shared" ref="X32:Y35" si="41">X9/W9-1</f>
        <v>0.25626243045240549</v>
      </c>
      <c r="Y32" s="12">
        <f t="shared" si="41"/>
        <v>3.5010020040080025E-2</v>
      </c>
      <c r="Z32" s="12">
        <f t="shared" ref="Z32:AJ32" si="42">Z9/Y9-1</f>
        <v>-0.16621488179371502</v>
      </c>
      <c r="AA32" s="12">
        <f t="shared" si="42"/>
        <v>-5.0000000000000044E-2</v>
      </c>
      <c r="AB32" s="12">
        <f t="shared" si="42"/>
        <v>2.0000000000000018E-2</v>
      </c>
      <c r="AC32" s="12">
        <f t="shared" si="42"/>
        <v>2.0000000000000018E-2</v>
      </c>
      <c r="AD32" s="12">
        <f t="shared" si="42"/>
        <v>2.0000000000000018E-2</v>
      </c>
      <c r="AE32" s="12">
        <f t="shared" si="42"/>
        <v>2.0000000000000018E-2</v>
      </c>
      <c r="AF32" s="12">
        <f t="shared" si="42"/>
        <v>1.0000000000000009E-2</v>
      </c>
      <c r="AG32" s="12">
        <f t="shared" si="42"/>
        <v>1.0000000000000009E-2</v>
      </c>
      <c r="AH32" s="12">
        <f t="shared" si="42"/>
        <v>1.0000000000000009E-2</v>
      </c>
      <c r="AI32" s="12">
        <f t="shared" si="42"/>
        <v>1.0000000000000009E-2</v>
      </c>
      <c r="AJ32" s="12">
        <f t="shared" si="42"/>
        <v>1.0000000000000009E-2</v>
      </c>
    </row>
    <row r="33" spans="2:39" x14ac:dyDescent="0.3">
      <c r="B33" s="1" t="s">
        <v>56</v>
      </c>
      <c r="O33" s="12">
        <f t="shared" si="38"/>
        <v>0.12221646815121701</v>
      </c>
      <c r="P33" s="12">
        <f t="shared" si="39"/>
        <v>0.15016012335428774</v>
      </c>
      <c r="Q33" s="12">
        <f t="shared" si="40"/>
        <v>0.18889707688528601</v>
      </c>
      <c r="R33" s="12">
        <f t="shared" si="40"/>
        <v>0.14999999999999991</v>
      </c>
      <c r="X33" s="12">
        <f t="shared" si="41"/>
        <v>0.18495196948108661</v>
      </c>
      <c r="Y33" s="12">
        <f t="shared" si="41"/>
        <v>0.28400760249796364</v>
      </c>
      <c r="Z33" s="12">
        <f t="shared" ref="Z33:AJ33" si="43">Z10/Y10-1</f>
        <v>0.15312509440232014</v>
      </c>
      <c r="AA33" s="12">
        <f t="shared" si="43"/>
        <v>0.10000000000000009</v>
      </c>
      <c r="AB33" s="12">
        <f t="shared" si="43"/>
        <v>7.0000000000000062E-2</v>
      </c>
      <c r="AC33" s="12">
        <f t="shared" si="43"/>
        <v>4.0000000000000036E-2</v>
      </c>
      <c r="AD33" s="12">
        <f t="shared" si="43"/>
        <v>3.0000000000000027E-2</v>
      </c>
      <c r="AE33" s="12">
        <f t="shared" si="43"/>
        <v>3.0000000000000027E-2</v>
      </c>
      <c r="AF33" s="12">
        <f t="shared" si="43"/>
        <v>2.0000000000000018E-2</v>
      </c>
      <c r="AG33" s="12">
        <f t="shared" si="43"/>
        <v>2.0000000000000018E-2</v>
      </c>
      <c r="AH33" s="12">
        <f t="shared" si="43"/>
        <v>2.0000000000000018E-2</v>
      </c>
      <c r="AI33" s="12">
        <f t="shared" si="43"/>
        <v>2.0000000000000018E-2</v>
      </c>
      <c r="AJ33" s="12">
        <f t="shared" si="43"/>
        <v>2.0000000000000018E-2</v>
      </c>
      <c r="AL33" s="1" t="s">
        <v>59</v>
      </c>
      <c r="AM33" s="12">
        <v>-0.01</v>
      </c>
    </row>
    <row r="34" spans="2:39" x14ac:dyDescent="0.3">
      <c r="B34" s="1" t="s">
        <v>57</v>
      </c>
      <c r="O34" s="12">
        <f t="shared" si="38"/>
        <v>-9.055195442938524E-2</v>
      </c>
      <c r="P34" s="12">
        <f t="shared" si="39"/>
        <v>-0.16226613044238491</v>
      </c>
      <c r="Q34" s="12">
        <f t="shared" si="40"/>
        <v>8.7897853441894824E-2</v>
      </c>
      <c r="R34" s="12">
        <f t="shared" si="40"/>
        <v>0.12000000000000011</v>
      </c>
      <c r="X34" s="12">
        <f t="shared" si="41"/>
        <v>-2.8021951337963147E-2</v>
      </c>
      <c r="Y34" s="12">
        <f t="shared" si="41"/>
        <v>7.6846207654641674E-2</v>
      </c>
      <c r="Z34" s="12">
        <f t="shared" ref="Z34:AJ34" si="44">Z11/Y11-1</f>
        <v>-1.2687453600593979E-2</v>
      </c>
      <c r="AA34" s="12">
        <f t="shared" si="44"/>
        <v>0.14999999999999991</v>
      </c>
      <c r="AB34" s="12">
        <f t="shared" si="44"/>
        <v>6.0000000000000053E-2</v>
      </c>
      <c r="AC34" s="12">
        <f t="shared" si="44"/>
        <v>4.0000000000000036E-2</v>
      </c>
      <c r="AD34" s="12">
        <f t="shared" si="44"/>
        <v>3.0000000000000027E-2</v>
      </c>
      <c r="AE34" s="12">
        <f t="shared" si="44"/>
        <v>3.0000000000000027E-2</v>
      </c>
      <c r="AF34" s="12">
        <f t="shared" si="44"/>
        <v>2.0000000000000018E-2</v>
      </c>
      <c r="AG34" s="12">
        <f t="shared" si="44"/>
        <v>2.0000000000000018E-2</v>
      </c>
      <c r="AH34" s="12">
        <f t="shared" si="44"/>
        <v>2.0000000000000018E-2</v>
      </c>
      <c r="AI34" s="12">
        <f t="shared" si="44"/>
        <v>2.0000000000000018E-2</v>
      </c>
      <c r="AJ34" s="12">
        <f t="shared" si="44"/>
        <v>2.0000000000000018E-2</v>
      </c>
      <c r="AL34" s="1" t="s">
        <v>60</v>
      </c>
      <c r="AM34" s="12">
        <v>0.09</v>
      </c>
    </row>
    <row r="35" spans="2:39" x14ac:dyDescent="0.3">
      <c r="B35" s="1" t="s">
        <v>58</v>
      </c>
      <c r="O35" s="12">
        <f t="shared" si="38"/>
        <v>4.4354838709677269E-2</v>
      </c>
      <c r="P35" s="12">
        <f t="shared" si="39"/>
        <v>9.2000000000000082E-2</v>
      </c>
      <c r="Q35" s="12">
        <f t="shared" si="40"/>
        <v>-2.1276595744680882E-2</v>
      </c>
      <c r="R35" s="12">
        <f t="shared" si="40"/>
        <v>3.0000000000000027E-2</v>
      </c>
      <c r="X35" s="12">
        <f t="shared" si="41"/>
        <v>0.17709720372836224</v>
      </c>
      <c r="Y35" s="12">
        <f t="shared" si="41"/>
        <v>0.13122171945701355</v>
      </c>
      <c r="Z35" s="12">
        <f t="shared" ref="Z35:AJ35" si="45">Z12/Y12-1</f>
        <v>3.7009999999999987E-2</v>
      </c>
      <c r="AA35" s="12">
        <f t="shared" si="45"/>
        <v>3.0000000000000027E-2</v>
      </c>
      <c r="AB35" s="12">
        <f t="shared" si="45"/>
        <v>3.0000000000000027E-2</v>
      </c>
      <c r="AC35" s="12">
        <f t="shared" si="45"/>
        <v>3.0000000000000027E-2</v>
      </c>
      <c r="AD35" s="12">
        <f t="shared" si="45"/>
        <v>3.0000000000000027E-2</v>
      </c>
      <c r="AE35" s="12">
        <f t="shared" si="45"/>
        <v>3.0000000000000027E-2</v>
      </c>
      <c r="AF35" s="12">
        <f t="shared" si="45"/>
        <v>3.0000000000000027E-2</v>
      </c>
      <c r="AG35" s="12">
        <f t="shared" si="45"/>
        <v>3.0000000000000027E-2</v>
      </c>
      <c r="AH35" s="12">
        <f t="shared" si="45"/>
        <v>3.0000000000000027E-2</v>
      </c>
      <c r="AI35" s="12">
        <f t="shared" si="45"/>
        <v>3.0000000000000027E-2</v>
      </c>
      <c r="AJ35" s="12">
        <f t="shared" si="45"/>
        <v>3.0000000000000027E-2</v>
      </c>
      <c r="AL35" s="1" t="s">
        <v>61</v>
      </c>
      <c r="AM35" s="6">
        <f>NPV(AM34,Z28:EN28)</f>
        <v>9256.2574463074652</v>
      </c>
    </row>
    <row r="36" spans="2:39" x14ac:dyDescent="0.3">
      <c r="B36" s="1" t="s">
        <v>44</v>
      </c>
      <c r="C36" s="12"/>
      <c r="D36" s="12"/>
      <c r="E36" s="12"/>
      <c r="F36" s="12"/>
      <c r="G36" s="12">
        <f>G13/C13-1</f>
        <v>0.16569872025492094</v>
      </c>
      <c r="H36" s="12">
        <f>H13/D13-1</f>
        <v>0.16800580832526624</v>
      </c>
      <c r="I36" s="12">
        <f>I13/E13-1</f>
        <v>0.21444815406203133</v>
      </c>
      <c r="J36" s="12">
        <f>J13/F13-1</f>
        <v>0.11944091486658159</v>
      </c>
      <c r="K36" s="12">
        <f>K13/G13-1</f>
        <v>0.12155548697147411</v>
      </c>
      <c r="L36" s="12">
        <f>L13/H13-1</f>
        <v>0.17976876217313831</v>
      </c>
      <c r="M36" s="12">
        <f>M13/I13-1</f>
        <v>9.2234750388461739E-2</v>
      </c>
      <c r="N36" s="12">
        <f>N13/J13-1</f>
        <v>5.3226852602562547E-2</v>
      </c>
      <c r="O36" s="12">
        <f>O13/K13-1</f>
        <v>-9.0809025866813387E-2</v>
      </c>
      <c r="P36" s="12">
        <f>P13/L13-1</f>
        <v>-4.0324563560363957E-2</v>
      </c>
      <c r="Q36" s="12">
        <f>Q13/M13-1</f>
        <v>-1.9260231998249111E-2</v>
      </c>
      <c r="R36" s="12">
        <f>R13/N13-1</f>
        <v>9.0054270428383543E-3</v>
      </c>
      <c r="T36" s="12"/>
      <c r="U36" s="12">
        <f>U13/T13-1</f>
        <v>-0.1819613457408733</v>
      </c>
      <c r="V36" s="12">
        <f>V13/U13-1</f>
        <v>0.12841267063353157</v>
      </c>
      <c r="W36" s="12">
        <f>W13/V13-1</f>
        <v>7.0399234875214933E-2</v>
      </c>
      <c r="X36" s="12">
        <f>X13/W13-1</f>
        <v>0.16613136923448435</v>
      </c>
      <c r="Y36" s="12">
        <f>Y13/X13-1</f>
        <v>0.11102827736878629</v>
      </c>
      <c r="Z36" s="12">
        <f t="shared" ref="Z36:AJ36" si="46">Z13/Y13-1</f>
        <v>-3.4967009002628169E-2</v>
      </c>
      <c r="AA36" s="12">
        <f t="shared" si="46"/>
        <v>4.7194212610587982E-2</v>
      </c>
      <c r="AB36" s="12">
        <f t="shared" si="46"/>
        <v>4.8486139204976686E-2</v>
      </c>
      <c r="AC36" s="12">
        <f t="shared" si="46"/>
        <v>3.2562947052326541E-2</v>
      </c>
      <c r="AD36" s="12">
        <f t="shared" si="46"/>
        <v>2.6374509703048776E-2</v>
      </c>
      <c r="AE36" s="12">
        <f t="shared" si="46"/>
        <v>2.6397026555189829E-2</v>
      </c>
      <c r="AF36" s="12">
        <f t="shared" si="46"/>
        <v>1.6516687734170254E-2</v>
      </c>
      <c r="AG36" s="12">
        <f t="shared" si="46"/>
        <v>1.6540931085073041E-2</v>
      </c>
      <c r="AH36" s="12">
        <f t="shared" si="46"/>
        <v>1.656512630460405E-2</v>
      </c>
      <c r="AI36" s="12">
        <f t="shared" si="46"/>
        <v>1.6589272677733469E-2</v>
      </c>
      <c r="AJ36" s="12">
        <f t="shared" si="46"/>
        <v>1.6613369501299102E-2</v>
      </c>
      <c r="AL36" s="1" t="s">
        <v>62</v>
      </c>
      <c r="AM36" s="6">
        <f>Main!D8</f>
        <v>-994.60000000000014</v>
      </c>
    </row>
    <row r="37" spans="2:39" x14ac:dyDescent="0.3">
      <c r="B37" s="1" t="s">
        <v>45</v>
      </c>
      <c r="C37" s="12">
        <f t="shared" ref="C37:Q37" si="47">C15/C13</f>
        <v>0.10474379400729812</v>
      </c>
      <c r="D37" s="12">
        <f t="shared" si="47"/>
        <v>0.11955469506292353</v>
      </c>
      <c r="E37" s="12">
        <f t="shared" si="47"/>
        <v>0.1396429089853389</v>
      </c>
      <c r="F37" s="12">
        <f t="shared" si="47"/>
        <v>0.14294790343074987</v>
      </c>
      <c r="G37" s="12">
        <f t="shared" si="47"/>
        <v>0.14717164146201664</v>
      </c>
      <c r="H37" s="12">
        <f t="shared" si="47"/>
        <v>0.17591479839210974</v>
      </c>
      <c r="I37" s="12">
        <f t="shared" si="47"/>
        <v>0.18650145424120487</v>
      </c>
      <c r="J37" s="12">
        <f t="shared" si="47"/>
        <v>0.18420625912112837</v>
      </c>
      <c r="K37" s="12">
        <f t="shared" si="47"/>
        <v>0.18476295306234766</v>
      </c>
      <c r="L37" s="12">
        <f t="shared" si="47"/>
        <v>0.19182268432329899</v>
      </c>
      <c r="M37" s="12">
        <f t="shared" si="47"/>
        <v>0.18457722331655357</v>
      </c>
      <c r="N37" s="12">
        <f t="shared" si="47"/>
        <v>0.17216427389246056</v>
      </c>
      <c r="O37" s="12">
        <f t="shared" si="47"/>
        <v>0.1729072985126254</v>
      </c>
      <c r="P37" s="12">
        <f t="shared" si="47"/>
        <v>0.19197686761099522</v>
      </c>
      <c r="Q37" s="12">
        <f>Q15/Q13</f>
        <v>0.17499814029606486</v>
      </c>
      <c r="R37" s="12">
        <f>R15/R13</f>
        <v>0.17</v>
      </c>
      <c r="T37" s="12">
        <f t="shared" ref="T37:Y37" si="48">T15/T13</f>
        <v>0.18103078024337863</v>
      </c>
      <c r="U37" s="12">
        <f t="shared" si="48"/>
        <v>0.16338525259596315</v>
      </c>
      <c r="V37" s="12">
        <f t="shared" si="48"/>
        <v>0.15778113812311789</v>
      </c>
      <c r="W37" s="12">
        <f t="shared" si="48"/>
        <v>0.12731224341946384</v>
      </c>
      <c r="X37" s="12">
        <f t="shared" si="48"/>
        <v>0.17403369262469059</v>
      </c>
      <c r="Y37" s="12">
        <f>Y15/Y13</f>
        <v>0.18353805148086721</v>
      </c>
      <c r="Z37" s="12">
        <f t="shared" ref="Z37:AJ37" si="49">Z15/Z13</f>
        <v>0.17774553580266597</v>
      </c>
      <c r="AA37" s="12">
        <f t="shared" si="49"/>
        <v>0.18</v>
      </c>
      <c r="AB37" s="12">
        <f t="shared" si="49"/>
        <v>0.18</v>
      </c>
      <c r="AC37" s="12">
        <f t="shared" si="49"/>
        <v>0.18</v>
      </c>
      <c r="AD37" s="12">
        <f t="shared" si="49"/>
        <v>0.18</v>
      </c>
      <c r="AE37" s="12">
        <f t="shared" si="49"/>
        <v>0.18</v>
      </c>
      <c r="AF37" s="12">
        <f t="shared" si="49"/>
        <v>0.18</v>
      </c>
      <c r="AG37" s="12">
        <f t="shared" si="49"/>
        <v>0.18</v>
      </c>
      <c r="AH37" s="12">
        <f t="shared" si="49"/>
        <v>0.18</v>
      </c>
      <c r="AI37" s="12">
        <f t="shared" si="49"/>
        <v>0.18</v>
      </c>
      <c r="AJ37" s="12">
        <f t="shared" si="49"/>
        <v>0.18</v>
      </c>
      <c r="AL37" s="1" t="s">
        <v>63</v>
      </c>
      <c r="AM37" s="6">
        <f>AM35+AM36</f>
        <v>8261.6574463074649</v>
      </c>
    </row>
    <row r="38" spans="2:39" x14ac:dyDescent="0.3">
      <c r="B38" s="1" t="s">
        <v>46</v>
      </c>
      <c r="C38" s="12"/>
      <c r="D38" s="12"/>
      <c r="E38" s="12"/>
      <c r="F38" s="12"/>
      <c r="G38" s="12">
        <f>G16/C16-1</f>
        <v>0.17671394799054374</v>
      </c>
      <c r="H38" s="12">
        <f>H16/D16-1</f>
        <v>0.10422870756402625</v>
      </c>
      <c r="I38" s="12">
        <f>I16/E16-1</f>
        <v>0.21226698737221872</v>
      </c>
      <c r="J38" s="12">
        <f>J16/F16-1</f>
        <v>0.40715181932245992</v>
      </c>
      <c r="K38" s="12">
        <f>K16/G16-1</f>
        <v>-1.1551983927674425E-2</v>
      </c>
      <c r="L38" s="12">
        <f>L16/H16-1</f>
        <v>0.18662351672060407</v>
      </c>
      <c r="M38" s="12">
        <f>M16/I16-1</f>
        <v>0.12301587301587302</v>
      </c>
      <c r="N38" s="12">
        <f>N16/J16-1</f>
        <v>-6.732055283102989E-2</v>
      </c>
      <c r="O38" s="12">
        <f>O16/K16-1</f>
        <v>7.2154471544715326E-2</v>
      </c>
      <c r="P38" s="12">
        <f>P16/L16-1</f>
        <v>-3.0454545454545401E-2</v>
      </c>
      <c r="Q38" s="12">
        <f>Q16/M16-1</f>
        <v>-0.13339222614840995</v>
      </c>
      <c r="R38" s="12">
        <f>R16/N16-1</f>
        <v>-6.0000000000000053E-2</v>
      </c>
      <c r="T38" s="12"/>
      <c r="U38" s="12">
        <f>U16/T16-1</f>
        <v>-9.2026335040234053E-2</v>
      </c>
      <c r="V38" s="12">
        <f>V16/U16-1</f>
        <v>7.3960683209796985E-2</v>
      </c>
      <c r="W38" s="12">
        <f>W16/V16-1</f>
        <v>-5.5513878469618527E-3</v>
      </c>
      <c r="X38" s="12">
        <f>X16/W16-1</f>
        <v>0.22269161134580573</v>
      </c>
      <c r="Y38" s="12">
        <f>Y16/X16-1</f>
        <v>5.1826258637709843E-2</v>
      </c>
      <c r="Z38" s="12">
        <f t="shared" ref="Z38:AJ38" si="50">Z16/Y16-1</f>
        <v>-4.1356170811825521E-2</v>
      </c>
      <c r="AA38" s="12">
        <f t="shared" si="50"/>
        <v>3.0000000000000027E-2</v>
      </c>
      <c r="AB38" s="12">
        <f t="shared" si="50"/>
        <v>3.0000000000000027E-2</v>
      </c>
      <c r="AC38" s="12">
        <f t="shared" si="50"/>
        <v>2.0000000000000018E-2</v>
      </c>
      <c r="AD38" s="12">
        <f t="shared" si="50"/>
        <v>2.0000000000000018E-2</v>
      </c>
      <c r="AE38" s="12">
        <f t="shared" si="50"/>
        <v>2.0000000000000018E-2</v>
      </c>
      <c r="AF38" s="12">
        <f t="shared" si="50"/>
        <v>1.0000000000000009E-2</v>
      </c>
      <c r="AG38" s="12">
        <f t="shared" si="50"/>
        <v>1.0000000000000009E-2</v>
      </c>
      <c r="AH38" s="12">
        <f t="shared" si="50"/>
        <v>1.0000000000000009E-2</v>
      </c>
      <c r="AI38" s="12">
        <f t="shared" si="50"/>
        <v>1.0000000000000009E-2</v>
      </c>
      <c r="AJ38" s="12">
        <f t="shared" si="50"/>
        <v>1.0000000000000009E-2</v>
      </c>
      <c r="AL38" s="1" t="s">
        <v>64</v>
      </c>
      <c r="AM38" s="5">
        <f>AM37/AJ29</f>
        <v>130.51591542349865</v>
      </c>
    </row>
    <row r="39" spans="2:39" x14ac:dyDescent="0.3">
      <c r="B39" s="1" t="s">
        <v>47</v>
      </c>
      <c r="C39" s="12">
        <f t="shared" ref="C39:Q39" si="51">C16/C13</f>
        <v>8.6960990903016899E-2</v>
      </c>
      <c r="D39" s="12">
        <f t="shared" si="51"/>
        <v>8.126815101645693E-2</v>
      </c>
      <c r="E39" s="12">
        <f t="shared" si="51"/>
        <v>8.0466444089611469E-2</v>
      </c>
      <c r="F39" s="12">
        <f t="shared" si="51"/>
        <v>7.2336177164639637E-2</v>
      </c>
      <c r="G39" s="12">
        <f t="shared" si="51"/>
        <v>8.7782725629381428E-2</v>
      </c>
      <c r="H39" s="12">
        <f t="shared" si="51"/>
        <v>7.6830632795988563E-2</v>
      </c>
      <c r="I39" s="12">
        <f t="shared" si="51"/>
        <v>8.0321925176301837E-2</v>
      </c>
      <c r="J39" s="12">
        <f t="shared" si="51"/>
        <v>9.092751743149019E-2</v>
      </c>
      <c r="K39" s="12">
        <f t="shared" si="51"/>
        <v>7.7364572686531963E-2</v>
      </c>
      <c r="L39" s="12">
        <f t="shared" si="51"/>
        <v>7.7277038181882043E-2</v>
      </c>
      <c r="M39" s="12">
        <f t="shared" si="51"/>
        <v>8.258554023491646E-2</v>
      </c>
      <c r="N39" s="12">
        <f t="shared" si="51"/>
        <v>8.0520380277895348E-2</v>
      </c>
      <c r="O39" s="12">
        <f t="shared" si="51"/>
        <v>9.1231407817364232E-2</v>
      </c>
      <c r="P39" s="12">
        <f t="shared" si="51"/>
        <v>7.8071812891182618E-2</v>
      </c>
      <c r="Q39" s="12">
        <f>Q16/Q13</f>
        <v>7.2974782414639588E-2</v>
      </c>
      <c r="R39" s="12">
        <f>R16/R13</f>
        <v>7.5013627709663591E-2</v>
      </c>
      <c r="T39" s="12">
        <f t="shared" ref="T39:Y39" si="52">T16/T13</f>
        <v>8.1543784299689809E-2</v>
      </c>
      <c r="U39" s="12">
        <f t="shared" si="52"/>
        <v>9.0508692101271729E-2</v>
      </c>
      <c r="V39" s="12">
        <f t="shared" si="52"/>
        <v>8.6141160353094742E-2</v>
      </c>
      <c r="W39" s="12">
        <f t="shared" si="52"/>
        <v>8.0028978507606846E-2</v>
      </c>
      <c r="X39" s="12">
        <f t="shared" si="52"/>
        <v>8.3910580975160229E-2</v>
      </c>
      <c r="Y39" s="12">
        <f>Y16/Y13</f>
        <v>7.9439339434493286E-2</v>
      </c>
      <c r="Z39" s="12">
        <f t="shared" ref="Z39:AJ39" si="53">Z16/Z13</f>
        <v>7.891339804347601E-2</v>
      </c>
      <c r="AA39" s="12">
        <f t="shared" si="53"/>
        <v>7.7617694030367571E-2</v>
      </c>
      <c r="AB39" s="12">
        <f t="shared" si="53"/>
        <v>7.6249195732714686E-2</v>
      </c>
      <c r="AC39" s="12">
        <f t="shared" si="53"/>
        <v>7.5321489957965407E-2</v>
      </c>
      <c r="AD39" s="12">
        <f t="shared" si="53"/>
        <v>7.4853690374045434E-2</v>
      </c>
      <c r="AE39" s="12">
        <f t="shared" si="53"/>
        <v>7.43871642319308E-2</v>
      </c>
      <c r="AF39" s="12">
        <f t="shared" si="53"/>
        <v>7.3910282812688716E-2</v>
      </c>
      <c r="AG39" s="12">
        <f t="shared" si="53"/>
        <v>7.3434707209608943E-2</v>
      </c>
      <c r="AH39" s="12">
        <f t="shared" si="53"/>
        <v>7.2960455127280235E-2</v>
      </c>
      <c r="AI39" s="12">
        <f t="shared" si="53"/>
        <v>7.2487544044657015E-2</v>
      </c>
      <c r="AJ39" s="12">
        <f t="shared" si="53"/>
        <v>7.2015991213078404E-2</v>
      </c>
      <c r="AL39" s="1" t="s">
        <v>65</v>
      </c>
      <c r="AM39" s="5">
        <f>Main!D3</f>
        <v>129.43</v>
      </c>
    </row>
    <row r="40" spans="2:39" x14ac:dyDescent="0.3">
      <c r="B40" s="1" t="s">
        <v>48</v>
      </c>
      <c r="C40" s="12">
        <f t="shared" ref="C40:Q40" si="54">C20/C13</f>
        <v>1.6343732332836487E-2</v>
      </c>
      <c r="D40" s="12">
        <f t="shared" si="54"/>
        <v>3.6931268151016446E-2</v>
      </c>
      <c r="E40" s="12">
        <f t="shared" si="54"/>
        <v>5.6708762761890893E-2</v>
      </c>
      <c r="F40" s="12">
        <f t="shared" si="54"/>
        <v>6.6709021601016757E-2</v>
      </c>
      <c r="G40" s="12">
        <f t="shared" si="54"/>
        <v>5.7669414928795008E-2</v>
      </c>
      <c r="H40" s="12">
        <f t="shared" si="54"/>
        <v>9.7343665824043774E-2</v>
      </c>
      <c r="I40" s="12">
        <f t="shared" si="54"/>
        <v>0.1021953065859198</v>
      </c>
      <c r="J40" s="12">
        <f t="shared" si="54"/>
        <v>8.731960434571083E-2</v>
      </c>
      <c r="K40" s="12">
        <f t="shared" si="54"/>
        <v>0.10209135938359933</v>
      </c>
      <c r="L40" s="12">
        <f t="shared" si="54"/>
        <v>9.164354209842282E-2</v>
      </c>
      <c r="M40" s="12">
        <f t="shared" si="54"/>
        <v>9.7103669657839051E-2</v>
      </c>
      <c r="N40" s="12">
        <f t="shared" si="54"/>
        <v>8.6178361110042692E-2</v>
      </c>
      <c r="O40" s="12">
        <f t="shared" si="54"/>
        <v>7.5795572466274677E-2</v>
      </c>
      <c r="P40" s="12">
        <f t="shared" si="54"/>
        <v>0.10676768785915595</v>
      </c>
      <c r="Q40" s="12">
        <f>Q20/Q13</f>
        <v>9.6853380941754066E-2</v>
      </c>
      <c r="R40" s="12">
        <f>R20/R13</f>
        <v>8.9684058383435128E-2</v>
      </c>
      <c r="T40" s="12">
        <f t="shared" ref="T40:Y40" si="55">T20/T13</f>
        <v>9.508470532092575E-2</v>
      </c>
      <c r="U40" s="12">
        <f t="shared" si="55"/>
        <v>7.1272313615680802E-2</v>
      </c>
      <c r="V40" s="12">
        <f t="shared" si="55"/>
        <v>7.0399234875214892E-2</v>
      </c>
      <c r="W40" s="12">
        <f t="shared" si="55"/>
        <v>4.4952909925138812E-2</v>
      </c>
      <c r="X40" s="12">
        <f t="shared" si="55"/>
        <v>8.6726928214207993E-2</v>
      </c>
      <c r="Y40" s="12">
        <f>Y20/Y13</f>
        <v>9.4192093344019803E-2</v>
      </c>
      <c r="Z40" s="12">
        <f t="shared" ref="Z40:AJ40" si="56">Z20/Z13</f>
        <v>9.295091925183549E-2</v>
      </c>
      <c r="AA40" s="12">
        <f t="shared" si="56"/>
        <v>9.7139073763867614E-2</v>
      </c>
      <c r="AB40" s="12">
        <f t="shared" si="56"/>
        <v>9.8600016889177716E-2</v>
      </c>
      <c r="AC40" s="12">
        <f t="shared" si="56"/>
        <v>9.9540507545822651E-2</v>
      </c>
      <c r="AD40" s="12">
        <f t="shared" si="56"/>
        <v>9.9990158025278678E-2</v>
      </c>
      <c r="AE40" s="12">
        <f t="shared" si="56"/>
        <v>0.10043858446833534</v>
      </c>
      <c r="AF40" s="12">
        <f t="shared" si="56"/>
        <v>0.10084683342255446</v>
      </c>
      <c r="AG40" s="12">
        <f t="shared" si="56"/>
        <v>0.10125299289909666</v>
      </c>
      <c r="AH40" s="12">
        <f t="shared" si="56"/>
        <v>0.10165703789264684</v>
      </c>
      <c r="AI40" s="12">
        <f t="shared" si="56"/>
        <v>0.10205894356988172</v>
      </c>
      <c r="AJ40" s="12">
        <f t="shared" si="56"/>
        <v>0.10245868527107937</v>
      </c>
      <c r="AL40" s="2" t="s">
        <v>66</v>
      </c>
      <c r="AM40" s="14">
        <f>AM38/AM39-1</f>
        <v>8.3899824113315979E-3</v>
      </c>
    </row>
    <row r="41" spans="2:39" x14ac:dyDescent="0.3">
      <c r="B41" s="1" t="s">
        <v>36</v>
      </c>
      <c r="C41" s="12">
        <f t="shared" ref="C41:Q41" si="57">C26/C25</f>
        <v>0.97652582159624624</v>
      </c>
      <c r="D41" s="12">
        <f t="shared" si="57"/>
        <v>0.31237322515212995</v>
      </c>
      <c r="E41" s="12">
        <f t="shared" si="57"/>
        <v>0.32361809045226164</v>
      </c>
      <c r="F41" s="12">
        <f t="shared" si="57"/>
        <v>0.2758293838862545</v>
      </c>
      <c r="G41" s="12">
        <f t="shared" si="57"/>
        <v>0.26429675425038651</v>
      </c>
      <c r="H41" s="12">
        <f t="shared" si="57"/>
        <v>0.24309153713298789</v>
      </c>
      <c r="I41" s="12">
        <f t="shared" si="57"/>
        <v>0.22908036454018216</v>
      </c>
      <c r="J41" s="12">
        <f t="shared" si="57"/>
        <v>0.22643442622950877</v>
      </c>
      <c r="K41" s="12">
        <f t="shared" si="57"/>
        <v>0.23089911355002113</v>
      </c>
      <c r="L41" s="12">
        <f t="shared" si="57"/>
        <v>0.23352247926669586</v>
      </c>
      <c r="M41" s="12">
        <f t="shared" si="57"/>
        <v>0.23771524569508612</v>
      </c>
      <c r="N41" s="12">
        <f t="shared" si="57"/>
        <v>0.22724987430869553</v>
      </c>
      <c r="O41" s="12">
        <f t="shared" si="57"/>
        <v>0.24403183023872663</v>
      </c>
      <c r="P41" s="12">
        <f t="shared" si="57"/>
        <v>0.24067921742340351</v>
      </c>
      <c r="Q41" s="12">
        <f>Q26/Q25</f>
        <v>0.17491610738255037</v>
      </c>
      <c r="R41" s="12">
        <f>R26/R25</f>
        <v>0.23</v>
      </c>
      <c r="T41" s="12">
        <f t="shared" ref="T41:Y41" si="58">T26/T25</f>
        <v>0.22818702544292005</v>
      </c>
      <c r="U41" s="12">
        <f t="shared" si="58"/>
        <v>0.2568890913231609</v>
      </c>
      <c r="V41" s="12">
        <f t="shared" si="58"/>
        <v>5.0612572805784274E-2</v>
      </c>
      <c r="W41" s="12">
        <f t="shared" si="58"/>
        <v>0.35377358490566085</v>
      </c>
      <c r="X41" s="12">
        <f t="shared" si="58"/>
        <v>0.23821464393179559</v>
      </c>
      <c r="Y41" s="12">
        <f>Y26/Y25</f>
        <v>0.23255813953488336</v>
      </c>
      <c r="Z41" s="12">
        <f t="shared" ref="Z41:AJ41" si="59">Z26/Z25</f>
        <v>0.22069750386303277</v>
      </c>
      <c r="AA41" s="12">
        <f t="shared" si="59"/>
        <v>0.22</v>
      </c>
      <c r="AB41" s="12">
        <f t="shared" si="59"/>
        <v>0.22</v>
      </c>
      <c r="AC41" s="12">
        <f t="shared" si="59"/>
        <v>0.22</v>
      </c>
      <c r="AD41" s="12">
        <f t="shared" si="59"/>
        <v>0.22</v>
      </c>
      <c r="AE41" s="12">
        <f t="shared" si="59"/>
        <v>0.22</v>
      </c>
      <c r="AF41" s="12">
        <f t="shared" si="59"/>
        <v>0.22</v>
      </c>
      <c r="AG41" s="12">
        <f t="shared" si="59"/>
        <v>0.21999999999999997</v>
      </c>
      <c r="AH41" s="12">
        <f t="shared" si="59"/>
        <v>0.22</v>
      </c>
      <c r="AI41" s="12">
        <f t="shared" si="59"/>
        <v>0.22</v>
      </c>
      <c r="AJ41" s="12">
        <f t="shared" si="59"/>
        <v>0.22</v>
      </c>
      <c r="AL41" s="1" t="s">
        <v>67</v>
      </c>
      <c r="AM41" s="7" t="s">
        <v>68</v>
      </c>
    </row>
    <row r="42" spans="2:39" x14ac:dyDescent="0.3">
      <c r="B42" s="1" t="s">
        <v>49</v>
      </c>
      <c r="C42" s="12">
        <f t="shared" ref="C42:Q42" si="60">C28/C13</f>
        <v>-1.0279076938893259E-4</v>
      </c>
      <c r="D42" s="12">
        <f t="shared" si="60"/>
        <v>1.5537270087124872E-2</v>
      </c>
      <c r="E42" s="12">
        <f t="shared" si="60"/>
        <v>3.2370445637973533E-2</v>
      </c>
      <c r="F42" s="12">
        <f t="shared" si="60"/>
        <v>3.4080595389363103E-2</v>
      </c>
      <c r="G42" s="12">
        <f t="shared" si="60"/>
        <v>3.9019443587143397E-2</v>
      </c>
      <c r="H42" s="12">
        <f t="shared" si="60"/>
        <v>7.2520823836558793E-2</v>
      </c>
      <c r="I42" s="12">
        <f t="shared" si="60"/>
        <v>7.3190166938921913E-2</v>
      </c>
      <c r="J42" s="12">
        <f t="shared" si="60"/>
        <v>6.1131830711853206E-2</v>
      </c>
      <c r="K42" s="12">
        <f t="shared" si="60"/>
        <v>7.0524412296564185E-2</v>
      </c>
      <c r="L42" s="12">
        <f t="shared" si="60"/>
        <v>5.922231198847866E-2</v>
      </c>
      <c r="M42" s="12">
        <f t="shared" si="60"/>
        <v>6.5769314948566429E-2</v>
      </c>
      <c r="N42" s="12">
        <f t="shared" si="60"/>
        <v>5.8927677918479644E-2</v>
      </c>
      <c r="O42" s="12">
        <f t="shared" si="60"/>
        <v>4.8469387755102081E-2</v>
      </c>
      <c r="P42" s="12">
        <f t="shared" si="60"/>
        <v>7.4960652977563047E-2</v>
      </c>
      <c r="Q42" s="12">
        <f>Q28/Q13</f>
        <v>7.2974782414639588E-2</v>
      </c>
      <c r="R42" s="12">
        <f>R28/R13</f>
        <v>6.2404037578528616E-2</v>
      </c>
      <c r="T42" s="12">
        <f t="shared" ref="T42:Y42" si="61">T28/T13</f>
        <v>6.9124314006203724E-2</v>
      </c>
      <c r="U42" s="12">
        <f t="shared" si="61"/>
        <v>4.7325282930813221E-2</v>
      </c>
      <c r="V42" s="12">
        <f t="shared" si="61"/>
        <v>6.1093663164152892E-2</v>
      </c>
      <c r="W42" s="12">
        <f t="shared" si="61"/>
        <v>2.0997343636802661E-2</v>
      </c>
      <c r="X42" s="12">
        <f t="shared" si="61"/>
        <v>6.1918222387889639E-2</v>
      </c>
      <c r="Y42" s="12">
        <f>Y28/Y13</f>
        <v>6.3503010195523041E-2</v>
      </c>
      <c r="Z42" s="12">
        <f t="shared" ref="Z42:AJ42" si="62">Z28/Z13</f>
        <v>6.5349318527083963E-2</v>
      </c>
      <c r="AA42" s="12">
        <f t="shared" si="62"/>
        <v>6.6880575278149251E-2</v>
      </c>
      <c r="AB42" s="12">
        <f t="shared" si="62"/>
        <v>6.8220583821680975E-2</v>
      </c>
      <c r="AC42" s="12">
        <f t="shared" si="62"/>
        <v>6.9038463078942042E-2</v>
      </c>
      <c r="AD42" s="12">
        <f t="shared" si="62"/>
        <v>6.9431943303775653E-2</v>
      </c>
      <c r="AE42" s="12">
        <f t="shared" si="62"/>
        <v>6.9824352398610234E-2</v>
      </c>
      <c r="AF42" s="12">
        <f t="shared" si="62"/>
        <v>7.0112957963317235E-2</v>
      </c>
      <c r="AG42" s="12">
        <f t="shared" si="62"/>
        <v>7.0400046820795092E-2</v>
      </c>
      <c r="AH42" s="12">
        <f t="shared" si="62"/>
        <v>7.0685600892676115E-2</v>
      </c>
      <c r="AI42" s="12">
        <f t="shared" si="62"/>
        <v>7.0969602221317304E-2</v>
      </c>
      <c r="AJ42" s="12">
        <f t="shared" si="62"/>
        <v>7.1252032970934603E-2</v>
      </c>
    </row>
    <row r="45" spans="2:39" s="15" customFormat="1" x14ac:dyDescent="0.3">
      <c r="B45" s="15" t="s">
        <v>69</v>
      </c>
      <c r="Q45" s="16">
        <v>9840.5</v>
      </c>
      <c r="Z45" s="16">
        <v>9840.5</v>
      </c>
    </row>
    <row r="46" spans="2:39" x14ac:dyDescent="0.3">
      <c r="B46" s="1" t="s">
        <v>70</v>
      </c>
      <c r="Q46" s="17">
        <f>Main!D9/Model!Q45</f>
        <v>0.93364351404908286</v>
      </c>
    </row>
    <row r="47" spans="2:39" x14ac:dyDescent="0.3">
      <c r="B47" s="1" t="s">
        <v>71</v>
      </c>
      <c r="Q47" s="12">
        <f>Q45/Main!D9-1</f>
        <v>7.1072614924660327E-2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2025-12-06T10:52:33Z</dcterms:created>
  <dcterms:modified xsi:type="dcterms:W3CDTF">2025-12-06T12:02:10Z</dcterms:modified>
</cp:coreProperties>
</file>