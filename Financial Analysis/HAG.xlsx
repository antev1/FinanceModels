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907921A-3E0A-42F8-9B75-10044241E54F}" xr6:coauthVersionLast="47" xr6:coauthVersionMax="47" xr10:uidLastSave="{00000000-0000-0000-0000-000000000000}"/>
  <bookViews>
    <workbookView xWindow="-108" yWindow="-108" windowWidth="23256" windowHeight="12576" activeTab="1" xr2:uid="{9844EE4C-2224-4280-A447-ECC8157A654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0" i="2" l="1"/>
  <c r="L59" i="2"/>
  <c r="AA26" i="2"/>
  <c r="M43" i="2"/>
  <c r="N43" i="2"/>
  <c r="M28" i="2"/>
  <c r="M26" i="2"/>
  <c r="AI54" i="2"/>
  <c r="AI51" i="2"/>
  <c r="N26" i="2"/>
  <c r="V26" i="2" s="1"/>
  <c r="W26" i="2" s="1"/>
  <c r="X26" i="2" s="1"/>
  <c r="Y26" i="2" s="1"/>
  <c r="Z26" i="2" s="1"/>
  <c r="AA38" i="2"/>
  <c r="AB38" i="2" s="1"/>
  <c r="AC38" i="2" s="1"/>
  <c r="AD38" i="2" s="1"/>
  <c r="AE38" i="2" s="1"/>
  <c r="AF38" i="2" s="1"/>
  <c r="Z38" i="2"/>
  <c r="AB30" i="2"/>
  <c r="AC30" i="2" s="1"/>
  <c r="AD30" i="2" s="1"/>
  <c r="AE30" i="2" s="1"/>
  <c r="AF30" i="2" s="1"/>
  <c r="AA30" i="2"/>
  <c r="X38" i="2"/>
  <c r="Y38" i="2" s="1"/>
  <c r="X37" i="2"/>
  <c r="Y37" i="2" s="1"/>
  <c r="Z37" i="2" s="1"/>
  <c r="AA37" i="2" s="1"/>
  <c r="AB37" i="2" s="1"/>
  <c r="AC37" i="2" s="1"/>
  <c r="AD37" i="2" s="1"/>
  <c r="AE37" i="2" s="1"/>
  <c r="AF37" i="2" s="1"/>
  <c r="Y33" i="2"/>
  <c r="X33" i="2"/>
  <c r="W37" i="2"/>
  <c r="W38" i="2"/>
  <c r="W33" i="2"/>
  <c r="Y32" i="2"/>
  <c r="Z32" i="2" s="1"/>
  <c r="AA32" i="2" s="1"/>
  <c r="AB32" i="2" s="1"/>
  <c r="AC32" i="2" s="1"/>
  <c r="AD32" i="2" s="1"/>
  <c r="AE32" i="2" s="1"/>
  <c r="AF32" i="2" s="1"/>
  <c r="X32" i="2"/>
  <c r="W32" i="2"/>
  <c r="Z31" i="2"/>
  <c r="AA31" i="2" s="1"/>
  <c r="AB31" i="2" s="1"/>
  <c r="AC31" i="2" s="1"/>
  <c r="AD31" i="2" s="1"/>
  <c r="AE31" i="2" s="1"/>
  <c r="AF31" i="2" s="1"/>
  <c r="Y31" i="2"/>
  <c r="X31" i="2"/>
  <c r="X51" i="2" s="1"/>
  <c r="W31" i="2"/>
  <c r="Y30" i="2"/>
  <c r="Y50" i="2" s="1"/>
  <c r="X30" i="2"/>
  <c r="W30" i="2"/>
  <c r="X50" i="2" s="1"/>
  <c r="N28" i="2"/>
  <c r="N48" i="2" s="1"/>
  <c r="V42" i="2"/>
  <c r="V39" i="2"/>
  <c r="V38" i="2"/>
  <c r="V37" i="2"/>
  <c r="V34" i="2"/>
  <c r="V33" i="2"/>
  <c r="V32" i="2"/>
  <c r="V31" i="2"/>
  <c r="V30" i="2"/>
  <c r="V51" i="2"/>
  <c r="V50" i="2"/>
  <c r="N51" i="2"/>
  <c r="M51" i="2"/>
  <c r="N50" i="2"/>
  <c r="M50" i="2"/>
  <c r="N47" i="2"/>
  <c r="M47" i="2"/>
  <c r="N31" i="2"/>
  <c r="M31" i="2"/>
  <c r="U51" i="2"/>
  <c r="T51" i="2"/>
  <c r="S51" i="2"/>
  <c r="R51" i="2"/>
  <c r="Q51" i="2"/>
  <c r="L51" i="2"/>
  <c r="K51" i="2"/>
  <c r="J51" i="2"/>
  <c r="I51" i="2"/>
  <c r="H51" i="2"/>
  <c r="G51" i="2"/>
  <c r="T50" i="2"/>
  <c r="S50" i="2"/>
  <c r="R50" i="2"/>
  <c r="Q50" i="2"/>
  <c r="T49" i="2"/>
  <c r="S49" i="2"/>
  <c r="R49" i="2"/>
  <c r="Q49" i="2"/>
  <c r="P49" i="2"/>
  <c r="S48" i="2"/>
  <c r="P48" i="2"/>
  <c r="T47" i="2"/>
  <c r="S47" i="2"/>
  <c r="R47" i="2"/>
  <c r="Q47" i="2"/>
  <c r="P35" i="2"/>
  <c r="P28" i="2"/>
  <c r="Q35" i="2"/>
  <c r="Q28" i="2"/>
  <c r="Q48" i="2" s="1"/>
  <c r="R35" i="2"/>
  <c r="R28" i="2"/>
  <c r="R48" i="2" s="1"/>
  <c r="S35" i="2"/>
  <c r="S28" i="2"/>
  <c r="U50" i="2"/>
  <c r="U47" i="2"/>
  <c r="U49" i="2"/>
  <c r="G49" i="2"/>
  <c r="F49" i="2"/>
  <c r="L50" i="2"/>
  <c r="L42" i="2"/>
  <c r="K42" i="2"/>
  <c r="L41" i="2"/>
  <c r="K41" i="2"/>
  <c r="L39" i="2"/>
  <c r="K39" i="2"/>
  <c r="L38" i="2"/>
  <c r="K38" i="2"/>
  <c r="L37" i="2"/>
  <c r="K37" i="2"/>
  <c r="K34" i="2"/>
  <c r="L33" i="2"/>
  <c r="K33" i="2"/>
  <c r="L32" i="2"/>
  <c r="K32" i="2"/>
  <c r="L31" i="2"/>
  <c r="K31" i="2"/>
  <c r="L30" i="2"/>
  <c r="K30" i="2"/>
  <c r="K50" i="2" s="1"/>
  <c r="L29" i="2"/>
  <c r="K29" i="2"/>
  <c r="L27" i="2"/>
  <c r="K27" i="2"/>
  <c r="L26" i="2"/>
  <c r="K26" i="2"/>
  <c r="K47" i="2" s="1"/>
  <c r="C12" i="2"/>
  <c r="C5" i="2"/>
  <c r="D12" i="2"/>
  <c r="D5" i="2"/>
  <c r="F42" i="2"/>
  <c r="F41" i="2"/>
  <c r="F39" i="2"/>
  <c r="F38" i="2"/>
  <c r="F37" i="2"/>
  <c r="F34" i="2"/>
  <c r="F33" i="2"/>
  <c r="F32" i="2"/>
  <c r="F31" i="2"/>
  <c r="F30" i="2"/>
  <c r="J50" i="2" s="1"/>
  <c r="F29" i="2"/>
  <c r="F27" i="2"/>
  <c r="F26" i="2"/>
  <c r="T35" i="2"/>
  <c r="T28" i="2"/>
  <c r="T48" i="2" s="1"/>
  <c r="U34" i="2"/>
  <c r="U35" i="2"/>
  <c r="U28" i="2"/>
  <c r="U48" i="2" s="1"/>
  <c r="E12" i="2"/>
  <c r="E5" i="2"/>
  <c r="I11" i="2"/>
  <c r="I12" i="2"/>
  <c r="I5" i="2"/>
  <c r="E42" i="2"/>
  <c r="D42" i="2"/>
  <c r="C42" i="2"/>
  <c r="E41" i="2"/>
  <c r="D41" i="2"/>
  <c r="C41" i="2"/>
  <c r="E39" i="2"/>
  <c r="D39" i="2"/>
  <c r="C39" i="2"/>
  <c r="E38" i="2"/>
  <c r="D38" i="2"/>
  <c r="C38" i="2"/>
  <c r="E37" i="2"/>
  <c r="D37" i="2"/>
  <c r="C37" i="2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E49" i="2" s="1"/>
  <c r="D29" i="2"/>
  <c r="D49" i="2" s="1"/>
  <c r="C29" i="2"/>
  <c r="C49" i="2" s="1"/>
  <c r="E27" i="2"/>
  <c r="D27" i="2"/>
  <c r="C27" i="2"/>
  <c r="E26" i="2"/>
  <c r="I47" i="2" s="1"/>
  <c r="D26" i="2"/>
  <c r="C26" i="2"/>
  <c r="J42" i="2"/>
  <c r="J41" i="2"/>
  <c r="J39" i="2"/>
  <c r="J38" i="2"/>
  <c r="J37" i="2"/>
  <c r="J33" i="2"/>
  <c r="J32" i="2"/>
  <c r="J31" i="2"/>
  <c r="J30" i="2"/>
  <c r="N30" i="2" s="1"/>
  <c r="J29" i="2"/>
  <c r="J49" i="2" s="1"/>
  <c r="J27" i="2"/>
  <c r="J26" i="2"/>
  <c r="I42" i="2"/>
  <c r="I41" i="2"/>
  <c r="I39" i="2"/>
  <c r="I38" i="2"/>
  <c r="I37" i="2"/>
  <c r="I34" i="2"/>
  <c r="I33" i="2"/>
  <c r="I32" i="2"/>
  <c r="I31" i="2"/>
  <c r="I30" i="2"/>
  <c r="M30" i="2" s="1"/>
  <c r="I29" i="2"/>
  <c r="I49" i="2" s="1"/>
  <c r="I27" i="2"/>
  <c r="I26" i="2"/>
  <c r="H42" i="2"/>
  <c r="H41" i="2"/>
  <c r="H39" i="2"/>
  <c r="H38" i="2"/>
  <c r="H37" i="2"/>
  <c r="H34" i="2"/>
  <c r="H33" i="2"/>
  <c r="H32" i="2"/>
  <c r="H31" i="2"/>
  <c r="H30" i="2"/>
  <c r="H50" i="2" s="1"/>
  <c r="H29" i="2"/>
  <c r="H27" i="2"/>
  <c r="H26" i="2"/>
  <c r="L47" i="2" s="1"/>
  <c r="G42" i="2"/>
  <c r="G41" i="2"/>
  <c r="G39" i="2"/>
  <c r="G38" i="2"/>
  <c r="G37" i="2"/>
  <c r="G34" i="2"/>
  <c r="G33" i="2"/>
  <c r="G32" i="2"/>
  <c r="G31" i="2"/>
  <c r="G30" i="2"/>
  <c r="G50" i="2" s="1"/>
  <c r="G29" i="2"/>
  <c r="G27" i="2"/>
  <c r="G26" i="2"/>
  <c r="G47" i="2" s="1"/>
  <c r="K12" i="2"/>
  <c r="K5" i="2"/>
  <c r="K13" i="2" s="1"/>
  <c r="K17" i="2" s="1"/>
  <c r="K20" i="2" s="1"/>
  <c r="K22" i="2" s="1"/>
  <c r="AB26" i="2" l="1"/>
  <c r="AC26" i="2" s="1"/>
  <c r="AD26" i="2" s="1"/>
  <c r="AE26" i="2" s="1"/>
  <c r="AF26" i="2" s="1"/>
  <c r="W29" i="2"/>
  <c r="W35" i="2" s="1"/>
  <c r="W28" i="2"/>
  <c r="V47" i="2"/>
  <c r="Z33" i="2"/>
  <c r="Y51" i="2"/>
  <c r="W51" i="2"/>
  <c r="Z30" i="2"/>
  <c r="W50" i="2"/>
  <c r="W47" i="2"/>
  <c r="N29" i="2"/>
  <c r="N27" i="2"/>
  <c r="M29" i="2"/>
  <c r="M48" i="2"/>
  <c r="H47" i="2"/>
  <c r="H35" i="2"/>
  <c r="K35" i="2"/>
  <c r="J47" i="2"/>
  <c r="H49" i="2"/>
  <c r="F35" i="2"/>
  <c r="L49" i="2"/>
  <c r="I50" i="2"/>
  <c r="K49" i="2"/>
  <c r="C28" i="2"/>
  <c r="C48" i="2" s="1"/>
  <c r="K28" i="2"/>
  <c r="K48" i="2" s="1"/>
  <c r="L28" i="2"/>
  <c r="P36" i="2"/>
  <c r="Q36" i="2"/>
  <c r="R36" i="2"/>
  <c r="S36" i="2"/>
  <c r="C35" i="2"/>
  <c r="C13" i="2"/>
  <c r="C17" i="2" s="1"/>
  <c r="C20" i="2" s="1"/>
  <c r="C22" i="2" s="1"/>
  <c r="D13" i="2"/>
  <c r="D17" i="2" s="1"/>
  <c r="D20" i="2" s="1"/>
  <c r="D22" i="2" s="1"/>
  <c r="D35" i="2"/>
  <c r="D28" i="2"/>
  <c r="D48" i="2" s="1"/>
  <c r="F28" i="2"/>
  <c r="T36" i="2"/>
  <c r="U36" i="2"/>
  <c r="J34" i="2"/>
  <c r="J35" i="2" s="1"/>
  <c r="E13" i="2"/>
  <c r="E17" i="2" s="1"/>
  <c r="E20" i="2" s="1"/>
  <c r="E22" i="2" s="1"/>
  <c r="E35" i="2"/>
  <c r="E28" i="2"/>
  <c r="E48" i="2" s="1"/>
  <c r="I35" i="2"/>
  <c r="I13" i="2"/>
  <c r="I17" i="2" s="1"/>
  <c r="I20" i="2" s="1"/>
  <c r="I22" i="2" s="1"/>
  <c r="J28" i="2"/>
  <c r="J48" i="2" s="1"/>
  <c r="I28" i="2"/>
  <c r="I48" i="2" s="1"/>
  <c r="H28" i="2"/>
  <c r="G35" i="2"/>
  <c r="G28" i="2"/>
  <c r="G48" i="2" s="1"/>
  <c r="G12" i="2"/>
  <c r="G5" i="2"/>
  <c r="H12" i="2"/>
  <c r="H5" i="2"/>
  <c r="D8" i="1"/>
  <c r="D7" i="1"/>
  <c r="D6" i="1"/>
  <c r="D5" i="1"/>
  <c r="D9" i="1" s="1"/>
  <c r="L11" i="2"/>
  <c r="L5" i="2"/>
  <c r="F3" i="1"/>
  <c r="W49" i="2" l="1"/>
  <c r="N49" i="2"/>
  <c r="N35" i="2"/>
  <c r="N36" i="2" s="1"/>
  <c r="N40" i="2" s="1"/>
  <c r="V29" i="2"/>
  <c r="M49" i="2"/>
  <c r="M35" i="2"/>
  <c r="M36" i="2" s="1"/>
  <c r="W27" i="2"/>
  <c r="W48" i="2"/>
  <c r="M27" i="2"/>
  <c r="V27" i="2" s="1"/>
  <c r="V28" i="2" s="1"/>
  <c r="X29" i="2"/>
  <c r="X35" i="2" s="1"/>
  <c r="X28" i="2"/>
  <c r="X48" i="2" s="1"/>
  <c r="W36" i="2"/>
  <c r="AA33" i="2"/>
  <c r="Z51" i="2"/>
  <c r="Z50" i="2"/>
  <c r="N52" i="2"/>
  <c r="X47" i="2"/>
  <c r="C36" i="2"/>
  <c r="U40" i="2"/>
  <c r="U52" i="2"/>
  <c r="K36" i="2"/>
  <c r="L12" i="2"/>
  <c r="L34" i="2"/>
  <c r="L35" i="2" s="1"/>
  <c r="L36" i="2" s="1"/>
  <c r="T40" i="2"/>
  <c r="T52" i="2"/>
  <c r="S40" i="2"/>
  <c r="S52" i="2"/>
  <c r="F36" i="2"/>
  <c r="F48" i="2"/>
  <c r="R40" i="2"/>
  <c r="R52" i="2"/>
  <c r="Q40" i="2"/>
  <c r="Q52" i="2"/>
  <c r="G36" i="2"/>
  <c r="G52" i="2" s="1"/>
  <c r="P40" i="2"/>
  <c r="P52" i="2"/>
  <c r="H36" i="2"/>
  <c r="H48" i="2"/>
  <c r="L48" i="2"/>
  <c r="D36" i="2"/>
  <c r="E36" i="2"/>
  <c r="I36" i="2"/>
  <c r="J36" i="2"/>
  <c r="G40" i="2"/>
  <c r="G13" i="2"/>
  <c r="G17" i="2" s="1"/>
  <c r="G20" i="2" s="1"/>
  <c r="G22" i="2" s="1"/>
  <c r="H13" i="2"/>
  <c r="H17" i="2" s="1"/>
  <c r="H20" i="2" s="1"/>
  <c r="H22" i="2" s="1"/>
  <c r="L13" i="2"/>
  <c r="L17" i="2" s="1"/>
  <c r="L20" i="2" s="1"/>
  <c r="L22" i="2" s="1"/>
  <c r="X27" i="2" l="1"/>
  <c r="X36" i="2"/>
  <c r="V48" i="2"/>
  <c r="W40" i="2"/>
  <c r="W52" i="2"/>
  <c r="M52" i="2"/>
  <c r="M40" i="2"/>
  <c r="X49" i="2"/>
  <c r="Y29" i="2"/>
  <c r="Y35" i="2" s="1"/>
  <c r="Y28" i="2"/>
  <c r="Y27" i="2" s="1"/>
  <c r="V35" i="2"/>
  <c r="V36" i="2" s="1"/>
  <c r="V52" i="2" s="1"/>
  <c r="V49" i="2"/>
  <c r="AB33" i="2"/>
  <c r="AA51" i="2"/>
  <c r="AA50" i="2"/>
  <c r="N41" i="2"/>
  <c r="Y47" i="2"/>
  <c r="L40" i="2"/>
  <c r="L52" i="2"/>
  <c r="D40" i="2"/>
  <c r="D52" i="2"/>
  <c r="Q43" i="2"/>
  <c r="Q53" i="2"/>
  <c r="R43" i="2"/>
  <c r="R53" i="2"/>
  <c r="G43" i="2"/>
  <c r="G53" i="2"/>
  <c r="H40" i="2"/>
  <c r="H52" i="2"/>
  <c r="K40" i="2"/>
  <c r="K52" i="2"/>
  <c r="T43" i="2"/>
  <c r="T53" i="2"/>
  <c r="J40" i="2"/>
  <c r="J52" i="2"/>
  <c r="F40" i="2"/>
  <c r="F52" i="2"/>
  <c r="I40" i="2"/>
  <c r="I52" i="2"/>
  <c r="P43" i="2"/>
  <c r="P53" i="2"/>
  <c r="U43" i="2"/>
  <c r="U53" i="2"/>
  <c r="E40" i="2"/>
  <c r="E52" i="2"/>
  <c r="S43" i="2"/>
  <c r="S53" i="2"/>
  <c r="C40" i="2"/>
  <c r="C52" i="2"/>
  <c r="X40" i="2" l="1"/>
  <c r="X52" i="2"/>
  <c r="Y49" i="2"/>
  <c r="Y48" i="2"/>
  <c r="Z28" i="2"/>
  <c r="Z27" i="2" s="1"/>
  <c r="Z29" i="2"/>
  <c r="Z35" i="2" s="1"/>
  <c r="Y36" i="2"/>
  <c r="V40" i="2"/>
  <c r="M41" i="2"/>
  <c r="M53" i="2" s="1"/>
  <c r="W41" i="2"/>
  <c r="W53" i="2" s="1"/>
  <c r="AC33" i="2"/>
  <c r="AB51" i="2"/>
  <c r="AB50" i="2"/>
  <c r="N53" i="2"/>
  <c r="Z47" i="2"/>
  <c r="I43" i="2"/>
  <c r="I53" i="2"/>
  <c r="Q45" i="2"/>
  <c r="Q54" i="2"/>
  <c r="P45" i="2"/>
  <c r="P54" i="2"/>
  <c r="S45" i="2"/>
  <c r="S54" i="2"/>
  <c r="T45" i="2"/>
  <c r="T54" i="2"/>
  <c r="E43" i="2"/>
  <c r="E53" i="2"/>
  <c r="D43" i="2"/>
  <c r="D53" i="2"/>
  <c r="R45" i="2"/>
  <c r="R54" i="2"/>
  <c r="K43" i="2"/>
  <c r="K53" i="2"/>
  <c r="F43" i="2"/>
  <c r="F53" i="2"/>
  <c r="H43" i="2"/>
  <c r="H53" i="2"/>
  <c r="C43" i="2"/>
  <c r="C53" i="2"/>
  <c r="U45" i="2"/>
  <c r="U54" i="2"/>
  <c r="J43" i="2"/>
  <c r="J53" i="2"/>
  <c r="G45" i="2"/>
  <c r="G54" i="2"/>
  <c r="L43" i="2"/>
  <c r="L53" i="2"/>
  <c r="W43" i="2" l="1"/>
  <c r="W54" i="2" s="1"/>
  <c r="X41" i="2"/>
  <c r="X53" i="2" s="1"/>
  <c r="V41" i="2"/>
  <c r="V53" i="2" s="1"/>
  <c r="Z49" i="2"/>
  <c r="Z48" i="2"/>
  <c r="Z36" i="2"/>
  <c r="AA28" i="2"/>
  <c r="AA27" i="2" s="1"/>
  <c r="AA29" i="2"/>
  <c r="AA35" i="2" s="1"/>
  <c r="AA36" i="2" s="1"/>
  <c r="AA40" i="2" s="1"/>
  <c r="AA41" i="2" s="1"/>
  <c r="AA53" i="2" s="1"/>
  <c r="Y40" i="2"/>
  <c r="Y52" i="2"/>
  <c r="AD33" i="2"/>
  <c r="AC51" i="2"/>
  <c r="AC50" i="2"/>
  <c r="N45" i="2"/>
  <c r="N54" i="2"/>
  <c r="AA47" i="2"/>
  <c r="K45" i="2"/>
  <c r="K54" i="2"/>
  <c r="H45" i="2"/>
  <c r="H54" i="2"/>
  <c r="I45" i="2"/>
  <c r="I54" i="2"/>
  <c r="L45" i="2"/>
  <c r="L54" i="2"/>
  <c r="D45" i="2"/>
  <c r="D54" i="2"/>
  <c r="C45" i="2"/>
  <c r="C54" i="2"/>
  <c r="J45" i="2"/>
  <c r="J54" i="2"/>
  <c r="F45" i="2"/>
  <c r="F54" i="2"/>
  <c r="E45" i="2"/>
  <c r="E54" i="2"/>
  <c r="V43" i="2" l="1"/>
  <c r="W45" i="2"/>
  <c r="X43" i="2"/>
  <c r="X45" i="2" s="1"/>
  <c r="AA49" i="2"/>
  <c r="AA52" i="2"/>
  <c r="AA48" i="2"/>
  <c r="AA43" i="2"/>
  <c r="Z40" i="2"/>
  <c r="Z41" i="2" s="1"/>
  <c r="Z53" i="2" s="1"/>
  <c r="Z52" i="2"/>
  <c r="M54" i="2"/>
  <c r="M45" i="2"/>
  <c r="AB28" i="2"/>
  <c r="AB27" i="2" s="1"/>
  <c r="AB29" i="2"/>
  <c r="AB35" i="2" s="1"/>
  <c r="Y41" i="2"/>
  <c r="Y53" i="2" s="1"/>
  <c r="AE33" i="2"/>
  <c r="AD51" i="2"/>
  <c r="AD50" i="2"/>
  <c r="V45" i="2"/>
  <c r="V54" i="2"/>
  <c r="AB47" i="2"/>
  <c r="X54" i="2" l="1"/>
  <c r="Y43" i="2"/>
  <c r="Y54" i="2" s="1"/>
  <c r="AB49" i="2"/>
  <c r="Z43" i="2"/>
  <c r="Z54" i="2" s="1"/>
  <c r="AA45" i="2"/>
  <c r="AA54" i="2"/>
  <c r="AB36" i="2"/>
  <c r="AB48" i="2"/>
  <c r="AC28" i="2"/>
  <c r="AC27" i="2" s="1"/>
  <c r="AC29" i="2"/>
  <c r="AC35" i="2" s="1"/>
  <c r="AF33" i="2"/>
  <c r="AF51" i="2"/>
  <c r="AE51" i="2"/>
  <c r="AF50" i="2"/>
  <c r="AE50" i="2"/>
  <c r="AC47" i="2"/>
  <c r="Z45" i="2" l="1"/>
  <c r="AC36" i="2"/>
  <c r="AC40" i="2" s="1"/>
  <c r="AC41" i="2" s="1"/>
  <c r="AC53" i="2" s="1"/>
  <c r="Y45" i="2"/>
  <c r="AC48" i="2"/>
  <c r="AC49" i="2"/>
  <c r="AD29" i="2"/>
  <c r="AD35" i="2" s="1"/>
  <c r="AD28" i="2"/>
  <c r="AD48" i="2" s="1"/>
  <c r="AB40" i="2"/>
  <c r="AB52" i="2"/>
  <c r="AD47" i="2"/>
  <c r="AC52" i="2" l="1"/>
  <c r="AC43" i="2"/>
  <c r="AC45" i="2" s="1"/>
  <c r="AD49" i="2"/>
  <c r="AB41" i="2"/>
  <c r="AB53" i="2" s="1"/>
  <c r="AD36" i="2"/>
  <c r="AD27" i="2"/>
  <c r="AE29" i="2"/>
  <c r="AE35" i="2" s="1"/>
  <c r="AE28" i="2"/>
  <c r="AE27" i="2" s="1"/>
  <c r="AE47" i="2"/>
  <c r="AC54" i="2" l="1"/>
  <c r="AE36" i="2"/>
  <c r="AE40" i="2" s="1"/>
  <c r="AE41" i="2" s="1"/>
  <c r="AE53" i="2" s="1"/>
  <c r="AE49" i="2"/>
  <c r="AE48" i="2"/>
  <c r="AD40" i="2"/>
  <c r="AD52" i="2"/>
  <c r="AB43" i="2"/>
  <c r="AF29" i="2"/>
  <c r="AF35" i="2" s="1"/>
  <c r="AF28" i="2"/>
  <c r="AF27" i="2" s="1"/>
  <c r="AF47" i="2"/>
  <c r="AF36" i="2" l="1"/>
  <c r="AF40" i="2" s="1"/>
  <c r="AF41" i="2" s="1"/>
  <c r="AF53" i="2" s="1"/>
  <c r="AE43" i="2"/>
  <c r="AE45" i="2" s="1"/>
  <c r="AE52" i="2"/>
  <c r="AF48" i="2"/>
  <c r="AD41" i="2"/>
  <c r="AD53" i="2" s="1"/>
  <c r="AB45" i="2"/>
  <c r="AB54" i="2"/>
  <c r="AF49" i="2"/>
  <c r="AF52" i="2" l="1"/>
  <c r="AD43" i="2"/>
  <c r="AD45" i="2" s="1"/>
  <c r="AE54" i="2"/>
  <c r="AF43" i="2"/>
  <c r="AD54" i="2" l="1"/>
  <c r="AG43" i="2"/>
  <c r="AH43" i="2" s="1"/>
  <c r="AI43" i="2" s="1"/>
  <c r="AJ43" i="2" s="1"/>
  <c r="AK43" i="2" s="1"/>
  <c r="AL43" i="2" s="1"/>
  <c r="AM43" i="2" s="1"/>
  <c r="AN43" i="2" s="1"/>
  <c r="AO43" i="2" s="1"/>
  <c r="AP43" i="2" s="1"/>
  <c r="AQ43" i="2" s="1"/>
  <c r="AR43" i="2" s="1"/>
  <c r="AS43" i="2" s="1"/>
  <c r="AT43" i="2" s="1"/>
  <c r="AU43" i="2" s="1"/>
  <c r="AV43" i="2" s="1"/>
  <c r="AW43" i="2" s="1"/>
  <c r="AX43" i="2" s="1"/>
  <c r="AY43" i="2" s="1"/>
  <c r="AZ43" i="2" s="1"/>
  <c r="BA43" i="2" s="1"/>
  <c r="BB43" i="2" s="1"/>
  <c r="BC43" i="2" s="1"/>
  <c r="BD43" i="2" s="1"/>
  <c r="BE43" i="2" s="1"/>
  <c r="BF43" i="2" s="1"/>
  <c r="BG43" i="2" s="1"/>
  <c r="BH43" i="2" s="1"/>
  <c r="BI43" i="2" s="1"/>
  <c r="BJ43" i="2" s="1"/>
  <c r="BK43" i="2" s="1"/>
  <c r="BL43" i="2" s="1"/>
  <c r="BM43" i="2" s="1"/>
  <c r="BN43" i="2" s="1"/>
  <c r="BO43" i="2" s="1"/>
  <c r="BP43" i="2" s="1"/>
  <c r="BQ43" i="2" s="1"/>
  <c r="BR43" i="2" s="1"/>
  <c r="BS43" i="2" s="1"/>
  <c r="BT43" i="2" s="1"/>
  <c r="BU43" i="2" s="1"/>
  <c r="BV43" i="2" s="1"/>
  <c r="BW43" i="2" s="1"/>
  <c r="BX43" i="2" s="1"/>
  <c r="BY43" i="2" s="1"/>
  <c r="BZ43" i="2" s="1"/>
  <c r="CA43" i="2" s="1"/>
  <c r="CB43" i="2" s="1"/>
  <c r="CC43" i="2" s="1"/>
  <c r="CD43" i="2" s="1"/>
  <c r="CE43" i="2" s="1"/>
  <c r="CF43" i="2" s="1"/>
  <c r="CG43" i="2" s="1"/>
  <c r="CH43" i="2" s="1"/>
  <c r="CI43" i="2" s="1"/>
  <c r="CJ43" i="2" s="1"/>
  <c r="CK43" i="2" s="1"/>
  <c r="CL43" i="2" s="1"/>
  <c r="CM43" i="2" s="1"/>
  <c r="CN43" i="2" s="1"/>
  <c r="CO43" i="2" s="1"/>
  <c r="CP43" i="2" s="1"/>
  <c r="CQ43" i="2" s="1"/>
  <c r="CR43" i="2" s="1"/>
  <c r="CS43" i="2" s="1"/>
  <c r="CT43" i="2" s="1"/>
  <c r="CU43" i="2" s="1"/>
  <c r="CV43" i="2" s="1"/>
  <c r="CW43" i="2" s="1"/>
  <c r="CX43" i="2" s="1"/>
  <c r="CY43" i="2" s="1"/>
  <c r="CZ43" i="2" s="1"/>
  <c r="DA43" i="2" s="1"/>
  <c r="DB43" i="2" s="1"/>
  <c r="DC43" i="2" s="1"/>
  <c r="DD43" i="2" s="1"/>
  <c r="DE43" i="2" s="1"/>
  <c r="DF43" i="2" s="1"/>
  <c r="DG43" i="2" s="1"/>
  <c r="DH43" i="2" s="1"/>
  <c r="DI43" i="2" s="1"/>
  <c r="DJ43" i="2" s="1"/>
  <c r="DK43" i="2" s="1"/>
  <c r="DL43" i="2" s="1"/>
  <c r="DM43" i="2" s="1"/>
  <c r="DN43" i="2" s="1"/>
  <c r="DO43" i="2" s="1"/>
  <c r="DP43" i="2" s="1"/>
  <c r="DQ43" i="2" s="1"/>
  <c r="DR43" i="2" s="1"/>
  <c r="DS43" i="2" s="1"/>
  <c r="DT43" i="2" s="1"/>
  <c r="DU43" i="2" s="1"/>
  <c r="DV43" i="2" s="1"/>
  <c r="DW43" i="2" s="1"/>
  <c r="DX43" i="2" s="1"/>
  <c r="DY43" i="2" s="1"/>
  <c r="DZ43" i="2" s="1"/>
  <c r="EA43" i="2" s="1"/>
  <c r="EB43" i="2" s="1"/>
  <c r="EC43" i="2" s="1"/>
  <c r="ED43" i="2" s="1"/>
  <c r="EE43" i="2" s="1"/>
  <c r="EF43" i="2" s="1"/>
  <c r="EG43" i="2" s="1"/>
  <c r="EH43" i="2" s="1"/>
  <c r="EI43" i="2" s="1"/>
  <c r="EJ43" i="2" s="1"/>
  <c r="AI50" i="2" s="1"/>
  <c r="AI52" i="2" s="1"/>
  <c r="AI53" i="2" s="1"/>
  <c r="AI55" i="2" s="1"/>
  <c r="AF54" i="2"/>
  <c r="AF45" i="2"/>
</calcChain>
</file>

<file path=xl/sharedStrings.xml><?xml version="1.0" encoding="utf-8"?>
<sst xmlns="http://schemas.openxmlformats.org/spreadsheetml/2006/main" count="87" uniqueCount="62">
  <si>
    <t>HAG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</si>
  <si>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</si>
  <si>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</si>
  <si>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</si>
  <si>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</si>
  <si>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</si>
  <si>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</si>
  <si>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</si>
  <si>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</si>
  <si>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</si>
  <si>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</si>
  <si>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</si>
  <si>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</si>
  <si>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</si>
  <si>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S&amp;M</t>
  </si>
  <si>
    <t>G&amp;A</t>
  </si>
  <si>
    <t>Investments</t>
  </si>
  <si>
    <t>Other income</t>
  </si>
  <si>
    <t>Other expenses</t>
  </si>
  <si>
    <t>Total opex</t>
  </si>
  <si>
    <t>Operating profit</t>
  </si>
  <si>
    <t>Interest expense</t>
  </si>
  <si>
    <t>Finance expense</t>
  </si>
  <si>
    <t>Pretax profit</t>
  </si>
  <si>
    <t>Taxes</t>
  </si>
  <si>
    <t>MI</t>
  </si>
  <si>
    <t>Net profit</t>
  </si>
  <si>
    <t>EPS</t>
  </si>
  <si>
    <t>R&amp;D</t>
  </si>
  <si>
    <t>Interest income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</si>
  <si>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</si>
  <si>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</si>
  <si>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</si>
  <si>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</si>
  <si>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</si>
  <si>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</si>
  <si>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</si>
  <si>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</si>
  <si>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</si>
  <si>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</si>
  <si>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</si>
  <si>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</si>
  <si>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Revenue y/y</t>
  </si>
  <si>
    <t>Gross Margin</t>
  </si>
  <si>
    <t>S&amp;M Margin</t>
  </si>
  <si>
    <t>G&amp;A y/y</t>
  </si>
  <si>
    <t>Operating Margin</t>
  </si>
  <si>
    <t>Net Margin</t>
  </si>
  <si>
    <t>R&amp;D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</si>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</sst>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€-2]\ 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0" fontId="4" fillId="2" borderId="1" xfId="0" applyFont="1" applyFill="1" applyBorder="1" applyAlignment="1">
      <alignment horizontal="right"/>
    </xf>
    <xf numFmtId="14" fontId="4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3" fontId="5" fillId="2" borderId="1" xfId="0" applyNumberFormat="1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30480</xdr:colOff>
      <xdr:row>0</xdr:row>
      <xdr:rowOff>7620</xdr:rowOff>
    </xdr:from>
    <xdr:to>
      <xdr:col>12</xdr:col>
      <xdr:colOff>30480</xdr:colOff>
      <xdr:row>62</xdr:row>
      <xdr:rowOff>121920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B644D28-062A-ECFF-2D77-185233CE510E}"/>
            </a:ext>
          </a:extLst>
        </xdr:cNvPr>
        <xdr:cNvCxnSpPr/>
      </xdr:nvCxnSpPr>
      <xdr:spPr>
        <a:xfrm>
          <a:off x="7780020" y="7620"/>
          <a:ext cx="0" cy="11452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22860</xdr:colOff>
      <xdr:row>0</xdr:row>
      <xdr:rowOff>7620</xdr:rowOff>
    </xdr:from>
    <xdr:to>
      <xdr:col>21</xdr:col>
      <xdr:colOff>22860</xdr:colOff>
      <xdr:row>64</xdr:row>
      <xdr:rowOff>106680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9A86956-D67F-FD99-41F0-ECD9DDA6B883}"/>
            </a:ext>
          </a:extLst>
        </xdr:cNvPr>
        <xdr:cNvCxnSpPr/>
      </xdr:nvCxnSpPr>
      <xdr:spPr>
        <a:xfrm>
          <a:off x="13258800" y="7620"/>
          <a:ext cx="0" cy="11803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CB7B-6C9D-4867-88C1-CEC48A631D74}">
  <dimension ref="B2:G9"/>
  <sheetViews>
    <sheetView workbookViewId="0">
      <selection activeCell="C30" sqref="C30"/>
    </sheetView>
  </sheetViews>
  <sheetFormatPr defaultRowHeight="14.4" x14ac:dyDescent="0.3"/>
  <cols>
    <col min="1" max="4" width="8.88671875" style="1"/>
    <col min="5" max="5" width="11.88671875" style="5" bestFit="1" customWidth="1"/>
    <col min="6" max="7" width="11.21875" style="5" bestFit="1" customWidth="1"/>
    <col min="8" max="16384" width="8.88671875" style="1"/>
  </cols>
  <sheetData>
    <row r="2" spans="2:7" x14ac:dyDescent="0.3">
      <c r="E2" s="5" t="s">
        <v>8</v>
      </c>
      <c r="F2" s="5" t="s">
        <v>9</v>
      </c>
      <c r="G2" s="5" t="s">
        <v>10</v>
      </c>
    </row>
    <row r="3" spans="2:7" x14ac:dyDescent="0.3">
      <c r="B3" s="2" t="s">
        <v>0</v>
      </c>
      <c r="C3" s="1" t="s">
        <v>1</v>
      </c>
      <c r="D3" s="4">
        <v>101.2</v>
      </c>
      <c r="E3" s="6">
        <v>45924</v>
      </c>
      <c r="F3" s="6">
        <f ca="1">TODAY()</f>
        <v>45933</v>
      </c>
      <c r="G3" s="6">
        <v>45968</v>
      </c>
    </row>
    <row r="4" spans="2:7" x14ac:dyDescent="0.3">
      <c r="C4" s="1" t="s">
        <v>2</v>
      </c>
      <c r="D4" s="7">
        <v>116</v>
      </c>
      <c r="E4" s="5" t="s">
        <v>37</v>
      </c>
    </row>
    <row r="5" spans="2:7" x14ac:dyDescent="0.3">
      <c r="C5" s="1" t="s">
        <v>3</v>
      </c>
      <c r="D5" s="7">
        <f>D3*D4</f>
        <v>11739.2</v>
      </c>
    </row>
    <row r="6" spans="2:7" x14ac:dyDescent="0.3">
      <c r="C6" s="1" t="s">
        <v>4</v>
      </c>
      <c r="D6" s="7">
        <f>591</f>
        <v>591</v>
      </c>
      <c r="E6" s="5" t="s">
        <v>39</v>
      </c>
    </row>
    <row r="7" spans="2:7" x14ac:dyDescent="0.3">
      <c r="C7" s="1" t="s">
        <v>5</v>
      </c>
      <c r="D7" s="7">
        <f>18+1071</f>
        <v>1089</v>
      </c>
      <c r="E7" s="5" t="s">
        <v>39</v>
      </c>
    </row>
    <row r="8" spans="2:7" x14ac:dyDescent="0.3">
      <c r="C8" s="1" t="s">
        <v>6</v>
      </c>
      <c r="D8" s="7">
        <f>D6-D7</f>
        <v>-498</v>
      </c>
    </row>
    <row r="9" spans="2:7" x14ac:dyDescent="0.3">
      <c r="C9" s="1" t="s">
        <v>7</v>
      </c>
      <c r="D9" s="7">
        <f>D5-D8</f>
        <v>12237.2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486D-291F-4206-A816-423EAA893757}">
  <dimension ref="B2:EJ60"/>
  <sheetViews>
    <sheetView tabSelected="1" workbookViewId="0">
      <pane xSplit="2" ySplit="2" topLeftCell="C45" activePane="bottomRight" state="frozen"/>
      <selection pane="topRight" activeCell="C1" sqref="C1"/>
      <selection pane="bottomLeft" activeCell="A3" sqref="A3"/>
      <selection pane="bottomRight" activeCell="L60" sqref="L60"/>
    </sheetView>
  </sheetViews>
  <sheetFormatPr defaultRowHeight="14.4" x14ac:dyDescent="0.3"/>
  <cols>
    <col min="1" max="1" width="8.88671875" style="1"/>
    <col min="2" max="2" width="15.21875" style="1" customWidth="1"/>
    <col min="3" max="33" width="8.88671875" style="1"/>
    <col min="34" max="34" width="12" style="1" bestFit="1" customWidth="1"/>
    <col min="35" max="35" width="16.44140625" style="1" bestFit="1" customWidth="1"/>
    <col min="36" max="16384" width="8.88671875" style="1"/>
  </cols>
  <sheetData>
    <row r="2" spans="2:32" x14ac:dyDescent="0.3">
      <c r="C2" s="3" t="s">
        <v>30</v>
      </c>
      <c r="D2" s="3" t="s">
        <v>31</v>
      </c>
      <c r="E2" s="3" t="s">
        <v>32</v>
      </c>
      <c r="F2" s="3" t="s">
        <v>33</v>
      </c>
      <c r="G2" s="3" t="s">
        <v>34</v>
      </c>
      <c r="H2" s="3" t="s">
        <v>35</v>
      </c>
      <c r="I2" s="3" t="s">
        <v>36</v>
      </c>
      <c r="J2" s="3" t="s">
        <v>37</v>
      </c>
      <c r="K2" s="3" t="s">
        <v>38</v>
      </c>
      <c r="L2" s="3" t="s">
        <v>39</v>
      </c>
      <c r="M2" s="3" t="s">
        <v>40</v>
      </c>
      <c r="N2" s="3" t="s">
        <v>41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2:32" s="2" customFormat="1" x14ac:dyDescent="0.3">
      <c r="B3" s="2" t="s">
        <v>11</v>
      </c>
      <c r="C3" s="9">
        <v>338</v>
      </c>
      <c r="D3" s="9">
        <v>726</v>
      </c>
      <c r="E3" s="9">
        <v>1136</v>
      </c>
      <c r="F3" s="9"/>
      <c r="G3" s="9">
        <v>329</v>
      </c>
      <c r="H3" s="9">
        <v>849</v>
      </c>
      <c r="I3" s="9">
        <v>1377</v>
      </c>
      <c r="J3" s="9"/>
      <c r="K3" s="9">
        <v>395</v>
      </c>
      <c r="L3" s="9">
        <v>944</v>
      </c>
      <c r="M3" s="9"/>
      <c r="N3" s="9"/>
    </row>
    <row r="4" spans="2:32" x14ac:dyDescent="0.3">
      <c r="B4" s="1" t="s">
        <v>12</v>
      </c>
      <c r="C4" s="7">
        <v>278</v>
      </c>
      <c r="D4" s="7">
        <v>602</v>
      </c>
      <c r="E4" s="7">
        <v>913</v>
      </c>
      <c r="F4" s="7"/>
      <c r="G4" s="7">
        <v>269</v>
      </c>
      <c r="H4" s="7">
        <v>688</v>
      </c>
      <c r="I4" s="7">
        <v>1105</v>
      </c>
      <c r="J4" s="7"/>
      <c r="K4" s="7">
        <v>339</v>
      </c>
      <c r="L4" s="7">
        <v>790</v>
      </c>
      <c r="M4" s="7"/>
      <c r="N4" s="7"/>
    </row>
    <row r="5" spans="2:32" s="2" customFormat="1" x14ac:dyDescent="0.3">
      <c r="B5" s="2" t="s">
        <v>13</v>
      </c>
      <c r="C5" s="9">
        <f>C3-C4</f>
        <v>60</v>
      </c>
      <c r="D5" s="9">
        <f>D3-D4</f>
        <v>124</v>
      </c>
      <c r="E5" s="9">
        <f>E3-E4</f>
        <v>223</v>
      </c>
      <c r="F5" s="9"/>
      <c r="G5" s="9">
        <f>G3-G4</f>
        <v>60</v>
      </c>
      <c r="H5" s="9">
        <f>H3-H4</f>
        <v>161</v>
      </c>
      <c r="I5" s="9">
        <f>I3-I4</f>
        <v>272</v>
      </c>
      <c r="J5" s="9"/>
      <c r="K5" s="9">
        <f>K3-K4</f>
        <v>56</v>
      </c>
      <c r="L5" s="9">
        <f>L3-L4</f>
        <v>154</v>
      </c>
      <c r="M5" s="9"/>
      <c r="N5" s="9"/>
    </row>
    <row r="6" spans="2:32" x14ac:dyDescent="0.3">
      <c r="B6" s="1" t="s">
        <v>14</v>
      </c>
      <c r="C6" s="7">
        <v>27</v>
      </c>
      <c r="D6" s="7">
        <v>55</v>
      </c>
      <c r="E6" s="7">
        <v>83</v>
      </c>
      <c r="F6" s="7"/>
      <c r="G6" s="7">
        <v>27</v>
      </c>
      <c r="H6" s="7">
        <v>62</v>
      </c>
      <c r="I6" s="7">
        <v>95</v>
      </c>
      <c r="J6" s="7"/>
      <c r="K6" s="7">
        <v>32</v>
      </c>
      <c r="L6" s="7">
        <v>67</v>
      </c>
      <c r="M6" s="7"/>
      <c r="N6" s="7"/>
    </row>
    <row r="7" spans="2:32" x14ac:dyDescent="0.3">
      <c r="B7" s="1" t="s">
        <v>15</v>
      </c>
      <c r="C7" s="7">
        <v>23</v>
      </c>
      <c r="D7" s="7">
        <v>48</v>
      </c>
      <c r="E7" s="7">
        <v>76</v>
      </c>
      <c r="F7" s="7"/>
      <c r="G7" s="7">
        <v>31</v>
      </c>
      <c r="H7" s="7">
        <v>74</v>
      </c>
      <c r="I7" s="7">
        <v>112</v>
      </c>
      <c r="J7" s="7"/>
      <c r="K7" s="7">
        <v>32</v>
      </c>
      <c r="L7" s="7">
        <v>68</v>
      </c>
      <c r="M7" s="7"/>
      <c r="N7" s="7"/>
    </row>
    <row r="8" spans="2:32" x14ac:dyDescent="0.3">
      <c r="B8" s="1" t="s">
        <v>28</v>
      </c>
      <c r="C8" s="7">
        <v>8</v>
      </c>
      <c r="D8" s="7">
        <v>13</v>
      </c>
      <c r="E8" s="7">
        <v>20</v>
      </c>
      <c r="F8" s="7"/>
      <c r="G8" s="7">
        <v>8</v>
      </c>
      <c r="H8" s="7">
        <v>17</v>
      </c>
      <c r="I8" s="7">
        <v>26</v>
      </c>
      <c r="J8" s="7"/>
      <c r="K8" s="7">
        <v>8</v>
      </c>
      <c r="L8" s="7">
        <v>17</v>
      </c>
      <c r="M8" s="7"/>
      <c r="N8" s="7"/>
    </row>
    <row r="9" spans="2:32" x14ac:dyDescent="0.3">
      <c r="B9" s="1" t="s">
        <v>17</v>
      </c>
      <c r="C9" s="7">
        <v>-3</v>
      </c>
      <c r="D9" s="7">
        <v>-10</v>
      </c>
      <c r="E9" s="7">
        <v>-17</v>
      </c>
      <c r="F9" s="7"/>
      <c r="G9" s="7">
        <v>-4</v>
      </c>
      <c r="H9" s="7">
        <v>-8</v>
      </c>
      <c r="I9" s="7">
        <v>-13</v>
      </c>
      <c r="J9" s="7"/>
      <c r="K9" s="7">
        <v>-5</v>
      </c>
      <c r="L9" s="7">
        <v>-16</v>
      </c>
      <c r="M9" s="7"/>
      <c r="N9" s="7"/>
    </row>
    <row r="10" spans="2:32" x14ac:dyDescent="0.3">
      <c r="B10" s="1" t="s">
        <v>18</v>
      </c>
      <c r="C10" s="7">
        <v>4</v>
      </c>
      <c r="D10" s="7">
        <v>9</v>
      </c>
      <c r="E10" s="7">
        <v>14</v>
      </c>
      <c r="F10" s="7"/>
      <c r="G10" s="7">
        <v>6</v>
      </c>
      <c r="H10" s="7">
        <v>10</v>
      </c>
      <c r="I10" s="7">
        <v>14</v>
      </c>
      <c r="J10" s="7"/>
      <c r="K10" s="7">
        <v>7</v>
      </c>
      <c r="L10" s="7">
        <v>13</v>
      </c>
      <c r="M10" s="7"/>
      <c r="N10" s="7"/>
    </row>
    <row r="11" spans="2:32" x14ac:dyDescent="0.3">
      <c r="B11" s="1" t="s">
        <v>16</v>
      </c>
      <c r="C11" s="7">
        <v>0</v>
      </c>
      <c r="D11" s="7">
        <v>-5</v>
      </c>
      <c r="E11" s="7">
        <v>-5</v>
      </c>
      <c r="F11" s="7"/>
      <c r="G11" s="7">
        <v>0</v>
      </c>
      <c r="H11" s="7">
        <v>1</v>
      </c>
      <c r="I11" s="7">
        <f>-3+1</f>
        <v>-2</v>
      </c>
      <c r="J11" s="7"/>
      <c r="K11" s="7">
        <v>-1</v>
      </c>
      <c r="L11" s="7">
        <f>-2+3</f>
        <v>1</v>
      </c>
      <c r="M11" s="7"/>
      <c r="N11" s="7"/>
    </row>
    <row r="12" spans="2:32" x14ac:dyDescent="0.3">
      <c r="B12" s="1" t="s">
        <v>19</v>
      </c>
      <c r="C12" s="7">
        <f>SUM(C6:C11)</f>
        <v>59</v>
      </c>
      <c r="D12" s="7">
        <f>SUM(D6:D11)</f>
        <v>110</v>
      </c>
      <c r="E12" s="7">
        <f>SUM(E6:E11)</f>
        <v>171</v>
      </c>
      <c r="F12" s="7"/>
      <c r="G12" s="7">
        <f>SUM(G6:G11)</f>
        <v>68</v>
      </c>
      <c r="H12" s="7">
        <f>SUM(H6:H11)</f>
        <v>156</v>
      </c>
      <c r="I12" s="7">
        <f>SUM(I6:I11)</f>
        <v>232</v>
      </c>
      <c r="J12" s="7"/>
      <c r="K12" s="7">
        <f>SUM(K6:K11)</f>
        <v>73</v>
      </c>
      <c r="L12" s="7">
        <f>SUM(L6:L11)</f>
        <v>150</v>
      </c>
      <c r="M12" s="7"/>
      <c r="N12" s="7"/>
    </row>
    <row r="13" spans="2:32" s="2" customFormat="1" x14ac:dyDescent="0.3">
      <c r="B13" s="2" t="s">
        <v>20</v>
      </c>
      <c r="C13" s="9">
        <f>C5-C12</f>
        <v>1</v>
      </c>
      <c r="D13" s="9">
        <f>D5-D12</f>
        <v>14</v>
      </c>
      <c r="E13" s="9">
        <f>E5-E12</f>
        <v>52</v>
      </c>
      <c r="F13" s="9"/>
      <c r="G13" s="9">
        <f>G5-G12</f>
        <v>-8</v>
      </c>
      <c r="H13" s="9">
        <f>H5-H12</f>
        <v>5</v>
      </c>
      <c r="I13" s="9">
        <f>I5-I12</f>
        <v>40</v>
      </c>
      <c r="J13" s="9"/>
      <c r="K13" s="9">
        <f>K5-K12</f>
        <v>-17</v>
      </c>
      <c r="L13" s="9">
        <f>L5-L12</f>
        <v>4</v>
      </c>
      <c r="M13" s="9"/>
      <c r="N13" s="9"/>
    </row>
    <row r="14" spans="2:32" x14ac:dyDescent="0.3">
      <c r="B14" s="1" t="s">
        <v>29</v>
      </c>
      <c r="C14" s="7">
        <v>-4</v>
      </c>
      <c r="D14" s="7">
        <v>-11</v>
      </c>
      <c r="E14" s="7">
        <v>-17</v>
      </c>
      <c r="F14" s="7"/>
      <c r="G14" s="7">
        <v>-17</v>
      </c>
      <c r="H14" s="7">
        <v>-28</v>
      </c>
      <c r="I14" s="7">
        <v>-24</v>
      </c>
      <c r="J14" s="7"/>
      <c r="K14" s="7">
        <v>-6</v>
      </c>
      <c r="L14" s="7">
        <v>-11</v>
      </c>
      <c r="M14" s="7"/>
      <c r="N14" s="7"/>
    </row>
    <row r="15" spans="2:32" x14ac:dyDescent="0.3">
      <c r="B15" s="1" t="s">
        <v>21</v>
      </c>
      <c r="C15" s="7">
        <v>19</v>
      </c>
      <c r="D15" s="7">
        <v>31</v>
      </c>
      <c r="E15" s="7">
        <v>48</v>
      </c>
      <c r="F15" s="7"/>
      <c r="G15" s="7">
        <v>19</v>
      </c>
      <c r="H15" s="7">
        <v>45</v>
      </c>
      <c r="I15" s="7">
        <v>74</v>
      </c>
      <c r="J15" s="7"/>
      <c r="K15" s="7">
        <v>25</v>
      </c>
      <c r="L15" s="7">
        <v>59</v>
      </c>
      <c r="M15" s="7"/>
      <c r="N15" s="7"/>
    </row>
    <row r="16" spans="2:32" x14ac:dyDescent="0.3">
      <c r="B16" s="1" t="s">
        <v>22</v>
      </c>
      <c r="C16" s="7">
        <v>5</v>
      </c>
      <c r="D16" s="7">
        <v>7</v>
      </c>
      <c r="E16" s="7">
        <v>7</v>
      </c>
      <c r="F16" s="7"/>
      <c r="G16" s="7">
        <v>-1</v>
      </c>
      <c r="H16" s="7">
        <v>-4</v>
      </c>
      <c r="I16" s="7">
        <v>-2</v>
      </c>
      <c r="J16" s="7"/>
      <c r="K16" s="7">
        <v>4</v>
      </c>
      <c r="L16" s="7">
        <v>15</v>
      </c>
      <c r="M16" s="7"/>
      <c r="N16" s="7"/>
    </row>
    <row r="17" spans="2:32" s="2" customFormat="1" x14ac:dyDescent="0.3">
      <c r="B17" s="2" t="s">
        <v>23</v>
      </c>
      <c r="C17" s="9">
        <f>C13-C14-C15-C16</f>
        <v>-19</v>
      </c>
      <c r="D17" s="9">
        <f>D13-D14-D15-D16</f>
        <v>-13</v>
      </c>
      <c r="E17" s="9">
        <f>E13-E14-E15-E16</f>
        <v>14</v>
      </c>
      <c r="F17" s="9"/>
      <c r="G17" s="9">
        <f>G13-G14-G15-G16</f>
        <v>-9</v>
      </c>
      <c r="H17" s="9">
        <f>H13-H14-H15-H16</f>
        <v>-8</v>
      </c>
      <c r="I17" s="9">
        <f>I13-I14-I15-I16</f>
        <v>-8</v>
      </c>
      <c r="J17" s="9"/>
      <c r="K17" s="9">
        <f>K13-K14-K15-K16</f>
        <v>-40</v>
      </c>
      <c r="L17" s="9">
        <f>L13-L14-L15-L16</f>
        <v>-59</v>
      </c>
      <c r="M17" s="9"/>
      <c r="N17" s="9"/>
    </row>
    <row r="18" spans="2:32" x14ac:dyDescent="0.3">
      <c r="B18" s="1" t="s">
        <v>24</v>
      </c>
      <c r="C18" s="7">
        <v>3</v>
      </c>
      <c r="D18" s="7">
        <v>3</v>
      </c>
      <c r="E18" s="7">
        <v>16</v>
      </c>
      <c r="F18" s="7"/>
      <c r="G18" s="7">
        <v>6</v>
      </c>
      <c r="H18" s="7">
        <v>18</v>
      </c>
      <c r="I18" s="7">
        <v>40</v>
      </c>
      <c r="J18" s="7"/>
      <c r="K18" s="7">
        <v>-7</v>
      </c>
      <c r="L18" s="7">
        <v>-12</v>
      </c>
      <c r="M18" s="7"/>
      <c r="N18" s="7"/>
    </row>
    <row r="19" spans="2:32" x14ac:dyDescent="0.3">
      <c r="B19" s="1" t="s">
        <v>25</v>
      </c>
      <c r="C19" s="7">
        <v>0</v>
      </c>
      <c r="D19" s="7">
        <v>1</v>
      </c>
      <c r="E19" s="7">
        <v>-1</v>
      </c>
      <c r="F19" s="7"/>
      <c r="G19" s="7">
        <v>-1</v>
      </c>
      <c r="H19" s="7">
        <v>1</v>
      </c>
      <c r="I19" s="7">
        <v>-2</v>
      </c>
      <c r="J19" s="7"/>
      <c r="K19" s="7">
        <v>-1</v>
      </c>
      <c r="L19" s="7">
        <v>-2</v>
      </c>
      <c r="M19" s="7"/>
      <c r="N19" s="7"/>
    </row>
    <row r="20" spans="2:32" s="2" customFormat="1" x14ac:dyDescent="0.3">
      <c r="B20" s="2" t="s">
        <v>26</v>
      </c>
      <c r="C20" s="9">
        <f>C17-C18-C19</f>
        <v>-22</v>
      </c>
      <c r="D20" s="9">
        <f>D17-D18-D19</f>
        <v>-17</v>
      </c>
      <c r="E20" s="9">
        <f>E17-E18-E19</f>
        <v>-1</v>
      </c>
      <c r="F20" s="9"/>
      <c r="G20" s="9">
        <f>G17-G18-G19</f>
        <v>-14</v>
      </c>
      <c r="H20" s="9">
        <f>H17-H18-H19</f>
        <v>-27</v>
      </c>
      <c r="I20" s="9">
        <f>I17-I18-I19</f>
        <v>-46</v>
      </c>
      <c r="J20" s="9"/>
      <c r="K20" s="9">
        <f>K17-K18-K19</f>
        <v>-32</v>
      </c>
      <c r="L20" s="9">
        <f>L17-L18-L19</f>
        <v>-45</v>
      </c>
      <c r="M20" s="9"/>
      <c r="N20" s="9"/>
    </row>
    <row r="21" spans="2:32" x14ac:dyDescent="0.3">
      <c r="B21" s="1" t="s">
        <v>2</v>
      </c>
      <c r="C21" s="7">
        <v>116</v>
      </c>
      <c r="D21" s="7">
        <v>116</v>
      </c>
      <c r="E21" s="7">
        <v>116</v>
      </c>
      <c r="F21" s="7"/>
      <c r="G21" s="7">
        <v>116</v>
      </c>
      <c r="H21" s="7">
        <v>116</v>
      </c>
      <c r="I21" s="7">
        <v>116</v>
      </c>
      <c r="J21" s="7"/>
      <c r="K21" s="7">
        <v>116</v>
      </c>
      <c r="L21" s="7">
        <v>116</v>
      </c>
      <c r="M21" s="7"/>
      <c r="N21" s="7"/>
    </row>
    <row r="22" spans="2:32" x14ac:dyDescent="0.3">
      <c r="B22" s="1" t="s">
        <v>27</v>
      </c>
      <c r="C22" s="8">
        <f>C20/C21</f>
        <v>-0.18965517241379309</v>
      </c>
      <c r="D22" s="8">
        <f>D20/D21</f>
        <v>-0.14655172413793102</v>
      </c>
      <c r="E22" s="8">
        <f>E20/E21</f>
        <v>-8.6206896551724137E-3</v>
      </c>
      <c r="F22" s="7"/>
      <c r="G22" s="8">
        <f t="shared" ref="G22:I22" si="0">G20/G21</f>
        <v>-0.1206896551724138</v>
      </c>
      <c r="H22" s="8">
        <f t="shared" si="0"/>
        <v>-0.23275862068965517</v>
      </c>
      <c r="I22" s="8">
        <f t="shared" si="0"/>
        <v>-0.39655172413793105</v>
      </c>
      <c r="J22" s="7"/>
      <c r="K22" s="8">
        <f>K20/K21</f>
        <v>-0.27586206896551724</v>
      </c>
      <c r="L22" s="8">
        <f>L20/L21</f>
        <v>-0.38793103448275862</v>
      </c>
      <c r="M22" s="7"/>
      <c r="N22" s="7"/>
    </row>
    <row r="26" spans="2:32" s="2" customFormat="1" x14ac:dyDescent="0.3">
      <c r="B26" s="2" t="s">
        <v>11</v>
      </c>
      <c r="C26" s="9">
        <f>C3</f>
        <v>338</v>
      </c>
      <c r="D26" s="9">
        <f>D3-C3</f>
        <v>388</v>
      </c>
      <c r="E26" s="9">
        <f>E3-D3</f>
        <v>410</v>
      </c>
      <c r="F26" s="9">
        <f>T26-E3</f>
        <v>711</v>
      </c>
      <c r="G26" s="9">
        <f>G3</f>
        <v>329</v>
      </c>
      <c r="H26" s="9">
        <f>H3-G3</f>
        <v>520</v>
      </c>
      <c r="I26" s="9">
        <f>I3-H3</f>
        <v>528</v>
      </c>
      <c r="J26" s="9">
        <f>U26-I3</f>
        <v>863</v>
      </c>
      <c r="K26" s="9">
        <f>K3</f>
        <v>395</v>
      </c>
      <c r="L26" s="9">
        <f>L3-K3</f>
        <v>549</v>
      </c>
      <c r="M26" s="9">
        <f>I26*1.25</f>
        <v>660</v>
      </c>
      <c r="N26" s="9">
        <f>J26*1.14</f>
        <v>983.81999999999994</v>
      </c>
      <c r="P26" s="9">
        <v>1114.2</v>
      </c>
      <c r="Q26" s="9">
        <v>1206.9000000000001</v>
      </c>
      <c r="R26" s="9">
        <v>1474</v>
      </c>
      <c r="S26" s="9">
        <v>1707</v>
      </c>
      <c r="T26" s="9">
        <v>1847</v>
      </c>
      <c r="U26" s="9">
        <v>2240</v>
      </c>
      <c r="V26" s="9">
        <f>SUM(K26:N26)</f>
        <v>2587.8199999999997</v>
      </c>
      <c r="W26" s="9">
        <f>V26*1.1</f>
        <v>2846.6019999999999</v>
      </c>
      <c r="X26" s="9">
        <f>W26*1.08</f>
        <v>3074.33016</v>
      </c>
      <c r="Y26" s="9">
        <f>X26*1.06</f>
        <v>3258.7899695999999</v>
      </c>
      <c r="Z26" s="9">
        <f>Y26*1.05</f>
        <v>3421.7294680800001</v>
      </c>
      <c r="AA26" s="9">
        <f t="shared" ref="AA26:AF26" si="1">Z26*1.05</f>
        <v>3592.8159414840002</v>
      </c>
      <c r="AB26" s="9">
        <f t="shared" si="1"/>
        <v>3772.4567385582004</v>
      </c>
      <c r="AC26" s="9">
        <f t="shared" si="1"/>
        <v>3961.0795754861106</v>
      </c>
      <c r="AD26" s="9">
        <f t="shared" si="1"/>
        <v>4159.1335542604165</v>
      </c>
      <c r="AE26" s="9">
        <f t="shared" si="1"/>
        <v>4367.0902319734378</v>
      </c>
      <c r="AF26" s="9">
        <f t="shared" si="1"/>
        <v>4585.4447435721095</v>
      </c>
    </row>
    <row r="27" spans="2:32" x14ac:dyDescent="0.3">
      <c r="B27" s="1" t="s">
        <v>12</v>
      </c>
      <c r="C27" s="7">
        <f>C4</f>
        <v>278</v>
      </c>
      <c r="D27" s="7">
        <f>D4-C4</f>
        <v>324</v>
      </c>
      <c r="E27" s="7">
        <f>E4-D4</f>
        <v>311</v>
      </c>
      <c r="F27" s="7">
        <f>T27-E4</f>
        <v>514</v>
      </c>
      <c r="G27" s="7">
        <f>G4</f>
        <v>269</v>
      </c>
      <c r="H27" s="7">
        <f>H4-G4</f>
        <v>419</v>
      </c>
      <c r="I27" s="7">
        <f>I4-H4</f>
        <v>417</v>
      </c>
      <c r="J27" s="7">
        <f>U27-I4</f>
        <v>627</v>
      </c>
      <c r="K27" s="7">
        <f>K4</f>
        <v>339</v>
      </c>
      <c r="L27" s="7">
        <f>L4-K4</f>
        <v>451</v>
      </c>
      <c r="M27" s="7">
        <f>M26-M28</f>
        <v>501.6</v>
      </c>
      <c r="N27" s="7">
        <f>N26-N28</f>
        <v>708.35039999999992</v>
      </c>
      <c r="P27" s="7">
        <v>859.3</v>
      </c>
      <c r="Q27" s="7">
        <v>936.1</v>
      </c>
      <c r="R27" s="7">
        <v>1144</v>
      </c>
      <c r="S27" s="7">
        <v>1314</v>
      </c>
      <c r="T27" s="7">
        <v>1427</v>
      </c>
      <c r="U27" s="7">
        <v>1732</v>
      </c>
      <c r="V27" s="7">
        <f>SUM(K27:N27)</f>
        <v>1999.9503999999997</v>
      </c>
      <c r="W27" s="7">
        <f>W26-W28</f>
        <v>2191.8835399999998</v>
      </c>
      <c r="X27" s="7">
        <f t="shared" ref="X27:AF27" si="2">X26-X28</f>
        <v>2367.2342232000001</v>
      </c>
      <c r="Y27" s="7">
        <f t="shared" si="2"/>
        <v>2509.2682765919999</v>
      </c>
      <c r="Z27" s="7">
        <f t="shared" si="2"/>
        <v>2634.7316904216</v>
      </c>
      <c r="AA27" s="7">
        <f t="shared" si="2"/>
        <v>2766.4682749426802</v>
      </c>
      <c r="AB27" s="7">
        <f t="shared" si="2"/>
        <v>2904.7916886898142</v>
      </c>
      <c r="AC27" s="7">
        <f t="shared" si="2"/>
        <v>3050.0312731243052</v>
      </c>
      <c r="AD27" s="7">
        <f t="shared" si="2"/>
        <v>3202.5328367805205</v>
      </c>
      <c r="AE27" s="7">
        <f t="shared" si="2"/>
        <v>3362.6594786195469</v>
      </c>
      <c r="AF27" s="7">
        <f t="shared" si="2"/>
        <v>3530.7924525505241</v>
      </c>
    </row>
    <row r="28" spans="2:32" s="2" customFormat="1" x14ac:dyDescent="0.3">
      <c r="B28" s="2" t="s">
        <v>13</v>
      </c>
      <c r="C28" s="9">
        <f t="shared" ref="C28" si="3">C26-C27</f>
        <v>60</v>
      </c>
      <c r="D28" s="9">
        <f t="shared" ref="D28" si="4">D26-D27</f>
        <v>64</v>
      </c>
      <c r="E28" s="9">
        <f t="shared" ref="E28" si="5">E26-E27</f>
        <v>99</v>
      </c>
      <c r="F28" s="9">
        <f t="shared" ref="F28" si="6">F26-F27</f>
        <v>197</v>
      </c>
      <c r="G28" s="9">
        <f t="shared" ref="G28:J28" si="7">G26-G27</f>
        <v>60</v>
      </c>
      <c r="H28" s="9">
        <f t="shared" si="7"/>
        <v>101</v>
      </c>
      <c r="I28" s="9">
        <f t="shared" si="7"/>
        <v>111</v>
      </c>
      <c r="J28" s="9">
        <f t="shared" si="7"/>
        <v>236</v>
      </c>
      <c r="K28" s="9">
        <f t="shared" ref="K28" si="8">K26-K27</f>
        <v>56</v>
      </c>
      <c r="L28" s="9">
        <f t="shared" ref="L28" si="9">L26-L27</f>
        <v>98</v>
      </c>
      <c r="M28" s="9">
        <f>M26*0.24</f>
        <v>158.4</v>
      </c>
      <c r="N28" s="9">
        <f>N26*0.28</f>
        <v>275.46960000000001</v>
      </c>
      <c r="P28" s="9">
        <f t="shared" ref="P28:V28" si="10">P26-P27</f>
        <v>254.90000000000009</v>
      </c>
      <c r="Q28" s="9">
        <f t="shared" si="10"/>
        <v>270.80000000000007</v>
      </c>
      <c r="R28" s="9">
        <f t="shared" si="10"/>
        <v>330</v>
      </c>
      <c r="S28" s="9">
        <f t="shared" si="10"/>
        <v>393</v>
      </c>
      <c r="T28" s="9">
        <f t="shared" si="10"/>
        <v>420</v>
      </c>
      <c r="U28" s="9">
        <f t="shared" si="10"/>
        <v>508</v>
      </c>
      <c r="V28" s="9">
        <f t="shared" si="10"/>
        <v>587.86959999999999</v>
      </c>
      <c r="W28" s="9">
        <f>W26*0.23</f>
        <v>654.71846000000005</v>
      </c>
      <c r="X28" s="9">
        <f t="shared" ref="X28:AF28" si="11">X26*0.23</f>
        <v>707.0959368</v>
      </c>
      <c r="Y28" s="9">
        <f t="shared" si="11"/>
        <v>749.52169300800006</v>
      </c>
      <c r="Z28" s="9">
        <f t="shared" si="11"/>
        <v>786.99777765840008</v>
      </c>
      <c r="AA28" s="9">
        <f t="shared" si="11"/>
        <v>826.34766654132011</v>
      </c>
      <c r="AB28" s="9">
        <f t="shared" si="11"/>
        <v>867.66504986838618</v>
      </c>
      <c r="AC28" s="9">
        <f t="shared" si="11"/>
        <v>911.04830236180544</v>
      </c>
      <c r="AD28" s="9">
        <f t="shared" si="11"/>
        <v>956.60071747989582</v>
      </c>
      <c r="AE28" s="9">
        <f t="shared" si="11"/>
        <v>1004.4307533538907</v>
      </c>
      <c r="AF28" s="9">
        <f t="shared" si="11"/>
        <v>1054.6522910215851</v>
      </c>
    </row>
    <row r="29" spans="2:32" x14ac:dyDescent="0.3">
      <c r="B29" s="1" t="s">
        <v>14</v>
      </c>
      <c r="C29" s="7">
        <f t="shared" ref="C29:C34" si="12">C6</f>
        <v>27</v>
      </c>
      <c r="D29" s="7">
        <f t="shared" ref="D29:E29" si="13">D6-C6</f>
        <v>28</v>
      </c>
      <c r="E29" s="7">
        <f t="shared" si="13"/>
        <v>28</v>
      </c>
      <c r="F29" s="7">
        <f t="shared" ref="F29:F34" si="14">T29-E6</f>
        <v>28</v>
      </c>
      <c r="G29" s="7">
        <f t="shared" ref="G29:G34" si="15">G6</f>
        <v>27</v>
      </c>
      <c r="H29" s="7">
        <f t="shared" ref="H29:I34" si="16">H6-G6</f>
        <v>35</v>
      </c>
      <c r="I29" s="7">
        <f t="shared" si="16"/>
        <v>33</v>
      </c>
      <c r="J29" s="7">
        <f t="shared" ref="J29:J34" si="17">U29-I6</f>
        <v>33</v>
      </c>
      <c r="K29" s="7">
        <f t="shared" ref="K29:K34" si="18">K6</f>
        <v>32</v>
      </c>
      <c r="L29" s="7">
        <f t="shared" ref="L29" si="19">L6-K6</f>
        <v>35</v>
      </c>
      <c r="M29" s="7">
        <f>M26*0.06</f>
        <v>39.6</v>
      </c>
      <c r="N29" s="7">
        <f>N26*0.04</f>
        <v>39.352799999999995</v>
      </c>
      <c r="P29" s="7">
        <v>84.8</v>
      </c>
      <c r="Q29" s="7">
        <v>90.2</v>
      </c>
      <c r="R29" s="7">
        <v>99</v>
      </c>
      <c r="S29" s="7">
        <v>107</v>
      </c>
      <c r="T29" s="7">
        <v>111</v>
      </c>
      <c r="U29" s="7">
        <v>128</v>
      </c>
      <c r="V29" s="7">
        <f t="shared" ref="V29:V34" si="20">SUM(K29:N29)</f>
        <v>145.9528</v>
      </c>
      <c r="W29" s="7">
        <f>W26*0.06</f>
        <v>170.79611999999997</v>
      </c>
      <c r="X29" s="7">
        <f t="shared" ref="X29:AF29" si="21">X26*0.06</f>
        <v>184.4598096</v>
      </c>
      <c r="Y29" s="7">
        <f t="shared" si="21"/>
        <v>195.52739817599999</v>
      </c>
      <c r="Z29" s="7">
        <f t="shared" si="21"/>
        <v>205.3037680848</v>
      </c>
      <c r="AA29" s="7">
        <f t="shared" si="21"/>
        <v>215.56895648904</v>
      </c>
      <c r="AB29" s="7">
        <f t="shared" si="21"/>
        <v>226.34740431349201</v>
      </c>
      <c r="AC29" s="7">
        <f t="shared" si="21"/>
        <v>237.66477452916664</v>
      </c>
      <c r="AD29" s="7">
        <f t="shared" si="21"/>
        <v>249.54801325562499</v>
      </c>
      <c r="AE29" s="7">
        <f t="shared" si="21"/>
        <v>262.02541391840623</v>
      </c>
      <c r="AF29" s="7">
        <f t="shared" si="21"/>
        <v>275.12668461432656</v>
      </c>
    </row>
    <row r="30" spans="2:32" x14ac:dyDescent="0.3">
      <c r="B30" s="1" t="s">
        <v>15</v>
      </c>
      <c r="C30" s="7">
        <f t="shared" si="12"/>
        <v>23</v>
      </c>
      <c r="D30" s="7">
        <f t="shared" ref="D30:E30" si="22">D7-C7</f>
        <v>25</v>
      </c>
      <c r="E30" s="7">
        <f t="shared" si="22"/>
        <v>28</v>
      </c>
      <c r="F30" s="7">
        <f t="shared" si="14"/>
        <v>42</v>
      </c>
      <c r="G30" s="7">
        <f t="shared" si="15"/>
        <v>31</v>
      </c>
      <c r="H30" s="7">
        <f t="shared" si="16"/>
        <v>43</v>
      </c>
      <c r="I30" s="7">
        <f t="shared" si="16"/>
        <v>38</v>
      </c>
      <c r="J30" s="7">
        <f t="shared" si="17"/>
        <v>50</v>
      </c>
      <c r="K30" s="7">
        <f t="shared" si="18"/>
        <v>32</v>
      </c>
      <c r="L30" s="7">
        <f t="shared" ref="L30" si="23">L7-K7</f>
        <v>36</v>
      </c>
      <c r="M30" s="7">
        <f>I30*1.05</f>
        <v>39.9</v>
      </c>
      <c r="N30" s="7">
        <f>J30*1.05</f>
        <v>52.5</v>
      </c>
      <c r="P30" s="7">
        <v>76.3</v>
      </c>
      <c r="Q30" s="7">
        <v>87.2</v>
      </c>
      <c r="R30" s="7">
        <v>83</v>
      </c>
      <c r="S30" s="7">
        <v>92</v>
      </c>
      <c r="T30" s="7">
        <v>118</v>
      </c>
      <c r="U30" s="7">
        <v>162</v>
      </c>
      <c r="V30" s="7">
        <f t="shared" si="20"/>
        <v>160.4</v>
      </c>
      <c r="W30" s="7">
        <f>V30*1.02</f>
        <v>163.608</v>
      </c>
      <c r="X30" s="7">
        <f t="shared" ref="X30:Z30" si="24">W30*1.02</f>
        <v>166.88016000000002</v>
      </c>
      <c r="Y30" s="7">
        <f t="shared" si="24"/>
        <v>170.21776320000001</v>
      </c>
      <c r="Z30" s="7">
        <f t="shared" si="24"/>
        <v>173.62211846400001</v>
      </c>
      <c r="AA30" s="7">
        <f>Z30*1.01</f>
        <v>175.35833964864003</v>
      </c>
      <c r="AB30" s="7">
        <f t="shared" ref="AB30:AF30" si="25">AA30*1.01</f>
        <v>177.11192304512642</v>
      </c>
      <c r="AC30" s="7">
        <f t="shared" si="25"/>
        <v>178.88304227557768</v>
      </c>
      <c r="AD30" s="7">
        <f t="shared" si="25"/>
        <v>180.67187269833346</v>
      </c>
      <c r="AE30" s="7">
        <f t="shared" si="25"/>
        <v>182.47859142531681</v>
      </c>
      <c r="AF30" s="7">
        <f t="shared" si="25"/>
        <v>184.30337733956998</v>
      </c>
    </row>
    <row r="31" spans="2:32" x14ac:dyDescent="0.3">
      <c r="B31" s="1" t="s">
        <v>28</v>
      </c>
      <c r="C31" s="7">
        <f t="shared" si="12"/>
        <v>8</v>
      </c>
      <c r="D31" s="7">
        <f t="shared" ref="D31:E31" si="26">D8-C8</f>
        <v>5</v>
      </c>
      <c r="E31" s="7">
        <f t="shared" si="26"/>
        <v>7</v>
      </c>
      <c r="F31" s="7">
        <f t="shared" si="14"/>
        <v>10</v>
      </c>
      <c r="G31" s="7">
        <f t="shared" si="15"/>
        <v>8</v>
      </c>
      <c r="H31" s="7">
        <f t="shared" si="16"/>
        <v>9</v>
      </c>
      <c r="I31" s="7">
        <f t="shared" si="16"/>
        <v>9</v>
      </c>
      <c r="J31" s="7">
        <f t="shared" si="17"/>
        <v>6</v>
      </c>
      <c r="K31" s="7">
        <f t="shared" si="18"/>
        <v>8</v>
      </c>
      <c r="L31" s="7">
        <f t="shared" ref="L31" si="27">L8-K8</f>
        <v>9</v>
      </c>
      <c r="M31" s="7">
        <f>I31*1.01</f>
        <v>9.09</v>
      </c>
      <c r="N31" s="7">
        <f>J31*1.5</f>
        <v>9</v>
      </c>
      <c r="P31" s="7">
        <v>31</v>
      </c>
      <c r="Q31" s="7">
        <v>25.1</v>
      </c>
      <c r="R31" s="7">
        <v>31</v>
      </c>
      <c r="S31" s="7">
        <v>36</v>
      </c>
      <c r="T31" s="7">
        <v>30</v>
      </c>
      <c r="U31" s="7">
        <v>32</v>
      </c>
      <c r="V31" s="7">
        <f t="shared" si="20"/>
        <v>35.090000000000003</v>
      </c>
      <c r="W31" s="7">
        <f>V31*1.05</f>
        <v>36.844500000000004</v>
      </c>
      <c r="X31" s="7">
        <f>W31*1.04</f>
        <v>38.318280000000009</v>
      </c>
      <c r="Y31" s="7">
        <f>X31*1.03</f>
        <v>39.467828400000009</v>
      </c>
      <c r="Z31" s="7">
        <f t="shared" ref="Z31:AF31" si="28">Y31*1.03</f>
        <v>40.651863252000012</v>
      </c>
      <c r="AA31" s="7">
        <f t="shared" si="28"/>
        <v>41.871419149560012</v>
      </c>
      <c r="AB31" s="7">
        <f t="shared" si="28"/>
        <v>43.127561724046814</v>
      </c>
      <c r="AC31" s="7">
        <f t="shared" si="28"/>
        <v>44.421388575768219</v>
      </c>
      <c r="AD31" s="7">
        <f t="shared" si="28"/>
        <v>45.75403023304127</v>
      </c>
      <c r="AE31" s="7">
        <f t="shared" si="28"/>
        <v>47.126651140032507</v>
      </c>
      <c r="AF31" s="7">
        <f t="shared" si="28"/>
        <v>48.540450674233483</v>
      </c>
    </row>
    <row r="32" spans="2:32" x14ac:dyDescent="0.3">
      <c r="B32" s="1" t="s">
        <v>17</v>
      </c>
      <c r="C32" s="7">
        <f t="shared" si="12"/>
        <v>-3</v>
      </c>
      <c r="D32" s="7">
        <f t="shared" ref="D32:E32" si="29">D9-C9</f>
        <v>-7</v>
      </c>
      <c r="E32" s="7">
        <f t="shared" si="29"/>
        <v>-7</v>
      </c>
      <c r="F32" s="7">
        <f t="shared" si="14"/>
        <v>-5</v>
      </c>
      <c r="G32" s="7">
        <f t="shared" si="15"/>
        <v>-4</v>
      </c>
      <c r="H32" s="7">
        <f t="shared" si="16"/>
        <v>-4</v>
      </c>
      <c r="I32" s="7">
        <f t="shared" si="16"/>
        <v>-5</v>
      </c>
      <c r="J32" s="7">
        <f t="shared" si="17"/>
        <v>-9</v>
      </c>
      <c r="K32" s="7">
        <f t="shared" si="18"/>
        <v>-5</v>
      </c>
      <c r="L32" s="7">
        <f t="shared" ref="L32" si="30">L9-K9</f>
        <v>-11</v>
      </c>
      <c r="M32" s="7">
        <v>-8</v>
      </c>
      <c r="N32" s="7">
        <v>-8</v>
      </c>
      <c r="P32" s="7">
        <v>-25.3</v>
      </c>
      <c r="Q32" s="7">
        <v>-18.899999999999999</v>
      </c>
      <c r="R32" s="7">
        <v>-29</v>
      </c>
      <c r="S32" s="7">
        <v>-21</v>
      </c>
      <c r="T32" s="7">
        <v>-22</v>
      </c>
      <c r="U32" s="7">
        <v>-22</v>
      </c>
      <c r="V32" s="7">
        <f t="shared" si="20"/>
        <v>-32</v>
      </c>
      <c r="W32" s="7">
        <f>V32*1.02</f>
        <v>-32.64</v>
      </c>
      <c r="X32" s="7">
        <f t="shared" ref="X32:AF32" si="31">W32*1.02</f>
        <v>-33.2928</v>
      </c>
      <c r="Y32" s="7">
        <f t="shared" si="31"/>
        <v>-33.958655999999998</v>
      </c>
      <c r="Z32" s="7">
        <f t="shared" si="31"/>
        <v>-34.637829119999999</v>
      </c>
      <c r="AA32" s="7">
        <f t="shared" si="31"/>
        <v>-35.330585702400001</v>
      </c>
      <c r="AB32" s="7">
        <f t="shared" si="31"/>
        <v>-36.037197416448002</v>
      </c>
      <c r="AC32" s="7">
        <f t="shared" si="31"/>
        <v>-36.757941364776961</v>
      </c>
      <c r="AD32" s="7">
        <f t="shared" si="31"/>
        <v>-37.493100192072504</v>
      </c>
      <c r="AE32" s="7">
        <f t="shared" si="31"/>
        <v>-38.242962195913954</v>
      </c>
      <c r="AF32" s="7">
        <f t="shared" si="31"/>
        <v>-39.007821439832234</v>
      </c>
    </row>
    <row r="33" spans="2:140" x14ac:dyDescent="0.3">
      <c r="B33" s="1" t="s">
        <v>18</v>
      </c>
      <c r="C33" s="7">
        <f t="shared" si="12"/>
        <v>4</v>
      </c>
      <c r="D33" s="7">
        <f t="shared" ref="D33:E33" si="32">D10-C10</f>
        <v>5</v>
      </c>
      <c r="E33" s="7">
        <f t="shared" si="32"/>
        <v>5</v>
      </c>
      <c r="F33" s="7">
        <f t="shared" si="14"/>
        <v>7</v>
      </c>
      <c r="G33" s="7">
        <f t="shared" si="15"/>
        <v>6</v>
      </c>
      <c r="H33" s="7">
        <f t="shared" si="16"/>
        <v>4</v>
      </c>
      <c r="I33" s="7">
        <f t="shared" si="16"/>
        <v>4</v>
      </c>
      <c r="J33" s="7">
        <f t="shared" si="17"/>
        <v>10</v>
      </c>
      <c r="K33" s="7">
        <f t="shared" si="18"/>
        <v>7</v>
      </c>
      <c r="L33" s="7">
        <f t="shared" ref="L33" si="33">L10-K10</f>
        <v>6</v>
      </c>
      <c r="M33" s="7">
        <v>6</v>
      </c>
      <c r="N33" s="7">
        <v>10</v>
      </c>
      <c r="P33" s="7">
        <v>24.8</v>
      </c>
      <c r="Q33" s="7">
        <v>16.100000000000001</v>
      </c>
      <c r="R33" s="7">
        <v>18</v>
      </c>
      <c r="S33" s="7">
        <v>21</v>
      </c>
      <c r="T33" s="7">
        <v>21</v>
      </c>
      <c r="U33" s="7">
        <v>24</v>
      </c>
      <c r="V33" s="7">
        <f t="shared" si="20"/>
        <v>29</v>
      </c>
      <c r="W33" s="7">
        <f>V33*1.02</f>
        <v>29.580000000000002</v>
      </c>
      <c r="X33" s="7">
        <f t="shared" ref="X33:AF33" si="34">W33*1.02</f>
        <v>30.171600000000002</v>
      </c>
      <c r="Y33" s="7">
        <f t="shared" si="34"/>
        <v>30.775032000000003</v>
      </c>
      <c r="Z33" s="7">
        <f t="shared" si="34"/>
        <v>31.390532640000004</v>
      </c>
      <c r="AA33" s="7">
        <f t="shared" si="34"/>
        <v>32.018343292800004</v>
      </c>
      <c r="AB33" s="7">
        <f t="shared" si="34"/>
        <v>32.658710158656007</v>
      </c>
      <c r="AC33" s="7">
        <f t="shared" si="34"/>
        <v>33.311884361829129</v>
      </c>
      <c r="AD33" s="7">
        <f t="shared" si="34"/>
        <v>33.978122049065711</v>
      </c>
      <c r="AE33" s="7">
        <f t="shared" si="34"/>
        <v>34.657684490047025</v>
      </c>
      <c r="AF33" s="7">
        <f t="shared" si="34"/>
        <v>35.350838179847969</v>
      </c>
    </row>
    <row r="34" spans="2:140" x14ac:dyDescent="0.3">
      <c r="B34" s="1" t="s">
        <v>16</v>
      </c>
      <c r="C34" s="7">
        <f t="shared" si="12"/>
        <v>0</v>
      </c>
      <c r="D34" s="7">
        <f t="shared" ref="D34:E34" si="35">D11-C11</f>
        <v>-5</v>
      </c>
      <c r="E34" s="7">
        <f t="shared" si="35"/>
        <v>0</v>
      </c>
      <c r="F34" s="7">
        <f t="shared" si="14"/>
        <v>0</v>
      </c>
      <c r="G34" s="7">
        <f t="shared" si="15"/>
        <v>0</v>
      </c>
      <c r="H34" s="7">
        <f t="shared" si="16"/>
        <v>1</v>
      </c>
      <c r="I34" s="7">
        <f t="shared" si="16"/>
        <v>-3</v>
      </c>
      <c r="J34" s="7">
        <f t="shared" si="17"/>
        <v>2</v>
      </c>
      <c r="K34" s="7">
        <f t="shared" si="18"/>
        <v>-1</v>
      </c>
      <c r="L34" s="7">
        <f t="shared" ref="L34" si="36">L11-K11</f>
        <v>2</v>
      </c>
      <c r="M34" s="7">
        <v>0</v>
      </c>
      <c r="N34" s="7">
        <v>0</v>
      </c>
      <c r="P34" s="7">
        <v>1.2</v>
      </c>
      <c r="Q34" s="7">
        <v>2.6</v>
      </c>
      <c r="R34" s="7">
        <v>2</v>
      </c>
      <c r="S34" s="7">
        <v>-8</v>
      </c>
      <c r="T34" s="7">
        <v>-5</v>
      </c>
      <c r="U34" s="7">
        <f>-3+3</f>
        <v>0</v>
      </c>
      <c r="V34" s="7">
        <f t="shared" si="20"/>
        <v>1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>
        <v>0</v>
      </c>
    </row>
    <row r="35" spans="2:140" x14ac:dyDescent="0.3">
      <c r="B35" s="1" t="s">
        <v>19</v>
      </c>
      <c r="C35" s="7">
        <f t="shared" ref="C35" si="37">SUM(C29:C34)</f>
        <v>59</v>
      </c>
      <c r="D35" s="7">
        <f t="shared" ref="D35" si="38">SUM(D29:D34)</f>
        <v>51</v>
      </c>
      <c r="E35" s="7">
        <f t="shared" ref="E35" si="39">SUM(E29:E34)</f>
        <v>61</v>
      </c>
      <c r="F35" s="7">
        <f t="shared" ref="F35" si="40">SUM(F29:F34)</f>
        <v>82</v>
      </c>
      <c r="G35" s="7">
        <f t="shared" ref="G35:J35" si="41">SUM(G29:G34)</f>
        <v>68</v>
      </c>
      <c r="H35" s="7">
        <f t="shared" si="41"/>
        <v>88</v>
      </c>
      <c r="I35" s="7">
        <f t="shared" si="41"/>
        <v>76</v>
      </c>
      <c r="J35" s="7">
        <f t="shared" si="41"/>
        <v>92</v>
      </c>
      <c r="K35" s="7">
        <f t="shared" ref="K35" si="42">SUM(K29:K34)</f>
        <v>73</v>
      </c>
      <c r="L35" s="7">
        <f t="shared" ref="L35" si="43">SUM(L29:L34)</f>
        <v>77</v>
      </c>
      <c r="M35" s="7">
        <f t="shared" ref="M35" si="44">SUM(M29:M34)</f>
        <v>86.59</v>
      </c>
      <c r="N35" s="7">
        <f t="shared" ref="N35" si="45">SUM(N29:N34)</f>
        <v>102.8528</v>
      </c>
      <c r="P35" s="7">
        <f t="shared" ref="P35:W35" si="46">SUM(P29:P34)</f>
        <v>192.79999999999998</v>
      </c>
      <c r="Q35" s="7">
        <f t="shared" si="46"/>
        <v>202.29999999999998</v>
      </c>
      <c r="R35" s="7">
        <f t="shared" si="46"/>
        <v>204</v>
      </c>
      <c r="S35" s="7">
        <f t="shared" si="46"/>
        <v>227</v>
      </c>
      <c r="T35" s="7">
        <f t="shared" si="46"/>
        <v>253</v>
      </c>
      <c r="U35" s="7">
        <f t="shared" si="46"/>
        <v>324</v>
      </c>
      <c r="V35" s="7">
        <f t="shared" si="46"/>
        <v>339.44280000000003</v>
      </c>
      <c r="W35" s="7">
        <f t="shared" si="46"/>
        <v>368.18861999999996</v>
      </c>
      <c r="X35" s="7">
        <f t="shared" ref="X35:AF35" si="47">SUM(X29:X34)</f>
        <v>386.53704960000005</v>
      </c>
      <c r="Y35" s="7">
        <f t="shared" si="47"/>
        <v>402.02936577600002</v>
      </c>
      <c r="Z35" s="7">
        <f t="shared" si="47"/>
        <v>416.33045332080002</v>
      </c>
      <c r="AA35" s="7">
        <f t="shared" si="47"/>
        <v>429.48647287764004</v>
      </c>
      <c r="AB35" s="7">
        <f t="shared" si="47"/>
        <v>443.20840182487325</v>
      </c>
      <c r="AC35" s="7">
        <f t="shared" si="47"/>
        <v>457.52314837756472</v>
      </c>
      <c r="AD35" s="7">
        <f t="shared" si="47"/>
        <v>472.45893804399287</v>
      </c>
      <c r="AE35" s="7">
        <f t="shared" si="47"/>
        <v>488.04537877788863</v>
      </c>
      <c r="AF35" s="7">
        <f t="shared" si="47"/>
        <v>504.31352936814574</v>
      </c>
    </row>
    <row r="36" spans="2:140" s="2" customFormat="1" x14ac:dyDescent="0.3">
      <c r="B36" s="2" t="s">
        <v>20</v>
      </c>
      <c r="C36" s="9">
        <f t="shared" ref="C36" si="48">C28-C35</f>
        <v>1</v>
      </c>
      <c r="D36" s="9">
        <f t="shared" ref="D36" si="49">D28-D35</f>
        <v>13</v>
      </c>
      <c r="E36" s="9">
        <f t="shared" ref="E36" si="50">E28-E35</f>
        <v>38</v>
      </c>
      <c r="F36" s="9">
        <f t="shared" ref="F36" si="51">F28-F35</f>
        <v>115</v>
      </c>
      <c r="G36" s="9">
        <f t="shared" ref="G36:J36" si="52">G28-G35</f>
        <v>-8</v>
      </c>
      <c r="H36" s="9">
        <f t="shared" si="52"/>
        <v>13</v>
      </c>
      <c r="I36" s="9">
        <f t="shared" si="52"/>
        <v>35</v>
      </c>
      <c r="J36" s="9">
        <f t="shared" si="52"/>
        <v>144</v>
      </c>
      <c r="K36" s="9">
        <f t="shared" ref="K36" si="53">K28-K35</f>
        <v>-17</v>
      </c>
      <c r="L36" s="9">
        <f t="shared" ref="L36" si="54">L28-L35</f>
        <v>21</v>
      </c>
      <c r="M36" s="9">
        <f t="shared" ref="M36" si="55">M28-M35</f>
        <v>71.81</v>
      </c>
      <c r="N36" s="9">
        <f t="shared" ref="N36" si="56">N28-N35</f>
        <v>172.61680000000001</v>
      </c>
      <c r="P36" s="9">
        <f t="shared" ref="P36:W36" si="57">P28-P35</f>
        <v>62.100000000000108</v>
      </c>
      <c r="Q36" s="9">
        <f t="shared" si="57"/>
        <v>68.500000000000085</v>
      </c>
      <c r="R36" s="9">
        <f t="shared" si="57"/>
        <v>126</v>
      </c>
      <c r="S36" s="9">
        <f t="shared" si="57"/>
        <v>166</v>
      </c>
      <c r="T36" s="9">
        <f t="shared" si="57"/>
        <v>167</v>
      </c>
      <c r="U36" s="9">
        <f t="shared" si="57"/>
        <v>184</v>
      </c>
      <c r="V36" s="9">
        <f t="shared" si="57"/>
        <v>248.42679999999996</v>
      </c>
      <c r="W36" s="9">
        <f t="shared" si="57"/>
        <v>286.52984000000009</v>
      </c>
      <c r="X36" s="9">
        <f t="shared" ref="X36:AF36" si="58">X28-X35</f>
        <v>320.55888719999996</v>
      </c>
      <c r="Y36" s="9">
        <f t="shared" si="58"/>
        <v>347.49232723200004</v>
      </c>
      <c r="Z36" s="9">
        <f t="shared" si="58"/>
        <v>370.66732433760006</v>
      </c>
      <c r="AA36" s="9">
        <f t="shared" si="58"/>
        <v>396.86119366368007</v>
      </c>
      <c r="AB36" s="9">
        <f t="shared" si="58"/>
        <v>424.45664804351293</v>
      </c>
      <c r="AC36" s="9">
        <f t="shared" si="58"/>
        <v>453.52515398424072</v>
      </c>
      <c r="AD36" s="9">
        <f t="shared" si="58"/>
        <v>484.14177943590295</v>
      </c>
      <c r="AE36" s="9">
        <f t="shared" si="58"/>
        <v>516.38537457600205</v>
      </c>
      <c r="AF36" s="9">
        <f t="shared" si="58"/>
        <v>550.33876165343941</v>
      </c>
    </row>
    <row r="37" spans="2:140" x14ac:dyDescent="0.3">
      <c r="B37" s="1" t="s">
        <v>29</v>
      </c>
      <c r="C37" s="7">
        <f t="shared" ref="C37:C39" si="59">C14</f>
        <v>-4</v>
      </c>
      <c r="D37" s="7">
        <f t="shared" ref="D37:E37" si="60">D14-C14</f>
        <v>-7</v>
      </c>
      <c r="E37" s="7">
        <f t="shared" si="60"/>
        <v>-6</v>
      </c>
      <c r="F37" s="7">
        <f t="shared" ref="F37:F39" si="61">T37-E14</f>
        <v>-1</v>
      </c>
      <c r="G37" s="7">
        <f t="shared" ref="G37:G39" si="62">G14</f>
        <v>-17</v>
      </c>
      <c r="H37" s="7">
        <f t="shared" ref="H37:I39" si="63">H14-G14</f>
        <v>-11</v>
      </c>
      <c r="I37" s="7">
        <f t="shared" si="63"/>
        <v>4</v>
      </c>
      <c r="J37" s="7">
        <f t="shared" ref="J37:J39" si="64">U37-I14</f>
        <v>-7</v>
      </c>
      <c r="K37" s="7">
        <f t="shared" ref="K37:K39" si="65">K14</f>
        <v>-6</v>
      </c>
      <c r="L37" s="7">
        <f t="shared" ref="L37" si="66">L14-K14</f>
        <v>-5</v>
      </c>
      <c r="M37" s="7">
        <v>-5</v>
      </c>
      <c r="N37" s="7">
        <v>-7</v>
      </c>
      <c r="P37" s="7">
        <v>-58.9</v>
      </c>
      <c r="Q37" s="7">
        <v>-4</v>
      </c>
      <c r="R37" s="7">
        <v>-4</v>
      </c>
      <c r="S37" s="7">
        <v>-9</v>
      </c>
      <c r="T37" s="7">
        <v>-18</v>
      </c>
      <c r="U37" s="7">
        <v>-31</v>
      </c>
      <c r="V37" s="7">
        <f t="shared" ref="V37:V39" si="67">SUM(K37:N37)</f>
        <v>-23</v>
      </c>
      <c r="W37" s="7">
        <f>V37*1.02</f>
        <v>-23.46</v>
      </c>
      <c r="X37" s="7">
        <f t="shared" ref="X37:AF37" si="68">W37*1.02</f>
        <v>-23.929200000000002</v>
      </c>
      <c r="Y37" s="7">
        <f t="shared" si="68"/>
        <v>-24.407784000000003</v>
      </c>
      <c r="Z37" s="7">
        <f t="shared" si="68"/>
        <v>-24.895939680000005</v>
      </c>
      <c r="AA37" s="7">
        <f t="shared" si="68"/>
        <v>-25.393858473600005</v>
      </c>
      <c r="AB37" s="7">
        <f t="shared" si="68"/>
        <v>-25.901735643072005</v>
      </c>
      <c r="AC37" s="7">
        <f t="shared" si="68"/>
        <v>-26.419770355933444</v>
      </c>
      <c r="AD37" s="7">
        <f t="shared" si="68"/>
        <v>-26.948165763052113</v>
      </c>
      <c r="AE37" s="7">
        <f t="shared" si="68"/>
        <v>-27.487129078313156</v>
      </c>
      <c r="AF37" s="7">
        <f t="shared" si="68"/>
        <v>-28.03687165987942</v>
      </c>
    </row>
    <row r="38" spans="2:140" x14ac:dyDescent="0.3">
      <c r="B38" s="1" t="s">
        <v>21</v>
      </c>
      <c r="C38" s="7">
        <f t="shared" si="59"/>
        <v>19</v>
      </c>
      <c r="D38" s="7">
        <f t="shared" ref="D38:E38" si="69">D15-C15</f>
        <v>12</v>
      </c>
      <c r="E38" s="7">
        <f t="shared" si="69"/>
        <v>17</v>
      </c>
      <c r="F38" s="7">
        <f t="shared" si="61"/>
        <v>34</v>
      </c>
      <c r="G38" s="7">
        <f t="shared" si="62"/>
        <v>19</v>
      </c>
      <c r="H38" s="7">
        <f t="shared" si="63"/>
        <v>26</v>
      </c>
      <c r="I38" s="7">
        <f t="shared" si="63"/>
        <v>29</v>
      </c>
      <c r="J38" s="7">
        <f t="shared" si="64"/>
        <v>26</v>
      </c>
      <c r="K38" s="7">
        <f t="shared" si="65"/>
        <v>25</v>
      </c>
      <c r="L38" s="7">
        <f t="shared" ref="L38" si="70">L15-K15</f>
        <v>34</v>
      </c>
      <c r="M38" s="7">
        <v>34</v>
      </c>
      <c r="N38" s="7">
        <v>34</v>
      </c>
      <c r="P38" s="7">
        <v>83.5</v>
      </c>
      <c r="Q38" s="7">
        <v>137.69999999999999</v>
      </c>
      <c r="R38" s="7">
        <v>42</v>
      </c>
      <c r="S38" s="7">
        <v>44</v>
      </c>
      <c r="T38" s="7">
        <v>82</v>
      </c>
      <c r="U38" s="7">
        <v>100</v>
      </c>
      <c r="V38" s="7">
        <f t="shared" si="67"/>
        <v>127</v>
      </c>
      <c r="W38" s="7">
        <f>V38*1.02</f>
        <v>129.54</v>
      </c>
      <c r="X38" s="7">
        <f t="shared" ref="X38:Y38" si="71">W38*1.02</f>
        <v>132.13079999999999</v>
      </c>
      <c r="Y38" s="7">
        <f t="shared" si="71"/>
        <v>134.773416</v>
      </c>
      <c r="Z38" s="7">
        <f>Y38*1.01</f>
        <v>136.12115015999998</v>
      </c>
      <c r="AA38" s="7">
        <f t="shared" ref="AA38:AF38" si="72">Z38*1.01</f>
        <v>137.48236166159998</v>
      </c>
      <c r="AB38" s="7">
        <f t="shared" si="72"/>
        <v>138.85718527821598</v>
      </c>
      <c r="AC38" s="7">
        <f t="shared" si="72"/>
        <v>140.24575713099813</v>
      </c>
      <c r="AD38" s="7">
        <f t="shared" si="72"/>
        <v>141.64821470230811</v>
      </c>
      <c r="AE38" s="7">
        <f t="shared" si="72"/>
        <v>143.0646968493312</v>
      </c>
      <c r="AF38" s="7">
        <f t="shared" si="72"/>
        <v>144.49534381782451</v>
      </c>
    </row>
    <row r="39" spans="2:140" x14ac:dyDescent="0.3">
      <c r="B39" s="1" t="s">
        <v>22</v>
      </c>
      <c r="C39" s="7">
        <f t="shared" si="59"/>
        <v>5</v>
      </c>
      <c r="D39" s="7">
        <f t="shared" ref="D39:E39" si="73">D16-C16</f>
        <v>2</v>
      </c>
      <c r="E39" s="7">
        <f t="shared" si="73"/>
        <v>0</v>
      </c>
      <c r="F39" s="7">
        <f t="shared" si="61"/>
        <v>0</v>
      </c>
      <c r="G39" s="7">
        <f t="shared" si="62"/>
        <v>-1</v>
      </c>
      <c r="H39" s="7">
        <f t="shared" si="63"/>
        <v>-3</v>
      </c>
      <c r="I39" s="7">
        <f t="shared" si="63"/>
        <v>2</v>
      </c>
      <c r="J39" s="7">
        <f t="shared" si="64"/>
        <v>1</v>
      </c>
      <c r="K39" s="7">
        <f t="shared" si="65"/>
        <v>4</v>
      </c>
      <c r="L39" s="7">
        <f t="shared" ref="L39" si="74">L16-K16</f>
        <v>11</v>
      </c>
      <c r="M39" s="7">
        <v>0</v>
      </c>
      <c r="N39" s="7">
        <v>0</v>
      </c>
      <c r="P39" s="7">
        <v>1.9</v>
      </c>
      <c r="Q39" s="7">
        <v>10</v>
      </c>
      <c r="R39" s="7">
        <v>3</v>
      </c>
      <c r="S39" s="7">
        <v>1</v>
      </c>
      <c r="T39" s="7">
        <v>7</v>
      </c>
      <c r="U39" s="7">
        <v>-1</v>
      </c>
      <c r="V39" s="7">
        <f t="shared" si="67"/>
        <v>15</v>
      </c>
      <c r="W39" s="7">
        <v>0</v>
      </c>
      <c r="X39" s="7">
        <v>0</v>
      </c>
      <c r="Y39" s="7">
        <v>0</v>
      </c>
      <c r="Z39" s="7">
        <v>0</v>
      </c>
      <c r="AA39" s="7">
        <v>0</v>
      </c>
      <c r="AB39" s="7">
        <v>0</v>
      </c>
      <c r="AC39" s="7">
        <v>0</v>
      </c>
      <c r="AD39" s="7">
        <v>0</v>
      </c>
      <c r="AE39" s="7">
        <v>0</v>
      </c>
      <c r="AF39" s="7">
        <v>0</v>
      </c>
    </row>
    <row r="40" spans="2:140" s="2" customFormat="1" x14ac:dyDescent="0.3">
      <c r="B40" s="2" t="s">
        <v>23</v>
      </c>
      <c r="C40" s="9">
        <f t="shared" ref="C40:L40" si="75">C36-C37-C38-C39</f>
        <v>-19</v>
      </c>
      <c r="D40" s="9">
        <f t="shared" si="75"/>
        <v>6</v>
      </c>
      <c r="E40" s="9">
        <f t="shared" si="75"/>
        <v>27</v>
      </c>
      <c r="F40" s="9">
        <f t="shared" si="75"/>
        <v>82</v>
      </c>
      <c r="G40" s="9">
        <f t="shared" si="75"/>
        <v>-9</v>
      </c>
      <c r="H40" s="9">
        <f t="shared" si="75"/>
        <v>1</v>
      </c>
      <c r="I40" s="9">
        <f t="shared" si="75"/>
        <v>0</v>
      </c>
      <c r="J40" s="9">
        <f t="shared" si="75"/>
        <v>124</v>
      </c>
      <c r="K40" s="9">
        <f t="shared" si="75"/>
        <v>-40</v>
      </c>
      <c r="L40" s="9">
        <f t="shared" si="75"/>
        <v>-19</v>
      </c>
      <c r="M40" s="9">
        <f t="shared" ref="M40:N40" si="76">M36-M37-M38-M39</f>
        <v>42.81</v>
      </c>
      <c r="N40" s="9">
        <f t="shared" si="76"/>
        <v>145.61680000000001</v>
      </c>
      <c r="P40" s="9">
        <f t="shared" ref="P40:W40" si="77">P36-P37-P38-P39</f>
        <v>35.600000000000115</v>
      </c>
      <c r="Q40" s="9">
        <f t="shared" si="77"/>
        <v>-75.199999999999903</v>
      </c>
      <c r="R40" s="9">
        <f t="shared" si="77"/>
        <v>85</v>
      </c>
      <c r="S40" s="9">
        <f t="shared" si="77"/>
        <v>130</v>
      </c>
      <c r="T40" s="9">
        <f t="shared" si="77"/>
        <v>96</v>
      </c>
      <c r="U40" s="9">
        <f t="shared" si="77"/>
        <v>116</v>
      </c>
      <c r="V40" s="9">
        <f t="shared" si="77"/>
        <v>129.42679999999996</v>
      </c>
      <c r="W40" s="9">
        <f t="shared" si="77"/>
        <v>180.44984000000008</v>
      </c>
      <c r="X40" s="9">
        <f t="shared" ref="X40:AF40" si="78">X36-X37-X38-X39</f>
        <v>212.35728719999994</v>
      </c>
      <c r="Y40" s="9">
        <f t="shared" si="78"/>
        <v>237.12669523200003</v>
      </c>
      <c r="Z40" s="9">
        <f t="shared" si="78"/>
        <v>259.44211385760013</v>
      </c>
      <c r="AA40" s="9">
        <f t="shared" si="78"/>
        <v>284.77269047568006</v>
      </c>
      <c r="AB40" s="9">
        <f t="shared" si="78"/>
        <v>311.50119840836896</v>
      </c>
      <c r="AC40" s="9">
        <f t="shared" si="78"/>
        <v>339.69916720917604</v>
      </c>
      <c r="AD40" s="9">
        <f t="shared" si="78"/>
        <v>369.44173049664693</v>
      </c>
      <c r="AE40" s="9">
        <f t="shared" si="78"/>
        <v>400.80780680498401</v>
      </c>
      <c r="AF40" s="9">
        <f t="shared" si="78"/>
        <v>433.88028949549437</v>
      </c>
    </row>
    <row r="41" spans="2:140" x14ac:dyDescent="0.3">
      <c r="B41" s="1" t="s">
        <v>24</v>
      </c>
      <c r="C41" s="7">
        <f t="shared" ref="C41:C42" si="79">C18</f>
        <v>3</v>
      </c>
      <c r="D41" s="7">
        <f t="shared" ref="D41:E41" si="80">D18-C18</f>
        <v>0</v>
      </c>
      <c r="E41" s="7">
        <f t="shared" si="80"/>
        <v>13</v>
      </c>
      <c r="F41" s="7">
        <f t="shared" ref="F41:F42" si="81">T41-E18</f>
        <v>20</v>
      </c>
      <c r="G41" s="7">
        <f t="shared" ref="G41:G42" si="82">G18</f>
        <v>6</v>
      </c>
      <c r="H41" s="7">
        <f t="shared" ref="H41:I42" si="83">H18-G18</f>
        <v>12</v>
      </c>
      <c r="I41" s="7">
        <f t="shared" si="83"/>
        <v>22</v>
      </c>
      <c r="J41" s="7">
        <f t="shared" ref="J41:J42" si="84">U41-I18</f>
        <v>-28</v>
      </c>
      <c r="K41" s="7">
        <f t="shared" ref="K41:K42" si="85">K18</f>
        <v>-7</v>
      </c>
      <c r="L41" s="7">
        <f t="shared" ref="L41" si="86">L18-K18</f>
        <v>-5</v>
      </c>
      <c r="M41" s="7">
        <f>M40*0.2</f>
        <v>8.5620000000000012</v>
      </c>
      <c r="N41" s="7">
        <f>N40*0.2</f>
        <v>29.123360000000005</v>
      </c>
      <c r="P41" s="7">
        <v>27.4</v>
      </c>
      <c r="Q41" s="7">
        <v>-10.7</v>
      </c>
      <c r="R41" s="7">
        <v>22</v>
      </c>
      <c r="S41" s="7">
        <v>49</v>
      </c>
      <c r="T41" s="7">
        <v>36</v>
      </c>
      <c r="U41" s="7">
        <v>12</v>
      </c>
      <c r="V41" s="7">
        <f t="shared" ref="V41:V42" si="87">SUM(K41:N41)</f>
        <v>25.685360000000006</v>
      </c>
      <c r="W41" s="7">
        <f>W40*0.2</f>
        <v>36.08996800000002</v>
      </c>
      <c r="X41" s="7">
        <f t="shared" ref="X41:AF41" si="88">X40*0.2</f>
        <v>42.471457439999995</v>
      </c>
      <c r="Y41" s="7">
        <f t="shared" si="88"/>
        <v>47.425339046400012</v>
      </c>
      <c r="Z41" s="7">
        <f t="shared" si="88"/>
        <v>51.888422771520027</v>
      </c>
      <c r="AA41" s="7">
        <f t="shared" si="88"/>
        <v>56.954538095136016</v>
      </c>
      <c r="AB41" s="7">
        <f t="shared" si="88"/>
        <v>62.300239681673794</v>
      </c>
      <c r="AC41" s="7">
        <f t="shared" si="88"/>
        <v>67.939833441835205</v>
      </c>
      <c r="AD41" s="7">
        <f t="shared" si="88"/>
        <v>73.888346099329382</v>
      </c>
      <c r="AE41" s="7">
        <f t="shared" si="88"/>
        <v>80.161561360996814</v>
      </c>
      <c r="AF41" s="7">
        <f t="shared" si="88"/>
        <v>86.776057899098873</v>
      </c>
    </row>
    <row r="42" spans="2:140" x14ac:dyDescent="0.3">
      <c r="B42" s="1" t="s">
        <v>25</v>
      </c>
      <c r="C42" s="7">
        <f t="shared" si="79"/>
        <v>0</v>
      </c>
      <c r="D42" s="7">
        <f t="shared" ref="D42:E42" si="89">D19-C19</f>
        <v>1</v>
      </c>
      <c r="E42" s="7">
        <f t="shared" si="89"/>
        <v>-2</v>
      </c>
      <c r="F42" s="7">
        <f t="shared" si="81"/>
        <v>3</v>
      </c>
      <c r="G42" s="7">
        <f t="shared" si="82"/>
        <v>-1</v>
      </c>
      <c r="H42" s="7">
        <f t="shared" si="83"/>
        <v>2</v>
      </c>
      <c r="I42" s="7">
        <f t="shared" si="83"/>
        <v>-3</v>
      </c>
      <c r="J42" s="7">
        <f t="shared" si="84"/>
        <v>0</v>
      </c>
      <c r="K42" s="7">
        <f t="shared" si="85"/>
        <v>-1</v>
      </c>
      <c r="L42" s="7">
        <f t="shared" ref="L42" si="90">L19-K19</f>
        <v>-1</v>
      </c>
      <c r="M42" s="7">
        <v>0</v>
      </c>
      <c r="N42" s="7">
        <v>0</v>
      </c>
      <c r="P42" s="7">
        <v>2.2999999999999998</v>
      </c>
      <c r="Q42" s="7">
        <v>0.7</v>
      </c>
      <c r="R42" s="7">
        <v>0</v>
      </c>
      <c r="S42" s="7">
        <v>2</v>
      </c>
      <c r="T42" s="7">
        <v>2</v>
      </c>
      <c r="U42" s="7">
        <v>-2</v>
      </c>
      <c r="V42" s="7">
        <f t="shared" si="87"/>
        <v>-2</v>
      </c>
      <c r="W42" s="7">
        <v>0</v>
      </c>
      <c r="X42" s="7">
        <v>0</v>
      </c>
      <c r="Y42" s="7">
        <v>0</v>
      </c>
      <c r="Z42" s="7">
        <v>0</v>
      </c>
      <c r="AA42" s="7">
        <v>0</v>
      </c>
      <c r="AB42" s="7">
        <v>0</v>
      </c>
      <c r="AC42" s="7">
        <v>0</v>
      </c>
      <c r="AD42" s="7">
        <v>0</v>
      </c>
      <c r="AE42" s="7">
        <v>0</v>
      </c>
      <c r="AF42" s="7">
        <v>0</v>
      </c>
    </row>
    <row r="43" spans="2:140" s="2" customFormat="1" x14ac:dyDescent="0.3">
      <c r="B43" s="2" t="s">
        <v>26</v>
      </c>
      <c r="C43" s="9">
        <f t="shared" ref="C43" si="91">C40-C41-C42</f>
        <v>-22</v>
      </c>
      <c r="D43" s="9">
        <f t="shared" ref="D43" si="92">D40-D41-D42</f>
        <v>5</v>
      </c>
      <c r="E43" s="9">
        <f t="shared" ref="E43" si="93">E40-E41-E42</f>
        <v>16</v>
      </c>
      <c r="F43" s="9">
        <f t="shared" ref="F43" si="94">F40-F41-F42</f>
        <v>59</v>
      </c>
      <c r="G43" s="9">
        <f t="shared" ref="G43:J43" si="95">G40-G41-G42</f>
        <v>-14</v>
      </c>
      <c r="H43" s="9">
        <f t="shared" si="95"/>
        <v>-13</v>
      </c>
      <c r="I43" s="9">
        <f t="shared" si="95"/>
        <v>-19</v>
      </c>
      <c r="J43" s="9">
        <f t="shared" si="95"/>
        <v>152</v>
      </c>
      <c r="K43" s="9">
        <f t="shared" ref="K43" si="96">K40-K41-K42</f>
        <v>-32</v>
      </c>
      <c r="L43" s="9">
        <f t="shared" ref="L43:M43" si="97">L40-L41-L42</f>
        <v>-13</v>
      </c>
      <c r="M43" s="9">
        <f t="shared" si="97"/>
        <v>34.248000000000005</v>
      </c>
      <c r="N43" s="9">
        <f t="shared" ref="N43" si="98">N40-N41-N42</f>
        <v>116.49344000000001</v>
      </c>
      <c r="P43" s="9">
        <f t="shared" ref="P43:W43" si="99">P40-P41-P42</f>
        <v>5.9000000000001167</v>
      </c>
      <c r="Q43" s="9">
        <f t="shared" si="99"/>
        <v>-65.199999999999903</v>
      </c>
      <c r="R43" s="9">
        <f t="shared" si="99"/>
        <v>63</v>
      </c>
      <c r="S43" s="9">
        <f t="shared" si="99"/>
        <v>79</v>
      </c>
      <c r="T43" s="9">
        <f t="shared" si="99"/>
        <v>58</v>
      </c>
      <c r="U43" s="9">
        <f t="shared" si="99"/>
        <v>106</v>
      </c>
      <c r="V43" s="9">
        <f t="shared" si="99"/>
        <v>105.74143999999995</v>
      </c>
      <c r="W43" s="9">
        <f t="shared" si="99"/>
        <v>144.35987200000005</v>
      </c>
      <c r="X43" s="9">
        <f t="shared" ref="X43:AF43" si="100">X40-X41-X42</f>
        <v>169.88582975999995</v>
      </c>
      <c r="Y43" s="9">
        <f t="shared" si="100"/>
        <v>189.70135618560002</v>
      </c>
      <c r="Z43" s="9">
        <f t="shared" si="100"/>
        <v>207.55369108608011</v>
      </c>
      <c r="AA43" s="9">
        <f t="shared" si="100"/>
        <v>227.81815238054406</v>
      </c>
      <c r="AB43" s="9">
        <f t="shared" si="100"/>
        <v>249.20095872669518</v>
      </c>
      <c r="AC43" s="9">
        <f t="shared" si="100"/>
        <v>271.75933376734082</v>
      </c>
      <c r="AD43" s="9">
        <f t="shared" si="100"/>
        <v>295.55338439731753</v>
      </c>
      <c r="AE43" s="9">
        <f t="shared" si="100"/>
        <v>320.6462454439872</v>
      </c>
      <c r="AF43" s="9">
        <f t="shared" si="100"/>
        <v>347.10423159639549</v>
      </c>
      <c r="AG43" s="2">
        <f>AF43*(1+$AI$48)</f>
        <v>343.63318928043151</v>
      </c>
      <c r="AH43" s="2">
        <f t="shared" ref="AH43:CS43" si="101">AG43*(1+$AI$48)</f>
        <v>340.19685738762718</v>
      </c>
      <c r="AI43" s="2">
        <f t="shared" si="101"/>
        <v>336.7948888137509</v>
      </c>
      <c r="AJ43" s="2">
        <f t="shared" si="101"/>
        <v>333.4269399256134</v>
      </c>
      <c r="AK43" s="2">
        <f t="shared" si="101"/>
        <v>330.09267052635727</v>
      </c>
      <c r="AL43" s="2">
        <f t="shared" si="101"/>
        <v>326.79174382109369</v>
      </c>
      <c r="AM43" s="2">
        <f t="shared" si="101"/>
        <v>323.52382638288276</v>
      </c>
      <c r="AN43" s="2">
        <f t="shared" si="101"/>
        <v>320.28858811905394</v>
      </c>
      <c r="AO43" s="2">
        <f t="shared" si="101"/>
        <v>317.08570223786342</v>
      </c>
      <c r="AP43" s="2">
        <f t="shared" si="101"/>
        <v>313.91484521548477</v>
      </c>
      <c r="AQ43" s="2">
        <f t="shared" si="101"/>
        <v>310.7756967633299</v>
      </c>
      <c r="AR43" s="2">
        <f t="shared" si="101"/>
        <v>307.66793979569661</v>
      </c>
      <c r="AS43" s="2">
        <f t="shared" si="101"/>
        <v>304.59126039773963</v>
      </c>
      <c r="AT43" s="2">
        <f t="shared" si="101"/>
        <v>301.54534779376223</v>
      </c>
      <c r="AU43" s="2">
        <f t="shared" si="101"/>
        <v>298.52989431582461</v>
      </c>
      <c r="AV43" s="2">
        <f t="shared" si="101"/>
        <v>295.54459537266638</v>
      </c>
      <c r="AW43" s="2">
        <f t="shared" si="101"/>
        <v>292.58914941893971</v>
      </c>
      <c r="AX43" s="2">
        <f t="shared" si="101"/>
        <v>289.66325792475033</v>
      </c>
      <c r="AY43" s="2">
        <f t="shared" si="101"/>
        <v>286.7666253455028</v>
      </c>
      <c r="AZ43" s="2">
        <f t="shared" si="101"/>
        <v>283.89895909204779</v>
      </c>
      <c r="BA43" s="2">
        <f t="shared" si="101"/>
        <v>281.05996950112728</v>
      </c>
      <c r="BB43" s="2">
        <f t="shared" si="101"/>
        <v>278.24936980611602</v>
      </c>
      <c r="BC43" s="2">
        <f t="shared" si="101"/>
        <v>275.46687610805486</v>
      </c>
      <c r="BD43" s="2">
        <f t="shared" si="101"/>
        <v>272.71220734697431</v>
      </c>
      <c r="BE43" s="2">
        <f t="shared" si="101"/>
        <v>269.98508527350458</v>
      </c>
      <c r="BF43" s="2">
        <f t="shared" si="101"/>
        <v>267.28523442076954</v>
      </c>
      <c r="BG43" s="2">
        <f t="shared" si="101"/>
        <v>264.61238207656186</v>
      </c>
      <c r="BH43" s="2">
        <f t="shared" si="101"/>
        <v>261.96625825579622</v>
      </c>
      <c r="BI43" s="2">
        <f t="shared" si="101"/>
        <v>259.34659567323826</v>
      </c>
      <c r="BJ43" s="2">
        <f t="shared" si="101"/>
        <v>256.7531297165059</v>
      </c>
      <c r="BK43" s="2">
        <f t="shared" si="101"/>
        <v>254.18559841934083</v>
      </c>
      <c r="BL43" s="2">
        <f t="shared" si="101"/>
        <v>251.64374243514743</v>
      </c>
      <c r="BM43" s="2">
        <f t="shared" si="101"/>
        <v>249.12730501079596</v>
      </c>
      <c r="BN43" s="2">
        <f t="shared" si="101"/>
        <v>246.636031960688</v>
      </c>
      <c r="BO43" s="2">
        <f t="shared" si="101"/>
        <v>244.16967164108112</v>
      </c>
      <c r="BP43" s="2">
        <f t="shared" si="101"/>
        <v>241.72797492467032</v>
      </c>
      <c r="BQ43" s="2">
        <f t="shared" si="101"/>
        <v>239.3106951754236</v>
      </c>
      <c r="BR43" s="2">
        <f t="shared" si="101"/>
        <v>236.91758822366936</v>
      </c>
      <c r="BS43" s="2">
        <f t="shared" si="101"/>
        <v>234.54841234143265</v>
      </c>
      <c r="BT43" s="2">
        <f t="shared" si="101"/>
        <v>232.20292821801831</v>
      </c>
      <c r="BU43" s="2">
        <f t="shared" si="101"/>
        <v>229.88089893583813</v>
      </c>
      <c r="BV43" s="2">
        <f t="shared" si="101"/>
        <v>227.58208994647975</v>
      </c>
      <c r="BW43" s="2">
        <f t="shared" si="101"/>
        <v>225.30626904701495</v>
      </c>
      <c r="BX43" s="2">
        <f t="shared" si="101"/>
        <v>223.05320635654479</v>
      </c>
      <c r="BY43" s="2">
        <f t="shared" si="101"/>
        <v>220.82267429297934</v>
      </c>
      <c r="BZ43" s="2">
        <f t="shared" si="101"/>
        <v>218.61444755004956</v>
      </c>
      <c r="CA43" s="2">
        <f t="shared" si="101"/>
        <v>216.42830307454906</v>
      </c>
      <c r="CB43" s="2">
        <f t="shared" si="101"/>
        <v>214.26402004380358</v>
      </c>
      <c r="CC43" s="2">
        <f t="shared" si="101"/>
        <v>212.12137984336556</v>
      </c>
      <c r="CD43" s="2">
        <f t="shared" si="101"/>
        <v>210.00016604493192</v>
      </c>
      <c r="CE43" s="2">
        <f t="shared" si="101"/>
        <v>207.90016438448259</v>
      </c>
      <c r="CF43" s="2">
        <f t="shared" si="101"/>
        <v>205.82116274063776</v>
      </c>
      <c r="CG43" s="2">
        <f t="shared" si="101"/>
        <v>203.76295111323137</v>
      </c>
      <c r="CH43" s="2">
        <f t="shared" si="101"/>
        <v>201.72532160209906</v>
      </c>
      <c r="CI43" s="2">
        <f t="shared" si="101"/>
        <v>199.70806838607805</v>
      </c>
      <c r="CJ43" s="2">
        <f t="shared" si="101"/>
        <v>197.71098770221727</v>
      </c>
      <c r="CK43" s="2">
        <f t="shared" si="101"/>
        <v>195.73387782519509</v>
      </c>
      <c r="CL43" s="2">
        <f t="shared" si="101"/>
        <v>193.77653904694313</v>
      </c>
      <c r="CM43" s="2">
        <f t="shared" si="101"/>
        <v>191.83877365647371</v>
      </c>
      <c r="CN43" s="2">
        <f t="shared" si="101"/>
        <v>189.92038591990897</v>
      </c>
      <c r="CO43" s="2">
        <f t="shared" si="101"/>
        <v>188.02118206070986</v>
      </c>
      <c r="CP43" s="2">
        <f t="shared" si="101"/>
        <v>186.14097024010277</v>
      </c>
      <c r="CQ43" s="2">
        <f t="shared" si="101"/>
        <v>184.27956053770174</v>
      </c>
      <c r="CR43" s="2">
        <f t="shared" si="101"/>
        <v>182.43676493232473</v>
      </c>
      <c r="CS43" s="2">
        <f t="shared" si="101"/>
        <v>180.61239728300148</v>
      </c>
      <c r="CT43" s="2">
        <f t="shared" ref="CT43:EJ43" si="102">CS43*(1+$AI$48)</f>
        <v>178.80627331017146</v>
      </c>
      <c r="CU43" s="2">
        <f t="shared" si="102"/>
        <v>177.01821057706974</v>
      </c>
      <c r="CV43" s="2">
        <f t="shared" si="102"/>
        <v>175.24802847129905</v>
      </c>
      <c r="CW43" s="2">
        <f t="shared" si="102"/>
        <v>173.49554818658606</v>
      </c>
      <c r="CX43" s="2">
        <f t="shared" si="102"/>
        <v>171.76059270472021</v>
      </c>
      <c r="CY43" s="2">
        <f t="shared" si="102"/>
        <v>170.04298677767301</v>
      </c>
      <c r="CZ43" s="2">
        <f t="shared" si="102"/>
        <v>168.34255690989627</v>
      </c>
      <c r="DA43" s="2">
        <f t="shared" si="102"/>
        <v>166.6591313407973</v>
      </c>
      <c r="DB43" s="2">
        <f t="shared" si="102"/>
        <v>164.99254002738934</v>
      </c>
      <c r="DC43" s="2">
        <f t="shared" si="102"/>
        <v>163.34261462711544</v>
      </c>
      <c r="DD43" s="2">
        <f t="shared" si="102"/>
        <v>161.70918848084429</v>
      </c>
      <c r="DE43" s="2">
        <f t="shared" si="102"/>
        <v>160.09209659603584</v>
      </c>
      <c r="DF43" s="2">
        <f t="shared" si="102"/>
        <v>158.49117563007547</v>
      </c>
      <c r="DG43" s="2">
        <f t="shared" si="102"/>
        <v>156.90626387377472</v>
      </c>
      <c r="DH43" s="2">
        <f t="shared" si="102"/>
        <v>155.33720123503696</v>
      </c>
      <c r="DI43" s="2">
        <f t="shared" si="102"/>
        <v>153.78382922268659</v>
      </c>
      <c r="DJ43" s="2">
        <f t="shared" si="102"/>
        <v>152.24599093045973</v>
      </c>
      <c r="DK43" s="2">
        <f t="shared" si="102"/>
        <v>150.72353102115514</v>
      </c>
      <c r="DL43" s="2">
        <f t="shared" si="102"/>
        <v>149.2162957109436</v>
      </c>
      <c r="DM43" s="2">
        <f t="shared" si="102"/>
        <v>147.72413275383417</v>
      </c>
      <c r="DN43" s="2">
        <f t="shared" si="102"/>
        <v>146.24689142629583</v>
      </c>
      <c r="DO43" s="2">
        <f t="shared" si="102"/>
        <v>144.78442251203288</v>
      </c>
      <c r="DP43" s="2">
        <f t="shared" si="102"/>
        <v>143.33657828691256</v>
      </c>
      <c r="DQ43" s="2">
        <f t="shared" si="102"/>
        <v>141.90321250404344</v>
      </c>
      <c r="DR43" s="2">
        <f t="shared" si="102"/>
        <v>140.48418037900299</v>
      </c>
      <c r="DS43" s="2">
        <f t="shared" si="102"/>
        <v>139.07933857521297</v>
      </c>
      <c r="DT43" s="2">
        <f t="shared" si="102"/>
        <v>137.68854518946085</v>
      </c>
      <c r="DU43" s="2">
        <f t="shared" si="102"/>
        <v>136.31165973756623</v>
      </c>
      <c r="DV43" s="2">
        <f t="shared" si="102"/>
        <v>134.94854314019057</v>
      </c>
      <c r="DW43" s="2">
        <f t="shared" si="102"/>
        <v>133.59905770878865</v>
      </c>
      <c r="DX43" s="2">
        <f t="shared" si="102"/>
        <v>132.26306713170075</v>
      </c>
      <c r="DY43" s="2">
        <f t="shared" si="102"/>
        <v>130.94043646038375</v>
      </c>
      <c r="DZ43" s="2">
        <f t="shared" si="102"/>
        <v>129.63103209577991</v>
      </c>
      <c r="EA43" s="2">
        <f t="shared" si="102"/>
        <v>128.33472177482213</v>
      </c>
      <c r="EB43" s="2">
        <f t="shared" si="102"/>
        <v>127.0513745570739</v>
      </c>
      <c r="EC43" s="2">
        <f t="shared" si="102"/>
        <v>125.78086081150316</v>
      </c>
      <c r="ED43" s="2">
        <f t="shared" si="102"/>
        <v>124.52305220338813</v>
      </c>
      <c r="EE43" s="2">
        <f t="shared" si="102"/>
        <v>123.27782168135425</v>
      </c>
      <c r="EF43" s="2">
        <f t="shared" si="102"/>
        <v>122.04504346454071</v>
      </c>
      <c r="EG43" s="2">
        <f t="shared" si="102"/>
        <v>120.8245930298953</v>
      </c>
      <c r="EH43" s="2">
        <f t="shared" si="102"/>
        <v>119.61634709959634</v>
      </c>
      <c r="EI43" s="2">
        <f t="shared" si="102"/>
        <v>118.42018362860037</v>
      </c>
      <c r="EJ43" s="2">
        <f t="shared" si="102"/>
        <v>117.23598179231436</v>
      </c>
    </row>
    <row r="44" spans="2:140" x14ac:dyDescent="0.3">
      <c r="B44" s="1" t="s">
        <v>2</v>
      </c>
      <c r="C44" s="7">
        <v>116</v>
      </c>
      <c r="D44" s="7">
        <v>116</v>
      </c>
      <c r="E44" s="7">
        <v>116</v>
      </c>
      <c r="F44" s="7">
        <v>116</v>
      </c>
      <c r="G44" s="7">
        <v>116</v>
      </c>
      <c r="H44" s="7">
        <v>116</v>
      </c>
      <c r="I44" s="7">
        <v>116</v>
      </c>
      <c r="J44" s="7">
        <v>116</v>
      </c>
      <c r="K44" s="7">
        <v>116</v>
      </c>
      <c r="L44" s="7">
        <v>116</v>
      </c>
      <c r="M44" s="7">
        <v>116</v>
      </c>
      <c r="N44" s="7">
        <v>116</v>
      </c>
      <c r="P44" s="7">
        <v>116</v>
      </c>
      <c r="Q44" s="7">
        <v>116</v>
      </c>
      <c r="R44" s="7">
        <v>116</v>
      </c>
      <c r="S44" s="7">
        <v>116</v>
      </c>
      <c r="T44" s="7">
        <v>116</v>
      </c>
      <c r="U44" s="7">
        <v>116</v>
      </c>
      <c r="V44" s="7">
        <v>116</v>
      </c>
      <c r="W44" s="7">
        <v>116</v>
      </c>
      <c r="X44" s="7">
        <v>116</v>
      </c>
      <c r="Y44" s="7">
        <v>116</v>
      </c>
      <c r="Z44" s="7">
        <v>116</v>
      </c>
      <c r="AA44" s="7">
        <v>116</v>
      </c>
      <c r="AB44" s="7">
        <v>116</v>
      </c>
      <c r="AC44" s="7">
        <v>116</v>
      </c>
      <c r="AD44" s="7">
        <v>116</v>
      </c>
      <c r="AE44" s="7">
        <v>116</v>
      </c>
      <c r="AF44" s="7">
        <v>116</v>
      </c>
    </row>
    <row r="45" spans="2:140" x14ac:dyDescent="0.3">
      <c r="B45" s="1" t="s">
        <v>27</v>
      </c>
      <c r="C45" s="8">
        <f t="shared" ref="C45" si="103">C43/C44</f>
        <v>-0.18965517241379309</v>
      </c>
      <c r="D45" s="8">
        <f t="shared" ref="D45" si="104">D43/D44</f>
        <v>4.3103448275862072E-2</v>
      </c>
      <c r="E45" s="8">
        <f t="shared" ref="E45" si="105">E43/E44</f>
        <v>0.13793103448275862</v>
      </c>
      <c r="F45" s="8">
        <f t="shared" ref="F45" si="106">F43/F44</f>
        <v>0.50862068965517238</v>
      </c>
      <c r="G45" s="8">
        <f t="shared" ref="G45:J45" si="107">G43/G44</f>
        <v>-0.1206896551724138</v>
      </c>
      <c r="H45" s="8">
        <f t="shared" si="107"/>
        <v>-0.11206896551724138</v>
      </c>
      <c r="I45" s="8">
        <f t="shared" si="107"/>
        <v>-0.16379310344827586</v>
      </c>
      <c r="J45" s="8">
        <f t="shared" si="107"/>
        <v>1.3103448275862069</v>
      </c>
      <c r="K45" s="8">
        <f t="shared" ref="K45" si="108">K43/K44</f>
        <v>-0.27586206896551724</v>
      </c>
      <c r="L45" s="8">
        <f t="shared" ref="L45:M45" si="109">L43/L44</f>
        <v>-0.11206896551724138</v>
      </c>
      <c r="M45" s="8">
        <f t="shared" si="109"/>
        <v>0.29524137931034489</v>
      </c>
      <c r="N45" s="8">
        <f t="shared" ref="N45" si="110">N43/N44</f>
        <v>1.0042537931034483</v>
      </c>
      <c r="P45" s="8">
        <f t="shared" ref="P45:W45" si="111">P43/P44</f>
        <v>5.0862068965518245E-2</v>
      </c>
      <c r="Q45" s="8">
        <f t="shared" si="111"/>
        <v>-0.5620689655172405</v>
      </c>
      <c r="R45" s="8">
        <f t="shared" si="111"/>
        <v>0.5431034482758621</v>
      </c>
      <c r="S45" s="8">
        <f t="shared" si="111"/>
        <v>0.68103448275862066</v>
      </c>
      <c r="T45" s="8">
        <f t="shared" si="111"/>
        <v>0.5</v>
      </c>
      <c r="U45" s="8">
        <f t="shared" si="111"/>
        <v>0.91379310344827591</v>
      </c>
      <c r="V45" s="8">
        <f t="shared" si="111"/>
        <v>0.91156413793103408</v>
      </c>
      <c r="W45" s="8">
        <f t="shared" si="111"/>
        <v>1.2444816551724143</v>
      </c>
      <c r="X45" s="8">
        <f t="shared" ref="X45:AF45" si="112">X43/X44</f>
        <v>1.4645330151724134</v>
      </c>
      <c r="Y45" s="8">
        <f t="shared" si="112"/>
        <v>1.6353565188413794</v>
      </c>
      <c r="Z45" s="8">
        <f t="shared" si="112"/>
        <v>1.7892559576386216</v>
      </c>
      <c r="AA45" s="8">
        <f t="shared" si="112"/>
        <v>1.9639495894874488</v>
      </c>
      <c r="AB45" s="8">
        <f t="shared" si="112"/>
        <v>2.1482841269542687</v>
      </c>
      <c r="AC45" s="8">
        <f t="shared" si="112"/>
        <v>2.3427528773046622</v>
      </c>
      <c r="AD45" s="8">
        <f t="shared" si="112"/>
        <v>2.547874003425151</v>
      </c>
      <c r="AE45" s="8">
        <f t="shared" si="112"/>
        <v>2.7641917710688553</v>
      </c>
      <c r="AF45" s="8">
        <f t="shared" si="112"/>
        <v>2.9922778585896164</v>
      </c>
    </row>
    <row r="47" spans="2:140" x14ac:dyDescent="0.3">
      <c r="B47" s="1" t="s">
        <v>42</v>
      </c>
      <c r="C47" s="10"/>
      <c r="D47" s="10"/>
      <c r="E47" s="10"/>
      <c r="F47" s="10"/>
      <c r="G47" s="10">
        <f t="shared" ref="G47:K47" si="113">G26/C26-1</f>
        <v>-2.6627218934911268E-2</v>
      </c>
      <c r="H47" s="10">
        <f t="shared" si="113"/>
        <v>0.34020618556701021</v>
      </c>
      <c r="I47" s="10">
        <f t="shared" si="113"/>
        <v>0.28780487804878052</v>
      </c>
      <c r="J47" s="10">
        <f t="shared" si="113"/>
        <v>0.21378340365682136</v>
      </c>
      <c r="K47" s="10">
        <f t="shared" si="113"/>
        <v>0.20060790273556228</v>
      </c>
      <c r="L47" s="10">
        <f>L26/H26-1</f>
        <v>5.5769230769230793E-2</v>
      </c>
      <c r="M47" s="10">
        <f t="shared" ref="M47:N47" si="114">M26/I26-1</f>
        <v>0.25</v>
      </c>
      <c r="N47" s="10">
        <f t="shared" si="114"/>
        <v>0.1399999999999999</v>
      </c>
      <c r="P47" s="10"/>
      <c r="Q47" s="10">
        <f t="shared" ref="Q47:T47" si="115">Q26/P26-1</f>
        <v>8.3198707592891719E-2</v>
      </c>
      <c r="R47" s="10">
        <f t="shared" si="115"/>
        <v>0.22131079625486771</v>
      </c>
      <c r="S47" s="10">
        <f t="shared" si="115"/>
        <v>0.15807327001356852</v>
      </c>
      <c r="T47" s="10">
        <f t="shared" si="115"/>
        <v>8.2015231400117239E-2</v>
      </c>
      <c r="U47" s="10">
        <f>U26/T26-1</f>
        <v>0.21277747698971305</v>
      </c>
      <c r="V47" s="10">
        <f t="shared" ref="V47:AF47" si="116">V26/U26-1</f>
        <v>0.1552767857142856</v>
      </c>
      <c r="W47" s="10">
        <f t="shared" si="116"/>
        <v>0.10000000000000009</v>
      </c>
      <c r="X47" s="10">
        <f t="shared" si="116"/>
        <v>8.0000000000000071E-2</v>
      </c>
      <c r="Y47" s="10">
        <f t="shared" si="116"/>
        <v>6.0000000000000053E-2</v>
      </c>
      <c r="Z47" s="10">
        <f t="shared" si="116"/>
        <v>5.0000000000000044E-2</v>
      </c>
      <c r="AA47" s="10">
        <f t="shared" si="116"/>
        <v>5.0000000000000044E-2</v>
      </c>
      <c r="AB47" s="10">
        <f t="shared" si="116"/>
        <v>5.0000000000000044E-2</v>
      </c>
      <c r="AC47" s="10">
        <f t="shared" si="116"/>
        <v>5.0000000000000044E-2</v>
      </c>
      <c r="AD47" s="10">
        <f t="shared" si="116"/>
        <v>5.0000000000000044E-2</v>
      </c>
      <c r="AE47" s="10">
        <f t="shared" si="116"/>
        <v>5.0000000000000044E-2</v>
      </c>
      <c r="AF47" s="10">
        <f t="shared" si="116"/>
        <v>5.0000000000000044E-2</v>
      </c>
    </row>
    <row r="48" spans="2:140" x14ac:dyDescent="0.3">
      <c r="B48" s="1" t="s">
        <v>43</v>
      </c>
      <c r="C48" s="10">
        <f t="shared" ref="C48:K48" si="117">C28/C26</f>
        <v>0.17751479289940827</v>
      </c>
      <c r="D48" s="10">
        <f t="shared" si="117"/>
        <v>0.16494845360824742</v>
      </c>
      <c r="E48" s="10">
        <f t="shared" si="117"/>
        <v>0.24146341463414633</v>
      </c>
      <c r="F48" s="10">
        <f t="shared" si="117"/>
        <v>0.27707454289732769</v>
      </c>
      <c r="G48" s="10">
        <f t="shared" si="117"/>
        <v>0.18237082066869301</v>
      </c>
      <c r="H48" s="10">
        <f t="shared" si="117"/>
        <v>0.19423076923076923</v>
      </c>
      <c r="I48" s="10">
        <f t="shared" si="117"/>
        <v>0.21022727272727273</v>
      </c>
      <c r="J48" s="10">
        <f t="shared" si="117"/>
        <v>0.27346465816917731</v>
      </c>
      <c r="K48" s="10">
        <f t="shared" si="117"/>
        <v>0.14177215189873418</v>
      </c>
      <c r="L48" s="10">
        <f>L28/L26</f>
        <v>0.1785063752276867</v>
      </c>
      <c r="M48" s="10">
        <f t="shared" ref="M48:N48" si="118">M28/M26</f>
        <v>0.24000000000000002</v>
      </c>
      <c r="N48" s="10">
        <f t="shared" si="118"/>
        <v>0.28000000000000003</v>
      </c>
      <c r="P48" s="10">
        <f t="shared" ref="P48:T48" si="119">P28/P26</f>
        <v>0.2287740082570455</v>
      </c>
      <c r="Q48" s="10">
        <f t="shared" si="119"/>
        <v>0.22437650178142352</v>
      </c>
      <c r="R48" s="10">
        <f t="shared" si="119"/>
        <v>0.22388059701492538</v>
      </c>
      <c r="S48" s="10">
        <f t="shared" si="119"/>
        <v>0.23022847100175747</v>
      </c>
      <c r="T48" s="10">
        <f t="shared" si="119"/>
        <v>0.2273957769355712</v>
      </c>
      <c r="U48" s="10">
        <f t="shared" ref="U48:AF48" si="120">U28/U26</f>
        <v>0.22678571428571428</v>
      </c>
      <c r="V48" s="10">
        <f t="shared" si="120"/>
        <v>0.22716788648360398</v>
      </c>
      <c r="W48" s="10">
        <f t="shared" si="120"/>
        <v>0.23000000000000004</v>
      </c>
      <c r="X48" s="10">
        <f t="shared" si="120"/>
        <v>0.23</v>
      </c>
      <c r="Y48" s="10">
        <f t="shared" si="120"/>
        <v>0.23</v>
      </c>
      <c r="Z48" s="10">
        <f t="shared" si="120"/>
        <v>0.23</v>
      </c>
      <c r="AA48" s="10">
        <f t="shared" si="120"/>
        <v>0.23</v>
      </c>
      <c r="AB48" s="10">
        <f t="shared" si="120"/>
        <v>0.23</v>
      </c>
      <c r="AC48" s="10">
        <f t="shared" si="120"/>
        <v>0.23</v>
      </c>
      <c r="AD48" s="10">
        <f t="shared" si="120"/>
        <v>0.23</v>
      </c>
      <c r="AE48" s="10">
        <f t="shared" si="120"/>
        <v>0.23</v>
      </c>
      <c r="AF48" s="10">
        <f t="shared" si="120"/>
        <v>0.22999999999999998</v>
      </c>
      <c r="AH48" s="1" t="s">
        <v>49</v>
      </c>
      <c r="AI48" s="10">
        <v>-0.01</v>
      </c>
    </row>
    <row r="49" spans="2:35" x14ac:dyDescent="0.3">
      <c r="B49" s="1" t="s">
        <v>44</v>
      </c>
      <c r="C49" s="10">
        <f t="shared" ref="C49:K49" si="121">C29/C26</f>
        <v>7.9881656804733733E-2</v>
      </c>
      <c r="D49" s="10">
        <f t="shared" si="121"/>
        <v>7.2164948453608241E-2</v>
      </c>
      <c r="E49" s="10">
        <f t="shared" si="121"/>
        <v>6.8292682926829273E-2</v>
      </c>
      <c r="F49" s="10">
        <f t="shared" si="121"/>
        <v>3.9381153305203941E-2</v>
      </c>
      <c r="G49" s="10">
        <f t="shared" si="121"/>
        <v>8.2066869300911852E-2</v>
      </c>
      <c r="H49" s="10">
        <f t="shared" si="121"/>
        <v>6.7307692307692304E-2</v>
      </c>
      <c r="I49" s="10">
        <f t="shared" si="121"/>
        <v>6.25E-2</v>
      </c>
      <c r="J49" s="10">
        <f t="shared" si="121"/>
        <v>3.8238702201622246E-2</v>
      </c>
      <c r="K49" s="10">
        <f t="shared" si="121"/>
        <v>8.1012658227848103E-2</v>
      </c>
      <c r="L49" s="10">
        <f>L29/L26</f>
        <v>6.3752276867030971E-2</v>
      </c>
      <c r="M49" s="10">
        <f t="shared" ref="M49:N49" si="122">M29/M26</f>
        <v>6.0000000000000005E-2</v>
      </c>
      <c r="N49" s="10">
        <f t="shared" si="122"/>
        <v>0.04</v>
      </c>
      <c r="P49" s="10">
        <f t="shared" ref="P49:T49" si="123">P29/P26</f>
        <v>7.6108418596302269E-2</v>
      </c>
      <c r="Q49" s="10">
        <f t="shared" si="123"/>
        <v>7.4736929323059073E-2</v>
      </c>
      <c r="R49" s="10">
        <f t="shared" si="123"/>
        <v>6.7164179104477612E-2</v>
      </c>
      <c r="S49" s="10">
        <f t="shared" si="123"/>
        <v>6.2683069712946696E-2</v>
      </c>
      <c r="T49" s="10">
        <f t="shared" si="123"/>
        <v>6.0097455332972387E-2</v>
      </c>
      <c r="U49" s="10">
        <f t="shared" ref="U49:AF49" si="124">U29/U26</f>
        <v>5.7142857142857141E-2</v>
      </c>
      <c r="V49" s="10">
        <f t="shared" si="124"/>
        <v>5.6399904166441257E-2</v>
      </c>
      <c r="W49" s="10">
        <f t="shared" si="124"/>
        <v>5.9999999999999991E-2</v>
      </c>
      <c r="X49" s="10">
        <f t="shared" si="124"/>
        <v>0.06</v>
      </c>
      <c r="Y49" s="10">
        <f t="shared" si="124"/>
        <v>0.06</v>
      </c>
      <c r="Z49" s="10">
        <f t="shared" si="124"/>
        <v>0.06</v>
      </c>
      <c r="AA49" s="10">
        <f t="shared" si="124"/>
        <v>0.06</v>
      </c>
      <c r="AB49" s="10">
        <f t="shared" si="124"/>
        <v>0.06</v>
      </c>
      <c r="AC49" s="10">
        <f t="shared" si="124"/>
        <v>0.06</v>
      </c>
      <c r="AD49" s="10">
        <f t="shared" si="124"/>
        <v>0.06</v>
      </c>
      <c r="AE49" s="10">
        <f t="shared" si="124"/>
        <v>5.9999999999999991E-2</v>
      </c>
      <c r="AF49" s="10">
        <f t="shared" si="124"/>
        <v>0.06</v>
      </c>
      <c r="AH49" s="1" t="s">
        <v>50</v>
      </c>
      <c r="AI49" s="10">
        <v>0.09</v>
      </c>
    </row>
    <row r="50" spans="2:35" x14ac:dyDescent="0.3">
      <c r="B50" s="1" t="s">
        <v>45</v>
      </c>
      <c r="C50" s="10"/>
      <c r="D50" s="10"/>
      <c r="E50" s="10"/>
      <c r="F50" s="10"/>
      <c r="G50" s="10">
        <f t="shared" ref="G50:K50" si="125">G30/C30-1</f>
        <v>0.34782608695652173</v>
      </c>
      <c r="H50" s="10">
        <f t="shared" si="125"/>
        <v>0.72</v>
      </c>
      <c r="I50" s="10">
        <f t="shared" si="125"/>
        <v>0.35714285714285721</v>
      </c>
      <c r="J50" s="10">
        <f t="shared" si="125"/>
        <v>0.19047619047619047</v>
      </c>
      <c r="K50" s="10">
        <f t="shared" si="125"/>
        <v>3.2258064516129004E-2</v>
      </c>
      <c r="L50" s="10">
        <f>L30/H30-1</f>
        <v>-0.16279069767441856</v>
      </c>
      <c r="M50" s="10">
        <f t="shared" ref="M50:N51" si="126">M30/I30-1</f>
        <v>5.0000000000000044E-2</v>
      </c>
      <c r="N50" s="10">
        <f t="shared" si="126"/>
        <v>5.0000000000000044E-2</v>
      </c>
      <c r="P50" s="10"/>
      <c r="Q50" s="10">
        <f t="shared" ref="Q50:U51" si="127">Q30/P30-1</f>
        <v>0.14285714285714302</v>
      </c>
      <c r="R50" s="10">
        <f t="shared" si="127"/>
        <v>-4.8165137614678888E-2</v>
      </c>
      <c r="S50" s="10">
        <f t="shared" si="127"/>
        <v>0.10843373493975905</v>
      </c>
      <c r="T50" s="10">
        <f t="shared" si="127"/>
        <v>0.28260869565217384</v>
      </c>
      <c r="U50" s="10">
        <f>U30/T30-1</f>
        <v>0.37288135593220328</v>
      </c>
      <c r="V50" s="10">
        <f t="shared" ref="V50:AF50" si="128">V30/U30-1</f>
        <v>-9.8765432098765205E-3</v>
      </c>
      <c r="W50" s="10">
        <f t="shared" si="128"/>
        <v>2.0000000000000018E-2</v>
      </c>
      <c r="X50" s="10">
        <f t="shared" si="128"/>
        <v>2.0000000000000018E-2</v>
      </c>
      <c r="Y50" s="10">
        <f t="shared" si="128"/>
        <v>2.0000000000000018E-2</v>
      </c>
      <c r="Z50" s="10">
        <f t="shared" si="128"/>
        <v>2.0000000000000018E-2</v>
      </c>
      <c r="AA50" s="10">
        <f t="shared" si="128"/>
        <v>1.0000000000000009E-2</v>
      </c>
      <c r="AB50" s="10">
        <f t="shared" si="128"/>
        <v>1.0000000000000009E-2</v>
      </c>
      <c r="AC50" s="10">
        <f t="shared" si="128"/>
        <v>1.0000000000000009E-2</v>
      </c>
      <c r="AD50" s="10">
        <f t="shared" si="128"/>
        <v>1.0000000000000009E-2</v>
      </c>
      <c r="AE50" s="10">
        <f t="shared" si="128"/>
        <v>1.0000000000000009E-2</v>
      </c>
      <c r="AF50" s="10">
        <f t="shared" si="128"/>
        <v>1.0000000000000009E-2</v>
      </c>
      <c r="AH50" s="1" t="s">
        <v>51</v>
      </c>
      <c r="AI50" s="7">
        <f>NPV(AI49,V43:EJ43)</f>
        <v>2765.2224356878255</v>
      </c>
    </row>
    <row r="51" spans="2:35" x14ac:dyDescent="0.3">
      <c r="B51" s="1" t="s">
        <v>48</v>
      </c>
      <c r="C51" s="10"/>
      <c r="D51" s="10"/>
      <c r="E51" s="10"/>
      <c r="F51" s="10"/>
      <c r="G51" s="10">
        <f t="shared" ref="G51" si="129">G31/C31-1</f>
        <v>0</v>
      </c>
      <c r="H51" s="10">
        <f t="shared" ref="H51" si="130">H31/D31-1</f>
        <v>0.8</v>
      </c>
      <c r="I51" s="10">
        <f t="shared" ref="I51" si="131">I31/E31-1</f>
        <v>0.28571428571428581</v>
      </c>
      <c r="J51" s="10">
        <f t="shared" ref="J51" si="132">J31/F31-1</f>
        <v>-0.4</v>
      </c>
      <c r="K51" s="10">
        <f t="shared" ref="K51" si="133">K31/G31-1</f>
        <v>0</v>
      </c>
      <c r="L51" s="10">
        <f t="shared" ref="L51" si="134">L31/H31-1</f>
        <v>0</v>
      </c>
      <c r="M51" s="10">
        <f t="shared" si="126"/>
        <v>1.0000000000000009E-2</v>
      </c>
      <c r="N51" s="10">
        <f t="shared" si="126"/>
        <v>0.5</v>
      </c>
      <c r="P51" s="10"/>
      <c r="Q51" s="10">
        <f t="shared" si="127"/>
        <v>-0.19032258064516128</v>
      </c>
      <c r="R51" s="10">
        <f t="shared" si="127"/>
        <v>0.23505976095617531</v>
      </c>
      <c r="S51" s="10">
        <f t="shared" si="127"/>
        <v>0.16129032258064524</v>
      </c>
      <c r="T51" s="10">
        <f t="shared" si="127"/>
        <v>-0.16666666666666663</v>
      </c>
      <c r="U51" s="10">
        <f t="shared" si="127"/>
        <v>6.6666666666666652E-2</v>
      </c>
      <c r="V51" s="10">
        <f t="shared" ref="V51:AF51" si="135">V31/U31-1</f>
        <v>9.6562500000000107E-2</v>
      </c>
      <c r="W51" s="10">
        <f t="shared" si="135"/>
        <v>5.0000000000000044E-2</v>
      </c>
      <c r="X51" s="10">
        <f t="shared" si="135"/>
        <v>4.0000000000000036E-2</v>
      </c>
      <c r="Y51" s="10">
        <f t="shared" si="135"/>
        <v>3.0000000000000027E-2</v>
      </c>
      <c r="Z51" s="10">
        <f t="shared" si="135"/>
        <v>3.0000000000000027E-2</v>
      </c>
      <c r="AA51" s="10">
        <f t="shared" si="135"/>
        <v>3.0000000000000027E-2</v>
      </c>
      <c r="AB51" s="10">
        <f t="shared" si="135"/>
        <v>3.0000000000000027E-2</v>
      </c>
      <c r="AC51" s="10">
        <f t="shared" si="135"/>
        <v>3.0000000000000027E-2</v>
      </c>
      <c r="AD51" s="10">
        <f t="shared" si="135"/>
        <v>3.0000000000000027E-2</v>
      </c>
      <c r="AE51" s="10">
        <f t="shared" si="135"/>
        <v>3.0000000000000027E-2</v>
      </c>
      <c r="AF51" s="10">
        <f t="shared" si="135"/>
        <v>3.0000000000000027E-2</v>
      </c>
      <c r="AH51" s="1" t="s">
        <v>52</v>
      </c>
      <c r="AI51" s="7">
        <f>Main!D8</f>
        <v>-498</v>
      </c>
    </row>
    <row r="52" spans="2:35" x14ac:dyDescent="0.3">
      <c r="B52" s="1" t="s">
        <v>46</v>
      </c>
      <c r="C52" s="10">
        <f t="shared" ref="C52:K52" si="136">C36/C26</f>
        <v>2.9585798816568047E-3</v>
      </c>
      <c r="D52" s="10">
        <f t="shared" si="136"/>
        <v>3.3505154639175257E-2</v>
      </c>
      <c r="E52" s="10">
        <f t="shared" si="136"/>
        <v>9.2682926829268292E-2</v>
      </c>
      <c r="F52" s="10">
        <f t="shared" si="136"/>
        <v>0.16174402250351619</v>
      </c>
      <c r="G52" s="10">
        <f t="shared" si="136"/>
        <v>-2.4316109422492401E-2</v>
      </c>
      <c r="H52" s="10">
        <f t="shared" si="136"/>
        <v>2.5000000000000001E-2</v>
      </c>
      <c r="I52" s="10">
        <f t="shared" si="136"/>
        <v>6.6287878787878785E-2</v>
      </c>
      <c r="J52" s="10">
        <f t="shared" si="136"/>
        <v>0.16685979142526072</v>
      </c>
      <c r="K52" s="10">
        <f t="shared" si="136"/>
        <v>-4.3037974683544304E-2</v>
      </c>
      <c r="L52" s="10">
        <f>L36/L26</f>
        <v>3.825136612021858E-2</v>
      </c>
      <c r="M52" s="10">
        <f t="shared" ref="M52:N52" si="137">M36/M26</f>
        <v>0.1088030303030303</v>
      </c>
      <c r="N52" s="10">
        <f t="shared" si="137"/>
        <v>0.1754556727856722</v>
      </c>
      <c r="P52" s="10">
        <f t="shared" ref="P52:T52" si="138">P36/P26</f>
        <v>5.5735056542811079E-2</v>
      </c>
      <c r="Q52" s="10">
        <f t="shared" si="138"/>
        <v>5.6756980694340937E-2</v>
      </c>
      <c r="R52" s="10">
        <f t="shared" si="138"/>
        <v>8.5481682496607869E-2</v>
      </c>
      <c r="S52" s="10">
        <f t="shared" si="138"/>
        <v>9.7246631517281787E-2</v>
      </c>
      <c r="T52" s="10">
        <f t="shared" si="138"/>
        <v>9.0416892257715209E-2</v>
      </c>
      <c r="U52" s="10">
        <f>U36/U26</f>
        <v>8.2142857142857142E-2</v>
      </c>
      <c r="V52" s="10">
        <f t="shared" ref="V52:AF52" si="139">V36/V26</f>
        <v>9.599848521149075E-2</v>
      </c>
      <c r="W52" s="10">
        <f t="shared" si="139"/>
        <v>0.10065679712162083</v>
      </c>
      <c r="X52" s="10">
        <f t="shared" si="139"/>
        <v>0.10426950604420443</v>
      </c>
      <c r="Y52" s="10">
        <f t="shared" si="139"/>
        <v>0.10663231766196118</v>
      </c>
      <c r="Z52" s="10">
        <f t="shared" si="139"/>
        <v>0.10832747819353142</v>
      </c>
      <c r="AA52" s="10">
        <f t="shared" si="139"/>
        <v>0.11045965062706717</v>
      </c>
      <c r="AB52" s="10">
        <f t="shared" si="139"/>
        <v>0.11251464959296963</v>
      </c>
      <c r="AC52" s="10">
        <f t="shared" si="139"/>
        <v>0.11449534030847722</v>
      </c>
      <c r="AD52" s="10">
        <f t="shared" si="139"/>
        <v>0.11640448019274865</v>
      </c>
      <c r="AE52" s="10">
        <f t="shared" si="139"/>
        <v>0.11824472294969125</v>
      </c>
      <c r="AF52" s="10">
        <f t="shared" si="139"/>
        <v>0.12001862249564908</v>
      </c>
      <c r="AH52" s="1" t="s">
        <v>53</v>
      </c>
      <c r="AI52" s="7">
        <f>AI50+AI51</f>
        <v>2267.2224356878255</v>
      </c>
    </row>
    <row r="53" spans="2:35" x14ac:dyDescent="0.3">
      <c r="B53" s="1" t="s">
        <v>24</v>
      </c>
      <c r="C53" s="10">
        <f t="shared" ref="C53:K53" si="140">C41/C40</f>
        <v>-0.15789473684210525</v>
      </c>
      <c r="D53" s="10">
        <f t="shared" si="140"/>
        <v>0</v>
      </c>
      <c r="E53" s="10">
        <f t="shared" si="140"/>
        <v>0.48148148148148145</v>
      </c>
      <c r="F53" s="10">
        <f t="shared" si="140"/>
        <v>0.24390243902439024</v>
      </c>
      <c r="G53" s="10">
        <f t="shared" si="140"/>
        <v>-0.66666666666666663</v>
      </c>
      <c r="H53" s="10">
        <f t="shared" si="140"/>
        <v>12</v>
      </c>
      <c r="I53" s="10" t="e">
        <f t="shared" si="140"/>
        <v>#DIV/0!</v>
      </c>
      <c r="J53" s="10">
        <f t="shared" si="140"/>
        <v>-0.22580645161290322</v>
      </c>
      <c r="K53" s="10">
        <f t="shared" si="140"/>
        <v>0.17499999999999999</v>
      </c>
      <c r="L53" s="10">
        <f>L41/L40</f>
        <v>0.26315789473684209</v>
      </c>
      <c r="M53" s="10">
        <f t="shared" ref="M53:N53" si="141">M41/M40</f>
        <v>0.2</v>
      </c>
      <c r="N53" s="10">
        <f t="shared" si="141"/>
        <v>0.2</v>
      </c>
      <c r="P53" s="10">
        <f t="shared" ref="P53:T53" si="142">P41/P40</f>
        <v>0.76966292134831205</v>
      </c>
      <c r="Q53" s="10">
        <f t="shared" si="142"/>
        <v>0.14228723404255336</v>
      </c>
      <c r="R53" s="10">
        <f t="shared" si="142"/>
        <v>0.25882352941176473</v>
      </c>
      <c r="S53" s="10">
        <f t="shared" si="142"/>
        <v>0.37692307692307692</v>
      </c>
      <c r="T53" s="10">
        <f t="shared" si="142"/>
        <v>0.375</v>
      </c>
      <c r="U53" s="10">
        <f>U41/U40</f>
        <v>0.10344827586206896</v>
      </c>
      <c r="V53" s="10">
        <f t="shared" ref="V53:AF53" si="143">V41/V40</f>
        <v>0.19845472498740613</v>
      </c>
      <c r="W53" s="10">
        <f t="shared" si="143"/>
        <v>0.2</v>
      </c>
      <c r="X53" s="10">
        <f t="shared" si="143"/>
        <v>0.20000000000000004</v>
      </c>
      <c r="Y53" s="10">
        <f t="shared" si="143"/>
        <v>0.2</v>
      </c>
      <c r="Z53" s="10">
        <f t="shared" si="143"/>
        <v>0.2</v>
      </c>
      <c r="AA53" s="10">
        <f t="shared" si="143"/>
        <v>0.2</v>
      </c>
      <c r="AB53" s="10">
        <f t="shared" si="143"/>
        <v>0.2</v>
      </c>
      <c r="AC53" s="10">
        <f t="shared" si="143"/>
        <v>0.19999999999999998</v>
      </c>
      <c r="AD53" s="10">
        <f t="shared" si="143"/>
        <v>0.19999999999999998</v>
      </c>
      <c r="AE53" s="10">
        <f t="shared" si="143"/>
        <v>0.20000000000000004</v>
      </c>
      <c r="AF53" s="10">
        <f t="shared" si="143"/>
        <v>0.2</v>
      </c>
      <c r="AH53" s="1" t="s">
        <v>54</v>
      </c>
      <c r="AI53" s="4">
        <f>AI52/AF44</f>
        <v>19.545020997308839</v>
      </c>
    </row>
    <row r="54" spans="2:35" x14ac:dyDescent="0.3">
      <c r="B54" s="1" t="s">
        <v>47</v>
      </c>
      <c r="C54" s="10">
        <f t="shared" ref="C54:K54" si="144">C43/C26</f>
        <v>-6.5088757396449703E-2</v>
      </c>
      <c r="D54" s="10">
        <f t="shared" si="144"/>
        <v>1.2886597938144329E-2</v>
      </c>
      <c r="E54" s="10">
        <f t="shared" si="144"/>
        <v>3.9024390243902439E-2</v>
      </c>
      <c r="F54" s="10">
        <f t="shared" si="144"/>
        <v>8.2981715893108293E-2</v>
      </c>
      <c r="G54" s="10">
        <f t="shared" si="144"/>
        <v>-4.2553191489361701E-2</v>
      </c>
      <c r="H54" s="10">
        <f t="shared" si="144"/>
        <v>-2.5000000000000001E-2</v>
      </c>
      <c r="I54" s="10">
        <f t="shared" si="144"/>
        <v>-3.5984848484848488E-2</v>
      </c>
      <c r="J54" s="10">
        <f t="shared" si="144"/>
        <v>0.1761297798377752</v>
      </c>
      <c r="K54" s="10">
        <f t="shared" si="144"/>
        <v>-8.1012658227848103E-2</v>
      </c>
      <c r="L54" s="10">
        <f>L43/L26</f>
        <v>-2.3679417122040074E-2</v>
      </c>
      <c r="M54" s="10">
        <f t="shared" ref="M54:N54" si="145">M43/M26</f>
        <v>5.1890909090909099E-2</v>
      </c>
      <c r="N54" s="10">
        <f t="shared" si="145"/>
        <v>0.11840930251468766</v>
      </c>
      <c r="P54" s="10">
        <f t="shared" ref="P54:T54" si="146">P43/P26</f>
        <v>5.2952791240352863E-3</v>
      </c>
      <c r="Q54" s="10">
        <f t="shared" si="146"/>
        <v>-5.4022702792277652E-2</v>
      </c>
      <c r="R54" s="10">
        <f t="shared" si="146"/>
        <v>4.2740841248303935E-2</v>
      </c>
      <c r="S54" s="10">
        <f t="shared" si="146"/>
        <v>4.6280023432923256E-2</v>
      </c>
      <c r="T54" s="10">
        <f t="shared" si="146"/>
        <v>3.1402273957769358E-2</v>
      </c>
      <c r="U54" s="10">
        <f>U43/U26</f>
        <v>4.732142857142857E-2</v>
      </c>
      <c r="V54" s="10">
        <f t="shared" ref="V54:AF54" si="147">V43/V26</f>
        <v>4.0861203638583816E-2</v>
      </c>
      <c r="W54" s="10">
        <f t="shared" si="147"/>
        <v>5.0713050858532407E-2</v>
      </c>
      <c r="X54" s="10">
        <f t="shared" si="147"/>
        <v>5.5259461709863962E-2</v>
      </c>
      <c r="Y54" s="10">
        <f t="shared" si="147"/>
        <v>5.8212206971069359E-2</v>
      </c>
      <c r="Z54" s="10">
        <f t="shared" si="147"/>
        <v>6.0657539709748763E-2</v>
      </c>
      <c r="AA54" s="10">
        <f t="shared" si="147"/>
        <v>6.3409358033087712E-2</v>
      </c>
      <c r="AB54" s="10">
        <f t="shared" si="147"/>
        <v>6.6058003046030309E-2</v>
      </c>
      <c r="AC54" s="10">
        <f t="shared" si="147"/>
        <v>6.8607390633900617E-2</v>
      </c>
      <c r="AD54" s="10">
        <f t="shared" si="147"/>
        <v>7.1061287294938352E-2</v>
      </c>
      <c r="AE54" s="10">
        <f t="shared" si="147"/>
        <v>7.3423315849164589E-2</v>
      </c>
      <c r="AF54" s="10">
        <f t="shared" si="147"/>
        <v>7.5696960929028154E-2</v>
      </c>
      <c r="AH54" s="1" t="s">
        <v>55</v>
      </c>
      <c r="AI54" s="4">
        <f>Main!D3</f>
        <v>101.2</v>
      </c>
    </row>
    <row r="55" spans="2:35" x14ac:dyDescent="0.3">
      <c r="AH55" s="2" t="s">
        <v>56</v>
      </c>
      <c r="AI55" s="11">
        <f>AI53/AI54-1</f>
        <v>-0.80686738144951742</v>
      </c>
    </row>
    <row r="56" spans="2:35" x14ac:dyDescent="0.3">
      <c r="AH56" s="1" t="s">
        <v>57</v>
      </c>
      <c r="AI56" s="3" t="s">
        <v>58</v>
      </c>
    </row>
    <row r="57" spans="2:35" s="12" customFormat="1" x14ac:dyDescent="0.3">
      <c r="B57" s="12" t="s">
        <v>59</v>
      </c>
      <c r="J57" s="13">
        <v>4696</v>
      </c>
      <c r="K57" s="13"/>
      <c r="L57" s="13">
        <v>4649</v>
      </c>
    </row>
    <row r="59" spans="2:35" x14ac:dyDescent="0.3">
      <c r="B59" s="1" t="s">
        <v>60</v>
      </c>
      <c r="L59" s="14">
        <f>Main!D9/Model!L57</f>
        <v>2.6322219832221987</v>
      </c>
    </row>
    <row r="60" spans="2:35" x14ac:dyDescent="0.3">
      <c r="B60" s="1" t="s">
        <v>61</v>
      </c>
      <c r="L60" s="10">
        <f>L57/Main!D9-1</f>
        <v>-0.62009283169352469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2025-09-03T15:11:02Z</dcterms:created>
  <dcterms:modified xsi:type="dcterms:W3CDTF">2025-10-03T10:23:04Z</dcterms:modified>
</cp:coreProperties>
</file>