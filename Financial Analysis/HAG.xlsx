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D8092B4-2182-420F-8181-55CBBF960A8D}" xr6:coauthVersionLast="47" xr6:coauthVersionMax="47" xr10:uidLastSave="{00000000-0000-0000-0000-000000000000}"/>
  <bookViews>
    <workbookView xWindow="-108" yWindow="-108" windowWidth="23256" windowHeight="12576" activeTab="1" xr2:uid="{9844EE4C-2224-4280-A447-ECC8157A654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9" i="2" l="1"/>
  <c r="X39" i="2"/>
  <c r="W39" i="2"/>
  <c r="N34" i="2"/>
  <c r="N36" i="2" s="1"/>
  <c r="N38" i="2"/>
  <c r="V68" i="2"/>
  <c r="V67" i="2"/>
  <c r="M50" i="2"/>
  <c r="M49" i="2"/>
  <c r="M47" i="2"/>
  <c r="M46" i="2"/>
  <c r="M45" i="2"/>
  <c r="M42" i="2"/>
  <c r="M41" i="2"/>
  <c r="M40" i="2"/>
  <c r="M39" i="2"/>
  <c r="M38" i="2"/>
  <c r="M37" i="2"/>
  <c r="M35" i="2"/>
  <c r="M34" i="2"/>
  <c r="D7" i="1"/>
  <c r="D6" i="1"/>
  <c r="M19" i="2"/>
  <c r="M11" i="2"/>
  <c r="U6" i="2"/>
  <c r="V6" i="2"/>
  <c r="J6" i="2"/>
  <c r="M6" i="2"/>
  <c r="M20" i="2"/>
  <c r="M13" i="2"/>
  <c r="AI62" i="2"/>
  <c r="U59" i="2"/>
  <c r="T59" i="2"/>
  <c r="S59" i="2"/>
  <c r="R59" i="2"/>
  <c r="Q59" i="2"/>
  <c r="T58" i="2"/>
  <c r="S58" i="2"/>
  <c r="R58" i="2"/>
  <c r="Q58" i="2"/>
  <c r="T57" i="2"/>
  <c r="S57" i="2"/>
  <c r="R57" i="2"/>
  <c r="Q57" i="2"/>
  <c r="P57" i="2"/>
  <c r="T55" i="2"/>
  <c r="S55" i="2"/>
  <c r="R55" i="2"/>
  <c r="Q55" i="2"/>
  <c r="P43" i="2"/>
  <c r="P36" i="2"/>
  <c r="P56" i="2" s="1"/>
  <c r="Q43" i="2"/>
  <c r="Q36" i="2"/>
  <c r="Q56" i="2" s="1"/>
  <c r="R43" i="2"/>
  <c r="R36" i="2"/>
  <c r="R56" i="2" s="1"/>
  <c r="S43" i="2"/>
  <c r="S36" i="2"/>
  <c r="S56" i="2" s="1"/>
  <c r="U58" i="2"/>
  <c r="U55" i="2"/>
  <c r="U57" i="2"/>
  <c r="L50" i="2"/>
  <c r="K50" i="2"/>
  <c r="L49" i="2"/>
  <c r="K49" i="2"/>
  <c r="L47" i="2"/>
  <c r="K47" i="2"/>
  <c r="V47" i="2" s="1"/>
  <c r="L46" i="2"/>
  <c r="K46" i="2"/>
  <c r="L45" i="2"/>
  <c r="K45" i="2"/>
  <c r="K42" i="2"/>
  <c r="L41" i="2"/>
  <c r="K41" i="2"/>
  <c r="L40" i="2"/>
  <c r="K40" i="2"/>
  <c r="L39" i="2"/>
  <c r="K39" i="2"/>
  <c r="L38" i="2"/>
  <c r="K38" i="2"/>
  <c r="L37" i="2"/>
  <c r="K37" i="2"/>
  <c r="L35" i="2"/>
  <c r="K35" i="2"/>
  <c r="L34" i="2"/>
  <c r="K34" i="2"/>
  <c r="C20" i="2"/>
  <c r="C13" i="2"/>
  <c r="D20" i="2"/>
  <c r="D13" i="2"/>
  <c r="F50" i="2"/>
  <c r="F49" i="2"/>
  <c r="F47" i="2"/>
  <c r="F46" i="2"/>
  <c r="F45" i="2"/>
  <c r="F42" i="2"/>
  <c r="F41" i="2"/>
  <c r="F40" i="2"/>
  <c r="F39" i="2"/>
  <c r="F38" i="2"/>
  <c r="F37" i="2"/>
  <c r="F35" i="2"/>
  <c r="F34" i="2"/>
  <c r="T43" i="2"/>
  <c r="T36" i="2"/>
  <c r="T56" i="2" s="1"/>
  <c r="U42" i="2"/>
  <c r="U43" i="2" s="1"/>
  <c r="U36" i="2"/>
  <c r="U56" i="2" s="1"/>
  <c r="E20" i="2"/>
  <c r="E13" i="2"/>
  <c r="I19" i="2"/>
  <c r="I20" i="2" s="1"/>
  <c r="I13" i="2"/>
  <c r="E50" i="2"/>
  <c r="D50" i="2"/>
  <c r="C50" i="2"/>
  <c r="E49" i="2"/>
  <c r="D49" i="2"/>
  <c r="C49" i="2"/>
  <c r="E47" i="2"/>
  <c r="D47" i="2"/>
  <c r="C47" i="2"/>
  <c r="E46" i="2"/>
  <c r="D46" i="2"/>
  <c r="C46" i="2"/>
  <c r="E45" i="2"/>
  <c r="D45" i="2"/>
  <c r="C45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5" i="2"/>
  <c r="D35" i="2"/>
  <c r="C35" i="2"/>
  <c r="E34" i="2"/>
  <c r="D34" i="2"/>
  <c r="C34" i="2"/>
  <c r="J50" i="2"/>
  <c r="J49" i="2"/>
  <c r="J47" i="2"/>
  <c r="J46" i="2"/>
  <c r="J45" i="2"/>
  <c r="J41" i="2"/>
  <c r="J40" i="2"/>
  <c r="J39" i="2"/>
  <c r="J38" i="2"/>
  <c r="J37" i="2"/>
  <c r="J35" i="2"/>
  <c r="J34" i="2"/>
  <c r="I50" i="2"/>
  <c r="I49" i="2"/>
  <c r="I47" i="2"/>
  <c r="I46" i="2"/>
  <c r="I45" i="2"/>
  <c r="I41" i="2"/>
  <c r="I40" i="2"/>
  <c r="I39" i="2"/>
  <c r="M59" i="2" s="1"/>
  <c r="I38" i="2"/>
  <c r="M58" i="2" s="1"/>
  <c r="I37" i="2"/>
  <c r="I35" i="2"/>
  <c r="I34" i="2"/>
  <c r="H50" i="2"/>
  <c r="H49" i="2"/>
  <c r="H47" i="2"/>
  <c r="H46" i="2"/>
  <c r="H45" i="2"/>
  <c r="H42" i="2"/>
  <c r="H41" i="2"/>
  <c r="H40" i="2"/>
  <c r="H39" i="2"/>
  <c r="H59" i="2" s="1"/>
  <c r="H38" i="2"/>
  <c r="H37" i="2"/>
  <c r="H35" i="2"/>
  <c r="H34" i="2"/>
  <c r="G50" i="2"/>
  <c r="G49" i="2"/>
  <c r="G47" i="2"/>
  <c r="G46" i="2"/>
  <c r="G45" i="2"/>
  <c r="G42" i="2"/>
  <c r="G41" i="2"/>
  <c r="G40" i="2"/>
  <c r="G39" i="2"/>
  <c r="G59" i="2" s="1"/>
  <c r="G38" i="2"/>
  <c r="G58" i="2" s="1"/>
  <c r="G37" i="2"/>
  <c r="G35" i="2"/>
  <c r="G34" i="2"/>
  <c r="K20" i="2"/>
  <c r="K13" i="2"/>
  <c r="N58" i="2" l="1"/>
  <c r="V40" i="2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J59" i="2"/>
  <c r="L58" i="2"/>
  <c r="V45" i="2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V50" i="2"/>
  <c r="M21" i="2"/>
  <c r="M25" i="2" s="1"/>
  <c r="M28" i="2" s="1"/>
  <c r="M30" i="2" s="1"/>
  <c r="F57" i="2"/>
  <c r="V46" i="2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G57" i="2"/>
  <c r="L55" i="2"/>
  <c r="V41" i="2"/>
  <c r="W41" i="2" s="1"/>
  <c r="X41" i="2" s="1"/>
  <c r="Y41" i="2" s="1"/>
  <c r="Z41" i="2" s="1"/>
  <c r="H58" i="2"/>
  <c r="D57" i="2"/>
  <c r="N59" i="2"/>
  <c r="J58" i="2"/>
  <c r="K59" i="2"/>
  <c r="V38" i="2"/>
  <c r="V58" i="2" s="1"/>
  <c r="G55" i="2"/>
  <c r="I42" i="2"/>
  <c r="I43" i="2" s="1"/>
  <c r="C57" i="2"/>
  <c r="M36" i="2"/>
  <c r="M55" i="2"/>
  <c r="V34" i="2"/>
  <c r="W34" i="2" s="1"/>
  <c r="N56" i="2"/>
  <c r="N55" i="2"/>
  <c r="L59" i="2"/>
  <c r="J57" i="2"/>
  <c r="E57" i="2"/>
  <c r="K58" i="2"/>
  <c r="I57" i="2"/>
  <c r="I55" i="2"/>
  <c r="K55" i="2"/>
  <c r="I59" i="2"/>
  <c r="K21" i="2"/>
  <c r="K25" i="2" s="1"/>
  <c r="K28" i="2" s="1"/>
  <c r="K30" i="2" s="1"/>
  <c r="N37" i="2"/>
  <c r="M56" i="2"/>
  <c r="H55" i="2"/>
  <c r="H43" i="2"/>
  <c r="K43" i="2"/>
  <c r="J55" i="2"/>
  <c r="H57" i="2"/>
  <c r="F43" i="2"/>
  <c r="L57" i="2"/>
  <c r="I58" i="2"/>
  <c r="K57" i="2"/>
  <c r="C36" i="2"/>
  <c r="C56" i="2" s="1"/>
  <c r="K36" i="2"/>
  <c r="K56" i="2" s="1"/>
  <c r="L36" i="2"/>
  <c r="P44" i="2"/>
  <c r="Q44" i="2"/>
  <c r="R44" i="2"/>
  <c r="S44" i="2"/>
  <c r="C43" i="2"/>
  <c r="C21" i="2"/>
  <c r="C25" i="2" s="1"/>
  <c r="C28" i="2" s="1"/>
  <c r="C30" i="2" s="1"/>
  <c r="D21" i="2"/>
  <c r="D25" i="2" s="1"/>
  <c r="D28" i="2" s="1"/>
  <c r="D30" i="2" s="1"/>
  <c r="D43" i="2"/>
  <c r="D36" i="2"/>
  <c r="D56" i="2" s="1"/>
  <c r="F36" i="2"/>
  <c r="T44" i="2"/>
  <c r="U44" i="2"/>
  <c r="J42" i="2"/>
  <c r="J43" i="2" s="1"/>
  <c r="E21" i="2"/>
  <c r="E25" i="2" s="1"/>
  <c r="E28" i="2" s="1"/>
  <c r="E30" i="2" s="1"/>
  <c r="E43" i="2"/>
  <c r="E36" i="2"/>
  <c r="E56" i="2" s="1"/>
  <c r="I21" i="2"/>
  <c r="I25" i="2" s="1"/>
  <c r="I28" i="2" s="1"/>
  <c r="I30" i="2" s="1"/>
  <c r="J36" i="2"/>
  <c r="J56" i="2" s="1"/>
  <c r="I36" i="2"/>
  <c r="I56" i="2" s="1"/>
  <c r="H36" i="2"/>
  <c r="G43" i="2"/>
  <c r="G36" i="2"/>
  <c r="G56" i="2" s="1"/>
  <c r="G20" i="2"/>
  <c r="G13" i="2"/>
  <c r="H20" i="2"/>
  <c r="H13" i="2"/>
  <c r="D8" i="1"/>
  <c r="AI59" i="2" s="1"/>
  <c r="D5" i="1"/>
  <c r="L19" i="2"/>
  <c r="L13" i="2"/>
  <c r="F3" i="1"/>
  <c r="X34" i="2" l="1"/>
  <c r="W37" i="2"/>
  <c r="D9" i="1"/>
  <c r="W38" i="2"/>
  <c r="W58" i="2" s="1"/>
  <c r="V39" i="2"/>
  <c r="N35" i="2"/>
  <c r="V55" i="2"/>
  <c r="W36" i="2"/>
  <c r="W56" i="2" s="1"/>
  <c r="W55" i="2"/>
  <c r="N57" i="2"/>
  <c r="N43" i="2"/>
  <c r="N44" i="2" s="1"/>
  <c r="N48" i="2" s="1"/>
  <c r="V37" i="2"/>
  <c r="M57" i="2"/>
  <c r="M43" i="2"/>
  <c r="M44" i="2" s="1"/>
  <c r="X36" i="2"/>
  <c r="X56" i="2" s="1"/>
  <c r="AA41" i="2"/>
  <c r="X55" i="2"/>
  <c r="C44" i="2"/>
  <c r="U48" i="2"/>
  <c r="U60" i="2"/>
  <c r="K44" i="2"/>
  <c r="L20" i="2"/>
  <c r="L21" i="2" s="1"/>
  <c r="L25" i="2" s="1"/>
  <c r="L28" i="2" s="1"/>
  <c r="L30" i="2" s="1"/>
  <c r="L42" i="2"/>
  <c r="T48" i="2"/>
  <c r="T60" i="2"/>
  <c r="S48" i="2"/>
  <c r="S60" i="2"/>
  <c r="F44" i="2"/>
  <c r="F56" i="2"/>
  <c r="R48" i="2"/>
  <c r="R60" i="2"/>
  <c r="Q48" i="2"/>
  <c r="Q60" i="2"/>
  <c r="G44" i="2"/>
  <c r="G60" i="2" s="1"/>
  <c r="P48" i="2"/>
  <c r="P60" i="2"/>
  <c r="H44" i="2"/>
  <c r="H56" i="2"/>
  <c r="L56" i="2"/>
  <c r="D44" i="2"/>
  <c r="E44" i="2"/>
  <c r="I44" i="2"/>
  <c r="J44" i="2"/>
  <c r="G21" i="2"/>
  <c r="G25" i="2" s="1"/>
  <c r="G28" i="2" s="1"/>
  <c r="G30" i="2" s="1"/>
  <c r="H21" i="2"/>
  <c r="H25" i="2" s="1"/>
  <c r="H28" i="2" s="1"/>
  <c r="H30" i="2" s="1"/>
  <c r="Y34" i="2" l="1"/>
  <c r="X37" i="2"/>
  <c r="W35" i="2"/>
  <c r="X38" i="2"/>
  <c r="Y38" i="2" s="1"/>
  <c r="Y58" i="2" s="1"/>
  <c r="W43" i="2"/>
  <c r="W44" i="2" s="1"/>
  <c r="V59" i="2"/>
  <c r="G48" i="2"/>
  <c r="G61" i="2" s="1"/>
  <c r="V35" i="2"/>
  <c r="V36" i="2" s="1"/>
  <c r="V56" i="2" s="1"/>
  <c r="W57" i="2"/>
  <c r="N60" i="2"/>
  <c r="L43" i="2"/>
  <c r="L44" i="2" s="1"/>
  <c r="L60" i="2" s="1"/>
  <c r="V42" i="2"/>
  <c r="V43" i="2" s="1"/>
  <c r="X35" i="2"/>
  <c r="M60" i="2"/>
  <c r="M48" i="2"/>
  <c r="X57" i="2"/>
  <c r="Y36" i="2"/>
  <c r="Y35" i="2" s="1"/>
  <c r="V57" i="2"/>
  <c r="AB41" i="2"/>
  <c r="N49" i="2"/>
  <c r="N51" i="2" s="1"/>
  <c r="Y55" i="2"/>
  <c r="D48" i="2"/>
  <c r="D60" i="2"/>
  <c r="Q51" i="2"/>
  <c r="Q61" i="2"/>
  <c r="R51" i="2"/>
  <c r="R61" i="2"/>
  <c r="H48" i="2"/>
  <c r="H60" i="2"/>
  <c r="K48" i="2"/>
  <c r="K60" i="2"/>
  <c r="T51" i="2"/>
  <c r="T61" i="2"/>
  <c r="J48" i="2"/>
  <c r="J60" i="2"/>
  <c r="F48" i="2"/>
  <c r="F60" i="2"/>
  <c r="I48" i="2"/>
  <c r="I60" i="2"/>
  <c r="P51" i="2"/>
  <c r="P61" i="2"/>
  <c r="U51" i="2"/>
  <c r="U61" i="2"/>
  <c r="E48" i="2"/>
  <c r="E60" i="2"/>
  <c r="S51" i="2"/>
  <c r="S61" i="2"/>
  <c r="C48" i="2"/>
  <c r="C60" i="2"/>
  <c r="Z34" i="2" l="1"/>
  <c r="Y37" i="2"/>
  <c r="G51" i="2"/>
  <c r="G53" i="2" s="1"/>
  <c r="Z38" i="2"/>
  <c r="Z58" i="2" s="1"/>
  <c r="L48" i="2"/>
  <c r="L51" i="2" s="1"/>
  <c r="X58" i="2"/>
  <c r="V44" i="2"/>
  <c r="V60" i="2" s="1"/>
  <c r="W60" i="2"/>
  <c r="W48" i="2"/>
  <c r="W49" i="2" s="1"/>
  <c r="W61" i="2" s="1"/>
  <c r="W59" i="2"/>
  <c r="Y57" i="2"/>
  <c r="Y56" i="2"/>
  <c r="Z36" i="2"/>
  <c r="Z35" i="2" s="1"/>
  <c r="M61" i="2"/>
  <c r="AC41" i="2"/>
  <c r="N61" i="2"/>
  <c r="Z55" i="2"/>
  <c r="I51" i="2"/>
  <c r="I61" i="2"/>
  <c r="Q53" i="2"/>
  <c r="Q62" i="2"/>
  <c r="P53" i="2"/>
  <c r="P62" i="2"/>
  <c r="S53" i="2"/>
  <c r="S62" i="2"/>
  <c r="T53" i="2"/>
  <c r="T62" i="2"/>
  <c r="E51" i="2"/>
  <c r="E61" i="2"/>
  <c r="D51" i="2"/>
  <c r="D61" i="2"/>
  <c r="R53" i="2"/>
  <c r="R62" i="2"/>
  <c r="K51" i="2"/>
  <c r="K61" i="2"/>
  <c r="F51" i="2"/>
  <c r="F61" i="2"/>
  <c r="H51" i="2"/>
  <c r="H61" i="2"/>
  <c r="C51" i="2"/>
  <c r="C61" i="2"/>
  <c r="U53" i="2"/>
  <c r="U62" i="2"/>
  <c r="J51" i="2"/>
  <c r="J61" i="2"/>
  <c r="L61" i="2"/>
  <c r="AA34" i="2" l="1"/>
  <c r="Z37" i="2"/>
  <c r="V48" i="2"/>
  <c r="AA38" i="2"/>
  <c r="AB38" i="2" s="1"/>
  <c r="G62" i="2"/>
  <c r="X59" i="2"/>
  <c r="X43" i="2"/>
  <c r="X44" i="2" s="1"/>
  <c r="M51" i="2"/>
  <c r="W51" i="2"/>
  <c r="W62" i="2" s="1"/>
  <c r="V49" i="2"/>
  <c r="Z57" i="2"/>
  <c r="Z56" i="2"/>
  <c r="AA36" i="2"/>
  <c r="AA35" i="2" s="1"/>
  <c r="AD41" i="2"/>
  <c r="N53" i="2"/>
  <c r="N62" i="2"/>
  <c r="AA55" i="2"/>
  <c r="K53" i="2"/>
  <c r="K62" i="2"/>
  <c r="H53" i="2"/>
  <c r="H62" i="2"/>
  <c r="I53" i="2"/>
  <c r="I62" i="2"/>
  <c r="L53" i="2"/>
  <c r="L62" i="2"/>
  <c r="D53" i="2"/>
  <c r="D62" i="2"/>
  <c r="C53" i="2"/>
  <c r="C62" i="2"/>
  <c r="J53" i="2"/>
  <c r="J62" i="2"/>
  <c r="F53" i="2"/>
  <c r="F62" i="2"/>
  <c r="E53" i="2"/>
  <c r="E62" i="2"/>
  <c r="AB34" i="2" l="1"/>
  <c r="AB55" i="2" s="1"/>
  <c r="AA37" i="2"/>
  <c r="V61" i="2"/>
  <c r="AA58" i="2"/>
  <c r="Y59" i="2"/>
  <c r="Z39" i="2"/>
  <c r="Y43" i="2"/>
  <c r="Y44" i="2" s="1"/>
  <c r="X48" i="2"/>
  <c r="X49" i="2" s="1"/>
  <c r="X61" i="2" s="1"/>
  <c r="X60" i="2"/>
  <c r="AC38" i="2"/>
  <c r="AB58" i="2"/>
  <c r="V51" i="2"/>
  <c r="V53" i="2" s="1"/>
  <c r="W53" i="2"/>
  <c r="AA57" i="2"/>
  <c r="AA56" i="2"/>
  <c r="M62" i="2"/>
  <c r="M53" i="2"/>
  <c r="AE41" i="2"/>
  <c r="AC34" i="2" l="1"/>
  <c r="AB37" i="2"/>
  <c r="AB36" i="2"/>
  <c r="AB35" i="2" s="1"/>
  <c r="V62" i="2"/>
  <c r="X51" i="2"/>
  <c r="X53" i="2" s="1"/>
  <c r="Y48" i="2"/>
  <c r="Y49" i="2" s="1"/>
  <c r="Y61" i="2" s="1"/>
  <c r="Y60" i="2"/>
  <c r="AA39" i="2"/>
  <c r="Z59" i="2"/>
  <c r="Z43" i="2"/>
  <c r="Z44" i="2" s="1"/>
  <c r="AD38" i="2"/>
  <c r="AC58" i="2"/>
  <c r="AB57" i="2"/>
  <c r="AB56" i="2"/>
  <c r="AF41" i="2"/>
  <c r="AC55" i="2"/>
  <c r="AD34" i="2" l="1"/>
  <c r="AD36" i="2" s="1"/>
  <c r="AD56" i="2" s="1"/>
  <c r="AC37" i="2"/>
  <c r="AC36" i="2"/>
  <c r="AC35" i="2" s="1"/>
  <c r="X62" i="2"/>
  <c r="Y51" i="2"/>
  <c r="Y62" i="2" s="1"/>
  <c r="Z48" i="2"/>
  <c r="Z60" i="2"/>
  <c r="AA59" i="2"/>
  <c r="AB39" i="2"/>
  <c r="AA43" i="2"/>
  <c r="AA44" i="2" s="1"/>
  <c r="AE38" i="2"/>
  <c r="AD58" i="2"/>
  <c r="AC56" i="2"/>
  <c r="AC57" i="2"/>
  <c r="AD55" i="2" l="1"/>
  <c r="AE34" i="2"/>
  <c r="AD37" i="2"/>
  <c r="Y53" i="2"/>
  <c r="AC39" i="2"/>
  <c r="AB59" i="2"/>
  <c r="AB43" i="2"/>
  <c r="AB44" i="2" s="1"/>
  <c r="AA48" i="2"/>
  <c r="AA60" i="2"/>
  <c r="Z49" i="2"/>
  <c r="Z61" i="2" s="1"/>
  <c r="AF38" i="2"/>
  <c r="AF58" i="2" s="1"/>
  <c r="AE58" i="2"/>
  <c r="AD57" i="2"/>
  <c r="AD35" i="2"/>
  <c r="AE36" i="2"/>
  <c r="AE35" i="2" s="1"/>
  <c r="AE55" i="2"/>
  <c r="AF34" i="2" l="1"/>
  <c r="AF37" i="2" s="1"/>
  <c r="AE37" i="2"/>
  <c r="Z51" i="2"/>
  <c r="Z53" i="2" s="1"/>
  <c r="AA49" i="2"/>
  <c r="AA61" i="2" s="1"/>
  <c r="AB48" i="2"/>
  <c r="AB49" i="2" s="1"/>
  <c r="AB61" i="2" s="1"/>
  <c r="AB60" i="2"/>
  <c r="AD39" i="2"/>
  <c r="AC59" i="2"/>
  <c r="AC43" i="2"/>
  <c r="AC44" i="2" s="1"/>
  <c r="AE57" i="2"/>
  <c r="AE56" i="2"/>
  <c r="AF55" i="2" l="1"/>
  <c r="AF36" i="2"/>
  <c r="AF35" i="2" s="1"/>
  <c r="AA51" i="2"/>
  <c r="AA62" i="2" s="1"/>
  <c r="Z62" i="2"/>
  <c r="AE39" i="2"/>
  <c r="AD59" i="2"/>
  <c r="AD43" i="2"/>
  <c r="AD44" i="2" s="1"/>
  <c r="AC48" i="2"/>
  <c r="AC60" i="2"/>
  <c r="AB51" i="2"/>
  <c r="AB53" i="2" s="1"/>
  <c r="AF56" i="2"/>
  <c r="AF57" i="2"/>
  <c r="AA53" i="2" l="1"/>
  <c r="AB62" i="2"/>
  <c r="AD60" i="2"/>
  <c r="AD48" i="2"/>
  <c r="AD49" i="2" s="1"/>
  <c r="AD61" i="2" s="1"/>
  <c r="AC49" i="2"/>
  <c r="AC61" i="2" s="1"/>
  <c r="AE59" i="2"/>
  <c r="AF39" i="2"/>
  <c r="AE43" i="2"/>
  <c r="AE44" i="2" s="1"/>
  <c r="AC51" i="2" l="1"/>
  <c r="AC62" i="2" s="1"/>
  <c r="AE48" i="2"/>
  <c r="AE60" i="2"/>
  <c r="AF59" i="2"/>
  <c r="AF43" i="2"/>
  <c r="AF44" i="2" s="1"/>
  <c r="AD51" i="2"/>
  <c r="AD53" i="2" s="1"/>
  <c r="AC53" i="2" l="1"/>
  <c r="AD62" i="2"/>
  <c r="AF48" i="2"/>
  <c r="AF60" i="2"/>
  <c r="AE49" i="2"/>
  <c r="AE61" i="2" s="1"/>
  <c r="AE51" i="2" l="1"/>
  <c r="AE53" i="2" s="1"/>
  <c r="AF49" i="2"/>
  <c r="AF61" i="2" s="1"/>
  <c r="AE62" i="2" l="1"/>
  <c r="AF51" i="2"/>
  <c r="AG51" i="2" s="1"/>
  <c r="AH51" i="2" s="1"/>
  <c r="AI51" i="2" s="1"/>
  <c r="AJ51" i="2" s="1"/>
  <c r="AK51" i="2" s="1"/>
  <c r="AL51" i="2" s="1"/>
  <c r="AM51" i="2" s="1"/>
  <c r="AN51" i="2" s="1"/>
  <c r="AO51" i="2" s="1"/>
  <c r="AP51" i="2" s="1"/>
  <c r="AQ51" i="2" s="1"/>
  <c r="AR51" i="2" s="1"/>
  <c r="AS51" i="2" s="1"/>
  <c r="AT51" i="2" s="1"/>
  <c r="AU51" i="2" s="1"/>
  <c r="AV51" i="2" s="1"/>
  <c r="AW51" i="2" s="1"/>
  <c r="AX51" i="2" s="1"/>
  <c r="AY51" i="2" s="1"/>
  <c r="AZ51" i="2" s="1"/>
  <c r="BA51" i="2" s="1"/>
  <c r="BB51" i="2" s="1"/>
  <c r="BC51" i="2" s="1"/>
  <c r="BD51" i="2" s="1"/>
  <c r="BE51" i="2" s="1"/>
  <c r="BF51" i="2" s="1"/>
  <c r="BG51" i="2" s="1"/>
  <c r="BH51" i="2" s="1"/>
  <c r="BI51" i="2" s="1"/>
  <c r="BJ51" i="2" s="1"/>
  <c r="BK51" i="2" s="1"/>
  <c r="BL51" i="2" s="1"/>
  <c r="BM51" i="2" s="1"/>
  <c r="BN51" i="2" s="1"/>
  <c r="BO51" i="2" s="1"/>
  <c r="BP51" i="2" s="1"/>
  <c r="BQ51" i="2" s="1"/>
  <c r="BR51" i="2" s="1"/>
  <c r="BS51" i="2" s="1"/>
  <c r="BT51" i="2" s="1"/>
  <c r="BU51" i="2" s="1"/>
  <c r="BV51" i="2" s="1"/>
  <c r="BW51" i="2" s="1"/>
  <c r="BX51" i="2" s="1"/>
  <c r="BY51" i="2" s="1"/>
  <c r="BZ51" i="2" s="1"/>
  <c r="CA51" i="2" s="1"/>
  <c r="CB51" i="2" s="1"/>
  <c r="CC51" i="2" s="1"/>
  <c r="CD51" i="2" s="1"/>
  <c r="CE51" i="2" s="1"/>
  <c r="CF51" i="2" s="1"/>
  <c r="CG51" i="2" s="1"/>
  <c r="CH51" i="2" s="1"/>
  <c r="CI51" i="2" s="1"/>
  <c r="CJ51" i="2" s="1"/>
  <c r="CK51" i="2" s="1"/>
  <c r="CL51" i="2" s="1"/>
  <c r="CM51" i="2" s="1"/>
  <c r="CN51" i="2" s="1"/>
  <c r="CO51" i="2" s="1"/>
  <c r="CP51" i="2" s="1"/>
  <c r="CQ51" i="2" s="1"/>
  <c r="CR51" i="2" s="1"/>
  <c r="CS51" i="2" s="1"/>
  <c r="CT51" i="2" s="1"/>
  <c r="CU51" i="2" s="1"/>
  <c r="CV51" i="2" s="1"/>
  <c r="CW51" i="2" s="1"/>
  <c r="CX51" i="2" s="1"/>
  <c r="CY51" i="2" s="1"/>
  <c r="CZ51" i="2" s="1"/>
  <c r="DA51" i="2" s="1"/>
  <c r="DB51" i="2" s="1"/>
  <c r="DC51" i="2" s="1"/>
  <c r="DD51" i="2" s="1"/>
  <c r="DE51" i="2" s="1"/>
  <c r="DF51" i="2" s="1"/>
  <c r="DG51" i="2" s="1"/>
  <c r="DH51" i="2" s="1"/>
  <c r="DI51" i="2" s="1"/>
  <c r="DJ51" i="2" s="1"/>
  <c r="DK51" i="2" s="1"/>
  <c r="DL51" i="2" s="1"/>
  <c r="DM51" i="2" s="1"/>
  <c r="DN51" i="2" s="1"/>
  <c r="DO51" i="2" s="1"/>
  <c r="DP51" i="2" s="1"/>
  <c r="DQ51" i="2" s="1"/>
  <c r="DR51" i="2" s="1"/>
  <c r="DS51" i="2" s="1"/>
  <c r="DT51" i="2" s="1"/>
  <c r="DU51" i="2" s="1"/>
  <c r="DV51" i="2" s="1"/>
  <c r="DW51" i="2" s="1"/>
  <c r="DX51" i="2" s="1"/>
  <c r="DY51" i="2" s="1"/>
  <c r="DZ51" i="2" s="1"/>
  <c r="EA51" i="2" s="1"/>
  <c r="EB51" i="2" s="1"/>
  <c r="EC51" i="2" s="1"/>
  <c r="ED51" i="2" s="1"/>
  <c r="EE51" i="2" s="1"/>
  <c r="EF51" i="2" s="1"/>
  <c r="EG51" i="2" s="1"/>
  <c r="EH51" i="2" s="1"/>
  <c r="EI51" i="2" s="1"/>
  <c r="EJ51" i="2" s="1"/>
  <c r="AI58" i="2" s="1"/>
  <c r="AI60" i="2" s="1"/>
  <c r="AI61" i="2" s="1"/>
  <c r="AI63" i="2" s="1"/>
  <c r="AF53" i="2" l="1"/>
  <c r="AF62" i="2"/>
</calcChain>
</file>

<file path=xl/sharedStrings.xml><?xml version="1.0" encoding="utf-8"?>
<sst xmlns="http://schemas.openxmlformats.org/spreadsheetml/2006/main" count="94" uniqueCount="66">
  <si>
    <t>HAG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</si>
  <si>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</si>
  <si>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</si>
  <si>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</si>
  <si>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</si>
  <si>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</si>
  <si>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</si>
  <si>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</si>
  <si>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</si>
  <si>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</si>
  <si>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</si>
  <si>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</si>
  <si>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</si>
  <si>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Gross profit</t>
  </si>
  <si>
    <t>S&amp;M</t>
  </si>
  <si>
    <t>G&amp;A</t>
  </si>
  <si>
    <t>Investments</t>
  </si>
  <si>
    <t>Other income</t>
  </si>
  <si>
    <t>Other expenses</t>
  </si>
  <si>
    <t>Total opex</t>
  </si>
  <si>
    <t>Operating profit</t>
  </si>
  <si>
    <t>Interest expense</t>
  </si>
  <si>
    <t>Finance expense</t>
  </si>
  <si>
    <t>Pretax profit</t>
  </si>
  <si>
    <t>Taxes</t>
  </si>
  <si>
    <t>MI</t>
  </si>
  <si>
    <t>Net profit</t>
  </si>
  <si>
    <t>EPS</t>
  </si>
  <si>
    <t>R&amp;D</t>
  </si>
  <si>
    <t>Interest income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</si>
  <si>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</si>
  <si>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</si>
  <si>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</si>
  <si>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</si>
  <si>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</si>
  <si>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</si>
  <si>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</si>
  <si>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</si>
  <si>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</si>
  <si>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</si>
  <si>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</si>
  <si>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</si>
  <si>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 y/y</t>
  </si>
  <si>
    <t>Gross Margin</t>
  </si>
  <si>
    <t>S&amp;M Margin</t>
  </si>
  <si>
    <t>G&amp;A y/y</t>
  </si>
  <si>
    <t>Operating Margin</t>
  </si>
  <si>
    <t>Net Margin</t>
  </si>
  <si>
    <t>R&amp;D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</si>
  <si>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</si>
  <si>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</si>
  <si>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</si>
  <si>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</si>
  <si>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</si>
  <si>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</si>
  <si>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</si>
  <si>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</si>
  <si>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</si>
  <si>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</si>
  <si>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L+S/E</t>
  </si>
  <si>
    <t>EV/B</t>
  </si>
  <si>
    <t>B/EV</t>
  </si>
  <si>
    <t>Sensors</t>
  </si>
  <si>
    <t>Optronics</t>
  </si>
  <si>
    <t>Eliminations</t>
  </si>
  <si>
    <t>Total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</si>
</sst>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164" fontId="2" fillId="2" borderId="1" xfId="0" applyNumberFormat="1" applyFont="1" applyFill="1" applyBorder="1"/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165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0</xdr:row>
      <xdr:rowOff>7620</xdr:rowOff>
    </xdr:from>
    <xdr:to>
      <xdr:col>13</xdr:col>
      <xdr:colOff>22860</xdr:colOff>
      <xdr:row>70</xdr:row>
      <xdr:rowOff>121920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B644D28-062A-ECFF-2D77-185233CE510E}"/>
            </a:ext>
          </a:extLst>
        </xdr:cNvPr>
        <xdr:cNvCxnSpPr/>
      </xdr:nvCxnSpPr>
      <xdr:spPr>
        <a:xfrm>
          <a:off x="8382000" y="7620"/>
          <a:ext cx="0" cy="12915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</xdr:colOff>
      <xdr:row>0</xdr:row>
      <xdr:rowOff>7620</xdr:rowOff>
    </xdr:from>
    <xdr:to>
      <xdr:col>21</xdr:col>
      <xdr:colOff>22860</xdr:colOff>
      <xdr:row>72</xdr:row>
      <xdr:rowOff>106680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9A86956-D67F-FD99-41F0-ECD9DDA6B883}"/>
            </a:ext>
          </a:extLst>
        </xdr:cNvPr>
        <xdr:cNvCxnSpPr/>
      </xdr:nvCxnSpPr>
      <xdr:spPr>
        <a:xfrm>
          <a:off x="13258800" y="7620"/>
          <a:ext cx="0" cy="1180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CB7B-6C9D-4867-88C1-CEC48A631D74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5" width="11.88671875" style="5" bestFit="1" customWidth="1"/>
    <col min="6" max="7" width="11.21875" style="5" bestFit="1" customWidth="1"/>
    <col min="8" max="16384" width="8.88671875" style="1"/>
  </cols>
  <sheetData>
    <row r="2" spans="2:7" x14ac:dyDescent="0.3">
      <c r="E2" s="5" t="s">
        <v>8</v>
      </c>
      <c r="F2" s="5" t="s">
        <v>9</v>
      </c>
      <c r="G2" s="5" t="s">
        <v>10</v>
      </c>
    </row>
    <row r="3" spans="2:7" x14ac:dyDescent="0.3">
      <c r="B3" s="2" t="s">
        <v>0</v>
      </c>
      <c r="C3" s="1" t="s">
        <v>1</v>
      </c>
      <c r="D3" s="4">
        <v>70.349999999999994</v>
      </c>
      <c r="E3" s="6">
        <v>45988</v>
      </c>
      <c r="F3" s="6">
        <f ca="1">TODAY()</f>
        <v>45988</v>
      </c>
      <c r="G3" s="6">
        <v>46079</v>
      </c>
    </row>
    <row r="4" spans="2:7" x14ac:dyDescent="0.3">
      <c r="C4" s="1" t="s">
        <v>2</v>
      </c>
      <c r="D4" s="7">
        <v>116</v>
      </c>
      <c r="E4" s="5" t="s">
        <v>37</v>
      </c>
    </row>
    <row r="5" spans="2:7" x14ac:dyDescent="0.3">
      <c r="C5" s="1" t="s">
        <v>3</v>
      </c>
      <c r="D5" s="7">
        <f>D3*D4</f>
        <v>8160.5999999999995</v>
      </c>
    </row>
    <row r="6" spans="2:7" x14ac:dyDescent="0.3">
      <c r="C6" s="1" t="s">
        <v>4</v>
      </c>
      <c r="D6" s="7">
        <f>504+7</f>
        <v>511</v>
      </c>
      <c r="E6" s="5" t="s">
        <v>40</v>
      </c>
    </row>
    <row r="7" spans="2:7" x14ac:dyDescent="0.3">
      <c r="C7" s="1" t="s">
        <v>5</v>
      </c>
      <c r="D7" s="7">
        <f>15+1157</f>
        <v>1172</v>
      </c>
      <c r="E7" s="5" t="s">
        <v>40</v>
      </c>
    </row>
    <row r="8" spans="2:7" x14ac:dyDescent="0.3">
      <c r="C8" s="1" t="s">
        <v>6</v>
      </c>
      <c r="D8" s="7">
        <f>D6-D7</f>
        <v>-661</v>
      </c>
    </row>
    <row r="9" spans="2:7" x14ac:dyDescent="0.3">
      <c r="C9" s="1" t="s">
        <v>7</v>
      </c>
      <c r="D9" s="7">
        <f>D5-D8</f>
        <v>8821.5999999999985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86D-291F-4206-A816-423EAA893757}">
  <dimension ref="B2:EJ68"/>
  <sheetViews>
    <sheetView tabSelected="1" workbookViewId="0">
      <pane xSplit="2" ySplit="2" topLeftCell="J42" activePane="bottomRight" state="frozen"/>
      <selection pane="topRight" activeCell="C1" sqref="C1"/>
      <selection pane="bottomLeft" activeCell="A3" sqref="A3"/>
      <selection pane="bottomRight" activeCell="M68" sqref="M68"/>
    </sheetView>
  </sheetViews>
  <sheetFormatPr defaultRowHeight="14.4" x14ac:dyDescent="0.3"/>
  <cols>
    <col min="1" max="1" width="8.88671875" style="1"/>
    <col min="2" max="2" width="15.21875" style="1" customWidth="1"/>
    <col min="3" max="33" width="8.88671875" style="1"/>
    <col min="34" max="34" width="12" style="1" bestFit="1" customWidth="1"/>
    <col min="35" max="35" width="16.44140625" style="1" bestFit="1" customWidth="1"/>
    <col min="36" max="16384" width="8.88671875" style="1"/>
  </cols>
  <sheetData>
    <row r="2" spans="2:32" x14ac:dyDescent="0.3"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x14ac:dyDescent="0.3">
      <c r="B3" s="1" t="s">
        <v>62</v>
      </c>
      <c r="C3" s="3"/>
      <c r="D3" s="3"/>
      <c r="E3" s="3"/>
      <c r="F3" s="3"/>
      <c r="G3" s="3"/>
      <c r="H3" s="3"/>
      <c r="I3" s="15"/>
      <c r="J3" s="15">
        <v>5463</v>
      </c>
      <c r="K3" s="3"/>
      <c r="L3" s="3"/>
      <c r="M3" s="15">
        <v>5831</v>
      </c>
      <c r="N3" s="3"/>
      <c r="U3" s="15">
        <v>5463</v>
      </c>
      <c r="V3" s="15">
        <v>5831</v>
      </c>
    </row>
    <row r="4" spans="2:32" x14ac:dyDescent="0.3">
      <c r="B4" s="1" t="s">
        <v>63</v>
      </c>
      <c r="C4" s="3"/>
      <c r="D4" s="3"/>
      <c r="E4" s="3"/>
      <c r="F4" s="3"/>
      <c r="G4" s="3"/>
      <c r="H4" s="3"/>
      <c r="I4" s="15"/>
      <c r="J4" s="15">
        <v>1225</v>
      </c>
      <c r="K4" s="3"/>
      <c r="L4" s="3"/>
      <c r="M4" s="15">
        <v>1307</v>
      </c>
      <c r="N4" s="3"/>
      <c r="U4" s="15">
        <v>1225</v>
      </c>
      <c r="V4" s="15">
        <v>1307</v>
      </c>
    </row>
    <row r="5" spans="2:32" x14ac:dyDescent="0.3">
      <c r="B5" s="1" t="s">
        <v>64</v>
      </c>
      <c r="C5" s="3"/>
      <c r="D5" s="3"/>
      <c r="E5" s="3"/>
      <c r="F5" s="3"/>
      <c r="G5" s="3"/>
      <c r="H5" s="3"/>
      <c r="I5" s="15"/>
      <c r="J5" s="15">
        <v>-44</v>
      </c>
      <c r="K5" s="3"/>
      <c r="L5" s="3"/>
      <c r="M5" s="15">
        <v>-41</v>
      </c>
      <c r="N5" s="3"/>
      <c r="U5" s="15">
        <v>-44</v>
      </c>
      <c r="V5" s="15">
        <v>-41</v>
      </c>
    </row>
    <row r="6" spans="2:32" s="2" customFormat="1" x14ac:dyDescent="0.3">
      <c r="B6" s="2" t="s">
        <v>65</v>
      </c>
      <c r="C6" s="16"/>
      <c r="D6" s="16"/>
      <c r="E6" s="16"/>
      <c r="F6" s="16"/>
      <c r="G6" s="16"/>
      <c r="H6" s="16"/>
      <c r="I6" s="17"/>
      <c r="J6" s="17">
        <f>SUM(J3:J5)</f>
        <v>6644</v>
      </c>
      <c r="K6" s="16"/>
      <c r="L6" s="16"/>
      <c r="M6" s="17">
        <f>SUM(M3:M5)</f>
        <v>7097</v>
      </c>
      <c r="N6" s="16"/>
      <c r="U6" s="17">
        <f>SUM(U3:U5)</f>
        <v>6644</v>
      </c>
      <c r="V6" s="17">
        <f>SUM(V3:V5)</f>
        <v>7097</v>
      </c>
    </row>
    <row r="7" spans="2:32" x14ac:dyDescent="0.3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32" x14ac:dyDescent="0.3">
      <c r="B8" s="1" t="s">
        <v>62</v>
      </c>
      <c r="C8" s="3"/>
      <c r="D8" s="3"/>
      <c r="E8" s="3"/>
      <c r="F8" s="3"/>
      <c r="G8" s="3"/>
      <c r="H8" s="3"/>
      <c r="I8" s="15">
        <v>1205</v>
      </c>
      <c r="J8" s="3"/>
      <c r="K8" s="3"/>
      <c r="L8" s="15"/>
      <c r="M8" s="15">
        <v>1317</v>
      </c>
      <c r="N8" s="3"/>
    </row>
    <row r="9" spans="2:32" x14ac:dyDescent="0.3">
      <c r="B9" s="1" t="s">
        <v>63</v>
      </c>
      <c r="C9" s="3"/>
      <c r="D9" s="3"/>
      <c r="E9" s="3"/>
      <c r="F9" s="3"/>
      <c r="G9" s="3"/>
      <c r="H9" s="3"/>
      <c r="I9" s="15">
        <v>182</v>
      </c>
      <c r="J9" s="3"/>
      <c r="K9" s="3"/>
      <c r="L9" s="15"/>
      <c r="M9" s="15">
        <v>232</v>
      </c>
      <c r="N9" s="3"/>
    </row>
    <row r="10" spans="2:32" x14ac:dyDescent="0.3">
      <c r="B10" s="1" t="s">
        <v>64</v>
      </c>
      <c r="C10" s="3"/>
      <c r="D10" s="3"/>
      <c r="E10" s="3"/>
      <c r="F10" s="3"/>
      <c r="G10" s="3"/>
      <c r="H10" s="3"/>
      <c r="I10" s="15">
        <v>-10</v>
      </c>
      <c r="J10" s="3"/>
      <c r="K10" s="3"/>
      <c r="L10" s="15"/>
      <c r="M10" s="15">
        <v>-14</v>
      </c>
      <c r="N10" s="3"/>
    </row>
    <row r="11" spans="2:32" s="2" customFormat="1" x14ac:dyDescent="0.3">
      <c r="B11" s="2" t="s">
        <v>11</v>
      </c>
      <c r="C11" s="9">
        <v>338</v>
      </c>
      <c r="D11" s="9">
        <v>726</v>
      </c>
      <c r="E11" s="9">
        <v>1136</v>
      </c>
      <c r="F11" s="9"/>
      <c r="G11" s="9">
        <v>329</v>
      </c>
      <c r="H11" s="9">
        <v>849</v>
      </c>
      <c r="I11" s="9">
        <v>1377</v>
      </c>
      <c r="J11" s="9"/>
      <c r="K11" s="9">
        <v>395</v>
      </c>
      <c r="L11" s="9">
        <v>944</v>
      </c>
      <c r="M11" s="9">
        <f>SUM(M8:M10)</f>
        <v>1535</v>
      </c>
      <c r="N11" s="9"/>
    </row>
    <row r="12" spans="2:32" x14ac:dyDescent="0.3">
      <c r="B12" s="1" t="s">
        <v>12</v>
      </c>
      <c r="C12" s="7">
        <v>278</v>
      </c>
      <c r="D12" s="7">
        <v>602</v>
      </c>
      <c r="E12" s="7">
        <v>913</v>
      </c>
      <c r="F12" s="7"/>
      <c r="G12" s="7">
        <v>269</v>
      </c>
      <c r="H12" s="7">
        <v>688</v>
      </c>
      <c r="I12" s="7">
        <v>1105</v>
      </c>
      <c r="J12" s="7"/>
      <c r="K12" s="7">
        <v>339</v>
      </c>
      <c r="L12" s="7">
        <v>790</v>
      </c>
      <c r="M12" s="7">
        <v>1258</v>
      </c>
      <c r="N12" s="7"/>
    </row>
    <row r="13" spans="2:32" s="2" customFormat="1" x14ac:dyDescent="0.3">
      <c r="B13" s="2" t="s">
        <v>13</v>
      </c>
      <c r="C13" s="9">
        <f>C11-C12</f>
        <v>60</v>
      </c>
      <c r="D13" s="9">
        <f>D11-D12</f>
        <v>124</v>
      </c>
      <c r="E13" s="9">
        <f>E11-E12</f>
        <v>223</v>
      </c>
      <c r="F13" s="9"/>
      <c r="G13" s="9">
        <f>G11-G12</f>
        <v>60</v>
      </c>
      <c r="H13" s="9">
        <f>H11-H12</f>
        <v>161</v>
      </c>
      <c r="I13" s="9">
        <f>I11-I12</f>
        <v>272</v>
      </c>
      <c r="J13" s="9"/>
      <c r="K13" s="9">
        <f>K11-K12</f>
        <v>56</v>
      </c>
      <c r="L13" s="9">
        <f>L11-L12</f>
        <v>154</v>
      </c>
      <c r="M13" s="9">
        <f>M11-M12</f>
        <v>277</v>
      </c>
      <c r="N13" s="9"/>
    </row>
    <row r="14" spans="2:32" x14ac:dyDescent="0.3">
      <c r="B14" s="1" t="s">
        <v>14</v>
      </c>
      <c r="C14" s="7">
        <v>27</v>
      </c>
      <c r="D14" s="7">
        <v>55</v>
      </c>
      <c r="E14" s="7">
        <v>83</v>
      </c>
      <c r="F14" s="7"/>
      <c r="G14" s="7">
        <v>27</v>
      </c>
      <c r="H14" s="7">
        <v>62</v>
      </c>
      <c r="I14" s="7">
        <v>95</v>
      </c>
      <c r="J14" s="7"/>
      <c r="K14" s="7">
        <v>32</v>
      </c>
      <c r="L14" s="7">
        <v>67</v>
      </c>
      <c r="M14" s="7">
        <v>99</v>
      </c>
      <c r="N14" s="7"/>
    </row>
    <row r="15" spans="2:32" x14ac:dyDescent="0.3">
      <c r="B15" s="1" t="s">
        <v>15</v>
      </c>
      <c r="C15" s="7">
        <v>23</v>
      </c>
      <c r="D15" s="7">
        <v>48</v>
      </c>
      <c r="E15" s="7">
        <v>76</v>
      </c>
      <c r="F15" s="7"/>
      <c r="G15" s="7">
        <v>31</v>
      </c>
      <c r="H15" s="7">
        <v>74</v>
      </c>
      <c r="I15" s="7">
        <v>112</v>
      </c>
      <c r="J15" s="7"/>
      <c r="K15" s="7">
        <v>32</v>
      </c>
      <c r="L15" s="7">
        <v>68</v>
      </c>
      <c r="M15" s="7">
        <v>103</v>
      </c>
      <c r="N15" s="7"/>
    </row>
    <row r="16" spans="2:32" x14ac:dyDescent="0.3">
      <c r="B16" s="1" t="s">
        <v>28</v>
      </c>
      <c r="C16" s="7">
        <v>8</v>
      </c>
      <c r="D16" s="7">
        <v>13</v>
      </c>
      <c r="E16" s="7">
        <v>20</v>
      </c>
      <c r="F16" s="7"/>
      <c r="G16" s="7">
        <v>8</v>
      </c>
      <c r="H16" s="7">
        <v>17</v>
      </c>
      <c r="I16" s="7">
        <v>26</v>
      </c>
      <c r="J16" s="7"/>
      <c r="K16" s="7">
        <v>8</v>
      </c>
      <c r="L16" s="7">
        <v>17</v>
      </c>
      <c r="M16" s="7">
        <v>29</v>
      </c>
      <c r="N16" s="7"/>
    </row>
    <row r="17" spans="2:14" x14ac:dyDescent="0.3">
      <c r="B17" s="1" t="s">
        <v>17</v>
      </c>
      <c r="C17" s="7">
        <v>-3</v>
      </c>
      <c r="D17" s="7">
        <v>-10</v>
      </c>
      <c r="E17" s="7">
        <v>-17</v>
      </c>
      <c r="F17" s="7"/>
      <c r="G17" s="7">
        <v>-4</v>
      </c>
      <c r="H17" s="7">
        <v>-8</v>
      </c>
      <c r="I17" s="7">
        <v>-13</v>
      </c>
      <c r="J17" s="7"/>
      <c r="K17" s="7">
        <v>-5</v>
      </c>
      <c r="L17" s="7">
        <v>-16</v>
      </c>
      <c r="M17" s="7">
        <v>-24</v>
      </c>
      <c r="N17" s="7"/>
    </row>
    <row r="18" spans="2:14" x14ac:dyDescent="0.3">
      <c r="B18" s="1" t="s">
        <v>18</v>
      </c>
      <c r="C18" s="7">
        <v>4</v>
      </c>
      <c r="D18" s="7">
        <v>9</v>
      </c>
      <c r="E18" s="7">
        <v>14</v>
      </c>
      <c r="F18" s="7"/>
      <c r="G18" s="7">
        <v>6</v>
      </c>
      <c r="H18" s="7">
        <v>10</v>
      </c>
      <c r="I18" s="7">
        <v>14</v>
      </c>
      <c r="J18" s="7"/>
      <c r="K18" s="7">
        <v>7</v>
      </c>
      <c r="L18" s="7">
        <v>13</v>
      </c>
      <c r="M18" s="7">
        <v>20</v>
      </c>
      <c r="N18" s="7"/>
    </row>
    <row r="19" spans="2:14" x14ac:dyDescent="0.3">
      <c r="B19" s="1" t="s">
        <v>16</v>
      </c>
      <c r="C19" s="7">
        <v>0</v>
      </c>
      <c r="D19" s="7">
        <v>-5</v>
      </c>
      <c r="E19" s="7">
        <v>-5</v>
      </c>
      <c r="F19" s="7"/>
      <c r="G19" s="7">
        <v>0</v>
      </c>
      <c r="H19" s="7">
        <v>1</v>
      </c>
      <c r="I19" s="7">
        <f>-3+1</f>
        <v>-2</v>
      </c>
      <c r="J19" s="7"/>
      <c r="K19" s="7">
        <v>-1</v>
      </c>
      <c r="L19" s="7">
        <f>-2+3</f>
        <v>1</v>
      </c>
      <c r="M19" s="7">
        <f>-3+5</f>
        <v>2</v>
      </c>
      <c r="N19" s="7"/>
    </row>
    <row r="20" spans="2:14" x14ac:dyDescent="0.3">
      <c r="B20" s="1" t="s">
        <v>19</v>
      </c>
      <c r="C20" s="7">
        <f>SUM(C14:C19)</f>
        <v>59</v>
      </c>
      <c r="D20" s="7">
        <f>SUM(D14:D19)</f>
        <v>110</v>
      </c>
      <c r="E20" s="7">
        <f>SUM(E14:E19)</f>
        <v>171</v>
      </c>
      <c r="F20" s="7"/>
      <c r="G20" s="7">
        <f>SUM(G14:G19)</f>
        <v>68</v>
      </c>
      <c r="H20" s="7">
        <f>SUM(H14:H19)</f>
        <v>156</v>
      </c>
      <c r="I20" s="7">
        <f>SUM(I14:I19)</f>
        <v>232</v>
      </c>
      <c r="J20" s="7"/>
      <c r="K20" s="7">
        <f>SUM(K14:K19)</f>
        <v>73</v>
      </c>
      <c r="L20" s="7">
        <f>SUM(L14:L19)</f>
        <v>150</v>
      </c>
      <c r="M20" s="7">
        <f>SUM(M14:M19)</f>
        <v>229</v>
      </c>
      <c r="N20" s="7"/>
    </row>
    <row r="21" spans="2:14" s="2" customFormat="1" x14ac:dyDescent="0.3">
      <c r="B21" s="2" t="s">
        <v>20</v>
      </c>
      <c r="C21" s="9">
        <f>C13-C20</f>
        <v>1</v>
      </c>
      <c r="D21" s="9">
        <f>D13-D20</f>
        <v>14</v>
      </c>
      <c r="E21" s="9">
        <f>E13-E20</f>
        <v>52</v>
      </c>
      <c r="F21" s="9"/>
      <c r="G21" s="9">
        <f>G13-G20</f>
        <v>-8</v>
      </c>
      <c r="H21" s="9">
        <f>H13-H20</f>
        <v>5</v>
      </c>
      <c r="I21" s="9">
        <f>I13-I20</f>
        <v>40</v>
      </c>
      <c r="J21" s="9"/>
      <c r="K21" s="9">
        <f>K13-K20</f>
        <v>-17</v>
      </c>
      <c r="L21" s="9">
        <f>L13-L20</f>
        <v>4</v>
      </c>
      <c r="M21" s="9">
        <f>M13-M20</f>
        <v>48</v>
      </c>
      <c r="N21" s="9"/>
    </row>
    <row r="22" spans="2:14" x14ac:dyDescent="0.3">
      <c r="B22" s="1" t="s">
        <v>29</v>
      </c>
      <c r="C22" s="7">
        <v>-4</v>
      </c>
      <c r="D22" s="7">
        <v>-11</v>
      </c>
      <c r="E22" s="7">
        <v>-17</v>
      </c>
      <c r="F22" s="7"/>
      <c r="G22" s="7">
        <v>-17</v>
      </c>
      <c r="H22" s="7">
        <v>-28</v>
      </c>
      <c r="I22" s="7">
        <v>-24</v>
      </c>
      <c r="J22" s="7"/>
      <c r="K22" s="7">
        <v>-6</v>
      </c>
      <c r="L22" s="7">
        <v>-11</v>
      </c>
      <c r="M22" s="7">
        <v>-17</v>
      </c>
      <c r="N22" s="7"/>
    </row>
    <row r="23" spans="2:14" x14ac:dyDescent="0.3">
      <c r="B23" s="1" t="s">
        <v>21</v>
      </c>
      <c r="C23" s="7">
        <v>19</v>
      </c>
      <c r="D23" s="7">
        <v>31</v>
      </c>
      <c r="E23" s="7">
        <v>48</v>
      </c>
      <c r="F23" s="7"/>
      <c r="G23" s="7">
        <v>19</v>
      </c>
      <c r="H23" s="7">
        <v>45</v>
      </c>
      <c r="I23" s="7">
        <v>74</v>
      </c>
      <c r="J23" s="7"/>
      <c r="K23" s="7">
        <v>25</v>
      </c>
      <c r="L23" s="7">
        <v>59</v>
      </c>
      <c r="M23" s="7">
        <v>80</v>
      </c>
      <c r="N23" s="7"/>
    </row>
    <row r="24" spans="2:14" x14ac:dyDescent="0.3">
      <c r="B24" s="1" t="s">
        <v>22</v>
      </c>
      <c r="C24" s="7">
        <v>5</v>
      </c>
      <c r="D24" s="7">
        <v>7</v>
      </c>
      <c r="E24" s="7">
        <v>7</v>
      </c>
      <c r="F24" s="7"/>
      <c r="G24" s="7">
        <v>-1</v>
      </c>
      <c r="H24" s="7">
        <v>-4</v>
      </c>
      <c r="I24" s="7">
        <v>-2</v>
      </c>
      <c r="J24" s="7"/>
      <c r="K24" s="7">
        <v>4</v>
      </c>
      <c r="L24" s="7">
        <v>15</v>
      </c>
      <c r="M24" s="7">
        <v>14</v>
      </c>
      <c r="N24" s="7"/>
    </row>
    <row r="25" spans="2:14" s="2" customFormat="1" x14ac:dyDescent="0.3">
      <c r="B25" s="2" t="s">
        <v>23</v>
      </c>
      <c r="C25" s="9">
        <f>C21-C22-C23-C24</f>
        <v>-19</v>
      </c>
      <c r="D25" s="9">
        <f>D21-D22-D23-D24</f>
        <v>-13</v>
      </c>
      <c r="E25" s="9">
        <f>E21-E22-E23-E24</f>
        <v>14</v>
      </c>
      <c r="F25" s="9"/>
      <c r="G25" s="9">
        <f>G21-G22-G23-G24</f>
        <v>-9</v>
      </c>
      <c r="H25" s="9">
        <f>H21-H22-H23-H24</f>
        <v>-8</v>
      </c>
      <c r="I25" s="9">
        <f>I21-I22-I23-I24</f>
        <v>-8</v>
      </c>
      <c r="J25" s="9"/>
      <c r="K25" s="9">
        <f>K21-K22-K23-K24</f>
        <v>-40</v>
      </c>
      <c r="L25" s="9">
        <f>L21-L22-L23-L24</f>
        <v>-59</v>
      </c>
      <c r="M25" s="9">
        <f>M21-M22-M23-M24</f>
        <v>-29</v>
      </c>
      <c r="N25" s="9"/>
    </row>
    <row r="26" spans="2:14" x14ac:dyDescent="0.3">
      <c r="B26" s="1" t="s">
        <v>24</v>
      </c>
      <c r="C26" s="7">
        <v>3</v>
      </c>
      <c r="D26" s="7">
        <v>3</v>
      </c>
      <c r="E26" s="7">
        <v>16</v>
      </c>
      <c r="F26" s="7"/>
      <c r="G26" s="7">
        <v>6</v>
      </c>
      <c r="H26" s="7">
        <v>18</v>
      </c>
      <c r="I26" s="7">
        <v>40</v>
      </c>
      <c r="J26" s="7"/>
      <c r="K26" s="7">
        <v>-7</v>
      </c>
      <c r="L26" s="7">
        <v>-12</v>
      </c>
      <c r="M26" s="7">
        <v>3</v>
      </c>
      <c r="N26" s="7"/>
    </row>
    <row r="27" spans="2:14" x14ac:dyDescent="0.3">
      <c r="B27" s="1" t="s">
        <v>25</v>
      </c>
      <c r="C27" s="7">
        <v>0</v>
      </c>
      <c r="D27" s="7">
        <v>1</v>
      </c>
      <c r="E27" s="7">
        <v>-1</v>
      </c>
      <c r="F27" s="7"/>
      <c r="G27" s="7">
        <v>-1</v>
      </c>
      <c r="H27" s="7">
        <v>1</v>
      </c>
      <c r="I27" s="7">
        <v>-2</v>
      </c>
      <c r="J27" s="7"/>
      <c r="K27" s="7">
        <v>-1</v>
      </c>
      <c r="L27" s="7">
        <v>-2</v>
      </c>
      <c r="M27" s="7">
        <v>-3</v>
      </c>
      <c r="N27" s="7"/>
    </row>
    <row r="28" spans="2:14" s="2" customFormat="1" x14ac:dyDescent="0.3">
      <c r="B28" s="2" t="s">
        <v>26</v>
      </c>
      <c r="C28" s="9">
        <f>C25-C26-C27</f>
        <v>-22</v>
      </c>
      <c r="D28" s="9">
        <f>D25-D26-D27</f>
        <v>-17</v>
      </c>
      <c r="E28" s="9">
        <f>E25-E26-E27</f>
        <v>-1</v>
      </c>
      <c r="F28" s="9"/>
      <c r="G28" s="9">
        <f>G25-G26-G27</f>
        <v>-14</v>
      </c>
      <c r="H28" s="9">
        <f>H25-H26-H27</f>
        <v>-27</v>
      </c>
      <c r="I28" s="9">
        <f>I25-I26-I27</f>
        <v>-46</v>
      </c>
      <c r="J28" s="9"/>
      <c r="K28" s="9">
        <f>K25-K26-K27</f>
        <v>-32</v>
      </c>
      <c r="L28" s="9">
        <f>L25-L26-L27</f>
        <v>-45</v>
      </c>
      <c r="M28" s="9">
        <f>M25-M26-M27</f>
        <v>-29</v>
      </c>
      <c r="N28" s="9"/>
    </row>
    <row r="29" spans="2:14" x14ac:dyDescent="0.3">
      <c r="B29" s="1" t="s">
        <v>2</v>
      </c>
      <c r="C29" s="7">
        <v>116</v>
      </c>
      <c r="D29" s="7">
        <v>116</v>
      </c>
      <c r="E29" s="7">
        <v>116</v>
      </c>
      <c r="F29" s="7"/>
      <c r="G29" s="7">
        <v>116</v>
      </c>
      <c r="H29" s="7">
        <v>116</v>
      </c>
      <c r="I29" s="7">
        <v>116</v>
      </c>
      <c r="J29" s="7"/>
      <c r="K29" s="7">
        <v>116</v>
      </c>
      <c r="L29" s="7">
        <v>116</v>
      </c>
      <c r="M29" s="7">
        <v>116</v>
      </c>
      <c r="N29" s="7"/>
    </row>
    <row r="30" spans="2:14" x14ac:dyDescent="0.3">
      <c r="B30" s="1" t="s">
        <v>27</v>
      </c>
      <c r="C30" s="8">
        <f>C28/C29</f>
        <v>-0.18965517241379309</v>
      </c>
      <c r="D30" s="8">
        <f>D28/D29</f>
        <v>-0.14655172413793102</v>
      </c>
      <c r="E30" s="8">
        <f>E28/E29</f>
        <v>-8.6206896551724137E-3</v>
      </c>
      <c r="F30" s="7"/>
      <c r="G30" s="8">
        <f t="shared" ref="G30:I30" si="0">G28/G29</f>
        <v>-0.1206896551724138</v>
      </c>
      <c r="H30" s="8">
        <f t="shared" si="0"/>
        <v>-0.23275862068965517</v>
      </c>
      <c r="I30" s="8">
        <f t="shared" si="0"/>
        <v>-0.39655172413793105</v>
      </c>
      <c r="J30" s="7"/>
      <c r="K30" s="8">
        <f>K28/K29</f>
        <v>-0.27586206896551724</v>
      </c>
      <c r="L30" s="8">
        <f>L28/L29</f>
        <v>-0.38793103448275862</v>
      </c>
      <c r="M30" s="8">
        <f>M28/M29</f>
        <v>-0.25</v>
      </c>
      <c r="N30" s="7"/>
    </row>
    <row r="34" spans="2:32" s="2" customFormat="1" x14ac:dyDescent="0.3">
      <c r="B34" s="2" t="s">
        <v>11</v>
      </c>
      <c r="C34" s="9">
        <f>C11</f>
        <v>338</v>
      </c>
      <c r="D34" s="9">
        <f>D11-C11</f>
        <v>388</v>
      </c>
      <c r="E34" s="9">
        <f>E11-D11</f>
        <v>410</v>
      </c>
      <c r="F34" s="9">
        <f>T34-E11</f>
        <v>711</v>
      </c>
      <c r="G34" s="9">
        <f>G11</f>
        <v>329</v>
      </c>
      <c r="H34" s="9">
        <f>H11-G11</f>
        <v>520</v>
      </c>
      <c r="I34" s="9">
        <f>I11-H11</f>
        <v>528</v>
      </c>
      <c r="J34" s="9">
        <f>U34-I11</f>
        <v>863</v>
      </c>
      <c r="K34" s="9">
        <f>K11</f>
        <v>395</v>
      </c>
      <c r="L34" s="9">
        <f>L11-K11</f>
        <v>549</v>
      </c>
      <c r="M34" s="9">
        <f>M11-L11</f>
        <v>591</v>
      </c>
      <c r="N34" s="9">
        <f>J34*1.16</f>
        <v>1001.0799999999999</v>
      </c>
      <c r="P34" s="9">
        <v>1114.2</v>
      </c>
      <c r="Q34" s="9">
        <v>1206.9000000000001</v>
      </c>
      <c r="R34" s="9">
        <v>1474</v>
      </c>
      <c r="S34" s="9">
        <v>1707</v>
      </c>
      <c r="T34" s="9">
        <v>1847</v>
      </c>
      <c r="U34" s="9">
        <v>2240</v>
      </c>
      <c r="V34" s="9">
        <f>SUM(K34:N34)</f>
        <v>2536.08</v>
      </c>
      <c r="W34" s="9">
        <f>V34*1.1</f>
        <v>2789.6880000000001</v>
      </c>
      <c r="X34" s="9">
        <f>W34*1.08</f>
        <v>3012.8630400000002</v>
      </c>
      <c r="Y34" s="9">
        <f>X34*1.06</f>
        <v>3193.6348224000003</v>
      </c>
      <c r="Z34" s="9">
        <f>Y34*1.05</f>
        <v>3353.3165635200003</v>
      </c>
      <c r="AA34" s="9">
        <f t="shared" ref="AA34:AF34" si="1">Z34*1.05</f>
        <v>3520.9823916960004</v>
      </c>
      <c r="AB34" s="9">
        <f t="shared" si="1"/>
        <v>3697.0315112808007</v>
      </c>
      <c r="AC34" s="9">
        <f t="shared" si="1"/>
        <v>3881.8830868448408</v>
      </c>
      <c r="AD34" s="9">
        <f t="shared" si="1"/>
        <v>4075.9772411870831</v>
      </c>
      <c r="AE34" s="9">
        <f t="shared" si="1"/>
        <v>4279.7761032464377</v>
      </c>
      <c r="AF34" s="9">
        <f t="shared" si="1"/>
        <v>4493.7649084087598</v>
      </c>
    </row>
    <row r="35" spans="2:32" x14ac:dyDescent="0.3">
      <c r="B35" s="1" t="s">
        <v>12</v>
      </c>
      <c r="C35" s="7">
        <f>C12</f>
        <v>278</v>
      </c>
      <c r="D35" s="7">
        <f>D12-C12</f>
        <v>324</v>
      </c>
      <c r="E35" s="7">
        <f>E12-D12</f>
        <v>311</v>
      </c>
      <c r="F35" s="7">
        <f>T35-E12</f>
        <v>514</v>
      </c>
      <c r="G35" s="7">
        <f>G12</f>
        <v>269</v>
      </c>
      <c r="H35" s="7">
        <f>H12-G12</f>
        <v>419</v>
      </c>
      <c r="I35" s="7">
        <f>I12-H12</f>
        <v>417</v>
      </c>
      <c r="J35" s="7">
        <f>U35-I12</f>
        <v>627</v>
      </c>
      <c r="K35" s="7">
        <f>K12</f>
        <v>339</v>
      </c>
      <c r="L35" s="7">
        <f>L12-K12</f>
        <v>451</v>
      </c>
      <c r="M35" s="7">
        <f>M12-L12</f>
        <v>468</v>
      </c>
      <c r="N35" s="7">
        <f>N34-N36</f>
        <v>690.74519999999995</v>
      </c>
      <c r="P35" s="7">
        <v>859.3</v>
      </c>
      <c r="Q35" s="7">
        <v>936.1</v>
      </c>
      <c r="R35" s="7">
        <v>1144</v>
      </c>
      <c r="S35" s="7">
        <v>1314</v>
      </c>
      <c r="T35" s="7">
        <v>1427</v>
      </c>
      <c r="U35" s="7">
        <v>1732</v>
      </c>
      <c r="V35" s="7">
        <f>SUM(K35:N35)</f>
        <v>1948.7451999999998</v>
      </c>
      <c r="W35" s="7">
        <f>W34-W36</f>
        <v>2148.0597600000001</v>
      </c>
      <c r="X35" s="7">
        <f t="shared" ref="X35:AF35" si="2">X34-X36</f>
        <v>2319.9045408000002</v>
      </c>
      <c r="Y35" s="7">
        <f t="shared" si="2"/>
        <v>2459.0988132480002</v>
      </c>
      <c r="Z35" s="7">
        <f t="shared" si="2"/>
        <v>2582.0537539104002</v>
      </c>
      <c r="AA35" s="7">
        <f t="shared" si="2"/>
        <v>2711.15644160592</v>
      </c>
      <c r="AB35" s="7">
        <f t="shared" si="2"/>
        <v>2846.7142636862163</v>
      </c>
      <c r="AC35" s="7">
        <f t="shared" si="2"/>
        <v>2989.0499768705276</v>
      </c>
      <c r="AD35" s="7">
        <f t="shared" si="2"/>
        <v>3138.5024757140541</v>
      </c>
      <c r="AE35" s="7">
        <f t="shared" si="2"/>
        <v>3295.427599499757</v>
      </c>
      <c r="AF35" s="7">
        <f t="shared" si="2"/>
        <v>3460.1989794747451</v>
      </c>
    </row>
    <row r="36" spans="2:32" s="2" customFormat="1" x14ac:dyDescent="0.3">
      <c r="B36" s="2" t="s">
        <v>13</v>
      </c>
      <c r="C36" s="9">
        <f t="shared" ref="C36" si="3">C34-C35</f>
        <v>60</v>
      </c>
      <c r="D36" s="9">
        <f t="shared" ref="D36" si="4">D34-D35</f>
        <v>64</v>
      </c>
      <c r="E36" s="9">
        <f t="shared" ref="E36" si="5">E34-E35</f>
        <v>99</v>
      </c>
      <c r="F36" s="9">
        <f t="shared" ref="F36" si="6">F34-F35</f>
        <v>197</v>
      </c>
      <c r="G36" s="9">
        <f t="shared" ref="G36:J36" si="7">G34-G35</f>
        <v>60</v>
      </c>
      <c r="H36" s="9">
        <f t="shared" si="7"/>
        <v>101</v>
      </c>
      <c r="I36" s="9">
        <f t="shared" si="7"/>
        <v>111</v>
      </c>
      <c r="J36" s="9">
        <f t="shared" si="7"/>
        <v>236</v>
      </c>
      <c r="K36" s="9">
        <f t="shared" ref="K36" si="8">K34-K35</f>
        <v>56</v>
      </c>
      <c r="L36" s="9">
        <f t="shared" ref="L36" si="9">L34-L35</f>
        <v>98</v>
      </c>
      <c r="M36" s="9">
        <f>M34*0.24</f>
        <v>141.84</v>
      </c>
      <c r="N36" s="9">
        <f>N34*0.31</f>
        <v>310.33479999999997</v>
      </c>
      <c r="P36" s="9">
        <f t="shared" ref="P36:V36" si="10">P34-P35</f>
        <v>254.90000000000009</v>
      </c>
      <c r="Q36" s="9">
        <f t="shared" si="10"/>
        <v>270.80000000000007</v>
      </c>
      <c r="R36" s="9">
        <f t="shared" si="10"/>
        <v>330</v>
      </c>
      <c r="S36" s="9">
        <f t="shared" si="10"/>
        <v>393</v>
      </c>
      <c r="T36" s="9">
        <f t="shared" si="10"/>
        <v>420</v>
      </c>
      <c r="U36" s="9">
        <f t="shared" si="10"/>
        <v>508</v>
      </c>
      <c r="V36" s="9">
        <f t="shared" si="10"/>
        <v>587.33480000000009</v>
      </c>
      <c r="W36" s="9">
        <f>W34*0.23</f>
        <v>641.62824000000001</v>
      </c>
      <c r="X36" s="9">
        <f t="shared" ref="X36:AF36" si="11">X34*0.23</f>
        <v>692.95849920000012</v>
      </c>
      <c r="Y36" s="9">
        <f t="shared" si="11"/>
        <v>734.53600915200013</v>
      </c>
      <c r="Z36" s="9">
        <f t="shared" si="11"/>
        <v>771.26280960960014</v>
      </c>
      <c r="AA36" s="9">
        <f t="shared" si="11"/>
        <v>809.82595009008014</v>
      </c>
      <c r="AB36" s="9">
        <f t="shared" si="11"/>
        <v>850.31724759458416</v>
      </c>
      <c r="AC36" s="9">
        <f t="shared" si="11"/>
        <v>892.8331099743134</v>
      </c>
      <c r="AD36" s="9">
        <f t="shared" si="11"/>
        <v>937.47476547302915</v>
      </c>
      <c r="AE36" s="9">
        <f t="shared" si="11"/>
        <v>984.34850374668076</v>
      </c>
      <c r="AF36" s="9">
        <f t="shared" si="11"/>
        <v>1033.5659289340149</v>
      </c>
    </row>
    <row r="37" spans="2:32" x14ac:dyDescent="0.3">
      <c r="B37" s="1" t="s">
        <v>14</v>
      </c>
      <c r="C37" s="7">
        <f t="shared" ref="C37:C42" si="12">C14</f>
        <v>27</v>
      </c>
      <c r="D37" s="7">
        <f t="shared" ref="D37:E37" si="13">D14-C14</f>
        <v>28</v>
      </c>
      <c r="E37" s="7">
        <f t="shared" si="13"/>
        <v>28</v>
      </c>
      <c r="F37" s="7">
        <f t="shared" ref="F37:F42" si="14">T37-E14</f>
        <v>28</v>
      </c>
      <c r="G37" s="7">
        <f t="shared" ref="G37:G42" si="15">G14</f>
        <v>27</v>
      </c>
      <c r="H37" s="7">
        <f t="shared" ref="H37:I42" si="16">H14-G14</f>
        <v>35</v>
      </c>
      <c r="I37" s="7">
        <f t="shared" si="16"/>
        <v>33</v>
      </c>
      <c r="J37" s="7">
        <f t="shared" ref="J37:J42" si="17">U37-I14</f>
        <v>33</v>
      </c>
      <c r="K37" s="7">
        <f t="shared" ref="K37:K42" si="18">K14</f>
        <v>32</v>
      </c>
      <c r="L37" s="7">
        <f t="shared" ref="L37:M37" si="19">L14-K14</f>
        <v>35</v>
      </c>
      <c r="M37" s="7">
        <f t="shared" si="19"/>
        <v>32</v>
      </c>
      <c r="N37" s="7">
        <f>N34*0.04</f>
        <v>40.043199999999999</v>
      </c>
      <c r="P37" s="7">
        <v>84.8</v>
      </c>
      <c r="Q37" s="7">
        <v>90.2</v>
      </c>
      <c r="R37" s="7">
        <v>99</v>
      </c>
      <c r="S37" s="7">
        <v>107</v>
      </c>
      <c r="T37" s="7">
        <v>111</v>
      </c>
      <c r="U37" s="7">
        <v>128</v>
      </c>
      <c r="V37" s="7">
        <f t="shared" ref="V37:V42" si="20">SUM(K37:N37)</f>
        <v>139.04320000000001</v>
      </c>
      <c r="W37" s="7">
        <f>W34*0.05</f>
        <v>139.48440000000002</v>
      </c>
      <c r="X37" s="7">
        <f t="shared" ref="X37:AF37" si="21">X34*0.05</f>
        <v>150.64315200000001</v>
      </c>
      <c r="Y37" s="7">
        <f t="shared" si="21"/>
        <v>159.68174112000003</v>
      </c>
      <c r="Z37" s="7">
        <f t="shared" si="21"/>
        <v>167.66582817600002</v>
      </c>
      <c r="AA37" s="7">
        <f t="shared" si="21"/>
        <v>176.04911958480002</v>
      </c>
      <c r="AB37" s="7">
        <f t="shared" si="21"/>
        <v>184.85157556404005</v>
      </c>
      <c r="AC37" s="7">
        <f t="shared" si="21"/>
        <v>194.09415434224206</v>
      </c>
      <c r="AD37" s="7">
        <f t="shared" si="21"/>
        <v>203.79886205935418</v>
      </c>
      <c r="AE37" s="7">
        <f t="shared" si="21"/>
        <v>213.98880516232191</v>
      </c>
      <c r="AF37" s="7">
        <f t="shared" si="21"/>
        <v>224.68824542043799</v>
      </c>
    </row>
    <row r="38" spans="2:32" x14ac:dyDescent="0.3">
      <c r="B38" s="1" t="s">
        <v>15</v>
      </c>
      <c r="C38" s="7">
        <f t="shared" si="12"/>
        <v>23</v>
      </c>
      <c r="D38" s="7">
        <f t="shared" ref="D38:E38" si="22">D15-C15</f>
        <v>25</v>
      </c>
      <c r="E38" s="7">
        <f t="shared" si="22"/>
        <v>28</v>
      </c>
      <c r="F38" s="7">
        <f t="shared" si="14"/>
        <v>42</v>
      </c>
      <c r="G38" s="7">
        <f t="shared" si="15"/>
        <v>31</v>
      </c>
      <c r="H38" s="7">
        <f t="shared" si="16"/>
        <v>43</v>
      </c>
      <c r="I38" s="7">
        <f t="shared" si="16"/>
        <v>38</v>
      </c>
      <c r="J38" s="7">
        <f t="shared" si="17"/>
        <v>50</v>
      </c>
      <c r="K38" s="7">
        <f t="shared" si="18"/>
        <v>32</v>
      </c>
      <c r="L38" s="7">
        <f t="shared" ref="L38:M38" si="23">L15-K15</f>
        <v>36</v>
      </c>
      <c r="M38" s="7">
        <f t="shared" si="23"/>
        <v>35</v>
      </c>
      <c r="N38" s="7">
        <f>J38*1.05</f>
        <v>52.5</v>
      </c>
      <c r="P38" s="7">
        <v>76.3</v>
      </c>
      <c r="Q38" s="7">
        <v>87.2</v>
      </c>
      <c r="R38" s="7">
        <v>83</v>
      </c>
      <c r="S38" s="7">
        <v>92</v>
      </c>
      <c r="T38" s="7">
        <v>118</v>
      </c>
      <c r="U38" s="7">
        <v>162</v>
      </c>
      <c r="V38" s="7">
        <f t="shared" si="20"/>
        <v>155.5</v>
      </c>
      <c r="W38" s="7">
        <f>V38*1.02</f>
        <v>158.61000000000001</v>
      </c>
      <c r="X38" s="7">
        <f t="shared" ref="X38:Z38" si="24">W38*1.02</f>
        <v>161.78220000000002</v>
      </c>
      <c r="Y38" s="7">
        <f t="shared" si="24"/>
        <v>165.01784400000003</v>
      </c>
      <c r="Z38" s="7">
        <f t="shared" si="24"/>
        <v>168.31820088000003</v>
      </c>
      <c r="AA38" s="7">
        <f>Z38*1.01</f>
        <v>170.00138288880004</v>
      </c>
      <c r="AB38" s="7">
        <f t="shared" ref="AB38:AF38" si="25">AA38*1.01</f>
        <v>171.70139671768803</v>
      </c>
      <c r="AC38" s="7">
        <f t="shared" si="25"/>
        <v>173.41841068486491</v>
      </c>
      <c r="AD38" s="7">
        <f t="shared" si="25"/>
        <v>175.15259479171357</v>
      </c>
      <c r="AE38" s="7">
        <f t="shared" si="25"/>
        <v>176.90412073963071</v>
      </c>
      <c r="AF38" s="7">
        <f t="shared" si="25"/>
        <v>178.67316194702701</v>
      </c>
    </row>
    <row r="39" spans="2:32" x14ac:dyDescent="0.3">
      <c r="B39" s="1" t="s">
        <v>28</v>
      </c>
      <c r="C39" s="7">
        <f t="shared" si="12"/>
        <v>8</v>
      </c>
      <c r="D39" s="7">
        <f t="shared" ref="D39:E39" si="26">D16-C16</f>
        <v>5</v>
      </c>
      <c r="E39" s="7">
        <f t="shared" si="26"/>
        <v>7</v>
      </c>
      <c r="F39" s="7">
        <f t="shared" si="14"/>
        <v>10</v>
      </c>
      <c r="G39" s="7">
        <f t="shared" si="15"/>
        <v>8</v>
      </c>
      <c r="H39" s="7">
        <f t="shared" si="16"/>
        <v>9</v>
      </c>
      <c r="I39" s="7">
        <f t="shared" si="16"/>
        <v>9</v>
      </c>
      <c r="J39" s="7">
        <f t="shared" si="17"/>
        <v>6</v>
      </c>
      <c r="K39" s="7">
        <f t="shared" si="18"/>
        <v>8</v>
      </c>
      <c r="L39" s="7">
        <f t="shared" ref="L39:M39" si="27">L16-K16</f>
        <v>9</v>
      </c>
      <c r="M39" s="7">
        <f t="shared" si="27"/>
        <v>12</v>
      </c>
      <c r="N39" s="7">
        <v>13</v>
      </c>
      <c r="P39" s="7">
        <v>31</v>
      </c>
      <c r="Q39" s="7">
        <v>25.1</v>
      </c>
      <c r="R39" s="7">
        <v>31</v>
      </c>
      <c r="S39" s="7">
        <v>36</v>
      </c>
      <c r="T39" s="7">
        <v>30</v>
      </c>
      <c r="U39" s="7">
        <v>32</v>
      </c>
      <c r="V39" s="7">
        <f t="shared" si="20"/>
        <v>42</v>
      </c>
      <c r="W39" s="7">
        <f>V39*1.12</f>
        <v>47.040000000000006</v>
      </c>
      <c r="X39" s="7">
        <f>W39*1.04</f>
        <v>48.921600000000005</v>
      </c>
      <c r="Y39" s="7">
        <f>X39*1.03</f>
        <v>50.389248000000009</v>
      </c>
      <c r="Z39" s="7">
        <f t="shared" ref="Z39:AF39" si="28">Y39*1.03</f>
        <v>51.900925440000009</v>
      </c>
      <c r="AA39" s="7">
        <f t="shared" si="28"/>
        <v>53.457953203200013</v>
      </c>
      <c r="AB39" s="7">
        <f t="shared" si="28"/>
        <v>55.061691799296014</v>
      </c>
      <c r="AC39" s="7">
        <f t="shared" si="28"/>
        <v>56.713542553274898</v>
      </c>
      <c r="AD39" s="7">
        <f t="shared" si="28"/>
        <v>58.414948829873147</v>
      </c>
      <c r="AE39" s="7">
        <f t="shared" si="28"/>
        <v>60.167397294769344</v>
      </c>
      <c r="AF39" s="7">
        <f t="shared" si="28"/>
        <v>61.972419213612426</v>
      </c>
    </row>
    <row r="40" spans="2:32" x14ac:dyDescent="0.3">
      <c r="B40" s="1" t="s">
        <v>17</v>
      </c>
      <c r="C40" s="7">
        <f t="shared" si="12"/>
        <v>-3</v>
      </c>
      <c r="D40" s="7">
        <f t="shared" ref="D40:E40" si="29">D17-C17</f>
        <v>-7</v>
      </c>
      <c r="E40" s="7">
        <f t="shared" si="29"/>
        <v>-7</v>
      </c>
      <c r="F40" s="7">
        <f t="shared" si="14"/>
        <v>-5</v>
      </c>
      <c r="G40" s="7">
        <f t="shared" si="15"/>
        <v>-4</v>
      </c>
      <c r="H40" s="7">
        <f t="shared" si="16"/>
        <v>-4</v>
      </c>
      <c r="I40" s="7">
        <f t="shared" si="16"/>
        <v>-5</v>
      </c>
      <c r="J40" s="7">
        <f t="shared" si="17"/>
        <v>-9</v>
      </c>
      <c r="K40" s="7">
        <f t="shared" si="18"/>
        <v>-5</v>
      </c>
      <c r="L40" s="7">
        <f t="shared" ref="L40:M40" si="30">L17-K17</f>
        <v>-11</v>
      </c>
      <c r="M40" s="7">
        <f t="shared" si="30"/>
        <v>-8</v>
      </c>
      <c r="N40" s="7">
        <v>-8</v>
      </c>
      <c r="P40" s="7">
        <v>-25.3</v>
      </c>
      <c r="Q40" s="7">
        <v>-18.899999999999999</v>
      </c>
      <c r="R40" s="7">
        <v>-29</v>
      </c>
      <c r="S40" s="7">
        <v>-21</v>
      </c>
      <c r="T40" s="7">
        <v>-22</v>
      </c>
      <c r="U40" s="7">
        <v>-22</v>
      </c>
      <c r="V40" s="7">
        <f t="shared" si="20"/>
        <v>-32</v>
      </c>
      <c r="W40" s="7">
        <f>V40*1.02</f>
        <v>-32.64</v>
      </c>
      <c r="X40" s="7">
        <f t="shared" ref="X40:AF40" si="31">W40*1.02</f>
        <v>-33.2928</v>
      </c>
      <c r="Y40" s="7">
        <f t="shared" si="31"/>
        <v>-33.958655999999998</v>
      </c>
      <c r="Z40" s="7">
        <f t="shared" si="31"/>
        <v>-34.637829119999999</v>
      </c>
      <c r="AA40" s="7">
        <f t="shared" si="31"/>
        <v>-35.330585702400001</v>
      </c>
      <c r="AB40" s="7">
        <f t="shared" si="31"/>
        <v>-36.037197416448002</v>
      </c>
      <c r="AC40" s="7">
        <f t="shared" si="31"/>
        <v>-36.757941364776961</v>
      </c>
      <c r="AD40" s="7">
        <f t="shared" si="31"/>
        <v>-37.493100192072504</v>
      </c>
      <c r="AE40" s="7">
        <f t="shared" si="31"/>
        <v>-38.242962195913954</v>
      </c>
      <c r="AF40" s="7">
        <f t="shared" si="31"/>
        <v>-39.007821439832234</v>
      </c>
    </row>
    <row r="41" spans="2:32" x14ac:dyDescent="0.3">
      <c r="B41" s="1" t="s">
        <v>18</v>
      </c>
      <c r="C41" s="7">
        <f t="shared" si="12"/>
        <v>4</v>
      </c>
      <c r="D41" s="7">
        <f t="shared" ref="D41:E41" si="32">D18-C18</f>
        <v>5</v>
      </c>
      <c r="E41" s="7">
        <f t="shared" si="32"/>
        <v>5</v>
      </c>
      <c r="F41" s="7">
        <f t="shared" si="14"/>
        <v>7</v>
      </c>
      <c r="G41" s="7">
        <f t="shared" si="15"/>
        <v>6</v>
      </c>
      <c r="H41" s="7">
        <f t="shared" si="16"/>
        <v>4</v>
      </c>
      <c r="I41" s="7">
        <f t="shared" si="16"/>
        <v>4</v>
      </c>
      <c r="J41" s="7">
        <f t="shared" si="17"/>
        <v>10</v>
      </c>
      <c r="K41" s="7">
        <f t="shared" si="18"/>
        <v>7</v>
      </c>
      <c r="L41" s="7">
        <f t="shared" ref="L41:M41" si="33">L18-K18</f>
        <v>6</v>
      </c>
      <c r="M41" s="7">
        <f t="shared" si="33"/>
        <v>7</v>
      </c>
      <c r="N41" s="7">
        <v>10</v>
      </c>
      <c r="P41" s="7">
        <v>24.8</v>
      </c>
      <c r="Q41" s="7">
        <v>16.100000000000001</v>
      </c>
      <c r="R41" s="7">
        <v>18</v>
      </c>
      <c r="S41" s="7">
        <v>21</v>
      </c>
      <c r="T41" s="7">
        <v>21</v>
      </c>
      <c r="U41" s="7">
        <v>24</v>
      </c>
      <c r="V41" s="7">
        <f t="shared" si="20"/>
        <v>30</v>
      </c>
      <c r="W41" s="7">
        <f>V41*1.02</f>
        <v>30.6</v>
      </c>
      <c r="X41" s="7">
        <f t="shared" ref="X41:AF41" si="34">W41*1.02</f>
        <v>31.212000000000003</v>
      </c>
      <c r="Y41" s="7">
        <f t="shared" si="34"/>
        <v>31.836240000000004</v>
      </c>
      <c r="Z41" s="7">
        <f t="shared" si="34"/>
        <v>32.472964800000007</v>
      </c>
      <c r="AA41" s="7">
        <f t="shared" si="34"/>
        <v>33.12242409600001</v>
      </c>
      <c r="AB41" s="7">
        <f t="shared" si="34"/>
        <v>33.784872577920012</v>
      </c>
      <c r="AC41" s="7">
        <f t="shared" si="34"/>
        <v>34.460570029478411</v>
      </c>
      <c r="AD41" s="7">
        <f t="shared" si="34"/>
        <v>35.149781430067982</v>
      </c>
      <c r="AE41" s="7">
        <f t="shared" si="34"/>
        <v>35.852777058669339</v>
      </c>
      <c r="AF41" s="7">
        <f t="shared" si="34"/>
        <v>36.569832599842726</v>
      </c>
    </row>
    <row r="42" spans="2:32" x14ac:dyDescent="0.3">
      <c r="B42" s="1" t="s">
        <v>16</v>
      </c>
      <c r="C42" s="7">
        <f t="shared" si="12"/>
        <v>0</v>
      </c>
      <c r="D42" s="7">
        <f t="shared" ref="D42:E42" si="35">D19-C19</f>
        <v>-5</v>
      </c>
      <c r="E42" s="7">
        <f t="shared" si="35"/>
        <v>0</v>
      </c>
      <c r="F42" s="7">
        <f t="shared" si="14"/>
        <v>0</v>
      </c>
      <c r="G42" s="7">
        <f t="shared" si="15"/>
        <v>0</v>
      </c>
      <c r="H42" s="7">
        <f t="shared" si="16"/>
        <v>1</v>
      </c>
      <c r="I42" s="7">
        <f t="shared" si="16"/>
        <v>-3</v>
      </c>
      <c r="J42" s="7">
        <f t="shared" si="17"/>
        <v>2</v>
      </c>
      <c r="K42" s="7">
        <f t="shared" si="18"/>
        <v>-1</v>
      </c>
      <c r="L42" s="7">
        <f t="shared" ref="L42:M42" si="36">L19-K19</f>
        <v>2</v>
      </c>
      <c r="M42" s="7">
        <f t="shared" si="36"/>
        <v>1</v>
      </c>
      <c r="N42" s="7">
        <v>0</v>
      </c>
      <c r="P42" s="7">
        <v>1.2</v>
      </c>
      <c r="Q42" s="7">
        <v>2.6</v>
      </c>
      <c r="R42" s="7">
        <v>2</v>
      </c>
      <c r="S42" s="7">
        <v>-8</v>
      </c>
      <c r="T42" s="7">
        <v>-5</v>
      </c>
      <c r="U42" s="7">
        <f>-3+3</f>
        <v>0</v>
      </c>
      <c r="V42" s="7">
        <f t="shared" si="20"/>
        <v>2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</row>
    <row r="43" spans="2:32" x14ac:dyDescent="0.3">
      <c r="B43" s="1" t="s">
        <v>19</v>
      </c>
      <c r="C43" s="7">
        <f t="shared" ref="C43" si="37">SUM(C37:C42)</f>
        <v>59</v>
      </c>
      <c r="D43" s="7">
        <f t="shared" ref="D43" si="38">SUM(D37:D42)</f>
        <v>51</v>
      </c>
      <c r="E43" s="7">
        <f t="shared" ref="E43" si="39">SUM(E37:E42)</f>
        <v>61</v>
      </c>
      <c r="F43" s="7">
        <f t="shared" ref="F43" si="40">SUM(F37:F42)</f>
        <v>82</v>
      </c>
      <c r="G43" s="7">
        <f t="shared" ref="G43:J43" si="41">SUM(G37:G42)</f>
        <v>68</v>
      </c>
      <c r="H43" s="7">
        <f t="shared" si="41"/>
        <v>88</v>
      </c>
      <c r="I43" s="7">
        <f t="shared" si="41"/>
        <v>76</v>
      </c>
      <c r="J43" s="7">
        <f t="shared" si="41"/>
        <v>92</v>
      </c>
      <c r="K43" s="7">
        <f t="shared" ref="K43" si="42">SUM(K37:K42)</f>
        <v>73</v>
      </c>
      <c r="L43" s="7">
        <f t="shared" ref="L43" si="43">SUM(L37:L42)</f>
        <v>77</v>
      </c>
      <c r="M43" s="7">
        <f t="shared" ref="M43" si="44">SUM(M37:M42)</f>
        <v>79</v>
      </c>
      <c r="N43" s="7">
        <f t="shared" ref="N43" si="45">SUM(N37:N42)</f>
        <v>107.5432</v>
      </c>
      <c r="P43" s="7">
        <f t="shared" ref="P43:W43" si="46">SUM(P37:P42)</f>
        <v>192.79999999999998</v>
      </c>
      <c r="Q43" s="7">
        <f t="shared" si="46"/>
        <v>202.29999999999998</v>
      </c>
      <c r="R43" s="7">
        <f t="shared" si="46"/>
        <v>204</v>
      </c>
      <c r="S43" s="7">
        <f t="shared" si="46"/>
        <v>227</v>
      </c>
      <c r="T43" s="7">
        <f t="shared" si="46"/>
        <v>253</v>
      </c>
      <c r="U43" s="7">
        <f t="shared" si="46"/>
        <v>324</v>
      </c>
      <c r="V43" s="7">
        <f t="shared" si="46"/>
        <v>336.54320000000001</v>
      </c>
      <c r="W43" s="7">
        <f t="shared" si="46"/>
        <v>343.09440000000012</v>
      </c>
      <c r="X43" s="7">
        <f t="shared" ref="X43:AF43" si="47">SUM(X37:X42)</f>
        <v>359.26615200000003</v>
      </c>
      <c r="Y43" s="7">
        <f t="shared" si="47"/>
        <v>372.96641712000007</v>
      </c>
      <c r="Z43" s="7">
        <f t="shared" si="47"/>
        <v>385.7200901760001</v>
      </c>
      <c r="AA43" s="7">
        <f t="shared" si="47"/>
        <v>397.30029407040013</v>
      </c>
      <c r="AB43" s="7">
        <f t="shared" si="47"/>
        <v>409.36233924249609</v>
      </c>
      <c r="AC43" s="7">
        <f t="shared" si="47"/>
        <v>421.92873624508331</v>
      </c>
      <c r="AD43" s="7">
        <f t="shared" si="47"/>
        <v>435.02308691893637</v>
      </c>
      <c r="AE43" s="7">
        <f t="shared" si="47"/>
        <v>448.67013805947732</v>
      </c>
      <c r="AF43" s="7">
        <f t="shared" si="47"/>
        <v>462.89583774108792</v>
      </c>
    </row>
    <row r="44" spans="2:32" s="2" customFormat="1" x14ac:dyDescent="0.3">
      <c r="B44" s="2" t="s">
        <v>20</v>
      </c>
      <c r="C44" s="9">
        <f t="shared" ref="C44" si="48">C36-C43</f>
        <v>1</v>
      </c>
      <c r="D44" s="9">
        <f t="shared" ref="D44" si="49">D36-D43</f>
        <v>13</v>
      </c>
      <c r="E44" s="9">
        <f t="shared" ref="E44" si="50">E36-E43</f>
        <v>38</v>
      </c>
      <c r="F44" s="9">
        <f t="shared" ref="F44" si="51">F36-F43</f>
        <v>115</v>
      </c>
      <c r="G44" s="9">
        <f t="shared" ref="G44:J44" si="52">G36-G43</f>
        <v>-8</v>
      </c>
      <c r="H44" s="9">
        <f t="shared" si="52"/>
        <v>13</v>
      </c>
      <c r="I44" s="9">
        <f t="shared" si="52"/>
        <v>35</v>
      </c>
      <c r="J44" s="9">
        <f t="shared" si="52"/>
        <v>144</v>
      </c>
      <c r="K44" s="9">
        <f t="shared" ref="K44" si="53">K36-K43</f>
        <v>-17</v>
      </c>
      <c r="L44" s="9">
        <f t="shared" ref="L44" si="54">L36-L43</f>
        <v>21</v>
      </c>
      <c r="M44" s="9">
        <f t="shared" ref="M44" si="55">M36-M43</f>
        <v>62.84</v>
      </c>
      <c r="N44" s="9">
        <f t="shared" ref="N44" si="56">N36-N43</f>
        <v>202.79159999999996</v>
      </c>
      <c r="P44" s="9">
        <f t="shared" ref="P44:W44" si="57">P36-P43</f>
        <v>62.100000000000108</v>
      </c>
      <c r="Q44" s="9">
        <f t="shared" si="57"/>
        <v>68.500000000000085</v>
      </c>
      <c r="R44" s="9">
        <f t="shared" si="57"/>
        <v>126</v>
      </c>
      <c r="S44" s="9">
        <f t="shared" si="57"/>
        <v>166</v>
      </c>
      <c r="T44" s="9">
        <f t="shared" si="57"/>
        <v>167</v>
      </c>
      <c r="U44" s="9">
        <f t="shared" si="57"/>
        <v>184</v>
      </c>
      <c r="V44" s="9">
        <f t="shared" si="57"/>
        <v>250.79160000000007</v>
      </c>
      <c r="W44" s="9">
        <f t="shared" si="57"/>
        <v>298.53383999999988</v>
      </c>
      <c r="X44" s="9">
        <f t="shared" ref="X44:AF44" si="58">X36-X43</f>
        <v>333.69234720000009</v>
      </c>
      <c r="Y44" s="9">
        <f t="shared" si="58"/>
        <v>361.56959203200006</v>
      </c>
      <c r="Z44" s="9">
        <f t="shared" si="58"/>
        <v>385.54271943360004</v>
      </c>
      <c r="AA44" s="9">
        <f t="shared" si="58"/>
        <v>412.52565601968001</v>
      </c>
      <c r="AB44" s="9">
        <f t="shared" si="58"/>
        <v>440.95490835208807</v>
      </c>
      <c r="AC44" s="9">
        <f t="shared" si="58"/>
        <v>470.90437372923009</v>
      </c>
      <c r="AD44" s="9">
        <f t="shared" si="58"/>
        <v>502.45167855409278</v>
      </c>
      <c r="AE44" s="9">
        <f t="shared" si="58"/>
        <v>535.6783656872035</v>
      </c>
      <c r="AF44" s="9">
        <f t="shared" si="58"/>
        <v>570.67009119292698</v>
      </c>
    </row>
    <row r="45" spans="2:32" x14ac:dyDescent="0.3">
      <c r="B45" s="1" t="s">
        <v>29</v>
      </c>
      <c r="C45" s="7">
        <f t="shared" ref="C45:C47" si="59">C22</f>
        <v>-4</v>
      </c>
      <c r="D45" s="7">
        <f t="shared" ref="D45:E45" si="60">D22-C22</f>
        <v>-7</v>
      </c>
      <c r="E45" s="7">
        <f t="shared" si="60"/>
        <v>-6</v>
      </c>
      <c r="F45" s="7">
        <f t="shared" ref="F45:F47" si="61">T45-E22</f>
        <v>-1</v>
      </c>
      <c r="G45" s="7">
        <f t="shared" ref="G45:G47" si="62">G22</f>
        <v>-17</v>
      </c>
      <c r="H45" s="7">
        <f t="shared" ref="H45:I47" si="63">H22-G22</f>
        <v>-11</v>
      </c>
      <c r="I45" s="7">
        <f t="shared" si="63"/>
        <v>4</v>
      </c>
      <c r="J45" s="7">
        <f t="shared" ref="J45:J47" si="64">U45-I22</f>
        <v>-7</v>
      </c>
      <c r="K45" s="7">
        <f t="shared" ref="K45:K47" si="65">K22</f>
        <v>-6</v>
      </c>
      <c r="L45" s="7">
        <f t="shared" ref="L45:M45" si="66">L22-K22</f>
        <v>-5</v>
      </c>
      <c r="M45" s="7">
        <f t="shared" si="66"/>
        <v>-6</v>
      </c>
      <c r="N45" s="7">
        <v>-7</v>
      </c>
      <c r="P45" s="7">
        <v>-58.9</v>
      </c>
      <c r="Q45" s="7">
        <v>-4</v>
      </c>
      <c r="R45" s="7">
        <v>-4</v>
      </c>
      <c r="S45" s="7">
        <v>-9</v>
      </c>
      <c r="T45" s="7">
        <v>-18</v>
      </c>
      <c r="U45" s="7">
        <v>-31</v>
      </c>
      <c r="V45" s="7">
        <f t="shared" ref="V45:V47" si="67">SUM(K45:N45)</f>
        <v>-24</v>
      </c>
      <c r="W45" s="7">
        <f>V45*1.02</f>
        <v>-24.48</v>
      </c>
      <c r="X45" s="7">
        <f t="shared" ref="X45:AF45" si="68">W45*1.02</f>
        <v>-24.9696</v>
      </c>
      <c r="Y45" s="7">
        <f t="shared" si="68"/>
        <v>-25.468992</v>
      </c>
      <c r="Z45" s="7">
        <f t="shared" si="68"/>
        <v>-25.978371840000001</v>
      </c>
      <c r="AA45" s="7">
        <f t="shared" si="68"/>
        <v>-26.4979392768</v>
      </c>
      <c r="AB45" s="7">
        <f t="shared" si="68"/>
        <v>-27.027898062336</v>
      </c>
      <c r="AC45" s="7">
        <f t="shared" si="68"/>
        <v>-27.568456023582719</v>
      </c>
      <c r="AD45" s="7">
        <f t="shared" si="68"/>
        <v>-28.119825144054374</v>
      </c>
      <c r="AE45" s="7">
        <f t="shared" si="68"/>
        <v>-28.682221646935464</v>
      </c>
      <c r="AF45" s="7">
        <f t="shared" si="68"/>
        <v>-29.255866079874174</v>
      </c>
    </row>
    <row r="46" spans="2:32" x14ac:dyDescent="0.3">
      <c r="B46" s="1" t="s">
        <v>21</v>
      </c>
      <c r="C46" s="7">
        <f t="shared" si="59"/>
        <v>19</v>
      </c>
      <c r="D46" s="7">
        <f t="shared" ref="D46:E46" si="69">D23-C23</f>
        <v>12</v>
      </c>
      <c r="E46" s="7">
        <f t="shared" si="69"/>
        <v>17</v>
      </c>
      <c r="F46" s="7">
        <f t="shared" si="61"/>
        <v>34</v>
      </c>
      <c r="G46" s="7">
        <f t="shared" si="62"/>
        <v>19</v>
      </c>
      <c r="H46" s="7">
        <f t="shared" si="63"/>
        <v>26</v>
      </c>
      <c r="I46" s="7">
        <f t="shared" si="63"/>
        <v>29</v>
      </c>
      <c r="J46" s="7">
        <f t="shared" si="64"/>
        <v>26</v>
      </c>
      <c r="K46" s="7">
        <f t="shared" si="65"/>
        <v>25</v>
      </c>
      <c r="L46" s="7">
        <f t="shared" ref="L46:M46" si="70">L23-K23</f>
        <v>34</v>
      </c>
      <c r="M46" s="7">
        <f t="shared" si="70"/>
        <v>21</v>
      </c>
      <c r="N46" s="7">
        <v>34</v>
      </c>
      <c r="P46" s="7">
        <v>83.5</v>
      </c>
      <c r="Q46" s="7">
        <v>137.69999999999999</v>
      </c>
      <c r="R46" s="7">
        <v>42</v>
      </c>
      <c r="S46" s="7">
        <v>44</v>
      </c>
      <c r="T46" s="7">
        <v>82</v>
      </c>
      <c r="U46" s="7">
        <v>100</v>
      </c>
      <c r="V46" s="7">
        <f t="shared" si="67"/>
        <v>114</v>
      </c>
      <c r="W46" s="7">
        <f>V46*1.02</f>
        <v>116.28</v>
      </c>
      <c r="X46" s="7">
        <f t="shared" ref="X46:Y46" si="71">W46*1.02</f>
        <v>118.60560000000001</v>
      </c>
      <c r="Y46" s="7">
        <f t="shared" si="71"/>
        <v>120.97771200000001</v>
      </c>
      <c r="Z46" s="7">
        <f>Y46*1.01</f>
        <v>122.18748912000001</v>
      </c>
      <c r="AA46" s="7">
        <f t="shared" ref="AA46:AF46" si="72">Z46*1.01</f>
        <v>123.40936401120001</v>
      </c>
      <c r="AB46" s="7">
        <f t="shared" si="72"/>
        <v>124.64345765131202</v>
      </c>
      <c r="AC46" s="7">
        <f t="shared" si="72"/>
        <v>125.88989222782514</v>
      </c>
      <c r="AD46" s="7">
        <f t="shared" si="72"/>
        <v>127.14879115010339</v>
      </c>
      <c r="AE46" s="7">
        <f t="shared" si="72"/>
        <v>128.42027906160442</v>
      </c>
      <c r="AF46" s="7">
        <f t="shared" si="72"/>
        <v>129.70448185222045</v>
      </c>
    </row>
    <row r="47" spans="2:32" x14ac:dyDescent="0.3">
      <c r="B47" s="1" t="s">
        <v>22</v>
      </c>
      <c r="C47" s="7">
        <f t="shared" si="59"/>
        <v>5</v>
      </c>
      <c r="D47" s="7">
        <f t="shared" ref="D47:E47" si="73">D24-C24</f>
        <v>2</v>
      </c>
      <c r="E47" s="7">
        <f t="shared" si="73"/>
        <v>0</v>
      </c>
      <c r="F47" s="7">
        <f t="shared" si="61"/>
        <v>0</v>
      </c>
      <c r="G47" s="7">
        <f t="shared" si="62"/>
        <v>-1</v>
      </c>
      <c r="H47" s="7">
        <f t="shared" si="63"/>
        <v>-3</v>
      </c>
      <c r="I47" s="7">
        <f t="shared" si="63"/>
        <v>2</v>
      </c>
      <c r="J47" s="7">
        <f t="shared" si="64"/>
        <v>1</v>
      </c>
      <c r="K47" s="7">
        <f t="shared" si="65"/>
        <v>4</v>
      </c>
      <c r="L47" s="7">
        <f t="shared" ref="L47:M47" si="74">L24-K24</f>
        <v>11</v>
      </c>
      <c r="M47" s="7">
        <f t="shared" si="74"/>
        <v>-1</v>
      </c>
      <c r="N47" s="7">
        <v>0</v>
      </c>
      <c r="P47" s="7">
        <v>1.9</v>
      </c>
      <c r="Q47" s="7">
        <v>10</v>
      </c>
      <c r="R47" s="7">
        <v>3</v>
      </c>
      <c r="S47" s="7">
        <v>1</v>
      </c>
      <c r="T47" s="7">
        <v>7</v>
      </c>
      <c r="U47" s="7">
        <v>-1</v>
      </c>
      <c r="V47" s="7">
        <f t="shared" si="67"/>
        <v>14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</row>
    <row r="48" spans="2:32" s="2" customFormat="1" x14ac:dyDescent="0.3">
      <c r="B48" s="2" t="s">
        <v>23</v>
      </c>
      <c r="C48" s="9">
        <f t="shared" ref="C48:L48" si="75">C44-C45-C46-C47</f>
        <v>-19</v>
      </c>
      <c r="D48" s="9">
        <f t="shared" si="75"/>
        <v>6</v>
      </c>
      <c r="E48" s="9">
        <f t="shared" si="75"/>
        <v>27</v>
      </c>
      <c r="F48" s="9">
        <f t="shared" si="75"/>
        <v>82</v>
      </c>
      <c r="G48" s="9">
        <f t="shared" si="75"/>
        <v>-9</v>
      </c>
      <c r="H48" s="9">
        <f t="shared" si="75"/>
        <v>1</v>
      </c>
      <c r="I48" s="9">
        <f t="shared" si="75"/>
        <v>0</v>
      </c>
      <c r="J48" s="9">
        <f t="shared" si="75"/>
        <v>124</v>
      </c>
      <c r="K48" s="9">
        <f t="shared" si="75"/>
        <v>-40</v>
      </c>
      <c r="L48" s="9">
        <f t="shared" si="75"/>
        <v>-19</v>
      </c>
      <c r="M48" s="9">
        <f t="shared" ref="M48:N48" si="76">M44-M45-M46-M47</f>
        <v>48.84</v>
      </c>
      <c r="N48" s="9">
        <f t="shared" si="76"/>
        <v>175.79159999999996</v>
      </c>
      <c r="P48" s="9">
        <f t="shared" ref="P48:W48" si="77">P44-P45-P46-P47</f>
        <v>35.600000000000115</v>
      </c>
      <c r="Q48" s="9">
        <f t="shared" si="77"/>
        <v>-75.199999999999903</v>
      </c>
      <c r="R48" s="9">
        <f t="shared" si="77"/>
        <v>85</v>
      </c>
      <c r="S48" s="9">
        <f t="shared" si="77"/>
        <v>130</v>
      </c>
      <c r="T48" s="9">
        <f t="shared" si="77"/>
        <v>96</v>
      </c>
      <c r="U48" s="9">
        <f t="shared" si="77"/>
        <v>116</v>
      </c>
      <c r="V48" s="9">
        <f t="shared" si="77"/>
        <v>146.79160000000007</v>
      </c>
      <c r="W48" s="9">
        <f t="shared" si="77"/>
        <v>206.7338399999999</v>
      </c>
      <c r="X48" s="9">
        <f t="shared" ref="X48:AF48" si="78">X44-X45-X46-X47</f>
        <v>240.05634720000009</v>
      </c>
      <c r="Y48" s="9">
        <f t="shared" si="78"/>
        <v>266.06087203200008</v>
      </c>
      <c r="Z48" s="9">
        <f t="shared" si="78"/>
        <v>289.33360215360005</v>
      </c>
      <c r="AA48" s="9">
        <f t="shared" si="78"/>
        <v>315.61423128528003</v>
      </c>
      <c r="AB48" s="9">
        <f t="shared" si="78"/>
        <v>343.33934876311207</v>
      </c>
      <c r="AC48" s="9">
        <f t="shared" si="78"/>
        <v>372.58293752498764</v>
      </c>
      <c r="AD48" s="9">
        <f t="shared" si="78"/>
        <v>403.42271254804371</v>
      </c>
      <c r="AE48" s="9">
        <f t="shared" si="78"/>
        <v>435.94030827253448</v>
      </c>
      <c r="AF48" s="9">
        <f t="shared" si="78"/>
        <v>470.2214754205807</v>
      </c>
    </row>
    <row r="49" spans="2:140" x14ac:dyDescent="0.3">
      <c r="B49" s="1" t="s">
        <v>24</v>
      </c>
      <c r="C49" s="7">
        <f t="shared" ref="C49:C50" si="79">C26</f>
        <v>3</v>
      </c>
      <c r="D49" s="7">
        <f t="shared" ref="D49:E49" si="80">D26-C26</f>
        <v>0</v>
      </c>
      <c r="E49" s="7">
        <f t="shared" si="80"/>
        <v>13</v>
      </c>
      <c r="F49" s="7">
        <f t="shared" ref="F49:F50" si="81">T49-E26</f>
        <v>20</v>
      </c>
      <c r="G49" s="7">
        <f t="shared" ref="G49:G50" si="82">G26</f>
        <v>6</v>
      </c>
      <c r="H49" s="7">
        <f t="shared" ref="H49:I50" si="83">H26-G26</f>
        <v>12</v>
      </c>
      <c r="I49" s="7">
        <f t="shared" si="83"/>
        <v>22</v>
      </c>
      <c r="J49" s="7">
        <f t="shared" ref="J49:J50" si="84">U49-I26</f>
        <v>-28</v>
      </c>
      <c r="K49" s="7">
        <f t="shared" ref="K49:K50" si="85">K26</f>
        <v>-7</v>
      </c>
      <c r="L49" s="7">
        <f t="shared" ref="L49:M49" si="86">L26-K26</f>
        <v>-5</v>
      </c>
      <c r="M49" s="7">
        <f t="shared" si="86"/>
        <v>15</v>
      </c>
      <c r="N49" s="7">
        <f>N48*0.2</f>
        <v>35.158319999999996</v>
      </c>
      <c r="P49" s="7">
        <v>27.4</v>
      </c>
      <c r="Q49" s="7">
        <v>-10.7</v>
      </c>
      <c r="R49" s="7">
        <v>22</v>
      </c>
      <c r="S49" s="7">
        <v>49</v>
      </c>
      <c r="T49" s="7">
        <v>36</v>
      </c>
      <c r="U49" s="7">
        <v>12</v>
      </c>
      <c r="V49" s="7">
        <f t="shared" ref="V49:V50" si="87">SUM(K49:N49)</f>
        <v>38.158319999999996</v>
      </c>
      <c r="W49" s="7">
        <f>W48*0.2</f>
        <v>41.346767999999983</v>
      </c>
      <c r="X49" s="7">
        <f t="shared" ref="X49:AF49" si="88">X48*0.2</f>
        <v>48.011269440000021</v>
      </c>
      <c r="Y49" s="7">
        <f t="shared" si="88"/>
        <v>53.212174406400017</v>
      </c>
      <c r="Z49" s="7">
        <f t="shared" si="88"/>
        <v>57.866720430720015</v>
      </c>
      <c r="AA49" s="7">
        <f t="shared" si="88"/>
        <v>63.122846257056011</v>
      </c>
      <c r="AB49" s="7">
        <f t="shared" si="88"/>
        <v>68.667869752622423</v>
      </c>
      <c r="AC49" s="7">
        <f t="shared" si="88"/>
        <v>74.516587504997531</v>
      </c>
      <c r="AD49" s="7">
        <f t="shared" si="88"/>
        <v>80.684542509608747</v>
      </c>
      <c r="AE49" s="7">
        <f t="shared" si="88"/>
        <v>87.188061654506896</v>
      </c>
      <c r="AF49" s="7">
        <f t="shared" si="88"/>
        <v>94.044295084116143</v>
      </c>
    </row>
    <row r="50" spans="2:140" x14ac:dyDescent="0.3">
      <c r="B50" s="1" t="s">
        <v>25</v>
      </c>
      <c r="C50" s="7">
        <f t="shared" si="79"/>
        <v>0</v>
      </c>
      <c r="D50" s="7">
        <f t="shared" ref="D50:E50" si="89">D27-C27</f>
        <v>1</v>
      </c>
      <c r="E50" s="7">
        <f t="shared" si="89"/>
        <v>-2</v>
      </c>
      <c r="F50" s="7">
        <f t="shared" si="81"/>
        <v>3</v>
      </c>
      <c r="G50" s="7">
        <f t="shared" si="82"/>
        <v>-1</v>
      </c>
      <c r="H50" s="7">
        <f t="shared" si="83"/>
        <v>2</v>
      </c>
      <c r="I50" s="7">
        <f t="shared" si="83"/>
        <v>-3</v>
      </c>
      <c r="J50" s="7">
        <f t="shared" si="84"/>
        <v>0</v>
      </c>
      <c r="K50" s="7">
        <f t="shared" si="85"/>
        <v>-1</v>
      </c>
      <c r="L50" s="7">
        <f t="shared" ref="L50:M50" si="90">L27-K27</f>
        <v>-1</v>
      </c>
      <c r="M50" s="7">
        <f t="shared" si="90"/>
        <v>-1</v>
      </c>
      <c r="N50" s="7">
        <v>0</v>
      </c>
      <c r="P50" s="7">
        <v>2.2999999999999998</v>
      </c>
      <c r="Q50" s="7">
        <v>0.7</v>
      </c>
      <c r="R50" s="7">
        <v>0</v>
      </c>
      <c r="S50" s="7">
        <v>2</v>
      </c>
      <c r="T50" s="7">
        <v>2</v>
      </c>
      <c r="U50" s="7">
        <v>-2</v>
      </c>
      <c r="V50" s="7">
        <f t="shared" si="87"/>
        <v>-3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</row>
    <row r="51" spans="2:140" s="2" customFormat="1" x14ac:dyDescent="0.3">
      <c r="B51" s="2" t="s">
        <v>26</v>
      </c>
      <c r="C51" s="9">
        <f t="shared" ref="C51" si="91">C48-C49-C50</f>
        <v>-22</v>
      </c>
      <c r="D51" s="9">
        <f t="shared" ref="D51" si="92">D48-D49-D50</f>
        <v>5</v>
      </c>
      <c r="E51" s="9">
        <f t="shared" ref="E51" si="93">E48-E49-E50</f>
        <v>16</v>
      </c>
      <c r="F51" s="9">
        <f t="shared" ref="F51" si="94">F48-F49-F50</f>
        <v>59</v>
      </c>
      <c r="G51" s="9">
        <f t="shared" ref="G51:J51" si="95">G48-G49-G50</f>
        <v>-14</v>
      </c>
      <c r="H51" s="9">
        <f t="shared" si="95"/>
        <v>-13</v>
      </c>
      <c r="I51" s="9">
        <f t="shared" si="95"/>
        <v>-19</v>
      </c>
      <c r="J51" s="9">
        <f t="shared" si="95"/>
        <v>152</v>
      </c>
      <c r="K51" s="9">
        <f t="shared" ref="K51" si="96">K48-K49-K50</f>
        <v>-32</v>
      </c>
      <c r="L51" s="9">
        <f t="shared" ref="L51:M51" si="97">L48-L49-L50</f>
        <v>-13</v>
      </c>
      <c r="M51" s="9">
        <f t="shared" si="97"/>
        <v>34.840000000000003</v>
      </c>
      <c r="N51" s="9">
        <f t="shared" ref="N51" si="98">N48-N49-N50</f>
        <v>140.63327999999996</v>
      </c>
      <c r="P51" s="9">
        <f t="shared" ref="P51:W51" si="99">P48-P49-P50</f>
        <v>5.9000000000001167</v>
      </c>
      <c r="Q51" s="9">
        <f t="shared" si="99"/>
        <v>-65.199999999999903</v>
      </c>
      <c r="R51" s="9">
        <f t="shared" si="99"/>
        <v>63</v>
      </c>
      <c r="S51" s="9">
        <f t="shared" si="99"/>
        <v>79</v>
      </c>
      <c r="T51" s="9">
        <f t="shared" si="99"/>
        <v>58</v>
      </c>
      <c r="U51" s="9">
        <f t="shared" si="99"/>
        <v>106</v>
      </c>
      <c r="V51" s="9">
        <f t="shared" si="99"/>
        <v>111.63328000000007</v>
      </c>
      <c r="W51" s="9">
        <f t="shared" si="99"/>
        <v>165.38707199999993</v>
      </c>
      <c r="X51" s="9">
        <f t="shared" ref="X51:AF51" si="100">X48-X49-X50</f>
        <v>192.04507776000008</v>
      </c>
      <c r="Y51" s="9">
        <f t="shared" si="100"/>
        <v>212.84869762560007</v>
      </c>
      <c r="Z51" s="9">
        <f t="shared" si="100"/>
        <v>231.46688172288003</v>
      </c>
      <c r="AA51" s="9">
        <f t="shared" si="100"/>
        <v>252.49138502822402</v>
      </c>
      <c r="AB51" s="9">
        <f t="shared" si="100"/>
        <v>274.67147901048963</v>
      </c>
      <c r="AC51" s="9">
        <f t="shared" si="100"/>
        <v>298.06635001999013</v>
      </c>
      <c r="AD51" s="9">
        <f t="shared" si="100"/>
        <v>322.73817003843499</v>
      </c>
      <c r="AE51" s="9">
        <f t="shared" si="100"/>
        <v>348.75224661802758</v>
      </c>
      <c r="AF51" s="9">
        <f t="shared" si="100"/>
        <v>376.17718033646457</v>
      </c>
      <c r="AG51" s="2">
        <f>AF51*(1+$AI$56)</f>
        <v>372.41540853309994</v>
      </c>
      <c r="AH51" s="2">
        <f t="shared" ref="AH51:CS51" si="101">AG51*(1+$AI$56)</f>
        <v>368.69125444776893</v>
      </c>
      <c r="AI51" s="2">
        <f t="shared" si="101"/>
        <v>365.00434190329122</v>
      </c>
      <c r="AJ51" s="2">
        <f t="shared" si="101"/>
        <v>361.35429848425832</v>
      </c>
      <c r="AK51" s="2">
        <f t="shared" si="101"/>
        <v>357.74075549941574</v>
      </c>
      <c r="AL51" s="2">
        <f t="shared" si="101"/>
        <v>354.16334794442156</v>
      </c>
      <c r="AM51" s="2">
        <f t="shared" si="101"/>
        <v>350.62171446497734</v>
      </c>
      <c r="AN51" s="2">
        <f t="shared" si="101"/>
        <v>347.11549732032756</v>
      </c>
      <c r="AO51" s="2">
        <f t="shared" si="101"/>
        <v>343.64434234712428</v>
      </c>
      <c r="AP51" s="2">
        <f t="shared" si="101"/>
        <v>340.20789892365303</v>
      </c>
      <c r="AQ51" s="2">
        <f t="shared" si="101"/>
        <v>336.80581993441649</v>
      </c>
      <c r="AR51" s="2">
        <f t="shared" si="101"/>
        <v>333.43776173507234</v>
      </c>
      <c r="AS51" s="2">
        <f t="shared" si="101"/>
        <v>330.10338411772159</v>
      </c>
      <c r="AT51" s="2">
        <f t="shared" si="101"/>
        <v>326.80235027654436</v>
      </c>
      <c r="AU51" s="2">
        <f t="shared" si="101"/>
        <v>323.5343267737789</v>
      </c>
      <c r="AV51" s="2">
        <f t="shared" si="101"/>
        <v>320.29898350604111</v>
      </c>
      <c r="AW51" s="2">
        <f t="shared" si="101"/>
        <v>317.0959936709807</v>
      </c>
      <c r="AX51" s="2">
        <f t="shared" si="101"/>
        <v>313.92503373427087</v>
      </c>
      <c r="AY51" s="2">
        <f t="shared" si="101"/>
        <v>310.78578339692814</v>
      </c>
      <c r="AZ51" s="2">
        <f t="shared" si="101"/>
        <v>307.67792556295888</v>
      </c>
      <c r="BA51" s="2">
        <f t="shared" si="101"/>
        <v>304.60114630732926</v>
      </c>
      <c r="BB51" s="2">
        <f t="shared" si="101"/>
        <v>301.55513484425597</v>
      </c>
      <c r="BC51" s="2">
        <f t="shared" si="101"/>
        <v>298.53958349581342</v>
      </c>
      <c r="BD51" s="2">
        <f t="shared" si="101"/>
        <v>295.55418766085529</v>
      </c>
      <c r="BE51" s="2">
        <f t="shared" si="101"/>
        <v>292.59864578424674</v>
      </c>
      <c r="BF51" s="2">
        <f t="shared" si="101"/>
        <v>289.67265932640424</v>
      </c>
      <c r="BG51" s="2">
        <f t="shared" si="101"/>
        <v>286.77593273314022</v>
      </c>
      <c r="BH51" s="2">
        <f t="shared" si="101"/>
        <v>283.90817340580884</v>
      </c>
      <c r="BI51" s="2">
        <f t="shared" si="101"/>
        <v>281.06909167175075</v>
      </c>
      <c r="BJ51" s="2">
        <f t="shared" si="101"/>
        <v>278.25840075503322</v>
      </c>
      <c r="BK51" s="2">
        <f t="shared" si="101"/>
        <v>275.4758167474829</v>
      </c>
      <c r="BL51" s="2">
        <f t="shared" si="101"/>
        <v>272.72105858000805</v>
      </c>
      <c r="BM51" s="2">
        <f t="shared" si="101"/>
        <v>269.99384799420795</v>
      </c>
      <c r="BN51" s="2">
        <f t="shared" si="101"/>
        <v>267.29390951426586</v>
      </c>
      <c r="BO51" s="2">
        <f t="shared" si="101"/>
        <v>264.62097041912318</v>
      </c>
      <c r="BP51" s="2">
        <f t="shared" si="101"/>
        <v>261.97476071493196</v>
      </c>
      <c r="BQ51" s="2">
        <f t="shared" si="101"/>
        <v>259.35501310778261</v>
      </c>
      <c r="BR51" s="2">
        <f t="shared" si="101"/>
        <v>256.76146297670476</v>
      </c>
      <c r="BS51" s="2">
        <f t="shared" si="101"/>
        <v>254.19384834693773</v>
      </c>
      <c r="BT51" s="2">
        <f t="shared" si="101"/>
        <v>251.65190986346835</v>
      </c>
      <c r="BU51" s="2">
        <f t="shared" si="101"/>
        <v>249.13539076483366</v>
      </c>
      <c r="BV51" s="2">
        <f t="shared" si="101"/>
        <v>246.64403685718531</v>
      </c>
      <c r="BW51" s="2">
        <f t="shared" si="101"/>
        <v>244.17759648861346</v>
      </c>
      <c r="BX51" s="2">
        <f t="shared" si="101"/>
        <v>241.73582052372731</v>
      </c>
      <c r="BY51" s="2">
        <f t="shared" si="101"/>
        <v>239.31846231849005</v>
      </c>
      <c r="BZ51" s="2">
        <f t="shared" si="101"/>
        <v>236.92527769530514</v>
      </c>
      <c r="CA51" s="2">
        <f t="shared" si="101"/>
        <v>234.55602491835208</v>
      </c>
      <c r="CB51" s="2">
        <f t="shared" si="101"/>
        <v>232.21046466916854</v>
      </c>
      <c r="CC51" s="2">
        <f t="shared" si="101"/>
        <v>229.88836002247686</v>
      </c>
      <c r="CD51" s="2">
        <f t="shared" si="101"/>
        <v>227.58947642225209</v>
      </c>
      <c r="CE51" s="2">
        <f t="shared" si="101"/>
        <v>225.31358165802956</v>
      </c>
      <c r="CF51" s="2">
        <f t="shared" si="101"/>
        <v>223.06044584144925</v>
      </c>
      <c r="CG51" s="2">
        <f t="shared" si="101"/>
        <v>220.82984138303476</v>
      </c>
      <c r="CH51" s="2">
        <f t="shared" si="101"/>
        <v>218.6215429692044</v>
      </c>
      <c r="CI51" s="2">
        <f t="shared" si="101"/>
        <v>216.43532753951234</v>
      </c>
      <c r="CJ51" s="2">
        <f t="shared" si="101"/>
        <v>214.27097426411723</v>
      </c>
      <c r="CK51" s="2">
        <f t="shared" si="101"/>
        <v>212.12826452147604</v>
      </c>
      <c r="CL51" s="2">
        <f t="shared" si="101"/>
        <v>210.00698187626128</v>
      </c>
      <c r="CM51" s="2">
        <f t="shared" si="101"/>
        <v>207.90691205749866</v>
      </c>
      <c r="CN51" s="2">
        <f t="shared" si="101"/>
        <v>205.82784293692367</v>
      </c>
      <c r="CO51" s="2">
        <f t="shared" si="101"/>
        <v>203.76956450755443</v>
      </c>
      <c r="CP51" s="2">
        <f t="shared" si="101"/>
        <v>201.73186886247888</v>
      </c>
      <c r="CQ51" s="2">
        <f t="shared" si="101"/>
        <v>199.71455017385409</v>
      </c>
      <c r="CR51" s="2">
        <f t="shared" si="101"/>
        <v>197.71740467211555</v>
      </c>
      <c r="CS51" s="2">
        <f t="shared" si="101"/>
        <v>195.74023062539439</v>
      </c>
      <c r="CT51" s="2">
        <f t="shared" ref="CT51:EJ51" si="102">CS51*(1+$AI$56)</f>
        <v>193.78282831914044</v>
      </c>
      <c r="CU51" s="2">
        <f t="shared" si="102"/>
        <v>191.84500003594903</v>
      </c>
      <c r="CV51" s="2">
        <f t="shared" si="102"/>
        <v>189.92655003558954</v>
      </c>
      <c r="CW51" s="2">
        <f t="shared" si="102"/>
        <v>188.02728453523363</v>
      </c>
      <c r="CX51" s="2">
        <f t="shared" si="102"/>
        <v>186.14701168988128</v>
      </c>
      <c r="CY51" s="2">
        <f t="shared" si="102"/>
        <v>184.28554157298248</v>
      </c>
      <c r="CZ51" s="2">
        <f t="shared" si="102"/>
        <v>182.44268615725267</v>
      </c>
      <c r="DA51" s="2">
        <f t="shared" si="102"/>
        <v>180.61825929568013</v>
      </c>
      <c r="DB51" s="2">
        <f t="shared" si="102"/>
        <v>178.81207670272332</v>
      </c>
      <c r="DC51" s="2">
        <f t="shared" si="102"/>
        <v>177.02395593569608</v>
      </c>
      <c r="DD51" s="2">
        <f t="shared" si="102"/>
        <v>175.25371637633913</v>
      </c>
      <c r="DE51" s="2">
        <f t="shared" si="102"/>
        <v>173.50117921257572</v>
      </c>
      <c r="DF51" s="2">
        <f t="shared" si="102"/>
        <v>171.76616742044996</v>
      </c>
      <c r="DG51" s="2">
        <f t="shared" si="102"/>
        <v>170.04850574624547</v>
      </c>
      <c r="DH51" s="2">
        <f t="shared" si="102"/>
        <v>168.34802068878301</v>
      </c>
      <c r="DI51" s="2">
        <f t="shared" si="102"/>
        <v>166.66454048189519</v>
      </c>
      <c r="DJ51" s="2">
        <f t="shared" si="102"/>
        <v>164.99789507707624</v>
      </c>
      <c r="DK51" s="2">
        <f t="shared" si="102"/>
        <v>163.34791612630548</v>
      </c>
      <c r="DL51" s="2">
        <f t="shared" si="102"/>
        <v>161.71443696504241</v>
      </c>
      <c r="DM51" s="2">
        <f t="shared" si="102"/>
        <v>160.09729259539199</v>
      </c>
      <c r="DN51" s="2">
        <f t="shared" si="102"/>
        <v>158.49631966943807</v>
      </c>
      <c r="DO51" s="2">
        <f t="shared" si="102"/>
        <v>156.91135647274368</v>
      </c>
      <c r="DP51" s="2">
        <f t="shared" si="102"/>
        <v>155.34224290801623</v>
      </c>
      <c r="DQ51" s="2">
        <f t="shared" si="102"/>
        <v>153.78882047893606</v>
      </c>
      <c r="DR51" s="2">
        <f t="shared" si="102"/>
        <v>152.25093227414669</v>
      </c>
      <c r="DS51" s="2">
        <f t="shared" si="102"/>
        <v>150.72842295140524</v>
      </c>
      <c r="DT51" s="2">
        <f t="shared" si="102"/>
        <v>149.22113872189118</v>
      </c>
      <c r="DU51" s="2">
        <f t="shared" si="102"/>
        <v>147.72892733467228</v>
      </c>
      <c r="DV51" s="2">
        <f t="shared" si="102"/>
        <v>146.25163806132556</v>
      </c>
      <c r="DW51" s="2">
        <f t="shared" si="102"/>
        <v>144.7891216807123</v>
      </c>
      <c r="DX51" s="2">
        <f t="shared" si="102"/>
        <v>143.34123046390516</v>
      </c>
      <c r="DY51" s="2">
        <f t="shared" si="102"/>
        <v>141.9078181592661</v>
      </c>
      <c r="DZ51" s="2">
        <f t="shared" si="102"/>
        <v>140.48873997767345</v>
      </c>
      <c r="EA51" s="2">
        <f t="shared" si="102"/>
        <v>139.08385257789672</v>
      </c>
      <c r="EB51" s="2">
        <f t="shared" si="102"/>
        <v>137.69301405211775</v>
      </c>
      <c r="EC51" s="2">
        <f t="shared" si="102"/>
        <v>136.31608391159656</v>
      </c>
      <c r="ED51" s="2">
        <f t="shared" si="102"/>
        <v>134.95292307248059</v>
      </c>
      <c r="EE51" s="2">
        <f t="shared" si="102"/>
        <v>133.60339384175577</v>
      </c>
      <c r="EF51" s="2">
        <f t="shared" si="102"/>
        <v>132.26735990333822</v>
      </c>
      <c r="EG51" s="2">
        <f t="shared" si="102"/>
        <v>130.94468630430484</v>
      </c>
      <c r="EH51" s="2">
        <f t="shared" si="102"/>
        <v>129.6352394412618</v>
      </c>
      <c r="EI51" s="2">
        <f t="shared" si="102"/>
        <v>128.33888704684918</v>
      </c>
      <c r="EJ51" s="2">
        <f t="shared" si="102"/>
        <v>127.05549817638068</v>
      </c>
    </row>
    <row r="52" spans="2:140" x14ac:dyDescent="0.3">
      <c r="B52" s="1" t="s">
        <v>2</v>
      </c>
      <c r="C52" s="7">
        <v>116</v>
      </c>
      <c r="D52" s="7">
        <v>116</v>
      </c>
      <c r="E52" s="7">
        <v>116</v>
      </c>
      <c r="F52" s="7">
        <v>116</v>
      </c>
      <c r="G52" s="7">
        <v>116</v>
      </c>
      <c r="H52" s="7">
        <v>116</v>
      </c>
      <c r="I52" s="7">
        <v>116</v>
      </c>
      <c r="J52" s="7">
        <v>116</v>
      </c>
      <c r="K52" s="7">
        <v>116</v>
      </c>
      <c r="L52" s="7">
        <v>116</v>
      </c>
      <c r="M52" s="7">
        <v>116</v>
      </c>
      <c r="N52" s="7">
        <v>116</v>
      </c>
      <c r="P52" s="7">
        <v>116</v>
      </c>
      <c r="Q52" s="7">
        <v>116</v>
      </c>
      <c r="R52" s="7">
        <v>116</v>
      </c>
      <c r="S52" s="7">
        <v>116</v>
      </c>
      <c r="T52" s="7">
        <v>116</v>
      </c>
      <c r="U52" s="7">
        <v>116</v>
      </c>
      <c r="V52" s="7">
        <v>116</v>
      </c>
      <c r="W52" s="7">
        <v>116</v>
      </c>
      <c r="X52" s="7">
        <v>116</v>
      </c>
      <c r="Y52" s="7">
        <v>116</v>
      </c>
      <c r="Z52" s="7">
        <v>116</v>
      </c>
      <c r="AA52" s="7">
        <v>116</v>
      </c>
      <c r="AB52" s="7">
        <v>116</v>
      </c>
      <c r="AC52" s="7">
        <v>116</v>
      </c>
      <c r="AD52" s="7">
        <v>116</v>
      </c>
      <c r="AE52" s="7">
        <v>116</v>
      </c>
      <c r="AF52" s="7">
        <v>116</v>
      </c>
    </row>
    <row r="53" spans="2:140" x14ac:dyDescent="0.3">
      <c r="B53" s="1" t="s">
        <v>27</v>
      </c>
      <c r="C53" s="8">
        <f t="shared" ref="C53" si="103">C51/C52</f>
        <v>-0.18965517241379309</v>
      </c>
      <c r="D53" s="8">
        <f t="shared" ref="D53" si="104">D51/D52</f>
        <v>4.3103448275862072E-2</v>
      </c>
      <c r="E53" s="8">
        <f t="shared" ref="E53" si="105">E51/E52</f>
        <v>0.13793103448275862</v>
      </c>
      <c r="F53" s="8">
        <f t="shared" ref="F53" si="106">F51/F52</f>
        <v>0.50862068965517238</v>
      </c>
      <c r="G53" s="8">
        <f t="shared" ref="G53:J53" si="107">G51/G52</f>
        <v>-0.1206896551724138</v>
      </c>
      <c r="H53" s="8">
        <f t="shared" si="107"/>
        <v>-0.11206896551724138</v>
      </c>
      <c r="I53" s="8">
        <f t="shared" si="107"/>
        <v>-0.16379310344827586</v>
      </c>
      <c r="J53" s="8">
        <f t="shared" si="107"/>
        <v>1.3103448275862069</v>
      </c>
      <c r="K53" s="8">
        <f t="shared" ref="K53" si="108">K51/K52</f>
        <v>-0.27586206896551724</v>
      </c>
      <c r="L53" s="8">
        <f t="shared" ref="L53:M53" si="109">L51/L52</f>
        <v>-0.11206896551724138</v>
      </c>
      <c r="M53" s="8">
        <f t="shared" si="109"/>
        <v>0.30034482758620695</v>
      </c>
      <c r="N53" s="8">
        <f t="shared" ref="N53" si="110">N51/N52</f>
        <v>1.2123558620689652</v>
      </c>
      <c r="P53" s="8">
        <f t="shared" ref="P53:W53" si="111">P51/P52</f>
        <v>5.0862068965518245E-2</v>
      </c>
      <c r="Q53" s="8">
        <f t="shared" si="111"/>
        <v>-0.5620689655172405</v>
      </c>
      <c r="R53" s="8">
        <f t="shared" si="111"/>
        <v>0.5431034482758621</v>
      </c>
      <c r="S53" s="8">
        <f t="shared" si="111"/>
        <v>0.68103448275862066</v>
      </c>
      <c r="T53" s="8">
        <f t="shared" si="111"/>
        <v>0.5</v>
      </c>
      <c r="U53" s="8">
        <f t="shared" si="111"/>
        <v>0.91379310344827591</v>
      </c>
      <c r="V53" s="8">
        <f t="shared" si="111"/>
        <v>0.96235586206896617</v>
      </c>
      <c r="W53" s="8">
        <f t="shared" si="111"/>
        <v>1.4257506206896546</v>
      </c>
      <c r="X53" s="8">
        <f t="shared" ref="X53:AF53" si="112">X51/X52</f>
        <v>1.6555610151724145</v>
      </c>
      <c r="Y53" s="8">
        <f t="shared" si="112"/>
        <v>1.8349025657379316</v>
      </c>
      <c r="Z53" s="8">
        <f t="shared" si="112"/>
        <v>1.9954041527834485</v>
      </c>
      <c r="AA53" s="8">
        <f t="shared" si="112"/>
        <v>2.1766498709329656</v>
      </c>
      <c r="AB53" s="8">
        <f t="shared" si="112"/>
        <v>2.3678575776766349</v>
      </c>
      <c r="AC53" s="8">
        <f t="shared" si="112"/>
        <v>2.5695375001723288</v>
      </c>
      <c r="AD53" s="8">
        <f t="shared" si="112"/>
        <v>2.782225603779612</v>
      </c>
      <c r="AE53" s="8">
        <f t="shared" si="112"/>
        <v>3.0064848846381689</v>
      </c>
      <c r="AF53" s="8">
        <f t="shared" si="112"/>
        <v>3.2429067270384877</v>
      </c>
    </row>
    <row r="55" spans="2:140" x14ac:dyDescent="0.3">
      <c r="B55" s="1" t="s">
        <v>42</v>
      </c>
      <c r="C55" s="10"/>
      <c r="D55" s="10"/>
      <c r="E55" s="10"/>
      <c r="F55" s="10"/>
      <c r="G55" s="10">
        <f t="shared" ref="G55:K55" si="113">G34/C34-1</f>
        <v>-2.6627218934911268E-2</v>
      </c>
      <c r="H55" s="10">
        <f t="shared" si="113"/>
        <v>0.34020618556701021</v>
      </c>
      <c r="I55" s="10">
        <f t="shared" si="113"/>
        <v>0.28780487804878052</v>
      </c>
      <c r="J55" s="10">
        <f t="shared" si="113"/>
        <v>0.21378340365682136</v>
      </c>
      <c r="K55" s="10">
        <f t="shared" si="113"/>
        <v>0.20060790273556228</v>
      </c>
      <c r="L55" s="10">
        <f>L34/H34-1</f>
        <v>5.5769230769230793E-2</v>
      </c>
      <c r="M55" s="10">
        <f t="shared" ref="M55:N55" si="114">M34/I34-1</f>
        <v>0.11931818181818188</v>
      </c>
      <c r="N55" s="10">
        <f t="shared" si="114"/>
        <v>0.15999999999999992</v>
      </c>
      <c r="P55" s="10"/>
      <c r="Q55" s="10">
        <f t="shared" ref="Q55:T55" si="115">Q34/P34-1</f>
        <v>8.3198707592891719E-2</v>
      </c>
      <c r="R55" s="10">
        <f t="shared" si="115"/>
        <v>0.22131079625486771</v>
      </c>
      <c r="S55" s="10">
        <f t="shared" si="115"/>
        <v>0.15807327001356852</v>
      </c>
      <c r="T55" s="10">
        <f t="shared" si="115"/>
        <v>8.2015231400117239E-2</v>
      </c>
      <c r="U55" s="10">
        <f>U34/T34-1</f>
        <v>0.21277747698971305</v>
      </c>
      <c r="V55" s="10">
        <f t="shared" ref="V55:AF55" si="116">V34/U34-1</f>
        <v>0.13217857142857148</v>
      </c>
      <c r="W55" s="10">
        <f t="shared" si="116"/>
        <v>0.10000000000000009</v>
      </c>
      <c r="X55" s="10">
        <f t="shared" si="116"/>
        <v>8.0000000000000071E-2</v>
      </c>
      <c r="Y55" s="10">
        <f t="shared" si="116"/>
        <v>6.0000000000000053E-2</v>
      </c>
      <c r="Z55" s="10">
        <f t="shared" si="116"/>
        <v>5.0000000000000044E-2</v>
      </c>
      <c r="AA55" s="10">
        <f t="shared" si="116"/>
        <v>5.0000000000000044E-2</v>
      </c>
      <c r="AB55" s="10">
        <f t="shared" si="116"/>
        <v>5.0000000000000044E-2</v>
      </c>
      <c r="AC55" s="10">
        <f t="shared" si="116"/>
        <v>5.0000000000000044E-2</v>
      </c>
      <c r="AD55" s="10">
        <f t="shared" si="116"/>
        <v>5.0000000000000044E-2</v>
      </c>
      <c r="AE55" s="10">
        <f t="shared" si="116"/>
        <v>5.0000000000000044E-2</v>
      </c>
      <c r="AF55" s="10">
        <f t="shared" si="116"/>
        <v>5.0000000000000044E-2</v>
      </c>
    </row>
    <row r="56" spans="2:140" x14ac:dyDescent="0.3">
      <c r="B56" s="1" t="s">
        <v>43</v>
      </c>
      <c r="C56" s="10">
        <f t="shared" ref="C56:K56" si="117">C36/C34</f>
        <v>0.17751479289940827</v>
      </c>
      <c r="D56" s="10">
        <f t="shared" si="117"/>
        <v>0.16494845360824742</v>
      </c>
      <c r="E56" s="10">
        <f t="shared" si="117"/>
        <v>0.24146341463414633</v>
      </c>
      <c r="F56" s="10">
        <f t="shared" si="117"/>
        <v>0.27707454289732769</v>
      </c>
      <c r="G56" s="10">
        <f t="shared" si="117"/>
        <v>0.18237082066869301</v>
      </c>
      <c r="H56" s="10">
        <f t="shared" si="117"/>
        <v>0.19423076923076923</v>
      </c>
      <c r="I56" s="10">
        <f t="shared" si="117"/>
        <v>0.21022727272727273</v>
      </c>
      <c r="J56" s="10">
        <f t="shared" si="117"/>
        <v>0.27346465816917731</v>
      </c>
      <c r="K56" s="10">
        <f t="shared" si="117"/>
        <v>0.14177215189873418</v>
      </c>
      <c r="L56" s="10">
        <f>L36/L34</f>
        <v>0.1785063752276867</v>
      </c>
      <c r="M56" s="10">
        <f t="shared" ref="M56:N56" si="118">M36/M34</f>
        <v>0.24000000000000002</v>
      </c>
      <c r="N56" s="10">
        <f t="shared" si="118"/>
        <v>0.31</v>
      </c>
      <c r="P56" s="10">
        <f t="shared" ref="P56:T56" si="119">P36/P34</f>
        <v>0.2287740082570455</v>
      </c>
      <c r="Q56" s="10">
        <f t="shared" si="119"/>
        <v>0.22437650178142352</v>
      </c>
      <c r="R56" s="10">
        <f t="shared" si="119"/>
        <v>0.22388059701492538</v>
      </c>
      <c r="S56" s="10">
        <f t="shared" si="119"/>
        <v>0.23022847100175747</v>
      </c>
      <c r="T56" s="10">
        <f t="shared" si="119"/>
        <v>0.2273957769355712</v>
      </c>
      <c r="U56" s="10">
        <f t="shared" ref="U56:AF56" si="120">U36/U34</f>
        <v>0.22678571428571428</v>
      </c>
      <c r="V56" s="10">
        <f t="shared" si="120"/>
        <v>0.23159159017065711</v>
      </c>
      <c r="W56" s="10">
        <f t="shared" si="120"/>
        <v>0.22999999999999998</v>
      </c>
      <c r="X56" s="10">
        <f t="shared" si="120"/>
        <v>0.23000000000000004</v>
      </c>
      <c r="Y56" s="10">
        <f t="shared" si="120"/>
        <v>0.23</v>
      </c>
      <c r="Z56" s="10">
        <f t="shared" si="120"/>
        <v>0.23</v>
      </c>
      <c r="AA56" s="10">
        <f t="shared" si="120"/>
        <v>0.23</v>
      </c>
      <c r="AB56" s="10">
        <f t="shared" si="120"/>
        <v>0.23</v>
      </c>
      <c r="AC56" s="10">
        <f t="shared" si="120"/>
        <v>0.23</v>
      </c>
      <c r="AD56" s="10">
        <f t="shared" si="120"/>
        <v>0.23</v>
      </c>
      <c r="AE56" s="10">
        <f t="shared" si="120"/>
        <v>0.23</v>
      </c>
      <c r="AF56" s="10">
        <f t="shared" si="120"/>
        <v>0.23000000000000004</v>
      </c>
      <c r="AH56" s="1" t="s">
        <v>49</v>
      </c>
      <c r="AI56" s="10">
        <v>-0.01</v>
      </c>
    </row>
    <row r="57" spans="2:140" x14ac:dyDescent="0.3">
      <c r="B57" s="1" t="s">
        <v>44</v>
      </c>
      <c r="C57" s="10">
        <f t="shared" ref="C57:K57" si="121">C37/C34</f>
        <v>7.9881656804733733E-2</v>
      </c>
      <c r="D57" s="10">
        <f t="shared" si="121"/>
        <v>7.2164948453608241E-2</v>
      </c>
      <c r="E57" s="10">
        <f t="shared" si="121"/>
        <v>6.8292682926829273E-2</v>
      </c>
      <c r="F57" s="10">
        <f t="shared" si="121"/>
        <v>3.9381153305203941E-2</v>
      </c>
      <c r="G57" s="10">
        <f t="shared" si="121"/>
        <v>8.2066869300911852E-2</v>
      </c>
      <c r="H57" s="10">
        <f t="shared" si="121"/>
        <v>6.7307692307692304E-2</v>
      </c>
      <c r="I57" s="10">
        <f t="shared" si="121"/>
        <v>6.25E-2</v>
      </c>
      <c r="J57" s="10">
        <f t="shared" si="121"/>
        <v>3.8238702201622246E-2</v>
      </c>
      <c r="K57" s="10">
        <f t="shared" si="121"/>
        <v>8.1012658227848103E-2</v>
      </c>
      <c r="L57" s="10">
        <f>L37/L34</f>
        <v>6.3752276867030971E-2</v>
      </c>
      <c r="M57" s="10">
        <f t="shared" ref="M57:N57" si="122">M37/M34</f>
        <v>5.4145516074450083E-2</v>
      </c>
      <c r="N57" s="10">
        <f t="shared" si="122"/>
        <v>0.04</v>
      </c>
      <c r="P57" s="10">
        <f t="shared" ref="P57:T57" si="123">P37/P34</f>
        <v>7.6108418596302269E-2</v>
      </c>
      <c r="Q57" s="10">
        <f t="shared" si="123"/>
        <v>7.4736929323059073E-2</v>
      </c>
      <c r="R57" s="10">
        <f t="shared" si="123"/>
        <v>6.7164179104477612E-2</v>
      </c>
      <c r="S57" s="10">
        <f t="shared" si="123"/>
        <v>6.2683069712946696E-2</v>
      </c>
      <c r="T57" s="10">
        <f t="shared" si="123"/>
        <v>6.0097455332972387E-2</v>
      </c>
      <c r="U57" s="10">
        <f t="shared" ref="U57:AF57" si="124">U37/U34</f>
        <v>5.7142857142857141E-2</v>
      </c>
      <c r="V57" s="10">
        <f t="shared" si="124"/>
        <v>5.4826030724582829E-2</v>
      </c>
      <c r="W57" s="10">
        <f t="shared" si="124"/>
        <v>0.05</v>
      </c>
      <c r="X57" s="10">
        <f t="shared" si="124"/>
        <v>0.05</v>
      </c>
      <c r="Y57" s="10">
        <f t="shared" si="124"/>
        <v>0.05</v>
      </c>
      <c r="Z57" s="10">
        <f t="shared" si="124"/>
        <v>0.05</v>
      </c>
      <c r="AA57" s="10">
        <f t="shared" si="124"/>
        <v>0.05</v>
      </c>
      <c r="AB57" s="10">
        <f t="shared" si="124"/>
        <v>0.05</v>
      </c>
      <c r="AC57" s="10">
        <f t="shared" si="124"/>
        <v>0.05</v>
      </c>
      <c r="AD57" s="10">
        <f t="shared" si="124"/>
        <v>0.05</v>
      </c>
      <c r="AE57" s="10">
        <f t="shared" si="124"/>
        <v>0.05</v>
      </c>
      <c r="AF57" s="10">
        <f t="shared" si="124"/>
        <v>0.05</v>
      </c>
      <c r="AH57" s="1" t="s">
        <v>50</v>
      </c>
      <c r="AI57" s="10">
        <v>0.09</v>
      </c>
    </row>
    <row r="58" spans="2:140" x14ac:dyDescent="0.3">
      <c r="B58" s="1" t="s">
        <v>45</v>
      </c>
      <c r="C58" s="10"/>
      <c r="D58" s="10"/>
      <c r="E58" s="10"/>
      <c r="F58" s="10"/>
      <c r="G58" s="10">
        <f t="shared" ref="G58:K58" si="125">G38/C38-1</f>
        <v>0.34782608695652173</v>
      </c>
      <c r="H58" s="10">
        <f t="shared" si="125"/>
        <v>0.72</v>
      </c>
      <c r="I58" s="10">
        <f t="shared" si="125"/>
        <v>0.35714285714285721</v>
      </c>
      <c r="J58" s="10">
        <f t="shared" si="125"/>
        <v>0.19047619047619047</v>
      </c>
      <c r="K58" s="10">
        <f t="shared" si="125"/>
        <v>3.2258064516129004E-2</v>
      </c>
      <c r="L58" s="10">
        <f>L38/H38-1</f>
        <v>-0.16279069767441856</v>
      </c>
      <c r="M58" s="10">
        <f t="shared" ref="M58:N59" si="126">M38/I38-1</f>
        <v>-7.8947368421052655E-2</v>
      </c>
      <c r="N58" s="10">
        <f t="shared" si="126"/>
        <v>5.0000000000000044E-2</v>
      </c>
      <c r="P58" s="10"/>
      <c r="Q58" s="10">
        <f t="shared" ref="Q58:U59" si="127">Q38/P38-1</f>
        <v>0.14285714285714302</v>
      </c>
      <c r="R58" s="10">
        <f t="shared" si="127"/>
        <v>-4.8165137614678888E-2</v>
      </c>
      <c r="S58" s="10">
        <f t="shared" si="127"/>
        <v>0.10843373493975905</v>
      </c>
      <c r="T58" s="10">
        <f t="shared" si="127"/>
        <v>0.28260869565217384</v>
      </c>
      <c r="U58" s="10">
        <f>U38/T38-1</f>
        <v>0.37288135593220328</v>
      </c>
      <c r="V58" s="10">
        <f t="shared" ref="V58:AF58" si="128">V38/U38-1</f>
        <v>-4.0123456790123413E-2</v>
      </c>
      <c r="W58" s="10">
        <f t="shared" si="128"/>
        <v>2.0000000000000018E-2</v>
      </c>
      <c r="X58" s="10">
        <f t="shared" si="128"/>
        <v>2.0000000000000018E-2</v>
      </c>
      <c r="Y58" s="10">
        <f t="shared" si="128"/>
        <v>2.0000000000000018E-2</v>
      </c>
      <c r="Z58" s="10">
        <f t="shared" si="128"/>
        <v>2.0000000000000018E-2</v>
      </c>
      <c r="AA58" s="10">
        <f t="shared" si="128"/>
        <v>1.0000000000000009E-2</v>
      </c>
      <c r="AB58" s="10">
        <f t="shared" si="128"/>
        <v>1.0000000000000009E-2</v>
      </c>
      <c r="AC58" s="10">
        <f t="shared" si="128"/>
        <v>1.0000000000000009E-2</v>
      </c>
      <c r="AD58" s="10">
        <f t="shared" si="128"/>
        <v>1.0000000000000009E-2</v>
      </c>
      <c r="AE58" s="10">
        <f t="shared" si="128"/>
        <v>1.0000000000000009E-2</v>
      </c>
      <c r="AF58" s="10">
        <f t="shared" si="128"/>
        <v>1.0000000000000009E-2</v>
      </c>
      <c r="AH58" s="1" t="s">
        <v>51</v>
      </c>
      <c r="AI58" s="7">
        <f>NPV(AI57,V51:EJ51)</f>
        <v>3026.4175262556705</v>
      </c>
    </row>
    <row r="59" spans="2:140" x14ac:dyDescent="0.3">
      <c r="B59" s="1" t="s">
        <v>48</v>
      </c>
      <c r="C59" s="10"/>
      <c r="D59" s="10"/>
      <c r="E59" s="10"/>
      <c r="F59" s="10"/>
      <c r="G59" s="10">
        <f t="shared" ref="G59" si="129">G39/C39-1</f>
        <v>0</v>
      </c>
      <c r="H59" s="10">
        <f t="shared" ref="H59" si="130">H39/D39-1</f>
        <v>0.8</v>
      </c>
      <c r="I59" s="10">
        <f t="shared" ref="I59" si="131">I39/E39-1</f>
        <v>0.28571428571428581</v>
      </c>
      <c r="J59" s="10">
        <f t="shared" ref="J59" si="132">J39/F39-1</f>
        <v>-0.4</v>
      </c>
      <c r="K59" s="10">
        <f t="shared" ref="K59" si="133">K39/G39-1</f>
        <v>0</v>
      </c>
      <c r="L59" s="10">
        <f t="shared" ref="L59" si="134">L39/H39-1</f>
        <v>0</v>
      </c>
      <c r="M59" s="10">
        <f t="shared" si="126"/>
        <v>0.33333333333333326</v>
      </c>
      <c r="N59" s="10">
        <f t="shared" si="126"/>
        <v>1.1666666666666665</v>
      </c>
      <c r="P59" s="10"/>
      <c r="Q59" s="10">
        <f t="shared" si="127"/>
        <v>-0.19032258064516128</v>
      </c>
      <c r="R59" s="10">
        <f t="shared" si="127"/>
        <v>0.23505976095617531</v>
      </c>
      <c r="S59" s="10">
        <f t="shared" si="127"/>
        <v>0.16129032258064524</v>
      </c>
      <c r="T59" s="10">
        <f t="shared" si="127"/>
        <v>-0.16666666666666663</v>
      </c>
      <c r="U59" s="10">
        <f t="shared" si="127"/>
        <v>6.6666666666666652E-2</v>
      </c>
      <c r="V59" s="10">
        <f t="shared" ref="V59:AF59" si="135">V39/U39-1</f>
        <v>0.3125</v>
      </c>
      <c r="W59" s="10">
        <f t="shared" si="135"/>
        <v>0.12000000000000011</v>
      </c>
      <c r="X59" s="10">
        <f t="shared" si="135"/>
        <v>4.0000000000000036E-2</v>
      </c>
      <c r="Y59" s="10">
        <f t="shared" si="135"/>
        <v>3.0000000000000027E-2</v>
      </c>
      <c r="Z59" s="10">
        <f t="shared" si="135"/>
        <v>3.0000000000000027E-2</v>
      </c>
      <c r="AA59" s="10">
        <f t="shared" si="135"/>
        <v>3.0000000000000027E-2</v>
      </c>
      <c r="AB59" s="10">
        <f t="shared" si="135"/>
        <v>3.0000000000000027E-2</v>
      </c>
      <c r="AC59" s="10">
        <f t="shared" si="135"/>
        <v>3.0000000000000027E-2</v>
      </c>
      <c r="AD59" s="10">
        <f t="shared" si="135"/>
        <v>3.0000000000000027E-2</v>
      </c>
      <c r="AE59" s="10">
        <f t="shared" si="135"/>
        <v>3.0000000000000027E-2</v>
      </c>
      <c r="AF59" s="10">
        <f t="shared" si="135"/>
        <v>3.0000000000000027E-2</v>
      </c>
      <c r="AH59" s="1" t="s">
        <v>52</v>
      </c>
      <c r="AI59" s="7">
        <f>Main!D8</f>
        <v>-661</v>
      </c>
    </row>
    <row r="60" spans="2:140" x14ac:dyDescent="0.3">
      <c r="B60" s="1" t="s">
        <v>46</v>
      </c>
      <c r="C60" s="10">
        <f t="shared" ref="C60:K60" si="136">C44/C34</f>
        <v>2.9585798816568047E-3</v>
      </c>
      <c r="D60" s="10">
        <f t="shared" si="136"/>
        <v>3.3505154639175257E-2</v>
      </c>
      <c r="E60" s="10">
        <f t="shared" si="136"/>
        <v>9.2682926829268292E-2</v>
      </c>
      <c r="F60" s="10">
        <f t="shared" si="136"/>
        <v>0.16174402250351619</v>
      </c>
      <c r="G60" s="10">
        <f t="shared" si="136"/>
        <v>-2.4316109422492401E-2</v>
      </c>
      <c r="H60" s="10">
        <f t="shared" si="136"/>
        <v>2.5000000000000001E-2</v>
      </c>
      <c r="I60" s="10">
        <f t="shared" si="136"/>
        <v>6.6287878787878785E-2</v>
      </c>
      <c r="J60" s="10">
        <f t="shared" si="136"/>
        <v>0.16685979142526072</v>
      </c>
      <c r="K60" s="10">
        <f t="shared" si="136"/>
        <v>-4.3037974683544304E-2</v>
      </c>
      <c r="L60" s="10">
        <f>L44/L34</f>
        <v>3.825136612021858E-2</v>
      </c>
      <c r="M60" s="10">
        <f t="shared" ref="M60:N60" si="137">M44/M34</f>
        <v>0.10632825719120136</v>
      </c>
      <c r="N60" s="10">
        <f t="shared" si="137"/>
        <v>0.2025728213529388</v>
      </c>
      <c r="P60" s="10">
        <f t="shared" ref="P60:T60" si="138">P44/P34</f>
        <v>5.5735056542811079E-2</v>
      </c>
      <c r="Q60" s="10">
        <f t="shared" si="138"/>
        <v>5.6756980694340937E-2</v>
      </c>
      <c r="R60" s="10">
        <f t="shared" si="138"/>
        <v>8.5481682496607869E-2</v>
      </c>
      <c r="S60" s="10">
        <f t="shared" si="138"/>
        <v>9.7246631517281787E-2</v>
      </c>
      <c r="T60" s="10">
        <f t="shared" si="138"/>
        <v>9.0416892257715209E-2</v>
      </c>
      <c r="U60" s="10">
        <f>U44/U34</f>
        <v>8.2142857142857142E-2</v>
      </c>
      <c r="V60" s="10">
        <f t="shared" ref="V60:AF60" si="139">V44/V34</f>
        <v>9.8889467209236331E-2</v>
      </c>
      <c r="W60" s="10">
        <f t="shared" si="139"/>
        <v>0.10701334342765208</v>
      </c>
      <c r="X60" s="10">
        <f t="shared" si="139"/>
        <v>0.11075589655744858</v>
      </c>
      <c r="Y60" s="10">
        <f t="shared" si="139"/>
        <v>0.11321569689056758</v>
      </c>
      <c r="Z60" s="10">
        <f t="shared" si="139"/>
        <v>0.11497355293795856</v>
      </c>
      <c r="AA60" s="10">
        <f t="shared" si="139"/>
        <v>0.11716209004412916</v>
      </c>
      <c r="AB60" s="10">
        <f t="shared" si="139"/>
        <v>0.11927269405375544</v>
      </c>
      <c r="AC60" s="10">
        <f t="shared" si="139"/>
        <v>0.12130823190555615</v>
      </c>
      <c r="AD60" s="10">
        <f t="shared" si="139"/>
        <v>0.12327146321547157</v>
      </c>
      <c r="AE60" s="10">
        <f t="shared" si="139"/>
        <v>0.12516504433044126</v>
      </c>
      <c r="AF60" s="10">
        <f t="shared" si="139"/>
        <v>0.12699153222837395</v>
      </c>
      <c r="AH60" s="1" t="s">
        <v>53</v>
      </c>
      <c r="AI60" s="7">
        <f>AI58+AI59</f>
        <v>2365.4175262556705</v>
      </c>
    </row>
    <row r="61" spans="2:140" x14ac:dyDescent="0.3">
      <c r="B61" s="1" t="s">
        <v>24</v>
      </c>
      <c r="C61" s="10">
        <f t="shared" ref="C61:K61" si="140">C49/C48</f>
        <v>-0.15789473684210525</v>
      </c>
      <c r="D61" s="10">
        <f t="shared" si="140"/>
        <v>0</v>
      </c>
      <c r="E61" s="10">
        <f t="shared" si="140"/>
        <v>0.48148148148148145</v>
      </c>
      <c r="F61" s="10">
        <f t="shared" si="140"/>
        <v>0.24390243902439024</v>
      </c>
      <c r="G61" s="10">
        <f t="shared" si="140"/>
        <v>-0.66666666666666663</v>
      </c>
      <c r="H61" s="10">
        <f t="shared" si="140"/>
        <v>12</v>
      </c>
      <c r="I61" s="10" t="e">
        <f t="shared" si="140"/>
        <v>#DIV/0!</v>
      </c>
      <c r="J61" s="10">
        <f t="shared" si="140"/>
        <v>-0.22580645161290322</v>
      </c>
      <c r="K61" s="10">
        <f t="shared" si="140"/>
        <v>0.17499999999999999</v>
      </c>
      <c r="L61" s="10">
        <f>L49/L48</f>
        <v>0.26315789473684209</v>
      </c>
      <c r="M61" s="10">
        <f t="shared" ref="M61:N61" si="141">M49/M48</f>
        <v>0.30712530712530711</v>
      </c>
      <c r="N61" s="10">
        <f t="shared" si="141"/>
        <v>0.2</v>
      </c>
      <c r="P61" s="10">
        <f t="shared" ref="P61:T61" si="142">P49/P48</f>
        <v>0.76966292134831205</v>
      </c>
      <c r="Q61" s="10">
        <f t="shared" si="142"/>
        <v>0.14228723404255336</v>
      </c>
      <c r="R61" s="10">
        <f t="shared" si="142"/>
        <v>0.25882352941176473</v>
      </c>
      <c r="S61" s="10">
        <f t="shared" si="142"/>
        <v>0.37692307692307692</v>
      </c>
      <c r="T61" s="10">
        <f t="shared" si="142"/>
        <v>0.375</v>
      </c>
      <c r="U61" s="10">
        <f>U49/U48</f>
        <v>0.10344827586206896</v>
      </c>
      <c r="V61" s="10">
        <f t="shared" ref="V61:AF61" si="143">V49/V48</f>
        <v>0.25994893440769073</v>
      </c>
      <c r="W61" s="10">
        <f t="shared" si="143"/>
        <v>0.2</v>
      </c>
      <c r="X61" s="10">
        <f t="shared" si="143"/>
        <v>0.2</v>
      </c>
      <c r="Y61" s="10">
        <f t="shared" si="143"/>
        <v>0.2</v>
      </c>
      <c r="Z61" s="10">
        <f t="shared" si="143"/>
        <v>0.2</v>
      </c>
      <c r="AA61" s="10">
        <f t="shared" si="143"/>
        <v>0.2</v>
      </c>
      <c r="AB61" s="10">
        <f t="shared" si="143"/>
        <v>0.2</v>
      </c>
      <c r="AC61" s="10">
        <f t="shared" si="143"/>
        <v>0.2</v>
      </c>
      <c r="AD61" s="10">
        <f t="shared" si="143"/>
        <v>0.2</v>
      </c>
      <c r="AE61" s="10">
        <f t="shared" si="143"/>
        <v>0.2</v>
      </c>
      <c r="AF61" s="10">
        <f t="shared" si="143"/>
        <v>0.2</v>
      </c>
      <c r="AH61" s="1" t="s">
        <v>54</v>
      </c>
      <c r="AI61" s="4">
        <f>AI60/AF52</f>
        <v>20.39153039875578</v>
      </c>
    </row>
    <row r="62" spans="2:140" x14ac:dyDescent="0.3">
      <c r="B62" s="1" t="s">
        <v>47</v>
      </c>
      <c r="C62" s="10">
        <f t="shared" ref="C62:K62" si="144">C51/C34</f>
        <v>-6.5088757396449703E-2</v>
      </c>
      <c r="D62" s="10">
        <f t="shared" si="144"/>
        <v>1.2886597938144329E-2</v>
      </c>
      <c r="E62" s="10">
        <f t="shared" si="144"/>
        <v>3.9024390243902439E-2</v>
      </c>
      <c r="F62" s="10">
        <f t="shared" si="144"/>
        <v>8.2981715893108293E-2</v>
      </c>
      <c r="G62" s="10">
        <f t="shared" si="144"/>
        <v>-4.2553191489361701E-2</v>
      </c>
      <c r="H62" s="10">
        <f t="shared" si="144"/>
        <v>-2.5000000000000001E-2</v>
      </c>
      <c r="I62" s="10">
        <f t="shared" si="144"/>
        <v>-3.5984848484848488E-2</v>
      </c>
      <c r="J62" s="10">
        <f t="shared" si="144"/>
        <v>0.1761297798377752</v>
      </c>
      <c r="K62" s="10">
        <f t="shared" si="144"/>
        <v>-8.1012658227848103E-2</v>
      </c>
      <c r="L62" s="10">
        <f>L51/L34</f>
        <v>-2.3679417122040074E-2</v>
      </c>
      <c r="M62" s="10">
        <f t="shared" ref="M62:N62" si="145">M51/M34</f>
        <v>5.8950930626057538E-2</v>
      </c>
      <c r="N62" s="10">
        <f t="shared" si="145"/>
        <v>0.14048155991529146</v>
      </c>
      <c r="P62" s="10">
        <f t="shared" ref="P62:T62" si="146">P51/P34</f>
        <v>5.2952791240352863E-3</v>
      </c>
      <c r="Q62" s="10">
        <f t="shared" si="146"/>
        <v>-5.4022702792277652E-2</v>
      </c>
      <c r="R62" s="10">
        <f t="shared" si="146"/>
        <v>4.2740841248303935E-2</v>
      </c>
      <c r="S62" s="10">
        <f t="shared" si="146"/>
        <v>4.6280023432923256E-2</v>
      </c>
      <c r="T62" s="10">
        <f t="shared" si="146"/>
        <v>3.1402273957769358E-2</v>
      </c>
      <c r="U62" s="10">
        <f>U51/U34</f>
        <v>4.732142857142857E-2</v>
      </c>
      <c r="V62" s="10">
        <f t="shared" ref="V62:AF62" si="147">V51/V34</f>
        <v>4.401804359483931E-2</v>
      </c>
      <c r="W62" s="10">
        <f t="shared" si="147"/>
        <v>5.9285150167330512E-2</v>
      </c>
      <c r="X62" s="10">
        <f t="shared" si="147"/>
        <v>6.3741721814211671E-2</v>
      </c>
      <c r="Y62" s="10">
        <f t="shared" si="147"/>
        <v>6.6647788323414309E-2</v>
      </c>
      <c r="Z62" s="10">
        <f t="shared" si="147"/>
        <v>6.902625425853251E-2</v>
      </c>
      <c r="AA62" s="10">
        <f t="shared" si="147"/>
        <v>7.1710493532631106E-2</v>
      </c>
      <c r="AB62" s="10">
        <f t="shared" si="147"/>
        <v>7.4295141432357548E-2</v>
      </c>
      <c r="AC62" s="10">
        <f t="shared" si="147"/>
        <v>7.6783958545813838E-2</v>
      </c>
      <c r="AD62" s="10">
        <f t="shared" si="147"/>
        <v>7.9180562339067687E-2</v>
      </c>
      <c r="AE62" s="10">
        <f t="shared" si="147"/>
        <v>8.1488432619986936E-2</v>
      </c>
      <c r="AF62" s="10">
        <f t="shared" si="147"/>
        <v>8.3710916793301671E-2</v>
      </c>
      <c r="AH62" s="1" t="s">
        <v>55</v>
      </c>
      <c r="AI62" s="4">
        <f>Main!D3</f>
        <v>70.349999999999994</v>
      </c>
    </row>
    <row r="63" spans="2:140" x14ac:dyDescent="0.3">
      <c r="AH63" s="2" t="s">
        <v>56</v>
      </c>
      <c r="AI63" s="11">
        <f>AI61/AI62-1</f>
        <v>-0.71014171430340034</v>
      </c>
    </row>
    <row r="64" spans="2:140" x14ac:dyDescent="0.3">
      <c r="AH64" s="1" t="s">
        <v>57</v>
      </c>
      <c r="AI64" s="3" t="s">
        <v>58</v>
      </c>
    </row>
    <row r="65" spans="2:22" s="12" customFormat="1" x14ac:dyDescent="0.3">
      <c r="B65" s="12" t="s">
        <v>59</v>
      </c>
      <c r="J65" s="13">
        <v>4696</v>
      </c>
      <c r="K65" s="13"/>
      <c r="L65" s="13">
        <v>4649</v>
      </c>
      <c r="M65" s="13">
        <v>4974</v>
      </c>
      <c r="V65" s="13">
        <v>4974</v>
      </c>
    </row>
    <row r="67" spans="2:22" x14ac:dyDescent="0.3">
      <c r="B67" s="1" t="s">
        <v>60</v>
      </c>
      <c r="L67" s="14"/>
      <c r="V67" s="14">
        <f>Main!$D$9/Model!V65</f>
        <v>1.7735424205870525</v>
      </c>
    </row>
    <row r="68" spans="2:22" x14ac:dyDescent="0.3">
      <c r="B68" s="1" t="s">
        <v>61</v>
      </c>
      <c r="L68" s="10"/>
      <c r="V68" s="10">
        <f>V65/Main!$D$9-1</f>
        <v>-0.43615670626643688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2025-09-03T15:11:02Z</dcterms:created>
  <dcterms:modified xsi:type="dcterms:W3CDTF">2025-11-27T10:52:11Z</dcterms:modified>
</cp:coreProperties>
</file>