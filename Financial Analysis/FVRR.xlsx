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BF5DEC05-F8C9-40A6-B077-C13D61955249}" xr6:coauthVersionLast="47" xr6:coauthVersionMax="47" xr10:uidLastSave="{00000000-0000-0000-0000-000000000000}"/>
  <bookViews>
    <workbookView xWindow="-108" yWindow="-108" windowWidth="23256" windowHeight="12576" xr2:uid="{AD032BED-1FC0-449E-A9C1-7763436E9E4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7" i="2" l="1"/>
  <c r="AN7" i="2"/>
  <c r="AM7" i="2"/>
  <c r="AL7" i="2"/>
  <c r="AK7" i="2"/>
  <c r="AJ7" i="2"/>
  <c r="AF3" i="2"/>
  <c r="AG3" i="2" s="1"/>
  <c r="AG5" i="2" s="1"/>
  <c r="AG20" i="2" s="1"/>
  <c r="V7" i="2"/>
  <c r="U7" i="2"/>
  <c r="AR26" i="2"/>
  <c r="AR23" i="2"/>
  <c r="AO16" i="2"/>
  <c r="AN16" i="2"/>
  <c r="AM16" i="2"/>
  <c r="AL16" i="2"/>
  <c r="AK16" i="2"/>
  <c r="AJ16" i="2"/>
  <c r="AI16" i="2"/>
  <c r="AH16" i="2"/>
  <c r="AG16" i="2"/>
  <c r="AG12" i="2"/>
  <c r="AH12" i="2" s="1"/>
  <c r="AI12" i="2" s="1"/>
  <c r="AJ12" i="2" s="1"/>
  <c r="AK12" i="2" s="1"/>
  <c r="AL12" i="2" s="1"/>
  <c r="AM12" i="2" s="1"/>
  <c r="AN12" i="2" s="1"/>
  <c r="AO12" i="2" s="1"/>
  <c r="AF16" i="2"/>
  <c r="AF12" i="2"/>
  <c r="AJ8" i="2"/>
  <c r="AK8" i="2" s="1"/>
  <c r="AL8" i="2" s="1"/>
  <c r="AM8" i="2" s="1"/>
  <c r="AN8" i="2" s="1"/>
  <c r="AO8" i="2" s="1"/>
  <c r="AI8" i="2"/>
  <c r="AH8" i="2"/>
  <c r="AG8" i="2"/>
  <c r="AF8" i="2"/>
  <c r="AF23" i="2" s="1"/>
  <c r="AK6" i="2"/>
  <c r="AL6" i="2" s="1"/>
  <c r="AM6" i="2" s="1"/>
  <c r="AN6" i="2" s="1"/>
  <c r="AO6" i="2" s="1"/>
  <c r="AJ6" i="2"/>
  <c r="AI6" i="2"/>
  <c r="AH6" i="2"/>
  <c r="AG6" i="2"/>
  <c r="AF6" i="2"/>
  <c r="AG23" i="2"/>
  <c r="AF19" i="2"/>
  <c r="AF5" i="2"/>
  <c r="AF20" i="2" s="1"/>
  <c r="AD26" i="2"/>
  <c r="AC26" i="2"/>
  <c r="AB26" i="2"/>
  <c r="AA26" i="2"/>
  <c r="Z26" i="2"/>
  <c r="Y26" i="2"/>
  <c r="X26" i="2"/>
  <c r="AD25" i="2"/>
  <c r="AC25" i="2"/>
  <c r="AB25" i="2"/>
  <c r="AA25" i="2"/>
  <c r="Z25" i="2"/>
  <c r="Y25" i="2"/>
  <c r="X25" i="2"/>
  <c r="AD24" i="2"/>
  <c r="AC24" i="2"/>
  <c r="AB24" i="2"/>
  <c r="AA24" i="2"/>
  <c r="Z24" i="2"/>
  <c r="Y24" i="2"/>
  <c r="X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X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X20" i="2"/>
  <c r="AD19" i="2"/>
  <c r="AC19" i="2"/>
  <c r="AB19" i="2"/>
  <c r="AA19" i="2"/>
  <c r="Z19" i="2"/>
  <c r="Y19" i="2"/>
  <c r="AE23" i="2"/>
  <c r="AE21" i="2"/>
  <c r="AE19" i="2"/>
  <c r="AE20" i="2"/>
  <c r="X16" i="2"/>
  <c r="X10" i="2"/>
  <c r="X5" i="2"/>
  <c r="Y16" i="2"/>
  <c r="Y10" i="2"/>
  <c r="Y5" i="2"/>
  <c r="Z16" i="2"/>
  <c r="Z10" i="2"/>
  <c r="Z5" i="2"/>
  <c r="AA10" i="2"/>
  <c r="AA16" i="2"/>
  <c r="AA5" i="2"/>
  <c r="AB14" i="2"/>
  <c r="AB12" i="2"/>
  <c r="AB9" i="2"/>
  <c r="AB8" i="2"/>
  <c r="AB7" i="2"/>
  <c r="AB6" i="2"/>
  <c r="AB4" i="2"/>
  <c r="AB3" i="2"/>
  <c r="AB16" i="2"/>
  <c r="AC14" i="2"/>
  <c r="AC12" i="2"/>
  <c r="AC9" i="2"/>
  <c r="AC8" i="2"/>
  <c r="AC7" i="2"/>
  <c r="AC6" i="2"/>
  <c r="AC4" i="2"/>
  <c r="AC3" i="2"/>
  <c r="AC16" i="2"/>
  <c r="AE14" i="2"/>
  <c r="AE12" i="2"/>
  <c r="AE9" i="2"/>
  <c r="AE16" i="2"/>
  <c r="AD14" i="2"/>
  <c r="AD12" i="2"/>
  <c r="AD9" i="2"/>
  <c r="AD8" i="2"/>
  <c r="AD7" i="2"/>
  <c r="AD6" i="2"/>
  <c r="AD4" i="2"/>
  <c r="AD3" i="2"/>
  <c r="AD16" i="2"/>
  <c r="V16" i="2"/>
  <c r="U16" i="2"/>
  <c r="V8" i="2"/>
  <c r="V23" i="2" s="1"/>
  <c r="U8" i="2"/>
  <c r="U23" i="2" s="1"/>
  <c r="V6" i="2"/>
  <c r="V21" i="2" s="1"/>
  <c r="U6" i="2"/>
  <c r="AE6" i="2" s="1"/>
  <c r="V3" i="2"/>
  <c r="V5" i="2" s="1"/>
  <c r="U3" i="2"/>
  <c r="AE3" i="2" s="1"/>
  <c r="E22" i="2"/>
  <c r="F22" i="2"/>
  <c r="G22" i="2"/>
  <c r="H22" i="2"/>
  <c r="J23" i="2"/>
  <c r="I23" i="2"/>
  <c r="J22" i="2"/>
  <c r="I22" i="2"/>
  <c r="J21" i="2"/>
  <c r="I21" i="2"/>
  <c r="J19" i="2"/>
  <c r="I19" i="2"/>
  <c r="N23" i="2"/>
  <c r="M23" i="2"/>
  <c r="N22" i="2"/>
  <c r="M22" i="2"/>
  <c r="N21" i="2"/>
  <c r="M21" i="2"/>
  <c r="N19" i="2"/>
  <c r="M19" i="2"/>
  <c r="E16" i="2"/>
  <c r="E10" i="2"/>
  <c r="E5" i="2"/>
  <c r="E20" i="2" s="1"/>
  <c r="I16" i="2"/>
  <c r="I10" i="2"/>
  <c r="I5" i="2"/>
  <c r="I20" i="2" s="1"/>
  <c r="F16" i="2"/>
  <c r="F10" i="2"/>
  <c r="F5" i="2"/>
  <c r="F20" i="2" s="1"/>
  <c r="J16" i="2"/>
  <c r="J10" i="2"/>
  <c r="J5" i="2"/>
  <c r="J20" i="2" s="1"/>
  <c r="S23" i="2"/>
  <c r="R23" i="2"/>
  <c r="Q23" i="2"/>
  <c r="P23" i="2"/>
  <c r="O23" i="2"/>
  <c r="L23" i="2"/>
  <c r="K23" i="2"/>
  <c r="S22" i="2"/>
  <c r="R22" i="2"/>
  <c r="Q22" i="2"/>
  <c r="P22" i="2"/>
  <c r="O22" i="2"/>
  <c r="L22" i="2"/>
  <c r="K22" i="2"/>
  <c r="S21" i="2"/>
  <c r="R21" i="2"/>
  <c r="Q21" i="2"/>
  <c r="P21" i="2"/>
  <c r="O21" i="2"/>
  <c r="L21" i="2"/>
  <c r="K21" i="2"/>
  <c r="S19" i="2"/>
  <c r="R19" i="2"/>
  <c r="Q19" i="2"/>
  <c r="P19" i="2"/>
  <c r="O19" i="2"/>
  <c r="L19" i="2"/>
  <c r="K19" i="2"/>
  <c r="T23" i="2"/>
  <c r="T22" i="2"/>
  <c r="T21" i="2"/>
  <c r="T19" i="2"/>
  <c r="G16" i="2"/>
  <c r="G10" i="2"/>
  <c r="G5" i="2"/>
  <c r="G20" i="2" s="1"/>
  <c r="K16" i="2"/>
  <c r="K10" i="2"/>
  <c r="K5" i="2"/>
  <c r="K20" i="2" s="1"/>
  <c r="H16" i="2"/>
  <c r="H10" i="2"/>
  <c r="H5" i="2"/>
  <c r="H20" i="2" s="1"/>
  <c r="T10" i="2"/>
  <c r="S10" i="2"/>
  <c r="R10" i="2"/>
  <c r="Q10" i="2"/>
  <c r="P10" i="2"/>
  <c r="O10" i="2"/>
  <c r="N10" i="2"/>
  <c r="M10" i="2"/>
  <c r="L10" i="2"/>
  <c r="L16" i="2"/>
  <c r="L5" i="2"/>
  <c r="L20" i="2" s="1"/>
  <c r="M16" i="2"/>
  <c r="M5" i="2"/>
  <c r="M20" i="2" s="1"/>
  <c r="Q16" i="2"/>
  <c r="Q5" i="2"/>
  <c r="Q20" i="2" s="1"/>
  <c r="N16" i="2"/>
  <c r="N5" i="2"/>
  <c r="N20" i="2" s="1"/>
  <c r="R16" i="2"/>
  <c r="R5" i="2"/>
  <c r="R20" i="2" s="1"/>
  <c r="O16" i="2"/>
  <c r="O5" i="2"/>
  <c r="O20" i="2" s="1"/>
  <c r="S16" i="2"/>
  <c r="S5" i="2"/>
  <c r="S20" i="2" s="1"/>
  <c r="P16" i="2"/>
  <c r="P5" i="2"/>
  <c r="P20" i="2" s="1"/>
  <c r="T16" i="2"/>
  <c r="T5" i="2"/>
  <c r="T20" i="2" s="1"/>
  <c r="D9" i="1"/>
  <c r="D8" i="1"/>
  <c r="D7" i="1"/>
  <c r="D6" i="1"/>
  <c r="D5" i="1"/>
  <c r="D4" i="1"/>
  <c r="D3" i="1"/>
  <c r="F3" i="1"/>
  <c r="AF4" i="2" l="1"/>
  <c r="AF7" i="2"/>
  <c r="AG7" i="2"/>
  <c r="AG22" i="2" s="1"/>
  <c r="AH3" i="2"/>
  <c r="AI3" i="2" s="1"/>
  <c r="AJ3" i="2" s="1"/>
  <c r="AG19" i="2"/>
  <c r="AH7" i="2"/>
  <c r="AH10" i="2" s="1"/>
  <c r="AG4" i="2"/>
  <c r="AH23" i="2"/>
  <c r="AH21" i="2"/>
  <c r="AI21" i="2"/>
  <c r="AG21" i="2"/>
  <c r="AF21" i="2"/>
  <c r="X11" i="2"/>
  <c r="X13" i="2" s="1"/>
  <c r="X15" i="2" s="1"/>
  <c r="X17" i="2" s="1"/>
  <c r="Y11" i="2"/>
  <c r="Y13" i="2" s="1"/>
  <c r="Y15" i="2" s="1"/>
  <c r="Y17" i="2" s="1"/>
  <c r="AB5" i="2"/>
  <c r="AB11" i="2" s="1"/>
  <c r="AB13" i="2" s="1"/>
  <c r="AB15" i="2" s="1"/>
  <c r="AB17" i="2" s="1"/>
  <c r="U5" i="2"/>
  <c r="U4" i="2" s="1"/>
  <c r="V19" i="2"/>
  <c r="AC5" i="2"/>
  <c r="U21" i="2"/>
  <c r="V22" i="2"/>
  <c r="AC10" i="2"/>
  <c r="V4" i="2"/>
  <c r="V20" i="2"/>
  <c r="AE4" i="2"/>
  <c r="AE5" i="2" s="1"/>
  <c r="AE8" i="2"/>
  <c r="U19" i="2"/>
  <c r="AB10" i="2"/>
  <c r="AD10" i="2"/>
  <c r="Z11" i="2"/>
  <c r="Z13" i="2" s="1"/>
  <c r="Z15" i="2" s="1"/>
  <c r="Z17" i="2" s="1"/>
  <c r="AA11" i="2"/>
  <c r="AA13" i="2" s="1"/>
  <c r="AA15" i="2" s="1"/>
  <c r="AA17" i="2" s="1"/>
  <c r="AD5" i="2"/>
  <c r="E11" i="2"/>
  <c r="I11" i="2"/>
  <c r="F11" i="2"/>
  <c r="J11" i="2"/>
  <c r="G11" i="2"/>
  <c r="G24" i="2" s="1"/>
  <c r="K11" i="2"/>
  <c r="H11" i="2"/>
  <c r="H24" i="2" s="1"/>
  <c r="L11" i="2"/>
  <c r="T11" i="2"/>
  <c r="M11" i="2"/>
  <c r="M24" i="2" s="1"/>
  <c r="Q11" i="2"/>
  <c r="N11" i="2"/>
  <c r="N24" i="2" s="1"/>
  <c r="R11" i="2"/>
  <c r="O11" i="2"/>
  <c r="S11" i="2"/>
  <c r="P11" i="2"/>
  <c r="AF22" i="2" l="1"/>
  <c r="AF10" i="2"/>
  <c r="AF11" i="2" s="1"/>
  <c r="AG10" i="2"/>
  <c r="AG11" i="2" s="1"/>
  <c r="AG13" i="2" s="1"/>
  <c r="AG14" i="2" s="1"/>
  <c r="AG25" i="2" s="1"/>
  <c r="AH19" i="2"/>
  <c r="AH5" i="2"/>
  <c r="AH20" i="2" s="1"/>
  <c r="AH22" i="2"/>
  <c r="AI5" i="2"/>
  <c r="AI19" i="2"/>
  <c r="AI7" i="2"/>
  <c r="AI23" i="2"/>
  <c r="AC11" i="2"/>
  <c r="AC13" i="2" s="1"/>
  <c r="AC15" i="2" s="1"/>
  <c r="AC17" i="2" s="1"/>
  <c r="V10" i="2"/>
  <c r="V11" i="2" s="1"/>
  <c r="V24" i="2" s="1"/>
  <c r="U20" i="2"/>
  <c r="AE7" i="2"/>
  <c r="U22" i="2"/>
  <c r="U10" i="2"/>
  <c r="U11" i="2" s="1"/>
  <c r="J13" i="2"/>
  <c r="J24" i="2"/>
  <c r="E13" i="2"/>
  <c r="E24" i="2"/>
  <c r="F13" i="2"/>
  <c r="F24" i="2"/>
  <c r="I13" i="2"/>
  <c r="I24" i="2"/>
  <c r="AD11" i="2"/>
  <c r="AD13" i="2" s="1"/>
  <c r="AD15" i="2" s="1"/>
  <c r="AD17" i="2" s="1"/>
  <c r="S13" i="2"/>
  <c r="S24" i="2"/>
  <c r="H13" i="2"/>
  <c r="H25" i="2" s="1"/>
  <c r="K13" i="2"/>
  <c r="K24" i="2"/>
  <c r="R13" i="2"/>
  <c r="R24" i="2"/>
  <c r="G13" i="2"/>
  <c r="G25" i="2" s="1"/>
  <c r="N13" i="2"/>
  <c r="N25" i="2" s="1"/>
  <c r="Q13" i="2"/>
  <c r="Q24" i="2"/>
  <c r="M13" i="2"/>
  <c r="M25" i="2" s="1"/>
  <c r="T13" i="2"/>
  <c r="T15" i="2" s="1"/>
  <c r="T24" i="2"/>
  <c r="P13" i="2"/>
  <c r="P24" i="2"/>
  <c r="L13" i="2"/>
  <c r="L24" i="2"/>
  <c r="O13" i="2"/>
  <c r="O24" i="2"/>
  <c r="AG15" i="2" l="1"/>
  <c r="AG26" i="2" s="1"/>
  <c r="AF24" i="2"/>
  <c r="AF13" i="2"/>
  <c r="AF14" i="2" s="1"/>
  <c r="AF25" i="2" s="1"/>
  <c r="AH4" i="2"/>
  <c r="AH11" i="2"/>
  <c r="AH13" i="2" s="1"/>
  <c r="AH14" i="2" s="1"/>
  <c r="AH25" i="2" s="1"/>
  <c r="AG24" i="2"/>
  <c r="AK3" i="2"/>
  <c r="AJ5" i="2"/>
  <c r="AJ20" i="2" s="1"/>
  <c r="AJ19" i="2"/>
  <c r="AI22" i="2"/>
  <c r="AI10" i="2"/>
  <c r="AI11" i="2" s="1"/>
  <c r="AI4" i="2"/>
  <c r="AI20" i="2"/>
  <c r="V13" i="2"/>
  <c r="V15" i="2" s="1"/>
  <c r="AE10" i="2"/>
  <c r="AE11" i="2" s="1"/>
  <c r="AE22" i="2"/>
  <c r="AF15" i="2"/>
  <c r="AJ23" i="2"/>
  <c r="AJ21" i="2"/>
  <c r="AK21" i="2"/>
  <c r="F15" i="2"/>
  <c r="F25" i="2"/>
  <c r="U24" i="2"/>
  <c r="U13" i="2"/>
  <c r="E15" i="2"/>
  <c r="E25" i="2"/>
  <c r="I15" i="2"/>
  <c r="I25" i="2"/>
  <c r="J15" i="2"/>
  <c r="J25" i="2"/>
  <c r="T25" i="2"/>
  <c r="M15" i="2"/>
  <c r="M26" i="2" s="1"/>
  <c r="G15" i="2"/>
  <c r="G26" i="2" s="1"/>
  <c r="O15" i="2"/>
  <c r="O25" i="2"/>
  <c r="L15" i="2"/>
  <c r="L25" i="2"/>
  <c r="K15" i="2"/>
  <c r="K25" i="2"/>
  <c r="N15" i="2"/>
  <c r="N26" i="2" s="1"/>
  <c r="H15" i="2"/>
  <c r="H26" i="2" s="1"/>
  <c r="S15" i="2"/>
  <c r="S25" i="2"/>
  <c r="R15" i="2"/>
  <c r="R25" i="2"/>
  <c r="Q15" i="2"/>
  <c r="Q25" i="2"/>
  <c r="P15" i="2"/>
  <c r="P25" i="2"/>
  <c r="AG17" i="2" l="1"/>
  <c r="AH24" i="2"/>
  <c r="AJ4" i="2"/>
  <c r="AJ22" i="2"/>
  <c r="AJ10" i="2"/>
  <c r="AJ11" i="2" s="1"/>
  <c r="AH15" i="2"/>
  <c r="AI24" i="2"/>
  <c r="AI13" i="2"/>
  <c r="AK5" i="2"/>
  <c r="AK20" i="2" s="1"/>
  <c r="AK19" i="2"/>
  <c r="AL3" i="2"/>
  <c r="V25" i="2"/>
  <c r="AE13" i="2"/>
  <c r="AE24" i="2"/>
  <c r="AF17" i="2"/>
  <c r="AF26" i="2"/>
  <c r="AK23" i="2"/>
  <c r="AL21" i="2"/>
  <c r="I17" i="2"/>
  <c r="I26" i="2"/>
  <c r="F17" i="2"/>
  <c r="F26" i="2"/>
  <c r="J17" i="2"/>
  <c r="J26" i="2"/>
  <c r="U15" i="2"/>
  <c r="U25" i="2"/>
  <c r="V26" i="2"/>
  <c r="V17" i="2"/>
  <c r="E17" i="2"/>
  <c r="E26" i="2"/>
  <c r="P17" i="2"/>
  <c r="P26" i="2"/>
  <c r="O17" i="2"/>
  <c r="O26" i="2"/>
  <c r="Q17" i="2"/>
  <c r="Q26" i="2"/>
  <c r="G17" i="2"/>
  <c r="K17" i="2"/>
  <c r="K26" i="2"/>
  <c r="M17" i="2"/>
  <c r="H17" i="2"/>
  <c r="N17" i="2"/>
  <c r="R17" i="2"/>
  <c r="R26" i="2"/>
  <c r="S17" i="2"/>
  <c r="S26" i="2"/>
  <c r="L17" i="2"/>
  <c r="L26" i="2"/>
  <c r="T17" i="2"/>
  <c r="T26" i="2"/>
  <c r="AI14" i="2" l="1"/>
  <c r="AI25" i="2" s="1"/>
  <c r="AM3" i="2"/>
  <c r="AL5" i="2"/>
  <c r="AL19" i="2"/>
  <c r="AH26" i="2"/>
  <c r="AH17" i="2"/>
  <c r="AK4" i="2"/>
  <c r="AJ24" i="2"/>
  <c r="AJ13" i="2"/>
  <c r="AK10" i="2"/>
  <c r="AK11" i="2" s="1"/>
  <c r="AK22" i="2"/>
  <c r="AE15" i="2"/>
  <c r="AE25" i="2"/>
  <c r="AL23" i="2"/>
  <c r="AM21" i="2"/>
  <c r="U26" i="2"/>
  <c r="U17" i="2"/>
  <c r="AK13" i="2" l="1"/>
  <c r="AK24" i="2"/>
  <c r="AL4" i="2"/>
  <c r="AL20" i="2"/>
  <c r="AL22" i="2"/>
  <c r="AL10" i="2"/>
  <c r="AL11" i="2" s="1"/>
  <c r="AJ14" i="2"/>
  <c r="AJ25" i="2" s="1"/>
  <c r="AM5" i="2"/>
  <c r="AM20" i="2" s="1"/>
  <c r="AN3" i="2"/>
  <c r="AM19" i="2"/>
  <c r="AI15" i="2"/>
  <c r="AE17" i="2"/>
  <c r="AE26" i="2"/>
  <c r="AM23" i="2"/>
  <c r="AO21" i="2"/>
  <c r="AN21" i="2"/>
  <c r="AJ15" i="2" l="1"/>
  <c r="AJ17" i="2" s="1"/>
  <c r="AK14" i="2"/>
  <c r="AK25" i="2" s="1"/>
  <c r="AI26" i="2"/>
  <c r="AI17" i="2"/>
  <c r="AL24" i="2"/>
  <c r="AL13" i="2"/>
  <c r="AM22" i="2"/>
  <c r="AM10" i="2"/>
  <c r="AM11" i="2" s="1"/>
  <c r="AM4" i="2"/>
  <c r="AO3" i="2"/>
  <c r="AN19" i="2"/>
  <c r="AN5" i="2"/>
  <c r="AN20" i="2" s="1"/>
  <c r="AN23" i="2"/>
  <c r="AO23" i="2"/>
  <c r="AJ26" i="2" l="1"/>
  <c r="AO19" i="2"/>
  <c r="AO5" i="2"/>
  <c r="AO20" i="2" s="1"/>
  <c r="AM24" i="2"/>
  <c r="AM13" i="2"/>
  <c r="AN10" i="2"/>
  <c r="AN11" i="2" s="1"/>
  <c r="AN22" i="2"/>
  <c r="AN4" i="2"/>
  <c r="AL14" i="2"/>
  <c r="AL25" i="2" s="1"/>
  <c r="AK15" i="2"/>
  <c r="AL15" i="2" l="1"/>
  <c r="AL17" i="2" s="1"/>
  <c r="AN13" i="2"/>
  <c r="AN24" i="2"/>
  <c r="AM14" i="2"/>
  <c r="AM25" i="2" s="1"/>
  <c r="AK26" i="2"/>
  <c r="AK17" i="2"/>
  <c r="AO4" i="2"/>
  <c r="AO22" i="2"/>
  <c r="AO10" i="2"/>
  <c r="AO11" i="2" s="1"/>
  <c r="AM15" i="2" l="1"/>
  <c r="AM26" i="2" s="1"/>
  <c r="AL26" i="2"/>
  <c r="AO13" i="2"/>
  <c r="AO24" i="2"/>
  <c r="AN14" i="2"/>
  <c r="AN25" i="2" s="1"/>
  <c r="AM17" i="2" l="1"/>
  <c r="AN15" i="2"/>
  <c r="AN17" i="2" s="1"/>
  <c r="AO14" i="2"/>
  <c r="AO25" i="2" s="1"/>
  <c r="AN26" i="2" l="1"/>
  <c r="AO15" i="2"/>
  <c r="AO17" i="2" l="1"/>
  <c r="AP15" i="2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EH15" i="2" s="1"/>
  <c r="EI15" i="2" s="1"/>
  <c r="EJ15" i="2" s="1"/>
  <c r="EK15" i="2" s="1"/>
  <c r="EL15" i="2" s="1"/>
  <c r="EM15" i="2" s="1"/>
  <c r="EN15" i="2" s="1"/>
  <c r="AO26" i="2"/>
  <c r="AR22" i="2" l="1"/>
  <c r="AR24" i="2" s="1"/>
  <c r="AR25" i="2" s="1"/>
  <c r="AR27" i="2" s="1"/>
</calcChain>
</file>

<file path=xl/sharedStrings.xml><?xml version="1.0" encoding="utf-8"?>
<sst xmlns="http://schemas.openxmlformats.org/spreadsheetml/2006/main" count="67" uniqueCount="62">
  <si>
    <t>FVRR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</si>
  <si>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</si>
  <si>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</si>
  <si>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</si>
  <si>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</si>
  <si>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</si>
  <si>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</si>
  <si>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</si>
  <si>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</si>
  <si>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</si>
  <si>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</si>
  <si>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Q225</t>
  </si>
  <si>
    <t>Revenue</t>
  </si>
  <si>
    <t>Cost of sales</t>
  </si>
  <si>
    <t>Gross profit</t>
  </si>
  <si>
    <t>R&amp;D</t>
  </si>
  <si>
    <t>S&amp;M</t>
  </si>
  <si>
    <t>G&amp;A</t>
  </si>
  <si>
    <t>Total operating expenses</t>
  </si>
  <si>
    <t>Operating profit</t>
  </si>
  <si>
    <t>Pretax profit</t>
  </si>
  <si>
    <t>Net finance income</t>
  </si>
  <si>
    <t>Taxes</t>
  </si>
  <si>
    <t>Net profit</t>
  </si>
  <si>
    <t>EPS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</si>
  <si>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</si>
  <si>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</si>
  <si>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</si>
  <si>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</si>
  <si>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</si>
  <si>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</si>
  <si>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</si>
  <si>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</si>
  <si>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</si>
  <si>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</si>
  <si>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</si>
  <si>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>Q122</t>
  </si>
  <si>
    <t>Q222</t>
  </si>
  <si>
    <t>Q322</t>
  </si>
  <si>
    <t>Q422</t>
  </si>
  <si>
    <t>Impairment</t>
  </si>
  <si>
    <t>Revenue y/y</t>
  </si>
  <si>
    <t>Gross Margin</t>
  </si>
  <si>
    <t>R&amp;D y/y</t>
  </si>
  <si>
    <t>S&amp;M Margin</t>
  </si>
  <si>
    <t>G&amp;A y/y</t>
  </si>
  <si>
    <t>Operating Margin</t>
  </si>
  <si>
    <t>Net Margin</t>
  </si>
  <si>
    <t>Q121</t>
  </si>
  <si>
    <t>Q221</t>
  </si>
  <si>
    <t>Q321</t>
  </si>
  <si>
    <t>Q421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</si>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</sst>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3" fontId="0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15240</xdr:colOff>
      <xdr:row>0</xdr:row>
      <xdr:rowOff>15240</xdr:rowOff>
    </xdr:from>
    <xdr:to>
      <xdr:col>20</xdr:col>
      <xdr:colOff>15240</xdr:colOff>
      <xdr:row>33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17D9900-2BB0-2B08-99BE-319B7575404F}"/>
            </a:ext>
          </a:extLst>
        </xdr:cNvPr>
        <xdr:cNvCxnSpPr/>
      </xdr:nvCxnSpPr>
      <xdr:spPr>
        <a:xfrm>
          <a:off x="13083540" y="1524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15240</xdr:colOff>
      <xdr:row>0</xdr:row>
      <xdr:rowOff>15240</xdr:rowOff>
    </xdr:from>
    <xdr:to>
      <xdr:col>30</xdr:col>
      <xdr:colOff>15240</xdr:colOff>
      <xdr:row>33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1697C6B-2A17-5314-8DAE-AE005AF5C716}"/>
            </a:ext>
          </a:extLst>
        </xdr:cNvPr>
        <xdr:cNvCxnSpPr/>
      </xdr:nvCxnSpPr>
      <xdr:spPr>
        <a:xfrm>
          <a:off x="18569940" y="1524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91E5-75C7-40C8-A155-F42BF0F6DD5C}">
  <dimension ref="B2:G9"/>
  <sheetViews>
    <sheetView tabSelected="1" workbookViewId="0">
      <selection activeCell="D4" sqref="D4"/>
    </sheetView>
  </sheetViews>
  <sheetFormatPr defaultRowHeight="14.4" x14ac:dyDescent="0.3"/>
  <cols>
    <col min="5" max="5" width="11.88671875" style="2" bestFit="1" customWidth="1"/>
    <col min="6" max="7" width="11.21875" style="2" bestFit="1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4">
        <f>24.29</f>
        <v>24.29</v>
      </c>
      <c r="E3" s="3">
        <v>45888</v>
      </c>
      <c r="F3" s="3">
        <f ca="1">TODAY()</f>
        <v>45888</v>
      </c>
      <c r="G3" s="3">
        <v>45966</v>
      </c>
    </row>
    <row r="4" spans="2:7" x14ac:dyDescent="0.3">
      <c r="C4" t="s">
        <v>2</v>
      </c>
      <c r="D4" s="5">
        <f>36.6</f>
        <v>36.6</v>
      </c>
      <c r="E4" s="2" t="s">
        <v>11</v>
      </c>
    </row>
    <row r="5" spans="2:7" x14ac:dyDescent="0.3">
      <c r="C5" t="s">
        <v>3</v>
      </c>
      <c r="D5" s="5">
        <f>D3*D4</f>
        <v>889.01400000000001</v>
      </c>
    </row>
    <row r="6" spans="2:7" x14ac:dyDescent="0.3">
      <c r="C6" t="s">
        <v>4</v>
      </c>
      <c r="D6" s="5">
        <f>313.5+264.9+23.8</f>
        <v>602.19999999999993</v>
      </c>
      <c r="E6" s="2" t="s">
        <v>11</v>
      </c>
    </row>
    <row r="7" spans="2:7" x14ac:dyDescent="0.3">
      <c r="C7" t="s">
        <v>5</v>
      </c>
      <c r="D7" s="5">
        <f>459.1</f>
        <v>459.1</v>
      </c>
      <c r="E7" s="2" t="s">
        <v>11</v>
      </c>
    </row>
    <row r="8" spans="2:7" x14ac:dyDescent="0.3">
      <c r="C8" t="s">
        <v>6</v>
      </c>
      <c r="D8" s="5">
        <f>D6-D7</f>
        <v>143.09999999999991</v>
      </c>
    </row>
    <row r="9" spans="2:7" x14ac:dyDescent="0.3">
      <c r="C9" t="s">
        <v>7</v>
      </c>
      <c r="D9" s="5">
        <f>D5-D8</f>
        <v>745.9140000000001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62DF-B3F1-4F3E-B855-50513118D1B7}">
  <dimension ref="B2:EN28"/>
  <sheetViews>
    <sheetView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AF15" sqref="AF15"/>
    </sheetView>
  </sheetViews>
  <sheetFormatPr defaultRowHeight="14.4" x14ac:dyDescent="0.3"/>
  <cols>
    <col min="2" max="2" width="21.6640625" bestFit="1" customWidth="1"/>
    <col min="3" max="10" width="8.88671875" customWidth="1"/>
    <col min="43" max="43" width="12" bestFit="1" customWidth="1"/>
    <col min="44" max="44" width="14.77734375" customWidth="1"/>
  </cols>
  <sheetData>
    <row r="2" spans="2:144" x14ac:dyDescent="0.3">
      <c r="C2" s="6" t="s">
        <v>48</v>
      </c>
      <c r="D2" s="6" t="s">
        <v>49</v>
      </c>
      <c r="E2" s="6" t="s">
        <v>50</v>
      </c>
      <c r="F2" s="6" t="s">
        <v>51</v>
      </c>
      <c r="G2" s="6" t="s">
        <v>36</v>
      </c>
      <c r="H2" s="6" t="s">
        <v>37</v>
      </c>
      <c r="I2" s="6" t="s">
        <v>38</v>
      </c>
      <c r="J2" s="6" t="s">
        <v>39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30</v>
      </c>
      <c r="Q2" s="6" t="s">
        <v>31</v>
      </c>
      <c r="R2" s="6" t="s">
        <v>32</v>
      </c>
      <c r="S2" s="6" t="s">
        <v>33</v>
      </c>
      <c r="T2" s="6" t="s">
        <v>11</v>
      </c>
      <c r="U2" s="6" t="s">
        <v>34</v>
      </c>
      <c r="V2" s="6" t="s">
        <v>35</v>
      </c>
      <c r="X2">
        <v>2018</v>
      </c>
      <c r="Y2">
        <v>2019</v>
      </c>
      <c r="Z2">
        <v>2020</v>
      </c>
      <c r="AA2">
        <v>2021</v>
      </c>
      <c r="AB2">
        <v>2022</v>
      </c>
      <c r="AC2">
        <v>2023</v>
      </c>
      <c r="AD2">
        <v>2024</v>
      </c>
      <c r="AE2">
        <v>2025</v>
      </c>
      <c r="AF2">
        <v>2026</v>
      </c>
      <c r="AG2">
        <v>2027</v>
      </c>
      <c r="AH2">
        <v>2028</v>
      </c>
      <c r="AI2">
        <v>2029</v>
      </c>
      <c r="AJ2">
        <v>2030</v>
      </c>
      <c r="AK2">
        <v>2031</v>
      </c>
      <c r="AL2">
        <v>2032</v>
      </c>
      <c r="AM2">
        <v>2033</v>
      </c>
      <c r="AN2">
        <v>2034</v>
      </c>
      <c r="AO2">
        <v>2035</v>
      </c>
    </row>
    <row r="3" spans="2:144" s="1" customFormat="1" x14ac:dyDescent="0.3">
      <c r="B3" s="1" t="s">
        <v>12</v>
      </c>
      <c r="E3" s="8">
        <v>74.3</v>
      </c>
      <c r="F3" s="8">
        <v>79.8</v>
      </c>
      <c r="G3" s="8">
        <v>86.7</v>
      </c>
      <c r="H3" s="8">
        <v>85</v>
      </c>
      <c r="I3" s="8">
        <v>82.5</v>
      </c>
      <c r="J3" s="8">
        <v>83.1</v>
      </c>
      <c r="K3" s="8">
        <v>88</v>
      </c>
      <c r="L3" s="8">
        <v>89.4</v>
      </c>
      <c r="M3" s="8">
        <v>92.5</v>
      </c>
      <c r="N3" s="8">
        <v>91.5</v>
      </c>
      <c r="O3" s="8">
        <v>93.5</v>
      </c>
      <c r="P3" s="8">
        <v>94.7</v>
      </c>
      <c r="Q3" s="8">
        <v>99.6</v>
      </c>
      <c r="R3" s="8">
        <v>103.7</v>
      </c>
      <c r="S3" s="8">
        <v>107.2</v>
      </c>
      <c r="T3" s="8">
        <v>108.6</v>
      </c>
      <c r="U3" s="8">
        <f>Q3*1.12</f>
        <v>111.55200000000001</v>
      </c>
      <c r="V3" s="8">
        <f>R3*1.1</f>
        <v>114.07000000000001</v>
      </c>
      <c r="X3" s="8">
        <v>75.5</v>
      </c>
      <c r="Y3" s="8">
        <v>107.1</v>
      </c>
      <c r="Z3" s="8">
        <v>189.5</v>
      </c>
      <c r="AA3" s="8">
        <v>297.7</v>
      </c>
      <c r="AB3" s="8">
        <f>SUM(G3:J3)</f>
        <v>337.29999999999995</v>
      </c>
      <c r="AC3" s="8">
        <f>SUM(K3:N3)</f>
        <v>361.4</v>
      </c>
      <c r="AD3" s="8">
        <f>SUM(O3:R3)</f>
        <v>391.49999999999994</v>
      </c>
      <c r="AE3" s="8">
        <f>SUM(S3:V3)</f>
        <v>441.42200000000003</v>
      </c>
      <c r="AF3" s="8">
        <f>AE3*1.07</f>
        <v>472.32154000000003</v>
      </c>
      <c r="AG3" s="8">
        <f>AF3*1.04</f>
        <v>491.21440160000003</v>
      </c>
      <c r="AH3" s="8">
        <f>AG3*1.03</f>
        <v>505.95083364800007</v>
      </c>
      <c r="AI3" s="8">
        <f>AH3*1.02</f>
        <v>516.06985032096009</v>
      </c>
      <c r="AJ3" s="8">
        <f t="shared" ref="AJ3:AO3" si="0">AI3*1.02</f>
        <v>526.39124732737935</v>
      </c>
      <c r="AK3" s="8">
        <f t="shared" si="0"/>
        <v>536.91907227392699</v>
      </c>
      <c r="AL3" s="8">
        <f t="shared" si="0"/>
        <v>547.65745371940557</v>
      </c>
      <c r="AM3" s="8">
        <f t="shared" si="0"/>
        <v>558.61060279379365</v>
      </c>
      <c r="AN3" s="8">
        <f t="shared" si="0"/>
        <v>569.78281484966953</v>
      </c>
      <c r="AO3" s="8">
        <f t="shared" si="0"/>
        <v>581.1784711466629</v>
      </c>
    </row>
    <row r="4" spans="2:144" x14ac:dyDescent="0.3">
      <c r="B4" t="s">
        <v>13</v>
      </c>
      <c r="E4" s="5">
        <v>12.4</v>
      </c>
      <c r="F4" s="5">
        <v>15.2</v>
      </c>
      <c r="G4" s="5">
        <v>17</v>
      </c>
      <c r="H4" s="5">
        <v>17.5</v>
      </c>
      <c r="I4" s="5">
        <v>15.6</v>
      </c>
      <c r="J4" s="5">
        <v>15.8</v>
      </c>
      <c r="K4" s="5">
        <v>15.7</v>
      </c>
      <c r="L4" s="5">
        <v>15.6</v>
      </c>
      <c r="M4" s="5">
        <v>15.1</v>
      </c>
      <c r="N4" s="5">
        <v>15.5</v>
      </c>
      <c r="O4" s="5">
        <v>15.4</v>
      </c>
      <c r="P4" s="5">
        <v>16</v>
      </c>
      <c r="Q4" s="5">
        <v>18.899999999999999</v>
      </c>
      <c r="R4" s="5">
        <v>20.2</v>
      </c>
      <c r="S4" s="5">
        <v>20.399999999999999</v>
      </c>
      <c r="T4" s="5">
        <v>20.399999999999999</v>
      </c>
      <c r="U4" s="5">
        <f>U3-U5</f>
        <v>21.194879999999998</v>
      </c>
      <c r="V4" s="5">
        <f t="shared" ref="V4" si="1">V3-V5</f>
        <v>21.673299999999998</v>
      </c>
      <c r="X4" s="10">
        <v>15.6</v>
      </c>
      <c r="Y4" s="10">
        <v>22.2</v>
      </c>
      <c r="Z4" s="10">
        <v>33.200000000000003</v>
      </c>
      <c r="AA4" s="10">
        <v>51.7</v>
      </c>
      <c r="AB4" s="10">
        <f>SUM(G4:J4)</f>
        <v>65.900000000000006</v>
      </c>
      <c r="AC4" s="10">
        <f>SUM(K4:N4)</f>
        <v>61.9</v>
      </c>
      <c r="AD4" s="10">
        <f>SUM(O4:R4)</f>
        <v>70.5</v>
      </c>
      <c r="AE4" s="10">
        <f>SUM(S4:V4)</f>
        <v>83.668179999999992</v>
      </c>
      <c r="AF4" s="5">
        <f>AF3-AF5</f>
        <v>89.741092600000002</v>
      </c>
      <c r="AG4" s="5">
        <f t="shared" ref="AG4:AO4" si="2">AG3-AG5</f>
        <v>93.33073630399997</v>
      </c>
      <c r="AH4" s="5">
        <f t="shared" si="2"/>
        <v>96.130658393119973</v>
      </c>
      <c r="AI4" s="5">
        <f t="shared" si="2"/>
        <v>98.053271560982409</v>
      </c>
      <c r="AJ4" s="5">
        <f t="shared" si="2"/>
        <v>100.01433699220206</v>
      </c>
      <c r="AK4" s="5">
        <f t="shared" si="2"/>
        <v>102.01462373204612</v>
      </c>
      <c r="AL4" s="5">
        <f t="shared" si="2"/>
        <v>104.05491620668704</v>
      </c>
      <c r="AM4" s="5">
        <f t="shared" si="2"/>
        <v>106.13601453082077</v>
      </c>
      <c r="AN4" s="5">
        <f t="shared" si="2"/>
        <v>108.2587348214372</v>
      </c>
      <c r="AO4" s="5">
        <f t="shared" si="2"/>
        <v>110.42390951786592</v>
      </c>
    </row>
    <row r="5" spans="2:144" s="1" customFormat="1" x14ac:dyDescent="0.3">
      <c r="B5" s="1" t="s">
        <v>14</v>
      </c>
      <c r="E5" s="8">
        <f>E3-E4</f>
        <v>61.9</v>
      </c>
      <c r="F5" s="8">
        <f>F3-F4</f>
        <v>64.599999999999994</v>
      </c>
      <c r="G5" s="8">
        <f>G3-G4</f>
        <v>69.7</v>
      </c>
      <c r="H5" s="8">
        <f>H3-H4</f>
        <v>67.5</v>
      </c>
      <c r="I5" s="8">
        <f>I3-I4</f>
        <v>66.900000000000006</v>
      </c>
      <c r="J5" s="8">
        <f>J3-J4</f>
        <v>67.3</v>
      </c>
      <c r="K5" s="8">
        <f>K3-K4</f>
        <v>72.3</v>
      </c>
      <c r="L5" s="8">
        <f>L3-L4</f>
        <v>73.800000000000011</v>
      </c>
      <c r="M5" s="8">
        <f>M3-M4</f>
        <v>77.400000000000006</v>
      </c>
      <c r="N5" s="8">
        <f>N3-N4</f>
        <v>76</v>
      </c>
      <c r="O5" s="8">
        <f>O3-O4</f>
        <v>78.099999999999994</v>
      </c>
      <c r="P5" s="8">
        <f>P3-P4</f>
        <v>78.7</v>
      </c>
      <c r="Q5" s="8">
        <f>Q3-Q4</f>
        <v>80.699999999999989</v>
      </c>
      <c r="R5" s="8">
        <f>R3-R4</f>
        <v>83.5</v>
      </c>
      <c r="S5" s="8">
        <f>S3-S4</f>
        <v>86.800000000000011</v>
      </c>
      <c r="T5" s="8">
        <f>T3-T4</f>
        <v>88.199999999999989</v>
      </c>
      <c r="U5" s="8">
        <f>U3*0.81</f>
        <v>90.357120000000009</v>
      </c>
      <c r="V5" s="8">
        <f>V3*0.81</f>
        <v>92.39670000000001</v>
      </c>
      <c r="X5" s="8">
        <f>X3-X4</f>
        <v>59.9</v>
      </c>
      <c r="Y5" s="8">
        <f>Y3-Y4</f>
        <v>84.899999999999991</v>
      </c>
      <c r="Z5" s="8">
        <f>Z3-Z4</f>
        <v>156.30000000000001</v>
      </c>
      <c r="AA5" s="8">
        <f>AA3-AA4</f>
        <v>246</v>
      </c>
      <c r="AB5" s="8">
        <f>AB3-AB4</f>
        <v>271.39999999999998</v>
      </c>
      <c r="AC5" s="8">
        <f>AC3-AC4</f>
        <v>299.5</v>
      </c>
      <c r="AD5" s="8">
        <f>AD3-AD4</f>
        <v>320.99999999999994</v>
      </c>
      <c r="AE5" s="8">
        <f>AE3-AE4</f>
        <v>357.75382000000002</v>
      </c>
      <c r="AF5" s="8">
        <f>AF3*0.81</f>
        <v>382.58044740000003</v>
      </c>
      <c r="AG5" s="8">
        <f t="shared" ref="AG5:AO5" si="3">AG3*0.81</f>
        <v>397.88366529600006</v>
      </c>
      <c r="AH5" s="8">
        <f t="shared" si="3"/>
        <v>409.8201752548801</v>
      </c>
      <c r="AI5" s="8">
        <f t="shared" si="3"/>
        <v>418.01657875997768</v>
      </c>
      <c r="AJ5" s="8">
        <f t="shared" si="3"/>
        <v>426.37691033517729</v>
      </c>
      <c r="AK5" s="8">
        <f t="shared" si="3"/>
        <v>434.90444854188087</v>
      </c>
      <c r="AL5" s="8">
        <f t="shared" si="3"/>
        <v>443.60253751271853</v>
      </c>
      <c r="AM5" s="8">
        <f t="shared" si="3"/>
        <v>452.47458826297287</v>
      </c>
      <c r="AN5" s="8">
        <f t="shared" si="3"/>
        <v>461.52408002823233</v>
      </c>
      <c r="AO5" s="8">
        <f t="shared" si="3"/>
        <v>470.75456162879698</v>
      </c>
    </row>
    <row r="6" spans="2:144" x14ac:dyDescent="0.3">
      <c r="B6" t="s">
        <v>15</v>
      </c>
      <c r="E6" s="5">
        <v>20.5</v>
      </c>
      <c r="F6" s="5">
        <v>21.8</v>
      </c>
      <c r="G6" s="5">
        <v>23.8</v>
      </c>
      <c r="H6" s="5">
        <v>24.5</v>
      </c>
      <c r="I6" s="5">
        <v>22.9</v>
      </c>
      <c r="J6" s="5">
        <v>21.3</v>
      </c>
      <c r="K6" s="5">
        <v>21.9</v>
      </c>
      <c r="L6" s="5">
        <v>23.3</v>
      </c>
      <c r="M6" s="5">
        <v>23.5</v>
      </c>
      <c r="N6" s="5">
        <v>22.1</v>
      </c>
      <c r="O6" s="5">
        <v>23.6</v>
      </c>
      <c r="P6" s="5">
        <v>21.9</v>
      </c>
      <c r="Q6" s="5">
        <v>22.4</v>
      </c>
      <c r="R6" s="5">
        <v>22.3</v>
      </c>
      <c r="S6" s="5">
        <v>23.6</v>
      </c>
      <c r="T6" s="5">
        <v>24</v>
      </c>
      <c r="U6" s="5">
        <f>Q6*1.1</f>
        <v>24.64</v>
      </c>
      <c r="V6" s="5">
        <f>R6*1.1</f>
        <v>24.53</v>
      </c>
      <c r="X6" s="10">
        <v>26</v>
      </c>
      <c r="Y6" s="10">
        <v>34.5</v>
      </c>
      <c r="Z6" s="10">
        <v>45.7</v>
      </c>
      <c r="AA6" s="10">
        <v>79.3</v>
      </c>
      <c r="AB6" s="10">
        <f>SUM(G6:J6)</f>
        <v>92.499999999999986</v>
      </c>
      <c r="AC6" s="10">
        <f>SUM(K6:N6)</f>
        <v>90.800000000000011</v>
      </c>
      <c r="AD6" s="10">
        <f>SUM(O6:R6)</f>
        <v>90.2</v>
      </c>
      <c r="AE6" s="10">
        <f t="shared" ref="AE6:AE9" si="4">SUM(S6:V6)</f>
        <v>96.77000000000001</v>
      </c>
      <c r="AF6" s="5">
        <f>AE6*1.08</f>
        <v>104.51160000000002</v>
      </c>
      <c r="AG6" s="5">
        <f>AF6*1.04</f>
        <v>108.69206400000002</v>
      </c>
      <c r="AH6" s="5">
        <f>AG6*1.03</f>
        <v>111.95282592000002</v>
      </c>
      <c r="AI6" s="5">
        <f>AH6*1.02</f>
        <v>114.19188243840003</v>
      </c>
      <c r="AJ6" s="5">
        <f>AI6*1.01</f>
        <v>115.33380126278404</v>
      </c>
      <c r="AK6" s="5">
        <f t="shared" ref="AK6:AO6" si="5">AJ6*1.01</f>
        <v>116.48713927541188</v>
      </c>
      <c r="AL6" s="5">
        <f t="shared" si="5"/>
        <v>117.652010668166</v>
      </c>
      <c r="AM6" s="5">
        <f t="shared" si="5"/>
        <v>118.82853077484766</v>
      </c>
      <c r="AN6" s="5">
        <f t="shared" si="5"/>
        <v>120.01681608259614</v>
      </c>
      <c r="AO6" s="5">
        <f t="shared" si="5"/>
        <v>121.2169842434221</v>
      </c>
    </row>
    <row r="7" spans="2:144" x14ac:dyDescent="0.3">
      <c r="B7" t="s">
        <v>16</v>
      </c>
      <c r="E7" s="5">
        <v>38.4</v>
      </c>
      <c r="F7" s="5">
        <v>40.200000000000003</v>
      </c>
      <c r="G7" s="5">
        <v>47.9</v>
      </c>
      <c r="H7" s="5">
        <v>44.3</v>
      </c>
      <c r="I7" s="5">
        <v>42</v>
      </c>
      <c r="J7" s="5">
        <v>40.4</v>
      </c>
      <c r="K7" s="5">
        <v>42.1</v>
      </c>
      <c r="L7" s="5">
        <v>38.9</v>
      </c>
      <c r="M7" s="5">
        <v>40.5</v>
      </c>
      <c r="N7" s="5">
        <v>39.799999999999997</v>
      </c>
      <c r="O7" s="5">
        <v>42.2</v>
      </c>
      <c r="P7" s="5">
        <v>41.3</v>
      </c>
      <c r="Q7" s="5">
        <v>43</v>
      </c>
      <c r="R7" s="5">
        <v>45.2</v>
      </c>
      <c r="S7" s="5">
        <v>47.4</v>
      </c>
      <c r="T7" s="5">
        <v>44.8</v>
      </c>
      <c r="U7" s="5">
        <f>U3*0.4</f>
        <v>44.620800000000003</v>
      </c>
      <c r="V7" s="5">
        <f>V3*0.4</f>
        <v>45.628000000000007</v>
      </c>
      <c r="X7" s="10">
        <v>49.7</v>
      </c>
      <c r="Y7" s="10">
        <v>62.8</v>
      </c>
      <c r="Z7" s="10">
        <v>94.4</v>
      </c>
      <c r="AA7" s="10">
        <v>159.4</v>
      </c>
      <c r="AB7" s="10">
        <f>SUM(G7:J7)</f>
        <v>174.6</v>
      </c>
      <c r="AC7" s="10">
        <f>SUM(K7:N7)</f>
        <v>161.30000000000001</v>
      </c>
      <c r="AD7" s="10">
        <f>SUM(O7:R7)</f>
        <v>171.7</v>
      </c>
      <c r="AE7" s="10">
        <f t="shared" si="4"/>
        <v>182.44880000000001</v>
      </c>
      <c r="AF7" s="5">
        <f>AF3*0.39</f>
        <v>184.20540060000002</v>
      </c>
      <c r="AG7" s="5">
        <f>AG3*0.38</f>
        <v>186.66147260800003</v>
      </c>
      <c r="AH7" s="5">
        <f>AH3*0.37</f>
        <v>187.20180844976002</v>
      </c>
      <c r="AI7" s="5">
        <f>AI3*0.36</f>
        <v>185.78514611554561</v>
      </c>
      <c r="AJ7" s="5">
        <f t="shared" ref="AJ7:AO7" si="6">AJ3*0.36</f>
        <v>189.50084903785657</v>
      </c>
      <c r="AK7" s="5">
        <f t="shared" si="6"/>
        <v>193.29086601861371</v>
      </c>
      <c r="AL7" s="5">
        <f t="shared" si="6"/>
        <v>197.156683338986</v>
      </c>
      <c r="AM7" s="5">
        <f t="shared" si="6"/>
        <v>201.09981700576571</v>
      </c>
      <c r="AN7" s="5">
        <f t="shared" si="6"/>
        <v>205.12181334588104</v>
      </c>
      <c r="AO7" s="5">
        <f t="shared" si="6"/>
        <v>209.22424961279864</v>
      </c>
    </row>
    <row r="8" spans="2:144" x14ac:dyDescent="0.3">
      <c r="B8" t="s">
        <v>17</v>
      </c>
      <c r="E8" s="5">
        <v>12.4</v>
      </c>
      <c r="F8" s="5">
        <v>16.3</v>
      </c>
      <c r="G8" s="5">
        <v>15.3</v>
      </c>
      <c r="H8" s="5">
        <v>13.7</v>
      </c>
      <c r="I8" s="5">
        <v>14.5</v>
      </c>
      <c r="J8" s="5">
        <v>7.8</v>
      </c>
      <c r="K8" s="5">
        <v>15.5</v>
      </c>
      <c r="L8" s="5">
        <v>15.6</v>
      </c>
      <c r="M8" s="5">
        <v>15.8</v>
      </c>
      <c r="N8" s="5">
        <v>15.8</v>
      </c>
      <c r="O8" s="5">
        <v>16.5</v>
      </c>
      <c r="P8" s="5">
        <v>17.8</v>
      </c>
      <c r="Q8" s="5">
        <v>18.8</v>
      </c>
      <c r="R8" s="5">
        <v>21.8</v>
      </c>
      <c r="S8" s="5">
        <v>21</v>
      </c>
      <c r="T8" s="5">
        <v>21.4</v>
      </c>
      <c r="U8" s="5">
        <f>Q8*1.15</f>
        <v>21.619999999999997</v>
      </c>
      <c r="V8" s="5">
        <f>R8*1.1</f>
        <v>23.980000000000004</v>
      </c>
      <c r="X8" s="10">
        <v>20.6</v>
      </c>
      <c r="Y8" s="10">
        <v>22.4</v>
      </c>
      <c r="Z8" s="10">
        <v>28</v>
      </c>
      <c r="AA8" s="10">
        <v>52.6</v>
      </c>
      <c r="AB8" s="10">
        <f>SUM(G8:J8)</f>
        <v>51.3</v>
      </c>
      <c r="AC8" s="10">
        <f>SUM(K8:N8)</f>
        <v>62.7</v>
      </c>
      <c r="AD8" s="10">
        <f>SUM(O8:R8)</f>
        <v>74.899999999999991</v>
      </c>
      <c r="AE8" s="10">
        <f t="shared" si="4"/>
        <v>88</v>
      </c>
      <c r="AF8" s="5">
        <f>AE8*1.08</f>
        <v>95.04</v>
      </c>
      <c r="AG8" s="5">
        <f>AF8*1.03</f>
        <v>97.891200000000012</v>
      </c>
      <c r="AH8" s="5">
        <f>AG8*1.02</f>
        <v>99.849024000000014</v>
      </c>
      <c r="AI8" s="5">
        <f>AH8*1.01</f>
        <v>100.84751424000001</v>
      </c>
      <c r="AJ8" s="5">
        <f t="shared" ref="AJ8:AO8" si="7">AI8*1.01</f>
        <v>101.85598938240001</v>
      </c>
      <c r="AK8" s="5">
        <f t="shared" si="7"/>
        <v>102.87454927622402</v>
      </c>
      <c r="AL8" s="5">
        <f t="shared" si="7"/>
        <v>103.90329476898626</v>
      </c>
      <c r="AM8" s="5">
        <f t="shared" si="7"/>
        <v>104.94232771667612</v>
      </c>
      <c r="AN8" s="5">
        <f t="shared" si="7"/>
        <v>105.99175099384289</v>
      </c>
      <c r="AO8" s="5">
        <f t="shared" si="7"/>
        <v>107.05166850378131</v>
      </c>
    </row>
    <row r="9" spans="2:144" x14ac:dyDescent="0.3">
      <c r="B9" t="s">
        <v>40</v>
      </c>
      <c r="E9" s="5"/>
      <c r="F9" s="5"/>
      <c r="G9" s="5"/>
      <c r="H9" s="5">
        <v>27.6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0</v>
      </c>
      <c r="V9" s="5">
        <v>0</v>
      </c>
      <c r="X9" s="10">
        <v>0</v>
      </c>
      <c r="Y9" s="10">
        <v>0</v>
      </c>
      <c r="Z9" s="10">
        <v>0</v>
      </c>
      <c r="AA9" s="10">
        <v>0</v>
      </c>
      <c r="AB9" s="10">
        <f>SUM(G9:J9)</f>
        <v>27.6</v>
      </c>
      <c r="AC9" s="10">
        <f>SUM(K9:N9)</f>
        <v>0</v>
      </c>
      <c r="AD9" s="10">
        <f>SUM(O9:R9)</f>
        <v>0</v>
      </c>
      <c r="AE9" s="10">
        <f t="shared" si="4"/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</row>
    <row r="10" spans="2:144" x14ac:dyDescent="0.3">
      <c r="B10" t="s">
        <v>18</v>
      </c>
      <c r="E10" s="5">
        <f>SUM(E6:E9)</f>
        <v>71.3</v>
      </c>
      <c r="F10" s="5">
        <f>SUM(F6:F9)</f>
        <v>78.3</v>
      </c>
      <c r="G10" s="5">
        <f>SUM(G6:G9)</f>
        <v>87</v>
      </c>
      <c r="H10" s="5">
        <f>SUM(H6:H9)</f>
        <v>110.1</v>
      </c>
      <c r="I10" s="5">
        <f>SUM(I6:I9)</f>
        <v>79.400000000000006</v>
      </c>
      <c r="J10" s="5">
        <f>SUM(J6:J9)</f>
        <v>69.5</v>
      </c>
      <c r="K10" s="5">
        <f>SUM(K6:K9)</f>
        <v>79.5</v>
      </c>
      <c r="L10" s="5">
        <f>SUM(L6:L9)</f>
        <v>77.8</v>
      </c>
      <c r="M10" s="5">
        <f t="shared" ref="M10:T10" si="8">SUM(M6:M9)</f>
        <v>79.8</v>
      </c>
      <c r="N10" s="5">
        <f t="shared" si="8"/>
        <v>77.7</v>
      </c>
      <c r="O10" s="5">
        <f t="shared" si="8"/>
        <v>82.300000000000011</v>
      </c>
      <c r="P10" s="5">
        <f t="shared" si="8"/>
        <v>81</v>
      </c>
      <c r="Q10" s="5">
        <f t="shared" si="8"/>
        <v>84.2</v>
      </c>
      <c r="R10" s="5">
        <f t="shared" si="8"/>
        <v>89.3</v>
      </c>
      <c r="S10" s="5">
        <f t="shared" si="8"/>
        <v>92</v>
      </c>
      <c r="T10" s="5">
        <f t="shared" si="8"/>
        <v>90.199999999999989</v>
      </c>
      <c r="U10" s="5">
        <f t="shared" ref="U10" si="9">SUM(U6:U9)</f>
        <v>90.880799999999994</v>
      </c>
      <c r="V10" s="5">
        <f t="shared" ref="V10" si="10">SUM(V6:V9)</f>
        <v>94.138000000000019</v>
      </c>
      <c r="X10" s="5">
        <f t="shared" ref="X10:AF10" si="11">SUM(X6:X9)</f>
        <v>96.300000000000011</v>
      </c>
      <c r="Y10" s="5">
        <f t="shared" si="11"/>
        <v>119.69999999999999</v>
      </c>
      <c r="Z10" s="5">
        <f t="shared" si="11"/>
        <v>168.10000000000002</v>
      </c>
      <c r="AA10" s="5">
        <f t="shared" si="11"/>
        <v>291.3</v>
      </c>
      <c r="AB10" s="5">
        <f t="shared" si="11"/>
        <v>346</v>
      </c>
      <c r="AC10" s="5">
        <f t="shared" si="11"/>
        <v>314.8</v>
      </c>
      <c r="AD10" s="5">
        <f t="shared" si="11"/>
        <v>336.79999999999995</v>
      </c>
      <c r="AE10" s="5">
        <f t="shared" si="11"/>
        <v>367.21879999999999</v>
      </c>
      <c r="AF10" s="5">
        <f t="shared" si="11"/>
        <v>383.75700060000003</v>
      </c>
      <c r="AG10" s="5">
        <f t="shared" ref="AG10" si="12">SUM(AG6:AG9)</f>
        <v>393.24473660800004</v>
      </c>
      <c r="AH10" s="5">
        <f t="shared" ref="AH10" si="13">SUM(AH6:AH9)</f>
        <v>399.00365836976005</v>
      </c>
      <c r="AI10" s="5">
        <f t="shared" ref="AI10" si="14">SUM(AI6:AI9)</f>
        <v>400.82454279394562</v>
      </c>
      <c r="AJ10" s="5">
        <f t="shared" ref="AJ10" si="15">SUM(AJ6:AJ9)</f>
        <v>406.69063968304062</v>
      </c>
      <c r="AK10" s="5">
        <f t="shared" ref="AK10" si="16">SUM(AK6:AK9)</f>
        <v>412.65255457024961</v>
      </c>
      <c r="AL10" s="5">
        <f t="shared" ref="AL10" si="17">SUM(AL6:AL9)</f>
        <v>418.71198877613824</v>
      </c>
      <c r="AM10" s="5">
        <f t="shared" ref="AM10" si="18">SUM(AM6:AM9)</f>
        <v>424.87067549728948</v>
      </c>
      <c r="AN10" s="5">
        <f t="shared" ref="AN10" si="19">SUM(AN6:AN9)</f>
        <v>431.13038042232006</v>
      </c>
      <c r="AO10" s="5">
        <f t="shared" ref="AO10" si="20">SUM(AO6:AO9)</f>
        <v>437.49290236000206</v>
      </c>
    </row>
    <row r="11" spans="2:144" s="1" customFormat="1" x14ac:dyDescent="0.3">
      <c r="B11" s="1" t="s">
        <v>19</v>
      </c>
      <c r="E11" s="8">
        <f>E5-E10</f>
        <v>-9.3999999999999986</v>
      </c>
      <c r="F11" s="8">
        <f>F5-F10</f>
        <v>-13.700000000000003</v>
      </c>
      <c r="G11" s="8">
        <f>G5-G10</f>
        <v>-17.299999999999997</v>
      </c>
      <c r="H11" s="8">
        <f>H5-H10</f>
        <v>-42.599999999999994</v>
      </c>
      <c r="I11" s="8">
        <f>I5-I10</f>
        <v>-12.5</v>
      </c>
      <c r="J11" s="8">
        <f>J5-J10</f>
        <v>-2.2000000000000028</v>
      </c>
      <c r="K11" s="8">
        <f>K5-K10</f>
        <v>-7.2000000000000028</v>
      </c>
      <c r="L11" s="8">
        <f>L5-L10</f>
        <v>-3.9999999999999858</v>
      </c>
      <c r="M11" s="8">
        <f>M5-M10</f>
        <v>-2.3999999999999915</v>
      </c>
      <c r="N11" s="8">
        <f>N5-N10</f>
        <v>-1.7000000000000028</v>
      </c>
      <c r="O11" s="8">
        <f>O5-O10</f>
        <v>-4.2000000000000171</v>
      </c>
      <c r="P11" s="8">
        <f>P5-P10</f>
        <v>-2.2999999999999972</v>
      </c>
      <c r="Q11" s="8">
        <f>Q5-Q10</f>
        <v>-3.5000000000000142</v>
      </c>
      <c r="R11" s="8">
        <f>R5-R10</f>
        <v>-5.7999999999999972</v>
      </c>
      <c r="S11" s="8">
        <f>S5-S10</f>
        <v>-5.1999999999999886</v>
      </c>
      <c r="T11" s="8">
        <f>T5-T10</f>
        <v>-2</v>
      </c>
      <c r="U11" s="8">
        <f t="shared" ref="U11:V11" si="21">U5-U10</f>
        <v>-0.5236799999999846</v>
      </c>
      <c r="V11" s="8">
        <f t="shared" si="21"/>
        <v>-1.7413000000000096</v>
      </c>
      <c r="X11" s="8">
        <f>X5-X10</f>
        <v>-36.400000000000013</v>
      </c>
      <c r="Y11" s="8">
        <f>Y5-Y10</f>
        <v>-34.799999999999997</v>
      </c>
      <c r="Z11" s="8">
        <f>Z5-Z10</f>
        <v>-11.800000000000011</v>
      </c>
      <c r="AA11" s="8">
        <f>AA5-AA10</f>
        <v>-45.300000000000011</v>
      </c>
      <c r="AB11" s="8">
        <f>AB5-AB10</f>
        <v>-74.600000000000023</v>
      </c>
      <c r="AC11" s="8">
        <f>AC5-AC10</f>
        <v>-15.300000000000011</v>
      </c>
      <c r="AD11" s="8">
        <f>AD5-AD10</f>
        <v>-15.800000000000011</v>
      </c>
      <c r="AE11" s="8">
        <f>AE5-AE10</f>
        <v>-9.4649799999999686</v>
      </c>
      <c r="AF11" s="8">
        <f>AF5-AF10</f>
        <v>-1.1765532000000007</v>
      </c>
      <c r="AG11" s="8">
        <f t="shared" ref="AG11:AO11" si="22">AG5-AG10</f>
        <v>4.6389286880000213</v>
      </c>
      <c r="AH11" s="8">
        <f t="shared" si="22"/>
        <v>10.816516885120052</v>
      </c>
      <c r="AI11" s="8">
        <f t="shared" si="22"/>
        <v>17.192035966032051</v>
      </c>
      <c r="AJ11" s="8">
        <f t="shared" si="22"/>
        <v>19.68627065213667</v>
      </c>
      <c r="AK11" s="8">
        <f t="shared" si="22"/>
        <v>22.251893971631262</v>
      </c>
      <c r="AL11" s="8">
        <f t="shared" si="22"/>
        <v>24.890548736580286</v>
      </c>
      <c r="AM11" s="8">
        <f t="shared" si="22"/>
        <v>27.60391276568339</v>
      </c>
      <c r="AN11" s="8">
        <f t="shared" si="22"/>
        <v>30.393699605912275</v>
      </c>
      <c r="AO11" s="8">
        <f t="shared" si="22"/>
        <v>33.261659268794915</v>
      </c>
    </row>
    <row r="12" spans="2:144" x14ac:dyDescent="0.3">
      <c r="B12" t="s">
        <v>21</v>
      </c>
      <c r="E12" s="5">
        <v>5</v>
      </c>
      <c r="F12" s="5">
        <v>5.6</v>
      </c>
      <c r="G12" s="5">
        <v>-0.2</v>
      </c>
      <c r="H12" s="5">
        <v>-0.8</v>
      </c>
      <c r="I12" s="5">
        <v>-1.2</v>
      </c>
      <c r="J12" s="5">
        <v>-1.4</v>
      </c>
      <c r="K12" s="5">
        <v>-3.1</v>
      </c>
      <c r="L12" s="5">
        <v>-4.5</v>
      </c>
      <c r="M12" s="5">
        <v>-5.7</v>
      </c>
      <c r="N12" s="5">
        <v>-6.9</v>
      </c>
      <c r="O12" s="5">
        <v>-6.7</v>
      </c>
      <c r="P12" s="5">
        <v>-8.5</v>
      </c>
      <c r="Q12" s="5">
        <v>-6.9</v>
      </c>
      <c r="R12" s="5">
        <v>-5.7</v>
      </c>
      <c r="S12" s="5">
        <v>-7.3</v>
      </c>
      <c r="T12" s="5">
        <v>-6.6</v>
      </c>
      <c r="U12" s="5">
        <v>-7</v>
      </c>
      <c r="V12" s="5">
        <v>-7</v>
      </c>
      <c r="X12" s="10">
        <v>-0.4</v>
      </c>
      <c r="Y12" s="10">
        <v>-1.4</v>
      </c>
      <c r="Z12" s="10">
        <v>2.8</v>
      </c>
      <c r="AA12" s="10">
        <v>19.5</v>
      </c>
      <c r="AB12" s="10">
        <f>SUM(G12:J12)</f>
        <v>-3.6</v>
      </c>
      <c r="AC12" s="10">
        <f>SUM(K12:N12)</f>
        <v>-20.200000000000003</v>
      </c>
      <c r="AD12" s="10">
        <f>SUM(O12:R12)</f>
        <v>-27.8</v>
      </c>
      <c r="AE12" s="10">
        <f>SUM(S12:V12)</f>
        <v>-27.9</v>
      </c>
      <c r="AF12" s="5">
        <f>AE12*1.05</f>
        <v>-29.294999999999998</v>
      </c>
      <c r="AG12" s="5">
        <f t="shared" ref="AG12:AO12" si="23">AF12*1.05</f>
        <v>-30.75975</v>
      </c>
      <c r="AH12" s="5">
        <f t="shared" si="23"/>
        <v>-32.297737500000004</v>
      </c>
      <c r="AI12" s="5">
        <f t="shared" si="23"/>
        <v>-33.912624375000007</v>
      </c>
      <c r="AJ12" s="5">
        <f t="shared" si="23"/>
        <v>-35.608255593750009</v>
      </c>
      <c r="AK12" s="5">
        <f t="shared" si="23"/>
        <v>-37.388668373437511</v>
      </c>
      <c r="AL12" s="5">
        <f t="shared" si="23"/>
        <v>-39.258101792109386</v>
      </c>
      <c r="AM12" s="5">
        <f t="shared" si="23"/>
        <v>-41.221006881714857</v>
      </c>
      <c r="AN12" s="5">
        <f t="shared" si="23"/>
        <v>-43.2820572258006</v>
      </c>
      <c r="AO12" s="5">
        <f t="shared" si="23"/>
        <v>-45.446160087090632</v>
      </c>
    </row>
    <row r="13" spans="2:144" s="1" customFormat="1" x14ac:dyDescent="0.3">
      <c r="B13" s="1" t="s">
        <v>20</v>
      </c>
      <c r="E13" s="8">
        <f>E11-E12</f>
        <v>-14.399999999999999</v>
      </c>
      <c r="F13" s="8">
        <f>F11-F12</f>
        <v>-19.300000000000004</v>
      </c>
      <c r="G13" s="8">
        <f>G11-G12</f>
        <v>-17.099999999999998</v>
      </c>
      <c r="H13" s="8">
        <f>H11-H12</f>
        <v>-41.8</v>
      </c>
      <c r="I13" s="8">
        <f>I11-I12</f>
        <v>-11.3</v>
      </c>
      <c r="J13" s="8">
        <f>J11-J12</f>
        <v>-0.80000000000000293</v>
      </c>
      <c r="K13" s="8">
        <f>K11-K12</f>
        <v>-4.1000000000000032</v>
      </c>
      <c r="L13" s="8">
        <f>L11-L12</f>
        <v>0.50000000000001421</v>
      </c>
      <c r="M13" s="8">
        <f>M11-M12</f>
        <v>3.3000000000000087</v>
      </c>
      <c r="N13" s="8">
        <f>N11-N12</f>
        <v>5.1999999999999975</v>
      </c>
      <c r="O13" s="8">
        <f>O11-O12</f>
        <v>2.4999999999999831</v>
      </c>
      <c r="P13" s="8">
        <f>P11-P12</f>
        <v>6.2000000000000028</v>
      </c>
      <c r="Q13" s="8">
        <f>Q11-Q12</f>
        <v>3.3999999999999861</v>
      </c>
      <c r="R13" s="8">
        <f>R11-R12</f>
        <v>-9.999999999999698E-2</v>
      </c>
      <c r="S13" s="8">
        <f>S11-S12</f>
        <v>2.1000000000000112</v>
      </c>
      <c r="T13" s="8">
        <f>T11-T12</f>
        <v>4.5999999999999996</v>
      </c>
      <c r="U13" s="8">
        <f t="shared" ref="U13:V13" si="24">U11-U12</f>
        <v>6.4763200000000154</v>
      </c>
      <c r="V13" s="8">
        <f t="shared" si="24"/>
        <v>5.2586999999999904</v>
      </c>
      <c r="X13" s="8">
        <f>X11-X12</f>
        <v>-36.000000000000014</v>
      </c>
      <c r="Y13" s="8">
        <f>Y11-Y12</f>
        <v>-33.4</v>
      </c>
      <c r="Z13" s="8">
        <f>Z11-Z12</f>
        <v>-14.600000000000012</v>
      </c>
      <c r="AA13" s="8">
        <f>AA11-AA12</f>
        <v>-64.800000000000011</v>
      </c>
      <c r="AB13" s="8">
        <f>AB11-AB12</f>
        <v>-71.000000000000028</v>
      </c>
      <c r="AC13" s="8">
        <f>AC11-AC12</f>
        <v>4.8999999999999915</v>
      </c>
      <c r="AD13" s="8">
        <f>AD11-AD12</f>
        <v>11.999999999999989</v>
      </c>
      <c r="AE13" s="8">
        <f>AE11-AE12</f>
        <v>18.43502000000003</v>
      </c>
      <c r="AF13" s="8">
        <f>AF11-AF12</f>
        <v>28.118446799999997</v>
      </c>
      <c r="AG13" s="8">
        <f t="shared" ref="AG13:AO13" si="25">AG11-AG12</f>
        <v>35.398678688000018</v>
      </c>
      <c r="AH13" s="8">
        <f t="shared" si="25"/>
        <v>43.114254385120056</v>
      </c>
      <c r="AI13" s="8">
        <f t="shared" si="25"/>
        <v>51.104660341032059</v>
      </c>
      <c r="AJ13" s="8">
        <f t="shared" si="25"/>
        <v>55.294526245886679</v>
      </c>
      <c r="AK13" s="8">
        <f t="shared" si="25"/>
        <v>59.640562345068773</v>
      </c>
      <c r="AL13" s="8">
        <f t="shared" si="25"/>
        <v>64.148650528689672</v>
      </c>
      <c r="AM13" s="8">
        <f t="shared" si="25"/>
        <v>68.824919647398247</v>
      </c>
      <c r="AN13" s="8">
        <f t="shared" si="25"/>
        <v>73.675756831712874</v>
      </c>
      <c r="AO13" s="8">
        <f t="shared" si="25"/>
        <v>78.707819355885547</v>
      </c>
    </row>
    <row r="14" spans="2:144" x14ac:dyDescent="0.3">
      <c r="B14" t="s">
        <v>22</v>
      </c>
      <c r="E14" s="5">
        <v>0.1</v>
      </c>
      <c r="F14" s="5">
        <v>0</v>
      </c>
      <c r="G14" s="5">
        <v>0</v>
      </c>
      <c r="H14" s="5">
        <v>0.1</v>
      </c>
      <c r="I14" s="5">
        <v>0</v>
      </c>
      <c r="J14" s="5">
        <v>0.5</v>
      </c>
      <c r="K14" s="5">
        <v>0.2</v>
      </c>
      <c r="L14" s="5">
        <v>0.3</v>
      </c>
      <c r="M14" s="5">
        <v>0.3</v>
      </c>
      <c r="N14" s="5">
        <v>0.6</v>
      </c>
      <c r="O14" s="5">
        <v>1.7</v>
      </c>
      <c r="P14" s="5">
        <v>2.9</v>
      </c>
      <c r="Q14" s="5">
        <v>2.1</v>
      </c>
      <c r="R14" s="5">
        <v>-13.1</v>
      </c>
      <c r="S14" s="5">
        <v>1.3</v>
      </c>
      <c r="T14" s="5">
        <v>1.4</v>
      </c>
      <c r="U14" s="5">
        <v>1</v>
      </c>
      <c r="V14" s="5">
        <v>2</v>
      </c>
      <c r="X14" s="10">
        <v>0</v>
      </c>
      <c r="Y14" s="10">
        <v>0.2</v>
      </c>
      <c r="Z14" s="10">
        <v>0.2</v>
      </c>
      <c r="AA14" s="10">
        <v>0.2</v>
      </c>
      <c r="AB14" s="10">
        <f>SUM(G14:J14)</f>
        <v>0.6</v>
      </c>
      <c r="AC14" s="10">
        <f>SUM(K14:N14)</f>
        <v>1.4</v>
      </c>
      <c r="AD14" s="10">
        <f>SUM(O14:R14)</f>
        <v>-6.4</v>
      </c>
      <c r="AE14" s="10">
        <f>SUM(S14:V14)</f>
        <v>5.7</v>
      </c>
      <c r="AF14" s="5">
        <f>AF13*0.15</f>
        <v>4.2177670199999993</v>
      </c>
      <c r="AG14" s="5">
        <f t="shared" ref="AG14:AO14" si="26">AG13*0.15</f>
        <v>5.3098018032000027</v>
      </c>
      <c r="AH14" s="5">
        <f t="shared" si="26"/>
        <v>6.4671381577680078</v>
      </c>
      <c r="AI14" s="5">
        <f t="shared" si="26"/>
        <v>7.6656990511548084</v>
      </c>
      <c r="AJ14" s="5">
        <f t="shared" si="26"/>
        <v>8.2941789368830019</v>
      </c>
      <c r="AK14" s="5">
        <f t="shared" si="26"/>
        <v>8.9460843517603159</v>
      </c>
      <c r="AL14" s="5">
        <f t="shared" si="26"/>
        <v>9.6222975793034511</v>
      </c>
      <c r="AM14" s="5">
        <f t="shared" si="26"/>
        <v>10.323737947109736</v>
      </c>
      <c r="AN14" s="5">
        <f t="shared" si="26"/>
        <v>11.051363524756932</v>
      </c>
      <c r="AO14" s="5">
        <f t="shared" si="26"/>
        <v>11.806172903382832</v>
      </c>
    </row>
    <row r="15" spans="2:144" s="1" customFormat="1" x14ac:dyDescent="0.3">
      <c r="B15" s="1" t="s">
        <v>23</v>
      </c>
      <c r="E15" s="8">
        <f>E13-E14</f>
        <v>-14.499999999999998</v>
      </c>
      <c r="F15" s="8">
        <f>F13-F14</f>
        <v>-19.300000000000004</v>
      </c>
      <c r="G15" s="8">
        <f>G13-G14</f>
        <v>-17.099999999999998</v>
      </c>
      <c r="H15" s="8">
        <f>H13-H14</f>
        <v>-41.9</v>
      </c>
      <c r="I15" s="8">
        <f>I13-I14</f>
        <v>-11.3</v>
      </c>
      <c r="J15" s="8">
        <f>J13-J14</f>
        <v>-1.3000000000000029</v>
      </c>
      <c r="K15" s="8">
        <f>K13-K14</f>
        <v>-4.3000000000000034</v>
      </c>
      <c r="L15" s="8">
        <f>L13-L14</f>
        <v>0.20000000000001422</v>
      </c>
      <c r="M15" s="8">
        <f>M13-M14</f>
        <v>3.0000000000000089</v>
      </c>
      <c r="N15" s="8">
        <f>N13-N14</f>
        <v>4.5999999999999979</v>
      </c>
      <c r="O15" s="8">
        <f>O13-O14</f>
        <v>0.79999999999998317</v>
      </c>
      <c r="P15" s="8">
        <f>P13-P14</f>
        <v>3.3000000000000029</v>
      </c>
      <c r="Q15" s="8">
        <f>Q13-Q14</f>
        <v>1.2999999999999861</v>
      </c>
      <c r="R15" s="8">
        <f>R13-R14</f>
        <v>13.000000000000004</v>
      </c>
      <c r="S15" s="8">
        <f>S13-S14</f>
        <v>0.80000000000001115</v>
      </c>
      <c r="T15" s="8">
        <f>T13-T14</f>
        <v>3.1999999999999997</v>
      </c>
      <c r="U15" s="8">
        <f t="shared" ref="U15:V15" si="27">U13-U14</f>
        <v>5.4763200000000154</v>
      </c>
      <c r="V15" s="8">
        <f t="shared" si="27"/>
        <v>3.2586999999999904</v>
      </c>
      <c r="X15" s="8">
        <f>X13-X14</f>
        <v>-36.000000000000014</v>
      </c>
      <c r="Y15" s="8">
        <f>Y13-Y14</f>
        <v>-33.6</v>
      </c>
      <c r="Z15" s="8">
        <f>Z13-Z14</f>
        <v>-14.800000000000011</v>
      </c>
      <c r="AA15" s="8">
        <f>AA13-AA14</f>
        <v>-65.000000000000014</v>
      </c>
      <c r="AB15" s="8">
        <f>AB13-AB14</f>
        <v>-71.600000000000023</v>
      </c>
      <c r="AC15" s="8">
        <f>AC13-AC14</f>
        <v>3.4999999999999916</v>
      </c>
      <c r="AD15" s="8">
        <f>AD13-AD14</f>
        <v>18.399999999999991</v>
      </c>
      <c r="AE15" s="8">
        <f>AE13-AE14</f>
        <v>12.735020000000031</v>
      </c>
      <c r="AF15" s="8">
        <f>AF13-AF14</f>
        <v>23.900679779999997</v>
      </c>
      <c r="AG15" s="8">
        <f t="shared" ref="AG15:AO15" si="28">AG13-AG14</f>
        <v>30.088876884800015</v>
      </c>
      <c r="AH15" s="8">
        <f t="shared" si="28"/>
        <v>36.647116227352051</v>
      </c>
      <c r="AI15" s="8">
        <f t="shared" si="28"/>
        <v>43.438961289877248</v>
      </c>
      <c r="AJ15" s="8">
        <f t="shared" si="28"/>
        <v>47.000347309003679</v>
      </c>
      <c r="AK15" s="8">
        <f t="shared" si="28"/>
        <v>50.694477993308453</v>
      </c>
      <c r="AL15" s="8">
        <f t="shared" si="28"/>
        <v>54.526352949386222</v>
      </c>
      <c r="AM15" s="8">
        <f t="shared" si="28"/>
        <v>58.501181700288512</v>
      </c>
      <c r="AN15" s="8">
        <f t="shared" si="28"/>
        <v>62.624393306955945</v>
      </c>
      <c r="AO15" s="8">
        <f t="shared" si="28"/>
        <v>66.901646452502717</v>
      </c>
      <c r="AP15" s="1">
        <f>AO15*(1+$AR$20)</f>
        <v>66.232629987977688</v>
      </c>
      <c r="AQ15" s="1">
        <f t="shared" ref="AQ15:DB15" si="29">AP15*(1+$AR$20)</f>
        <v>65.570303688097908</v>
      </c>
      <c r="AR15" s="1">
        <f t="shared" si="29"/>
        <v>64.914600651216929</v>
      </c>
      <c r="AS15" s="1">
        <f t="shared" si="29"/>
        <v>64.265454644704761</v>
      </c>
      <c r="AT15" s="1">
        <f t="shared" si="29"/>
        <v>63.622800098257713</v>
      </c>
      <c r="AU15" s="1">
        <f t="shared" si="29"/>
        <v>62.986572097275136</v>
      </c>
      <c r="AV15" s="1">
        <f t="shared" si="29"/>
        <v>62.356706376302384</v>
      </c>
      <c r="AW15" s="1">
        <f t="shared" si="29"/>
        <v>61.733139312539357</v>
      </c>
      <c r="AX15" s="1">
        <f t="shared" si="29"/>
        <v>61.11580791941396</v>
      </c>
      <c r="AY15" s="1">
        <f t="shared" si="29"/>
        <v>60.50464984021982</v>
      </c>
      <c r="AZ15" s="1">
        <f t="shared" si="29"/>
        <v>59.899603341817624</v>
      </c>
      <c r="BA15" s="1">
        <f t="shared" si="29"/>
        <v>59.300607308399449</v>
      </c>
      <c r="BB15" s="1">
        <f t="shared" si="29"/>
        <v>58.707601235315451</v>
      </c>
      <c r="BC15" s="1">
        <f t="shared" si="29"/>
        <v>58.120525222962293</v>
      </c>
      <c r="BD15" s="1">
        <f t="shared" si="29"/>
        <v>57.53931997073267</v>
      </c>
      <c r="BE15" s="1">
        <f t="shared" si="29"/>
        <v>56.963926771025342</v>
      </c>
      <c r="BF15" s="1">
        <f t="shared" si="29"/>
        <v>56.394287503315091</v>
      </c>
      <c r="BG15" s="1">
        <f t="shared" si="29"/>
        <v>55.830344628281942</v>
      </c>
      <c r="BH15" s="1">
        <f t="shared" si="29"/>
        <v>55.272041181999121</v>
      </c>
      <c r="BI15" s="1">
        <f t="shared" si="29"/>
        <v>54.719320770179131</v>
      </c>
      <c r="BJ15" s="1">
        <f t="shared" si="29"/>
        <v>54.172127562477343</v>
      </c>
      <c r="BK15" s="1">
        <f t="shared" si="29"/>
        <v>53.630406286852569</v>
      </c>
      <c r="BL15" s="1">
        <f t="shared" si="29"/>
        <v>53.094102223984045</v>
      </c>
      <c r="BM15" s="1">
        <f t="shared" si="29"/>
        <v>52.563161201744201</v>
      </c>
      <c r="BN15" s="1">
        <f t="shared" si="29"/>
        <v>52.037529589726759</v>
      </c>
      <c r="BO15" s="1">
        <f t="shared" si="29"/>
        <v>51.517154293829492</v>
      </c>
      <c r="BP15" s="1">
        <f t="shared" si="29"/>
        <v>51.001982750891194</v>
      </c>
      <c r="BQ15" s="1">
        <f t="shared" si="29"/>
        <v>50.491962923382282</v>
      </c>
      <c r="BR15" s="1">
        <f t="shared" si="29"/>
        <v>49.987043294148457</v>
      </c>
      <c r="BS15" s="1">
        <f t="shared" si="29"/>
        <v>49.487172861206972</v>
      </c>
      <c r="BT15" s="1">
        <f t="shared" si="29"/>
        <v>48.992301132594903</v>
      </c>
      <c r="BU15" s="1">
        <f t="shared" si="29"/>
        <v>48.502378121268954</v>
      </c>
      <c r="BV15" s="1">
        <f t="shared" si="29"/>
        <v>48.017354340056265</v>
      </c>
      <c r="BW15" s="1">
        <f t="shared" si="29"/>
        <v>47.537180796655704</v>
      </c>
      <c r="BX15" s="1">
        <f t="shared" si="29"/>
        <v>47.061808988689144</v>
      </c>
      <c r="BY15" s="1">
        <f t="shared" si="29"/>
        <v>46.591190898802253</v>
      </c>
      <c r="BZ15" s="1">
        <f t="shared" si="29"/>
        <v>46.125278989814227</v>
      </c>
      <c r="CA15" s="1">
        <f t="shared" si="29"/>
        <v>45.664026199916087</v>
      </c>
      <c r="CB15" s="1">
        <f t="shared" si="29"/>
        <v>45.207385937916925</v>
      </c>
      <c r="CC15" s="1">
        <f t="shared" si="29"/>
        <v>44.755312078537756</v>
      </c>
      <c r="CD15" s="1">
        <f t="shared" si="29"/>
        <v>44.307758957752377</v>
      </c>
      <c r="CE15" s="1">
        <f t="shared" si="29"/>
        <v>43.86468136817485</v>
      </c>
      <c r="CF15" s="1">
        <f t="shared" si="29"/>
        <v>43.4260345544931</v>
      </c>
      <c r="CG15" s="1">
        <f t="shared" si="29"/>
        <v>42.991774208948172</v>
      </c>
      <c r="CH15" s="1">
        <f t="shared" si="29"/>
        <v>42.561856466858693</v>
      </c>
      <c r="CI15" s="1">
        <f t="shared" si="29"/>
        <v>42.136237902190103</v>
      </c>
      <c r="CJ15" s="1">
        <f t="shared" si="29"/>
        <v>41.714875523168203</v>
      </c>
      <c r="CK15" s="1">
        <f t="shared" si="29"/>
        <v>41.297726767936524</v>
      </c>
      <c r="CL15" s="1">
        <f t="shared" si="29"/>
        <v>40.884749500257158</v>
      </c>
      <c r="CM15" s="1">
        <f t="shared" si="29"/>
        <v>40.475902005254589</v>
      </c>
      <c r="CN15" s="1">
        <f t="shared" si="29"/>
        <v>40.071142985202044</v>
      </c>
      <c r="CO15" s="1">
        <f t="shared" si="29"/>
        <v>39.670431555350021</v>
      </c>
      <c r="CP15" s="1">
        <f t="shared" si="29"/>
        <v>39.273727239796521</v>
      </c>
      <c r="CQ15" s="1">
        <f t="shared" si="29"/>
        <v>38.880989967398556</v>
      </c>
      <c r="CR15" s="1">
        <f t="shared" si="29"/>
        <v>38.492180067724568</v>
      </c>
      <c r="CS15" s="1">
        <f t="shared" si="29"/>
        <v>38.107258267047321</v>
      </c>
      <c r="CT15" s="1">
        <f t="shared" si="29"/>
        <v>37.726185684376844</v>
      </c>
      <c r="CU15" s="1">
        <f t="shared" si="29"/>
        <v>37.348923827533078</v>
      </c>
      <c r="CV15" s="1">
        <f t="shared" si="29"/>
        <v>36.975434589257745</v>
      </c>
      <c r="CW15" s="1">
        <f t="shared" si="29"/>
        <v>36.605680243365164</v>
      </c>
      <c r="CX15" s="1">
        <f t="shared" si="29"/>
        <v>36.23962344093151</v>
      </c>
      <c r="CY15" s="1">
        <f t="shared" si="29"/>
        <v>35.877227206522193</v>
      </c>
      <c r="CZ15" s="1">
        <f t="shared" si="29"/>
        <v>35.518454934456969</v>
      </c>
      <c r="DA15" s="1">
        <f t="shared" si="29"/>
        <v>35.163270385112398</v>
      </c>
      <c r="DB15" s="1">
        <f t="shared" si="29"/>
        <v>34.811637681261274</v>
      </c>
      <c r="DC15" s="1">
        <f t="shared" ref="DC15:EN15" si="30">DB15*(1+$AR$20)</f>
        <v>34.463521304448662</v>
      </c>
      <c r="DD15" s="1">
        <f t="shared" si="30"/>
        <v>34.118886091404178</v>
      </c>
      <c r="DE15" s="1">
        <f t="shared" si="30"/>
        <v>33.777697230490134</v>
      </c>
      <c r="DF15" s="1">
        <f t="shared" si="30"/>
        <v>33.439920258185232</v>
      </c>
      <c r="DG15" s="1">
        <f t="shared" si="30"/>
        <v>33.105521055603383</v>
      </c>
      <c r="DH15" s="1">
        <f t="shared" si="30"/>
        <v>32.774465845047345</v>
      </c>
      <c r="DI15" s="1">
        <f t="shared" si="30"/>
        <v>32.446721186596868</v>
      </c>
      <c r="DJ15" s="1">
        <f t="shared" si="30"/>
        <v>32.122253974730896</v>
      </c>
      <c r="DK15" s="1">
        <f t="shared" si="30"/>
        <v>31.801031434983585</v>
      </c>
      <c r="DL15" s="1">
        <f t="shared" si="30"/>
        <v>31.483021120633747</v>
      </c>
      <c r="DM15" s="1">
        <f t="shared" si="30"/>
        <v>31.168190909427409</v>
      </c>
      <c r="DN15" s="1">
        <f t="shared" si="30"/>
        <v>30.856509000333133</v>
      </c>
      <c r="DO15" s="1">
        <f t="shared" si="30"/>
        <v>30.547943910329803</v>
      </c>
      <c r="DP15" s="1">
        <f t="shared" si="30"/>
        <v>30.242464471226505</v>
      </c>
      <c r="DQ15" s="1">
        <f t="shared" si="30"/>
        <v>29.940039826514241</v>
      </c>
      <c r="DR15" s="1">
        <f t="shared" si="30"/>
        <v>29.640639428249099</v>
      </c>
      <c r="DS15" s="1">
        <f t="shared" si="30"/>
        <v>29.344233033966606</v>
      </c>
      <c r="DT15" s="1">
        <f t="shared" si="30"/>
        <v>29.050790703626941</v>
      </c>
      <c r="DU15" s="1">
        <f t="shared" si="30"/>
        <v>28.760282796590673</v>
      </c>
      <c r="DV15" s="1">
        <f t="shared" si="30"/>
        <v>28.472679968624767</v>
      </c>
      <c r="DW15" s="1">
        <f t="shared" si="30"/>
        <v>28.18795316893852</v>
      </c>
      <c r="DX15" s="1">
        <f t="shared" si="30"/>
        <v>27.906073637249136</v>
      </c>
      <c r="DY15" s="1">
        <f t="shared" si="30"/>
        <v>27.627012900876643</v>
      </c>
      <c r="DZ15" s="1">
        <f t="shared" si="30"/>
        <v>27.350742771867875</v>
      </c>
      <c r="EA15" s="1">
        <f t="shared" si="30"/>
        <v>27.077235344149194</v>
      </c>
      <c r="EB15" s="1">
        <f t="shared" si="30"/>
        <v>26.806462990707701</v>
      </c>
      <c r="EC15" s="1">
        <f t="shared" si="30"/>
        <v>26.538398360800624</v>
      </c>
      <c r="ED15" s="1">
        <f t="shared" si="30"/>
        <v>26.273014377192617</v>
      </c>
      <c r="EE15" s="1">
        <f t="shared" si="30"/>
        <v>26.010284233420691</v>
      </c>
      <c r="EF15" s="1">
        <f t="shared" si="30"/>
        <v>25.750181391086485</v>
      </c>
      <c r="EG15" s="1">
        <f t="shared" si="30"/>
        <v>25.492679577175622</v>
      </c>
      <c r="EH15" s="1">
        <f t="shared" si="30"/>
        <v>25.237752781403866</v>
      </c>
      <c r="EI15" s="1">
        <f t="shared" si="30"/>
        <v>24.985375253589826</v>
      </c>
      <c r="EJ15" s="1">
        <f t="shared" si="30"/>
        <v>24.735521501053928</v>
      </c>
      <c r="EK15" s="1">
        <f t="shared" si="30"/>
        <v>24.488166286043388</v>
      </c>
      <c r="EL15" s="1">
        <f t="shared" si="30"/>
        <v>24.243284623182955</v>
      </c>
      <c r="EM15" s="1">
        <f t="shared" si="30"/>
        <v>24.000851776951126</v>
      </c>
      <c r="EN15" s="1">
        <f t="shared" si="30"/>
        <v>23.760843259181616</v>
      </c>
    </row>
    <row r="16" spans="2:144" x14ac:dyDescent="0.3">
      <c r="B16" t="s">
        <v>2</v>
      </c>
      <c r="E16" s="5">
        <f>36.6</f>
        <v>36.6</v>
      </c>
      <c r="F16" s="5">
        <f>36.6</f>
        <v>36.6</v>
      </c>
      <c r="G16" s="5">
        <f>36.6</f>
        <v>36.6</v>
      </c>
      <c r="H16" s="5">
        <f>36.6</f>
        <v>36.6</v>
      </c>
      <c r="I16" s="5">
        <f>36.6</f>
        <v>36.6</v>
      </c>
      <c r="J16" s="5">
        <f>36.6</f>
        <v>36.6</v>
      </c>
      <c r="K16" s="5">
        <f>36.6</f>
        <v>36.6</v>
      </c>
      <c r="L16" s="5">
        <f>36.6</f>
        <v>36.6</v>
      </c>
      <c r="M16" s="5">
        <f>36.6</f>
        <v>36.6</v>
      </c>
      <c r="N16" s="5">
        <f>36.6</f>
        <v>36.6</v>
      </c>
      <c r="O16" s="5">
        <f>36.6</f>
        <v>36.6</v>
      </c>
      <c r="P16" s="5">
        <f>36.6</f>
        <v>36.6</v>
      </c>
      <c r="Q16" s="5">
        <f>36.6</f>
        <v>36.6</v>
      </c>
      <c r="R16" s="5">
        <f>36.6</f>
        <v>36.6</v>
      </c>
      <c r="S16" s="5">
        <f>36.6</f>
        <v>36.6</v>
      </c>
      <c r="T16" s="5">
        <f>36.6</f>
        <v>36.6</v>
      </c>
      <c r="U16" s="5">
        <f t="shared" ref="U16:V16" si="31">36.6</f>
        <v>36.6</v>
      </c>
      <c r="V16" s="5">
        <f t="shared" si="31"/>
        <v>36.6</v>
      </c>
      <c r="X16" s="5">
        <f>36.6</f>
        <v>36.6</v>
      </c>
      <c r="Y16" s="5">
        <f>36.6</f>
        <v>36.6</v>
      </c>
      <c r="Z16" s="5">
        <f>36.6</f>
        <v>36.6</v>
      </c>
      <c r="AA16" s="5">
        <f>36.6</f>
        <v>36.6</v>
      </c>
      <c r="AB16" s="5">
        <f>36.6</f>
        <v>36.6</v>
      </c>
      <c r="AC16" s="5">
        <f>36.6</f>
        <v>36.6</v>
      </c>
      <c r="AD16" s="5">
        <f>36.6</f>
        <v>36.6</v>
      </c>
      <c r="AE16" s="5">
        <f>36.6</f>
        <v>36.6</v>
      </c>
      <c r="AF16" s="5">
        <f>36.6</f>
        <v>36.6</v>
      </c>
      <c r="AG16" s="5">
        <f t="shared" ref="AG16:AO16" si="32">36.6</f>
        <v>36.6</v>
      </c>
      <c r="AH16" s="5">
        <f t="shared" si="32"/>
        <v>36.6</v>
      </c>
      <c r="AI16" s="5">
        <f t="shared" si="32"/>
        <v>36.6</v>
      </c>
      <c r="AJ16" s="5">
        <f t="shared" si="32"/>
        <v>36.6</v>
      </c>
      <c r="AK16" s="5">
        <f t="shared" si="32"/>
        <v>36.6</v>
      </c>
      <c r="AL16" s="5">
        <f t="shared" si="32"/>
        <v>36.6</v>
      </c>
      <c r="AM16" s="5">
        <f t="shared" si="32"/>
        <v>36.6</v>
      </c>
      <c r="AN16" s="5">
        <f t="shared" si="32"/>
        <v>36.6</v>
      </c>
      <c r="AO16" s="5">
        <f t="shared" si="32"/>
        <v>36.6</v>
      </c>
    </row>
    <row r="17" spans="2:44" x14ac:dyDescent="0.3">
      <c r="B17" t="s">
        <v>24</v>
      </c>
      <c r="E17" s="7">
        <f>E15/E16</f>
        <v>-0.39617486338797808</v>
      </c>
      <c r="F17" s="7">
        <f>F15/F16</f>
        <v>-0.52732240437158484</v>
      </c>
      <c r="G17" s="7">
        <f>G15/G16</f>
        <v>-0.46721311475409827</v>
      </c>
      <c r="H17" s="7">
        <f>H15/H16</f>
        <v>-1.1448087431693987</v>
      </c>
      <c r="I17" s="7">
        <f>I15/I16</f>
        <v>-0.30874316939890711</v>
      </c>
      <c r="J17" s="7">
        <f>J15/J16</f>
        <v>-3.551912568306019E-2</v>
      </c>
      <c r="K17" s="7">
        <f>K15/K16</f>
        <v>-0.1174863387978143</v>
      </c>
      <c r="L17" s="7">
        <f>L15/L16</f>
        <v>5.4644808743173285E-3</v>
      </c>
      <c r="M17" s="7">
        <f>M15/M16</f>
        <v>8.1967213114754342E-2</v>
      </c>
      <c r="N17" s="7">
        <f>N15/N16</f>
        <v>0.12568306010928956</v>
      </c>
      <c r="O17" s="7">
        <f>O15/O16</f>
        <v>2.1857923497267298E-2</v>
      </c>
      <c r="P17" s="7">
        <f>P15/P16</f>
        <v>9.0163934426229581E-2</v>
      </c>
      <c r="Q17" s="7">
        <f>Q15/Q16</f>
        <v>3.5519125683059725E-2</v>
      </c>
      <c r="R17" s="7">
        <f>R15/R16</f>
        <v>0.35519125683060115</v>
      </c>
      <c r="S17" s="7">
        <f>S15/S16</f>
        <v>2.1857923497268065E-2</v>
      </c>
      <c r="T17" s="7">
        <f>T15/T16</f>
        <v>8.7431693989071024E-2</v>
      </c>
      <c r="U17" s="7">
        <f t="shared" ref="U17:V17" si="33">U15/U16</f>
        <v>0.14962622950819712</v>
      </c>
      <c r="V17" s="7">
        <f t="shared" si="33"/>
        <v>8.9035519125682791E-2</v>
      </c>
      <c r="X17" s="7">
        <f>X15/X16</f>
        <v>-0.9836065573770495</v>
      </c>
      <c r="Y17" s="7">
        <f>Y15/Y16</f>
        <v>-0.91803278688524592</v>
      </c>
      <c r="Z17" s="7">
        <f>Z15/Z16</f>
        <v>-0.40437158469945383</v>
      </c>
      <c r="AA17" s="7">
        <f>AA15/AA16</f>
        <v>-1.7759562841530059</v>
      </c>
      <c r="AB17" s="7">
        <f>AB15/AB16</f>
        <v>-1.9562841530054651</v>
      </c>
      <c r="AC17" s="7">
        <f>AC15/AC16</f>
        <v>9.5628415300546207E-2</v>
      </c>
      <c r="AD17" s="7">
        <f>AD15/AD16</f>
        <v>0.50273224043715825</v>
      </c>
      <c r="AE17" s="7">
        <f>AE15/AE16</f>
        <v>0.34795136612021943</v>
      </c>
      <c r="AF17" s="7">
        <f>AF15/AF16</f>
        <v>0.6530240377049179</v>
      </c>
      <c r="AG17" s="7">
        <f t="shared" ref="AG17:AO17" si="34">AG15/AG16</f>
        <v>0.8221004613333337</v>
      </c>
      <c r="AH17" s="7">
        <f t="shared" si="34"/>
        <v>1.0012873286161763</v>
      </c>
      <c r="AI17" s="7">
        <f t="shared" si="34"/>
        <v>1.1868568658436407</v>
      </c>
      <c r="AJ17" s="7">
        <f t="shared" si="34"/>
        <v>1.2841624947815213</v>
      </c>
      <c r="AK17" s="7">
        <f t="shared" si="34"/>
        <v>1.3850950271395752</v>
      </c>
      <c r="AL17" s="7">
        <f t="shared" si="34"/>
        <v>1.4897910641908803</v>
      </c>
      <c r="AM17" s="7">
        <f t="shared" si="34"/>
        <v>1.5983929426308336</v>
      </c>
      <c r="AN17" s="7">
        <f t="shared" si="34"/>
        <v>1.7110489974578127</v>
      </c>
      <c r="AO17" s="7">
        <f t="shared" si="34"/>
        <v>1.8279138375000741</v>
      </c>
    </row>
    <row r="19" spans="2:44" x14ac:dyDescent="0.3">
      <c r="B19" t="s">
        <v>41</v>
      </c>
      <c r="E19" s="9"/>
      <c r="F19" s="9"/>
      <c r="G19" s="9"/>
      <c r="H19" s="9"/>
      <c r="I19" s="9">
        <f t="shared" ref="I19" si="35">I3/E3-1</f>
        <v>0.11036339165545095</v>
      </c>
      <c r="J19" s="9">
        <f t="shared" ref="J19" si="36">J3/F3-1</f>
        <v>4.1353383458646586E-2</v>
      </c>
      <c r="K19" s="9">
        <f t="shared" ref="K19:S19" si="37">K3/G3-1</f>
        <v>1.4994232987312506E-2</v>
      </c>
      <c r="L19" s="9">
        <f t="shared" si="37"/>
        <v>5.1764705882352935E-2</v>
      </c>
      <c r="M19" s="9">
        <f t="shared" ref="M19" si="38">M3/I3-1</f>
        <v>0.1212121212121211</v>
      </c>
      <c r="N19" s="9">
        <f t="shared" ref="N19" si="39">N3/J3-1</f>
        <v>0.10108303249097483</v>
      </c>
      <c r="O19" s="9">
        <f t="shared" si="37"/>
        <v>6.25E-2</v>
      </c>
      <c r="P19" s="9">
        <f t="shared" si="37"/>
        <v>5.9284116331096204E-2</v>
      </c>
      <c r="Q19" s="9">
        <f t="shared" si="37"/>
        <v>7.6756756756756639E-2</v>
      </c>
      <c r="R19" s="9">
        <f t="shared" si="37"/>
        <v>0.1333333333333333</v>
      </c>
      <c r="S19" s="9">
        <f t="shared" si="37"/>
        <v>0.14652406417112296</v>
      </c>
      <c r="T19" s="9">
        <f>T3/P3-1</f>
        <v>0.14677930306230191</v>
      </c>
      <c r="U19" s="9">
        <f t="shared" ref="U19:V19" si="40">U3/Q3-1</f>
        <v>0.12000000000000011</v>
      </c>
      <c r="V19" s="9">
        <f t="shared" si="40"/>
        <v>0.10000000000000009</v>
      </c>
      <c r="X19" s="9"/>
      <c r="Y19" s="9">
        <f t="shared" ref="X19:AE19" si="41">Y3/X3-1</f>
        <v>0.41854304635761586</v>
      </c>
      <c r="Z19" s="9">
        <f t="shared" si="41"/>
        <v>0.76937441643324012</v>
      </c>
      <c r="AA19" s="9">
        <f t="shared" si="41"/>
        <v>0.57097625329815305</v>
      </c>
      <c r="AB19" s="9">
        <f t="shared" si="41"/>
        <v>0.13301981860933809</v>
      </c>
      <c r="AC19" s="9">
        <f t="shared" si="41"/>
        <v>7.1449747998814095E-2</v>
      </c>
      <c r="AD19" s="9">
        <f t="shared" si="41"/>
        <v>8.3287216380741436E-2</v>
      </c>
      <c r="AE19" s="9">
        <f>AE3/AD3-1</f>
        <v>0.12751468710089431</v>
      </c>
      <c r="AF19" s="9">
        <f t="shared" ref="AF19:AO19" si="42">AF3/AE3-1</f>
        <v>7.0000000000000062E-2</v>
      </c>
      <c r="AG19" s="9">
        <f t="shared" si="42"/>
        <v>4.0000000000000036E-2</v>
      </c>
      <c r="AH19" s="9">
        <f t="shared" si="42"/>
        <v>3.0000000000000027E-2</v>
      </c>
      <c r="AI19" s="9">
        <f t="shared" si="42"/>
        <v>2.0000000000000018E-2</v>
      </c>
      <c r="AJ19" s="9">
        <f t="shared" si="42"/>
        <v>2.0000000000000018E-2</v>
      </c>
      <c r="AK19" s="9">
        <f t="shared" si="42"/>
        <v>2.0000000000000018E-2</v>
      </c>
      <c r="AL19" s="9">
        <f t="shared" si="42"/>
        <v>2.0000000000000018E-2</v>
      </c>
      <c r="AM19" s="9">
        <f t="shared" si="42"/>
        <v>2.0000000000000018E-2</v>
      </c>
      <c r="AN19" s="9">
        <f t="shared" si="42"/>
        <v>2.0000000000000018E-2</v>
      </c>
      <c r="AO19" s="9">
        <f t="shared" si="42"/>
        <v>2.0000000000000018E-2</v>
      </c>
    </row>
    <row r="20" spans="2:44" x14ac:dyDescent="0.3">
      <c r="B20" t="s">
        <v>42</v>
      </c>
      <c r="E20" s="9">
        <f t="shared" ref="E20:K20" si="43">E5/E3</f>
        <v>0.83310901749663524</v>
      </c>
      <c r="F20" s="9">
        <f t="shared" si="43"/>
        <v>0.80952380952380953</v>
      </c>
      <c r="G20" s="9">
        <f t="shared" si="43"/>
        <v>0.80392156862745101</v>
      </c>
      <c r="H20" s="9">
        <f t="shared" si="43"/>
        <v>0.79411764705882348</v>
      </c>
      <c r="I20" s="9">
        <f t="shared" si="43"/>
        <v>0.81090909090909102</v>
      </c>
      <c r="J20" s="9">
        <f t="shared" si="43"/>
        <v>0.80986762936221424</v>
      </c>
      <c r="K20" s="9">
        <f t="shared" ref="K20:S20" si="44">K5/K3</f>
        <v>0.82159090909090904</v>
      </c>
      <c r="L20" s="9">
        <f t="shared" si="44"/>
        <v>0.82550335570469802</v>
      </c>
      <c r="M20" s="9">
        <f t="shared" ref="M20:O20" si="45">M5/M3</f>
        <v>0.83675675675675687</v>
      </c>
      <c r="N20" s="9">
        <f t="shared" si="45"/>
        <v>0.8306010928961749</v>
      </c>
      <c r="O20" s="9">
        <f t="shared" si="44"/>
        <v>0.83529411764705874</v>
      </c>
      <c r="P20" s="9">
        <f t="shared" si="44"/>
        <v>0.83104540654699055</v>
      </c>
      <c r="Q20" s="9">
        <f t="shared" si="44"/>
        <v>0.81024096385542166</v>
      </c>
      <c r="R20" s="9">
        <f t="shared" si="44"/>
        <v>0.80520732883317259</v>
      </c>
      <c r="S20" s="9">
        <f t="shared" si="44"/>
        <v>0.80970149253731349</v>
      </c>
      <c r="T20" s="9">
        <f>T5/T3</f>
        <v>0.81215469613259661</v>
      </c>
      <c r="U20" s="9">
        <f t="shared" ref="U20:V20" si="46">U5/U3</f>
        <v>0.81</v>
      </c>
      <c r="V20" s="9">
        <f t="shared" si="46"/>
        <v>0.81</v>
      </c>
      <c r="X20" s="9">
        <f t="shared" ref="X20:AE20" si="47">X5/X3</f>
        <v>0.79337748344370862</v>
      </c>
      <c r="Y20" s="9">
        <f t="shared" si="47"/>
        <v>0.79271708683473385</v>
      </c>
      <c r="Z20" s="9">
        <f t="shared" si="47"/>
        <v>0.82480211081794197</v>
      </c>
      <c r="AA20" s="9">
        <f t="shared" si="47"/>
        <v>0.82633523681558618</v>
      </c>
      <c r="AB20" s="9">
        <f t="shared" si="47"/>
        <v>0.80462496294100216</v>
      </c>
      <c r="AC20" s="9">
        <f t="shared" si="47"/>
        <v>0.82872163807415611</v>
      </c>
      <c r="AD20" s="9">
        <f t="shared" si="47"/>
        <v>0.8199233716475095</v>
      </c>
      <c r="AE20" s="9">
        <f t="shared" ref="AE20:AO20" si="48">AE5/AE3</f>
        <v>0.81045761199034028</v>
      </c>
      <c r="AF20" s="9">
        <f t="shared" si="48"/>
        <v>0.81</v>
      </c>
      <c r="AG20" s="9">
        <f t="shared" si="48"/>
        <v>0.81</v>
      </c>
      <c r="AH20" s="9">
        <f t="shared" si="48"/>
        <v>0.81</v>
      </c>
      <c r="AI20" s="9">
        <f t="shared" si="48"/>
        <v>0.81</v>
      </c>
      <c r="AJ20" s="9">
        <f t="shared" si="48"/>
        <v>0.81</v>
      </c>
      <c r="AK20" s="9">
        <f t="shared" si="48"/>
        <v>0.81</v>
      </c>
      <c r="AL20" s="9">
        <f t="shared" si="48"/>
        <v>0.81</v>
      </c>
      <c r="AM20" s="9">
        <f t="shared" si="48"/>
        <v>0.81</v>
      </c>
      <c r="AN20" s="9">
        <f t="shared" si="48"/>
        <v>0.81</v>
      </c>
      <c r="AO20" s="9">
        <f t="shared" si="48"/>
        <v>0.81</v>
      </c>
      <c r="AQ20" t="s">
        <v>52</v>
      </c>
      <c r="AR20" s="9">
        <v>-0.01</v>
      </c>
    </row>
    <row r="21" spans="2:44" x14ac:dyDescent="0.3">
      <c r="B21" t="s">
        <v>43</v>
      </c>
      <c r="E21" s="9"/>
      <c r="F21" s="9"/>
      <c r="G21" s="9"/>
      <c r="H21" s="9"/>
      <c r="I21" s="9">
        <f t="shared" ref="I21" si="49">I6/E6-1</f>
        <v>0.1170731707317072</v>
      </c>
      <c r="J21" s="9">
        <f t="shared" ref="J21" si="50">J6/F6-1</f>
        <v>-2.2935779816513735E-2</v>
      </c>
      <c r="K21" s="9">
        <f t="shared" ref="K21:S21" si="51">K6/G6-1</f>
        <v>-7.9831932773109293E-2</v>
      </c>
      <c r="L21" s="9">
        <f t="shared" si="51"/>
        <v>-4.8979591836734615E-2</v>
      </c>
      <c r="M21" s="9">
        <f t="shared" ref="M21" si="52">M6/I6-1</f>
        <v>2.6200873362445476E-2</v>
      </c>
      <c r="N21" s="9">
        <f t="shared" ref="N21" si="53">N6/J6-1</f>
        <v>3.7558685446009488E-2</v>
      </c>
      <c r="O21" s="9">
        <f t="shared" si="51"/>
        <v>7.762557077625587E-2</v>
      </c>
      <c r="P21" s="9">
        <f t="shared" si="51"/>
        <v>-6.0085836909871349E-2</v>
      </c>
      <c r="Q21" s="9">
        <f t="shared" si="51"/>
        <v>-4.680851063829794E-2</v>
      </c>
      <c r="R21" s="9">
        <f t="shared" si="51"/>
        <v>9.0497737556560764E-3</v>
      </c>
      <c r="S21" s="9">
        <f t="shared" si="51"/>
        <v>0</v>
      </c>
      <c r="T21" s="9">
        <f>T6/P6-1</f>
        <v>9.5890410958904271E-2</v>
      </c>
      <c r="U21" s="9">
        <f t="shared" ref="U21:V21" si="54">U6/Q6-1</f>
        <v>0.10000000000000009</v>
      </c>
      <c r="V21" s="9">
        <f t="shared" si="54"/>
        <v>0.10000000000000009</v>
      </c>
      <c r="X21" s="9"/>
      <c r="Y21" s="9">
        <f t="shared" ref="X21:AE21" si="55">Y6/X6-1</f>
        <v>0.32692307692307687</v>
      </c>
      <c r="Z21" s="9">
        <f t="shared" si="55"/>
        <v>0.32463768115942027</v>
      </c>
      <c r="AA21" s="9">
        <f t="shared" si="55"/>
        <v>0.73522975929978096</v>
      </c>
      <c r="AB21" s="9">
        <f t="shared" si="55"/>
        <v>0.16645649432534659</v>
      </c>
      <c r="AC21" s="9">
        <f t="shared" si="55"/>
        <v>-1.837837837837808E-2</v>
      </c>
      <c r="AD21" s="9">
        <f t="shared" si="55"/>
        <v>-6.6079295154185536E-3</v>
      </c>
      <c r="AE21" s="9">
        <f>AE6/AD6-1</f>
        <v>7.2838137472283959E-2</v>
      </c>
      <c r="AF21" s="9">
        <f t="shared" ref="AF21:AO21" si="56">AF6/AE6-1</f>
        <v>8.0000000000000071E-2</v>
      </c>
      <c r="AG21" s="9">
        <f t="shared" si="56"/>
        <v>4.0000000000000036E-2</v>
      </c>
      <c r="AH21" s="9">
        <f t="shared" si="56"/>
        <v>3.0000000000000027E-2</v>
      </c>
      <c r="AI21" s="9">
        <f t="shared" si="56"/>
        <v>2.0000000000000018E-2</v>
      </c>
      <c r="AJ21" s="9">
        <f t="shared" si="56"/>
        <v>1.0000000000000009E-2</v>
      </c>
      <c r="AK21" s="9">
        <f t="shared" si="56"/>
        <v>1.0000000000000009E-2</v>
      </c>
      <c r="AL21" s="9">
        <f t="shared" si="56"/>
        <v>1.0000000000000009E-2</v>
      </c>
      <c r="AM21" s="9">
        <f t="shared" si="56"/>
        <v>1.0000000000000009E-2</v>
      </c>
      <c r="AN21" s="9">
        <f t="shared" si="56"/>
        <v>1.0000000000000009E-2</v>
      </c>
      <c r="AO21" s="9">
        <f t="shared" si="56"/>
        <v>1.0000000000000009E-2</v>
      </c>
      <c r="AQ21" t="s">
        <v>53</v>
      </c>
      <c r="AR21" s="9">
        <v>0.1</v>
      </c>
    </row>
    <row r="22" spans="2:44" x14ac:dyDescent="0.3">
      <c r="B22" t="s">
        <v>44</v>
      </c>
      <c r="E22" s="9">
        <f t="shared" ref="E22:K22" si="57">E7/E3</f>
        <v>0.51682368775235532</v>
      </c>
      <c r="F22" s="9">
        <f t="shared" si="57"/>
        <v>0.50375939849624063</v>
      </c>
      <c r="G22" s="9">
        <f t="shared" si="57"/>
        <v>0.55247981545559399</v>
      </c>
      <c r="H22" s="9">
        <f t="shared" si="57"/>
        <v>0.52117647058823524</v>
      </c>
      <c r="I22" s="9">
        <f t="shared" si="57"/>
        <v>0.50909090909090904</v>
      </c>
      <c r="J22" s="9">
        <f t="shared" si="57"/>
        <v>0.4861612515042118</v>
      </c>
      <c r="K22" s="9">
        <f t="shared" ref="K22:S22" si="58">K7/K3</f>
        <v>0.47840909090909095</v>
      </c>
      <c r="L22" s="9">
        <f t="shared" si="58"/>
        <v>0.43512304250559281</v>
      </c>
      <c r="M22" s="9">
        <f t="shared" ref="M22:O22" si="59">M7/M3</f>
        <v>0.43783783783783786</v>
      </c>
      <c r="N22" s="9">
        <f t="shared" si="59"/>
        <v>0.43497267759562841</v>
      </c>
      <c r="O22" s="9">
        <f t="shared" si="58"/>
        <v>0.45133689839572194</v>
      </c>
      <c r="P22" s="9">
        <f t="shared" si="58"/>
        <v>0.43611404435058077</v>
      </c>
      <c r="Q22" s="9">
        <f t="shared" si="58"/>
        <v>0.43172690763052213</v>
      </c>
      <c r="R22" s="9">
        <f t="shared" si="58"/>
        <v>0.4358727097396336</v>
      </c>
      <c r="S22" s="9">
        <f t="shared" si="58"/>
        <v>0.44216417910447758</v>
      </c>
      <c r="T22" s="9">
        <f>T7/T3</f>
        <v>0.41252302025782689</v>
      </c>
      <c r="U22" s="9">
        <f t="shared" ref="U22:V22" si="60">U7/U3</f>
        <v>0.4</v>
      </c>
      <c r="V22" s="9">
        <f t="shared" si="60"/>
        <v>0.4</v>
      </c>
      <c r="X22" s="9">
        <f t="shared" ref="X22:AE22" si="61">X7/X3</f>
        <v>0.65827814569536425</v>
      </c>
      <c r="Y22" s="9">
        <f t="shared" si="61"/>
        <v>0.58636788048552757</v>
      </c>
      <c r="Z22" s="9">
        <f t="shared" si="61"/>
        <v>0.49815303430079161</v>
      </c>
      <c r="AA22" s="9">
        <f t="shared" si="61"/>
        <v>0.5354383607658717</v>
      </c>
      <c r="AB22" s="9">
        <f t="shared" si="61"/>
        <v>0.51764008301215536</v>
      </c>
      <c r="AC22" s="9">
        <f t="shared" si="61"/>
        <v>0.44631986718317662</v>
      </c>
      <c r="AD22" s="9">
        <f t="shared" si="61"/>
        <v>0.43856960408684548</v>
      </c>
      <c r="AE22" s="9">
        <f t="shared" ref="AE22:AO22" si="62">AE7/AE3</f>
        <v>0.41332058664950999</v>
      </c>
      <c r="AF22" s="9">
        <f t="shared" si="62"/>
        <v>0.39</v>
      </c>
      <c r="AG22" s="9">
        <f t="shared" si="62"/>
        <v>0.38</v>
      </c>
      <c r="AH22" s="9">
        <f t="shared" si="62"/>
        <v>0.37</v>
      </c>
      <c r="AI22" s="9">
        <f t="shared" si="62"/>
        <v>0.36</v>
      </c>
      <c r="AJ22" s="9">
        <f t="shared" si="62"/>
        <v>0.36</v>
      </c>
      <c r="AK22" s="9">
        <f t="shared" si="62"/>
        <v>0.36</v>
      </c>
      <c r="AL22" s="9">
        <f t="shared" si="62"/>
        <v>0.36</v>
      </c>
      <c r="AM22" s="9">
        <f t="shared" si="62"/>
        <v>0.36</v>
      </c>
      <c r="AN22" s="9">
        <f t="shared" si="62"/>
        <v>0.36</v>
      </c>
      <c r="AO22" s="9">
        <f t="shared" si="62"/>
        <v>0.36</v>
      </c>
      <c r="AQ22" t="s">
        <v>54</v>
      </c>
      <c r="AR22" s="5">
        <f>NPV(AR21,AE15:EN15)</f>
        <v>467.35721744897512</v>
      </c>
    </row>
    <row r="23" spans="2:44" x14ac:dyDescent="0.3">
      <c r="B23" t="s">
        <v>45</v>
      </c>
      <c r="E23" s="9"/>
      <c r="F23" s="9"/>
      <c r="G23" s="9"/>
      <c r="H23" s="9"/>
      <c r="I23" s="9">
        <f t="shared" ref="I23" si="63">I8/E8-1</f>
        <v>0.16935483870967749</v>
      </c>
      <c r="J23" s="9">
        <f t="shared" ref="J23" si="64">J8/F8-1</f>
        <v>-0.52147239263803691</v>
      </c>
      <c r="K23" s="9">
        <f t="shared" ref="K23:S23" si="65">K8/G8-1</f>
        <v>1.3071895424836555E-2</v>
      </c>
      <c r="L23" s="9">
        <f t="shared" si="65"/>
        <v>0.13868613138686126</v>
      </c>
      <c r="M23" s="9">
        <f t="shared" ref="M23" si="66">M8/I8-1</f>
        <v>8.9655172413793061E-2</v>
      </c>
      <c r="N23" s="9">
        <f t="shared" ref="N23" si="67">N8/J8-1</f>
        <v>1.025641025641026</v>
      </c>
      <c r="O23" s="9">
        <f t="shared" si="65"/>
        <v>6.4516129032258007E-2</v>
      </c>
      <c r="P23" s="9">
        <f t="shared" si="65"/>
        <v>0.14102564102564119</v>
      </c>
      <c r="Q23" s="9">
        <f t="shared" si="65"/>
        <v>0.18987341772151889</v>
      </c>
      <c r="R23" s="9">
        <f t="shared" si="65"/>
        <v>0.379746835443038</v>
      </c>
      <c r="S23" s="9">
        <f t="shared" si="65"/>
        <v>0.27272727272727271</v>
      </c>
      <c r="T23" s="9">
        <f>T8/P8-1</f>
        <v>0.20224719101123578</v>
      </c>
      <c r="U23" s="9">
        <f t="shared" ref="U23:V23" si="68">U8/Q8-1</f>
        <v>0.14999999999999991</v>
      </c>
      <c r="V23" s="9">
        <f t="shared" si="68"/>
        <v>0.10000000000000009</v>
      </c>
      <c r="X23" s="9"/>
      <c r="Y23" s="9">
        <f t="shared" ref="X23:AE23" si="69">Y8/X8-1</f>
        <v>8.737864077669899E-2</v>
      </c>
      <c r="Z23" s="9">
        <f t="shared" si="69"/>
        <v>0.25</v>
      </c>
      <c r="AA23" s="9">
        <f t="shared" si="69"/>
        <v>0.87857142857142856</v>
      </c>
      <c r="AB23" s="9">
        <f t="shared" si="69"/>
        <v>-2.4714828897338448E-2</v>
      </c>
      <c r="AC23" s="9">
        <f t="shared" si="69"/>
        <v>0.22222222222222232</v>
      </c>
      <c r="AD23" s="9">
        <f t="shared" si="69"/>
        <v>0.19457735247208907</v>
      </c>
      <c r="AE23" s="9">
        <f>AE8/AD8-1</f>
        <v>0.17489986648865163</v>
      </c>
      <c r="AF23" s="9">
        <f t="shared" ref="AF23:AO23" si="70">AF8/AE8-1</f>
        <v>8.0000000000000071E-2</v>
      </c>
      <c r="AG23" s="9">
        <f t="shared" si="70"/>
        <v>3.0000000000000027E-2</v>
      </c>
      <c r="AH23" s="9">
        <f t="shared" si="70"/>
        <v>2.0000000000000018E-2</v>
      </c>
      <c r="AI23" s="9">
        <f t="shared" si="70"/>
        <v>1.0000000000000009E-2</v>
      </c>
      <c r="AJ23" s="9">
        <f t="shared" si="70"/>
        <v>1.0000000000000009E-2</v>
      </c>
      <c r="AK23" s="9">
        <f t="shared" si="70"/>
        <v>1.0000000000000009E-2</v>
      </c>
      <c r="AL23" s="9">
        <f t="shared" si="70"/>
        <v>1.0000000000000009E-2</v>
      </c>
      <c r="AM23" s="9">
        <f t="shared" si="70"/>
        <v>1.0000000000000009E-2</v>
      </c>
      <c r="AN23" s="9">
        <f t="shared" si="70"/>
        <v>1.0000000000000009E-2</v>
      </c>
      <c r="AO23" s="9">
        <f t="shared" si="70"/>
        <v>1.0000000000000009E-2</v>
      </c>
      <c r="AQ23" t="s">
        <v>55</v>
      </c>
      <c r="AR23" s="5">
        <f>Main!D8</f>
        <v>143.09999999999991</v>
      </c>
    </row>
    <row r="24" spans="2:44" x14ac:dyDescent="0.3">
      <c r="B24" t="s">
        <v>46</v>
      </c>
      <c r="E24" s="9">
        <f t="shared" ref="E24:K24" si="71">E11/E3</f>
        <v>-0.12651413189771196</v>
      </c>
      <c r="F24" s="9">
        <f t="shared" si="71"/>
        <v>-0.17167919799498751</v>
      </c>
      <c r="G24" s="9">
        <f t="shared" si="71"/>
        <v>-0.19953863898500573</v>
      </c>
      <c r="H24" s="9">
        <f t="shared" si="71"/>
        <v>-0.50117647058823522</v>
      </c>
      <c r="I24" s="9">
        <f t="shared" si="71"/>
        <v>-0.15151515151515152</v>
      </c>
      <c r="J24" s="9">
        <f t="shared" si="71"/>
        <v>-2.6474127557160086E-2</v>
      </c>
      <c r="K24" s="9">
        <f t="shared" ref="K24:S24" si="72">K11/K3</f>
        <v>-8.1818181818181845E-2</v>
      </c>
      <c r="L24" s="9">
        <f t="shared" si="72"/>
        <v>-4.4742729306487532E-2</v>
      </c>
      <c r="M24" s="9">
        <f t="shared" ref="M24:O24" si="73">M11/M3</f>
        <v>-2.5945945945945854E-2</v>
      </c>
      <c r="N24" s="9">
        <f t="shared" si="73"/>
        <v>-1.8579234972677626E-2</v>
      </c>
      <c r="O24" s="9">
        <f t="shared" si="72"/>
        <v>-4.4919786096256867E-2</v>
      </c>
      <c r="P24" s="9">
        <f t="shared" si="72"/>
        <v>-2.4287222808870086E-2</v>
      </c>
      <c r="Q24" s="9">
        <f t="shared" si="72"/>
        <v>-3.5140562248996129E-2</v>
      </c>
      <c r="R24" s="9">
        <f t="shared" si="72"/>
        <v>-5.5930568948891E-2</v>
      </c>
      <c r="S24" s="9">
        <f t="shared" si="72"/>
        <v>-4.8507462686567054E-2</v>
      </c>
      <c r="T24" s="9">
        <f>T11/T3</f>
        <v>-1.841620626151013E-2</v>
      </c>
      <c r="U24" s="9">
        <f t="shared" ref="U24:V24" si="74">U11/U3</f>
        <v>-4.6944922547330799E-3</v>
      </c>
      <c r="V24" s="9">
        <f t="shared" si="74"/>
        <v>-1.5265188042430169E-2</v>
      </c>
      <c r="X24" s="9">
        <f t="shared" ref="X24:AE24" si="75">X11/X3</f>
        <v>-0.48211920529801339</v>
      </c>
      <c r="Y24" s="9">
        <f t="shared" si="75"/>
        <v>-0.32492997198879553</v>
      </c>
      <c r="Z24" s="9">
        <f t="shared" si="75"/>
        <v>-6.2269129287599007E-2</v>
      </c>
      <c r="AA24" s="9">
        <f t="shared" si="75"/>
        <v>-0.15216661068189458</v>
      </c>
      <c r="AB24" s="9">
        <f t="shared" si="75"/>
        <v>-0.22116809961458653</v>
      </c>
      <c r="AC24" s="9">
        <f t="shared" si="75"/>
        <v>-4.2335362479247407E-2</v>
      </c>
      <c r="AD24" s="9">
        <f t="shared" si="75"/>
        <v>-4.0357598978288667E-2</v>
      </c>
      <c r="AE24" s="9">
        <f t="shared" ref="AE24:AO24" si="76">AE11/AE3</f>
        <v>-2.1442021466986167E-2</v>
      </c>
      <c r="AF24" s="9">
        <f t="shared" si="76"/>
        <v>-2.4910005163008247E-3</v>
      </c>
      <c r="AG24" s="9">
        <f t="shared" si="76"/>
        <v>9.4437961771681508E-3</v>
      </c>
      <c r="AH24" s="9">
        <f t="shared" si="76"/>
        <v>2.1378592870637141E-2</v>
      </c>
      <c r="AI24" s="9">
        <f t="shared" si="76"/>
        <v>3.3313389564106066E-2</v>
      </c>
      <c r="AJ24" s="9">
        <f t="shared" si="76"/>
        <v>3.7398552411516746E-2</v>
      </c>
      <c r="AK24" s="9">
        <f t="shared" si="76"/>
        <v>4.1443664642776414E-2</v>
      </c>
      <c r="AL24" s="9">
        <f t="shared" si="76"/>
        <v>4.5449118910984555E-2</v>
      </c>
      <c r="AM24" s="9">
        <f t="shared" si="76"/>
        <v>4.9415304019700353E-2</v>
      </c>
      <c r="AN24" s="9">
        <f t="shared" si="76"/>
        <v>5.3342604960683646E-2</v>
      </c>
      <c r="AO24" s="9">
        <f t="shared" si="76"/>
        <v>5.7231402951265192E-2</v>
      </c>
      <c r="AQ24" t="s">
        <v>56</v>
      </c>
      <c r="AR24" s="5">
        <f>AR22+AR23</f>
        <v>610.45721744897503</v>
      </c>
    </row>
    <row r="25" spans="2:44" x14ac:dyDescent="0.3">
      <c r="B25" t="s">
        <v>22</v>
      </c>
      <c r="E25" s="9">
        <f t="shared" ref="E25:K25" si="77">E14/E13</f>
        <v>-6.9444444444444458E-3</v>
      </c>
      <c r="F25" s="9">
        <f t="shared" si="77"/>
        <v>0</v>
      </c>
      <c r="G25" s="9">
        <f t="shared" si="77"/>
        <v>0</v>
      </c>
      <c r="H25" s="9">
        <f t="shared" si="77"/>
        <v>-2.3923444976076558E-3</v>
      </c>
      <c r="I25" s="9">
        <f t="shared" si="77"/>
        <v>0</v>
      </c>
      <c r="J25" s="9">
        <f t="shared" si="77"/>
        <v>-0.62499999999999767</v>
      </c>
      <c r="K25" s="9">
        <f t="shared" ref="K25:S25" si="78">K14/K13</f>
        <v>-4.8780487804878016E-2</v>
      </c>
      <c r="L25" s="9">
        <f t="shared" si="78"/>
        <v>0.59999999999998288</v>
      </c>
      <c r="M25" s="9">
        <f t="shared" ref="M25:O25" si="79">M14/M13</f>
        <v>9.0909090909090662E-2</v>
      </c>
      <c r="N25" s="9">
        <f t="shared" si="79"/>
        <v>0.11538461538461543</v>
      </c>
      <c r="O25" s="9">
        <f t="shared" si="78"/>
        <v>0.6800000000000046</v>
      </c>
      <c r="P25" s="9">
        <f t="shared" si="78"/>
        <v>0.46774193548387072</v>
      </c>
      <c r="Q25" s="9">
        <f t="shared" si="78"/>
        <v>0.61764705882353199</v>
      </c>
      <c r="R25" s="9">
        <f t="shared" si="78"/>
        <v>131.00000000000395</v>
      </c>
      <c r="S25" s="9">
        <f t="shared" si="78"/>
        <v>0.61904761904761574</v>
      </c>
      <c r="T25" s="9">
        <f>T14/T13</f>
        <v>0.30434782608695654</v>
      </c>
      <c r="U25" s="9">
        <f t="shared" ref="U25:V25" si="80">U14/U13</f>
        <v>0.15440867653235135</v>
      </c>
      <c r="V25" s="9">
        <f t="shared" si="80"/>
        <v>0.38032213284652172</v>
      </c>
      <c r="X25" s="9">
        <f t="shared" ref="X25:AE25" si="81">X14/X13</f>
        <v>0</v>
      </c>
      <c r="Y25" s="9">
        <f t="shared" si="81"/>
        <v>-5.9880239520958087E-3</v>
      </c>
      <c r="Z25" s="9">
        <f t="shared" si="81"/>
        <v>-1.369863013698629E-2</v>
      </c>
      <c r="AA25" s="9">
        <f t="shared" si="81"/>
        <v>-3.0864197530864196E-3</v>
      </c>
      <c r="AB25" s="9">
        <f t="shared" si="81"/>
        <v>-8.4507042253521084E-3</v>
      </c>
      <c r="AC25" s="9">
        <f t="shared" si="81"/>
        <v>0.2857142857142862</v>
      </c>
      <c r="AD25" s="9">
        <f t="shared" si="81"/>
        <v>-0.53333333333333388</v>
      </c>
      <c r="AE25" s="9">
        <f t="shared" ref="AE25:AO25" si="82">AE14/AE13</f>
        <v>0.30919413160387083</v>
      </c>
      <c r="AF25" s="9">
        <f t="shared" si="82"/>
        <v>0.15</v>
      </c>
      <c r="AG25" s="9">
        <f t="shared" si="82"/>
        <v>0.15</v>
      </c>
      <c r="AH25" s="9">
        <f t="shared" si="82"/>
        <v>0.15</v>
      </c>
      <c r="AI25" s="9">
        <f t="shared" si="82"/>
        <v>0.15</v>
      </c>
      <c r="AJ25" s="9">
        <f t="shared" si="82"/>
        <v>0.15</v>
      </c>
      <c r="AK25" s="9">
        <f t="shared" si="82"/>
        <v>0.15</v>
      </c>
      <c r="AL25" s="9">
        <f t="shared" si="82"/>
        <v>0.15</v>
      </c>
      <c r="AM25" s="9">
        <f t="shared" si="82"/>
        <v>0.15</v>
      </c>
      <c r="AN25" s="9">
        <f t="shared" si="82"/>
        <v>0.15</v>
      </c>
      <c r="AO25" s="9">
        <f t="shared" si="82"/>
        <v>0.15</v>
      </c>
      <c r="AQ25" t="s">
        <v>57</v>
      </c>
      <c r="AR25" s="4">
        <f>AR24/AO16</f>
        <v>16.679158946693306</v>
      </c>
    </row>
    <row r="26" spans="2:44" x14ac:dyDescent="0.3">
      <c r="B26" t="s">
        <v>47</v>
      </c>
      <c r="E26" s="9">
        <f t="shared" ref="E26:K26" si="83">E15/E3</f>
        <v>-0.19515477792732167</v>
      </c>
      <c r="F26" s="9">
        <f t="shared" si="83"/>
        <v>-0.24185463659147877</v>
      </c>
      <c r="G26" s="9">
        <f t="shared" si="83"/>
        <v>-0.19723183391003457</v>
      </c>
      <c r="H26" s="9">
        <f t="shared" si="83"/>
        <v>-0.49294117647058822</v>
      </c>
      <c r="I26" s="9">
        <f t="shared" si="83"/>
        <v>-0.13696969696969699</v>
      </c>
      <c r="J26" s="9">
        <f t="shared" si="83"/>
        <v>-1.5643802647412792E-2</v>
      </c>
      <c r="K26" s="9">
        <f t="shared" ref="K26:S26" si="84">K15/K3</f>
        <v>-4.8863636363636401E-2</v>
      </c>
      <c r="L26" s="9">
        <f t="shared" si="84"/>
        <v>2.2371364653245439E-3</v>
      </c>
      <c r="M26" s="9">
        <f t="shared" ref="M26:O26" si="85">M15/M3</f>
        <v>3.2432432432432531E-2</v>
      </c>
      <c r="N26" s="9">
        <f t="shared" si="85"/>
        <v>5.0273224043715821E-2</v>
      </c>
      <c r="O26" s="9">
        <f t="shared" si="84"/>
        <v>8.5561497326201406E-3</v>
      </c>
      <c r="P26" s="9">
        <f t="shared" si="84"/>
        <v>3.4846884899683239E-2</v>
      </c>
      <c r="Q26" s="9">
        <f t="shared" si="84"/>
        <v>1.3052208835341226E-2</v>
      </c>
      <c r="R26" s="9">
        <f t="shared" si="84"/>
        <v>0.12536162005785925</v>
      </c>
      <c r="S26" s="9">
        <f t="shared" si="84"/>
        <v>7.462686567164283E-3</v>
      </c>
      <c r="T26" s="9">
        <f>T15/T3</f>
        <v>2.9465930018416204E-2</v>
      </c>
      <c r="U26" s="9">
        <f t="shared" ref="U26:V26" si="86">U15/U3</f>
        <v>4.9092082616179138E-2</v>
      </c>
      <c r="V26" s="9">
        <f t="shared" si="86"/>
        <v>2.8567546243534584E-2</v>
      </c>
      <c r="X26" s="9">
        <f t="shared" ref="X26:AE26" si="87">X15/X3</f>
        <v>-0.47682119205298035</v>
      </c>
      <c r="Y26" s="9">
        <f t="shared" si="87"/>
        <v>-0.31372549019607848</v>
      </c>
      <c r="Z26" s="9">
        <f t="shared" si="87"/>
        <v>-7.8100263852242807E-2</v>
      </c>
      <c r="AA26" s="9">
        <f t="shared" si="87"/>
        <v>-0.21834061135371186</v>
      </c>
      <c r="AB26" s="9">
        <f t="shared" si="87"/>
        <v>-0.21227394011265946</v>
      </c>
      <c r="AC26" s="9">
        <f t="shared" si="87"/>
        <v>9.6845600442722526E-3</v>
      </c>
      <c r="AD26" s="9">
        <f t="shared" si="87"/>
        <v>4.6998722860791813E-2</v>
      </c>
      <c r="AE26" s="9">
        <f t="shared" ref="AE26:AO26" si="88">AE15/AE3</f>
        <v>2.8849989352592371E-2</v>
      </c>
      <c r="AF26" s="9">
        <f t="shared" si="88"/>
        <v>5.0602561509263365E-2</v>
      </c>
      <c r="AG26" s="9">
        <f t="shared" si="88"/>
        <v>6.1254060928982369E-2</v>
      </c>
      <c r="AH26" s="9">
        <f t="shared" si="88"/>
        <v>7.2432168879176445E-2</v>
      </c>
      <c r="AI26" s="9">
        <f t="shared" si="88"/>
        <v>8.4172639155070172E-2</v>
      </c>
      <c r="AJ26" s="9">
        <f t="shared" si="88"/>
        <v>8.9287858693768665E-2</v>
      </c>
      <c r="AK26" s="9">
        <f t="shared" si="88"/>
        <v>9.441735377104464E-2</v>
      </c>
      <c r="AL26" s="9">
        <f t="shared" si="88"/>
        <v>9.956287927621818E-2</v>
      </c>
      <c r="AM26" s="9">
        <f t="shared" si="88"/>
        <v>0.10472622862456431</v>
      </c>
      <c r="AN26" s="9">
        <f t="shared" si="88"/>
        <v>0.10990923501874772</v>
      </c>
      <c r="AO26" s="9">
        <f t="shared" si="88"/>
        <v>0.11511377274609988</v>
      </c>
      <c r="AQ26" t="s">
        <v>58</v>
      </c>
      <c r="AR26" s="4">
        <f>Main!D3</f>
        <v>24.29</v>
      </c>
    </row>
    <row r="27" spans="2:44" x14ac:dyDescent="0.3">
      <c r="AQ27" s="1" t="s">
        <v>59</v>
      </c>
      <c r="AR27" s="11">
        <f>AR25/AR26-1</f>
        <v>-0.31333227885165471</v>
      </c>
    </row>
    <row r="28" spans="2:44" x14ac:dyDescent="0.3">
      <c r="AQ28" t="s">
        <v>60</v>
      </c>
      <c r="AR28" s="6" t="s">
        <v>61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2025-08-19T09:56:05Z</dcterms:created>
  <dcterms:modified xsi:type="dcterms:W3CDTF">2025-08-19T10:41:59Z</dcterms:modified>
</cp:coreProperties>
</file>