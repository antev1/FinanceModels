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635AC70-DE92-4165-9620-DB91D477352F}" xr6:coauthVersionLast="47" xr6:coauthVersionMax="47" xr10:uidLastSave="{00000000-0000-0000-0000-000000000000}"/>
  <bookViews>
    <workbookView xWindow="-108" yWindow="-108" windowWidth="23256" windowHeight="12576" activeTab="1" xr2:uid="{AD032BED-1FC0-449E-A9C1-7763436E9E4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7" i="2" l="1"/>
  <c r="AN7" i="2"/>
  <c r="AM7" i="2"/>
  <c r="AL7" i="2"/>
  <c r="AK7" i="2"/>
  <c r="AJ7" i="2"/>
  <c r="AI7" i="2"/>
  <c r="AH7" i="2"/>
  <c r="AG7" i="2"/>
  <c r="AF7" i="2"/>
  <c r="V7" i="2"/>
  <c r="AF3" i="2"/>
  <c r="U5" i="2"/>
  <c r="D7" i="1"/>
  <c r="D6" i="1"/>
  <c r="V16" i="2"/>
  <c r="U16" i="2"/>
  <c r="AO16" i="2"/>
  <c r="AN16" i="2"/>
  <c r="AM16" i="2"/>
  <c r="AL16" i="2"/>
  <c r="AK16" i="2"/>
  <c r="AJ16" i="2"/>
  <c r="AI16" i="2"/>
  <c r="AH16" i="2"/>
  <c r="AG16" i="2"/>
  <c r="AF16" i="2"/>
  <c r="AE16" i="2"/>
  <c r="D4" i="1"/>
  <c r="AR26" i="2"/>
  <c r="AD26" i="2"/>
  <c r="AC26" i="2"/>
  <c r="AB26" i="2"/>
  <c r="AA26" i="2"/>
  <c r="Z26" i="2"/>
  <c r="Y26" i="2"/>
  <c r="X26" i="2"/>
  <c r="AD25" i="2"/>
  <c r="AC25" i="2"/>
  <c r="AB25" i="2"/>
  <c r="AA25" i="2"/>
  <c r="Z25" i="2"/>
  <c r="Y25" i="2"/>
  <c r="X25" i="2"/>
  <c r="AD24" i="2"/>
  <c r="AC24" i="2"/>
  <c r="AB24" i="2"/>
  <c r="AA24" i="2"/>
  <c r="Z24" i="2"/>
  <c r="Y24" i="2"/>
  <c r="X24" i="2"/>
  <c r="AD23" i="2"/>
  <c r="AC23" i="2"/>
  <c r="AB23" i="2"/>
  <c r="AA23" i="2"/>
  <c r="Z23" i="2"/>
  <c r="Y23" i="2"/>
  <c r="AD22" i="2"/>
  <c r="AC22" i="2"/>
  <c r="AB22" i="2"/>
  <c r="AA22" i="2"/>
  <c r="Z22" i="2"/>
  <c r="Y22" i="2"/>
  <c r="X22" i="2"/>
  <c r="AD21" i="2"/>
  <c r="AC21" i="2"/>
  <c r="AB21" i="2"/>
  <c r="AA21" i="2"/>
  <c r="Z21" i="2"/>
  <c r="Y21" i="2"/>
  <c r="AD20" i="2"/>
  <c r="AC20" i="2"/>
  <c r="AB20" i="2"/>
  <c r="AA20" i="2"/>
  <c r="Z20" i="2"/>
  <c r="Y20" i="2"/>
  <c r="X20" i="2"/>
  <c r="AD19" i="2"/>
  <c r="AC19" i="2"/>
  <c r="AB19" i="2"/>
  <c r="AA19" i="2"/>
  <c r="Z19" i="2"/>
  <c r="Y19" i="2"/>
  <c r="X16" i="2"/>
  <c r="X10" i="2"/>
  <c r="X5" i="2"/>
  <c r="Y16" i="2"/>
  <c r="Y10" i="2"/>
  <c r="Y5" i="2"/>
  <c r="Z16" i="2"/>
  <c r="Z10" i="2"/>
  <c r="Z5" i="2"/>
  <c r="AA10" i="2"/>
  <c r="AA16" i="2"/>
  <c r="AA5" i="2"/>
  <c r="AB14" i="2"/>
  <c r="AB12" i="2"/>
  <c r="AB9" i="2"/>
  <c r="AB8" i="2"/>
  <c r="AB7" i="2"/>
  <c r="AB6" i="2"/>
  <c r="AB4" i="2"/>
  <c r="AB3" i="2"/>
  <c r="AB16" i="2"/>
  <c r="AC14" i="2"/>
  <c r="AC12" i="2"/>
  <c r="AC9" i="2"/>
  <c r="AC8" i="2"/>
  <c r="AC7" i="2"/>
  <c r="AC6" i="2"/>
  <c r="AC4" i="2"/>
  <c r="AC3" i="2"/>
  <c r="AC16" i="2"/>
  <c r="AE14" i="2"/>
  <c r="AE12" i="2"/>
  <c r="AF12" i="2" s="1"/>
  <c r="AG12" i="2" s="1"/>
  <c r="AH12" i="2" s="1"/>
  <c r="AI12" i="2" s="1"/>
  <c r="AJ12" i="2" s="1"/>
  <c r="AK12" i="2" s="1"/>
  <c r="AL12" i="2" s="1"/>
  <c r="AM12" i="2" s="1"/>
  <c r="AN12" i="2" s="1"/>
  <c r="AO12" i="2" s="1"/>
  <c r="AE9" i="2"/>
  <c r="AD14" i="2"/>
  <c r="AD12" i="2"/>
  <c r="AD9" i="2"/>
  <c r="AD8" i="2"/>
  <c r="AD7" i="2"/>
  <c r="AD6" i="2"/>
  <c r="AD4" i="2"/>
  <c r="AD3" i="2"/>
  <c r="AD16" i="2"/>
  <c r="V8" i="2"/>
  <c r="V23" i="2" s="1"/>
  <c r="U23" i="2"/>
  <c r="V6" i="2"/>
  <c r="V21" i="2" s="1"/>
  <c r="AE6" i="2"/>
  <c r="AF6" i="2" s="1"/>
  <c r="AG6" i="2" s="1"/>
  <c r="AH6" i="2" s="1"/>
  <c r="AI6" i="2" s="1"/>
  <c r="AJ6" i="2" s="1"/>
  <c r="AK6" i="2" s="1"/>
  <c r="AL6" i="2" s="1"/>
  <c r="AM6" i="2" s="1"/>
  <c r="AN6" i="2" s="1"/>
  <c r="AO6" i="2" s="1"/>
  <c r="V5" i="2"/>
  <c r="AE3" i="2"/>
  <c r="E22" i="2"/>
  <c r="F22" i="2"/>
  <c r="G22" i="2"/>
  <c r="H22" i="2"/>
  <c r="J23" i="2"/>
  <c r="I23" i="2"/>
  <c r="J22" i="2"/>
  <c r="I22" i="2"/>
  <c r="J21" i="2"/>
  <c r="I21" i="2"/>
  <c r="J19" i="2"/>
  <c r="I19" i="2"/>
  <c r="N23" i="2"/>
  <c r="M23" i="2"/>
  <c r="N22" i="2"/>
  <c r="M22" i="2"/>
  <c r="N21" i="2"/>
  <c r="M21" i="2"/>
  <c r="N19" i="2"/>
  <c r="M19" i="2"/>
  <c r="E16" i="2"/>
  <c r="E10" i="2"/>
  <c r="E5" i="2"/>
  <c r="E20" i="2" s="1"/>
  <c r="I16" i="2"/>
  <c r="I10" i="2"/>
  <c r="I5" i="2"/>
  <c r="I20" i="2" s="1"/>
  <c r="F16" i="2"/>
  <c r="F10" i="2"/>
  <c r="F5" i="2"/>
  <c r="F20" i="2" s="1"/>
  <c r="J16" i="2"/>
  <c r="J10" i="2"/>
  <c r="J5" i="2"/>
  <c r="J20" i="2" s="1"/>
  <c r="S23" i="2"/>
  <c r="R23" i="2"/>
  <c r="Q23" i="2"/>
  <c r="P23" i="2"/>
  <c r="O23" i="2"/>
  <c r="L23" i="2"/>
  <c r="K23" i="2"/>
  <c r="S22" i="2"/>
  <c r="R22" i="2"/>
  <c r="Q22" i="2"/>
  <c r="P22" i="2"/>
  <c r="O22" i="2"/>
  <c r="L22" i="2"/>
  <c r="K22" i="2"/>
  <c r="S21" i="2"/>
  <c r="R21" i="2"/>
  <c r="Q21" i="2"/>
  <c r="P21" i="2"/>
  <c r="O21" i="2"/>
  <c r="L21" i="2"/>
  <c r="K21" i="2"/>
  <c r="S19" i="2"/>
  <c r="R19" i="2"/>
  <c r="Q19" i="2"/>
  <c r="P19" i="2"/>
  <c r="O19" i="2"/>
  <c r="L19" i="2"/>
  <c r="K19" i="2"/>
  <c r="T23" i="2"/>
  <c r="T22" i="2"/>
  <c r="T21" i="2"/>
  <c r="T19" i="2"/>
  <c r="G16" i="2"/>
  <c r="G10" i="2"/>
  <c r="G5" i="2"/>
  <c r="G20" i="2" s="1"/>
  <c r="K16" i="2"/>
  <c r="K10" i="2"/>
  <c r="K5" i="2"/>
  <c r="K20" i="2" s="1"/>
  <c r="H16" i="2"/>
  <c r="H10" i="2"/>
  <c r="H5" i="2"/>
  <c r="H20" i="2" s="1"/>
  <c r="T10" i="2"/>
  <c r="S10" i="2"/>
  <c r="R10" i="2"/>
  <c r="Q10" i="2"/>
  <c r="P10" i="2"/>
  <c r="O10" i="2"/>
  <c r="N10" i="2"/>
  <c r="M10" i="2"/>
  <c r="L10" i="2"/>
  <c r="L16" i="2"/>
  <c r="L5" i="2"/>
  <c r="L20" i="2" s="1"/>
  <c r="M16" i="2"/>
  <c r="M5" i="2"/>
  <c r="M20" i="2" s="1"/>
  <c r="Q16" i="2"/>
  <c r="Q5" i="2"/>
  <c r="Q20" i="2" s="1"/>
  <c r="N16" i="2"/>
  <c r="N5" i="2"/>
  <c r="N20" i="2" s="1"/>
  <c r="R16" i="2"/>
  <c r="R5" i="2"/>
  <c r="R20" i="2" s="1"/>
  <c r="O16" i="2"/>
  <c r="O5" i="2"/>
  <c r="O20" i="2" s="1"/>
  <c r="S16" i="2"/>
  <c r="S5" i="2"/>
  <c r="S20" i="2" s="1"/>
  <c r="P16" i="2"/>
  <c r="P5" i="2"/>
  <c r="P20" i="2" s="1"/>
  <c r="T16" i="2"/>
  <c r="T5" i="2"/>
  <c r="T20" i="2" s="1"/>
  <c r="D5" i="1"/>
  <c r="F3" i="1"/>
  <c r="AE19" i="2" l="1"/>
  <c r="AE21" i="2"/>
  <c r="AG3" i="2"/>
  <c r="AF19" i="2"/>
  <c r="AF5" i="2"/>
  <c r="AF20" i="2" s="1"/>
  <c r="D8" i="1"/>
  <c r="AR23" i="2" s="1"/>
  <c r="AF4" i="2"/>
  <c r="AH21" i="2"/>
  <c r="AI21" i="2"/>
  <c r="AG21" i="2"/>
  <c r="AF21" i="2"/>
  <c r="X11" i="2"/>
  <c r="X13" i="2" s="1"/>
  <c r="X15" i="2" s="1"/>
  <c r="X17" i="2" s="1"/>
  <c r="Y11" i="2"/>
  <c r="Y13" i="2" s="1"/>
  <c r="Y15" i="2" s="1"/>
  <c r="Y17" i="2" s="1"/>
  <c r="AB5" i="2"/>
  <c r="AB11" i="2" s="1"/>
  <c r="AB13" i="2" s="1"/>
  <c r="AB15" i="2" s="1"/>
  <c r="AB17" i="2" s="1"/>
  <c r="V19" i="2"/>
  <c r="AC5" i="2"/>
  <c r="U21" i="2"/>
  <c r="V22" i="2"/>
  <c r="AC10" i="2"/>
  <c r="V4" i="2"/>
  <c r="V20" i="2"/>
  <c r="AE4" i="2"/>
  <c r="AE5" i="2" s="1"/>
  <c r="AE20" i="2" s="1"/>
  <c r="AE8" i="2"/>
  <c r="U19" i="2"/>
  <c r="AB10" i="2"/>
  <c r="AD10" i="2"/>
  <c r="Z11" i="2"/>
  <c r="Z13" i="2" s="1"/>
  <c r="Z15" i="2" s="1"/>
  <c r="Z17" i="2" s="1"/>
  <c r="AA11" i="2"/>
  <c r="AA13" i="2" s="1"/>
  <c r="AA15" i="2" s="1"/>
  <c r="AA17" i="2" s="1"/>
  <c r="AD5" i="2"/>
  <c r="E11" i="2"/>
  <c r="I11" i="2"/>
  <c r="F11" i="2"/>
  <c r="J11" i="2"/>
  <c r="G11" i="2"/>
  <c r="G24" i="2" s="1"/>
  <c r="K11" i="2"/>
  <c r="H11" i="2"/>
  <c r="H24" i="2" s="1"/>
  <c r="L11" i="2"/>
  <c r="T11" i="2"/>
  <c r="M11" i="2"/>
  <c r="M24" i="2" s="1"/>
  <c r="Q11" i="2"/>
  <c r="N11" i="2"/>
  <c r="N24" i="2" s="1"/>
  <c r="R11" i="2"/>
  <c r="O11" i="2"/>
  <c r="S11" i="2"/>
  <c r="P11" i="2"/>
  <c r="AG5" i="2" l="1"/>
  <c r="AG20" i="2" s="1"/>
  <c r="AE23" i="2"/>
  <c r="AF8" i="2"/>
  <c r="AH3" i="2"/>
  <c r="AH5" i="2" s="1"/>
  <c r="AG22" i="2"/>
  <c r="AG19" i="2"/>
  <c r="AG4" i="2"/>
  <c r="D9" i="1"/>
  <c r="AF22" i="2"/>
  <c r="AF10" i="2"/>
  <c r="AF11" i="2" s="1"/>
  <c r="AC11" i="2"/>
  <c r="AC13" i="2" s="1"/>
  <c r="AC15" i="2" s="1"/>
  <c r="AC17" i="2" s="1"/>
  <c r="V10" i="2"/>
  <c r="V11" i="2" s="1"/>
  <c r="V24" i="2" s="1"/>
  <c r="U20" i="2"/>
  <c r="AE7" i="2"/>
  <c r="U22" i="2"/>
  <c r="U10" i="2"/>
  <c r="U11" i="2" s="1"/>
  <c r="J13" i="2"/>
  <c r="J24" i="2"/>
  <c r="E13" i="2"/>
  <c r="E24" i="2"/>
  <c r="F13" i="2"/>
  <c r="F24" i="2"/>
  <c r="I13" i="2"/>
  <c r="I24" i="2"/>
  <c r="AD11" i="2"/>
  <c r="AD13" i="2" s="1"/>
  <c r="AD15" i="2" s="1"/>
  <c r="AD17" i="2" s="1"/>
  <c r="S13" i="2"/>
  <c r="S24" i="2"/>
  <c r="H13" i="2"/>
  <c r="H25" i="2" s="1"/>
  <c r="K13" i="2"/>
  <c r="K24" i="2"/>
  <c r="R13" i="2"/>
  <c r="R24" i="2"/>
  <c r="G13" i="2"/>
  <c r="G25" i="2" s="1"/>
  <c r="N13" i="2"/>
  <c r="N25" i="2" s="1"/>
  <c r="Q13" i="2"/>
  <c r="Q24" i="2"/>
  <c r="M13" i="2"/>
  <c r="M25" i="2" s="1"/>
  <c r="T13" i="2"/>
  <c r="T15" i="2" s="1"/>
  <c r="T24" i="2"/>
  <c r="P13" i="2"/>
  <c r="P24" i="2"/>
  <c r="L13" i="2"/>
  <c r="L24" i="2"/>
  <c r="O13" i="2"/>
  <c r="O24" i="2"/>
  <c r="AF23" i="2" l="1"/>
  <c r="AG8" i="2"/>
  <c r="AI3" i="2"/>
  <c r="AI5" i="2" s="1"/>
  <c r="AH19" i="2"/>
  <c r="AH20" i="2"/>
  <c r="AF24" i="2"/>
  <c r="AF13" i="2"/>
  <c r="AF14" i="2" s="1"/>
  <c r="AF25" i="2" s="1"/>
  <c r="V13" i="2"/>
  <c r="V15" i="2" s="1"/>
  <c r="AE10" i="2"/>
  <c r="AE11" i="2" s="1"/>
  <c r="AE22" i="2"/>
  <c r="AJ21" i="2"/>
  <c r="AK21" i="2"/>
  <c r="F15" i="2"/>
  <c r="F25" i="2"/>
  <c r="U24" i="2"/>
  <c r="U13" i="2"/>
  <c r="E15" i="2"/>
  <c r="E25" i="2"/>
  <c r="I15" i="2"/>
  <c r="I25" i="2"/>
  <c r="J15" i="2"/>
  <c r="J25" i="2"/>
  <c r="T25" i="2"/>
  <c r="M15" i="2"/>
  <c r="M26" i="2" s="1"/>
  <c r="G15" i="2"/>
  <c r="G26" i="2" s="1"/>
  <c r="O15" i="2"/>
  <c r="O25" i="2"/>
  <c r="L15" i="2"/>
  <c r="L25" i="2"/>
  <c r="K15" i="2"/>
  <c r="K25" i="2"/>
  <c r="N15" i="2"/>
  <c r="N26" i="2" s="1"/>
  <c r="H15" i="2"/>
  <c r="H26" i="2" s="1"/>
  <c r="S15" i="2"/>
  <c r="S25" i="2"/>
  <c r="R15" i="2"/>
  <c r="R25" i="2"/>
  <c r="Q15" i="2"/>
  <c r="Q25" i="2"/>
  <c r="P15" i="2"/>
  <c r="P25" i="2"/>
  <c r="AH4" i="2" l="1"/>
  <c r="AG23" i="2"/>
  <c r="AH8" i="2"/>
  <c r="AG10" i="2"/>
  <c r="AG11" i="2" s="1"/>
  <c r="AF15" i="2"/>
  <c r="AF17" i="2" s="1"/>
  <c r="AH10" i="2"/>
  <c r="AH11" i="2" s="1"/>
  <c r="AH13" i="2" s="1"/>
  <c r="AH14" i="2" s="1"/>
  <c r="AH25" i="2" s="1"/>
  <c r="AH22" i="2"/>
  <c r="AJ3" i="2"/>
  <c r="AJ5" i="2" s="1"/>
  <c r="AI19" i="2"/>
  <c r="V25" i="2"/>
  <c r="AE13" i="2"/>
  <c r="AE24" i="2"/>
  <c r="AL21" i="2"/>
  <c r="I17" i="2"/>
  <c r="I26" i="2"/>
  <c r="F17" i="2"/>
  <c r="F26" i="2"/>
  <c r="J17" i="2"/>
  <c r="J26" i="2"/>
  <c r="U15" i="2"/>
  <c r="U25" i="2"/>
  <c r="V26" i="2"/>
  <c r="V17" i="2"/>
  <c r="E17" i="2"/>
  <c r="E26" i="2"/>
  <c r="P17" i="2"/>
  <c r="P26" i="2"/>
  <c r="O17" i="2"/>
  <c r="O26" i="2"/>
  <c r="Q17" i="2"/>
  <c r="Q26" i="2"/>
  <c r="G17" i="2"/>
  <c r="K17" i="2"/>
  <c r="K26" i="2"/>
  <c r="M17" i="2"/>
  <c r="H17" i="2"/>
  <c r="N17" i="2"/>
  <c r="R17" i="2"/>
  <c r="R26" i="2"/>
  <c r="S17" i="2"/>
  <c r="S26" i="2"/>
  <c r="L17" i="2"/>
  <c r="L26" i="2"/>
  <c r="T17" i="2"/>
  <c r="T26" i="2"/>
  <c r="AG13" i="2" l="1"/>
  <c r="AG24" i="2"/>
  <c r="AI8" i="2"/>
  <c r="AH23" i="2"/>
  <c r="AH24" i="2"/>
  <c r="AF26" i="2"/>
  <c r="AH15" i="2"/>
  <c r="AH17" i="2" s="1"/>
  <c r="AI20" i="2"/>
  <c r="AI4" i="2"/>
  <c r="AK3" i="2"/>
  <c r="AK5" i="2" s="1"/>
  <c r="AJ19" i="2"/>
  <c r="AI22" i="2"/>
  <c r="AI10" i="2"/>
  <c r="AI11" i="2" s="1"/>
  <c r="AE15" i="2"/>
  <c r="AE25" i="2"/>
  <c r="AM21" i="2"/>
  <c r="U26" i="2"/>
  <c r="U17" i="2"/>
  <c r="AH26" i="2" l="1"/>
  <c r="AJ8" i="2"/>
  <c r="AI23" i="2"/>
  <c r="AG14" i="2"/>
  <c r="AG25" i="2" s="1"/>
  <c r="AJ22" i="2"/>
  <c r="AJ10" i="2"/>
  <c r="AJ11" i="2" s="1"/>
  <c r="AK20" i="2"/>
  <c r="AK19" i="2"/>
  <c r="AL3" i="2"/>
  <c r="AL5" i="2" s="1"/>
  <c r="AI13" i="2"/>
  <c r="AI14" i="2" s="1"/>
  <c r="AI25" i="2" s="1"/>
  <c r="AI24" i="2"/>
  <c r="AK4" i="2"/>
  <c r="AJ20" i="2"/>
  <c r="AJ4" i="2"/>
  <c r="AE17" i="2"/>
  <c r="AE26" i="2"/>
  <c r="AO21" i="2"/>
  <c r="AN21" i="2"/>
  <c r="AG15" i="2" l="1"/>
  <c r="AG17" i="2" s="1"/>
  <c r="AK8" i="2"/>
  <c r="AJ23" i="2"/>
  <c r="AM3" i="2"/>
  <c r="AM5" i="2" s="1"/>
  <c r="AL20" i="2"/>
  <c r="AL19" i="2"/>
  <c r="AK10" i="2"/>
  <c r="AK11" i="2" s="1"/>
  <c r="AK22" i="2"/>
  <c r="AI15" i="2"/>
  <c r="AI26" i="2" s="1"/>
  <c r="AJ24" i="2"/>
  <c r="AJ13" i="2"/>
  <c r="AJ14" i="2" s="1"/>
  <c r="AJ25" i="2" s="1"/>
  <c r="AG26" i="2" l="1"/>
  <c r="AL4" i="2"/>
  <c r="AJ15" i="2"/>
  <c r="AJ17" i="2" s="1"/>
  <c r="AL8" i="2"/>
  <c r="AK23" i="2"/>
  <c r="AI17" i="2"/>
  <c r="AK13" i="2"/>
  <c r="AK14" i="2" s="1"/>
  <c r="AK25" i="2" s="1"/>
  <c r="AK24" i="2"/>
  <c r="AN3" i="2"/>
  <c r="AN5" i="2" s="1"/>
  <c r="AM19" i="2"/>
  <c r="AL10" i="2"/>
  <c r="AL11" i="2" s="1"/>
  <c r="AL22" i="2"/>
  <c r="AK15" i="2" l="1"/>
  <c r="AK26" i="2" s="1"/>
  <c r="AJ26" i="2"/>
  <c r="AM8" i="2"/>
  <c r="AL23" i="2"/>
  <c r="AO3" i="2"/>
  <c r="AO5" i="2" s="1"/>
  <c r="AN19" i="2"/>
  <c r="AM10" i="2"/>
  <c r="AM11" i="2" s="1"/>
  <c r="AM22" i="2"/>
  <c r="AL24" i="2"/>
  <c r="AL13" i="2"/>
  <c r="AL14" i="2" s="1"/>
  <c r="AL25" i="2" s="1"/>
  <c r="AM20" i="2"/>
  <c r="AM4" i="2"/>
  <c r="AK17" i="2" l="1"/>
  <c r="AN8" i="2"/>
  <c r="AM23" i="2"/>
  <c r="AM13" i="2"/>
  <c r="AM14" i="2" s="1"/>
  <c r="AM25" i="2" s="1"/>
  <c r="AM24" i="2"/>
  <c r="AL15" i="2"/>
  <c r="AL17" i="2" s="1"/>
  <c r="AN20" i="2"/>
  <c r="AN4" i="2"/>
  <c r="AO19" i="2"/>
  <c r="AN22" i="2"/>
  <c r="AN10" i="2"/>
  <c r="AN11" i="2" s="1"/>
  <c r="AL26" i="2" l="1"/>
  <c r="AO8" i="2"/>
  <c r="AO23" i="2" s="1"/>
  <c r="AN23" i="2"/>
  <c r="AO22" i="2"/>
  <c r="AO10" i="2"/>
  <c r="AO11" i="2" s="1"/>
  <c r="AO20" i="2"/>
  <c r="AO4" i="2"/>
  <c r="AM15" i="2"/>
  <c r="AM26" i="2" s="1"/>
  <c r="AN13" i="2"/>
  <c r="AN14" i="2" s="1"/>
  <c r="AN25" i="2" s="1"/>
  <c r="AN24" i="2"/>
  <c r="AM17" i="2" l="1"/>
  <c r="AO13" i="2"/>
  <c r="AO14" i="2" s="1"/>
  <c r="AO25" i="2" s="1"/>
  <c r="AO24" i="2"/>
  <c r="AN15" i="2"/>
  <c r="AN17" i="2" s="1"/>
  <c r="AN26" i="2" l="1"/>
  <c r="AO15" i="2"/>
  <c r="AO17" i="2" s="1"/>
  <c r="AO26" i="2" l="1"/>
  <c r="AP15" i="2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AR22" i="2" l="1"/>
  <c r="AR24" i="2" s="1"/>
  <c r="AR25" i="2" s="1"/>
  <c r="AR27" i="2" s="1"/>
</calcChain>
</file>

<file path=xl/sharedStrings.xml><?xml version="1.0" encoding="utf-8"?>
<sst xmlns="http://schemas.openxmlformats.org/spreadsheetml/2006/main" count="67" uniqueCount="62">
  <si>
    <t>FVRR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</si>
  <si>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</si>
  <si>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</si>
  <si>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</si>
  <si>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</si>
  <si>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</si>
  <si>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</si>
  <si>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</si>
  <si>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</si>
  <si>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</si>
  <si>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</si>
  <si>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</si>
  <si>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</si>
  <si>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</si>
  <si>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</si>
  <si>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R&amp;D</t>
  </si>
  <si>
    <t>S&amp;M</t>
  </si>
  <si>
    <t>G&amp;A</t>
  </si>
  <si>
    <t>Total operating expenses</t>
  </si>
  <si>
    <t>Operating profit</t>
  </si>
  <si>
    <t>Pretax profit</t>
  </si>
  <si>
    <t>Net finance income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</si>
  <si>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</si>
  <si>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</si>
  <si>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</si>
  <si>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</si>
  <si>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</si>
  <si>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</si>
  <si>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</si>
  <si>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</si>
  <si>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</si>
  <si>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</si>
  <si>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</si>
  <si>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</si>
  <si>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</si>
  <si>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</si>
  <si>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Q122</t>
  </si>
  <si>
    <t>Q222</t>
  </si>
  <si>
    <t>Q322</t>
  </si>
  <si>
    <t>Q422</t>
  </si>
  <si>
    <t>Impairment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</si>
  <si>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</si>
  <si>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</si>
  <si>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</si>
  <si>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</si>
  <si>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</si>
  <si>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</si>
  <si>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</si>
  <si>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Q121</t>
  </si>
  <si>
    <t>Q221</t>
  </si>
  <si>
    <t>Q321</t>
  </si>
  <si>
    <t>Q421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</si>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</sst>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15240</xdr:colOff>
      <xdr:row>0</xdr:row>
      <xdr:rowOff>15240</xdr:rowOff>
    </xdr:from>
    <xdr:to>
      <xdr:col>20</xdr:col>
      <xdr:colOff>15240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17D9900-2BB0-2B08-99BE-319B7575404F}"/>
            </a:ext>
          </a:extLst>
        </xdr:cNvPr>
        <xdr:cNvCxnSpPr/>
      </xdr:nvCxnSpPr>
      <xdr:spPr>
        <a:xfrm>
          <a:off x="1308354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15240</xdr:colOff>
      <xdr:row>0</xdr:row>
      <xdr:rowOff>15240</xdr:rowOff>
    </xdr:from>
    <xdr:to>
      <xdr:col>30</xdr:col>
      <xdr:colOff>15240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1697C6B-2A17-5314-8DAE-AE005AF5C716}"/>
            </a:ext>
          </a:extLst>
        </xdr:cNvPr>
        <xdr:cNvCxnSpPr/>
      </xdr:nvCxnSpPr>
      <xdr:spPr>
        <a:xfrm>
          <a:off x="1856994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91E5-75C7-40C8-A155-F42BF0F6DD5C}">
  <dimension ref="B2:G9"/>
  <sheetViews>
    <sheetView workbookViewId="0">
      <selection activeCell="E7" sqref="E7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20.78</v>
      </c>
      <c r="E3" s="3">
        <v>45967</v>
      </c>
      <c r="F3" s="3">
        <f ca="1">TODAY()</f>
        <v>45967</v>
      </c>
      <c r="G3" s="3">
        <v>46078</v>
      </c>
    </row>
    <row r="4" spans="2:7" x14ac:dyDescent="0.3">
      <c r="C4" t="s">
        <v>2</v>
      </c>
      <c r="D4" s="5">
        <f>36.4</f>
        <v>36.4</v>
      </c>
      <c r="E4" s="2" t="s">
        <v>34</v>
      </c>
    </row>
    <row r="5" spans="2:7" x14ac:dyDescent="0.3">
      <c r="C5" t="s">
        <v>3</v>
      </c>
      <c r="D5" s="5">
        <f>D3*D4</f>
        <v>756.39200000000005</v>
      </c>
    </row>
    <row r="6" spans="2:7" x14ac:dyDescent="0.3">
      <c r="C6" t="s">
        <v>4</v>
      </c>
      <c r="D6" s="5">
        <f>559.7+152.8+3.6</f>
        <v>716.1</v>
      </c>
      <c r="E6" s="2" t="s">
        <v>34</v>
      </c>
    </row>
    <row r="7" spans="2:7" x14ac:dyDescent="0.3">
      <c r="C7" t="s">
        <v>5</v>
      </c>
      <c r="D7" s="5">
        <f>459.8</f>
        <v>459.8</v>
      </c>
      <c r="E7" s="2" t="s">
        <v>34</v>
      </c>
    </row>
    <row r="8" spans="2:7" x14ac:dyDescent="0.3">
      <c r="C8" t="s">
        <v>6</v>
      </c>
      <c r="D8" s="5">
        <f>D6-D7</f>
        <v>256.3</v>
      </c>
    </row>
    <row r="9" spans="2:7" x14ac:dyDescent="0.3">
      <c r="C9" t="s">
        <v>7</v>
      </c>
      <c r="D9" s="5">
        <f>D5-D8</f>
        <v>500.09200000000004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662DF-B3F1-4F3E-B855-50513118D1B7}">
  <dimension ref="B2:EN28"/>
  <sheetViews>
    <sheetView tabSelected="1" workbookViewId="0">
      <pane xSplit="2" ySplit="2" topLeftCell="AC3" activePane="bottomRight" state="frozen"/>
      <selection pane="topRight" activeCell="C1" sqref="C1"/>
      <selection pane="bottomLeft" activeCell="A3" sqref="A3"/>
      <selection pane="bottomRight" activeCell="AR28" sqref="AR28"/>
    </sheetView>
  </sheetViews>
  <sheetFormatPr defaultRowHeight="14.4" x14ac:dyDescent="0.3"/>
  <cols>
    <col min="2" max="2" width="21.6640625" bestFit="1" customWidth="1"/>
    <col min="3" max="10" width="8.88671875" customWidth="1"/>
    <col min="43" max="43" width="12" bestFit="1" customWidth="1"/>
    <col min="44" max="44" width="16.21875" bestFit="1" customWidth="1"/>
  </cols>
  <sheetData>
    <row r="2" spans="2:144" x14ac:dyDescent="0.3">
      <c r="C2" s="6" t="s">
        <v>48</v>
      </c>
      <c r="D2" s="6" t="s">
        <v>49</v>
      </c>
      <c r="E2" s="6" t="s">
        <v>50</v>
      </c>
      <c r="F2" s="6" t="s">
        <v>51</v>
      </c>
      <c r="G2" s="6" t="s">
        <v>36</v>
      </c>
      <c r="H2" s="6" t="s">
        <v>37</v>
      </c>
      <c r="I2" s="6" t="s">
        <v>38</v>
      </c>
      <c r="J2" s="6" t="s">
        <v>39</v>
      </c>
      <c r="K2" s="6" t="s">
        <v>25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  <c r="S2" s="6" t="s">
        <v>33</v>
      </c>
      <c r="T2" s="6" t="s">
        <v>11</v>
      </c>
      <c r="U2" s="6" t="s">
        <v>34</v>
      </c>
      <c r="V2" s="6" t="s">
        <v>35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144" s="1" customFormat="1" x14ac:dyDescent="0.3">
      <c r="B3" s="1" t="s">
        <v>12</v>
      </c>
      <c r="E3" s="8">
        <v>74.3</v>
      </c>
      <c r="F3" s="8">
        <v>79.8</v>
      </c>
      <c r="G3" s="8">
        <v>86.7</v>
      </c>
      <c r="H3" s="8">
        <v>85</v>
      </c>
      <c r="I3" s="8">
        <v>82.5</v>
      </c>
      <c r="J3" s="8">
        <v>83.1</v>
      </c>
      <c r="K3" s="8">
        <v>88</v>
      </c>
      <c r="L3" s="8">
        <v>89.4</v>
      </c>
      <c r="M3" s="8">
        <v>92.5</v>
      </c>
      <c r="N3" s="8">
        <v>91.5</v>
      </c>
      <c r="O3" s="8">
        <v>93.5</v>
      </c>
      <c r="P3" s="8">
        <v>94.7</v>
      </c>
      <c r="Q3" s="8">
        <v>99.6</v>
      </c>
      <c r="R3" s="8">
        <v>103.7</v>
      </c>
      <c r="S3" s="8">
        <v>107.2</v>
      </c>
      <c r="T3" s="8">
        <v>108.6</v>
      </c>
      <c r="U3" s="8">
        <v>107.9</v>
      </c>
      <c r="V3" s="8">
        <v>108</v>
      </c>
      <c r="X3" s="8">
        <v>75.5</v>
      </c>
      <c r="Y3" s="8">
        <v>107.1</v>
      </c>
      <c r="Z3" s="8">
        <v>189.5</v>
      </c>
      <c r="AA3" s="8">
        <v>297.7</v>
      </c>
      <c r="AB3" s="8">
        <f>SUM(G3:J3)</f>
        <v>337.29999999999995</v>
      </c>
      <c r="AC3" s="8">
        <f>SUM(K3:N3)</f>
        <v>361.4</v>
      </c>
      <c r="AD3" s="8">
        <f>SUM(O3:R3)</f>
        <v>391.49999999999994</v>
      </c>
      <c r="AE3" s="8">
        <f>SUM(S3:V3)</f>
        <v>431.70000000000005</v>
      </c>
      <c r="AF3" s="8">
        <f>AE3*1.06</f>
        <v>457.60200000000009</v>
      </c>
      <c r="AG3" s="8">
        <f>AF3*1.04</f>
        <v>475.90608000000009</v>
      </c>
      <c r="AH3" s="8">
        <f>AG3*1.03</f>
        <v>490.1832624000001</v>
      </c>
      <c r="AI3" s="8">
        <f>AH3*1.02</f>
        <v>499.98692764800012</v>
      </c>
      <c r="AJ3" s="8">
        <f t="shared" ref="AJ3:AO3" si="0">AI3*1.02</f>
        <v>509.98666620096014</v>
      </c>
      <c r="AK3" s="8">
        <f t="shared" si="0"/>
        <v>520.18639952497938</v>
      </c>
      <c r="AL3" s="8">
        <f t="shared" si="0"/>
        <v>530.59012751547903</v>
      </c>
      <c r="AM3" s="8">
        <f t="shared" si="0"/>
        <v>541.20193006578859</v>
      </c>
      <c r="AN3" s="8">
        <f t="shared" si="0"/>
        <v>552.02596866710439</v>
      </c>
      <c r="AO3" s="8">
        <f t="shared" si="0"/>
        <v>563.06648804044653</v>
      </c>
    </row>
    <row r="4" spans="2:144" x14ac:dyDescent="0.3">
      <c r="B4" t="s">
        <v>13</v>
      </c>
      <c r="E4" s="5">
        <v>12.4</v>
      </c>
      <c r="F4" s="5">
        <v>15.2</v>
      </c>
      <c r="G4" s="5">
        <v>17</v>
      </c>
      <c r="H4" s="5">
        <v>17.5</v>
      </c>
      <c r="I4" s="5">
        <v>15.6</v>
      </c>
      <c r="J4" s="5">
        <v>15.8</v>
      </c>
      <c r="K4" s="5">
        <v>15.7</v>
      </c>
      <c r="L4" s="5">
        <v>15.6</v>
      </c>
      <c r="M4" s="5">
        <v>15.1</v>
      </c>
      <c r="N4" s="5">
        <v>15.5</v>
      </c>
      <c r="O4" s="5">
        <v>15.4</v>
      </c>
      <c r="P4" s="5">
        <v>16</v>
      </c>
      <c r="Q4" s="5">
        <v>18.899999999999999</v>
      </c>
      <c r="R4" s="5">
        <v>20.2</v>
      </c>
      <c r="S4" s="5">
        <v>20.399999999999999</v>
      </c>
      <c r="T4" s="5">
        <v>20.399999999999999</v>
      </c>
      <c r="U4" s="5">
        <v>19.8</v>
      </c>
      <c r="V4" s="5">
        <f t="shared" ref="V4" si="1">V3-V5</f>
        <v>20.519999999999996</v>
      </c>
      <c r="X4" s="5">
        <v>15.6</v>
      </c>
      <c r="Y4" s="5">
        <v>22.2</v>
      </c>
      <c r="Z4" s="5">
        <v>33.200000000000003</v>
      </c>
      <c r="AA4" s="5">
        <v>51.7</v>
      </c>
      <c r="AB4" s="5">
        <f>SUM(G4:J4)</f>
        <v>65.900000000000006</v>
      </c>
      <c r="AC4" s="5">
        <f>SUM(K4:N4)</f>
        <v>61.9</v>
      </c>
      <c r="AD4" s="5">
        <f>SUM(O4:R4)</f>
        <v>70.5</v>
      </c>
      <c r="AE4" s="5">
        <f>SUM(S4:V4)</f>
        <v>81.11999999999999</v>
      </c>
      <c r="AF4" s="5">
        <f>AF3-AF5</f>
        <v>86.944379999999967</v>
      </c>
      <c r="AG4" s="5">
        <f t="shared" ref="AG4:AO4" si="2">AG3-AG5</f>
        <v>85.663094400000034</v>
      </c>
      <c r="AH4" s="5">
        <f t="shared" si="2"/>
        <v>88.232987232000028</v>
      </c>
      <c r="AI4" s="5">
        <f t="shared" si="2"/>
        <v>89.997646976640056</v>
      </c>
      <c r="AJ4" s="5">
        <f t="shared" si="2"/>
        <v>91.797599916172828</v>
      </c>
      <c r="AK4" s="5">
        <f t="shared" si="2"/>
        <v>93.633551914496309</v>
      </c>
      <c r="AL4" s="5">
        <f t="shared" si="2"/>
        <v>95.506222952786231</v>
      </c>
      <c r="AM4" s="5">
        <f t="shared" si="2"/>
        <v>97.416347411841969</v>
      </c>
      <c r="AN4" s="5">
        <f t="shared" si="2"/>
        <v>99.364674360078823</v>
      </c>
      <c r="AO4" s="5">
        <f t="shared" si="2"/>
        <v>101.35196784728038</v>
      </c>
    </row>
    <row r="5" spans="2:144" s="1" customFormat="1" x14ac:dyDescent="0.3">
      <c r="B5" s="1" t="s">
        <v>14</v>
      </c>
      <c r="E5" s="8">
        <f t="shared" ref="E5:U5" si="3">E3-E4</f>
        <v>61.9</v>
      </c>
      <c r="F5" s="8">
        <f t="shared" si="3"/>
        <v>64.599999999999994</v>
      </c>
      <c r="G5" s="8">
        <f t="shared" si="3"/>
        <v>69.7</v>
      </c>
      <c r="H5" s="8">
        <f t="shared" si="3"/>
        <v>67.5</v>
      </c>
      <c r="I5" s="8">
        <f t="shared" si="3"/>
        <v>66.900000000000006</v>
      </c>
      <c r="J5" s="8">
        <f t="shared" si="3"/>
        <v>67.3</v>
      </c>
      <c r="K5" s="8">
        <f t="shared" si="3"/>
        <v>72.3</v>
      </c>
      <c r="L5" s="8">
        <f t="shared" si="3"/>
        <v>73.800000000000011</v>
      </c>
      <c r="M5" s="8">
        <f t="shared" si="3"/>
        <v>77.400000000000006</v>
      </c>
      <c r="N5" s="8">
        <f t="shared" si="3"/>
        <v>76</v>
      </c>
      <c r="O5" s="8">
        <f t="shared" si="3"/>
        <v>78.099999999999994</v>
      </c>
      <c r="P5" s="8">
        <f t="shared" si="3"/>
        <v>78.7</v>
      </c>
      <c r="Q5" s="8">
        <f t="shared" si="3"/>
        <v>80.699999999999989</v>
      </c>
      <c r="R5" s="8">
        <f t="shared" si="3"/>
        <v>83.5</v>
      </c>
      <c r="S5" s="8">
        <f t="shared" si="3"/>
        <v>86.800000000000011</v>
      </c>
      <c r="T5" s="8">
        <f t="shared" si="3"/>
        <v>88.199999999999989</v>
      </c>
      <c r="U5" s="8">
        <f t="shared" si="3"/>
        <v>88.100000000000009</v>
      </c>
      <c r="V5" s="8">
        <f>V3*0.81</f>
        <v>87.48</v>
      </c>
      <c r="X5" s="8">
        <f t="shared" ref="X5:AE5" si="4">X3-X4</f>
        <v>59.9</v>
      </c>
      <c r="Y5" s="8">
        <f t="shared" si="4"/>
        <v>84.899999999999991</v>
      </c>
      <c r="Z5" s="8">
        <f t="shared" si="4"/>
        <v>156.30000000000001</v>
      </c>
      <c r="AA5" s="8">
        <f t="shared" si="4"/>
        <v>246</v>
      </c>
      <c r="AB5" s="8">
        <f t="shared" si="4"/>
        <v>271.39999999999998</v>
      </c>
      <c r="AC5" s="8">
        <f t="shared" si="4"/>
        <v>299.5</v>
      </c>
      <c r="AD5" s="8">
        <f t="shared" si="4"/>
        <v>320.99999999999994</v>
      </c>
      <c r="AE5" s="8">
        <f t="shared" si="4"/>
        <v>350.58000000000004</v>
      </c>
      <c r="AF5" s="8">
        <f>AF3*0.81</f>
        <v>370.65762000000012</v>
      </c>
      <c r="AG5" s="8">
        <f>AG3*0.82</f>
        <v>390.24298560000005</v>
      </c>
      <c r="AH5" s="8">
        <f t="shared" ref="AH5:AO5" si="5">AH3*0.82</f>
        <v>401.95027516800008</v>
      </c>
      <c r="AI5" s="8">
        <f t="shared" si="5"/>
        <v>409.98928067136006</v>
      </c>
      <c r="AJ5" s="8">
        <f t="shared" si="5"/>
        <v>418.18906628478732</v>
      </c>
      <c r="AK5" s="8">
        <f t="shared" si="5"/>
        <v>426.55284761048307</v>
      </c>
      <c r="AL5" s="8">
        <f t="shared" si="5"/>
        <v>435.08390456269279</v>
      </c>
      <c r="AM5" s="8">
        <f t="shared" si="5"/>
        <v>443.78558265394662</v>
      </c>
      <c r="AN5" s="8">
        <f t="shared" si="5"/>
        <v>452.66129430702557</v>
      </c>
      <c r="AO5" s="8">
        <f t="shared" si="5"/>
        <v>461.71452019316615</v>
      </c>
    </row>
    <row r="6" spans="2:144" x14ac:dyDescent="0.3">
      <c r="B6" t="s">
        <v>15</v>
      </c>
      <c r="E6" s="5">
        <v>20.5</v>
      </c>
      <c r="F6" s="5">
        <v>21.8</v>
      </c>
      <c r="G6" s="5">
        <v>23.8</v>
      </c>
      <c r="H6" s="5">
        <v>24.5</v>
      </c>
      <c r="I6" s="5">
        <v>22.9</v>
      </c>
      <c r="J6" s="5">
        <v>21.3</v>
      </c>
      <c r="K6" s="5">
        <v>21.9</v>
      </c>
      <c r="L6" s="5">
        <v>23.3</v>
      </c>
      <c r="M6" s="5">
        <v>23.5</v>
      </c>
      <c r="N6" s="5">
        <v>22.1</v>
      </c>
      <c r="O6" s="5">
        <v>23.6</v>
      </c>
      <c r="P6" s="5">
        <v>21.9</v>
      </c>
      <c r="Q6" s="5">
        <v>22.4</v>
      </c>
      <c r="R6" s="5">
        <v>22.3</v>
      </c>
      <c r="S6" s="5">
        <v>23.6</v>
      </c>
      <c r="T6" s="5">
        <v>24</v>
      </c>
      <c r="U6" s="5">
        <v>25.2</v>
      </c>
      <c r="V6" s="5">
        <f>R6*1.1</f>
        <v>24.53</v>
      </c>
      <c r="X6" s="5">
        <v>26</v>
      </c>
      <c r="Y6" s="5">
        <v>34.5</v>
      </c>
      <c r="Z6" s="5">
        <v>45.7</v>
      </c>
      <c r="AA6" s="5">
        <v>79.3</v>
      </c>
      <c r="AB6" s="5">
        <f>SUM(G6:J6)</f>
        <v>92.499999999999986</v>
      </c>
      <c r="AC6" s="5">
        <f>SUM(K6:N6)</f>
        <v>90.800000000000011</v>
      </c>
      <c r="AD6" s="5">
        <f>SUM(O6:R6)</f>
        <v>90.2</v>
      </c>
      <c r="AE6" s="5">
        <f t="shared" ref="AE6:AE9" si="6">SUM(S6:V6)</f>
        <v>97.33</v>
      </c>
      <c r="AF6" s="5">
        <f>AE6*1.08</f>
        <v>105.1164</v>
      </c>
      <c r="AG6" s="5">
        <f>AF6*1.04</f>
        <v>109.321056</v>
      </c>
      <c r="AH6" s="5">
        <f>AG6*1.03</f>
        <v>112.60068768000001</v>
      </c>
      <c r="AI6" s="5">
        <f>AH6*1.02</f>
        <v>114.8527014336</v>
      </c>
      <c r="AJ6" s="5">
        <f>AI6*1.01</f>
        <v>116.001228447936</v>
      </c>
      <c r="AK6" s="5">
        <f t="shared" ref="AK6:AO6" si="7">AJ6*1.01</f>
        <v>117.16124073241537</v>
      </c>
      <c r="AL6" s="5">
        <f t="shared" si="7"/>
        <v>118.33285313973953</v>
      </c>
      <c r="AM6" s="5">
        <f t="shared" si="7"/>
        <v>119.51618167113692</v>
      </c>
      <c r="AN6" s="5">
        <f t="shared" si="7"/>
        <v>120.7113434878483</v>
      </c>
      <c r="AO6" s="5">
        <f t="shared" si="7"/>
        <v>121.91845692272678</v>
      </c>
    </row>
    <row r="7" spans="2:144" x14ac:dyDescent="0.3">
      <c r="B7" t="s">
        <v>16</v>
      </c>
      <c r="E7" s="5">
        <v>38.4</v>
      </c>
      <c r="F7" s="5">
        <v>40.200000000000003</v>
      </c>
      <c r="G7" s="5">
        <v>47.9</v>
      </c>
      <c r="H7" s="5">
        <v>44.3</v>
      </c>
      <c r="I7" s="5">
        <v>42</v>
      </c>
      <c r="J7" s="5">
        <v>40.4</v>
      </c>
      <c r="K7" s="5">
        <v>42.1</v>
      </c>
      <c r="L7" s="5">
        <v>38.9</v>
      </c>
      <c r="M7" s="5">
        <v>40.5</v>
      </c>
      <c r="N7" s="5">
        <v>39.799999999999997</v>
      </c>
      <c r="O7" s="5">
        <v>42.2</v>
      </c>
      <c r="P7" s="5">
        <v>41.3</v>
      </c>
      <c r="Q7" s="5">
        <v>43</v>
      </c>
      <c r="R7" s="5">
        <v>45.2</v>
      </c>
      <c r="S7" s="5">
        <v>47.4</v>
      </c>
      <c r="T7" s="5">
        <v>44.8</v>
      </c>
      <c r="U7" s="5">
        <v>40.700000000000003</v>
      </c>
      <c r="V7" s="5">
        <f>V3*0.38</f>
        <v>41.04</v>
      </c>
      <c r="X7" s="5">
        <v>49.7</v>
      </c>
      <c r="Y7" s="5">
        <v>62.8</v>
      </c>
      <c r="Z7" s="5">
        <v>94.4</v>
      </c>
      <c r="AA7" s="5">
        <v>159.4</v>
      </c>
      <c r="AB7" s="5">
        <f>SUM(G7:J7)</f>
        <v>174.6</v>
      </c>
      <c r="AC7" s="5">
        <f>SUM(K7:N7)</f>
        <v>161.30000000000001</v>
      </c>
      <c r="AD7" s="5">
        <f>SUM(O7:R7)</f>
        <v>171.7</v>
      </c>
      <c r="AE7" s="5">
        <f t="shared" si="6"/>
        <v>173.93999999999997</v>
      </c>
      <c r="AF7" s="5">
        <f>AF3*0.38</f>
        <v>173.88876000000005</v>
      </c>
      <c r="AG7" s="5">
        <f>AG3*0.37</f>
        <v>176.08524960000003</v>
      </c>
      <c r="AH7" s="5">
        <f>AH3*0.36</f>
        <v>176.46597446400003</v>
      </c>
      <c r="AI7" s="5">
        <f t="shared" ref="AI7:AO7" si="8">AI3*0.36</f>
        <v>179.99529395328003</v>
      </c>
      <c r="AJ7" s="5">
        <f t="shared" si="8"/>
        <v>183.59519983234566</v>
      </c>
      <c r="AK7" s="5">
        <f t="shared" si="8"/>
        <v>187.26710382899256</v>
      </c>
      <c r="AL7" s="5">
        <f t="shared" si="8"/>
        <v>191.01244590557243</v>
      </c>
      <c r="AM7" s="5">
        <f t="shared" si="8"/>
        <v>194.83269482368388</v>
      </c>
      <c r="AN7" s="5">
        <f t="shared" si="8"/>
        <v>198.72934872015759</v>
      </c>
      <c r="AO7" s="5">
        <f t="shared" si="8"/>
        <v>202.70393569456076</v>
      </c>
    </row>
    <row r="8" spans="2:144" x14ac:dyDescent="0.3">
      <c r="B8" t="s">
        <v>17</v>
      </c>
      <c r="E8" s="5">
        <v>12.4</v>
      </c>
      <c r="F8" s="5">
        <v>16.3</v>
      </c>
      <c r="G8" s="5">
        <v>15.3</v>
      </c>
      <c r="H8" s="5">
        <v>13.7</v>
      </c>
      <c r="I8" s="5">
        <v>14.5</v>
      </c>
      <c r="J8" s="5">
        <v>7.8</v>
      </c>
      <c r="K8" s="5">
        <v>15.5</v>
      </c>
      <c r="L8" s="5">
        <v>15.6</v>
      </c>
      <c r="M8" s="5">
        <v>15.8</v>
      </c>
      <c r="N8" s="5">
        <v>15.8</v>
      </c>
      <c r="O8" s="5">
        <v>16.5</v>
      </c>
      <c r="P8" s="5">
        <v>17.8</v>
      </c>
      <c r="Q8" s="5">
        <v>18.8</v>
      </c>
      <c r="R8" s="5">
        <v>21.8</v>
      </c>
      <c r="S8" s="5">
        <v>21</v>
      </c>
      <c r="T8" s="5">
        <v>21.4</v>
      </c>
      <c r="U8" s="5">
        <v>22.2</v>
      </c>
      <c r="V8" s="5">
        <f>R8*1.1</f>
        <v>23.980000000000004</v>
      </c>
      <c r="X8" s="5">
        <v>20.6</v>
      </c>
      <c r="Y8" s="5">
        <v>22.4</v>
      </c>
      <c r="Z8" s="5">
        <v>28</v>
      </c>
      <c r="AA8" s="5">
        <v>52.6</v>
      </c>
      <c r="AB8" s="5">
        <f>SUM(G8:J8)</f>
        <v>51.3</v>
      </c>
      <c r="AC8" s="5">
        <f>SUM(K8:N8)</f>
        <v>62.7</v>
      </c>
      <c r="AD8" s="5">
        <f>SUM(O8:R8)</f>
        <v>74.899999999999991</v>
      </c>
      <c r="AE8" s="5">
        <f t="shared" si="6"/>
        <v>88.58</v>
      </c>
      <c r="AF8" s="5">
        <f>AE8*1.08</f>
        <v>95.66640000000001</v>
      </c>
      <c r="AG8" s="5">
        <f>AF8*1.03</f>
        <v>98.536392000000006</v>
      </c>
      <c r="AH8" s="5">
        <f>AG8*1.02</f>
        <v>100.50711984</v>
      </c>
      <c r="AI8" s="5">
        <f>AH8*1.01</f>
        <v>101.5121910384</v>
      </c>
      <c r="AJ8" s="5">
        <f t="shared" ref="AJ8:AO8" si="9">AI8*1.01</f>
        <v>102.527312948784</v>
      </c>
      <c r="AK8" s="5">
        <f t="shared" si="9"/>
        <v>103.55258607827184</v>
      </c>
      <c r="AL8" s="5">
        <f t="shared" si="9"/>
        <v>104.58811193905456</v>
      </c>
      <c r="AM8" s="5">
        <f t="shared" si="9"/>
        <v>105.6339930584451</v>
      </c>
      <c r="AN8" s="5">
        <f t="shared" si="9"/>
        <v>106.69033298902956</v>
      </c>
      <c r="AO8" s="5">
        <f t="shared" si="9"/>
        <v>107.75723631891985</v>
      </c>
    </row>
    <row r="9" spans="2:144" x14ac:dyDescent="0.3">
      <c r="B9" t="s">
        <v>40</v>
      </c>
      <c r="E9" s="5"/>
      <c r="F9" s="5"/>
      <c r="G9" s="5"/>
      <c r="H9" s="5">
        <v>27.6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>
        <v>0</v>
      </c>
      <c r="V9" s="5">
        <v>0</v>
      </c>
      <c r="X9" s="5">
        <v>0</v>
      </c>
      <c r="Y9" s="5">
        <v>0</v>
      </c>
      <c r="Z9" s="5">
        <v>0</v>
      </c>
      <c r="AA9" s="5">
        <v>0</v>
      </c>
      <c r="AB9" s="5">
        <f>SUM(G9:J9)</f>
        <v>27.6</v>
      </c>
      <c r="AC9" s="5">
        <f>SUM(K9:N9)</f>
        <v>0</v>
      </c>
      <c r="AD9" s="5">
        <f>SUM(O9:R9)</f>
        <v>0</v>
      </c>
      <c r="AE9" s="5">
        <f t="shared" si="6"/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</row>
    <row r="10" spans="2:144" x14ac:dyDescent="0.3">
      <c r="B10" t="s">
        <v>18</v>
      </c>
      <c r="E10" s="5">
        <f t="shared" ref="E10:L10" si="10">SUM(E6:E9)</f>
        <v>71.3</v>
      </c>
      <c r="F10" s="5">
        <f t="shared" si="10"/>
        <v>78.3</v>
      </c>
      <c r="G10" s="5">
        <f t="shared" si="10"/>
        <v>87</v>
      </c>
      <c r="H10" s="5">
        <f t="shared" si="10"/>
        <v>110.1</v>
      </c>
      <c r="I10" s="5">
        <f t="shared" si="10"/>
        <v>79.400000000000006</v>
      </c>
      <c r="J10" s="5">
        <f t="shared" si="10"/>
        <v>69.5</v>
      </c>
      <c r="K10" s="5">
        <f t="shared" si="10"/>
        <v>79.5</v>
      </c>
      <c r="L10" s="5">
        <f t="shared" si="10"/>
        <v>77.8</v>
      </c>
      <c r="M10" s="5">
        <f t="shared" ref="M10:T10" si="11">SUM(M6:M9)</f>
        <v>79.8</v>
      </c>
      <c r="N10" s="5">
        <f t="shared" si="11"/>
        <v>77.7</v>
      </c>
      <c r="O10" s="5">
        <f t="shared" si="11"/>
        <v>82.300000000000011</v>
      </c>
      <c r="P10" s="5">
        <f t="shared" si="11"/>
        <v>81</v>
      </c>
      <c r="Q10" s="5">
        <f t="shared" si="11"/>
        <v>84.2</v>
      </c>
      <c r="R10" s="5">
        <f t="shared" si="11"/>
        <v>89.3</v>
      </c>
      <c r="S10" s="5">
        <f t="shared" si="11"/>
        <v>92</v>
      </c>
      <c r="T10" s="5">
        <f t="shared" si="11"/>
        <v>90.199999999999989</v>
      </c>
      <c r="U10" s="5">
        <f t="shared" ref="U10" si="12">SUM(U6:U9)</f>
        <v>88.100000000000009</v>
      </c>
      <c r="V10" s="5">
        <f t="shared" ref="V10" si="13">SUM(V6:V9)</f>
        <v>89.55</v>
      </c>
      <c r="X10" s="5">
        <f t="shared" ref="X10:AF10" si="14">SUM(X6:X9)</f>
        <v>96.300000000000011</v>
      </c>
      <c r="Y10" s="5">
        <f t="shared" si="14"/>
        <v>119.69999999999999</v>
      </c>
      <c r="Z10" s="5">
        <f t="shared" si="14"/>
        <v>168.10000000000002</v>
      </c>
      <c r="AA10" s="5">
        <f t="shared" si="14"/>
        <v>291.3</v>
      </c>
      <c r="AB10" s="5">
        <f t="shared" si="14"/>
        <v>346</v>
      </c>
      <c r="AC10" s="5">
        <f t="shared" si="14"/>
        <v>314.8</v>
      </c>
      <c r="AD10" s="5">
        <f t="shared" si="14"/>
        <v>336.79999999999995</v>
      </c>
      <c r="AE10" s="5">
        <f t="shared" si="14"/>
        <v>359.84999999999997</v>
      </c>
      <c r="AF10" s="5">
        <f t="shared" si="14"/>
        <v>374.67156000000006</v>
      </c>
      <c r="AG10" s="5">
        <f t="shared" ref="AG10" si="15">SUM(AG6:AG9)</f>
        <v>383.94269759999997</v>
      </c>
      <c r="AH10" s="5">
        <f t="shared" ref="AH10" si="16">SUM(AH6:AH9)</f>
        <v>389.57378198399999</v>
      </c>
      <c r="AI10" s="5">
        <f t="shared" ref="AI10" si="17">SUM(AI6:AI9)</f>
        <v>396.36018642528006</v>
      </c>
      <c r="AJ10" s="5">
        <f t="shared" ref="AJ10" si="18">SUM(AJ6:AJ9)</f>
        <v>402.12374122906567</v>
      </c>
      <c r="AK10" s="5">
        <f t="shared" ref="AK10" si="19">SUM(AK6:AK9)</f>
        <v>407.98093063967974</v>
      </c>
      <c r="AL10" s="5">
        <f t="shared" ref="AL10" si="20">SUM(AL6:AL9)</f>
        <v>413.9334109843665</v>
      </c>
      <c r="AM10" s="5">
        <f t="shared" ref="AM10" si="21">SUM(AM6:AM9)</f>
        <v>419.98286955326591</v>
      </c>
      <c r="AN10" s="5">
        <f t="shared" ref="AN10" si="22">SUM(AN6:AN9)</f>
        <v>426.13102519703546</v>
      </c>
      <c r="AO10" s="5">
        <f t="shared" ref="AO10" si="23">SUM(AO6:AO9)</f>
        <v>432.37962893620738</v>
      </c>
    </row>
    <row r="11" spans="2:144" s="1" customFormat="1" x14ac:dyDescent="0.3">
      <c r="B11" s="1" t="s">
        <v>19</v>
      </c>
      <c r="E11" s="8">
        <f t="shared" ref="E11:T11" si="24">E5-E10</f>
        <v>-9.3999999999999986</v>
      </c>
      <c r="F11" s="8">
        <f t="shared" si="24"/>
        <v>-13.700000000000003</v>
      </c>
      <c r="G11" s="8">
        <f t="shared" si="24"/>
        <v>-17.299999999999997</v>
      </c>
      <c r="H11" s="8">
        <f t="shared" si="24"/>
        <v>-42.599999999999994</v>
      </c>
      <c r="I11" s="8">
        <f t="shared" si="24"/>
        <v>-12.5</v>
      </c>
      <c r="J11" s="8">
        <f t="shared" si="24"/>
        <v>-2.2000000000000028</v>
      </c>
      <c r="K11" s="8">
        <f t="shared" si="24"/>
        <v>-7.2000000000000028</v>
      </c>
      <c r="L11" s="8">
        <f t="shared" si="24"/>
        <v>-3.9999999999999858</v>
      </c>
      <c r="M11" s="8">
        <f t="shared" si="24"/>
        <v>-2.3999999999999915</v>
      </c>
      <c r="N11" s="8">
        <f t="shared" si="24"/>
        <v>-1.7000000000000028</v>
      </c>
      <c r="O11" s="8">
        <f t="shared" si="24"/>
        <v>-4.2000000000000171</v>
      </c>
      <c r="P11" s="8">
        <f t="shared" si="24"/>
        <v>-2.2999999999999972</v>
      </c>
      <c r="Q11" s="8">
        <f t="shared" si="24"/>
        <v>-3.5000000000000142</v>
      </c>
      <c r="R11" s="8">
        <f t="shared" si="24"/>
        <v>-5.7999999999999972</v>
      </c>
      <c r="S11" s="8">
        <f t="shared" si="24"/>
        <v>-5.1999999999999886</v>
      </c>
      <c r="T11" s="8">
        <f t="shared" si="24"/>
        <v>-2</v>
      </c>
      <c r="U11" s="8">
        <f t="shared" ref="U11:V11" si="25">U5-U10</f>
        <v>0</v>
      </c>
      <c r="V11" s="8">
        <f t="shared" si="25"/>
        <v>-2.0699999999999932</v>
      </c>
      <c r="X11" s="8">
        <f t="shared" ref="X11:AF11" si="26">X5-X10</f>
        <v>-36.400000000000013</v>
      </c>
      <c r="Y11" s="8">
        <f t="shared" si="26"/>
        <v>-34.799999999999997</v>
      </c>
      <c r="Z11" s="8">
        <f t="shared" si="26"/>
        <v>-11.800000000000011</v>
      </c>
      <c r="AA11" s="8">
        <f t="shared" si="26"/>
        <v>-45.300000000000011</v>
      </c>
      <c r="AB11" s="8">
        <f t="shared" si="26"/>
        <v>-74.600000000000023</v>
      </c>
      <c r="AC11" s="8">
        <f t="shared" si="26"/>
        <v>-15.300000000000011</v>
      </c>
      <c r="AD11" s="8">
        <f t="shared" si="26"/>
        <v>-15.800000000000011</v>
      </c>
      <c r="AE11" s="8">
        <f t="shared" si="26"/>
        <v>-9.269999999999925</v>
      </c>
      <c r="AF11" s="8">
        <f t="shared" si="26"/>
        <v>-4.0139399999999341</v>
      </c>
      <c r="AG11" s="8">
        <f t="shared" ref="AG11:AO11" si="27">AG5-AG10</f>
        <v>6.30028800000008</v>
      </c>
      <c r="AH11" s="8">
        <f t="shared" si="27"/>
        <v>12.376493184000083</v>
      </c>
      <c r="AI11" s="8">
        <f t="shared" si="27"/>
        <v>13.629094246080001</v>
      </c>
      <c r="AJ11" s="8">
        <f t="shared" si="27"/>
        <v>16.065325055721644</v>
      </c>
      <c r="AK11" s="8">
        <f t="shared" si="27"/>
        <v>18.571916970803329</v>
      </c>
      <c r="AL11" s="8">
        <f t="shared" si="27"/>
        <v>21.150493578326291</v>
      </c>
      <c r="AM11" s="8">
        <f t="shared" si="27"/>
        <v>23.802713100680705</v>
      </c>
      <c r="AN11" s="8">
        <f t="shared" si="27"/>
        <v>26.530269109990115</v>
      </c>
      <c r="AO11" s="8">
        <f t="shared" si="27"/>
        <v>29.33489125695877</v>
      </c>
    </row>
    <row r="12" spans="2:144" x14ac:dyDescent="0.3">
      <c r="B12" t="s">
        <v>21</v>
      </c>
      <c r="E12" s="5">
        <v>5</v>
      </c>
      <c r="F12" s="5">
        <v>5.6</v>
      </c>
      <c r="G12" s="5">
        <v>-0.2</v>
      </c>
      <c r="H12" s="5">
        <v>-0.8</v>
      </c>
      <c r="I12" s="5">
        <v>-1.2</v>
      </c>
      <c r="J12" s="5">
        <v>-1.4</v>
      </c>
      <c r="K12" s="5">
        <v>-3.1</v>
      </c>
      <c r="L12" s="5">
        <v>-4.5</v>
      </c>
      <c r="M12" s="5">
        <v>-5.7</v>
      </c>
      <c r="N12" s="5">
        <v>-6.9</v>
      </c>
      <c r="O12" s="5">
        <v>-6.7</v>
      </c>
      <c r="P12" s="5">
        <v>-8.5</v>
      </c>
      <c r="Q12" s="5">
        <v>-6.9</v>
      </c>
      <c r="R12" s="5">
        <v>-5.7</v>
      </c>
      <c r="S12" s="5">
        <v>-7.3</v>
      </c>
      <c r="T12" s="5">
        <v>-6.6</v>
      </c>
      <c r="U12" s="5">
        <v>-6.8</v>
      </c>
      <c r="V12" s="5">
        <v>-7</v>
      </c>
      <c r="X12" s="5">
        <v>-0.4</v>
      </c>
      <c r="Y12" s="5">
        <v>-1.4</v>
      </c>
      <c r="Z12" s="5">
        <v>2.8</v>
      </c>
      <c r="AA12" s="5">
        <v>19.5</v>
      </c>
      <c r="AB12" s="5">
        <f>SUM(G12:J12)</f>
        <v>-3.6</v>
      </c>
      <c r="AC12" s="5">
        <f>SUM(K12:N12)</f>
        <v>-20.200000000000003</v>
      </c>
      <c r="AD12" s="5">
        <f>SUM(O12:R12)</f>
        <v>-27.8</v>
      </c>
      <c r="AE12" s="5">
        <f>SUM(S12:V12)</f>
        <v>-27.7</v>
      </c>
      <c r="AF12" s="5">
        <f>AE12*1.05</f>
        <v>-29.085000000000001</v>
      </c>
      <c r="AG12" s="5">
        <f t="shared" ref="AG12:AO12" si="28">AF12*1.05</f>
        <v>-30.539250000000003</v>
      </c>
      <c r="AH12" s="5">
        <f t="shared" si="28"/>
        <v>-32.066212500000006</v>
      </c>
      <c r="AI12" s="5">
        <f t="shared" si="28"/>
        <v>-33.669523125000005</v>
      </c>
      <c r="AJ12" s="5">
        <f t="shared" si="28"/>
        <v>-35.352999281250007</v>
      </c>
      <c r="AK12" s="5">
        <f t="shared" si="28"/>
        <v>-37.120649245312507</v>
      </c>
      <c r="AL12" s="5">
        <f t="shared" si="28"/>
        <v>-38.97668170757813</v>
      </c>
      <c r="AM12" s="5">
        <f t="shared" si="28"/>
        <v>-40.925515792957036</v>
      </c>
      <c r="AN12" s="5">
        <f t="shared" si="28"/>
        <v>-42.971791582604887</v>
      </c>
      <c r="AO12" s="5">
        <f t="shared" si="28"/>
        <v>-45.120381161735132</v>
      </c>
    </row>
    <row r="13" spans="2:144" s="1" customFormat="1" x14ac:dyDescent="0.3">
      <c r="B13" s="1" t="s">
        <v>20</v>
      </c>
      <c r="E13" s="8">
        <f t="shared" ref="E13:T13" si="29">E11-E12</f>
        <v>-14.399999999999999</v>
      </c>
      <c r="F13" s="8">
        <f t="shared" si="29"/>
        <v>-19.300000000000004</v>
      </c>
      <c r="G13" s="8">
        <f t="shared" si="29"/>
        <v>-17.099999999999998</v>
      </c>
      <c r="H13" s="8">
        <f t="shared" si="29"/>
        <v>-41.8</v>
      </c>
      <c r="I13" s="8">
        <f t="shared" si="29"/>
        <v>-11.3</v>
      </c>
      <c r="J13" s="8">
        <f t="shared" si="29"/>
        <v>-0.80000000000000293</v>
      </c>
      <c r="K13" s="8">
        <f t="shared" si="29"/>
        <v>-4.1000000000000032</v>
      </c>
      <c r="L13" s="8">
        <f t="shared" si="29"/>
        <v>0.50000000000001421</v>
      </c>
      <c r="M13" s="8">
        <f t="shared" si="29"/>
        <v>3.3000000000000087</v>
      </c>
      <c r="N13" s="8">
        <f t="shared" si="29"/>
        <v>5.1999999999999975</v>
      </c>
      <c r="O13" s="8">
        <f t="shared" si="29"/>
        <v>2.4999999999999831</v>
      </c>
      <c r="P13" s="8">
        <f t="shared" si="29"/>
        <v>6.2000000000000028</v>
      </c>
      <c r="Q13" s="8">
        <f t="shared" si="29"/>
        <v>3.3999999999999861</v>
      </c>
      <c r="R13" s="8">
        <f t="shared" si="29"/>
        <v>-9.999999999999698E-2</v>
      </c>
      <c r="S13" s="8">
        <f t="shared" si="29"/>
        <v>2.1000000000000112</v>
      </c>
      <c r="T13" s="8">
        <f t="shared" si="29"/>
        <v>4.5999999999999996</v>
      </c>
      <c r="U13" s="8">
        <f t="shared" ref="U13:V13" si="30">U11-U12</f>
        <v>6.8</v>
      </c>
      <c r="V13" s="8">
        <f t="shared" si="30"/>
        <v>4.9300000000000068</v>
      </c>
      <c r="X13" s="8">
        <f t="shared" ref="X13:AF13" si="31">X11-X12</f>
        <v>-36.000000000000014</v>
      </c>
      <c r="Y13" s="8">
        <f t="shared" si="31"/>
        <v>-33.4</v>
      </c>
      <c r="Z13" s="8">
        <f t="shared" si="31"/>
        <v>-14.600000000000012</v>
      </c>
      <c r="AA13" s="8">
        <f t="shared" si="31"/>
        <v>-64.800000000000011</v>
      </c>
      <c r="AB13" s="8">
        <f t="shared" si="31"/>
        <v>-71.000000000000028</v>
      </c>
      <c r="AC13" s="8">
        <f t="shared" si="31"/>
        <v>4.8999999999999915</v>
      </c>
      <c r="AD13" s="8">
        <f t="shared" si="31"/>
        <v>11.999999999999989</v>
      </c>
      <c r="AE13" s="8">
        <f t="shared" si="31"/>
        <v>18.430000000000074</v>
      </c>
      <c r="AF13" s="8">
        <f t="shared" si="31"/>
        <v>25.071060000000067</v>
      </c>
      <c r="AG13" s="8">
        <f t="shared" ref="AG13:AO13" si="32">AG11-AG12</f>
        <v>36.839538000000083</v>
      </c>
      <c r="AH13" s="8">
        <f t="shared" si="32"/>
        <v>44.442705684000089</v>
      </c>
      <c r="AI13" s="8">
        <f t="shared" si="32"/>
        <v>47.298617371080006</v>
      </c>
      <c r="AJ13" s="8">
        <f t="shared" si="32"/>
        <v>51.418324336971651</v>
      </c>
      <c r="AK13" s="8">
        <f t="shared" si="32"/>
        <v>55.692566216115836</v>
      </c>
      <c r="AL13" s="8">
        <f t="shared" si="32"/>
        <v>60.127175285904421</v>
      </c>
      <c r="AM13" s="8">
        <f t="shared" si="32"/>
        <v>64.728228893637748</v>
      </c>
      <c r="AN13" s="8">
        <f t="shared" si="32"/>
        <v>69.502060692594995</v>
      </c>
      <c r="AO13" s="8">
        <f t="shared" si="32"/>
        <v>74.455272418693909</v>
      </c>
    </row>
    <row r="14" spans="2:144" x14ac:dyDescent="0.3">
      <c r="B14" t="s">
        <v>22</v>
      </c>
      <c r="E14" s="5">
        <v>0.1</v>
      </c>
      <c r="F14" s="5">
        <v>0</v>
      </c>
      <c r="G14" s="5">
        <v>0</v>
      </c>
      <c r="H14" s="5">
        <v>0.1</v>
      </c>
      <c r="I14" s="5">
        <v>0</v>
      </c>
      <c r="J14" s="5">
        <v>0.5</v>
      </c>
      <c r="K14" s="5">
        <v>0.2</v>
      </c>
      <c r="L14" s="5">
        <v>0.3</v>
      </c>
      <c r="M14" s="5">
        <v>0.3</v>
      </c>
      <c r="N14" s="5">
        <v>0.6</v>
      </c>
      <c r="O14" s="5">
        <v>1.7</v>
      </c>
      <c r="P14" s="5">
        <v>2.9</v>
      </c>
      <c r="Q14" s="5">
        <v>2.1</v>
      </c>
      <c r="R14" s="5">
        <v>-13.1</v>
      </c>
      <c r="S14" s="5">
        <v>1.3</v>
      </c>
      <c r="T14" s="5">
        <v>1.4</v>
      </c>
      <c r="U14" s="5">
        <v>1.4</v>
      </c>
      <c r="V14" s="5">
        <v>2</v>
      </c>
      <c r="X14" s="5">
        <v>0</v>
      </c>
      <c r="Y14" s="5">
        <v>0.2</v>
      </c>
      <c r="Z14" s="5">
        <v>0.2</v>
      </c>
      <c r="AA14" s="5">
        <v>0.2</v>
      </c>
      <c r="AB14" s="5">
        <f>SUM(G14:J14)</f>
        <v>0.6</v>
      </c>
      <c r="AC14" s="5">
        <f>SUM(K14:N14)</f>
        <v>1.4</v>
      </c>
      <c r="AD14" s="5">
        <f>SUM(O14:R14)</f>
        <v>-6.4</v>
      </c>
      <c r="AE14" s="5">
        <f>SUM(S14:V14)</f>
        <v>6.1</v>
      </c>
      <c r="AF14" s="5">
        <f>AF13*0.15</f>
        <v>3.7606590000000097</v>
      </c>
      <c r="AG14" s="5">
        <f t="shared" ref="AG14:AO14" si="33">AG13*0.15</f>
        <v>5.5259307000000124</v>
      </c>
      <c r="AH14" s="5">
        <f t="shared" si="33"/>
        <v>6.6664058526000129</v>
      </c>
      <c r="AI14" s="5">
        <f t="shared" si="33"/>
        <v>7.0947926056620005</v>
      </c>
      <c r="AJ14" s="5">
        <f t="shared" si="33"/>
        <v>7.7127486505457474</v>
      </c>
      <c r="AK14" s="5">
        <f t="shared" si="33"/>
        <v>8.3538849324173743</v>
      </c>
      <c r="AL14" s="5">
        <f t="shared" si="33"/>
        <v>9.0190762928856625</v>
      </c>
      <c r="AM14" s="5">
        <f t="shared" si="33"/>
        <v>9.7092343340456626</v>
      </c>
      <c r="AN14" s="5">
        <f t="shared" si="33"/>
        <v>10.42530910388925</v>
      </c>
      <c r="AO14" s="5">
        <f t="shared" si="33"/>
        <v>11.168290862804087</v>
      </c>
    </row>
    <row r="15" spans="2:144" s="1" customFormat="1" x14ac:dyDescent="0.3">
      <c r="B15" s="1" t="s">
        <v>23</v>
      </c>
      <c r="E15" s="8">
        <f t="shared" ref="E15:T15" si="34">E13-E14</f>
        <v>-14.499999999999998</v>
      </c>
      <c r="F15" s="8">
        <f t="shared" si="34"/>
        <v>-19.300000000000004</v>
      </c>
      <c r="G15" s="8">
        <f t="shared" si="34"/>
        <v>-17.099999999999998</v>
      </c>
      <c r="H15" s="8">
        <f t="shared" si="34"/>
        <v>-41.9</v>
      </c>
      <c r="I15" s="8">
        <f t="shared" si="34"/>
        <v>-11.3</v>
      </c>
      <c r="J15" s="8">
        <f t="shared" si="34"/>
        <v>-1.3000000000000029</v>
      </c>
      <c r="K15" s="8">
        <f t="shared" si="34"/>
        <v>-4.3000000000000034</v>
      </c>
      <c r="L15" s="8">
        <f t="shared" si="34"/>
        <v>0.20000000000001422</v>
      </c>
      <c r="M15" s="8">
        <f t="shared" si="34"/>
        <v>3.0000000000000089</v>
      </c>
      <c r="N15" s="8">
        <f t="shared" si="34"/>
        <v>4.5999999999999979</v>
      </c>
      <c r="O15" s="8">
        <f t="shared" si="34"/>
        <v>0.79999999999998317</v>
      </c>
      <c r="P15" s="8">
        <f t="shared" si="34"/>
        <v>3.3000000000000029</v>
      </c>
      <c r="Q15" s="8">
        <f t="shared" si="34"/>
        <v>1.2999999999999861</v>
      </c>
      <c r="R15" s="8">
        <f t="shared" si="34"/>
        <v>13.000000000000004</v>
      </c>
      <c r="S15" s="8">
        <f t="shared" si="34"/>
        <v>0.80000000000001115</v>
      </c>
      <c r="T15" s="8">
        <f t="shared" si="34"/>
        <v>3.1999999999999997</v>
      </c>
      <c r="U15" s="8">
        <f t="shared" ref="U15:V15" si="35">U13-U14</f>
        <v>5.4</v>
      </c>
      <c r="V15" s="8">
        <f t="shared" si="35"/>
        <v>2.9300000000000068</v>
      </c>
      <c r="X15" s="8">
        <f t="shared" ref="X15:AF15" si="36">X13-X14</f>
        <v>-36.000000000000014</v>
      </c>
      <c r="Y15" s="8">
        <f t="shared" si="36"/>
        <v>-33.6</v>
      </c>
      <c r="Z15" s="8">
        <f t="shared" si="36"/>
        <v>-14.800000000000011</v>
      </c>
      <c r="AA15" s="8">
        <f t="shared" si="36"/>
        <v>-65.000000000000014</v>
      </c>
      <c r="AB15" s="8">
        <f t="shared" si="36"/>
        <v>-71.600000000000023</v>
      </c>
      <c r="AC15" s="8">
        <f t="shared" si="36"/>
        <v>3.4999999999999916</v>
      </c>
      <c r="AD15" s="8">
        <f t="shared" si="36"/>
        <v>18.399999999999991</v>
      </c>
      <c r="AE15" s="8">
        <f t="shared" si="36"/>
        <v>12.330000000000075</v>
      </c>
      <c r="AF15" s="8">
        <f t="shared" si="36"/>
        <v>21.310401000000056</v>
      </c>
      <c r="AG15" s="8">
        <f t="shared" ref="AG15:AO15" si="37">AG13-AG14</f>
        <v>31.313607300000072</v>
      </c>
      <c r="AH15" s="8">
        <f t="shared" si="37"/>
        <v>37.776299831400074</v>
      </c>
      <c r="AI15" s="8">
        <f t="shared" si="37"/>
        <v>40.203824765418005</v>
      </c>
      <c r="AJ15" s="8">
        <f t="shared" si="37"/>
        <v>43.705575686425902</v>
      </c>
      <c r="AK15" s="8">
        <f t="shared" si="37"/>
        <v>47.338681283698463</v>
      </c>
      <c r="AL15" s="8">
        <f t="shared" si="37"/>
        <v>51.108098993018757</v>
      </c>
      <c r="AM15" s="8">
        <f t="shared" si="37"/>
        <v>55.018994559592088</v>
      </c>
      <c r="AN15" s="8">
        <f t="shared" si="37"/>
        <v>59.076751588705747</v>
      </c>
      <c r="AO15" s="8">
        <f t="shared" si="37"/>
        <v>63.286981555889824</v>
      </c>
      <c r="AP15" s="1">
        <f>AO15*(1+$AR$20)</f>
        <v>62.654111740330926</v>
      </c>
      <c r="AQ15" s="1">
        <f t="shared" ref="AQ15:DB15" si="38">AP15*(1+$AR$20)</f>
        <v>62.027570622927612</v>
      </c>
      <c r="AR15" s="1">
        <f t="shared" si="38"/>
        <v>61.407294916698334</v>
      </c>
      <c r="AS15" s="1">
        <f t="shared" si="38"/>
        <v>60.793221967531352</v>
      </c>
      <c r="AT15" s="1">
        <f t="shared" si="38"/>
        <v>60.185289747856039</v>
      </c>
      <c r="AU15" s="1">
        <f t="shared" si="38"/>
        <v>59.583436850377481</v>
      </c>
      <c r="AV15" s="1">
        <f t="shared" si="38"/>
        <v>58.987602481873708</v>
      </c>
      <c r="AW15" s="1">
        <f t="shared" si="38"/>
        <v>58.397726457054972</v>
      </c>
      <c r="AX15" s="1">
        <f t="shared" si="38"/>
        <v>57.813749192484423</v>
      </c>
      <c r="AY15" s="1">
        <f t="shared" si="38"/>
        <v>57.235611700559581</v>
      </c>
      <c r="AZ15" s="1">
        <f t="shared" si="38"/>
        <v>56.663255583553983</v>
      </c>
      <c r="BA15" s="1">
        <f t="shared" si="38"/>
        <v>56.096623027718444</v>
      </c>
      <c r="BB15" s="1">
        <f t="shared" si="38"/>
        <v>55.535656797441256</v>
      </c>
      <c r="BC15" s="1">
        <f t="shared" si="38"/>
        <v>54.980300229466842</v>
      </c>
      <c r="BD15" s="1">
        <f t="shared" si="38"/>
        <v>54.430497227172175</v>
      </c>
      <c r="BE15" s="1">
        <f t="shared" si="38"/>
        <v>53.88619225490045</v>
      </c>
      <c r="BF15" s="1">
        <f t="shared" si="38"/>
        <v>53.347330332351447</v>
      </c>
      <c r="BG15" s="1">
        <f t="shared" si="38"/>
        <v>52.813857029027929</v>
      </c>
      <c r="BH15" s="1">
        <f t="shared" si="38"/>
        <v>52.285718458737648</v>
      </c>
      <c r="BI15" s="1">
        <f t="shared" si="38"/>
        <v>51.762861274150268</v>
      </c>
      <c r="BJ15" s="1">
        <f t="shared" si="38"/>
        <v>51.245232661408764</v>
      </c>
      <c r="BK15" s="1">
        <f t="shared" si="38"/>
        <v>50.732780334794676</v>
      </c>
      <c r="BL15" s="1">
        <f t="shared" si="38"/>
        <v>50.225452531446727</v>
      </c>
      <c r="BM15" s="1">
        <f t="shared" si="38"/>
        <v>49.723198006132257</v>
      </c>
      <c r="BN15" s="1">
        <f t="shared" si="38"/>
        <v>49.225966026070935</v>
      </c>
      <c r="BO15" s="1">
        <f t="shared" si="38"/>
        <v>48.733706365810228</v>
      </c>
      <c r="BP15" s="1">
        <f t="shared" si="38"/>
        <v>48.246369302152125</v>
      </c>
      <c r="BQ15" s="1">
        <f t="shared" si="38"/>
        <v>47.763905609130603</v>
      </c>
      <c r="BR15" s="1">
        <f t="shared" si="38"/>
        <v>47.286266553039297</v>
      </c>
      <c r="BS15" s="1">
        <f t="shared" si="38"/>
        <v>46.813403887508905</v>
      </c>
      <c r="BT15" s="1">
        <f t="shared" si="38"/>
        <v>46.345269848633812</v>
      </c>
      <c r="BU15" s="1">
        <f t="shared" si="38"/>
        <v>45.881817150147477</v>
      </c>
      <c r="BV15" s="1">
        <f t="shared" si="38"/>
        <v>45.422998978646</v>
      </c>
      <c r="BW15" s="1">
        <f t="shared" si="38"/>
        <v>44.968768988859537</v>
      </c>
      <c r="BX15" s="1">
        <f t="shared" si="38"/>
        <v>44.519081298970939</v>
      </c>
      <c r="BY15" s="1">
        <f t="shared" si="38"/>
        <v>44.073890485981231</v>
      </c>
      <c r="BZ15" s="1">
        <f t="shared" si="38"/>
        <v>43.633151581121417</v>
      </c>
      <c r="CA15" s="1">
        <f t="shared" si="38"/>
        <v>43.196820065310206</v>
      </c>
      <c r="CB15" s="1">
        <f t="shared" si="38"/>
        <v>42.764851864657103</v>
      </c>
      <c r="CC15" s="1">
        <f t="shared" si="38"/>
        <v>42.337203346010533</v>
      </c>
      <c r="CD15" s="1">
        <f t="shared" si="38"/>
        <v>41.913831312550428</v>
      </c>
      <c r="CE15" s="1">
        <f t="shared" si="38"/>
        <v>41.49469299942492</v>
      </c>
      <c r="CF15" s="1">
        <f t="shared" si="38"/>
        <v>41.079746069430669</v>
      </c>
      <c r="CG15" s="1">
        <f t="shared" si="38"/>
        <v>40.668948608736365</v>
      </c>
      <c r="CH15" s="1">
        <f t="shared" si="38"/>
        <v>40.262259122648999</v>
      </c>
      <c r="CI15" s="1">
        <f t="shared" si="38"/>
        <v>39.85963653142251</v>
      </c>
      <c r="CJ15" s="1">
        <f t="shared" si="38"/>
        <v>39.461040166108283</v>
      </c>
      <c r="CK15" s="1">
        <f t="shared" si="38"/>
        <v>39.0664297644472</v>
      </c>
      <c r="CL15" s="1">
        <f t="shared" si="38"/>
        <v>38.67576546680273</v>
      </c>
      <c r="CM15" s="1">
        <f t="shared" si="38"/>
        <v>38.289007812134699</v>
      </c>
      <c r="CN15" s="1">
        <f t="shared" si="38"/>
        <v>37.90611773401335</v>
      </c>
      <c r="CO15" s="1">
        <f t="shared" si="38"/>
        <v>37.527056556673216</v>
      </c>
      <c r="CP15" s="1">
        <f t="shared" si="38"/>
        <v>37.151785991106486</v>
      </c>
      <c r="CQ15" s="1">
        <f t="shared" si="38"/>
        <v>36.78026813119542</v>
      </c>
      <c r="CR15" s="1">
        <f t="shared" si="38"/>
        <v>36.412465449883463</v>
      </c>
      <c r="CS15" s="1">
        <f t="shared" si="38"/>
        <v>36.048340795384625</v>
      </c>
      <c r="CT15" s="1">
        <f t="shared" si="38"/>
        <v>35.687857387430782</v>
      </c>
      <c r="CU15" s="1">
        <f t="shared" si="38"/>
        <v>35.33097881355647</v>
      </c>
      <c r="CV15" s="1">
        <f t="shared" si="38"/>
        <v>34.977669025420909</v>
      </c>
      <c r="CW15" s="1">
        <f t="shared" si="38"/>
        <v>34.627892335166699</v>
      </c>
      <c r="CX15" s="1">
        <f t="shared" si="38"/>
        <v>34.28161341181503</v>
      </c>
      <c r="CY15" s="1">
        <f t="shared" si="38"/>
        <v>33.938797277696878</v>
      </c>
      <c r="CZ15" s="1">
        <f t="shared" si="38"/>
        <v>33.599409304919909</v>
      </c>
      <c r="DA15" s="1">
        <f t="shared" si="38"/>
        <v>33.263415211870708</v>
      </c>
      <c r="DB15" s="1">
        <f t="shared" si="38"/>
        <v>32.930781059752</v>
      </c>
      <c r="DC15" s="1">
        <f t="shared" ref="DC15:EN15" si="39">DB15*(1+$AR$20)</f>
        <v>32.601473249154481</v>
      </c>
      <c r="DD15" s="1">
        <f t="shared" si="39"/>
        <v>32.275458516662937</v>
      </c>
      <c r="DE15" s="1">
        <f t="shared" si="39"/>
        <v>31.952703931496306</v>
      </c>
      <c r="DF15" s="1">
        <f t="shared" si="39"/>
        <v>31.633176892181343</v>
      </c>
      <c r="DG15" s="1">
        <f t="shared" si="39"/>
        <v>31.31684512325953</v>
      </c>
      <c r="DH15" s="1">
        <f t="shared" si="39"/>
        <v>31.003676672026934</v>
      </c>
      <c r="DI15" s="1">
        <f t="shared" si="39"/>
        <v>30.693639905306664</v>
      </c>
      <c r="DJ15" s="1">
        <f t="shared" si="39"/>
        <v>30.386703506253596</v>
      </c>
      <c r="DK15" s="1">
        <f t="shared" si="39"/>
        <v>30.082836471191062</v>
      </c>
      <c r="DL15" s="1">
        <f t="shared" si="39"/>
        <v>29.78200810647915</v>
      </c>
      <c r="DM15" s="1">
        <f t="shared" si="39"/>
        <v>29.484188025414358</v>
      </c>
      <c r="DN15" s="1">
        <f t="shared" si="39"/>
        <v>29.189346145160215</v>
      </c>
      <c r="DO15" s="1">
        <f t="shared" si="39"/>
        <v>28.897452683708611</v>
      </c>
      <c r="DP15" s="1">
        <f t="shared" si="39"/>
        <v>28.608478156871524</v>
      </c>
      <c r="DQ15" s="1">
        <f t="shared" si="39"/>
        <v>28.322393375302809</v>
      </c>
      <c r="DR15" s="1">
        <f t="shared" si="39"/>
        <v>28.039169441549781</v>
      </c>
      <c r="DS15" s="1">
        <f t="shared" si="39"/>
        <v>27.758777747134282</v>
      </c>
      <c r="DT15" s="1">
        <f t="shared" si="39"/>
        <v>27.481189969662939</v>
      </c>
      <c r="DU15" s="1">
        <f t="shared" si="39"/>
        <v>27.206378069966309</v>
      </c>
      <c r="DV15" s="1">
        <f t="shared" si="39"/>
        <v>26.934314289266645</v>
      </c>
      <c r="DW15" s="1">
        <f t="shared" si="39"/>
        <v>26.664971146373979</v>
      </c>
      <c r="DX15" s="1">
        <f t="shared" si="39"/>
        <v>26.39832143491024</v>
      </c>
      <c r="DY15" s="1">
        <f t="shared" si="39"/>
        <v>26.134338220561137</v>
      </c>
      <c r="DZ15" s="1">
        <f t="shared" si="39"/>
        <v>25.872994838355524</v>
      </c>
      <c r="EA15" s="1">
        <f t="shared" si="39"/>
        <v>25.614264889971967</v>
      </c>
      <c r="EB15" s="1">
        <f t="shared" si="39"/>
        <v>25.358122241072248</v>
      </c>
      <c r="EC15" s="1">
        <f t="shared" si="39"/>
        <v>25.104541018661525</v>
      </c>
      <c r="ED15" s="1">
        <f t="shared" si="39"/>
        <v>24.853495608474908</v>
      </c>
      <c r="EE15" s="1">
        <f t="shared" si="39"/>
        <v>24.604960652390158</v>
      </c>
      <c r="EF15" s="1">
        <f t="shared" si="39"/>
        <v>24.358911045866257</v>
      </c>
      <c r="EG15" s="1">
        <f t="shared" si="39"/>
        <v>24.115321935407593</v>
      </c>
      <c r="EH15" s="1">
        <f t="shared" si="39"/>
        <v>23.874168716053518</v>
      </c>
      <c r="EI15" s="1">
        <f t="shared" si="39"/>
        <v>23.635427028892984</v>
      </c>
      <c r="EJ15" s="1">
        <f t="shared" si="39"/>
        <v>23.399072758604053</v>
      </c>
      <c r="EK15" s="1">
        <f t="shared" si="39"/>
        <v>23.165082031018013</v>
      </c>
      <c r="EL15" s="1">
        <f t="shared" si="39"/>
        <v>22.933431210707834</v>
      </c>
      <c r="EM15" s="1">
        <f t="shared" si="39"/>
        <v>22.704096898600756</v>
      </c>
      <c r="EN15" s="1">
        <f t="shared" si="39"/>
        <v>22.47705592961475</v>
      </c>
    </row>
    <row r="16" spans="2:144" x14ac:dyDescent="0.3">
      <c r="B16" t="s">
        <v>2</v>
      </c>
      <c r="E16" s="5">
        <f t="shared" ref="E16:T16" si="40">36.6</f>
        <v>36.6</v>
      </c>
      <c r="F16" s="5">
        <f t="shared" si="40"/>
        <v>36.6</v>
      </c>
      <c r="G16" s="5">
        <f t="shared" si="40"/>
        <v>36.6</v>
      </c>
      <c r="H16" s="5">
        <f t="shared" si="40"/>
        <v>36.6</v>
      </c>
      <c r="I16" s="5">
        <f t="shared" si="40"/>
        <v>36.6</v>
      </c>
      <c r="J16" s="5">
        <f t="shared" si="40"/>
        <v>36.6</v>
      </c>
      <c r="K16" s="5">
        <f t="shared" si="40"/>
        <v>36.6</v>
      </c>
      <c r="L16" s="5">
        <f t="shared" si="40"/>
        <v>36.6</v>
      </c>
      <c r="M16" s="5">
        <f t="shared" si="40"/>
        <v>36.6</v>
      </c>
      <c r="N16" s="5">
        <f t="shared" si="40"/>
        <v>36.6</v>
      </c>
      <c r="O16" s="5">
        <f t="shared" si="40"/>
        <v>36.6</v>
      </c>
      <c r="P16" s="5">
        <f t="shared" si="40"/>
        <v>36.6</v>
      </c>
      <c r="Q16" s="5">
        <f t="shared" si="40"/>
        <v>36.6</v>
      </c>
      <c r="R16" s="5">
        <f t="shared" si="40"/>
        <v>36.6</v>
      </c>
      <c r="S16" s="5">
        <f t="shared" si="40"/>
        <v>36.6</v>
      </c>
      <c r="T16" s="5">
        <f t="shared" si="40"/>
        <v>36.6</v>
      </c>
      <c r="U16" s="5">
        <f>36.4</f>
        <v>36.4</v>
      </c>
      <c r="V16" s="5">
        <f>36.4</f>
        <v>36.4</v>
      </c>
      <c r="X16" s="5">
        <f t="shared" ref="X16:AD16" si="41">36.6</f>
        <v>36.6</v>
      </c>
      <c r="Y16" s="5">
        <f t="shared" si="41"/>
        <v>36.6</v>
      </c>
      <c r="Z16" s="5">
        <f t="shared" si="41"/>
        <v>36.6</v>
      </c>
      <c r="AA16" s="5">
        <f t="shared" si="41"/>
        <v>36.6</v>
      </c>
      <c r="AB16" s="5">
        <f t="shared" si="41"/>
        <v>36.6</v>
      </c>
      <c r="AC16" s="5">
        <f t="shared" si="41"/>
        <v>36.6</v>
      </c>
      <c r="AD16" s="5">
        <f t="shared" si="41"/>
        <v>36.6</v>
      </c>
      <c r="AE16" s="5">
        <f t="shared" ref="AE16:AO16" si="42">36.4</f>
        <v>36.4</v>
      </c>
      <c r="AF16" s="5">
        <f t="shared" si="42"/>
        <v>36.4</v>
      </c>
      <c r="AG16" s="5">
        <f t="shared" si="42"/>
        <v>36.4</v>
      </c>
      <c r="AH16" s="5">
        <f t="shared" si="42"/>
        <v>36.4</v>
      </c>
      <c r="AI16" s="5">
        <f t="shared" si="42"/>
        <v>36.4</v>
      </c>
      <c r="AJ16" s="5">
        <f t="shared" si="42"/>
        <v>36.4</v>
      </c>
      <c r="AK16" s="5">
        <f t="shared" si="42"/>
        <v>36.4</v>
      </c>
      <c r="AL16" s="5">
        <f t="shared" si="42"/>
        <v>36.4</v>
      </c>
      <c r="AM16" s="5">
        <f t="shared" si="42"/>
        <v>36.4</v>
      </c>
      <c r="AN16" s="5">
        <f t="shared" si="42"/>
        <v>36.4</v>
      </c>
      <c r="AO16" s="5">
        <f t="shared" si="42"/>
        <v>36.4</v>
      </c>
    </row>
    <row r="17" spans="2:44" x14ac:dyDescent="0.3">
      <c r="B17" t="s">
        <v>24</v>
      </c>
      <c r="E17" s="7">
        <f t="shared" ref="E17:T17" si="43">E15/E16</f>
        <v>-0.39617486338797808</v>
      </c>
      <c r="F17" s="7">
        <f t="shared" si="43"/>
        <v>-0.52732240437158484</v>
      </c>
      <c r="G17" s="7">
        <f t="shared" si="43"/>
        <v>-0.46721311475409827</v>
      </c>
      <c r="H17" s="7">
        <f t="shared" si="43"/>
        <v>-1.1448087431693987</v>
      </c>
      <c r="I17" s="7">
        <f t="shared" si="43"/>
        <v>-0.30874316939890711</v>
      </c>
      <c r="J17" s="7">
        <f t="shared" si="43"/>
        <v>-3.551912568306019E-2</v>
      </c>
      <c r="K17" s="7">
        <f t="shared" si="43"/>
        <v>-0.1174863387978143</v>
      </c>
      <c r="L17" s="7">
        <f t="shared" si="43"/>
        <v>5.4644808743173285E-3</v>
      </c>
      <c r="M17" s="7">
        <f t="shared" si="43"/>
        <v>8.1967213114754342E-2</v>
      </c>
      <c r="N17" s="7">
        <f t="shared" si="43"/>
        <v>0.12568306010928956</v>
      </c>
      <c r="O17" s="7">
        <f t="shared" si="43"/>
        <v>2.1857923497267298E-2</v>
      </c>
      <c r="P17" s="7">
        <f t="shared" si="43"/>
        <v>9.0163934426229581E-2</v>
      </c>
      <c r="Q17" s="7">
        <f t="shared" si="43"/>
        <v>3.5519125683059725E-2</v>
      </c>
      <c r="R17" s="7">
        <f t="shared" si="43"/>
        <v>0.35519125683060115</v>
      </c>
      <c r="S17" s="7">
        <f t="shared" si="43"/>
        <v>2.1857923497268065E-2</v>
      </c>
      <c r="T17" s="7">
        <f t="shared" si="43"/>
        <v>8.7431693989071024E-2</v>
      </c>
      <c r="U17" s="7">
        <f t="shared" ref="U17:V17" si="44">U15/U16</f>
        <v>0.14835164835164838</v>
      </c>
      <c r="V17" s="7">
        <f t="shared" si="44"/>
        <v>8.049450549450568E-2</v>
      </c>
      <c r="X17" s="7">
        <f t="shared" ref="X17:AF17" si="45">X15/X16</f>
        <v>-0.9836065573770495</v>
      </c>
      <c r="Y17" s="7">
        <f t="shared" si="45"/>
        <v>-0.91803278688524592</v>
      </c>
      <c r="Z17" s="7">
        <f t="shared" si="45"/>
        <v>-0.40437158469945383</v>
      </c>
      <c r="AA17" s="7">
        <f t="shared" si="45"/>
        <v>-1.7759562841530059</v>
      </c>
      <c r="AB17" s="7">
        <f t="shared" si="45"/>
        <v>-1.9562841530054651</v>
      </c>
      <c r="AC17" s="7">
        <f t="shared" si="45"/>
        <v>9.5628415300546207E-2</v>
      </c>
      <c r="AD17" s="7">
        <f t="shared" si="45"/>
        <v>0.50273224043715825</v>
      </c>
      <c r="AE17" s="7">
        <f t="shared" si="45"/>
        <v>0.33873626373626581</v>
      </c>
      <c r="AF17" s="7">
        <f t="shared" si="45"/>
        <v>0.58545057692307845</v>
      </c>
      <c r="AG17" s="7">
        <f t="shared" ref="AG17:AO17" si="46">AG15/AG16</f>
        <v>0.8602639368131888</v>
      </c>
      <c r="AH17" s="7">
        <f t="shared" si="46"/>
        <v>1.0378104349285735</v>
      </c>
      <c r="AI17" s="7">
        <f t="shared" si="46"/>
        <v>1.1045006803686266</v>
      </c>
      <c r="AJ17" s="7">
        <f t="shared" si="46"/>
        <v>1.2007026287479643</v>
      </c>
      <c r="AK17" s="7">
        <f t="shared" si="46"/>
        <v>1.3005132220796281</v>
      </c>
      <c r="AL17" s="7">
        <f t="shared" si="46"/>
        <v>1.4040686536543616</v>
      </c>
      <c r="AM17" s="7">
        <f t="shared" si="46"/>
        <v>1.5115108395492332</v>
      </c>
      <c r="AN17" s="7">
        <f t="shared" si="46"/>
        <v>1.6229876810083996</v>
      </c>
      <c r="AO17" s="7">
        <f t="shared" si="46"/>
        <v>1.7386533394475228</v>
      </c>
    </row>
    <row r="19" spans="2:44" x14ac:dyDescent="0.3">
      <c r="B19" t="s">
        <v>41</v>
      </c>
      <c r="E19" s="9"/>
      <c r="F19" s="9"/>
      <c r="G19" s="9"/>
      <c r="H19" s="9"/>
      <c r="I19" s="9">
        <f t="shared" ref="I19" si="47">I3/E3-1</f>
        <v>0.11036339165545095</v>
      </c>
      <c r="J19" s="9">
        <f t="shared" ref="J19" si="48">J3/F3-1</f>
        <v>4.1353383458646586E-2</v>
      </c>
      <c r="K19" s="9">
        <f t="shared" ref="K19:S19" si="49">K3/G3-1</f>
        <v>1.4994232987312506E-2</v>
      </c>
      <c r="L19" s="9">
        <f t="shared" si="49"/>
        <v>5.1764705882352935E-2</v>
      </c>
      <c r="M19" s="9">
        <f t="shared" ref="M19" si="50">M3/I3-1</f>
        <v>0.1212121212121211</v>
      </c>
      <c r="N19" s="9">
        <f t="shared" ref="N19" si="51">N3/J3-1</f>
        <v>0.10108303249097483</v>
      </c>
      <c r="O19" s="9">
        <f t="shared" si="49"/>
        <v>6.25E-2</v>
      </c>
      <c r="P19" s="9">
        <f t="shared" si="49"/>
        <v>5.9284116331096204E-2</v>
      </c>
      <c r="Q19" s="9">
        <f t="shared" si="49"/>
        <v>7.6756756756756639E-2</v>
      </c>
      <c r="R19" s="9">
        <f t="shared" si="49"/>
        <v>0.1333333333333333</v>
      </c>
      <c r="S19" s="9">
        <f t="shared" si="49"/>
        <v>0.14652406417112296</v>
      </c>
      <c r="T19" s="9">
        <f>T3/P3-1</f>
        <v>0.14677930306230191</v>
      </c>
      <c r="U19" s="9">
        <f t="shared" ref="U19:V19" si="52">U3/Q3-1</f>
        <v>8.3333333333333481E-2</v>
      </c>
      <c r="V19" s="9">
        <f t="shared" si="52"/>
        <v>4.1465766634522616E-2</v>
      </c>
      <c r="X19" s="9"/>
      <c r="Y19" s="9">
        <f t="shared" ref="Y19:AD19" si="53">Y3/X3-1</f>
        <v>0.41854304635761586</v>
      </c>
      <c r="Z19" s="9">
        <f t="shared" si="53"/>
        <v>0.76937441643324012</v>
      </c>
      <c r="AA19" s="9">
        <f t="shared" si="53"/>
        <v>0.57097625329815305</v>
      </c>
      <c r="AB19" s="9">
        <f t="shared" si="53"/>
        <v>0.13301981860933809</v>
      </c>
      <c r="AC19" s="9">
        <f t="shared" si="53"/>
        <v>7.1449747998814095E-2</v>
      </c>
      <c r="AD19" s="9">
        <f t="shared" si="53"/>
        <v>8.3287216380741436E-2</v>
      </c>
      <c r="AE19" s="9">
        <f>AE3/AD3-1</f>
        <v>0.10268199233716513</v>
      </c>
      <c r="AF19" s="9">
        <f t="shared" ref="AF19:AO19" si="54">AF3/AE3-1</f>
        <v>6.0000000000000053E-2</v>
      </c>
      <c r="AG19" s="9">
        <f t="shared" si="54"/>
        <v>4.0000000000000036E-2</v>
      </c>
      <c r="AH19" s="9">
        <f t="shared" si="54"/>
        <v>3.0000000000000027E-2</v>
      </c>
      <c r="AI19" s="9">
        <f t="shared" si="54"/>
        <v>2.0000000000000018E-2</v>
      </c>
      <c r="AJ19" s="9">
        <f t="shared" si="54"/>
        <v>2.0000000000000018E-2</v>
      </c>
      <c r="AK19" s="9">
        <f t="shared" si="54"/>
        <v>2.0000000000000018E-2</v>
      </c>
      <c r="AL19" s="9">
        <f t="shared" si="54"/>
        <v>2.0000000000000018E-2</v>
      </c>
      <c r="AM19" s="9">
        <f t="shared" si="54"/>
        <v>2.0000000000000018E-2</v>
      </c>
      <c r="AN19" s="9">
        <f t="shared" si="54"/>
        <v>2.0000000000000018E-2</v>
      </c>
      <c r="AO19" s="9">
        <f t="shared" si="54"/>
        <v>2.0000000000000018E-2</v>
      </c>
    </row>
    <row r="20" spans="2:44" x14ac:dyDescent="0.3">
      <c r="B20" t="s">
        <v>42</v>
      </c>
      <c r="E20" s="9">
        <f t="shared" ref="E20:J20" si="55">E5/E3</f>
        <v>0.83310901749663524</v>
      </c>
      <c r="F20" s="9">
        <f t="shared" si="55"/>
        <v>0.80952380952380953</v>
      </c>
      <c r="G20" s="9">
        <f t="shared" si="55"/>
        <v>0.80392156862745101</v>
      </c>
      <c r="H20" s="9">
        <f t="shared" si="55"/>
        <v>0.79411764705882348</v>
      </c>
      <c r="I20" s="9">
        <f t="shared" si="55"/>
        <v>0.81090909090909102</v>
      </c>
      <c r="J20" s="9">
        <f t="shared" si="55"/>
        <v>0.80986762936221424</v>
      </c>
      <c r="K20" s="9">
        <f t="shared" ref="K20:S20" si="56">K5/K3</f>
        <v>0.82159090909090904</v>
      </c>
      <c r="L20" s="9">
        <f t="shared" si="56"/>
        <v>0.82550335570469802</v>
      </c>
      <c r="M20" s="9">
        <f t="shared" ref="M20:N20" si="57">M5/M3</f>
        <v>0.83675675675675687</v>
      </c>
      <c r="N20" s="9">
        <f t="shared" si="57"/>
        <v>0.8306010928961749</v>
      </c>
      <c r="O20" s="9">
        <f t="shared" si="56"/>
        <v>0.83529411764705874</v>
      </c>
      <c r="P20" s="9">
        <f t="shared" si="56"/>
        <v>0.83104540654699055</v>
      </c>
      <c r="Q20" s="9">
        <f t="shared" si="56"/>
        <v>0.81024096385542166</v>
      </c>
      <c r="R20" s="9">
        <f t="shared" si="56"/>
        <v>0.80520732883317259</v>
      </c>
      <c r="S20" s="9">
        <f t="shared" si="56"/>
        <v>0.80970149253731349</v>
      </c>
      <c r="T20" s="9">
        <f>T5/T3</f>
        <v>0.81215469613259661</v>
      </c>
      <c r="U20" s="9">
        <f t="shared" ref="U20:V20" si="58">U5/U3</f>
        <v>0.81649675625579243</v>
      </c>
      <c r="V20" s="9">
        <f t="shared" si="58"/>
        <v>0.81</v>
      </c>
      <c r="X20" s="9">
        <f t="shared" ref="X20:AD20" si="59">X5/X3</f>
        <v>0.79337748344370862</v>
      </c>
      <c r="Y20" s="9">
        <f t="shared" si="59"/>
        <v>0.79271708683473385</v>
      </c>
      <c r="Z20" s="9">
        <f t="shared" si="59"/>
        <v>0.82480211081794197</v>
      </c>
      <c r="AA20" s="9">
        <f t="shared" si="59"/>
        <v>0.82633523681558618</v>
      </c>
      <c r="AB20" s="9">
        <f t="shared" si="59"/>
        <v>0.80462496294100216</v>
      </c>
      <c r="AC20" s="9">
        <f t="shared" si="59"/>
        <v>0.82872163807415611</v>
      </c>
      <c r="AD20" s="9">
        <f t="shared" si="59"/>
        <v>0.8199233716475095</v>
      </c>
      <c r="AE20" s="9">
        <f t="shared" ref="AE20:AO20" si="60">AE5/AE3</f>
        <v>0.81209173036831128</v>
      </c>
      <c r="AF20" s="9">
        <f t="shared" si="60"/>
        <v>0.81000000000000016</v>
      </c>
      <c r="AG20" s="9">
        <f t="shared" si="60"/>
        <v>0.82</v>
      </c>
      <c r="AH20" s="9">
        <f t="shared" si="60"/>
        <v>0.82</v>
      </c>
      <c r="AI20" s="9">
        <f t="shared" si="60"/>
        <v>0.82</v>
      </c>
      <c r="AJ20" s="9">
        <f t="shared" si="60"/>
        <v>0.82</v>
      </c>
      <c r="AK20" s="9">
        <f t="shared" si="60"/>
        <v>0.82</v>
      </c>
      <c r="AL20" s="9">
        <f t="shared" si="60"/>
        <v>0.82</v>
      </c>
      <c r="AM20" s="9">
        <f t="shared" si="60"/>
        <v>0.82</v>
      </c>
      <c r="AN20" s="9">
        <f t="shared" si="60"/>
        <v>0.82</v>
      </c>
      <c r="AO20" s="9">
        <f t="shared" si="60"/>
        <v>0.82</v>
      </c>
      <c r="AQ20" t="s">
        <v>52</v>
      </c>
      <c r="AR20" s="9">
        <v>-0.01</v>
      </c>
    </row>
    <row r="21" spans="2:44" x14ac:dyDescent="0.3">
      <c r="B21" t="s">
        <v>43</v>
      </c>
      <c r="E21" s="9"/>
      <c r="F21" s="9"/>
      <c r="G21" s="9"/>
      <c r="H21" s="9"/>
      <c r="I21" s="9">
        <f t="shared" ref="I21" si="61">I6/E6-1</f>
        <v>0.1170731707317072</v>
      </c>
      <c r="J21" s="9">
        <f t="shared" ref="J21" si="62">J6/F6-1</f>
        <v>-2.2935779816513735E-2</v>
      </c>
      <c r="K21" s="9">
        <f t="shared" ref="K21:S21" si="63">K6/G6-1</f>
        <v>-7.9831932773109293E-2</v>
      </c>
      <c r="L21" s="9">
        <f t="shared" si="63"/>
        <v>-4.8979591836734615E-2</v>
      </c>
      <c r="M21" s="9">
        <f t="shared" ref="M21" si="64">M6/I6-1</f>
        <v>2.6200873362445476E-2</v>
      </c>
      <c r="N21" s="9">
        <f t="shared" ref="N21" si="65">N6/J6-1</f>
        <v>3.7558685446009488E-2</v>
      </c>
      <c r="O21" s="9">
        <f t="shared" si="63"/>
        <v>7.762557077625587E-2</v>
      </c>
      <c r="P21" s="9">
        <f t="shared" si="63"/>
        <v>-6.0085836909871349E-2</v>
      </c>
      <c r="Q21" s="9">
        <f t="shared" si="63"/>
        <v>-4.680851063829794E-2</v>
      </c>
      <c r="R21" s="9">
        <f t="shared" si="63"/>
        <v>9.0497737556560764E-3</v>
      </c>
      <c r="S21" s="9">
        <f t="shared" si="63"/>
        <v>0</v>
      </c>
      <c r="T21" s="9">
        <f>T6/P6-1</f>
        <v>9.5890410958904271E-2</v>
      </c>
      <c r="U21" s="9">
        <f t="shared" ref="U21:V21" si="66">U6/Q6-1</f>
        <v>0.125</v>
      </c>
      <c r="V21" s="9">
        <f t="shared" si="66"/>
        <v>0.10000000000000009</v>
      </c>
      <c r="X21" s="9"/>
      <c r="Y21" s="9">
        <f t="shared" ref="Y21:AD21" si="67">Y6/X6-1</f>
        <v>0.32692307692307687</v>
      </c>
      <c r="Z21" s="9">
        <f t="shared" si="67"/>
        <v>0.32463768115942027</v>
      </c>
      <c r="AA21" s="9">
        <f t="shared" si="67"/>
        <v>0.73522975929978096</v>
      </c>
      <c r="AB21" s="9">
        <f t="shared" si="67"/>
        <v>0.16645649432534659</v>
      </c>
      <c r="AC21" s="9">
        <f t="shared" si="67"/>
        <v>-1.837837837837808E-2</v>
      </c>
      <c r="AD21" s="9">
        <f t="shared" si="67"/>
        <v>-6.6079295154185536E-3</v>
      </c>
      <c r="AE21" s="9">
        <f>AE6/AD6-1</f>
        <v>7.9046563192904706E-2</v>
      </c>
      <c r="AF21" s="9">
        <f t="shared" ref="AF21:AO21" si="68">AF6/AE6-1</f>
        <v>8.0000000000000071E-2</v>
      </c>
      <c r="AG21" s="9">
        <f t="shared" si="68"/>
        <v>4.0000000000000036E-2</v>
      </c>
      <c r="AH21" s="9">
        <f t="shared" si="68"/>
        <v>3.0000000000000027E-2</v>
      </c>
      <c r="AI21" s="9">
        <f t="shared" si="68"/>
        <v>2.0000000000000018E-2</v>
      </c>
      <c r="AJ21" s="9">
        <f t="shared" si="68"/>
        <v>1.0000000000000009E-2</v>
      </c>
      <c r="AK21" s="9">
        <f t="shared" si="68"/>
        <v>1.0000000000000009E-2</v>
      </c>
      <c r="AL21" s="9">
        <f t="shared" si="68"/>
        <v>1.0000000000000009E-2</v>
      </c>
      <c r="AM21" s="9">
        <f t="shared" si="68"/>
        <v>1.0000000000000009E-2</v>
      </c>
      <c r="AN21" s="9">
        <f t="shared" si="68"/>
        <v>1.0000000000000009E-2</v>
      </c>
      <c r="AO21" s="9">
        <f t="shared" si="68"/>
        <v>1.0000000000000009E-2</v>
      </c>
      <c r="AQ21" t="s">
        <v>53</v>
      </c>
      <c r="AR21" s="9">
        <v>0.11</v>
      </c>
    </row>
    <row r="22" spans="2:44" x14ac:dyDescent="0.3">
      <c r="B22" t="s">
        <v>44</v>
      </c>
      <c r="E22" s="9">
        <f t="shared" ref="E22:J22" si="69">E7/E3</f>
        <v>0.51682368775235532</v>
      </c>
      <c r="F22" s="9">
        <f t="shared" si="69"/>
        <v>0.50375939849624063</v>
      </c>
      <c r="G22" s="9">
        <f t="shared" si="69"/>
        <v>0.55247981545559399</v>
      </c>
      <c r="H22" s="9">
        <f t="shared" si="69"/>
        <v>0.52117647058823524</v>
      </c>
      <c r="I22" s="9">
        <f t="shared" si="69"/>
        <v>0.50909090909090904</v>
      </c>
      <c r="J22" s="9">
        <f t="shared" si="69"/>
        <v>0.4861612515042118</v>
      </c>
      <c r="K22" s="9">
        <f t="shared" ref="K22:S22" si="70">K7/K3</f>
        <v>0.47840909090909095</v>
      </c>
      <c r="L22" s="9">
        <f t="shared" si="70"/>
        <v>0.43512304250559281</v>
      </c>
      <c r="M22" s="9">
        <f t="shared" ref="M22:N22" si="71">M7/M3</f>
        <v>0.43783783783783786</v>
      </c>
      <c r="N22" s="9">
        <f t="shared" si="71"/>
        <v>0.43497267759562841</v>
      </c>
      <c r="O22" s="9">
        <f t="shared" si="70"/>
        <v>0.45133689839572194</v>
      </c>
      <c r="P22" s="9">
        <f t="shared" si="70"/>
        <v>0.43611404435058077</v>
      </c>
      <c r="Q22" s="9">
        <f t="shared" si="70"/>
        <v>0.43172690763052213</v>
      </c>
      <c r="R22" s="9">
        <f t="shared" si="70"/>
        <v>0.4358727097396336</v>
      </c>
      <c r="S22" s="9">
        <f t="shared" si="70"/>
        <v>0.44216417910447758</v>
      </c>
      <c r="T22" s="9">
        <f>T7/T3</f>
        <v>0.41252302025782689</v>
      </c>
      <c r="U22" s="9">
        <f t="shared" ref="U22:V22" si="72">U7/U3</f>
        <v>0.37720111214087121</v>
      </c>
      <c r="V22" s="9">
        <f t="shared" si="72"/>
        <v>0.38</v>
      </c>
      <c r="X22" s="9">
        <f t="shared" ref="X22:AD22" si="73">X7/X3</f>
        <v>0.65827814569536425</v>
      </c>
      <c r="Y22" s="9">
        <f t="shared" si="73"/>
        <v>0.58636788048552757</v>
      </c>
      <c r="Z22" s="9">
        <f t="shared" si="73"/>
        <v>0.49815303430079161</v>
      </c>
      <c r="AA22" s="9">
        <f t="shared" si="73"/>
        <v>0.5354383607658717</v>
      </c>
      <c r="AB22" s="9">
        <f t="shared" si="73"/>
        <v>0.51764008301215536</v>
      </c>
      <c r="AC22" s="9">
        <f t="shared" si="73"/>
        <v>0.44631986718317662</v>
      </c>
      <c r="AD22" s="9">
        <f t="shared" si="73"/>
        <v>0.43856960408684548</v>
      </c>
      <c r="AE22" s="9">
        <f t="shared" ref="AE22:AO22" si="74">AE7/AE3</f>
        <v>0.40291869353717846</v>
      </c>
      <c r="AF22" s="9">
        <f t="shared" si="74"/>
        <v>0.38</v>
      </c>
      <c r="AG22" s="9">
        <f t="shared" si="74"/>
        <v>0.37</v>
      </c>
      <c r="AH22" s="9">
        <f t="shared" si="74"/>
        <v>0.36</v>
      </c>
      <c r="AI22" s="9">
        <f t="shared" si="74"/>
        <v>0.36</v>
      </c>
      <c r="AJ22" s="9">
        <f t="shared" si="74"/>
        <v>0.36</v>
      </c>
      <c r="AK22" s="9">
        <f t="shared" si="74"/>
        <v>0.36</v>
      </c>
      <c r="AL22" s="9">
        <f t="shared" si="74"/>
        <v>0.36</v>
      </c>
      <c r="AM22" s="9">
        <f t="shared" si="74"/>
        <v>0.36</v>
      </c>
      <c r="AN22" s="9">
        <f t="shared" si="74"/>
        <v>0.36</v>
      </c>
      <c r="AO22" s="9">
        <f t="shared" si="74"/>
        <v>0.36</v>
      </c>
      <c r="AQ22" t="s">
        <v>54</v>
      </c>
      <c r="AR22" s="5">
        <f>NPV(AR21,AE15:EN15)</f>
        <v>396.44084226881779</v>
      </c>
    </row>
    <row r="23" spans="2:44" x14ac:dyDescent="0.3">
      <c r="B23" t="s">
        <v>45</v>
      </c>
      <c r="E23" s="9"/>
      <c r="F23" s="9"/>
      <c r="G23" s="9"/>
      <c r="H23" s="9"/>
      <c r="I23" s="9">
        <f t="shared" ref="I23" si="75">I8/E8-1</f>
        <v>0.16935483870967749</v>
      </c>
      <c r="J23" s="9">
        <f t="shared" ref="J23" si="76">J8/F8-1</f>
        <v>-0.52147239263803691</v>
      </c>
      <c r="K23" s="9">
        <f t="shared" ref="K23:S23" si="77">K8/G8-1</f>
        <v>1.3071895424836555E-2</v>
      </c>
      <c r="L23" s="9">
        <f t="shared" si="77"/>
        <v>0.13868613138686126</v>
      </c>
      <c r="M23" s="9">
        <f t="shared" ref="M23" si="78">M8/I8-1</f>
        <v>8.9655172413793061E-2</v>
      </c>
      <c r="N23" s="9">
        <f t="shared" ref="N23" si="79">N8/J8-1</f>
        <v>1.025641025641026</v>
      </c>
      <c r="O23" s="9">
        <f t="shared" si="77"/>
        <v>6.4516129032258007E-2</v>
      </c>
      <c r="P23" s="9">
        <f t="shared" si="77"/>
        <v>0.14102564102564119</v>
      </c>
      <c r="Q23" s="9">
        <f t="shared" si="77"/>
        <v>0.18987341772151889</v>
      </c>
      <c r="R23" s="9">
        <f t="shared" si="77"/>
        <v>0.379746835443038</v>
      </c>
      <c r="S23" s="9">
        <f t="shared" si="77"/>
        <v>0.27272727272727271</v>
      </c>
      <c r="T23" s="9">
        <f>T8/P8-1</f>
        <v>0.20224719101123578</v>
      </c>
      <c r="U23" s="9">
        <f t="shared" ref="U23:V23" si="80">U8/Q8-1</f>
        <v>0.18085106382978711</v>
      </c>
      <c r="V23" s="9">
        <f t="shared" si="80"/>
        <v>0.10000000000000009</v>
      </c>
      <c r="X23" s="9"/>
      <c r="Y23" s="9">
        <f t="shared" ref="Y23:AD23" si="81">Y8/X8-1</f>
        <v>8.737864077669899E-2</v>
      </c>
      <c r="Z23" s="9">
        <f t="shared" si="81"/>
        <v>0.25</v>
      </c>
      <c r="AA23" s="9">
        <f t="shared" si="81"/>
        <v>0.87857142857142856</v>
      </c>
      <c r="AB23" s="9">
        <f t="shared" si="81"/>
        <v>-2.4714828897338448E-2</v>
      </c>
      <c r="AC23" s="9">
        <f t="shared" si="81"/>
        <v>0.22222222222222232</v>
      </c>
      <c r="AD23" s="9">
        <f t="shared" si="81"/>
        <v>0.19457735247208907</v>
      </c>
      <c r="AE23" s="9">
        <f>AE8/AD8-1</f>
        <v>0.18264352469959966</v>
      </c>
      <c r="AF23" s="9">
        <f t="shared" ref="AF23:AO23" si="82">AF8/AE8-1</f>
        <v>8.0000000000000071E-2</v>
      </c>
      <c r="AG23" s="9">
        <f t="shared" si="82"/>
        <v>3.0000000000000027E-2</v>
      </c>
      <c r="AH23" s="9">
        <f t="shared" si="82"/>
        <v>2.0000000000000018E-2</v>
      </c>
      <c r="AI23" s="9">
        <f t="shared" si="82"/>
        <v>1.0000000000000009E-2</v>
      </c>
      <c r="AJ23" s="9">
        <f t="shared" si="82"/>
        <v>1.0000000000000009E-2</v>
      </c>
      <c r="AK23" s="9">
        <f t="shared" si="82"/>
        <v>1.0000000000000009E-2</v>
      </c>
      <c r="AL23" s="9">
        <f t="shared" si="82"/>
        <v>1.0000000000000009E-2</v>
      </c>
      <c r="AM23" s="9">
        <f t="shared" si="82"/>
        <v>1.0000000000000009E-2</v>
      </c>
      <c r="AN23" s="9">
        <f t="shared" si="82"/>
        <v>1.0000000000000009E-2</v>
      </c>
      <c r="AO23" s="9">
        <f t="shared" si="82"/>
        <v>1.0000000000000009E-2</v>
      </c>
      <c r="AQ23" t="s">
        <v>55</v>
      </c>
      <c r="AR23" s="5">
        <f>Main!D8</f>
        <v>256.3</v>
      </c>
    </row>
    <row r="24" spans="2:44" x14ac:dyDescent="0.3">
      <c r="B24" t="s">
        <v>46</v>
      </c>
      <c r="E24" s="9">
        <f t="shared" ref="E24:J24" si="83">E11/E3</f>
        <v>-0.12651413189771196</v>
      </c>
      <c r="F24" s="9">
        <f t="shared" si="83"/>
        <v>-0.17167919799498751</v>
      </c>
      <c r="G24" s="9">
        <f t="shared" si="83"/>
        <v>-0.19953863898500573</v>
      </c>
      <c r="H24" s="9">
        <f t="shared" si="83"/>
        <v>-0.50117647058823522</v>
      </c>
      <c r="I24" s="9">
        <f t="shared" si="83"/>
        <v>-0.15151515151515152</v>
      </c>
      <c r="J24" s="9">
        <f t="shared" si="83"/>
        <v>-2.6474127557160086E-2</v>
      </c>
      <c r="K24" s="9">
        <f t="shared" ref="K24:S24" si="84">K11/K3</f>
        <v>-8.1818181818181845E-2</v>
      </c>
      <c r="L24" s="9">
        <f t="shared" si="84"/>
        <v>-4.4742729306487532E-2</v>
      </c>
      <c r="M24" s="9">
        <f t="shared" ref="M24:N24" si="85">M11/M3</f>
        <v>-2.5945945945945854E-2</v>
      </c>
      <c r="N24" s="9">
        <f t="shared" si="85"/>
        <v>-1.8579234972677626E-2</v>
      </c>
      <c r="O24" s="9">
        <f t="shared" si="84"/>
        <v>-4.4919786096256867E-2</v>
      </c>
      <c r="P24" s="9">
        <f t="shared" si="84"/>
        <v>-2.4287222808870086E-2</v>
      </c>
      <c r="Q24" s="9">
        <f t="shared" si="84"/>
        <v>-3.5140562248996129E-2</v>
      </c>
      <c r="R24" s="9">
        <f t="shared" si="84"/>
        <v>-5.5930568948891E-2</v>
      </c>
      <c r="S24" s="9">
        <f t="shared" si="84"/>
        <v>-4.8507462686567054E-2</v>
      </c>
      <c r="T24" s="9">
        <f>T11/T3</f>
        <v>-1.841620626151013E-2</v>
      </c>
      <c r="U24" s="9">
        <f t="shared" ref="U24:V24" si="86">U11/U3</f>
        <v>0</v>
      </c>
      <c r="V24" s="9">
        <f t="shared" si="86"/>
        <v>-1.9166666666666603E-2</v>
      </c>
      <c r="X24" s="9">
        <f t="shared" ref="X24:AD24" si="87">X11/X3</f>
        <v>-0.48211920529801339</v>
      </c>
      <c r="Y24" s="9">
        <f t="shared" si="87"/>
        <v>-0.32492997198879553</v>
      </c>
      <c r="Z24" s="9">
        <f t="shared" si="87"/>
        <v>-6.2269129287599007E-2</v>
      </c>
      <c r="AA24" s="9">
        <f t="shared" si="87"/>
        <v>-0.15216661068189458</v>
      </c>
      <c r="AB24" s="9">
        <f t="shared" si="87"/>
        <v>-0.22116809961458653</v>
      </c>
      <c r="AC24" s="9">
        <f t="shared" si="87"/>
        <v>-4.2335362479247407E-2</v>
      </c>
      <c r="AD24" s="9">
        <f t="shared" si="87"/>
        <v>-4.0357598978288667E-2</v>
      </c>
      <c r="AE24" s="9">
        <f t="shared" ref="AE24:AO24" si="88">AE11/AE3</f>
        <v>-2.1473245309242352E-2</v>
      </c>
      <c r="AF24" s="9">
        <f t="shared" si="88"/>
        <v>-8.7716836901935158E-3</v>
      </c>
      <c r="AG24" s="9">
        <f t="shared" si="88"/>
        <v>1.3238511262558527E-2</v>
      </c>
      <c r="AH24" s="9">
        <f t="shared" si="88"/>
        <v>2.5248706215310546E-2</v>
      </c>
      <c r="AI24" s="9">
        <f t="shared" si="88"/>
        <v>2.7258901168062399E-2</v>
      </c>
      <c r="AJ24" s="9">
        <f t="shared" si="88"/>
        <v>3.1501460960532461E-2</v>
      </c>
      <c r="AK24" s="9">
        <f t="shared" si="88"/>
        <v>3.5702427029546943E-2</v>
      </c>
      <c r="AL24" s="9">
        <f t="shared" si="88"/>
        <v>3.9862207156708289E-2</v>
      </c>
      <c r="AM24" s="9">
        <f t="shared" si="88"/>
        <v>4.3981205125760071E-2</v>
      </c>
      <c r="AN24" s="9">
        <f t="shared" si="88"/>
        <v>4.8059820761781988E-2</v>
      </c>
      <c r="AO24" s="9">
        <f t="shared" si="88"/>
        <v>5.2098449969999933E-2</v>
      </c>
      <c r="AQ24" t="s">
        <v>56</v>
      </c>
      <c r="AR24" s="5">
        <f>AR22+AR23</f>
        <v>652.7408422688178</v>
      </c>
    </row>
    <row r="25" spans="2:44" x14ac:dyDescent="0.3">
      <c r="B25" t="s">
        <v>22</v>
      </c>
      <c r="E25" s="9">
        <f t="shared" ref="E25:J25" si="89">E14/E13</f>
        <v>-6.9444444444444458E-3</v>
      </c>
      <c r="F25" s="9">
        <f t="shared" si="89"/>
        <v>0</v>
      </c>
      <c r="G25" s="9">
        <f t="shared" si="89"/>
        <v>0</v>
      </c>
      <c r="H25" s="9">
        <f t="shared" si="89"/>
        <v>-2.3923444976076558E-3</v>
      </c>
      <c r="I25" s="9">
        <f t="shared" si="89"/>
        <v>0</v>
      </c>
      <c r="J25" s="9">
        <f t="shared" si="89"/>
        <v>-0.62499999999999767</v>
      </c>
      <c r="K25" s="9">
        <f t="shared" ref="K25:S25" si="90">K14/K13</f>
        <v>-4.8780487804878016E-2</v>
      </c>
      <c r="L25" s="9">
        <f t="shared" si="90"/>
        <v>0.59999999999998288</v>
      </c>
      <c r="M25" s="9">
        <f t="shared" ref="M25:N25" si="91">M14/M13</f>
        <v>9.0909090909090662E-2</v>
      </c>
      <c r="N25" s="9">
        <f t="shared" si="91"/>
        <v>0.11538461538461543</v>
      </c>
      <c r="O25" s="9">
        <f t="shared" si="90"/>
        <v>0.6800000000000046</v>
      </c>
      <c r="P25" s="9">
        <f t="shared" si="90"/>
        <v>0.46774193548387072</v>
      </c>
      <c r="Q25" s="9">
        <f t="shared" si="90"/>
        <v>0.61764705882353199</v>
      </c>
      <c r="R25" s="9">
        <f t="shared" si="90"/>
        <v>131.00000000000395</v>
      </c>
      <c r="S25" s="9">
        <f t="shared" si="90"/>
        <v>0.61904761904761574</v>
      </c>
      <c r="T25" s="9">
        <f>T14/T13</f>
        <v>0.30434782608695654</v>
      </c>
      <c r="U25" s="9">
        <f t="shared" ref="U25:V25" si="92">U14/U13</f>
        <v>0.20588235294117646</v>
      </c>
      <c r="V25" s="9">
        <f t="shared" si="92"/>
        <v>0.40567951318458362</v>
      </c>
      <c r="X25" s="9">
        <f t="shared" ref="X25:AD25" si="93">X14/X13</f>
        <v>0</v>
      </c>
      <c r="Y25" s="9">
        <f t="shared" si="93"/>
        <v>-5.9880239520958087E-3</v>
      </c>
      <c r="Z25" s="9">
        <f t="shared" si="93"/>
        <v>-1.369863013698629E-2</v>
      </c>
      <c r="AA25" s="9">
        <f t="shared" si="93"/>
        <v>-3.0864197530864196E-3</v>
      </c>
      <c r="AB25" s="9">
        <f t="shared" si="93"/>
        <v>-8.4507042253521084E-3</v>
      </c>
      <c r="AC25" s="9">
        <f t="shared" si="93"/>
        <v>0.2857142857142862</v>
      </c>
      <c r="AD25" s="9">
        <f t="shared" si="93"/>
        <v>-0.53333333333333388</v>
      </c>
      <c r="AE25" s="9">
        <f t="shared" ref="AE25:AO25" si="94">AE14/AE13</f>
        <v>0.33098209441128457</v>
      </c>
      <c r="AF25" s="9">
        <f t="shared" si="94"/>
        <v>0.15</v>
      </c>
      <c r="AG25" s="9">
        <f t="shared" si="94"/>
        <v>0.15</v>
      </c>
      <c r="AH25" s="9">
        <f t="shared" si="94"/>
        <v>0.15</v>
      </c>
      <c r="AI25" s="9">
        <f t="shared" si="94"/>
        <v>0.15</v>
      </c>
      <c r="AJ25" s="9">
        <f t="shared" si="94"/>
        <v>0.15</v>
      </c>
      <c r="AK25" s="9">
        <f t="shared" si="94"/>
        <v>0.15</v>
      </c>
      <c r="AL25" s="9">
        <f t="shared" si="94"/>
        <v>0.15</v>
      </c>
      <c r="AM25" s="9">
        <f t="shared" si="94"/>
        <v>0.15</v>
      </c>
      <c r="AN25" s="9">
        <f t="shared" si="94"/>
        <v>0.15</v>
      </c>
      <c r="AO25" s="9">
        <f t="shared" si="94"/>
        <v>0.15</v>
      </c>
      <c r="AQ25" t="s">
        <v>57</v>
      </c>
      <c r="AR25" s="4">
        <f>AR24/AO16</f>
        <v>17.932440721670819</v>
      </c>
    </row>
    <row r="26" spans="2:44" x14ac:dyDescent="0.3">
      <c r="B26" t="s">
        <v>47</v>
      </c>
      <c r="E26" s="9">
        <f t="shared" ref="E26:J26" si="95">E15/E3</f>
        <v>-0.19515477792732167</v>
      </c>
      <c r="F26" s="9">
        <f t="shared" si="95"/>
        <v>-0.24185463659147877</v>
      </c>
      <c r="G26" s="9">
        <f t="shared" si="95"/>
        <v>-0.19723183391003457</v>
      </c>
      <c r="H26" s="9">
        <f t="shared" si="95"/>
        <v>-0.49294117647058822</v>
      </c>
      <c r="I26" s="9">
        <f t="shared" si="95"/>
        <v>-0.13696969696969699</v>
      </c>
      <c r="J26" s="9">
        <f t="shared" si="95"/>
        <v>-1.5643802647412792E-2</v>
      </c>
      <c r="K26" s="9">
        <f t="shared" ref="K26:S26" si="96">K15/K3</f>
        <v>-4.8863636363636401E-2</v>
      </c>
      <c r="L26" s="9">
        <f t="shared" si="96"/>
        <v>2.2371364653245439E-3</v>
      </c>
      <c r="M26" s="9">
        <f t="shared" ref="M26:N26" si="97">M15/M3</f>
        <v>3.2432432432432531E-2</v>
      </c>
      <c r="N26" s="9">
        <f t="shared" si="97"/>
        <v>5.0273224043715821E-2</v>
      </c>
      <c r="O26" s="9">
        <f t="shared" si="96"/>
        <v>8.5561497326201406E-3</v>
      </c>
      <c r="P26" s="9">
        <f t="shared" si="96"/>
        <v>3.4846884899683239E-2</v>
      </c>
      <c r="Q26" s="9">
        <f t="shared" si="96"/>
        <v>1.3052208835341226E-2</v>
      </c>
      <c r="R26" s="9">
        <f t="shared" si="96"/>
        <v>0.12536162005785925</v>
      </c>
      <c r="S26" s="9">
        <f t="shared" si="96"/>
        <v>7.462686567164283E-3</v>
      </c>
      <c r="T26" s="9">
        <f>T15/T3</f>
        <v>2.9465930018416204E-2</v>
      </c>
      <c r="U26" s="9">
        <f t="shared" ref="U26:V26" si="98">U15/U3</f>
        <v>5.0046339202965709E-2</v>
      </c>
      <c r="V26" s="9">
        <f t="shared" si="98"/>
        <v>2.7129629629629694E-2</v>
      </c>
      <c r="X26" s="9">
        <f t="shared" ref="X26:AD26" si="99">X15/X3</f>
        <v>-0.47682119205298035</v>
      </c>
      <c r="Y26" s="9">
        <f t="shared" si="99"/>
        <v>-0.31372549019607848</v>
      </c>
      <c r="Z26" s="9">
        <f t="shared" si="99"/>
        <v>-7.8100263852242807E-2</v>
      </c>
      <c r="AA26" s="9">
        <f t="shared" si="99"/>
        <v>-0.21834061135371186</v>
      </c>
      <c r="AB26" s="9">
        <f t="shared" si="99"/>
        <v>-0.21227394011265946</v>
      </c>
      <c r="AC26" s="9">
        <f t="shared" si="99"/>
        <v>9.6845600442722526E-3</v>
      </c>
      <c r="AD26" s="9">
        <f t="shared" si="99"/>
        <v>4.6998722860791813E-2</v>
      </c>
      <c r="AE26" s="9">
        <f t="shared" ref="AE26:AO26" si="100">AE15/AE3</f>
        <v>2.8561501042390719E-2</v>
      </c>
      <c r="AF26" s="9">
        <f t="shared" si="100"/>
        <v>4.6569728716220761E-2</v>
      </c>
      <c r="AG26" s="9">
        <f t="shared" si="100"/>
        <v>6.5797871924645437E-2</v>
      </c>
      <c r="AH26" s="9">
        <f t="shared" si="100"/>
        <v>7.7065666515095735E-2</v>
      </c>
      <c r="AI26" s="9">
        <f t="shared" si="100"/>
        <v>8.0409751819996045E-2</v>
      </c>
      <c r="AJ26" s="9">
        <f t="shared" si="100"/>
        <v>8.5699447814982149E-2</v>
      </c>
      <c r="AK26" s="9">
        <f t="shared" si="100"/>
        <v>9.1003304444189442E-2</v>
      </c>
      <c r="AL26" s="9">
        <f t="shared" si="100"/>
        <v>9.6323124654308173E-2</v>
      </c>
      <c r="AM26" s="9">
        <f t="shared" si="100"/>
        <v>0.1016607508271524</v>
      </c>
      <c r="AN26" s="9">
        <f t="shared" si="100"/>
        <v>0.10701806607277853</v>
      </c>
      <c r="AO26" s="9">
        <f t="shared" si="100"/>
        <v>0.11239699555933039</v>
      </c>
      <c r="AQ26" t="s">
        <v>58</v>
      </c>
      <c r="AR26" s="4">
        <f>Main!D3</f>
        <v>20.78</v>
      </c>
    </row>
    <row r="27" spans="2:44" x14ac:dyDescent="0.3">
      <c r="AQ27" s="1" t="s">
        <v>59</v>
      </c>
      <c r="AR27" s="10">
        <f>AR25/AR26-1</f>
        <v>-0.13703365150766034</v>
      </c>
    </row>
    <row r="28" spans="2:44" x14ac:dyDescent="0.3">
      <c r="AQ28" t="s">
        <v>60</v>
      </c>
      <c r="AR28" s="6" t="s">
        <v>61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2025-08-19T09:56:05Z</dcterms:created>
  <dcterms:modified xsi:type="dcterms:W3CDTF">2025-11-06T10:33:31Z</dcterms:modified>
</cp:coreProperties>
</file>