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B87D2EC3-184D-44CD-BCF0-E104DDC17DF1}" xr6:coauthVersionLast="47" xr6:coauthVersionMax="47" xr10:uidLastSave="{00000000-0000-0000-0000-000000000000}"/>
  <bookViews>
    <workbookView xWindow="-108" yWindow="-108" windowWidth="23256" windowHeight="12576" activeTab="1" xr2:uid="{31E8D773-A0F0-4A5C-8306-0B953AC75F07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M10" i="2" l="1"/>
  <c r="AD10" i="2"/>
  <c r="AL10" i="2" s="1"/>
  <c r="AD8" i="2"/>
  <c r="AP5" i="2"/>
  <c r="AQ5" i="2" s="1"/>
  <c r="AR5" i="2" s="1"/>
  <c r="AS5" i="2" s="1"/>
  <c r="AT5" i="2" s="1"/>
  <c r="AU5" i="2" s="1"/>
  <c r="AV5" i="2" s="1"/>
  <c r="D6" i="1"/>
  <c r="AC22" i="2"/>
  <c r="AD5" i="2"/>
  <c r="AD9" i="2" s="1"/>
  <c r="AD27" i="2" s="1"/>
  <c r="AC7" i="2"/>
  <c r="AC25" i="2" s="1"/>
  <c r="AV19" i="2"/>
  <c r="AU19" i="2"/>
  <c r="AT19" i="2"/>
  <c r="AS19" i="2"/>
  <c r="AR19" i="2"/>
  <c r="AQ19" i="2"/>
  <c r="AP19" i="2"/>
  <c r="AO19" i="2"/>
  <c r="AN19" i="2"/>
  <c r="AM19" i="2"/>
  <c r="AL19" i="2"/>
  <c r="AD19" i="2"/>
  <c r="AC19" i="2"/>
  <c r="D4" i="1"/>
  <c r="AL8" i="2"/>
  <c r="AM8" i="2" s="1"/>
  <c r="AY31" i="2"/>
  <c r="AY28" i="2"/>
  <c r="AC12" i="2"/>
  <c r="AC26" i="2"/>
  <c r="AD7" i="2"/>
  <c r="AD6" i="2" s="1"/>
  <c r="AH28" i="2"/>
  <c r="AG28" i="2"/>
  <c r="AH27" i="2"/>
  <c r="AG27" i="2"/>
  <c r="AF27" i="2"/>
  <c r="AH26" i="2"/>
  <c r="AG26" i="2"/>
  <c r="AH24" i="2"/>
  <c r="AG24" i="2"/>
  <c r="AL17" i="2"/>
  <c r="AL15" i="2"/>
  <c r="AL14" i="2"/>
  <c r="AM14" i="2" s="1"/>
  <c r="AN14" i="2" s="1"/>
  <c r="AO14" i="2" s="1"/>
  <c r="AP14" i="2" s="1"/>
  <c r="AQ14" i="2" s="1"/>
  <c r="AR14" i="2" s="1"/>
  <c r="AS14" i="2" s="1"/>
  <c r="AT14" i="2" s="1"/>
  <c r="AU14" i="2" s="1"/>
  <c r="AV14" i="2" s="1"/>
  <c r="AL11" i="2"/>
  <c r="AC28" i="2"/>
  <c r="AC27" i="2"/>
  <c r="AD26" i="2"/>
  <c r="AC24" i="2"/>
  <c r="AA28" i="2"/>
  <c r="Z28" i="2"/>
  <c r="Y28" i="2"/>
  <c r="X28" i="2"/>
  <c r="W28" i="2"/>
  <c r="V28" i="2"/>
  <c r="U28" i="2"/>
  <c r="T28" i="2"/>
  <c r="S28" i="2"/>
  <c r="R28" i="2"/>
  <c r="Q28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AA26" i="2"/>
  <c r="Z26" i="2"/>
  <c r="Y26" i="2"/>
  <c r="X26" i="2"/>
  <c r="W26" i="2"/>
  <c r="V26" i="2"/>
  <c r="U26" i="2"/>
  <c r="T26" i="2"/>
  <c r="S26" i="2"/>
  <c r="R26" i="2"/>
  <c r="Q26" i="2"/>
  <c r="AA24" i="2"/>
  <c r="Z24" i="2"/>
  <c r="Y24" i="2"/>
  <c r="X24" i="2"/>
  <c r="W24" i="2"/>
  <c r="V24" i="2"/>
  <c r="U24" i="2"/>
  <c r="T24" i="2"/>
  <c r="S24" i="2"/>
  <c r="R24" i="2"/>
  <c r="Q24" i="2"/>
  <c r="AB27" i="2"/>
  <c r="AB28" i="2"/>
  <c r="AB26" i="2"/>
  <c r="AB24" i="2"/>
  <c r="AF15" i="2"/>
  <c r="AF12" i="2"/>
  <c r="AF7" i="2"/>
  <c r="AF25" i="2" s="1"/>
  <c r="AG12" i="2"/>
  <c r="AG7" i="2"/>
  <c r="AG25" i="2" s="1"/>
  <c r="AH12" i="2"/>
  <c r="AH7" i="2"/>
  <c r="AH25" i="2" s="1"/>
  <c r="AB7" i="2"/>
  <c r="AB12" i="2"/>
  <c r="AI17" i="2"/>
  <c r="AI15" i="2"/>
  <c r="AI14" i="2"/>
  <c r="AI11" i="2"/>
  <c r="AI10" i="2"/>
  <c r="AI28" i="2" s="1"/>
  <c r="AI9" i="2"/>
  <c r="AI8" i="2"/>
  <c r="AI26" i="2" s="1"/>
  <c r="AI6" i="2"/>
  <c r="AI5" i="2"/>
  <c r="AI24" i="2" s="1"/>
  <c r="AJ17" i="2"/>
  <c r="AJ15" i="2"/>
  <c r="AJ14" i="2"/>
  <c r="AJ11" i="2"/>
  <c r="AJ10" i="2"/>
  <c r="AJ9" i="2"/>
  <c r="AJ8" i="2"/>
  <c r="AJ6" i="2"/>
  <c r="AJ5" i="2"/>
  <c r="AJ24" i="2" s="1"/>
  <c r="AK17" i="2"/>
  <c r="AK15" i="2"/>
  <c r="AK14" i="2"/>
  <c r="AK11" i="2"/>
  <c r="AK10" i="2"/>
  <c r="AK9" i="2"/>
  <c r="AK8" i="2"/>
  <c r="AK6" i="2"/>
  <c r="AK5" i="2"/>
  <c r="M12" i="2"/>
  <c r="M7" i="2"/>
  <c r="M25" i="2" s="1"/>
  <c r="Q12" i="2"/>
  <c r="Q7" i="2"/>
  <c r="Q25" i="2" s="1"/>
  <c r="N12" i="2"/>
  <c r="N7" i="2"/>
  <c r="N25" i="2" s="1"/>
  <c r="R12" i="2"/>
  <c r="R7" i="2"/>
  <c r="R25" i="2" s="1"/>
  <c r="O12" i="2"/>
  <c r="O7" i="2"/>
  <c r="O25" i="2" s="1"/>
  <c r="S12" i="2"/>
  <c r="S7" i="2"/>
  <c r="S25" i="2" s="1"/>
  <c r="P12" i="2"/>
  <c r="P7" i="2"/>
  <c r="P25" i="2" s="1"/>
  <c r="T12" i="2"/>
  <c r="T7" i="2"/>
  <c r="T25" i="2" s="1"/>
  <c r="U12" i="2"/>
  <c r="U7" i="2"/>
  <c r="U25" i="2" s="1"/>
  <c r="Y12" i="2"/>
  <c r="Y7" i="2"/>
  <c r="Y25" i="2" s="1"/>
  <c r="V12" i="2"/>
  <c r="V7" i="2"/>
  <c r="V25" i="2" s="1"/>
  <c r="Z12" i="2"/>
  <c r="Z7" i="2"/>
  <c r="Z25" i="2" s="1"/>
  <c r="W12" i="2"/>
  <c r="W7" i="2"/>
  <c r="W25" i="2" s="1"/>
  <c r="AA12" i="2"/>
  <c r="AA7" i="2"/>
  <c r="AA25" i="2" s="1"/>
  <c r="X12" i="2"/>
  <c r="X7" i="2"/>
  <c r="X25" i="2" s="1"/>
  <c r="D8" i="1"/>
  <c r="D5" i="1"/>
  <c r="F3" i="1"/>
  <c r="D9" i="1" l="1"/>
  <c r="AK28" i="2"/>
  <c r="AL5" i="2"/>
  <c r="AL24" i="2" s="1"/>
  <c r="AI27" i="2"/>
  <c r="AJ27" i="2"/>
  <c r="AJ28" i="2"/>
  <c r="AK12" i="2"/>
  <c r="AK24" i="2"/>
  <c r="AK26" i="2"/>
  <c r="AK27" i="2"/>
  <c r="AL28" i="2"/>
  <c r="AL9" i="2"/>
  <c r="AL12" i="2" s="1"/>
  <c r="AN10" i="2"/>
  <c r="AN28" i="2" s="1"/>
  <c r="AJ12" i="2"/>
  <c r="AJ26" i="2"/>
  <c r="AI12" i="2"/>
  <c r="AB13" i="2"/>
  <c r="AB16" i="2" s="1"/>
  <c r="AB18" i="2" s="1"/>
  <c r="AB20" i="2" s="1"/>
  <c r="AB25" i="2"/>
  <c r="AD12" i="2"/>
  <c r="AD13" i="2" s="1"/>
  <c r="AD16" i="2" s="1"/>
  <c r="AD30" i="2" s="1"/>
  <c r="AC13" i="2"/>
  <c r="AC29" i="2" s="1"/>
  <c r="AN8" i="2"/>
  <c r="AD28" i="2"/>
  <c r="AM26" i="2"/>
  <c r="AL26" i="2"/>
  <c r="AL6" i="2"/>
  <c r="AD24" i="2"/>
  <c r="AD25" i="2"/>
  <c r="AF13" i="2"/>
  <c r="AG13" i="2"/>
  <c r="AH13" i="2"/>
  <c r="AI7" i="2"/>
  <c r="AJ7" i="2"/>
  <c r="AK7" i="2"/>
  <c r="M13" i="2"/>
  <c r="Q13" i="2"/>
  <c r="N13" i="2"/>
  <c r="R13" i="2"/>
  <c r="O13" i="2"/>
  <c r="S13" i="2"/>
  <c r="P13" i="2"/>
  <c r="T13" i="2"/>
  <c r="U13" i="2"/>
  <c r="Y13" i="2"/>
  <c r="V13" i="2"/>
  <c r="Z13" i="2"/>
  <c r="W13" i="2"/>
  <c r="AA13" i="2"/>
  <c r="X13" i="2"/>
  <c r="AM28" i="2" l="1"/>
  <c r="AL7" i="2"/>
  <c r="AL25" i="2" s="1"/>
  <c r="AM5" i="2"/>
  <c r="AM9" i="2" s="1"/>
  <c r="AM27" i="2" s="1"/>
  <c r="AC16" i="2"/>
  <c r="AC18" i="2" s="1"/>
  <c r="AD18" i="2"/>
  <c r="AD20" i="2" s="1"/>
  <c r="AB30" i="2"/>
  <c r="AB29" i="2"/>
  <c r="AL27" i="2"/>
  <c r="AB31" i="2"/>
  <c r="AO10" i="2"/>
  <c r="AP10" i="2" s="1"/>
  <c r="AP28" i="2" s="1"/>
  <c r="AD29" i="2"/>
  <c r="V16" i="2"/>
  <c r="V29" i="2"/>
  <c r="Q16" i="2"/>
  <c r="Q29" i="2"/>
  <c r="U16" i="2"/>
  <c r="U29" i="2"/>
  <c r="T16" i="2"/>
  <c r="T29" i="2"/>
  <c r="AK13" i="2"/>
  <c r="AK25" i="2"/>
  <c r="AF16" i="2"/>
  <c r="AF29" i="2"/>
  <c r="M16" i="2"/>
  <c r="M29" i="2"/>
  <c r="P16" i="2"/>
  <c r="P29" i="2"/>
  <c r="AA16" i="2"/>
  <c r="AA29" i="2"/>
  <c r="S16" i="2"/>
  <c r="S29" i="2"/>
  <c r="AI13" i="2"/>
  <c r="AI25" i="2"/>
  <c r="N16" i="2"/>
  <c r="N29" i="2"/>
  <c r="Y16" i="2"/>
  <c r="Y29" i="2"/>
  <c r="X16" i="2"/>
  <c r="X29" i="2"/>
  <c r="AJ13" i="2"/>
  <c r="AJ25" i="2"/>
  <c r="W16" i="2"/>
  <c r="W29" i="2"/>
  <c r="O16" i="2"/>
  <c r="O29" i="2"/>
  <c r="AH16" i="2"/>
  <c r="AH29" i="2"/>
  <c r="Z16" i="2"/>
  <c r="Z29" i="2"/>
  <c r="R16" i="2"/>
  <c r="R29" i="2"/>
  <c r="AG16" i="2"/>
  <c r="AG29" i="2"/>
  <c r="AN26" i="2"/>
  <c r="AL13" i="2"/>
  <c r="AL16" i="2" s="1"/>
  <c r="AO8" i="2"/>
  <c r="AC30" i="2"/>
  <c r="AD31" i="2" l="1"/>
  <c r="AM24" i="2"/>
  <c r="AM12" i="2"/>
  <c r="AN5" i="2"/>
  <c r="AN9" i="2" s="1"/>
  <c r="AM7" i="2"/>
  <c r="AO28" i="2"/>
  <c r="AQ10" i="2"/>
  <c r="AQ28" i="2" s="1"/>
  <c r="R18" i="2"/>
  <c r="R30" i="2"/>
  <c r="N18" i="2"/>
  <c r="N30" i="2"/>
  <c r="P18" i="2"/>
  <c r="P30" i="2"/>
  <c r="T18" i="2"/>
  <c r="T30" i="2"/>
  <c r="Z18" i="2"/>
  <c r="Z30" i="2"/>
  <c r="W18" i="2"/>
  <c r="W30" i="2"/>
  <c r="AJ16" i="2"/>
  <c r="AJ29" i="2"/>
  <c r="AI16" i="2"/>
  <c r="AI29" i="2"/>
  <c r="M18" i="2"/>
  <c r="M30" i="2"/>
  <c r="U18" i="2"/>
  <c r="U30" i="2"/>
  <c r="AH18" i="2"/>
  <c r="AH30" i="2"/>
  <c r="X18" i="2"/>
  <c r="X30" i="2"/>
  <c r="S18" i="2"/>
  <c r="S30" i="2"/>
  <c r="AF18" i="2"/>
  <c r="AF30" i="2"/>
  <c r="Q18" i="2"/>
  <c r="Q30" i="2"/>
  <c r="AG18" i="2"/>
  <c r="AG30" i="2"/>
  <c r="O18" i="2"/>
  <c r="O30" i="2"/>
  <c r="Y18" i="2"/>
  <c r="Y30" i="2"/>
  <c r="AA18" i="2"/>
  <c r="AA30" i="2"/>
  <c r="AK16" i="2"/>
  <c r="AK29" i="2"/>
  <c r="V18" i="2"/>
  <c r="V30" i="2"/>
  <c r="AL29" i="2"/>
  <c r="AP8" i="2"/>
  <c r="AO26" i="2"/>
  <c r="AC20" i="2"/>
  <c r="AC31" i="2"/>
  <c r="AL18" i="2"/>
  <c r="AL30" i="2"/>
  <c r="AM13" i="2" l="1"/>
  <c r="AM29" i="2" s="1"/>
  <c r="AM25" i="2"/>
  <c r="AO5" i="2"/>
  <c r="AO24" i="2" s="1"/>
  <c r="AM6" i="2"/>
  <c r="AN7" i="2"/>
  <c r="AN25" i="2" s="1"/>
  <c r="AN24" i="2"/>
  <c r="AR10" i="2"/>
  <c r="AR28" i="2" s="1"/>
  <c r="T20" i="2"/>
  <c r="T31" i="2"/>
  <c r="X20" i="2"/>
  <c r="X31" i="2"/>
  <c r="Q20" i="2"/>
  <c r="Q31" i="2"/>
  <c r="AJ18" i="2"/>
  <c r="AJ30" i="2"/>
  <c r="AH20" i="2"/>
  <c r="AH31" i="2"/>
  <c r="P20" i="2"/>
  <c r="P31" i="2"/>
  <c r="AK18" i="2"/>
  <c r="AK30" i="2"/>
  <c r="AA20" i="2"/>
  <c r="AA31" i="2"/>
  <c r="Y20" i="2"/>
  <c r="Y31" i="2"/>
  <c r="AF20" i="2"/>
  <c r="AF31" i="2"/>
  <c r="U20" i="2"/>
  <c r="U31" i="2"/>
  <c r="W20" i="2"/>
  <c r="W31" i="2"/>
  <c r="AI18" i="2"/>
  <c r="AI30" i="2"/>
  <c r="N20" i="2"/>
  <c r="N31" i="2"/>
  <c r="AG20" i="2"/>
  <c r="AG31" i="2"/>
  <c r="V20" i="2"/>
  <c r="V31" i="2"/>
  <c r="O20" i="2"/>
  <c r="O31" i="2"/>
  <c r="S20" i="2"/>
  <c r="S31" i="2"/>
  <c r="M20" i="2"/>
  <c r="M31" i="2"/>
  <c r="Z20" i="2"/>
  <c r="Z31" i="2"/>
  <c r="R20" i="2"/>
  <c r="R31" i="2"/>
  <c r="AO7" i="2"/>
  <c r="AO9" i="2"/>
  <c r="AN27" i="2"/>
  <c r="AN12" i="2"/>
  <c r="AN13" i="2" s="1"/>
  <c r="AP26" i="2"/>
  <c r="AQ8" i="2"/>
  <c r="AL20" i="2"/>
  <c r="AL31" i="2"/>
  <c r="AM16" i="2" l="1"/>
  <c r="AM17" i="2" s="1"/>
  <c r="AM30" i="2" s="1"/>
  <c r="AN6" i="2"/>
  <c r="AS10" i="2"/>
  <c r="AT10" i="2" s="1"/>
  <c r="AT28" i="2" s="1"/>
  <c r="AJ20" i="2"/>
  <c r="AJ31" i="2"/>
  <c r="AI20" i="2"/>
  <c r="AI31" i="2"/>
  <c r="AK20" i="2"/>
  <c r="AK31" i="2"/>
  <c r="AP24" i="2"/>
  <c r="AP9" i="2"/>
  <c r="AP7" i="2"/>
  <c r="AP25" i="2" s="1"/>
  <c r="AP6" i="2"/>
  <c r="AN29" i="2"/>
  <c r="AN16" i="2"/>
  <c r="AN17" i="2" s="1"/>
  <c r="AO27" i="2"/>
  <c r="AO12" i="2"/>
  <c r="AO13" i="2" s="1"/>
  <c r="AO25" i="2"/>
  <c r="AO6" i="2"/>
  <c r="AQ26" i="2"/>
  <c r="AR8" i="2"/>
  <c r="AM18" i="2" l="1"/>
  <c r="AU10" i="2"/>
  <c r="AU28" i="2" s="1"/>
  <c r="AS28" i="2"/>
  <c r="AQ9" i="2"/>
  <c r="AQ7" i="2"/>
  <c r="AQ24" i="2"/>
  <c r="AO29" i="2"/>
  <c r="AO16" i="2"/>
  <c r="AN18" i="2"/>
  <c r="AN30" i="2"/>
  <c r="AP27" i="2"/>
  <c r="AP12" i="2"/>
  <c r="AP13" i="2" s="1"/>
  <c r="AR26" i="2"/>
  <c r="AS8" i="2"/>
  <c r="AM20" i="2" l="1"/>
  <c r="AM31" i="2"/>
  <c r="AV10" i="2"/>
  <c r="AO17" i="2"/>
  <c r="AO30" i="2" s="1"/>
  <c r="AN20" i="2"/>
  <c r="AN31" i="2"/>
  <c r="AR7" i="2"/>
  <c r="AR25" i="2" s="1"/>
  <c r="AR9" i="2"/>
  <c r="AR24" i="2"/>
  <c r="AP16" i="2"/>
  <c r="AP29" i="2"/>
  <c r="AQ6" i="2"/>
  <c r="AQ25" i="2"/>
  <c r="AQ27" i="2"/>
  <c r="AQ12" i="2"/>
  <c r="AQ13" i="2" s="1"/>
  <c r="AT8" i="2"/>
  <c r="AT26" i="2" s="1"/>
  <c r="AS26" i="2"/>
  <c r="AV28" i="2"/>
  <c r="AO18" i="2" l="1"/>
  <c r="AO31" i="2" s="1"/>
  <c r="AU8" i="2"/>
  <c r="AV8" i="2" s="1"/>
  <c r="AS7" i="2"/>
  <c r="AS25" i="2" s="1"/>
  <c r="AS9" i="2"/>
  <c r="AS24" i="2"/>
  <c r="AQ16" i="2"/>
  <c r="AQ29" i="2"/>
  <c r="AP17" i="2"/>
  <c r="AP30" i="2" s="1"/>
  <c r="AS6" i="2"/>
  <c r="AR27" i="2"/>
  <c r="AR12" i="2"/>
  <c r="AR13" i="2" s="1"/>
  <c r="AR6" i="2"/>
  <c r="AO20" i="2" l="1"/>
  <c r="AU26" i="2"/>
  <c r="AP18" i="2"/>
  <c r="AP20" i="2"/>
  <c r="AP31" i="2"/>
  <c r="AQ17" i="2"/>
  <c r="AQ30" i="2" s="1"/>
  <c r="AS27" i="2"/>
  <c r="AS12" i="2"/>
  <c r="AS13" i="2" s="1"/>
  <c r="AR16" i="2"/>
  <c r="AR29" i="2"/>
  <c r="AT7" i="2"/>
  <c r="AT9" i="2"/>
  <c r="AT24" i="2"/>
  <c r="AV26" i="2"/>
  <c r="AS16" i="2" l="1"/>
  <c r="AS29" i="2"/>
  <c r="AQ18" i="2"/>
  <c r="AU9" i="2"/>
  <c r="AU7" i="2"/>
  <c r="AU24" i="2"/>
  <c r="AT27" i="2"/>
  <c r="AT12" i="2"/>
  <c r="AT13" i="2" s="1"/>
  <c r="AR17" i="2"/>
  <c r="AR30" i="2" s="1"/>
  <c r="AT25" i="2"/>
  <c r="AT6" i="2"/>
  <c r="AR18" i="2" l="1"/>
  <c r="AR20" i="2" s="1"/>
  <c r="AU25" i="2"/>
  <c r="AU6" i="2"/>
  <c r="AU27" i="2"/>
  <c r="AU12" i="2"/>
  <c r="AU13" i="2" s="1"/>
  <c r="AV9" i="2"/>
  <c r="AV24" i="2"/>
  <c r="AV7" i="2"/>
  <c r="AR31" i="2"/>
  <c r="AQ20" i="2"/>
  <c r="AQ31" i="2"/>
  <c r="AT16" i="2"/>
  <c r="AT17" i="2" s="1"/>
  <c r="AT30" i="2" s="1"/>
  <c r="AT29" i="2"/>
  <c r="AS17" i="2"/>
  <c r="AS30" i="2" s="1"/>
  <c r="AS18" i="2" l="1"/>
  <c r="AS20" i="2" s="1"/>
  <c r="AT18" i="2"/>
  <c r="AT20" i="2" s="1"/>
  <c r="AV27" i="2"/>
  <c r="AV12" i="2"/>
  <c r="AV13" i="2" s="1"/>
  <c r="AU29" i="2"/>
  <c r="AU16" i="2"/>
  <c r="AU17" i="2" s="1"/>
  <c r="AU30" i="2" s="1"/>
  <c r="AV25" i="2"/>
  <c r="AV6" i="2"/>
  <c r="AT31" i="2" l="1"/>
  <c r="AS31" i="2"/>
  <c r="AU18" i="2"/>
  <c r="AV16" i="2"/>
  <c r="AV29" i="2"/>
  <c r="AV17" i="2" l="1"/>
  <c r="AV30" i="2" s="1"/>
  <c r="AU31" i="2"/>
  <c r="AU20" i="2"/>
  <c r="AV18" i="2" l="1"/>
  <c r="AW18" i="2" s="1"/>
  <c r="AX18" i="2" s="1"/>
  <c r="AY18" i="2" s="1"/>
  <c r="AZ18" i="2" s="1"/>
  <c r="BA18" i="2" s="1"/>
  <c r="BB18" i="2" s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CO18" i="2" s="1"/>
  <c r="CP18" i="2" s="1"/>
  <c r="CQ18" i="2" s="1"/>
  <c r="CR18" i="2" s="1"/>
  <c r="CS18" i="2" s="1"/>
  <c r="CT18" i="2" s="1"/>
  <c r="CU18" i="2" s="1"/>
  <c r="CV18" i="2" s="1"/>
  <c r="CW18" i="2" s="1"/>
  <c r="CX18" i="2" s="1"/>
  <c r="CY18" i="2" s="1"/>
  <c r="CZ18" i="2" s="1"/>
  <c r="DA18" i="2" s="1"/>
  <c r="DB18" i="2" s="1"/>
  <c r="DC18" i="2" s="1"/>
  <c r="DD18" i="2" s="1"/>
  <c r="DE18" i="2" s="1"/>
  <c r="DF18" i="2" s="1"/>
  <c r="DG18" i="2" s="1"/>
  <c r="DH18" i="2" s="1"/>
  <c r="DI18" i="2" s="1"/>
  <c r="DJ18" i="2" s="1"/>
  <c r="DK18" i="2" s="1"/>
  <c r="DL18" i="2" s="1"/>
  <c r="DM18" i="2" s="1"/>
  <c r="DN18" i="2" s="1"/>
  <c r="DO18" i="2" s="1"/>
  <c r="DP18" i="2" s="1"/>
  <c r="DQ18" i="2" s="1"/>
  <c r="DR18" i="2" s="1"/>
  <c r="DS18" i="2" s="1"/>
  <c r="DT18" i="2" s="1"/>
  <c r="DU18" i="2" s="1"/>
  <c r="DV18" i="2" s="1"/>
  <c r="DW18" i="2" s="1"/>
  <c r="DX18" i="2" s="1"/>
  <c r="DY18" i="2" s="1"/>
  <c r="DZ18" i="2" s="1"/>
  <c r="EA18" i="2" s="1"/>
  <c r="EB18" i="2" s="1"/>
  <c r="EC18" i="2" s="1"/>
  <c r="ED18" i="2" s="1"/>
  <c r="EE18" i="2" s="1"/>
  <c r="EF18" i="2" s="1"/>
  <c r="EG18" i="2" s="1"/>
  <c r="EH18" i="2" s="1"/>
  <c r="EI18" i="2" s="1"/>
  <c r="EJ18" i="2" s="1"/>
  <c r="EK18" i="2" s="1"/>
  <c r="EL18" i="2" s="1"/>
  <c r="EM18" i="2" s="1"/>
  <c r="EN18" i="2" s="1"/>
  <c r="AY27" i="2" s="1"/>
  <c r="AY29" i="2" s="1"/>
  <c r="AY30" i="2" s="1"/>
  <c r="AY32" i="2" s="1"/>
  <c r="AV20" i="2" l="1"/>
  <c r="AV31" i="2"/>
</calcChain>
</file>

<file path=xl/sharedStrings.xml><?xml version="1.0" encoding="utf-8"?>
<sst xmlns="http://schemas.openxmlformats.org/spreadsheetml/2006/main" count="78" uniqueCount="73">
  <si>
    <t>COUR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</si>
  <si>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</si>
  <si>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</si>
  <si>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</si>
  <si>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</si>
  <si>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</si>
  <si>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</si>
  <si>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</si>
  <si>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</si>
  <si>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</si>
  <si>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</si>
  <si>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Q225</t>
  </si>
  <si>
    <t>Revenue</t>
  </si>
  <si>
    <t>Cost of sales</t>
  </si>
  <si>
    <t>Gross profit</t>
  </si>
  <si>
    <t>R&amp;D</t>
  </si>
  <si>
    <t>S&amp;M</t>
  </si>
  <si>
    <t>G&amp;A</t>
  </si>
  <si>
    <t>Total opex</t>
  </si>
  <si>
    <t>Restructuring</t>
  </si>
  <si>
    <t>Operating profit</t>
  </si>
  <si>
    <t>Interest income</t>
  </si>
  <si>
    <t>Other income</t>
  </si>
  <si>
    <t>Pretax profit</t>
  </si>
  <si>
    <t>Taxes</t>
  </si>
  <si>
    <t>Net profit</t>
  </si>
  <si>
    <t>EPS</t>
  </si>
  <si>
    <t>Q122</t>
  </si>
  <si>
    <t>Q119</t>
  </si>
  <si>
    <t>Q219</t>
  </si>
  <si>
    <t>Q319</t>
  </si>
  <si>
    <t>Q419</t>
  </si>
  <si>
    <t>Q120</t>
  </si>
  <si>
    <t>Q220</t>
  </si>
  <si>
    <t>Q320</t>
  </si>
  <si>
    <t>Q420</t>
  </si>
  <si>
    <t>Q121</t>
  </si>
  <si>
    <t>Q221</t>
  </si>
  <si>
    <t>Q321</t>
  </si>
  <si>
    <t>Q421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</si>
  <si>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</si>
  <si>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</si>
  <si>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</si>
  <si>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</si>
  <si>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</si>
  <si>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</si>
  <si>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</si>
  <si>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</si>
  <si>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</si>
  <si>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</si>
  <si>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</si>
  <si>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</si>
  <si>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Q325</t>
  </si>
  <si>
    <t>Q425</t>
  </si>
  <si>
    <t>Gross Margin</t>
  </si>
  <si>
    <t>Revenue y/y</t>
  </si>
  <si>
    <t>R&amp;D y/y</t>
  </si>
  <si>
    <t>S&amp;M Margin</t>
  </si>
  <si>
    <t>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</si>
  <si>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</si>
  <si>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</si>
  <si>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</si>
  <si>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</si>
  <si>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</si>
  <si>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</si>
  <si>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</si>
  <si>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</si>
  <si>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</si>
  <si>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</si>
  <si>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</si>
  <si>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Registered learners</t>
  </si>
  <si>
    <t>Learners y/y</t>
  </si>
  <si>
    <t>Slightly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</si>
</sst>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0" fontId="0" fillId="0" borderId="0" xfId="0" applyAlignment="1">
      <alignment horizontal="right"/>
    </xf>
    <xf numFmtId="4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22860</xdr:colOff>
      <xdr:row>0</xdr:row>
      <xdr:rowOff>7620</xdr:rowOff>
    </xdr:from>
    <xdr:to>
      <xdr:col>37</xdr:col>
      <xdr:colOff>22860</xdr:colOff>
      <xdr:row>37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473664E7-A59C-5659-35B9-DF59058D4BEA}"/>
            </a:ext>
          </a:extLst>
        </xdr:cNvPr>
        <xdr:cNvCxnSpPr/>
      </xdr:nvCxnSpPr>
      <xdr:spPr>
        <a:xfrm>
          <a:off x="2293620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15240</xdr:colOff>
      <xdr:row>0</xdr:row>
      <xdr:rowOff>7620</xdr:rowOff>
    </xdr:from>
    <xdr:to>
      <xdr:col>29</xdr:col>
      <xdr:colOff>15240</xdr:colOff>
      <xdr:row>37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974198F2-5182-DDCD-EDC3-D0AF744919B6}"/>
            </a:ext>
          </a:extLst>
        </xdr:cNvPr>
        <xdr:cNvCxnSpPr/>
      </xdr:nvCxnSpPr>
      <xdr:spPr>
        <a:xfrm>
          <a:off x="1812798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B9467-A621-4B60-847B-DC9867721010}">
  <dimension ref="B2:G9"/>
  <sheetViews>
    <sheetView workbookViewId="0">
      <selection activeCell="E7" sqref="E7"/>
    </sheetView>
  </sheetViews>
  <sheetFormatPr defaultRowHeight="14.4" x14ac:dyDescent="0.3"/>
  <cols>
    <col min="5" max="5" width="11.88671875" style="3" bestFit="1" customWidth="1"/>
    <col min="6" max="7" width="11.21875" style="3" bestFit="1" customWidth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1" t="s">
        <v>0</v>
      </c>
      <c r="C3" t="s">
        <v>1</v>
      </c>
      <c r="D3" s="2">
        <v>9.1999999999999993</v>
      </c>
      <c r="E3" s="4">
        <v>45956</v>
      </c>
      <c r="F3" s="4">
        <f ca="1">TODAY()</f>
        <v>45956</v>
      </c>
      <c r="G3" s="4">
        <v>46058</v>
      </c>
    </row>
    <row r="4" spans="2:7" x14ac:dyDescent="0.3">
      <c r="C4" t="s">
        <v>2</v>
      </c>
      <c r="D4" s="5">
        <f>164.6</f>
        <v>164.6</v>
      </c>
      <c r="E4" s="3" t="s">
        <v>52</v>
      </c>
    </row>
    <row r="5" spans="2:7" x14ac:dyDescent="0.3">
      <c r="C5" t="s">
        <v>3</v>
      </c>
      <c r="D5" s="5">
        <f>D3*D4</f>
        <v>1514.32</v>
      </c>
    </row>
    <row r="6" spans="2:7" x14ac:dyDescent="0.3">
      <c r="C6" t="s">
        <v>4</v>
      </c>
      <c r="D6" s="5">
        <f>797.7</f>
        <v>797.7</v>
      </c>
      <c r="E6" s="3" t="s">
        <v>52</v>
      </c>
    </row>
    <row r="7" spans="2:7" x14ac:dyDescent="0.3">
      <c r="C7" t="s">
        <v>5</v>
      </c>
      <c r="D7" s="5">
        <v>0</v>
      </c>
      <c r="E7" s="3" t="s">
        <v>52</v>
      </c>
    </row>
    <row r="8" spans="2:7" x14ac:dyDescent="0.3">
      <c r="C8" t="s">
        <v>6</v>
      </c>
      <c r="D8" s="5">
        <f>D6-D7</f>
        <v>797.7</v>
      </c>
    </row>
    <row r="9" spans="2:7" x14ac:dyDescent="0.3">
      <c r="C9" t="s">
        <v>7</v>
      </c>
      <c r="D9" s="5">
        <f>D5-D8</f>
        <v>716.61999999999989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C2134-7EC8-4CEE-86B3-FA6CD313EB77}">
  <dimension ref="B2:EN33"/>
  <sheetViews>
    <sheetView tabSelected="1" workbookViewId="0">
      <pane xSplit="2" ySplit="2" topLeftCell="Z7" activePane="bottomRight" state="frozen"/>
      <selection pane="topRight" activeCell="C1" sqref="C1"/>
      <selection pane="bottomLeft" activeCell="A3" sqref="A3"/>
      <selection pane="bottomRight" activeCell="AL33" sqref="AL33"/>
    </sheetView>
  </sheetViews>
  <sheetFormatPr defaultRowHeight="14.4" x14ac:dyDescent="0.3"/>
  <cols>
    <col min="2" max="2" width="16.6640625" bestFit="1" customWidth="1"/>
    <col min="50" max="50" width="11.88671875" bestFit="1" customWidth="1"/>
    <col min="51" max="51" width="16.21875" bestFit="1" customWidth="1"/>
  </cols>
  <sheetData>
    <row r="2" spans="2:48" x14ac:dyDescent="0.3">
      <c r="C2" s="6" t="s">
        <v>28</v>
      </c>
      <c r="D2" s="6" t="s">
        <v>29</v>
      </c>
      <c r="E2" s="6" t="s">
        <v>30</v>
      </c>
      <c r="F2" s="6" t="s">
        <v>31</v>
      </c>
      <c r="G2" s="6" t="s">
        <v>32</v>
      </c>
      <c r="H2" s="6" t="s">
        <v>33</v>
      </c>
      <c r="I2" s="6" t="s">
        <v>34</v>
      </c>
      <c r="J2" s="6" t="s">
        <v>35</v>
      </c>
      <c r="K2" s="6" t="s">
        <v>36</v>
      </c>
      <c r="L2" s="6" t="s">
        <v>37</v>
      </c>
      <c r="M2" s="6" t="s">
        <v>38</v>
      </c>
      <c r="N2" s="6" t="s">
        <v>39</v>
      </c>
      <c r="O2" s="6" t="s">
        <v>27</v>
      </c>
      <c r="P2" s="6" t="s">
        <v>40</v>
      </c>
      <c r="Q2" s="6" t="s">
        <v>41</v>
      </c>
      <c r="R2" s="6" t="s">
        <v>42</v>
      </c>
      <c r="S2" s="6" t="s">
        <v>43</v>
      </c>
      <c r="T2" s="6" t="s">
        <v>44</v>
      </c>
      <c r="U2" s="6" t="s">
        <v>45</v>
      </c>
      <c r="V2" s="6" t="s">
        <v>46</v>
      </c>
      <c r="W2" s="6" t="s">
        <v>47</v>
      </c>
      <c r="X2" s="6" t="s">
        <v>48</v>
      </c>
      <c r="Y2" s="6" t="s">
        <v>49</v>
      </c>
      <c r="Z2" s="6" t="s">
        <v>50</v>
      </c>
      <c r="AA2" s="6" t="s">
        <v>51</v>
      </c>
      <c r="AB2" s="6" t="s">
        <v>11</v>
      </c>
      <c r="AC2" s="6" t="s">
        <v>52</v>
      </c>
      <c r="AD2" s="6" t="s">
        <v>53</v>
      </c>
      <c r="AF2">
        <v>2019</v>
      </c>
      <c r="AG2">
        <v>2020</v>
      </c>
      <c r="AH2">
        <v>2021</v>
      </c>
      <c r="AI2">
        <v>2022</v>
      </c>
      <c r="AJ2">
        <v>2023</v>
      </c>
      <c r="AK2">
        <v>2024</v>
      </c>
      <c r="AL2">
        <v>2025</v>
      </c>
      <c r="AM2">
        <v>2026</v>
      </c>
      <c r="AN2">
        <v>2027</v>
      </c>
      <c r="AO2">
        <v>2028</v>
      </c>
      <c r="AP2">
        <v>2029</v>
      </c>
      <c r="AQ2">
        <v>2030</v>
      </c>
      <c r="AR2">
        <v>2031</v>
      </c>
      <c r="AS2">
        <v>2032</v>
      </c>
      <c r="AT2">
        <v>2033</v>
      </c>
      <c r="AU2">
        <v>2034</v>
      </c>
      <c r="AV2">
        <v>2035</v>
      </c>
    </row>
    <row r="3" spans="2:48" x14ac:dyDescent="0.3">
      <c r="B3" t="s">
        <v>70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>
        <v>162</v>
      </c>
      <c r="Z3" s="6"/>
      <c r="AA3" s="6"/>
      <c r="AB3" s="6"/>
      <c r="AC3" s="6">
        <v>191</v>
      </c>
      <c r="AD3" s="6"/>
    </row>
    <row r="4" spans="2:48" x14ac:dyDescent="0.3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</row>
    <row r="5" spans="2:48" s="1" customFormat="1" x14ac:dyDescent="0.3">
      <c r="B5" s="1" t="s">
        <v>12</v>
      </c>
      <c r="M5" s="8">
        <v>109.9</v>
      </c>
      <c r="N5" s="8">
        <v>115</v>
      </c>
      <c r="O5" s="8">
        <v>120.4</v>
      </c>
      <c r="P5" s="8">
        <v>124.8</v>
      </c>
      <c r="Q5" s="8">
        <v>136.4</v>
      </c>
      <c r="R5" s="8">
        <v>142.19999999999999</v>
      </c>
      <c r="S5" s="8">
        <v>147.6</v>
      </c>
      <c r="T5" s="8">
        <v>153.69999999999999</v>
      </c>
      <c r="U5" s="8">
        <v>165.5</v>
      </c>
      <c r="V5" s="8">
        <v>168.9</v>
      </c>
      <c r="W5" s="8">
        <v>169.1</v>
      </c>
      <c r="X5" s="8">
        <v>170.3</v>
      </c>
      <c r="Y5" s="8">
        <v>176.1</v>
      </c>
      <c r="Z5" s="8">
        <v>179.2</v>
      </c>
      <c r="AA5" s="8">
        <v>179.3</v>
      </c>
      <c r="AB5" s="8">
        <v>187.1</v>
      </c>
      <c r="AC5" s="8">
        <v>194.2</v>
      </c>
      <c r="AD5" s="8">
        <f>Z5*1.08</f>
        <v>193.536</v>
      </c>
      <c r="AF5" s="8">
        <v>184.4</v>
      </c>
      <c r="AG5" s="8">
        <v>293.5</v>
      </c>
      <c r="AH5" s="8">
        <v>415.3</v>
      </c>
      <c r="AI5" s="8">
        <f>SUM(O5:R5)</f>
        <v>523.79999999999995</v>
      </c>
      <c r="AJ5" s="8">
        <f>SUM(S5:V5)</f>
        <v>635.69999999999993</v>
      </c>
      <c r="AK5" s="8">
        <f>SUM(W5:Z5)</f>
        <v>694.7</v>
      </c>
      <c r="AL5" s="8">
        <f>SUM(AA5:AD5)</f>
        <v>754.13599999999997</v>
      </c>
      <c r="AM5" s="8">
        <f>AL5*1.05</f>
        <v>791.84280000000001</v>
      </c>
      <c r="AN5" s="8">
        <f>AM5*1.04</f>
        <v>823.51651200000003</v>
      </c>
      <c r="AO5" s="8">
        <f>AN5*1.03</f>
        <v>848.22200736000002</v>
      </c>
      <c r="AP5" s="8">
        <f t="shared" ref="AP5:AV5" si="0">AO5*1.03</f>
        <v>873.66866758080005</v>
      </c>
      <c r="AQ5" s="8">
        <f t="shared" si="0"/>
        <v>899.87872760822404</v>
      </c>
      <c r="AR5" s="8">
        <f t="shared" si="0"/>
        <v>926.87508943647083</v>
      </c>
      <c r="AS5" s="8">
        <f t="shared" si="0"/>
        <v>954.68134211956499</v>
      </c>
      <c r="AT5" s="8">
        <f t="shared" si="0"/>
        <v>983.32178238315191</v>
      </c>
      <c r="AU5" s="8">
        <f t="shared" si="0"/>
        <v>1012.8214358546466</v>
      </c>
      <c r="AV5" s="8">
        <f t="shared" si="0"/>
        <v>1043.2060789302859</v>
      </c>
    </row>
    <row r="6" spans="2:48" x14ac:dyDescent="0.3">
      <c r="B6" t="s">
        <v>13</v>
      </c>
      <c r="M6" s="5">
        <v>42.2</v>
      </c>
      <c r="N6" s="5">
        <v>43.7</v>
      </c>
      <c r="O6" s="5">
        <v>42.8</v>
      </c>
      <c r="P6" s="5">
        <v>46.4</v>
      </c>
      <c r="Q6" s="5">
        <v>48.8</v>
      </c>
      <c r="R6" s="5">
        <v>54.3</v>
      </c>
      <c r="S6" s="5">
        <v>70.2</v>
      </c>
      <c r="T6" s="5">
        <v>74</v>
      </c>
      <c r="U6" s="5">
        <v>82.3</v>
      </c>
      <c r="V6" s="5">
        <v>79.599999999999994</v>
      </c>
      <c r="W6" s="5">
        <v>79.599999999999994</v>
      </c>
      <c r="X6" s="5">
        <v>80.099999999999994</v>
      </c>
      <c r="Y6" s="5">
        <v>79.900000000000006</v>
      </c>
      <c r="Z6" s="5">
        <v>83.7</v>
      </c>
      <c r="AA6" s="5">
        <v>81.400000000000006</v>
      </c>
      <c r="AB6" s="5">
        <v>84.4</v>
      </c>
      <c r="AC6" s="5">
        <v>88.2</v>
      </c>
      <c r="AD6" s="5">
        <f>AD5-AD7</f>
        <v>87.091199999999986</v>
      </c>
      <c r="AF6" s="5">
        <v>89.6</v>
      </c>
      <c r="AG6" s="5">
        <v>138.80000000000001</v>
      </c>
      <c r="AH6" s="5">
        <v>165.8</v>
      </c>
      <c r="AI6" s="5">
        <f>SUM(O6:R6)</f>
        <v>192.3</v>
      </c>
      <c r="AJ6" s="5">
        <f>SUM(S6:V6)</f>
        <v>306.10000000000002</v>
      </c>
      <c r="AK6" s="5">
        <f>SUM(W6:Z6)</f>
        <v>323.3</v>
      </c>
      <c r="AL6" s="5">
        <f>SUM(AA6:AD6)</f>
        <v>341.09119999999996</v>
      </c>
      <c r="AM6" s="5">
        <f>AM5-AM7</f>
        <v>348.41083199999997</v>
      </c>
      <c r="AN6" s="5">
        <f t="shared" ref="AN6:AV6" si="1">AN5-AN7</f>
        <v>354.11210016000007</v>
      </c>
      <c r="AO6" s="5">
        <f t="shared" si="1"/>
        <v>356.25324309120003</v>
      </c>
      <c r="AP6" s="5">
        <f t="shared" si="1"/>
        <v>366.94084038393606</v>
      </c>
      <c r="AQ6" s="5">
        <f t="shared" si="1"/>
        <v>377.94906559545416</v>
      </c>
      <c r="AR6" s="5">
        <f t="shared" si="1"/>
        <v>389.28753756331776</v>
      </c>
      <c r="AS6" s="5">
        <f t="shared" si="1"/>
        <v>400.96616369021729</v>
      </c>
      <c r="AT6" s="5">
        <f t="shared" si="1"/>
        <v>412.99514860092381</v>
      </c>
      <c r="AU6" s="5">
        <f t="shared" si="1"/>
        <v>425.38500305895161</v>
      </c>
      <c r="AV6" s="5">
        <f t="shared" si="1"/>
        <v>438.14655315072014</v>
      </c>
    </row>
    <row r="7" spans="2:48" s="1" customFormat="1" x14ac:dyDescent="0.3">
      <c r="B7" s="1" t="s">
        <v>14</v>
      </c>
      <c r="M7" s="8">
        <f t="shared" ref="M7:AC7" si="2">M5-M6</f>
        <v>67.7</v>
      </c>
      <c r="N7" s="8">
        <f t="shared" si="2"/>
        <v>71.3</v>
      </c>
      <c r="O7" s="8">
        <f t="shared" si="2"/>
        <v>77.600000000000009</v>
      </c>
      <c r="P7" s="8">
        <f t="shared" si="2"/>
        <v>78.400000000000006</v>
      </c>
      <c r="Q7" s="8">
        <f t="shared" si="2"/>
        <v>87.600000000000009</v>
      </c>
      <c r="R7" s="8">
        <f t="shared" si="2"/>
        <v>87.899999999999991</v>
      </c>
      <c r="S7" s="8">
        <f t="shared" si="2"/>
        <v>77.399999999999991</v>
      </c>
      <c r="T7" s="8">
        <f t="shared" si="2"/>
        <v>79.699999999999989</v>
      </c>
      <c r="U7" s="8">
        <f t="shared" si="2"/>
        <v>83.2</v>
      </c>
      <c r="V7" s="8">
        <f t="shared" si="2"/>
        <v>89.300000000000011</v>
      </c>
      <c r="W7" s="8">
        <f t="shared" si="2"/>
        <v>89.5</v>
      </c>
      <c r="X7" s="8">
        <f t="shared" si="2"/>
        <v>90.200000000000017</v>
      </c>
      <c r="Y7" s="8">
        <f t="shared" si="2"/>
        <v>96.199999999999989</v>
      </c>
      <c r="Z7" s="8">
        <f t="shared" si="2"/>
        <v>95.499999999999986</v>
      </c>
      <c r="AA7" s="8">
        <f t="shared" si="2"/>
        <v>97.9</v>
      </c>
      <c r="AB7" s="8">
        <f t="shared" si="2"/>
        <v>102.69999999999999</v>
      </c>
      <c r="AC7" s="8">
        <f t="shared" si="2"/>
        <v>105.99999999999999</v>
      </c>
      <c r="AD7" s="8">
        <f t="shared" ref="AD7" si="3">AD5*0.55</f>
        <v>106.44480000000001</v>
      </c>
      <c r="AF7" s="8">
        <f t="shared" ref="AF7:AL7" si="4">AF5-AF6</f>
        <v>94.800000000000011</v>
      </c>
      <c r="AG7" s="8">
        <f t="shared" si="4"/>
        <v>154.69999999999999</v>
      </c>
      <c r="AH7" s="8">
        <f t="shared" si="4"/>
        <v>249.5</v>
      </c>
      <c r="AI7" s="8">
        <f t="shared" si="4"/>
        <v>331.49999999999994</v>
      </c>
      <c r="AJ7" s="8">
        <f t="shared" si="4"/>
        <v>329.59999999999991</v>
      </c>
      <c r="AK7" s="8">
        <f t="shared" si="4"/>
        <v>371.40000000000003</v>
      </c>
      <c r="AL7" s="8">
        <f t="shared" si="4"/>
        <v>413.04480000000001</v>
      </c>
      <c r="AM7" s="8">
        <f>AM5*0.56</f>
        <v>443.43196800000004</v>
      </c>
      <c r="AN7" s="8">
        <f>AN5*0.57</f>
        <v>469.40441183999997</v>
      </c>
      <c r="AO7" s="8">
        <f>AO5*0.58</f>
        <v>491.96876426879999</v>
      </c>
      <c r="AP7" s="8">
        <f t="shared" ref="AP7:AV7" si="5">AP5*0.58</f>
        <v>506.72782719686398</v>
      </c>
      <c r="AQ7" s="8">
        <f t="shared" si="5"/>
        <v>521.92966201276988</v>
      </c>
      <c r="AR7" s="8">
        <f t="shared" si="5"/>
        <v>537.58755187315307</v>
      </c>
      <c r="AS7" s="8">
        <f t="shared" si="5"/>
        <v>553.7151784293477</v>
      </c>
      <c r="AT7" s="8">
        <f t="shared" si="5"/>
        <v>570.3266337822281</v>
      </c>
      <c r="AU7" s="8">
        <f t="shared" si="5"/>
        <v>587.43643279569494</v>
      </c>
      <c r="AV7" s="8">
        <f t="shared" si="5"/>
        <v>605.05952577956577</v>
      </c>
    </row>
    <row r="8" spans="2:48" x14ac:dyDescent="0.3">
      <c r="B8" t="s">
        <v>15</v>
      </c>
      <c r="M8" s="5">
        <v>33.9</v>
      </c>
      <c r="N8" s="5">
        <v>38.299999999999997</v>
      </c>
      <c r="O8" s="5">
        <v>38</v>
      </c>
      <c r="P8" s="5">
        <v>44.9</v>
      </c>
      <c r="Q8" s="5">
        <v>39.4</v>
      </c>
      <c r="R8" s="5">
        <v>42.8</v>
      </c>
      <c r="S8" s="5">
        <v>43.8</v>
      </c>
      <c r="T8" s="5">
        <v>41.3</v>
      </c>
      <c r="U8" s="5">
        <v>37.6</v>
      </c>
      <c r="V8" s="5">
        <v>37.4</v>
      </c>
      <c r="W8" s="5">
        <v>34.6</v>
      </c>
      <c r="X8" s="5">
        <v>33.700000000000003</v>
      </c>
      <c r="Y8" s="5">
        <v>31.6</v>
      </c>
      <c r="Z8" s="5">
        <v>32.1</v>
      </c>
      <c r="AA8" s="5">
        <v>29.5</v>
      </c>
      <c r="AB8" s="5">
        <v>29.3</v>
      </c>
      <c r="AC8" s="5">
        <v>30</v>
      </c>
      <c r="AD8" s="5">
        <f>Z8*0.96</f>
        <v>30.815999999999999</v>
      </c>
      <c r="AF8" s="5">
        <v>56.4</v>
      </c>
      <c r="AG8" s="5">
        <v>76.8</v>
      </c>
      <c r="AH8" s="5">
        <v>135.4</v>
      </c>
      <c r="AI8" s="5">
        <f t="shared" ref="AI8:AI11" si="6">SUM(O8:R8)</f>
        <v>165.10000000000002</v>
      </c>
      <c r="AJ8" s="5">
        <f t="shared" ref="AJ8:AJ11" si="7">SUM(S8:V8)</f>
        <v>160.1</v>
      </c>
      <c r="AK8" s="5">
        <f t="shared" ref="AK8:AK11" si="8">SUM(W8:Z8)</f>
        <v>132</v>
      </c>
      <c r="AL8" s="5">
        <f t="shared" ref="AL8:AL11" si="9">SUM(AA8:AD8)</f>
        <v>119.616</v>
      </c>
      <c r="AM8" s="5">
        <f>AL8*0.94</f>
        <v>112.43903999999999</v>
      </c>
      <c r="AN8" s="5">
        <f t="shared" ref="AN8:AV8" si="10">AM8*1.01</f>
        <v>113.56343039999999</v>
      </c>
      <c r="AO8" s="5">
        <f t="shared" si="10"/>
        <v>114.69906470399999</v>
      </c>
      <c r="AP8" s="5">
        <f t="shared" si="10"/>
        <v>115.84605535103999</v>
      </c>
      <c r="AQ8" s="5">
        <f t="shared" si="10"/>
        <v>117.00451590455039</v>
      </c>
      <c r="AR8" s="5">
        <f t="shared" si="10"/>
        <v>118.17456106359589</v>
      </c>
      <c r="AS8" s="5">
        <f t="shared" si="10"/>
        <v>119.35630667423185</v>
      </c>
      <c r="AT8" s="5">
        <f t="shared" si="10"/>
        <v>120.54986974097416</v>
      </c>
      <c r="AU8" s="5">
        <f t="shared" si="10"/>
        <v>121.7553684383839</v>
      </c>
      <c r="AV8" s="5">
        <f t="shared" si="10"/>
        <v>122.97292212276774</v>
      </c>
    </row>
    <row r="9" spans="2:48" x14ac:dyDescent="0.3">
      <c r="B9" t="s">
        <v>16</v>
      </c>
      <c r="M9" s="5">
        <v>45.3</v>
      </c>
      <c r="N9" s="5">
        <v>57.6</v>
      </c>
      <c r="O9" s="5">
        <v>51.7</v>
      </c>
      <c r="P9" s="5">
        <v>55.6</v>
      </c>
      <c r="Q9" s="5">
        <v>58.5</v>
      </c>
      <c r="R9" s="5">
        <v>61.9</v>
      </c>
      <c r="S9" s="5">
        <v>52.9</v>
      </c>
      <c r="T9" s="5">
        <v>52</v>
      </c>
      <c r="U9" s="5">
        <v>59.8</v>
      </c>
      <c r="V9" s="5">
        <v>58.1</v>
      </c>
      <c r="W9" s="5">
        <v>57.6</v>
      </c>
      <c r="X9" s="5">
        <v>58.1</v>
      </c>
      <c r="Y9" s="5">
        <v>59</v>
      </c>
      <c r="Z9" s="5">
        <v>60.2</v>
      </c>
      <c r="AA9" s="5">
        <v>56.8</v>
      </c>
      <c r="AB9" s="5">
        <v>63.6</v>
      </c>
      <c r="AC9" s="5">
        <v>67.400000000000006</v>
      </c>
      <c r="AD9" s="5">
        <f t="shared" ref="AD9" si="11">AD5*0.34</f>
        <v>65.802240000000012</v>
      </c>
      <c r="AF9" s="5">
        <v>57</v>
      </c>
      <c r="AG9" s="5">
        <v>107.2</v>
      </c>
      <c r="AH9" s="5">
        <v>179.3</v>
      </c>
      <c r="AI9" s="5">
        <f t="shared" si="6"/>
        <v>227.70000000000002</v>
      </c>
      <c r="AJ9" s="5">
        <f t="shared" si="7"/>
        <v>222.79999999999998</v>
      </c>
      <c r="AK9" s="5">
        <f t="shared" si="8"/>
        <v>234.89999999999998</v>
      </c>
      <c r="AL9" s="5">
        <f t="shared" si="9"/>
        <v>253.60224000000002</v>
      </c>
      <c r="AM9" s="5">
        <f>AM5*0.33</f>
        <v>261.30812400000002</v>
      </c>
      <c r="AN9" s="5">
        <f>AN5*0.32</f>
        <v>263.52528384000004</v>
      </c>
      <c r="AO9" s="5">
        <f>AO5*0.31</f>
        <v>262.94882228160003</v>
      </c>
      <c r="AP9" s="5">
        <f t="shared" ref="AP9:AV9" si="12">AP5*0.31</f>
        <v>270.837286950048</v>
      </c>
      <c r="AQ9" s="5">
        <f t="shared" si="12"/>
        <v>278.96240555854945</v>
      </c>
      <c r="AR9" s="5">
        <f t="shared" si="12"/>
        <v>287.33127772530594</v>
      </c>
      <c r="AS9" s="5">
        <f t="shared" si="12"/>
        <v>295.95121605706515</v>
      </c>
      <c r="AT9" s="5">
        <f t="shared" si="12"/>
        <v>304.82975253877709</v>
      </c>
      <c r="AU9" s="5">
        <f t="shared" si="12"/>
        <v>313.97464511494042</v>
      </c>
      <c r="AV9" s="5">
        <f t="shared" si="12"/>
        <v>323.39388446838865</v>
      </c>
    </row>
    <row r="10" spans="2:48" x14ac:dyDescent="0.3">
      <c r="B10" t="s">
        <v>17</v>
      </c>
      <c r="M10" s="5">
        <v>19.899999999999999</v>
      </c>
      <c r="N10" s="5">
        <v>22.9</v>
      </c>
      <c r="O10" s="5">
        <v>25.2</v>
      </c>
      <c r="P10" s="5">
        <v>25.7</v>
      </c>
      <c r="Q10" s="5">
        <v>26</v>
      </c>
      <c r="R10" s="5">
        <v>29</v>
      </c>
      <c r="S10" s="5">
        <v>25.5</v>
      </c>
      <c r="T10" s="5">
        <v>24.9</v>
      </c>
      <c r="U10" s="5">
        <v>25.4</v>
      </c>
      <c r="V10" s="5">
        <v>22.4</v>
      </c>
      <c r="W10" s="5">
        <v>25</v>
      </c>
      <c r="X10" s="5">
        <v>29.6</v>
      </c>
      <c r="Y10" s="5">
        <v>27.4</v>
      </c>
      <c r="Z10" s="5">
        <v>26.9</v>
      </c>
      <c r="AA10" s="5">
        <v>26.9</v>
      </c>
      <c r="AB10" s="5">
        <v>24.9</v>
      </c>
      <c r="AC10" s="5">
        <v>24.2</v>
      </c>
      <c r="AD10" s="5">
        <f>Z10*0.9</f>
        <v>24.21</v>
      </c>
      <c r="AF10" s="5">
        <v>29.8</v>
      </c>
      <c r="AG10" s="5">
        <v>37.200000000000003</v>
      </c>
      <c r="AH10" s="5">
        <v>77.8</v>
      </c>
      <c r="AI10" s="5">
        <f t="shared" si="6"/>
        <v>105.9</v>
      </c>
      <c r="AJ10" s="5">
        <f t="shared" si="7"/>
        <v>98.199999999999989</v>
      </c>
      <c r="AK10" s="5">
        <f t="shared" si="8"/>
        <v>108.9</v>
      </c>
      <c r="AL10" s="5">
        <f t="shared" si="9"/>
        <v>100.21000000000001</v>
      </c>
      <c r="AM10" s="5">
        <f>AL10*0.96</f>
        <v>96.201599999999999</v>
      </c>
      <c r="AN10" s="5">
        <f>AM10*1.01</f>
        <v>97.163616000000005</v>
      </c>
      <c r="AO10" s="5">
        <f t="shared" ref="AO10:AV10" si="13">AN10*1.01</f>
        <v>98.135252160000007</v>
      </c>
      <c r="AP10" s="5">
        <f t="shared" si="13"/>
        <v>99.116604681600009</v>
      </c>
      <c r="AQ10" s="5">
        <f t="shared" si="13"/>
        <v>100.10777072841601</v>
      </c>
      <c r="AR10" s="5">
        <f t="shared" si="13"/>
        <v>101.10884843570018</v>
      </c>
      <c r="AS10" s="5">
        <f t="shared" si="13"/>
        <v>102.11993692005719</v>
      </c>
      <c r="AT10" s="5">
        <f t="shared" si="13"/>
        <v>103.14113628925776</v>
      </c>
      <c r="AU10" s="5">
        <f t="shared" si="13"/>
        <v>104.17254765215034</v>
      </c>
      <c r="AV10" s="5">
        <f t="shared" si="13"/>
        <v>105.21427312867185</v>
      </c>
    </row>
    <row r="11" spans="2:48" x14ac:dyDescent="0.3">
      <c r="B11" t="s">
        <v>19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10.1</v>
      </c>
      <c r="S11" s="5">
        <v>-5.7</v>
      </c>
      <c r="T11" s="5">
        <v>0.1</v>
      </c>
      <c r="U11" s="5">
        <v>0</v>
      </c>
      <c r="V11" s="5">
        <v>0</v>
      </c>
      <c r="W11" s="5">
        <v>2.1</v>
      </c>
      <c r="X11" s="5">
        <v>0</v>
      </c>
      <c r="Y11" s="5">
        <v>0</v>
      </c>
      <c r="Z11" s="5">
        <v>6.8</v>
      </c>
      <c r="AA11" s="5">
        <v>-0.9</v>
      </c>
      <c r="AB11" s="5">
        <v>0</v>
      </c>
      <c r="AC11" s="5">
        <v>0</v>
      </c>
      <c r="AD11" s="5">
        <v>0</v>
      </c>
      <c r="AF11" s="5">
        <v>0</v>
      </c>
      <c r="AG11" s="5">
        <v>0</v>
      </c>
      <c r="AH11" s="5">
        <v>0</v>
      </c>
      <c r="AI11" s="5">
        <f t="shared" si="6"/>
        <v>10.1</v>
      </c>
      <c r="AJ11" s="5">
        <f t="shared" si="7"/>
        <v>-5.6000000000000005</v>
      </c>
      <c r="AK11" s="5">
        <f t="shared" si="8"/>
        <v>8.9</v>
      </c>
      <c r="AL11" s="5">
        <f t="shared" si="9"/>
        <v>-0.9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5">
        <v>0</v>
      </c>
    </row>
    <row r="12" spans="2:48" x14ac:dyDescent="0.3">
      <c r="B12" t="s">
        <v>18</v>
      </c>
      <c r="M12" s="5">
        <f t="shared" ref="M12:AB12" si="14">SUM(M8:M11)</f>
        <v>99.1</v>
      </c>
      <c r="N12" s="5">
        <f t="shared" si="14"/>
        <v>118.80000000000001</v>
      </c>
      <c r="O12" s="5">
        <f t="shared" si="14"/>
        <v>114.9</v>
      </c>
      <c r="P12" s="5">
        <f t="shared" si="14"/>
        <v>126.2</v>
      </c>
      <c r="Q12" s="5">
        <f t="shared" si="14"/>
        <v>123.9</v>
      </c>
      <c r="R12" s="5">
        <f t="shared" si="14"/>
        <v>143.79999999999998</v>
      </c>
      <c r="S12" s="5">
        <f t="shared" si="14"/>
        <v>116.49999999999999</v>
      </c>
      <c r="T12" s="5">
        <f t="shared" si="14"/>
        <v>118.29999999999998</v>
      </c>
      <c r="U12" s="5">
        <f t="shared" si="14"/>
        <v>122.80000000000001</v>
      </c>
      <c r="V12" s="5">
        <f t="shared" si="14"/>
        <v>117.9</v>
      </c>
      <c r="W12" s="5">
        <f t="shared" si="14"/>
        <v>119.3</v>
      </c>
      <c r="X12" s="5">
        <f t="shared" si="14"/>
        <v>121.4</v>
      </c>
      <c r="Y12" s="5">
        <f t="shared" si="14"/>
        <v>118</v>
      </c>
      <c r="Z12" s="5">
        <f t="shared" si="14"/>
        <v>126.00000000000001</v>
      </c>
      <c r="AA12" s="5">
        <f t="shared" si="14"/>
        <v>112.29999999999998</v>
      </c>
      <c r="AB12" s="5">
        <f t="shared" si="14"/>
        <v>117.80000000000001</v>
      </c>
      <c r="AC12" s="5">
        <f t="shared" ref="AC12:AD12" si="15">SUM(AC8:AC11)</f>
        <v>121.60000000000001</v>
      </c>
      <c r="AD12" s="5">
        <f t="shared" si="15"/>
        <v>120.82824000000002</v>
      </c>
      <c r="AF12" s="5">
        <f t="shared" ref="AF12:AL12" si="16">SUM(AF8:AF11)</f>
        <v>143.20000000000002</v>
      </c>
      <c r="AG12" s="5">
        <f t="shared" si="16"/>
        <v>221.2</v>
      </c>
      <c r="AH12" s="5">
        <f t="shared" si="16"/>
        <v>392.50000000000006</v>
      </c>
      <c r="AI12" s="5">
        <f t="shared" si="16"/>
        <v>508.80000000000007</v>
      </c>
      <c r="AJ12" s="5">
        <f t="shared" si="16"/>
        <v>475.49999999999994</v>
      </c>
      <c r="AK12" s="5">
        <f t="shared" si="16"/>
        <v>484.69999999999993</v>
      </c>
      <c r="AL12" s="5">
        <f t="shared" si="16"/>
        <v>472.5282400000001</v>
      </c>
      <c r="AM12" s="5">
        <f t="shared" ref="AM12:AN12" si="17">SUM(AM8:AM11)</f>
        <v>469.94876399999998</v>
      </c>
      <c r="AN12" s="5">
        <f t="shared" si="17"/>
        <v>474.25233024000005</v>
      </c>
      <c r="AO12" s="5">
        <f t="shared" ref="AO12" si="18">SUM(AO8:AO11)</f>
        <v>475.78313914560005</v>
      </c>
      <c r="AP12" s="5">
        <f t="shared" ref="AP12" si="19">SUM(AP8:AP11)</f>
        <v>485.79994698268797</v>
      </c>
      <c r="AQ12" s="5">
        <f t="shared" ref="AQ12" si="20">SUM(AQ8:AQ11)</f>
        <v>496.07469219151585</v>
      </c>
      <c r="AR12" s="5">
        <f t="shared" ref="AR12" si="21">SUM(AR8:AR11)</f>
        <v>506.61468722460199</v>
      </c>
      <c r="AS12" s="5">
        <f t="shared" ref="AS12" si="22">SUM(AS8:AS11)</f>
        <v>517.42745965135418</v>
      </c>
      <c r="AT12" s="5">
        <f t="shared" ref="AT12" si="23">SUM(AT8:AT11)</f>
        <v>528.52075856900899</v>
      </c>
      <c r="AU12" s="5">
        <f t="shared" ref="AU12" si="24">SUM(AU8:AU11)</f>
        <v>539.90256120547463</v>
      </c>
      <c r="AV12" s="5">
        <f t="shared" ref="AV12" si="25">SUM(AV8:AV11)</f>
        <v>551.58107971982827</v>
      </c>
    </row>
    <row r="13" spans="2:48" s="1" customFormat="1" x14ac:dyDescent="0.3">
      <c r="B13" s="1" t="s">
        <v>20</v>
      </c>
      <c r="M13" s="8">
        <f t="shared" ref="M13:AB13" si="26">M7-M12</f>
        <v>-31.399999999999991</v>
      </c>
      <c r="N13" s="8">
        <f t="shared" si="26"/>
        <v>-47.500000000000014</v>
      </c>
      <c r="O13" s="8">
        <f t="shared" si="26"/>
        <v>-37.299999999999997</v>
      </c>
      <c r="P13" s="8">
        <f t="shared" si="26"/>
        <v>-47.8</v>
      </c>
      <c r="Q13" s="8">
        <f t="shared" si="26"/>
        <v>-36.299999999999997</v>
      </c>
      <c r="R13" s="8">
        <f t="shared" si="26"/>
        <v>-55.899999999999991</v>
      </c>
      <c r="S13" s="8">
        <f t="shared" si="26"/>
        <v>-39.099999999999994</v>
      </c>
      <c r="T13" s="8">
        <f t="shared" si="26"/>
        <v>-38.599999999999994</v>
      </c>
      <c r="U13" s="8">
        <f t="shared" si="26"/>
        <v>-39.600000000000009</v>
      </c>
      <c r="V13" s="8">
        <f t="shared" si="26"/>
        <v>-28.599999999999994</v>
      </c>
      <c r="W13" s="8">
        <f t="shared" si="26"/>
        <v>-29.799999999999997</v>
      </c>
      <c r="X13" s="8">
        <f t="shared" si="26"/>
        <v>-31.199999999999989</v>
      </c>
      <c r="Y13" s="8">
        <f t="shared" si="26"/>
        <v>-21.800000000000011</v>
      </c>
      <c r="Z13" s="8">
        <f t="shared" si="26"/>
        <v>-30.500000000000028</v>
      </c>
      <c r="AA13" s="8">
        <f t="shared" si="26"/>
        <v>-14.399999999999977</v>
      </c>
      <c r="AB13" s="8">
        <f t="shared" si="26"/>
        <v>-15.100000000000023</v>
      </c>
      <c r="AC13" s="8">
        <f t="shared" ref="AC13:AD13" si="27">AC7-AC12</f>
        <v>-15.600000000000023</v>
      </c>
      <c r="AD13" s="8">
        <f t="shared" si="27"/>
        <v>-14.383440000000007</v>
      </c>
      <c r="AF13" s="8">
        <f t="shared" ref="AF13:AL13" si="28">AF7-AF12</f>
        <v>-48.400000000000006</v>
      </c>
      <c r="AG13" s="8">
        <f t="shared" si="28"/>
        <v>-66.5</v>
      </c>
      <c r="AH13" s="8">
        <f t="shared" si="28"/>
        <v>-143.00000000000006</v>
      </c>
      <c r="AI13" s="8">
        <f t="shared" si="28"/>
        <v>-177.30000000000013</v>
      </c>
      <c r="AJ13" s="8">
        <f t="shared" si="28"/>
        <v>-145.90000000000003</v>
      </c>
      <c r="AK13" s="8">
        <f t="shared" si="28"/>
        <v>-113.2999999999999</v>
      </c>
      <c r="AL13" s="8">
        <f t="shared" si="28"/>
        <v>-59.483440000000087</v>
      </c>
      <c r="AM13" s="8">
        <f t="shared" ref="AM13:AN13" si="29">AM7-AM12</f>
        <v>-26.516795999999943</v>
      </c>
      <c r="AN13" s="8">
        <f t="shared" si="29"/>
        <v>-4.8479184000000828</v>
      </c>
      <c r="AO13" s="8">
        <f t="shared" ref="AO13" si="30">AO7-AO12</f>
        <v>16.185625123199941</v>
      </c>
      <c r="AP13" s="8">
        <f t="shared" ref="AP13" si="31">AP7-AP12</f>
        <v>20.927880214176014</v>
      </c>
      <c r="AQ13" s="8">
        <f t="shared" ref="AQ13" si="32">AQ7-AQ12</f>
        <v>25.854969821254031</v>
      </c>
      <c r="AR13" s="8">
        <f t="shared" ref="AR13" si="33">AR7-AR12</f>
        <v>30.972864648551081</v>
      </c>
      <c r="AS13" s="8">
        <f t="shared" ref="AS13" si="34">AS7-AS12</f>
        <v>36.287718777993518</v>
      </c>
      <c r="AT13" s="8">
        <f t="shared" ref="AT13" si="35">AT7-AT12</f>
        <v>41.80587521321911</v>
      </c>
      <c r="AU13" s="8">
        <f t="shared" ref="AU13" si="36">AU7-AU12</f>
        <v>47.533871590220315</v>
      </c>
      <c r="AV13" s="8">
        <f t="shared" ref="AV13" si="37">AV7-AV12</f>
        <v>53.478446059737507</v>
      </c>
    </row>
    <row r="14" spans="2:48" x14ac:dyDescent="0.3">
      <c r="B14" t="s">
        <v>21</v>
      </c>
      <c r="M14" s="5">
        <v>-0.1</v>
      </c>
      <c r="N14" s="5">
        <v>-0.1</v>
      </c>
      <c r="O14" s="5">
        <v>-0.3</v>
      </c>
      <c r="P14" s="5">
        <v>-0.8</v>
      </c>
      <c r="Q14" s="5">
        <v>-2.2999999999999998</v>
      </c>
      <c r="R14" s="5">
        <v>-5.7</v>
      </c>
      <c r="S14" s="5">
        <v>-8</v>
      </c>
      <c r="T14" s="5">
        <v>-8.1999999999999993</v>
      </c>
      <c r="U14" s="5">
        <v>-8.9</v>
      </c>
      <c r="V14" s="5">
        <v>-9.3000000000000007</v>
      </c>
      <c r="W14" s="5">
        <v>-9.6</v>
      </c>
      <c r="X14" s="5">
        <v>-9.3000000000000007</v>
      </c>
      <c r="Y14" s="5">
        <v>-9.4</v>
      </c>
      <c r="Z14" s="5">
        <v>-8.5</v>
      </c>
      <c r="AA14" s="5">
        <v>-7.8</v>
      </c>
      <c r="AB14" s="5">
        <v>-8</v>
      </c>
      <c r="AC14" s="5">
        <v>-8.3000000000000007</v>
      </c>
      <c r="AD14" s="5">
        <v>-8</v>
      </c>
      <c r="AF14" s="5">
        <v>-3.3</v>
      </c>
      <c r="AG14" s="5">
        <v>-1.2</v>
      </c>
      <c r="AH14" s="5">
        <v>-0.3</v>
      </c>
      <c r="AI14" s="5">
        <f t="shared" ref="AI14:AI15" si="38">SUM(O14:R14)</f>
        <v>-9.1</v>
      </c>
      <c r="AJ14" s="5">
        <f t="shared" ref="AJ14:AJ15" si="39">SUM(S14:V14)</f>
        <v>-34.400000000000006</v>
      </c>
      <c r="AK14" s="5">
        <f t="shared" ref="AK14:AK15" si="40">SUM(W14:Z14)</f>
        <v>-36.799999999999997</v>
      </c>
      <c r="AL14" s="5">
        <f t="shared" ref="AL14:AL15" si="41">SUM(AA14:AD14)</f>
        <v>-32.1</v>
      </c>
      <c r="AM14" s="5">
        <f>AL14*1.01</f>
        <v>-32.420999999999999</v>
      </c>
      <c r="AN14" s="5">
        <f>AM14*1.01</f>
        <v>-32.74521</v>
      </c>
      <c r="AO14" s="5">
        <f t="shared" ref="AO14:AV14" si="42">AN14*1.01</f>
        <v>-33.072662100000002</v>
      </c>
      <c r="AP14" s="5">
        <f t="shared" si="42"/>
        <v>-33.403388721000006</v>
      </c>
      <c r="AQ14" s="5">
        <f t="shared" si="42"/>
        <v>-33.737422608210004</v>
      </c>
      <c r="AR14" s="5">
        <f t="shared" si="42"/>
        <v>-34.074796834292101</v>
      </c>
      <c r="AS14" s="5">
        <f t="shared" si="42"/>
        <v>-34.415544802635026</v>
      </c>
      <c r="AT14" s="5">
        <f t="shared" si="42"/>
        <v>-34.759700250661375</v>
      </c>
      <c r="AU14" s="5">
        <f t="shared" si="42"/>
        <v>-35.107297253167992</v>
      </c>
      <c r="AV14" s="5">
        <f t="shared" si="42"/>
        <v>-35.458370225699674</v>
      </c>
    </row>
    <row r="15" spans="2:48" x14ac:dyDescent="0.3">
      <c r="B15" t="s">
        <v>22</v>
      </c>
      <c r="M15" s="5">
        <v>0.3</v>
      </c>
      <c r="N15" s="5">
        <v>0.1</v>
      </c>
      <c r="O15" s="5">
        <v>0.4</v>
      </c>
      <c r="P15" s="5">
        <v>1.2</v>
      </c>
      <c r="Q15" s="5">
        <v>1</v>
      </c>
      <c r="R15" s="5">
        <v>-0.2</v>
      </c>
      <c r="S15" s="5">
        <v>-0.1</v>
      </c>
      <c r="T15" s="5">
        <v>0</v>
      </c>
      <c r="U15" s="5">
        <v>0.3</v>
      </c>
      <c r="V15" s="5">
        <v>-0.2</v>
      </c>
      <c r="W15" s="5">
        <v>0.3</v>
      </c>
      <c r="X15" s="5">
        <v>0</v>
      </c>
      <c r="Y15" s="5">
        <v>-0.2</v>
      </c>
      <c r="Z15" s="5">
        <v>1.9</v>
      </c>
      <c r="AA15" s="5">
        <v>-0.3</v>
      </c>
      <c r="AB15" s="5">
        <v>-0.1</v>
      </c>
      <c r="AC15" s="5">
        <v>0.5</v>
      </c>
      <c r="AD15" s="5">
        <v>0</v>
      </c>
      <c r="AF15" s="5">
        <f>0.6+0.3</f>
        <v>0.89999999999999991</v>
      </c>
      <c r="AG15" s="5">
        <v>-0.1</v>
      </c>
      <c r="AH15" s="5">
        <v>0.3</v>
      </c>
      <c r="AI15" s="5">
        <f t="shared" si="38"/>
        <v>2.4</v>
      </c>
      <c r="AJ15" s="5">
        <f t="shared" si="39"/>
        <v>0</v>
      </c>
      <c r="AK15" s="5">
        <f t="shared" si="40"/>
        <v>2</v>
      </c>
      <c r="AL15" s="5">
        <f t="shared" si="41"/>
        <v>9.9999999999999978E-2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5">
        <v>0</v>
      </c>
    </row>
    <row r="16" spans="2:48" s="1" customFormat="1" x14ac:dyDescent="0.3">
      <c r="B16" s="1" t="s">
        <v>23</v>
      </c>
      <c r="M16" s="8">
        <f t="shared" ref="M16:AB16" si="43">M13-M14-M15</f>
        <v>-31.599999999999991</v>
      </c>
      <c r="N16" s="8">
        <f t="shared" si="43"/>
        <v>-47.500000000000014</v>
      </c>
      <c r="O16" s="8">
        <f t="shared" si="43"/>
        <v>-37.4</v>
      </c>
      <c r="P16" s="8">
        <f t="shared" si="43"/>
        <v>-48.2</v>
      </c>
      <c r="Q16" s="8">
        <f t="shared" si="43"/>
        <v>-35</v>
      </c>
      <c r="R16" s="8">
        <f t="shared" si="43"/>
        <v>-49.999999999999986</v>
      </c>
      <c r="S16" s="8">
        <f t="shared" si="43"/>
        <v>-30.999999999999993</v>
      </c>
      <c r="T16" s="8">
        <f t="shared" si="43"/>
        <v>-30.399999999999995</v>
      </c>
      <c r="U16" s="8">
        <f t="shared" si="43"/>
        <v>-31.000000000000011</v>
      </c>
      <c r="V16" s="8">
        <f t="shared" si="43"/>
        <v>-19.099999999999994</v>
      </c>
      <c r="W16" s="8">
        <f t="shared" si="43"/>
        <v>-20.499999999999996</v>
      </c>
      <c r="X16" s="8">
        <f t="shared" si="43"/>
        <v>-21.899999999999988</v>
      </c>
      <c r="Y16" s="8">
        <f t="shared" si="43"/>
        <v>-12.200000000000012</v>
      </c>
      <c r="Z16" s="8">
        <f t="shared" si="43"/>
        <v>-23.900000000000027</v>
      </c>
      <c r="AA16" s="8">
        <f t="shared" si="43"/>
        <v>-6.2999999999999776</v>
      </c>
      <c r="AB16" s="8">
        <f t="shared" si="43"/>
        <v>-7.0000000000000231</v>
      </c>
      <c r="AC16" s="8">
        <f t="shared" ref="AC16:AD16" si="44">AC13-AC14-AC15</f>
        <v>-7.800000000000022</v>
      </c>
      <c r="AD16" s="8">
        <f t="shared" si="44"/>
        <v>-6.3834400000000073</v>
      </c>
      <c r="AF16" s="8">
        <f t="shared" ref="AF16:AL16" si="45">AF13-AF14-AF15</f>
        <v>-46.000000000000007</v>
      </c>
      <c r="AG16" s="8">
        <f t="shared" si="45"/>
        <v>-65.2</v>
      </c>
      <c r="AH16" s="8">
        <f t="shared" si="45"/>
        <v>-143.00000000000006</v>
      </c>
      <c r="AI16" s="8">
        <f t="shared" si="45"/>
        <v>-170.60000000000014</v>
      </c>
      <c r="AJ16" s="8">
        <f t="shared" si="45"/>
        <v>-111.50000000000003</v>
      </c>
      <c r="AK16" s="8">
        <f t="shared" si="45"/>
        <v>-78.499999999999901</v>
      </c>
      <c r="AL16" s="8">
        <f t="shared" si="45"/>
        <v>-27.483440000000087</v>
      </c>
      <c r="AM16" s="8">
        <f t="shared" ref="AM16:AN16" si="46">AM13-AM14-AM15</f>
        <v>5.9042040000000569</v>
      </c>
      <c r="AN16" s="8">
        <f t="shared" si="46"/>
        <v>27.897291599999917</v>
      </c>
      <c r="AO16" s="8">
        <f t="shared" ref="AO16" si="47">AO13-AO14-AO15</f>
        <v>49.258287223199943</v>
      </c>
      <c r="AP16" s="8">
        <f t="shared" ref="AP16" si="48">AP13-AP14-AP15</f>
        <v>54.33126893517602</v>
      </c>
      <c r="AQ16" s="8">
        <f t="shared" ref="AQ16" si="49">AQ13-AQ14-AQ15</f>
        <v>59.592392429464034</v>
      </c>
      <c r="AR16" s="8">
        <f t="shared" ref="AR16" si="50">AR13-AR14-AR15</f>
        <v>65.047661482843182</v>
      </c>
      <c r="AS16" s="8">
        <f t="shared" ref="AS16" si="51">AS13-AS14-AS15</f>
        <v>70.703263580628544</v>
      </c>
      <c r="AT16" s="8">
        <f t="shared" ref="AT16" si="52">AT13-AT14-AT15</f>
        <v>76.565575463880492</v>
      </c>
      <c r="AU16" s="8">
        <f t="shared" ref="AU16" si="53">AU13-AU14-AU15</f>
        <v>82.6411688433883</v>
      </c>
      <c r="AV16" s="8">
        <f t="shared" ref="AV16" si="54">AV13-AV14-AV15</f>
        <v>88.936816285437175</v>
      </c>
    </row>
    <row r="17" spans="2:144" x14ac:dyDescent="0.3">
      <c r="B17" t="s">
        <v>24</v>
      </c>
      <c r="M17" s="5">
        <v>0.8</v>
      </c>
      <c r="N17" s="5">
        <v>0.2</v>
      </c>
      <c r="O17" s="5">
        <v>1</v>
      </c>
      <c r="P17" s="5">
        <v>1.2</v>
      </c>
      <c r="Q17" s="5">
        <v>1</v>
      </c>
      <c r="R17" s="5">
        <v>1.5</v>
      </c>
      <c r="S17" s="5">
        <v>1.4</v>
      </c>
      <c r="T17" s="5">
        <v>1.6</v>
      </c>
      <c r="U17" s="5">
        <v>1</v>
      </c>
      <c r="V17" s="5">
        <v>1.3</v>
      </c>
      <c r="W17" s="5">
        <v>0.8</v>
      </c>
      <c r="X17" s="5">
        <v>1</v>
      </c>
      <c r="Y17" s="5">
        <v>1.5</v>
      </c>
      <c r="Z17" s="5">
        <v>-2.2999999999999998</v>
      </c>
      <c r="AA17" s="5">
        <v>1.5</v>
      </c>
      <c r="AB17" s="5">
        <v>0.8</v>
      </c>
      <c r="AC17" s="5">
        <v>0.8</v>
      </c>
      <c r="AD17" s="5">
        <v>1</v>
      </c>
      <c r="AF17" s="5">
        <v>0.7</v>
      </c>
      <c r="AG17" s="5">
        <v>1.5</v>
      </c>
      <c r="AH17" s="5">
        <v>2.1</v>
      </c>
      <c r="AI17" s="5">
        <f>SUM(O17:R17)</f>
        <v>4.7</v>
      </c>
      <c r="AJ17" s="5">
        <f>SUM(S17:V17)</f>
        <v>5.3</v>
      </c>
      <c r="AK17" s="5">
        <f>SUM(W17:Z17)</f>
        <v>1</v>
      </c>
      <c r="AL17" s="5">
        <f>SUM(AA17:AD17)</f>
        <v>4.0999999999999996</v>
      </c>
      <c r="AM17" s="5">
        <f>AM16*0.1</f>
        <v>0.59042040000000573</v>
      </c>
      <c r="AN17" s="5">
        <f>AN16*0.1</f>
        <v>2.7897291599999918</v>
      </c>
      <c r="AO17" s="5">
        <f t="shared" ref="AO17:AV17" si="55">AO16*0.1</f>
        <v>4.925828722319995</v>
      </c>
      <c r="AP17" s="5">
        <f t="shared" si="55"/>
        <v>5.4331268935176027</v>
      </c>
      <c r="AQ17" s="5">
        <f t="shared" si="55"/>
        <v>5.9592392429464036</v>
      </c>
      <c r="AR17" s="5">
        <f t="shared" si="55"/>
        <v>6.5047661482843182</v>
      </c>
      <c r="AS17" s="5">
        <f t="shared" si="55"/>
        <v>7.0703263580628546</v>
      </c>
      <c r="AT17" s="5">
        <f t="shared" si="55"/>
        <v>7.6565575463880498</v>
      </c>
      <c r="AU17" s="5">
        <f t="shared" si="55"/>
        <v>8.2641168843388311</v>
      </c>
      <c r="AV17" s="5">
        <f t="shared" si="55"/>
        <v>8.8936816285437175</v>
      </c>
    </row>
    <row r="18" spans="2:144" s="1" customFormat="1" x14ac:dyDescent="0.3">
      <c r="B18" s="1" t="s">
        <v>25</v>
      </c>
      <c r="M18" s="8">
        <f t="shared" ref="M18:AB18" si="56">M16-M17</f>
        <v>-32.399999999999991</v>
      </c>
      <c r="N18" s="8">
        <f t="shared" si="56"/>
        <v>-47.700000000000017</v>
      </c>
      <c r="O18" s="8">
        <f t="shared" si="56"/>
        <v>-38.4</v>
      </c>
      <c r="P18" s="8">
        <f t="shared" si="56"/>
        <v>-49.400000000000006</v>
      </c>
      <c r="Q18" s="8">
        <f t="shared" si="56"/>
        <v>-36</v>
      </c>
      <c r="R18" s="8">
        <f t="shared" si="56"/>
        <v>-51.499999999999986</v>
      </c>
      <c r="S18" s="8">
        <f t="shared" si="56"/>
        <v>-32.399999999999991</v>
      </c>
      <c r="T18" s="8">
        <f t="shared" si="56"/>
        <v>-31.999999999999996</v>
      </c>
      <c r="U18" s="8">
        <f t="shared" si="56"/>
        <v>-32.000000000000014</v>
      </c>
      <c r="V18" s="8">
        <f t="shared" si="56"/>
        <v>-20.399999999999995</v>
      </c>
      <c r="W18" s="8">
        <f t="shared" si="56"/>
        <v>-21.299999999999997</v>
      </c>
      <c r="X18" s="8">
        <f t="shared" si="56"/>
        <v>-22.899999999999988</v>
      </c>
      <c r="Y18" s="8">
        <f t="shared" si="56"/>
        <v>-13.700000000000012</v>
      </c>
      <c r="Z18" s="8">
        <f t="shared" si="56"/>
        <v>-21.600000000000026</v>
      </c>
      <c r="AA18" s="8">
        <f t="shared" si="56"/>
        <v>-7.7999999999999776</v>
      </c>
      <c r="AB18" s="8">
        <f t="shared" si="56"/>
        <v>-7.8000000000000229</v>
      </c>
      <c r="AC18" s="8">
        <f t="shared" ref="AC18:AD18" si="57">AC16-AC17</f>
        <v>-8.6000000000000227</v>
      </c>
      <c r="AD18" s="8">
        <f t="shared" si="57"/>
        <v>-7.3834400000000073</v>
      </c>
      <c r="AF18" s="8">
        <f t="shared" ref="AF18:AL18" si="58">AF16-AF17</f>
        <v>-46.70000000000001</v>
      </c>
      <c r="AG18" s="8">
        <f t="shared" si="58"/>
        <v>-66.7</v>
      </c>
      <c r="AH18" s="8">
        <f t="shared" si="58"/>
        <v>-145.10000000000005</v>
      </c>
      <c r="AI18" s="8">
        <f t="shared" si="58"/>
        <v>-175.30000000000013</v>
      </c>
      <c r="AJ18" s="8">
        <f t="shared" si="58"/>
        <v>-116.80000000000003</v>
      </c>
      <c r="AK18" s="8">
        <f t="shared" si="58"/>
        <v>-79.499999999999901</v>
      </c>
      <c r="AL18" s="8">
        <f t="shared" si="58"/>
        <v>-31.583440000000088</v>
      </c>
      <c r="AM18" s="8">
        <f t="shared" ref="AM18:AN18" si="59">AM16-AM17</f>
        <v>5.3137836000000513</v>
      </c>
      <c r="AN18" s="8">
        <f t="shared" si="59"/>
        <v>25.107562439999924</v>
      </c>
      <c r="AO18" s="8">
        <f t="shared" ref="AO18" si="60">AO16-AO17</f>
        <v>44.332458500879952</v>
      </c>
      <c r="AP18" s="8">
        <f t="shared" ref="AP18" si="61">AP16-AP17</f>
        <v>48.898142041658417</v>
      </c>
      <c r="AQ18" s="8">
        <f t="shared" ref="AQ18" si="62">AQ16-AQ17</f>
        <v>53.633153186517632</v>
      </c>
      <c r="AR18" s="8">
        <f t="shared" ref="AR18" si="63">AR16-AR17</f>
        <v>58.542895334558864</v>
      </c>
      <c r="AS18" s="8">
        <f t="shared" ref="AS18" si="64">AS16-AS17</f>
        <v>63.632937222565687</v>
      </c>
      <c r="AT18" s="8">
        <f t="shared" ref="AT18" si="65">AT16-AT17</f>
        <v>68.909017917492449</v>
      </c>
      <c r="AU18" s="8">
        <f t="shared" ref="AU18" si="66">AU16-AU17</f>
        <v>74.377051959049467</v>
      </c>
      <c r="AV18" s="8">
        <f t="shared" ref="AV18" si="67">AV16-AV17</f>
        <v>80.043134656893457</v>
      </c>
      <c r="AW18" s="1">
        <f>AV18*(1+$AY$25)</f>
        <v>79.242703310324515</v>
      </c>
      <c r="AX18" s="1">
        <f t="shared" ref="AX18:DI18" si="68">AW18*(1+$AY$25)</f>
        <v>78.450276277221263</v>
      </c>
      <c r="AY18" s="1">
        <f t="shared" si="68"/>
        <v>77.665773514449043</v>
      </c>
      <c r="AZ18" s="1">
        <f t="shared" si="68"/>
        <v>76.889115779304547</v>
      </c>
      <c r="BA18" s="1">
        <f t="shared" si="68"/>
        <v>76.120224621511497</v>
      </c>
      <c r="BB18" s="1">
        <f t="shared" si="68"/>
        <v>75.359022375296377</v>
      </c>
      <c r="BC18" s="1">
        <f t="shared" si="68"/>
        <v>74.605432151543411</v>
      </c>
      <c r="BD18" s="1">
        <f t="shared" si="68"/>
        <v>73.859377830027981</v>
      </c>
      <c r="BE18" s="1">
        <f t="shared" si="68"/>
        <v>73.120784051727696</v>
      </c>
      <c r="BF18" s="1">
        <f t="shared" si="68"/>
        <v>72.389576211210425</v>
      </c>
      <c r="BG18" s="1">
        <f t="shared" si="68"/>
        <v>71.665680449098318</v>
      </c>
      <c r="BH18" s="1">
        <f t="shared" si="68"/>
        <v>70.949023644607337</v>
      </c>
      <c r="BI18" s="1">
        <f t="shared" si="68"/>
        <v>70.239533408161265</v>
      </c>
      <c r="BJ18" s="1">
        <f t="shared" si="68"/>
        <v>69.53713807407965</v>
      </c>
      <c r="BK18" s="1">
        <f t="shared" si="68"/>
        <v>68.841766693338855</v>
      </c>
      <c r="BL18" s="1">
        <f t="shared" si="68"/>
        <v>68.153349026405465</v>
      </c>
      <c r="BM18" s="1">
        <f t="shared" si="68"/>
        <v>67.471815536141406</v>
      </c>
      <c r="BN18" s="1">
        <f t="shared" si="68"/>
        <v>66.797097380779988</v>
      </c>
      <c r="BO18" s="1">
        <f t="shared" si="68"/>
        <v>66.12912640697219</v>
      </c>
      <c r="BP18" s="1">
        <f t="shared" si="68"/>
        <v>65.467835142902473</v>
      </c>
      <c r="BQ18" s="1">
        <f t="shared" si="68"/>
        <v>64.813156791473446</v>
      </c>
      <c r="BR18" s="1">
        <f t="shared" si="68"/>
        <v>64.165025223558715</v>
      </c>
      <c r="BS18" s="1">
        <f t="shared" si="68"/>
        <v>63.523374971323129</v>
      </c>
      <c r="BT18" s="1">
        <f t="shared" si="68"/>
        <v>62.888141221609899</v>
      </c>
      <c r="BU18" s="1">
        <f t="shared" si="68"/>
        <v>62.259259809393797</v>
      </c>
      <c r="BV18" s="1">
        <f t="shared" si="68"/>
        <v>61.636667211299859</v>
      </c>
      <c r="BW18" s="1">
        <f t="shared" si="68"/>
        <v>61.020300539186863</v>
      </c>
      <c r="BX18" s="1">
        <f t="shared" si="68"/>
        <v>60.410097533794996</v>
      </c>
      <c r="BY18" s="1">
        <f t="shared" si="68"/>
        <v>59.805996558457046</v>
      </c>
      <c r="BZ18" s="1">
        <f t="shared" si="68"/>
        <v>59.207936592872478</v>
      </c>
      <c r="CA18" s="1">
        <f t="shared" si="68"/>
        <v>58.615857226943753</v>
      </c>
      <c r="CB18" s="1">
        <f t="shared" si="68"/>
        <v>58.029698654674313</v>
      </c>
      <c r="CC18" s="1">
        <f t="shared" si="68"/>
        <v>57.449401668127571</v>
      </c>
      <c r="CD18" s="1">
        <f t="shared" si="68"/>
        <v>56.874907651446293</v>
      </c>
      <c r="CE18" s="1">
        <f t="shared" si="68"/>
        <v>56.306158574931828</v>
      </c>
      <c r="CF18" s="1">
        <f t="shared" si="68"/>
        <v>55.743096989182511</v>
      </c>
      <c r="CG18" s="1">
        <f t="shared" si="68"/>
        <v>55.185666019290686</v>
      </c>
      <c r="CH18" s="1">
        <f t="shared" si="68"/>
        <v>54.633809359097782</v>
      </c>
      <c r="CI18" s="1">
        <f t="shared" si="68"/>
        <v>54.087471265506807</v>
      </c>
      <c r="CJ18" s="1">
        <f t="shared" si="68"/>
        <v>53.546596552851739</v>
      </c>
      <c r="CK18" s="1">
        <f t="shared" si="68"/>
        <v>53.011130587323223</v>
      </c>
      <c r="CL18" s="1">
        <f t="shared" si="68"/>
        <v>52.481019281449989</v>
      </c>
      <c r="CM18" s="1">
        <f t="shared" si="68"/>
        <v>51.956209088635489</v>
      </c>
      <c r="CN18" s="1">
        <f t="shared" si="68"/>
        <v>51.436646997749136</v>
      </c>
      <c r="CO18" s="1">
        <f t="shared" si="68"/>
        <v>50.922280527771647</v>
      </c>
      <c r="CP18" s="1">
        <f t="shared" si="68"/>
        <v>50.413057722493932</v>
      </c>
      <c r="CQ18" s="1">
        <f t="shared" si="68"/>
        <v>49.90892714526899</v>
      </c>
      <c r="CR18" s="1">
        <f t="shared" si="68"/>
        <v>49.409837873816301</v>
      </c>
      <c r="CS18" s="1">
        <f t="shared" si="68"/>
        <v>48.915739495078135</v>
      </c>
      <c r="CT18" s="1">
        <f t="shared" si="68"/>
        <v>48.426582100127355</v>
      </c>
      <c r="CU18" s="1">
        <f t="shared" si="68"/>
        <v>47.942316279126082</v>
      </c>
      <c r="CV18" s="1">
        <f t="shared" si="68"/>
        <v>47.462893116334818</v>
      </c>
      <c r="CW18" s="1">
        <f t="shared" si="68"/>
        <v>46.988264185171467</v>
      </c>
      <c r="CX18" s="1">
        <f t="shared" si="68"/>
        <v>46.518381543319748</v>
      </c>
      <c r="CY18" s="1">
        <f t="shared" si="68"/>
        <v>46.053197727886548</v>
      </c>
      <c r="CZ18" s="1">
        <f t="shared" si="68"/>
        <v>45.592665750607679</v>
      </c>
      <c r="DA18" s="1">
        <f t="shared" si="68"/>
        <v>45.136739093101603</v>
      </c>
      <c r="DB18" s="1">
        <f t="shared" si="68"/>
        <v>44.685371702170585</v>
      </c>
      <c r="DC18" s="1">
        <f t="shared" si="68"/>
        <v>44.238517985148881</v>
      </c>
      <c r="DD18" s="1">
        <f t="shared" si="68"/>
        <v>43.79613280529739</v>
      </c>
      <c r="DE18" s="1">
        <f t="shared" si="68"/>
        <v>43.358171477244419</v>
      </c>
      <c r="DF18" s="1">
        <f t="shared" si="68"/>
        <v>42.924589762471975</v>
      </c>
      <c r="DG18" s="1">
        <f t="shared" si="68"/>
        <v>42.495343864847257</v>
      </c>
      <c r="DH18" s="1">
        <f t="shared" si="68"/>
        <v>42.070390426198784</v>
      </c>
      <c r="DI18" s="1">
        <f t="shared" si="68"/>
        <v>41.649686521936793</v>
      </c>
      <c r="DJ18" s="1">
        <f t="shared" ref="DJ18:EN18" si="69">DI18*(1+$AY$25)</f>
        <v>41.233189656717428</v>
      </c>
      <c r="DK18" s="1">
        <f t="shared" si="69"/>
        <v>40.820857760150254</v>
      </c>
      <c r="DL18" s="1">
        <f t="shared" si="69"/>
        <v>40.412649182548748</v>
      </c>
      <c r="DM18" s="1">
        <f t="shared" si="69"/>
        <v>40.008522690723261</v>
      </c>
      <c r="DN18" s="1">
        <f t="shared" si="69"/>
        <v>39.608437463816031</v>
      </c>
      <c r="DO18" s="1">
        <f t="shared" si="69"/>
        <v>39.212353089177867</v>
      </c>
      <c r="DP18" s="1">
        <f t="shared" si="69"/>
        <v>38.820229558286087</v>
      </c>
      <c r="DQ18" s="1">
        <f t="shared" si="69"/>
        <v>38.432027262703222</v>
      </c>
      <c r="DR18" s="1">
        <f t="shared" si="69"/>
        <v>38.047706990076193</v>
      </c>
      <c r="DS18" s="1">
        <f t="shared" si="69"/>
        <v>37.66722992017543</v>
      </c>
      <c r="DT18" s="1">
        <f t="shared" si="69"/>
        <v>37.290557620973672</v>
      </c>
      <c r="DU18" s="1">
        <f t="shared" si="69"/>
        <v>36.917652044763933</v>
      </c>
      <c r="DV18" s="1">
        <f t="shared" si="69"/>
        <v>36.548475524316295</v>
      </c>
      <c r="DW18" s="1">
        <f t="shared" si="69"/>
        <v>36.182990769073129</v>
      </c>
      <c r="DX18" s="1">
        <f t="shared" si="69"/>
        <v>35.821160861382396</v>
      </c>
      <c r="DY18" s="1">
        <f t="shared" si="69"/>
        <v>35.462949252768574</v>
      </c>
      <c r="DZ18" s="1">
        <f t="shared" si="69"/>
        <v>35.108319760240889</v>
      </c>
      <c r="EA18" s="1">
        <f t="shared" si="69"/>
        <v>34.757236562638482</v>
      </c>
      <c r="EB18" s="1">
        <f t="shared" si="69"/>
        <v>34.409664197012098</v>
      </c>
      <c r="EC18" s="1">
        <f t="shared" si="69"/>
        <v>34.06556755504198</v>
      </c>
      <c r="ED18" s="1">
        <f t="shared" si="69"/>
        <v>33.724911879491557</v>
      </c>
      <c r="EE18" s="1">
        <f t="shared" si="69"/>
        <v>33.387662760696642</v>
      </c>
      <c r="EF18" s="1">
        <f t="shared" si="69"/>
        <v>33.053786133089673</v>
      </c>
      <c r="EG18" s="1">
        <f t="shared" si="69"/>
        <v>32.723248271758777</v>
      </c>
      <c r="EH18" s="1">
        <f t="shared" si="69"/>
        <v>32.396015789041186</v>
      </c>
      <c r="EI18" s="1">
        <f t="shared" si="69"/>
        <v>32.072055631150775</v>
      </c>
      <c r="EJ18" s="1">
        <f t="shared" si="69"/>
        <v>31.751335074839268</v>
      </c>
      <c r="EK18" s="1">
        <f t="shared" si="69"/>
        <v>31.433821724090876</v>
      </c>
      <c r="EL18" s="1">
        <f t="shared" si="69"/>
        <v>31.119483506849967</v>
      </c>
      <c r="EM18" s="1">
        <f t="shared" si="69"/>
        <v>30.808288671781469</v>
      </c>
      <c r="EN18" s="1">
        <f t="shared" si="69"/>
        <v>30.500205785063653</v>
      </c>
    </row>
    <row r="19" spans="2:144" x14ac:dyDescent="0.3">
      <c r="B19" t="s">
        <v>2</v>
      </c>
      <c r="M19" s="5">
        <v>163.69999999999999</v>
      </c>
      <c r="N19" s="5">
        <v>163.69999999999999</v>
      </c>
      <c r="O19" s="5">
        <v>163.69999999999999</v>
      </c>
      <c r="P19" s="5">
        <v>163.69999999999999</v>
      </c>
      <c r="Q19" s="5">
        <v>163.69999999999999</v>
      </c>
      <c r="R19" s="5">
        <v>163.69999999999999</v>
      </c>
      <c r="S19" s="5">
        <v>163.69999999999999</v>
      </c>
      <c r="T19" s="5">
        <v>163.69999999999999</v>
      </c>
      <c r="U19" s="5">
        <v>163.69999999999999</v>
      </c>
      <c r="V19" s="5">
        <v>163.69999999999999</v>
      </c>
      <c r="W19" s="5">
        <v>163.69999999999999</v>
      </c>
      <c r="X19" s="5">
        <v>163.69999999999999</v>
      </c>
      <c r="Y19" s="5">
        <v>163.69999999999999</v>
      </c>
      <c r="Z19" s="5">
        <v>163.69999999999999</v>
      </c>
      <c r="AA19" s="5">
        <v>163.69999999999999</v>
      </c>
      <c r="AB19" s="5">
        <v>163.69999999999999</v>
      </c>
      <c r="AC19" s="5">
        <f>164.6</f>
        <v>164.6</v>
      </c>
      <c r="AD19" s="5">
        <f>164.6</f>
        <v>164.6</v>
      </c>
      <c r="AF19" s="5">
        <v>163.69999999999999</v>
      </c>
      <c r="AG19" s="5">
        <v>163.69999999999999</v>
      </c>
      <c r="AH19" s="5">
        <v>163.69999999999999</v>
      </c>
      <c r="AI19" s="5">
        <v>163.69999999999999</v>
      </c>
      <c r="AJ19" s="5">
        <v>163.69999999999999</v>
      </c>
      <c r="AK19" s="5">
        <v>163.69999999999999</v>
      </c>
      <c r="AL19" s="5">
        <f t="shared" ref="AL19:AV19" si="70">164.6</f>
        <v>164.6</v>
      </c>
      <c r="AM19" s="5">
        <f t="shared" si="70"/>
        <v>164.6</v>
      </c>
      <c r="AN19" s="5">
        <f t="shared" si="70"/>
        <v>164.6</v>
      </c>
      <c r="AO19" s="5">
        <f t="shared" si="70"/>
        <v>164.6</v>
      </c>
      <c r="AP19" s="5">
        <f t="shared" si="70"/>
        <v>164.6</v>
      </c>
      <c r="AQ19" s="5">
        <f t="shared" si="70"/>
        <v>164.6</v>
      </c>
      <c r="AR19" s="5">
        <f t="shared" si="70"/>
        <v>164.6</v>
      </c>
      <c r="AS19" s="5">
        <f t="shared" si="70"/>
        <v>164.6</v>
      </c>
      <c r="AT19" s="5">
        <f t="shared" si="70"/>
        <v>164.6</v>
      </c>
      <c r="AU19" s="5">
        <f t="shared" si="70"/>
        <v>164.6</v>
      </c>
      <c r="AV19" s="5">
        <f t="shared" si="70"/>
        <v>164.6</v>
      </c>
    </row>
    <row r="20" spans="2:144" x14ac:dyDescent="0.3">
      <c r="B20" t="s">
        <v>26</v>
      </c>
      <c r="M20" s="7">
        <f t="shared" ref="M20:AB20" si="71">M18/M19</f>
        <v>-0.19792302993280386</v>
      </c>
      <c r="N20" s="7">
        <f t="shared" si="71"/>
        <v>-0.29138668295662812</v>
      </c>
      <c r="O20" s="7">
        <f t="shared" si="71"/>
        <v>-0.23457544288332316</v>
      </c>
      <c r="P20" s="7">
        <f t="shared" si="71"/>
        <v>-0.30177153329260847</v>
      </c>
      <c r="Q20" s="7">
        <f t="shared" si="71"/>
        <v>-0.21991447770311548</v>
      </c>
      <c r="R20" s="7">
        <f t="shared" si="71"/>
        <v>-0.31459987782529009</v>
      </c>
      <c r="S20" s="7">
        <f t="shared" si="71"/>
        <v>-0.19792302993280386</v>
      </c>
      <c r="T20" s="7">
        <f t="shared" si="71"/>
        <v>-0.19547953573610261</v>
      </c>
      <c r="U20" s="7">
        <f t="shared" si="71"/>
        <v>-0.19547953573610272</v>
      </c>
      <c r="V20" s="7">
        <f t="shared" si="71"/>
        <v>-0.12461820403176541</v>
      </c>
      <c r="W20" s="7">
        <f t="shared" si="71"/>
        <v>-0.1301160659743433</v>
      </c>
      <c r="X20" s="7">
        <f t="shared" si="71"/>
        <v>-0.13989004276114839</v>
      </c>
      <c r="Y20" s="7">
        <f t="shared" si="71"/>
        <v>-8.368967623701902E-2</v>
      </c>
      <c r="Z20" s="7">
        <f t="shared" si="71"/>
        <v>-0.13194868662186945</v>
      </c>
      <c r="AA20" s="7">
        <f t="shared" si="71"/>
        <v>-4.7648136835674884E-2</v>
      </c>
      <c r="AB20" s="7">
        <f t="shared" si="71"/>
        <v>-4.7648136835675162E-2</v>
      </c>
      <c r="AC20" s="7">
        <f t="shared" ref="AC20:AD20" si="72">AC18/AC19</f>
        <v>-5.224787363304996E-2</v>
      </c>
      <c r="AD20" s="7">
        <f t="shared" si="72"/>
        <v>-4.4856865127582066E-2</v>
      </c>
      <c r="AF20" s="7">
        <f t="shared" ref="AF20:AL20" si="73">AF18/AF19</f>
        <v>-0.28527794746487484</v>
      </c>
      <c r="AG20" s="7">
        <f t="shared" si="73"/>
        <v>-0.40745265729993896</v>
      </c>
      <c r="AH20" s="7">
        <f t="shared" si="73"/>
        <v>-0.88637751985339075</v>
      </c>
      <c r="AI20" s="7">
        <f t="shared" si="73"/>
        <v>-1.0708613317043381</v>
      </c>
      <c r="AJ20" s="7">
        <f t="shared" si="73"/>
        <v>-0.71350030543677478</v>
      </c>
      <c r="AK20" s="7">
        <f t="shared" si="73"/>
        <v>-0.4856444715943794</v>
      </c>
      <c r="AL20" s="7">
        <f t="shared" si="73"/>
        <v>-0.19187995139732739</v>
      </c>
      <c r="AM20" s="7">
        <f t="shared" ref="AM20:AN20" si="74">AM18/AM19</f>
        <v>3.2283010935601771E-2</v>
      </c>
      <c r="AN20" s="7">
        <f t="shared" si="74"/>
        <v>0.15253683134872373</v>
      </c>
      <c r="AO20" s="7">
        <f t="shared" ref="AO20" si="75">AO18/AO19</f>
        <v>0.26933449879027921</v>
      </c>
      <c r="AP20" s="7">
        <f t="shared" ref="AP20" si="76">AP18/AP19</f>
        <v>0.29707255189342902</v>
      </c>
      <c r="AQ20" s="7">
        <f t="shared" ref="AQ20" si="77">AQ18/AQ19</f>
        <v>0.32583932677106703</v>
      </c>
      <c r="AR20" s="7">
        <f t="shared" ref="AR20" si="78">AR18/AR19</f>
        <v>0.35566765087824342</v>
      </c>
      <c r="AS20" s="7">
        <f t="shared" ref="AS20" si="79">AS18/AS19</f>
        <v>0.38659135615167489</v>
      </c>
      <c r="AT20" s="7">
        <f t="shared" ref="AT20" si="80">AT18/AT19</f>
        <v>0.41864530934078037</v>
      </c>
      <c r="AU20" s="7">
        <f t="shared" ref="AU20" si="81">AU18/AU19</f>
        <v>0.45186544325060429</v>
      </c>
      <c r="AV20" s="7">
        <f t="shared" ref="AV20" si="82">AV18/AV19</f>
        <v>0.48628878892401861</v>
      </c>
    </row>
    <row r="22" spans="2:144" x14ac:dyDescent="0.3">
      <c r="B22" t="s">
        <v>71</v>
      </c>
      <c r="AC22" s="9">
        <f t="shared" ref="AC22:AD24" si="83">AC3/Y3-1</f>
        <v>0.17901234567901225</v>
      </c>
    </row>
    <row r="24" spans="2:144" x14ac:dyDescent="0.3">
      <c r="B24" t="s">
        <v>55</v>
      </c>
      <c r="M24" s="9"/>
      <c r="N24" s="9"/>
      <c r="O24" s="9"/>
      <c r="P24" s="9"/>
      <c r="Q24" s="9">
        <f t="shared" ref="Q24:AA24" si="84">Q5/M5-1</f>
        <v>0.2411282984531391</v>
      </c>
      <c r="R24" s="9">
        <f t="shared" si="84"/>
        <v>0.23652173913043462</v>
      </c>
      <c r="S24" s="9">
        <f t="shared" si="84"/>
        <v>0.2259136212624584</v>
      </c>
      <c r="T24" s="9">
        <f t="shared" si="84"/>
        <v>0.23157051282051277</v>
      </c>
      <c r="U24" s="9">
        <f t="shared" si="84"/>
        <v>0.21334310850439886</v>
      </c>
      <c r="V24" s="9">
        <f t="shared" si="84"/>
        <v>0.18776371308016881</v>
      </c>
      <c r="W24" s="9">
        <f t="shared" si="84"/>
        <v>0.14566395663956633</v>
      </c>
      <c r="X24" s="9">
        <f t="shared" si="84"/>
        <v>0.10800260247234883</v>
      </c>
      <c r="Y24" s="9">
        <f t="shared" si="84"/>
        <v>6.4048338368579927E-2</v>
      </c>
      <c r="Z24" s="9">
        <f t="shared" si="84"/>
        <v>6.0982830076968586E-2</v>
      </c>
      <c r="AA24" s="9">
        <f t="shared" si="84"/>
        <v>6.0319337670017736E-2</v>
      </c>
      <c r="AB24" s="9">
        <f>AB5/X5-1</f>
        <v>9.8649442160892331E-2</v>
      </c>
      <c r="AC24" s="9">
        <f t="shared" si="83"/>
        <v>0.10278250993753546</v>
      </c>
      <c r="AD24" s="9">
        <f t="shared" si="83"/>
        <v>8.0000000000000071E-2</v>
      </c>
      <c r="AF24" s="9"/>
      <c r="AG24" s="9">
        <f t="shared" ref="AG24:AJ24" si="85">AG5/AF5-1</f>
        <v>0.5916485900216919</v>
      </c>
      <c r="AH24" s="9">
        <f t="shared" si="85"/>
        <v>0.41499148211243608</v>
      </c>
      <c r="AI24" s="9">
        <f t="shared" si="85"/>
        <v>0.26125692270647716</v>
      </c>
      <c r="AJ24" s="9">
        <f t="shared" si="85"/>
        <v>0.21363115693012591</v>
      </c>
      <c r="AK24" s="9">
        <f>AK5/AJ5-1</f>
        <v>9.2811074406166538E-2</v>
      </c>
      <c r="AL24" s="9">
        <f t="shared" ref="AL24:AV24" si="86">AL5/AK5-1</f>
        <v>8.5556355261263706E-2</v>
      </c>
      <c r="AM24" s="9">
        <f t="shared" si="86"/>
        <v>5.0000000000000044E-2</v>
      </c>
      <c r="AN24" s="9">
        <f t="shared" si="86"/>
        <v>4.0000000000000036E-2</v>
      </c>
      <c r="AO24" s="9">
        <f t="shared" si="86"/>
        <v>3.0000000000000027E-2</v>
      </c>
      <c r="AP24" s="9">
        <f t="shared" si="86"/>
        <v>3.0000000000000027E-2</v>
      </c>
      <c r="AQ24" s="9">
        <f t="shared" si="86"/>
        <v>3.0000000000000027E-2</v>
      </c>
      <c r="AR24" s="9">
        <f t="shared" si="86"/>
        <v>3.0000000000000027E-2</v>
      </c>
      <c r="AS24" s="9">
        <f t="shared" si="86"/>
        <v>3.0000000000000027E-2</v>
      </c>
      <c r="AT24" s="9">
        <f t="shared" si="86"/>
        <v>3.0000000000000027E-2</v>
      </c>
      <c r="AU24" s="9">
        <f t="shared" si="86"/>
        <v>3.0000000000000027E-2</v>
      </c>
      <c r="AV24" s="9">
        <f t="shared" si="86"/>
        <v>3.0000000000000027E-2</v>
      </c>
    </row>
    <row r="25" spans="2:144" x14ac:dyDescent="0.3">
      <c r="B25" t="s">
        <v>54</v>
      </c>
      <c r="M25" s="9">
        <f t="shared" ref="M25:AA25" si="87">M7/M5</f>
        <v>0.61601455868971788</v>
      </c>
      <c r="N25" s="9">
        <f t="shared" si="87"/>
        <v>0.62</v>
      </c>
      <c r="O25" s="9">
        <f t="shared" si="87"/>
        <v>0.64451827242524917</v>
      </c>
      <c r="P25" s="9">
        <f t="shared" si="87"/>
        <v>0.6282051282051283</v>
      </c>
      <c r="Q25" s="9">
        <f t="shared" si="87"/>
        <v>0.64222873900293254</v>
      </c>
      <c r="R25" s="9">
        <f t="shared" si="87"/>
        <v>0.61814345991561181</v>
      </c>
      <c r="S25" s="9">
        <f t="shared" si="87"/>
        <v>0.52439024390243894</v>
      </c>
      <c r="T25" s="9">
        <f t="shared" si="87"/>
        <v>0.51854261548471048</v>
      </c>
      <c r="U25" s="9">
        <f t="shared" si="87"/>
        <v>0.50271903323262845</v>
      </c>
      <c r="V25" s="9">
        <f t="shared" si="87"/>
        <v>0.52871521610420369</v>
      </c>
      <c r="W25" s="9">
        <f t="shared" si="87"/>
        <v>0.52927261975162632</v>
      </c>
      <c r="X25" s="9">
        <f t="shared" si="87"/>
        <v>0.52965355255431601</v>
      </c>
      <c r="Y25" s="9">
        <f t="shared" si="87"/>
        <v>0.54628052243043723</v>
      </c>
      <c r="Z25" s="9">
        <f t="shared" si="87"/>
        <v>0.5329241071428571</v>
      </c>
      <c r="AA25" s="9">
        <f t="shared" si="87"/>
        <v>0.54601226993865026</v>
      </c>
      <c r="AB25" s="9">
        <f>AB7/AB5</f>
        <v>0.54890432923570276</v>
      </c>
      <c r="AC25" s="9">
        <f t="shared" ref="AC25:AD25" si="88">AC7/AC5</f>
        <v>0.54582904222451079</v>
      </c>
      <c r="AD25" s="9">
        <f t="shared" si="88"/>
        <v>0.55000000000000004</v>
      </c>
      <c r="AF25" s="9">
        <f t="shared" ref="AF25:AJ25" si="89">AF7/AF5</f>
        <v>0.51409978308026039</v>
      </c>
      <c r="AG25" s="9">
        <f t="shared" si="89"/>
        <v>0.52708688245315161</v>
      </c>
      <c r="AH25" s="9">
        <f t="shared" si="89"/>
        <v>0.6007705273296412</v>
      </c>
      <c r="AI25" s="9">
        <f t="shared" si="89"/>
        <v>0.63287514318442151</v>
      </c>
      <c r="AJ25" s="9">
        <f t="shared" si="89"/>
        <v>0.51848356142834662</v>
      </c>
      <c r="AK25" s="9">
        <f t="shared" ref="AK25:AV25" si="90">AK7/AK5</f>
        <v>0.53461926011227867</v>
      </c>
      <c r="AL25" s="9">
        <f t="shared" si="90"/>
        <v>0.54770598406653448</v>
      </c>
      <c r="AM25" s="9">
        <f t="shared" si="90"/>
        <v>0.56000000000000005</v>
      </c>
      <c r="AN25" s="9">
        <f t="shared" si="90"/>
        <v>0.56999999999999995</v>
      </c>
      <c r="AO25" s="9">
        <f t="shared" si="90"/>
        <v>0.57999999999999996</v>
      </c>
      <c r="AP25" s="9">
        <f t="shared" si="90"/>
        <v>0.57999999999999996</v>
      </c>
      <c r="AQ25" s="9">
        <f t="shared" si="90"/>
        <v>0.57999999999999996</v>
      </c>
      <c r="AR25" s="9">
        <f t="shared" si="90"/>
        <v>0.57999999999999996</v>
      </c>
      <c r="AS25" s="9">
        <f t="shared" si="90"/>
        <v>0.57999999999999996</v>
      </c>
      <c r="AT25" s="9">
        <f t="shared" si="90"/>
        <v>0.57999999999999996</v>
      </c>
      <c r="AU25" s="9">
        <f t="shared" si="90"/>
        <v>0.57999999999999996</v>
      </c>
      <c r="AV25" s="9">
        <f t="shared" si="90"/>
        <v>0.57999999999999996</v>
      </c>
      <c r="AX25" t="s">
        <v>61</v>
      </c>
      <c r="AY25" s="9">
        <v>-0.01</v>
      </c>
    </row>
    <row r="26" spans="2:144" x14ac:dyDescent="0.3">
      <c r="B26" t="s">
        <v>56</v>
      </c>
      <c r="M26" s="9"/>
      <c r="N26" s="9"/>
      <c r="O26" s="9"/>
      <c r="P26" s="9"/>
      <c r="Q26" s="9">
        <f t="shared" ref="Q26:AA26" si="91">Q8/M8-1</f>
        <v>0.16224188790560468</v>
      </c>
      <c r="R26" s="9">
        <f t="shared" si="91"/>
        <v>0.11749347258485643</v>
      </c>
      <c r="S26" s="9">
        <f t="shared" si="91"/>
        <v>0.15263157894736845</v>
      </c>
      <c r="T26" s="9">
        <f t="shared" si="91"/>
        <v>-8.0178173719376411E-2</v>
      </c>
      <c r="U26" s="9">
        <f t="shared" si="91"/>
        <v>-4.5685279187817174E-2</v>
      </c>
      <c r="V26" s="9">
        <f t="shared" si="91"/>
        <v>-0.12616822429906538</v>
      </c>
      <c r="W26" s="9">
        <f t="shared" si="91"/>
        <v>-0.2100456621004565</v>
      </c>
      <c r="X26" s="9">
        <f t="shared" si="91"/>
        <v>-0.18401937046004835</v>
      </c>
      <c r="Y26" s="9">
        <f t="shared" si="91"/>
        <v>-0.15957446808510634</v>
      </c>
      <c r="Z26" s="9">
        <f t="shared" si="91"/>
        <v>-0.14171122994652396</v>
      </c>
      <c r="AA26" s="9">
        <f t="shared" si="91"/>
        <v>-0.14739884393063585</v>
      </c>
      <c r="AB26" s="9">
        <f>AB8/X8-1</f>
        <v>-0.13056379821958464</v>
      </c>
      <c r="AC26" s="9">
        <f t="shared" ref="AC26:AD26" si="92">AC8/Y8-1</f>
        <v>-5.0632911392405111E-2</v>
      </c>
      <c r="AD26" s="9">
        <f t="shared" si="92"/>
        <v>-4.0000000000000036E-2</v>
      </c>
      <c r="AF26" s="9"/>
      <c r="AG26" s="9">
        <f t="shared" ref="AG26:AJ26" si="93">AG8/AF8-1</f>
        <v>0.36170212765957444</v>
      </c>
      <c r="AH26" s="9">
        <f t="shared" si="93"/>
        <v>0.76302083333333348</v>
      </c>
      <c r="AI26" s="9">
        <f t="shared" si="93"/>
        <v>0.21935007385524385</v>
      </c>
      <c r="AJ26" s="9">
        <f t="shared" si="93"/>
        <v>-3.0284675953967444E-2</v>
      </c>
      <c r="AK26" s="9">
        <f>AK8/AJ8-1</f>
        <v>-0.1755153029356652</v>
      </c>
      <c r="AL26" s="9">
        <f t="shared" ref="AL26:AV26" si="94">AL8/AK8-1</f>
        <v>-9.3818181818181801E-2</v>
      </c>
      <c r="AM26" s="9">
        <f t="shared" si="94"/>
        <v>-6.0000000000000053E-2</v>
      </c>
      <c r="AN26" s="9">
        <f t="shared" si="94"/>
        <v>1.0000000000000009E-2</v>
      </c>
      <c r="AO26" s="9">
        <f t="shared" si="94"/>
        <v>1.0000000000000009E-2</v>
      </c>
      <c r="AP26" s="9">
        <f t="shared" si="94"/>
        <v>1.0000000000000009E-2</v>
      </c>
      <c r="AQ26" s="9">
        <f t="shared" si="94"/>
        <v>1.0000000000000009E-2</v>
      </c>
      <c r="AR26" s="9">
        <f t="shared" si="94"/>
        <v>1.0000000000000009E-2</v>
      </c>
      <c r="AS26" s="9">
        <f t="shared" si="94"/>
        <v>1.0000000000000009E-2</v>
      </c>
      <c r="AT26" s="9">
        <f t="shared" si="94"/>
        <v>1.0000000000000009E-2</v>
      </c>
      <c r="AU26" s="9">
        <f t="shared" si="94"/>
        <v>1.0000000000000009E-2</v>
      </c>
      <c r="AV26" s="9">
        <f t="shared" si="94"/>
        <v>1.0000000000000009E-2</v>
      </c>
      <c r="AX26" t="s">
        <v>62</v>
      </c>
      <c r="AY26" s="9">
        <v>0.1</v>
      </c>
    </row>
    <row r="27" spans="2:144" x14ac:dyDescent="0.3">
      <c r="B27" t="s">
        <v>57</v>
      </c>
      <c r="M27" s="9">
        <f t="shared" ref="M27:AA27" si="95">M9/M5</f>
        <v>0.41219290263876246</v>
      </c>
      <c r="N27" s="9">
        <f t="shared" si="95"/>
        <v>0.50086956521739134</v>
      </c>
      <c r="O27" s="9">
        <f t="shared" si="95"/>
        <v>0.42940199335548174</v>
      </c>
      <c r="P27" s="9">
        <f t="shared" si="95"/>
        <v>0.44551282051282054</v>
      </c>
      <c r="Q27" s="9">
        <f t="shared" si="95"/>
        <v>0.42888563049853373</v>
      </c>
      <c r="R27" s="9">
        <f t="shared" si="95"/>
        <v>0.43530239099859358</v>
      </c>
      <c r="S27" s="9">
        <f t="shared" si="95"/>
        <v>0.35840108401084009</v>
      </c>
      <c r="T27" s="9">
        <f t="shared" si="95"/>
        <v>0.33832140533506833</v>
      </c>
      <c r="U27" s="9">
        <f t="shared" si="95"/>
        <v>0.36132930513595163</v>
      </c>
      <c r="V27" s="9">
        <f t="shared" si="95"/>
        <v>0.34399052693901716</v>
      </c>
      <c r="W27" s="9">
        <f t="shared" si="95"/>
        <v>0.34062684801892373</v>
      </c>
      <c r="X27" s="9">
        <f t="shared" si="95"/>
        <v>0.34116265413975339</v>
      </c>
      <c r="Y27" s="9">
        <f t="shared" si="95"/>
        <v>0.3350369108461102</v>
      </c>
      <c r="Z27" s="9">
        <f t="shared" si="95"/>
        <v>0.33593750000000006</v>
      </c>
      <c r="AA27" s="9">
        <f t="shared" si="95"/>
        <v>0.316787506971556</v>
      </c>
      <c r="AB27" s="9">
        <f>AB9/AB5</f>
        <v>0.33992517370390168</v>
      </c>
      <c r="AC27" s="9">
        <f t="shared" ref="AC27:AD27" si="96">AC9/AC5</f>
        <v>0.34706488156539655</v>
      </c>
      <c r="AD27" s="9">
        <f t="shared" si="96"/>
        <v>0.34000000000000008</v>
      </c>
      <c r="AF27" s="9">
        <f t="shared" ref="AF27:AJ27" si="97">AF9/AF5</f>
        <v>0.30911062906724512</v>
      </c>
      <c r="AG27" s="9">
        <f t="shared" si="97"/>
        <v>0.36524701873935267</v>
      </c>
      <c r="AH27" s="9">
        <f t="shared" si="97"/>
        <v>0.43173609438959792</v>
      </c>
      <c r="AI27" s="9">
        <f t="shared" si="97"/>
        <v>0.43470790378006879</v>
      </c>
      <c r="AJ27" s="9">
        <f t="shared" si="97"/>
        <v>0.35047978606260816</v>
      </c>
      <c r="AK27" s="9">
        <f t="shared" ref="AK27:AV27" si="98">AK9/AK5</f>
        <v>0.33813156758312934</v>
      </c>
      <c r="AL27" s="9">
        <f t="shared" si="98"/>
        <v>0.33628183775870668</v>
      </c>
      <c r="AM27" s="9">
        <f t="shared" si="98"/>
        <v>0.33</v>
      </c>
      <c r="AN27" s="9">
        <f t="shared" si="98"/>
        <v>0.32000000000000006</v>
      </c>
      <c r="AO27" s="9">
        <f t="shared" si="98"/>
        <v>0.31000000000000005</v>
      </c>
      <c r="AP27" s="9">
        <f t="shared" si="98"/>
        <v>0.31</v>
      </c>
      <c r="AQ27" s="9">
        <f t="shared" si="98"/>
        <v>0.31</v>
      </c>
      <c r="AR27" s="9">
        <f t="shared" si="98"/>
        <v>0.31</v>
      </c>
      <c r="AS27" s="9">
        <f t="shared" si="98"/>
        <v>0.31</v>
      </c>
      <c r="AT27" s="9">
        <f t="shared" si="98"/>
        <v>0.31</v>
      </c>
      <c r="AU27" s="9">
        <f t="shared" si="98"/>
        <v>0.31</v>
      </c>
      <c r="AV27" s="9">
        <f t="shared" si="98"/>
        <v>0.31</v>
      </c>
      <c r="AX27" t="s">
        <v>63</v>
      </c>
      <c r="AY27" s="5">
        <f>NPV(AY26,AL18:EN18)</f>
        <v>483.62190587587548</v>
      </c>
    </row>
    <row r="28" spans="2:144" x14ac:dyDescent="0.3">
      <c r="B28" t="s">
        <v>58</v>
      </c>
      <c r="M28" s="9"/>
      <c r="N28" s="9"/>
      <c r="O28" s="9"/>
      <c r="P28" s="9"/>
      <c r="Q28" s="9">
        <f t="shared" ref="Q28:AA28" si="99">Q10/M10-1</f>
        <v>0.30653266331658302</v>
      </c>
      <c r="R28" s="9">
        <f t="shared" si="99"/>
        <v>0.26637554585152845</v>
      </c>
      <c r="S28" s="9">
        <f t="shared" si="99"/>
        <v>1.1904761904761862E-2</v>
      </c>
      <c r="T28" s="9">
        <f t="shared" si="99"/>
        <v>-3.1128404669260701E-2</v>
      </c>
      <c r="U28" s="9">
        <f t="shared" si="99"/>
        <v>-2.3076923076923106E-2</v>
      </c>
      <c r="V28" s="9">
        <f t="shared" si="99"/>
        <v>-0.22758620689655173</v>
      </c>
      <c r="W28" s="9">
        <f t="shared" si="99"/>
        <v>-1.9607843137254943E-2</v>
      </c>
      <c r="X28" s="9">
        <f t="shared" si="99"/>
        <v>0.18875502008032141</v>
      </c>
      <c r="Y28" s="9">
        <f t="shared" si="99"/>
        <v>7.8740157480315043E-2</v>
      </c>
      <c r="Z28" s="9">
        <f t="shared" si="99"/>
        <v>0.20089285714285721</v>
      </c>
      <c r="AA28" s="9">
        <f t="shared" si="99"/>
        <v>7.5999999999999845E-2</v>
      </c>
      <c r="AB28" s="9">
        <f>AB10/X10-1</f>
        <v>-0.15878378378378388</v>
      </c>
      <c r="AC28" s="9">
        <f t="shared" ref="AC28:AD28" si="100">AC10/Y10-1</f>
        <v>-0.11678832116788318</v>
      </c>
      <c r="AD28" s="9">
        <f t="shared" si="100"/>
        <v>-9.9999999999999867E-2</v>
      </c>
      <c r="AF28" s="9"/>
      <c r="AG28" s="9">
        <f t="shared" ref="AG28:AJ28" si="101">AG10/AF10-1</f>
        <v>0.24832214765100669</v>
      </c>
      <c r="AH28" s="9">
        <f t="shared" si="101"/>
        <v>1.0913978494623655</v>
      </c>
      <c r="AI28" s="9">
        <f t="shared" si="101"/>
        <v>0.36118251928020584</v>
      </c>
      <c r="AJ28" s="9">
        <f t="shared" si="101"/>
        <v>-7.271010387157717E-2</v>
      </c>
      <c r="AK28" s="9">
        <f>AK10/AJ10-1</f>
        <v>0.10896130346232202</v>
      </c>
      <c r="AL28" s="9">
        <f t="shared" ref="AL28:AV28" si="102">AL10/AK10-1</f>
        <v>-7.9797979797979757E-2</v>
      </c>
      <c r="AM28" s="9">
        <f t="shared" si="102"/>
        <v>-4.0000000000000036E-2</v>
      </c>
      <c r="AN28" s="9">
        <f t="shared" si="102"/>
        <v>1.0000000000000009E-2</v>
      </c>
      <c r="AO28" s="9">
        <f t="shared" si="102"/>
        <v>1.0000000000000009E-2</v>
      </c>
      <c r="AP28" s="9">
        <f t="shared" si="102"/>
        <v>1.0000000000000009E-2</v>
      </c>
      <c r="AQ28" s="9">
        <f t="shared" si="102"/>
        <v>1.0000000000000009E-2</v>
      </c>
      <c r="AR28" s="9">
        <f t="shared" si="102"/>
        <v>1.0000000000000009E-2</v>
      </c>
      <c r="AS28" s="9">
        <f t="shared" si="102"/>
        <v>1.0000000000000009E-2</v>
      </c>
      <c r="AT28" s="9">
        <f t="shared" si="102"/>
        <v>1.0000000000000009E-2</v>
      </c>
      <c r="AU28" s="9">
        <f t="shared" si="102"/>
        <v>1.0000000000000009E-2</v>
      </c>
      <c r="AV28" s="9">
        <f t="shared" si="102"/>
        <v>1.0000000000000009E-2</v>
      </c>
      <c r="AX28" t="s">
        <v>64</v>
      </c>
      <c r="AY28" s="5">
        <f>Main!D8</f>
        <v>797.7</v>
      </c>
    </row>
    <row r="29" spans="2:144" x14ac:dyDescent="0.3">
      <c r="B29" t="s">
        <v>59</v>
      </c>
      <c r="M29" s="9">
        <f t="shared" ref="M29:AA29" si="103">M13/M5</f>
        <v>-0.28571428571428564</v>
      </c>
      <c r="N29" s="9">
        <f t="shared" si="103"/>
        <v>-0.41304347826086968</v>
      </c>
      <c r="O29" s="9">
        <f t="shared" si="103"/>
        <v>-0.30980066445182719</v>
      </c>
      <c r="P29" s="9">
        <f t="shared" si="103"/>
        <v>-0.38301282051282048</v>
      </c>
      <c r="Q29" s="9">
        <f t="shared" si="103"/>
        <v>-0.2661290322580645</v>
      </c>
      <c r="R29" s="9">
        <f t="shared" si="103"/>
        <v>-0.39310829817158927</v>
      </c>
      <c r="S29" s="9">
        <f t="shared" si="103"/>
        <v>-0.26490514905149048</v>
      </c>
      <c r="T29" s="9">
        <f t="shared" si="103"/>
        <v>-0.25113858165256991</v>
      </c>
      <c r="U29" s="9">
        <f t="shared" si="103"/>
        <v>-0.23927492447129914</v>
      </c>
      <c r="V29" s="9">
        <f t="shared" si="103"/>
        <v>-0.16933096506808759</v>
      </c>
      <c r="W29" s="9">
        <f t="shared" si="103"/>
        <v>-0.17622708456534594</v>
      </c>
      <c r="X29" s="9">
        <f t="shared" si="103"/>
        <v>-0.18320610687022892</v>
      </c>
      <c r="Y29" s="9">
        <f t="shared" si="103"/>
        <v>-0.12379329926178315</v>
      </c>
      <c r="Z29" s="9">
        <f t="shared" si="103"/>
        <v>-0.17020089285714302</v>
      </c>
      <c r="AA29" s="9">
        <f t="shared" si="103"/>
        <v>-8.0312325711098587E-2</v>
      </c>
      <c r="AB29" s="9">
        <f>AB13/AB5</f>
        <v>-8.0705505077498782E-2</v>
      </c>
      <c r="AC29" s="9">
        <f t="shared" ref="AC29:AD29" si="104">AC13/AC5</f>
        <v>-8.0329557157569634E-2</v>
      </c>
      <c r="AD29" s="9">
        <f t="shared" si="104"/>
        <v>-7.431919642857146E-2</v>
      </c>
      <c r="AF29" s="9">
        <f t="shared" ref="AF29:AJ29" si="105">AF13/AF5</f>
        <v>-0.26247288503253796</v>
      </c>
      <c r="AG29" s="9">
        <f t="shared" si="105"/>
        <v>-0.22657580919931858</v>
      </c>
      <c r="AH29" s="9">
        <f t="shared" si="105"/>
        <v>-0.34432940043342175</v>
      </c>
      <c r="AI29" s="9">
        <f t="shared" si="105"/>
        <v>-0.33848797250859131</v>
      </c>
      <c r="AJ29" s="9">
        <f t="shared" si="105"/>
        <v>-0.22951077552304555</v>
      </c>
      <c r="AK29" s="9">
        <f t="shared" ref="AK29:AV29" si="106">AK13/AK5</f>
        <v>-0.16309198215056844</v>
      </c>
      <c r="AL29" s="9">
        <f t="shared" si="106"/>
        <v>-7.8876276958002395E-2</v>
      </c>
      <c r="AM29" s="9">
        <f t="shared" si="106"/>
        <v>-3.348744978169902E-2</v>
      </c>
      <c r="AN29" s="9">
        <f t="shared" si="106"/>
        <v>-5.886850268765567E-3</v>
      </c>
      <c r="AO29" s="9">
        <f t="shared" si="106"/>
        <v>1.9081826435482337E-2</v>
      </c>
      <c r="AP29" s="9">
        <f t="shared" si="106"/>
        <v>2.395402398042451E-2</v>
      </c>
      <c r="AQ29" s="9">
        <f t="shared" si="106"/>
        <v>2.8731615747794838E-2</v>
      </c>
      <c r="AR29" s="9">
        <f t="shared" si="106"/>
        <v>3.341643874298339E-2</v>
      </c>
      <c r="AS29" s="9">
        <f t="shared" si="106"/>
        <v>3.8010294301372045E-2</v>
      </c>
      <c r="AT29" s="9">
        <f t="shared" si="106"/>
        <v>4.251494878095706E-2</v>
      </c>
      <c r="AU29" s="9">
        <f t="shared" si="106"/>
        <v>4.6932134241520991E-2</v>
      </c>
      <c r="AV29" s="9">
        <f t="shared" si="106"/>
        <v>5.1263549110617576E-2</v>
      </c>
      <c r="AX29" t="s">
        <v>65</v>
      </c>
      <c r="AY29" s="5">
        <f>AY27+AY28</f>
        <v>1281.3219058758755</v>
      </c>
    </row>
    <row r="30" spans="2:144" x14ac:dyDescent="0.3">
      <c r="B30" t="s">
        <v>24</v>
      </c>
      <c r="M30" s="9">
        <f t="shared" ref="M30:AA30" si="107">M17/M16</f>
        <v>-2.5316455696202542E-2</v>
      </c>
      <c r="N30" s="9">
        <f t="shared" si="107"/>
        <v>-4.2105263157894727E-3</v>
      </c>
      <c r="O30" s="9">
        <f t="shared" si="107"/>
        <v>-2.6737967914438502E-2</v>
      </c>
      <c r="P30" s="9">
        <f t="shared" si="107"/>
        <v>-2.4896265560165973E-2</v>
      </c>
      <c r="Q30" s="9">
        <f t="shared" si="107"/>
        <v>-2.8571428571428571E-2</v>
      </c>
      <c r="R30" s="9">
        <f t="shared" si="107"/>
        <v>-3.0000000000000009E-2</v>
      </c>
      <c r="S30" s="9">
        <f t="shared" si="107"/>
        <v>-4.5161290322580649E-2</v>
      </c>
      <c r="T30" s="9">
        <f t="shared" si="107"/>
        <v>-5.2631578947368432E-2</v>
      </c>
      <c r="U30" s="9">
        <f t="shared" si="107"/>
        <v>-3.2258064516129024E-2</v>
      </c>
      <c r="V30" s="9">
        <f t="shared" si="107"/>
        <v>-6.8062827225130906E-2</v>
      </c>
      <c r="W30" s="9">
        <f t="shared" si="107"/>
        <v>-3.9024390243902446E-2</v>
      </c>
      <c r="X30" s="9">
        <f t="shared" si="107"/>
        <v>-4.566210045662103E-2</v>
      </c>
      <c r="Y30" s="9">
        <f t="shared" si="107"/>
        <v>-0.12295081967213103</v>
      </c>
      <c r="Z30" s="9">
        <f t="shared" si="107"/>
        <v>9.6234309623430853E-2</v>
      </c>
      <c r="AA30" s="9">
        <f t="shared" si="107"/>
        <v>-0.23809523809523894</v>
      </c>
      <c r="AB30" s="9">
        <f>AB17/AB16</f>
        <v>-0.11428571428571392</v>
      </c>
      <c r="AC30" s="9">
        <f t="shared" ref="AC30:AD30" si="108">AC17/AC16</f>
        <v>-0.10256410256410228</v>
      </c>
      <c r="AD30" s="9">
        <f t="shared" si="108"/>
        <v>-0.15665534570701672</v>
      </c>
      <c r="AF30" s="9">
        <f t="shared" ref="AF30:AJ30" si="109">AF17/AF16</f>
        <v>-1.5217391304347823E-2</v>
      </c>
      <c r="AG30" s="9">
        <f t="shared" si="109"/>
        <v>-2.3006134969325152E-2</v>
      </c>
      <c r="AH30" s="9">
        <f t="shared" si="109"/>
        <v>-1.468531468531468E-2</v>
      </c>
      <c r="AI30" s="9">
        <f t="shared" si="109"/>
        <v>-2.7549824150058595E-2</v>
      </c>
      <c r="AJ30" s="9">
        <f t="shared" si="109"/>
        <v>-4.7533632286995503E-2</v>
      </c>
      <c r="AK30" s="9">
        <f t="shared" ref="AK30:AV30" si="110">AK17/AK16</f>
        <v>-1.273885350318473E-2</v>
      </c>
      <c r="AL30" s="9">
        <f t="shared" si="110"/>
        <v>-0.14918074302197928</v>
      </c>
      <c r="AM30" s="9">
        <f t="shared" si="110"/>
        <v>0.1</v>
      </c>
      <c r="AN30" s="9">
        <f t="shared" si="110"/>
        <v>0.1</v>
      </c>
      <c r="AO30" s="9">
        <f t="shared" si="110"/>
        <v>0.10000000000000002</v>
      </c>
      <c r="AP30" s="9">
        <f t="shared" si="110"/>
        <v>0.10000000000000002</v>
      </c>
      <c r="AQ30" s="9">
        <f t="shared" si="110"/>
        <v>0.1</v>
      </c>
      <c r="AR30" s="9">
        <f t="shared" si="110"/>
        <v>0.1</v>
      </c>
      <c r="AS30" s="9">
        <f t="shared" si="110"/>
        <v>0.1</v>
      </c>
      <c r="AT30" s="9">
        <f t="shared" si="110"/>
        <v>0.1</v>
      </c>
      <c r="AU30" s="9">
        <f t="shared" si="110"/>
        <v>0.10000000000000002</v>
      </c>
      <c r="AV30" s="9">
        <f t="shared" si="110"/>
        <v>0.1</v>
      </c>
      <c r="AX30" t="s">
        <v>66</v>
      </c>
      <c r="AY30" s="2">
        <f>AY29/AV19</f>
        <v>7.7844587234257325</v>
      </c>
    </row>
    <row r="31" spans="2:144" x14ac:dyDescent="0.3">
      <c r="B31" t="s">
        <v>60</v>
      </c>
      <c r="M31" s="9">
        <f t="shared" ref="M31:AA31" si="111">M18/M5</f>
        <v>-0.29481346678798898</v>
      </c>
      <c r="N31" s="9">
        <f t="shared" si="111"/>
        <v>-0.41478260869565231</v>
      </c>
      <c r="O31" s="9">
        <f t="shared" si="111"/>
        <v>-0.31893687707641194</v>
      </c>
      <c r="P31" s="9">
        <f t="shared" si="111"/>
        <v>-0.39583333333333337</v>
      </c>
      <c r="Q31" s="9">
        <f t="shared" si="111"/>
        <v>-0.26392961876832843</v>
      </c>
      <c r="R31" s="9">
        <f t="shared" si="111"/>
        <v>-0.36216596343178614</v>
      </c>
      <c r="S31" s="9">
        <f t="shared" si="111"/>
        <v>-0.21951219512195116</v>
      </c>
      <c r="T31" s="9">
        <f t="shared" si="111"/>
        <v>-0.20819778789850357</v>
      </c>
      <c r="U31" s="9">
        <f t="shared" si="111"/>
        <v>-0.19335347432024177</v>
      </c>
      <c r="V31" s="9">
        <f t="shared" si="111"/>
        <v>-0.12078152753108345</v>
      </c>
      <c r="W31" s="9">
        <f t="shared" si="111"/>
        <v>-0.12596096984033114</v>
      </c>
      <c r="X31" s="9">
        <f t="shared" si="111"/>
        <v>-0.13446858485026417</v>
      </c>
      <c r="Y31" s="9">
        <f t="shared" si="111"/>
        <v>-7.7796706416808706E-2</v>
      </c>
      <c r="Z31" s="9">
        <f t="shared" si="111"/>
        <v>-0.12053571428571444</v>
      </c>
      <c r="AA31" s="9">
        <f t="shared" si="111"/>
        <v>-4.3502509760178346E-2</v>
      </c>
      <c r="AB31" s="9">
        <f>AB18/AB5</f>
        <v>-4.1688936397648438E-2</v>
      </c>
      <c r="AC31" s="9">
        <f t="shared" ref="AC31:AD31" si="112">AC18/AC5</f>
        <v>-4.428424304840383E-2</v>
      </c>
      <c r="AD31" s="9">
        <f t="shared" si="112"/>
        <v>-3.8150214947089985E-2</v>
      </c>
      <c r="AF31" s="9">
        <f t="shared" ref="AF31:AJ31" si="113">AF18/AF5</f>
        <v>-0.25325379609544474</v>
      </c>
      <c r="AG31" s="9">
        <f t="shared" si="113"/>
        <v>-0.22725724020442931</v>
      </c>
      <c r="AH31" s="9">
        <f t="shared" si="113"/>
        <v>-0.34938598603419224</v>
      </c>
      <c r="AI31" s="9">
        <f t="shared" si="113"/>
        <v>-0.3346697212676597</v>
      </c>
      <c r="AJ31" s="9">
        <f t="shared" si="113"/>
        <v>-0.18373446594305495</v>
      </c>
      <c r="AK31" s="9">
        <f t="shared" ref="AK31:AV31" si="114">AK18/AK5</f>
        <v>-0.11443788685763624</v>
      </c>
      <c r="AL31" s="9">
        <f t="shared" si="114"/>
        <v>-4.1880297452979422E-2</v>
      </c>
      <c r="AM31" s="9">
        <f t="shared" si="114"/>
        <v>6.7106546905522802E-3</v>
      </c>
      <c r="AN31" s="9">
        <f t="shared" si="114"/>
        <v>3.0488231959093885E-2</v>
      </c>
      <c r="AO31" s="9">
        <f t="shared" si="114"/>
        <v>5.2265159493868792E-2</v>
      </c>
      <c r="AP31" s="9">
        <f t="shared" si="114"/>
        <v>5.5968748629910248E-2</v>
      </c>
      <c r="AQ31" s="9">
        <f t="shared" si="114"/>
        <v>5.9600423413795428E-2</v>
      </c>
      <c r="AR31" s="9">
        <f t="shared" si="114"/>
        <v>6.3161580240712112E-2</v>
      </c>
      <c r="AS31" s="9">
        <f t="shared" si="114"/>
        <v>6.6653588391377874E-2</v>
      </c>
      <c r="AT31" s="9">
        <f t="shared" si="114"/>
        <v>7.0077790558535608E-2</v>
      </c>
      <c r="AU31" s="9">
        <f t="shared" si="114"/>
        <v>7.3435503363224214E-2</v>
      </c>
      <c r="AV31" s="9">
        <f t="shared" si="114"/>
        <v>7.6728017861025594E-2</v>
      </c>
      <c r="AX31" t="s">
        <v>67</v>
      </c>
      <c r="AY31" s="2">
        <f>Main!D3</f>
        <v>9.1999999999999993</v>
      </c>
    </row>
    <row r="32" spans="2:144" x14ac:dyDescent="0.3">
      <c r="AX32" s="1" t="s">
        <v>68</v>
      </c>
      <c r="AY32" s="10">
        <f>AY30/AY31-1</f>
        <v>-0.15386318223633333</v>
      </c>
    </row>
    <row r="33" spans="50:51" x14ac:dyDescent="0.3">
      <c r="AX33" t="s">
        <v>69</v>
      </c>
      <c r="AY33" s="6" t="s">
        <v>72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2025-09-02T10:53:26Z</dcterms:created>
  <dcterms:modified xsi:type="dcterms:W3CDTF">2025-10-26T11:17:22Z</dcterms:modified>
</cp:coreProperties>
</file>