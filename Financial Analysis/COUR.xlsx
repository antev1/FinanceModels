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EF75EFF-FD23-4D1B-A170-EE10FE4F3B4D}" xr6:coauthVersionLast="47" xr6:coauthVersionMax="47" xr10:uidLastSave="{00000000-0000-0000-0000-000000000000}"/>
  <bookViews>
    <workbookView xWindow="-108" yWindow="-108" windowWidth="23256" windowHeight="12576" xr2:uid="{31E8D773-A0F0-4A5C-8306-0B953AC75F0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6" i="2" l="1"/>
  <c r="AD6" i="2"/>
  <c r="AD10" i="2" s="1"/>
  <c r="AD11" i="2" s="1"/>
  <c r="AD14" i="2" s="1"/>
  <c r="AC6" i="2"/>
  <c r="AY27" i="2"/>
  <c r="AY24" i="2"/>
  <c r="AV7" i="2"/>
  <c r="AU7" i="2"/>
  <c r="AT7" i="2"/>
  <c r="AS7" i="2"/>
  <c r="AR7" i="2"/>
  <c r="AQ7" i="2"/>
  <c r="AP7" i="2"/>
  <c r="AO7" i="2"/>
  <c r="AN7" i="2"/>
  <c r="AM7" i="2"/>
  <c r="AO12" i="2"/>
  <c r="AP12" i="2" s="1"/>
  <c r="AQ12" i="2" s="1"/>
  <c r="AR12" i="2" s="1"/>
  <c r="AS12" i="2" s="1"/>
  <c r="AT12" i="2" s="1"/>
  <c r="AU12" i="2" s="1"/>
  <c r="AV12" i="2" s="1"/>
  <c r="AO8" i="2"/>
  <c r="AP8" i="2" s="1"/>
  <c r="AN12" i="2"/>
  <c r="AM12" i="2"/>
  <c r="AN23" i="2"/>
  <c r="AN8" i="2"/>
  <c r="AN24" i="2" s="1"/>
  <c r="AM8" i="2"/>
  <c r="AC11" i="2"/>
  <c r="AC25" i="2" s="1"/>
  <c r="AC10" i="2"/>
  <c r="AD8" i="2"/>
  <c r="AL8" i="2" s="1"/>
  <c r="AL24" i="2" s="1"/>
  <c r="AC8" i="2"/>
  <c r="AD7" i="2"/>
  <c r="AC7" i="2"/>
  <c r="AL6" i="2"/>
  <c r="AC22" i="2"/>
  <c r="AV5" i="2"/>
  <c r="AU5" i="2"/>
  <c r="AU4" i="2" s="1"/>
  <c r="AT5" i="2"/>
  <c r="AS5" i="2"/>
  <c r="AS4" i="2" s="1"/>
  <c r="AR5" i="2"/>
  <c r="AQ5" i="2"/>
  <c r="AQ4" i="2" s="1"/>
  <c r="AP5" i="2"/>
  <c r="AO5" i="2"/>
  <c r="AO4" i="2" s="1"/>
  <c r="AN5" i="2"/>
  <c r="AN21" i="2" s="1"/>
  <c r="AT4" i="2"/>
  <c r="AR4" i="2"/>
  <c r="AV4" i="2"/>
  <c r="AP4" i="2"/>
  <c r="AN4" i="2"/>
  <c r="AM5" i="2"/>
  <c r="AD5" i="2"/>
  <c r="AD4" i="2" s="1"/>
  <c r="AC5" i="2"/>
  <c r="AM4" i="2"/>
  <c r="AT3" i="2"/>
  <c r="AU3" i="2" s="1"/>
  <c r="AV3" i="2" s="1"/>
  <c r="AS3" i="2"/>
  <c r="AQ3" i="2"/>
  <c r="AR3" i="2" s="1"/>
  <c r="AP3" i="2"/>
  <c r="AO3" i="2"/>
  <c r="AN3" i="2"/>
  <c r="AM3" i="2"/>
  <c r="AM20" i="2" s="1"/>
  <c r="AL20" i="2"/>
  <c r="AJ27" i="2"/>
  <c r="AI27" i="2"/>
  <c r="AH27" i="2"/>
  <c r="AG27" i="2"/>
  <c r="AF27" i="2"/>
  <c r="AJ26" i="2"/>
  <c r="AI26" i="2"/>
  <c r="AH26" i="2"/>
  <c r="AG26" i="2"/>
  <c r="AF26" i="2"/>
  <c r="AJ25" i="2"/>
  <c r="AI25" i="2"/>
  <c r="AH25" i="2"/>
  <c r="AG25" i="2"/>
  <c r="AF25" i="2"/>
  <c r="AJ24" i="2"/>
  <c r="AI24" i="2"/>
  <c r="AH24" i="2"/>
  <c r="AG24" i="2"/>
  <c r="AJ23" i="2"/>
  <c r="AI23" i="2"/>
  <c r="AH23" i="2"/>
  <c r="AG23" i="2"/>
  <c r="AF23" i="2"/>
  <c r="AJ22" i="2"/>
  <c r="AI22" i="2"/>
  <c r="AH22" i="2"/>
  <c r="AG22" i="2"/>
  <c r="AJ21" i="2"/>
  <c r="AI21" i="2"/>
  <c r="AH21" i="2"/>
  <c r="AG21" i="2"/>
  <c r="AF21" i="2"/>
  <c r="AJ20" i="2"/>
  <c r="AI20" i="2"/>
  <c r="AH20" i="2"/>
  <c r="AG20" i="2"/>
  <c r="AK24" i="2"/>
  <c r="AK22" i="2"/>
  <c r="AK20" i="2"/>
  <c r="AK27" i="2"/>
  <c r="AK26" i="2"/>
  <c r="AK25" i="2"/>
  <c r="AK23" i="2"/>
  <c r="AK21" i="2"/>
  <c r="AL15" i="2"/>
  <c r="AL13" i="2"/>
  <c r="AL12" i="2"/>
  <c r="AL9" i="2"/>
  <c r="AL7" i="2"/>
  <c r="AL23" i="2" s="1"/>
  <c r="AL3" i="2"/>
  <c r="AC4" i="2"/>
  <c r="AD3" i="2"/>
  <c r="AC24" i="2"/>
  <c r="AD23" i="2"/>
  <c r="AC23" i="2"/>
  <c r="AD22" i="2"/>
  <c r="AC21" i="2"/>
  <c r="AC20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AA24" i="2"/>
  <c r="Z24" i="2"/>
  <c r="Y24" i="2"/>
  <c r="X24" i="2"/>
  <c r="W24" i="2"/>
  <c r="V24" i="2"/>
  <c r="U24" i="2"/>
  <c r="T24" i="2"/>
  <c r="S24" i="2"/>
  <c r="R24" i="2"/>
  <c r="Q24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AA22" i="2"/>
  <c r="Z22" i="2"/>
  <c r="Y22" i="2"/>
  <c r="X22" i="2"/>
  <c r="W22" i="2"/>
  <c r="V22" i="2"/>
  <c r="U22" i="2"/>
  <c r="T22" i="2"/>
  <c r="S22" i="2"/>
  <c r="R22" i="2"/>
  <c r="Q22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AA20" i="2"/>
  <c r="Z20" i="2"/>
  <c r="Y20" i="2"/>
  <c r="X20" i="2"/>
  <c r="W20" i="2"/>
  <c r="V20" i="2"/>
  <c r="U20" i="2"/>
  <c r="T20" i="2"/>
  <c r="S20" i="2"/>
  <c r="R20" i="2"/>
  <c r="Q20" i="2"/>
  <c r="AB23" i="2"/>
  <c r="AB24" i="2"/>
  <c r="AB22" i="2"/>
  <c r="AB21" i="2"/>
  <c r="AB20" i="2"/>
  <c r="AF13" i="2"/>
  <c r="AF10" i="2"/>
  <c r="AF5" i="2"/>
  <c r="AG10" i="2"/>
  <c r="AG5" i="2"/>
  <c r="AH10" i="2"/>
  <c r="AH5" i="2"/>
  <c r="AB5" i="2"/>
  <c r="AB11" i="2" s="1"/>
  <c r="AB14" i="2" s="1"/>
  <c r="AB16" i="2" s="1"/>
  <c r="AB18" i="2" s="1"/>
  <c r="AB10" i="2"/>
  <c r="AI15" i="2"/>
  <c r="AI13" i="2"/>
  <c r="AI12" i="2"/>
  <c r="AI9" i="2"/>
  <c r="AI8" i="2"/>
  <c r="AI7" i="2"/>
  <c r="AI6" i="2"/>
  <c r="AI10" i="2" s="1"/>
  <c r="AI4" i="2"/>
  <c r="AI3" i="2"/>
  <c r="AJ15" i="2"/>
  <c r="AJ13" i="2"/>
  <c r="AJ12" i="2"/>
  <c r="AJ9" i="2"/>
  <c r="AJ8" i="2"/>
  <c r="AJ7" i="2"/>
  <c r="AJ6" i="2"/>
  <c r="AJ10" i="2" s="1"/>
  <c r="AJ4" i="2"/>
  <c r="AJ3" i="2"/>
  <c r="AK15" i="2"/>
  <c r="AK13" i="2"/>
  <c r="AK12" i="2"/>
  <c r="AK9" i="2"/>
  <c r="AK8" i="2"/>
  <c r="AK7" i="2"/>
  <c r="AK6" i="2"/>
  <c r="AK4" i="2"/>
  <c r="AK3" i="2"/>
  <c r="AK10" i="2"/>
  <c r="M10" i="2"/>
  <c r="M5" i="2"/>
  <c r="Q10" i="2"/>
  <c r="Q5" i="2"/>
  <c r="N10" i="2"/>
  <c r="N5" i="2"/>
  <c r="R10" i="2"/>
  <c r="R5" i="2"/>
  <c r="O10" i="2"/>
  <c r="O5" i="2"/>
  <c r="S10" i="2"/>
  <c r="S5" i="2"/>
  <c r="P10" i="2"/>
  <c r="P5" i="2"/>
  <c r="T10" i="2"/>
  <c r="T5" i="2"/>
  <c r="U10" i="2"/>
  <c r="U5" i="2"/>
  <c r="Y10" i="2"/>
  <c r="Y5" i="2"/>
  <c r="V10" i="2"/>
  <c r="V5" i="2"/>
  <c r="Z10" i="2"/>
  <c r="Z5" i="2"/>
  <c r="W10" i="2"/>
  <c r="W5" i="2"/>
  <c r="AA10" i="2"/>
  <c r="AA5" i="2"/>
  <c r="X10" i="2"/>
  <c r="X5" i="2"/>
  <c r="D9" i="1"/>
  <c r="D8" i="1"/>
  <c r="D6" i="1"/>
  <c r="D5" i="1"/>
  <c r="F3" i="1"/>
  <c r="D3" i="1"/>
  <c r="AN6" i="2" l="1"/>
  <c r="AN10" i="2" s="1"/>
  <c r="AN11" i="2" s="1"/>
  <c r="AN25" i="2" s="1"/>
  <c r="AD26" i="2"/>
  <c r="AD16" i="2"/>
  <c r="AD25" i="2"/>
  <c r="AM10" i="2"/>
  <c r="AM11" i="2" s="1"/>
  <c r="AM25" i="2" s="1"/>
  <c r="AC14" i="2"/>
  <c r="AQ8" i="2"/>
  <c r="AP24" i="2"/>
  <c r="AO24" i="2"/>
  <c r="AN22" i="2"/>
  <c r="AB27" i="2"/>
  <c r="AB25" i="2"/>
  <c r="AB26" i="2"/>
  <c r="AD24" i="2"/>
  <c r="AM24" i="2"/>
  <c r="AL10" i="2"/>
  <c r="AL11" i="2" s="1"/>
  <c r="AM22" i="2"/>
  <c r="AL22" i="2"/>
  <c r="AL4" i="2"/>
  <c r="AL5" i="2" s="1"/>
  <c r="AL21" i="2" s="1"/>
  <c r="AO23" i="2"/>
  <c r="AO20" i="2"/>
  <c r="AP23" i="2"/>
  <c r="AO21" i="2"/>
  <c r="AM21" i="2"/>
  <c r="AN20" i="2"/>
  <c r="AM23" i="2"/>
  <c r="AD20" i="2"/>
  <c r="AD21" i="2"/>
  <c r="AF11" i="2"/>
  <c r="AF14" i="2" s="1"/>
  <c r="AF16" i="2" s="1"/>
  <c r="AF18" i="2" s="1"/>
  <c r="AG11" i="2"/>
  <c r="AG14" i="2" s="1"/>
  <c r="AG16" i="2" s="1"/>
  <c r="AG18" i="2" s="1"/>
  <c r="AH11" i="2"/>
  <c r="AH14" i="2" s="1"/>
  <c r="AH16" i="2" s="1"/>
  <c r="AH18" i="2" s="1"/>
  <c r="AI5" i="2"/>
  <c r="AI11" i="2" s="1"/>
  <c r="AI14" i="2" s="1"/>
  <c r="AI16" i="2" s="1"/>
  <c r="AI18" i="2" s="1"/>
  <c r="AJ5" i="2"/>
  <c r="AJ11" i="2" s="1"/>
  <c r="AJ14" i="2" s="1"/>
  <c r="AJ16" i="2" s="1"/>
  <c r="AJ18" i="2" s="1"/>
  <c r="AK5" i="2"/>
  <c r="AK11" i="2" s="1"/>
  <c r="AK14" i="2" s="1"/>
  <c r="AK16" i="2" s="1"/>
  <c r="AK18" i="2" s="1"/>
  <c r="M11" i="2"/>
  <c r="M14" i="2" s="1"/>
  <c r="M16" i="2" s="1"/>
  <c r="M18" i="2" s="1"/>
  <c r="Q11" i="2"/>
  <c r="Q14" i="2" s="1"/>
  <c r="Q16" i="2" s="1"/>
  <c r="Q18" i="2" s="1"/>
  <c r="N11" i="2"/>
  <c r="N14" i="2" s="1"/>
  <c r="N16" i="2" s="1"/>
  <c r="N18" i="2" s="1"/>
  <c r="R11" i="2"/>
  <c r="R14" i="2" s="1"/>
  <c r="R16" i="2" s="1"/>
  <c r="R18" i="2" s="1"/>
  <c r="O11" i="2"/>
  <c r="O14" i="2" s="1"/>
  <c r="O16" i="2" s="1"/>
  <c r="O18" i="2" s="1"/>
  <c r="S11" i="2"/>
  <c r="S14" i="2" s="1"/>
  <c r="S16" i="2" s="1"/>
  <c r="S18" i="2" s="1"/>
  <c r="P11" i="2"/>
  <c r="P14" i="2" s="1"/>
  <c r="P16" i="2" s="1"/>
  <c r="P18" i="2" s="1"/>
  <c r="T11" i="2"/>
  <c r="T14" i="2" s="1"/>
  <c r="T16" i="2" s="1"/>
  <c r="T18" i="2" s="1"/>
  <c r="U11" i="2"/>
  <c r="U14" i="2" s="1"/>
  <c r="U16" i="2" s="1"/>
  <c r="U18" i="2" s="1"/>
  <c r="Y11" i="2"/>
  <c r="Y14" i="2" s="1"/>
  <c r="Y16" i="2" s="1"/>
  <c r="Y18" i="2" s="1"/>
  <c r="V11" i="2"/>
  <c r="V14" i="2" s="1"/>
  <c r="V16" i="2" s="1"/>
  <c r="V18" i="2" s="1"/>
  <c r="Z11" i="2"/>
  <c r="Z14" i="2" s="1"/>
  <c r="Z16" i="2" s="1"/>
  <c r="Z18" i="2" s="1"/>
  <c r="W11" i="2"/>
  <c r="W14" i="2" s="1"/>
  <c r="W16" i="2" s="1"/>
  <c r="W18" i="2" s="1"/>
  <c r="AA11" i="2"/>
  <c r="AA14" i="2" s="1"/>
  <c r="AA16" i="2" s="1"/>
  <c r="AA18" i="2" s="1"/>
  <c r="X11" i="2"/>
  <c r="X14" i="2" s="1"/>
  <c r="X16" i="2" s="1"/>
  <c r="X18" i="2" s="1"/>
  <c r="AN14" i="2" l="1"/>
  <c r="AN15" i="2" s="1"/>
  <c r="AN16" i="2" s="1"/>
  <c r="AO6" i="2"/>
  <c r="AO10" i="2" s="1"/>
  <c r="AO11" i="2" s="1"/>
  <c r="AO25" i="2" s="1"/>
  <c r="AM14" i="2"/>
  <c r="AM15" i="2" s="1"/>
  <c r="AM26" i="2" s="1"/>
  <c r="AD18" i="2"/>
  <c r="AD27" i="2"/>
  <c r="AC26" i="2"/>
  <c r="AC16" i="2"/>
  <c r="AR8" i="2"/>
  <c r="AQ24" i="2"/>
  <c r="AL14" i="2"/>
  <c r="AL25" i="2"/>
  <c r="AP20" i="2"/>
  <c r="AP21" i="2"/>
  <c r="AQ23" i="2"/>
  <c r="AP6" i="2" l="1"/>
  <c r="AP10" i="2" s="1"/>
  <c r="AP11" i="2" s="1"/>
  <c r="AP14" i="2" s="1"/>
  <c r="AP15" i="2" s="1"/>
  <c r="AP26" i="2" s="1"/>
  <c r="AO14" i="2"/>
  <c r="AO15" i="2" s="1"/>
  <c r="AO26" i="2" s="1"/>
  <c r="AO22" i="2"/>
  <c r="AC18" i="2"/>
  <c r="AC27" i="2"/>
  <c r="AO16" i="2"/>
  <c r="AN18" i="2"/>
  <c r="AN27" i="2"/>
  <c r="AN26" i="2"/>
  <c r="AM16" i="2"/>
  <c r="AS8" i="2"/>
  <c r="AR24" i="2"/>
  <c r="AL16" i="2"/>
  <c r="AL26" i="2"/>
  <c r="AQ20" i="2"/>
  <c r="AQ21" i="2"/>
  <c r="AR20" i="2"/>
  <c r="AR23" i="2"/>
  <c r="AR21" i="2"/>
  <c r="AP22" i="2" l="1"/>
  <c r="AP16" i="2"/>
  <c r="AQ6" i="2"/>
  <c r="AQ10" i="2" s="1"/>
  <c r="AQ11" i="2" s="1"/>
  <c r="AQ14" i="2" s="1"/>
  <c r="AP25" i="2"/>
  <c r="AO18" i="2"/>
  <c r="AO27" i="2"/>
  <c r="AM18" i="2"/>
  <c r="AM27" i="2"/>
  <c r="AP18" i="2"/>
  <c r="AP27" i="2"/>
  <c r="AT8" i="2"/>
  <c r="AS24" i="2"/>
  <c r="AL18" i="2"/>
  <c r="AL27" i="2"/>
  <c r="AS20" i="2"/>
  <c r="AS23" i="2"/>
  <c r="AS21" i="2"/>
  <c r="AQ22" i="2" l="1"/>
  <c r="AR6" i="2"/>
  <c r="AR10" i="2" s="1"/>
  <c r="AR11" i="2" s="1"/>
  <c r="AR14" i="2" s="1"/>
  <c r="AR15" i="2" s="1"/>
  <c r="AR26" i="2" s="1"/>
  <c r="AQ25" i="2"/>
  <c r="AQ15" i="2"/>
  <c r="AQ26" i="2" s="1"/>
  <c r="AU8" i="2"/>
  <c r="AT24" i="2"/>
  <c r="AT23" i="2"/>
  <c r="AT21" i="2"/>
  <c r="AT20" i="2"/>
  <c r="AR22" i="2" l="1"/>
  <c r="AS6" i="2"/>
  <c r="AS10" i="2" s="1"/>
  <c r="AS11" i="2" s="1"/>
  <c r="AS14" i="2" s="1"/>
  <c r="AS15" i="2" s="1"/>
  <c r="AS26" i="2" s="1"/>
  <c r="AR16" i="2"/>
  <c r="AR18" i="2" s="1"/>
  <c r="AR25" i="2"/>
  <c r="AQ16" i="2"/>
  <c r="AV8" i="2"/>
  <c r="AU24" i="2"/>
  <c r="AT6" i="2"/>
  <c r="AT10" i="2" s="1"/>
  <c r="AT11" i="2" s="1"/>
  <c r="AT14" i="2" s="1"/>
  <c r="AT15" i="2" s="1"/>
  <c r="AT26" i="2" s="1"/>
  <c r="AU20" i="2"/>
  <c r="AU21" i="2"/>
  <c r="AU23" i="2"/>
  <c r="AR27" i="2" l="1"/>
  <c r="AS16" i="2"/>
  <c r="AS22" i="2"/>
  <c r="AS25" i="2"/>
  <c r="AT25" i="2"/>
  <c r="AQ18" i="2"/>
  <c r="AQ27" i="2"/>
  <c r="AT16" i="2"/>
  <c r="AT27" i="2" s="1"/>
  <c r="AV24" i="2"/>
  <c r="AS18" i="2"/>
  <c r="AS27" i="2"/>
  <c r="AT22" i="2"/>
  <c r="AU6" i="2"/>
  <c r="AU10" i="2" s="1"/>
  <c r="AU11" i="2" s="1"/>
  <c r="AU14" i="2" s="1"/>
  <c r="AU15" i="2" s="1"/>
  <c r="AU26" i="2" s="1"/>
  <c r="AV23" i="2"/>
  <c r="AV21" i="2"/>
  <c r="AV20" i="2"/>
  <c r="AT18" i="2" l="1"/>
  <c r="AU25" i="2"/>
  <c r="AU16" i="2"/>
  <c r="AV6" i="2"/>
  <c r="AU22" i="2"/>
  <c r="AV22" i="2" l="1"/>
  <c r="AV10" i="2"/>
  <c r="AV11" i="2" s="1"/>
  <c r="AU18" i="2"/>
  <c r="AU27" i="2"/>
  <c r="AV14" i="2" l="1"/>
  <c r="AV25" i="2"/>
  <c r="AV15" i="2" l="1"/>
  <c r="AV26" i="2" s="1"/>
  <c r="AV16" i="2" l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AY23" i="2" s="1"/>
  <c r="AY25" i="2" s="1"/>
  <c r="AY26" i="2" s="1"/>
  <c r="AY28" i="2" s="1"/>
  <c r="AV27" i="2" l="1"/>
  <c r="AV18" i="2"/>
</calcChain>
</file>

<file path=xl/sharedStrings.xml><?xml version="1.0" encoding="utf-8"?>
<sst xmlns="http://schemas.openxmlformats.org/spreadsheetml/2006/main" count="76" uniqueCount="71">
  <si>
    <t>COUR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</si>
  <si>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</si>
  <si>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</si>
  <si>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</si>
  <si>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</si>
  <si>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</si>
  <si>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</si>
  <si>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</si>
  <si>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</si>
  <si>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</si>
  <si>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</si>
  <si>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</si>
  <si>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</si>
  <si>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Cost of sales</t>
  </si>
  <si>
    <t>Gross profit</t>
  </si>
  <si>
    <t>R&amp;D</t>
  </si>
  <si>
    <t>S&amp;M</t>
  </si>
  <si>
    <t>G&amp;A</t>
  </si>
  <si>
    <t>Total opex</t>
  </si>
  <si>
    <t>Restructuring</t>
  </si>
  <si>
    <t>Operating profit</t>
  </si>
  <si>
    <t>Interest income</t>
  </si>
  <si>
    <t>Other income</t>
  </si>
  <si>
    <t>Pretax profit</t>
  </si>
  <si>
    <t>Taxes</t>
  </si>
  <si>
    <t>Net profit</t>
  </si>
  <si>
    <t>EPS</t>
  </si>
  <si>
    <t>Q122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</si>
  <si>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</si>
  <si>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</si>
  <si>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</si>
  <si>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</si>
  <si>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</si>
  <si>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</si>
  <si>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</si>
  <si>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</si>
  <si>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</si>
  <si>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</si>
  <si>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</si>
  <si>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</si>
  <si>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</si>
  <si>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</si>
  <si>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</si>
  <si>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</si>
  <si>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</si>
  <si>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</si>
  <si>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</si>
  <si>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</si>
  <si>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</si>
  <si>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</si>
  <si>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</si>
  <si>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</si>
  <si>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</si>
  <si>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</si>
  <si>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Gross Margin</t>
  </si>
  <si>
    <t>Revenue y/y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</si>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</sst>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3" fontId="0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22860</xdr:colOff>
      <xdr:row>0</xdr:row>
      <xdr:rowOff>7620</xdr:rowOff>
    </xdr:from>
    <xdr:to>
      <xdr:col>37</xdr:col>
      <xdr:colOff>22860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3664E7-A59C-5659-35B9-DF59058D4BEA}"/>
            </a:ext>
          </a:extLst>
        </xdr:cNvPr>
        <xdr:cNvCxnSpPr/>
      </xdr:nvCxnSpPr>
      <xdr:spPr>
        <a:xfrm>
          <a:off x="2293620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</xdr:colOff>
      <xdr:row>0</xdr:row>
      <xdr:rowOff>7620</xdr:rowOff>
    </xdr:from>
    <xdr:to>
      <xdr:col>28</xdr:col>
      <xdr:colOff>15240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74198F2-5182-DDCD-EDC3-D0AF744919B6}"/>
            </a:ext>
          </a:extLst>
        </xdr:cNvPr>
        <xdr:cNvCxnSpPr/>
      </xdr:nvCxnSpPr>
      <xdr:spPr>
        <a:xfrm>
          <a:off x="1744218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9467-A621-4B60-847B-DC9867721010}">
  <dimension ref="B2:G9"/>
  <sheetViews>
    <sheetView tabSelected="1" workbookViewId="0">
      <selection activeCell="D4" sqref="D4"/>
    </sheetView>
  </sheetViews>
  <sheetFormatPr defaultRowHeight="14.4" x14ac:dyDescent="0.3"/>
  <cols>
    <col min="5" max="5" width="11.88671875" style="3" bestFit="1" customWidth="1"/>
    <col min="6" max="7" width="11.21875" style="3" bestFit="1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2">
        <f>11.3</f>
        <v>11.3</v>
      </c>
      <c r="E3" s="4">
        <v>45902</v>
      </c>
      <c r="F3" s="4">
        <f ca="1">TODAY()</f>
        <v>45902</v>
      </c>
      <c r="G3" s="4">
        <v>45953</v>
      </c>
    </row>
    <row r="4" spans="2:7" x14ac:dyDescent="0.3">
      <c r="C4" t="s">
        <v>2</v>
      </c>
      <c r="D4" s="5">
        <v>163.69999999999999</v>
      </c>
      <c r="E4" s="3" t="s">
        <v>11</v>
      </c>
    </row>
    <row r="5" spans="2:7" x14ac:dyDescent="0.3">
      <c r="C5" t="s">
        <v>3</v>
      </c>
      <c r="D5" s="5">
        <f>D3*D4</f>
        <v>1849.81</v>
      </c>
    </row>
    <row r="6" spans="2:7" x14ac:dyDescent="0.3">
      <c r="C6" t="s">
        <v>4</v>
      </c>
      <c r="D6" s="5">
        <f>775.1</f>
        <v>775.1</v>
      </c>
      <c r="E6" s="3" t="s">
        <v>11</v>
      </c>
    </row>
    <row r="7" spans="2:7" x14ac:dyDescent="0.3">
      <c r="C7" t="s">
        <v>5</v>
      </c>
      <c r="D7" s="5">
        <v>0</v>
      </c>
      <c r="E7" s="3" t="s">
        <v>11</v>
      </c>
    </row>
    <row r="8" spans="2:7" x14ac:dyDescent="0.3">
      <c r="C8" t="s">
        <v>6</v>
      </c>
      <c r="D8" s="5">
        <f>D6-D7</f>
        <v>775.1</v>
      </c>
    </row>
    <row r="9" spans="2:7" x14ac:dyDescent="0.3">
      <c r="C9" t="s">
        <v>7</v>
      </c>
      <c r="D9" s="5">
        <f>D5-D8</f>
        <v>1074.71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2134-7EC8-4CEE-86B3-FA6CD313EB77}">
  <dimension ref="B2:EN29"/>
  <sheetViews>
    <sheetView workbookViewId="0">
      <pane xSplit="2" ySplit="2" topLeftCell="AM4" activePane="bottomRight" state="frozen"/>
      <selection pane="topRight" activeCell="C1" sqref="C1"/>
      <selection pane="bottomLeft" activeCell="A3" sqref="A3"/>
      <selection pane="bottomRight" activeCell="AY30" sqref="AY30"/>
    </sheetView>
  </sheetViews>
  <sheetFormatPr defaultRowHeight="14.4" x14ac:dyDescent="0.3"/>
  <cols>
    <col min="2" max="2" width="15.21875" bestFit="1" customWidth="1"/>
    <col min="50" max="50" width="11.88671875" bestFit="1" customWidth="1"/>
    <col min="51" max="51" width="13.44140625" customWidth="1"/>
  </cols>
  <sheetData>
    <row r="2" spans="2:144" x14ac:dyDescent="0.3"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27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11</v>
      </c>
      <c r="AC2" s="6" t="s">
        <v>52</v>
      </c>
      <c r="AD2" s="6" t="s">
        <v>53</v>
      </c>
      <c r="AF2">
        <v>2019</v>
      </c>
      <c r="AG2">
        <v>2020</v>
      </c>
      <c r="AH2">
        <v>2021</v>
      </c>
      <c r="AI2">
        <v>2022</v>
      </c>
      <c r="AJ2">
        <v>2023</v>
      </c>
      <c r="AK2">
        <v>2024</v>
      </c>
      <c r="AL2">
        <v>2025</v>
      </c>
      <c r="AM2">
        <v>2026</v>
      </c>
      <c r="AN2">
        <v>2027</v>
      </c>
      <c r="AO2">
        <v>2028</v>
      </c>
      <c r="AP2">
        <v>2029</v>
      </c>
      <c r="AQ2">
        <v>2030</v>
      </c>
      <c r="AR2">
        <v>2031</v>
      </c>
      <c r="AS2">
        <v>2032</v>
      </c>
      <c r="AT2">
        <v>2033</v>
      </c>
      <c r="AU2">
        <v>2034</v>
      </c>
      <c r="AV2">
        <v>2035</v>
      </c>
    </row>
    <row r="3" spans="2:144" s="1" customFormat="1" x14ac:dyDescent="0.3">
      <c r="B3" s="1" t="s">
        <v>12</v>
      </c>
      <c r="M3" s="8">
        <v>109.9</v>
      </c>
      <c r="N3" s="8">
        <v>115</v>
      </c>
      <c r="O3" s="8">
        <v>120.4</v>
      </c>
      <c r="P3" s="8">
        <v>124.8</v>
      </c>
      <c r="Q3" s="8">
        <v>136.4</v>
      </c>
      <c r="R3" s="8">
        <v>142.19999999999999</v>
      </c>
      <c r="S3" s="8">
        <v>147.6</v>
      </c>
      <c r="T3" s="8">
        <v>153.69999999999999</v>
      </c>
      <c r="U3" s="8">
        <v>165.5</v>
      </c>
      <c r="V3" s="8">
        <v>168.9</v>
      </c>
      <c r="W3" s="8">
        <v>169.1</v>
      </c>
      <c r="X3" s="8">
        <v>170.3</v>
      </c>
      <c r="Y3" s="8">
        <v>176.1</v>
      </c>
      <c r="Z3" s="8">
        <v>179.2</v>
      </c>
      <c r="AA3" s="8">
        <v>179.3</v>
      </c>
      <c r="AB3" s="8">
        <v>187.1</v>
      </c>
      <c r="AC3" s="8">
        <v>190</v>
      </c>
      <c r="AD3" s="8">
        <f>Z3*1.07</f>
        <v>191.744</v>
      </c>
      <c r="AF3" s="8">
        <v>184.4</v>
      </c>
      <c r="AG3" s="8">
        <v>293.5</v>
      </c>
      <c r="AH3" s="8">
        <v>415.3</v>
      </c>
      <c r="AI3" s="8">
        <f>SUM(O3:R3)</f>
        <v>523.79999999999995</v>
      </c>
      <c r="AJ3" s="8">
        <f>SUM(S3:V3)</f>
        <v>635.69999999999993</v>
      </c>
      <c r="AK3" s="8">
        <f>SUM(W3:Z3)</f>
        <v>694.7</v>
      </c>
      <c r="AL3" s="8">
        <f>SUM(AA3:AD3)</f>
        <v>748.14400000000001</v>
      </c>
      <c r="AM3" s="8">
        <f>AL3*1.05</f>
        <v>785.55119999999999</v>
      </c>
      <c r="AN3" s="8">
        <f>AM3*1.04</f>
        <v>816.97324800000001</v>
      </c>
      <c r="AO3" s="8">
        <f>AN3*1.03</f>
        <v>841.48244543999999</v>
      </c>
      <c r="AP3" s="8">
        <f>AO3*1.02</f>
        <v>858.31209434879997</v>
      </c>
      <c r="AQ3" s="8">
        <f t="shared" ref="AQ3:AR3" si="0">AP3*1.02</f>
        <v>875.47833623577594</v>
      </c>
      <c r="AR3" s="8">
        <f t="shared" si="0"/>
        <v>892.98790296049151</v>
      </c>
      <c r="AS3" s="8">
        <f>AR3*1.01</f>
        <v>901.91778199009639</v>
      </c>
      <c r="AT3" s="8">
        <f t="shared" ref="AT3:AV3" si="1">AS3*1.01</f>
        <v>910.93695980999735</v>
      </c>
      <c r="AU3" s="8">
        <f t="shared" si="1"/>
        <v>920.04632940809734</v>
      </c>
      <c r="AV3" s="8">
        <f t="shared" si="1"/>
        <v>929.24679270217837</v>
      </c>
    </row>
    <row r="4" spans="2:144" x14ac:dyDescent="0.3">
      <c r="B4" t="s">
        <v>13</v>
      </c>
      <c r="M4" s="5">
        <v>42.2</v>
      </c>
      <c r="N4" s="5">
        <v>43.7</v>
      </c>
      <c r="O4" s="5">
        <v>42.8</v>
      </c>
      <c r="P4" s="5">
        <v>46.4</v>
      </c>
      <c r="Q4" s="5">
        <v>48.8</v>
      </c>
      <c r="R4" s="5">
        <v>54.3</v>
      </c>
      <c r="S4" s="5">
        <v>70.2</v>
      </c>
      <c r="T4" s="5">
        <v>74</v>
      </c>
      <c r="U4" s="5">
        <v>82.3</v>
      </c>
      <c r="V4" s="5">
        <v>79.599999999999994</v>
      </c>
      <c r="W4" s="5">
        <v>79.599999999999994</v>
      </c>
      <c r="X4" s="5">
        <v>80.099999999999994</v>
      </c>
      <c r="Y4" s="5">
        <v>79.900000000000006</v>
      </c>
      <c r="Z4" s="5">
        <v>83.7</v>
      </c>
      <c r="AA4" s="5">
        <v>81.400000000000006</v>
      </c>
      <c r="AB4" s="5">
        <v>84.4</v>
      </c>
      <c r="AC4" s="5">
        <f>AC3-AC5</f>
        <v>85.499999999999986</v>
      </c>
      <c r="AD4" s="5">
        <f>AD3-AD5</f>
        <v>86.28479999999999</v>
      </c>
      <c r="AF4" s="5">
        <v>89.6</v>
      </c>
      <c r="AG4" s="5">
        <v>138.80000000000001</v>
      </c>
      <c r="AH4" s="5">
        <v>165.8</v>
      </c>
      <c r="AI4" s="9">
        <f>SUM(O4:R4)</f>
        <v>192.3</v>
      </c>
      <c r="AJ4" s="9">
        <f>SUM(S4:V4)</f>
        <v>306.10000000000002</v>
      </c>
      <c r="AK4" s="9">
        <f>SUM(W4:Z4)</f>
        <v>323.3</v>
      </c>
      <c r="AL4" s="9">
        <f>SUM(AA4:AD4)</f>
        <v>337.58479999999997</v>
      </c>
      <c r="AM4" s="5">
        <f>AM3-AM5</f>
        <v>345.64252799999997</v>
      </c>
      <c r="AN4" s="5">
        <f t="shared" ref="AN4:AV4" si="2">AN3-AN5</f>
        <v>351.29849664000005</v>
      </c>
      <c r="AO4" s="5">
        <f t="shared" si="2"/>
        <v>353.42262708480001</v>
      </c>
      <c r="AP4" s="5">
        <f t="shared" si="2"/>
        <v>360.491079626496</v>
      </c>
      <c r="AQ4" s="5">
        <f t="shared" si="2"/>
        <v>367.70090121902592</v>
      </c>
      <c r="AR4" s="5">
        <f t="shared" si="2"/>
        <v>375.05491924340652</v>
      </c>
      <c r="AS4" s="5">
        <f t="shared" si="2"/>
        <v>378.80546843584057</v>
      </c>
      <c r="AT4" s="5">
        <f t="shared" si="2"/>
        <v>382.59352312019894</v>
      </c>
      <c r="AU4" s="5">
        <f t="shared" si="2"/>
        <v>386.41945835140086</v>
      </c>
      <c r="AV4" s="5">
        <f t="shared" si="2"/>
        <v>390.28365293491493</v>
      </c>
    </row>
    <row r="5" spans="2:144" s="1" customFormat="1" x14ac:dyDescent="0.3">
      <c r="B5" s="1" t="s">
        <v>14</v>
      </c>
      <c r="M5" s="8">
        <f>M3-M4</f>
        <v>67.7</v>
      </c>
      <c r="N5" s="8">
        <f>N3-N4</f>
        <v>71.3</v>
      </c>
      <c r="O5" s="8">
        <f>O3-O4</f>
        <v>77.600000000000009</v>
      </c>
      <c r="P5" s="8">
        <f>P3-P4</f>
        <v>78.400000000000006</v>
      </c>
      <c r="Q5" s="8">
        <f>Q3-Q4</f>
        <v>87.600000000000009</v>
      </c>
      <c r="R5" s="8">
        <f>R3-R4</f>
        <v>87.899999999999991</v>
      </c>
      <c r="S5" s="8">
        <f>S3-S4</f>
        <v>77.399999999999991</v>
      </c>
      <c r="T5" s="8">
        <f>T3-T4</f>
        <v>79.699999999999989</v>
      </c>
      <c r="U5" s="8">
        <f>U3-U4</f>
        <v>83.2</v>
      </c>
      <c r="V5" s="8">
        <f>V3-V4</f>
        <v>89.300000000000011</v>
      </c>
      <c r="W5" s="8">
        <f>W3-W4</f>
        <v>89.5</v>
      </c>
      <c r="X5" s="8">
        <f>X3-X4</f>
        <v>90.200000000000017</v>
      </c>
      <c r="Y5" s="8">
        <f>Y3-Y4</f>
        <v>96.199999999999989</v>
      </c>
      <c r="Z5" s="8">
        <f>Z3-Z4</f>
        <v>95.499999999999986</v>
      </c>
      <c r="AA5" s="8">
        <f>AA3-AA4</f>
        <v>97.9</v>
      </c>
      <c r="AB5" s="8">
        <f>AB3-AB4</f>
        <v>102.69999999999999</v>
      </c>
      <c r="AC5" s="8">
        <f>AC3*0.55</f>
        <v>104.50000000000001</v>
      </c>
      <c r="AD5" s="8">
        <f t="shared" ref="AD5" si="3">AD3*0.55</f>
        <v>105.45920000000001</v>
      </c>
      <c r="AF5" s="8">
        <f>AF3-AF4</f>
        <v>94.800000000000011</v>
      </c>
      <c r="AG5" s="8">
        <f>AG3-AG4</f>
        <v>154.69999999999999</v>
      </c>
      <c r="AH5" s="8">
        <f>AH3-AH4</f>
        <v>249.5</v>
      </c>
      <c r="AI5" s="8">
        <f>AI3-AI4</f>
        <v>331.49999999999994</v>
      </c>
      <c r="AJ5" s="8">
        <f>AJ3-AJ4</f>
        <v>329.59999999999991</v>
      </c>
      <c r="AK5" s="8">
        <f>AK3-AK4</f>
        <v>371.40000000000003</v>
      </c>
      <c r="AL5" s="8">
        <f>AL3-AL4</f>
        <v>410.55920000000003</v>
      </c>
      <c r="AM5" s="8">
        <f>AM3*0.56</f>
        <v>439.90867200000002</v>
      </c>
      <c r="AN5" s="8">
        <f>AN3*0.57</f>
        <v>465.67475135999996</v>
      </c>
      <c r="AO5" s="8">
        <f>AO3*0.58</f>
        <v>488.05981835519998</v>
      </c>
      <c r="AP5" s="8">
        <f t="shared" ref="AP5:AV5" si="4">AP3*0.58</f>
        <v>497.82101472230397</v>
      </c>
      <c r="AQ5" s="8">
        <f t="shared" si="4"/>
        <v>507.77743501675002</v>
      </c>
      <c r="AR5" s="8">
        <f t="shared" si="4"/>
        <v>517.93298371708499</v>
      </c>
      <c r="AS5" s="8">
        <f t="shared" si="4"/>
        <v>523.11231355425582</v>
      </c>
      <c r="AT5" s="8">
        <f t="shared" si="4"/>
        <v>528.34343668979841</v>
      </c>
      <c r="AU5" s="8">
        <f t="shared" si="4"/>
        <v>533.62687105669647</v>
      </c>
      <c r="AV5" s="8">
        <f t="shared" si="4"/>
        <v>538.96313976726344</v>
      </c>
    </row>
    <row r="6" spans="2:144" x14ac:dyDescent="0.3">
      <c r="B6" t="s">
        <v>15</v>
      </c>
      <c r="M6" s="5">
        <v>33.9</v>
      </c>
      <c r="N6" s="5">
        <v>38.299999999999997</v>
      </c>
      <c r="O6" s="5">
        <v>38</v>
      </c>
      <c r="P6" s="5">
        <v>44.9</v>
      </c>
      <c r="Q6" s="5">
        <v>39.4</v>
      </c>
      <c r="R6" s="5">
        <v>42.8</v>
      </c>
      <c r="S6" s="5">
        <v>43.8</v>
      </c>
      <c r="T6" s="5">
        <v>41.3</v>
      </c>
      <c r="U6" s="5">
        <v>37.6</v>
      </c>
      <c r="V6" s="5">
        <v>37.4</v>
      </c>
      <c r="W6" s="5">
        <v>34.6</v>
      </c>
      <c r="X6" s="5">
        <v>33.700000000000003</v>
      </c>
      <c r="Y6" s="5">
        <v>31.6</v>
      </c>
      <c r="Z6" s="5">
        <v>32.1</v>
      </c>
      <c r="AA6" s="5">
        <v>29.5</v>
      </c>
      <c r="AB6" s="5">
        <v>29.3</v>
      </c>
      <c r="AC6" s="5">
        <f>Y6*0.88</f>
        <v>27.808</v>
      </c>
      <c r="AD6" s="5">
        <f>Z6*0.88</f>
        <v>28.248000000000001</v>
      </c>
      <c r="AF6" s="5">
        <v>56.4</v>
      </c>
      <c r="AG6" s="5">
        <v>76.8</v>
      </c>
      <c r="AH6" s="5">
        <v>135.4</v>
      </c>
      <c r="AI6" s="9">
        <f t="shared" ref="AI6:AI9" si="5">SUM(O6:R6)</f>
        <v>165.10000000000002</v>
      </c>
      <c r="AJ6" s="9">
        <f t="shared" ref="AI6:AJ9" si="6">SUM(S6:V6)</f>
        <v>160.1</v>
      </c>
      <c r="AK6" s="9">
        <f t="shared" ref="AJ6:AL9" si="7">SUM(W6:Z6)</f>
        <v>132</v>
      </c>
      <c r="AL6" s="9">
        <f t="shared" ref="AL6:AL9" si="8">SUM(AA6:AD6)</f>
        <v>114.85600000000001</v>
      </c>
      <c r="AM6" s="5">
        <f>AL6*0.94</f>
        <v>107.96464</v>
      </c>
      <c r="AN6" s="5">
        <f t="shared" ref="AN6:AV6" si="9">AM6*1.01</f>
        <v>109.0442864</v>
      </c>
      <c r="AO6" s="5">
        <f t="shared" si="9"/>
        <v>110.134729264</v>
      </c>
      <c r="AP6" s="5">
        <f t="shared" si="9"/>
        <v>111.23607655664</v>
      </c>
      <c r="AQ6" s="5">
        <f t="shared" si="9"/>
        <v>112.34843732220641</v>
      </c>
      <c r="AR6" s="5">
        <f t="shared" si="9"/>
        <v>113.47192169542848</v>
      </c>
      <c r="AS6" s="5">
        <f t="shared" si="9"/>
        <v>114.60664091238276</v>
      </c>
      <c r="AT6" s="5">
        <f t="shared" si="9"/>
        <v>115.75270732150659</v>
      </c>
      <c r="AU6" s="5">
        <f t="shared" si="9"/>
        <v>116.91023439472166</v>
      </c>
      <c r="AV6" s="5">
        <f t="shared" si="9"/>
        <v>118.07933673866887</v>
      </c>
    </row>
    <row r="7" spans="2:144" x14ac:dyDescent="0.3">
      <c r="B7" t="s">
        <v>16</v>
      </c>
      <c r="M7" s="5">
        <v>45.3</v>
      </c>
      <c r="N7" s="5">
        <v>57.6</v>
      </c>
      <c r="O7" s="5">
        <v>51.7</v>
      </c>
      <c r="P7" s="5">
        <v>55.6</v>
      </c>
      <c r="Q7" s="5">
        <v>58.5</v>
      </c>
      <c r="R7" s="5">
        <v>61.9</v>
      </c>
      <c r="S7" s="5">
        <v>52.9</v>
      </c>
      <c r="T7" s="5">
        <v>52</v>
      </c>
      <c r="U7" s="5">
        <v>59.8</v>
      </c>
      <c r="V7" s="5">
        <v>58.1</v>
      </c>
      <c r="W7" s="5">
        <v>57.6</v>
      </c>
      <c r="X7" s="5">
        <v>58.1</v>
      </c>
      <c r="Y7" s="5">
        <v>59</v>
      </c>
      <c r="Z7" s="5">
        <v>60.2</v>
      </c>
      <c r="AA7" s="5">
        <v>56.8</v>
      </c>
      <c r="AB7" s="5">
        <v>63.6</v>
      </c>
      <c r="AC7" s="5">
        <f>AC3*0.34</f>
        <v>64.600000000000009</v>
      </c>
      <c r="AD7" s="5">
        <f t="shared" ref="AD7" si="10">AD3*0.34</f>
        <v>65.192959999999999</v>
      </c>
      <c r="AF7" s="5">
        <v>57</v>
      </c>
      <c r="AG7" s="5">
        <v>107.2</v>
      </c>
      <c r="AH7" s="5">
        <v>179.3</v>
      </c>
      <c r="AI7" s="9">
        <f t="shared" si="5"/>
        <v>227.70000000000002</v>
      </c>
      <c r="AJ7" s="9">
        <f t="shared" si="6"/>
        <v>222.79999999999998</v>
      </c>
      <c r="AK7" s="9">
        <f t="shared" si="7"/>
        <v>234.89999999999998</v>
      </c>
      <c r="AL7" s="9">
        <f t="shared" si="8"/>
        <v>250.19296</v>
      </c>
      <c r="AM7" s="5">
        <f>AM3*0.33</f>
        <v>259.23189600000001</v>
      </c>
      <c r="AN7" s="5">
        <f>AN3*0.32</f>
        <v>261.43143936000001</v>
      </c>
      <c r="AO7" s="5">
        <f>AO3*0.31</f>
        <v>260.8595580864</v>
      </c>
      <c r="AP7" s="5">
        <f t="shared" ref="AP7:AV7" si="11">AP3*0.31</f>
        <v>266.07674924812801</v>
      </c>
      <c r="AQ7" s="5">
        <f t="shared" si="11"/>
        <v>271.39828423309052</v>
      </c>
      <c r="AR7" s="5">
        <f t="shared" si="11"/>
        <v>276.82624991775236</v>
      </c>
      <c r="AS7" s="5">
        <f t="shared" si="11"/>
        <v>279.59451241692989</v>
      </c>
      <c r="AT7" s="5">
        <f t="shared" si="11"/>
        <v>282.39045754109918</v>
      </c>
      <c r="AU7" s="5">
        <f t="shared" si="11"/>
        <v>285.21436211651019</v>
      </c>
      <c r="AV7" s="5">
        <f t="shared" si="11"/>
        <v>288.0665057376753</v>
      </c>
    </row>
    <row r="8" spans="2:144" x14ac:dyDescent="0.3">
      <c r="B8" t="s">
        <v>17</v>
      </c>
      <c r="M8" s="5">
        <v>19.899999999999999</v>
      </c>
      <c r="N8" s="5">
        <v>22.9</v>
      </c>
      <c r="O8" s="5">
        <v>25.2</v>
      </c>
      <c r="P8" s="5">
        <v>25.7</v>
      </c>
      <c r="Q8" s="5">
        <v>26</v>
      </c>
      <c r="R8" s="5">
        <v>29</v>
      </c>
      <c r="S8" s="5">
        <v>25.5</v>
      </c>
      <c r="T8" s="5">
        <v>24.9</v>
      </c>
      <c r="U8" s="5">
        <v>25.4</v>
      </c>
      <c r="V8" s="5">
        <v>22.4</v>
      </c>
      <c r="W8" s="5">
        <v>25</v>
      </c>
      <c r="X8" s="5">
        <v>29.6</v>
      </c>
      <c r="Y8" s="5">
        <v>27.4</v>
      </c>
      <c r="Z8" s="5">
        <v>26.9</v>
      </c>
      <c r="AA8" s="5">
        <v>26.9</v>
      </c>
      <c r="AB8" s="5">
        <v>24.9</v>
      </c>
      <c r="AC8" s="5">
        <f>Y8*0.93</f>
        <v>25.481999999999999</v>
      </c>
      <c r="AD8" s="5">
        <f>Z8*0.93</f>
        <v>25.016999999999999</v>
      </c>
      <c r="AF8" s="5">
        <v>29.8</v>
      </c>
      <c r="AG8" s="5">
        <v>37.200000000000003</v>
      </c>
      <c r="AH8" s="5">
        <v>77.8</v>
      </c>
      <c r="AI8" s="9">
        <f t="shared" si="5"/>
        <v>105.9</v>
      </c>
      <c r="AJ8" s="9">
        <f t="shared" si="6"/>
        <v>98.199999999999989</v>
      </c>
      <c r="AK8" s="9">
        <f t="shared" si="7"/>
        <v>108.9</v>
      </c>
      <c r="AL8" s="9">
        <f t="shared" si="8"/>
        <v>102.29899999999999</v>
      </c>
      <c r="AM8" s="5">
        <f>AL8*0.95</f>
        <v>97.184049999999985</v>
      </c>
      <c r="AN8" s="5">
        <f>AM8*1.01</f>
        <v>98.155890499999984</v>
      </c>
      <c r="AO8" s="5">
        <f t="shared" ref="AO8:AV8" si="12">AN8*1.01</f>
        <v>99.137449404999984</v>
      </c>
      <c r="AP8" s="5">
        <f t="shared" si="12"/>
        <v>100.12882389904999</v>
      </c>
      <c r="AQ8" s="5">
        <f t="shared" si="12"/>
        <v>101.13011213804049</v>
      </c>
      <c r="AR8" s="5">
        <f t="shared" si="12"/>
        <v>102.1414132594209</v>
      </c>
      <c r="AS8" s="5">
        <f t="shared" si="12"/>
        <v>103.16282739201512</v>
      </c>
      <c r="AT8" s="5">
        <f t="shared" si="12"/>
        <v>104.19445566593527</v>
      </c>
      <c r="AU8" s="5">
        <f t="shared" si="12"/>
        <v>105.23640022259463</v>
      </c>
      <c r="AV8" s="5">
        <f t="shared" si="12"/>
        <v>106.28876422482057</v>
      </c>
    </row>
    <row r="9" spans="2:144" x14ac:dyDescent="0.3">
      <c r="B9" t="s">
        <v>19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10.1</v>
      </c>
      <c r="S9" s="5">
        <v>-5.7</v>
      </c>
      <c r="T9" s="5">
        <v>0.1</v>
      </c>
      <c r="U9" s="5">
        <v>0</v>
      </c>
      <c r="V9" s="5">
        <v>0</v>
      </c>
      <c r="W9" s="5">
        <v>2.1</v>
      </c>
      <c r="X9" s="5">
        <v>0</v>
      </c>
      <c r="Y9" s="5">
        <v>0</v>
      </c>
      <c r="Z9" s="5">
        <v>6.8</v>
      </c>
      <c r="AA9" s="5">
        <v>-0.9</v>
      </c>
      <c r="AB9" s="5">
        <v>0</v>
      </c>
      <c r="AC9" s="5">
        <v>0</v>
      </c>
      <c r="AD9" s="5">
        <v>0</v>
      </c>
      <c r="AF9" s="5">
        <v>0</v>
      </c>
      <c r="AG9" s="5">
        <v>0</v>
      </c>
      <c r="AH9" s="5">
        <v>0</v>
      </c>
      <c r="AI9" s="9">
        <f t="shared" si="5"/>
        <v>10.1</v>
      </c>
      <c r="AJ9" s="9">
        <f t="shared" si="6"/>
        <v>-5.6000000000000005</v>
      </c>
      <c r="AK9" s="9">
        <f t="shared" si="7"/>
        <v>8.9</v>
      </c>
      <c r="AL9" s="9">
        <f t="shared" si="8"/>
        <v>-0.9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</row>
    <row r="10" spans="2:144" x14ac:dyDescent="0.3">
      <c r="B10" t="s">
        <v>18</v>
      </c>
      <c r="M10" s="5">
        <f>SUM(M6:M9)</f>
        <v>99.1</v>
      </c>
      <c r="N10" s="5">
        <f>SUM(N6:N9)</f>
        <v>118.80000000000001</v>
      </c>
      <c r="O10" s="5">
        <f>SUM(O6:O9)</f>
        <v>114.9</v>
      </c>
      <c r="P10" s="5">
        <f>SUM(P6:P9)</f>
        <v>126.2</v>
      </c>
      <c r="Q10" s="5">
        <f>SUM(Q6:Q9)</f>
        <v>123.9</v>
      </c>
      <c r="R10" s="5">
        <f>SUM(R6:R9)</f>
        <v>143.79999999999998</v>
      </c>
      <c r="S10" s="5">
        <f>SUM(S6:S9)</f>
        <v>116.49999999999999</v>
      </c>
      <c r="T10" s="5">
        <f>SUM(T6:T9)</f>
        <v>118.29999999999998</v>
      </c>
      <c r="U10" s="5">
        <f>SUM(U6:U9)</f>
        <v>122.80000000000001</v>
      </c>
      <c r="V10" s="5">
        <f>SUM(V6:V9)</f>
        <v>117.9</v>
      </c>
      <c r="W10" s="5">
        <f>SUM(W6:W9)</f>
        <v>119.3</v>
      </c>
      <c r="X10" s="5">
        <f>SUM(X6:X9)</f>
        <v>121.4</v>
      </c>
      <c r="Y10" s="5">
        <f>SUM(Y6:Y9)</f>
        <v>118</v>
      </c>
      <c r="Z10" s="5">
        <f>SUM(Z6:Z9)</f>
        <v>126.00000000000001</v>
      </c>
      <c r="AA10" s="5">
        <f>SUM(AA6:AA9)</f>
        <v>112.29999999999998</v>
      </c>
      <c r="AB10" s="5">
        <f>SUM(AB6:AB9)</f>
        <v>117.80000000000001</v>
      </c>
      <c r="AC10" s="5">
        <f t="shared" ref="AC10:AD10" si="13">SUM(AC6:AC9)</f>
        <v>117.89000000000001</v>
      </c>
      <c r="AD10" s="5">
        <f t="shared" si="13"/>
        <v>118.45796</v>
      </c>
      <c r="AF10" s="5">
        <f>SUM(AF6:AF9)</f>
        <v>143.20000000000002</v>
      </c>
      <c r="AG10" s="5">
        <f>SUM(AG6:AG9)</f>
        <v>221.2</v>
      </c>
      <c r="AH10" s="5">
        <f>SUM(AH6:AH9)</f>
        <v>392.50000000000006</v>
      </c>
      <c r="AI10" s="5">
        <f>SUM(AI6:AI9)</f>
        <v>508.80000000000007</v>
      </c>
      <c r="AJ10" s="5">
        <f>SUM(AJ6:AJ9)</f>
        <v>475.49999999999994</v>
      </c>
      <c r="AK10" s="5">
        <f>SUM(AK6:AK9)</f>
        <v>484.69999999999993</v>
      </c>
      <c r="AL10" s="5">
        <f>SUM(AL6:AL9)</f>
        <v>466.44796000000002</v>
      </c>
      <c r="AM10" s="5">
        <f t="shared" ref="AM10:AN10" si="14">SUM(AM6:AM9)</f>
        <v>464.38058599999999</v>
      </c>
      <c r="AN10" s="5">
        <f t="shared" si="14"/>
        <v>468.63161626000004</v>
      </c>
      <c r="AO10" s="5">
        <f t="shared" ref="AO10" si="15">SUM(AO6:AO9)</f>
        <v>470.13173675539997</v>
      </c>
      <c r="AP10" s="5">
        <f t="shared" ref="AP10" si="16">SUM(AP6:AP9)</f>
        <v>477.44164970381803</v>
      </c>
      <c r="AQ10" s="5">
        <f t="shared" ref="AQ10" si="17">SUM(AQ6:AQ9)</f>
        <v>484.8768336933374</v>
      </c>
      <c r="AR10" s="5">
        <f t="shared" ref="AR10" si="18">SUM(AR6:AR9)</f>
        <v>492.43958487260176</v>
      </c>
      <c r="AS10" s="5">
        <f t="shared" ref="AS10" si="19">SUM(AS6:AS9)</f>
        <v>497.36398072132778</v>
      </c>
      <c r="AT10" s="5">
        <f t="shared" ref="AT10" si="20">SUM(AT6:AT9)</f>
        <v>502.33762052854104</v>
      </c>
      <c r="AU10" s="5">
        <f t="shared" ref="AU10" si="21">SUM(AU6:AU9)</f>
        <v>507.36099673382648</v>
      </c>
      <c r="AV10" s="5">
        <f t="shared" ref="AV10" si="22">SUM(AV6:AV9)</f>
        <v>512.43460670116474</v>
      </c>
    </row>
    <row r="11" spans="2:144" s="1" customFormat="1" x14ac:dyDescent="0.3">
      <c r="B11" s="1" t="s">
        <v>20</v>
      </c>
      <c r="M11" s="8">
        <f>M5-M10</f>
        <v>-31.399999999999991</v>
      </c>
      <c r="N11" s="8">
        <f>N5-N10</f>
        <v>-47.500000000000014</v>
      </c>
      <c r="O11" s="8">
        <f>O5-O10</f>
        <v>-37.299999999999997</v>
      </c>
      <c r="P11" s="8">
        <f>P5-P10</f>
        <v>-47.8</v>
      </c>
      <c r="Q11" s="8">
        <f>Q5-Q10</f>
        <v>-36.299999999999997</v>
      </c>
      <c r="R11" s="8">
        <f>R5-R10</f>
        <v>-55.899999999999991</v>
      </c>
      <c r="S11" s="8">
        <f>S5-S10</f>
        <v>-39.099999999999994</v>
      </c>
      <c r="T11" s="8">
        <f>T5-T10</f>
        <v>-38.599999999999994</v>
      </c>
      <c r="U11" s="8">
        <f>U5-U10</f>
        <v>-39.600000000000009</v>
      </c>
      <c r="V11" s="8">
        <f>V5-V10</f>
        <v>-28.599999999999994</v>
      </c>
      <c r="W11" s="8">
        <f>W5-W10</f>
        <v>-29.799999999999997</v>
      </c>
      <c r="X11" s="8">
        <f>X5-X10</f>
        <v>-31.199999999999989</v>
      </c>
      <c r="Y11" s="8">
        <f>Y5-Y10</f>
        <v>-21.800000000000011</v>
      </c>
      <c r="Z11" s="8">
        <f>Z5-Z10</f>
        <v>-30.500000000000028</v>
      </c>
      <c r="AA11" s="8">
        <f>AA5-AA10</f>
        <v>-14.399999999999977</v>
      </c>
      <c r="AB11" s="8">
        <f>AB5-AB10</f>
        <v>-15.100000000000023</v>
      </c>
      <c r="AC11" s="8">
        <f t="shared" ref="AC11:AD11" si="23">AC5-AC10</f>
        <v>-13.39</v>
      </c>
      <c r="AD11" s="8">
        <f t="shared" si="23"/>
        <v>-12.99875999999999</v>
      </c>
      <c r="AF11" s="8">
        <f>AF5-AF10</f>
        <v>-48.400000000000006</v>
      </c>
      <c r="AG11" s="8">
        <f>AG5-AG10</f>
        <v>-66.5</v>
      </c>
      <c r="AH11" s="8">
        <f>AH5-AH10</f>
        <v>-143.00000000000006</v>
      </c>
      <c r="AI11" s="8">
        <f>AI5-AI10</f>
        <v>-177.30000000000013</v>
      </c>
      <c r="AJ11" s="8">
        <f>AJ5-AJ10</f>
        <v>-145.90000000000003</v>
      </c>
      <c r="AK11" s="8">
        <f>AK5-AK10</f>
        <v>-113.2999999999999</v>
      </c>
      <c r="AL11" s="8">
        <f>AL5-AL10</f>
        <v>-55.888759999999991</v>
      </c>
      <c r="AM11" s="8">
        <f t="shared" ref="AM11:AN11" si="24">AM5-AM10</f>
        <v>-24.47191399999997</v>
      </c>
      <c r="AN11" s="8">
        <f t="shared" si="24"/>
        <v>-2.9568649000000846</v>
      </c>
      <c r="AO11" s="8">
        <f t="shared" ref="AO11" si="25">AO5-AO10</f>
        <v>17.928081599800009</v>
      </c>
      <c r="AP11" s="8">
        <f t="shared" ref="AP11" si="26">AP5-AP10</f>
        <v>20.379365018485942</v>
      </c>
      <c r="AQ11" s="8">
        <f t="shared" ref="AQ11" si="27">AQ5-AQ10</f>
        <v>22.900601323412616</v>
      </c>
      <c r="AR11" s="8">
        <f t="shared" ref="AR11" si="28">AR5-AR10</f>
        <v>25.493398844483238</v>
      </c>
      <c r="AS11" s="8">
        <f t="shared" ref="AS11" si="29">AS5-AS10</f>
        <v>25.748332832928043</v>
      </c>
      <c r="AT11" s="8">
        <f t="shared" ref="AT11" si="30">AT5-AT10</f>
        <v>26.005816161257371</v>
      </c>
      <c r="AU11" s="8">
        <f t="shared" ref="AU11" si="31">AU5-AU10</f>
        <v>26.26587432286999</v>
      </c>
      <c r="AV11" s="8">
        <f t="shared" ref="AV11" si="32">AV5-AV10</f>
        <v>26.528533066098703</v>
      </c>
    </row>
    <row r="12" spans="2:144" x14ac:dyDescent="0.3">
      <c r="B12" t="s">
        <v>21</v>
      </c>
      <c r="M12" s="5">
        <v>-0.1</v>
      </c>
      <c r="N12" s="5">
        <v>-0.1</v>
      </c>
      <c r="O12" s="5">
        <v>-0.3</v>
      </c>
      <c r="P12" s="5">
        <v>-0.8</v>
      </c>
      <c r="Q12" s="5">
        <v>-2.2999999999999998</v>
      </c>
      <c r="R12" s="5">
        <v>-5.7</v>
      </c>
      <c r="S12" s="5">
        <v>-8</v>
      </c>
      <c r="T12" s="5">
        <v>-8.1999999999999993</v>
      </c>
      <c r="U12" s="5">
        <v>-8.9</v>
      </c>
      <c r="V12" s="5">
        <v>-9.3000000000000007</v>
      </c>
      <c r="W12" s="5">
        <v>-9.6</v>
      </c>
      <c r="X12" s="5">
        <v>-9.3000000000000007</v>
      </c>
      <c r="Y12" s="5">
        <v>-9.4</v>
      </c>
      <c r="Z12" s="5">
        <v>-8.5</v>
      </c>
      <c r="AA12" s="5">
        <v>-7.8</v>
      </c>
      <c r="AB12" s="5">
        <v>-8</v>
      </c>
      <c r="AC12" s="5">
        <v>-8</v>
      </c>
      <c r="AD12" s="5">
        <v>-8</v>
      </c>
      <c r="AF12" s="5">
        <v>-3.3</v>
      </c>
      <c r="AG12" s="5">
        <v>-1.2</v>
      </c>
      <c r="AH12" s="5">
        <v>-0.3</v>
      </c>
      <c r="AI12" s="9">
        <f t="shared" ref="AI12:AI13" si="33">SUM(O12:R12)</f>
        <v>-9.1</v>
      </c>
      <c r="AJ12" s="9">
        <f t="shared" ref="AI12:AJ13" si="34">SUM(S12:V12)</f>
        <v>-34.400000000000006</v>
      </c>
      <c r="AK12" s="9">
        <f t="shared" ref="AJ12:AL13" si="35">SUM(W12:Z12)</f>
        <v>-36.799999999999997</v>
      </c>
      <c r="AL12" s="9">
        <f t="shared" ref="AL12:AL13" si="36">SUM(AA12:AD12)</f>
        <v>-31.8</v>
      </c>
      <c r="AM12" s="5">
        <f>AL12*1.01</f>
        <v>-32.118000000000002</v>
      </c>
      <c r="AN12" s="5">
        <f>AM12*1.01</f>
        <v>-32.43918</v>
      </c>
      <c r="AO12" s="5">
        <f t="shared" ref="AO12:AV12" si="37">AN12*1.01</f>
        <v>-32.763571800000001</v>
      </c>
      <c r="AP12" s="5">
        <f t="shared" si="37"/>
        <v>-33.091207518000004</v>
      </c>
      <c r="AQ12" s="5">
        <f t="shared" si="37"/>
        <v>-33.422119593180007</v>
      </c>
      <c r="AR12" s="5">
        <f t="shared" si="37"/>
        <v>-33.75634078911181</v>
      </c>
      <c r="AS12" s="5">
        <f t="shared" si="37"/>
        <v>-34.093904197002928</v>
      </c>
      <c r="AT12" s="5">
        <f t="shared" si="37"/>
        <v>-34.43484323897296</v>
      </c>
      <c r="AU12" s="5">
        <f t="shared" si="37"/>
        <v>-34.779191671362689</v>
      </c>
      <c r="AV12" s="5">
        <f t="shared" si="37"/>
        <v>-35.126983588076314</v>
      </c>
    </row>
    <row r="13" spans="2:144" x14ac:dyDescent="0.3">
      <c r="B13" t="s">
        <v>22</v>
      </c>
      <c r="M13" s="5">
        <v>0.3</v>
      </c>
      <c r="N13" s="5">
        <v>0.1</v>
      </c>
      <c r="O13" s="5">
        <v>0.4</v>
      </c>
      <c r="P13" s="5">
        <v>1.2</v>
      </c>
      <c r="Q13" s="5">
        <v>1</v>
      </c>
      <c r="R13" s="5">
        <v>-0.2</v>
      </c>
      <c r="S13" s="5">
        <v>-0.1</v>
      </c>
      <c r="T13" s="5">
        <v>0</v>
      </c>
      <c r="U13" s="5">
        <v>0.3</v>
      </c>
      <c r="V13" s="5">
        <v>-0.2</v>
      </c>
      <c r="W13" s="5">
        <v>0.3</v>
      </c>
      <c r="X13" s="5">
        <v>0</v>
      </c>
      <c r="Y13" s="5">
        <v>-0.2</v>
      </c>
      <c r="Z13" s="5">
        <v>1.9</v>
      </c>
      <c r="AA13" s="5">
        <v>-0.3</v>
      </c>
      <c r="AB13" s="5">
        <v>-0.1</v>
      </c>
      <c r="AC13" s="5">
        <v>0</v>
      </c>
      <c r="AD13" s="5">
        <v>0</v>
      </c>
      <c r="AF13" s="5">
        <f>0.6+0.3</f>
        <v>0.89999999999999991</v>
      </c>
      <c r="AG13" s="5">
        <v>-0.1</v>
      </c>
      <c r="AH13" s="5">
        <v>0.3</v>
      </c>
      <c r="AI13" s="9">
        <f t="shared" si="33"/>
        <v>2.4</v>
      </c>
      <c r="AJ13" s="9">
        <f t="shared" si="34"/>
        <v>0</v>
      </c>
      <c r="AK13" s="9">
        <f t="shared" si="35"/>
        <v>2</v>
      </c>
      <c r="AL13" s="9">
        <f t="shared" si="36"/>
        <v>-0.4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</row>
    <row r="14" spans="2:144" s="1" customFormat="1" x14ac:dyDescent="0.3">
      <c r="B14" s="1" t="s">
        <v>23</v>
      </c>
      <c r="M14" s="8">
        <f>M11-M12-M13</f>
        <v>-31.599999999999991</v>
      </c>
      <c r="N14" s="8">
        <f>N11-N12-N13</f>
        <v>-47.500000000000014</v>
      </c>
      <c r="O14" s="8">
        <f>O11-O12-O13</f>
        <v>-37.4</v>
      </c>
      <c r="P14" s="8">
        <f>P11-P12-P13</f>
        <v>-48.2</v>
      </c>
      <c r="Q14" s="8">
        <f>Q11-Q12-Q13</f>
        <v>-35</v>
      </c>
      <c r="R14" s="8">
        <f>R11-R12-R13</f>
        <v>-49.999999999999986</v>
      </c>
      <c r="S14" s="8">
        <f>S11-S12-S13</f>
        <v>-30.999999999999993</v>
      </c>
      <c r="T14" s="8">
        <f>T11-T12-T13</f>
        <v>-30.399999999999995</v>
      </c>
      <c r="U14" s="8">
        <f>U11-U12-U13</f>
        <v>-31.000000000000011</v>
      </c>
      <c r="V14" s="8">
        <f>V11-V12-V13</f>
        <v>-19.099999999999994</v>
      </c>
      <c r="W14" s="8">
        <f>W11-W12-W13</f>
        <v>-20.499999999999996</v>
      </c>
      <c r="X14" s="8">
        <f>X11-X12-X13</f>
        <v>-21.899999999999988</v>
      </c>
      <c r="Y14" s="8">
        <f>Y11-Y12-Y13</f>
        <v>-12.200000000000012</v>
      </c>
      <c r="Z14" s="8">
        <f>Z11-Z12-Z13</f>
        <v>-23.900000000000027</v>
      </c>
      <c r="AA14" s="8">
        <f>AA11-AA12-AA13</f>
        <v>-6.2999999999999776</v>
      </c>
      <c r="AB14" s="8">
        <f>AB11-AB12-AB13</f>
        <v>-7.0000000000000231</v>
      </c>
      <c r="AC14" s="8">
        <f t="shared" ref="AC14:AD14" si="38">AC11-AC12-AC13</f>
        <v>-5.3900000000000006</v>
      </c>
      <c r="AD14" s="8">
        <f t="shared" si="38"/>
        <v>-4.9987599999999901</v>
      </c>
      <c r="AF14" s="8">
        <f>AF11-AF12-AF13</f>
        <v>-46.000000000000007</v>
      </c>
      <c r="AG14" s="8">
        <f>AG11-AG12-AG13</f>
        <v>-65.2</v>
      </c>
      <c r="AH14" s="8">
        <f>AH11-AH12-AH13</f>
        <v>-143.00000000000006</v>
      </c>
      <c r="AI14" s="8">
        <f>AI11-AI12-AI13</f>
        <v>-170.60000000000014</v>
      </c>
      <c r="AJ14" s="8">
        <f>AJ11-AJ12-AJ13</f>
        <v>-111.50000000000003</v>
      </c>
      <c r="AK14" s="8">
        <f>AK11-AK12-AK13</f>
        <v>-78.499999999999901</v>
      </c>
      <c r="AL14" s="8">
        <f>AL11-AL12-AL13</f>
        <v>-23.688759999999991</v>
      </c>
      <c r="AM14" s="8">
        <f t="shared" ref="AM14:AN14" si="39">AM11-AM12-AM13</f>
        <v>7.6460860000000324</v>
      </c>
      <c r="AN14" s="8">
        <f t="shared" si="39"/>
        <v>29.482315099999916</v>
      </c>
      <c r="AO14" s="8">
        <f t="shared" ref="AO14" si="40">AO11-AO12-AO13</f>
        <v>50.691653399800011</v>
      </c>
      <c r="AP14" s="8">
        <f t="shared" ref="AP14" si="41">AP11-AP12-AP13</f>
        <v>53.470572536485946</v>
      </c>
      <c r="AQ14" s="8">
        <f t="shared" ref="AQ14" si="42">AQ11-AQ12-AQ13</f>
        <v>56.322720916592623</v>
      </c>
      <c r="AR14" s="8">
        <f t="shared" ref="AR14" si="43">AR11-AR12-AR13</f>
        <v>59.249739633595048</v>
      </c>
      <c r="AS14" s="8">
        <f t="shared" ref="AS14" si="44">AS11-AS12-AS13</f>
        <v>59.84223702993097</v>
      </c>
      <c r="AT14" s="8">
        <f t="shared" ref="AT14" si="45">AT11-AT12-AT13</f>
        <v>60.440659400230331</v>
      </c>
      <c r="AU14" s="8">
        <f t="shared" ref="AU14" si="46">AU11-AU12-AU13</f>
        <v>61.045065994232679</v>
      </c>
      <c r="AV14" s="8">
        <f t="shared" ref="AV14" si="47">AV11-AV12-AV13</f>
        <v>61.655516654175017</v>
      </c>
    </row>
    <row r="15" spans="2:144" x14ac:dyDescent="0.3">
      <c r="B15" t="s">
        <v>24</v>
      </c>
      <c r="M15" s="5">
        <v>0.8</v>
      </c>
      <c r="N15" s="5">
        <v>0.2</v>
      </c>
      <c r="O15" s="5">
        <v>1</v>
      </c>
      <c r="P15" s="5">
        <v>1.2</v>
      </c>
      <c r="Q15" s="5">
        <v>1</v>
      </c>
      <c r="R15" s="5">
        <v>1.5</v>
      </c>
      <c r="S15" s="5">
        <v>1.4</v>
      </c>
      <c r="T15" s="5">
        <v>1.6</v>
      </c>
      <c r="U15" s="5">
        <v>1</v>
      </c>
      <c r="V15" s="5">
        <v>1.3</v>
      </c>
      <c r="W15" s="5">
        <v>0.8</v>
      </c>
      <c r="X15" s="5">
        <v>1</v>
      </c>
      <c r="Y15" s="5">
        <v>1.5</v>
      </c>
      <c r="Z15" s="5">
        <v>-2.2999999999999998</v>
      </c>
      <c r="AA15" s="5">
        <v>1.5</v>
      </c>
      <c r="AB15" s="5">
        <v>0.8</v>
      </c>
      <c r="AC15" s="5">
        <v>1</v>
      </c>
      <c r="AD15" s="5">
        <v>1</v>
      </c>
      <c r="AF15" s="5">
        <v>0.7</v>
      </c>
      <c r="AG15" s="5">
        <v>1.5</v>
      </c>
      <c r="AH15" s="5">
        <v>2.1</v>
      </c>
      <c r="AI15" s="9">
        <f>SUM(O15:R15)</f>
        <v>4.7</v>
      </c>
      <c r="AJ15" s="9">
        <f>SUM(S15:V15)</f>
        <v>5.3</v>
      </c>
      <c r="AK15" s="9">
        <f>SUM(W15:Z15)</f>
        <v>1</v>
      </c>
      <c r="AL15" s="9">
        <f>SUM(AA15:AD15)</f>
        <v>4.3</v>
      </c>
      <c r="AM15" s="5">
        <f>AM14*0.1</f>
        <v>0.7646086000000033</v>
      </c>
      <c r="AN15" s="5">
        <f>AN14*0.1</f>
        <v>2.9482315099999918</v>
      </c>
      <c r="AO15" s="5">
        <f t="shared" ref="AO15:AV15" si="48">AO14*0.1</f>
        <v>5.0691653399800014</v>
      </c>
      <c r="AP15" s="5">
        <f t="shared" si="48"/>
        <v>5.347057253648595</v>
      </c>
      <c r="AQ15" s="5">
        <f t="shared" si="48"/>
        <v>5.6322720916592628</v>
      </c>
      <c r="AR15" s="5">
        <f t="shared" si="48"/>
        <v>5.9249739633595055</v>
      </c>
      <c r="AS15" s="5">
        <f t="shared" si="48"/>
        <v>5.9842237029930976</v>
      </c>
      <c r="AT15" s="5">
        <f t="shared" si="48"/>
        <v>6.0440659400230334</v>
      </c>
      <c r="AU15" s="5">
        <f t="shared" si="48"/>
        <v>6.1045065994232681</v>
      </c>
      <c r="AV15" s="5">
        <f t="shared" si="48"/>
        <v>6.1655516654175022</v>
      </c>
    </row>
    <row r="16" spans="2:144" s="1" customFormat="1" x14ac:dyDescent="0.3">
      <c r="B16" s="1" t="s">
        <v>25</v>
      </c>
      <c r="M16" s="8">
        <f>M14-M15</f>
        <v>-32.399999999999991</v>
      </c>
      <c r="N16" s="8">
        <f>N14-N15</f>
        <v>-47.700000000000017</v>
      </c>
      <c r="O16" s="8">
        <f>O14-O15</f>
        <v>-38.4</v>
      </c>
      <c r="P16" s="8">
        <f>P14-P15</f>
        <v>-49.400000000000006</v>
      </c>
      <c r="Q16" s="8">
        <f>Q14-Q15</f>
        <v>-36</v>
      </c>
      <c r="R16" s="8">
        <f>R14-R15</f>
        <v>-51.499999999999986</v>
      </c>
      <c r="S16" s="8">
        <f>S14-S15</f>
        <v>-32.399999999999991</v>
      </c>
      <c r="T16" s="8">
        <f>T14-T15</f>
        <v>-31.999999999999996</v>
      </c>
      <c r="U16" s="8">
        <f>U14-U15</f>
        <v>-32.000000000000014</v>
      </c>
      <c r="V16" s="8">
        <f>V14-V15</f>
        <v>-20.399999999999995</v>
      </c>
      <c r="W16" s="8">
        <f>W14-W15</f>
        <v>-21.299999999999997</v>
      </c>
      <c r="X16" s="8">
        <f>X14-X15</f>
        <v>-22.899999999999988</v>
      </c>
      <c r="Y16" s="8">
        <f>Y14-Y15</f>
        <v>-13.700000000000012</v>
      </c>
      <c r="Z16" s="8">
        <f>Z14-Z15</f>
        <v>-21.600000000000026</v>
      </c>
      <c r="AA16" s="8">
        <f>AA14-AA15</f>
        <v>-7.7999999999999776</v>
      </c>
      <c r="AB16" s="8">
        <f>AB14-AB15</f>
        <v>-7.8000000000000229</v>
      </c>
      <c r="AC16" s="8">
        <f t="shared" ref="AC16:AD16" si="49">AC14-AC15</f>
        <v>-6.3900000000000006</v>
      </c>
      <c r="AD16" s="8">
        <f t="shared" si="49"/>
        <v>-5.9987599999999901</v>
      </c>
      <c r="AF16" s="8">
        <f>AF14-AF15</f>
        <v>-46.70000000000001</v>
      </c>
      <c r="AG16" s="8">
        <f>AG14-AG15</f>
        <v>-66.7</v>
      </c>
      <c r="AH16" s="8">
        <f>AH14-AH15</f>
        <v>-145.10000000000005</v>
      </c>
      <c r="AI16" s="8">
        <f>AI14-AI15</f>
        <v>-175.30000000000013</v>
      </c>
      <c r="AJ16" s="8">
        <f>AJ14-AJ15</f>
        <v>-116.80000000000003</v>
      </c>
      <c r="AK16" s="8">
        <f>AK14-AK15</f>
        <v>-79.499999999999901</v>
      </c>
      <c r="AL16" s="8">
        <f>AL14-AL15</f>
        <v>-27.988759999999992</v>
      </c>
      <c r="AM16" s="8">
        <f t="shared" ref="AM16:AN16" si="50">AM14-AM15</f>
        <v>6.8814774000000289</v>
      </c>
      <c r="AN16" s="8">
        <f t="shared" si="50"/>
        <v>26.534083589999923</v>
      </c>
      <c r="AO16" s="8">
        <f t="shared" ref="AO16" si="51">AO14-AO15</f>
        <v>45.622488059820007</v>
      </c>
      <c r="AP16" s="8">
        <f t="shared" ref="AP16" si="52">AP14-AP15</f>
        <v>48.123515282837353</v>
      </c>
      <c r="AQ16" s="8">
        <f t="shared" ref="AQ16" si="53">AQ14-AQ15</f>
        <v>50.690448824933362</v>
      </c>
      <c r="AR16" s="8">
        <f t="shared" ref="AR16" si="54">AR14-AR15</f>
        <v>53.324765670235543</v>
      </c>
      <c r="AS16" s="8">
        <f t="shared" ref="AS16" si="55">AS14-AS15</f>
        <v>53.858013326937872</v>
      </c>
      <c r="AT16" s="8">
        <f t="shared" ref="AT16" si="56">AT14-AT15</f>
        <v>54.396593460207299</v>
      </c>
      <c r="AU16" s="8">
        <f t="shared" ref="AU16" si="57">AU14-AU15</f>
        <v>54.940559394809412</v>
      </c>
      <c r="AV16" s="8">
        <f t="shared" ref="AV16" si="58">AV14-AV15</f>
        <v>55.489964988757514</v>
      </c>
      <c r="AW16" s="1">
        <f>AV16*(1+$AY$21)</f>
        <v>54.93506533886994</v>
      </c>
      <c r="AX16" s="1">
        <f t="shared" ref="AX16:DI16" si="59">AW16*(1+$AY$21)</f>
        <v>54.38571468548124</v>
      </c>
      <c r="AY16" s="1">
        <f t="shared" si="59"/>
        <v>53.841857538626428</v>
      </c>
      <c r="AZ16" s="1">
        <f t="shared" si="59"/>
        <v>53.303438963240161</v>
      </c>
      <c r="BA16" s="1">
        <f t="shared" si="59"/>
        <v>52.770404573607756</v>
      </c>
      <c r="BB16" s="1">
        <f t="shared" si="59"/>
        <v>52.242700527871676</v>
      </c>
      <c r="BC16" s="1">
        <f t="shared" si="59"/>
        <v>51.720273522592962</v>
      </c>
      <c r="BD16" s="1">
        <f t="shared" si="59"/>
        <v>51.203070787367032</v>
      </c>
      <c r="BE16" s="1">
        <f t="shared" si="59"/>
        <v>50.691040079493362</v>
      </c>
      <c r="BF16" s="1">
        <f t="shared" si="59"/>
        <v>50.184129678698426</v>
      </c>
      <c r="BG16" s="1">
        <f t="shared" si="59"/>
        <v>49.682288381911441</v>
      </c>
      <c r="BH16" s="1">
        <f t="shared" si="59"/>
        <v>49.185465498092327</v>
      </c>
      <c r="BI16" s="1">
        <f t="shared" si="59"/>
        <v>48.693610843111401</v>
      </c>
      <c r="BJ16" s="1">
        <f t="shared" si="59"/>
        <v>48.206674734680284</v>
      </c>
      <c r="BK16" s="1">
        <f t="shared" si="59"/>
        <v>47.724607987333478</v>
      </c>
      <c r="BL16" s="1">
        <f t="shared" si="59"/>
        <v>47.247361907460146</v>
      </c>
      <c r="BM16" s="1">
        <f t="shared" si="59"/>
        <v>46.774888288385547</v>
      </c>
      <c r="BN16" s="1">
        <f t="shared" si="59"/>
        <v>46.307139405501694</v>
      </c>
      <c r="BO16" s="1">
        <f t="shared" si="59"/>
        <v>45.844068011446673</v>
      </c>
      <c r="BP16" s="1">
        <f t="shared" si="59"/>
        <v>45.385627331332209</v>
      </c>
      <c r="BQ16" s="1">
        <f t="shared" si="59"/>
        <v>44.931771058018889</v>
      </c>
      <c r="BR16" s="1">
        <f t="shared" si="59"/>
        <v>44.4824533474387</v>
      </c>
      <c r="BS16" s="1">
        <f t="shared" si="59"/>
        <v>44.037628813964311</v>
      </c>
      <c r="BT16" s="1">
        <f t="shared" si="59"/>
        <v>43.597252525824665</v>
      </c>
      <c r="BU16" s="1">
        <f t="shared" si="59"/>
        <v>43.161280000566421</v>
      </c>
      <c r="BV16" s="1">
        <f t="shared" si="59"/>
        <v>42.729667200560755</v>
      </c>
      <c r="BW16" s="1">
        <f t="shared" si="59"/>
        <v>42.302370528555144</v>
      </c>
      <c r="BX16" s="1">
        <f t="shared" si="59"/>
        <v>41.879346823269593</v>
      </c>
      <c r="BY16" s="1">
        <f t="shared" si="59"/>
        <v>41.460553355036893</v>
      </c>
      <c r="BZ16" s="1">
        <f t="shared" si="59"/>
        <v>41.045947821486521</v>
      </c>
      <c r="CA16" s="1">
        <f t="shared" si="59"/>
        <v>40.635488343271653</v>
      </c>
      <c r="CB16" s="1">
        <f t="shared" si="59"/>
        <v>40.229133459838934</v>
      </c>
      <c r="CC16" s="1">
        <f t="shared" si="59"/>
        <v>39.826842125240546</v>
      </c>
      <c r="CD16" s="1">
        <f t="shared" si="59"/>
        <v>39.428573703988143</v>
      </c>
      <c r="CE16" s="1">
        <f t="shared" si="59"/>
        <v>39.034287966948263</v>
      </c>
      <c r="CF16" s="1">
        <f t="shared" si="59"/>
        <v>38.64394508727878</v>
      </c>
      <c r="CG16" s="1">
        <f t="shared" si="59"/>
        <v>38.257505636405995</v>
      </c>
      <c r="CH16" s="1">
        <f t="shared" si="59"/>
        <v>37.874930580041934</v>
      </c>
      <c r="CI16" s="1">
        <f t="shared" si="59"/>
        <v>37.496181274241515</v>
      </c>
      <c r="CJ16" s="1">
        <f t="shared" si="59"/>
        <v>37.121219461499102</v>
      </c>
      <c r="CK16" s="1">
        <f t="shared" si="59"/>
        <v>36.750007266884111</v>
      </c>
      <c r="CL16" s="1">
        <f t="shared" si="59"/>
        <v>36.382507194215272</v>
      </c>
      <c r="CM16" s="1">
        <f t="shared" si="59"/>
        <v>36.01868212227312</v>
      </c>
      <c r="CN16" s="1">
        <f t="shared" si="59"/>
        <v>35.658495301050387</v>
      </c>
      <c r="CO16" s="1">
        <f t="shared" si="59"/>
        <v>35.301910348039883</v>
      </c>
      <c r="CP16" s="1">
        <f t="shared" si="59"/>
        <v>34.948891244559483</v>
      </c>
      <c r="CQ16" s="1">
        <f t="shared" si="59"/>
        <v>34.59940233211389</v>
      </c>
      <c r="CR16" s="1">
        <f t="shared" si="59"/>
        <v>34.25340830879275</v>
      </c>
      <c r="CS16" s="1">
        <f t="shared" si="59"/>
        <v>33.910874225704823</v>
      </c>
      <c r="CT16" s="1">
        <f t="shared" si="59"/>
        <v>33.571765483447777</v>
      </c>
      <c r="CU16" s="1">
        <f t="shared" si="59"/>
        <v>33.236047828613302</v>
      </c>
      <c r="CV16" s="1">
        <f t="shared" si="59"/>
        <v>32.903687350327168</v>
      </c>
      <c r="CW16" s="1">
        <f t="shared" si="59"/>
        <v>32.574650476823898</v>
      </c>
      <c r="CX16" s="1">
        <f t="shared" si="59"/>
        <v>32.248903972055658</v>
      </c>
      <c r="CY16" s="1">
        <f t="shared" si="59"/>
        <v>31.926414932335099</v>
      </c>
      <c r="CZ16" s="1">
        <f t="shared" si="59"/>
        <v>31.607150783011747</v>
      </c>
      <c r="DA16" s="1">
        <f t="shared" si="59"/>
        <v>31.29107927518163</v>
      </c>
      <c r="DB16" s="1">
        <f t="shared" si="59"/>
        <v>30.978168482429815</v>
      </c>
      <c r="DC16" s="1">
        <f t="shared" si="59"/>
        <v>30.668386797605518</v>
      </c>
      <c r="DD16" s="1">
        <f t="shared" si="59"/>
        <v>30.361702929629462</v>
      </c>
      <c r="DE16" s="1">
        <f t="shared" si="59"/>
        <v>30.058085900333168</v>
      </c>
      <c r="DF16" s="1">
        <f t="shared" si="59"/>
        <v>29.757505041329836</v>
      </c>
      <c r="DG16" s="1">
        <f t="shared" si="59"/>
        <v>29.459929990916535</v>
      </c>
      <c r="DH16" s="1">
        <f t="shared" si="59"/>
        <v>29.16533069100737</v>
      </c>
      <c r="DI16" s="1">
        <f t="shared" si="59"/>
        <v>28.873677384097295</v>
      </c>
      <c r="DJ16" s="1">
        <f t="shared" ref="DJ16:EN16" si="60">DI16*(1+$AY$21)</f>
        <v>28.584940610256321</v>
      </c>
      <c r="DK16" s="1">
        <f t="shared" si="60"/>
        <v>28.299091204153758</v>
      </c>
      <c r="DL16" s="1">
        <f t="shared" si="60"/>
        <v>28.01610029211222</v>
      </c>
      <c r="DM16" s="1">
        <f t="shared" si="60"/>
        <v>27.735939289191098</v>
      </c>
      <c r="DN16" s="1">
        <f t="shared" si="60"/>
        <v>27.458579896299188</v>
      </c>
      <c r="DO16" s="1">
        <f t="shared" si="60"/>
        <v>27.183994097336196</v>
      </c>
      <c r="DP16" s="1">
        <f t="shared" si="60"/>
        <v>26.912154156362835</v>
      </c>
      <c r="DQ16" s="1">
        <f t="shared" si="60"/>
        <v>26.643032614799207</v>
      </c>
      <c r="DR16" s="1">
        <f t="shared" si="60"/>
        <v>26.376602288651213</v>
      </c>
      <c r="DS16" s="1">
        <f t="shared" si="60"/>
        <v>26.112836265764702</v>
      </c>
      <c r="DT16" s="1">
        <f t="shared" si="60"/>
        <v>25.851707903107055</v>
      </c>
      <c r="DU16" s="1">
        <f t="shared" si="60"/>
        <v>25.593190824075986</v>
      </c>
      <c r="DV16" s="1">
        <f t="shared" si="60"/>
        <v>25.337258915835225</v>
      </c>
      <c r="DW16" s="1">
        <f t="shared" si="60"/>
        <v>25.083886326676872</v>
      </c>
      <c r="DX16" s="1">
        <f t="shared" si="60"/>
        <v>24.833047463410104</v>
      </c>
      <c r="DY16" s="1">
        <f t="shared" si="60"/>
        <v>24.584716988776002</v>
      </c>
      <c r="DZ16" s="1">
        <f t="shared" si="60"/>
        <v>24.338869818888242</v>
      </c>
      <c r="EA16" s="1">
        <f t="shared" si="60"/>
        <v>24.095481120699358</v>
      </c>
      <c r="EB16" s="1">
        <f t="shared" si="60"/>
        <v>23.854526309492364</v>
      </c>
      <c r="EC16" s="1">
        <f t="shared" si="60"/>
        <v>23.61598104639744</v>
      </c>
      <c r="ED16" s="1">
        <f t="shared" si="60"/>
        <v>23.379821235933466</v>
      </c>
      <c r="EE16" s="1">
        <f t="shared" si="60"/>
        <v>23.146023023574131</v>
      </c>
      <c r="EF16" s="1">
        <f t="shared" si="60"/>
        <v>22.914562793338391</v>
      </c>
      <c r="EG16" s="1">
        <f t="shared" si="60"/>
        <v>22.685417165405006</v>
      </c>
      <c r="EH16" s="1">
        <f t="shared" si="60"/>
        <v>22.458562993750956</v>
      </c>
      <c r="EI16" s="1">
        <f t="shared" si="60"/>
        <v>22.233977363813445</v>
      </c>
      <c r="EJ16" s="1">
        <f t="shared" si="60"/>
        <v>22.011637590175312</v>
      </c>
      <c r="EK16" s="1">
        <f t="shared" si="60"/>
        <v>21.791521214273558</v>
      </c>
      <c r="EL16" s="1">
        <f t="shared" si="60"/>
        <v>21.573606002130823</v>
      </c>
      <c r="EM16" s="1">
        <f t="shared" si="60"/>
        <v>21.357869942109517</v>
      </c>
      <c r="EN16" s="1">
        <f t="shared" si="60"/>
        <v>21.144291242688421</v>
      </c>
    </row>
    <row r="17" spans="2:51" x14ac:dyDescent="0.3">
      <c r="B17" t="s">
        <v>2</v>
      </c>
      <c r="M17" s="5">
        <v>163.69999999999999</v>
      </c>
      <c r="N17" s="5">
        <v>163.69999999999999</v>
      </c>
      <c r="O17" s="5">
        <v>163.69999999999999</v>
      </c>
      <c r="P17" s="5">
        <v>163.69999999999999</v>
      </c>
      <c r="Q17" s="5">
        <v>163.69999999999999</v>
      </c>
      <c r="R17" s="5">
        <v>163.69999999999999</v>
      </c>
      <c r="S17" s="5">
        <v>163.69999999999999</v>
      </c>
      <c r="T17" s="5">
        <v>163.69999999999999</v>
      </c>
      <c r="U17" s="5">
        <v>163.69999999999999</v>
      </c>
      <c r="V17" s="5">
        <v>163.69999999999999</v>
      </c>
      <c r="W17" s="5">
        <v>163.69999999999999</v>
      </c>
      <c r="X17" s="5">
        <v>163.69999999999999</v>
      </c>
      <c r="Y17" s="5">
        <v>163.69999999999999</v>
      </c>
      <c r="Z17" s="5">
        <v>163.69999999999999</v>
      </c>
      <c r="AA17" s="5">
        <v>163.69999999999999</v>
      </c>
      <c r="AB17" s="5">
        <v>163.69999999999999</v>
      </c>
      <c r="AC17" s="5">
        <v>163.69999999999999</v>
      </c>
      <c r="AD17" s="5">
        <v>163.69999999999999</v>
      </c>
      <c r="AF17" s="5">
        <v>163.69999999999999</v>
      </c>
      <c r="AG17" s="5">
        <v>163.69999999999999</v>
      </c>
      <c r="AH17" s="5">
        <v>163.69999999999999</v>
      </c>
      <c r="AI17" s="5">
        <v>163.69999999999999</v>
      </c>
      <c r="AJ17" s="5">
        <v>163.69999999999999</v>
      </c>
      <c r="AK17" s="5">
        <v>163.69999999999999</v>
      </c>
      <c r="AL17" s="5">
        <v>163.69999999999999</v>
      </c>
      <c r="AM17" s="5">
        <v>163.69999999999999</v>
      </c>
      <c r="AN17" s="5">
        <v>163.69999999999999</v>
      </c>
      <c r="AO17" s="5">
        <v>163.69999999999999</v>
      </c>
      <c r="AP17" s="5">
        <v>163.69999999999999</v>
      </c>
      <c r="AQ17" s="5">
        <v>163.69999999999999</v>
      </c>
      <c r="AR17" s="5">
        <v>163.69999999999999</v>
      </c>
      <c r="AS17" s="5">
        <v>163.69999999999999</v>
      </c>
      <c r="AT17" s="5">
        <v>163.69999999999999</v>
      </c>
      <c r="AU17" s="5">
        <v>163.69999999999999</v>
      </c>
      <c r="AV17" s="5">
        <v>163.69999999999999</v>
      </c>
    </row>
    <row r="18" spans="2:51" x14ac:dyDescent="0.3">
      <c r="B18" t="s">
        <v>26</v>
      </c>
      <c r="M18" s="7">
        <f>M16/M17</f>
        <v>-0.19792302993280386</v>
      </c>
      <c r="N18" s="7">
        <f>N16/N17</f>
        <v>-0.29138668295662812</v>
      </c>
      <c r="O18" s="7">
        <f>O16/O17</f>
        <v>-0.23457544288332316</v>
      </c>
      <c r="P18" s="7">
        <f>P16/P17</f>
        <v>-0.30177153329260847</v>
      </c>
      <c r="Q18" s="7">
        <f>Q16/Q17</f>
        <v>-0.21991447770311548</v>
      </c>
      <c r="R18" s="7">
        <f>R16/R17</f>
        <v>-0.31459987782529009</v>
      </c>
      <c r="S18" s="7">
        <f>S16/S17</f>
        <v>-0.19792302993280386</v>
      </c>
      <c r="T18" s="7">
        <f>T16/T17</f>
        <v>-0.19547953573610261</v>
      </c>
      <c r="U18" s="7">
        <f>U16/U17</f>
        <v>-0.19547953573610272</v>
      </c>
      <c r="V18" s="7">
        <f>V16/V17</f>
        <v>-0.12461820403176541</v>
      </c>
      <c r="W18" s="7">
        <f>W16/W17</f>
        <v>-0.1301160659743433</v>
      </c>
      <c r="X18" s="7">
        <f>X16/X17</f>
        <v>-0.13989004276114839</v>
      </c>
      <c r="Y18" s="7">
        <f>Y16/Y17</f>
        <v>-8.368967623701902E-2</v>
      </c>
      <c r="Z18" s="7">
        <f>Z16/Z17</f>
        <v>-0.13194868662186945</v>
      </c>
      <c r="AA18" s="7">
        <f>AA16/AA17</f>
        <v>-4.7648136835674884E-2</v>
      </c>
      <c r="AB18" s="7">
        <f>AB16/AB17</f>
        <v>-4.7648136835675162E-2</v>
      </c>
      <c r="AC18" s="7">
        <f t="shared" ref="AC18:AD18" si="61">AC16/AC17</f>
        <v>-3.9034819792302999E-2</v>
      </c>
      <c r="AD18" s="7">
        <f t="shared" si="61"/>
        <v>-3.664483811850941E-2</v>
      </c>
      <c r="AF18" s="7">
        <f>AF16/AF17</f>
        <v>-0.28527794746487484</v>
      </c>
      <c r="AG18" s="7">
        <f>AG16/AG17</f>
        <v>-0.40745265729993896</v>
      </c>
      <c r="AH18" s="7">
        <f>AH16/AH17</f>
        <v>-0.88637751985339075</v>
      </c>
      <c r="AI18" s="7">
        <f>AI16/AI17</f>
        <v>-1.0708613317043381</v>
      </c>
      <c r="AJ18" s="7">
        <f>AJ16/AJ17</f>
        <v>-0.71350030543677478</v>
      </c>
      <c r="AK18" s="7">
        <f>AK16/AK17</f>
        <v>-0.4856444715943794</v>
      </c>
      <c r="AL18" s="7">
        <f>AL16/AL17</f>
        <v>-0.17097593158216245</v>
      </c>
      <c r="AM18" s="7">
        <f t="shared" ref="AM18:AN18" si="62">AM16/AM17</f>
        <v>4.2037125229077758E-2</v>
      </c>
      <c r="AN18" s="7">
        <f t="shared" si="62"/>
        <v>0.16208969816737889</v>
      </c>
      <c r="AO18" s="7">
        <f t="shared" ref="AO18" si="63">AO16/AO17</f>
        <v>0.27869571203310939</v>
      </c>
      <c r="AP18" s="7">
        <f t="shared" ref="AP18" si="64">AP16/AP17</f>
        <v>0.29397382579619641</v>
      </c>
      <c r="AQ18" s="7">
        <f t="shared" ref="AQ18" si="65">AQ16/AQ17</f>
        <v>0.30965454382977009</v>
      </c>
      <c r="AR18" s="7">
        <f t="shared" ref="AR18" si="66">AR16/AR17</f>
        <v>0.32574688863919088</v>
      </c>
      <c r="AS18" s="7">
        <f t="shared" ref="AS18" si="67">AS16/AS17</f>
        <v>0.3290043575255826</v>
      </c>
      <c r="AT18" s="7">
        <f t="shared" ref="AT18" si="68">AT16/AT17</f>
        <v>0.33229440110083874</v>
      </c>
      <c r="AU18" s="7">
        <f t="shared" ref="AU18" si="69">AU16/AU17</f>
        <v>0.33561734511184738</v>
      </c>
      <c r="AV18" s="7">
        <f t="shared" ref="AV18" si="70">AV16/AV17</f>
        <v>0.33897351856296593</v>
      </c>
    </row>
    <row r="20" spans="2:51" x14ac:dyDescent="0.3">
      <c r="B20" t="s">
        <v>55</v>
      </c>
      <c r="M20" s="10"/>
      <c r="N20" s="10"/>
      <c r="O20" s="10"/>
      <c r="P20" s="10"/>
      <c r="Q20" s="10">
        <f t="shared" ref="M20:AA20" si="71">Q3/M3-1</f>
        <v>0.2411282984531391</v>
      </c>
      <c r="R20" s="10">
        <f t="shared" si="71"/>
        <v>0.23652173913043462</v>
      </c>
      <c r="S20" s="10">
        <f t="shared" si="71"/>
        <v>0.2259136212624584</v>
      </c>
      <c r="T20" s="10">
        <f t="shared" si="71"/>
        <v>0.23157051282051277</v>
      </c>
      <c r="U20" s="10">
        <f t="shared" si="71"/>
        <v>0.21334310850439886</v>
      </c>
      <c r="V20" s="10">
        <f t="shared" si="71"/>
        <v>0.18776371308016881</v>
      </c>
      <c r="W20" s="10">
        <f t="shared" si="71"/>
        <v>0.14566395663956633</v>
      </c>
      <c r="X20" s="10">
        <f t="shared" si="71"/>
        <v>0.10800260247234883</v>
      </c>
      <c r="Y20" s="10">
        <f t="shared" si="71"/>
        <v>6.4048338368579927E-2</v>
      </c>
      <c r="Z20" s="10">
        <f t="shared" si="71"/>
        <v>6.0982830076968586E-2</v>
      </c>
      <c r="AA20" s="10">
        <f t="shared" si="71"/>
        <v>6.0319337670017736E-2</v>
      </c>
      <c r="AB20" s="10">
        <f>AB3/X3-1</f>
        <v>9.8649442160892331E-2</v>
      </c>
      <c r="AC20" s="10">
        <f t="shared" ref="AC20:AD20" si="72">AC3/Y3-1</f>
        <v>7.8932424758659803E-2</v>
      </c>
      <c r="AD20" s="10">
        <f t="shared" si="72"/>
        <v>7.0000000000000062E-2</v>
      </c>
      <c r="AF20" s="10"/>
      <c r="AG20" s="10">
        <f t="shared" ref="AF20:AK20" si="73">AG3/AF3-1</f>
        <v>0.5916485900216919</v>
      </c>
      <c r="AH20" s="10">
        <f t="shared" si="73"/>
        <v>0.41499148211243608</v>
      </c>
      <c r="AI20" s="10">
        <f t="shared" si="73"/>
        <v>0.26125692270647716</v>
      </c>
      <c r="AJ20" s="10">
        <f t="shared" si="73"/>
        <v>0.21363115693012591</v>
      </c>
      <c r="AK20" s="10">
        <f>AK3/AJ3-1</f>
        <v>9.2811074406166538E-2</v>
      </c>
      <c r="AL20" s="10">
        <f t="shared" ref="AL20:AV20" si="74">AL3/AK3-1</f>
        <v>7.693104937383044E-2</v>
      </c>
      <c r="AM20" s="10">
        <f t="shared" si="74"/>
        <v>5.0000000000000044E-2</v>
      </c>
      <c r="AN20" s="10">
        <f t="shared" si="74"/>
        <v>4.0000000000000036E-2</v>
      </c>
      <c r="AO20" s="10">
        <f t="shared" si="74"/>
        <v>3.0000000000000027E-2</v>
      </c>
      <c r="AP20" s="10">
        <f t="shared" si="74"/>
        <v>2.0000000000000018E-2</v>
      </c>
      <c r="AQ20" s="10">
        <f t="shared" si="74"/>
        <v>2.0000000000000018E-2</v>
      </c>
      <c r="AR20" s="10">
        <f t="shared" si="74"/>
        <v>2.0000000000000018E-2</v>
      </c>
      <c r="AS20" s="10">
        <f t="shared" si="74"/>
        <v>1.0000000000000009E-2</v>
      </c>
      <c r="AT20" s="10">
        <f t="shared" si="74"/>
        <v>1.0000000000000009E-2</v>
      </c>
      <c r="AU20" s="10">
        <f t="shared" si="74"/>
        <v>1.0000000000000009E-2</v>
      </c>
      <c r="AV20" s="10">
        <f t="shared" si="74"/>
        <v>1.0000000000000009E-2</v>
      </c>
    </row>
    <row r="21" spans="2:51" x14ac:dyDescent="0.3">
      <c r="B21" t="s">
        <v>54</v>
      </c>
      <c r="M21" s="10">
        <f t="shared" ref="M21:AB21" si="75">M5/M3</f>
        <v>0.61601455868971788</v>
      </c>
      <c r="N21" s="10">
        <f t="shared" si="75"/>
        <v>0.62</v>
      </c>
      <c r="O21" s="10">
        <f t="shared" si="75"/>
        <v>0.64451827242524917</v>
      </c>
      <c r="P21" s="10">
        <f t="shared" si="75"/>
        <v>0.6282051282051283</v>
      </c>
      <c r="Q21" s="10">
        <f t="shared" si="75"/>
        <v>0.64222873900293254</v>
      </c>
      <c r="R21" s="10">
        <f t="shared" si="75"/>
        <v>0.61814345991561181</v>
      </c>
      <c r="S21" s="10">
        <f t="shared" si="75"/>
        <v>0.52439024390243894</v>
      </c>
      <c r="T21" s="10">
        <f t="shared" si="75"/>
        <v>0.51854261548471048</v>
      </c>
      <c r="U21" s="10">
        <f t="shared" si="75"/>
        <v>0.50271903323262845</v>
      </c>
      <c r="V21" s="10">
        <f t="shared" si="75"/>
        <v>0.52871521610420369</v>
      </c>
      <c r="W21" s="10">
        <f t="shared" si="75"/>
        <v>0.52927261975162632</v>
      </c>
      <c r="X21" s="10">
        <f t="shared" si="75"/>
        <v>0.52965355255431601</v>
      </c>
      <c r="Y21" s="10">
        <f t="shared" si="75"/>
        <v>0.54628052243043723</v>
      </c>
      <c r="Z21" s="10">
        <f t="shared" si="75"/>
        <v>0.5329241071428571</v>
      </c>
      <c r="AA21" s="10">
        <f t="shared" si="75"/>
        <v>0.54601226993865026</v>
      </c>
      <c r="AB21" s="10">
        <f>AB5/AB3</f>
        <v>0.54890432923570276</v>
      </c>
      <c r="AC21" s="10">
        <f t="shared" ref="AC21:AD21" si="76">AC5/AC3</f>
        <v>0.55000000000000004</v>
      </c>
      <c r="AD21" s="10">
        <f t="shared" si="76"/>
        <v>0.55000000000000004</v>
      </c>
      <c r="AF21" s="10">
        <f t="shared" ref="AF21:AK21" si="77">AF5/AF3</f>
        <v>0.51409978308026039</v>
      </c>
      <c r="AG21" s="10">
        <f t="shared" si="77"/>
        <v>0.52708688245315161</v>
      </c>
      <c r="AH21" s="10">
        <f t="shared" si="77"/>
        <v>0.6007705273296412</v>
      </c>
      <c r="AI21" s="10">
        <f t="shared" si="77"/>
        <v>0.63287514318442151</v>
      </c>
      <c r="AJ21" s="10">
        <f t="shared" si="77"/>
        <v>0.51848356142834662</v>
      </c>
      <c r="AK21" s="10">
        <f t="shared" ref="AK21:AV21" si="78">AK5/AK3</f>
        <v>0.53461926011227867</v>
      </c>
      <c r="AL21" s="10">
        <f t="shared" si="78"/>
        <v>0.54877029021151014</v>
      </c>
      <c r="AM21" s="10">
        <f t="shared" si="78"/>
        <v>0.56000000000000005</v>
      </c>
      <c r="AN21" s="10">
        <f t="shared" si="78"/>
        <v>0.56999999999999995</v>
      </c>
      <c r="AO21" s="10">
        <f t="shared" si="78"/>
        <v>0.57999999999999996</v>
      </c>
      <c r="AP21" s="10">
        <f t="shared" si="78"/>
        <v>0.57999999999999996</v>
      </c>
      <c r="AQ21" s="10">
        <f t="shared" si="78"/>
        <v>0.57999999999999996</v>
      </c>
      <c r="AR21" s="10">
        <f t="shared" si="78"/>
        <v>0.57999999999999996</v>
      </c>
      <c r="AS21" s="10">
        <f t="shared" si="78"/>
        <v>0.57999999999999996</v>
      </c>
      <c r="AT21" s="10">
        <f t="shared" si="78"/>
        <v>0.57999999999999996</v>
      </c>
      <c r="AU21" s="10">
        <f t="shared" si="78"/>
        <v>0.58000000000000007</v>
      </c>
      <c r="AV21" s="10">
        <f t="shared" si="78"/>
        <v>0.57999999999999996</v>
      </c>
      <c r="AX21" t="s">
        <v>61</v>
      </c>
      <c r="AY21" s="10">
        <v>-0.01</v>
      </c>
    </row>
    <row r="22" spans="2:51" x14ac:dyDescent="0.3">
      <c r="B22" t="s">
        <v>56</v>
      </c>
      <c r="M22" s="10"/>
      <c r="N22" s="10"/>
      <c r="O22" s="10"/>
      <c r="P22" s="10"/>
      <c r="Q22" s="10">
        <f t="shared" ref="M22:AA22" si="79">Q6/M6-1</f>
        <v>0.16224188790560468</v>
      </c>
      <c r="R22" s="10">
        <f t="shared" si="79"/>
        <v>0.11749347258485643</v>
      </c>
      <c r="S22" s="10">
        <f t="shared" si="79"/>
        <v>0.15263157894736845</v>
      </c>
      <c r="T22" s="10">
        <f t="shared" si="79"/>
        <v>-8.0178173719376411E-2</v>
      </c>
      <c r="U22" s="10">
        <f t="shared" si="79"/>
        <v>-4.5685279187817174E-2</v>
      </c>
      <c r="V22" s="10">
        <f t="shared" si="79"/>
        <v>-0.12616822429906538</v>
      </c>
      <c r="W22" s="10">
        <f t="shared" si="79"/>
        <v>-0.2100456621004565</v>
      </c>
      <c r="X22" s="10">
        <f t="shared" si="79"/>
        <v>-0.18401937046004835</v>
      </c>
      <c r="Y22" s="10">
        <f t="shared" si="79"/>
        <v>-0.15957446808510634</v>
      </c>
      <c r="Z22" s="10">
        <f t="shared" si="79"/>
        <v>-0.14171122994652396</v>
      </c>
      <c r="AA22" s="10">
        <f t="shared" si="79"/>
        <v>-0.14739884393063585</v>
      </c>
      <c r="AB22" s="10">
        <f>AB6/X6-1</f>
        <v>-0.13056379821958464</v>
      </c>
      <c r="AC22" s="10">
        <f t="shared" ref="AC22:AD22" si="80">AC6/Y6-1</f>
        <v>-0.12</v>
      </c>
      <c r="AD22" s="10">
        <f t="shared" si="80"/>
        <v>-0.12</v>
      </c>
      <c r="AF22" s="10"/>
      <c r="AG22" s="10">
        <f t="shared" ref="AF22:AK22" si="81">AG6/AF6-1</f>
        <v>0.36170212765957444</v>
      </c>
      <c r="AH22" s="10">
        <f t="shared" si="81"/>
        <v>0.76302083333333348</v>
      </c>
      <c r="AI22" s="10">
        <f t="shared" si="81"/>
        <v>0.21935007385524385</v>
      </c>
      <c r="AJ22" s="10">
        <f t="shared" si="81"/>
        <v>-3.0284675953967444E-2</v>
      </c>
      <c r="AK22" s="10">
        <f>AK6/AJ6-1</f>
        <v>-0.1755153029356652</v>
      </c>
      <c r="AL22" s="10">
        <f t="shared" ref="AL22:AV22" si="82">AL6/AK6-1</f>
        <v>-0.12987878787878782</v>
      </c>
      <c r="AM22" s="10">
        <f t="shared" si="82"/>
        <v>-6.0000000000000053E-2</v>
      </c>
      <c r="AN22" s="10">
        <f t="shared" si="82"/>
        <v>1.0000000000000009E-2</v>
      </c>
      <c r="AO22" s="10">
        <f t="shared" si="82"/>
        <v>1.0000000000000009E-2</v>
      </c>
      <c r="AP22" s="10">
        <f t="shared" si="82"/>
        <v>1.0000000000000009E-2</v>
      </c>
      <c r="AQ22" s="10">
        <f t="shared" si="82"/>
        <v>1.0000000000000009E-2</v>
      </c>
      <c r="AR22" s="10">
        <f t="shared" si="82"/>
        <v>1.0000000000000009E-2</v>
      </c>
      <c r="AS22" s="10">
        <f t="shared" si="82"/>
        <v>1.0000000000000009E-2</v>
      </c>
      <c r="AT22" s="10">
        <f t="shared" si="82"/>
        <v>1.0000000000000009E-2</v>
      </c>
      <c r="AU22" s="10">
        <f t="shared" si="82"/>
        <v>1.0000000000000009E-2</v>
      </c>
      <c r="AV22" s="10">
        <f t="shared" si="82"/>
        <v>1.0000000000000009E-2</v>
      </c>
      <c r="AX22" t="s">
        <v>62</v>
      </c>
      <c r="AY22" s="10">
        <v>0.1</v>
      </c>
    </row>
    <row r="23" spans="2:51" x14ac:dyDescent="0.3">
      <c r="B23" t="s">
        <v>57</v>
      </c>
      <c r="M23" s="10">
        <f t="shared" ref="M23:AB23" si="83">M7/M3</f>
        <v>0.41219290263876246</v>
      </c>
      <c r="N23" s="10">
        <f t="shared" si="83"/>
        <v>0.50086956521739134</v>
      </c>
      <c r="O23" s="10">
        <f t="shared" si="83"/>
        <v>0.42940199335548174</v>
      </c>
      <c r="P23" s="10">
        <f t="shared" si="83"/>
        <v>0.44551282051282054</v>
      </c>
      <c r="Q23" s="10">
        <f t="shared" si="83"/>
        <v>0.42888563049853373</v>
      </c>
      <c r="R23" s="10">
        <f t="shared" si="83"/>
        <v>0.43530239099859358</v>
      </c>
      <c r="S23" s="10">
        <f t="shared" si="83"/>
        <v>0.35840108401084009</v>
      </c>
      <c r="T23" s="10">
        <f t="shared" si="83"/>
        <v>0.33832140533506833</v>
      </c>
      <c r="U23" s="10">
        <f t="shared" si="83"/>
        <v>0.36132930513595163</v>
      </c>
      <c r="V23" s="10">
        <f t="shared" si="83"/>
        <v>0.34399052693901716</v>
      </c>
      <c r="W23" s="10">
        <f t="shared" si="83"/>
        <v>0.34062684801892373</v>
      </c>
      <c r="X23" s="10">
        <f t="shared" si="83"/>
        <v>0.34116265413975339</v>
      </c>
      <c r="Y23" s="10">
        <f t="shared" si="83"/>
        <v>0.3350369108461102</v>
      </c>
      <c r="Z23" s="10">
        <f t="shared" si="83"/>
        <v>0.33593750000000006</v>
      </c>
      <c r="AA23" s="10">
        <f t="shared" si="83"/>
        <v>0.316787506971556</v>
      </c>
      <c r="AB23" s="10">
        <f>AB7/AB3</f>
        <v>0.33992517370390168</v>
      </c>
      <c r="AC23" s="10">
        <f t="shared" ref="AC23:AD23" si="84">AC7/AC3</f>
        <v>0.34</v>
      </c>
      <c r="AD23" s="10">
        <f t="shared" si="84"/>
        <v>0.34</v>
      </c>
      <c r="AF23" s="10">
        <f t="shared" ref="AF23:AK23" si="85">AF7/AF3</f>
        <v>0.30911062906724512</v>
      </c>
      <c r="AG23" s="10">
        <f t="shared" si="85"/>
        <v>0.36524701873935267</v>
      </c>
      <c r="AH23" s="10">
        <f t="shared" si="85"/>
        <v>0.43173609438959792</v>
      </c>
      <c r="AI23" s="10">
        <f t="shared" si="85"/>
        <v>0.43470790378006879</v>
      </c>
      <c r="AJ23" s="10">
        <f t="shared" si="85"/>
        <v>0.35047978606260816</v>
      </c>
      <c r="AK23" s="10">
        <f t="shared" ref="AK23:AV23" si="86">AK7/AK3</f>
        <v>0.33813156758312934</v>
      </c>
      <c r="AL23" s="10">
        <f t="shared" si="86"/>
        <v>0.33441818687311531</v>
      </c>
      <c r="AM23" s="10">
        <f t="shared" si="86"/>
        <v>0.33</v>
      </c>
      <c r="AN23" s="10">
        <f t="shared" si="86"/>
        <v>0.32</v>
      </c>
      <c r="AO23" s="10">
        <f t="shared" si="86"/>
        <v>0.31</v>
      </c>
      <c r="AP23" s="10">
        <f t="shared" si="86"/>
        <v>0.31</v>
      </c>
      <c r="AQ23" s="10">
        <f t="shared" si="86"/>
        <v>0.31</v>
      </c>
      <c r="AR23" s="10">
        <f t="shared" si="86"/>
        <v>0.31</v>
      </c>
      <c r="AS23" s="10">
        <f t="shared" si="86"/>
        <v>0.31</v>
      </c>
      <c r="AT23" s="10">
        <f t="shared" si="86"/>
        <v>0.31</v>
      </c>
      <c r="AU23" s="10">
        <f t="shared" si="86"/>
        <v>0.31</v>
      </c>
      <c r="AV23" s="10">
        <f t="shared" si="86"/>
        <v>0.31</v>
      </c>
      <c r="AX23" t="s">
        <v>63</v>
      </c>
      <c r="AY23" s="5">
        <f>NPV(AY22,AL16:EN16)</f>
        <v>381.05590338064172</v>
      </c>
    </row>
    <row r="24" spans="2:51" x14ac:dyDescent="0.3">
      <c r="B24" t="s">
        <v>58</v>
      </c>
      <c r="M24" s="10"/>
      <c r="N24" s="10"/>
      <c r="O24" s="10"/>
      <c r="P24" s="10"/>
      <c r="Q24" s="10">
        <f t="shared" ref="M24:AA24" si="87">Q8/M8-1</f>
        <v>0.30653266331658302</v>
      </c>
      <c r="R24" s="10">
        <f t="shared" si="87"/>
        <v>0.26637554585152845</v>
      </c>
      <c r="S24" s="10">
        <f t="shared" si="87"/>
        <v>1.1904761904761862E-2</v>
      </c>
      <c r="T24" s="10">
        <f t="shared" si="87"/>
        <v>-3.1128404669260701E-2</v>
      </c>
      <c r="U24" s="10">
        <f t="shared" si="87"/>
        <v>-2.3076923076923106E-2</v>
      </c>
      <c r="V24" s="10">
        <f t="shared" si="87"/>
        <v>-0.22758620689655173</v>
      </c>
      <c r="W24" s="10">
        <f t="shared" si="87"/>
        <v>-1.9607843137254943E-2</v>
      </c>
      <c r="X24" s="10">
        <f t="shared" si="87"/>
        <v>0.18875502008032141</v>
      </c>
      <c r="Y24" s="10">
        <f t="shared" si="87"/>
        <v>7.8740157480315043E-2</v>
      </c>
      <c r="Z24" s="10">
        <f t="shared" si="87"/>
        <v>0.20089285714285721</v>
      </c>
      <c r="AA24" s="10">
        <f t="shared" si="87"/>
        <v>7.5999999999999845E-2</v>
      </c>
      <c r="AB24" s="10">
        <f>AB8/X8-1</f>
        <v>-0.15878378378378388</v>
      </c>
      <c r="AC24" s="10">
        <f t="shared" ref="AC24:AD24" si="88">AC8/Y8-1</f>
        <v>-6.9999999999999951E-2</v>
      </c>
      <c r="AD24" s="10">
        <f t="shared" si="88"/>
        <v>-6.9999999999999951E-2</v>
      </c>
      <c r="AF24" s="10"/>
      <c r="AG24" s="10">
        <f t="shared" ref="AF24:AK24" si="89">AG8/AF8-1</f>
        <v>0.24832214765100669</v>
      </c>
      <c r="AH24" s="10">
        <f t="shared" si="89"/>
        <v>1.0913978494623655</v>
      </c>
      <c r="AI24" s="10">
        <f t="shared" si="89"/>
        <v>0.36118251928020584</v>
      </c>
      <c r="AJ24" s="10">
        <f t="shared" si="89"/>
        <v>-7.271010387157717E-2</v>
      </c>
      <c r="AK24" s="10">
        <f>AK8/AJ8-1</f>
        <v>0.10896130346232202</v>
      </c>
      <c r="AL24" s="10">
        <f t="shared" ref="AL24:AV24" si="90">AL8/AK8-1</f>
        <v>-6.0615243342516223E-2</v>
      </c>
      <c r="AM24" s="10">
        <f t="shared" si="90"/>
        <v>-5.0000000000000044E-2</v>
      </c>
      <c r="AN24" s="10">
        <f t="shared" si="90"/>
        <v>1.0000000000000009E-2</v>
      </c>
      <c r="AO24" s="10">
        <f t="shared" si="90"/>
        <v>1.0000000000000009E-2</v>
      </c>
      <c r="AP24" s="10">
        <f t="shared" si="90"/>
        <v>1.0000000000000009E-2</v>
      </c>
      <c r="AQ24" s="10">
        <f t="shared" si="90"/>
        <v>1.0000000000000009E-2</v>
      </c>
      <c r="AR24" s="10">
        <f t="shared" si="90"/>
        <v>1.0000000000000009E-2</v>
      </c>
      <c r="AS24" s="10">
        <f t="shared" si="90"/>
        <v>1.0000000000000009E-2</v>
      </c>
      <c r="AT24" s="10">
        <f t="shared" si="90"/>
        <v>1.0000000000000009E-2</v>
      </c>
      <c r="AU24" s="10">
        <f t="shared" si="90"/>
        <v>1.0000000000000009E-2</v>
      </c>
      <c r="AV24" s="10">
        <f t="shared" si="90"/>
        <v>1.0000000000000009E-2</v>
      </c>
      <c r="AX24" t="s">
        <v>64</v>
      </c>
      <c r="AY24" s="5">
        <f>Main!D8</f>
        <v>775.1</v>
      </c>
    </row>
    <row r="25" spans="2:51" x14ac:dyDescent="0.3">
      <c r="B25" t="s">
        <v>59</v>
      </c>
      <c r="M25" s="10">
        <f t="shared" ref="M25:AB25" si="91">M11/M3</f>
        <v>-0.28571428571428564</v>
      </c>
      <c r="N25" s="10">
        <f t="shared" si="91"/>
        <v>-0.41304347826086968</v>
      </c>
      <c r="O25" s="10">
        <f t="shared" si="91"/>
        <v>-0.30980066445182719</v>
      </c>
      <c r="P25" s="10">
        <f t="shared" si="91"/>
        <v>-0.38301282051282048</v>
      </c>
      <c r="Q25" s="10">
        <f t="shared" si="91"/>
        <v>-0.2661290322580645</v>
      </c>
      <c r="R25" s="10">
        <f t="shared" si="91"/>
        <v>-0.39310829817158927</v>
      </c>
      <c r="S25" s="10">
        <f t="shared" si="91"/>
        <v>-0.26490514905149048</v>
      </c>
      <c r="T25" s="10">
        <f t="shared" si="91"/>
        <v>-0.25113858165256991</v>
      </c>
      <c r="U25" s="10">
        <f t="shared" si="91"/>
        <v>-0.23927492447129914</v>
      </c>
      <c r="V25" s="10">
        <f t="shared" si="91"/>
        <v>-0.16933096506808759</v>
      </c>
      <c r="W25" s="10">
        <f t="shared" si="91"/>
        <v>-0.17622708456534594</v>
      </c>
      <c r="X25" s="10">
        <f t="shared" si="91"/>
        <v>-0.18320610687022892</v>
      </c>
      <c r="Y25" s="10">
        <f t="shared" si="91"/>
        <v>-0.12379329926178315</v>
      </c>
      <c r="Z25" s="10">
        <f t="shared" si="91"/>
        <v>-0.17020089285714302</v>
      </c>
      <c r="AA25" s="10">
        <f t="shared" si="91"/>
        <v>-8.0312325711098587E-2</v>
      </c>
      <c r="AB25" s="10">
        <f>AB11/AB3</f>
        <v>-8.0705505077498782E-2</v>
      </c>
      <c r="AC25" s="10">
        <f t="shared" ref="AC25:AD25" si="92">AC11/AC3</f>
        <v>-7.0473684210526313E-2</v>
      </c>
      <c r="AD25" s="10">
        <f t="shared" si="92"/>
        <v>-6.7792264686248285E-2</v>
      </c>
      <c r="AF25" s="10">
        <f t="shared" ref="AF25:AK25" si="93">AF11/AF3</f>
        <v>-0.26247288503253796</v>
      </c>
      <c r="AG25" s="10">
        <f t="shared" si="93"/>
        <v>-0.22657580919931858</v>
      </c>
      <c r="AH25" s="10">
        <f t="shared" si="93"/>
        <v>-0.34432940043342175</v>
      </c>
      <c r="AI25" s="10">
        <f t="shared" si="93"/>
        <v>-0.33848797250859131</v>
      </c>
      <c r="AJ25" s="10">
        <f t="shared" si="93"/>
        <v>-0.22951077552304555</v>
      </c>
      <c r="AK25" s="10">
        <f t="shared" ref="AK25:AV25" si="94">AK11/AK3</f>
        <v>-0.16309198215056844</v>
      </c>
      <c r="AL25" s="10">
        <f t="shared" si="94"/>
        <v>-7.4703212215830095E-2</v>
      </c>
      <c r="AM25" s="10">
        <f t="shared" si="94"/>
        <v>-3.1152538497808888E-2</v>
      </c>
      <c r="AN25" s="10">
        <f t="shared" si="94"/>
        <v>-3.619292194987619E-3</v>
      </c>
      <c r="AO25" s="10">
        <f t="shared" si="94"/>
        <v>2.1305354255400602E-2</v>
      </c>
      <c r="AP25" s="10">
        <f t="shared" si="94"/>
        <v>2.3743537056818167E-2</v>
      </c>
      <c r="AQ25" s="10">
        <f t="shared" si="94"/>
        <v>2.6157816105280795E-2</v>
      </c>
      <c r="AR25" s="10">
        <f t="shared" si="94"/>
        <v>2.8548425751307342E-2</v>
      </c>
      <c r="AS25" s="10">
        <f t="shared" si="94"/>
        <v>2.8548425751307314E-2</v>
      </c>
      <c r="AT25" s="10">
        <f t="shared" si="94"/>
        <v>2.8548425751307366E-2</v>
      </c>
      <c r="AU25" s="10">
        <f t="shared" si="94"/>
        <v>2.8548425751307414E-2</v>
      </c>
      <c r="AV25" s="10">
        <f t="shared" si="94"/>
        <v>2.8548425751307425E-2</v>
      </c>
      <c r="AX25" t="s">
        <v>65</v>
      </c>
      <c r="AY25" s="5">
        <f>AY23+AY24</f>
        <v>1156.1559033806418</v>
      </c>
    </row>
    <row r="26" spans="2:51" x14ac:dyDescent="0.3">
      <c r="B26" t="s">
        <v>24</v>
      </c>
      <c r="M26" s="10">
        <f t="shared" ref="M26:AB26" si="95">M15/M14</f>
        <v>-2.5316455696202542E-2</v>
      </c>
      <c r="N26" s="10">
        <f t="shared" si="95"/>
        <v>-4.2105263157894727E-3</v>
      </c>
      <c r="O26" s="10">
        <f t="shared" si="95"/>
        <v>-2.6737967914438502E-2</v>
      </c>
      <c r="P26" s="10">
        <f t="shared" si="95"/>
        <v>-2.4896265560165973E-2</v>
      </c>
      <c r="Q26" s="10">
        <f t="shared" si="95"/>
        <v>-2.8571428571428571E-2</v>
      </c>
      <c r="R26" s="10">
        <f t="shared" si="95"/>
        <v>-3.0000000000000009E-2</v>
      </c>
      <c r="S26" s="10">
        <f t="shared" si="95"/>
        <v>-4.5161290322580649E-2</v>
      </c>
      <c r="T26" s="10">
        <f t="shared" si="95"/>
        <v>-5.2631578947368432E-2</v>
      </c>
      <c r="U26" s="10">
        <f t="shared" si="95"/>
        <v>-3.2258064516129024E-2</v>
      </c>
      <c r="V26" s="10">
        <f t="shared" si="95"/>
        <v>-6.8062827225130906E-2</v>
      </c>
      <c r="W26" s="10">
        <f t="shared" si="95"/>
        <v>-3.9024390243902446E-2</v>
      </c>
      <c r="X26" s="10">
        <f t="shared" si="95"/>
        <v>-4.566210045662103E-2</v>
      </c>
      <c r="Y26" s="10">
        <f t="shared" si="95"/>
        <v>-0.12295081967213103</v>
      </c>
      <c r="Z26" s="10">
        <f t="shared" si="95"/>
        <v>9.6234309623430853E-2</v>
      </c>
      <c r="AA26" s="10">
        <f t="shared" si="95"/>
        <v>-0.23809523809523894</v>
      </c>
      <c r="AB26" s="10">
        <f>AB15/AB14</f>
        <v>-0.11428571428571392</v>
      </c>
      <c r="AC26" s="10">
        <f t="shared" ref="AC26:AD26" si="96">AC15/AC14</f>
        <v>-0.18552875695732837</v>
      </c>
      <c r="AD26" s="10">
        <f t="shared" si="96"/>
        <v>-0.20004961230385176</v>
      </c>
      <c r="AF26" s="10">
        <f t="shared" ref="AF26:AK26" si="97">AF15/AF14</f>
        <v>-1.5217391304347823E-2</v>
      </c>
      <c r="AG26" s="10">
        <f t="shared" si="97"/>
        <v>-2.3006134969325152E-2</v>
      </c>
      <c r="AH26" s="10">
        <f t="shared" si="97"/>
        <v>-1.468531468531468E-2</v>
      </c>
      <c r="AI26" s="10">
        <f t="shared" si="97"/>
        <v>-2.7549824150058595E-2</v>
      </c>
      <c r="AJ26" s="10">
        <f t="shared" si="97"/>
        <v>-4.7533632286995503E-2</v>
      </c>
      <c r="AK26" s="10">
        <f t="shared" ref="AK26:AV26" si="98">AK15/AK14</f>
        <v>-1.273885350318473E-2</v>
      </c>
      <c r="AL26" s="10">
        <f t="shared" si="98"/>
        <v>-0.18152068744839331</v>
      </c>
      <c r="AM26" s="10">
        <f t="shared" si="98"/>
        <v>0.1</v>
      </c>
      <c r="AN26" s="10">
        <f t="shared" si="98"/>
        <v>0.1</v>
      </c>
      <c r="AO26" s="10">
        <f t="shared" si="98"/>
        <v>0.1</v>
      </c>
      <c r="AP26" s="10">
        <f t="shared" si="98"/>
        <v>0.1</v>
      </c>
      <c r="AQ26" s="10">
        <f t="shared" si="98"/>
        <v>0.1</v>
      </c>
      <c r="AR26" s="10">
        <f t="shared" si="98"/>
        <v>0.1</v>
      </c>
      <c r="AS26" s="10">
        <f t="shared" si="98"/>
        <v>0.1</v>
      </c>
      <c r="AT26" s="10">
        <f t="shared" si="98"/>
        <v>0.1</v>
      </c>
      <c r="AU26" s="10">
        <f t="shared" si="98"/>
        <v>0.1</v>
      </c>
      <c r="AV26" s="10">
        <f t="shared" si="98"/>
        <v>0.1</v>
      </c>
      <c r="AX26" t="s">
        <v>66</v>
      </c>
      <c r="AY26" s="2">
        <f>AY25/AV17</f>
        <v>7.0626506009813186</v>
      </c>
    </row>
    <row r="27" spans="2:51" x14ac:dyDescent="0.3">
      <c r="B27" t="s">
        <v>60</v>
      </c>
      <c r="M27" s="10">
        <f t="shared" ref="M27:AB27" si="99">M16/M3</f>
        <v>-0.29481346678798898</v>
      </c>
      <c r="N27" s="10">
        <f t="shared" si="99"/>
        <v>-0.41478260869565231</v>
      </c>
      <c r="O27" s="10">
        <f t="shared" si="99"/>
        <v>-0.31893687707641194</v>
      </c>
      <c r="P27" s="10">
        <f t="shared" si="99"/>
        <v>-0.39583333333333337</v>
      </c>
      <c r="Q27" s="10">
        <f t="shared" si="99"/>
        <v>-0.26392961876832843</v>
      </c>
      <c r="R27" s="10">
        <f t="shared" si="99"/>
        <v>-0.36216596343178614</v>
      </c>
      <c r="S27" s="10">
        <f t="shared" si="99"/>
        <v>-0.21951219512195116</v>
      </c>
      <c r="T27" s="10">
        <f t="shared" si="99"/>
        <v>-0.20819778789850357</v>
      </c>
      <c r="U27" s="10">
        <f t="shared" si="99"/>
        <v>-0.19335347432024177</v>
      </c>
      <c r="V27" s="10">
        <f t="shared" si="99"/>
        <v>-0.12078152753108345</v>
      </c>
      <c r="W27" s="10">
        <f t="shared" si="99"/>
        <v>-0.12596096984033114</v>
      </c>
      <c r="X27" s="10">
        <f t="shared" si="99"/>
        <v>-0.13446858485026417</v>
      </c>
      <c r="Y27" s="10">
        <f t="shared" si="99"/>
        <v>-7.7796706416808706E-2</v>
      </c>
      <c r="Z27" s="10">
        <f t="shared" si="99"/>
        <v>-0.12053571428571444</v>
      </c>
      <c r="AA27" s="10">
        <f t="shared" si="99"/>
        <v>-4.3502509760178346E-2</v>
      </c>
      <c r="AB27" s="10">
        <f>AB16/AB3</f>
        <v>-4.1688936397648438E-2</v>
      </c>
      <c r="AC27" s="10">
        <f t="shared" ref="AC27:AD27" si="100">AC16/AC3</f>
        <v>-3.3631578947368422E-2</v>
      </c>
      <c r="AD27" s="10">
        <f t="shared" si="100"/>
        <v>-3.1285255340453885E-2</v>
      </c>
      <c r="AF27" s="10">
        <f t="shared" ref="AF27:AK27" si="101">AF16/AF3</f>
        <v>-0.25325379609544474</v>
      </c>
      <c r="AG27" s="10">
        <f t="shared" si="101"/>
        <v>-0.22725724020442931</v>
      </c>
      <c r="AH27" s="10">
        <f t="shared" si="101"/>
        <v>-0.34938598603419224</v>
      </c>
      <c r="AI27" s="10">
        <f t="shared" si="101"/>
        <v>-0.3346697212676597</v>
      </c>
      <c r="AJ27" s="10">
        <f t="shared" si="101"/>
        <v>-0.18373446594305495</v>
      </c>
      <c r="AK27" s="10">
        <f t="shared" ref="AK27:AV27" si="102">AK16/AK3</f>
        <v>-0.11443788685763624</v>
      </c>
      <c r="AL27" s="10">
        <f t="shared" si="102"/>
        <v>-3.7410926238798936E-2</v>
      </c>
      <c r="AM27" s="10">
        <f t="shared" si="102"/>
        <v>8.7600622340084627E-3</v>
      </c>
      <c r="AN27" s="10">
        <f t="shared" si="102"/>
        <v>3.247852197725809E-2</v>
      </c>
      <c r="AO27" s="10">
        <f t="shared" si="102"/>
        <v>5.4216803103913372E-2</v>
      </c>
      <c r="AP27" s="10">
        <f t="shared" si="102"/>
        <v>5.6067618759757298E-2</v>
      </c>
      <c r="AQ27" s="10">
        <f t="shared" si="102"/>
        <v>5.7900289164073464E-2</v>
      </c>
      <c r="AR27" s="10">
        <f t="shared" si="102"/>
        <v>5.9714992211484408E-2</v>
      </c>
      <c r="AS27" s="10">
        <f t="shared" si="102"/>
        <v>5.971499221148438E-2</v>
      </c>
      <c r="AT27" s="10">
        <f t="shared" si="102"/>
        <v>5.9714992211484436E-2</v>
      </c>
      <c r="AU27" s="10">
        <f t="shared" si="102"/>
        <v>5.9714992211484477E-2</v>
      </c>
      <c r="AV27" s="10">
        <f t="shared" si="102"/>
        <v>5.9714992211484477E-2</v>
      </c>
      <c r="AX27" t="s">
        <v>67</v>
      </c>
      <c r="AY27" s="2">
        <f>Main!D3</f>
        <v>11.3</v>
      </c>
    </row>
    <row r="28" spans="2:51" x14ac:dyDescent="0.3">
      <c r="AX28" s="1" t="s">
        <v>68</v>
      </c>
      <c r="AY28" s="11">
        <f>AY26/AY27-1</f>
        <v>-0.37498667247952933</v>
      </c>
    </row>
    <row r="29" spans="2:51" x14ac:dyDescent="0.3">
      <c r="AX29" t="s">
        <v>69</v>
      </c>
      <c r="AY29" t="s">
        <v>70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2025-09-02T10:53:26Z</dcterms:created>
  <dcterms:modified xsi:type="dcterms:W3CDTF">2025-09-02T11:40:54Z</dcterms:modified>
</cp:coreProperties>
</file>