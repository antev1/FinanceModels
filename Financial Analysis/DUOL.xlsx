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D951848-C802-4B5F-BD0D-5BF8FE77F8AB}" xr6:coauthVersionLast="47" xr6:coauthVersionMax="47" xr10:uidLastSave="{00000000-0000-0000-0000-000000000000}"/>
  <bookViews>
    <workbookView xWindow="-108" yWindow="-108" windowWidth="23256" windowHeight="12576" activeTab="1" xr2:uid="{9EA5A098-45C5-472E-8765-EE9A7145AF0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E3" i="2"/>
  <c r="U3" i="2"/>
  <c r="U7" i="2" s="1"/>
  <c r="U9" i="2" s="1"/>
  <c r="V3" i="2"/>
  <c r="T5" i="2"/>
  <c r="D6" i="1"/>
  <c r="D8" i="1" s="1"/>
  <c r="AR47" i="2" s="1"/>
  <c r="V5" i="2"/>
  <c r="S16" i="2"/>
  <c r="AR50" i="2"/>
  <c r="AE41" i="2"/>
  <c r="AF41" i="2" s="1"/>
  <c r="AG41" i="2" s="1"/>
  <c r="AH41" i="2" s="1"/>
  <c r="AI41" i="2" s="1"/>
  <c r="AJ41" i="2" s="1"/>
  <c r="AK41" i="2" s="1"/>
  <c r="AL41" i="2" s="1"/>
  <c r="AM41" i="2" s="1"/>
  <c r="AN41" i="2" s="1"/>
  <c r="AD41" i="2"/>
  <c r="AD42" i="2" s="1"/>
  <c r="AF40" i="2"/>
  <c r="AE40" i="2"/>
  <c r="AD40" i="2"/>
  <c r="AJ30" i="2"/>
  <c r="AK30" i="2" s="1"/>
  <c r="AL30" i="2" s="1"/>
  <c r="AM30" i="2" s="1"/>
  <c r="AN30" i="2" s="1"/>
  <c r="AI30" i="2"/>
  <c r="AE30" i="2"/>
  <c r="AF30" i="2" s="1"/>
  <c r="AG30" i="2" s="1"/>
  <c r="AH30" i="2" s="1"/>
  <c r="AD30" i="2"/>
  <c r="AE29" i="2"/>
  <c r="AF29" i="2" s="1"/>
  <c r="AG29" i="2" s="1"/>
  <c r="AH29" i="2" s="1"/>
  <c r="AI29" i="2" s="1"/>
  <c r="AJ29" i="2" s="1"/>
  <c r="AK29" i="2" s="1"/>
  <c r="AL29" i="2" s="1"/>
  <c r="AM29" i="2" s="1"/>
  <c r="AN29" i="2" s="1"/>
  <c r="AD29" i="2"/>
  <c r="AR27" i="2"/>
  <c r="AD12" i="2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D11" i="2"/>
  <c r="AE11" i="2" s="1"/>
  <c r="AF11" i="2" s="1"/>
  <c r="AG11" i="2" s="1"/>
  <c r="AD8" i="2"/>
  <c r="AD23" i="2" s="1"/>
  <c r="AD6" i="2"/>
  <c r="AE6" i="2" s="1"/>
  <c r="AF6" i="2" s="1"/>
  <c r="AG6" i="2" s="1"/>
  <c r="V12" i="2"/>
  <c r="U12" i="2"/>
  <c r="V8" i="2"/>
  <c r="V23" i="2" s="1"/>
  <c r="T23" i="2"/>
  <c r="S23" i="2"/>
  <c r="U8" i="2"/>
  <c r="U23" i="2" s="1"/>
  <c r="S22" i="2"/>
  <c r="T9" i="2"/>
  <c r="V7" i="2"/>
  <c r="V9" i="2" s="1"/>
  <c r="V6" i="2"/>
  <c r="U6" i="2"/>
  <c r="U21" i="2" s="1"/>
  <c r="V21" i="2"/>
  <c r="S21" i="2"/>
  <c r="T21" i="2"/>
  <c r="S19" i="2"/>
  <c r="AA42" i="2"/>
  <c r="AB31" i="2"/>
  <c r="AB42" i="2"/>
  <c r="AC31" i="2"/>
  <c r="AC42" i="2"/>
  <c r="Z42" i="2"/>
  <c r="Y42" i="2"/>
  <c r="X42" i="2"/>
  <c r="Y23" i="2"/>
  <c r="Y22" i="2"/>
  <c r="X22" i="2"/>
  <c r="Y21" i="2"/>
  <c r="Y19" i="2"/>
  <c r="X9" i="2"/>
  <c r="X5" i="2"/>
  <c r="X20" i="2" s="1"/>
  <c r="Y9" i="2"/>
  <c r="Y5" i="2"/>
  <c r="Y20" i="2" s="1"/>
  <c r="Z14" i="2"/>
  <c r="Z12" i="2"/>
  <c r="Z11" i="2"/>
  <c r="Z8" i="2"/>
  <c r="Z23" i="2" s="1"/>
  <c r="Z7" i="2"/>
  <c r="Z6" i="2"/>
  <c r="Z4" i="2"/>
  <c r="Z3" i="2"/>
  <c r="Z19" i="2" s="1"/>
  <c r="AA14" i="2"/>
  <c r="AA12" i="2"/>
  <c r="AA11" i="2"/>
  <c r="AA8" i="2"/>
  <c r="AA7" i="2"/>
  <c r="AA6" i="2"/>
  <c r="AA21" i="2" s="1"/>
  <c r="AA4" i="2"/>
  <c r="AA3" i="2"/>
  <c r="AB14" i="2"/>
  <c r="AB12" i="2"/>
  <c r="AB11" i="2"/>
  <c r="AB8" i="2"/>
  <c r="AB7" i="2"/>
  <c r="AB6" i="2"/>
  <c r="AB21" i="2" s="1"/>
  <c r="AB4" i="2"/>
  <c r="AB3" i="2"/>
  <c r="AC14" i="2"/>
  <c r="AC12" i="2"/>
  <c r="AC11" i="2"/>
  <c r="AC8" i="2"/>
  <c r="AC23" i="2" s="1"/>
  <c r="AC7" i="2"/>
  <c r="AC6" i="2"/>
  <c r="AC21" i="2" s="1"/>
  <c r="AC4" i="2"/>
  <c r="AC3" i="2"/>
  <c r="Q23" i="2"/>
  <c r="P23" i="2"/>
  <c r="O23" i="2"/>
  <c r="N23" i="2"/>
  <c r="M23" i="2"/>
  <c r="L23" i="2"/>
  <c r="K23" i="2"/>
  <c r="J23" i="2"/>
  <c r="I23" i="2"/>
  <c r="H23" i="2"/>
  <c r="G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K21" i="2"/>
  <c r="J21" i="2"/>
  <c r="I21" i="2"/>
  <c r="H21" i="2"/>
  <c r="G21" i="2"/>
  <c r="Q19" i="2"/>
  <c r="P19" i="2"/>
  <c r="O19" i="2"/>
  <c r="N19" i="2"/>
  <c r="M19" i="2"/>
  <c r="L19" i="2"/>
  <c r="K19" i="2"/>
  <c r="J19" i="2"/>
  <c r="I19" i="2"/>
  <c r="H19" i="2"/>
  <c r="G19" i="2"/>
  <c r="R22" i="2"/>
  <c r="R23" i="2"/>
  <c r="R21" i="2"/>
  <c r="R19" i="2"/>
  <c r="C9" i="2"/>
  <c r="C5" i="2"/>
  <c r="C20" i="2" s="1"/>
  <c r="G9" i="2"/>
  <c r="G5" i="2"/>
  <c r="G20" i="2" s="1"/>
  <c r="D9" i="2"/>
  <c r="D5" i="2"/>
  <c r="D20" i="2" s="1"/>
  <c r="H9" i="2"/>
  <c r="H5" i="2"/>
  <c r="H20" i="2" s="1"/>
  <c r="E9" i="2"/>
  <c r="E5" i="2"/>
  <c r="E20" i="2" s="1"/>
  <c r="I9" i="2"/>
  <c r="I5" i="2"/>
  <c r="I20" i="2" s="1"/>
  <c r="F9" i="2"/>
  <c r="F5" i="2"/>
  <c r="F20" i="2" s="1"/>
  <c r="J9" i="2"/>
  <c r="J5" i="2"/>
  <c r="J20" i="2" s="1"/>
  <c r="K9" i="2"/>
  <c r="K5" i="2"/>
  <c r="K20" i="2" s="1"/>
  <c r="O9" i="2"/>
  <c r="O5" i="2"/>
  <c r="O20" i="2" s="1"/>
  <c r="L9" i="2"/>
  <c r="L5" i="2"/>
  <c r="L20" i="2" s="1"/>
  <c r="P9" i="2"/>
  <c r="P5" i="2"/>
  <c r="P20" i="2" s="1"/>
  <c r="M9" i="2"/>
  <c r="M5" i="2"/>
  <c r="M20" i="2" s="1"/>
  <c r="Q9" i="2"/>
  <c r="Q5" i="2"/>
  <c r="Q20" i="2" s="1"/>
  <c r="N9" i="2"/>
  <c r="N5" i="2"/>
  <c r="N20" i="2" s="1"/>
  <c r="R9" i="2"/>
  <c r="R5" i="2"/>
  <c r="R20" i="2" s="1"/>
  <c r="D5" i="1"/>
  <c r="F3" i="1"/>
  <c r="V10" i="2" l="1"/>
  <c r="V13" i="2" s="1"/>
  <c r="V14" i="2" s="1"/>
  <c r="V25" i="2" s="1"/>
  <c r="U5" i="2"/>
  <c r="U10" i="2" s="1"/>
  <c r="U13" i="2" s="1"/>
  <c r="U14" i="2" s="1"/>
  <c r="U25" i="2" s="1"/>
  <c r="V4" i="2"/>
  <c r="T10" i="2"/>
  <c r="T13" i="2" s="1"/>
  <c r="AE8" i="2"/>
  <c r="AF8" i="2" s="1"/>
  <c r="AG8" i="2" s="1"/>
  <c r="AH8" i="2" s="1"/>
  <c r="AI8" i="2" s="1"/>
  <c r="AJ8" i="2" s="1"/>
  <c r="AK8" i="2" s="1"/>
  <c r="AL8" i="2" s="1"/>
  <c r="AM8" i="2" s="1"/>
  <c r="AN8" i="2" s="1"/>
  <c r="AG21" i="2"/>
  <c r="AH6" i="2"/>
  <c r="AI6" i="2" s="1"/>
  <c r="AJ6" i="2" s="1"/>
  <c r="AK6" i="2" s="1"/>
  <c r="AL6" i="2" s="1"/>
  <c r="AM6" i="2" s="1"/>
  <c r="AN6" i="2" s="1"/>
  <c r="AD7" i="2"/>
  <c r="AD9" i="2" s="1"/>
  <c r="S9" i="2"/>
  <c r="D9" i="1"/>
  <c r="AR24" i="2"/>
  <c r="AE42" i="2"/>
  <c r="AF42" i="2"/>
  <c r="AG40" i="2"/>
  <c r="AH11" i="2"/>
  <c r="AF21" i="2"/>
  <c r="AD21" i="2"/>
  <c r="AE21" i="2"/>
  <c r="AD3" i="2"/>
  <c r="V19" i="2"/>
  <c r="T22" i="2"/>
  <c r="T20" i="2"/>
  <c r="V20" i="2"/>
  <c r="V24" i="2"/>
  <c r="U22" i="2"/>
  <c r="U19" i="2"/>
  <c r="V22" i="2"/>
  <c r="T19" i="2"/>
  <c r="AB19" i="2"/>
  <c r="AB23" i="2"/>
  <c r="AA19" i="2"/>
  <c r="AC19" i="2"/>
  <c r="AC5" i="2"/>
  <c r="AC20" i="2" s="1"/>
  <c r="AC22" i="2"/>
  <c r="AB22" i="2"/>
  <c r="AA22" i="2"/>
  <c r="Z22" i="2"/>
  <c r="AA9" i="2"/>
  <c r="I10" i="2"/>
  <c r="I13" i="2" s="1"/>
  <c r="I15" i="2" s="1"/>
  <c r="I17" i="2" s="1"/>
  <c r="AA23" i="2"/>
  <c r="Q10" i="2"/>
  <c r="X10" i="2"/>
  <c r="Y10" i="2"/>
  <c r="Z21" i="2"/>
  <c r="Z9" i="2"/>
  <c r="Z5" i="2"/>
  <c r="Z20" i="2" s="1"/>
  <c r="AA5" i="2"/>
  <c r="AB9" i="2"/>
  <c r="AB5" i="2"/>
  <c r="AB20" i="2" s="1"/>
  <c r="AC9" i="2"/>
  <c r="C10" i="2"/>
  <c r="G10" i="2"/>
  <c r="D10" i="2"/>
  <c r="H10" i="2"/>
  <c r="E10" i="2"/>
  <c r="F10" i="2"/>
  <c r="J10" i="2"/>
  <c r="K10" i="2"/>
  <c r="R10" i="2"/>
  <c r="O10" i="2"/>
  <c r="L10" i="2"/>
  <c r="P10" i="2"/>
  <c r="M10" i="2"/>
  <c r="N10" i="2"/>
  <c r="U4" i="2" l="1"/>
  <c r="U24" i="2"/>
  <c r="U20" i="2"/>
  <c r="AG23" i="2"/>
  <c r="AE23" i="2"/>
  <c r="AF23" i="2"/>
  <c r="U15" i="2"/>
  <c r="V15" i="2"/>
  <c r="T25" i="2"/>
  <c r="T24" i="2"/>
  <c r="AG42" i="2"/>
  <c r="AH40" i="2"/>
  <c r="AI11" i="2"/>
  <c r="AH23" i="2"/>
  <c r="AH21" i="2"/>
  <c r="AD19" i="2"/>
  <c r="AD22" i="2"/>
  <c r="I24" i="2"/>
  <c r="I26" i="2"/>
  <c r="AC10" i="2"/>
  <c r="AC24" i="2" s="1"/>
  <c r="I25" i="2"/>
  <c r="N13" i="2"/>
  <c r="N24" i="2"/>
  <c r="H13" i="2"/>
  <c r="H24" i="2"/>
  <c r="D13" i="2"/>
  <c r="D24" i="2"/>
  <c r="F13" i="2"/>
  <c r="F24" i="2"/>
  <c r="E13" i="2"/>
  <c r="E24" i="2"/>
  <c r="L13" i="2"/>
  <c r="L24" i="2"/>
  <c r="Q13" i="2"/>
  <c r="Q24" i="2"/>
  <c r="AA10" i="2"/>
  <c r="AA20" i="2"/>
  <c r="C13" i="2"/>
  <c r="C24" i="2"/>
  <c r="K13" i="2"/>
  <c r="K24" i="2"/>
  <c r="Y13" i="2"/>
  <c r="Y24" i="2"/>
  <c r="M13" i="2"/>
  <c r="M24" i="2"/>
  <c r="P13" i="2"/>
  <c r="P24" i="2"/>
  <c r="O13" i="2"/>
  <c r="O24" i="2"/>
  <c r="G13" i="2"/>
  <c r="G24" i="2"/>
  <c r="R13" i="2"/>
  <c r="R24" i="2"/>
  <c r="J13" i="2"/>
  <c r="J24" i="2"/>
  <c r="X13" i="2"/>
  <c r="X24" i="2"/>
  <c r="Z10" i="2"/>
  <c r="AB10" i="2"/>
  <c r="AE19" i="2" l="1"/>
  <c r="AE5" i="2"/>
  <c r="AE20" i="2" s="1"/>
  <c r="U26" i="2"/>
  <c r="U17" i="2"/>
  <c r="V17" i="2"/>
  <c r="V26" i="2"/>
  <c r="T15" i="2"/>
  <c r="AE7" i="2"/>
  <c r="AF5" i="2"/>
  <c r="AH42" i="2"/>
  <c r="AI40" i="2"/>
  <c r="AJ11" i="2"/>
  <c r="AI23" i="2"/>
  <c r="AI21" i="2"/>
  <c r="AC13" i="2"/>
  <c r="AC15" i="2" s="1"/>
  <c r="AC28" i="2" s="1"/>
  <c r="AC39" i="2" s="1"/>
  <c r="AC43" i="2" s="1"/>
  <c r="F15" i="2"/>
  <c r="F25" i="2"/>
  <c r="O15" i="2"/>
  <c r="O25" i="2"/>
  <c r="Q15" i="2"/>
  <c r="Q25" i="2"/>
  <c r="D15" i="2"/>
  <c r="D25" i="2"/>
  <c r="G15" i="2"/>
  <c r="G25" i="2"/>
  <c r="K15" i="2"/>
  <c r="K25" i="2"/>
  <c r="Y15" i="2"/>
  <c r="Y25" i="2"/>
  <c r="J15" i="2"/>
  <c r="J25" i="2"/>
  <c r="H15" i="2"/>
  <c r="H25" i="2"/>
  <c r="AB13" i="2"/>
  <c r="AB24" i="2"/>
  <c r="Z13" i="2"/>
  <c r="Z24" i="2"/>
  <c r="AA13" i="2"/>
  <c r="AA24" i="2"/>
  <c r="X15" i="2"/>
  <c r="X25" i="2"/>
  <c r="P15" i="2"/>
  <c r="P25" i="2"/>
  <c r="L15" i="2"/>
  <c r="L25" i="2"/>
  <c r="R15" i="2"/>
  <c r="R25" i="2"/>
  <c r="M15" i="2"/>
  <c r="M25" i="2"/>
  <c r="C15" i="2"/>
  <c r="C25" i="2"/>
  <c r="E15" i="2"/>
  <c r="E25" i="2"/>
  <c r="N15" i="2"/>
  <c r="N25" i="2"/>
  <c r="AE4" i="2" l="1"/>
  <c r="T17" i="2"/>
  <c r="T26" i="2"/>
  <c r="AF7" i="2"/>
  <c r="AG3" i="2"/>
  <c r="AG5" i="2" s="1"/>
  <c r="AF4" i="2"/>
  <c r="AF19" i="2"/>
  <c r="AE9" i="2"/>
  <c r="AE10" i="2" s="1"/>
  <c r="AE22" i="2"/>
  <c r="AJ40" i="2"/>
  <c r="AI42" i="2"/>
  <c r="AK11" i="2"/>
  <c r="AJ23" i="2"/>
  <c r="AJ21" i="2"/>
  <c r="AC25" i="2"/>
  <c r="L17" i="2"/>
  <c r="L26" i="2"/>
  <c r="C17" i="2"/>
  <c r="C26" i="2"/>
  <c r="P17" i="2"/>
  <c r="P26" i="2"/>
  <c r="Z15" i="2"/>
  <c r="Z28" i="2" s="1"/>
  <c r="Z39" i="2" s="1"/>
  <c r="Z43" i="2" s="1"/>
  <c r="Z25" i="2"/>
  <c r="Y17" i="2"/>
  <c r="Y28" i="2"/>
  <c r="Y39" i="2" s="1"/>
  <c r="Y43" i="2" s="1"/>
  <c r="Y26" i="2"/>
  <c r="Q17" i="2"/>
  <c r="Q26" i="2"/>
  <c r="E17" i="2"/>
  <c r="E26" i="2"/>
  <c r="D17" i="2"/>
  <c r="D26" i="2"/>
  <c r="AA15" i="2"/>
  <c r="AA28" i="2" s="1"/>
  <c r="AA39" i="2" s="1"/>
  <c r="AA43" i="2" s="1"/>
  <c r="AA25" i="2"/>
  <c r="AB15" i="2"/>
  <c r="AB28" i="2" s="1"/>
  <c r="AB39" i="2" s="1"/>
  <c r="AB43" i="2" s="1"/>
  <c r="AB25" i="2"/>
  <c r="O17" i="2"/>
  <c r="O26" i="2"/>
  <c r="J17" i="2"/>
  <c r="J26" i="2"/>
  <c r="M17" i="2"/>
  <c r="M26" i="2"/>
  <c r="AC17" i="2"/>
  <c r="AC26" i="2"/>
  <c r="K17" i="2"/>
  <c r="K26" i="2"/>
  <c r="N17" i="2"/>
  <c r="N26" i="2"/>
  <c r="R17" i="2"/>
  <c r="R26" i="2"/>
  <c r="X17" i="2"/>
  <c r="X26" i="2"/>
  <c r="X28" i="2"/>
  <c r="H17" i="2"/>
  <c r="H26" i="2"/>
  <c r="G17" i="2"/>
  <c r="G26" i="2"/>
  <c r="F17" i="2"/>
  <c r="F26" i="2"/>
  <c r="AF20" i="2" l="1"/>
  <c r="AH3" i="2"/>
  <c r="AH5" i="2" s="1"/>
  <c r="AG7" i="2"/>
  <c r="AG19" i="2"/>
  <c r="AF9" i="2"/>
  <c r="AF10" i="2" s="1"/>
  <c r="AF22" i="2"/>
  <c r="AE24" i="2"/>
  <c r="AE13" i="2"/>
  <c r="AJ42" i="2"/>
  <c r="AK40" i="2"/>
  <c r="AL11" i="2"/>
  <c r="AK23" i="2"/>
  <c r="AK21" i="2"/>
  <c r="AA17" i="2"/>
  <c r="AA26" i="2"/>
  <c r="Z17" i="2"/>
  <c r="Z26" i="2"/>
  <c r="AB17" i="2"/>
  <c r="AB26" i="2"/>
  <c r="AI3" i="2" l="1"/>
  <c r="AI5" i="2" s="1"/>
  <c r="AH7" i="2"/>
  <c r="AH19" i="2"/>
  <c r="AG9" i="2"/>
  <c r="AG10" i="2" s="1"/>
  <c r="AG22" i="2"/>
  <c r="AG4" i="2"/>
  <c r="AG20" i="2"/>
  <c r="AE14" i="2"/>
  <c r="AE25" i="2" s="1"/>
  <c r="AF13" i="2"/>
  <c r="AF24" i="2"/>
  <c r="AL40" i="2"/>
  <c r="AK42" i="2"/>
  <c r="AM11" i="2"/>
  <c r="AL23" i="2"/>
  <c r="AL21" i="2"/>
  <c r="AE15" i="2" l="1"/>
  <c r="AE28" i="2" s="1"/>
  <c r="AE39" i="2" s="1"/>
  <c r="AE43" i="2" s="1"/>
  <c r="AG13" i="2"/>
  <c r="AG24" i="2"/>
  <c r="AI7" i="2"/>
  <c r="AJ3" i="2"/>
  <c r="AJ5" i="2" s="1"/>
  <c r="AI20" i="2"/>
  <c r="AI19" i="2"/>
  <c r="AF14" i="2"/>
  <c r="AF25" i="2" s="1"/>
  <c r="AH20" i="2"/>
  <c r="AH9" i="2"/>
  <c r="AH10" i="2" s="1"/>
  <c r="AH22" i="2"/>
  <c r="AH4" i="2"/>
  <c r="AL42" i="2"/>
  <c r="AM40" i="2"/>
  <c r="AN11" i="2"/>
  <c r="AM23" i="2"/>
  <c r="AN23" i="2"/>
  <c r="AN21" i="2"/>
  <c r="AM21" i="2"/>
  <c r="AE17" i="2" l="1"/>
  <c r="AE26" i="2"/>
  <c r="AI4" i="2"/>
  <c r="AF15" i="2"/>
  <c r="AF28" i="2" s="1"/>
  <c r="AF39" i="2" s="1"/>
  <c r="AF43" i="2" s="1"/>
  <c r="AH13" i="2"/>
  <c r="AH24" i="2"/>
  <c r="AK3" i="2"/>
  <c r="AK5" i="2" s="1"/>
  <c r="AJ20" i="2"/>
  <c r="AJ4" i="2"/>
  <c r="AJ7" i="2"/>
  <c r="AJ19" i="2"/>
  <c r="AI9" i="2"/>
  <c r="AI10" i="2" s="1"/>
  <c r="AI22" i="2"/>
  <c r="AG14" i="2"/>
  <c r="AG25" i="2" s="1"/>
  <c r="AM42" i="2"/>
  <c r="AN40" i="2"/>
  <c r="AN42" i="2" s="1"/>
  <c r="AG15" i="2" l="1"/>
  <c r="AG28" i="2" s="1"/>
  <c r="AG39" i="2" s="1"/>
  <c r="AG43" i="2" s="1"/>
  <c r="AF26" i="2"/>
  <c r="AF17" i="2"/>
  <c r="AH14" i="2"/>
  <c r="AH25" i="2" s="1"/>
  <c r="AL3" i="2"/>
  <c r="AL5" i="2" s="1"/>
  <c r="AK20" i="2"/>
  <c r="AK4" i="2"/>
  <c r="AK7" i="2"/>
  <c r="AK19" i="2"/>
  <c r="AI13" i="2"/>
  <c r="AI24" i="2"/>
  <c r="AJ9" i="2"/>
  <c r="AJ10" i="2" s="1"/>
  <c r="AJ22" i="2"/>
  <c r="AH15" i="2" l="1"/>
  <c r="AH17" i="2" s="1"/>
  <c r="AG17" i="2"/>
  <c r="AG26" i="2"/>
  <c r="AL20" i="2"/>
  <c r="AL4" i="2"/>
  <c r="AL7" i="2"/>
  <c r="AM3" i="2"/>
  <c r="AM5" i="2" s="1"/>
  <c r="AL19" i="2"/>
  <c r="AK9" i="2"/>
  <c r="AK10" i="2" s="1"/>
  <c r="AK22" i="2"/>
  <c r="AI14" i="2"/>
  <c r="AI25" i="2" s="1"/>
  <c r="AJ13" i="2"/>
  <c r="AJ24" i="2"/>
  <c r="AH26" i="2" l="1"/>
  <c r="AH28" i="2"/>
  <c r="AH39" i="2" s="1"/>
  <c r="AH43" i="2" s="1"/>
  <c r="AK13" i="2"/>
  <c r="AK24" i="2"/>
  <c r="AN3" i="2"/>
  <c r="AN5" i="2" s="1"/>
  <c r="AM7" i="2"/>
  <c r="AM19" i="2"/>
  <c r="AJ14" i="2"/>
  <c r="AJ25" i="2" s="1"/>
  <c r="AL9" i="2"/>
  <c r="AL10" i="2" s="1"/>
  <c r="AL22" i="2"/>
  <c r="AI15" i="2"/>
  <c r="AM4" i="2" l="1"/>
  <c r="AM20" i="2"/>
  <c r="AJ15" i="2"/>
  <c r="AM9" i="2"/>
  <c r="AM10" i="2" s="1"/>
  <c r="AM22" i="2"/>
  <c r="AI17" i="2"/>
  <c r="AI28" i="2"/>
  <c r="AI39" i="2" s="1"/>
  <c r="AI43" i="2" s="1"/>
  <c r="AI26" i="2"/>
  <c r="AN7" i="2"/>
  <c r="AN20" i="2"/>
  <c r="AN4" i="2"/>
  <c r="AN19" i="2"/>
  <c r="AL13" i="2"/>
  <c r="AL24" i="2"/>
  <c r="AK14" i="2"/>
  <c r="AK25" i="2" s="1"/>
  <c r="AK15" i="2" l="1"/>
  <c r="AK17" i="2" s="1"/>
  <c r="AL14" i="2"/>
  <c r="AL25" i="2" s="1"/>
  <c r="AM13" i="2"/>
  <c r="AM24" i="2"/>
  <c r="AJ28" i="2"/>
  <c r="AJ39" i="2" s="1"/>
  <c r="AJ43" i="2" s="1"/>
  <c r="AJ17" i="2"/>
  <c r="AJ26" i="2"/>
  <c r="AN9" i="2"/>
  <c r="AN10" i="2" s="1"/>
  <c r="AN22" i="2"/>
  <c r="AL15" i="2" l="1"/>
  <c r="AL17" i="2" s="1"/>
  <c r="AK26" i="2"/>
  <c r="AK28" i="2"/>
  <c r="AK39" i="2" s="1"/>
  <c r="AK43" i="2" s="1"/>
  <c r="AN13" i="2"/>
  <c r="AN24" i="2"/>
  <c r="AM14" i="2"/>
  <c r="AM25" i="2" s="1"/>
  <c r="AL28" i="2" l="1"/>
  <c r="AL39" i="2" s="1"/>
  <c r="AL43" i="2" s="1"/>
  <c r="AL26" i="2"/>
  <c r="AM15" i="2"/>
  <c r="AM26" i="2" s="1"/>
  <c r="AN14" i="2"/>
  <c r="AN25" i="2" s="1"/>
  <c r="AM17" i="2" l="1"/>
  <c r="AM28" i="2"/>
  <c r="AM39" i="2" s="1"/>
  <c r="AM43" i="2" s="1"/>
  <c r="AN15" i="2"/>
  <c r="AN28" i="2" s="1"/>
  <c r="AN39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BK43" i="2" s="1"/>
  <c r="BL43" i="2" s="1"/>
  <c r="BM43" i="2" s="1"/>
  <c r="BN43" i="2" s="1"/>
  <c r="BO43" i="2" s="1"/>
  <c r="BP43" i="2" s="1"/>
  <c r="BQ43" i="2" s="1"/>
  <c r="BR43" i="2" s="1"/>
  <c r="BS43" i="2" s="1"/>
  <c r="BT43" i="2" s="1"/>
  <c r="BU43" i="2" s="1"/>
  <c r="BV43" i="2" s="1"/>
  <c r="BW43" i="2" s="1"/>
  <c r="BX43" i="2" s="1"/>
  <c r="BY43" i="2" s="1"/>
  <c r="BZ43" i="2" s="1"/>
  <c r="CA43" i="2" s="1"/>
  <c r="CB43" i="2" s="1"/>
  <c r="CC43" i="2" s="1"/>
  <c r="CD43" i="2" s="1"/>
  <c r="CE43" i="2" s="1"/>
  <c r="CF43" i="2" s="1"/>
  <c r="CG43" i="2" s="1"/>
  <c r="CH43" i="2" s="1"/>
  <c r="CI43" i="2" s="1"/>
  <c r="CJ43" i="2" s="1"/>
  <c r="CK43" i="2" s="1"/>
  <c r="CL43" i="2" s="1"/>
  <c r="CM43" i="2" s="1"/>
  <c r="CN43" i="2" s="1"/>
  <c r="CO43" i="2" s="1"/>
  <c r="CP43" i="2" s="1"/>
  <c r="CQ43" i="2" s="1"/>
  <c r="CR43" i="2" s="1"/>
  <c r="CS43" i="2" s="1"/>
  <c r="CT43" i="2" s="1"/>
  <c r="CU43" i="2" s="1"/>
  <c r="CV43" i="2" s="1"/>
  <c r="CW43" i="2" s="1"/>
  <c r="CX43" i="2" s="1"/>
  <c r="CY43" i="2" s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AN17" i="2" l="1"/>
  <c r="AN26" i="2"/>
  <c r="AO15" i="2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AD4" i="2" l="1"/>
  <c r="AD5" i="2" s="1"/>
  <c r="S5" i="2"/>
  <c r="S10" i="2" s="1"/>
  <c r="S20" i="2"/>
  <c r="S13" i="2" l="1"/>
  <c r="S24" i="2"/>
  <c r="AD10" i="2"/>
  <c r="AD20" i="2"/>
  <c r="AD24" i="2" l="1"/>
  <c r="AD13" i="2"/>
  <c r="S15" i="2"/>
  <c r="S26" i="2" l="1"/>
  <c r="S17" i="2"/>
  <c r="S25" i="2"/>
  <c r="AD14" i="2"/>
  <c r="AD25" i="2" s="1"/>
  <c r="AD15" i="2" l="1"/>
  <c r="AR23" i="2" s="1"/>
  <c r="AR25" i="2" s="1"/>
  <c r="AR26" i="2" s="1"/>
  <c r="AR28" i="2" s="1"/>
  <c r="AD28" i="2" l="1"/>
  <c r="AD39" i="2" s="1"/>
  <c r="AD43" i="2" s="1"/>
  <c r="AR46" i="2" s="1"/>
  <c r="AR48" i="2" s="1"/>
  <c r="AR49" i="2" s="1"/>
  <c r="AR51" i="2" s="1"/>
  <c r="AD26" i="2"/>
  <c r="A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AD3" authorId="0" shapeId="0" xr:uid="{58708693-72ED-4B1C-ACAC-E527BE89624F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Q424 guidance: 962.5-978.5</t>
        </r>
      </text>
    </comment>
  </commentList>
</comments>
</file>

<file path=xl/sharedStrings.xml><?xml version="1.0" encoding="utf-8"?>
<sst xmlns="http://schemas.openxmlformats.org/spreadsheetml/2006/main" count="83" uniqueCount="77">
  <si>
    <t>DUOL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</si>
  <si>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</si>
  <si>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</si>
  <si>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</si>
  <si>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</si>
  <si>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</si>
  <si>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</si>
  <si>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</si>
  <si>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</si>
  <si>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</si>
  <si>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</si>
  <si>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</si>
  <si>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</si>
  <si>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</si>
  <si>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R&amp;D</t>
  </si>
  <si>
    <t>S&amp;M</t>
  </si>
  <si>
    <t>G&amp;A</t>
  </si>
  <si>
    <t>Total operating expenses</t>
  </si>
  <si>
    <t>Operating profit</t>
  </si>
  <si>
    <t>Other income</t>
  </si>
  <si>
    <t>Pretax profit</t>
  </si>
  <si>
    <t>Taxes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</si>
  <si>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</si>
  <si>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</si>
  <si>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</si>
  <si>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</si>
  <si>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</si>
  <si>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</si>
  <si>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</si>
  <si>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</si>
  <si>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</si>
  <si>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</si>
  <si>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</si>
  <si>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</si>
  <si>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</si>
  <si>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</si>
  <si>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</si>
  <si>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</si>
  <si>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</si>
  <si>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</si>
  <si>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Interest income</t>
  </si>
  <si>
    <t>Q121</t>
  </si>
  <si>
    <t>Q221</t>
  </si>
  <si>
    <t>Q321</t>
  </si>
  <si>
    <t>Q421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</si>
  <si>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</si>
  <si>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</si>
  <si>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</si>
  <si>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</si>
  <si>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</si>
  <si>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</si>
  <si>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</si>
  <si>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Net income</t>
  </si>
  <si>
    <t>FCF</t>
  </si>
  <si>
    <t>CFFO</t>
  </si>
  <si>
    <t>D&amp;A</t>
  </si>
  <si>
    <t>SBC</t>
  </si>
  <si>
    <t>D/R</t>
  </si>
  <si>
    <t>A/R</t>
  </si>
  <si>
    <t>D/C</t>
  </si>
  <si>
    <t>Prepaids</t>
  </si>
  <si>
    <t>A/P</t>
  </si>
  <si>
    <t>A/L</t>
  </si>
  <si>
    <t>Other</t>
  </si>
  <si>
    <t>PP&amp;E</t>
  </si>
  <si>
    <t>Intangibles</t>
  </si>
  <si>
    <t>Total CapEx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</si>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</sst>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22860</xdr:colOff>
      <xdr:row>0</xdr:row>
      <xdr:rowOff>7620</xdr:rowOff>
    </xdr:from>
    <xdr:to>
      <xdr:col>20</xdr:col>
      <xdr:colOff>22860</xdr:colOff>
      <xdr:row>44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F55132-ED7A-021D-8D34-1322C6FE5DE7}"/>
            </a:ext>
          </a:extLst>
        </xdr:cNvPr>
        <xdr:cNvCxnSpPr/>
      </xdr:nvCxnSpPr>
      <xdr:spPr>
        <a:xfrm>
          <a:off x="13091160" y="7620"/>
          <a:ext cx="0" cy="8145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22860</xdr:colOff>
      <xdr:row>0</xdr:row>
      <xdr:rowOff>7620</xdr:rowOff>
    </xdr:from>
    <xdr:to>
      <xdr:col>29</xdr:col>
      <xdr:colOff>22860</xdr:colOff>
      <xdr:row>44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52813AB-D726-0FF1-B87D-C81B196CADA8}"/>
            </a:ext>
          </a:extLst>
        </xdr:cNvPr>
        <xdr:cNvCxnSpPr/>
      </xdr:nvCxnSpPr>
      <xdr:spPr>
        <a:xfrm>
          <a:off x="210159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FDA7-63FF-4543-B3B8-CA8BD33FB716}">
  <dimension ref="B2:G9"/>
  <sheetViews>
    <sheetView workbookViewId="0">
      <selection activeCell="D4" sqref="D4"/>
    </sheetView>
  </sheetViews>
  <sheetFormatPr defaultRowHeight="14.4" x14ac:dyDescent="0.3"/>
  <cols>
    <col min="4" max="4" width="8.88671875" customWidth="1"/>
    <col min="5" max="7" width="13.4414062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278.74</v>
      </c>
      <c r="E3" s="3">
        <v>45909</v>
      </c>
      <c r="F3" s="3">
        <f ca="1">TODAY()</f>
        <v>45909</v>
      </c>
      <c r="G3" s="3">
        <v>45966</v>
      </c>
    </row>
    <row r="4" spans="2:7" x14ac:dyDescent="0.3">
      <c r="C4" t="s">
        <v>2</v>
      </c>
      <c r="D4" s="5">
        <v>45.8</v>
      </c>
      <c r="E4" s="2" t="s">
        <v>37</v>
      </c>
    </row>
    <row r="5" spans="2:7" x14ac:dyDescent="0.3">
      <c r="C5" t="s">
        <v>3</v>
      </c>
      <c r="D5" s="5">
        <f>D3*D4</f>
        <v>12766.291999999999</v>
      </c>
    </row>
    <row r="6" spans="2:7" x14ac:dyDescent="0.3">
      <c r="C6" t="s">
        <v>4</v>
      </c>
      <c r="D6" s="5">
        <f>976.2+121.7</f>
        <v>1097.9000000000001</v>
      </c>
      <c r="E6" s="2" t="s">
        <v>37</v>
      </c>
    </row>
    <row r="7" spans="2:7" x14ac:dyDescent="0.3">
      <c r="C7" t="s">
        <v>5</v>
      </c>
      <c r="D7" s="5">
        <v>0</v>
      </c>
      <c r="E7" s="2" t="s">
        <v>37</v>
      </c>
    </row>
    <row r="8" spans="2:7" x14ac:dyDescent="0.3">
      <c r="C8" t="s">
        <v>6</v>
      </c>
      <c r="D8" s="5">
        <f>D6-D7</f>
        <v>1097.9000000000001</v>
      </c>
    </row>
    <row r="9" spans="2:7" x14ac:dyDescent="0.3">
      <c r="C9" t="s">
        <v>7</v>
      </c>
      <c r="D9" s="5">
        <f>D5-D8</f>
        <v>11668.392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8E88-5DFE-4C14-B33B-D0E125BC477D}">
  <dimension ref="B2:EI51"/>
  <sheetViews>
    <sheetView tabSelected="1" workbookViewId="0">
      <pane xSplit="2" ySplit="2" topLeftCell="AB26" activePane="bottomRight" state="frozen"/>
      <selection pane="topRight" activeCell="C1" sqref="C1"/>
      <selection pane="bottomLeft" activeCell="A3" sqref="A3"/>
      <selection pane="bottomRight" activeCell="AP38" sqref="AP38"/>
    </sheetView>
  </sheetViews>
  <sheetFormatPr defaultRowHeight="14.4" x14ac:dyDescent="0.3"/>
  <cols>
    <col min="2" max="2" width="21.6640625" bestFit="1" customWidth="1"/>
    <col min="3" max="6" width="8.88671875" customWidth="1"/>
    <col min="43" max="43" width="12" bestFit="1" customWidth="1"/>
    <col min="44" max="44" width="16.44140625" bestFit="1" customWidth="1"/>
  </cols>
  <sheetData>
    <row r="2" spans="2:139" x14ac:dyDescent="0.3">
      <c r="C2" s="6" t="s">
        <v>41</v>
      </c>
      <c r="D2" s="6" t="s">
        <v>42</v>
      </c>
      <c r="E2" s="6" t="s">
        <v>43</v>
      </c>
      <c r="F2" s="6" t="s">
        <v>44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6" t="s">
        <v>37</v>
      </c>
      <c r="U2" s="6" t="s">
        <v>38</v>
      </c>
      <c r="V2" s="6" t="s">
        <v>39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2:139" s="1" customFormat="1" x14ac:dyDescent="0.3">
      <c r="B3" s="1" t="s">
        <v>11</v>
      </c>
      <c r="C3" s="8">
        <v>55.4</v>
      </c>
      <c r="D3" s="8">
        <v>58.8</v>
      </c>
      <c r="E3" s="8">
        <v>63.6</v>
      </c>
      <c r="F3" s="8">
        <v>73</v>
      </c>
      <c r="G3" s="8">
        <v>81.2</v>
      </c>
      <c r="H3" s="8">
        <v>88.4</v>
      </c>
      <c r="I3" s="8">
        <v>96.1</v>
      </c>
      <c r="J3" s="8">
        <v>103.8</v>
      </c>
      <c r="K3" s="8">
        <v>115.7</v>
      </c>
      <c r="L3" s="8">
        <v>126.8</v>
      </c>
      <c r="M3" s="8">
        <v>137.6</v>
      </c>
      <c r="N3" s="8">
        <v>151</v>
      </c>
      <c r="O3" s="8">
        <v>167.6</v>
      </c>
      <c r="P3" s="8">
        <v>178.3</v>
      </c>
      <c r="Q3" s="8">
        <v>192.6</v>
      </c>
      <c r="R3" s="8">
        <v>209.6</v>
      </c>
      <c r="S3" s="8">
        <v>230.7</v>
      </c>
      <c r="T3" s="8">
        <v>252.3</v>
      </c>
      <c r="U3" s="8">
        <f>Q3*1.4</f>
        <v>269.64</v>
      </c>
      <c r="V3" s="8">
        <f>R3*1.35</f>
        <v>282.96000000000004</v>
      </c>
      <c r="X3" s="8">
        <v>70.8</v>
      </c>
      <c r="Y3" s="8">
        <v>161.69999999999999</v>
      </c>
      <c r="Z3" s="8">
        <f>SUM(C3:F3)</f>
        <v>250.79999999999998</v>
      </c>
      <c r="AA3" s="8">
        <f>SUM(G3:J3)</f>
        <v>369.50000000000006</v>
      </c>
      <c r="AB3" s="8">
        <f>SUM(K3:N3)</f>
        <v>531.1</v>
      </c>
      <c r="AC3" s="8">
        <f>SUM(O3:R3)</f>
        <v>748.1</v>
      </c>
      <c r="AD3" s="8">
        <f>SUM(S3:V3)</f>
        <v>1035.5999999999999</v>
      </c>
      <c r="AE3" s="8">
        <f>AD3*1.28</f>
        <v>1325.568</v>
      </c>
      <c r="AF3" s="8">
        <f>AE3*1.22</f>
        <v>1617.1929599999999</v>
      </c>
      <c r="AG3" s="8">
        <f>AF3*1.15</f>
        <v>1859.7719039999997</v>
      </c>
      <c r="AH3" s="8">
        <f>AG3*1.1</f>
        <v>2045.7490943999999</v>
      </c>
      <c r="AI3" s="8">
        <f>AH3*1.08</f>
        <v>2209.4090219519999</v>
      </c>
      <c r="AJ3" s="8">
        <f>AI3*1.06</f>
        <v>2341.9735632691199</v>
      </c>
      <c r="AK3" s="8">
        <f>AJ3*1.05</f>
        <v>2459.072241432576</v>
      </c>
      <c r="AL3" s="8">
        <f t="shared" ref="AL3:AN3" si="0">AK3*1.05</f>
        <v>2582.0258535042049</v>
      </c>
      <c r="AM3" s="8">
        <f t="shared" si="0"/>
        <v>2711.1271461794154</v>
      </c>
      <c r="AN3" s="8">
        <f t="shared" si="0"/>
        <v>2846.6835034883861</v>
      </c>
    </row>
    <row r="4" spans="2:139" x14ac:dyDescent="0.3">
      <c r="B4" t="s">
        <v>12</v>
      </c>
      <c r="C4" s="5">
        <v>15</v>
      </c>
      <c r="D4" s="5">
        <v>16.100000000000001</v>
      </c>
      <c r="E4" s="5">
        <v>18.100000000000001</v>
      </c>
      <c r="F4" s="5">
        <v>20</v>
      </c>
      <c r="G4" s="5">
        <v>21.5</v>
      </c>
      <c r="H4" s="5">
        <v>23.9</v>
      </c>
      <c r="I4" s="5">
        <v>26.3</v>
      </c>
      <c r="J4" s="5">
        <v>27.8</v>
      </c>
      <c r="K4" s="5">
        <v>31.5</v>
      </c>
      <c r="L4" s="5">
        <v>33.799999999999997</v>
      </c>
      <c r="M4" s="5">
        <v>36.299999999999997</v>
      </c>
      <c r="N4" s="5">
        <v>40.6</v>
      </c>
      <c r="O4" s="5">
        <v>45.2</v>
      </c>
      <c r="P4" s="5">
        <v>47.3</v>
      </c>
      <c r="Q4" s="5">
        <v>52.2</v>
      </c>
      <c r="R4" s="5">
        <v>58.9</v>
      </c>
      <c r="S4" s="5">
        <v>66.599999999999994</v>
      </c>
      <c r="T4" s="5">
        <v>69.7</v>
      </c>
      <c r="U4" s="5">
        <f t="shared" ref="U4:V4" si="1">U3-U5</f>
        <v>78.195600000000013</v>
      </c>
      <c r="V4" s="5">
        <f t="shared" si="1"/>
        <v>82.058400000000034</v>
      </c>
      <c r="X4" s="5">
        <v>20.7</v>
      </c>
      <c r="Y4" s="5">
        <v>46</v>
      </c>
      <c r="Z4" s="5">
        <f>SUM(C4:F4)</f>
        <v>69.2</v>
      </c>
      <c r="AA4" s="5">
        <f>SUM(G4:J4)</f>
        <v>99.5</v>
      </c>
      <c r="AB4" s="5">
        <f>SUM(K4:N4)</f>
        <v>142.19999999999999</v>
      </c>
      <c r="AC4" s="5">
        <f>SUM(O4:R4)</f>
        <v>203.6</v>
      </c>
      <c r="AD4" s="5">
        <f>SUM(S4:V4)</f>
        <v>296.55400000000009</v>
      </c>
      <c r="AE4" s="5">
        <f>AE3-AE5</f>
        <v>384.41471999999999</v>
      </c>
      <c r="AF4" s="5">
        <f t="shared" ref="AF4:AN4" si="2">AF3-AF5</f>
        <v>468.98595840000007</v>
      </c>
      <c r="AG4" s="5">
        <f t="shared" si="2"/>
        <v>539.33385215999988</v>
      </c>
      <c r="AH4" s="5">
        <f t="shared" si="2"/>
        <v>593.26723737600014</v>
      </c>
      <c r="AI4" s="5">
        <f t="shared" si="2"/>
        <v>640.72861636608013</v>
      </c>
      <c r="AJ4" s="5">
        <f t="shared" si="2"/>
        <v>679.17233334804496</v>
      </c>
      <c r="AK4" s="5">
        <f t="shared" si="2"/>
        <v>713.13095001544707</v>
      </c>
      <c r="AL4" s="5">
        <f t="shared" si="2"/>
        <v>748.78749751621945</v>
      </c>
      <c r="AM4" s="5">
        <f t="shared" si="2"/>
        <v>786.2268723920306</v>
      </c>
      <c r="AN4" s="5">
        <f t="shared" si="2"/>
        <v>825.53821601163213</v>
      </c>
    </row>
    <row r="5" spans="2:139" s="1" customFormat="1" x14ac:dyDescent="0.3">
      <c r="B5" s="1" t="s">
        <v>13</v>
      </c>
      <c r="C5" s="8">
        <f t="shared" ref="C5:T5" si="3">C3-C4</f>
        <v>40.4</v>
      </c>
      <c r="D5" s="8">
        <f t="shared" si="3"/>
        <v>42.699999999999996</v>
      </c>
      <c r="E5" s="8">
        <f t="shared" si="3"/>
        <v>45.5</v>
      </c>
      <c r="F5" s="8">
        <f t="shared" si="3"/>
        <v>53</v>
      </c>
      <c r="G5" s="8">
        <f t="shared" si="3"/>
        <v>59.7</v>
      </c>
      <c r="H5" s="8">
        <f t="shared" si="3"/>
        <v>64.5</v>
      </c>
      <c r="I5" s="8">
        <f t="shared" si="3"/>
        <v>69.8</v>
      </c>
      <c r="J5" s="8">
        <f t="shared" si="3"/>
        <v>76</v>
      </c>
      <c r="K5" s="8">
        <f t="shared" si="3"/>
        <v>84.2</v>
      </c>
      <c r="L5" s="8">
        <f t="shared" si="3"/>
        <v>93</v>
      </c>
      <c r="M5" s="8">
        <f t="shared" si="3"/>
        <v>101.3</v>
      </c>
      <c r="N5" s="8">
        <f t="shared" si="3"/>
        <v>110.4</v>
      </c>
      <c r="O5" s="8">
        <f t="shared" si="3"/>
        <v>122.39999999999999</v>
      </c>
      <c r="P5" s="8">
        <f t="shared" si="3"/>
        <v>131</v>
      </c>
      <c r="Q5" s="8">
        <f t="shared" si="3"/>
        <v>140.39999999999998</v>
      </c>
      <c r="R5" s="8">
        <f t="shared" si="3"/>
        <v>150.69999999999999</v>
      </c>
      <c r="S5" s="8">
        <f t="shared" si="3"/>
        <v>164.1</v>
      </c>
      <c r="T5" s="8">
        <f t="shared" si="3"/>
        <v>182.60000000000002</v>
      </c>
      <c r="U5" s="8">
        <f t="shared" ref="U5:V5" si="4">U3*0.71</f>
        <v>191.44439999999997</v>
      </c>
      <c r="V5" s="8">
        <f t="shared" si="4"/>
        <v>200.9016</v>
      </c>
      <c r="X5" s="8">
        <f t="shared" ref="X5:AD5" si="5">X3-X4</f>
        <v>50.099999999999994</v>
      </c>
      <c r="Y5" s="8">
        <f t="shared" si="5"/>
        <v>115.69999999999999</v>
      </c>
      <c r="Z5" s="8">
        <f t="shared" si="5"/>
        <v>181.59999999999997</v>
      </c>
      <c r="AA5" s="8">
        <f t="shared" si="5"/>
        <v>270.00000000000006</v>
      </c>
      <c r="AB5" s="8">
        <f t="shared" si="5"/>
        <v>388.90000000000003</v>
      </c>
      <c r="AC5" s="8">
        <f t="shared" si="5"/>
        <v>544.5</v>
      </c>
      <c r="AD5" s="8">
        <f t="shared" si="5"/>
        <v>739.04599999999982</v>
      </c>
      <c r="AE5" s="8">
        <f>AE3*0.71</f>
        <v>941.15328</v>
      </c>
      <c r="AF5" s="8">
        <f t="shared" ref="AF5:AN5" si="6">AF3*0.71</f>
        <v>1148.2070015999998</v>
      </c>
      <c r="AG5" s="8">
        <f t="shared" si="6"/>
        <v>1320.4380518399998</v>
      </c>
      <c r="AH5" s="8">
        <f t="shared" si="6"/>
        <v>1452.4818570239997</v>
      </c>
      <c r="AI5" s="8">
        <f t="shared" si="6"/>
        <v>1568.6804055859197</v>
      </c>
      <c r="AJ5" s="8">
        <f t="shared" si="6"/>
        <v>1662.801229921075</v>
      </c>
      <c r="AK5" s="8">
        <f t="shared" si="6"/>
        <v>1745.9412914171289</v>
      </c>
      <c r="AL5" s="8">
        <f t="shared" si="6"/>
        <v>1833.2383559879854</v>
      </c>
      <c r="AM5" s="8">
        <f t="shared" si="6"/>
        <v>1924.9002737873848</v>
      </c>
      <c r="AN5" s="8">
        <f t="shared" si="6"/>
        <v>2021.145287476754</v>
      </c>
    </row>
    <row r="6" spans="2:139" x14ac:dyDescent="0.3">
      <c r="B6" t="s">
        <v>14</v>
      </c>
      <c r="C6" s="5">
        <v>22.5</v>
      </c>
      <c r="D6" s="5">
        <v>21.9</v>
      </c>
      <c r="E6" s="5">
        <v>29.3</v>
      </c>
      <c r="F6" s="5">
        <v>30</v>
      </c>
      <c r="G6" s="5">
        <v>29.8</v>
      </c>
      <c r="H6" s="5">
        <v>34.200000000000003</v>
      </c>
      <c r="I6" s="5">
        <v>42</v>
      </c>
      <c r="J6" s="5">
        <v>44.5</v>
      </c>
      <c r="K6" s="5">
        <v>45.8</v>
      </c>
      <c r="L6" s="5">
        <v>47.9</v>
      </c>
      <c r="M6" s="5">
        <v>50.3</v>
      </c>
      <c r="N6" s="5">
        <v>50.3</v>
      </c>
      <c r="O6" s="5">
        <v>50.9</v>
      </c>
      <c r="P6" s="5">
        <v>55.1</v>
      </c>
      <c r="Q6" s="5">
        <v>62.9</v>
      </c>
      <c r="R6" s="5">
        <v>66.400000000000006</v>
      </c>
      <c r="S6" s="5">
        <v>70.400000000000006</v>
      </c>
      <c r="T6" s="5">
        <v>73.7</v>
      </c>
      <c r="U6" s="5">
        <f>Q6*1.23</f>
        <v>77.36699999999999</v>
      </c>
      <c r="V6" s="5">
        <f>R6*1.22</f>
        <v>81.00800000000001</v>
      </c>
      <c r="X6" s="5">
        <v>31.6</v>
      </c>
      <c r="Y6" s="5">
        <v>53</v>
      </c>
      <c r="Z6" s="5">
        <f>SUM(C6:F6)</f>
        <v>103.7</v>
      </c>
      <c r="AA6" s="5">
        <f>SUM(G6:J6)</f>
        <v>150.5</v>
      </c>
      <c r="AB6" s="5">
        <f>SUM(K6:N6)</f>
        <v>194.3</v>
      </c>
      <c r="AC6" s="5">
        <f>SUM(O6:R6)</f>
        <v>235.3</v>
      </c>
      <c r="AD6" s="5">
        <f>SUM(S6:V6)</f>
        <v>302.47500000000002</v>
      </c>
      <c r="AE6" s="5">
        <f>AD6*1.18</f>
        <v>356.9205</v>
      </c>
      <c r="AF6" s="5">
        <f>AE6*1.12</f>
        <v>399.75096000000002</v>
      </c>
      <c r="AG6" s="5">
        <f>AF6*1.06</f>
        <v>423.73601760000003</v>
      </c>
      <c r="AH6" s="5">
        <f>AG6*1.04</f>
        <v>440.68545830400006</v>
      </c>
      <c r="AI6" s="5">
        <f>AH6*1.03</f>
        <v>453.90602205312007</v>
      </c>
      <c r="AJ6" s="5">
        <f>AI6*1.02</f>
        <v>462.98414249418249</v>
      </c>
      <c r="AK6" s="5">
        <f t="shared" ref="AK6:AN6" si="7">AJ6*1.02</f>
        <v>472.24382534406612</v>
      </c>
      <c r="AL6" s="5">
        <f t="shared" si="7"/>
        <v>481.68870185094744</v>
      </c>
      <c r="AM6" s="5">
        <f t="shared" si="7"/>
        <v>491.32247588796639</v>
      </c>
      <c r="AN6" s="5">
        <f t="shared" si="7"/>
        <v>501.14892540572572</v>
      </c>
    </row>
    <row r="7" spans="2:139" x14ac:dyDescent="0.3">
      <c r="B7" t="s">
        <v>15</v>
      </c>
      <c r="C7" s="5">
        <v>19.8</v>
      </c>
      <c r="D7" s="5">
        <v>9.6</v>
      </c>
      <c r="E7" s="5">
        <v>15.3</v>
      </c>
      <c r="F7" s="5">
        <v>14.5</v>
      </c>
      <c r="G7" s="5">
        <v>14.9</v>
      </c>
      <c r="H7" s="5">
        <v>15.3</v>
      </c>
      <c r="I7" s="5">
        <v>17.7</v>
      </c>
      <c r="J7" s="5">
        <v>19</v>
      </c>
      <c r="K7" s="5">
        <v>16.600000000000001</v>
      </c>
      <c r="L7" s="5">
        <v>17.7</v>
      </c>
      <c r="M7" s="5">
        <v>22.3</v>
      </c>
      <c r="N7" s="5">
        <v>19.100000000000001</v>
      </c>
      <c r="O7" s="5">
        <v>19.899999999999999</v>
      </c>
      <c r="P7" s="5">
        <v>20.2</v>
      </c>
      <c r="Q7" s="5">
        <v>25.6</v>
      </c>
      <c r="R7" s="5">
        <v>24.8</v>
      </c>
      <c r="S7" s="5">
        <v>26.7</v>
      </c>
      <c r="T7" s="5">
        <v>29.6</v>
      </c>
      <c r="U7" s="5">
        <f t="shared" ref="U7:V7" si="8">U3*0.11</f>
        <v>29.660399999999999</v>
      </c>
      <c r="V7" s="5">
        <f t="shared" si="8"/>
        <v>31.125600000000006</v>
      </c>
      <c r="X7" s="5">
        <v>15</v>
      </c>
      <c r="Y7" s="5">
        <v>35</v>
      </c>
      <c r="Z7" s="5">
        <f>SUM(C7:F7)</f>
        <v>59.2</v>
      </c>
      <c r="AA7" s="5">
        <f>SUM(G7:J7)</f>
        <v>66.900000000000006</v>
      </c>
      <c r="AB7" s="5">
        <f>SUM(K7:N7)</f>
        <v>75.699999999999989</v>
      </c>
      <c r="AC7" s="5">
        <f>SUM(O7:R7)</f>
        <v>90.499999999999986</v>
      </c>
      <c r="AD7" s="5">
        <f>SUM(S7:V7)</f>
        <v>117.086</v>
      </c>
      <c r="AE7" s="5">
        <f>AE3*0.1</f>
        <v>132.55680000000001</v>
      </c>
      <c r="AF7" s="5">
        <f>AF3*0.09</f>
        <v>145.54736639999999</v>
      </c>
      <c r="AG7" s="5">
        <f>AG3*0.09</f>
        <v>167.37947135999997</v>
      </c>
      <c r="AH7" s="5">
        <f t="shared" ref="AH7:AN7" si="9">AH3*0.09</f>
        <v>184.11741849599997</v>
      </c>
      <c r="AI7" s="5">
        <f t="shared" si="9"/>
        <v>198.84681197567997</v>
      </c>
      <c r="AJ7" s="5">
        <f t="shared" si="9"/>
        <v>210.77762069422079</v>
      </c>
      <c r="AK7" s="5">
        <f t="shared" si="9"/>
        <v>221.31650172893183</v>
      </c>
      <c r="AL7" s="5">
        <f t="shared" si="9"/>
        <v>232.38232681537843</v>
      </c>
      <c r="AM7" s="5">
        <f t="shared" si="9"/>
        <v>244.00144315614739</v>
      </c>
      <c r="AN7" s="5">
        <f t="shared" si="9"/>
        <v>256.20151531395476</v>
      </c>
    </row>
    <row r="8" spans="2:139" x14ac:dyDescent="0.3">
      <c r="B8" t="s">
        <v>16</v>
      </c>
      <c r="C8" s="5">
        <v>11.5</v>
      </c>
      <c r="D8" s="5">
        <v>11.6</v>
      </c>
      <c r="E8" s="5">
        <v>29.6</v>
      </c>
      <c r="F8" s="5">
        <v>25.9</v>
      </c>
      <c r="G8" s="5">
        <v>26.9</v>
      </c>
      <c r="H8" s="5">
        <v>30.1</v>
      </c>
      <c r="I8" s="5">
        <v>30.2</v>
      </c>
      <c r="J8" s="5">
        <v>30.7</v>
      </c>
      <c r="K8" s="5">
        <v>30.2</v>
      </c>
      <c r="L8" s="5">
        <v>32.200000000000003</v>
      </c>
      <c r="M8" s="5">
        <v>33.4</v>
      </c>
      <c r="N8" s="5">
        <v>36.200000000000003</v>
      </c>
      <c r="O8" s="5">
        <v>35.1</v>
      </c>
      <c r="P8" s="5">
        <v>37</v>
      </c>
      <c r="Q8" s="5">
        <v>38.4</v>
      </c>
      <c r="R8" s="5">
        <v>45.5</v>
      </c>
      <c r="S8" s="5">
        <v>43.5</v>
      </c>
      <c r="T8" s="5">
        <v>46</v>
      </c>
      <c r="U8" s="5">
        <f t="shared" ref="U8" si="10">Q8*1.25</f>
        <v>48</v>
      </c>
      <c r="V8" s="5">
        <f>R8*1.18</f>
        <v>53.69</v>
      </c>
      <c r="X8" s="5">
        <v>16.399999999999999</v>
      </c>
      <c r="Y8" s="5">
        <v>43.7</v>
      </c>
      <c r="Z8" s="5">
        <f>SUM(C8:F8)</f>
        <v>78.599999999999994</v>
      </c>
      <c r="AA8" s="5">
        <f>SUM(G8:J8)</f>
        <v>117.9</v>
      </c>
      <c r="AB8" s="5">
        <f>SUM(K8:N8)</f>
        <v>132</v>
      </c>
      <c r="AC8" s="5">
        <f>SUM(O8:R8)</f>
        <v>156</v>
      </c>
      <c r="AD8" s="5">
        <f>SUM(S8:V8)</f>
        <v>191.19</v>
      </c>
      <c r="AE8" s="5">
        <f>AD8*1.17</f>
        <v>223.69229999999999</v>
      </c>
      <c r="AF8" s="5">
        <f>AE8*1.11</f>
        <v>248.29845300000002</v>
      </c>
      <c r="AG8" s="5">
        <f>AF8*1.07</f>
        <v>265.67934471000007</v>
      </c>
      <c r="AH8" s="5">
        <f>AG8*1.04</f>
        <v>276.30651849840007</v>
      </c>
      <c r="AI8" s="5">
        <f>AH8*1.03</f>
        <v>284.59571405335208</v>
      </c>
      <c r="AJ8" s="5">
        <f>AI8*1.02</f>
        <v>290.28762833441914</v>
      </c>
      <c r="AK8" s="5">
        <f>AJ8*1.01</f>
        <v>293.19050461776334</v>
      </c>
      <c r="AL8" s="5">
        <f t="shared" ref="AL8:AN8" si="11">AK8*1.01</f>
        <v>296.12240966394097</v>
      </c>
      <c r="AM8" s="5">
        <f t="shared" si="11"/>
        <v>299.08363376058037</v>
      </c>
      <c r="AN8" s="5">
        <f t="shared" si="11"/>
        <v>302.07447009818617</v>
      </c>
    </row>
    <row r="9" spans="2:139" x14ac:dyDescent="0.3">
      <c r="B9" t="s">
        <v>17</v>
      </c>
      <c r="C9" s="5">
        <f t="shared" ref="C9:R9" si="12">SUM(C6:C8)</f>
        <v>53.8</v>
      </c>
      <c r="D9" s="5">
        <f t="shared" si="12"/>
        <v>43.1</v>
      </c>
      <c r="E9" s="5">
        <f t="shared" si="12"/>
        <v>74.2</v>
      </c>
      <c r="F9" s="5">
        <f t="shared" si="12"/>
        <v>70.400000000000006</v>
      </c>
      <c r="G9" s="5">
        <f t="shared" si="12"/>
        <v>71.599999999999994</v>
      </c>
      <c r="H9" s="5">
        <f t="shared" si="12"/>
        <v>79.599999999999994</v>
      </c>
      <c r="I9" s="5">
        <f t="shared" si="12"/>
        <v>89.9</v>
      </c>
      <c r="J9" s="5">
        <f t="shared" si="12"/>
        <v>94.2</v>
      </c>
      <c r="K9" s="5">
        <f t="shared" si="12"/>
        <v>92.6</v>
      </c>
      <c r="L9" s="5">
        <f t="shared" si="12"/>
        <v>97.8</v>
      </c>
      <c r="M9" s="5">
        <f t="shared" si="12"/>
        <v>106</v>
      </c>
      <c r="N9" s="5">
        <f t="shared" si="12"/>
        <v>105.60000000000001</v>
      </c>
      <c r="O9" s="5">
        <f t="shared" si="12"/>
        <v>105.9</v>
      </c>
      <c r="P9" s="5">
        <f t="shared" si="12"/>
        <v>112.3</v>
      </c>
      <c r="Q9" s="5">
        <f t="shared" si="12"/>
        <v>126.9</v>
      </c>
      <c r="R9" s="5">
        <f t="shared" si="12"/>
        <v>136.69999999999999</v>
      </c>
      <c r="S9" s="5">
        <f t="shared" ref="S9" si="13">SUM(S6:S8)</f>
        <v>140.60000000000002</v>
      </c>
      <c r="T9" s="5">
        <f t="shared" ref="T9" si="14">SUM(T6:T8)</f>
        <v>149.30000000000001</v>
      </c>
      <c r="U9" s="5">
        <f t="shared" ref="U9" si="15">SUM(U6:U8)</f>
        <v>155.0274</v>
      </c>
      <c r="V9" s="5">
        <f t="shared" ref="V9" si="16">SUM(V6:V8)</f>
        <v>165.8236</v>
      </c>
      <c r="X9" s="5">
        <f t="shared" ref="X9:AD9" si="17">SUM(X6:X8)</f>
        <v>63</v>
      </c>
      <c r="Y9" s="5">
        <f t="shared" si="17"/>
        <v>131.69999999999999</v>
      </c>
      <c r="Z9" s="5">
        <f t="shared" si="17"/>
        <v>241.5</v>
      </c>
      <c r="AA9" s="5">
        <f t="shared" si="17"/>
        <v>335.3</v>
      </c>
      <c r="AB9" s="5">
        <f t="shared" si="17"/>
        <v>402</v>
      </c>
      <c r="AC9" s="5">
        <f t="shared" si="17"/>
        <v>481.8</v>
      </c>
      <c r="AD9" s="5">
        <f t="shared" si="17"/>
        <v>610.75099999999998</v>
      </c>
      <c r="AE9" s="5">
        <f t="shared" ref="AE9" si="18">SUM(AE6:AE8)</f>
        <v>713.16959999999995</v>
      </c>
      <c r="AF9" s="5">
        <f t="shared" ref="AF9" si="19">SUM(AF6:AF8)</f>
        <v>793.59677939999995</v>
      </c>
      <c r="AG9" s="5">
        <f t="shared" ref="AG9" si="20">SUM(AG6:AG8)</f>
        <v>856.79483367000012</v>
      </c>
      <c r="AH9" s="5">
        <f t="shared" ref="AH9" si="21">SUM(AH6:AH8)</f>
        <v>901.10939529840016</v>
      </c>
      <c r="AI9" s="5">
        <f t="shared" ref="AI9" si="22">SUM(AI6:AI8)</f>
        <v>937.34854808215209</v>
      </c>
      <c r="AJ9" s="5">
        <f t="shared" ref="AJ9" si="23">SUM(AJ6:AJ8)</f>
        <v>964.04939152282236</v>
      </c>
      <c r="AK9" s="5">
        <f t="shared" ref="AK9" si="24">SUM(AK6:AK8)</f>
        <v>986.75083169076129</v>
      </c>
      <c r="AL9" s="5">
        <f t="shared" ref="AL9" si="25">SUM(AL6:AL8)</f>
        <v>1010.1934383302669</v>
      </c>
      <c r="AM9" s="5">
        <f t="shared" ref="AM9" si="26">SUM(AM6:AM8)</f>
        <v>1034.4075528046942</v>
      </c>
      <c r="AN9" s="5">
        <f t="shared" ref="AN9" si="27">SUM(AN6:AN8)</f>
        <v>1059.4249108178667</v>
      </c>
    </row>
    <row r="10" spans="2:139" s="1" customFormat="1" x14ac:dyDescent="0.3">
      <c r="B10" s="1" t="s">
        <v>18</v>
      </c>
      <c r="C10" s="8">
        <f t="shared" ref="C10:R10" si="28">C5-C9</f>
        <v>-13.399999999999999</v>
      </c>
      <c r="D10" s="8">
        <f t="shared" si="28"/>
        <v>-0.40000000000000568</v>
      </c>
      <c r="E10" s="8">
        <f t="shared" si="28"/>
        <v>-28.700000000000003</v>
      </c>
      <c r="F10" s="8">
        <f t="shared" si="28"/>
        <v>-17.400000000000006</v>
      </c>
      <c r="G10" s="8">
        <f t="shared" si="28"/>
        <v>-11.899999999999991</v>
      </c>
      <c r="H10" s="8">
        <f t="shared" si="28"/>
        <v>-15.099999999999994</v>
      </c>
      <c r="I10" s="8">
        <f t="shared" si="28"/>
        <v>-20.100000000000009</v>
      </c>
      <c r="J10" s="8">
        <f t="shared" si="28"/>
        <v>-18.200000000000003</v>
      </c>
      <c r="K10" s="8">
        <f t="shared" si="28"/>
        <v>-8.3999999999999915</v>
      </c>
      <c r="L10" s="8">
        <f t="shared" si="28"/>
        <v>-4.7999999999999972</v>
      </c>
      <c r="M10" s="8">
        <f t="shared" si="28"/>
        <v>-4.7000000000000028</v>
      </c>
      <c r="N10" s="8">
        <f t="shared" si="28"/>
        <v>4.7999999999999972</v>
      </c>
      <c r="O10" s="8">
        <f t="shared" si="28"/>
        <v>16.499999999999986</v>
      </c>
      <c r="P10" s="8">
        <f t="shared" si="28"/>
        <v>18.700000000000003</v>
      </c>
      <c r="Q10" s="8">
        <f t="shared" si="28"/>
        <v>13.499999999999972</v>
      </c>
      <c r="R10" s="8">
        <f t="shared" si="28"/>
        <v>14</v>
      </c>
      <c r="S10" s="8">
        <f t="shared" ref="S10" si="29">S5-S9</f>
        <v>23.499999999999972</v>
      </c>
      <c r="T10" s="8">
        <f t="shared" ref="T10" si="30">T5-T9</f>
        <v>33.300000000000011</v>
      </c>
      <c r="U10" s="8">
        <f t="shared" ref="U10" si="31">U5-U9</f>
        <v>36.416999999999973</v>
      </c>
      <c r="V10" s="8">
        <f t="shared" ref="V10" si="32">V5-V9</f>
        <v>35.078000000000003</v>
      </c>
      <c r="X10" s="8">
        <f t="shared" ref="X10:AD10" si="33">X5-X9</f>
        <v>-12.900000000000006</v>
      </c>
      <c r="Y10" s="8">
        <f t="shared" si="33"/>
        <v>-16</v>
      </c>
      <c r="Z10" s="8">
        <f t="shared" si="33"/>
        <v>-59.900000000000034</v>
      </c>
      <c r="AA10" s="8">
        <f t="shared" si="33"/>
        <v>-65.299999999999955</v>
      </c>
      <c r="AB10" s="8">
        <f t="shared" si="33"/>
        <v>-13.099999999999966</v>
      </c>
      <c r="AC10" s="8">
        <f t="shared" si="33"/>
        <v>62.699999999999989</v>
      </c>
      <c r="AD10" s="8">
        <f t="shared" si="33"/>
        <v>128.29499999999985</v>
      </c>
      <c r="AE10" s="8">
        <f t="shared" ref="AE10" si="34">AE5-AE9</f>
        <v>227.98368000000005</v>
      </c>
      <c r="AF10" s="8">
        <f t="shared" ref="AF10" si="35">AF5-AF9</f>
        <v>354.61022219999984</v>
      </c>
      <c r="AG10" s="8">
        <f t="shared" ref="AG10" si="36">AG5-AG9</f>
        <v>463.64321816999973</v>
      </c>
      <c r="AH10" s="8">
        <f t="shared" ref="AH10" si="37">AH5-AH9</f>
        <v>551.37246172559958</v>
      </c>
      <c r="AI10" s="8">
        <f t="shared" ref="AI10" si="38">AI5-AI9</f>
        <v>631.33185750376765</v>
      </c>
      <c r="AJ10" s="8">
        <f t="shared" ref="AJ10" si="39">AJ5-AJ9</f>
        <v>698.75183839825263</v>
      </c>
      <c r="AK10" s="8">
        <f t="shared" ref="AK10" si="40">AK5-AK9</f>
        <v>759.19045972636764</v>
      </c>
      <c r="AL10" s="8">
        <f t="shared" ref="AL10" si="41">AL5-AL9</f>
        <v>823.04491765771854</v>
      </c>
      <c r="AM10" s="8">
        <f t="shared" ref="AM10" si="42">AM5-AM9</f>
        <v>890.49272098269057</v>
      </c>
      <c r="AN10" s="8">
        <f t="shared" ref="AN10" si="43">AN5-AN9</f>
        <v>961.72037665888729</v>
      </c>
    </row>
    <row r="11" spans="2:139" x14ac:dyDescent="0.3">
      <c r="B11" t="s">
        <v>19</v>
      </c>
      <c r="C11" s="5">
        <v>0</v>
      </c>
      <c r="D11" s="5">
        <v>-0.3</v>
      </c>
      <c r="E11" s="5">
        <v>0.2</v>
      </c>
      <c r="F11" s="5">
        <v>0</v>
      </c>
      <c r="G11" s="5">
        <v>0.3</v>
      </c>
      <c r="H11" s="5">
        <v>-0.1</v>
      </c>
      <c r="I11" s="5">
        <v>-1.8</v>
      </c>
      <c r="J11" s="5">
        <v>-0.7</v>
      </c>
      <c r="K11" s="5">
        <v>-0.2</v>
      </c>
      <c r="L11" s="5">
        <v>0.3</v>
      </c>
      <c r="M11" s="5">
        <v>1</v>
      </c>
      <c r="N11" s="5">
        <v>-1.1000000000000001</v>
      </c>
      <c r="O11" s="5">
        <v>0.6</v>
      </c>
      <c r="P11" s="5">
        <v>0.7</v>
      </c>
      <c r="Q11" s="5">
        <v>-0.6</v>
      </c>
      <c r="R11" s="5">
        <v>2.2000000000000002</v>
      </c>
      <c r="S11" s="5">
        <v>-1</v>
      </c>
      <c r="T11" s="5">
        <v>-1.7</v>
      </c>
      <c r="U11" s="5">
        <v>1</v>
      </c>
      <c r="V11" s="5">
        <v>1</v>
      </c>
      <c r="X11" s="5">
        <v>-0.6</v>
      </c>
      <c r="Y11" s="5">
        <v>-0.3</v>
      </c>
      <c r="Z11" s="5">
        <f>SUM(C11:F11)</f>
        <v>-9.9999999999999978E-2</v>
      </c>
      <c r="AA11" s="5">
        <f>SUM(G11:J11)</f>
        <v>-2.2999999999999998</v>
      </c>
      <c r="AB11" s="5">
        <f>SUM(K11:N11)</f>
        <v>0</v>
      </c>
      <c r="AC11" s="5">
        <f>SUM(O11:R11)</f>
        <v>2.9</v>
      </c>
      <c r="AD11" s="5">
        <f>SUM(S11:V11)</f>
        <v>-0.70000000000000018</v>
      </c>
      <c r="AE11" s="5">
        <f>AD11*1.05</f>
        <v>-0.73500000000000021</v>
      </c>
      <c r="AF11" s="5">
        <f t="shared" ref="AF11:AN11" si="44">AE11*1.05</f>
        <v>-0.77175000000000027</v>
      </c>
      <c r="AG11" s="5">
        <f t="shared" si="44"/>
        <v>-0.81033750000000027</v>
      </c>
      <c r="AH11" s="5">
        <f t="shared" si="44"/>
        <v>-0.85085437500000027</v>
      </c>
      <c r="AI11" s="5">
        <f t="shared" si="44"/>
        <v>-0.89339709375000032</v>
      </c>
      <c r="AJ11" s="5">
        <f t="shared" si="44"/>
        <v>-0.93806694843750038</v>
      </c>
      <c r="AK11" s="5">
        <f t="shared" si="44"/>
        <v>-0.98497029585937546</v>
      </c>
      <c r="AL11" s="5">
        <f t="shared" si="44"/>
        <v>-1.0342188106523442</v>
      </c>
      <c r="AM11" s="5">
        <f t="shared" si="44"/>
        <v>-1.0859297511849615</v>
      </c>
      <c r="AN11" s="5">
        <f t="shared" si="44"/>
        <v>-1.1402262387442097</v>
      </c>
    </row>
    <row r="12" spans="2:139" x14ac:dyDescent="0.3">
      <c r="B12" t="s">
        <v>40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-4.3</v>
      </c>
      <c r="K12" s="5">
        <v>-5.6</v>
      </c>
      <c r="L12" s="5">
        <v>-7.5</v>
      </c>
      <c r="M12" s="5">
        <v>-8.6</v>
      </c>
      <c r="N12" s="5">
        <v>-9.3000000000000007</v>
      </c>
      <c r="O12" s="5">
        <v>-10</v>
      </c>
      <c r="P12" s="5">
        <v>-10.7</v>
      </c>
      <c r="Q12" s="5">
        <v>-11.2</v>
      </c>
      <c r="R12" s="5">
        <v>-10.7</v>
      </c>
      <c r="S12" s="5">
        <v>-10.4</v>
      </c>
      <c r="T12" s="5">
        <v>-11.4</v>
      </c>
      <c r="U12" s="5">
        <f t="shared" ref="U12:V12" si="45">Q12*1.05</f>
        <v>-11.76</v>
      </c>
      <c r="V12" s="5">
        <f t="shared" si="45"/>
        <v>-11.234999999999999</v>
      </c>
      <c r="X12" s="5">
        <v>0</v>
      </c>
      <c r="Y12" s="5">
        <v>0</v>
      </c>
      <c r="Z12" s="5">
        <f>SUM(C12:F12)</f>
        <v>0</v>
      </c>
      <c r="AA12" s="5">
        <f>SUM(G12:J12)</f>
        <v>-4.3</v>
      </c>
      <c r="AB12" s="5">
        <f>SUM(K12:N12)</f>
        <v>-31</v>
      </c>
      <c r="AC12" s="5">
        <f>SUM(O12:R12)</f>
        <v>-42.599999999999994</v>
      </c>
      <c r="AD12" s="5">
        <f>SUM(S12:V12)</f>
        <v>-44.795000000000002</v>
      </c>
      <c r="AE12" s="5">
        <f>AD12*1.05</f>
        <v>-47.034750000000003</v>
      </c>
      <c r="AF12" s="5">
        <f t="shared" ref="AF12:AN12" si="46">AE12*1.05</f>
        <v>-49.386487500000001</v>
      </c>
      <c r="AG12" s="5">
        <f t="shared" si="46"/>
        <v>-51.855811875000001</v>
      </c>
      <c r="AH12" s="5">
        <f t="shared" si="46"/>
        <v>-54.448602468750003</v>
      </c>
      <c r="AI12" s="5">
        <f t="shared" si="46"/>
        <v>-57.171032592187508</v>
      </c>
      <c r="AJ12" s="5">
        <f t="shared" si="46"/>
        <v>-60.029584221796888</v>
      </c>
      <c r="AK12" s="5">
        <f t="shared" si="46"/>
        <v>-63.031063432886732</v>
      </c>
      <c r="AL12" s="5">
        <f t="shared" si="46"/>
        <v>-66.182616604531077</v>
      </c>
      <c r="AM12" s="5">
        <f t="shared" si="46"/>
        <v>-69.491747434757627</v>
      </c>
      <c r="AN12" s="5">
        <f t="shared" si="46"/>
        <v>-72.96633480649551</v>
      </c>
    </row>
    <row r="13" spans="2:139" s="1" customFormat="1" x14ac:dyDescent="0.3">
      <c r="B13" s="1" t="s">
        <v>20</v>
      </c>
      <c r="C13" s="8">
        <f t="shared" ref="C13:R13" si="47">C10-C11-C12</f>
        <v>-13.399999999999999</v>
      </c>
      <c r="D13" s="8">
        <f t="shared" si="47"/>
        <v>-0.1000000000000057</v>
      </c>
      <c r="E13" s="8">
        <f t="shared" si="47"/>
        <v>-28.900000000000002</v>
      </c>
      <c r="F13" s="8">
        <f t="shared" si="47"/>
        <v>-17.400000000000006</v>
      </c>
      <c r="G13" s="8">
        <f t="shared" si="47"/>
        <v>-12.199999999999992</v>
      </c>
      <c r="H13" s="8">
        <f t="shared" si="47"/>
        <v>-14.999999999999995</v>
      </c>
      <c r="I13" s="8">
        <f t="shared" si="47"/>
        <v>-18.300000000000008</v>
      </c>
      <c r="J13" s="8">
        <f t="shared" si="47"/>
        <v>-13.200000000000003</v>
      </c>
      <c r="K13" s="8">
        <f t="shared" si="47"/>
        <v>-2.5999999999999925</v>
      </c>
      <c r="L13" s="8">
        <f t="shared" si="47"/>
        <v>2.400000000000003</v>
      </c>
      <c r="M13" s="8">
        <f t="shared" si="47"/>
        <v>2.8999999999999968</v>
      </c>
      <c r="N13" s="8">
        <f t="shared" si="47"/>
        <v>15.199999999999998</v>
      </c>
      <c r="O13" s="8">
        <f t="shared" si="47"/>
        <v>25.899999999999984</v>
      </c>
      <c r="P13" s="8">
        <f t="shared" si="47"/>
        <v>28.700000000000003</v>
      </c>
      <c r="Q13" s="8">
        <f t="shared" si="47"/>
        <v>25.299999999999969</v>
      </c>
      <c r="R13" s="8">
        <f t="shared" si="47"/>
        <v>22.5</v>
      </c>
      <c r="S13" s="8">
        <f t="shared" ref="S13" si="48">S10-S11-S12</f>
        <v>34.89999999999997</v>
      </c>
      <c r="T13" s="8">
        <f t="shared" ref="T13" si="49">T10-T11-T12</f>
        <v>46.400000000000013</v>
      </c>
      <c r="U13" s="8">
        <f t="shared" ref="U13" si="50">U10-U11-U12</f>
        <v>47.176999999999971</v>
      </c>
      <c r="V13" s="8">
        <f t="shared" ref="V13" si="51">V10-V11-V12</f>
        <v>45.313000000000002</v>
      </c>
      <c r="X13" s="8">
        <f t="shared" ref="X13:AE13" si="52">X10-X11-X12</f>
        <v>-12.300000000000006</v>
      </c>
      <c r="Y13" s="8">
        <f t="shared" si="52"/>
        <v>-15.7</v>
      </c>
      <c r="Z13" s="8">
        <f t="shared" si="52"/>
        <v>-59.800000000000033</v>
      </c>
      <c r="AA13" s="8">
        <f t="shared" si="52"/>
        <v>-58.69999999999996</v>
      </c>
      <c r="AB13" s="8">
        <f t="shared" si="52"/>
        <v>17.900000000000034</v>
      </c>
      <c r="AC13" s="8">
        <f t="shared" si="52"/>
        <v>102.39999999999998</v>
      </c>
      <c r="AD13" s="8">
        <f t="shared" si="52"/>
        <v>173.78999999999985</v>
      </c>
      <c r="AE13" s="8">
        <f t="shared" si="52"/>
        <v>275.75343000000009</v>
      </c>
      <c r="AF13" s="8">
        <f t="shared" ref="AF13" si="53">AF10-AF11-AF12</f>
        <v>404.76845969999982</v>
      </c>
      <c r="AG13" s="8">
        <f t="shared" ref="AG13" si="54">AG10-AG11-AG12</f>
        <v>516.30936754499976</v>
      </c>
      <c r="AH13" s="8">
        <f t="shared" ref="AH13" si="55">AH10-AH11-AH12</f>
        <v>606.6719185693496</v>
      </c>
      <c r="AI13" s="8">
        <f t="shared" ref="AI13" si="56">AI10-AI11-AI12</f>
        <v>689.39628718970516</v>
      </c>
      <c r="AJ13" s="8">
        <f t="shared" ref="AJ13" si="57">AJ10-AJ11-AJ12</f>
        <v>759.71948956848701</v>
      </c>
      <c r="AK13" s="8">
        <f t="shared" ref="AK13" si="58">AK10-AK11-AK12</f>
        <v>823.20649345511379</v>
      </c>
      <c r="AL13" s="8">
        <f t="shared" ref="AL13" si="59">AL10-AL11-AL12</f>
        <v>890.26175307290191</v>
      </c>
      <c r="AM13" s="8">
        <f t="shared" ref="AM13" si="60">AM10-AM11-AM12</f>
        <v>961.07039816863312</v>
      </c>
      <c r="AN13" s="8">
        <f t="shared" ref="AN13" si="61">AN10-AN11-AN12</f>
        <v>1035.826937704127</v>
      </c>
    </row>
    <row r="14" spans="2:139" x14ac:dyDescent="0.3">
      <c r="B14" t="s">
        <v>21</v>
      </c>
      <c r="C14" s="5">
        <v>0</v>
      </c>
      <c r="D14" s="5">
        <v>0</v>
      </c>
      <c r="E14" s="5">
        <v>0.1</v>
      </c>
      <c r="F14" s="5">
        <v>0.1</v>
      </c>
      <c r="G14" s="5">
        <v>0</v>
      </c>
      <c r="H14" s="5">
        <v>0.1</v>
      </c>
      <c r="I14" s="5">
        <v>0.1</v>
      </c>
      <c r="J14" s="5">
        <v>0.7</v>
      </c>
      <c r="K14" s="5">
        <v>-0.1</v>
      </c>
      <c r="L14" s="5">
        <v>-1.3</v>
      </c>
      <c r="M14" s="5">
        <v>0.1</v>
      </c>
      <c r="N14" s="5">
        <v>3</v>
      </c>
      <c r="O14" s="5">
        <v>-1.1000000000000001</v>
      </c>
      <c r="P14" s="5">
        <v>4.4000000000000004</v>
      </c>
      <c r="Q14" s="5">
        <v>2</v>
      </c>
      <c r="R14" s="5">
        <v>8.4</v>
      </c>
      <c r="S14" s="5">
        <v>-0.1</v>
      </c>
      <c r="T14" s="5">
        <v>1.7</v>
      </c>
      <c r="U14" s="5">
        <f t="shared" ref="U14:V14" si="62">U13*0.15</f>
        <v>7.0765499999999957</v>
      </c>
      <c r="V14" s="5">
        <f t="shared" si="62"/>
        <v>6.7969499999999998</v>
      </c>
      <c r="X14" s="5">
        <v>0</v>
      </c>
      <c r="Y14" s="5">
        <v>0.1</v>
      </c>
      <c r="Z14" s="5">
        <f>SUM(C14:F14)</f>
        <v>0.2</v>
      </c>
      <c r="AA14" s="5">
        <f>SUM(G14:J14)</f>
        <v>0.89999999999999991</v>
      </c>
      <c r="AB14" s="5">
        <f>SUM(K14:N14)</f>
        <v>1.7</v>
      </c>
      <c r="AC14" s="5">
        <f>SUM(O14:R14)</f>
        <v>13.700000000000001</v>
      </c>
      <c r="AD14" s="5">
        <f>SUM(S14:V14)</f>
        <v>15.473499999999994</v>
      </c>
      <c r="AE14" s="5">
        <f>AE13*0.15</f>
        <v>41.363014500000013</v>
      </c>
      <c r="AF14" s="5">
        <f t="shared" ref="AF14:AN14" si="63">AF13*0.15</f>
        <v>60.715268954999971</v>
      </c>
      <c r="AG14" s="5">
        <f t="shared" si="63"/>
        <v>77.446405131749955</v>
      </c>
      <c r="AH14" s="5">
        <f t="shared" si="63"/>
        <v>91.000787785402437</v>
      </c>
      <c r="AI14" s="5">
        <f t="shared" si="63"/>
        <v>103.40944307845577</v>
      </c>
      <c r="AJ14" s="5">
        <f t="shared" si="63"/>
        <v>113.95792343527305</v>
      </c>
      <c r="AK14" s="5">
        <f t="shared" si="63"/>
        <v>123.48097401826706</v>
      </c>
      <c r="AL14" s="5">
        <f t="shared" si="63"/>
        <v>133.53926296093528</v>
      </c>
      <c r="AM14" s="5">
        <f t="shared" si="63"/>
        <v>144.16055972529497</v>
      </c>
      <c r="AN14" s="5">
        <f t="shared" si="63"/>
        <v>155.37404065561904</v>
      </c>
    </row>
    <row r="15" spans="2:139" s="1" customFormat="1" x14ac:dyDescent="0.3">
      <c r="B15" s="1" t="s">
        <v>22</v>
      </c>
      <c r="C15" s="8">
        <f t="shared" ref="C15:R15" si="64">C13-C14</f>
        <v>-13.399999999999999</v>
      </c>
      <c r="D15" s="8">
        <f t="shared" si="64"/>
        <v>-0.1000000000000057</v>
      </c>
      <c r="E15" s="8">
        <f t="shared" si="64"/>
        <v>-29.000000000000004</v>
      </c>
      <c r="F15" s="8">
        <f t="shared" si="64"/>
        <v>-17.500000000000007</v>
      </c>
      <c r="G15" s="8">
        <f t="shared" si="64"/>
        <v>-12.199999999999992</v>
      </c>
      <c r="H15" s="8">
        <f t="shared" si="64"/>
        <v>-15.099999999999994</v>
      </c>
      <c r="I15" s="8">
        <f t="shared" si="64"/>
        <v>-18.400000000000009</v>
      </c>
      <c r="J15" s="8">
        <f t="shared" si="64"/>
        <v>-13.900000000000002</v>
      </c>
      <c r="K15" s="8">
        <f t="shared" si="64"/>
        <v>-2.4999999999999925</v>
      </c>
      <c r="L15" s="8">
        <f t="shared" si="64"/>
        <v>3.7000000000000028</v>
      </c>
      <c r="M15" s="8">
        <f t="shared" si="64"/>
        <v>2.7999999999999967</v>
      </c>
      <c r="N15" s="8">
        <f t="shared" si="64"/>
        <v>12.199999999999998</v>
      </c>
      <c r="O15" s="8">
        <f t="shared" si="64"/>
        <v>26.999999999999986</v>
      </c>
      <c r="P15" s="8">
        <f t="shared" si="64"/>
        <v>24.300000000000004</v>
      </c>
      <c r="Q15" s="8">
        <f t="shared" si="64"/>
        <v>23.299999999999969</v>
      </c>
      <c r="R15" s="8">
        <f t="shared" si="64"/>
        <v>14.1</v>
      </c>
      <c r="S15" s="8">
        <f t="shared" ref="S15" si="65">S13-S14</f>
        <v>34.999999999999972</v>
      </c>
      <c r="T15" s="8">
        <f t="shared" ref="T15" si="66">T13-T14</f>
        <v>44.70000000000001</v>
      </c>
      <c r="U15" s="8">
        <f t="shared" ref="U15" si="67">U13-U14</f>
        <v>40.100449999999974</v>
      </c>
      <c r="V15" s="8">
        <f t="shared" ref="V15" si="68">V13-V14</f>
        <v>38.51605</v>
      </c>
      <c r="X15" s="8">
        <f t="shared" ref="X15:AE15" si="69">X13-X14</f>
        <v>-12.300000000000006</v>
      </c>
      <c r="Y15" s="8">
        <f t="shared" si="69"/>
        <v>-15.799999999999999</v>
      </c>
      <c r="Z15" s="8">
        <f t="shared" si="69"/>
        <v>-60.000000000000036</v>
      </c>
      <c r="AA15" s="8">
        <f t="shared" si="69"/>
        <v>-59.599999999999959</v>
      </c>
      <c r="AB15" s="8">
        <f t="shared" si="69"/>
        <v>16.200000000000035</v>
      </c>
      <c r="AC15" s="8">
        <f t="shared" si="69"/>
        <v>88.699999999999974</v>
      </c>
      <c r="AD15" s="8">
        <f t="shared" si="69"/>
        <v>158.31649999999985</v>
      </c>
      <c r="AE15" s="8">
        <f t="shared" si="69"/>
        <v>234.39041550000007</v>
      </c>
      <c r="AF15" s="8">
        <f t="shared" ref="AF15" si="70">AF13-AF14</f>
        <v>344.05319074499982</v>
      </c>
      <c r="AG15" s="8">
        <f t="shared" ref="AG15" si="71">AG13-AG14</f>
        <v>438.86296241324982</v>
      </c>
      <c r="AH15" s="8">
        <f t="shared" ref="AH15" si="72">AH13-AH14</f>
        <v>515.67113078394721</v>
      </c>
      <c r="AI15" s="8">
        <f t="shared" ref="AI15" si="73">AI13-AI14</f>
        <v>585.98684411124941</v>
      </c>
      <c r="AJ15" s="8">
        <f t="shared" ref="AJ15" si="74">AJ13-AJ14</f>
        <v>645.76156613321393</v>
      </c>
      <c r="AK15" s="8">
        <f t="shared" ref="AK15" si="75">AK13-AK14</f>
        <v>699.72551943684675</v>
      </c>
      <c r="AL15" s="8">
        <f t="shared" ref="AL15" si="76">AL13-AL14</f>
        <v>756.72249011196664</v>
      </c>
      <c r="AM15" s="8">
        <f t="shared" ref="AM15" si="77">AM13-AM14</f>
        <v>816.90983844333812</v>
      </c>
      <c r="AN15" s="8">
        <f t="shared" ref="AN15" si="78">AN13-AN14</f>
        <v>880.45289704850791</v>
      </c>
      <c r="AO15" s="1">
        <f>AN15*(1+$AR$21)</f>
        <v>871.64836807802283</v>
      </c>
      <c r="AP15" s="1">
        <f t="shared" ref="AP15:DA15" si="79">AO15*(1+$AR$21)</f>
        <v>862.93188439724258</v>
      </c>
      <c r="AQ15" s="1">
        <f t="shared" si="79"/>
        <v>854.30256555327014</v>
      </c>
      <c r="AR15" s="1">
        <f t="shared" si="79"/>
        <v>845.75953989773745</v>
      </c>
      <c r="AS15" s="1">
        <f t="shared" si="79"/>
        <v>837.30194449876012</v>
      </c>
      <c r="AT15" s="1">
        <f t="shared" si="79"/>
        <v>828.92892505377256</v>
      </c>
      <c r="AU15" s="1">
        <f t="shared" si="79"/>
        <v>820.6396358032348</v>
      </c>
      <c r="AV15" s="1">
        <f t="shared" si="79"/>
        <v>812.43323944520239</v>
      </c>
      <c r="AW15" s="1">
        <f t="shared" si="79"/>
        <v>804.30890705075035</v>
      </c>
      <c r="AX15" s="1">
        <f t="shared" si="79"/>
        <v>796.26581798024279</v>
      </c>
      <c r="AY15" s="1">
        <f t="shared" si="79"/>
        <v>788.30315980044031</v>
      </c>
      <c r="AZ15" s="1">
        <f t="shared" si="79"/>
        <v>780.42012820243588</v>
      </c>
      <c r="BA15" s="1">
        <f t="shared" si="79"/>
        <v>772.61592692041154</v>
      </c>
      <c r="BB15" s="1">
        <f t="shared" si="79"/>
        <v>764.88976765120742</v>
      </c>
      <c r="BC15" s="1">
        <f t="shared" si="79"/>
        <v>757.24086997469533</v>
      </c>
      <c r="BD15" s="1">
        <f t="shared" si="79"/>
        <v>749.66846127494841</v>
      </c>
      <c r="BE15" s="1">
        <f t="shared" si="79"/>
        <v>742.17177666219891</v>
      </c>
      <c r="BF15" s="1">
        <f t="shared" si="79"/>
        <v>734.7500588955769</v>
      </c>
      <c r="BG15" s="1">
        <f t="shared" si="79"/>
        <v>727.40255830662113</v>
      </c>
      <c r="BH15" s="1">
        <f t="shared" si="79"/>
        <v>720.12853272355494</v>
      </c>
      <c r="BI15" s="1">
        <f t="shared" si="79"/>
        <v>712.92724739631933</v>
      </c>
      <c r="BJ15" s="1">
        <f t="shared" si="79"/>
        <v>705.79797492235616</v>
      </c>
      <c r="BK15" s="1">
        <f t="shared" si="79"/>
        <v>698.73999517313257</v>
      </c>
      <c r="BL15" s="1">
        <f t="shared" si="79"/>
        <v>691.75259522140129</v>
      </c>
      <c r="BM15" s="1">
        <f t="shared" si="79"/>
        <v>684.83506926918733</v>
      </c>
      <c r="BN15" s="1">
        <f t="shared" si="79"/>
        <v>677.98671857649549</v>
      </c>
      <c r="BO15" s="1">
        <f t="shared" si="79"/>
        <v>671.20685139073055</v>
      </c>
      <c r="BP15" s="1">
        <f t="shared" si="79"/>
        <v>664.49478287682325</v>
      </c>
      <c r="BQ15" s="1">
        <f t="shared" si="79"/>
        <v>657.84983504805496</v>
      </c>
      <c r="BR15" s="1">
        <f t="shared" si="79"/>
        <v>651.27133669757438</v>
      </c>
      <c r="BS15" s="1">
        <f t="shared" si="79"/>
        <v>644.75862333059865</v>
      </c>
      <c r="BT15" s="1">
        <f t="shared" si="79"/>
        <v>638.31103709729268</v>
      </c>
      <c r="BU15" s="1">
        <f t="shared" si="79"/>
        <v>631.9279267263197</v>
      </c>
      <c r="BV15" s="1">
        <f t="shared" si="79"/>
        <v>625.60864745905644</v>
      </c>
      <c r="BW15" s="1">
        <f t="shared" si="79"/>
        <v>619.35256098446587</v>
      </c>
      <c r="BX15" s="1">
        <f t="shared" si="79"/>
        <v>613.15903537462123</v>
      </c>
      <c r="BY15" s="1">
        <f t="shared" si="79"/>
        <v>607.02744502087501</v>
      </c>
      <c r="BZ15" s="1">
        <f t="shared" si="79"/>
        <v>600.95717057066622</v>
      </c>
      <c r="CA15" s="1">
        <f t="shared" si="79"/>
        <v>594.94759886495956</v>
      </c>
      <c r="CB15" s="1">
        <f t="shared" si="79"/>
        <v>588.99812287630994</v>
      </c>
      <c r="CC15" s="1">
        <f t="shared" si="79"/>
        <v>583.10814164754686</v>
      </c>
      <c r="CD15" s="1">
        <f t="shared" si="79"/>
        <v>577.27706023107135</v>
      </c>
      <c r="CE15" s="1">
        <f t="shared" si="79"/>
        <v>571.5042896287606</v>
      </c>
      <c r="CF15" s="1">
        <f t="shared" si="79"/>
        <v>565.78924673247298</v>
      </c>
      <c r="CG15" s="1">
        <f t="shared" si="79"/>
        <v>560.13135426514827</v>
      </c>
      <c r="CH15" s="1">
        <f t="shared" si="79"/>
        <v>554.53004072249678</v>
      </c>
      <c r="CI15" s="1">
        <f t="shared" si="79"/>
        <v>548.98474031527178</v>
      </c>
      <c r="CJ15" s="1">
        <f t="shared" si="79"/>
        <v>543.4948929121191</v>
      </c>
      <c r="CK15" s="1">
        <f t="shared" si="79"/>
        <v>538.05994398299788</v>
      </c>
      <c r="CL15" s="1">
        <f t="shared" si="79"/>
        <v>532.67934454316787</v>
      </c>
      <c r="CM15" s="1">
        <f t="shared" si="79"/>
        <v>527.35255109773618</v>
      </c>
      <c r="CN15" s="1">
        <f t="shared" si="79"/>
        <v>522.0790255867588</v>
      </c>
      <c r="CO15" s="1">
        <f t="shared" si="79"/>
        <v>516.85823533089126</v>
      </c>
      <c r="CP15" s="1">
        <f t="shared" si="79"/>
        <v>511.68965297758234</v>
      </c>
      <c r="CQ15" s="1">
        <f t="shared" si="79"/>
        <v>506.57275644780651</v>
      </c>
      <c r="CR15" s="1">
        <f t="shared" si="79"/>
        <v>501.50702888332842</v>
      </c>
      <c r="CS15" s="1">
        <f t="shared" si="79"/>
        <v>496.49195859449515</v>
      </c>
      <c r="CT15" s="1">
        <f t="shared" si="79"/>
        <v>491.52703900855016</v>
      </c>
      <c r="CU15" s="1">
        <f t="shared" si="79"/>
        <v>486.61176861846468</v>
      </c>
      <c r="CV15" s="1">
        <f t="shared" si="79"/>
        <v>481.74565093228006</v>
      </c>
      <c r="CW15" s="1">
        <f t="shared" si="79"/>
        <v>476.92819442295723</v>
      </c>
      <c r="CX15" s="1">
        <f t="shared" si="79"/>
        <v>472.15891247872764</v>
      </c>
      <c r="CY15" s="1">
        <f t="shared" si="79"/>
        <v>467.43732335394037</v>
      </c>
      <c r="CZ15" s="1">
        <f t="shared" si="79"/>
        <v>462.76295012040094</v>
      </c>
      <c r="DA15" s="1">
        <f t="shared" si="79"/>
        <v>458.13532061919693</v>
      </c>
      <c r="DB15" s="1">
        <f t="shared" ref="DB15:EI15" si="80">DA15*(1+$AR$21)</f>
        <v>453.55396741300495</v>
      </c>
      <c r="DC15" s="1">
        <f t="shared" si="80"/>
        <v>449.01842773887489</v>
      </c>
      <c r="DD15" s="1">
        <f t="shared" si="80"/>
        <v>444.52824346148611</v>
      </c>
      <c r="DE15" s="1">
        <f t="shared" si="80"/>
        <v>440.08296102687126</v>
      </c>
      <c r="DF15" s="1">
        <f t="shared" si="80"/>
        <v>435.68213141660254</v>
      </c>
      <c r="DG15" s="1">
        <f t="shared" si="80"/>
        <v>431.3253101024365</v>
      </c>
      <c r="DH15" s="1">
        <f t="shared" si="80"/>
        <v>427.01205700141213</v>
      </c>
      <c r="DI15" s="1">
        <f t="shared" si="80"/>
        <v>422.74193643139802</v>
      </c>
      <c r="DJ15" s="1">
        <f t="shared" si="80"/>
        <v>418.51451706708406</v>
      </c>
      <c r="DK15" s="1">
        <f t="shared" si="80"/>
        <v>414.32937189641319</v>
      </c>
      <c r="DL15" s="1">
        <f t="shared" si="80"/>
        <v>410.18607817744908</v>
      </c>
      <c r="DM15" s="1">
        <f t="shared" si="80"/>
        <v>406.08421739567456</v>
      </c>
      <c r="DN15" s="1">
        <f t="shared" si="80"/>
        <v>402.0233752217178</v>
      </c>
      <c r="DO15" s="1">
        <f t="shared" si="80"/>
        <v>398.00314146950063</v>
      </c>
      <c r="DP15" s="1">
        <f t="shared" si="80"/>
        <v>394.02311005480561</v>
      </c>
      <c r="DQ15" s="1">
        <f t="shared" si="80"/>
        <v>390.08287895425758</v>
      </c>
      <c r="DR15" s="1">
        <f t="shared" si="80"/>
        <v>386.18205016471501</v>
      </c>
      <c r="DS15" s="1">
        <f t="shared" si="80"/>
        <v>382.32022966306783</v>
      </c>
      <c r="DT15" s="1">
        <f t="shared" si="80"/>
        <v>378.49702736643718</v>
      </c>
      <c r="DU15" s="1">
        <f t="shared" si="80"/>
        <v>374.7120570927728</v>
      </c>
      <c r="DV15" s="1">
        <f t="shared" si="80"/>
        <v>370.96493652184506</v>
      </c>
      <c r="DW15" s="1">
        <f t="shared" si="80"/>
        <v>367.25528715662659</v>
      </c>
      <c r="DX15" s="1">
        <f t="shared" si="80"/>
        <v>363.58273428506033</v>
      </c>
      <c r="DY15" s="1">
        <f t="shared" si="80"/>
        <v>359.94690694220969</v>
      </c>
      <c r="DZ15" s="1">
        <f t="shared" si="80"/>
        <v>356.34743787278757</v>
      </c>
      <c r="EA15" s="1">
        <f t="shared" si="80"/>
        <v>352.78396349405966</v>
      </c>
      <c r="EB15" s="1">
        <f t="shared" si="80"/>
        <v>349.25612385911904</v>
      </c>
      <c r="EC15" s="1">
        <f t="shared" si="80"/>
        <v>345.76356262052786</v>
      </c>
      <c r="ED15" s="1">
        <f t="shared" si="80"/>
        <v>342.30592699432259</v>
      </c>
      <c r="EE15" s="1">
        <f t="shared" si="80"/>
        <v>338.88286772437937</v>
      </c>
      <c r="EF15" s="1">
        <f t="shared" si="80"/>
        <v>335.49403904713557</v>
      </c>
      <c r="EG15" s="1">
        <f t="shared" si="80"/>
        <v>332.1390986566642</v>
      </c>
      <c r="EH15" s="1">
        <f t="shared" si="80"/>
        <v>328.81770767009755</v>
      </c>
      <c r="EI15" s="1">
        <f t="shared" si="80"/>
        <v>325.52953059339654</v>
      </c>
    </row>
    <row r="16" spans="2:139" x14ac:dyDescent="0.3">
      <c r="B16" t="s">
        <v>2</v>
      </c>
      <c r="C16" s="5">
        <v>44.9</v>
      </c>
      <c r="D16" s="5">
        <v>44.9</v>
      </c>
      <c r="E16" s="5">
        <v>44.9</v>
      </c>
      <c r="F16" s="5">
        <v>44.9</v>
      </c>
      <c r="G16" s="5">
        <v>44.9</v>
      </c>
      <c r="H16" s="5">
        <v>44.9</v>
      </c>
      <c r="I16" s="5">
        <v>44.9</v>
      </c>
      <c r="J16" s="5">
        <v>44.9</v>
      </c>
      <c r="K16" s="5">
        <v>44.9</v>
      </c>
      <c r="L16" s="5">
        <v>44.9</v>
      </c>
      <c r="M16" s="5">
        <v>44.9</v>
      </c>
      <c r="N16" s="5">
        <v>44.9</v>
      </c>
      <c r="O16" s="5">
        <v>44.9</v>
      </c>
      <c r="P16" s="5">
        <v>44.9</v>
      </c>
      <c r="Q16" s="5">
        <v>44.9</v>
      </c>
      <c r="R16" s="5">
        <v>44.9</v>
      </c>
      <c r="S16" s="5">
        <f>39.3+6.2</f>
        <v>45.5</v>
      </c>
      <c r="T16" s="5">
        <v>45.8</v>
      </c>
      <c r="U16" s="5">
        <v>45.8</v>
      </c>
      <c r="V16" s="5">
        <v>45.8</v>
      </c>
      <c r="X16" s="5">
        <v>44.9</v>
      </c>
      <c r="Y16" s="5">
        <v>44.9</v>
      </c>
      <c r="Z16" s="5">
        <v>44.9</v>
      </c>
      <c r="AA16" s="5">
        <v>44.9</v>
      </c>
      <c r="AB16" s="5">
        <v>44.9</v>
      </c>
      <c r="AC16" s="5">
        <v>44.9</v>
      </c>
      <c r="AD16" s="5">
        <v>45.8</v>
      </c>
      <c r="AE16" s="5">
        <v>45.8</v>
      </c>
      <c r="AF16" s="5">
        <v>45.8</v>
      </c>
      <c r="AG16" s="5">
        <v>45.8</v>
      </c>
      <c r="AH16" s="5">
        <v>45.8</v>
      </c>
      <c r="AI16" s="5">
        <v>45.8</v>
      </c>
      <c r="AJ16" s="5">
        <v>45.8</v>
      </c>
      <c r="AK16" s="5">
        <v>45.8</v>
      </c>
      <c r="AL16" s="5">
        <v>45.8</v>
      </c>
      <c r="AM16" s="5">
        <v>45.8</v>
      </c>
      <c r="AN16" s="5">
        <v>45.8</v>
      </c>
    </row>
    <row r="17" spans="2:44" x14ac:dyDescent="0.3">
      <c r="B17" t="s">
        <v>23</v>
      </c>
      <c r="C17" s="7">
        <f t="shared" ref="C17:R17" si="81">C15/C16</f>
        <v>-0.29844097995545654</v>
      </c>
      <c r="D17" s="7">
        <f t="shared" si="81"/>
        <v>-2.2271714922050267E-3</v>
      </c>
      <c r="E17" s="7">
        <f t="shared" si="81"/>
        <v>-0.64587973273942101</v>
      </c>
      <c r="F17" s="7">
        <f t="shared" si="81"/>
        <v>-0.38975501113585764</v>
      </c>
      <c r="G17" s="7">
        <f t="shared" si="81"/>
        <v>-0.27171492204899761</v>
      </c>
      <c r="H17" s="7">
        <f t="shared" si="81"/>
        <v>-0.33630289532293978</v>
      </c>
      <c r="I17" s="7">
        <f t="shared" si="81"/>
        <v>-0.40979955456570177</v>
      </c>
      <c r="J17" s="7">
        <f t="shared" si="81"/>
        <v>-0.30957683741648112</v>
      </c>
      <c r="K17" s="7">
        <f t="shared" si="81"/>
        <v>-5.5679287305122331E-2</v>
      </c>
      <c r="L17" s="7">
        <f t="shared" si="81"/>
        <v>8.2405345211581355E-2</v>
      </c>
      <c r="M17" s="7">
        <f t="shared" si="81"/>
        <v>6.236080178173712E-2</v>
      </c>
      <c r="N17" s="7">
        <f t="shared" si="81"/>
        <v>0.27171492204899772</v>
      </c>
      <c r="O17" s="7">
        <f t="shared" si="81"/>
        <v>0.60133630289532269</v>
      </c>
      <c r="P17" s="7">
        <f t="shared" si="81"/>
        <v>0.5412026726057908</v>
      </c>
      <c r="Q17" s="7">
        <f t="shared" si="81"/>
        <v>0.51893095768374098</v>
      </c>
      <c r="R17" s="7">
        <f t="shared" si="81"/>
        <v>0.3140311804008909</v>
      </c>
      <c r="S17" s="7">
        <f t="shared" ref="S17" si="82">S15/S16</f>
        <v>0.76923076923076861</v>
      </c>
      <c r="T17" s="7">
        <f t="shared" ref="T17" si="83">T15/T16</f>
        <v>0.97598253275109204</v>
      </c>
      <c r="U17" s="7">
        <f t="shared" ref="U17" si="84">U15/U16</f>
        <v>0.87555567685589464</v>
      </c>
      <c r="V17" s="7">
        <f t="shared" ref="V17" si="85">V15/V16</f>
        <v>0.84096179039301311</v>
      </c>
      <c r="X17" s="7">
        <f t="shared" ref="X17:AE17" si="86">X15/X16</f>
        <v>-0.2739420935412028</v>
      </c>
      <c r="Y17" s="7">
        <f t="shared" si="86"/>
        <v>-0.35189309576837413</v>
      </c>
      <c r="Z17" s="7">
        <f t="shared" si="86"/>
        <v>-1.3363028953229408</v>
      </c>
      <c r="AA17" s="7">
        <f t="shared" si="86"/>
        <v>-1.3273942093541193</v>
      </c>
      <c r="AB17" s="7">
        <f t="shared" si="86"/>
        <v>0.36080178173719457</v>
      </c>
      <c r="AC17" s="7">
        <f t="shared" si="86"/>
        <v>1.9755011135857456</v>
      </c>
      <c r="AD17" s="7">
        <f t="shared" si="86"/>
        <v>3.4566921397379882</v>
      </c>
      <c r="AE17" s="7">
        <f t="shared" si="86"/>
        <v>5.1176946615720542</v>
      </c>
      <c r="AF17" s="7">
        <f t="shared" ref="AF17" si="87">AF15/AF16</f>
        <v>7.5120784005458479</v>
      </c>
      <c r="AG17" s="7">
        <f t="shared" ref="AG17" si="88">AG15/AG16</f>
        <v>9.5821607513810019</v>
      </c>
      <c r="AH17" s="7">
        <f t="shared" ref="AH17" si="89">AH15/AH16</f>
        <v>11.259194995282691</v>
      </c>
      <c r="AI17" s="7">
        <f t="shared" ref="AI17" si="90">AI15/AI16</f>
        <v>12.794472578848241</v>
      </c>
      <c r="AJ17" s="7">
        <f t="shared" ref="AJ17" si="91">AJ15/AJ16</f>
        <v>14.099597513825632</v>
      </c>
      <c r="AK17" s="7">
        <f t="shared" ref="AK17" si="92">AK15/AK16</f>
        <v>15.277849769363467</v>
      </c>
      <c r="AL17" s="7">
        <f t="shared" ref="AL17" si="93">AL15/AL16</f>
        <v>16.522325111614993</v>
      </c>
      <c r="AM17" s="7">
        <f t="shared" ref="AM17" si="94">AM15/AM16</f>
        <v>17.836459354658039</v>
      </c>
      <c r="AN17" s="7">
        <f t="shared" ref="AN17" si="95">AN15/AN16</f>
        <v>19.223862380971788</v>
      </c>
    </row>
    <row r="19" spans="2:44" x14ac:dyDescent="0.3">
      <c r="B19" t="s">
        <v>45</v>
      </c>
      <c r="C19" s="9"/>
      <c r="D19" s="9"/>
      <c r="E19" s="9"/>
      <c r="F19" s="9"/>
      <c r="G19" s="9">
        <f t="shared" ref="G19:Q19" si="96">G3/C3-1</f>
        <v>0.46570397111913375</v>
      </c>
      <c r="H19" s="9">
        <f t="shared" si="96"/>
        <v>0.5034013605442178</v>
      </c>
      <c r="I19" s="9">
        <f t="shared" si="96"/>
        <v>0.51100628930817593</v>
      </c>
      <c r="J19" s="9">
        <f t="shared" si="96"/>
        <v>0.42191780821917813</v>
      </c>
      <c r="K19" s="9">
        <f t="shared" si="96"/>
        <v>0.42487684729064035</v>
      </c>
      <c r="L19" s="9">
        <f t="shared" si="96"/>
        <v>0.434389140271493</v>
      </c>
      <c r="M19" s="9">
        <f t="shared" si="96"/>
        <v>0.43184183142559829</v>
      </c>
      <c r="N19" s="9">
        <f t="shared" si="96"/>
        <v>0.4547206165703277</v>
      </c>
      <c r="O19" s="9">
        <f t="shared" si="96"/>
        <v>0.44857389801210013</v>
      </c>
      <c r="P19" s="9">
        <f t="shared" si="96"/>
        <v>0.40615141955835976</v>
      </c>
      <c r="Q19" s="9">
        <f t="shared" si="96"/>
        <v>0.39970930232558133</v>
      </c>
      <c r="R19" s="9">
        <f>R3/N3-1</f>
        <v>0.38807947019867539</v>
      </c>
      <c r="S19" s="9">
        <f t="shared" ref="S19:V19" si="97">S3/O3-1</f>
        <v>0.37649164677804303</v>
      </c>
      <c r="T19" s="9">
        <f t="shared" si="97"/>
        <v>0.41503084688726855</v>
      </c>
      <c r="U19" s="9">
        <f t="shared" si="97"/>
        <v>0.39999999999999991</v>
      </c>
      <c r="V19" s="9">
        <f t="shared" si="97"/>
        <v>0.35000000000000031</v>
      </c>
      <c r="X19" s="9"/>
      <c r="Y19" s="9">
        <f t="shared" ref="Y19" si="98">Y3/X3-1</f>
        <v>1.2838983050847457</v>
      </c>
      <c r="Z19" s="9">
        <f t="shared" ref="Z19:AB19" si="99">Z3/Y3-1</f>
        <v>0.55102040816326525</v>
      </c>
      <c r="AA19" s="9">
        <f t="shared" si="99"/>
        <v>0.47328548644338153</v>
      </c>
      <c r="AB19" s="9">
        <f t="shared" si="99"/>
        <v>0.43734776725304458</v>
      </c>
      <c r="AC19" s="9">
        <f>AC3/AB3-1</f>
        <v>0.40858595368103923</v>
      </c>
      <c r="AD19" s="9">
        <f t="shared" ref="AD19:AN19" si="100">AD3/AC3-1</f>
        <v>0.3843069108407966</v>
      </c>
      <c r="AE19" s="9">
        <f t="shared" si="100"/>
        <v>0.28000000000000003</v>
      </c>
      <c r="AF19" s="9">
        <f t="shared" si="100"/>
        <v>0.21999999999999997</v>
      </c>
      <c r="AG19" s="9">
        <f t="shared" si="100"/>
        <v>0.14999999999999991</v>
      </c>
      <c r="AH19" s="9">
        <f t="shared" si="100"/>
        <v>0.10000000000000009</v>
      </c>
      <c r="AI19" s="9">
        <f t="shared" si="100"/>
        <v>8.0000000000000071E-2</v>
      </c>
      <c r="AJ19" s="9">
        <f t="shared" si="100"/>
        <v>6.0000000000000053E-2</v>
      </c>
      <c r="AK19" s="9">
        <f t="shared" si="100"/>
        <v>5.0000000000000044E-2</v>
      </c>
      <c r="AL19" s="9">
        <f t="shared" si="100"/>
        <v>5.0000000000000044E-2</v>
      </c>
      <c r="AM19" s="9">
        <f t="shared" si="100"/>
        <v>5.0000000000000044E-2</v>
      </c>
      <c r="AN19" s="9">
        <f t="shared" si="100"/>
        <v>5.0000000000000044E-2</v>
      </c>
    </row>
    <row r="20" spans="2:44" x14ac:dyDescent="0.3">
      <c r="B20" t="s">
        <v>46</v>
      </c>
      <c r="C20" s="9">
        <f t="shared" ref="C20:Q20" si="101">C5/C3</f>
        <v>0.72924187725631773</v>
      </c>
      <c r="D20" s="9">
        <f t="shared" si="101"/>
        <v>0.72619047619047616</v>
      </c>
      <c r="E20" s="9">
        <f t="shared" si="101"/>
        <v>0.71540880503144655</v>
      </c>
      <c r="F20" s="9">
        <f t="shared" si="101"/>
        <v>0.72602739726027399</v>
      </c>
      <c r="G20" s="9">
        <f t="shared" si="101"/>
        <v>0.73522167487684731</v>
      </c>
      <c r="H20" s="9">
        <f t="shared" si="101"/>
        <v>0.72963800904977372</v>
      </c>
      <c r="I20" s="9">
        <f t="shared" si="101"/>
        <v>0.72632674297606659</v>
      </c>
      <c r="J20" s="9">
        <f t="shared" si="101"/>
        <v>0.73217726396917149</v>
      </c>
      <c r="K20" s="9">
        <f t="shared" si="101"/>
        <v>0.72774416594641311</v>
      </c>
      <c r="L20" s="9">
        <f t="shared" si="101"/>
        <v>0.7334384858044164</v>
      </c>
      <c r="M20" s="9">
        <f t="shared" si="101"/>
        <v>0.73619186046511631</v>
      </c>
      <c r="N20" s="9">
        <f t="shared" si="101"/>
        <v>0.73112582781456958</v>
      </c>
      <c r="O20" s="9">
        <f t="shared" si="101"/>
        <v>0.73031026252983289</v>
      </c>
      <c r="P20" s="9">
        <f t="shared" si="101"/>
        <v>0.73471676948962417</v>
      </c>
      <c r="Q20" s="9">
        <f t="shared" si="101"/>
        <v>0.72897196261682229</v>
      </c>
      <c r="R20" s="9">
        <f>R5/R3</f>
        <v>0.71898854961832059</v>
      </c>
      <c r="S20" s="9">
        <f t="shared" ref="S20:V20" si="102">S5/S3</f>
        <v>0.71131339401820548</v>
      </c>
      <c r="T20" s="9">
        <f t="shared" si="102"/>
        <v>0.72374157748711854</v>
      </c>
      <c r="U20" s="9">
        <f t="shared" si="102"/>
        <v>0.71</v>
      </c>
      <c r="V20" s="9">
        <f t="shared" si="102"/>
        <v>0.71</v>
      </c>
      <c r="X20" s="9">
        <f t="shared" ref="X20:Y20" si="103">X5/X3</f>
        <v>0.7076271186440678</v>
      </c>
      <c r="Y20" s="9">
        <f t="shared" si="103"/>
        <v>0.71552257266542973</v>
      </c>
      <c r="Z20" s="9">
        <f t="shared" ref="Z20:AB20" si="104">Z5/Z3</f>
        <v>0.72408293460925033</v>
      </c>
      <c r="AA20" s="9">
        <f t="shared" si="104"/>
        <v>0.73071718538565633</v>
      </c>
      <c r="AB20" s="9">
        <f t="shared" si="104"/>
        <v>0.73225381284127289</v>
      </c>
      <c r="AC20" s="9">
        <f>AC5/AC3</f>
        <v>0.72784387114022187</v>
      </c>
      <c r="AD20" s="9">
        <f t="shared" ref="AD20:AN20" si="105">AD5/AD3</f>
        <v>0.71364040169949772</v>
      </c>
      <c r="AE20" s="9">
        <f t="shared" si="105"/>
        <v>0.71</v>
      </c>
      <c r="AF20" s="9">
        <f t="shared" si="105"/>
        <v>0.71</v>
      </c>
      <c r="AG20" s="9">
        <f t="shared" si="105"/>
        <v>0.71000000000000008</v>
      </c>
      <c r="AH20" s="9">
        <f t="shared" si="105"/>
        <v>0.71</v>
      </c>
      <c r="AI20" s="9">
        <f t="shared" si="105"/>
        <v>0.71</v>
      </c>
      <c r="AJ20" s="9">
        <f t="shared" si="105"/>
        <v>0.71</v>
      </c>
      <c r="AK20" s="9">
        <f t="shared" si="105"/>
        <v>0.71</v>
      </c>
      <c r="AL20" s="9">
        <f t="shared" si="105"/>
        <v>0.71</v>
      </c>
      <c r="AM20" s="9">
        <f t="shared" si="105"/>
        <v>0.71</v>
      </c>
      <c r="AN20" s="9">
        <f t="shared" si="105"/>
        <v>0.71</v>
      </c>
    </row>
    <row r="21" spans="2:44" x14ac:dyDescent="0.3">
      <c r="B21" t="s">
        <v>47</v>
      </c>
      <c r="C21" s="9"/>
      <c r="D21" s="9"/>
      <c r="E21" s="9"/>
      <c r="F21" s="9"/>
      <c r="G21" s="9">
        <f t="shared" ref="G21:Q21" si="106">G6/C6-1</f>
        <v>0.32444444444444454</v>
      </c>
      <c r="H21" s="9">
        <f t="shared" si="106"/>
        <v>0.5616438356164386</v>
      </c>
      <c r="I21" s="9">
        <f t="shared" si="106"/>
        <v>0.43344709897610922</v>
      </c>
      <c r="J21" s="9">
        <f t="shared" si="106"/>
        <v>0.48333333333333339</v>
      </c>
      <c r="K21" s="9">
        <f t="shared" si="106"/>
        <v>0.53691275167785224</v>
      </c>
      <c r="L21" s="9">
        <f t="shared" si="106"/>
        <v>0.40058479532163727</v>
      </c>
      <c r="M21" s="9">
        <f t="shared" si="106"/>
        <v>0.19761904761904758</v>
      </c>
      <c r="N21" s="9">
        <f t="shared" si="106"/>
        <v>0.13033707865168531</v>
      </c>
      <c r="O21" s="9">
        <f t="shared" si="106"/>
        <v>0.11135371179039311</v>
      </c>
      <c r="P21" s="9">
        <f t="shared" si="106"/>
        <v>0.1503131524008352</v>
      </c>
      <c r="Q21" s="9">
        <f t="shared" si="106"/>
        <v>0.25049701789264422</v>
      </c>
      <c r="R21" s="9">
        <f>R6/N6-1</f>
        <v>0.32007952286282326</v>
      </c>
      <c r="S21" s="9">
        <f t="shared" ref="S21:V21" si="107">S6/O6-1</f>
        <v>0.38310412573673891</v>
      </c>
      <c r="T21" s="9">
        <f t="shared" si="107"/>
        <v>0.33756805807622503</v>
      </c>
      <c r="U21" s="9">
        <f t="shared" si="107"/>
        <v>0.22999999999999998</v>
      </c>
      <c r="V21" s="9">
        <f t="shared" si="107"/>
        <v>0.21999999999999997</v>
      </c>
      <c r="X21" s="9"/>
      <c r="Y21" s="9">
        <f t="shared" ref="Y21" si="108">Y6/X6-1</f>
        <v>0.67721518987341756</v>
      </c>
      <c r="Z21" s="9">
        <f t="shared" ref="Z21:AB21" si="109">Z6/Y6-1</f>
        <v>0.95660377358490578</v>
      </c>
      <c r="AA21" s="9">
        <f t="shared" si="109"/>
        <v>0.45130183220829312</v>
      </c>
      <c r="AB21" s="9">
        <f t="shared" si="109"/>
        <v>0.29102990033222609</v>
      </c>
      <c r="AC21" s="9">
        <f>AC6/AB6-1</f>
        <v>0.211013896037056</v>
      </c>
      <c r="AD21" s="9">
        <f t="shared" ref="AD21:AN21" si="110">AD6/AC6-1</f>
        <v>0.28548661283467913</v>
      </c>
      <c r="AE21" s="9">
        <f t="shared" si="110"/>
        <v>0.17999999999999994</v>
      </c>
      <c r="AF21" s="9">
        <f t="shared" si="110"/>
        <v>0.12000000000000011</v>
      </c>
      <c r="AG21" s="9">
        <f t="shared" si="110"/>
        <v>6.0000000000000053E-2</v>
      </c>
      <c r="AH21" s="9">
        <f t="shared" si="110"/>
        <v>4.0000000000000036E-2</v>
      </c>
      <c r="AI21" s="9">
        <f t="shared" si="110"/>
        <v>3.0000000000000027E-2</v>
      </c>
      <c r="AJ21" s="9">
        <f t="shared" si="110"/>
        <v>2.0000000000000018E-2</v>
      </c>
      <c r="AK21" s="9">
        <f t="shared" si="110"/>
        <v>2.0000000000000018E-2</v>
      </c>
      <c r="AL21" s="9">
        <f t="shared" si="110"/>
        <v>2.0000000000000018E-2</v>
      </c>
      <c r="AM21" s="9">
        <f t="shared" si="110"/>
        <v>2.0000000000000018E-2</v>
      </c>
      <c r="AN21" s="9">
        <f t="shared" si="110"/>
        <v>2.0000000000000018E-2</v>
      </c>
      <c r="AQ21" t="s">
        <v>67</v>
      </c>
      <c r="AR21" s="9">
        <v>-0.01</v>
      </c>
    </row>
    <row r="22" spans="2:44" x14ac:dyDescent="0.3">
      <c r="B22" t="s">
        <v>48</v>
      </c>
      <c r="C22" s="9">
        <f t="shared" ref="C22:Q22" si="111">C7/C3</f>
        <v>0.35740072202166068</v>
      </c>
      <c r="D22" s="9">
        <f t="shared" si="111"/>
        <v>0.16326530612244899</v>
      </c>
      <c r="E22" s="9">
        <f t="shared" si="111"/>
        <v>0.24056603773584906</v>
      </c>
      <c r="F22" s="9">
        <f t="shared" si="111"/>
        <v>0.19863013698630136</v>
      </c>
      <c r="G22" s="9">
        <f t="shared" si="111"/>
        <v>0.18349753694581281</v>
      </c>
      <c r="H22" s="9">
        <f t="shared" si="111"/>
        <v>0.17307692307692307</v>
      </c>
      <c r="I22" s="9">
        <f t="shared" si="111"/>
        <v>0.18418314255983351</v>
      </c>
      <c r="J22" s="9">
        <f t="shared" si="111"/>
        <v>0.18304431599229287</v>
      </c>
      <c r="K22" s="9">
        <f t="shared" si="111"/>
        <v>0.14347450302506484</v>
      </c>
      <c r="L22" s="9">
        <f t="shared" si="111"/>
        <v>0.13958990536277602</v>
      </c>
      <c r="M22" s="9">
        <f t="shared" si="111"/>
        <v>0.1620639534883721</v>
      </c>
      <c r="N22" s="9">
        <f t="shared" si="111"/>
        <v>0.12649006622516556</v>
      </c>
      <c r="O22" s="9">
        <f t="shared" si="111"/>
        <v>0.11873508353221957</v>
      </c>
      <c r="P22" s="9">
        <f t="shared" si="111"/>
        <v>0.11329220415030845</v>
      </c>
      <c r="Q22" s="9">
        <f t="shared" si="111"/>
        <v>0.13291796469366565</v>
      </c>
      <c r="R22" s="9">
        <f>R7/R3</f>
        <v>0.1183206106870229</v>
      </c>
      <c r="S22" s="9">
        <f t="shared" ref="S22:V22" si="112">S7/S3</f>
        <v>0.11573472041612484</v>
      </c>
      <c r="T22" s="9">
        <f t="shared" si="112"/>
        <v>0.11732065001981767</v>
      </c>
      <c r="U22" s="9">
        <f t="shared" si="112"/>
        <v>0.11</v>
      </c>
      <c r="V22" s="9">
        <f t="shared" si="112"/>
        <v>0.11</v>
      </c>
      <c r="X22" s="9">
        <f t="shared" ref="X22:Y22" si="113">X7/X3</f>
        <v>0.21186440677966104</v>
      </c>
      <c r="Y22" s="9">
        <f t="shared" si="113"/>
        <v>0.21645021645021648</v>
      </c>
      <c r="Z22" s="9">
        <f t="shared" ref="Z22:AB22" si="114">Z7/Z3</f>
        <v>0.2360446570972887</v>
      </c>
      <c r="AA22" s="9">
        <f t="shared" si="114"/>
        <v>0.18105548037889038</v>
      </c>
      <c r="AB22" s="9">
        <f t="shared" si="114"/>
        <v>0.14253436264356992</v>
      </c>
      <c r="AC22" s="9">
        <f>AC7/AC3</f>
        <v>0.12097313193423337</v>
      </c>
      <c r="AD22" s="9">
        <f t="shared" ref="AD22:AN22" si="115">AD7/AD3</f>
        <v>0.11306102742371572</v>
      </c>
      <c r="AE22" s="9">
        <f t="shared" si="115"/>
        <v>0.1</v>
      </c>
      <c r="AF22" s="9">
        <f t="shared" si="115"/>
        <v>0.09</v>
      </c>
      <c r="AG22" s="9">
        <f t="shared" si="115"/>
        <v>0.09</v>
      </c>
      <c r="AH22" s="9">
        <f t="shared" si="115"/>
        <v>0.09</v>
      </c>
      <c r="AI22" s="9">
        <f t="shared" si="115"/>
        <v>0.09</v>
      </c>
      <c r="AJ22" s="9">
        <f t="shared" si="115"/>
        <v>0.09</v>
      </c>
      <c r="AK22" s="9">
        <f t="shared" si="115"/>
        <v>0.09</v>
      </c>
      <c r="AL22" s="9">
        <f t="shared" si="115"/>
        <v>0.09</v>
      </c>
      <c r="AM22" s="9">
        <f t="shared" si="115"/>
        <v>0.09</v>
      </c>
      <c r="AN22" s="9">
        <f t="shared" si="115"/>
        <v>0.09</v>
      </c>
      <c r="AQ22" t="s">
        <v>68</v>
      </c>
      <c r="AR22" s="9">
        <v>0.08</v>
      </c>
    </row>
    <row r="23" spans="2:44" x14ac:dyDescent="0.3">
      <c r="B23" t="s">
        <v>49</v>
      </c>
      <c r="C23" s="9"/>
      <c r="D23" s="9"/>
      <c r="E23" s="9"/>
      <c r="F23" s="9"/>
      <c r="G23" s="9">
        <f t="shared" ref="G23:Q23" si="116">G8/C8-1</f>
        <v>1.3391304347826085</v>
      </c>
      <c r="H23" s="9">
        <f t="shared" si="116"/>
        <v>1.5948275862068968</v>
      </c>
      <c r="I23" s="9">
        <f t="shared" si="116"/>
        <v>2.0270270270270174E-2</v>
      </c>
      <c r="J23" s="9">
        <f t="shared" si="116"/>
        <v>0.1853281853281854</v>
      </c>
      <c r="K23" s="9">
        <f t="shared" si="116"/>
        <v>0.12267657992565062</v>
      </c>
      <c r="L23" s="9">
        <f t="shared" si="116"/>
        <v>6.976744186046524E-2</v>
      </c>
      <c r="M23" s="9">
        <f t="shared" si="116"/>
        <v>0.10596026490066213</v>
      </c>
      <c r="N23" s="9">
        <f t="shared" si="116"/>
        <v>0.1791530944625408</v>
      </c>
      <c r="O23" s="9">
        <f t="shared" si="116"/>
        <v>0.16225165562913912</v>
      </c>
      <c r="P23" s="9">
        <f t="shared" si="116"/>
        <v>0.1490683229813663</v>
      </c>
      <c r="Q23" s="9">
        <f t="shared" si="116"/>
        <v>0.14970059880239517</v>
      </c>
      <c r="R23" s="9">
        <f>R8/N8-1</f>
        <v>0.25690607734806625</v>
      </c>
      <c r="S23" s="9">
        <f t="shared" ref="S23:V23" si="117">S8/O8-1</f>
        <v>0.23931623931623935</v>
      </c>
      <c r="T23" s="9">
        <f t="shared" si="117"/>
        <v>0.2432432432432432</v>
      </c>
      <c r="U23" s="9">
        <f t="shared" si="117"/>
        <v>0.25</v>
      </c>
      <c r="V23" s="9">
        <f t="shared" si="117"/>
        <v>0.17999999999999994</v>
      </c>
      <c r="X23" s="9"/>
      <c r="Y23" s="9">
        <f t="shared" ref="Y23" si="118">Y8/X8-1</f>
        <v>1.6646341463414638</v>
      </c>
      <c r="Z23" s="9">
        <f t="shared" ref="Z23:AB23" si="119">Z8/Y8-1</f>
        <v>0.79862700228832928</v>
      </c>
      <c r="AA23" s="9">
        <f t="shared" si="119"/>
        <v>0.50000000000000022</v>
      </c>
      <c r="AB23" s="9">
        <f t="shared" si="119"/>
        <v>0.11959287531806617</v>
      </c>
      <c r="AC23" s="9">
        <f>AC8/AB8-1</f>
        <v>0.18181818181818188</v>
      </c>
      <c r="AD23" s="9">
        <f t="shared" ref="AD23:AN23" si="120">AD8/AC8-1</f>
        <v>0.22557692307692312</v>
      </c>
      <c r="AE23" s="9">
        <f t="shared" si="120"/>
        <v>0.16999999999999993</v>
      </c>
      <c r="AF23" s="9">
        <f t="shared" si="120"/>
        <v>0.1100000000000001</v>
      </c>
      <c r="AG23" s="9">
        <f t="shared" si="120"/>
        <v>7.0000000000000062E-2</v>
      </c>
      <c r="AH23" s="9">
        <f t="shared" si="120"/>
        <v>4.0000000000000036E-2</v>
      </c>
      <c r="AI23" s="9">
        <f t="shared" si="120"/>
        <v>3.0000000000000027E-2</v>
      </c>
      <c r="AJ23" s="9">
        <f t="shared" si="120"/>
        <v>2.0000000000000018E-2</v>
      </c>
      <c r="AK23" s="9">
        <f t="shared" si="120"/>
        <v>1.0000000000000009E-2</v>
      </c>
      <c r="AL23" s="9">
        <f t="shared" si="120"/>
        <v>1.0000000000000009E-2</v>
      </c>
      <c r="AM23" s="9">
        <f t="shared" si="120"/>
        <v>1.0000000000000009E-2</v>
      </c>
      <c r="AN23" s="9">
        <f t="shared" si="120"/>
        <v>1.0000000000000009E-2</v>
      </c>
      <c r="AQ23" t="s">
        <v>69</v>
      </c>
      <c r="AR23" s="5">
        <f>NPV(AR22,AD15:EI15)</f>
        <v>7705.8198992622183</v>
      </c>
    </row>
    <row r="24" spans="2:44" x14ac:dyDescent="0.3">
      <c r="B24" t="s">
        <v>50</v>
      </c>
      <c r="C24" s="9">
        <f t="shared" ref="C24:Q24" si="121">C10/C3</f>
        <v>-0.2418772563176895</v>
      </c>
      <c r="D24" s="9">
        <f t="shared" si="121"/>
        <v>-6.802721088435471E-3</v>
      </c>
      <c r="E24" s="9">
        <f t="shared" si="121"/>
        <v>-0.45125786163522014</v>
      </c>
      <c r="F24" s="9">
        <f t="shared" si="121"/>
        <v>-0.23835616438356172</v>
      </c>
      <c r="G24" s="9">
        <f t="shared" si="121"/>
        <v>-0.14655172413793091</v>
      </c>
      <c r="H24" s="9">
        <f t="shared" si="121"/>
        <v>-0.17081447963800897</v>
      </c>
      <c r="I24" s="9">
        <f t="shared" si="121"/>
        <v>-0.20915712799167543</v>
      </c>
      <c r="J24" s="9">
        <f t="shared" si="121"/>
        <v>-0.17533718689788058</v>
      </c>
      <c r="K24" s="9">
        <f t="shared" si="121"/>
        <v>-7.2601555747623087E-2</v>
      </c>
      <c r="L24" s="9">
        <f t="shared" si="121"/>
        <v>-3.7854889589905343E-2</v>
      </c>
      <c r="M24" s="9">
        <f t="shared" si="121"/>
        <v>-3.4156976744186066E-2</v>
      </c>
      <c r="N24" s="9">
        <f t="shared" si="121"/>
        <v>3.1788079470198655E-2</v>
      </c>
      <c r="O24" s="9">
        <f t="shared" si="121"/>
        <v>9.8448687350835243E-2</v>
      </c>
      <c r="P24" s="9">
        <f t="shared" si="121"/>
        <v>0.10487941671340438</v>
      </c>
      <c r="Q24" s="9">
        <f t="shared" si="121"/>
        <v>7.0093457943925089E-2</v>
      </c>
      <c r="R24" s="9">
        <f>R10/R3</f>
        <v>6.6793893129770993E-2</v>
      </c>
      <c r="S24" s="9">
        <f t="shared" ref="S24:V24" si="122">S10/S3</f>
        <v>0.10186389250108353</v>
      </c>
      <c r="T24" s="9">
        <f t="shared" si="122"/>
        <v>0.13198573127229493</v>
      </c>
      <c r="U24" s="9">
        <f t="shared" si="122"/>
        <v>0.13505785491766792</v>
      </c>
      <c r="V24" s="9">
        <f t="shared" si="122"/>
        <v>0.12396805202148713</v>
      </c>
      <c r="X24" s="9">
        <f t="shared" ref="X24:Y24" si="123">X10/X3</f>
        <v>-0.18220338983050857</v>
      </c>
      <c r="Y24" s="9">
        <f t="shared" si="123"/>
        <v>-9.894867037724181E-2</v>
      </c>
      <c r="Z24" s="9">
        <f t="shared" ref="Z24:AB24" si="124">Z10/Z3</f>
        <v>-0.2388357256778311</v>
      </c>
      <c r="AA24" s="9">
        <f t="shared" si="124"/>
        <v>-0.17672530446549375</v>
      </c>
      <c r="AB24" s="9">
        <f t="shared" si="124"/>
        <v>-2.4665787987196319E-2</v>
      </c>
      <c r="AC24" s="9">
        <f>AC10/AC3</f>
        <v>8.381232455554069E-2</v>
      </c>
      <c r="AD24" s="9">
        <f t="shared" ref="AD24:AN24" si="125">AD10/AD3</f>
        <v>0.12388470451911922</v>
      </c>
      <c r="AE24" s="9">
        <f t="shared" si="125"/>
        <v>0.17198942641946702</v>
      </c>
      <c r="AF24" s="9">
        <f t="shared" si="125"/>
        <v>0.21927514586756541</v>
      </c>
      <c r="AG24" s="9">
        <f t="shared" si="125"/>
        <v>0.24930111976248018</v>
      </c>
      <c r="AH24" s="9">
        <f t="shared" si="125"/>
        <v>0.26952105868452664</v>
      </c>
      <c r="AI24" s="9">
        <f t="shared" si="125"/>
        <v>0.28574693559728009</v>
      </c>
      <c r="AJ24" s="9">
        <f t="shared" si="125"/>
        <v>0.29836025878228839</v>
      </c>
      <c r="AK24" s="9">
        <f t="shared" si="125"/>
        <v>0.30873044188571208</v>
      </c>
      <c r="AL24" s="9">
        <f t="shared" si="125"/>
        <v>0.31875936352098116</v>
      </c>
      <c r="AM24" s="9">
        <f t="shared" si="125"/>
        <v>0.32845848717851317</v>
      </c>
      <c r="AN24" s="9">
        <f t="shared" si="125"/>
        <v>0.33783888355708486</v>
      </c>
      <c r="AQ24" t="s">
        <v>70</v>
      </c>
      <c r="AR24" s="5">
        <f>Main!D8</f>
        <v>1097.9000000000001</v>
      </c>
    </row>
    <row r="25" spans="2:44" x14ac:dyDescent="0.3">
      <c r="B25" t="s">
        <v>21</v>
      </c>
      <c r="C25" s="9">
        <f t="shared" ref="C25:Q25" si="126">C14/C13</f>
        <v>0</v>
      </c>
      <c r="D25" s="9">
        <f t="shared" si="126"/>
        <v>0</v>
      </c>
      <c r="E25" s="9">
        <f t="shared" si="126"/>
        <v>-3.4602076124567475E-3</v>
      </c>
      <c r="F25" s="9">
        <f t="shared" si="126"/>
        <v>-5.7471264367816074E-3</v>
      </c>
      <c r="G25" s="9">
        <f t="shared" si="126"/>
        <v>0</v>
      </c>
      <c r="H25" s="9">
        <f t="shared" si="126"/>
        <v>-6.6666666666666697E-3</v>
      </c>
      <c r="I25" s="9">
        <f t="shared" si="126"/>
        <v>-5.4644808743169382E-3</v>
      </c>
      <c r="J25" s="9">
        <f t="shared" si="126"/>
        <v>-5.3030303030303018E-2</v>
      </c>
      <c r="K25" s="9">
        <f t="shared" si="126"/>
        <v>3.8461538461538575E-2</v>
      </c>
      <c r="L25" s="9">
        <f t="shared" si="126"/>
        <v>-0.54166666666666596</v>
      </c>
      <c r="M25" s="9">
        <f t="shared" si="126"/>
        <v>3.4482758620689696E-2</v>
      </c>
      <c r="N25" s="9">
        <f t="shared" si="126"/>
        <v>0.19736842105263161</v>
      </c>
      <c r="O25" s="9">
        <f t="shared" si="126"/>
        <v>-4.2471042471042497E-2</v>
      </c>
      <c r="P25" s="9">
        <f t="shared" si="126"/>
        <v>0.15331010452961671</v>
      </c>
      <c r="Q25" s="9">
        <f t="shared" si="126"/>
        <v>7.9051383399209585E-2</v>
      </c>
      <c r="R25" s="9">
        <f>R14/R13</f>
        <v>0.37333333333333335</v>
      </c>
      <c r="S25" s="9">
        <f t="shared" ref="S25:V25" si="127">S14/S13</f>
        <v>-2.8653295128939853E-3</v>
      </c>
      <c r="T25" s="9">
        <f t="shared" si="127"/>
        <v>3.6637931034482749E-2</v>
      </c>
      <c r="U25" s="9">
        <f t="shared" si="127"/>
        <v>0.15</v>
      </c>
      <c r="V25" s="9">
        <f t="shared" si="127"/>
        <v>0.15</v>
      </c>
      <c r="X25" s="9">
        <f t="shared" ref="X25:Y25" si="128">X14/X13</f>
        <v>0</v>
      </c>
      <c r="Y25" s="9">
        <f t="shared" si="128"/>
        <v>-6.369426751592357E-3</v>
      </c>
      <c r="Z25" s="9">
        <f t="shared" ref="Z25:AB25" si="129">Z14/Z13</f>
        <v>-3.3444816053511688E-3</v>
      </c>
      <c r="AA25" s="9">
        <f t="shared" si="129"/>
        <v>-1.5332197614991491E-2</v>
      </c>
      <c r="AB25" s="9">
        <f t="shared" si="129"/>
        <v>9.4972067039105962E-2</v>
      </c>
      <c r="AC25" s="9">
        <f>AC14/AC13</f>
        <v>0.13378906250000003</v>
      </c>
      <c r="AD25" s="9">
        <f t="shared" ref="AD25:AN25" si="130">AD14/AD13</f>
        <v>8.9035617699522451E-2</v>
      </c>
      <c r="AE25" s="9">
        <f t="shared" si="130"/>
        <v>0.15</v>
      </c>
      <c r="AF25" s="9">
        <f t="shared" si="130"/>
        <v>0.15</v>
      </c>
      <c r="AG25" s="9">
        <f t="shared" si="130"/>
        <v>0.15</v>
      </c>
      <c r="AH25" s="9">
        <f t="shared" si="130"/>
        <v>0.15</v>
      </c>
      <c r="AI25" s="9">
        <f t="shared" si="130"/>
        <v>0.15</v>
      </c>
      <c r="AJ25" s="9">
        <f t="shared" si="130"/>
        <v>0.15</v>
      </c>
      <c r="AK25" s="9">
        <f t="shared" si="130"/>
        <v>0.15</v>
      </c>
      <c r="AL25" s="9">
        <f t="shared" si="130"/>
        <v>0.15</v>
      </c>
      <c r="AM25" s="9">
        <f t="shared" si="130"/>
        <v>0.15</v>
      </c>
      <c r="AN25" s="9">
        <f t="shared" si="130"/>
        <v>0.15</v>
      </c>
      <c r="AQ25" t="s">
        <v>71</v>
      </c>
      <c r="AR25" s="5">
        <f>AR23+AR24</f>
        <v>8803.719899262218</v>
      </c>
    </row>
    <row r="26" spans="2:44" x14ac:dyDescent="0.3">
      <c r="B26" t="s">
        <v>51</v>
      </c>
      <c r="C26" s="9">
        <f t="shared" ref="C26:Q26" si="131">C15/C3</f>
        <v>-0.2418772563176895</v>
      </c>
      <c r="D26" s="9">
        <f t="shared" si="131"/>
        <v>-1.7006802721089404E-3</v>
      </c>
      <c r="E26" s="9">
        <f t="shared" si="131"/>
        <v>-0.45597484276729566</v>
      </c>
      <c r="F26" s="9">
        <f t="shared" si="131"/>
        <v>-0.23972602739726037</v>
      </c>
      <c r="G26" s="9">
        <f t="shared" si="131"/>
        <v>-0.15024630541871911</v>
      </c>
      <c r="H26" s="9">
        <f t="shared" si="131"/>
        <v>-0.17081447963800897</v>
      </c>
      <c r="I26" s="9">
        <f t="shared" si="131"/>
        <v>-0.19146722164412081</v>
      </c>
      <c r="J26" s="9">
        <f t="shared" si="131"/>
        <v>-0.13391136801541428</v>
      </c>
      <c r="K26" s="9">
        <f t="shared" si="131"/>
        <v>-2.1607605877268732E-2</v>
      </c>
      <c r="L26" s="9">
        <f t="shared" si="131"/>
        <v>2.9179810725552074E-2</v>
      </c>
      <c r="M26" s="9">
        <f t="shared" si="131"/>
        <v>2.0348837209302303E-2</v>
      </c>
      <c r="N26" s="9">
        <f t="shared" si="131"/>
        <v>8.0794701986754952E-2</v>
      </c>
      <c r="O26" s="9">
        <f t="shared" si="131"/>
        <v>0.16109785202863955</v>
      </c>
      <c r="P26" s="9">
        <f t="shared" si="131"/>
        <v>0.13628715647784634</v>
      </c>
      <c r="Q26" s="9">
        <f t="shared" si="131"/>
        <v>0.12097611630321894</v>
      </c>
      <c r="R26" s="9">
        <f>R15/R3</f>
        <v>6.7270992366412208E-2</v>
      </c>
      <c r="S26" s="9">
        <f t="shared" ref="S26:V26" si="132">S15/S3</f>
        <v>0.15171218032076278</v>
      </c>
      <c r="T26" s="9">
        <f t="shared" si="132"/>
        <v>0.1771700356718193</v>
      </c>
      <c r="U26" s="9">
        <f t="shared" si="132"/>
        <v>0.14871847648716799</v>
      </c>
      <c r="V26" s="9">
        <f t="shared" si="132"/>
        <v>0.1361183559513712</v>
      </c>
      <c r="X26" s="9">
        <f t="shared" ref="X26:Y26" si="133">X15/X3</f>
        <v>-0.17372881355932213</v>
      </c>
      <c r="Y26" s="9">
        <f t="shared" si="133"/>
        <v>-9.7711811997526279E-2</v>
      </c>
      <c r="Z26" s="9">
        <f t="shared" ref="Z26:AB26" si="134">Z15/Z3</f>
        <v>-0.23923444976076572</v>
      </c>
      <c r="AA26" s="9">
        <f t="shared" si="134"/>
        <v>-0.16129905277401882</v>
      </c>
      <c r="AB26" s="9">
        <f t="shared" si="134"/>
        <v>3.0502730182639867E-2</v>
      </c>
      <c r="AC26" s="9">
        <f>AC15/AC3</f>
        <v>0.1185670364924475</v>
      </c>
      <c r="AD26" s="9">
        <f t="shared" ref="AD26:AN26" si="135">AD15/AD3</f>
        <v>0.15287417921977584</v>
      </c>
      <c r="AE26" s="9">
        <f t="shared" si="135"/>
        <v>0.17682262660233203</v>
      </c>
      <c r="AF26" s="9">
        <f t="shared" si="135"/>
        <v>0.21274714845716361</v>
      </c>
      <c r="AG26" s="9">
        <f t="shared" si="135"/>
        <v>0.23597676761829922</v>
      </c>
      <c r="AH26" s="9">
        <f t="shared" si="135"/>
        <v>0.25206958771021182</v>
      </c>
      <c r="AI26" s="9">
        <f t="shared" si="135"/>
        <v>0.26522334175748657</v>
      </c>
      <c r="AJ26" s="9">
        <f t="shared" si="135"/>
        <v>0.27573392640342476</v>
      </c>
      <c r="AK26" s="9">
        <f t="shared" si="135"/>
        <v>0.28454858204133493</v>
      </c>
      <c r="AL26" s="9">
        <f t="shared" si="135"/>
        <v>0.29307316543131362</v>
      </c>
      <c r="AM26" s="9">
        <f t="shared" si="135"/>
        <v>0.30131742054021582</v>
      </c>
      <c r="AN26" s="9">
        <f t="shared" si="135"/>
        <v>0.3092907574620018</v>
      </c>
      <c r="AQ26" t="s">
        <v>72</v>
      </c>
      <c r="AR26" s="4">
        <f>AR25/AN16</f>
        <v>192.22095849917508</v>
      </c>
    </row>
    <row r="27" spans="2:44" x14ac:dyDescent="0.3">
      <c r="AQ27" t="s">
        <v>73</v>
      </c>
      <c r="AR27" s="4">
        <f>Main!D3</f>
        <v>278.74</v>
      </c>
    </row>
    <row r="28" spans="2:44" s="1" customFormat="1" x14ac:dyDescent="0.3">
      <c r="B28" s="1" t="s">
        <v>52</v>
      </c>
      <c r="X28" s="8">
        <f>X15</f>
        <v>-12.300000000000006</v>
      </c>
      <c r="Y28" s="8">
        <f>Y15</f>
        <v>-15.799999999999999</v>
      </c>
      <c r="Z28" s="8">
        <f>Z15</f>
        <v>-60.000000000000036</v>
      </c>
      <c r="AA28" s="8">
        <f t="shared" ref="AA28:AN28" si="136">AA15</f>
        <v>-59.599999999999959</v>
      </c>
      <c r="AB28" s="8">
        <f t="shared" si="136"/>
        <v>16.200000000000035</v>
      </c>
      <c r="AC28" s="8">
        <f t="shared" si="136"/>
        <v>88.699999999999974</v>
      </c>
      <c r="AD28" s="8">
        <f t="shared" si="136"/>
        <v>158.31649999999985</v>
      </c>
      <c r="AE28" s="8">
        <f t="shared" si="136"/>
        <v>234.39041550000007</v>
      </c>
      <c r="AF28" s="8">
        <f t="shared" si="136"/>
        <v>344.05319074499982</v>
      </c>
      <c r="AG28" s="8">
        <f t="shared" si="136"/>
        <v>438.86296241324982</v>
      </c>
      <c r="AH28" s="8">
        <f t="shared" si="136"/>
        <v>515.67113078394721</v>
      </c>
      <c r="AI28" s="8">
        <f t="shared" si="136"/>
        <v>585.98684411124941</v>
      </c>
      <c r="AJ28" s="8">
        <f t="shared" si="136"/>
        <v>645.76156613321393</v>
      </c>
      <c r="AK28" s="8">
        <f t="shared" si="136"/>
        <v>699.72551943684675</v>
      </c>
      <c r="AL28" s="8">
        <f t="shared" si="136"/>
        <v>756.72249011196664</v>
      </c>
      <c r="AM28" s="8">
        <f t="shared" si="136"/>
        <v>816.90983844333812</v>
      </c>
      <c r="AN28" s="8">
        <f t="shared" si="136"/>
        <v>880.45289704850791</v>
      </c>
      <c r="AQ28" s="1" t="s">
        <v>74</v>
      </c>
      <c r="AR28" s="10">
        <f>AR26/AR27-1</f>
        <v>-0.31039334684948316</v>
      </c>
    </row>
    <row r="29" spans="2:44" x14ac:dyDescent="0.3">
      <c r="B29" t="s">
        <v>55</v>
      </c>
      <c r="X29" s="5"/>
      <c r="Y29" s="5">
        <v>2.2999999999999998</v>
      </c>
      <c r="Z29" s="5">
        <v>2.7</v>
      </c>
      <c r="AA29" s="5">
        <v>4.9000000000000004</v>
      </c>
      <c r="AB29" s="5">
        <v>7.1</v>
      </c>
      <c r="AC29" s="5">
        <v>10.9</v>
      </c>
      <c r="AD29" s="5">
        <f>AC29*1.05</f>
        <v>11.445</v>
      </c>
      <c r="AE29" s="5">
        <f t="shared" ref="AE29:AN29" si="137">AD29*1.05</f>
        <v>12.017250000000001</v>
      </c>
      <c r="AF29" s="5">
        <f t="shared" si="137"/>
        <v>12.618112500000001</v>
      </c>
      <c r="AG29" s="5">
        <f t="shared" si="137"/>
        <v>13.249018125000001</v>
      </c>
      <c r="AH29" s="5">
        <f t="shared" si="137"/>
        <v>13.911469031250002</v>
      </c>
      <c r="AI29" s="5">
        <f t="shared" si="137"/>
        <v>14.607042482812503</v>
      </c>
      <c r="AJ29" s="5">
        <f t="shared" si="137"/>
        <v>15.337394606953129</v>
      </c>
      <c r="AK29" s="5">
        <f t="shared" si="137"/>
        <v>16.104264337300787</v>
      </c>
      <c r="AL29" s="5">
        <f t="shared" si="137"/>
        <v>16.909477554165829</v>
      </c>
      <c r="AM29" s="5">
        <f t="shared" si="137"/>
        <v>17.754951431874122</v>
      </c>
      <c r="AN29" s="5">
        <f t="shared" si="137"/>
        <v>18.642699003467829</v>
      </c>
      <c r="AQ29" t="s">
        <v>75</v>
      </c>
      <c r="AR29" s="6" t="s">
        <v>76</v>
      </c>
    </row>
    <row r="30" spans="2:44" x14ac:dyDescent="0.3">
      <c r="B30" t="s">
        <v>56</v>
      </c>
      <c r="X30" s="5"/>
      <c r="Y30" s="5">
        <v>17</v>
      </c>
      <c r="Z30" s="5">
        <v>40.799999999999997</v>
      </c>
      <c r="AA30" s="5">
        <v>73.8</v>
      </c>
      <c r="AB30" s="5">
        <v>95.2</v>
      </c>
      <c r="AC30" s="5">
        <v>110.5</v>
      </c>
      <c r="AD30" s="5">
        <f>AC30*1.1</f>
        <v>121.55000000000001</v>
      </c>
      <c r="AE30" s="5">
        <f t="shared" ref="AE30:AH30" si="138">AD30*1.1</f>
        <v>133.70500000000001</v>
      </c>
      <c r="AF30" s="5">
        <f t="shared" si="138"/>
        <v>147.07550000000003</v>
      </c>
      <c r="AG30" s="5">
        <f t="shared" si="138"/>
        <v>161.78305000000006</v>
      </c>
      <c r="AH30" s="5">
        <f t="shared" si="138"/>
        <v>177.96135500000008</v>
      </c>
      <c r="AI30" s="5">
        <f>AH30*1.02</f>
        <v>181.5205821000001</v>
      </c>
      <c r="AJ30" s="5">
        <f t="shared" ref="AJ30:AN30" si="139">AI30*1.02</f>
        <v>185.15099374200011</v>
      </c>
      <c r="AK30" s="5">
        <f t="shared" si="139"/>
        <v>188.85401361684012</v>
      </c>
      <c r="AL30" s="5">
        <f t="shared" si="139"/>
        <v>192.63109388917692</v>
      </c>
      <c r="AM30" s="5">
        <f t="shared" si="139"/>
        <v>196.48371576696047</v>
      </c>
      <c r="AN30" s="5">
        <f t="shared" si="139"/>
        <v>200.41339008229968</v>
      </c>
    </row>
    <row r="31" spans="2:44" x14ac:dyDescent="0.3">
      <c r="B31" t="s">
        <v>63</v>
      </c>
      <c r="X31" s="5"/>
      <c r="Y31" s="5"/>
      <c r="Z31" s="5"/>
      <c r="AA31" s="5">
        <v>0</v>
      </c>
      <c r="AB31" s="5">
        <f>-0.1+0.4</f>
        <v>0.30000000000000004</v>
      </c>
      <c r="AC31" s="5">
        <f>-0.6+0.2</f>
        <v>-0.39999999999999997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</row>
    <row r="32" spans="2:44" x14ac:dyDescent="0.3">
      <c r="B32" t="s">
        <v>57</v>
      </c>
      <c r="X32" s="5"/>
      <c r="Y32" s="5">
        <v>28.5</v>
      </c>
      <c r="Z32" s="5">
        <v>43.5</v>
      </c>
      <c r="AA32" s="5">
        <v>59.3</v>
      </c>
      <c r="AB32" s="5">
        <v>91.6</v>
      </c>
      <c r="AC32" s="5">
        <v>123.7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  <row r="33" spans="2:136" x14ac:dyDescent="0.3">
      <c r="B33" t="s">
        <v>58</v>
      </c>
      <c r="X33" s="5"/>
      <c r="Y33" s="5">
        <v>-10.4</v>
      </c>
      <c r="Z33" s="5">
        <v>-12.7</v>
      </c>
      <c r="AA33" s="5">
        <v>-13.6</v>
      </c>
      <c r="AB33" s="5">
        <v>-42.2</v>
      </c>
      <c r="AC33" s="5">
        <v>-39.9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</row>
    <row r="34" spans="2:136" x14ac:dyDescent="0.3">
      <c r="B34" t="s">
        <v>59</v>
      </c>
      <c r="X34" s="5"/>
      <c r="Y34" s="5">
        <v>-6.7</v>
      </c>
      <c r="Z34" s="5">
        <v>-10.6</v>
      </c>
      <c r="AA34" s="5">
        <v>-10.8</v>
      </c>
      <c r="AB34" s="5">
        <v>-18.899999999999999</v>
      </c>
      <c r="AC34" s="5">
        <v>-26.2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</row>
    <row r="35" spans="2:136" x14ac:dyDescent="0.3">
      <c r="B35" t="s">
        <v>60</v>
      </c>
      <c r="X35" s="5"/>
      <c r="Y35" s="5">
        <v>-1.7</v>
      </c>
      <c r="Z35" s="5">
        <v>-4</v>
      </c>
      <c r="AA35" s="5">
        <v>-1.4</v>
      </c>
      <c r="AB35" s="5">
        <v>-0.1</v>
      </c>
      <c r="AC35" s="5">
        <v>-7.6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</row>
    <row r="36" spans="2:136" x14ac:dyDescent="0.3">
      <c r="B36" t="s">
        <v>61</v>
      </c>
      <c r="X36" s="5"/>
      <c r="Y36" s="5">
        <v>-1.6</v>
      </c>
      <c r="Z36" s="5">
        <v>5.6</v>
      </c>
      <c r="AA36" s="5">
        <v>-6.7</v>
      </c>
      <c r="AB36" s="5">
        <v>1.3</v>
      </c>
      <c r="AC36" s="5">
        <v>3.9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</row>
    <row r="37" spans="2:136" x14ac:dyDescent="0.3">
      <c r="B37" t="s">
        <v>62</v>
      </c>
      <c r="X37" s="5"/>
      <c r="Y37" s="5">
        <v>6.2</v>
      </c>
      <c r="Z37" s="5">
        <v>3.7</v>
      </c>
      <c r="AA37" s="5">
        <v>8.6999999999999993</v>
      </c>
      <c r="AB37" s="5">
        <v>3.4</v>
      </c>
      <c r="AC37" s="5">
        <v>16.899999999999999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</row>
    <row r="38" spans="2:136" x14ac:dyDescent="0.3">
      <c r="B38" t="s">
        <v>63</v>
      </c>
      <c r="X38" s="5"/>
      <c r="Y38" s="5">
        <v>-0.1</v>
      </c>
      <c r="Z38" s="5">
        <v>0.4</v>
      </c>
      <c r="AA38" s="5">
        <v>-1</v>
      </c>
      <c r="AB38" s="5">
        <v>-0.3</v>
      </c>
      <c r="AC38" s="5">
        <v>5.2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</row>
    <row r="39" spans="2:136" s="1" customFormat="1" x14ac:dyDescent="0.3">
      <c r="B39" s="1" t="s">
        <v>54</v>
      </c>
      <c r="X39" s="8">
        <v>2.2000000000000002</v>
      </c>
      <c r="Y39" s="8">
        <f t="shared" ref="Y39:AD39" si="140">Y28+SUM(Y29:Y38)</f>
        <v>17.700000000000003</v>
      </c>
      <c r="Z39" s="8">
        <f t="shared" si="140"/>
        <v>9.3999999999999702</v>
      </c>
      <c r="AA39" s="8">
        <f t="shared" si="140"/>
        <v>53.600000000000044</v>
      </c>
      <c r="AB39" s="8">
        <f t="shared" si="140"/>
        <v>153.60000000000005</v>
      </c>
      <c r="AC39" s="8">
        <f t="shared" si="140"/>
        <v>285.7</v>
      </c>
      <c r="AD39" s="8">
        <f t="shared" si="140"/>
        <v>291.31149999999985</v>
      </c>
      <c r="AE39" s="8">
        <f t="shared" ref="AE39:AN39" si="141">AE28+SUM(AE29:AE38)</f>
        <v>380.11266550000005</v>
      </c>
      <c r="AF39" s="8">
        <f t="shared" si="141"/>
        <v>503.74680324499985</v>
      </c>
      <c r="AG39" s="8">
        <f t="shared" si="141"/>
        <v>613.8950305382499</v>
      </c>
      <c r="AH39" s="8">
        <f t="shared" si="141"/>
        <v>707.54395481519725</v>
      </c>
      <c r="AI39" s="8">
        <f t="shared" si="141"/>
        <v>782.114468694062</v>
      </c>
      <c r="AJ39" s="8">
        <f t="shared" si="141"/>
        <v>846.24995448216714</v>
      </c>
      <c r="AK39" s="8">
        <f t="shared" si="141"/>
        <v>904.68379739098759</v>
      </c>
      <c r="AL39" s="8">
        <f t="shared" si="141"/>
        <v>966.26306155530938</v>
      </c>
      <c r="AM39" s="8">
        <f t="shared" si="141"/>
        <v>1031.1485056421727</v>
      </c>
      <c r="AN39" s="8">
        <f t="shared" si="141"/>
        <v>1099.5089861342753</v>
      </c>
    </row>
    <row r="40" spans="2:136" s="1" customFormat="1" x14ac:dyDescent="0.3">
      <c r="B40" t="s">
        <v>65</v>
      </c>
      <c r="X40" s="8"/>
      <c r="Y40" s="5">
        <v>0.6</v>
      </c>
      <c r="Z40" s="5">
        <v>2.6</v>
      </c>
      <c r="AA40" s="5">
        <v>4.5999999999999996</v>
      </c>
      <c r="AB40" s="5">
        <v>10.5</v>
      </c>
      <c r="AC40" s="5">
        <v>9</v>
      </c>
      <c r="AD40" s="5">
        <f>AC40*1.1</f>
        <v>9.9</v>
      </c>
      <c r="AE40" s="5">
        <f t="shared" ref="AE40:AN40" si="142">AD40*1.1</f>
        <v>10.89</v>
      </c>
      <c r="AF40" s="5">
        <f t="shared" si="142"/>
        <v>11.979000000000001</v>
      </c>
      <c r="AG40" s="5">
        <f t="shared" si="142"/>
        <v>13.176900000000002</v>
      </c>
      <c r="AH40" s="5">
        <f t="shared" si="142"/>
        <v>14.494590000000002</v>
      </c>
      <c r="AI40" s="5">
        <f t="shared" si="142"/>
        <v>15.944049000000003</v>
      </c>
      <c r="AJ40" s="5">
        <f t="shared" si="142"/>
        <v>17.538453900000004</v>
      </c>
      <c r="AK40" s="5">
        <f t="shared" si="142"/>
        <v>19.292299290000006</v>
      </c>
      <c r="AL40" s="5">
        <f t="shared" si="142"/>
        <v>21.221529219000008</v>
      </c>
      <c r="AM40" s="5">
        <f t="shared" si="142"/>
        <v>23.343682140900011</v>
      </c>
      <c r="AN40" s="5">
        <f t="shared" si="142"/>
        <v>25.678050354990013</v>
      </c>
    </row>
    <row r="41" spans="2:136" s="1" customFormat="1" x14ac:dyDescent="0.3">
      <c r="B41" t="s">
        <v>64</v>
      </c>
      <c r="X41" s="8"/>
      <c r="Y41" s="5">
        <v>3.4</v>
      </c>
      <c r="Z41" s="5">
        <v>3.6</v>
      </c>
      <c r="AA41" s="5">
        <v>5.6</v>
      </c>
      <c r="AB41" s="5">
        <v>3.2</v>
      </c>
      <c r="AC41" s="5">
        <v>12.1</v>
      </c>
      <c r="AD41" s="5">
        <f>AC41*1.1</f>
        <v>13.31</v>
      </c>
      <c r="AE41" s="5">
        <f t="shared" ref="AE41:AN41" si="143">AD41*1.1</f>
        <v>14.641000000000002</v>
      </c>
      <c r="AF41" s="5">
        <f t="shared" si="143"/>
        <v>16.105100000000004</v>
      </c>
      <c r="AG41" s="5">
        <f t="shared" si="143"/>
        <v>17.715610000000005</v>
      </c>
      <c r="AH41" s="5">
        <f t="shared" si="143"/>
        <v>19.487171000000007</v>
      </c>
      <c r="AI41" s="5">
        <f t="shared" si="143"/>
        <v>21.43588810000001</v>
      </c>
      <c r="AJ41" s="5">
        <f t="shared" si="143"/>
        <v>23.579476910000015</v>
      </c>
      <c r="AK41" s="5">
        <f t="shared" si="143"/>
        <v>25.937424601000018</v>
      </c>
      <c r="AL41" s="5">
        <f t="shared" si="143"/>
        <v>28.531167061100021</v>
      </c>
      <c r="AM41" s="5">
        <f t="shared" si="143"/>
        <v>31.384283767210025</v>
      </c>
      <c r="AN41" s="5">
        <f t="shared" si="143"/>
        <v>34.522712143931031</v>
      </c>
    </row>
    <row r="42" spans="2:136" x14ac:dyDescent="0.3">
      <c r="B42" t="s">
        <v>66</v>
      </c>
      <c r="X42" s="5">
        <f>X39-X43</f>
        <v>5.3000000000000007</v>
      </c>
      <c r="Y42" s="5">
        <f t="shared" ref="Y42:AD42" si="144">SUM(Y40:Y41)</f>
        <v>4</v>
      </c>
      <c r="Z42" s="5">
        <f t="shared" si="144"/>
        <v>6.2</v>
      </c>
      <c r="AA42" s="5">
        <f t="shared" si="144"/>
        <v>10.199999999999999</v>
      </c>
      <c r="AB42" s="5">
        <f t="shared" si="144"/>
        <v>13.7</v>
      </c>
      <c r="AC42" s="5">
        <f t="shared" si="144"/>
        <v>21.1</v>
      </c>
      <c r="AD42" s="5">
        <f t="shared" si="144"/>
        <v>23.21</v>
      </c>
      <c r="AE42" s="5">
        <f t="shared" ref="AE42:AN42" si="145">SUM(AE40:AE41)</f>
        <v>25.531000000000002</v>
      </c>
      <c r="AF42" s="5">
        <f t="shared" si="145"/>
        <v>28.084100000000007</v>
      </c>
      <c r="AG42" s="5">
        <f t="shared" si="145"/>
        <v>30.892510000000009</v>
      </c>
      <c r="AH42" s="5">
        <f t="shared" si="145"/>
        <v>33.981761000000006</v>
      </c>
      <c r="AI42" s="5">
        <f t="shared" si="145"/>
        <v>37.379937100000014</v>
      </c>
      <c r="AJ42" s="5">
        <f t="shared" si="145"/>
        <v>41.117930810000018</v>
      </c>
      <c r="AK42" s="5">
        <f t="shared" si="145"/>
        <v>45.22972389100002</v>
      </c>
      <c r="AL42" s="5">
        <f t="shared" si="145"/>
        <v>49.752696280100025</v>
      </c>
      <c r="AM42" s="5">
        <f t="shared" si="145"/>
        <v>54.727965908110036</v>
      </c>
      <c r="AN42" s="5">
        <f t="shared" si="145"/>
        <v>60.200762498921044</v>
      </c>
    </row>
    <row r="43" spans="2:136" s="1" customFormat="1" x14ac:dyDescent="0.3">
      <c r="B43" s="1" t="s">
        <v>53</v>
      </c>
      <c r="X43" s="1">
        <v>-3.1</v>
      </c>
      <c r="Y43" s="8">
        <f t="shared" ref="Y43:AD43" si="146">Y39-Y42</f>
        <v>13.700000000000003</v>
      </c>
      <c r="Z43" s="8">
        <f t="shared" si="146"/>
        <v>3.19999999999997</v>
      </c>
      <c r="AA43" s="8">
        <f t="shared" si="146"/>
        <v>43.400000000000048</v>
      </c>
      <c r="AB43" s="8">
        <f t="shared" si="146"/>
        <v>139.90000000000006</v>
      </c>
      <c r="AC43" s="8">
        <f t="shared" si="146"/>
        <v>264.59999999999997</v>
      </c>
      <c r="AD43" s="8">
        <f t="shared" si="146"/>
        <v>268.10149999999987</v>
      </c>
      <c r="AE43" s="8">
        <f t="shared" ref="AE43:AN43" si="147">AE39-AE42</f>
        <v>354.58166550000004</v>
      </c>
      <c r="AF43" s="8">
        <f t="shared" si="147"/>
        <v>475.66270324499988</v>
      </c>
      <c r="AG43" s="8">
        <f t="shared" si="147"/>
        <v>583.00252053824988</v>
      </c>
      <c r="AH43" s="8">
        <f t="shared" si="147"/>
        <v>673.56219381519725</v>
      </c>
      <c r="AI43" s="8">
        <f t="shared" si="147"/>
        <v>744.73453159406199</v>
      </c>
      <c r="AJ43" s="8">
        <f t="shared" si="147"/>
        <v>805.13202367216718</v>
      </c>
      <c r="AK43" s="8">
        <f t="shared" si="147"/>
        <v>859.45407349998754</v>
      </c>
      <c r="AL43" s="8">
        <f t="shared" si="147"/>
        <v>916.51036527520932</v>
      </c>
      <c r="AM43" s="8">
        <f t="shared" si="147"/>
        <v>976.42053973406269</v>
      </c>
      <c r="AN43" s="8">
        <f t="shared" si="147"/>
        <v>1039.3082236353544</v>
      </c>
      <c r="AO43" s="1">
        <f>AN43*(1+$AR$21)</f>
        <v>1028.9151413990007</v>
      </c>
      <c r="AP43" s="1">
        <f t="shared" ref="AP43:DA43" si="148">AO43*(1+$AR$21)</f>
        <v>1018.6259899850107</v>
      </c>
      <c r="AQ43" s="1">
        <f t="shared" si="148"/>
        <v>1008.4397300851606</v>
      </c>
      <c r="AR43" s="1">
        <f t="shared" si="148"/>
        <v>998.35533278430898</v>
      </c>
      <c r="AS43" s="1">
        <f t="shared" si="148"/>
        <v>988.3717794564659</v>
      </c>
      <c r="AT43" s="1">
        <f t="shared" si="148"/>
        <v>978.48806166190127</v>
      </c>
      <c r="AU43" s="1">
        <f t="shared" si="148"/>
        <v>968.70318104528224</v>
      </c>
      <c r="AV43" s="1">
        <f t="shared" si="148"/>
        <v>959.01614923482941</v>
      </c>
      <c r="AW43" s="1">
        <f t="shared" si="148"/>
        <v>949.42598774248108</v>
      </c>
      <c r="AX43" s="1">
        <f t="shared" si="148"/>
        <v>939.93172786505625</v>
      </c>
      <c r="AY43" s="1">
        <f t="shared" si="148"/>
        <v>930.53241058640572</v>
      </c>
      <c r="AZ43" s="1">
        <f t="shared" si="148"/>
        <v>921.22708648054163</v>
      </c>
      <c r="BA43" s="1">
        <f t="shared" si="148"/>
        <v>912.01481561573621</v>
      </c>
      <c r="BB43" s="1">
        <f t="shared" si="148"/>
        <v>902.89466745957884</v>
      </c>
      <c r="BC43" s="1">
        <f t="shared" si="148"/>
        <v>893.86572078498307</v>
      </c>
      <c r="BD43" s="1">
        <f t="shared" si="148"/>
        <v>884.92706357713325</v>
      </c>
      <c r="BE43" s="1">
        <f t="shared" si="148"/>
        <v>876.07779294136196</v>
      </c>
      <c r="BF43" s="1">
        <f t="shared" si="148"/>
        <v>867.31701501194834</v>
      </c>
      <c r="BG43" s="1">
        <f t="shared" si="148"/>
        <v>858.64384486182882</v>
      </c>
      <c r="BH43" s="1">
        <f t="shared" si="148"/>
        <v>850.05740641321051</v>
      </c>
      <c r="BI43" s="1">
        <f t="shared" si="148"/>
        <v>841.55683234907838</v>
      </c>
      <c r="BJ43" s="1">
        <f t="shared" si="148"/>
        <v>833.14126402558759</v>
      </c>
      <c r="BK43" s="1">
        <f t="shared" si="148"/>
        <v>824.80985138533174</v>
      </c>
      <c r="BL43" s="1">
        <f t="shared" si="148"/>
        <v>816.56175287147846</v>
      </c>
      <c r="BM43" s="1">
        <f t="shared" si="148"/>
        <v>808.39613534276361</v>
      </c>
      <c r="BN43" s="1">
        <f t="shared" si="148"/>
        <v>800.31217398933597</v>
      </c>
      <c r="BO43" s="1">
        <f t="shared" si="148"/>
        <v>792.30905224944263</v>
      </c>
      <c r="BP43" s="1">
        <f t="shared" si="148"/>
        <v>784.38596172694815</v>
      </c>
      <c r="BQ43" s="1">
        <f t="shared" si="148"/>
        <v>776.54210210967869</v>
      </c>
      <c r="BR43" s="1">
        <f t="shared" si="148"/>
        <v>768.77668108858188</v>
      </c>
      <c r="BS43" s="1">
        <f t="shared" si="148"/>
        <v>761.08891427769606</v>
      </c>
      <c r="BT43" s="1">
        <f t="shared" si="148"/>
        <v>753.47802513491911</v>
      </c>
      <c r="BU43" s="1">
        <f t="shared" si="148"/>
        <v>745.94324488356995</v>
      </c>
      <c r="BV43" s="1">
        <f t="shared" si="148"/>
        <v>738.4838124347342</v>
      </c>
      <c r="BW43" s="1">
        <f t="shared" si="148"/>
        <v>731.09897431038689</v>
      </c>
      <c r="BX43" s="1">
        <f t="shared" si="148"/>
        <v>723.78798456728305</v>
      </c>
      <c r="BY43" s="1">
        <f t="shared" si="148"/>
        <v>716.55010472161018</v>
      </c>
      <c r="BZ43" s="1">
        <f t="shared" si="148"/>
        <v>709.38460367439404</v>
      </c>
      <c r="CA43" s="1">
        <f t="shared" si="148"/>
        <v>702.29075763765013</v>
      </c>
      <c r="CB43" s="1">
        <f t="shared" si="148"/>
        <v>695.26785006127363</v>
      </c>
      <c r="CC43" s="1">
        <f t="shared" si="148"/>
        <v>688.31517156066093</v>
      </c>
      <c r="CD43" s="1">
        <f t="shared" si="148"/>
        <v>681.43201984505436</v>
      </c>
      <c r="CE43" s="1">
        <f t="shared" si="148"/>
        <v>674.6176996466038</v>
      </c>
      <c r="CF43" s="1">
        <f t="shared" si="148"/>
        <v>667.87152265013776</v>
      </c>
      <c r="CG43" s="1">
        <f t="shared" si="148"/>
        <v>661.1928074236364</v>
      </c>
      <c r="CH43" s="1">
        <f t="shared" si="148"/>
        <v>654.58087934939999</v>
      </c>
      <c r="CI43" s="1">
        <f t="shared" si="148"/>
        <v>648.03507055590603</v>
      </c>
      <c r="CJ43" s="1">
        <f t="shared" si="148"/>
        <v>641.55471985034694</v>
      </c>
      <c r="CK43" s="1">
        <f t="shared" si="148"/>
        <v>635.13917265184341</v>
      </c>
      <c r="CL43" s="1">
        <f t="shared" si="148"/>
        <v>628.78778092532502</v>
      </c>
      <c r="CM43" s="1">
        <f t="shared" si="148"/>
        <v>622.49990311607178</v>
      </c>
      <c r="CN43" s="1">
        <f t="shared" si="148"/>
        <v>616.2749040849111</v>
      </c>
      <c r="CO43" s="1">
        <f t="shared" si="148"/>
        <v>610.11215504406198</v>
      </c>
      <c r="CP43" s="1">
        <f t="shared" si="148"/>
        <v>604.01103349362131</v>
      </c>
      <c r="CQ43" s="1">
        <f t="shared" si="148"/>
        <v>597.97092315868508</v>
      </c>
      <c r="CR43" s="1">
        <f t="shared" si="148"/>
        <v>591.99121392709822</v>
      </c>
      <c r="CS43" s="1">
        <f t="shared" si="148"/>
        <v>586.07130178782722</v>
      </c>
      <c r="CT43" s="1">
        <f t="shared" si="148"/>
        <v>580.21058876994891</v>
      </c>
      <c r="CU43" s="1">
        <f t="shared" si="148"/>
        <v>574.40848288224947</v>
      </c>
      <c r="CV43" s="1">
        <f t="shared" si="148"/>
        <v>568.66439805342702</v>
      </c>
      <c r="CW43" s="1">
        <f t="shared" si="148"/>
        <v>562.97775407289271</v>
      </c>
      <c r="CX43" s="1">
        <f t="shared" si="148"/>
        <v>557.34797653216378</v>
      </c>
      <c r="CY43" s="1">
        <f t="shared" si="148"/>
        <v>551.77449676684216</v>
      </c>
      <c r="CZ43" s="1">
        <f t="shared" si="148"/>
        <v>546.25675179917368</v>
      </c>
      <c r="DA43" s="1">
        <f t="shared" si="148"/>
        <v>540.79418428118197</v>
      </c>
      <c r="DB43" s="1">
        <f t="shared" ref="DB43:EF43" si="149">DA43*(1+$AR$21)</f>
        <v>535.38624243837012</v>
      </c>
      <c r="DC43" s="1">
        <f t="shared" si="149"/>
        <v>530.03238001398643</v>
      </c>
      <c r="DD43" s="1">
        <f t="shared" si="149"/>
        <v>524.73205621384659</v>
      </c>
      <c r="DE43" s="1">
        <f t="shared" si="149"/>
        <v>519.48473565170809</v>
      </c>
      <c r="DF43" s="1">
        <f t="shared" si="149"/>
        <v>514.28988829519096</v>
      </c>
      <c r="DG43" s="1">
        <f t="shared" si="149"/>
        <v>509.14698941223907</v>
      </c>
      <c r="DH43" s="1">
        <f t="shared" si="149"/>
        <v>504.05551951811668</v>
      </c>
      <c r="DI43" s="1">
        <f t="shared" si="149"/>
        <v>499.0149643229355</v>
      </c>
      <c r="DJ43" s="1">
        <f t="shared" si="149"/>
        <v>494.02481467970614</v>
      </c>
      <c r="DK43" s="1">
        <f t="shared" si="149"/>
        <v>489.08456653290909</v>
      </c>
      <c r="DL43" s="1">
        <f t="shared" si="149"/>
        <v>484.19372086758</v>
      </c>
      <c r="DM43" s="1">
        <f t="shared" si="149"/>
        <v>479.3517836589042</v>
      </c>
      <c r="DN43" s="1">
        <f t="shared" si="149"/>
        <v>474.55826582231515</v>
      </c>
      <c r="DO43" s="1">
        <f t="shared" si="149"/>
        <v>469.81268316409199</v>
      </c>
      <c r="DP43" s="1">
        <f t="shared" si="149"/>
        <v>465.11455633245106</v>
      </c>
      <c r="DQ43" s="1">
        <f t="shared" si="149"/>
        <v>460.46341076912654</v>
      </c>
      <c r="DR43" s="1">
        <f t="shared" si="149"/>
        <v>455.85877666143529</v>
      </c>
      <c r="DS43" s="1">
        <f t="shared" si="149"/>
        <v>451.30018889482091</v>
      </c>
      <c r="DT43" s="1">
        <f t="shared" si="149"/>
        <v>446.78718700587268</v>
      </c>
      <c r="DU43" s="1">
        <f t="shared" si="149"/>
        <v>442.31931513581395</v>
      </c>
      <c r="DV43" s="1">
        <f t="shared" si="149"/>
        <v>437.89612198445582</v>
      </c>
      <c r="DW43" s="1">
        <f t="shared" si="149"/>
        <v>433.51716076461128</v>
      </c>
      <c r="DX43" s="1">
        <f t="shared" si="149"/>
        <v>429.18198915696519</v>
      </c>
      <c r="DY43" s="1">
        <f t="shared" si="149"/>
        <v>424.89016926539551</v>
      </c>
      <c r="DZ43" s="1">
        <f t="shared" si="149"/>
        <v>420.64126757274158</v>
      </c>
      <c r="EA43" s="1">
        <f t="shared" si="149"/>
        <v>416.43485489701419</v>
      </c>
      <c r="EB43" s="1">
        <f t="shared" si="149"/>
        <v>412.27050634804402</v>
      </c>
      <c r="EC43" s="1">
        <f t="shared" si="149"/>
        <v>408.14780128456357</v>
      </c>
      <c r="ED43" s="1">
        <f t="shared" si="149"/>
        <v>404.06632327171792</v>
      </c>
      <c r="EE43" s="1">
        <f t="shared" si="149"/>
        <v>400.02566003900074</v>
      </c>
      <c r="EF43" s="1">
        <f t="shared" si="149"/>
        <v>396.02540343861074</v>
      </c>
    </row>
    <row r="46" spans="2:136" x14ac:dyDescent="0.3">
      <c r="AR46" s="5">
        <f>NPV(AR22,AD43:EF43)</f>
        <v>9478.703973408552</v>
      </c>
    </row>
    <row r="47" spans="2:136" x14ac:dyDescent="0.3">
      <c r="AR47" s="5">
        <f>Main!D8</f>
        <v>1097.9000000000001</v>
      </c>
    </row>
    <row r="48" spans="2:136" x14ac:dyDescent="0.3">
      <c r="AR48" s="5">
        <f>AR46+AR47</f>
        <v>10576.603973408552</v>
      </c>
    </row>
    <row r="49" spans="44:44" x14ac:dyDescent="0.3">
      <c r="AR49" s="4">
        <f>AR48/AN16</f>
        <v>230.93021776001206</v>
      </c>
    </row>
    <row r="50" spans="44:44" x14ac:dyDescent="0.3">
      <c r="AR50" s="4">
        <f>Main!D3</f>
        <v>278.74</v>
      </c>
    </row>
    <row r="51" spans="44:44" x14ac:dyDescent="0.3">
      <c r="AR51" s="10">
        <f>AR49/AR50-1</f>
        <v>-0.17152106708756532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2025-04-01T12:20:19Z</dcterms:created>
  <dcterms:modified xsi:type="dcterms:W3CDTF">2025-09-09T15:55:58Z</dcterms:modified>
</cp:coreProperties>
</file>