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05B34ADF-A4C3-44A1-95C9-85E242DEA68F}" xr6:coauthVersionLast="47" xr6:coauthVersionMax="47" xr10:uidLastSave="{00000000-0000-0000-0000-000000000000}"/>
  <bookViews>
    <workbookView xWindow="-108" yWindow="-108" windowWidth="23256" windowHeight="12576" activeTab="1" xr2:uid="{9EA5A098-45C5-472E-8765-EE9A7145AF0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62" i="2" l="1"/>
  <c r="AJ62" i="2" s="1"/>
  <c r="V62" i="2"/>
  <c r="V61" i="2"/>
  <c r="V59" i="2"/>
  <c r="V58" i="2"/>
  <c r="V57" i="2"/>
  <c r="V56" i="2"/>
  <c r="V55" i="2"/>
  <c r="V54" i="2"/>
  <c r="V53" i="2"/>
  <c r="V52" i="2"/>
  <c r="V51" i="2"/>
  <c r="V50" i="2"/>
  <c r="V49" i="2"/>
  <c r="V38" i="2"/>
  <c r="V37" i="2"/>
  <c r="V36" i="2"/>
  <c r="V35" i="2"/>
  <c r="V16" i="2"/>
  <c r="V15" i="2"/>
  <c r="V14" i="2"/>
  <c r="V13" i="2"/>
  <c r="V12" i="2"/>
  <c r="V34" i="2"/>
  <c r="V33" i="2"/>
  <c r="Z46" i="2"/>
  <c r="Y46" i="2"/>
  <c r="X46" i="2"/>
  <c r="W46" i="2"/>
  <c r="Z45" i="2"/>
  <c r="Y45" i="2"/>
  <c r="X45" i="2"/>
  <c r="W45" i="2"/>
  <c r="Z44" i="2"/>
  <c r="Y44" i="2"/>
  <c r="X44" i="2"/>
  <c r="W44" i="2"/>
  <c r="Z43" i="2"/>
  <c r="Y43" i="2"/>
  <c r="X43" i="2"/>
  <c r="W43" i="2"/>
  <c r="Z42" i="2"/>
  <c r="Y42" i="2"/>
  <c r="X42" i="2"/>
  <c r="W42" i="2"/>
  <c r="Z41" i="2"/>
  <c r="Y41" i="2"/>
  <c r="X41" i="2"/>
  <c r="W41" i="2"/>
  <c r="Z40" i="2"/>
  <c r="Y40" i="2"/>
  <c r="X40" i="2"/>
  <c r="W40" i="2"/>
  <c r="Z39" i="2"/>
  <c r="Y39" i="2"/>
  <c r="X39" i="2"/>
  <c r="W39" i="2"/>
  <c r="W17" i="2"/>
  <c r="AI17" i="2"/>
  <c r="D6" i="1"/>
  <c r="AH34" i="2"/>
  <c r="AH33" i="2"/>
  <c r="AH10" i="2"/>
  <c r="AH9" i="2"/>
  <c r="V6" i="2"/>
  <c r="V5" i="2"/>
  <c r="V19" i="2"/>
  <c r="T5" i="2"/>
  <c r="S5" i="2"/>
  <c r="R5" i="2"/>
  <c r="Q5" i="2"/>
  <c r="P5" i="2"/>
  <c r="O5" i="2"/>
  <c r="N5" i="2"/>
  <c r="U5" i="2"/>
  <c r="AF38" i="2"/>
  <c r="AE38" i="2"/>
  <c r="AF37" i="2"/>
  <c r="AE37" i="2"/>
  <c r="AF36" i="2"/>
  <c r="AE36" i="2"/>
  <c r="AF35" i="2"/>
  <c r="AE35" i="2"/>
  <c r="AF34" i="2"/>
  <c r="AF33" i="2"/>
  <c r="AG38" i="2"/>
  <c r="AG37" i="2"/>
  <c r="AG36" i="2"/>
  <c r="AG35" i="2"/>
  <c r="AG34" i="2"/>
  <c r="AG33" i="2"/>
  <c r="R16" i="2"/>
  <c r="R15" i="2"/>
  <c r="R14" i="2"/>
  <c r="R13" i="2"/>
  <c r="R12" i="2"/>
  <c r="S38" i="2"/>
  <c r="S37" i="2"/>
  <c r="S36" i="2"/>
  <c r="S35" i="2"/>
  <c r="S34" i="2"/>
  <c r="S33" i="2"/>
  <c r="AD17" i="2"/>
  <c r="AE17" i="2"/>
  <c r="AF17" i="2"/>
  <c r="AG17" i="2"/>
  <c r="R10" i="2"/>
  <c r="R9" i="2"/>
  <c r="Q17" i="2"/>
  <c r="P17" i="2"/>
  <c r="O17" i="2"/>
  <c r="T17" i="2"/>
  <c r="S17" i="2"/>
  <c r="U17" i="2"/>
  <c r="R6" i="2"/>
  <c r="J6" i="2"/>
  <c r="N6" i="2"/>
  <c r="O6" i="2"/>
  <c r="S6" i="2"/>
  <c r="P6" i="2"/>
  <c r="T6" i="2"/>
  <c r="T38" i="2"/>
  <c r="T37" i="2"/>
  <c r="T36" i="2"/>
  <c r="T35" i="2"/>
  <c r="T34" i="2"/>
  <c r="T33" i="2"/>
  <c r="U38" i="2"/>
  <c r="U37" i="2"/>
  <c r="U36" i="2"/>
  <c r="U35" i="2"/>
  <c r="U34" i="2"/>
  <c r="U33" i="2"/>
  <c r="Q6" i="2"/>
  <c r="U6" i="2"/>
  <c r="V63" i="2" l="1"/>
  <c r="Q49" i="2"/>
  <c r="R49" i="2" s="1"/>
  <c r="Q83" i="2"/>
  <c r="U49" i="2"/>
  <c r="U83" i="2"/>
  <c r="T62" i="2"/>
  <c r="U62" i="2" s="1"/>
  <c r="T61" i="2"/>
  <c r="T59" i="2"/>
  <c r="U59" i="2" s="1"/>
  <c r="T58" i="2"/>
  <c r="U58" i="2" s="1"/>
  <c r="T57" i="2"/>
  <c r="U57" i="2" s="1"/>
  <c r="T56" i="2"/>
  <c r="U56" i="2" s="1"/>
  <c r="T55" i="2"/>
  <c r="U55" i="2" s="1"/>
  <c r="T54" i="2"/>
  <c r="U54" i="2" s="1"/>
  <c r="T53" i="2"/>
  <c r="U53" i="2" s="1"/>
  <c r="T52" i="2"/>
  <c r="U52" i="2" s="1"/>
  <c r="T51" i="2"/>
  <c r="U51" i="2" s="1"/>
  <c r="T50" i="2"/>
  <c r="U50" i="2" s="1"/>
  <c r="T83" i="2"/>
  <c r="P62" i="2"/>
  <c r="Q62" i="2" s="1"/>
  <c r="R62" i="2" s="1"/>
  <c r="P61" i="2"/>
  <c r="P59" i="2"/>
  <c r="Q59" i="2" s="1"/>
  <c r="R59" i="2" s="1"/>
  <c r="P58" i="2"/>
  <c r="Q58" i="2" s="1"/>
  <c r="R58" i="2" s="1"/>
  <c r="P57" i="2"/>
  <c r="Q57" i="2" s="1"/>
  <c r="R57" i="2" s="1"/>
  <c r="P56" i="2"/>
  <c r="Q56" i="2" s="1"/>
  <c r="R56" i="2" s="1"/>
  <c r="P55" i="2"/>
  <c r="Q55" i="2" s="1"/>
  <c r="R55" i="2" s="1"/>
  <c r="P54" i="2"/>
  <c r="Q54" i="2" s="1"/>
  <c r="R54" i="2" s="1"/>
  <c r="P53" i="2"/>
  <c r="Q53" i="2" s="1"/>
  <c r="R53" i="2" s="1"/>
  <c r="P52" i="2"/>
  <c r="Q52" i="2" s="1"/>
  <c r="P51" i="2"/>
  <c r="Q51" i="2" s="1"/>
  <c r="R51" i="2" s="1"/>
  <c r="P50" i="2"/>
  <c r="Q50" i="2" s="1"/>
  <c r="R50" i="2" s="1"/>
  <c r="P83" i="2"/>
  <c r="O63" i="2"/>
  <c r="S63" i="2"/>
  <c r="D5" i="1"/>
  <c r="AH22" i="2"/>
  <c r="AH20" i="2"/>
  <c r="AH26" i="2"/>
  <c r="AI26" i="2" s="1"/>
  <c r="AJ26" i="2" s="1"/>
  <c r="AK26" i="2" s="1"/>
  <c r="AL26" i="2" s="1"/>
  <c r="AM26" i="2" s="1"/>
  <c r="AN26" i="2" s="1"/>
  <c r="AO26" i="2" s="1"/>
  <c r="AP26" i="2" s="1"/>
  <c r="AQ26" i="2" s="1"/>
  <c r="AR26" i="2" s="1"/>
  <c r="U19" i="2"/>
  <c r="D8" i="1"/>
  <c r="AV67" i="2" s="1"/>
  <c r="U30" i="2"/>
  <c r="U23" i="2"/>
  <c r="T19" i="2"/>
  <c r="S30" i="2"/>
  <c r="AV70" i="2"/>
  <c r="AI61" i="2"/>
  <c r="AJ61" i="2" s="1"/>
  <c r="AV47" i="2"/>
  <c r="AH25" i="2"/>
  <c r="AI25" i="2" s="1"/>
  <c r="AJ25" i="2" s="1"/>
  <c r="AK25" i="2" s="1"/>
  <c r="T43" i="2"/>
  <c r="S43" i="2"/>
  <c r="U43" i="2"/>
  <c r="S42" i="2"/>
  <c r="T23" i="2"/>
  <c r="U41" i="2"/>
  <c r="S41" i="2"/>
  <c r="T41" i="2"/>
  <c r="S39" i="2"/>
  <c r="AE63" i="2"/>
  <c r="AF52" i="2"/>
  <c r="AF63" i="2"/>
  <c r="AG52" i="2"/>
  <c r="AG63" i="2"/>
  <c r="AD63" i="2"/>
  <c r="AC63" i="2"/>
  <c r="AC43" i="2"/>
  <c r="AC42" i="2"/>
  <c r="AB42" i="2"/>
  <c r="AC41" i="2"/>
  <c r="AC39" i="2"/>
  <c r="AB23" i="2"/>
  <c r="AB19" i="2"/>
  <c r="AB40" i="2" s="1"/>
  <c r="AC23" i="2"/>
  <c r="AC19" i="2"/>
  <c r="AC40" i="2" s="1"/>
  <c r="AD28" i="2"/>
  <c r="AD26" i="2"/>
  <c r="AD25" i="2"/>
  <c r="AD22" i="2"/>
  <c r="AD43" i="2" s="1"/>
  <c r="AD21" i="2"/>
  <c r="AD20" i="2"/>
  <c r="AD18" i="2"/>
  <c r="AD39" i="2"/>
  <c r="AE28" i="2"/>
  <c r="AE26" i="2"/>
  <c r="AE25" i="2"/>
  <c r="AE22" i="2"/>
  <c r="AE21" i="2"/>
  <c r="AE20" i="2"/>
  <c r="AE41" i="2" s="1"/>
  <c r="AE18" i="2"/>
  <c r="AF28" i="2"/>
  <c r="AF26" i="2"/>
  <c r="AF25" i="2"/>
  <c r="AF22" i="2"/>
  <c r="AF21" i="2"/>
  <c r="AF20" i="2"/>
  <c r="AF18" i="2"/>
  <c r="AG28" i="2"/>
  <c r="AG26" i="2"/>
  <c r="AG25" i="2"/>
  <c r="AG22" i="2"/>
  <c r="AG21" i="2"/>
  <c r="AG20" i="2"/>
  <c r="AG18" i="2"/>
  <c r="Q43" i="2"/>
  <c r="P43" i="2"/>
  <c r="O43" i="2"/>
  <c r="N43" i="2"/>
  <c r="M43" i="2"/>
  <c r="L43" i="2"/>
  <c r="K43" i="2"/>
  <c r="J43" i="2"/>
  <c r="I43" i="2"/>
  <c r="H43" i="2"/>
  <c r="G43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Q41" i="2"/>
  <c r="P41" i="2"/>
  <c r="O41" i="2"/>
  <c r="N41" i="2"/>
  <c r="M41" i="2"/>
  <c r="L41" i="2"/>
  <c r="K41" i="2"/>
  <c r="J41" i="2"/>
  <c r="I41" i="2"/>
  <c r="H41" i="2"/>
  <c r="G41" i="2"/>
  <c r="Q39" i="2"/>
  <c r="P39" i="2"/>
  <c r="O39" i="2"/>
  <c r="N39" i="2"/>
  <c r="M39" i="2"/>
  <c r="L39" i="2"/>
  <c r="K39" i="2"/>
  <c r="J39" i="2"/>
  <c r="I39" i="2"/>
  <c r="H39" i="2"/>
  <c r="G39" i="2"/>
  <c r="R42" i="2"/>
  <c r="R43" i="2"/>
  <c r="R41" i="2"/>
  <c r="R39" i="2"/>
  <c r="C23" i="2"/>
  <c r="C19" i="2"/>
  <c r="C40" i="2" s="1"/>
  <c r="G23" i="2"/>
  <c r="G19" i="2"/>
  <c r="G40" i="2" s="1"/>
  <c r="D23" i="2"/>
  <c r="D19" i="2"/>
  <c r="D40" i="2" s="1"/>
  <c r="H23" i="2"/>
  <c r="H19" i="2"/>
  <c r="H40" i="2" s="1"/>
  <c r="E23" i="2"/>
  <c r="E19" i="2"/>
  <c r="E40" i="2" s="1"/>
  <c r="I23" i="2"/>
  <c r="I19" i="2"/>
  <c r="I40" i="2" s="1"/>
  <c r="F23" i="2"/>
  <c r="F19" i="2"/>
  <c r="F40" i="2" s="1"/>
  <c r="J23" i="2"/>
  <c r="J19" i="2"/>
  <c r="J40" i="2" s="1"/>
  <c r="K23" i="2"/>
  <c r="K19" i="2"/>
  <c r="K40" i="2" s="1"/>
  <c r="O23" i="2"/>
  <c r="O19" i="2"/>
  <c r="O40" i="2" s="1"/>
  <c r="L23" i="2"/>
  <c r="L19" i="2"/>
  <c r="L40" i="2" s="1"/>
  <c r="P23" i="2"/>
  <c r="P19" i="2"/>
  <c r="P40" i="2" s="1"/>
  <c r="M23" i="2"/>
  <c r="M19" i="2"/>
  <c r="M40" i="2" s="1"/>
  <c r="Q23" i="2"/>
  <c r="Q19" i="2"/>
  <c r="Q40" i="2" s="1"/>
  <c r="N23" i="2"/>
  <c r="N19" i="2"/>
  <c r="N40" i="2" s="1"/>
  <c r="R23" i="2"/>
  <c r="R19" i="2"/>
  <c r="R40" i="2" s="1"/>
  <c r="F3" i="1"/>
  <c r="AF41" i="2" l="1"/>
  <c r="AG43" i="2"/>
  <c r="R52" i="2"/>
  <c r="AI50" i="2"/>
  <c r="AJ50" i="2" s="1"/>
  <c r="AK50" i="2" s="1"/>
  <c r="AL50" i="2" s="1"/>
  <c r="AM50" i="2" s="1"/>
  <c r="AN50" i="2" s="1"/>
  <c r="AO50" i="2" s="1"/>
  <c r="AP50" i="2" s="1"/>
  <c r="AQ50" i="2" s="1"/>
  <c r="AR50" i="2" s="1"/>
  <c r="AI51" i="2"/>
  <c r="AJ51" i="2" s="1"/>
  <c r="AK51" i="2" s="1"/>
  <c r="AL51" i="2" s="1"/>
  <c r="AM51" i="2" s="1"/>
  <c r="AN51" i="2" s="1"/>
  <c r="AO51" i="2" s="1"/>
  <c r="AP51" i="2" s="1"/>
  <c r="AQ51" i="2" s="1"/>
  <c r="AR51" i="2" s="1"/>
  <c r="T63" i="2"/>
  <c r="P63" i="2"/>
  <c r="V43" i="2"/>
  <c r="U61" i="2"/>
  <c r="U63" i="2" s="1"/>
  <c r="Q61" i="2"/>
  <c r="R61" i="2" s="1"/>
  <c r="V41" i="2"/>
  <c r="AG41" i="2"/>
  <c r="AH43" i="2"/>
  <c r="AH63" i="2"/>
  <c r="V23" i="2"/>
  <c r="V24" i="2" s="1"/>
  <c r="V27" i="2" s="1"/>
  <c r="V45" i="2" s="1"/>
  <c r="AI22" i="2"/>
  <c r="AJ22" i="2" s="1"/>
  <c r="AK22" i="2" s="1"/>
  <c r="AL22" i="2" s="1"/>
  <c r="AM22" i="2" s="1"/>
  <c r="AN22" i="2" s="1"/>
  <c r="AO22" i="2" s="1"/>
  <c r="AP22" i="2" s="1"/>
  <c r="AQ22" i="2" s="1"/>
  <c r="AR22" i="2" s="1"/>
  <c r="AI20" i="2"/>
  <c r="AJ20" i="2" s="1"/>
  <c r="AK20" i="2" s="1"/>
  <c r="AK62" i="2"/>
  <c r="AL62" i="2" s="1"/>
  <c r="AM62" i="2" s="1"/>
  <c r="AN62" i="2" s="1"/>
  <c r="AO62" i="2" s="1"/>
  <c r="AP62" i="2" s="1"/>
  <c r="AQ62" i="2" s="1"/>
  <c r="AR62" i="2" s="1"/>
  <c r="U24" i="2"/>
  <c r="U27" i="2" s="1"/>
  <c r="U45" i="2" s="1"/>
  <c r="T24" i="2"/>
  <c r="T27" i="2" s="1"/>
  <c r="AH21" i="2"/>
  <c r="AH23" i="2" s="1"/>
  <c r="S23" i="2"/>
  <c r="D9" i="1"/>
  <c r="AV44" i="2"/>
  <c r="AK61" i="2"/>
  <c r="AL25" i="2"/>
  <c r="AH41" i="2"/>
  <c r="AH17" i="2"/>
  <c r="V39" i="2"/>
  <c r="T42" i="2"/>
  <c r="T40" i="2"/>
  <c r="V40" i="2"/>
  <c r="U42" i="2"/>
  <c r="U39" i="2"/>
  <c r="V42" i="2"/>
  <c r="T39" i="2"/>
  <c r="AF39" i="2"/>
  <c r="AF43" i="2"/>
  <c r="AE39" i="2"/>
  <c r="AG39" i="2"/>
  <c r="AG19" i="2"/>
  <c r="AG40" i="2" s="1"/>
  <c r="AG42" i="2"/>
  <c r="AF42" i="2"/>
  <c r="AE42" i="2"/>
  <c r="AD42" i="2"/>
  <c r="AE23" i="2"/>
  <c r="I24" i="2"/>
  <c r="I27" i="2" s="1"/>
  <c r="I29" i="2" s="1"/>
  <c r="I31" i="2" s="1"/>
  <c r="AE43" i="2"/>
  <c r="Q24" i="2"/>
  <c r="AB24" i="2"/>
  <c r="AC24" i="2"/>
  <c r="AD41" i="2"/>
  <c r="AD23" i="2"/>
  <c r="AD19" i="2"/>
  <c r="AD40" i="2" s="1"/>
  <c r="AE19" i="2"/>
  <c r="AF23" i="2"/>
  <c r="AF19" i="2"/>
  <c r="AF40" i="2" s="1"/>
  <c r="AG23" i="2"/>
  <c r="C24" i="2"/>
  <c r="G24" i="2"/>
  <c r="D24" i="2"/>
  <c r="H24" i="2"/>
  <c r="E24" i="2"/>
  <c r="F24" i="2"/>
  <c r="J24" i="2"/>
  <c r="K24" i="2"/>
  <c r="R24" i="2"/>
  <c r="O24" i="2"/>
  <c r="L24" i="2"/>
  <c r="P24" i="2"/>
  <c r="M24" i="2"/>
  <c r="N24" i="2"/>
  <c r="AI63" i="2" l="1"/>
  <c r="Q63" i="2"/>
  <c r="R63" i="2"/>
  <c r="AJ41" i="2"/>
  <c r="AJ63" i="2"/>
  <c r="AK41" i="2"/>
  <c r="AL20" i="2"/>
  <c r="AM20" i="2" s="1"/>
  <c r="AN20" i="2" s="1"/>
  <c r="AO20" i="2" s="1"/>
  <c r="AP20" i="2" s="1"/>
  <c r="AQ20" i="2" s="1"/>
  <c r="AR20" i="2" s="1"/>
  <c r="AI21" i="2"/>
  <c r="AJ17" i="2"/>
  <c r="AJ21" i="2" s="1"/>
  <c r="AI41" i="2"/>
  <c r="V44" i="2"/>
  <c r="U44" i="2"/>
  <c r="U40" i="2"/>
  <c r="AK43" i="2"/>
  <c r="AI43" i="2"/>
  <c r="AJ43" i="2"/>
  <c r="U29" i="2"/>
  <c r="U48" i="2" s="1"/>
  <c r="U60" i="2" s="1"/>
  <c r="U64" i="2" s="1"/>
  <c r="V29" i="2"/>
  <c r="V48" i="2" s="1"/>
  <c r="V60" i="2" s="1"/>
  <c r="V64" i="2" s="1"/>
  <c r="T45" i="2"/>
  <c r="T44" i="2"/>
  <c r="AK63" i="2"/>
  <c r="AL61" i="2"/>
  <c r="AM25" i="2"/>
  <c r="AL43" i="2"/>
  <c r="AH39" i="2"/>
  <c r="AH42" i="2"/>
  <c r="I44" i="2"/>
  <c r="I46" i="2"/>
  <c r="AG24" i="2"/>
  <c r="AG44" i="2" s="1"/>
  <c r="I45" i="2"/>
  <c r="N27" i="2"/>
  <c r="N44" i="2"/>
  <c r="H27" i="2"/>
  <c r="H44" i="2"/>
  <c r="D27" i="2"/>
  <c r="D44" i="2"/>
  <c r="F27" i="2"/>
  <c r="F44" i="2"/>
  <c r="E27" i="2"/>
  <c r="E44" i="2"/>
  <c r="L27" i="2"/>
  <c r="L44" i="2"/>
  <c r="Q27" i="2"/>
  <c r="Q44" i="2"/>
  <c r="AE24" i="2"/>
  <c r="AE40" i="2"/>
  <c r="C27" i="2"/>
  <c r="C44" i="2"/>
  <c r="K27" i="2"/>
  <c r="K44" i="2"/>
  <c r="AC27" i="2"/>
  <c r="AC44" i="2"/>
  <c r="M27" i="2"/>
  <c r="M44" i="2"/>
  <c r="P27" i="2"/>
  <c r="P44" i="2"/>
  <c r="O27" i="2"/>
  <c r="O44" i="2"/>
  <c r="G27" i="2"/>
  <c r="G44" i="2"/>
  <c r="R27" i="2"/>
  <c r="R44" i="2"/>
  <c r="J27" i="2"/>
  <c r="J44" i="2"/>
  <c r="AB27" i="2"/>
  <c r="AB44" i="2"/>
  <c r="AD24" i="2"/>
  <c r="AF24" i="2"/>
  <c r="AL41" i="2" l="1"/>
  <c r="AI39" i="2"/>
  <c r="AI19" i="2"/>
  <c r="AI40" i="2" s="1"/>
  <c r="U46" i="2"/>
  <c r="U31" i="2"/>
  <c r="V31" i="2"/>
  <c r="V46" i="2"/>
  <c r="T29" i="2"/>
  <c r="T48" i="2" s="1"/>
  <c r="AJ19" i="2"/>
  <c r="AL63" i="2"/>
  <c r="AM61" i="2"/>
  <c r="AN25" i="2"/>
  <c r="AM43" i="2"/>
  <c r="AM41" i="2"/>
  <c r="AG27" i="2"/>
  <c r="AG29" i="2" s="1"/>
  <c r="AG48" i="2" s="1"/>
  <c r="F29" i="2"/>
  <c r="F45" i="2"/>
  <c r="O29" i="2"/>
  <c r="O48" i="2" s="1"/>
  <c r="O45" i="2"/>
  <c r="Q29" i="2"/>
  <c r="Q48" i="2" s="1"/>
  <c r="Q60" i="2" s="1"/>
  <c r="Q64" i="2" s="1"/>
  <c r="Q45" i="2"/>
  <c r="D29" i="2"/>
  <c r="D45" i="2"/>
  <c r="G29" i="2"/>
  <c r="G45" i="2"/>
  <c r="K29" i="2"/>
  <c r="K45" i="2"/>
  <c r="AC29" i="2"/>
  <c r="AC45" i="2"/>
  <c r="J29" i="2"/>
  <c r="J45" i="2"/>
  <c r="H29" i="2"/>
  <c r="H45" i="2"/>
  <c r="AF27" i="2"/>
  <c r="AF44" i="2"/>
  <c r="AD27" i="2"/>
  <c r="AD44" i="2"/>
  <c r="AE27" i="2"/>
  <c r="AE44" i="2"/>
  <c r="AB29" i="2"/>
  <c r="AB48" i="2" s="1"/>
  <c r="AB60" i="2" s="1"/>
  <c r="AB63" i="2" s="1"/>
  <c r="AB45" i="2"/>
  <c r="P29" i="2"/>
  <c r="P48" i="2" s="1"/>
  <c r="P45" i="2"/>
  <c r="L29" i="2"/>
  <c r="L45" i="2"/>
  <c r="R29" i="2"/>
  <c r="R48" i="2" s="1"/>
  <c r="R60" i="2" s="1"/>
  <c r="R64" i="2" s="1"/>
  <c r="R45" i="2"/>
  <c r="M29" i="2"/>
  <c r="M45" i="2"/>
  <c r="C29" i="2"/>
  <c r="C45" i="2"/>
  <c r="E29" i="2"/>
  <c r="E45" i="2"/>
  <c r="N29" i="2"/>
  <c r="N45" i="2"/>
  <c r="AG60" i="2" l="1"/>
  <c r="AG64" i="2" s="1"/>
  <c r="T60" i="2"/>
  <c r="T64" i="2" s="1"/>
  <c r="P60" i="2"/>
  <c r="P64" i="2" s="1"/>
  <c r="O60" i="2"/>
  <c r="O64" i="2" s="1"/>
  <c r="Q68" i="2"/>
  <c r="Q80" i="2" s="1"/>
  <c r="Q84" i="2" s="1"/>
  <c r="P68" i="2"/>
  <c r="AI18" i="2"/>
  <c r="T31" i="2"/>
  <c r="T46" i="2"/>
  <c r="AK17" i="2"/>
  <c r="AJ18" i="2"/>
  <c r="AJ39" i="2"/>
  <c r="AI23" i="2"/>
  <c r="AI24" i="2" s="1"/>
  <c r="AI42" i="2"/>
  <c r="AN61" i="2"/>
  <c r="AM63" i="2"/>
  <c r="AO25" i="2"/>
  <c r="AN43" i="2"/>
  <c r="AN41" i="2"/>
  <c r="AG45" i="2"/>
  <c r="L31" i="2"/>
  <c r="L46" i="2"/>
  <c r="C31" i="2"/>
  <c r="C46" i="2"/>
  <c r="P31" i="2"/>
  <c r="P46" i="2"/>
  <c r="AD29" i="2"/>
  <c r="AD48" i="2" s="1"/>
  <c r="AD45" i="2"/>
  <c r="AC31" i="2"/>
  <c r="AC48" i="2"/>
  <c r="AC46" i="2"/>
  <c r="Q31" i="2"/>
  <c r="Q46" i="2"/>
  <c r="E31" i="2"/>
  <c r="E46" i="2"/>
  <c r="D31" i="2"/>
  <c r="D46" i="2"/>
  <c r="AE29" i="2"/>
  <c r="AE48" i="2" s="1"/>
  <c r="AE45" i="2"/>
  <c r="AF29" i="2"/>
  <c r="AF48" i="2" s="1"/>
  <c r="AF45" i="2"/>
  <c r="O31" i="2"/>
  <c r="O46" i="2"/>
  <c r="J31" i="2"/>
  <c r="J46" i="2"/>
  <c r="M31" i="2"/>
  <c r="M46" i="2"/>
  <c r="AG31" i="2"/>
  <c r="AG46" i="2"/>
  <c r="K31" i="2"/>
  <c r="K46" i="2"/>
  <c r="N31" i="2"/>
  <c r="N46" i="2"/>
  <c r="R31" i="2"/>
  <c r="R46" i="2"/>
  <c r="AB31" i="2"/>
  <c r="AB46" i="2"/>
  <c r="H31" i="2"/>
  <c r="H46" i="2"/>
  <c r="G31" i="2"/>
  <c r="G46" i="2"/>
  <c r="F31" i="2"/>
  <c r="F46" i="2"/>
  <c r="AE60" i="2" l="1"/>
  <c r="AE64" i="2" s="1"/>
  <c r="AF60" i="2"/>
  <c r="AF64" i="2" s="1"/>
  <c r="AD60" i="2"/>
  <c r="AD64" i="2" s="1"/>
  <c r="AC60" i="2"/>
  <c r="AC64" i="2" s="1"/>
  <c r="P80" i="2"/>
  <c r="P84" i="2" s="1"/>
  <c r="AK19" i="2"/>
  <c r="AK21" i="2"/>
  <c r="AJ40" i="2"/>
  <c r="AL17" i="2"/>
  <c r="AK39" i="2"/>
  <c r="AJ23" i="2"/>
  <c r="AJ24" i="2" s="1"/>
  <c r="AJ42" i="2"/>
  <c r="AI44" i="2"/>
  <c r="AI27" i="2"/>
  <c r="AN63" i="2"/>
  <c r="AO61" i="2"/>
  <c r="AP25" i="2"/>
  <c r="AO43" i="2"/>
  <c r="AO41" i="2"/>
  <c r="AE31" i="2"/>
  <c r="AE46" i="2"/>
  <c r="AD31" i="2"/>
  <c r="AD46" i="2"/>
  <c r="AF31" i="2"/>
  <c r="AF46" i="2"/>
  <c r="AL19" i="2" l="1"/>
  <c r="AL21" i="2"/>
  <c r="AM17" i="2"/>
  <c r="AL39" i="2"/>
  <c r="AK23" i="2"/>
  <c r="AK24" i="2" s="1"/>
  <c r="AK42" i="2"/>
  <c r="AK18" i="2"/>
  <c r="AK40" i="2"/>
  <c r="AI28" i="2"/>
  <c r="AI45" i="2" s="1"/>
  <c r="AJ27" i="2"/>
  <c r="AJ44" i="2"/>
  <c r="AP61" i="2"/>
  <c r="AO63" i="2"/>
  <c r="AQ25" i="2"/>
  <c r="AP43" i="2"/>
  <c r="AP41" i="2"/>
  <c r="AM19" i="2" l="1"/>
  <c r="AM40" i="2" s="1"/>
  <c r="AM21" i="2"/>
  <c r="AI29" i="2"/>
  <c r="AI48" i="2" s="1"/>
  <c r="AK27" i="2"/>
  <c r="AK44" i="2"/>
  <c r="AN17" i="2"/>
  <c r="AM39" i="2"/>
  <c r="AJ28" i="2"/>
  <c r="AJ45" i="2" s="1"/>
  <c r="AL40" i="2"/>
  <c r="AL23" i="2"/>
  <c r="AL24" i="2" s="1"/>
  <c r="AL42" i="2"/>
  <c r="AL18" i="2"/>
  <c r="AP63" i="2"/>
  <c r="AQ61" i="2"/>
  <c r="AR25" i="2"/>
  <c r="AQ43" i="2"/>
  <c r="AR43" i="2"/>
  <c r="AR41" i="2"/>
  <c r="AQ41" i="2"/>
  <c r="AI60" i="2" l="1"/>
  <c r="AI64" i="2" s="1"/>
  <c r="AN19" i="2"/>
  <c r="AN18" i="2" s="1"/>
  <c r="AN21" i="2"/>
  <c r="AI31" i="2"/>
  <c r="AI46" i="2"/>
  <c r="AM18" i="2"/>
  <c r="AJ29" i="2"/>
  <c r="AJ48" i="2" s="1"/>
  <c r="AL27" i="2"/>
  <c r="AL44" i="2"/>
  <c r="AO17" i="2"/>
  <c r="AN39" i="2"/>
  <c r="AM23" i="2"/>
  <c r="AM24" i="2" s="1"/>
  <c r="AM42" i="2"/>
  <c r="AK28" i="2"/>
  <c r="AK45" i="2" s="1"/>
  <c r="AQ63" i="2"/>
  <c r="AR61" i="2"/>
  <c r="AR63" i="2" s="1"/>
  <c r="AJ60" i="2" l="1"/>
  <c r="AJ64" i="2" s="1"/>
  <c r="AN40" i="2"/>
  <c r="AO19" i="2"/>
  <c r="AO40" i="2" s="1"/>
  <c r="AO21" i="2"/>
  <c r="AK29" i="2"/>
  <c r="AK48" i="2" s="1"/>
  <c r="AJ46" i="2"/>
  <c r="AJ31" i="2"/>
  <c r="AL28" i="2"/>
  <c r="AL45" i="2" s="1"/>
  <c r="AP17" i="2"/>
  <c r="AO39" i="2"/>
  <c r="AM27" i="2"/>
  <c r="AM44" i="2"/>
  <c r="AN23" i="2"/>
  <c r="AN24" i="2" s="1"/>
  <c r="AN42" i="2"/>
  <c r="AK60" i="2" l="1"/>
  <c r="AK64" i="2" s="1"/>
  <c r="AO18" i="2"/>
  <c r="AP19" i="2"/>
  <c r="AP40" i="2" s="1"/>
  <c r="AP21" i="2"/>
  <c r="AL29" i="2"/>
  <c r="AL31" i="2" s="1"/>
  <c r="AK31" i="2"/>
  <c r="AK46" i="2"/>
  <c r="AQ17" i="2"/>
  <c r="AP39" i="2"/>
  <c r="AO23" i="2"/>
  <c r="AO24" i="2" s="1"/>
  <c r="AO42" i="2"/>
  <c r="AM28" i="2"/>
  <c r="AM45" i="2" s="1"/>
  <c r="AN27" i="2"/>
  <c r="AN44" i="2"/>
  <c r="AP18" i="2" l="1"/>
  <c r="AQ19" i="2"/>
  <c r="AQ21" i="2"/>
  <c r="AL46" i="2"/>
  <c r="AL48" i="2"/>
  <c r="AO27" i="2"/>
  <c r="AO44" i="2"/>
  <c r="AR17" i="2"/>
  <c r="AQ39" i="2"/>
  <c r="AN28" i="2"/>
  <c r="AN45" i="2" s="1"/>
  <c r="AP23" i="2"/>
  <c r="AP24" i="2" s="1"/>
  <c r="AP42" i="2"/>
  <c r="AM29" i="2"/>
  <c r="AL60" i="2" l="1"/>
  <c r="AL64" i="2" s="1"/>
  <c r="AR19" i="2"/>
  <c r="AR18" i="2" s="1"/>
  <c r="AR21" i="2"/>
  <c r="AQ18" i="2"/>
  <c r="AQ40" i="2"/>
  <c r="AN29" i="2"/>
  <c r="AQ23" i="2"/>
  <c r="AQ24" i="2" s="1"/>
  <c r="AQ42" i="2"/>
  <c r="AM31" i="2"/>
  <c r="AM48" i="2"/>
  <c r="AM46" i="2"/>
  <c r="AR39" i="2"/>
  <c r="AP27" i="2"/>
  <c r="AP44" i="2"/>
  <c r="AO28" i="2"/>
  <c r="AO45" i="2" s="1"/>
  <c r="AM60" i="2" l="1"/>
  <c r="AM64" i="2" s="1"/>
  <c r="AR40" i="2"/>
  <c r="AO29" i="2"/>
  <c r="AO31" i="2" s="1"/>
  <c r="AP28" i="2"/>
  <c r="AP45" i="2" s="1"/>
  <c r="AQ27" i="2"/>
  <c r="AQ44" i="2"/>
  <c r="AN48" i="2"/>
  <c r="AN31" i="2"/>
  <c r="AN46" i="2"/>
  <c r="AR23" i="2"/>
  <c r="AR24" i="2" s="1"/>
  <c r="AR42" i="2"/>
  <c r="AN60" i="2" l="1"/>
  <c r="AN64" i="2" s="1"/>
  <c r="AP29" i="2"/>
  <c r="AP31" i="2" s="1"/>
  <c r="AO46" i="2"/>
  <c r="AO48" i="2"/>
  <c r="AR27" i="2"/>
  <c r="AR44" i="2"/>
  <c r="AQ28" i="2"/>
  <c r="AQ45" i="2" s="1"/>
  <c r="AO60" i="2" l="1"/>
  <c r="AO64" i="2" s="1"/>
  <c r="AP48" i="2"/>
  <c r="AP46" i="2"/>
  <c r="AQ29" i="2"/>
  <c r="AQ46" i="2" s="1"/>
  <c r="AR28" i="2"/>
  <c r="AR45" i="2" s="1"/>
  <c r="AP60" i="2" l="1"/>
  <c r="AP64" i="2" s="1"/>
  <c r="AQ31" i="2"/>
  <c r="AQ48" i="2"/>
  <c r="AR29" i="2"/>
  <c r="AR48" i="2" s="1"/>
  <c r="AR60" i="2" l="1"/>
  <c r="AR64" i="2" s="1"/>
  <c r="AS64" i="2" s="1"/>
  <c r="AT64" i="2" s="1"/>
  <c r="AU64" i="2" s="1"/>
  <c r="AV64" i="2" s="1"/>
  <c r="AW64" i="2" s="1"/>
  <c r="AX64" i="2" s="1"/>
  <c r="AY64" i="2" s="1"/>
  <c r="AZ64" i="2" s="1"/>
  <c r="BA64" i="2" s="1"/>
  <c r="BB64" i="2" s="1"/>
  <c r="BC64" i="2" s="1"/>
  <c r="BD64" i="2" s="1"/>
  <c r="BE64" i="2" s="1"/>
  <c r="BF64" i="2" s="1"/>
  <c r="BG64" i="2" s="1"/>
  <c r="BH64" i="2" s="1"/>
  <c r="BI64" i="2" s="1"/>
  <c r="BJ64" i="2" s="1"/>
  <c r="BK64" i="2" s="1"/>
  <c r="BL64" i="2" s="1"/>
  <c r="BM64" i="2" s="1"/>
  <c r="BN64" i="2" s="1"/>
  <c r="BO64" i="2" s="1"/>
  <c r="BP64" i="2" s="1"/>
  <c r="BQ64" i="2" s="1"/>
  <c r="BR64" i="2" s="1"/>
  <c r="BS64" i="2" s="1"/>
  <c r="BT64" i="2" s="1"/>
  <c r="BU64" i="2" s="1"/>
  <c r="BV64" i="2" s="1"/>
  <c r="BW64" i="2" s="1"/>
  <c r="BX64" i="2" s="1"/>
  <c r="BY64" i="2" s="1"/>
  <c r="BZ64" i="2" s="1"/>
  <c r="CA64" i="2" s="1"/>
  <c r="CB64" i="2" s="1"/>
  <c r="CC64" i="2" s="1"/>
  <c r="CD64" i="2" s="1"/>
  <c r="CE64" i="2" s="1"/>
  <c r="CF64" i="2" s="1"/>
  <c r="CG64" i="2" s="1"/>
  <c r="CH64" i="2" s="1"/>
  <c r="CI64" i="2" s="1"/>
  <c r="CJ64" i="2" s="1"/>
  <c r="CK64" i="2" s="1"/>
  <c r="CL64" i="2" s="1"/>
  <c r="CM64" i="2" s="1"/>
  <c r="CN64" i="2" s="1"/>
  <c r="CO64" i="2" s="1"/>
  <c r="CP64" i="2" s="1"/>
  <c r="CQ64" i="2" s="1"/>
  <c r="CR64" i="2" s="1"/>
  <c r="CS64" i="2" s="1"/>
  <c r="CT64" i="2" s="1"/>
  <c r="CU64" i="2" s="1"/>
  <c r="CV64" i="2" s="1"/>
  <c r="CW64" i="2" s="1"/>
  <c r="CX64" i="2" s="1"/>
  <c r="CY64" i="2" s="1"/>
  <c r="CZ64" i="2" s="1"/>
  <c r="DA64" i="2" s="1"/>
  <c r="DB64" i="2" s="1"/>
  <c r="DC64" i="2" s="1"/>
  <c r="DD64" i="2" s="1"/>
  <c r="DE64" i="2" s="1"/>
  <c r="DF64" i="2" s="1"/>
  <c r="DG64" i="2" s="1"/>
  <c r="DH64" i="2" s="1"/>
  <c r="DI64" i="2" s="1"/>
  <c r="DJ64" i="2" s="1"/>
  <c r="DK64" i="2" s="1"/>
  <c r="DL64" i="2" s="1"/>
  <c r="DM64" i="2" s="1"/>
  <c r="DN64" i="2" s="1"/>
  <c r="DO64" i="2" s="1"/>
  <c r="DP64" i="2" s="1"/>
  <c r="DQ64" i="2" s="1"/>
  <c r="DR64" i="2" s="1"/>
  <c r="DS64" i="2" s="1"/>
  <c r="DT64" i="2" s="1"/>
  <c r="DU64" i="2" s="1"/>
  <c r="DV64" i="2" s="1"/>
  <c r="DW64" i="2" s="1"/>
  <c r="DX64" i="2" s="1"/>
  <c r="DY64" i="2" s="1"/>
  <c r="DZ64" i="2" s="1"/>
  <c r="EA64" i="2" s="1"/>
  <c r="EB64" i="2" s="1"/>
  <c r="EC64" i="2" s="1"/>
  <c r="ED64" i="2" s="1"/>
  <c r="EE64" i="2" s="1"/>
  <c r="EF64" i="2" s="1"/>
  <c r="EG64" i="2" s="1"/>
  <c r="EH64" i="2" s="1"/>
  <c r="EI64" i="2" s="1"/>
  <c r="EJ64" i="2" s="1"/>
  <c r="AQ60" i="2"/>
  <c r="AQ64" i="2" s="1"/>
  <c r="AR31" i="2"/>
  <c r="AR46" i="2"/>
  <c r="AS29" i="2"/>
  <c r="AT29" i="2" s="1"/>
  <c r="AU29" i="2" s="1"/>
  <c r="AV29" i="2" s="1"/>
  <c r="AW29" i="2" s="1"/>
  <c r="AX29" i="2" s="1"/>
  <c r="AY29" i="2" s="1"/>
  <c r="AZ29" i="2" s="1"/>
  <c r="BA29" i="2" s="1"/>
  <c r="BB29" i="2" s="1"/>
  <c r="BC29" i="2" s="1"/>
  <c r="BD29" i="2" s="1"/>
  <c r="BE29" i="2" s="1"/>
  <c r="BF29" i="2" s="1"/>
  <c r="BG29" i="2" s="1"/>
  <c r="BH29" i="2" s="1"/>
  <c r="BI29" i="2" s="1"/>
  <c r="BJ29" i="2" s="1"/>
  <c r="BK29" i="2" s="1"/>
  <c r="BL29" i="2" s="1"/>
  <c r="BM29" i="2" s="1"/>
  <c r="BN29" i="2" s="1"/>
  <c r="BO29" i="2" s="1"/>
  <c r="BP29" i="2" s="1"/>
  <c r="BQ29" i="2" s="1"/>
  <c r="BR29" i="2" s="1"/>
  <c r="BS29" i="2" s="1"/>
  <c r="BT29" i="2" s="1"/>
  <c r="BU29" i="2" s="1"/>
  <c r="BV29" i="2" s="1"/>
  <c r="BW29" i="2" s="1"/>
  <c r="BX29" i="2" s="1"/>
  <c r="BY29" i="2" s="1"/>
  <c r="BZ29" i="2" s="1"/>
  <c r="CA29" i="2" s="1"/>
  <c r="CB29" i="2" s="1"/>
  <c r="CC29" i="2" s="1"/>
  <c r="CD29" i="2" s="1"/>
  <c r="CE29" i="2" s="1"/>
  <c r="CF29" i="2" s="1"/>
  <c r="CG29" i="2" s="1"/>
  <c r="CH29" i="2" s="1"/>
  <c r="CI29" i="2" s="1"/>
  <c r="CJ29" i="2" s="1"/>
  <c r="CK29" i="2" s="1"/>
  <c r="CL29" i="2" s="1"/>
  <c r="CM29" i="2" s="1"/>
  <c r="CN29" i="2" s="1"/>
  <c r="CO29" i="2" s="1"/>
  <c r="CP29" i="2" s="1"/>
  <c r="CQ29" i="2" s="1"/>
  <c r="CR29" i="2" s="1"/>
  <c r="CS29" i="2" s="1"/>
  <c r="CT29" i="2" s="1"/>
  <c r="CU29" i="2" s="1"/>
  <c r="CV29" i="2" s="1"/>
  <c r="CW29" i="2" s="1"/>
  <c r="CX29" i="2" s="1"/>
  <c r="CY29" i="2" s="1"/>
  <c r="CZ29" i="2" s="1"/>
  <c r="DA29" i="2" s="1"/>
  <c r="DB29" i="2" s="1"/>
  <c r="DC29" i="2" s="1"/>
  <c r="DD29" i="2" s="1"/>
  <c r="DE29" i="2" s="1"/>
  <c r="DF29" i="2" s="1"/>
  <c r="DG29" i="2" s="1"/>
  <c r="DH29" i="2" s="1"/>
  <c r="DI29" i="2" s="1"/>
  <c r="DJ29" i="2" s="1"/>
  <c r="DK29" i="2" s="1"/>
  <c r="DL29" i="2" s="1"/>
  <c r="DM29" i="2" s="1"/>
  <c r="DN29" i="2" s="1"/>
  <c r="DO29" i="2" s="1"/>
  <c r="DP29" i="2" s="1"/>
  <c r="DQ29" i="2" s="1"/>
  <c r="DR29" i="2" s="1"/>
  <c r="DS29" i="2" s="1"/>
  <c r="DT29" i="2" s="1"/>
  <c r="DU29" i="2" s="1"/>
  <c r="DV29" i="2" s="1"/>
  <c r="DW29" i="2" s="1"/>
  <c r="DX29" i="2" s="1"/>
  <c r="DY29" i="2" s="1"/>
  <c r="DZ29" i="2" s="1"/>
  <c r="EA29" i="2" s="1"/>
  <c r="EB29" i="2" s="1"/>
  <c r="EC29" i="2" s="1"/>
  <c r="ED29" i="2" s="1"/>
  <c r="EE29" i="2" s="1"/>
  <c r="EF29" i="2" s="1"/>
  <c r="EG29" i="2" s="1"/>
  <c r="EH29" i="2" s="1"/>
  <c r="EI29" i="2" s="1"/>
  <c r="EJ29" i="2" s="1"/>
  <c r="EK29" i="2" s="1"/>
  <c r="EL29" i="2" s="1"/>
  <c r="EM29" i="2" s="1"/>
  <c r="AH18" i="2" l="1"/>
  <c r="AH19" i="2" s="1"/>
  <c r="S19" i="2"/>
  <c r="S24" i="2" s="1"/>
  <c r="S40" i="2" l="1"/>
  <c r="S27" i="2"/>
  <c r="S44" i="2"/>
  <c r="AH24" i="2"/>
  <c r="AH40" i="2"/>
  <c r="AH44" i="2" l="1"/>
  <c r="AH27" i="2"/>
  <c r="S29" i="2"/>
  <c r="S48" i="2" s="1"/>
  <c r="S60" i="2" s="1"/>
  <c r="S64" i="2" l="1"/>
  <c r="U68" i="2"/>
  <c r="U80" i="2" s="1"/>
  <c r="U84" i="2" s="1"/>
  <c r="T68" i="2"/>
  <c r="S46" i="2"/>
  <c r="S31" i="2"/>
  <c r="S45" i="2"/>
  <c r="AH28" i="2"/>
  <c r="AH45" i="2" s="1"/>
  <c r="T80" i="2" l="1"/>
  <c r="T84" i="2" s="1"/>
  <c r="AH29" i="2"/>
  <c r="AV43" i="2" s="1"/>
  <c r="AV45" i="2" s="1"/>
  <c r="AV46" i="2" s="1"/>
  <c r="AV48" i="2" s="1"/>
  <c r="AH48" i="2" l="1"/>
  <c r="AH46" i="2"/>
  <c r="AH31" i="2"/>
  <c r="AH60" i="2" l="1"/>
  <c r="AH64" i="2" s="1"/>
  <c r="AV66" i="2" s="1"/>
  <c r="AV68" i="2" s="1"/>
  <c r="AV69" i="2" s="1"/>
  <c r="AV7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B7" authorId="0" shapeId="0" xr:uid="{1B7AE4B9-9C5B-40CF-A00C-7147B6C77A2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then do ARPU and other stuff</t>
        </r>
      </text>
    </comment>
    <comment ref="V17" authorId="0" shapeId="0" xr:uid="{5504AB99-F7AB-4999-B5CC-4F46DD99FC02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(Q325) guidance 273-277m</t>
        </r>
      </text>
    </comment>
    <comment ref="AH17" authorId="0" shapeId="0" xr:uid="{58708693-72ED-4B1C-ACAC-E527BE89624F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(Q424) 962.5-978.5m</t>
        </r>
      </text>
    </comment>
    <comment ref="AI17" authorId="0" shapeId="0" xr:uid="{D4A33025-7B10-4F44-926A-EDF4BAD9AB6A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(Q425) 15% rev growth</t>
        </r>
      </text>
    </comment>
  </commentList>
</comments>
</file>

<file path=xl/sharedStrings.xml><?xml version="1.0" encoding="utf-8"?>
<sst xmlns="http://schemas.openxmlformats.org/spreadsheetml/2006/main" count="124" uniqueCount="101">
  <si>
    <t>DUOL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</si>
  <si>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</si>
  <si>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</si>
  <si>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</si>
  <si>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</si>
  <si>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</si>
  <si>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</si>
  <si>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</si>
  <si>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</si>
  <si>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</si>
  <si>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</si>
  <si>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</si>
  <si>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Cost of sales</t>
  </si>
  <si>
    <t>Gross profit</t>
  </si>
  <si>
    <t>R&amp;D</t>
  </si>
  <si>
    <t>S&amp;M</t>
  </si>
  <si>
    <t>G&amp;A</t>
  </si>
  <si>
    <t>Total operating expenses</t>
  </si>
  <si>
    <t>Operating profit</t>
  </si>
  <si>
    <t>Other income</t>
  </si>
  <si>
    <t>Pretax profit</t>
  </si>
  <si>
    <t>Taxes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</si>
  <si>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</si>
  <si>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</si>
  <si>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</si>
  <si>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</si>
  <si>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</si>
  <si>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</si>
  <si>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</si>
  <si>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</si>
  <si>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</si>
  <si>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</si>
  <si>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</si>
  <si>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</si>
  <si>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</si>
  <si>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</si>
  <si>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</si>
  <si>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</si>
  <si>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</si>
  <si>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</si>
  <si>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Interest income</t>
  </si>
  <si>
    <t>Q121</t>
  </si>
  <si>
    <t>Q221</t>
  </si>
  <si>
    <t>Q321</t>
  </si>
  <si>
    <t>Q421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</si>
  <si>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</si>
  <si>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</si>
  <si>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</si>
  <si>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</si>
  <si>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</si>
  <si>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</si>
  <si>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</si>
  <si>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Net income</t>
  </si>
  <si>
    <t>FCF</t>
  </si>
  <si>
    <t>CFFO</t>
  </si>
  <si>
    <t>D&amp;A</t>
  </si>
  <si>
    <t>SBC</t>
  </si>
  <si>
    <t>D/R</t>
  </si>
  <si>
    <t>A/R</t>
  </si>
  <si>
    <t>D/C</t>
  </si>
  <si>
    <t>Prepaids</t>
  </si>
  <si>
    <t>A/P</t>
  </si>
  <si>
    <t>A/L</t>
  </si>
  <si>
    <t>Other</t>
  </si>
  <si>
    <t>PP&amp;E</t>
  </si>
  <si>
    <t>Intangibles</t>
  </si>
  <si>
    <t>Total CapEx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</si>
  <si>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</si>
  <si>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</si>
  <si>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</si>
  <si>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</si>
  <si>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</si>
  <si>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</si>
  <si>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</si>
  <si>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</si>
  <si>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</si>
  <si>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Undervalued</t>
  </si>
  <si>
    <t>Cumulative</t>
  </si>
  <si>
    <t>D/T</t>
  </si>
  <si>
    <t>Q126</t>
  </si>
  <si>
    <t>Q226</t>
  </si>
  <si>
    <t>Q326</t>
  </si>
  <si>
    <t>Q426</t>
  </si>
  <si>
    <t>MAUs</t>
  </si>
  <si>
    <t>DAUs</t>
  </si>
  <si>
    <t>Paid subscribers</t>
  </si>
  <si>
    <t>Subscription bookings</t>
  </si>
  <si>
    <t>Total bookings</t>
  </si>
  <si>
    <t>Subscription</t>
  </si>
  <si>
    <t>Advertising</t>
  </si>
  <si>
    <t>In-app purchases</t>
  </si>
  <si>
    <t>English test</t>
  </si>
  <si>
    <t>DAU/MAU ratio</t>
  </si>
  <si>
    <t>Subscription bookings y/y</t>
  </si>
  <si>
    <t>Total bookings y/y</t>
  </si>
  <si>
    <t>Subscription y/y</t>
  </si>
  <si>
    <t>Advertising y/y</t>
  </si>
  <si>
    <t>English test y/y</t>
  </si>
  <si>
    <t>In-app purchases y/y</t>
  </si>
  <si>
    <t>see: 10-K, Seasonality</t>
  </si>
  <si>
    <t>ARPU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</si>
</sst>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3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3" fontId="0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45720</xdr:colOff>
      <xdr:row>0</xdr:row>
      <xdr:rowOff>7620</xdr:rowOff>
    </xdr:from>
    <xdr:to>
      <xdr:col>22</xdr:col>
      <xdr:colOff>45720</xdr:colOff>
      <xdr:row>65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AF55132-ED7A-021D-8D34-1322C6FE5DE7}"/>
            </a:ext>
          </a:extLst>
        </xdr:cNvPr>
        <xdr:cNvCxnSpPr/>
      </xdr:nvCxnSpPr>
      <xdr:spPr>
        <a:xfrm>
          <a:off x="14333220" y="7620"/>
          <a:ext cx="0" cy="119862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22860</xdr:colOff>
      <xdr:row>0</xdr:row>
      <xdr:rowOff>7620</xdr:rowOff>
    </xdr:from>
    <xdr:to>
      <xdr:col>33</xdr:col>
      <xdr:colOff>22860</xdr:colOff>
      <xdr:row>65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852813AB-D726-0FF1-B87D-C81B196CADA8}"/>
            </a:ext>
          </a:extLst>
        </xdr:cNvPr>
        <xdr:cNvCxnSpPr/>
      </xdr:nvCxnSpPr>
      <xdr:spPr>
        <a:xfrm>
          <a:off x="2101596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DFDA7-63FF-4543-B3B8-CA8BD33FB716}">
  <dimension ref="B2:I9"/>
  <sheetViews>
    <sheetView workbookViewId="0">
      <selection activeCell="E6" sqref="E6"/>
    </sheetView>
  </sheetViews>
  <sheetFormatPr defaultRowHeight="14.4" x14ac:dyDescent="0.3"/>
  <cols>
    <col min="4" max="4" width="8.88671875" customWidth="1"/>
    <col min="5" max="7" width="13.44140625" style="2" customWidth="1"/>
  </cols>
  <sheetData>
    <row r="2" spans="2:9" x14ac:dyDescent="0.3">
      <c r="E2" s="2" t="s">
        <v>8</v>
      </c>
      <c r="F2" s="2" t="s">
        <v>9</v>
      </c>
      <c r="G2" s="2" t="s">
        <v>10</v>
      </c>
    </row>
    <row r="3" spans="2:9" x14ac:dyDescent="0.3">
      <c r="B3" s="1" t="s">
        <v>0</v>
      </c>
      <c r="C3" t="s">
        <v>1</v>
      </c>
      <c r="D3" s="4">
        <v>90.04</v>
      </c>
      <c r="E3" s="3">
        <v>46080</v>
      </c>
      <c r="F3" s="3">
        <f ca="1">TODAY()</f>
        <v>46080</v>
      </c>
      <c r="G3" s="3">
        <v>46155</v>
      </c>
    </row>
    <row r="4" spans="2:9" x14ac:dyDescent="0.3">
      <c r="C4" t="s">
        <v>2</v>
      </c>
      <c r="D4" s="5">
        <v>46.6</v>
      </c>
      <c r="E4" s="2" t="s">
        <v>39</v>
      </c>
    </row>
    <row r="5" spans="2:9" x14ac:dyDescent="0.3">
      <c r="C5" t="s">
        <v>3</v>
      </c>
      <c r="D5" s="5">
        <f>D3*D4</f>
        <v>4195.8640000000005</v>
      </c>
    </row>
    <row r="6" spans="2:9" x14ac:dyDescent="0.3">
      <c r="C6" t="s">
        <v>4</v>
      </c>
      <c r="D6" s="5">
        <f>1036.4+104.1</f>
        <v>1140.5</v>
      </c>
      <c r="E6" s="2" t="s">
        <v>39</v>
      </c>
      <c r="I6" t="s">
        <v>99</v>
      </c>
    </row>
    <row r="7" spans="2:9" x14ac:dyDescent="0.3">
      <c r="C7" t="s">
        <v>5</v>
      </c>
      <c r="D7" s="5">
        <v>0</v>
      </c>
      <c r="E7" s="2" t="s">
        <v>39</v>
      </c>
    </row>
    <row r="8" spans="2:9" x14ac:dyDescent="0.3">
      <c r="C8" t="s">
        <v>6</v>
      </c>
      <c r="D8" s="5">
        <f>D6-D7</f>
        <v>1140.5</v>
      </c>
    </row>
    <row r="9" spans="2:9" x14ac:dyDescent="0.3">
      <c r="C9" t="s">
        <v>7</v>
      </c>
      <c r="D9" s="5">
        <f>D5-D8</f>
        <v>3055.3640000000005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08E88-5DFE-4C14-B33B-D0E125BC477D}">
  <dimension ref="B2:EM84"/>
  <sheetViews>
    <sheetView tabSelected="1" zoomScaleNormal="100" workbookViewId="0">
      <pane xSplit="2" ySplit="2" topLeftCell="S47" activePane="bottomRight" state="frozen"/>
      <selection pane="topRight" activeCell="C1" sqref="C1"/>
      <selection pane="bottomLeft" activeCell="A3" sqref="A3"/>
      <selection pane="bottomRight" activeCell="V58" sqref="V58"/>
    </sheetView>
  </sheetViews>
  <sheetFormatPr defaultRowHeight="14.4" x14ac:dyDescent="0.3"/>
  <cols>
    <col min="2" max="2" width="21.6640625" bestFit="1" customWidth="1"/>
    <col min="3" max="6" width="8.88671875" customWidth="1"/>
    <col min="47" max="47" width="12" bestFit="1" customWidth="1"/>
    <col min="48" max="48" width="17.33203125" bestFit="1" customWidth="1"/>
  </cols>
  <sheetData>
    <row r="2" spans="2:44" x14ac:dyDescent="0.3">
      <c r="C2" s="6" t="s">
        <v>41</v>
      </c>
      <c r="D2" s="6" t="s">
        <v>42</v>
      </c>
      <c r="E2" s="6" t="s">
        <v>43</v>
      </c>
      <c r="F2" s="6" t="s">
        <v>44</v>
      </c>
      <c r="G2" s="6" t="s">
        <v>24</v>
      </c>
      <c r="H2" s="6" t="s">
        <v>25</v>
      </c>
      <c r="I2" s="6" t="s">
        <v>26</v>
      </c>
      <c r="J2" s="6" t="s">
        <v>27</v>
      </c>
      <c r="K2" s="6" t="s">
        <v>28</v>
      </c>
      <c r="L2" s="6" t="s">
        <v>29</v>
      </c>
      <c r="M2" s="6" t="s">
        <v>30</v>
      </c>
      <c r="N2" s="6" t="s">
        <v>31</v>
      </c>
      <c r="O2" s="6" t="s">
        <v>32</v>
      </c>
      <c r="P2" s="6" t="s">
        <v>33</v>
      </c>
      <c r="Q2" s="6" t="s">
        <v>34</v>
      </c>
      <c r="R2" s="6" t="s">
        <v>35</v>
      </c>
      <c r="S2" s="6" t="s">
        <v>36</v>
      </c>
      <c r="T2" s="6" t="s">
        <v>37</v>
      </c>
      <c r="U2" s="6" t="s">
        <v>38</v>
      </c>
      <c r="V2" s="6" t="s">
        <v>39</v>
      </c>
      <c r="W2" s="6" t="s">
        <v>79</v>
      </c>
      <c r="X2" s="6" t="s">
        <v>80</v>
      </c>
      <c r="Y2" s="6" t="s">
        <v>81</v>
      </c>
      <c r="Z2" s="6" t="s">
        <v>82</v>
      </c>
      <c r="AB2">
        <v>2019</v>
      </c>
      <c r="AC2">
        <v>2020</v>
      </c>
      <c r="AD2">
        <v>2021</v>
      </c>
      <c r="AE2">
        <v>2022</v>
      </c>
      <c r="AF2">
        <v>2023</v>
      </c>
      <c r="AG2">
        <v>2024</v>
      </c>
      <c r="AH2">
        <v>2025</v>
      </c>
      <c r="AI2">
        <v>2026</v>
      </c>
      <c r="AJ2">
        <v>2027</v>
      </c>
      <c r="AK2">
        <v>2028</v>
      </c>
      <c r="AL2">
        <v>2029</v>
      </c>
      <c r="AM2">
        <v>2030</v>
      </c>
      <c r="AN2">
        <v>2031</v>
      </c>
      <c r="AO2">
        <v>2032</v>
      </c>
      <c r="AP2">
        <v>2033</v>
      </c>
      <c r="AQ2">
        <v>2034</v>
      </c>
      <c r="AR2">
        <v>2035</v>
      </c>
    </row>
    <row r="3" spans="2:44" x14ac:dyDescent="0.3">
      <c r="B3" t="s">
        <v>83</v>
      </c>
      <c r="C3" s="6"/>
      <c r="D3" s="6"/>
      <c r="E3" s="6"/>
      <c r="F3" s="6"/>
      <c r="G3" s="6"/>
      <c r="H3" s="6"/>
      <c r="I3" s="6"/>
      <c r="J3" s="11">
        <v>60.7</v>
      </c>
      <c r="K3" s="6"/>
      <c r="L3" s="6"/>
      <c r="M3" s="6"/>
      <c r="N3" s="11">
        <v>88.4</v>
      </c>
      <c r="O3" s="11">
        <v>97.6</v>
      </c>
      <c r="P3" s="11">
        <v>103.6</v>
      </c>
      <c r="Q3" s="11">
        <v>113.1</v>
      </c>
      <c r="R3" s="11">
        <v>116.7</v>
      </c>
      <c r="S3" s="11">
        <v>130.19999999999999</v>
      </c>
      <c r="T3" s="11">
        <v>128.30000000000001</v>
      </c>
      <c r="U3" s="11">
        <v>135.30000000000001</v>
      </c>
      <c r="V3" s="11">
        <v>133.1</v>
      </c>
      <c r="W3" s="6"/>
      <c r="X3" s="6"/>
      <c r="Y3" s="6"/>
      <c r="Z3" s="6"/>
    </row>
    <row r="4" spans="2:44" x14ac:dyDescent="0.3">
      <c r="B4" t="s">
        <v>84</v>
      </c>
      <c r="C4" s="6"/>
      <c r="D4" s="6"/>
      <c r="E4" s="6"/>
      <c r="F4" s="6"/>
      <c r="G4" s="6"/>
      <c r="H4" s="6"/>
      <c r="I4" s="6"/>
      <c r="J4" s="11">
        <v>16.3</v>
      </c>
      <c r="K4" s="6"/>
      <c r="L4" s="6"/>
      <c r="M4" s="6"/>
      <c r="N4" s="11">
        <v>26.9</v>
      </c>
      <c r="O4" s="11">
        <v>31.4</v>
      </c>
      <c r="P4" s="11">
        <v>34.1</v>
      </c>
      <c r="Q4" s="11">
        <v>37.200000000000003</v>
      </c>
      <c r="R4" s="11">
        <v>40.5</v>
      </c>
      <c r="S4" s="11">
        <v>46.6</v>
      </c>
      <c r="T4" s="11">
        <v>47.7</v>
      </c>
      <c r="U4" s="11">
        <v>50.5</v>
      </c>
      <c r="V4" s="11">
        <v>52.7</v>
      </c>
      <c r="W4" s="6"/>
      <c r="X4" s="6"/>
      <c r="Y4" s="6"/>
      <c r="Z4" s="6"/>
    </row>
    <row r="5" spans="2:44" x14ac:dyDescent="0.3">
      <c r="B5" t="s">
        <v>100</v>
      </c>
      <c r="C5" s="6"/>
      <c r="D5" s="6"/>
      <c r="E5" s="6"/>
      <c r="F5" s="6"/>
      <c r="G5" s="6"/>
      <c r="H5" s="6"/>
      <c r="I5" s="6"/>
      <c r="J5" s="11"/>
      <c r="K5" s="6"/>
      <c r="L5" s="6"/>
      <c r="M5" s="6"/>
      <c r="N5" s="14">
        <f t="shared" ref="N5:T5" si="0">N17/N3</f>
        <v>1.7081447963800904</v>
      </c>
      <c r="O5" s="14">
        <f t="shared" si="0"/>
        <v>1.7172131147540983</v>
      </c>
      <c r="P5" s="14">
        <f t="shared" si="0"/>
        <v>1.7220077220077221</v>
      </c>
      <c r="Q5" s="14">
        <f t="shared" si="0"/>
        <v>1.7029177718832895</v>
      </c>
      <c r="R5" s="14">
        <f t="shared" si="0"/>
        <v>1.796058269065981</v>
      </c>
      <c r="S5" s="14">
        <f t="shared" si="0"/>
        <v>1.7718894009216593</v>
      </c>
      <c r="T5" s="14">
        <f t="shared" si="0"/>
        <v>1.9664848012470768</v>
      </c>
      <c r="U5" s="14">
        <f>U17/U3</f>
        <v>2.0081300813008132</v>
      </c>
      <c r="V5" s="14">
        <f>V17/V3</f>
        <v>2.1254695717505636</v>
      </c>
      <c r="W5" s="6"/>
      <c r="X5" s="6"/>
      <c r="Y5" s="6"/>
      <c r="Z5" s="6"/>
    </row>
    <row r="6" spans="2:44" x14ac:dyDescent="0.3">
      <c r="B6" t="s">
        <v>92</v>
      </c>
      <c r="C6" s="6"/>
      <c r="D6" s="6"/>
      <c r="E6" s="6"/>
      <c r="F6" s="6"/>
      <c r="G6" s="6"/>
      <c r="H6" s="6"/>
      <c r="I6" s="6"/>
      <c r="J6" s="12">
        <f>J4/J3</f>
        <v>0.26853377265238881</v>
      </c>
      <c r="K6" s="6"/>
      <c r="L6" s="6"/>
      <c r="M6" s="6"/>
      <c r="N6" s="12">
        <f t="shared" ref="N6:U6" si="1">N4/N3</f>
        <v>0.30429864253393663</v>
      </c>
      <c r="O6" s="12">
        <f t="shared" si="1"/>
        <v>0.32172131147540983</v>
      </c>
      <c r="P6" s="12">
        <f t="shared" si="1"/>
        <v>0.32915057915057916</v>
      </c>
      <c r="Q6" s="12">
        <f t="shared" si="1"/>
        <v>0.32891246684350139</v>
      </c>
      <c r="R6" s="12">
        <f t="shared" si="1"/>
        <v>0.34704370179948585</v>
      </c>
      <c r="S6" s="12">
        <f t="shared" si="1"/>
        <v>0.3579109062980031</v>
      </c>
      <c r="T6" s="12">
        <f t="shared" si="1"/>
        <v>0.37178487918939984</v>
      </c>
      <c r="U6" s="12">
        <f t="shared" si="1"/>
        <v>0.37324464153732445</v>
      </c>
      <c r="V6" s="12">
        <f t="shared" ref="V6" si="2">V4/V3</f>
        <v>0.3959429000751315</v>
      </c>
      <c r="W6" s="6"/>
      <c r="X6" s="6"/>
      <c r="Y6" s="6"/>
      <c r="Z6" s="6"/>
    </row>
    <row r="7" spans="2:44" x14ac:dyDescent="0.3">
      <c r="B7" t="s">
        <v>85</v>
      </c>
      <c r="C7" s="6"/>
      <c r="D7" s="6"/>
      <c r="E7" s="6"/>
      <c r="F7" s="6"/>
      <c r="G7" s="6"/>
      <c r="H7" s="6"/>
      <c r="I7" s="6"/>
      <c r="J7" s="13">
        <v>4.2</v>
      </c>
      <c r="K7" s="6"/>
      <c r="L7" s="6"/>
      <c r="M7" s="6"/>
      <c r="N7" s="13">
        <v>6.6</v>
      </c>
      <c r="O7" s="13">
        <v>7.4</v>
      </c>
      <c r="P7" s="13">
        <v>8</v>
      </c>
      <c r="Q7" s="13">
        <v>8.6</v>
      </c>
      <c r="R7" s="13">
        <v>9.5</v>
      </c>
      <c r="S7" s="13">
        <v>10.3</v>
      </c>
      <c r="T7" s="13">
        <v>10.9</v>
      </c>
      <c r="U7" s="13">
        <v>11.5</v>
      </c>
      <c r="V7" s="13">
        <v>12.2</v>
      </c>
      <c r="W7" s="6"/>
      <c r="X7" s="6"/>
      <c r="Y7" s="6"/>
      <c r="Z7" s="6"/>
    </row>
    <row r="8" spans="2:44" x14ac:dyDescent="0.3"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12"/>
      <c r="O8" s="12"/>
      <c r="P8" s="12"/>
      <c r="Q8" s="12"/>
      <c r="R8" s="12"/>
      <c r="S8" s="12"/>
      <c r="T8" s="12"/>
      <c r="U8" s="12"/>
      <c r="V8" s="6"/>
      <c r="W8" s="6"/>
      <c r="X8" s="6"/>
      <c r="Y8" s="6"/>
      <c r="Z8" s="6"/>
    </row>
    <row r="9" spans="2:44" x14ac:dyDescent="0.3">
      <c r="B9" t="s">
        <v>86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11">
        <v>161.5</v>
      </c>
      <c r="P9" s="11">
        <v>156.5</v>
      </c>
      <c r="Q9" s="11">
        <v>176.3</v>
      </c>
      <c r="R9" s="11">
        <f>AG9-Q9-P9-O9</f>
        <v>236.40000000000009</v>
      </c>
      <c r="S9" s="11">
        <v>232.2</v>
      </c>
      <c r="T9" s="11">
        <v>227.3</v>
      </c>
      <c r="U9" s="11">
        <v>240.3</v>
      </c>
      <c r="V9" s="11">
        <v>296.60000000000002</v>
      </c>
      <c r="W9" s="6"/>
      <c r="X9" s="6"/>
      <c r="Y9" s="6"/>
      <c r="Z9" s="6"/>
      <c r="AE9" s="11">
        <v>331.8</v>
      </c>
      <c r="AF9" s="11">
        <v>495.5</v>
      </c>
      <c r="AG9" s="11">
        <v>730.7</v>
      </c>
      <c r="AH9" s="11">
        <f>SUM(S9:V9)</f>
        <v>996.4</v>
      </c>
    </row>
    <row r="10" spans="2:44" x14ac:dyDescent="0.3">
      <c r="B10" t="s">
        <v>87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11">
        <v>197.5</v>
      </c>
      <c r="P10" s="11">
        <v>190.1</v>
      </c>
      <c r="Q10" s="11">
        <v>211.5</v>
      </c>
      <c r="R10" s="11">
        <f>AG10-Q10-P10-O10</f>
        <v>271.5</v>
      </c>
      <c r="S10" s="11">
        <v>271.60000000000002</v>
      </c>
      <c r="T10" s="11">
        <v>268</v>
      </c>
      <c r="U10" s="11">
        <v>281.89999999999998</v>
      </c>
      <c r="V10" s="11">
        <v>336.8</v>
      </c>
      <c r="W10" s="6"/>
      <c r="X10" s="6"/>
      <c r="Y10" s="6"/>
      <c r="Z10" s="6"/>
      <c r="AE10" s="11">
        <v>428.6</v>
      </c>
      <c r="AF10" s="11">
        <v>622.20000000000005</v>
      </c>
      <c r="AG10" s="11">
        <v>870.6</v>
      </c>
      <c r="AH10" s="11">
        <f>SUM(S10:V10)</f>
        <v>1158.3</v>
      </c>
    </row>
    <row r="11" spans="2:44" x14ac:dyDescent="0.3"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11"/>
      <c r="V11" s="6"/>
      <c r="W11" s="6"/>
      <c r="X11" s="6"/>
      <c r="Y11" s="6"/>
      <c r="Z11" s="6"/>
    </row>
    <row r="12" spans="2:44" x14ac:dyDescent="0.3">
      <c r="B12" t="s">
        <v>88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11">
        <v>131.69999999999999</v>
      </c>
      <c r="P12" s="11">
        <v>143.9</v>
      </c>
      <c r="Q12" s="11">
        <v>157.6</v>
      </c>
      <c r="R12" s="11">
        <f>AG12-Q12-P12-O12</f>
        <v>174.3</v>
      </c>
      <c r="S12" s="11">
        <v>191</v>
      </c>
      <c r="T12" s="11">
        <v>210.7</v>
      </c>
      <c r="U12" s="11">
        <v>229.5</v>
      </c>
      <c r="V12" s="15">
        <f>AH12-U12-T12-S12</f>
        <v>242.2</v>
      </c>
      <c r="W12" s="6"/>
      <c r="X12" s="6"/>
      <c r="Y12" s="6"/>
      <c r="Z12" s="6"/>
      <c r="AD12" s="11">
        <v>180.7</v>
      </c>
      <c r="AE12" s="11">
        <v>273.5</v>
      </c>
      <c r="AF12" s="11">
        <v>404.7</v>
      </c>
      <c r="AG12" s="11">
        <v>607.5</v>
      </c>
      <c r="AH12" s="5">
        <v>873.4</v>
      </c>
    </row>
    <row r="13" spans="2:44" x14ac:dyDescent="0.3">
      <c r="B13" t="s">
        <v>89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11">
        <v>13</v>
      </c>
      <c r="P13" s="11">
        <v>13.3</v>
      </c>
      <c r="Q13" s="11">
        <v>14.4</v>
      </c>
      <c r="R13" s="11">
        <f t="shared" ref="R13:R16" si="3">AG13-Q13-P13-O13</f>
        <v>14.2</v>
      </c>
      <c r="S13" s="11">
        <v>17.899999999999999</v>
      </c>
      <c r="T13" s="11">
        <v>20.6</v>
      </c>
      <c r="U13" s="11">
        <v>21</v>
      </c>
      <c r="V13" s="15">
        <f t="shared" ref="V13:V16" si="4">AH13-U13-T13-S13</f>
        <v>20.200000000000003</v>
      </c>
      <c r="W13" s="6"/>
      <c r="X13" s="6"/>
      <c r="Y13" s="6"/>
      <c r="Z13" s="6"/>
      <c r="AD13" s="11">
        <v>38.5</v>
      </c>
      <c r="AE13" s="11">
        <v>44.7</v>
      </c>
      <c r="AF13" s="11">
        <v>49.9</v>
      </c>
      <c r="AG13" s="11">
        <v>54.9</v>
      </c>
      <c r="AH13" s="5">
        <v>79.7</v>
      </c>
    </row>
    <row r="14" spans="2:44" x14ac:dyDescent="0.3">
      <c r="B14" t="s">
        <v>91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11">
        <v>12.8</v>
      </c>
      <c r="P14" s="11">
        <v>10.7</v>
      </c>
      <c r="Q14" s="11">
        <v>10.8</v>
      </c>
      <c r="R14" s="11">
        <f t="shared" si="3"/>
        <v>11.299999999999997</v>
      </c>
      <c r="S14" s="11">
        <v>12</v>
      </c>
      <c r="T14" s="11">
        <v>10.1</v>
      </c>
      <c r="U14" s="11">
        <v>9.6</v>
      </c>
      <c r="V14" s="15">
        <f t="shared" si="4"/>
        <v>10.299999999999997</v>
      </c>
      <c r="W14" s="6"/>
      <c r="X14" s="6"/>
      <c r="Y14" s="6"/>
      <c r="Z14" s="6"/>
      <c r="AD14" s="11">
        <v>24.7</v>
      </c>
      <c r="AE14" s="11">
        <v>32.700000000000003</v>
      </c>
      <c r="AF14" s="11">
        <v>41.2</v>
      </c>
      <c r="AG14" s="11">
        <v>45.6</v>
      </c>
      <c r="AH14" s="5">
        <v>42</v>
      </c>
    </row>
    <row r="15" spans="2:44" x14ac:dyDescent="0.3">
      <c r="B15" t="s">
        <v>90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11">
        <v>9.9</v>
      </c>
      <c r="P15" s="11">
        <v>10.199999999999999</v>
      </c>
      <c r="Q15" s="11">
        <v>9.4</v>
      </c>
      <c r="R15" s="11">
        <f t="shared" si="3"/>
        <v>9.2000000000000046</v>
      </c>
      <c r="S15" s="11">
        <v>9.4</v>
      </c>
      <c r="T15" s="11">
        <v>10.4</v>
      </c>
      <c r="U15" s="11">
        <v>11.1</v>
      </c>
      <c r="V15" s="15">
        <f t="shared" si="4"/>
        <v>9.6</v>
      </c>
      <c r="W15" s="6"/>
      <c r="X15" s="6"/>
      <c r="Y15" s="6"/>
      <c r="Z15" s="6"/>
      <c r="AD15" s="11">
        <v>6.8</v>
      </c>
      <c r="AE15" s="11">
        <v>17.899999999999999</v>
      </c>
      <c r="AF15" s="11">
        <v>34.700000000000003</v>
      </c>
      <c r="AG15" s="11">
        <v>38.700000000000003</v>
      </c>
      <c r="AH15" s="5">
        <v>40.5</v>
      </c>
    </row>
    <row r="16" spans="2:44" x14ac:dyDescent="0.3">
      <c r="B16" t="s">
        <v>63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11">
        <v>0.2</v>
      </c>
      <c r="P16" s="11">
        <v>0.3</v>
      </c>
      <c r="Q16" s="11">
        <v>0.4</v>
      </c>
      <c r="R16" s="11">
        <f t="shared" si="3"/>
        <v>0.40000000000000008</v>
      </c>
      <c r="S16" s="11">
        <v>0.4</v>
      </c>
      <c r="T16" s="11">
        <v>0.5</v>
      </c>
      <c r="U16" s="11">
        <v>0.5</v>
      </c>
      <c r="V16" s="15">
        <f t="shared" si="4"/>
        <v>0.49999999999999989</v>
      </c>
      <c r="W16" s="6"/>
      <c r="X16" s="6"/>
      <c r="Y16" s="6"/>
      <c r="Z16" s="6"/>
      <c r="AD16" s="11">
        <v>0.1</v>
      </c>
      <c r="AE16" s="11">
        <v>0.6</v>
      </c>
      <c r="AF16" s="11">
        <v>0.7</v>
      </c>
      <c r="AG16" s="11">
        <v>1.3</v>
      </c>
      <c r="AH16" s="5">
        <v>1.9</v>
      </c>
    </row>
    <row r="17" spans="2:143" s="1" customFormat="1" x14ac:dyDescent="0.3">
      <c r="B17" s="1" t="s">
        <v>11</v>
      </c>
      <c r="C17" s="8">
        <v>55.4</v>
      </c>
      <c r="D17" s="8">
        <v>58.8</v>
      </c>
      <c r="E17" s="8">
        <v>63.6</v>
      </c>
      <c r="F17" s="8">
        <v>73</v>
      </c>
      <c r="G17" s="8">
        <v>81.2</v>
      </c>
      <c r="H17" s="8">
        <v>88.4</v>
      </c>
      <c r="I17" s="8">
        <v>96.1</v>
      </c>
      <c r="J17" s="8">
        <v>103.8</v>
      </c>
      <c r="K17" s="8">
        <v>115.7</v>
      </c>
      <c r="L17" s="8">
        <v>126.8</v>
      </c>
      <c r="M17" s="8">
        <v>137.6</v>
      </c>
      <c r="N17" s="8">
        <v>151</v>
      </c>
      <c r="O17" s="8">
        <f t="shared" ref="O17:Q17" si="5">SUM(O12:O16)</f>
        <v>167.6</v>
      </c>
      <c r="P17" s="8">
        <f t="shared" si="5"/>
        <v>178.4</v>
      </c>
      <c r="Q17" s="8">
        <f t="shared" si="5"/>
        <v>192.60000000000002</v>
      </c>
      <c r="R17" s="8">
        <v>209.6</v>
      </c>
      <c r="S17" s="8">
        <f t="shared" ref="S17:T17" si="6">SUM(S12:S16)</f>
        <v>230.70000000000002</v>
      </c>
      <c r="T17" s="8">
        <f t="shared" si="6"/>
        <v>252.29999999999998</v>
      </c>
      <c r="U17" s="8">
        <f>SUM(U12:U16)</f>
        <v>271.70000000000005</v>
      </c>
      <c r="V17" s="8">
        <v>282.89999999999998</v>
      </c>
      <c r="W17" s="8">
        <f>S17*1.25</f>
        <v>288.375</v>
      </c>
      <c r="X17" s="8"/>
      <c r="Y17" s="8"/>
      <c r="Z17" s="8"/>
      <c r="AB17" s="8">
        <v>70.8</v>
      </c>
      <c r="AC17" s="8">
        <v>161.69999999999999</v>
      </c>
      <c r="AD17" s="8">
        <f>SUM(AD12:AD16)</f>
        <v>250.79999999999998</v>
      </c>
      <c r="AE17" s="8">
        <f>SUM(AE12:AE16)</f>
        <v>369.4</v>
      </c>
      <c r="AF17" s="8">
        <f>SUM(AF12:AF16)</f>
        <v>531.20000000000005</v>
      </c>
      <c r="AG17" s="8">
        <f>SUM(AG12:AG16)</f>
        <v>748</v>
      </c>
      <c r="AH17" s="8">
        <f>SUM(S17:V17)</f>
        <v>1037.5999999999999</v>
      </c>
      <c r="AI17" s="8">
        <f>AH17*1.15</f>
        <v>1193.2399999999998</v>
      </c>
      <c r="AJ17" s="8">
        <f>AI17*1.2</f>
        <v>1431.8879999999997</v>
      </c>
      <c r="AK17" s="8">
        <f>AJ17*1.15</f>
        <v>1646.6711999999995</v>
      </c>
      <c r="AL17" s="8">
        <f>AK17*1.1</f>
        <v>1811.3383199999996</v>
      </c>
      <c r="AM17" s="8">
        <f>AL17*1.08</f>
        <v>1956.2453855999997</v>
      </c>
      <c r="AN17" s="8">
        <f>AM17*1.06</f>
        <v>2073.620108736</v>
      </c>
      <c r="AO17" s="8">
        <f>AN17*1.05</f>
        <v>2177.3011141728002</v>
      </c>
      <c r="AP17" s="8">
        <f t="shared" ref="AP17:AR17" si="7">AO17*1.05</f>
        <v>2286.1661698814405</v>
      </c>
      <c r="AQ17" s="8">
        <f t="shared" si="7"/>
        <v>2400.4744783755127</v>
      </c>
      <c r="AR17" s="8">
        <f t="shared" si="7"/>
        <v>2520.4982022942886</v>
      </c>
    </row>
    <row r="18" spans="2:143" x14ac:dyDescent="0.3">
      <c r="B18" t="s">
        <v>12</v>
      </c>
      <c r="C18" s="5">
        <v>15</v>
      </c>
      <c r="D18" s="5">
        <v>16.100000000000001</v>
      </c>
      <c r="E18" s="5">
        <v>18.100000000000001</v>
      </c>
      <c r="F18" s="5">
        <v>20</v>
      </c>
      <c r="G18" s="5">
        <v>21.5</v>
      </c>
      <c r="H18" s="5">
        <v>23.9</v>
      </c>
      <c r="I18" s="5">
        <v>26.3</v>
      </c>
      <c r="J18" s="5">
        <v>27.8</v>
      </c>
      <c r="K18" s="5">
        <v>31.5</v>
      </c>
      <c r="L18" s="5">
        <v>33.799999999999997</v>
      </c>
      <c r="M18" s="5">
        <v>36.299999999999997</v>
      </c>
      <c r="N18" s="5">
        <v>40.6</v>
      </c>
      <c r="O18" s="5">
        <v>45.2</v>
      </c>
      <c r="P18" s="5">
        <v>47.3</v>
      </c>
      <c r="Q18" s="5">
        <v>52.2</v>
      </c>
      <c r="R18" s="5">
        <v>58.9</v>
      </c>
      <c r="S18" s="5">
        <v>66.599999999999994</v>
      </c>
      <c r="T18" s="5">
        <v>69.7</v>
      </c>
      <c r="U18" s="5">
        <v>74.8</v>
      </c>
      <c r="V18" s="5">
        <v>77</v>
      </c>
      <c r="W18" s="5"/>
      <c r="X18" s="5"/>
      <c r="Y18" s="5"/>
      <c r="Z18" s="5"/>
      <c r="AB18" s="5">
        <v>20.7</v>
      </c>
      <c r="AC18" s="5">
        <v>46</v>
      </c>
      <c r="AD18" s="5">
        <f>SUM(C18:F18)</f>
        <v>69.2</v>
      </c>
      <c r="AE18" s="5">
        <f>SUM(G18:J18)</f>
        <v>99.5</v>
      </c>
      <c r="AF18" s="5">
        <f>SUM(K18:N18)</f>
        <v>142.19999999999999</v>
      </c>
      <c r="AG18" s="5">
        <f>SUM(O18:R18)</f>
        <v>203.6</v>
      </c>
      <c r="AH18" s="5">
        <f>SUM(S18:V18)</f>
        <v>288.10000000000002</v>
      </c>
      <c r="AI18" s="5">
        <f>AI17-AI19</f>
        <v>346.03959999999995</v>
      </c>
      <c r="AJ18" s="5">
        <f t="shared" ref="AJ18:AR18" si="8">AJ17-AJ19</f>
        <v>415.24752000000001</v>
      </c>
      <c r="AK18" s="5">
        <f t="shared" si="8"/>
        <v>477.53464799999983</v>
      </c>
      <c r="AL18" s="5">
        <f t="shared" si="8"/>
        <v>525.28811279999991</v>
      </c>
      <c r="AM18" s="5">
        <f t="shared" si="8"/>
        <v>567.31116182400001</v>
      </c>
      <c r="AN18" s="5">
        <f t="shared" si="8"/>
        <v>601.34983153344001</v>
      </c>
      <c r="AO18" s="5">
        <f t="shared" si="8"/>
        <v>631.41732311011219</v>
      </c>
      <c r="AP18" s="5">
        <f t="shared" si="8"/>
        <v>662.98818926561785</v>
      </c>
      <c r="AQ18" s="5">
        <f t="shared" si="8"/>
        <v>696.13759872889887</v>
      </c>
      <c r="AR18" s="5">
        <f t="shared" si="8"/>
        <v>730.94447866534369</v>
      </c>
    </row>
    <row r="19" spans="2:143" s="1" customFormat="1" x14ac:dyDescent="0.3">
      <c r="B19" s="1" t="s">
        <v>13</v>
      </c>
      <c r="C19" s="8">
        <f t="shared" ref="C19:V19" si="9">C17-C18</f>
        <v>40.4</v>
      </c>
      <c r="D19" s="8">
        <f t="shared" si="9"/>
        <v>42.699999999999996</v>
      </c>
      <c r="E19" s="8">
        <f t="shared" si="9"/>
        <v>45.5</v>
      </c>
      <c r="F19" s="8">
        <f t="shared" si="9"/>
        <v>53</v>
      </c>
      <c r="G19" s="8">
        <f t="shared" si="9"/>
        <v>59.7</v>
      </c>
      <c r="H19" s="8">
        <f t="shared" si="9"/>
        <v>64.5</v>
      </c>
      <c r="I19" s="8">
        <f t="shared" si="9"/>
        <v>69.8</v>
      </c>
      <c r="J19" s="8">
        <f t="shared" si="9"/>
        <v>76</v>
      </c>
      <c r="K19" s="8">
        <f t="shared" si="9"/>
        <v>84.2</v>
      </c>
      <c r="L19" s="8">
        <f t="shared" si="9"/>
        <v>93</v>
      </c>
      <c r="M19" s="8">
        <f t="shared" si="9"/>
        <v>101.3</v>
      </c>
      <c r="N19" s="8">
        <f t="shared" si="9"/>
        <v>110.4</v>
      </c>
      <c r="O19" s="8">
        <f t="shared" si="9"/>
        <v>122.39999999999999</v>
      </c>
      <c r="P19" s="8">
        <f t="shared" si="9"/>
        <v>131.10000000000002</v>
      </c>
      <c r="Q19" s="8">
        <f t="shared" si="9"/>
        <v>140.40000000000003</v>
      </c>
      <c r="R19" s="8">
        <f t="shared" si="9"/>
        <v>150.69999999999999</v>
      </c>
      <c r="S19" s="8">
        <f t="shared" si="9"/>
        <v>164.10000000000002</v>
      </c>
      <c r="T19" s="8">
        <f t="shared" si="9"/>
        <v>182.59999999999997</v>
      </c>
      <c r="U19" s="8">
        <f t="shared" si="9"/>
        <v>196.90000000000003</v>
      </c>
      <c r="V19" s="8">
        <f t="shared" si="9"/>
        <v>205.89999999999998</v>
      </c>
      <c r="W19" s="8"/>
      <c r="X19" s="8"/>
      <c r="Y19" s="8"/>
      <c r="Z19" s="8"/>
      <c r="AB19" s="8">
        <f t="shared" ref="AB19:AH19" si="10">AB17-AB18</f>
        <v>50.099999999999994</v>
      </c>
      <c r="AC19" s="8">
        <f t="shared" si="10"/>
        <v>115.69999999999999</v>
      </c>
      <c r="AD19" s="8">
        <f t="shared" si="10"/>
        <v>181.59999999999997</v>
      </c>
      <c r="AE19" s="8">
        <f t="shared" si="10"/>
        <v>269.89999999999998</v>
      </c>
      <c r="AF19" s="8">
        <f t="shared" si="10"/>
        <v>389.00000000000006</v>
      </c>
      <c r="AG19" s="8">
        <f t="shared" si="10"/>
        <v>544.4</v>
      </c>
      <c r="AH19" s="8">
        <f t="shared" si="10"/>
        <v>749.49999999999989</v>
      </c>
      <c r="AI19" s="8">
        <f>AI17*0.71</f>
        <v>847.20039999999983</v>
      </c>
      <c r="AJ19" s="8">
        <f t="shared" ref="AJ19:AR19" si="11">AJ17*0.71</f>
        <v>1016.6404799999997</v>
      </c>
      <c r="AK19" s="8">
        <f t="shared" si="11"/>
        <v>1169.1365519999997</v>
      </c>
      <c r="AL19" s="8">
        <f t="shared" si="11"/>
        <v>1286.0502071999997</v>
      </c>
      <c r="AM19" s="8">
        <f t="shared" si="11"/>
        <v>1388.9342237759997</v>
      </c>
      <c r="AN19" s="8">
        <f t="shared" si="11"/>
        <v>1472.27027720256</v>
      </c>
      <c r="AO19" s="8">
        <f t="shared" si="11"/>
        <v>1545.883791062688</v>
      </c>
      <c r="AP19" s="8">
        <f t="shared" si="11"/>
        <v>1623.1779806158227</v>
      </c>
      <c r="AQ19" s="8">
        <f t="shared" si="11"/>
        <v>1704.3368796466139</v>
      </c>
      <c r="AR19" s="8">
        <f t="shared" si="11"/>
        <v>1789.5537236289449</v>
      </c>
    </row>
    <row r="20" spans="2:143" x14ac:dyDescent="0.3">
      <c r="B20" t="s">
        <v>14</v>
      </c>
      <c r="C20" s="5">
        <v>22.5</v>
      </c>
      <c r="D20" s="5">
        <v>21.9</v>
      </c>
      <c r="E20" s="5">
        <v>29.3</v>
      </c>
      <c r="F20" s="5">
        <v>30</v>
      </c>
      <c r="G20" s="5">
        <v>29.8</v>
      </c>
      <c r="H20" s="5">
        <v>34.200000000000003</v>
      </c>
      <c r="I20" s="5">
        <v>42</v>
      </c>
      <c r="J20" s="5">
        <v>44.5</v>
      </c>
      <c r="K20" s="5">
        <v>45.8</v>
      </c>
      <c r="L20" s="5">
        <v>47.9</v>
      </c>
      <c r="M20" s="5">
        <v>50.3</v>
      </c>
      <c r="N20" s="5">
        <v>50.3</v>
      </c>
      <c r="O20" s="5">
        <v>50.9</v>
      </c>
      <c r="P20" s="5">
        <v>55.1</v>
      </c>
      <c r="Q20" s="5">
        <v>62.9</v>
      </c>
      <c r="R20" s="5">
        <v>66.400000000000006</v>
      </c>
      <c r="S20" s="5">
        <v>70.400000000000006</v>
      </c>
      <c r="T20" s="5">
        <v>73.7</v>
      </c>
      <c r="U20" s="5">
        <v>82.7</v>
      </c>
      <c r="V20" s="5">
        <v>79.599999999999994</v>
      </c>
      <c r="W20" s="5"/>
      <c r="X20" s="5"/>
      <c r="Y20" s="5"/>
      <c r="Z20" s="5"/>
      <c r="AB20" s="5">
        <v>31.6</v>
      </c>
      <c r="AC20" s="5">
        <v>53</v>
      </c>
      <c r="AD20" s="5">
        <f>SUM(C20:F20)</f>
        <v>103.7</v>
      </c>
      <c r="AE20" s="5">
        <f>SUM(G20:J20)</f>
        <v>150.5</v>
      </c>
      <c r="AF20" s="5">
        <f>SUM(K20:N20)</f>
        <v>194.3</v>
      </c>
      <c r="AG20" s="5">
        <f>SUM(O20:R20)</f>
        <v>235.3</v>
      </c>
      <c r="AH20" s="5">
        <f>SUM(S20:V20)</f>
        <v>306.39999999999998</v>
      </c>
      <c r="AI20" s="5">
        <f>AH20*1.2</f>
        <v>367.67999999999995</v>
      </c>
      <c r="AJ20" s="5">
        <f>AI20*1.14</f>
        <v>419.15519999999992</v>
      </c>
      <c r="AK20" s="5">
        <f>AJ20*1.06</f>
        <v>444.30451199999993</v>
      </c>
      <c r="AL20" s="5">
        <f>AK20*1.04</f>
        <v>462.07669247999996</v>
      </c>
      <c r="AM20" s="5">
        <f>AL20*1.03</f>
        <v>475.93899325439997</v>
      </c>
      <c r="AN20" s="5">
        <f>AM20*1.02</f>
        <v>485.45777311948797</v>
      </c>
      <c r="AO20" s="5">
        <f t="shared" ref="AO20:AR20" si="12">AN20*1.02</f>
        <v>495.16692858187776</v>
      </c>
      <c r="AP20" s="5">
        <f t="shared" si="12"/>
        <v>505.07026715351532</v>
      </c>
      <c r="AQ20" s="5">
        <f t="shared" si="12"/>
        <v>515.17167249658564</v>
      </c>
      <c r="AR20" s="5">
        <f t="shared" si="12"/>
        <v>525.47510594651737</v>
      </c>
    </row>
    <row r="21" spans="2:143" x14ac:dyDescent="0.3">
      <c r="B21" t="s">
        <v>15</v>
      </c>
      <c r="C21" s="5">
        <v>19.8</v>
      </c>
      <c r="D21" s="5">
        <v>9.6</v>
      </c>
      <c r="E21" s="5">
        <v>15.3</v>
      </c>
      <c r="F21" s="5">
        <v>14.5</v>
      </c>
      <c r="G21" s="5">
        <v>14.9</v>
      </c>
      <c r="H21" s="5">
        <v>15.3</v>
      </c>
      <c r="I21" s="5">
        <v>17.7</v>
      </c>
      <c r="J21" s="5">
        <v>19</v>
      </c>
      <c r="K21" s="5">
        <v>16.600000000000001</v>
      </c>
      <c r="L21" s="5">
        <v>17.7</v>
      </c>
      <c r="M21" s="5">
        <v>22.3</v>
      </c>
      <c r="N21" s="5">
        <v>19.100000000000001</v>
      </c>
      <c r="O21" s="5">
        <v>19.899999999999999</v>
      </c>
      <c r="P21" s="5">
        <v>20.2</v>
      </c>
      <c r="Q21" s="5">
        <v>25.6</v>
      </c>
      <c r="R21" s="5">
        <v>24.8</v>
      </c>
      <c r="S21" s="5">
        <v>26.7</v>
      </c>
      <c r="T21" s="5">
        <v>29.6</v>
      </c>
      <c r="U21" s="5">
        <v>35.1</v>
      </c>
      <c r="V21" s="5">
        <v>34.4</v>
      </c>
      <c r="W21" s="5"/>
      <c r="X21" s="5"/>
      <c r="Y21" s="5"/>
      <c r="Z21" s="5"/>
      <c r="AB21" s="5">
        <v>15</v>
      </c>
      <c r="AC21" s="5">
        <v>35</v>
      </c>
      <c r="AD21" s="5">
        <f>SUM(C21:F21)</f>
        <v>59.2</v>
      </c>
      <c r="AE21" s="5">
        <f>SUM(G21:J21)</f>
        <v>66.900000000000006</v>
      </c>
      <c r="AF21" s="5">
        <f>SUM(K21:N21)</f>
        <v>75.699999999999989</v>
      </c>
      <c r="AG21" s="5">
        <f>SUM(O21:R21)</f>
        <v>90.499999999999986</v>
      </c>
      <c r="AH21" s="5">
        <f>SUM(S21:V21)</f>
        <v>125.80000000000001</v>
      </c>
      <c r="AI21" s="5">
        <f>AI17*0.12</f>
        <v>143.18879999999996</v>
      </c>
      <c r="AJ21" s="5">
        <f>AJ17*0.11</f>
        <v>157.50767999999997</v>
      </c>
      <c r="AK21" s="5">
        <f>AK17*0.1</f>
        <v>164.66711999999995</v>
      </c>
      <c r="AL21" s="5">
        <f>AL17*0.095</f>
        <v>172.07714039999996</v>
      </c>
      <c r="AM21" s="5">
        <f t="shared" ref="AM21:AR21" si="13">AM17*0.095</f>
        <v>185.84331163199997</v>
      </c>
      <c r="AN21" s="5">
        <f t="shared" si="13"/>
        <v>196.99391032992</v>
      </c>
      <c r="AO21" s="5">
        <f t="shared" si="13"/>
        <v>206.84360584641601</v>
      </c>
      <c r="AP21" s="5">
        <f t="shared" si="13"/>
        <v>217.18578613873686</v>
      </c>
      <c r="AQ21" s="5">
        <f t="shared" si="13"/>
        <v>228.04507544567372</v>
      </c>
      <c r="AR21" s="5">
        <f t="shared" si="13"/>
        <v>239.44732921795742</v>
      </c>
    </row>
    <row r="22" spans="2:143" x14ac:dyDescent="0.3">
      <c r="B22" t="s">
        <v>16</v>
      </c>
      <c r="C22" s="5">
        <v>11.5</v>
      </c>
      <c r="D22" s="5">
        <v>11.6</v>
      </c>
      <c r="E22" s="5">
        <v>29.6</v>
      </c>
      <c r="F22" s="5">
        <v>25.9</v>
      </c>
      <c r="G22" s="5">
        <v>26.9</v>
      </c>
      <c r="H22" s="5">
        <v>30.1</v>
      </c>
      <c r="I22" s="5">
        <v>30.2</v>
      </c>
      <c r="J22" s="5">
        <v>30.7</v>
      </c>
      <c r="K22" s="5">
        <v>30.2</v>
      </c>
      <c r="L22" s="5">
        <v>32.200000000000003</v>
      </c>
      <c r="M22" s="5">
        <v>33.4</v>
      </c>
      <c r="N22" s="5">
        <v>36.200000000000003</v>
      </c>
      <c r="O22" s="5">
        <v>35.1</v>
      </c>
      <c r="P22" s="5">
        <v>37</v>
      </c>
      <c r="Q22" s="5">
        <v>38.4</v>
      </c>
      <c r="R22" s="5">
        <v>45.5</v>
      </c>
      <c r="S22" s="5">
        <v>43.5</v>
      </c>
      <c r="T22" s="5">
        <v>46</v>
      </c>
      <c r="U22" s="5">
        <v>44</v>
      </c>
      <c r="V22" s="5">
        <v>48.5</v>
      </c>
      <c r="W22" s="5"/>
      <c r="X22" s="5"/>
      <c r="Y22" s="5"/>
      <c r="Z22" s="5"/>
      <c r="AB22" s="5">
        <v>16.399999999999999</v>
      </c>
      <c r="AC22" s="5">
        <v>43.7</v>
      </c>
      <c r="AD22" s="5">
        <f>SUM(C22:F22)</f>
        <v>78.599999999999994</v>
      </c>
      <c r="AE22" s="5">
        <f>SUM(G22:J22)</f>
        <v>117.9</v>
      </c>
      <c r="AF22" s="5">
        <f>SUM(K22:N22)</f>
        <v>132</v>
      </c>
      <c r="AG22" s="5">
        <f>SUM(O22:R22)</f>
        <v>156</v>
      </c>
      <c r="AH22" s="5">
        <f>SUM(S22:V22)</f>
        <v>182</v>
      </c>
      <c r="AI22" s="5">
        <f>AH22*1.12</f>
        <v>203.84000000000003</v>
      </c>
      <c r="AJ22" s="5">
        <f>AI22*1.09</f>
        <v>222.18560000000005</v>
      </c>
      <c r="AK22" s="5">
        <f>AJ22*1.06</f>
        <v>235.51673600000007</v>
      </c>
      <c r="AL22" s="5">
        <f>AK22*1.04</f>
        <v>244.93740544000008</v>
      </c>
      <c r="AM22" s="5">
        <f>AL22*1.03</f>
        <v>252.28552760320008</v>
      </c>
      <c r="AN22" s="5">
        <f>AM22*1.02</f>
        <v>257.33123815526409</v>
      </c>
      <c r="AO22" s="5">
        <f>AN22*1.01</f>
        <v>259.90455053681671</v>
      </c>
      <c r="AP22" s="5">
        <f t="shared" ref="AP22:AR22" si="14">AO22*1.01</f>
        <v>262.50359604218488</v>
      </c>
      <c r="AQ22" s="5">
        <f t="shared" si="14"/>
        <v>265.12863200260671</v>
      </c>
      <c r="AR22" s="5">
        <f t="shared" si="14"/>
        <v>267.7799183226328</v>
      </c>
    </row>
    <row r="23" spans="2:143" x14ac:dyDescent="0.3">
      <c r="B23" t="s">
        <v>17</v>
      </c>
      <c r="C23" s="5">
        <f t="shared" ref="C23:R23" si="15">SUM(C20:C22)</f>
        <v>53.8</v>
      </c>
      <c r="D23" s="5">
        <f t="shared" si="15"/>
        <v>43.1</v>
      </c>
      <c r="E23" s="5">
        <f t="shared" si="15"/>
        <v>74.2</v>
      </c>
      <c r="F23" s="5">
        <f t="shared" si="15"/>
        <v>70.400000000000006</v>
      </c>
      <c r="G23" s="5">
        <f t="shared" si="15"/>
        <v>71.599999999999994</v>
      </c>
      <c r="H23" s="5">
        <f t="shared" si="15"/>
        <v>79.599999999999994</v>
      </c>
      <c r="I23" s="5">
        <f t="shared" si="15"/>
        <v>89.9</v>
      </c>
      <c r="J23" s="5">
        <f t="shared" si="15"/>
        <v>94.2</v>
      </c>
      <c r="K23" s="5">
        <f t="shared" si="15"/>
        <v>92.6</v>
      </c>
      <c r="L23" s="5">
        <f t="shared" si="15"/>
        <v>97.8</v>
      </c>
      <c r="M23" s="5">
        <f t="shared" si="15"/>
        <v>106</v>
      </c>
      <c r="N23" s="5">
        <f t="shared" si="15"/>
        <v>105.60000000000001</v>
      </c>
      <c r="O23" s="5">
        <f t="shared" si="15"/>
        <v>105.9</v>
      </c>
      <c r="P23" s="5">
        <f t="shared" si="15"/>
        <v>112.3</v>
      </c>
      <c r="Q23" s="5">
        <f t="shared" si="15"/>
        <v>126.9</v>
      </c>
      <c r="R23" s="5">
        <f t="shared" si="15"/>
        <v>136.69999999999999</v>
      </c>
      <c r="S23" s="5">
        <f t="shared" ref="S23" si="16">SUM(S20:S22)</f>
        <v>140.60000000000002</v>
      </c>
      <c r="T23" s="5">
        <f t="shared" ref="T23" si="17">SUM(T20:T22)</f>
        <v>149.30000000000001</v>
      </c>
      <c r="U23" s="5">
        <f t="shared" ref="U23" si="18">SUM(U20:U22)</f>
        <v>161.80000000000001</v>
      </c>
      <c r="V23" s="5">
        <f t="shared" ref="V23" si="19">SUM(V20:V22)</f>
        <v>162.5</v>
      </c>
      <c r="W23" s="5"/>
      <c r="X23" s="5"/>
      <c r="Y23" s="5"/>
      <c r="Z23" s="5"/>
      <c r="AB23" s="5">
        <f t="shared" ref="AB23:AH23" si="20">SUM(AB20:AB22)</f>
        <v>63</v>
      </c>
      <c r="AC23" s="5">
        <f t="shared" si="20"/>
        <v>131.69999999999999</v>
      </c>
      <c r="AD23" s="5">
        <f t="shared" si="20"/>
        <v>241.5</v>
      </c>
      <c r="AE23" s="5">
        <f t="shared" si="20"/>
        <v>335.3</v>
      </c>
      <c r="AF23" s="5">
        <f t="shared" si="20"/>
        <v>402</v>
      </c>
      <c r="AG23" s="5">
        <f t="shared" si="20"/>
        <v>481.8</v>
      </c>
      <c r="AH23" s="5">
        <f t="shared" si="20"/>
        <v>614.20000000000005</v>
      </c>
      <c r="AI23" s="5">
        <f t="shared" ref="AI23" si="21">SUM(AI20:AI22)</f>
        <v>714.70879999999988</v>
      </c>
      <c r="AJ23" s="5">
        <f t="shared" ref="AJ23" si="22">SUM(AJ20:AJ22)</f>
        <v>798.84847999999988</v>
      </c>
      <c r="AK23" s="5">
        <f t="shared" ref="AK23" si="23">SUM(AK20:AK22)</f>
        <v>844.48836799999992</v>
      </c>
      <c r="AL23" s="5">
        <f t="shared" ref="AL23" si="24">SUM(AL20:AL22)</f>
        <v>879.09123832</v>
      </c>
      <c r="AM23" s="5">
        <f t="shared" ref="AM23" si="25">SUM(AM20:AM22)</f>
        <v>914.06783248960005</v>
      </c>
      <c r="AN23" s="5">
        <f t="shared" ref="AN23" si="26">SUM(AN20:AN22)</f>
        <v>939.78292160467208</v>
      </c>
      <c r="AO23" s="5">
        <f t="shared" ref="AO23" si="27">SUM(AO20:AO22)</f>
        <v>961.91508496511051</v>
      </c>
      <c r="AP23" s="5">
        <f t="shared" ref="AP23" si="28">SUM(AP20:AP22)</f>
        <v>984.75964933443709</v>
      </c>
      <c r="AQ23" s="5">
        <f t="shared" ref="AQ23" si="29">SUM(AQ20:AQ22)</f>
        <v>1008.3453799448662</v>
      </c>
      <c r="AR23" s="5">
        <f t="shared" ref="AR23" si="30">SUM(AR20:AR22)</f>
        <v>1032.7023534871075</v>
      </c>
    </row>
    <row r="24" spans="2:143" s="1" customFormat="1" x14ac:dyDescent="0.3">
      <c r="B24" s="1" t="s">
        <v>18</v>
      </c>
      <c r="C24" s="8">
        <f t="shared" ref="C24:R24" si="31">C19-C23</f>
        <v>-13.399999999999999</v>
      </c>
      <c r="D24" s="8">
        <f t="shared" si="31"/>
        <v>-0.40000000000000568</v>
      </c>
      <c r="E24" s="8">
        <f t="shared" si="31"/>
        <v>-28.700000000000003</v>
      </c>
      <c r="F24" s="8">
        <f t="shared" si="31"/>
        <v>-17.400000000000006</v>
      </c>
      <c r="G24" s="8">
        <f t="shared" si="31"/>
        <v>-11.899999999999991</v>
      </c>
      <c r="H24" s="8">
        <f t="shared" si="31"/>
        <v>-15.099999999999994</v>
      </c>
      <c r="I24" s="8">
        <f t="shared" si="31"/>
        <v>-20.100000000000009</v>
      </c>
      <c r="J24" s="8">
        <f t="shared" si="31"/>
        <v>-18.200000000000003</v>
      </c>
      <c r="K24" s="8">
        <f t="shared" si="31"/>
        <v>-8.3999999999999915</v>
      </c>
      <c r="L24" s="8">
        <f t="shared" si="31"/>
        <v>-4.7999999999999972</v>
      </c>
      <c r="M24" s="8">
        <f t="shared" si="31"/>
        <v>-4.7000000000000028</v>
      </c>
      <c r="N24" s="8">
        <f t="shared" si="31"/>
        <v>4.7999999999999972</v>
      </c>
      <c r="O24" s="8">
        <f t="shared" si="31"/>
        <v>16.499999999999986</v>
      </c>
      <c r="P24" s="8">
        <f t="shared" si="31"/>
        <v>18.800000000000026</v>
      </c>
      <c r="Q24" s="8">
        <f t="shared" si="31"/>
        <v>13.500000000000028</v>
      </c>
      <c r="R24" s="8">
        <f t="shared" si="31"/>
        <v>14</v>
      </c>
      <c r="S24" s="8">
        <f t="shared" ref="S24" si="32">S19-S23</f>
        <v>23.5</v>
      </c>
      <c r="T24" s="8">
        <f t="shared" ref="T24" si="33">T19-T23</f>
        <v>33.299999999999955</v>
      </c>
      <c r="U24" s="8">
        <f t="shared" ref="U24" si="34">U19-U23</f>
        <v>35.100000000000023</v>
      </c>
      <c r="V24" s="8">
        <f t="shared" ref="V24" si="35">V19-V23</f>
        <v>43.399999999999977</v>
      </c>
      <c r="W24" s="8"/>
      <c r="X24" s="8"/>
      <c r="Y24" s="8"/>
      <c r="Z24" s="8"/>
      <c r="AB24" s="8">
        <f t="shared" ref="AB24:AH24" si="36">AB19-AB23</f>
        <v>-12.900000000000006</v>
      </c>
      <c r="AC24" s="8">
        <f t="shared" si="36"/>
        <v>-16</v>
      </c>
      <c r="AD24" s="8">
        <f t="shared" si="36"/>
        <v>-59.900000000000034</v>
      </c>
      <c r="AE24" s="8">
        <f t="shared" si="36"/>
        <v>-65.400000000000034</v>
      </c>
      <c r="AF24" s="8">
        <f t="shared" si="36"/>
        <v>-12.999999999999943</v>
      </c>
      <c r="AG24" s="8">
        <f t="shared" si="36"/>
        <v>62.599999999999966</v>
      </c>
      <c r="AH24" s="8">
        <f t="shared" si="36"/>
        <v>135.29999999999984</v>
      </c>
      <c r="AI24" s="8">
        <f t="shared" ref="AI24" si="37">AI19-AI23</f>
        <v>132.49159999999995</v>
      </c>
      <c r="AJ24" s="8">
        <f t="shared" ref="AJ24" si="38">AJ19-AJ23</f>
        <v>217.7919999999998</v>
      </c>
      <c r="AK24" s="8">
        <f t="shared" ref="AK24" si="39">AK19-AK23</f>
        <v>324.64818399999979</v>
      </c>
      <c r="AL24" s="8">
        <f t="shared" ref="AL24" si="40">AL19-AL23</f>
        <v>406.9589688799997</v>
      </c>
      <c r="AM24" s="8">
        <f t="shared" ref="AM24" si="41">AM19-AM23</f>
        <v>474.86639128639968</v>
      </c>
      <c r="AN24" s="8">
        <f t="shared" ref="AN24" si="42">AN19-AN23</f>
        <v>532.48735559788793</v>
      </c>
      <c r="AO24" s="8">
        <f t="shared" ref="AO24" si="43">AO19-AO23</f>
        <v>583.96870609757752</v>
      </c>
      <c r="AP24" s="8">
        <f t="shared" ref="AP24" si="44">AP19-AP23</f>
        <v>638.41833128138558</v>
      </c>
      <c r="AQ24" s="8">
        <f t="shared" ref="AQ24" si="45">AQ19-AQ23</f>
        <v>695.99149970174767</v>
      </c>
      <c r="AR24" s="8">
        <f t="shared" ref="AR24" si="46">AR19-AR23</f>
        <v>756.85137014183738</v>
      </c>
    </row>
    <row r="25" spans="2:143" x14ac:dyDescent="0.3">
      <c r="B25" t="s">
        <v>19</v>
      </c>
      <c r="C25" s="5">
        <v>0</v>
      </c>
      <c r="D25" s="5">
        <v>-0.3</v>
      </c>
      <c r="E25" s="5">
        <v>0.2</v>
      </c>
      <c r="F25" s="5">
        <v>0</v>
      </c>
      <c r="G25" s="5">
        <v>0.3</v>
      </c>
      <c r="H25" s="5">
        <v>-0.1</v>
      </c>
      <c r="I25" s="5">
        <v>-1.8</v>
      </c>
      <c r="J25" s="5">
        <v>-0.7</v>
      </c>
      <c r="K25" s="5">
        <v>-0.2</v>
      </c>
      <c r="L25" s="5">
        <v>0.3</v>
      </c>
      <c r="M25" s="5">
        <v>1</v>
      </c>
      <c r="N25" s="5">
        <v>-1.1000000000000001</v>
      </c>
      <c r="O25" s="5">
        <v>0.6</v>
      </c>
      <c r="P25" s="5">
        <v>0.7</v>
      </c>
      <c r="Q25" s="5">
        <v>-0.6</v>
      </c>
      <c r="R25" s="5">
        <v>2.2000000000000002</v>
      </c>
      <c r="S25" s="5">
        <v>-1</v>
      </c>
      <c r="T25" s="5">
        <v>-1.7</v>
      </c>
      <c r="U25" s="5">
        <v>0.5</v>
      </c>
      <c r="V25" s="5">
        <v>0.5</v>
      </c>
      <c r="W25" s="5"/>
      <c r="X25" s="5"/>
      <c r="Y25" s="5"/>
      <c r="Z25" s="5"/>
      <c r="AB25" s="5">
        <v>-0.6</v>
      </c>
      <c r="AC25" s="5">
        <v>-0.3</v>
      </c>
      <c r="AD25" s="5">
        <f>SUM(C25:F25)</f>
        <v>-9.9999999999999978E-2</v>
      </c>
      <c r="AE25" s="5">
        <f>SUM(G25:J25)</f>
        <v>-2.2999999999999998</v>
      </c>
      <c r="AF25" s="5">
        <f>SUM(K25:N25)</f>
        <v>0</v>
      </c>
      <c r="AG25" s="5">
        <f>SUM(O25:R25)</f>
        <v>2.9</v>
      </c>
      <c r="AH25" s="5">
        <f>SUM(S25:V25)</f>
        <v>-1.7000000000000002</v>
      </c>
      <c r="AI25" s="5">
        <f>AH25*1.05</f>
        <v>-1.7850000000000004</v>
      </c>
      <c r="AJ25" s="5">
        <f t="shared" ref="AJ25:AR25" si="47">AI25*1.05</f>
        <v>-1.8742500000000004</v>
      </c>
      <c r="AK25" s="5">
        <f t="shared" si="47"/>
        <v>-1.9679625000000005</v>
      </c>
      <c r="AL25" s="5">
        <f t="shared" si="47"/>
        <v>-2.0663606250000006</v>
      </c>
      <c r="AM25" s="5">
        <f t="shared" si="47"/>
        <v>-2.1696786562500008</v>
      </c>
      <c r="AN25" s="5">
        <f t="shared" si="47"/>
        <v>-2.278162589062501</v>
      </c>
      <c r="AO25" s="5">
        <f t="shared" si="47"/>
        <v>-2.392070718515626</v>
      </c>
      <c r="AP25" s="5">
        <f t="shared" si="47"/>
        <v>-2.5116742544414072</v>
      </c>
      <c r="AQ25" s="5">
        <f t="shared" si="47"/>
        <v>-2.6372579671634777</v>
      </c>
      <c r="AR25" s="5">
        <f t="shared" si="47"/>
        <v>-2.7691208655216517</v>
      </c>
    </row>
    <row r="26" spans="2:143" x14ac:dyDescent="0.3">
      <c r="B26" t="s">
        <v>40</v>
      </c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-4.3</v>
      </c>
      <c r="K26" s="5">
        <v>-5.6</v>
      </c>
      <c r="L26" s="5">
        <v>-7.5</v>
      </c>
      <c r="M26" s="5">
        <v>-8.6</v>
      </c>
      <c r="N26" s="5">
        <v>-9.3000000000000007</v>
      </c>
      <c r="O26" s="5">
        <v>-10</v>
      </c>
      <c r="P26" s="5">
        <v>-10.7</v>
      </c>
      <c r="Q26" s="5">
        <v>-11.2</v>
      </c>
      <c r="R26" s="5">
        <v>-10.7</v>
      </c>
      <c r="S26" s="5">
        <v>-10.4</v>
      </c>
      <c r="T26" s="5">
        <v>-11.4</v>
      </c>
      <c r="U26" s="5">
        <v>-11.8</v>
      </c>
      <c r="V26" s="5">
        <v>-11.6</v>
      </c>
      <c r="W26" s="5"/>
      <c r="X26" s="5"/>
      <c r="Y26" s="5"/>
      <c r="Z26" s="5"/>
      <c r="AB26" s="5">
        <v>0</v>
      </c>
      <c r="AC26" s="5">
        <v>0</v>
      </c>
      <c r="AD26" s="5">
        <f>SUM(C26:F26)</f>
        <v>0</v>
      </c>
      <c r="AE26" s="5">
        <f>SUM(G26:J26)</f>
        <v>-4.3</v>
      </c>
      <c r="AF26" s="5">
        <f>SUM(K26:N26)</f>
        <v>-31</v>
      </c>
      <c r="AG26" s="5">
        <f>SUM(O26:R26)</f>
        <v>-42.599999999999994</v>
      </c>
      <c r="AH26" s="5">
        <f>SUM(S26:V26)</f>
        <v>-45.2</v>
      </c>
      <c r="AI26" s="5">
        <f>AH26*1.05</f>
        <v>-47.460000000000008</v>
      </c>
      <c r="AJ26" s="5">
        <f t="shared" ref="AJ26:AR26" si="48">AI26*1.05</f>
        <v>-49.833000000000013</v>
      </c>
      <c r="AK26" s="5">
        <f t="shared" si="48"/>
        <v>-52.324650000000013</v>
      </c>
      <c r="AL26" s="5">
        <f t="shared" si="48"/>
        <v>-54.940882500000015</v>
      </c>
      <c r="AM26" s="5">
        <f t="shared" si="48"/>
        <v>-57.687926625000017</v>
      </c>
      <c r="AN26" s="5">
        <f t="shared" si="48"/>
        <v>-60.572322956250019</v>
      </c>
      <c r="AO26" s="5">
        <f t="shared" si="48"/>
        <v>-63.600939104062526</v>
      </c>
      <c r="AP26" s="5">
        <f t="shared" si="48"/>
        <v>-66.780986059265658</v>
      </c>
      <c r="AQ26" s="5">
        <f t="shared" si="48"/>
        <v>-70.120035362228947</v>
      </c>
      <c r="AR26" s="5">
        <f t="shared" si="48"/>
        <v>-73.626037130340393</v>
      </c>
    </row>
    <row r="27" spans="2:143" s="1" customFormat="1" x14ac:dyDescent="0.3">
      <c r="B27" s="1" t="s">
        <v>20</v>
      </c>
      <c r="C27" s="8">
        <f t="shared" ref="C27:R27" si="49">C24-C25-C26</f>
        <v>-13.399999999999999</v>
      </c>
      <c r="D27" s="8">
        <f t="shared" si="49"/>
        <v>-0.1000000000000057</v>
      </c>
      <c r="E27" s="8">
        <f t="shared" si="49"/>
        <v>-28.900000000000002</v>
      </c>
      <c r="F27" s="8">
        <f t="shared" si="49"/>
        <v>-17.400000000000006</v>
      </c>
      <c r="G27" s="8">
        <f t="shared" si="49"/>
        <v>-12.199999999999992</v>
      </c>
      <c r="H27" s="8">
        <f t="shared" si="49"/>
        <v>-14.999999999999995</v>
      </c>
      <c r="I27" s="8">
        <f t="shared" si="49"/>
        <v>-18.300000000000008</v>
      </c>
      <c r="J27" s="8">
        <f t="shared" si="49"/>
        <v>-13.200000000000003</v>
      </c>
      <c r="K27" s="8">
        <f t="shared" si="49"/>
        <v>-2.5999999999999925</v>
      </c>
      <c r="L27" s="8">
        <f t="shared" si="49"/>
        <v>2.400000000000003</v>
      </c>
      <c r="M27" s="8">
        <f t="shared" si="49"/>
        <v>2.8999999999999968</v>
      </c>
      <c r="N27" s="8">
        <f t="shared" si="49"/>
        <v>15.199999999999998</v>
      </c>
      <c r="O27" s="8">
        <f t="shared" si="49"/>
        <v>25.899999999999984</v>
      </c>
      <c r="P27" s="8">
        <f t="shared" si="49"/>
        <v>28.800000000000026</v>
      </c>
      <c r="Q27" s="8">
        <f t="shared" si="49"/>
        <v>25.300000000000026</v>
      </c>
      <c r="R27" s="8">
        <f t="shared" si="49"/>
        <v>22.5</v>
      </c>
      <c r="S27" s="8">
        <f t="shared" ref="S27" si="50">S24-S25-S26</f>
        <v>34.9</v>
      </c>
      <c r="T27" s="8">
        <f t="shared" ref="T27" si="51">T24-T25-T26</f>
        <v>46.399999999999956</v>
      </c>
      <c r="U27" s="8">
        <f t="shared" ref="U27" si="52">U24-U25-U26</f>
        <v>46.40000000000002</v>
      </c>
      <c r="V27" s="8">
        <f t="shared" ref="V27" si="53">V24-V25-V26</f>
        <v>54.499999999999979</v>
      </c>
      <c r="W27" s="8"/>
      <c r="X27" s="8"/>
      <c r="Y27" s="8"/>
      <c r="Z27" s="8"/>
      <c r="AB27" s="8">
        <f t="shared" ref="AB27:AI27" si="54">AB24-AB25-AB26</f>
        <v>-12.300000000000006</v>
      </c>
      <c r="AC27" s="8">
        <f t="shared" si="54"/>
        <v>-15.7</v>
      </c>
      <c r="AD27" s="8">
        <f t="shared" si="54"/>
        <v>-59.800000000000033</v>
      </c>
      <c r="AE27" s="8">
        <f t="shared" si="54"/>
        <v>-58.80000000000004</v>
      </c>
      <c r="AF27" s="8">
        <f t="shared" si="54"/>
        <v>18.000000000000057</v>
      </c>
      <c r="AG27" s="8">
        <f t="shared" si="54"/>
        <v>102.29999999999995</v>
      </c>
      <c r="AH27" s="8">
        <f t="shared" si="54"/>
        <v>182.19999999999982</v>
      </c>
      <c r="AI27" s="8">
        <f t="shared" si="54"/>
        <v>181.73659999999995</v>
      </c>
      <c r="AJ27" s="8">
        <f t="shared" ref="AJ27" si="55">AJ24-AJ25-AJ26</f>
        <v>269.49924999999979</v>
      </c>
      <c r="AK27" s="8">
        <f t="shared" ref="AK27" si="56">AK24-AK25-AK26</f>
        <v>378.94079649999981</v>
      </c>
      <c r="AL27" s="8">
        <f t="shared" ref="AL27" si="57">AL24-AL25-AL26</f>
        <v>463.96621200499976</v>
      </c>
      <c r="AM27" s="8">
        <f t="shared" ref="AM27" si="58">AM24-AM25-AM26</f>
        <v>534.72399656764969</v>
      </c>
      <c r="AN27" s="8">
        <f t="shared" ref="AN27" si="59">AN24-AN25-AN26</f>
        <v>595.33784114320042</v>
      </c>
      <c r="AO27" s="8">
        <f t="shared" ref="AO27" si="60">AO24-AO25-AO26</f>
        <v>649.9617159201556</v>
      </c>
      <c r="AP27" s="8">
        <f t="shared" ref="AP27" si="61">AP24-AP25-AP26</f>
        <v>707.71099159509265</v>
      </c>
      <c r="AQ27" s="8">
        <f t="shared" ref="AQ27" si="62">AQ24-AQ25-AQ26</f>
        <v>768.74879303114005</v>
      </c>
      <c r="AR27" s="8">
        <f t="shared" ref="AR27" si="63">AR24-AR25-AR26</f>
        <v>833.24652813769944</v>
      </c>
    </row>
    <row r="28" spans="2:143" x14ac:dyDescent="0.3">
      <c r="B28" t="s">
        <v>21</v>
      </c>
      <c r="C28" s="5">
        <v>0</v>
      </c>
      <c r="D28" s="5">
        <v>0</v>
      </c>
      <c r="E28" s="5">
        <v>0.1</v>
      </c>
      <c r="F28" s="5">
        <v>0.1</v>
      </c>
      <c r="G28" s="5">
        <v>0</v>
      </c>
      <c r="H28" s="5">
        <v>0.1</v>
      </c>
      <c r="I28" s="5">
        <v>0.1</v>
      </c>
      <c r="J28" s="5">
        <v>0.7</v>
      </c>
      <c r="K28" s="5">
        <v>-0.1</v>
      </c>
      <c r="L28" s="5">
        <v>-1.3</v>
      </c>
      <c r="M28" s="5">
        <v>0.1</v>
      </c>
      <c r="N28" s="5">
        <v>3</v>
      </c>
      <c r="O28" s="5">
        <v>-1.1000000000000001</v>
      </c>
      <c r="P28" s="5">
        <v>4.4000000000000004</v>
      </c>
      <c r="Q28" s="5">
        <v>2</v>
      </c>
      <c r="R28" s="5">
        <v>8.4</v>
      </c>
      <c r="S28" s="5">
        <v>-0.1</v>
      </c>
      <c r="T28" s="5">
        <v>1.7</v>
      </c>
      <c r="U28" s="5">
        <v>-245.7</v>
      </c>
      <c r="V28" s="5">
        <v>12.5</v>
      </c>
      <c r="W28" s="5"/>
      <c r="X28" s="5"/>
      <c r="Y28" s="5"/>
      <c r="Z28" s="5"/>
      <c r="AB28" s="5">
        <v>0</v>
      </c>
      <c r="AC28" s="5">
        <v>0.1</v>
      </c>
      <c r="AD28" s="5">
        <f>SUM(C28:F28)</f>
        <v>0.2</v>
      </c>
      <c r="AE28" s="5">
        <f>SUM(G28:J28)</f>
        <v>0.89999999999999991</v>
      </c>
      <c r="AF28" s="5">
        <f>SUM(K28:N28)</f>
        <v>1.7</v>
      </c>
      <c r="AG28" s="5">
        <f>SUM(O28:R28)</f>
        <v>13.700000000000001</v>
      </c>
      <c r="AH28" s="5">
        <f>SUM(S28:V28)</f>
        <v>-231.6</v>
      </c>
      <c r="AI28" s="5">
        <f>AI27*0.15</f>
        <v>27.260489999999994</v>
      </c>
      <c r="AJ28" s="5">
        <f t="shared" ref="AJ28:AR28" si="64">AJ27*0.15</f>
        <v>40.424887499999969</v>
      </c>
      <c r="AK28" s="5">
        <f t="shared" si="64"/>
        <v>56.841119474999971</v>
      </c>
      <c r="AL28" s="5">
        <f t="shared" si="64"/>
        <v>69.594931800749961</v>
      </c>
      <c r="AM28" s="5">
        <f t="shared" si="64"/>
        <v>80.208599485147445</v>
      </c>
      <c r="AN28" s="5">
        <f t="shared" si="64"/>
        <v>89.300676171480063</v>
      </c>
      <c r="AO28" s="5">
        <f t="shared" si="64"/>
        <v>97.494257388023343</v>
      </c>
      <c r="AP28" s="5">
        <f t="shared" si="64"/>
        <v>106.1566487392639</v>
      </c>
      <c r="AQ28" s="5">
        <f t="shared" si="64"/>
        <v>115.312318954671</v>
      </c>
      <c r="AR28" s="5">
        <f t="shared" si="64"/>
        <v>124.98697922065492</v>
      </c>
    </row>
    <row r="29" spans="2:143" s="1" customFormat="1" x14ac:dyDescent="0.3">
      <c r="B29" s="1" t="s">
        <v>22</v>
      </c>
      <c r="C29" s="8">
        <f t="shared" ref="C29:R29" si="65">C27-C28</f>
        <v>-13.399999999999999</v>
      </c>
      <c r="D29" s="8">
        <f t="shared" si="65"/>
        <v>-0.1000000000000057</v>
      </c>
      <c r="E29" s="8">
        <f t="shared" si="65"/>
        <v>-29.000000000000004</v>
      </c>
      <c r="F29" s="8">
        <f t="shared" si="65"/>
        <v>-17.500000000000007</v>
      </c>
      <c r="G29" s="8">
        <f t="shared" si="65"/>
        <v>-12.199999999999992</v>
      </c>
      <c r="H29" s="8">
        <f t="shared" si="65"/>
        <v>-15.099999999999994</v>
      </c>
      <c r="I29" s="8">
        <f t="shared" si="65"/>
        <v>-18.400000000000009</v>
      </c>
      <c r="J29" s="8">
        <f t="shared" si="65"/>
        <v>-13.900000000000002</v>
      </c>
      <c r="K29" s="8">
        <f t="shared" si="65"/>
        <v>-2.4999999999999925</v>
      </c>
      <c r="L29" s="8">
        <f t="shared" si="65"/>
        <v>3.7000000000000028</v>
      </c>
      <c r="M29" s="8">
        <f t="shared" si="65"/>
        <v>2.7999999999999967</v>
      </c>
      <c r="N29" s="8">
        <f t="shared" si="65"/>
        <v>12.199999999999998</v>
      </c>
      <c r="O29" s="8">
        <f t="shared" si="65"/>
        <v>26.999999999999986</v>
      </c>
      <c r="P29" s="8">
        <f t="shared" si="65"/>
        <v>24.400000000000027</v>
      </c>
      <c r="Q29" s="8">
        <f t="shared" si="65"/>
        <v>23.300000000000026</v>
      </c>
      <c r="R29" s="8">
        <f t="shared" si="65"/>
        <v>14.1</v>
      </c>
      <c r="S29" s="8">
        <f t="shared" ref="S29" si="66">S27-S28</f>
        <v>35</v>
      </c>
      <c r="T29" s="8">
        <f t="shared" ref="T29" si="67">T27-T28</f>
        <v>44.699999999999953</v>
      </c>
      <c r="U29" s="8">
        <f t="shared" ref="U29" si="68">U27-U28</f>
        <v>292.10000000000002</v>
      </c>
      <c r="V29" s="8">
        <f t="shared" ref="V29" si="69">V27-V28</f>
        <v>41.999999999999979</v>
      </c>
      <c r="W29" s="8"/>
      <c r="X29" s="8"/>
      <c r="Y29" s="8"/>
      <c r="Z29" s="8"/>
      <c r="AB29" s="8">
        <f t="shared" ref="AB29:AI29" si="70">AB27-AB28</f>
        <v>-12.300000000000006</v>
      </c>
      <c r="AC29" s="8">
        <f t="shared" si="70"/>
        <v>-15.799999999999999</v>
      </c>
      <c r="AD29" s="8">
        <f t="shared" si="70"/>
        <v>-60.000000000000036</v>
      </c>
      <c r="AE29" s="8">
        <f t="shared" si="70"/>
        <v>-59.700000000000038</v>
      </c>
      <c r="AF29" s="8">
        <f t="shared" si="70"/>
        <v>16.300000000000058</v>
      </c>
      <c r="AG29" s="8">
        <f t="shared" si="70"/>
        <v>88.599999999999952</v>
      </c>
      <c r="AH29" s="8">
        <f t="shared" si="70"/>
        <v>413.79999999999984</v>
      </c>
      <c r="AI29" s="8">
        <f t="shared" si="70"/>
        <v>154.47610999999995</v>
      </c>
      <c r="AJ29" s="8">
        <f t="shared" ref="AJ29" si="71">AJ27-AJ28</f>
        <v>229.07436249999984</v>
      </c>
      <c r="AK29" s="8">
        <f t="shared" ref="AK29" si="72">AK27-AK28</f>
        <v>322.09967702499983</v>
      </c>
      <c r="AL29" s="8">
        <f t="shared" ref="AL29" si="73">AL27-AL28</f>
        <v>394.37128020424979</v>
      </c>
      <c r="AM29" s="8">
        <f t="shared" ref="AM29" si="74">AM27-AM28</f>
        <v>454.51539708250226</v>
      </c>
      <c r="AN29" s="8">
        <f t="shared" ref="AN29" si="75">AN27-AN28</f>
        <v>506.03716497172036</v>
      </c>
      <c r="AO29" s="8">
        <f t="shared" ref="AO29" si="76">AO27-AO28</f>
        <v>552.46745853213224</v>
      </c>
      <c r="AP29" s="8">
        <f t="shared" ref="AP29" si="77">AP27-AP28</f>
        <v>601.55434285582874</v>
      </c>
      <c r="AQ29" s="8">
        <f t="shared" ref="AQ29" si="78">AQ27-AQ28</f>
        <v>653.43647407646904</v>
      </c>
      <c r="AR29" s="8">
        <f t="shared" ref="AR29" si="79">AR27-AR28</f>
        <v>708.25954891704453</v>
      </c>
      <c r="AS29" s="1">
        <f t="shared" ref="AS29:BX29" si="80">AR29*(1+$AV$41)</f>
        <v>701.17695342787408</v>
      </c>
      <c r="AT29" s="1">
        <f t="shared" si="80"/>
        <v>694.16518389359533</v>
      </c>
      <c r="AU29" s="1">
        <f t="shared" si="80"/>
        <v>687.22353205465936</v>
      </c>
      <c r="AV29" s="1">
        <f t="shared" si="80"/>
        <v>680.35129673411279</v>
      </c>
      <c r="AW29" s="1">
        <f t="shared" si="80"/>
        <v>673.54778376677166</v>
      </c>
      <c r="AX29" s="1">
        <f t="shared" si="80"/>
        <v>666.8123059291039</v>
      </c>
      <c r="AY29" s="1">
        <f t="shared" si="80"/>
        <v>660.14418286981288</v>
      </c>
      <c r="AZ29" s="1">
        <f t="shared" si="80"/>
        <v>653.54274104111471</v>
      </c>
      <c r="BA29" s="1">
        <f t="shared" si="80"/>
        <v>647.00731363070361</v>
      </c>
      <c r="BB29" s="1">
        <f t="shared" si="80"/>
        <v>640.53724049439654</v>
      </c>
      <c r="BC29" s="1">
        <f t="shared" si="80"/>
        <v>634.13186808945261</v>
      </c>
      <c r="BD29" s="1">
        <f t="shared" si="80"/>
        <v>627.79054940855804</v>
      </c>
      <c r="BE29" s="1">
        <f t="shared" si="80"/>
        <v>621.51264391447251</v>
      </c>
      <c r="BF29" s="1">
        <f t="shared" si="80"/>
        <v>615.29751747532782</v>
      </c>
      <c r="BG29" s="1">
        <f t="shared" si="80"/>
        <v>609.14454230057459</v>
      </c>
      <c r="BH29" s="1">
        <f t="shared" si="80"/>
        <v>603.05309687756881</v>
      </c>
      <c r="BI29" s="1">
        <f t="shared" si="80"/>
        <v>597.02256590879313</v>
      </c>
      <c r="BJ29" s="1">
        <f t="shared" si="80"/>
        <v>591.05234024970514</v>
      </c>
      <c r="BK29" s="1">
        <f t="shared" si="80"/>
        <v>585.14181684720813</v>
      </c>
      <c r="BL29" s="1">
        <f t="shared" si="80"/>
        <v>579.2903986787361</v>
      </c>
      <c r="BM29" s="1">
        <f t="shared" si="80"/>
        <v>573.49749469194876</v>
      </c>
      <c r="BN29" s="1">
        <f t="shared" si="80"/>
        <v>567.76251974502929</v>
      </c>
      <c r="BO29" s="1">
        <f t="shared" si="80"/>
        <v>562.08489454757898</v>
      </c>
      <c r="BP29" s="1">
        <f t="shared" si="80"/>
        <v>556.46404560210317</v>
      </c>
      <c r="BQ29" s="1">
        <f t="shared" si="80"/>
        <v>550.89940514608213</v>
      </c>
      <c r="BR29" s="1">
        <f t="shared" si="80"/>
        <v>545.3904110946213</v>
      </c>
      <c r="BS29" s="1">
        <f t="shared" si="80"/>
        <v>539.93650698367503</v>
      </c>
      <c r="BT29" s="1">
        <f t="shared" si="80"/>
        <v>534.53714191383824</v>
      </c>
      <c r="BU29" s="1">
        <f t="shared" si="80"/>
        <v>529.19177049469988</v>
      </c>
      <c r="BV29" s="1">
        <f t="shared" si="80"/>
        <v>523.89985278975291</v>
      </c>
      <c r="BW29" s="1">
        <f t="shared" si="80"/>
        <v>518.66085426185543</v>
      </c>
      <c r="BX29" s="1">
        <f t="shared" si="80"/>
        <v>513.47424571923682</v>
      </c>
      <c r="BY29" s="1">
        <f t="shared" ref="BY29:DD29" si="81">BX29*(1+$AV$41)</f>
        <v>508.33950326204445</v>
      </c>
      <c r="BZ29" s="1">
        <f t="shared" si="81"/>
        <v>503.256108229424</v>
      </c>
      <c r="CA29" s="1">
        <f t="shared" si="81"/>
        <v>498.22354714712975</v>
      </c>
      <c r="CB29" s="1">
        <f t="shared" si="81"/>
        <v>493.24131167565844</v>
      </c>
      <c r="CC29" s="1">
        <f t="shared" si="81"/>
        <v>488.30889855890183</v>
      </c>
      <c r="CD29" s="1">
        <f t="shared" si="81"/>
        <v>483.42580957331279</v>
      </c>
      <c r="CE29" s="1">
        <f t="shared" si="81"/>
        <v>478.59155147757969</v>
      </c>
      <c r="CF29" s="1">
        <f t="shared" si="81"/>
        <v>473.80563596280388</v>
      </c>
      <c r="CG29" s="1">
        <f t="shared" si="81"/>
        <v>469.06757960317583</v>
      </c>
      <c r="CH29" s="1">
        <f t="shared" si="81"/>
        <v>464.37690380714406</v>
      </c>
      <c r="CI29" s="1">
        <f t="shared" si="81"/>
        <v>459.73313476907259</v>
      </c>
      <c r="CJ29" s="1">
        <f t="shared" si="81"/>
        <v>455.13580342138187</v>
      </c>
      <c r="CK29" s="1">
        <f t="shared" si="81"/>
        <v>450.58444538716805</v>
      </c>
      <c r="CL29" s="1">
        <f t="shared" si="81"/>
        <v>446.07860093329634</v>
      </c>
      <c r="CM29" s="1">
        <f t="shared" si="81"/>
        <v>441.61781492396335</v>
      </c>
      <c r="CN29" s="1">
        <f t="shared" si="81"/>
        <v>437.20163677472374</v>
      </c>
      <c r="CO29" s="1">
        <f t="shared" si="81"/>
        <v>432.82962040697652</v>
      </c>
      <c r="CP29" s="1">
        <f t="shared" si="81"/>
        <v>428.50132420290674</v>
      </c>
      <c r="CQ29" s="1">
        <f t="shared" si="81"/>
        <v>424.21631096087765</v>
      </c>
      <c r="CR29" s="1">
        <f t="shared" si="81"/>
        <v>419.97414785126887</v>
      </c>
      <c r="CS29" s="1">
        <f t="shared" si="81"/>
        <v>415.77440637275618</v>
      </c>
      <c r="CT29" s="1">
        <f t="shared" si="81"/>
        <v>411.61666230902858</v>
      </c>
      <c r="CU29" s="1">
        <f t="shared" si="81"/>
        <v>407.50049568593829</v>
      </c>
      <c r="CV29" s="1">
        <f t="shared" si="81"/>
        <v>403.42549072907889</v>
      </c>
      <c r="CW29" s="1">
        <f t="shared" si="81"/>
        <v>399.39123582178809</v>
      </c>
      <c r="CX29" s="1">
        <f t="shared" si="81"/>
        <v>395.39732346357022</v>
      </c>
      <c r="CY29" s="1">
        <f t="shared" si="81"/>
        <v>391.44335022893449</v>
      </c>
      <c r="CZ29" s="1">
        <f t="shared" si="81"/>
        <v>387.52891672664515</v>
      </c>
      <c r="DA29" s="1">
        <f t="shared" si="81"/>
        <v>383.65362755937872</v>
      </c>
      <c r="DB29" s="1">
        <f t="shared" si="81"/>
        <v>379.81709128378492</v>
      </c>
      <c r="DC29" s="1">
        <f t="shared" si="81"/>
        <v>376.01892037094706</v>
      </c>
      <c r="DD29" s="1">
        <f t="shared" si="81"/>
        <v>372.25873116723756</v>
      </c>
      <c r="DE29" s="1">
        <f t="shared" ref="DE29:EM29" si="82">DD29*(1+$AV$41)</f>
        <v>368.53614385556517</v>
      </c>
      <c r="DF29" s="1">
        <f t="shared" si="82"/>
        <v>364.8507824170095</v>
      </c>
      <c r="DG29" s="1">
        <f t="shared" si="82"/>
        <v>361.20227459283939</v>
      </c>
      <c r="DH29" s="1">
        <f t="shared" si="82"/>
        <v>357.59025184691097</v>
      </c>
      <c r="DI29" s="1">
        <f t="shared" si="82"/>
        <v>354.01434932844188</v>
      </c>
      <c r="DJ29" s="1">
        <f t="shared" si="82"/>
        <v>350.47420583515748</v>
      </c>
      <c r="DK29" s="1">
        <f t="shared" si="82"/>
        <v>346.96946377680592</v>
      </c>
      <c r="DL29" s="1">
        <f t="shared" si="82"/>
        <v>343.49976913903788</v>
      </c>
      <c r="DM29" s="1">
        <f t="shared" si="82"/>
        <v>340.0647714476475</v>
      </c>
      <c r="DN29" s="1">
        <f t="shared" si="82"/>
        <v>336.66412373317104</v>
      </c>
      <c r="DO29" s="1">
        <f t="shared" si="82"/>
        <v>333.29748249583935</v>
      </c>
      <c r="DP29" s="1">
        <f t="shared" si="82"/>
        <v>329.96450767088095</v>
      </c>
      <c r="DQ29" s="1">
        <f t="shared" si="82"/>
        <v>326.66486259417212</v>
      </c>
      <c r="DR29" s="1">
        <f t="shared" si="82"/>
        <v>323.39821396823038</v>
      </c>
      <c r="DS29" s="1">
        <f t="shared" si="82"/>
        <v>320.16423182854805</v>
      </c>
      <c r="DT29" s="1">
        <f t="shared" si="82"/>
        <v>316.96258951026255</v>
      </c>
      <c r="DU29" s="1">
        <f t="shared" si="82"/>
        <v>313.79296361515992</v>
      </c>
      <c r="DV29" s="1">
        <f t="shared" si="82"/>
        <v>310.65503397900829</v>
      </c>
      <c r="DW29" s="1">
        <f t="shared" si="82"/>
        <v>307.5484836392182</v>
      </c>
      <c r="DX29" s="1">
        <f t="shared" si="82"/>
        <v>304.472998802826</v>
      </c>
      <c r="DY29" s="1">
        <f t="shared" si="82"/>
        <v>301.42826881479772</v>
      </c>
      <c r="DZ29" s="1">
        <f t="shared" si="82"/>
        <v>298.41398612664972</v>
      </c>
      <c r="EA29" s="1">
        <f t="shared" si="82"/>
        <v>295.42984626538322</v>
      </c>
      <c r="EB29" s="1">
        <f t="shared" si="82"/>
        <v>292.47554780272941</v>
      </c>
      <c r="EC29" s="1">
        <f t="shared" si="82"/>
        <v>289.55079232470212</v>
      </c>
      <c r="ED29" s="1">
        <f t="shared" si="82"/>
        <v>286.65528440145511</v>
      </c>
      <c r="EE29" s="1">
        <f t="shared" si="82"/>
        <v>283.78873155744054</v>
      </c>
      <c r="EF29" s="1">
        <f t="shared" si="82"/>
        <v>280.95084424186615</v>
      </c>
      <c r="EG29" s="1">
        <f t="shared" si="82"/>
        <v>278.14133579944746</v>
      </c>
      <c r="EH29" s="1">
        <f t="shared" si="82"/>
        <v>275.35992244145297</v>
      </c>
      <c r="EI29" s="1">
        <f t="shared" si="82"/>
        <v>272.60632321703844</v>
      </c>
      <c r="EJ29" s="1">
        <f t="shared" si="82"/>
        <v>269.88025998486808</v>
      </c>
      <c r="EK29" s="1">
        <f t="shared" si="82"/>
        <v>267.18145738501937</v>
      </c>
      <c r="EL29" s="1">
        <f t="shared" si="82"/>
        <v>264.50964281116916</v>
      </c>
      <c r="EM29" s="1">
        <f t="shared" si="82"/>
        <v>261.86454638305747</v>
      </c>
    </row>
    <row r="30" spans="2:143" x14ac:dyDescent="0.3">
      <c r="B30" t="s">
        <v>2</v>
      </c>
      <c r="C30" s="5">
        <v>44.9</v>
      </c>
      <c r="D30" s="5">
        <v>44.9</v>
      </c>
      <c r="E30" s="5">
        <v>44.9</v>
      </c>
      <c r="F30" s="5">
        <v>44.9</v>
      </c>
      <c r="G30" s="5">
        <v>44.9</v>
      </c>
      <c r="H30" s="5">
        <v>44.9</v>
      </c>
      <c r="I30" s="5">
        <v>44.9</v>
      </c>
      <c r="J30" s="5">
        <v>44.9</v>
      </c>
      <c r="K30" s="5">
        <v>44.9</v>
      </c>
      <c r="L30" s="5">
        <v>44.9</v>
      </c>
      <c r="M30" s="5">
        <v>44.9</v>
      </c>
      <c r="N30" s="5">
        <v>44.9</v>
      </c>
      <c r="O30" s="5">
        <v>44.9</v>
      </c>
      <c r="P30" s="5">
        <v>44.9</v>
      </c>
      <c r="Q30" s="5">
        <v>44.9</v>
      </c>
      <c r="R30" s="5">
        <v>44.9</v>
      </c>
      <c r="S30" s="5">
        <f>39.3+6.2</f>
        <v>45.5</v>
      </c>
      <c r="T30" s="5">
        <v>45.8</v>
      </c>
      <c r="U30" s="5">
        <f>46.1</f>
        <v>46.1</v>
      </c>
      <c r="V30" s="5">
        <v>46.6</v>
      </c>
      <c r="W30" s="5"/>
      <c r="X30" s="5"/>
      <c r="Y30" s="5"/>
      <c r="Z30" s="5"/>
      <c r="AB30" s="5">
        <v>44.9</v>
      </c>
      <c r="AC30" s="5">
        <v>44.9</v>
      </c>
      <c r="AD30" s="5">
        <v>44.9</v>
      </c>
      <c r="AE30" s="5">
        <v>44.9</v>
      </c>
      <c r="AF30" s="5">
        <v>44.9</v>
      </c>
      <c r="AG30" s="5">
        <v>44.9</v>
      </c>
      <c r="AH30" s="5">
        <v>46.6</v>
      </c>
      <c r="AI30" s="5">
        <v>46.6</v>
      </c>
      <c r="AJ30" s="5">
        <v>46.6</v>
      </c>
      <c r="AK30" s="5">
        <v>46.6</v>
      </c>
      <c r="AL30" s="5">
        <v>46.6</v>
      </c>
      <c r="AM30" s="5">
        <v>46.6</v>
      </c>
      <c r="AN30" s="5">
        <v>46.6</v>
      </c>
      <c r="AO30" s="5">
        <v>46.6</v>
      </c>
      <c r="AP30" s="5">
        <v>46.6</v>
      </c>
      <c r="AQ30" s="5">
        <v>46.6</v>
      </c>
      <c r="AR30" s="5">
        <v>46.6</v>
      </c>
    </row>
    <row r="31" spans="2:143" x14ac:dyDescent="0.3">
      <c r="B31" t="s">
        <v>23</v>
      </c>
      <c r="C31" s="7">
        <f t="shared" ref="C31:R31" si="83">C29/C30</f>
        <v>-0.29844097995545654</v>
      </c>
      <c r="D31" s="7">
        <f t="shared" si="83"/>
        <v>-2.2271714922050267E-3</v>
      </c>
      <c r="E31" s="7">
        <f t="shared" si="83"/>
        <v>-0.64587973273942101</v>
      </c>
      <c r="F31" s="7">
        <f t="shared" si="83"/>
        <v>-0.38975501113585764</v>
      </c>
      <c r="G31" s="7">
        <f t="shared" si="83"/>
        <v>-0.27171492204899761</v>
      </c>
      <c r="H31" s="7">
        <f t="shared" si="83"/>
        <v>-0.33630289532293978</v>
      </c>
      <c r="I31" s="7">
        <f t="shared" si="83"/>
        <v>-0.40979955456570177</v>
      </c>
      <c r="J31" s="7">
        <f t="shared" si="83"/>
        <v>-0.30957683741648112</v>
      </c>
      <c r="K31" s="7">
        <f t="shared" si="83"/>
        <v>-5.5679287305122331E-2</v>
      </c>
      <c r="L31" s="7">
        <f t="shared" si="83"/>
        <v>8.2405345211581355E-2</v>
      </c>
      <c r="M31" s="7">
        <f t="shared" si="83"/>
        <v>6.236080178173712E-2</v>
      </c>
      <c r="N31" s="7">
        <f t="shared" si="83"/>
        <v>0.27171492204899772</v>
      </c>
      <c r="O31" s="7">
        <f t="shared" si="83"/>
        <v>0.60133630289532269</v>
      </c>
      <c r="P31" s="7">
        <f t="shared" si="83"/>
        <v>0.54342984409799622</v>
      </c>
      <c r="Q31" s="7">
        <f t="shared" si="83"/>
        <v>0.5189309576837422</v>
      </c>
      <c r="R31" s="7">
        <f t="shared" si="83"/>
        <v>0.3140311804008909</v>
      </c>
      <c r="S31" s="7">
        <f t="shared" ref="S31" si="84">S29/S30</f>
        <v>0.76923076923076927</v>
      </c>
      <c r="T31" s="7">
        <f t="shared" ref="T31" si="85">T29/T30</f>
        <v>0.9759825327510907</v>
      </c>
      <c r="U31" s="7">
        <f t="shared" ref="U31" si="86">U29/U30</f>
        <v>6.3362255965292844</v>
      </c>
      <c r="V31" s="7">
        <f t="shared" ref="V31" si="87">V29/V30</f>
        <v>0.90128755364806823</v>
      </c>
      <c r="W31" s="7"/>
      <c r="X31" s="7"/>
      <c r="Y31" s="7"/>
      <c r="Z31" s="7"/>
      <c r="AB31" s="7">
        <f t="shared" ref="AB31:AI31" si="88">AB29/AB30</f>
        <v>-0.2739420935412028</v>
      </c>
      <c r="AC31" s="7">
        <f t="shared" si="88"/>
        <v>-0.35189309576837413</v>
      </c>
      <c r="AD31" s="7">
        <f t="shared" si="88"/>
        <v>-1.3363028953229408</v>
      </c>
      <c r="AE31" s="7">
        <f t="shared" si="88"/>
        <v>-1.329621380846326</v>
      </c>
      <c r="AF31" s="7">
        <f t="shared" si="88"/>
        <v>0.36302895322939993</v>
      </c>
      <c r="AG31" s="7">
        <f t="shared" si="88"/>
        <v>1.9732739420935401</v>
      </c>
      <c r="AH31" s="7">
        <f t="shared" si="88"/>
        <v>8.8798283261802542</v>
      </c>
      <c r="AI31" s="7">
        <f t="shared" si="88"/>
        <v>3.3149379828326166</v>
      </c>
      <c r="AJ31" s="7">
        <f t="shared" ref="AJ31" si="89">AJ29/AJ30</f>
        <v>4.9157588519313267</v>
      </c>
      <c r="AK31" s="7">
        <f t="shared" ref="AK31" si="90">AK29/AK30</f>
        <v>6.912010236587979</v>
      </c>
      <c r="AL31" s="7">
        <f t="shared" ref="AL31" si="91">AL29/AL30</f>
        <v>8.4629030086748873</v>
      </c>
      <c r="AM31" s="7">
        <f t="shared" ref="AM31" si="92">AM29/AM30</f>
        <v>9.7535492936159276</v>
      </c>
      <c r="AN31" s="7">
        <f t="shared" ref="AN31" si="93">AN29/AN30</f>
        <v>10.859166630294428</v>
      </c>
      <c r="AO31" s="7">
        <f t="shared" ref="AO31" si="94">AO29/AO30</f>
        <v>11.855524861204554</v>
      </c>
      <c r="AP31" s="7">
        <f t="shared" ref="AP31" si="95">AP29/AP30</f>
        <v>12.90889147759289</v>
      </c>
      <c r="AQ31" s="7">
        <f t="shared" ref="AQ31" si="96">AQ29/AQ30</f>
        <v>14.022241932971438</v>
      </c>
      <c r="AR31" s="7">
        <f t="shared" ref="AR31" si="97">AR29/AR30</f>
        <v>15.198702766460183</v>
      </c>
    </row>
    <row r="33" spans="2:48" x14ac:dyDescent="0.3">
      <c r="B33" t="s">
        <v>93</v>
      </c>
      <c r="S33" s="9">
        <f t="shared" ref="S33:S34" si="98">S9/O9-1</f>
        <v>0.4377708978328172</v>
      </c>
      <c r="T33" s="9">
        <f>T9/P9-1</f>
        <v>0.45239616613418532</v>
      </c>
      <c r="U33" s="9">
        <f>U9/Q9-1</f>
        <v>0.36301758366420867</v>
      </c>
      <c r="V33" s="9">
        <f>V9/R9-1</f>
        <v>0.25465313028764758</v>
      </c>
      <c r="AD33" s="9"/>
      <c r="AE33" s="9"/>
      <c r="AF33" s="9">
        <f t="shared" ref="AF33" si="99">AF9/AE9-1</f>
        <v>0.49336949969861355</v>
      </c>
      <c r="AG33" s="9">
        <f>AG9/AF9-1</f>
        <v>0.47467204843592348</v>
      </c>
      <c r="AH33" s="9">
        <f>AH9/AG9-1</f>
        <v>0.36362392226631979</v>
      </c>
    </row>
    <row r="34" spans="2:48" x14ac:dyDescent="0.3">
      <c r="B34" t="s">
        <v>94</v>
      </c>
      <c r="S34" s="9">
        <f t="shared" si="98"/>
        <v>0.3751898734177217</v>
      </c>
      <c r="T34" s="9">
        <f t="shared" ref="T34:V34" si="100">T10/P10-1</f>
        <v>0.409784324039979</v>
      </c>
      <c r="U34" s="9">
        <f t="shared" si="100"/>
        <v>0.33286052009456246</v>
      </c>
      <c r="V34" s="9">
        <f t="shared" si="100"/>
        <v>0.24051565377532236</v>
      </c>
      <c r="AD34" s="9"/>
      <c r="AE34" s="9"/>
      <c r="AF34" s="9">
        <f t="shared" ref="AF34" si="101">AF10/AE10-1</f>
        <v>0.45170321978534766</v>
      </c>
      <c r="AG34" s="9">
        <f>AG10/AF10-1</f>
        <v>0.39922854387656703</v>
      </c>
      <c r="AH34" s="9">
        <f>AH10/AG10-1</f>
        <v>0.33046175051688476</v>
      </c>
    </row>
    <row r="35" spans="2:48" x14ac:dyDescent="0.3">
      <c r="B35" t="s">
        <v>95</v>
      </c>
      <c r="S35" s="9">
        <f t="shared" ref="S35:S38" si="102">S12/O12-1</f>
        <v>0.45026575550493564</v>
      </c>
      <c r="T35" s="9">
        <f>T12/P12-1</f>
        <v>0.46421125781792894</v>
      </c>
      <c r="U35" s="9">
        <f>U12/Q12-1</f>
        <v>0.45621827411167515</v>
      </c>
      <c r="V35" s="9">
        <f>V12/R12-1</f>
        <v>0.38955823293172664</v>
      </c>
      <c r="AD35" s="9"/>
      <c r="AE35" s="9">
        <f t="shared" ref="AE35:AF38" si="103">AE12/AD12-1</f>
        <v>0.51355838406198129</v>
      </c>
      <c r="AF35" s="9">
        <f t="shared" si="103"/>
        <v>0.4797074954296161</v>
      </c>
      <c r="AG35" s="9">
        <f>AG12/AF12-1</f>
        <v>0.50111193476649385</v>
      </c>
    </row>
    <row r="36" spans="2:48" x14ac:dyDescent="0.3">
      <c r="B36" t="s">
        <v>96</v>
      </c>
      <c r="S36" s="9">
        <f t="shared" si="102"/>
        <v>0.37692307692307692</v>
      </c>
      <c r="T36" s="9">
        <f t="shared" ref="T36:V38" si="104">T13/P13-1</f>
        <v>0.54887218045112784</v>
      </c>
      <c r="U36" s="9">
        <f t="shared" si="104"/>
        <v>0.45833333333333326</v>
      </c>
      <c r="V36" s="9">
        <f t="shared" si="104"/>
        <v>0.42253521126760596</v>
      </c>
      <c r="AD36" s="9"/>
      <c r="AE36" s="9">
        <f t="shared" si="103"/>
        <v>0.16103896103896109</v>
      </c>
      <c r="AF36" s="9">
        <f t="shared" si="103"/>
        <v>0.11633109619686799</v>
      </c>
      <c r="AG36" s="9">
        <f t="shared" ref="AG36:AG38" si="105">AG13/AF13-1</f>
        <v>0.10020040080160331</v>
      </c>
    </row>
    <row r="37" spans="2:48" x14ac:dyDescent="0.3">
      <c r="B37" t="s">
        <v>97</v>
      </c>
      <c r="S37" s="9">
        <f t="shared" si="102"/>
        <v>-6.25E-2</v>
      </c>
      <c r="T37" s="9">
        <f t="shared" si="104"/>
        <v>-5.6074766355140193E-2</v>
      </c>
      <c r="U37" s="9">
        <f t="shared" si="104"/>
        <v>-0.11111111111111116</v>
      </c>
      <c r="V37" s="9">
        <f t="shared" si="104"/>
        <v>-8.8495575221238965E-2</v>
      </c>
      <c r="AD37" s="9"/>
      <c r="AE37" s="9">
        <f t="shared" si="103"/>
        <v>0.32388663967611353</v>
      </c>
      <c r="AF37" s="9">
        <f t="shared" si="103"/>
        <v>0.25993883792048922</v>
      </c>
      <c r="AG37" s="9">
        <f t="shared" si="105"/>
        <v>0.10679611650485432</v>
      </c>
    </row>
    <row r="38" spans="2:48" x14ac:dyDescent="0.3">
      <c r="B38" t="s">
        <v>98</v>
      </c>
      <c r="S38" s="9">
        <f t="shared" si="102"/>
        <v>-5.0505050505050497E-2</v>
      </c>
      <c r="T38" s="9">
        <f t="shared" si="104"/>
        <v>1.9607843137255054E-2</v>
      </c>
      <c r="U38" s="9">
        <f t="shared" si="104"/>
        <v>0.18085106382978711</v>
      </c>
      <c r="V38" s="9">
        <f t="shared" si="104"/>
        <v>4.3478260869564744E-2</v>
      </c>
      <c r="AD38" s="9"/>
      <c r="AE38" s="9">
        <f t="shared" si="103"/>
        <v>1.6323529411764706</v>
      </c>
      <c r="AF38" s="9">
        <f t="shared" si="103"/>
        <v>0.9385474860335199</v>
      </c>
      <c r="AG38" s="9">
        <f t="shared" si="105"/>
        <v>0.11527377521613835</v>
      </c>
    </row>
    <row r="39" spans="2:48" x14ac:dyDescent="0.3">
      <c r="B39" t="s">
        <v>45</v>
      </c>
      <c r="C39" s="9"/>
      <c r="D39" s="9"/>
      <c r="E39" s="9"/>
      <c r="F39" s="9"/>
      <c r="G39" s="9">
        <f t="shared" ref="G39:V39" si="106">G17/C17-1</f>
        <v>0.46570397111913375</v>
      </c>
      <c r="H39" s="9">
        <f t="shared" si="106"/>
        <v>0.5034013605442178</v>
      </c>
      <c r="I39" s="9">
        <f t="shared" si="106"/>
        <v>0.51100628930817593</v>
      </c>
      <c r="J39" s="9">
        <f t="shared" si="106"/>
        <v>0.42191780821917813</v>
      </c>
      <c r="K39" s="9">
        <f t="shared" si="106"/>
        <v>0.42487684729064035</v>
      </c>
      <c r="L39" s="9">
        <f t="shared" si="106"/>
        <v>0.434389140271493</v>
      </c>
      <c r="M39" s="9">
        <f t="shared" si="106"/>
        <v>0.43184183142559829</v>
      </c>
      <c r="N39" s="9">
        <f t="shared" si="106"/>
        <v>0.4547206165703277</v>
      </c>
      <c r="O39" s="9">
        <f t="shared" si="106"/>
        <v>0.44857389801210013</v>
      </c>
      <c r="P39" s="9">
        <f t="shared" si="106"/>
        <v>0.40694006309148278</v>
      </c>
      <c r="Q39" s="9">
        <f t="shared" si="106"/>
        <v>0.39970930232558155</v>
      </c>
      <c r="R39" s="9">
        <f t="shared" si="106"/>
        <v>0.38807947019867539</v>
      </c>
      <c r="S39" s="9">
        <f t="shared" si="106"/>
        <v>0.37649164677804303</v>
      </c>
      <c r="T39" s="9">
        <f t="shared" si="106"/>
        <v>0.41423766816143481</v>
      </c>
      <c r="U39" s="9">
        <f t="shared" si="106"/>
        <v>0.41069574247144347</v>
      </c>
      <c r="V39" s="9">
        <f t="shared" si="106"/>
        <v>0.34971374045801529</v>
      </c>
      <c r="W39" s="9">
        <f t="shared" ref="W39" si="107">W17/S17-1</f>
        <v>0.25</v>
      </c>
      <c r="X39" s="9">
        <f t="shared" ref="X39" si="108">X17/T17-1</f>
        <v>-1</v>
      </c>
      <c r="Y39" s="9">
        <f t="shared" ref="Y39" si="109">Y17/U17-1</f>
        <v>-1</v>
      </c>
      <c r="Z39" s="9">
        <f t="shared" ref="Z39" si="110">Z17/V17-1</f>
        <v>-1</v>
      </c>
      <c r="AB39" s="9"/>
      <c r="AC39" s="9">
        <f t="shared" ref="AC39:AR39" si="111">AC17/AB17-1</f>
        <v>1.2838983050847457</v>
      </c>
      <c r="AD39" s="9">
        <f t="shared" si="111"/>
        <v>0.55102040816326525</v>
      </c>
      <c r="AE39" s="9">
        <f t="shared" si="111"/>
        <v>0.47288676236044669</v>
      </c>
      <c r="AF39" s="9">
        <f t="shared" si="111"/>
        <v>0.43800757985923133</v>
      </c>
      <c r="AG39" s="9">
        <f t="shared" si="111"/>
        <v>0.4081325301204819</v>
      </c>
      <c r="AH39" s="9">
        <f t="shared" si="111"/>
        <v>0.38716577540106933</v>
      </c>
      <c r="AI39" s="9">
        <f t="shared" si="111"/>
        <v>0.14999999999999991</v>
      </c>
      <c r="AJ39" s="9">
        <f t="shared" si="111"/>
        <v>0.19999999999999996</v>
      </c>
      <c r="AK39" s="9">
        <f t="shared" si="111"/>
        <v>0.14999999999999991</v>
      </c>
      <c r="AL39" s="9">
        <f t="shared" si="111"/>
        <v>0.10000000000000009</v>
      </c>
      <c r="AM39" s="9">
        <f t="shared" si="111"/>
        <v>8.0000000000000071E-2</v>
      </c>
      <c r="AN39" s="9">
        <f t="shared" si="111"/>
        <v>6.0000000000000053E-2</v>
      </c>
      <c r="AO39" s="9">
        <f t="shared" si="111"/>
        <v>5.0000000000000044E-2</v>
      </c>
      <c r="AP39" s="9">
        <f t="shared" si="111"/>
        <v>5.0000000000000044E-2</v>
      </c>
      <c r="AQ39" s="9">
        <f t="shared" si="111"/>
        <v>5.0000000000000044E-2</v>
      </c>
      <c r="AR39" s="9">
        <f t="shared" si="111"/>
        <v>5.0000000000000044E-2</v>
      </c>
    </row>
    <row r="40" spans="2:48" x14ac:dyDescent="0.3">
      <c r="B40" t="s">
        <v>46</v>
      </c>
      <c r="C40" s="9">
        <f t="shared" ref="C40:V40" si="112">C19/C17</f>
        <v>0.72924187725631773</v>
      </c>
      <c r="D40" s="9">
        <f t="shared" si="112"/>
        <v>0.72619047619047616</v>
      </c>
      <c r="E40" s="9">
        <f t="shared" si="112"/>
        <v>0.71540880503144655</v>
      </c>
      <c r="F40" s="9">
        <f t="shared" si="112"/>
        <v>0.72602739726027399</v>
      </c>
      <c r="G40" s="9">
        <f t="shared" si="112"/>
        <v>0.73522167487684731</v>
      </c>
      <c r="H40" s="9">
        <f t="shared" si="112"/>
        <v>0.72963800904977372</v>
      </c>
      <c r="I40" s="9">
        <f t="shared" si="112"/>
        <v>0.72632674297606659</v>
      </c>
      <c r="J40" s="9">
        <f t="shared" si="112"/>
        <v>0.73217726396917149</v>
      </c>
      <c r="K40" s="9">
        <f t="shared" si="112"/>
        <v>0.72774416594641311</v>
      </c>
      <c r="L40" s="9">
        <f t="shared" si="112"/>
        <v>0.7334384858044164</v>
      </c>
      <c r="M40" s="9">
        <f t="shared" si="112"/>
        <v>0.73619186046511631</v>
      </c>
      <c r="N40" s="9">
        <f t="shared" si="112"/>
        <v>0.73112582781456958</v>
      </c>
      <c r="O40" s="9">
        <f t="shared" si="112"/>
        <v>0.73031026252983289</v>
      </c>
      <c r="P40" s="9">
        <f t="shared" si="112"/>
        <v>0.73486547085201803</v>
      </c>
      <c r="Q40" s="9">
        <f t="shared" si="112"/>
        <v>0.72897196261682251</v>
      </c>
      <c r="R40" s="9">
        <f t="shared" si="112"/>
        <v>0.71898854961832059</v>
      </c>
      <c r="S40" s="9">
        <f t="shared" si="112"/>
        <v>0.71131339401820548</v>
      </c>
      <c r="T40" s="9">
        <f t="shared" si="112"/>
        <v>0.72374157748711843</v>
      </c>
      <c r="U40" s="9">
        <f t="shared" si="112"/>
        <v>0.7246963562753036</v>
      </c>
      <c r="V40" s="9">
        <f t="shared" si="112"/>
        <v>0.72781901732060794</v>
      </c>
      <c r="W40" s="9">
        <f t="shared" ref="W40:Z40" si="113">W19/W17</f>
        <v>0</v>
      </c>
      <c r="X40" s="9" t="e">
        <f t="shared" si="113"/>
        <v>#DIV/0!</v>
      </c>
      <c r="Y40" s="9" t="e">
        <f t="shared" si="113"/>
        <v>#DIV/0!</v>
      </c>
      <c r="Z40" s="9" t="e">
        <f t="shared" si="113"/>
        <v>#DIV/0!</v>
      </c>
      <c r="AB40" s="9">
        <f t="shared" ref="AB40:AR40" si="114">AB19/AB17</f>
        <v>0.7076271186440678</v>
      </c>
      <c r="AC40" s="9">
        <f t="shared" si="114"/>
        <v>0.71552257266542973</v>
      </c>
      <c r="AD40" s="9">
        <f t="shared" si="114"/>
        <v>0.72408293460925033</v>
      </c>
      <c r="AE40" s="9">
        <f t="shared" si="114"/>
        <v>0.73064428803465076</v>
      </c>
      <c r="AF40" s="9">
        <f t="shared" si="114"/>
        <v>0.73230421686746994</v>
      </c>
      <c r="AG40" s="9">
        <f t="shared" si="114"/>
        <v>0.72780748663101602</v>
      </c>
      <c r="AH40" s="9">
        <f t="shared" si="114"/>
        <v>0.72234001542020043</v>
      </c>
      <c r="AI40" s="9">
        <f t="shared" si="114"/>
        <v>0.71</v>
      </c>
      <c r="AJ40" s="9">
        <f t="shared" si="114"/>
        <v>0.71</v>
      </c>
      <c r="AK40" s="9">
        <f t="shared" si="114"/>
        <v>0.71000000000000008</v>
      </c>
      <c r="AL40" s="9">
        <f t="shared" si="114"/>
        <v>0.71</v>
      </c>
      <c r="AM40" s="9">
        <f t="shared" si="114"/>
        <v>0.71</v>
      </c>
      <c r="AN40" s="9">
        <f t="shared" si="114"/>
        <v>0.71</v>
      </c>
      <c r="AO40" s="9">
        <f t="shared" si="114"/>
        <v>0.71</v>
      </c>
      <c r="AP40" s="9">
        <f t="shared" si="114"/>
        <v>0.71</v>
      </c>
      <c r="AQ40" s="9">
        <f t="shared" si="114"/>
        <v>0.71</v>
      </c>
      <c r="AR40" s="9">
        <f t="shared" si="114"/>
        <v>0.71</v>
      </c>
    </row>
    <row r="41" spans="2:48" x14ac:dyDescent="0.3">
      <c r="B41" t="s">
        <v>47</v>
      </c>
      <c r="C41" s="9"/>
      <c r="D41" s="9"/>
      <c r="E41" s="9"/>
      <c r="F41" s="9"/>
      <c r="G41" s="9">
        <f t="shared" ref="G41:V41" si="115">G20/C20-1</f>
        <v>0.32444444444444454</v>
      </c>
      <c r="H41" s="9">
        <f t="shared" si="115"/>
        <v>0.5616438356164386</v>
      </c>
      <c r="I41" s="9">
        <f t="shared" si="115"/>
        <v>0.43344709897610922</v>
      </c>
      <c r="J41" s="9">
        <f t="shared" si="115"/>
        <v>0.48333333333333339</v>
      </c>
      <c r="K41" s="9">
        <f t="shared" si="115"/>
        <v>0.53691275167785224</v>
      </c>
      <c r="L41" s="9">
        <f t="shared" si="115"/>
        <v>0.40058479532163727</v>
      </c>
      <c r="M41" s="9">
        <f t="shared" si="115"/>
        <v>0.19761904761904758</v>
      </c>
      <c r="N41" s="9">
        <f t="shared" si="115"/>
        <v>0.13033707865168531</v>
      </c>
      <c r="O41" s="9">
        <f t="shared" si="115"/>
        <v>0.11135371179039311</v>
      </c>
      <c r="P41" s="9">
        <f t="shared" si="115"/>
        <v>0.1503131524008352</v>
      </c>
      <c r="Q41" s="9">
        <f t="shared" si="115"/>
        <v>0.25049701789264422</v>
      </c>
      <c r="R41" s="9">
        <f t="shared" si="115"/>
        <v>0.32007952286282326</v>
      </c>
      <c r="S41" s="9">
        <f t="shared" si="115"/>
        <v>0.38310412573673891</v>
      </c>
      <c r="T41" s="9">
        <f t="shared" si="115"/>
        <v>0.33756805807622503</v>
      </c>
      <c r="U41" s="9">
        <f t="shared" si="115"/>
        <v>0.31478537360890302</v>
      </c>
      <c r="V41" s="9">
        <f t="shared" si="115"/>
        <v>0.19879518072289137</v>
      </c>
      <c r="W41" s="9">
        <f t="shared" ref="W41" si="116">W20/S20-1</f>
        <v>-1</v>
      </c>
      <c r="X41" s="9">
        <f t="shared" ref="X41" si="117">X20/T20-1</f>
        <v>-1</v>
      </c>
      <c r="Y41" s="9">
        <f t="shared" ref="Y41" si="118">Y20/U20-1</f>
        <v>-1</v>
      </c>
      <c r="Z41" s="9">
        <f t="shared" ref="Z41" si="119">Z20/V20-1</f>
        <v>-1</v>
      </c>
      <c r="AB41" s="9"/>
      <c r="AC41" s="9">
        <f t="shared" ref="AC41:AR41" si="120">AC20/AB20-1</f>
        <v>0.67721518987341756</v>
      </c>
      <c r="AD41" s="9">
        <f t="shared" si="120"/>
        <v>0.95660377358490578</v>
      </c>
      <c r="AE41" s="9">
        <f t="shared" si="120"/>
        <v>0.45130183220829312</v>
      </c>
      <c r="AF41" s="9">
        <f t="shared" si="120"/>
        <v>0.29102990033222609</v>
      </c>
      <c r="AG41" s="9">
        <f t="shared" si="120"/>
        <v>0.211013896037056</v>
      </c>
      <c r="AH41" s="9">
        <f t="shared" si="120"/>
        <v>0.30216744581385457</v>
      </c>
      <c r="AI41" s="9">
        <f t="shared" si="120"/>
        <v>0.19999999999999996</v>
      </c>
      <c r="AJ41" s="9">
        <f t="shared" si="120"/>
        <v>0.1399999999999999</v>
      </c>
      <c r="AK41" s="9">
        <f t="shared" si="120"/>
        <v>6.0000000000000053E-2</v>
      </c>
      <c r="AL41" s="9">
        <f t="shared" si="120"/>
        <v>4.0000000000000036E-2</v>
      </c>
      <c r="AM41" s="9">
        <f t="shared" si="120"/>
        <v>3.0000000000000027E-2</v>
      </c>
      <c r="AN41" s="9">
        <f t="shared" si="120"/>
        <v>2.0000000000000018E-2</v>
      </c>
      <c r="AO41" s="9">
        <f t="shared" si="120"/>
        <v>2.0000000000000018E-2</v>
      </c>
      <c r="AP41" s="9">
        <f t="shared" si="120"/>
        <v>2.0000000000000018E-2</v>
      </c>
      <c r="AQ41" s="9">
        <f t="shared" si="120"/>
        <v>2.0000000000000018E-2</v>
      </c>
      <c r="AR41" s="9">
        <f t="shared" si="120"/>
        <v>2.0000000000000018E-2</v>
      </c>
      <c r="AU41" t="s">
        <v>67</v>
      </c>
      <c r="AV41" s="9">
        <v>-0.01</v>
      </c>
    </row>
    <row r="42" spans="2:48" x14ac:dyDescent="0.3">
      <c r="B42" t="s">
        <v>48</v>
      </c>
      <c r="C42" s="9">
        <f t="shared" ref="C42:V42" si="121">C21/C17</f>
        <v>0.35740072202166068</v>
      </c>
      <c r="D42" s="9">
        <f t="shared" si="121"/>
        <v>0.16326530612244899</v>
      </c>
      <c r="E42" s="9">
        <f t="shared" si="121"/>
        <v>0.24056603773584906</v>
      </c>
      <c r="F42" s="9">
        <f t="shared" si="121"/>
        <v>0.19863013698630136</v>
      </c>
      <c r="G42" s="9">
        <f t="shared" si="121"/>
        <v>0.18349753694581281</v>
      </c>
      <c r="H42" s="9">
        <f t="shared" si="121"/>
        <v>0.17307692307692307</v>
      </c>
      <c r="I42" s="9">
        <f t="shared" si="121"/>
        <v>0.18418314255983351</v>
      </c>
      <c r="J42" s="9">
        <f t="shared" si="121"/>
        <v>0.18304431599229287</v>
      </c>
      <c r="K42" s="9">
        <f t="shared" si="121"/>
        <v>0.14347450302506484</v>
      </c>
      <c r="L42" s="9">
        <f t="shared" si="121"/>
        <v>0.13958990536277602</v>
      </c>
      <c r="M42" s="9">
        <f t="shared" si="121"/>
        <v>0.1620639534883721</v>
      </c>
      <c r="N42" s="9">
        <f t="shared" si="121"/>
        <v>0.12649006622516556</v>
      </c>
      <c r="O42" s="9">
        <f t="shared" si="121"/>
        <v>0.11873508353221957</v>
      </c>
      <c r="P42" s="9">
        <f t="shared" si="121"/>
        <v>0.1132286995515695</v>
      </c>
      <c r="Q42" s="9">
        <f t="shared" si="121"/>
        <v>0.13291796469366562</v>
      </c>
      <c r="R42" s="9">
        <f t="shared" si="121"/>
        <v>0.1183206106870229</v>
      </c>
      <c r="S42" s="9">
        <f t="shared" si="121"/>
        <v>0.11573472041612483</v>
      </c>
      <c r="T42" s="9">
        <f t="shared" si="121"/>
        <v>0.11732065001981769</v>
      </c>
      <c r="U42" s="9">
        <f t="shared" si="121"/>
        <v>0.12918660287081338</v>
      </c>
      <c r="V42" s="9">
        <f t="shared" si="121"/>
        <v>0.1215977377165076</v>
      </c>
      <c r="W42" s="9">
        <f t="shared" ref="W42:Z42" si="122">W21/W17</f>
        <v>0</v>
      </c>
      <c r="X42" s="9" t="e">
        <f t="shared" si="122"/>
        <v>#DIV/0!</v>
      </c>
      <c r="Y42" s="9" t="e">
        <f t="shared" si="122"/>
        <v>#DIV/0!</v>
      </c>
      <c r="Z42" s="9" t="e">
        <f t="shared" si="122"/>
        <v>#DIV/0!</v>
      </c>
      <c r="AB42" s="9">
        <f t="shared" ref="AB42:AR42" si="123">AB21/AB17</f>
        <v>0.21186440677966104</v>
      </c>
      <c r="AC42" s="9">
        <f t="shared" si="123"/>
        <v>0.21645021645021648</v>
      </c>
      <c r="AD42" s="9">
        <f t="shared" si="123"/>
        <v>0.2360446570972887</v>
      </c>
      <c r="AE42" s="9">
        <f t="shared" si="123"/>
        <v>0.18110449377368709</v>
      </c>
      <c r="AF42" s="9">
        <f t="shared" si="123"/>
        <v>0.1425075301204819</v>
      </c>
      <c r="AG42" s="9">
        <f t="shared" si="123"/>
        <v>0.12098930481283421</v>
      </c>
      <c r="AH42" s="9">
        <f t="shared" si="123"/>
        <v>0.1212413261372398</v>
      </c>
      <c r="AI42" s="9">
        <f t="shared" si="123"/>
        <v>0.11999999999999998</v>
      </c>
      <c r="AJ42" s="9">
        <f t="shared" si="123"/>
        <v>0.11</v>
      </c>
      <c r="AK42" s="9">
        <f t="shared" si="123"/>
        <v>0.1</v>
      </c>
      <c r="AL42" s="9">
        <f t="shared" si="123"/>
        <v>9.5000000000000001E-2</v>
      </c>
      <c r="AM42" s="9">
        <f t="shared" si="123"/>
        <v>9.5000000000000001E-2</v>
      </c>
      <c r="AN42" s="9">
        <f t="shared" si="123"/>
        <v>9.5000000000000001E-2</v>
      </c>
      <c r="AO42" s="9">
        <f t="shared" si="123"/>
        <v>9.5000000000000001E-2</v>
      </c>
      <c r="AP42" s="9">
        <f t="shared" si="123"/>
        <v>9.5000000000000001E-2</v>
      </c>
      <c r="AQ42" s="9">
        <f t="shared" si="123"/>
        <v>9.5000000000000001E-2</v>
      </c>
      <c r="AR42" s="9">
        <f t="shared" si="123"/>
        <v>9.5000000000000001E-2</v>
      </c>
      <c r="AU42" t="s">
        <v>68</v>
      </c>
      <c r="AV42" s="9">
        <v>0.09</v>
      </c>
    </row>
    <row r="43" spans="2:48" x14ac:dyDescent="0.3">
      <c r="B43" t="s">
        <v>49</v>
      </c>
      <c r="C43" s="9"/>
      <c r="D43" s="9"/>
      <c r="E43" s="9"/>
      <c r="F43" s="9"/>
      <c r="G43" s="9">
        <f t="shared" ref="G43:V43" si="124">G22/C22-1</f>
        <v>1.3391304347826085</v>
      </c>
      <c r="H43" s="9">
        <f t="shared" si="124"/>
        <v>1.5948275862068968</v>
      </c>
      <c r="I43" s="9">
        <f t="shared" si="124"/>
        <v>2.0270270270270174E-2</v>
      </c>
      <c r="J43" s="9">
        <f t="shared" si="124"/>
        <v>0.1853281853281854</v>
      </c>
      <c r="K43" s="9">
        <f t="shared" si="124"/>
        <v>0.12267657992565062</v>
      </c>
      <c r="L43" s="9">
        <f t="shared" si="124"/>
        <v>6.976744186046524E-2</v>
      </c>
      <c r="M43" s="9">
        <f t="shared" si="124"/>
        <v>0.10596026490066213</v>
      </c>
      <c r="N43" s="9">
        <f t="shared" si="124"/>
        <v>0.1791530944625408</v>
      </c>
      <c r="O43" s="9">
        <f t="shared" si="124"/>
        <v>0.16225165562913912</v>
      </c>
      <c r="P43" s="9">
        <f t="shared" si="124"/>
        <v>0.1490683229813663</v>
      </c>
      <c r="Q43" s="9">
        <f t="shared" si="124"/>
        <v>0.14970059880239517</v>
      </c>
      <c r="R43" s="9">
        <f t="shared" si="124"/>
        <v>0.25690607734806625</v>
      </c>
      <c r="S43" s="9">
        <f t="shared" si="124"/>
        <v>0.23931623931623935</v>
      </c>
      <c r="T43" s="9">
        <f t="shared" si="124"/>
        <v>0.2432432432432432</v>
      </c>
      <c r="U43" s="9">
        <f t="shared" si="124"/>
        <v>0.14583333333333348</v>
      </c>
      <c r="V43" s="9">
        <f t="shared" si="124"/>
        <v>6.5934065934065922E-2</v>
      </c>
      <c r="W43" s="9">
        <f t="shared" ref="W43" si="125">W22/S22-1</f>
        <v>-1</v>
      </c>
      <c r="X43" s="9">
        <f t="shared" ref="X43" si="126">X22/T22-1</f>
        <v>-1</v>
      </c>
      <c r="Y43" s="9">
        <f t="shared" ref="Y43" si="127">Y22/U22-1</f>
        <v>-1</v>
      </c>
      <c r="Z43" s="9">
        <f t="shared" ref="Z43" si="128">Z22/V22-1</f>
        <v>-1</v>
      </c>
      <c r="AB43" s="9"/>
      <c r="AC43" s="9">
        <f t="shared" ref="AC43:AR43" si="129">AC22/AB22-1</f>
        <v>1.6646341463414638</v>
      </c>
      <c r="AD43" s="9">
        <f t="shared" si="129"/>
        <v>0.79862700228832928</v>
      </c>
      <c r="AE43" s="9">
        <f t="shared" si="129"/>
        <v>0.50000000000000022</v>
      </c>
      <c r="AF43" s="9">
        <f t="shared" si="129"/>
        <v>0.11959287531806617</v>
      </c>
      <c r="AG43" s="9">
        <f t="shared" si="129"/>
        <v>0.18181818181818188</v>
      </c>
      <c r="AH43" s="9">
        <f t="shared" si="129"/>
        <v>0.16666666666666674</v>
      </c>
      <c r="AI43" s="9">
        <f t="shared" si="129"/>
        <v>0.12000000000000011</v>
      </c>
      <c r="AJ43" s="9">
        <f t="shared" si="129"/>
        <v>9.000000000000008E-2</v>
      </c>
      <c r="AK43" s="9">
        <f t="shared" si="129"/>
        <v>6.0000000000000053E-2</v>
      </c>
      <c r="AL43" s="9">
        <f t="shared" si="129"/>
        <v>4.0000000000000036E-2</v>
      </c>
      <c r="AM43" s="9">
        <f t="shared" si="129"/>
        <v>3.0000000000000027E-2</v>
      </c>
      <c r="AN43" s="9">
        <f t="shared" si="129"/>
        <v>2.0000000000000018E-2</v>
      </c>
      <c r="AO43" s="9">
        <f t="shared" si="129"/>
        <v>1.0000000000000009E-2</v>
      </c>
      <c r="AP43" s="9">
        <f t="shared" si="129"/>
        <v>1.0000000000000009E-2</v>
      </c>
      <c r="AQ43" s="9">
        <f t="shared" si="129"/>
        <v>1.0000000000000009E-2</v>
      </c>
      <c r="AR43" s="9">
        <f t="shared" si="129"/>
        <v>1.0000000000000009E-2</v>
      </c>
      <c r="AU43" t="s">
        <v>69</v>
      </c>
      <c r="AV43" s="5">
        <f>NPV(AV42,AH29:EM29)</f>
        <v>5540.6926229618621</v>
      </c>
    </row>
    <row r="44" spans="2:48" x14ac:dyDescent="0.3">
      <c r="B44" t="s">
        <v>50</v>
      </c>
      <c r="C44" s="9">
        <f t="shared" ref="C44:V44" si="130">C24/C17</f>
        <v>-0.2418772563176895</v>
      </c>
      <c r="D44" s="9">
        <f t="shared" si="130"/>
        <v>-6.802721088435471E-3</v>
      </c>
      <c r="E44" s="9">
        <f t="shared" si="130"/>
        <v>-0.45125786163522014</v>
      </c>
      <c r="F44" s="9">
        <f t="shared" si="130"/>
        <v>-0.23835616438356172</v>
      </c>
      <c r="G44" s="9">
        <f t="shared" si="130"/>
        <v>-0.14655172413793091</v>
      </c>
      <c r="H44" s="9">
        <f t="shared" si="130"/>
        <v>-0.17081447963800897</v>
      </c>
      <c r="I44" s="9">
        <f t="shared" si="130"/>
        <v>-0.20915712799167543</v>
      </c>
      <c r="J44" s="9">
        <f t="shared" si="130"/>
        <v>-0.17533718689788058</v>
      </c>
      <c r="K44" s="9">
        <f t="shared" si="130"/>
        <v>-7.2601555747623087E-2</v>
      </c>
      <c r="L44" s="9">
        <f t="shared" si="130"/>
        <v>-3.7854889589905343E-2</v>
      </c>
      <c r="M44" s="9">
        <f t="shared" si="130"/>
        <v>-3.4156976744186066E-2</v>
      </c>
      <c r="N44" s="9">
        <f t="shared" si="130"/>
        <v>3.1788079470198655E-2</v>
      </c>
      <c r="O44" s="9">
        <f t="shared" si="130"/>
        <v>9.8448687350835243E-2</v>
      </c>
      <c r="P44" s="9">
        <f t="shared" si="130"/>
        <v>0.10538116591928265</v>
      </c>
      <c r="Q44" s="9">
        <f t="shared" si="130"/>
        <v>7.0093457943925366E-2</v>
      </c>
      <c r="R44" s="9">
        <f t="shared" si="130"/>
        <v>6.6793893129770993E-2</v>
      </c>
      <c r="S44" s="9">
        <f t="shared" si="130"/>
        <v>0.10186389250108364</v>
      </c>
      <c r="T44" s="9">
        <f t="shared" si="130"/>
        <v>0.13198573127229471</v>
      </c>
      <c r="U44" s="9">
        <f t="shared" si="130"/>
        <v>0.12918660287081346</v>
      </c>
      <c r="V44" s="9">
        <f t="shared" si="130"/>
        <v>0.15341109932838451</v>
      </c>
      <c r="W44" s="9">
        <f t="shared" ref="W44:Z44" si="131">W24/W17</f>
        <v>0</v>
      </c>
      <c r="X44" s="9" t="e">
        <f t="shared" si="131"/>
        <v>#DIV/0!</v>
      </c>
      <c r="Y44" s="9" t="e">
        <f t="shared" si="131"/>
        <v>#DIV/0!</v>
      </c>
      <c r="Z44" s="9" t="e">
        <f t="shared" si="131"/>
        <v>#DIV/0!</v>
      </c>
      <c r="AB44" s="9">
        <f t="shared" ref="AB44:AR44" si="132">AB24/AB17</f>
        <v>-0.18220338983050857</v>
      </c>
      <c r="AC44" s="9">
        <f t="shared" si="132"/>
        <v>-9.894867037724181E-2</v>
      </c>
      <c r="AD44" s="9">
        <f t="shared" si="132"/>
        <v>-0.2388357256778311</v>
      </c>
      <c r="AE44" s="9">
        <f t="shared" si="132"/>
        <v>-0.17704385489983768</v>
      </c>
      <c r="AF44" s="9">
        <f t="shared" si="132"/>
        <v>-2.4472891566264952E-2</v>
      </c>
      <c r="AG44" s="9">
        <f t="shared" si="132"/>
        <v>8.3689839572192462E-2</v>
      </c>
      <c r="AH44" s="9">
        <f t="shared" si="132"/>
        <v>0.13039707016191196</v>
      </c>
      <c r="AI44" s="9">
        <f t="shared" si="132"/>
        <v>0.1110351647614897</v>
      </c>
      <c r="AJ44" s="9">
        <f t="shared" si="132"/>
        <v>0.15210128166448761</v>
      </c>
      <c r="AK44" s="9">
        <f t="shared" si="132"/>
        <v>0.19715422483857123</v>
      </c>
      <c r="AL44" s="9">
        <f t="shared" si="132"/>
        <v>0.22467308530192184</v>
      </c>
      <c r="AM44" s="9">
        <f t="shared" si="132"/>
        <v>0.24274377579720322</v>
      </c>
      <c r="AN44" s="9">
        <f t="shared" si="132"/>
        <v>0.25679118048410127</v>
      </c>
      <c r="AO44" s="9">
        <f t="shared" si="132"/>
        <v>0.26820759990261556</v>
      </c>
      <c r="AP44" s="9">
        <f t="shared" si="132"/>
        <v>0.27925281184372247</v>
      </c>
      <c r="AQ44" s="9">
        <f t="shared" si="132"/>
        <v>0.28993913743784111</v>
      </c>
      <c r="AR44" s="9">
        <f t="shared" si="132"/>
        <v>0.30027848044204591</v>
      </c>
      <c r="AU44" t="s">
        <v>70</v>
      </c>
      <c r="AV44" s="5">
        <f>Main!D8</f>
        <v>1140.5</v>
      </c>
    </row>
    <row r="45" spans="2:48" x14ac:dyDescent="0.3">
      <c r="B45" t="s">
        <v>21</v>
      </c>
      <c r="C45" s="9">
        <f t="shared" ref="C45:V45" si="133">C28/C27</f>
        <v>0</v>
      </c>
      <c r="D45" s="9">
        <f t="shared" si="133"/>
        <v>0</v>
      </c>
      <c r="E45" s="9">
        <f t="shared" si="133"/>
        <v>-3.4602076124567475E-3</v>
      </c>
      <c r="F45" s="9">
        <f t="shared" si="133"/>
        <v>-5.7471264367816074E-3</v>
      </c>
      <c r="G45" s="9">
        <f t="shared" si="133"/>
        <v>0</v>
      </c>
      <c r="H45" s="9">
        <f t="shared" si="133"/>
        <v>-6.6666666666666697E-3</v>
      </c>
      <c r="I45" s="9">
        <f t="shared" si="133"/>
        <v>-5.4644808743169382E-3</v>
      </c>
      <c r="J45" s="9">
        <f t="shared" si="133"/>
        <v>-5.3030303030303018E-2</v>
      </c>
      <c r="K45" s="9">
        <f t="shared" si="133"/>
        <v>3.8461538461538575E-2</v>
      </c>
      <c r="L45" s="9">
        <f t="shared" si="133"/>
        <v>-0.54166666666666596</v>
      </c>
      <c r="M45" s="9">
        <f t="shared" si="133"/>
        <v>3.4482758620689696E-2</v>
      </c>
      <c r="N45" s="9">
        <f t="shared" si="133"/>
        <v>0.19736842105263161</v>
      </c>
      <c r="O45" s="9">
        <f t="shared" si="133"/>
        <v>-4.2471042471042497E-2</v>
      </c>
      <c r="P45" s="9">
        <f t="shared" si="133"/>
        <v>0.15277777777777765</v>
      </c>
      <c r="Q45" s="9">
        <f t="shared" si="133"/>
        <v>7.9051383399209404E-2</v>
      </c>
      <c r="R45" s="9">
        <f t="shared" si="133"/>
        <v>0.37333333333333335</v>
      </c>
      <c r="S45" s="9">
        <f t="shared" si="133"/>
        <v>-2.8653295128939832E-3</v>
      </c>
      <c r="T45" s="9">
        <f t="shared" si="133"/>
        <v>3.663793103448279E-2</v>
      </c>
      <c r="U45" s="9">
        <f t="shared" si="133"/>
        <v>-5.295258620689653</v>
      </c>
      <c r="V45" s="9">
        <f t="shared" si="133"/>
        <v>0.22935779816513771</v>
      </c>
      <c r="W45" s="9" t="e">
        <f t="shared" ref="W45:Z45" si="134">W28/W27</f>
        <v>#DIV/0!</v>
      </c>
      <c r="X45" s="9" t="e">
        <f t="shared" si="134"/>
        <v>#DIV/0!</v>
      </c>
      <c r="Y45" s="9" t="e">
        <f t="shared" si="134"/>
        <v>#DIV/0!</v>
      </c>
      <c r="Z45" s="9" t="e">
        <f t="shared" si="134"/>
        <v>#DIV/0!</v>
      </c>
      <c r="AB45" s="9">
        <f t="shared" ref="AB45:AR45" si="135">AB28/AB27</f>
        <v>0</v>
      </c>
      <c r="AC45" s="9">
        <f t="shared" si="135"/>
        <v>-6.369426751592357E-3</v>
      </c>
      <c r="AD45" s="9">
        <f t="shared" si="135"/>
        <v>-3.3444816053511688E-3</v>
      </c>
      <c r="AE45" s="9">
        <f t="shared" si="135"/>
        <v>-1.5306122448979579E-2</v>
      </c>
      <c r="AF45" s="9">
        <f t="shared" si="135"/>
        <v>9.4444444444444151E-2</v>
      </c>
      <c r="AG45" s="9">
        <f t="shared" si="135"/>
        <v>0.13391984359726303</v>
      </c>
      <c r="AH45" s="9">
        <f t="shared" si="135"/>
        <v>-1.2711306256860606</v>
      </c>
      <c r="AI45" s="9">
        <f t="shared" si="135"/>
        <v>0.15</v>
      </c>
      <c r="AJ45" s="9">
        <f t="shared" si="135"/>
        <v>0.15</v>
      </c>
      <c r="AK45" s="9">
        <f t="shared" si="135"/>
        <v>0.15</v>
      </c>
      <c r="AL45" s="9">
        <f t="shared" si="135"/>
        <v>0.15</v>
      </c>
      <c r="AM45" s="9">
        <f t="shared" si="135"/>
        <v>0.15</v>
      </c>
      <c r="AN45" s="9">
        <f t="shared" si="135"/>
        <v>0.15</v>
      </c>
      <c r="AO45" s="9">
        <f t="shared" si="135"/>
        <v>0.15</v>
      </c>
      <c r="AP45" s="9">
        <f t="shared" si="135"/>
        <v>0.15</v>
      </c>
      <c r="AQ45" s="9">
        <f t="shared" si="135"/>
        <v>0.15</v>
      </c>
      <c r="AR45" s="9">
        <f t="shared" si="135"/>
        <v>0.15</v>
      </c>
      <c r="AU45" t="s">
        <v>71</v>
      </c>
      <c r="AV45" s="5">
        <f>AV43+AV44</f>
        <v>6681.1926229618621</v>
      </c>
    </row>
    <row r="46" spans="2:48" x14ac:dyDescent="0.3">
      <c r="B46" t="s">
        <v>51</v>
      </c>
      <c r="C46" s="9">
        <f t="shared" ref="C46:V46" si="136">C29/C17</f>
        <v>-0.2418772563176895</v>
      </c>
      <c r="D46" s="9">
        <f t="shared" si="136"/>
        <v>-1.7006802721089404E-3</v>
      </c>
      <c r="E46" s="9">
        <f t="shared" si="136"/>
        <v>-0.45597484276729566</v>
      </c>
      <c r="F46" s="9">
        <f t="shared" si="136"/>
        <v>-0.23972602739726037</v>
      </c>
      <c r="G46" s="9">
        <f t="shared" si="136"/>
        <v>-0.15024630541871911</v>
      </c>
      <c r="H46" s="9">
        <f t="shared" si="136"/>
        <v>-0.17081447963800897</v>
      </c>
      <c r="I46" s="9">
        <f t="shared" si="136"/>
        <v>-0.19146722164412081</v>
      </c>
      <c r="J46" s="9">
        <f t="shared" si="136"/>
        <v>-0.13391136801541428</v>
      </c>
      <c r="K46" s="9">
        <f t="shared" si="136"/>
        <v>-2.1607605877268732E-2</v>
      </c>
      <c r="L46" s="9">
        <f t="shared" si="136"/>
        <v>2.9179810725552074E-2</v>
      </c>
      <c r="M46" s="9">
        <f t="shared" si="136"/>
        <v>2.0348837209302303E-2</v>
      </c>
      <c r="N46" s="9">
        <f t="shared" si="136"/>
        <v>8.0794701986754952E-2</v>
      </c>
      <c r="O46" s="9">
        <f t="shared" si="136"/>
        <v>0.16109785202863955</v>
      </c>
      <c r="P46" s="9">
        <f t="shared" si="136"/>
        <v>0.13677130044843064</v>
      </c>
      <c r="Q46" s="9">
        <f t="shared" si="136"/>
        <v>0.12097611630321922</v>
      </c>
      <c r="R46" s="9">
        <f t="shared" si="136"/>
        <v>6.7270992366412208E-2</v>
      </c>
      <c r="S46" s="9">
        <f t="shared" si="136"/>
        <v>0.15171218032076289</v>
      </c>
      <c r="T46" s="9">
        <f t="shared" si="136"/>
        <v>0.17717003567181908</v>
      </c>
      <c r="U46" s="9">
        <f t="shared" si="136"/>
        <v>1.0750828119249172</v>
      </c>
      <c r="V46" s="9">
        <f t="shared" si="136"/>
        <v>0.14846235418875922</v>
      </c>
      <c r="W46" s="9">
        <f t="shared" ref="W46:Z46" si="137">W29/W17</f>
        <v>0</v>
      </c>
      <c r="X46" s="9" t="e">
        <f t="shared" si="137"/>
        <v>#DIV/0!</v>
      </c>
      <c r="Y46" s="9" t="e">
        <f t="shared" si="137"/>
        <v>#DIV/0!</v>
      </c>
      <c r="Z46" s="9" t="e">
        <f t="shared" si="137"/>
        <v>#DIV/0!</v>
      </c>
      <c r="AB46" s="9">
        <f t="shared" ref="AB46:AR46" si="138">AB29/AB17</f>
        <v>-0.17372881355932213</v>
      </c>
      <c r="AC46" s="9">
        <f t="shared" si="138"/>
        <v>-9.7711811997526279E-2</v>
      </c>
      <c r="AD46" s="9">
        <f t="shared" si="138"/>
        <v>-0.23923444976076572</v>
      </c>
      <c r="AE46" s="9">
        <f t="shared" si="138"/>
        <v>-0.16161342717920965</v>
      </c>
      <c r="AF46" s="9">
        <f t="shared" si="138"/>
        <v>3.0685240963855526E-2</v>
      </c>
      <c r="AG46" s="9">
        <f t="shared" si="138"/>
        <v>0.1184491978609625</v>
      </c>
      <c r="AH46" s="9">
        <f t="shared" si="138"/>
        <v>0.39880493446414794</v>
      </c>
      <c r="AI46" s="9">
        <f t="shared" si="138"/>
        <v>0.12945937950454223</v>
      </c>
      <c r="AJ46" s="9">
        <f t="shared" si="138"/>
        <v>0.15998064268993098</v>
      </c>
      <c r="AK46" s="9">
        <f t="shared" si="138"/>
        <v>0.19560655279876149</v>
      </c>
      <c r="AL46" s="9">
        <f t="shared" si="138"/>
        <v>0.21772369957051971</v>
      </c>
      <c r="AM46" s="9">
        <f t="shared" si="138"/>
        <v>0.23234068712862313</v>
      </c>
      <c r="AN46" s="9">
        <f t="shared" si="138"/>
        <v>0.24403561811530722</v>
      </c>
      <c r="AO46" s="9">
        <f t="shared" si="138"/>
        <v>0.25373957462104435</v>
      </c>
      <c r="AP46" s="9">
        <f t="shared" si="138"/>
        <v>0.26312800477098525</v>
      </c>
      <c r="AQ46" s="9">
        <f t="shared" si="138"/>
        <v>0.27221138152598606</v>
      </c>
      <c r="AR46" s="9">
        <f t="shared" si="138"/>
        <v>0.28099982307956017</v>
      </c>
      <c r="AU46" t="s">
        <v>72</v>
      </c>
      <c r="AV46" s="4">
        <f>AV45/AR30</f>
        <v>143.37323225240047</v>
      </c>
    </row>
    <row r="47" spans="2:48" x14ac:dyDescent="0.3">
      <c r="AU47" t="s">
        <v>73</v>
      </c>
      <c r="AV47" s="4">
        <f>Main!D3</f>
        <v>90.04</v>
      </c>
    </row>
    <row r="48" spans="2:48" s="1" customFormat="1" x14ac:dyDescent="0.3">
      <c r="B48" s="1" t="s">
        <v>52</v>
      </c>
      <c r="O48" s="8">
        <f t="shared" ref="O48:V48" si="139">O29</f>
        <v>26.999999999999986</v>
      </c>
      <c r="P48" s="8">
        <f t="shared" si="139"/>
        <v>24.400000000000027</v>
      </c>
      <c r="Q48" s="8">
        <f t="shared" si="139"/>
        <v>23.300000000000026</v>
      </c>
      <c r="R48" s="8">
        <f t="shared" si="139"/>
        <v>14.1</v>
      </c>
      <c r="S48" s="8">
        <f t="shared" si="139"/>
        <v>35</v>
      </c>
      <c r="T48" s="8">
        <f t="shared" si="139"/>
        <v>44.699999999999953</v>
      </c>
      <c r="U48" s="8">
        <f t="shared" si="139"/>
        <v>292.10000000000002</v>
      </c>
      <c r="V48" s="8">
        <f t="shared" si="139"/>
        <v>41.999999999999979</v>
      </c>
      <c r="W48" s="8"/>
      <c r="X48" s="8"/>
      <c r="Y48" s="8"/>
      <c r="Z48" s="8"/>
      <c r="AB48" s="8">
        <f t="shared" ref="AB48:AR48" si="140">AB29</f>
        <v>-12.300000000000006</v>
      </c>
      <c r="AC48" s="8">
        <f t="shared" si="140"/>
        <v>-15.799999999999999</v>
      </c>
      <c r="AD48" s="8">
        <f t="shared" si="140"/>
        <v>-60.000000000000036</v>
      </c>
      <c r="AE48" s="8">
        <f t="shared" si="140"/>
        <v>-59.700000000000038</v>
      </c>
      <c r="AF48" s="8">
        <f t="shared" si="140"/>
        <v>16.300000000000058</v>
      </c>
      <c r="AG48" s="8">
        <f t="shared" si="140"/>
        <v>88.599999999999952</v>
      </c>
      <c r="AH48" s="8">
        <f t="shared" si="140"/>
        <v>413.79999999999984</v>
      </c>
      <c r="AI48" s="8">
        <f t="shared" si="140"/>
        <v>154.47610999999995</v>
      </c>
      <c r="AJ48" s="8">
        <f t="shared" si="140"/>
        <v>229.07436249999984</v>
      </c>
      <c r="AK48" s="8">
        <f t="shared" si="140"/>
        <v>322.09967702499983</v>
      </c>
      <c r="AL48" s="8">
        <f t="shared" si="140"/>
        <v>394.37128020424979</v>
      </c>
      <c r="AM48" s="8">
        <f t="shared" si="140"/>
        <v>454.51539708250226</v>
      </c>
      <c r="AN48" s="8">
        <f t="shared" si="140"/>
        <v>506.03716497172036</v>
      </c>
      <c r="AO48" s="8">
        <f t="shared" si="140"/>
        <v>552.46745853213224</v>
      </c>
      <c r="AP48" s="8">
        <f t="shared" si="140"/>
        <v>601.55434285582874</v>
      </c>
      <c r="AQ48" s="8">
        <f t="shared" si="140"/>
        <v>653.43647407646904</v>
      </c>
      <c r="AR48" s="8">
        <f t="shared" si="140"/>
        <v>708.25954891704453</v>
      </c>
      <c r="AU48" s="1" t="s">
        <v>74</v>
      </c>
      <c r="AV48" s="10">
        <f>AV46/AV47-1</f>
        <v>0.59232821248778822</v>
      </c>
    </row>
    <row r="49" spans="2:140" x14ac:dyDescent="0.3">
      <c r="B49" t="s">
        <v>78</v>
      </c>
      <c r="O49" s="5"/>
      <c r="P49" s="5"/>
      <c r="Q49" s="5">
        <f>Q69-P49-O49</f>
        <v>0</v>
      </c>
      <c r="R49" s="5">
        <f>AG49-Q49-P49-O49</f>
        <v>0</v>
      </c>
      <c r="S49" s="5"/>
      <c r="T49" s="5"/>
      <c r="U49" s="5">
        <f>U69-T49-S49</f>
        <v>-239.5</v>
      </c>
      <c r="V49" s="5">
        <f>AH49-U49-T49-S49</f>
        <v>14.300000000000011</v>
      </c>
      <c r="AB49" s="5"/>
      <c r="AC49" s="5"/>
      <c r="AD49" s="5"/>
      <c r="AE49" s="5"/>
      <c r="AF49" s="5"/>
      <c r="AG49" s="5"/>
      <c r="AH49" s="5">
        <v>-225.2</v>
      </c>
      <c r="AI49" s="5"/>
      <c r="AJ49" s="5"/>
      <c r="AK49" s="5"/>
      <c r="AL49" s="5"/>
      <c r="AM49" s="5"/>
      <c r="AN49" s="5"/>
      <c r="AO49" s="5"/>
      <c r="AP49" s="5"/>
      <c r="AQ49" s="5"/>
      <c r="AR49" s="5"/>
      <c r="AU49" t="s">
        <v>75</v>
      </c>
      <c r="AV49" s="6" t="s">
        <v>76</v>
      </c>
    </row>
    <row r="50" spans="2:140" x14ac:dyDescent="0.3">
      <c r="B50" t="s">
        <v>55</v>
      </c>
      <c r="O50" s="5">
        <v>2.1</v>
      </c>
      <c r="P50" s="5">
        <f t="shared" ref="P50:P59" si="141">P70-O50</f>
        <v>2.1999999999999997</v>
      </c>
      <c r="Q50" s="5">
        <f t="shared" ref="Q50:Q59" si="142">Q70-P50-O50</f>
        <v>2.9</v>
      </c>
      <c r="R50" s="5">
        <f t="shared" ref="R50:R59" si="143">AG50-Q50-P50-O50</f>
        <v>3.7000000000000006</v>
      </c>
      <c r="S50" s="5">
        <v>3.6</v>
      </c>
      <c r="T50" s="5">
        <f t="shared" ref="T50:T59" si="144">T70-S50</f>
        <v>3.4</v>
      </c>
      <c r="U50" s="5">
        <f t="shared" ref="U50:U59" si="145">U70-T50-S50</f>
        <v>3.5999999999999992</v>
      </c>
      <c r="V50" s="5">
        <f t="shared" ref="V50:V59" si="146">AH50-U50-T50-S50</f>
        <v>3.8000000000000003</v>
      </c>
      <c r="AB50" s="5"/>
      <c r="AC50" s="5">
        <v>2.2999999999999998</v>
      </c>
      <c r="AD50" s="5">
        <v>2.7</v>
      </c>
      <c r="AE50" s="5">
        <v>4.9000000000000004</v>
      </c>
      <c r="AF50" s="5">
        <v>7.1</v>
      </c>
      <c r="AG50" s="5">
        <v>10.9</v>
      </c>
      <c r="AH50" s="5">
        <v>14.4</v>
      </c>
      <c r="AI50" s="5">
        <f t="shared" ref="AI50:AR51" si="147">AH50*1.05</f>
        <v>15.120000000000001</v>
      </c>
      <c r="AJ50" s="5">
        <f t="shared" si="147"/>
        <v>15.876000000000001</v>
      </c>
      <c r="AK50" s="5">
        <f t="shared" si="147"/>
        <v>16.669800000000002</v>
      </c>
      <c r="AL50" s="5">
        <f t="shared" si="147"/>
        <v>17.503290000000003</v>
      </c>
      <c r="AM50" s="5">
        <f t="shared" si="147"/>
        <v>18.378454500000004</v>
      </c>
      <c r="AN50" s="5">
        <f t="shared" si="147"/>
        <v>19.297377225000005</v>
      </c>
      <c r="AO50" s="5">
        <f t="shared" si="147"/>
        <v>20.262246086250006</v>
      </c>
      <c r="AP50" s="5">
        <f t="shared" si="147"/>
        <v>21.275358390562506</v>
      </c>
      <c r="AQ50" s="5">
        <f t="shared" si="147"/>
        <v>22.339126310090631</v>
      </c>
      <c r="AR50" s="5">
        <f t="shared" si="147"/>
        <v>23.456082625595162</v>
      </c>
    </row>
    <row r="51" spans="2:140" x14ac:dyDescent="0.3">
      <c r="B51" t="s">
        <v>56</v>
      </c>
      <c r="O51" s="5">
        <v>25</v>
      </c>
      <c r="P51" s="5">
        <f t="shared" si="141"/>
        <v>26.700000000000003</v>
      </c>
      <c r="Q51" s="5">
        <f t="shared" si="142"/>
        <v>29</v>
      </c>
      <c r="R51" s="5">
        <f t="shared" si="143"/>
        <v>29.799999999999997</v>
      </c>
      <c r="S51" s="5">
        <v>31</v>
      </c>
      <c r="T51" s="5">
        <f t="shared" si="144"/>
        <v>34.599999999999994</v>
      </c>
      <c r="U51" s="5">
        <f t="shared" si="145"/>
        <v>35.600000000000009</v>
      </c>
      <c r="V51" s="5">
        <f t="shared" si="146"/>
        <v>36.200000000000003</v>
      </c>
      <c r="AB51" s="5"/>
      <c r="AC51" s="5">
        <v>17</v>
      </c>
      <c r="AD51" s="5">
        <v>40.799999999999997</v>
      </c>
      <c r="AE51" s="5">
        <v>73.8</v>
      </c>
      <c r="AF51" s="5">
        <v>95.2</v>
      </c>
      <c r="AG51" s="5">
        <v>110.5</v>
      </c>
      <c r="AH51" s="5">
        <v>137.4</v>
      </c>
      <c r="AI51" s="5">
        <f>AH51*1.05</f>
        <v>144.27000000000001</v>
      </c>
      <c r="AJ51" s="5">
        <f t="shared" si="147"/>
        <v>151.48350000000002</v>
      </c>
      <c r="AK51" s="5">
        <f t="shared" si="147"/>
        <v>159.05767500000002</v>
      </c>
      <c r="AL51" s="5">
        <f>AK51*1.03</f>
        <v>163.82940525000004</v>
      </c>
      <c r="AM51" s="5">
        <f>AL51*1.02</f>
        <v>167.10599335500004</v>
      </c>
      <c r="AN51" s="5">
        <f>AM51*1.01</f>
        <v>168.77705328855004</v>
      </c>
      <c r="AO51" s="5">
        <f t="shared" ref="AO51:AR51" si="148">AN51*1.01</f>
        <v>170.46482382143554</v>
      </c>
      <c r="AP51" s="5">
        <f t="shared" si="148"/>
        <v>172.16947205964991</v>
      </c>
      <c r="AQ51" s="5">
        <f t="shared" si="148"/>
        <v>173.89116678024641</v>
      </c>
      <c r="AR51" s="5">
        <f t="shared" si="148"/>
        <v>175.63007844804886</v>
      </c>
    </row>
    <row r="52" spans="2:140" x14ac:dyDescent="0.3">
      <c r="B52" t="s">
        <v>63</v>
      </c>
      <c r="O52" s="5">
        <v>0</v>
      </c>
      <c r="P52" s="5">
        <f t="shared" si="141"/>
        <v>0</v>
      </c>
      <c r="Q52" s="5">
        <f t="shared" si="142"/>
        <v>0</v>
      </c>
      <c r="R52" s="5">
        <f t="shared" si="143"/>
        <v>-0.39999999999999997</v>
      </c>
      <c r="S52" s="5">
        <v>-0.6</v>
      </c>
      <c r="T52" s="5">
        <f t="shared" si="144"/>
        <v>-0.4</v>
      </c>
      <c r="U52" s="5">
        <f t="shared" si="145"/>
        <v>-0.50000000000000011</v>
      </c>
      <c r="V52" s="5">
        <f t="shared" si="146"/>
        <v>-0.39999999999999991</v>
      </c>
      <c r="AB52" s="5"/>
      <c r="AC52" s="5"/>
      <c r="AD52" s="5"/>
      <c r="AE52" s="5">
        <v>0</v>
      </c>
      <c r="AF52" s="5">
        <f>-0.1+0.4</f>
        <v>0.30000000000000004</v>
      </c>
      <c r="AG52" s="5">
        <f>-0.6+0.2</f>
        <v>-0.39999999999999997</v>
      </c>
      <c r="AH52" s="5">
        <v>-1.9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</row>
    <row r="53" spans="2:140" x14ac:dyDescent="0.3">
      <c r="B53" t="s">
        <v>57</v>
      </c>
      <c r="O53" s="5">
        <v>30.1</v>
      </c>
      <c r="P53" s="5">
        <f t="shared" si="141"/>
        <v>12.199999999999996</v>
      </c>
      <c r="Q53" s="5">
        <f t="shared" si="142"/>
        <v>19.100000000000001</v>
      </c>
      <c r="R53" s="5">
        <f t="shared" si="143"/>
        <v>62.300000000000004</v>
      </c>
      <c r="S53" s="5">
        <v>42.1</v>
      </c>
      <c r="T53" s="5">
        <f t="shared" si="144"/>
        <v>16.199999999999996</v>
      </c>
      <c r="U53" s="5">
        <f t="shared" si="145"/>
        <v>10.5</v>
      </c>
      <c r="V53" s="5">
        <f t="shared" si="146"/>
        <v>54.499999999999993</v>
      </c>
      <c r="AB53" s="5"/>
      <c r="AC53" s="5">
        <v>28.5</v>
      </c>
      <c r="AD53" s="5">
        <v>43.5</v>
      </c>
      <c r="AE53" s="5">
        <v>59.3</v>
      </c>
      <c r="AF53" s="5">
        <v>91.6</v>
      </c>
      <c r="AG53" s="5">
        <v>123.7</v>
      </c>
      <c r="AH53" s="5">
        <v>123.3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</row>
    <row r="54" spans="2:140" x14ac:dyDescent="0.3">
      <c r="B54" t="s">
        <v>58</v>
      </c>
      <c r="O54" s="5">
        <v>12.6</v>
      </c>
      <c r="P54" s="5">
        <f t="shared" si="141"/>
        <v>-1.2999999999999989</v>
      </c>
      <c r="Q54" s="5">
        <f t="shared" si="142"/>
        <v>-16.5</v>
      </c>
      <c r="R54" s="5">
        <f t="shared" si="143"/>
        <v>-34.700000000000003</v>
      </c>
      <c r="S54" s="5">
        <v>14.7</v>
      </c>
      <c r="T54" s="5">
        <f t="shared" si="144"/>
        <v>1.3000000000000007</v>
      </c>
      <c r="U54" s="5">
        <f t="shared" si="145"/>
        <v>-11.6</v>
      </c>
      <c r="V54" s="5">
        <f t="shared" si="146"/>
        <v>-38.299999999999997</v>
      </c>
      <c r="AB54" s="5"/>
      <c r="AC54" s="5">
        <v>-10.4</v>
      </c>
      <c r="AD54" s="5">
        <v>-12.7</v>
      </c>
      <c r="AE54" s="5">
        <v>-13.6</v>
      </c>
      <c r="AF54" s="5">
        <v>-42.2</v>
      </c>
      <c r="AG54" s="5">
        <v>-39.9</v>
      </c>
      <c r="AH54" s="5">
        <v>-33.9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</row>
    <row r="55" spans="2:140" x14ac:dyDescent="0.3">
      <c r="B55" t="s">
        <v>59</v>
      </c>
      <c r="O55" s="5">
        <v>-6.5</v>
      </c>
      <c r="P55" s="5">
        <f t="shared" si="141"/>
        <v>-2.9000000000000004</v>
      </c>
      <c r="Q55" s="5">
        <f t="shared" si="142"/>
        <v>-4</v>
      </c>
      <c r="R55" s="5">
        <f t="shared" si="143"/>
        <v>-12.799999999999997</v>
      </c>
      <c r="S55" s="5">
        <v>-9.4</v>
      </c>
      <c r="T55" s="5">
        <f t="shared" si="144"/>
        <v>-4.1999999999999993</v>
      </c>
      <c r="U55" s="5">
        <f t="shared" si="145"/>
        <v>-0.80000000000000071</v>
      </c>
      <c r="V55" s="5">
        <f t="shared" si="146"/>
        <v>-8.1</v>
      </c>
      <c r="AB55" s="5"/>
      <c r="AC55" s="5">
        <v>-6.7</v>
      </c>
      <c r="AD55" s="5">
        <v>-10.6</v>
      </c>
      <c r="AE55" s="5">
        <v>-10.8</v>
      </c>
      <c r="AF55" s="5">
        <v>-18.899999999999999</v>
      </c>
      <c r="AG55" s="5">
        <v>-26.2</v>
      </c>
      <c r="AH55" s="5">
        <v>-22.5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</row>
    <row r="56" spans="2:140" x14ac:dyDescent="0.3">
      <c r="B56" t="s">
        <v>60</v>
      </c>
      <c r="O56" s="5">
        <v>-3.5</v>
      </c>
      <c r="P56" s="5">
        <f t="shared" si="141"/>
        <v>-1.5</v>
      </c>
      <c r="Q56" s="5">
        <f t="shared" si="142"/>
        <v>-3.8000000000000007</v>
      </c>
      <c r="R56" s="5">
        <f t="shared" si="143"/>
        <v>1.2000000000000011</v>
      </c>
      <c r="S56" s="5">
        <v>-1.8</v>
      </c>
      <c r="T56" s="5">
        <f t="shared" si="144"/>
        <v>-2.7</v>
      </c>
      <c r="U56" s="5">
        <f t="shared" si="145"/>
        <v>-7.2</v>
      </c>
      <c r="V56" s="5">
        <f t="shared" si="146"/>
        <v>-4.1000000000000014</v>
      </c>
      <c r="AB56" s="5"/>
      <c r="AC56" s="5">
        <v>-1.7</v>
      </c>
      <c r="AD56" s="5">
        <v>-4</v>
      </c>
      <c r="AE56" s="5">
        <v>-1.4</v>
      </c>
      <c r="AF56" s="5">
        <v>-0.1</v>
      </c>
      <c r="AG56" s="5">
        <v>-7.6</v>
      </c>
      <c r="AH56" s="5">
        <v>-15.8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</row>
    <row r="57" spans="2:140" x14ac:dyDescent="0.3">
      <c r="B57" t="s">
        <v>61</v>
      </c>
      <c r="O57" s="5">
        <v>-0.4</v>
      </c>
      <c r="P57" s="5">
        <f t="shared" si="141"/>
        <v>1.1000000000000001</v>
      </c>
      <c r="Q57" s="5">
        <f t="shared" si="142"/>
        <v>-0.20000000000000007</v>
      </c>
      <c r="R57" s="5">
        <f t="shared" si="143"/>
        <v>3.3999999999999995</v>
      </c>
      <c r="S57" s="5">
        <v>-3.8</v>
      </c>
      <c r="T57" s="5">
        <f t="shared" si="144"/>
        <v>4.3999999999999995</v>
      </c>
      <c r="U57" s="5">
        <f t="shared" si="145"/>
        <v>-3.3999999999999995</v>
      </c>
      <c r="V57" s="5">
        <f t="shared" si="146"/>
        <v>4.4000000000000004</v>
      </c>
      <c r="AB57" s="5"/>
      <c r="AC57" s="5">
        <v>-1.6</v>
      </c>
      <c r="AD57" s="5">
        <v>5.6</v>
      </c>
      <c r="AE57" s="5">
        <v>-6.7</v>
      </c>
      <c r="AF57" s="5">
        <v>1.3</v>
      </c>
      <c r="AG57" s="5">
        <v>3.9</v>
      </c>
      <c r="AH57" s="5">
        <v>1.6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</row>
    <row r="58" spans="2:140" x14ac:dyDescent="0.3">
      <c r="B58" t="s">
        <v>62</v>
      </c>
      <c r="O58" s="5">
        <v>-4.5</v>
      </c>
      <c r="P58" s="5">
        <f t="shared" si="141"/>
        <v>0.29999999999999982</v>
      </c>
      <c r="Q58" s="5">
        <f t="shared" si="142"/>
        <v>5.6</v>
      </c>
      <c r="R58" s="5">
        <f t="shared" si="143"/>
        <v>15.5</v>
      </c>
      <c r="S58" s="5">
        <v>-6.2</v>
      </c>
      <c r="T58" s="5">
        <f t="shared" si="144"/>
        <v>-4.2</v>
      </c>
      <c r="U58" s="5">
        <f t="shared" si="145"/>
        <v>5.2</v>
      </c>
      <c r="V58" s="5">
        <f t="shared" si="146"/>
        <v>5.5</v>
      </c>
      <c r="AB58" s="5"/>
      <c r="AC58" s="5">
        <v>6.2</v>
      </c>
      <c r="AD58" s="5">
        <v>3.7</v>
      </c>
      <c r="AE58" s="5">
        <v>8.6999999999999993</v>
      </c>
      <c r="AF58" s="5">
        <v>3.4</v>
      </c>
      <c r="AG58" s="5">
        <v>16.899999999999999</v>
      </c>
      <c r="AH58" s="5">
        <v>0.3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</row>
    <row r="59" spans="2:140" x14ac:dyDescent="0.3">
      <c r="B59" t="s">
        <v>63</v>
      </c>
      <c r="O59" s="5">
        <v>1.7</v>
      </c>
      <c r="P59" s="5">
        <f t="shared" si="141"/>
        <v>1.2</v>
      </c>
      <c r="Q59" s="5">
        <f t="shared" si="142"/>
        <v>0.89999999999999969</v>
      </c>
      <c r="R59" s="5">
        <f t="shared" si="143"/>
        <v>1.4000000000000006</v>
      </c>
      <c r="S59" s="5">
        <v>0.8</v>
      </c>
      <c r="T59" s="5">
        <f t="shared" si="144"/>
        <v>-2.4000000000000004</v>
      </c>
      <c r="U59" s="5">
        <f t="shared" si="145"/>
        <v>0.10000000000000031</v>
      </c>
      <c r="V59" s="5">
        <f t="shared" si="146"/>
        <v>-2.5</v>
      </c>
      <c r="AB59" s="5"/>
      <c r="AC59" s="5">
        <v>-0.1</v>
      </c>
      <c r="AD59" s="5">
        <v>0.4</v>
      </c>
      <c r="AE59" s="5">
        <v>-1</v>
      </c>
      <c r="AF59" s="5">
        <v>-0.3</v>
      </c>
      <c r="AG59" s="5">
        <v>5.2</v>
      </c>
      <c r="AH59" s="5">
        <v>-4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U59" s="1"/>
      <c r="AV59" s="1"/>
    </row>
    <row r="60" spans="2:140" s="1" customFormat="1" x14ac:dyDescent="0.3">
      <c r="B60" s="1" t="s">
        <v>54</v>
      </c>
      <c r="O60" s="8">
        <f t="shared" ref="O60:V60" si="149">O48+SUM(O49:O59)</f>
        <v>83.6</v>
      </c>
      <c r="P60" s="8">
        <f t="shared" si="149"/>
        <v>62.400000000000027</v>
      </c>
      <c r="Q60" s="8">
        <f t="shared" si="149"/>
        <v>56.300000000000026</v>
      </c>
      <c r="R60" s="8">
        <f t="shared" si="149"/>
        <v>83.5</v>
      </c>
      <c r="S60" s="8">
        <f t="shared" si="149"/>
        <v>105.39999999999999</v>
      </c>
      <c r="T60" s="8">
        <f t="shared" si="149"/>
        <v>90.699999999999932</v>
      </c>
      <c r="U60" s="8">
        <f t="shared" si="149"/>
        <v>84.1</v>
      </c>
      <c r="V60" s="8">
        <f t="shared" si="149"/>
        <v>107.29999999999998</v>
      </c>
      <c r="W60" s="8"/>
      <c r="X60" s="8"/>
      <c r="Y60" s="8"/>
      <c r="Z60" s="8"/>
      <c r="AB60" s="8">
        <f t="shared" ref="AB60:AR60" si="150">AB48+SUM(AB49:AB59)</f>
        <v>-12.300000000000006</v>
      </c>
      <c r="AC60" s="8">
        <f t="shared" si="150"/>
        <v>17.700000000000003</v>
      </c>
      <c r="AD60" s="8">
        <f t="shared" si="150"/>
        <v>9.3999999999999702</v>
      </c>
      <c r="AE60" s="8">
        <f t="shared" si="150"/>
        <v>53.499999999999964</v>
      </c>
      <c r="AF60" s="8">
        <f t="shared" si="150"/>
        <v>153.70000000000007</v>
      </c>
      <c r="AG60" s="8">
        <f t="shared" si="150"/>
        <v>285.59999999999997</v>
      </c>
      <c r="AH60" s="8">
        <f t="shared" si="150"/>
        <v>387.49999999999989</v>
      </c>
      <c r="AI60" s="8">
        <f t="shared" si="150"/>
        <v>313.86610999999994</v>
      </c>
      <c r="AJ60" s="8">
        <f t="shared" si="150"/>
        <v>396.43386249999986</v>
      </c>
      <c r="AK60" s="8">
        <f t="shared" si="150"/>
        <v>497.82715202499986</v>
      </c>
      <c r="AL60" s="8">
        <f t="shared" si="150"/>
        <v>575.70397545424976</v>
      </c>
      <c r="AM60" s="8">
        <f t="shared" si="150"/>
        <v>639.9998449375023</v>
      </c>
      <c r="AN60" s="8">
        <f t="shared" si="150"/>
        <v>694.11159548527041</v>
      </c>
      <c r="AO60" s="8">
        <f t="shared" si="150"/>
        <v>743.19452843981776</v>
      </c>
      <c r="AP60" s="8">
        <f t="shared" si="150"/>
        <v>794.99917330604114</v>
      </c>
      <c r="AQ60" s="8">
        <f t="shared" si="150"/>
        <v>849.66676716680604</v>
      </c>
      <c r="AR60" s="8">
        <f t="shared" si="150"/>
        <v>907.34570999068853</v>
      </c>
    </row>
    <row r="61" spans="2:140" s="1" customFormat="1" x14ac:dyDescent="0.3">
      <c r="B61" t="s">
        <v>65</v>
      </c>
      <c r="O61" s="5">
        <v>3.6</v>
      </c>
      <c r="P61" s="5">
        <f>P81-O61</f>
        <v>3.1</v>
      </c>
      <c r="Q61" s="5">
        <f t="shared" ref="Q61:Q62" si="151">Q81-P61-O61</f>
        <v>1.8000000000000003</v>
      </c>
      <c r="R61" s="5">
        <f t="shared" ref="R61:R62" si="152">AG61-Q61-P61-O61</f>
        <v>0.49999999999999956</v>
      </c>
      <c r="S61" s="5">
        <v>1.3</v>
      </c>
      <c r="T61" s="5">
        <f>T81-S61</f>
        <v>3.2</v>
      </c>
      <c r="U61" s="5">
        <f t="shared" ref="U61:U62" si="153">U81-T61-S61</f>
        <v>1.9999999999999998</v>
      </c>
      <c r="V61" s="5">
        <f t="shared" ref="V61:V62" si="154">AH61-U61-T61-S61</f>
        <v>2.8000000000000007</v>
      </c>
      <c r="W61"/>
      <c r="X61"/>
      <c r="Y61"/>
      <c r="Z61"/>
      <c r="AB61" s="8"/>
      <c r="AC61" s="5">
        <v>0.6</v>
      </c>
      <c r="AD61" s="5">
        <v>2.6</v>
      </c>
      <c r="AE61" s="5">
        <v>4.5999999999999996</v>
      </c>
      <c r="AF61" s="5">
        <v>10.5</v>
      </c>
      <c r="AG61" s="5">
        <v>9</v>
      </c>
      <c r="AH61" s="5">
        <v>9.3000000000000007</v>
      </c>
      <c r="AI61" s="5">
        <f t="shared" ref="AI61:AR61" si="155">AH61*1.1</f>
        <v>10.230000000000002</v>
      </c>
      <c r="AJ61" s="5">
        <f t="shared" si="155"/>
        <v>11.253000000000004</v>
      </c>
      <c r="AK61" s="5">
        <f t="shared" si="155"/>
        <v>12.378300000000005</v>
      </c>
      <c r="AL61" s="5">
        <f t="shared" si="155"/>
        <v>13.616130000000007</v>
      </c>
      <c r="AM61" s="5">
        <f t="shared" si="155"/>
        <v>14.977743000000009</v>
      </c>
      <c r="AN61" s="5">
        <f t="shared" si="155"/>
        <v>16.475517300000011</v>
      </c>
      <c r="AO61" s="5">
        <f t="shared" si="155"/>
        <v>18.123069030000014</v>
      </c>
      <c r="AP61" s="5">
        <f t="shared" si="155"/>
        <v>19.935375933000017</v>
      </c>
      <c r="AQ61" s="5">
        <f t="shared" si="155"/>
        <v>21.928913526300022</v>
      </c>
      <c r="AR61" s="5">
        <f t="shared" si="155"/>
        <v>24.121804878930025</v>
      </c>
    </row>
    <row r="62" spans="2:140" s="1" customFormat="1" x14ac:dyDescent="0.3">
      <c r="B62" t="s">
        <v>64</v>
      </c>
      <c r="O62" s="5">
        <v>1.4</v>
      </c>
      <c r="P62" s="5">
        <f>P82-O62</f>
        <v>5.6</v>
      </c>
      <c r="Q62" s="5">
        <f t="shared" si="151"/>
        <v>3.1999999999999997</v>
      </c>
      <c r="R62" s="5">
        <f t="shared" si="152"/>
        <v>1.9000000000000008</v>
      </c>
      <c r="S62" s="5">
        <v>1.3</v>
      </c>
      <c r="T62" s="5">
        <f>T82-S62</f>
        <v>1.2</v>
      </c>
      <c r="U62" s="5">
        <f t="shared" si="153"/>
        <v>4.9000000000000004</v>
      </c>
      <c r="V62" s="5">
        <f t="shared" si="154"/>
        <v>10.700000000000001</v>
      </c>
      <c r="W62"/>
      <c r="X62"/>
      <c r="Y62"/>
      <c r="Z62"/>
      <c r="AB62" s="8"/>
      <c r="AC62" s="5">
        <v>3.4</v>
      </c>
      <c r="AD62" s="5">
        <v>3.6</v>
      </c>
      <c r="AE62" s="5">
        <v>5.6</v>
      </c>
      <c r="AF62" s="5">
        <v>3.2</v>
      </c>
      <c r="AG62" s="5">
        <v>12.1</v>
      </c>
      <c r="AH62" s="5">
        <v>18.100000000000001</v>
      </c>
      <c r="AI62" s="5">
        <f>AH62*1.3</f>
        <v>23.53</v>
      </c>
      <c r="AJ62" s="5">
        <f>AI62*1.15</f>
        <v>27.0595</v>
      </c>
      <c r="AK62" s="5">
        <f t="shared" ref="AI62:AR62" si="156">AJ62*1.1</f>
        <v>29.765450000000001</v>
      </c>
      <c r="AL62" s="5">
        <f t="shared" si="156"/>
        <v>32.741995000000003</v>
      </c>
      <c r="AM62" s="5">
        <f t="shared" si="156"/>
        <v>36.016194500000005</v>
      </c>
      <c r="AN62" s="5">
        <f t="shared" si="156"/>
        <v>39.617813950000006</v>
      </c>
      <c r="AO62" s="5">
        <f t="shared" si="156"/>
        <v>43.579595345000008</v>
      </c>
      <c r="AP62" s="5">
        <f t="shared" si="156"/>
        <v>47.937554879500013</v>
      </c>
      <c r="AQ62" s="5">
        <f t="shared" si="156"/>
        <v>52.731310367450021</v>
      </c>
      <c r="AR62" s="5">
        <f t="shared" si="156"/>
        <v>58.004441404195028</v>
      </c>
      <c r="AU62"/>
      <c r="AV62"/>
    </row>
    <row r="63" spans="2:140" x14ac:dyDescent="0.3">
      <c r="B63" t="s">
        <v>66</v>
      </c>
      <c r="O63" s="5">
        <f t="shared" ref="O63:P63" si="157">SUM(O61:O62)</f>
        <v>5</v>
      </c>
      <c r="P63" s="5">
        <f t="shared" si="157"/>
        <v>8.6999999999999993</v>
      </c>
      <c r="Q63" s="5">
        <f t="shared" ref="Q63:R63" si="158">SUM(Q61:Q62)</f>
        <v>5</v>
      </c>
      <c r="R63" s="5">
        <f t="shared" si="158"/>
        <v>2.4000000000000004</v>
      </c>
      <c r="S63" s="5">
        <f t="shared" ref="S63:T63" si="159">SUM(S61:S62)</f>
        <v>2.6</v>
      </c>
      <c r="T63" s="5">
        <f t="shared" si="159"/>
        <v>4.4000000000000004</v>
      </c>
      <c r="U63" s="5">
        <f t="shared" ref="U63:V63" si="160">SUM(U61:U62)</f>
        <v>6.9</v>
      </c>
      <c r="V63" s="5">
        <f t="shared" si="160"/>
        <v>13.500000000000002</v>
      </c>
      <c r="W63" s="5"/>
      <c r="X63" s="5"/>
      <c r="Y63" s="5"/>
      <c r="Z63" s="5"/>
      <c r="AB63" s="5">
        <f>AB60-AB64</f>
        <v>-9.2000000000000064</v>
      </c>
      <c r="AC63" s="5">
        <f t="shared" ref="AC63:AH63" si="161">SUM(AC61:AC62)</f>
        <v>4</v>
      </c>
      <c r="AD63" s="5">
        <f t="shared" si="161"/>
        <v>6.2</v>
      </c>
      <c r="AE63" s="5">
        <f t="shared" si="161"/>
        <v>10.199999999999999</v>
      </c>
      <c r="AF63" s="5">
        <f t="shared" si="161"/>
        <v>13.7</v>
      </c>
      <c r="AG63" s="5">
        <f t="shared" si="161"/>
        <v>21.1</v>
      </c>
      <c r="AH63" s="5">
        <f t="shared" si="161"/>
        <v>27.400000000000002</v>
      </c>
      <c r="AI63" s="5">
        <f t="shared" ref="AI63:AR63" si="162">SUM(AI61:AI62)</f>
        <v>33.760000000000005</v>
      </c>
      <c r="AJ63" s="5">
        <f t="shared" si="162"/>
        <v>38.3125</v>
      </c>
      <c r="AK63" s="5">
        <f t="shared" si="162"/>
        <v>42.143750000000004</v>
      </c>
      <c r="AL63" s="5">
        <f t="shared" si="162"/>
        <v>46.358125000000008</v>
      </c>
      <c r="AM63" s="5">
        <f t="shared" si="162"/>
        <v>50.993937500000015</v>
      </c>
      <c r="AN63" s="5">
        <f t="shared" si="162"/>
        <v>56.09333125000002</v>
      </c>
      <c r="AO63" s="5">
        <f t="shared" si="162"/>
        <v>61.702664375000026</v>
      </c>
      <c r="AP63" s="5">
        <f t="shared" si="162"/>
        <v>67.87293081250003</v>
      </c>
      <c r="AQ63" s="5">
        <f t="shared" si="162"/>
        <v>74.660223893750043</v>
      </c>
      <c r="AR63" s="5">
        <f t="shared" si="162"/>
        <v>82.126246283125056</v>
      </c>
    </row>
    <row r="64" spans="2:140" s="1" customFormat="1" x14ac:dyDescent="0.3">
      <c r="B64" s="1" t="s">
        <v>53</v>
      </c>
      <c r="O64" s="8">
        <f t="shared" ref="O64:P64" si="163">O60-O63</f>
        <v>78.599999999999994</v>
      </c>
      <c r="P64" s="8">
        <f t="shared" si="163"/>
        <v>53.700000000000031</v>
      </c>
      <c r="Q64" s="8">
        <f t="shared" ref="Q64:R64" si="164">Q60-Q63</f>
        <v>51.300000000000026</v>
      </c>
      <c r="R64" s="8">
        <f t="shared" si="164"/>
        <v>81.099999999999994</v>
      </c>
      <c r="S64" s="8">
        <f t="shared" ref="S64:T64" si="165">S60-S63</f>
        <v>102.8</v>
      </c>
      <c r="T64" s="8">
        <f t="shared" si="165"/>
        <v>86.299999999999926</v>
      </c>
      <c r="U64" s="8">
        <f t="shared" ref="U64:V64" si="166">U60-U63</f>
        <v>77.199999999999989</v>
      </c>
      <c r="V64" s="8">
        <f t="shared" si="166"/>
        <v>93.799999999999983</v>
      </c>
      <c r="W64" s="8"/>
      <c r="X64" s="8"/>
      <c r="Y64" s="8"/>
      <c r="Z64" s="8"/>
      <c r="AB64" s="1">
        <v>-3.1</v>
      </c>
      <c r="AC64" s="8">
        <f t="shared" ref="AC64:AH64" si="167">AC60-AC63</f>
        <v>13.700000000000003</v>
      </c>
      <c r="AD64" s="8">
        <f t="shared" si="167"/>
        <v>3.19999999999997</v>
      </c>
      <c r="AE64" s="8">
        <f t="shared" si="167"/>
        <v>43.299999999999969</v>
      </c>
      <c r="AF64" s="8">
        <f t="shared" si="167"/>
        <v>140.00000000000009</v>
      </c>
      <c r="AG64" s="8">
        <f t="shared" si="167"/>
        <v>264.49999999999994</v>
      </c>
      <c r="AH64" s="8">
        <f t="shared" si="167"/>
        <v>360.09999999999991</v>
      </c>
      <c r="AI64" s="8">
        <f t="shared" ref="AI64:AR64" si="168">AI60-AI63</f>
        <v>280.10610999999994</v>
      </c>
      <c r="AJ64" s="8">
        <f t="shared" si="168"/>
        <v>358.12136249999986</v>
      </c>
      <c r="AK64" s="8">
        <f t="shared" si="168"/>
        <v>455.68340202499985</v>
      </c>
      <c r="AL64" s="8">
        <f t="shared" si="168"/>
        <v>529.34585045424978</v>
      </c>
      <c r="AM64" s="8">
        <f t="shared" si="168"/>
        <v>589.00590743750229</v>
      </c>
      <c r="AN64" s="8">
        <f t="shared" si="168"/>
        <v>638.01826423527041</v>
      </c>
      <c r="AO64" s="8">
        <f t="shared" si="168"/>
        <v>681.49186406481772</v>
      </c>
      <c r="AP64" s="8">
        <f t="shared" si="168"/>
        <v>727.1262424935411</v>
      </c>
      <c r="AQ64" s="8">
        <f t="shared" si="168"/>
        <v>775.00654327305597</v>
      </c>
      <c r="AR64" s="8">
        <f t="shared" si="168"/>
        <v>825.21946370756348</v>
      </c>
      <c r="AS64" s="1">
        <f>AR64*(1+$AV$41)</f>
        <v>816.96726907048787</v>
      </c>
      <c r="AT64" s="1">
        <f t="shared" ref="AT64:DE64" si="169">AS64*(1+$AV$41)</f>
        <v>808.79759637978293</v>
      </c>
      <c r="AU64" s="1">
        <f>AT64*(1+$AV$41)</f>
        <v>800.70962041598511</v>
      </c>
      <c r="AV64" s="1">
        <f>AU64*(1+$AV$41)</f>
        <v>792.70252421182522</v>
      </c>
      <c r="AW64" s="1">
        <f>AV64*(1+$AV$41)</f>
        <v>784.77549896970697</v>
      </c>
      <c r="AX64" s="1">
        <f t="shared" si="169"/>
        <v>776.92774398000995</v>
      </c>
      <c r="AY64" s="1">
        <f t="shared" si="169"/>
        <v>769.15846654020982</v>
      </c>
      <c r="AZ64" s="1">
        <f t="shared" si="169"/>
        <v>761.46688187480765</v>
      </c>
      <c r="BA64" s="1">
        <f t="shared" si="169"/>
        <v>753.85221305605955</v>
      </c>
      <c r="BB64" s="1">
        <f t="shared" si="169"/>
        <v>746.31369092549892</v>
      </c>
      <c r="BC64" s="1">
        <f t="shared" si="169"/>
        <v>738.8505540162439</v>
      </c>
      <c r="BD64" s="1">
        <f t="shared" si="169"/>
        <v>731.46204847608146</v>
      </c>
      <c r="BE64" s="1">
        <f t="shared" si="169"/>
        <v>724.14742799132068</v>
      </c>
      <c r="BF64" s="1">
        <f t="shared" si="169"/>
        <v>716.90595371140751</v>
      </c>
      <c r="BG64" s="1">
        <f t="shared" si="169"/>
        <v>709.73689417429341</v>
      </c>
      <c r="BH64" s="1">
        <f t="shared" si="169"/>
        <v>702.63952523255045</v>
      </c>
      <c r="BI64" s="1">
        <f t="shared" si="169"/>
        <v>695.61312998022493</v>
      </c>
      <c r="BJ64" s="1">
        <f t="shared" si="169"/>
        <v>688.6569986804227</v>
      </c>
      <c r="BK64" s="1">
        <f t="shared" si="169"/>
        <v>681.77042869361844</v>
      </c>
      <c r="BL64" s="1">
        <f t="shared" si="169"/>
        <v>674.95272440668225</v>
      </c>
      <c r="BM64" s="1">
        <f t="shared" si="169"/>
        <v>668.20319716261542</v>
      </c>
      <c r="BN64" s="1">
        <f t="shared" si="169"/>
        <v>661.52116519098922</v>
      </c>
      <c r="BO64" s="1">
        <f t="shared" si="169"/>
        <v>654.90595353907929</v>
      </c>
      <c r="BP64" s="1">
        <f t="shared" si="169"/>
        <v>648.35689400368847</v>
      </c>
      <c r="BQ64" s="1">
        <f t="shared" si="169"/>
        <v>641.87332506365158</v>
      </c>
      <c r="BR64" s="1">
        <f t="shared" si="169"/>
        <v>635.4545918130151</v>
      </c>
      <c r="BS64" s="1">
        <f t="shared" si="169"/>
        <v>629.10004589488494</v>
      </c>
      <c r="BT64" s="1">
        <f t="shared" si="169"/>
        <v>622.80904543593613</v>
      </c>
      <c r="BU64" s="1">
        <f t="shared" si="169"/>
        <v>616.58095498157672</v>
      </c>
      <c r="BV64" s="1">
        <f t="shared" si="169"/>
        <v>610.41514543176095</v>
      </c>
      <c r="BW64" s="1">
        <f t="shared" si="169"/>
        <v>604.31099397744333</v>
      </c>
      <c r="BX64" s="1">
        <f t="shared" si="169"/>
        <v>598.26788403766886</v>
      </c>
      <c r="BY64" s="1">
        <f t="shared" si="169"/>
        <v>592.28520519729216</v>
      </c>
      <c r="BZ64" s="1">
        <f t="shared" si="169"/>
        <v>586.36235314531928</v>
      </c>
      <c r="CA64" s="1">
        <f t="shared" si="169"/>
        <v>580.49872961386609</v>
      </c>
      <c r="CB64" s="1">
        <f t="shared" si="169"/>
        <v>574.69374231772747</v>
      </c>
      <c r="CC64" s="1">
        <f t="shared" si="169"/>
        <v>568.94680489455016</v>
      </c>
      <c r="CD64" s="1">
        <f t="shared" si="169"/>
        <v>563.25733684560464</v>
      </c>
      <c r="CE64" s="1">
        <f t="shared" si="169"/>
        <v>557.62476347714858</v>
      </c>
      <c r="CF64" s="1">
        <f t="shared" si="169"/>
        <v>552.04851584237713</v>
      </c>
      <c r="CG64" s="1">
        <f t="shared" si="169"/>
        <v>546.52803068395338</v>
      </c>
      <c r="CH64" s="1">
        <f t="shared" si="169"/>
        <v>541.06275037711384</v>
      </c>
      <c r="CI64" s="1">
        <f t="shared" si="169"/>
        <v>535.65212287334271</v>
      </c>
      <c r="CJ64" s="1">
        <f t="shared" si="169"/>
        <v>530.29560164460929</v>
      </c>
      <c r="CK64" s="1">
        <f t="shared" si="169"/>
        <v>524.99264562816325</v>
      </c>
      <c r="CL64" s="1">
        <f t="shared" si="169"/>
        <v>519.74271917188162</v>
      </c>
      <c r="CM64" s="1">
        <f t="shared" si="169"/>
        <v>514.5452919801628</v>
      </c>
      <c r="CN64" s="1">
        <f t="shared" si="169"/>
        <v>509.39983906036116</v>
      </c>
      <c r="CO64" s="1">
        <f t="shared" si="169"/>
        <v>504.30584066975757</v>
      </c>
      <c r="CP64" s="1">
        <f t="shared" si="169"/>
        <v>499.26278226305999</v>
      </c>
      <c r="CQ64" s="1">
        <f t="shared" si="169"/>
        <v>494.27015444042939</v>
      </c>
      <c r="CR64" s="1">
        <f t="shared" si="169"/>
        <v>489.32745289602508</v>
      </c>
      <c r="CS64" s="1">
        <f t="shared" si="169"/>
        <v>484.43417836706482</v>
      </c>
      <c r="CT64" s="1">
        <f t="shared" si="169"/>
        <v>479.58983658339417</v>
      </c>
      <c r="CU64" s="1">
        <f t="shared" si="169"/>
        <v>474.79393821756025</v>
      </c>
      <c r="CV64" s="1">
        <f t="shared" si="169"/>
        <v>470.04599883538464</v>
      </c>
      <c r="CW64" s="1">
        <f t="shared" si="169"/>
        <v>465.34553884703081</v>
      </c>
      <c r="CX64" s="1">
        <f t="shared" si="169"/>
        <v>460.69208345856049</v>
      </c>
      <c r="CY64" s="1">
        <f t="shared" si="169"/>
        <v>456.0851626239749</v>
      </c>
      <c r="CZ64" s="1">
        <f t="shared" si="169"/>
        <v>451.52431099773514</v>
      </c>
      <c r="DA64" s="1">
        <f t="shared" si="169"/>
        <v>447.00906788775779</v>
      </c>
      <c r="DB64" s="1">
        <f t="shared" si="169"/>
        <v>442.53897720888023</v>
      </c>
      <c r="DC64" s="1">
        <f t="shared" si="169"/>
        <v>438.11358743679142</v>
      </c>
      <c r="DD64" s="1">
        <f t="shared" si="169"/>
        <v>433.73245156242348</v>
      </c>
      <c r="DE64" s="1">
        <f t="shared" si="169"/>
        <v>429.39512704679925</v>
      </c>
      <c r="DF64" s="1">
        <f t="shared" ref="DF64:EJ64" si="170">DE64*(1+$AV$41)</f>
        <v>425.10117577633127</v>
      </c>
      <c r="DG64" s="1">
        <f t="shared" si="170"/>
        <v>420.85016401856797</v>
      </c>
      <c r="DH64" s="1">
        <f t="shared" si="170"/>
        <v>416.64166237838231</v>
      </c>
      <c r="DI64" s="1">
        <f t="shared" si="170"/>
        <v>412.47524575459846</v>
      </c>
      <c r="DJ64" s="1">
        <f t="shared" si="170"/>
        <v>408.35049329705248</v>
      </c>
      <c r="DK64" s="1">
        <f t="shared" si="170"/>
        <v>404.26698836408195</v>
      </c>
      <c r="DL64" s="1">
        <f t="shared" si="170"/>
        <v>400.22431848044113</v>
      </c>
      <c r="DM64" s="1">
        <f t="shared" si="170"/>
        <v>396.22207529563673</v>
      </c>
      <c r="DN64" s="1">
        <f t="shared" si="170"/>
        <v>392.25985454268033</v>
      </c>
      <c r="DO64" s="1">
        <f t="shared" si="170"/>
        <v>388.33725599725352</v>
      </c>
      <c r="DP64" s="1">
        <f t="shared" si="170"/>
        <v>384.45388343728098</v>
      </c>
      <c r="DQ64" s="1">
        <f t="shared" si="170"/>
        <v>380.60934460290815</v>
      </c>
      <c r="DR64" s="1">
        <f t="shared" si="170"/>
        <v>376.80325115687907</v>
      </c>
      <c r="DS64" s="1">
        <f t="shared" si="170"/>
        <v>373.03521864531029</v>
      </c>
      <c r="DT64" s="1">
        <f t="shared" si="170"/>
        <v>369.30486645885719</v>
      </c>
      <c r="DU64" s="1">
        <f t="shared" si="170"/>
        <v>365.61181779426863</v>
      </c>
      <c r="DV64" s="1">
        <f t="shared" si="170"/>
        <v>361.95569961632594</v>
      </c>
      <c r="DW64" s="1">
        <f t="shared" si="170"/>
        <v>358.33614262016266</v>
      </c>
      <c r="DX64" s="1">
        <f t="shared" si="170"/>
        <v>354.75278119396103</v>
      </c>
      <c r="DY64" s="1">
        <f t="shared" si="170"/>
        <v>351.2052533820214</v>
      </c>
      <c r="DZ64" s="1">
        <f t="shared" si="170"/>
        <v>347.69320084820117</v>
      </c>
      <c r="EA64" s="1">
        <f t="shared" si="170"/>
        <v>344.21626883971913</v>
      </c>
      <c r="EB64" s="1">
        <f t="shared" si="170"/>
        <v>340.77410615132192</v>
      </c>
      <c r="EC64" s="1">
        <f t="shared" si="170"/>
        <v>337.36636508980871</v>
      </c>
      <c r="ED64" s="1">
        <f t="shared" si="170"/>
        <v>333.99270143891061</v>
      </c>
      <c r="EE64" s="1">
        <f t="shared" si="170"/>
        <v>330.65277442452151</v>
      </c>
      <c r="EF64" s="1">
        <f t="shared" si="170"/>
        <v>327.34624668027629</v>
      </c>
      <c r="EG64" s="1">
        <f t="shared" si="170"/>
        <v>324.07278421347354</v>
      </c>
      <c r="EH64" s="1">
        <f t="shared" si="170"/>
        <v>320.83205637133881</v>
      </c>
      <c r="EI64" s="1">
        <f t="shared" si="170"/>
        <v>317.62373580762539</v>
      </c>
      <c r="EJ64" s="1">
        <f t="shared" si="170"/>
        <v>314.44749844954913</v>
      </c>
    </row>
    <row r="66" spans="2:48" x14ac:dyDescent="0.3">
      <c r="AV66" s="5">
        <f>NPV(AV42,AH64:EJ64)</f>
        <v>6699.427235416988</v>
      </c>
    </row>
    <row r="67" spans="2:48" x14ac:dyDescent="0.3">
      <c r="AV67" s="5">
        <f>Main!D8</f>
        <v>1140.5</v>
      </c>
    </row>
    <row r="68" spans="2:48" x14ac:dyDescent="0.3">
      <c r="B68" s="1" t="s">
        <v>77</v>
      </c>
      <c r="P68" s="8">
        <f>O48+P48</f>
        <v>51.400000000000013</v>
      </c>
      <c r="Q68" s="8">
        <f>O48+P48+Q48</f>
        <v>74.700000000000045</v>
      </c>
      <c r="T68" s="8">
        <f>S48+T48</f>
        <v>79.69999999999996</v>
      </c>
      <c r="U68" s="8">
        <f>S48+T48+U48</f>
        <v>371.79999999999995</v>
      </c>
      <c r="AV68" s="5">
        <f>AV66+AV67</f>
        <v>7839.927235416988</v>
      </c>
    </row>
    <row r="69" spans="2:48" x14ac:dyDescent="0.3">
      <c r="B69" t="s">
        <v>78</v>
      </c>
      <c r="P69" s="8"/>
      <c r="Q69" s="5">
        <v>0</v>
      </c>
      <c r="T69" s="8"/>
      <c r="U69" s="5">
        <v>-239.5</v>
      </c>
      <c r="AV69" s="4">
        <f>AV68/AR30</f>
        <v>168.23878187590103</v>
      </c>
    </row>
    <row r="70" spans="2:48" x14ac:dyDescent="0.3">
      <c r="B70" t="s">
        <v>55</v>
      </c>
      <c r="P70" s="5">
        <v>4.3</v>
      </c>
      <c r="Q70" s="5">
        <v>7.2</v>
      </c>
      <c r="T70" s="5">
        <v>7</v>
      </c>
      <c r="U70" s="5">
        <v>10.6</v>
      </c>
      <c r="AV70" s="4">
        <f>Main!D3</f>
        <v>90.04</v>
      </c>
    </row>
    <row r="71" spans="2:48" x14ac:dyDescent="0.3">
      <c r="B71" t="s">
        <v>56</v>
      </c>
      <c r="P71" s="5">
        <v>51.7</v>
      </c>
      <c r="Q71" s="5">
        <v>80.7</v>
      </c>
      <c r="T71" s="5">
        <v>65.599999999999994</v>
      </c>
      <c r="U71" s="5">
        <v>101.2</v>
      </c>
      <c r="AV71" s="10">
        <f>AV69/AV70-1</f>
        <v>0.86848935890605294</v>
      </c>
    </row>
    <row r="72" spans="2:48" x14ac:dyDescent="0.3">
      <c r="B72" t="s">
        <v>63</v>
      </c>
      <c r="P72" s="5">
        <v>0</v>
      </c>
      <c r="Q72" s="5">
        <v>0</v>
      </c>
      <c r="T72" s="5">
        <v>-1</v>
      </c>
      <c r="U72" s="5">
        <v>-1.5</v>
      </c>
    </row>
    <row r="73" spans="2:48" x14ac:dyDescent="0.3">
      <c r="B73" t="s">
        <v>57</v>
      </c>
      <c r="P73" s="5">
        <v>42.3</v>
      </c>
      <c r="Q73" s="5">
        <v>61.4</v>
      </c>
      <c r="T73" s="5">
        <v>58.3</v>
      </c>
      <c r="U73" s="5">
        <v>68.8</v>
      </c>
    </row>
    <row r="74" spans="2:48" x14ac:dyDescent="0.3">
      <c r="B74" t="s">
        <v>58</v>
      </c>
      <c r="P74" s="5">
        <v>11.3</v>
      </c>
      <c r="Q74" s="5">
        <v>-5.2</v>
      </c>
      <c r="T74" s="5">
        <v>16</v>
      </c>
      <c r="U74" s="5">
        <v>4.4000000000000004</v>
      </c>
    </row>
    <row r="75" spans="2:48" x14ac:dyDescent="0.3">
      <c r="B75" t="s">
        <v>59</v>
      </c>
      <c r="P75" s="5">
        <v>-9.4</v>
      </c>
      <c r="Q75" s="5">
        <v>-13.4</v>
      </c>
      <c r="T75" s="5">
        <v>-13.6</v>
      </c>
      <c r="U75" s="5">
        <v>-14.4</v>
      </c>
    </row>
    <row r="76" spans="2:48" x14ac:dyDescent="0.3">
      <c r="B76" t="s">
        <v>60</v>
      </c>
      <c r="P76" s="5">
        <v>-5</v>
      </c>
      <c r="Q76" s="5">
        <v>-8.8000000000000007</v>
      </c>
      <c r="T76" s="5">
        <v>-4.5</v>
      </c>
      <c r="U76" s="5">
        <v>-11.7</v>
      </c>
    </row>
    <row r="77" spans="2:48" x14ac:dyDescent="0.3">
      <c r="B77" t="s">
        <v>61</v>
      </c>
      <c r="P77" s="5">
        <v>0.7</v>
      </c>
      <c r="Q77" s="5">
        <v>0.5</v>
      </c>
      <c r="T77" s="5">
        <v>0.6</v>
      </c>
      <c r="U77" s="5">
        <v>-2.8</v>
      </c>
    </row>
    <row r="78" spans="2:48" x14ac:dyDescent="0.3">
      <c r="B78" t="s">
        <v>62</v>
      </c>
      <c r="P78" s="5">
        <v>-4.2</v>
      </c>
      <c r="Q78" s="5">
        <v>1.4</v>
      </c>
      <c r="T78" s="5">
        <v>-10.4</v>
      </c>
      <c r="U78" s="5">
        <v>-5.2</v>
      </c>
    </row>
    <row r="79" spans="2:48" x14ac:dyDescent="0.3">
      <c r="B79" t="s">
        <v>63</v>
      </c>
      <c r="P79" s="5">
        <v>2.9</v>
      </c>
      <c r="Q79" s="5">
        <v>3.8</v>
      </c>
      <c r="T79" s="5">
        <v>-1.6</v>
      </c>
      <c r="U79" s="5">
        <v>-1.5</v>
      </c>
    </row>
    <row r="80" spans="2:48" x14ac:dyDescent="0.3">
      <c r="B80" s="1" t="s">
        <v>54</v>
      </c>
      <c r="P80" s="8">
        <f>P68+SUM(P69:P79)</f>
        <v>146</v>
      </c>
      <c r="Q80" s="8">
        <f>Q68+SUM(Q69:Q79)</f>
        <v>202.30000000000007</v>
      </c>
      <c r="T80" s="8">
        <f t="shared" ref="T80" si="171">T68+SUM(T69:T79)</f>
        <v>196.09999999999994</v>
      </c>
      <c r="U80" s="8">
        <f>U68+SUM(U69:U79)</f>
        <v>280.19999999999993</v>
      </c>
    </row>
    <row r="81" spans="2:21" x14ac:dyDescent="0.3">
      <c r="B81" t="s">
        <v>65</v>
      </c>
      <c r="P81" s="5">
        <v>6.7</v>
      </c>
      <c r="Q81" s="5">
        <v>8.5</v>
      </c>
      <c r="T81" s="5">
        <v>4.5</v>
      </c>
      <c r="U81" s="5">
        <v>6.5</v>
      </c>
    </row>
    <row r="82" spans="2:21" x14ac:dyDescent="0.3">
      <c r="B82" t="s">
        <v>64</v>
      </c>
      <c r="P82" s="5">
        <v>7</v>
      </c>
      <c r="Q82" s="5">
        <v>10.199999999999999</v>
      </c>
      <c r="T82" s="5">
        <v>2.5</v>
      </c>
      <c r="U82" s="5">
        <v>7.4</v>
      </c>
    </row>
    <row r="83" spans="2:21" x14ac:dyDescent="0.3">
      <c r="B83" t="s">
        <v>66</v>
      </c>
      <c r="P83" s="5">
        <f t="shared" ref="P83:Q83" si="172">SUM(P81:P82)</f>
        <v>13.7</v>
      </c>
      <c r="Q83" s="5">
        <f t="shared" si="172"/>
        <v>18.7</v>
      </c>
      <c r="T83" s="5">
        <f t="shared" ref="T83:U83" si="173">SUM(T81:T82)</f>
        <v>7</v>
      </c>
      <c r="U83" s="5">
        <f t="shared" si="173"/>
        <v>13.9</v>
      </c>
    </row>
    <row r="84" spans="2:21" x14ac:dyDescent="0.3">
      <c r="B84" s="1" t="s">
        <v>53</v>
      </c>
      <c r="P84" s="8">
        <f t="shared" ref="P84:Q84" si="174">P80-P83</f>
        <v>132.30000000000001</v>
      </c>
      <c r="Q84" s="8">
        <f t="shared" si="174"/>
        <v>183.60000000000008</v>
      </c>
      <c r="T84" s="8">
        <f t="shared" ref="T84:U84" si="175">T80-T83</f>
        <v>189.09999999999994</v>
      </c>
      <c r="U84" s="8">
        <f t="shared" si="175"/>
        <v>266.29999999999995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2025-04-01T12:20:19Z</dcterms:created>
  <dcterms:modified xsi:type="dcterms:W3CDTF">2026-02-27T14:44:43Z</dcterms:modified>
</cp:coreProperties>
</file>