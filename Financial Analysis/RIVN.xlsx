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C2911827-07B1-4A79-9E3E-82E95C20FF7B}" xr6:coauthVersionLast="47" xr6:coauthVersionMax="47" xr10:uidLastSave="{00000000-0000-0000-0000-000000000000}"/>
  <bookViews>
    <workbookView xWindow="-108" yWindow="-108" windowWidth="23256" windowHeight="12576" activeTab="1" xr2:uid="{ABF471AF-A41B-460E-88DC-31087F0CAAF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4" i="2" l="1"/>
  <c r="AF4" i="2" s="1"/>
  <c r="AG4" i="2" s="1"/>
  <c r="AH4" i="2" s="1"/>
  <c r="AI4" i="2" s="1"/>
  <c r="AJ4" i="2" s="1"/>
  <c r="AD4" i="2"/>
  <c r="AD7" i="2"/>
  <c r="AC7" i="2"/>
  <c r="AB7" i="2"/>
  <c r="R11" i="2"/>
  <c r="R10" i="2"/>
  <c r="Z26" i="2"/>
  <c r="Z25" i="2"/>
  <c r="Y4" i="2"/>
  <c r="Y3" i="2"/>
  <c r="AC6" i="2"/>
  <c r="AB6" i="2"/>
  <c r="AA6" i="2"/>
  <c r="R4" i="2"/>
  <c r="R3" i="2"/>
  <c r="D7" i="1"/>
  <c r="D6" i="1"/>
  <c r="AJ22" i="2"/>
  <c r="AI22" i="2"/>
  <c r="AH22" i="2"/>
  <c r="AG22" i="2"/>
  <c r="AF22" i="2"/>
  <c r="AE22" i="2"/>
  <c r="AD22" i="2"/>
  <c r="AC22" i="2"/>
  <c r="AB22" i="2"/>
  <c r="AA22" i="2"/>
  <c r="Z22" i="2"/>
  <c r="R22" i="2"/>
  <c r="Q22" i="2"/>
  <c r="D4" i="1"/>
  <c r="L8" i="2"/>
  <c r="L5" i="2"/>
  <c r="P22" i="2"/>
  <c r="R26" i="2" l="1"/>
  <c r="Q26" i="2"/>
  <c r="P26" i="2"/>
  <c r="R25" i="2"/>
  <c r="Q25" i="2"/>
  <c r="P25" i="2"/>
  <c r="R29" i="2"/>
  <c r="Z4" i="2"/>
  <c r="Z3" i="2"/>
  <c r="AA3" i="2" s="1"/>
  <c r="AA25" i="2" s="1"/>
  <c r="R7" i="2"/>
  <c r="Z7" i="2"/>
  <c r="R5" i="2"/>
  <c r="Q5" i="2"/>
  <c r="P5" i="2"/>
  <c r="O5" i="2"/>
  <c r="R6" i="2"/>
  <c r="R28" i="2" s="1"/>
  <c r="O22" i="2"/>
  <c r="N26" i="2"/>
  <c r="N25" i="2"/>
  <c r="N27" i="2"/>
  <c r="O26" i="2"/>
  <c r="O25" i="2"/>
  <c r="O8" i="2"/>
  <c r="N29" i="2"/>
  <c r="N28" i="2"/>
  <c r="J29" i="2"/>
  <c r="J28" i="2"/>
  <c r="O29" i="2"/>
  <c r="O28" i="2"/>
  <c r="K29" i="2"/>
  <c r="K28" i="2"/>
  <c r="AN81" i="2"/>
  <c r="AA70" i="2"/>
  <c r="AB70" i="2" s="1"/>
  <c r="AC70" i="2" s="1"/>
  <c r="AD70" i="2" s="1"/>
  <c r="AE70" i="2" s="1"/>
  <c r="AF70" i="2" s="1"/>
  <c r="AG70" i="2" s="1"/>
  <c r="AH70" i="2" s="1"/>
  <c r="AI70" i="2" s="1"/>
  <c r="AJ70" i="2" s="1"/>
  <c r="AA73" i="2"/>
  <c r="AB73" i="2" s="1"/>
  <c r="AC73" i="2" s="1"/>
  <c r="AD73" i="2" s="1"/>
  <c r="AE73" i="2" s="1"/>
  <c r="AF73" i="2" s="1"/>
  <c r="AG73" i="2" s="1"/>
  <c r="AH73" i="2" s="1"/>
  <c r="AI73" i="2" s="1"/>
  <c r="AJ73" i="2" s="1"/>
  <c r="Z61" i="2"/>
  <c r="AA61" i="2" s="1"/>
  <c r="AB61" i="2" s="1"/>
  <c r="AC61" i="2" s="1"/>
  <c r="AD61" i="2" s="1"/>
  <c r="AE61" i="2" s="1"/>
  <c r="AF61" i="2" s="1"/>
  <c r="AG61" i="2" s="1"/>
  <c r="AH61" i="2" s="1"/>
  <c r="AI61" i="2" s="1"/>
  <c r="AJ61" i="2" s="1"/>
  <c r="Z73" i="2"/>
  <c r="Z62" i="2"/>
  <c r="AA62" i="2" s="1"/>
  <c r="AB62" i="2" s="1"/>
  <c r="AC62" i="2" s="1"/>
  <c r="AD62" i="2" s="1"/>
  <c r="AE62" i="2" s="1"/>
  <c r="AF62" i="2" s="1"/>
  <c r="AG62" i="2" s="1"/>
  <c r="AH62" i="2" s="1"/>
  <c r="AI62" i="2" s="1"/>
  <c r="AJ62" i="2" s="1"/>
  <c r="J56" i="2"/>
  <c r="J52" i="2"/>
  <c r="J47" i="2"/>
  <c r="J43" i="2"/>
  <c r="J37" i="2"/>
  <c r="N56" i="2"/>
  <c r="N52" i="2"/>
  <c r="N47" i="2"/>
  <c r="N43" i="2"/>
  <c r="N37" i="2"/>
  <c r="Q29" i="2" l="1"/>
  <c r="Q8" i="2"/>
  <c r="Z6" i="2"/>
  <c r="Z28" i="2" s="1"/>
  <c r="Q28" i="2"/>
  <c r="Z5" i="2"/>
  <c r="P29" i="2"/>
  <c r="Z29" i="2"/>
  <c r="AA4" i="2"/>
  <c r="AA5" i="2" s="1"/>
  <c r="P28" i="2"/>
  <c r="AB3" i="2"/>
  <c r="AA28" i="2"/>
  <c r="R8" i="2"/>
  <c r="P8" i="2"/>
  <c r="J58" i="2"/>
  <c r="J48" i="2"/>
  <c r="N58" i="2"/>
  <c r="N48" i="2"/>
  <c r="Z8" i="2" l="1"/>
  <c r="AA7" i="2"/>
  <c r="AA29" i="2" s="1"/>
  <c r="AB4" i="2"/>
  <c r="AA26" i="2"/>
  <c r="AC3" i="2"/>
  <c r="AC25" i="2" s="1"/>
  <c r="AB25" i="2"/>
  <c r="AB28" i="2"/>
  <c r="AN36" i="2"/>
  <c r="R13" i="2"/>
  <c r="R17" i="2" s="1"/>
  <c r="Q17" i="2"/>
  <c r="P17" i="2"/>
  <c r="O17" i="2"/>
  <c r="P27" i="2"/>
  <c r="O27" i="2"/>
  <c r="O31" i="2"/>
  <c r="Z20" i="2"/>
  <c r="Z19" i="2"/>
  <c r="Z16" i="2"/>
  <c r="Z15" i="2"/>
  <c r="Z14" i="2"/>
  <c r="AA14" i="2" s="1"/>
  <c r="AB14" i="2" s="1"/>
  <c r="AC14" i="2" s="1"/>
  <c r="AD14" i="2" s="1"/>
  <c r="AE14" i="2" s="1"/>
  <c r="AF14" i="2" s="1"/>
  <c r="AG14" i="2" s="1"/>
  <c r="AH14" i="2" s="1"/>
  <c r="AI14" i="2" s="1"/>
  <c r="AJ14" i="2" s="1"/>
  <c r="U17" i="2"/>
  <c r="U9" i="2"/>
  <c r="V11" i="2"/>
  <c r="V32" i="2" s="1"/>
  <c r="V17" i="2"/>
  <c r="V9" i="2"/>
  <c r="V30" i="2" s="1"/>
  <c r="W17" i="2"/>
  <c r="W32" i="2"/>
  <c r="W31" i="2"/>
  <c r="V31" i="2"/>
  <c r="M32" i="2"/>
  <c r="L32" i="2"/>
  <c r="K32" i="2"/>
  <c r="I32" i="2"/>
  <c r="H32" i="2"/>
  <c r="G32" i="2"/>
  <c r="X20" i="2"/>
  <c r="X19" i="2"/>
  <c r="X16" i="2"/>
  <c r="X15" i="2"/>
  <c r="X14" i="2"/>
  <c r="X13" i="2"/>
  <c r="X11" i="2"/>
  <c r="X10" i="2"/>
  <c r="X31" i="2" s="1"/>
  <c r="Y20" i="2"/>
  <c r="Y19" i="2"/>
  <c r="Y16" i="2"/>
  <c r="Y15" i="2"/>
  <c r="Y14" i="2"/>
  <c r="Y13" i="2"/>
  <c r="Y11" i="2"/>
  <c r="Y10" i="2"/>
  <c r="Y31" i="2" s="1"/>
  <c r="M33" i="2"/>
  <c r="M31" i="2"/>
  <c r="L31" i="2"/>
  <c r="K31" i="2"/>
  <c r="M27" i="2"/>
  <c r="L27" i="2"/>
  <c r="K27" i="2"/>
  <c r="N31" i="2"/>
  <c r="G17" i="2"/>
  <c r="G9" i="2"/>
  <c r="G12" i="2" s="1"/>
  <c r="G33" i="2" s="1"/>
  <c r="K17" i="2"/>
  <c r="K9" i="2"/>
  <c r="K12" i="2" s="1"/>
  <c r="K33" i="2" s="1"/>
  <c r="L17" i="2"/>
  <c r="L9" i="2"/>
  <c r="L12" i="2" s="1"/>
  <c r="H17" i="2"/>
  <c r="H9" i="2"/>
  <c r="H12" i="2" s="1"/>
  <c r="H33" i="2" s="1"/>
  <c r="I17" i="2"/>
  <c r="I9" i="2"/>
  <c r="I12" i="2" s="1"/>
  <c r="M17" i="2"/>
  <c r="M9" i="2"/>
  <c r="M12" i="2" s="1"/>
  <c r="AB29" i="2" l="1"/>
  <c r="AC4" i="2"/>
  <c r="AC5" i="2" s="1"/>
  <c r="AB26" i="2"/>
  <c r="AA8" i="2"/>
  <c r="AB5" i="2"/>
  <c r="AD3" i="2"/>
  <c r="AD6" i="2" s="1"/>
  <c r="AC28" i="2"/>
  <c r="I18" i="2"/>
  <c r="I21" i="2" s="1"/>
  <c r="I23" i="2" s="1"/>
  <c r="L18" i="2"/>
  <c r="L21" i="2" s="1"/>
  <c r="L23" i="2" s="1"/>
  <c r="H30" i="2"/>
  <c r="K30" i="2"/>
  <c r="O9" i="2"/>
  <c r="I30" i="2"/>
  <c r="P9" i="2"/>
  <c r="I33" i="2"/>
  <c r="O32" i="2"/>
  <c r="L30" i="2"/>
  <c r="G30" i="2"/>
  <c r="M30" i="2"/>
  <c r="L33" i="2"/>
  <c r="P31" i="2"/>
  <c r="Z13" i="2"/>
  <c r="Q27" i="2"/>
  <c r="Q9" i="2"/>
  <c r="U12" i="2"/>
  <c r="V12" i="2"/>
  <c r="W9" i="2"/>
  <c r="W27" i="2"/>
  <c r="X17" i="2"/>
  <c r="Y17" i="2"/>
  <c r="G18" i="2"/>
  <c r="K18" i="2"/>
  <c r="H18" i="2"/>
  <c r="M18" i="2"/>
  <c r="AD25" i="2" l="1"/>
  <c r="AB8" i="2"/>
  <c r="AC8" i="2"/>
  <c r="AC26" i="2"/>
  <c r="AE3" i="2"/>
  <c r="AD28" i="2"/>
  <c r="I35" i="2"/>
  <c r="I34" i="2"/>
  <c r="L34" i="2"/>
  <c r="L35" i="2"/>
  <c r="O30" i="2"/>
  <c r="O12" i="2"/>
  <c r="H21" i="2"/>
  <c r="H34" i="2"/>
  <c r="G21" i="2"/>
  <c r="G34" i="2"/>
  <c r="K21" i="2"/>
  <c r="K34" i="2"/>
  <c r="Z17" i="2"/>
  <c r="AA13" i="2"/>
  <c r="M21" i="2"/>
  <c r="M34" i="2"/>
  <c r="Q31" i="2"/>
  <c r="Z11" i="2"/>
  <c r="Q32" i="2"/>
  <c r="P32" i="2"/>
  <c r="Q12" i="2"/>
  <c r="Q30" i="2"/>
  <c r="P12" i="2"/>
  <c r="P30" i="2"/>
  <c r="U18" i="2"/>
  <c r="V18" i="2"/>
  <c r="V33" i="2"/>
  <c r="W30" i="2"/>
  <c r="W12" i="2"/>
  <c r="J17" i="2"/>
  <c r="J8" i="2"/>
  <c r="X8" i="2" s="1"/>
  <c r="J5" i="2"/>
  <c r="N17" i="2"/>
  <c r="N8" i="2"/>
  <c r="Y8" i="2" s="1"/>
  <c r="N5" i="2"/>
  <c r="D8" i="1"/>
  <c r="D5" i="1"/>
  <c r="F3" i="1"/>
  <c r="AA11" i="2" l="1"/>
  <c r="AB11" i="2" s="1"/>
  <c r="AC11" i="2" s="1"/>
  <c r="AD11" i="2" s="1"/>
  <c r="AE11" i="2" s="1"/>
  <c r="AF11" i="2" s="1"/>
  <c r="AG11" i="2" s="1"/>
  <c r="AH11" i="2" s="1"/>
  <c r="AI11" i="2" s="1"/>
  <c r="AJ11" i="2" s="1"/>
  <c r="AD8" i="2"/>
  <c r="AD26" i="2"/>
  <c r="AC29" i="2"/>
  <c r="AD5" i="2"/>
  <c r="AE6" i="2"/>
  <c r="AE28" i="2" s="1"/>
  <c r="AF3" i="2"/>
  <c r="AF25" i="2" s="1"/>
  <c r="AE25" i="2"/>
  <c r="AN33" i="2"/>
  <c r="AN78" i="2"/>
  <c r="Y5" i="2"/>
  <c r="N32" i="2"/>
  <c r="AA17" i="2"/>
  <c r="AB13" i="2"/>
  <c r="O33" i="2"/>
  <c r="O18" i="2"/>
  <c r="J9" i="2"/>
  <c r="J32" i="2"/>
  <c r="X5" i="2"/>
  <c r="K23" i="2"/>
  <c r="K35" i="2"/>
  <c r="G23" i="2"/>
  <c r="G35" i="2"/>
  <c r="M23" i="2"/>
  <c r="M35" i="2"/>
  <c r="H23" i="2"/>
  <c r="H35" i="2"/>
  <c r="D9" i="1"/>
  <c r="R31" i="2"/>
  <c r="Z10" i="2"/>
  <c r="P33" i="2"/>
  <c r="P18" i="2"/>
  <c r="Q33" i="2"/>
  <c r="Q18" i="2"/>
  <c r="U21" i="2"/>
  <c r="V21" i="2"/>
  <c r="V34" i="2"/>
  <c r="W33" i="2"/>
  <c r="W18" i="2"/>
  <c r="N9" i="2"/>
  <c r="AE5" i="2" l="1"/>
  <c r="AE7" i="2"/>
  <c r="AE8" i="2" s="1"/>
  <c r="AD29" i="2"/>
  <c r="AE26" i="2"/>
  <c r="AF6" i="2"/>
  <c r="AG3" i="2"/>
  <c r="AG25" i="2" s="1"/>
  <c r="O34" i="2"/>
  <c r="O21" i="2"/>
  <c r="Y27" i="2"/>
  <c r="Y32" i="2"/>
  <c r="AC13" i="2"/>
  <c r="AB17" i="2"/>
  <c r="X27" i="2"/>
  <c r="X9" i="2"/>
  <c r="X32" i="2"/>
  <c r="J12" i="2"/>
  <c r="J30" i="2"/>
  <c r="Y9" i="2"/>
  <c r="N12" i="2"/>
  <c r="N33" i="2" s="1"/>
  <c r="N30" i="2"/>
  <c r="R27" i="2"/>
  <c r="R32" i="2"/>
  <c r="P34" i="2"/>
  <c r="P21" i="2"/>
  <c r="AA10" i="2"/>
  <c r="Z31" i="2"/>
  <c r="Q34" i="2"/>
  <c r="Q21" i="2"/>
  <c r="U23" i="2"/>
  <c r="V35" i="2"/>
  <c r="V23" i="2"/>
  <c r="W21" i="2"/>
  <c r="W34" i="2"/>
  <c r="AF5" i="2" l="1"/>
  <c r="AF7" i="2"/>
  <c r="AF29" i="2" s="1"/>
  <c r="AE29" i="2"/>
  <c r="AG7" i="2"/>
  <c r="AF26" i="2"/>
  <c r="AF28" i="2"/>
  <c r="AG6" i="2"/>
  <c r="AG28" i="2" s="1"/>
  <c r="AH3" i="2"/>
  <c r="N18" i="2"/>
  <c r="N34" i="2" s="1"/>
  <c r="R9" i="2"/>
  <c r="Z9" i="2"/>
  <c r="AD13" i="2"/>
  <c r="AC17" i="2"/>
  <c r="Y30" i="2"/>
  <c r="Y12" i="2"/>
  <c r="J18" i="2"/>
  <c r="J33" i="2"/>
  <c r="O35" i="2"/>
  <c r="O23" i="2"/>
  <c r="Z27" i="2"/>
  <c r="Z32" i="2"/>
  <c r="X12" i="2"/>
  <c r="X30" i="2"/>
  <c r="P23" i="2"/>
  <c r="P35" i="2"/>
  <c r="AB10" i="2"/>
  <c r="AA31" i="2"/>
  <c r="Q23" i="2"/>
  <c r="Q35" i="2"/>
  <c r="W23" i="2"/>
  <c r="W35" i="2"/>
  <c r="AF8" i="2" l="1"/>
  <c r="AG29" i="2"/>
  <c r="AG26" i="2"/>
  <c r="AG8" i="2"/>
  <c r="AG5" i="2"/>
  <c r="AH6" i="2"/>
  <c r="AH28" i="2" s="1"/>
  <c r="AI3" i="2"/>
  <c r="AI25" i="2" s="1"/>
  <c r="AH25" i="2"/>
  <c r="N21" i="2"/>
  <c r="N35" i="2" s="1"/>
  <c r="J21" i="2"/>
  <c r="J34" i="2"/>
  <c r="X33" i="2"/>
  <c r="X18" i="2"/>
  <c r="Z30" i="2"/>
  <c r="Z12" i="2"/>
  <c r="Y33" i="2"/>
  <c r="Y18" i="2"/>
  <c r="AA32" i="2"/>
  <c r="AA27" i="2"/>
  <c r="AE13" i="2"/>
  <c r="AD17" i="2"/>
  <c r="R30" i="2"/>
  <c r="R12" i="2"/>
  <c r="AB31" i="2"/>
  <c r="AC10" i="2"/>
  <c r="AH5" i="2" l="1"/>
  <c r="AH7" i="2"/>
  <c r="AH29" i="2" s="1"/>
  <c r="AI7" i="2"/>
  <c r="AH26" i="2"/>
  <c r="AI6" i="2"/>
  <c r="AJ3" i="2"/>
  <c r="AJ25" i="2" s="1"/>
  <c r="N23" i="2"/>
  <c r="Z33" i="2"/>
  <c r="Z18" i="2"/>
  <c r="X21" i="2"/>
  <c r="X60" i="2" s="1"/>
  <c r="X72" i="2" s="1"/>
  <c r="X74" i="2" s="1"/>
  <c r="X34" i="2"/>
  <c r="R33" i="2"/>
  <c r="R18" i="2"/>
  <c r="AF13" i="2"/>
  <c r="AE17" i="2"/>
  <c r="AB32" i="2"/>
  <c r="AB27" i="2"/>
  <c r="Y21" i="2"/>
  <c r="Y60" i="2" s="1"/>
  <c r="Y72" i="2" s="1"/>
  <c r="Y74" i="2" s="1"/>
  <c r="Y34" i="2"/>
  <c r="J35" i="2"/>
  <c r="J23" i="2"/>
  <c r="AD10" i="2"/>
  <c r="AC31" i="2"/>
  <c r="AH8" i="2" l="1"/>
  <c r="AJ7" i="2"/>
  <c r="AI8" i="2"/>
  <c r="AI26" i="2"/>
  <c r="AI5" i="2"/>
  <c r="AI28" i="2"/>
  <c r="AJ6" i="2"/>
  <c r="Y23" i="2"/>
  <c r="Y35" i="2"/>
  <c r="Z34" i="2"/>
  <c r="Z21" i="2"/>
  <c r="Z60" i="2" s="1"/>
  <c r="Z72" i="2" s="1"/>
  <c r="Z74" i="2" s="1"/>
  <c r="AC32" i="2"/>
  <c r="AC27" i="2"/>
  <c r="R21" i="2"/>
  <c r="R34" i="2"/>
  <c r="X23" i="2"/>
  <c r="X35" i="2"/>
  <c r="AG13" i="2"/>
  <c r="AF17" i="2"/>
  <c r="AD31" i="2"/>
  <c r="AE10" i="2"/>
  <c r="AI29" i="2" l="1"/>
  <c r="AJ8" i="2"/>
  <c r="AJ26" i="2"/>
  <c r="AJ5" i="2"/>
  <c r="AJ28" i="2"/>
  <c r="Z23" i="2"/>
  <c r="Z35" i="2"/>
  <c r="R23" i="2"/>
  <c r="R35" i="2"/>
  <c r="AD32" i="2"/>
  <c r="AD27" i="2"/>
  <c r="AH13" i="2"/>
  <c r="AG17" i="2"/>
  <c r="AF10" i="2"/>
  <c r="AE31" i="2"/>
  <c r="AJ29" i="2" l="1"/>
  <c r="AE32" i="2"/>
  <c r="AE27" i="2"/>
  <c r="AI13" i="2"/>
  <c r="AH17" i="2"/>
  <c r="AG10" i="2"/>
  <c r="AF31" i="2"/>
  <c r="AJ13" i="2" l="1"/>
  <c r="AJ17" i="2" s="1"/>
  <c r="AI17" i="2"/>
  <c r="AF32" i="2"/>
  <c r="AF27" i="2"/>
  <c r="AH10" i="2"/>
  <c r="AG31" i="2"/>
  <c r="AG32" i="2" l="1"/>
  <c r="AG27" i="2"/>
  <c r="AI10" i="2"/>
  <c r="AH31" i="2"/>
  <c r="AH32" i="2" l="1"/>
  <c r="AH27" i="2"/>
  <c r="AJ10" i="2"/>
  <c r="AJ31" i="2" s="1"/>
  <c r="AI31" i="2"/>
  <c r="AI32" i="2" l="1"/>
  <c r="AI27" i="2"/>
  <c r="AJ32" i="2" l="1"/>
  <c r="AJ27" i="2"/>
  <c r="AJ9" i="2" l="1"/>
  <c r="AJ12" i="2" s="1"/>
  <c r="AI9" i="2"/>
  <c r="AI12" i="2" s="1"/>
  <c r="AH9" i="2"/>
  <c r="AH12" i="2" s="1"/>
  <c r="AG9" i="2"/>
  <c r="AG12" i="2" s="1"/>
  <c r="AF9" i="2"/>
  <c r="AF30" i="2" s="1"/>
  <c r="AE9" i="2"/>
  <c r="AE12" i="2" s="1"/>
  <c r="AD9" i="2"/>
  <c r="AD12" i="2" s="1"/>
  <c r="AC9" i="2"/>
  <c r="AC12" i="2" s="1"/>
  <c r="AB9" i="2"/>
  <c r="AB12" i="2" s="1"/>
  <c r="AA9" i="2"/>
  <c r="AA12" i="2" s="1"/>
  <c r="AH30" i="2" l="1"/>
  <c r="AG30" i="2"/>
  <c r="AD30" i="2"/>
  <c r="AI30" i="2"/>
  <c r="AA30" i="2"/>
  <c r="AC33" i="2"/>
  <c r="AC18" i="2"/>
  <c r="AC19" i="2" s="1"/>
  <c r="AA18" i="2"/>
  <c r="AA33" i="2"/>
  <c r="AB33" i="2"/>
  <c r="AB18" i="2"/>
  <c r="AB19" i="2" s="1"/>
  <c r="AI18" i="2"/>
  <c r="AI19" i="2" s="1"/>
  <c r="AI33" i="2"/>
  <c r="AG18" i="2"/>
  <c r="AG19" i="2" s="1"/>
  <c r="AG33" i="2"/>
  <c r="AH33" i="2"/>
  <c r="AH18" i="2"/>
  <c r="AH19" i="2" s="1"/>
  <c r="AD33" i="2"/>
  <c r="AD18" i="2"/>
  <c r="AD19" i="2" s="1"/>
  <c r="AE18" i="2"/>
  <c r="AE19" i="2" s="1"/>
  <c r="AE33" i="2"/>
  <c r="AJ18" i="2"/>
  <c r="AJ19" i="2" s="1"/>
  <c r="AJ33" i="2"/>
  <c r="AF12" i="2"/>
  <c r="AC30" i="2"/>
  <c r="AE30" i="2"/>
  <c r="AJ30" i="2"/>
  <c r="AB30" i="2"/>
  <c r="AI34" i="2" l="1"/>
  <c r="AI21" i="2"/>
  <c r="AE21" i="2"/>
  <c r="AE34" i="2"/>
  <c r="AC34" i="2"/>
  <c r="AC21" i="2"/>
  <c r="AD21" i="2"/>
  <c r="AD34" i="2"/>
  <c r="AB21" i="2"/>
  <c r="AB34" i="2"/>
  <c r="AH21" i="2"/>
  <c r="AH34" i="2"/>
  <c r="AF33" i="2"/>
  <c r="AF18" i="2"/>
  <c r="AF19" i="2" s="1"/>
  <c r="AA21" i="2"/>
  <c r="AA34" i="2"/>
  <c r="AJ34" i="2"/>
  <c r="AJ21" i="2"/>
  <c r="AG21" i="2"/>
  <c r="AG34" i="2"/>
  <c r="AA35" i="2" l="1"/>
  <c r="AA23" i="2"/>
  <c r="AA60" i="2"/>
  <c r="AA72" i="2" s="1"/>
  <c r="AA74" i="2" s="1"/>
  <c r="AD60" i="2"/>
  <c r="AD72" i="2" s="1"/>
  <c r="AD74" i="2" s="1"/>
  <c r="AD23" i="2"/>
  <c r="AD35" i="2"/>
  <c r="AF21" i="2"/>
  <c r="AF34" i="2"/>
  <c r="AC23" i="2"/>
  <c r="AC35" i="2"/>
  <c r="AC60" i="2"/>
  <c r="AC72" i="2" s="1"/>
  <c r="AC74" i="2" s="1"/>
  <c r="AG60" i="2"/>
  <c r="AG72" i="2" s="1"/>
  <c r="AG74" i="2" s="1"/>
  <c r="AG23" i="2"/>
  <c r="AG35" i="2"/>
  <c r="AE23" i="2"/>
  <c r="AE35" i="2"/>
  <c r="AE60" i="2"/>
  <c r="AE72" i="2" s="1"/>
  <c r="AE74" i="2" s="1"/>
  <c r="AI35" i="2"/>
  <c r="AI23" i="2"/>
  <c r="AI60" i="2"/>
  <c r="AI72" i="2" s="1"/>
  <c r="AI74" i="2" s="1"/>
  <c r="AH23" i="2"/>
  <c r="AH35" i="2"/>
  <c r="AH60" i="2"/>
  <c r="AH72" i="2" s="1"/>
  <c r="AH74" i="2" s="1"/>
  <c r="AJ60" i="2"/>
  <c r="AJ72" i="2" s="1"/>
  <c r="AJ74" i="2" s="1"/>
  <c r="AK74" i="2" s="1"/>
  <c r="AL74" i="2" s="1"/>
  <c r="AM74" i="2" s="1"/>
  <c r="AN74" i="2" s="1"/>
  <c r="AO74" i="2" s="1"/>
  <c r="AP74" i="2" s="1"/>
  <c r="AQ74" i="2" s="1"/>
  <c r="AR74" i="2" s="1"/>
  <c r="AS74" i="2" s="1"/>
  <c r="AT74" i="2" s="1"/>
  <c r="AU74" i="2" s="1"/>
  <c r="AV74" i="2" s="1"/>
  <c r="AW74" i="2" s="1"/>
  <c r="AX74" i="2" s="1"/>
  <c r="AY74" i="2" s="1"/>
  <c r="AZ74" i="2" s="1"/>
  <c r="BA74" i="2" s="1"/>
  <c r="BB74" i="2" s="1"/>
  <c r="BC74" i="2" s="1"/>
  <c r="BD74" i="2" s="1"/>
  <c r="BE74" i="2" s="1"/>
  <c r="BF74" i="2" s="1"/>
  <c r="BG74" i="2" s="1"/>
  <c r="BH74" i="2" s="1"/>
  <c r="BI74" i="2" s="1"/>
  <c r="BJ74" i="2" s="1"/>
  <c r="BK74" i="2" s="1"/>
  <c r="BL74" i="2" s="1"/>
  <c r="BM74" i="2" s="1"/>
  <c r="BN74" i="2" s="1"/>
  <c r="BO74" i="2" s="1"/>
  <c r="BP74" i="2" s="1"/>
  <c r="BQ74" i="2" s="1"/>
  <c r="BR74" i="2" s="1"/>
  <c r="BS74" i="2" s="1"/>
  <c r="BT74" i="2" s="1"/>
  <c r="BU74" i="2" s="1"/>
  <c r="BV74" i="2" s="1"/>
  <c r="BW74" i="2" s="1"/>
  <c r="BX74" i="2" s="1"/>
  <c r="BY74" i="2" s="1"/>
  <c r="BZ74" i="2" s="1"/>
  <c r="CA74" i="2" s="1"/>
  <c r="CB74" i="2" s="1"/>
  <c r="CC74" i="2" s="1"/>
  <c r="CD74" i="2" s="1"/>
  <c r="CE74" i="2" s="1"/>
  <c r="CF74" i="2" s="1"/>
  <c r="CG74" i="2" s="1"/>
  <c r="CH74" i="2" s="1"/>
  <c r="CI74" i="2" s="1"/>
  <c r="CJ74" i="2" s="1"/>
  <c r="CK74" i="2" s="1"/>
  <c r="CL74" i="2" s="1"/>
  <c r="CM74" i="2" s="1"/>
  <c r="CN74" i="2" s="1"/>
  <c r="CO74" i="2" s="1"/>
  <c r="CP74" i="2" s="1"/>
  <c r="CQ74" i="2" s="1"/>
  <c r="CR74" i="2" s="1"/>
  <c r="CS74" i="2" s="1"/>
  <c r="CT74" i="2" s="1"/>
  <c r="CU74" i="2" s="1"/>
  <c r="CV74" i="2" s="1"/>
  <c r="CW74" i="2" s="1"/>
  <c r="CX74" i="2" s="1"/>
  <c r="CY74" i="2" s="1"/>
  <c r="CZ74" i="2" s="1"/>
  <c r="DA74" i="2" s="1"/>
  <c r="DB74" i="2" s="1"/>
  <c r="DC74" i="2" s="1"/>
  <c r="DD74" i="2" s="1"/>
  <c r="DE74" i="2" s="1"/>
  <c r="DF74" i="2" s="1"/>
  <c r="DG74" i="2" s="1"/>
  <c r="DH74" i="2" s="1"/>
  <c r="DI74" i="2" s="1"/>
  <c r="DJ74" i="2" s="1"/>
  <c r="DK74" i="2" s="1"/>
  <c r="DL74" i="2" s="1"/>
  <c r="DM74" i="2" s="1"/>
  <c r="DN74" i="2" s="1"/>
  <c r="DO74" i="2" s="1"/>
  <c r="DP74" i="2" s="1"/>
  <c r="DQ74" i="2" s="1"/>
  <c r="DR74" i="2" s="1"/>
  <c r="DS74" i="2" s="1"/>
  <c r="DT74" i="2" s="1"/>
  <c r="DU74" i="2" s="1"/>
  <c r="DV74" i="2" s="1"/>
  <c r="DW74" i="2" s="1"/>
  <c r="DX74" i="2" s="1"/>
  <c r="DY74" i="2" s="1"/>
  <c r="DZ74" i="2" s="1"/>
  <c r="EA74" i="2" s="1"/>
  <c r="EB74" i="2" s="1"/>
  <c r="EC74" i="2" s="1"/>
  <c r="ED74" i="2" s="1"/>
  <c r="EE74" i="2" s="1"/>
  <c r="EF74" i="2" s="1"/>
  <c r="EG74" i="2" s="1"/>
  <c r="EH74" i="2" s="1"/>
  <c r="EI74" i="2" s="1"/>
  <c r="EJ74" i="2" s="1"/>
  <c r="AK21" i="2"/>
  <c r="AL21" i="2" s="1"/>
  <c r="AM21" i="2" s="1"/>
  <c r="AN21" i="2" s="1"/>
  <c r="AO21" i="2" s="1"/>
  <c r="AP21" i="2" s="1"/>
  <c r="AQ21" i="2" s="1"/>
  <c r="AR21" i="2" s="1"/>
  <c r="AS21" i="2" s="1"/>
  <c r="AT21" i="2" s="1"/>
  <c r="AU21" i="2" s="1"/>
  <c r="AV21" i="2" s="1"/>
  <c r="AW21" i="2" s="1"/>
  <c r="AX21" i="2" s="1"/>
  <c r="AY21" i="2" s="1"/>
  <c r="AZ21" i="2" s="1"/>
  <c r="BA21" i="2" s="1"/>
  <c r="BB21" i="2" s="1"/>
  <c r="BC21" i="2" s="1"/>
  <c r="BD21" i="2" s="1"/>
  <c r="BE21" i="2" s="1"/>
  <c r="BF21" i="2" s="1"/>
  <c r="BG21" i="2" s="1"/>
  <c r="BH21" i="2" s="1"/>
  <c r="BI21" i="2" s="1"/>
  <c r="BJ21" i="2" s="1"/>
  <c r="BK21" i="2" s="1"/>
  <c r="BL21" i="2" s="1"/>
  <c r="BM21" i="2" s="1"/>
  <c r="BN21" i="2" s="1"/>
  <c r="BO21" i="2" s="1"/>
  <c r="BP21" i="2" s="1"/>
  <c r="BQ21" i="2" s="1"/>
  <c r="BR21" i="2" s="1"/>
  <c r="BS21" i="2" s="1"/>
  <c r="BT21" i="2" s="1"/>
  <c r="BU21" i="2" s="1"/>
  <c r="BV21" i="2" s="1"/>
  <c r="BW21" i="2" s="1"/>
  <c r="BX21" i="2" s="1"/>
  <c r="BY21" i="2" s="1"/>
  <c r="BZ21" i="2" s="1"/>
  <c r="CA21" i="2" s="1"/>
  <c r="CB21" i="2" s="1"/>
  <c r="CC21" i="2" s="1"/>
  <c r="CD21" i="2" s="1"/>
  <c r="CE21" i="2" s="1"/>
  <c r="CF21" i="2" s="1"/>
  <c r="CG21" i="2" s="1"/>
  <c r="CH21" i="2" s="1"/>
  <c r="CI21" i="2" s="1"/>
  <c r="CJ21" i="2" s="1"/>
  <c r="CK21" i="2" s="1"/>
  <c r="CL21" i="2" s="1"/>
  <c r="CM21" i="2" s="1"/>
  <c r="CN21" i="2" s="1"/>
  <c r="CO21" i="2" s="1"/>
  <c r="CP21" i="2" s="1"/>
  <c r="CQ21" i="2" s="1"/>
  <c r="CR21" i="2" s="1"/>
  <c r="CS21" i="2" s="1"/>
  <c r="CT21" i="2" s="1"/>
  <c r="CU21" i="2" s="1"/>
  <c r="CV21" i="2" s="1"/>
  <c r="CW21" i="2" s="1"/>
  <c r="CX21" i="2" s="1"/>
  <c r="CY21" i="2" s="1"/>
  <c r="CZ21" i="2" s="1"/>
  <c r="DA21" i="2" s="1"/>
  <c r="DB21" i="2" s="1"/>
  <c r="DC21" i="2" s="1"/>
  <c r="DD21" i="2" s="1"/>
  <c r="DE21" i="2" s="1"/>
  <c r="DF21" i="2" s="1"/>
  <c r="DG21" i="2" s="1"/>
  <c r="DH21" i="2" s="1"/>
  <c r="DI21" i="2" s="1"/>
  <c r="DJ21" i="2" s="1"/>
  <c r="DK21" i="2" s="1"/>
  <c r="DL21" i="2" s="1"/>
  <c r="DM21" i="2" s="1"/>
  <c r="DN21" i="2" s="1"/>
  <c r="DO21" i="2" s="1"/>
  <c r="DP21" i="2" s="1"/>
  <c r="DQ21" i="2" s="1"/>
  <c r="DR21" i="2" s="1"/>
  <c r="DS21" i="2" s="1"/>
  <c r="DT21" i="2" s="1"/>
  <c r="DU21" i="2" s="1"/>
  <c r="DV21" i="2" s="1"/>
  <c r="DW21" i="2" s="1"/>
  <c r="DX21" i="2" s="1"/>
  <c r="DY21" i="2" s="1"/>
  <c r="DZ21" i="2" s="1"/>
  <c r="EA21" i="2" s="1"/>
  <c r="EB21" i="2" s="1"/>
  <c r="EC21" i="2" s="1"/>
  <c r="ED21" i="2" s="1"/>
  <c r="EE21" i="2" s="1"/>
  <c r="EF21" i="2" s="1"/>
  <c r="AJ35" i="2"/>
  <c r="AJ23" i="2"/>
  <c r="AB23" i="2"/>
  <c r="AB35" i="2"/>
  <c r="AB60" i="2"/>
  <c r="AB72" i="2" s="1"/>
  <c r="AB74" i="2" s="1"/>
  <c r="AF60" i="2" l="1"/>
  <c r="AF72" i="2" s="1"/>
  <c r="AF74" i="2" s="1"/>
  <c r="AN77" i="2" s="1"/>
  <c r="AN79" i="2" s="1"/>
  <c r="AN80" i="2" s="1"/>
  <c r="AN82" i="2" s="1"/>
  <c r="AF23" i="2"/>
  <c r="AF35" i="2"/>
  <c r="AN32" i="2"/>
  <c r="AN34" i="2" s="1"/>
  <c r="AN35" i="2" s="1"/>
  <c r="AN37" i="2" s="1"/>
</calcChain>
</file>

<file path=xl/sharedStrings.xml><?xml version="1.0" encoding="utf-8"?>
<sst xmlns="http://schemas.openxmlformats.org/spreadsheetml/2006/main" count="110" uniqueCount="95">
  <si>
    <t>RIVN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</si>
  <si>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</si>
  <si>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</si>
  <si>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</si>
  <si>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</si>
  <si>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</si>
  <si>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</si>
  <si>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</si>
  <si>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</si>
  <si>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</si>
  <si>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</si>
  <si>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Q424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</si>
  <si>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</si>
  <si>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</si>
  <si>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</si>
  <si>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</si>
  <si>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</si>
  <si>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</si>
  <si>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</si>
  <si>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</si>
  <si>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</si>
  <si>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</si>
  <si>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</si>
  <si>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Q125</t>
  </si>
  <si>
    <t>Q225</t>
  </si>
  <si>
    <t>Q325</t>
  </si>
  <si>
    <t>Q425</t>
  </si>
  <si>
    <t>Gross profit</t>
  </si>
  <si>
    <t>Automotive</t>
  </si>
  <si>
    <t>Software &amp; services</t>
  </si>
  <si>
    <t>Total revenue</t>
  </si>
  <si>
    <t>R&amp;D</t>
  </si>
  <si>
    <t>SG&amp;A</t>
  </si>
  <si>
    <t>Operating profit</t>
  </si>
  <si>
    <t>Interest income</t>
  </si>
  <si>
    <t>Interest expense</t>
  </si>
  <si>
    <t>Finance income</t>
  </si>
  <si>
    <t>Other income</t>
  </si>
  <si>
    <t>Total other income</t>
  </si>
  <si>
    <t>Pretax profit</t>
  </si>
  <si>
    <t>Taxes</t>
  </si>
  <si>
    <t>Net profit</t>
  </si>
  <si>
    <t>EPS</t>
  </si>
  <si>
    <t>Automotive cost</t>
  </si>
  <si>
    <t>Software cost</t>
  </si>
  <si>
    <t>Total cost of sales</t>
  </si>
  <si>
    <t>MI</t>
  </si>
  <si>
    <t>Revenue y/y</t>
  </si>
  <si>
    <t>Gross Margin</t>
  </si>
  <si>
    <t>R&amp;D y/y</t>
  </si>
  <si>
    <t>SG&amp;A Margin</t>
  </si>
  <si>
    <t>Net Margin</t>
  </si>
  <si>
    <t>Operating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</si>
  <si>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</si>
  <si>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</si>
  <si>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</si>
  <si>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</si>
  <si>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</si>
  <si>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</si>
  <si>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</si>
  <si>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</si>
  <si>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</si>
  <si>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Investments</t>
  </si>
  <si>
    <t>A/R</t>
  </si>
  <si>
    <t>Inventories</t>
  </si>
  <si>
    <t>OCA</t>
  </si>
  <si>
    <t>Current assets</t>
  </si>
  <si>
    <t>PP&amp;E</t>
  </si>
  <si>
    <t>Leases</t>
  </si>
  <si>
    <t>ONCA</t>
  </si>
  <si>
    <t>Non-current assets</t>
  </si>
  <si>
    <t>A/P</t>
  </si>
  <si>
    <t>A/L</t>
  </si>
  <si>
    <t>D/R</t>
  </si>
  <si>
    <t>Current liabilities</t>
  </si>
  <si>
    <t>ONCL</t>
  </si>
  <si>
    <t>Non-current liabilities</t>
  </si>
  <si>
    <t>S/E</t>
  </si>
  <si>
    <t>L+S/E</t>
  </si>
  <si>
    <t>Total assets</t>
  </si>
  <si>
    <t>Net income</t>
  </si>
  <si>
    <t>D&amp;A</t>
  </si>
  <si>
    <t>SBC</t>
  </si>
  <si>
    <t>Loss on notes</t>
  </si>
  <si>
    <t>Other non-cash</t>
  </si>
  <si>
    <t>Other assets</t>
  </si>
  <si>
    <t>Other liabilities</t>
  </si>
  <si>
    <t>CFFO</t>
  </si>
  <si>
    <t>FCF</t>
  </si>
  <si>
    <t>Heavily overvalued</t>
  </si>
  <si>
    <t>Automotive y/y</t>
  </si>
  <si>
    <t>Software &amp; services y/y</t>
  </si>
  <si>
    <t>Automotive Margin</t>
  </si>
  <si>
    <t>Software Margin</t>
  </si>
  <si>
    <t>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</si>
</sst>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2" fillId="2" borderId="1" xfId="0" applyFont="1" applyFill="1" applyBorder="1"/>
    <xf numFmtId="164" fontId="3" fillId="2" borderId="1" xfId="0" applyNumberFormat="1" applyFont="1" applyFill="1" applyBorder="1"/>
    <xf numFmtId="14" fontId="4" fillId="2" borderId="1" xfId="0" applyNumberFormat="1" applyFont="1" applyFill="1" applyBorder="1" applyAlignment="1">
      <alignment horizontal="right"/>
    </xf>
    <xf numFmtId="3" fontId="3" fillId="2" borderId="1" xfId="0" applyNumberFormat="1" applyFont="1" applyFill="1" applyBorder="1"/>
    <xf numFmtId="0" fontId="3" fillId="2" borderId="1" xfId="0" applyFon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/>
    <xf numFmtId="2" fontId="3" fillId="2" borderId="1" xfId="0" applyNumberFormat="1" applyFont="1" applyFill="1" applyBorder="1"/>
    <xf numFmtId="9" fontId="2" fillId="2" borderId="1" xfId="0" applyNumberFormat="1" applyFont="1" applyFill="1" applyBorder="1"/>
    <xf numFmtId="9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15240</xdr:colOff>
      <xdr:row>0</xdr:row>
      <xdr:rowOff>7620</xdr:rowOff>
    </xdr:from>
    <xdr:to>
      <xdr:col>17</xdr:col>
      <xdr:colOff>15240</xdr:colOff>
      <xdr:row>87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2D29758-5FD5-FE8F-2A98-4E4A622E2188}"/>
            </a:ext>
          </a:extLst>
        </xdr:cNvPr>
        <xdr:cNvCxnSpPr/>
      </xdr:nvCxnSpPr>
      <xdr:spPr>
        <a:xfrm>
          <a:off x="11163300" y="7620"/>
          <a:ext cx="0" cy="16009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30480</xdr:colOff>
      <xdr:row>0</xdr:row>
      <xdr:rowOff>15240</xdr:rowOff>
    </xdr:from>
    <xdr:to>
      <xdr:col>25</xdr:col>
      <xdr:colOff>30480</xdr:colOff>
      <xdr:row>87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C103F26-F132-AD84-7943-B5FCC5CDC2F3}"/>
            </a:ext>
          </a:extLst>
        </xdr:cNvPr>
        <xdr:cNvCxnSpPr/>
      </xdr:nvCxnSpPr>
      <xdr:spPr>
        <a:xfrm>
          <a:off x="15979140" y="15240"/>
          <a:ext cx="0" cy="15270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8E1A-575F-445D-90C2-CF9A145194D3}">
  <dimension ref="B2:G9"/>
  <sheetViews>
    <sheetView workbookViewId="0">
      <selection activeCell="E7" sqref="E7"/>
    </sheetView>
  </sheetViews>
  <sheetFormatPr defaultRowHeight="14.4" x14ac:dyDescent="0.3"/>
  <cols>
    <col min="1" max="4" width="8.88671875" style="1"/>
    <col min="5" max="7" width="14.6640625" style="2" customWidth="1"/>
    <col min="8" max="16384" width="8.88671875" style="1"/>
  </cols>
  <sheetData>
    <row r="2" spans="2:7" x14ac:dyDescent="0.3">
      <c r="E2" s="2" t="s">
        <v>8</v>
      </c>
      <c r="F2" s="2" t="s">
        <v>9</v>
      </c>
      <c r="G2" s="2" t="s">
        <v>10</v>
      </c>
    </row>
    <row r="3" spans="2:7" x14ac:dyDescent="0.3">
      <c r="B3" s="3" t="s">
        <v>0</v>
      </c>
      <c r="C3" s="1" t="s">
        <v>1</v>
      </c>
      <c r="D3" s="4">
        <v>16.350000000000001</v>
      </c>
      <c r="E3" s="5">
        <v>46002</v>
      </c>
      <c r="F3" s="5">
        <f ca="1">TODAY()</f>
        <v>46002</v>
      </c>
      <c r="G3" s="5">
        <v>46072</v>
      </c>
    </row>
    <row r="4" spans="2:7" x14ac:dyDescent="0.3">
      <c r="C4" s="1" t="s">
        <v>2</v>
      </c>
      <c r="D4" s="6">
        <f>1222+3.9</f>
        <v>1225.9000000000001</v>
      </c>
      <c r="E4" s="2" t="s">
        <v>25</v>
      </c>
    </row>
    <row r="5" spans="2:7" x14ac:dyDescent="0.3">
      <c r="C5" s="1" t="s">
        <v>3</v>
      </c>
      <c r="D5" s="6">
        <f>D3*D4</f>
        <v>20043.465000000004</v>
      </c>
    </row>
    <row r="6" spans="2:7" x14ac:dyDescent="0.3">
      <c r="C6" s="1" t="s">
        <v>4</v>
      </c>
      <c r="D6" s="6">
        <f>4441+2647</f>
        <v>7088</v>
      </c>
      <c r="E6" s="2" t="s">
        <v>25</v>
      </c>
    </row>
    <row r="7" spans="2:7" x14ac:dyDescent="0.3">
      <c r="C7" s="1" t="s">
        <v>5</v>
      </c>
      <c r="D7" s="6">
        <f>4438</f>
        <v>4438</v>
      </c>
      <c r="E7" s="2" t="s">
        <v>25</v>
      </c>
    </row>
    <row r="8" spans="2:7" x14ac:dyDescent="0.3">
      <c r="C8" s="1" t="s">
        <v>6</v>
      </c>
      <c r="D8" s="6">
        <f>D6-D7</f>
        <v>2650</v>
      </c>
    </row>
    <row r="9" spans="2:7" x14ac:dyDescent="0.3">
      <c r="C9" s="1" t="s">
        <v>7</v>
      </c>
      <c r="D9" s="6">
        <f>D5-D8</f>
        <v>17393.465000000004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D89C-980A-401A-89E6-595EDF92B56B}">
  <dimension ref="B2:EJ83"/>
  <sheetViews>
    <sheetView tabSelected="1" workbookViewId="0">
      <pane xSplit="2" ySplit="2" topLeftCell="Z60" activePane="bottomRight" state="frozen"/>
      <selection pane="topRight" activeCell="C1" sqref="C1"/>
      <selection pane="bottomLeft" activeCell="A3" sqref="A3"/>
      <selection pane="bottomRight" activeCell="AN83" sqref="AN83"/>
    </sheetView>
  </sheetViews>
  <sheetFormatPr defaultRowHeight="14.4" x14ac:dyDescent="0.3"/>
  <cols>
    <col min="1" max="1" width="8.88671875" style="1"/>
    <col min="2" max="2" width="20.33203125" style="1" bestFit="1" customWidth="1"/>
    <col min="3" max="38" width="8.88671875" style="1"/>
    <col min="39" max="39" width="11.88671875" style="1" bestFit="1" customWidth="1"/>
    <col min="40" max="40" width="16.44140625" style="1" bestFit="1" customWidth="1"/>
    <col min="41" max="16384" width="8.88671875" style="1"/>
  </cols>
  <sheetData>
    <row r="2" spans="2:36" x14ac:dyDescent="0.3"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7" t="s">
        <v>20</v>
      </c>
      <c r="L2" s="7" t="s">
        <v>21</v>
      </c>
      <c r="M2" s="7" t="s">
        <v>22</v>
      </c>
      <c r="N2" s="7" t="s">
        <v>11</v>
      </c>
      <c r="O2" s="7" t="s">
        <v>23</v>
      </c>
      <c r="P2" s="7" t="s">
        <v>24</v>
      </c>
      <c r="Q2" s="7" t="s">
        <v>25</v>
      </c>
      <c r="R2" s="7" t="s">
        <v>26</v>
      </c>
      <c r="U2" s="1">
        <v>2020</v>
      </c>
      <c r="V2" s="1">
        <v>2021</v>
      </c>
      <c r="W2" s="1">
        <v>2022</v>
      </c>
      <c r="X2" s="1">
        <v>2023</v>
      </c>
      <c r="Y2" s="1">
        <v>2024</v>
      </c>
      <c r="Z2" s="1">
        <v>2025</v>
      </c>
      <c r="AA2" s="1">
        <v>2026</v>
      </c>
      <c r="AB2" s="1">
        <v>2027</v>
      </c>
      <c r="AC2" s="1">
        <v>2028</v>
      </c>
      <c r="AD2" s="1">
        <v>2029</v>
      </c>
      <c r="AE2" s="1">
        <v>2030</v>
      </c>
      <c r="AF2" s="1">
        <v>2031</v>
      </c>
      <c r="AG2" s="1">
        <v>2032</v>
      </c>
      <c r="AH2" s="1">
        <v>2033</v>
      </c>
      <c r="AI2" s="1">
        <v>2034</v>
      </c>
      <c r="AJ2" s="1">
        <v>2035</v>
      </c>
    </row>
    <row r="3" spans="2:36" x14ac:dyDescent="0.3">
      <c r="B3" s="1" t="s">
        <v>28</v>
      </c>
      <c r="C3" s="7"/>
      <c r="D3" s="7"/>
      <c r="E3" s="7"/>
      <c r="F3" s="7"/>
      <c r="G3" s="7"/>
      <c r="H3" s="7"/>
      <c r="I3" s="7"/>
      <c r="J3" s="8">
        <v>1208</v>
      </c>
      <c r="K3" s="8">
        <v>1116</v>
      </c>
      <c r="L3" s="7">
        <v>1074</v>
      </c>
      <c r="M3" s="8">
        <v>776</v>
      </c>
      <c r="N3" s="8">
        <v>1520</v>
      </c>
      <c r="O3" s="8">
        <v>922</v>
      </c>
      <c r="P3" s="7">
        <v>927</v>
      </c>
      <c r="Q3" s="8">
        <v>1142</v>
      </c>
      <c r="R3" s="8">
        <f>N3*1.1</f>
        <v>1672.0000000000002</v>
      </c>
      <c r="Y3" s="6">
        <f>SUM(K3:N3)</f>
        <v>4486</v>
      </c>
      <c r="Z3" s="6">
        <f>SUM(O3:R3)</f>
        <v>4663</v>
      </c>
      <c r="AA3" s="6">
        <f>Z3*1.3</f>
        <v>6061.9000000000005</v>
      </c>
      <c r="AB3" s="6">
        <f>AA3*1.2</f>
        <v>7274.2800000000007</v>
      </c>
      <c r="AC3" s="6">
        <f t="shared" ref="AC3:AI4" si="0">AB3*1.15</f>
        <v>8365.4220000000005</v>
      </c>
      <c r="AD3" s="6">
        <f t="shared" si="0"/>
        <v>9620.2353000000003</v>
      </c>
      <c r="AE3" s="6">
        <f t="shared" si="0"/>
        <v>11063.270595</v>
      </c>
      <c r="AF3" s="6">
        <f t="shared" si="0"/>
        <v>12722.761184249999</v>
      </c>
      <c r="AG3" s="6">
        <f t="shared" si="0"/>
        <v>14631.175361887497</v>
      </c>
      <c r="AH3" s="6">
        <f t="shared" si="0"/>
        <v>16825.85166617062</v>
      </c>
      <c r="AI3" s="6">
        <f t="shared" si="0"/>
        <v>19349.729416096212</v>
      </c>
      <c r="AJ3" s="6">
        <f>AI3*1.1</f>
        <v>21284.702357705835</v>
      </c>
    </row>
    <row r="4" spans="2:36" x14ac:dyDescent="0.3">
      <c r="B4" s="1" t="s">
        <v>29</v>
      </c>
      <c r="C4" s="7"/>
      <c r="D4" s="7"/>
      <c r="E4" s="7"/>
      <c r="F4" s="7"/>
      <c r="G4" s="7"/>
      <c r="H4" s="7"/>
      <c r="I4" s="7"/>
      <c r="J4" s="8">
        <v>107</v>
      </c>
      <c r="K4" s="8">
        <v>88</v>
      </c>
      <c r="L4" s="7">
        <v>84</v>
      </c>
      <c r="M4" s="8">
        <v>98</v>
      </c>
      <c r="N4" s="8">
        <v>214</v>
      </c>
      <c r="O4" s="8">
        <v>318</v>
      </c>
      <c r="P4" s="7">
        <v>376</v>
      </c>
      <c r="Q4" s="8">
        <v>416</v>
      </c>
      <c r="R4" s="8">
        <f>N4*2.5</f>
        <v>535</v>
      </c>
      <c r="Y4" s="6">
        <f>SUM(K4:N4)</f>
        <v>484</v>
      </c>
      <c r="Z4" s="6">
        <f>SUM(O4:R4)</f>
        <v>1645</v>
      </c>
      <c r="AA4" s="6">
        <f>Z4*1.3</f>
        <v>2138.5</v>
      </c>
      <c r="AB4" s="6">
        <f>AA4*1.2</f>
        <v>2566.1999999999998</v>
      </c>
      <c r="AC4" s="6">
        <f>AB4*1.15</f>
        <v>2951.1299999999997</v>
      </c>
      <c r="AD4" s="6">
        <f>AC4*1.15</f>
        <v>3393.7994999999992</v>
      </c>
      <c r="AE4" s="6">
        <f t="shared" si="0"/>
        <v>3902.869424999999</v>
      </c>
      <c r="AF4" s="6">
        <f t="shared" si="0"/>
        <v>4488.2998387499983</v>
      </c>
      <c r="AG4" s="6">
        <f t="shared" si="0"/>
        <v>5161.5448145624978</v>
      </c>
      <c r="AH4" s="6">
        <f t="shared" si="0"/>
        <v>5935.7765367468719</v>
      </c>
      <c r="AI4" s="6">
        <f t="shared" si="0"/>
        <v>6826.1430172589025</v>
      </c>
      <c r="AJ4" s="6">
        <f t="shared" ref="AJ4" si="1">AI4*1.15</f>
        <v>7850.0644698477372</v>
      </c>
    </row>
    <row r="5" spans="2:36" s="3" customFormat="1" x14ac:dyDescent="0.3">
      <c r="B5" s="3" t="s">
        <v>30</v>
      </c>
      <c r="G5" s="9">
        <v>661</v>
      </c>
      <c r="H5" s="9">
        <v>1121</v>
      </c>
      <c r="I5" s="9">
        <v>1337</v>
      </c>
      <c r="J5" s="9">
        <f>J3+J4</f>
        <v>1315</v>
      </c>
      <c r="K5" s="9">
        <v>1204</v>
      </c>
      <c r="L5" s="9">
        <f t="shared" ref="L5" si="2">L3+L4</f>
        <v>1158</v>
      </c>
      <c r="M5" s="9">
        <v>874</v>
      </c>
      <c r="N5" s="9">
        <f>N3+N4</f>
        <v>1734</v>
      </c>
      <c r="O5" s="9">
        <f t="shared" ref="O5:R5" si="3">O3+O4</f>
        <v>1240</v>
      </c>
      <c r="P5" s="9">
        <f t="shared" si="3"/>
        <v>1303</v>
      </c>
      <c r="Q5" s="9">
        <f t="shared" si="3"/>
        <v>1558</v>
      </c>
      <c r="R5" s="9">
        <f t="shared" si="3"/>
        <v>2207</v>
      </c>
      <c r="U5" s="9">
        <v>0</v>
      </c>
      <c r="V5" s="9">
        <v>55</v>
      </c>
      <c r="W5" s="9">
        <v>1658</v>
      </c>
      <c r="X5" s="9">
        <f>SUM(G5:J5)</f>
        <v>4434</v>
      </c>
      <c r="Y5" s="9">
        <f>SUM(K5:N5)</f>
        <v>4970</v>
      </c>
      <c r="Z5" s="9">
        <f>Z3+Z4</f>
        <v>6308</v>
      </c>
      <c r="AA5" s="9">
        <f t="shared" ref="AA5:AJ5" si="4">AA3+AA4</f>
        <v>8200.4000000000015</v>
      </c>
      <c r="AB5" s="9">
        <f t="shared" si="4"/>
        <v>9840.48</v>
      </c>
      <c r="AC5" s="9">
        <f t="shared" si="4"/>
        <v>11316.552</v>
      </c>
      <c r="AD5" s="9">
        <f t="shared" si="4"/>
        <v>13014.034799999999</v>
      </c>
      <c r="AE5" s="9">
        <f t="shared" si="4"/>
        <v>14966.140019999999</v>
      </c>
      <c r="AF5" s="9">
        <f t="shared" si="4"/>
        <v>17211.061022999998</v>
      </c>
      <c r="AG5" s="9">
        <f t="shared" si="4"/>
        <v>19792.720176449995</v>
      </c>
      <c r="AH5" s="9">
        <f t="shared" si="4"/>
        <v>22761.628202917491</v>
      </c>
      <c r="AI5" s="9">
        <f t="shared" si="4"/>
        <v>26175.872433355114</v>
      </c>
      <c r="AJ5" s="9">
        <f t="shared" si="4"/>
        <v>29134.766827553573</v>
      </c>
    </row>
    <row r="6" spans="2:36" x14ac:dyDescent="0.3">
      <c r="B6" s="1" t="s">
        <v>43</v>
      </c>
      <c r="G6" s="6"/>
      <c r="H6" s="6"/>
      <c r="I6" s="6"/>
      <c r="J6" s="6">
        <v>1819</v>
      </c>
      <c r="K6" s="6">
        <v>1613</v>
      </c>
      <c r="L6" s="6">
        <v>1515</v>
      </c>
      <c r="M6" s="6"/>
      <c r="N6" s="6">
        <v>1410</v>
      </c>
      <c r="O6" s="6">
        <v>830</v>
      </c>
      <c r="P6" s="6">
        <v>1262</v>
      </c>
      <c r="Q6" s="6">
        <v>1272</v>
      </c>
      <c r="R6" s="6">
        <f t="shared" ref="R6" si="5">R3*0.88</f>
        <v>1471.3600000000001</v>
      </c>
      <c r="U6" s="6"/>
      <c r="V6" s="6"/>
      <c r="W6" s="6"/>
      <c r="X6" s="6"/>
      <c r="Y6" s="6"/>
      <c r="Z6" s="6">
        <f t="shared" ref="Z6:Z7" si="6">SUM(O6:R6)</f>
        <v>4835.3600000000006</v>
      </c>
      <c r="AA6" s="6">
        <f>AA3*0.92</f>
        <v>5576.9480000000003</v>
      </c>
      <c r="AB6" s="6">
        <f>AB3*0.88</f>
        <v>6401.3664000000008</v>
      </c>
      <c r="AC6" s="6">
        <f>AC3*0.85</f>
        <v>7110.6086999999998</v>
      </c>
      <c r="AD6" s="6">
        <f>AD3*0.83</f>
        <v>7984.7952989999994</v>
      </c>
      <c r="AE6" s="6">
        <f>AE3*0.82</f>
        <v>9071.8818878999991</v>
      </c>
      <c r="AF6" s="6">
        <f>AF3*0.81</f>
        <v>10305.4365592425</v>
      </c>
      <c r="AG6" s="6">
        <f t="shared" ref="AG6:AJ6" si="7">AG3*0.81</f>
        <v>11851.252043128874</v>
      </c>
      <c r="AH6" s="6">
        <f t="shared" si="7"/>
        <v>13628.939849598202</v>
      </c>
      <c r="AI6" s="6">
        <f t="shared" si="7"/>
        <v>15673.280827037932</v>
      </c>
      <c r="AJ6" s="6">
        <f t="shared" si="7"/>
        <v>17240.608909741728</v>
      </c>
    </row>
    <row r="7" spans="2:36" x14ac:dyDescent="0.3">
      <c r="B7" s="1" t="s">
        <v>44</v>
      </c>
      <c r="G7" s="8"/>
      <c r="H7" s="8"/>
      <c r="I7" s="8"/>
      <c r="J7" s="8">
        <v>102</v>
      </c>
      <c r="K7" s="8">
        <v>118</v>
      </c>
      <c r="L7" s="8">
        <v>94</v>
      </c>
      <c r="M7" s="8"/>
      <c r="N7" s="8">
        <v>154</v>
      </c>
      <c r="O7" s="6">
        <v>204</v>
      </c>
      <c r="P7" s="6">
        <v>247</v>
      </c>
      <c r="Q7" s="6">
        <v>262</v>
      </c>
      <c r="R7" s="6">
        <f t="shared" ref="R7" si="8">R4*0.6</f>
        <v>321</v>
      </c>
      <c r="U7" s="8"/>
      <c r="V7" s="8"/>
      <c r="W7" s="8"/>
      <c r="X7" s="8"/>
      <c r="Y7" s="8"/>
      <c r="Z7" s="6">
        <f t="shared" si="6"/>
        <v>1034</v>
      </c>
      <c r="AA7" s="6">
        <f>AA4*0.6</f>
        <v>1283.0999999999999</v>
      </c>
      <c r="AB7" s="6">
        <f>AB4*0.57</f>
        <v>1462.7339999999997</v>
      </c>
      <c r="AC7" s="6">
        <f>AC4*0.55</f>
        <v>1623.1215</v>
      </c>
      <c r="AD7" s="6">
        <f>AD4*0.54</f>
        <v>1832.6517299999996</v>
      </c>
      <c r="AE7" s="6">
        <f>AE4*0.53</f>
        <v>2068.5207952499995</v>
      </c>
      <c r="AF7" s="6">
        <f t="shared" ref="AF7:AJ7" si="9">AF4*0.53</f>
        <v>2378.7989145374991</v>
      </c>
      <c r="AG7" s="6">
        <f t="shared" si="9"/>
        <v>2735.6187517181238</v>
      </c>
      <c r="AH7" s="6">
        <f t="shared" si="9"/>
        <v>3145.9615644758424</v>
      </c>
      <c r="AI7" s="6">
        <f t="shared" si="9"/>
        <v>3617.8557991472185</v>
      </c>
      <c r="AJ7" s="6">
        <f t="shared" si="9"/>
        <v>4160.5341690193009</v>
      </c>
    </row>
    <row r="8" spans="2:36" x14ac:dyDescent="0.3">
      <c r="B8" s="1" t="s">
        <v>45</v>
      </c>
      <c r="G8" s="8">
        <v>1196</v>
      </c>
      <c r="H8" s="8">
        <v>1533</v>
      </c>
      <c r="I8" s="8">
        <v>1814</v>
      </c>
      <c r="J8" s="8">
        <f>J6+J7</f>
        <v>1921</v>
      </c>
      <c r="K8" s="8">
        <v>1731</v>
      </c>
      <c r="L8" s="8">
        <f>L6+L7</f>
        <v>1609</v>
      </c>
      <c r="M8" s="8">
        <v>1266</v>
      </c>
      <c r="N8" s="8">
        <f>N6+N7</f>
        <v>1564</v>
      </c>
      <c r="O8" s="8">
        <f>O6+O7</f>
        <v>1034</v>
      </c>
      <c r="P8" s="8">
        <f t="shared" ref="P8:R8" si="10">P6+P7</f>
        <v>1509</v>
      </c>
      <c r="Q8" s="8">
        <f t="shared" si="10"/>
        <v>1534</v>
      </c>
      <c r="R8" s="8">
        <f t="shared" si="10"/>
        <v>1792.3600000000001</v>
      </c>
      <c r="U8" s="6">
        <v>0</v>
      </c>
      <c r="V8" s="6">
        <v>520</v>
      </c>
      <c r="W8" s="6">
        <v>4781</v>
      </c>
      <c r="X8" s="6">
        <f>SUM(G8:J8)</f>
        <v>6464</v>
      </c>
      <c r="Y8" s="6">
        <f>SUM(K8:N8)</f>
        <v>6170</v>
      </c>
      <c r="Z8" s="6">
        <f>Z6+Z7</f>
        <v>5869.3600000000006</v>
      </c>
      <c r="AA8" s="6">
        <f t="shared" ref="AA8:AJ8" si="11">AA6+AA7</f>
        <v>6860.0480000000007</v>
      </c>
      <c r="AB8" s="6">
        <f t="shared" si="11"/>
        <v>7864.1004000000003</v>
      </c>
      <c r="AC8" s="6">
        <f t="shared" si="11"/>
        <v>8733.7302</v>
      </c>
      <c r="AD8" s="6">
        <f t="shared" si="11"/>
        <v>9817.447028999999</v>
      </c>
      <c r="AE8" s="6">
        <f t="shared" si="11"/>
        <v>11140.402683149998</v>
      </c>
      <c r="AF8" s="6">
        <f t="shared" si="11"/>
        <v>12684.23547378</v>
      </c>
      <c r="AG8" s="6">
        <f t="shared" si="11"/>
        <v>14586.870794846998</v>
      </c>
      <c r="AH8" s="6">
        <f t="shared" si="11"/>
        <v>16774.901414074044</v>
      </c>
      <c r="AI8" s="6">
        <f t="shared" si="11"/>
        <v>19291.136626185151</v>
      </c>
      <c r="AJ8" s="6">
        <f t="shared" si="11"/>
        <v>21401.14307876103</v>
      </c>
    </row>
    <row r="9" spans="2:36" s="3" customFormat="1" x14ac:dyDescent="0.3">
      <c r="B9" s="3" t="s">
        <v>27</v>
      </c>
      <c r="G9" s="9">
        <f t="shared" ref="G9:N9" si="12">G5-G8</f>
        <v>-535</v>
      </c>
      <c r="H9" s="9">
        <f t="shared" si="12"/>
        <v>-412</v>
      </c>
      <c r="I9" s="9">
        <f t="shared" si="12"/>
        <v>-477</v>
      </c>
      <c r="J9" s="9">
        <f t="shared" si="12"/>
        <v>-606</v>
      </c>
      <c r="K9" s="9">
        <f t="shared" si="12"/>
        <v>-527</v>
      </c>
      <c r="L9" s="9">
        <f t="shared" si="12"/>
        <v>-451</v>
      </c>
      <c r="M9" s="9">
        <f t="shared" si="12"/>
        <v>-392</v>
      </c>
      <c r="N9" s="9">
        <f t="shared" si="12"/>
        <v>170</v>
      </c>
      <c r="O9" s="9">
        <f t="shared" ref="O9:R9" si="13">O5-O8</f>
        <v>206</v>
      </c>
      <c r="P9" s="9">
        <f t="shared" si="13"/>
        <v>-206</v>
      </c>
      <c r="Q9" s="9">
        <f t="shared" si="13"/>
        <v>24</v>
      </c>
      <c r="R9" s="9">
        <f t="shared" si="13"/>
        <v>414.63999999999987</v>
      </c>
      <c r="U9" s="9">
        <f t="shared" ref="U9:AJ9" si="14">U5-U8</f>
        <v>0</v>
      </c>
      <c r="V9" s="9">
        <f t="shared" si="14"/>
        <v>-465</v>
      </c>
      <c r="W9" s="9">
        <f t="shared" si="14"/>
        <v>-3123</v>
      </c>
      <c r="X9" s="9">
        <f t="shared" si="14"/>
        <v>-2030</v>
      </c>
      <c r="Y9" s="9">
        <f t="shared" si="14"/>
        <v>-1200</v>
      </c>
      <c r="Z9" s="9">
        <f t="shared" si="14"/>
        <v>438.63999999999942</v>
      </c>
      <c r="AA9" s="9">
        <f t="shared" si="14"/>
        <v>1340.3520000000008</v>
      </c>
      <c r="AB9" s="9">
        <f t="shared" si="14"/>
        <v>1976.3795999999993</v>
      </c>
      <c r="AC9" s="9">
        <f t="shared" si="14"/>
        <v>2582.8217999999997</v>
      </c>
      <c r="AD9" s="9">
        <f t="shared" si="14"/>
        <v>3196.5877710000004</v>
      </c>
      <c r="AE9" s="9">
        <f t="shared" si="14"/>
        <v>3825.7373368500012</v>
      </c>
      <c r="AF9" s="9">
        <f t="shared" si="14"/>
        <v>4526.8255492199987</v>
      </c>
      <c r="AG9" s="9">
        <f t="shared" si="14"/>
        <v>5205.8493816029968</v>
      </c>
      <c r="AH9" s="9">
        <f t="shared" si="14"/>
        <v>5986.7267888434471</v>
      </c>
      <c r="AI9" s="9">
        <f t="shared" si="14"/>
        <v>6884.7358071699637</v>
      </c>
      <c r="AJ9" s="9">
        <f t="shared" si="14"/>
        <v>7733.6237487925428</v>
      </c>
    </row>
    <row r="10" spans="2:36" x14ac:dyDescent="0.3">
      <c r="B10" s="1" t="s">
        <v>31</v>
      </c>
      <c r="G10" s="6">
        <v>496</v>
      </c>
      <c r="H10" s="6">
        <v>444</v>
      </c>
      <c r="I10" s="6">
        <v>529</v>
      </c>
      <c r="J10" s="6">
        <v>526</v>
      </c>
      <c r="K10" s="6">
        <v>461</v>
      </c>
      <c r="L10" s="6">
        <v>428</v>
      </c>
      <c r="M10" s="6">
        <v>350</v>
      </c>
      <c r="N10" s="6">
        <v>374</v>
      </c>
      <c r="O10" s="6">
        <v>381</v>
      </c>
      <c r="P10" s="6">
        <v>410</v>
      </c>
      <c r="Q10" s="6">
        <v>453</v>
      </c>
      <c r="R10" s="6">
        <f>P10*1.15</f>
        <v>471.49999999999994</v>
      </c>
      <c r="U10" s="6">
        <v>766</v>
      </c>
      <c r="V10" s="6">
        <v>1850</v>
      </c>
      <c r="W10" s="6">
        <v>1944</v>
      </c>
      <c r="X10" s="6">
        <f>SUM(G10:J10)</f>
        <v>1995</v>
      </c>
      <c r="Y10" s="6">
        <f>SUM(K10:N10)</f>
        <v>1613</v>
      </c>
      <c r="Z10" s="6">
        <f>SUM(O10:R10)</f>
        <v>1715.5</v>
      </c>
      <c r="AA10" s="6">
        <f>Z10*1.04</f>
        <v>1784.1200000000001</v>
      </c>
      <c r="AB10" s="6">
        <f>AA10*1.03</f>
        <v>1837.6436000000001</v>
      </c>
      <c r="AC10" s="6">
        <f>AB10*1.02</f>
        <v>1874.3964720000001</v>
      </c>
      <c r="AD10" s="6">
        <f t="shared" ref="AD10" si="15">AC10*1.02</f>
        <v>1911.8844014400001</v>
      </c>
      <c r="AE10" s="6">
        <f>AD10*1.01</f>
        <v>1931.0032454544003</v>
      </c>
      <c r="AF10" s="6">
        <f t="shared" ref="AF10:AJ11" si="16">AE10*1.01</f>
        <v>1950.3132779089442</v>
      </c>
      <c r="AG10" s="6">
        <f t="shared" si="16"/>
        <v>1969.8164106880336</v>
      </c>
      <c r="AH10" s="6">
        <f t="shared" si="16"/>
        <v>1989.5145747949139</v>
      </c>
      <c r="AI10" s="6">
        <f t="shared" si="16"/>
        <v>2009.4097205428629</v>
      </c>
      <c r="AJ10" s="6">
        <f t="shared" si="16"/>
        <v>2029.5038177482916</v>
      </c>
    </row>
    <row r="11" spans="2:36" x14ac:dyDescent="0.3">
      <c r="B11" s="1" t="s">
        <v>32</v>
      </c>
      <c r="G11" s="6">
        <v>402</v>
      </c>
      <c r="H11" s="6">
        <v>429</v>
      </c>
      <c r="I11" s="6">
        <v>434</v>
      </c>
      <c r="J11" s="6">
        <v>449</v>
      </c>
      <c r="K11" s="6">
        <v>496</v>
      </c>
      <c r="L11" s="6">
        <v>496</v>
      </c>
      <c r="M11" s="6">
        <v>427</v>
      </c>
      <c r="N11" s="6">
        <v>457</v>
      </c>
      <c r="O11" s="6">
        <v>480</v>
      </c>
      <c r="P11" s="6">
        <v>498</v>
      </c>
      <c r="Q11" s="6">
        <v>554</v>
      </c>
      <c r="R11" s="6">
        <f>Q11*1.03</f>
        <v>570.62</v>
      </c>
      <c r="U11" s="6">
        <v>255</v>
      </c>
      <c r="V11" s="6">
        <f>1242+662</f>
        <v>1904</v>
      </c>
      <c r="W11" s="6">
        <v>1789</v>
      </c>
      <c r="X11" s="6">
        <f>SUM(G11:J11)</f>
        <v>1714</v>
      </c>
      <c r="Y11" s="6">
        <f>SUM(K11:N11)</f>
        <v>1876</v>
      </c>
      <c r="Z11" s="6">
        <f>SUM(O11:R11)</f>
        <v>2102.62</v>
      </c>
      <c r="AA11" s="6">
        <f>Z11*1.03</f>
        <v>2165.6986000000002</v>
      </c>
      <c r="AB11" s="6">
        <f>AA11*1.02</f>
        <v>2209.0125720000001</v>
      </c>
      <c r="AC11" s="6">
        <f>AB11*1.01</f>
        <v>2231.1026977199999</v>
      </c>
      <c r="AD11" s="6">
        <f t="shared" ref="AD11:AE11" si="17">AC11*1.01</f>
        <v>2253.4137246972</v>
      </c>
      <c r="AE11" s="6">
        <f t="shared" si="17"/>
        <v>2275.947861944172</v>
      </c>
      <c r="AF11" s="6">
        <f t="shared" si="16"/>
        <v>2298.7073405636138</v>
      </c>
      <c r="AG11" s="6">
        <f t="shared" si="16"/>
        <v>2321.69441396925</v>
      </c>
      <c r="AH11" s="6">
        <f t="shared" si="16"/>
        <v>2344.9113581089427</v>
      </c>
      <c r="AI11" s="6">
        <f t="shared" si="16"/>
        <v>2368.3604716900322</v>
      </c>
      <c r="AJ11" s="6">
        <f t="shared" si="16"/>
        <v>2392.0440764069326</v>
      </c>
    </row>
    <row r="12" spans="2:36" s="3" customFormat="1" x14ac:dyDescent="0.3">
      <c r="B12" s="3" t="s">
        <v>33</v>
      </c>
      <c r="G12" s="9">
        <f t="shared" ref="G12:N12" si="18">G9-G10-G11</f>
        <v>-1433</v>
      </c>
      <c r="H12" s="9">
        <f t="shared" si="18"/>
        <v>-1285</v>
      </c>
      <c r="I12" s="9">
        <f t="shared" si="18"/>
        <v>-1440</v>
      </c>
      <c r="J12" s="9">
        <f t="shared" si="18"/>
        <v>-1581</v>
      </c>
      <c r="K12" s="9">
        <f t="shared" si="18"/>
        <v>-1484</v>
      </c>
      <c r="L12" s="9">
        <f t="shared" si="18"/>
        <v>-1375</v>
      </c>
      <c r="M12" s="9">
        <f t="shared" si="18"/>
        <v>-1169</v>
      </c>
      <c r="N12" s="9">
        <f t="shared" si="18"/>
        <v>-661</v>
      </c>
      <c r="O12" s="9">
        <f t="shared" ref="O12:R12" si="19">O9-O10-O11</f>
        <v>-655</v>
      </c>
      <c r="P12" s="9">
        <f t="shared" si="19"/>
        <v>-1114</v>
      </c>
      <c r="Q12" s="9">
        <f t="shared" si="19"/>
        <v>-983</v>
      </c>
      <c r="R12" s="9">
        <f t="shared" si="19"/>
        <v>-627.48</v>
      </c>
      <c r="U12" s="9">
        <f t="shared" ref="U12:Z12" si="20">U9-U10-U11</f>
        <v>-1021</v>
      </c>
      <c r="V12" s="9">
        <f t="shared" si="20"/>
        <v>-4219</v>
      </c>
      <c r="W12" s="9">
        <f t="shared" si="20"/>
        <v>-6856</v>
      </c>
      <c r="X12" s="9">
        <f t="shared" si="20"/>
        <v>-5739</v>
      </c>
      <c r="Y12" s="9">
        <f t="shared" si="20"/>
        <v>-4689</v>
      </c>
      <c r="Z12" s="9">
        <f t="shared" si="20"/>
        <v>-3379.4800000000005</v>
      </c>
      <c r="AA12" s="9">
        <f t="shared" ref="AA12:AJ12" si="21">AA9-AA10-AA11</f>
        <v>-2609.4665999999997</v>
      </c>
      <c r="AB12" s="9">
        <f t="shared" si="21"/>
        <v>-2070.2765720000007</v>
      </c>
      <c r="AC12" s="9">
        <f t="shared" si="21"/>
        <v>-1522.6773697200003</v>
      </c>
      <c r="AD12" s="9">
        <f t="shared" si="21"/>
        <v>-968.71035513719971</v>
      </c>
      <c r="AE12" s="9">
        <f t="shared" si="21"/>
        <v>-381.21377054857112</v>
      </c>
      <c r="AF12" s="9">
        <f t="shared" si="21"/>
        <v>277.80493074744072</v>
      </c>
      <c r="AG12" s="9">
        <f t="shared" si="21"/>
        <v>914.33855694571321</v>
      </c>
      <c r="AH12" s="9">
        <f t="shared" si="21"/>
        <v>1652.3008559395907</v>
      </c>
      <c r="AI12" s="9">
        <f t="shared" si="21"/>
        <v>2506.9656149370689</v>
      </c>
      <c r="AJ12" s="9">
        <f t="shared" si="21"/>
        <v>3312.075854637319</v>
      </c>
    </row>
    <row r="13" spans="2:36" x14ac:dyDescent="0.3">
      <c r="B13" s="1" t="s">
        <v>34</v>
      </c>
      <c r="G13" s="6">
        <v>-124</v>
      </c>
      <c r="H13" s="6">
        <v>-141</v>
      </c>
      <c r="I13" s="6">
        <v>-126</v>
      </c>
      <c r="J13" s="6">
        <v>-131</v>
      </c>
      <c r="K13" s="6">
        <v>-112</v>
      </c>
      <c r="L13" s="6">
        <v>-95</v>
      </c>
      <c r="M13" s="6">
        <v>-95</v>
      </c>
      <c r="N13" s="6">
        <v>-83</v>
      </c>
      <c r="O13" s="6">
        <v>-81</v>
      </c>
      <c r="P13" s="6">
        <v>-72</v>
      </c>
      <c r="Q13" s="6">
        <v>-76</v>
      </c>
      <c r="R13" s="6">
        <f t="shared" ref="R13" si="22">N13*1.03</f>
        <v>-85.490000000000009</v>
      </c>
      <c r="U13" s="6">
        <v>-10</v>
      </c>
      <c r="V13" s="6">
        <v>-3</v>
      </c>
      <c r="W13" s="6">
        <v>-193</v>
      </c>
      <c r="X13" s="6">
        <f>SUM(G13:J13)</f>
        <v>-522</v>
      </c>
      <c r="Y13" s="6">
        <f>SUM(K13:N13)</f>
        <v>-385</v>
      </c>
      <c r="Z13" s="6">
        <f>SUM(O13:R13)</f>
        <v>-314.49</v>
      </c>
      <c r="AA13" s="6">
        <f>Z13*1.03</f>
        <v>-323.92470000000003</v>
      </c>
      <c r="AB13" s="6">
        <f t="shared" ref="AB13:AJ13" si="23">AA13*1.03</f>
        <v>-333.64244100000002</v>
      </c>
      <c r="AC13" s="6">
        <f t="shared" si="23"/>
        <v>-343.65171423000004</v>
      </c>
      <c r="AD13" s="6">
        <f t="shared" si="23"/>
        <v>-353.96126565690003</v>
      </c>
      <c r="AE13" s="6">
        <f t="shared" si="23"/>
        <v>-364.58010362660701</v>
      </c>
      <c r="AF13" s="6">
        <f t="shared" si="23"/>
        <v>-375.51750673540522</v>
      </c>
      <c r="AG13" s="6">
        <f t="shared" si="23"/>
        <v>-386.7830319374674</v>
      </c>
      <c r="AH13" s="6">
        <f t="shared" si="23"/>
        <v>-398.38652289559144</v>
      </c>
      <c r="AI13" s="6">
        <f t="shared" si="23"/>
        <v>-410.33811858245917</v>
      </c>
      <c r="AJ13" s="6">
        <f t="shared" si="23"/>
        <v>-422.64826213993297</v>
      </c>
    </row>
    <row r="14" spans="2:36" x14ac:dyDescent="0.3">
      <c r="B14" s="1" t="s">
        <v>35</v>
      </c>
      <c r="G14" s="6">
        <v>38</v>
      </c>
      <c r="H14" s="6">
        <v>54</v>
      </c>
      <c r="I14" s="6">
        <v>55</v>
      </c>
      <c r="J14" s="6">
        <v>73</v>
      </c>
      <c r="K14" s="6">
        <v>75</v>
      </c>
      <c r="L14" s="6">
        <v>75</v>
      </c>
      <c r="M14" s="6">
        <v>87</v>
      </c>
      <c r="N14" s="6">
        <v>81</v>
      </c>
      <c r="O14" s="6">
        <v>72</v>
      </c>
      <c r="P14" s="6">
        <v>69</v>
      </c>
      <c r="Q14" s="6">
        <v>69</v>
      </c>
      <c r="R14" s="6">
        <v>82</v>
      </c>
      <c r="U14" s="6">
        <v>8</v>
      </c>
      <c r="V14" s="6">
        <v>29</v>
      </c>
      <c r="W14" s="6">
        <v>103</v>
      </c>
      <c r="X14" s="6">
        <f>SUM(G14:J14)</f>
        <v>220</v>
      </c>
      <c r="Y14" s="6">
        <f>SUM(K14:N14)</f>
        <v>318</v>
      </c>
      <c r="Z14" s="6">
        <f>SUM(O14:R14)</f>
        <v>292</v>
      </c>
      <c r="AA14" s="6">
        <f>Z14*1.02</f>
        <v>297.84000000000003</v>
      </c>
      <c r="AB14" s="6">
        <f t="shared" ref="AB14:AJ14" si="24">AA14*1.02</f>
        <v>303.79680000000002</v>
      </c>
      <c r="AC14" s="6">
        <f t="shared" si="24"/>
        <v>309.87273600000003</v>
      </c>
      <c r="AD14" s="6">
        <f t="shared" si="24"/>
        <v>316.07019072000003</v>
      </c>
      <c r="AE14" s="6">
        <f t="shared" si="24"/>
        <v>322.39159453440004</v>
      </c>
      <c r="AF14" s="6">
        <f t="shared" si="24"/>
        <v>328.83942642508805</v>
      </c>
      <c r="AG14" s="6">
        <f t="shared" si="24"/>
        <v>335.41621495358982</v>
      </c>
      <c r="AH14" s="6">
        <f t="shared" si="24"/>
        <v>342.12453925266163</v>
      </c>
      <c r="AI14" s="6">
        <f t="shared" si="24"/>
        <v>348.96703003771489</v>
      </c>
      <c r="AJ14" s="6">
        <f t="shared" si="24"/>
        <v>355.9463706384692</v>
      </c>
    </row>
    <row r="15" spans="2:36" x14ac:dyDescent="0.3">
      <c r="B15" s="1" t="s">
        <v>36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90</v>
      </c>
      <c r="M15" s="6">
        <v>-60</v>
      </c>
      <c r="N15" s="6">
        <v>82</v>
      </c>
      <c r="O15" s="6">
        <v>0</v>
      </c>
      <c r="P15" s="6">
        <v>0</v>
      </c>
      <c r="Q15" s="6">
        <v>0</v>
      </c>
      <c r="R15" s="6">
        <v>0</v>
      </c>
      <c r="U15" s="6">
        <v>0</v>
      </c>
      <c r="V15" s="6">
        <v>441</v>
      </c>
      <c r="W15" s="6">
        <v>0</v>
      </c>
      <c r="X15" s="6">
        <f>SUM(G15:J15)</f>
        <v>0</v>
      </c>
      <c r="Y15" s="6">
        <f>SUM(K15:N15)</f>
        <v>112</v>
      </c>
      <c r="Z15" s="6">
        <f>SUM(O15:R15)</f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2:36" x14ac:dyDescent="0.3">
      <c r="B16" s="1" t="s">
        <v>37</v>
      </c>
      <c r="G16" s="6">
        <v>1</v>
      </c>
      <c r="H16" s="6">
        <v>-3</v>
      </c>
      <c r="I16" s="6">
        <v>-2</v>
      </c>
      <c r="J16" s="6">
        <v>-2</v>
      </c>
      <c r="K16" s="6">
        <v>-2</v>
      </c>
      <c r="L16" s="6">
        <v>11</v>
      </c>
      <c r="M16" s="6">
        <v>-1</v>
      </c>
      <c r="N16" s="6">
        <v>-1</v>
      </c>
      <c r="O16" s="6">
        <v>-107</v>
      </c>
      <c r="P16" s="6">
        <v>2</v>
      </c>
      <c r="Q16" s="6">
        <v>191</v>
      </c>
      <c r="R16" s="6">
        <v>0</v>
      </c>
      <c r="U16" s="6">
        <v>-1</v>
      </c>
      <c r="V16" s="6">
        <v>1</v>
      </c>
      <c r="W16" s="6">
        <v>-18</v>
      </c>
      <c r="X16" s="6">
        <f>SUM(G16:J16)</f>
        <v>-6</v>
      </c>
      <c r="Y16" s="6">
        <f>SUM(K16:N16)</f>
        <v>7</v>
      </c>
      <c r="Z16" s="6">
        <f>SUM(O16:R16)</f>
        <v>86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2:136" x14ac:dyDescent="0.3">
      <c r="B17" s="1" t="s">
        <v>38</v>
      </c>
      <c r="G17" s="6">
        <f t="shared" ref="G17:N17" si="25">SUM(G13:G16)</f>
        <v>-85</v>
      </c>
      <c r="H17" s="6">
        <f t="shared" si="25"/>
        <v>-90</v>
      </c>
      <c r="I17" s="6">
        <f t="shared" si="25"/>
        <v>-73</v>
      </c>
      <c r="J17" s="6">
        <f t="shared" si="25"/>
        <v>-60</v>
      </c>
      <c r="K17" s="6">
        <f t="shared" si="25"/>
        <v>-39</v>
      </c>
      <c r="L17" s="6">
        <f t="shared" si="25"/>
        <v>81</v>
      </c>
      <c r="M17" s="6">
        <f t="shared" si="25"/>
        <v>-69</v>
      </c>
      <c r="N17" s="6">
        <f t="shared" si="25"/>
        <v>79</v>
      </c>
      <c r="O17" s="6">
        <f t="shared" ref="O17:R17" si="26">SUM(O13:O16)</f>
        <v>-116</v>
      </c>
      <c r="P17" s="6">
        <f t="shared" si="26"/>
        <v>-1</v>
      </c>
      <c r="Q17" s="6">
        <f t="shared" si="26"/>
        <v>184</v>
      </c>
      <c r="R17" s="6">
        <f t="shared" si="26"/>
        <v>-3.4900000000000091</v>
      </c>
      <c r="U17" s="6">
        <f t="shared" ref="U17:AA17" si="27">SUM(U13:U16)</f>
        <v>-3</v>
      </c>
      <c r="V17" s="6">
        <f t="shared" si="27"/>
        <v>468</v>
      </c>
      <c r="W17" s="6">
        <f t="shared" si="27"/>
        <v>-108</v>
      </c>
      <c r="X17" s="6">
        <f t="shared" si="27"/>
        <v>-308</v>
      </c>
      <c r="Y17" s="6">
        <f t="shared" si="27"/>
        <v>52</v>
      </c>
      <c r="Z17" s="6">
        <f t="shared" si="27"/>
        <v>63.509999999999991</v>
      </c>
      <c r="AA17" s="6">
        <f t="shared" si="27"/>
        <v>-26.084699999999998</v>
      </c>
      <c r="AB17" s="6">
        <f t="shared" ref="AB17:AJ17" si="28">SUM(AB13:AB16)</f>
        <v>-29.845641000000001</v>
      </c>
      <c r="AC17" s="6">
        <f t="shared" si="28"/>
        <v>-33.778978230000007</v>
      </c>
      <c r="AD17" s="6">
        <f t="shared" si="28"/>
        <v>-37.891074936899997</v>
      </c>
      <c r="AE17" s="6">
        <f t="shared" si="28"/>
        <v>-42.188509092206971</v>
      </c>
      <c r="AF17" s="6">
        <f t="shared" si="28"/>
        <v>-46.678080310317171</v>
      </c>
      <c r="AG17" s="6">
        <f t="shared" si="28"/>
        <v>-51.366816983877584</v>
      </c>
      <c r="AH17" s="6">
        <f t="shared" si="28"/>
        <v>-56.261983642929806</v>
      </c>
      <c r="AI17" s="6">
        <f t="shared" si="28"/>
        <v>-61.371088544744282</v>
      </c>
      <c r="AJ17" s="6">
        <f t="shared" si="28"/>
        <v>-66.701891501463763</v>
      </c>
    </row>
    <row r="18" spans="2:136" s="3" customFormat="1" x14ac:dyDescent="0.3">
      <c r="B18" s="3" t="s">
        <v>39</v>
      </c>
      <c r="G18" s="9">
        <f t="shared" ref="G18:N18" si="29">G12-G17</f>
        <v>-1348</v>
      </c>
      <c r="H18" s="9">
        <f t="shared" si="29"/>
        <v>-1195</v>
      </c>
      <c r="I18" s="9">
        <f t="shared" si="29"/>
        <v>-1367</v>
      </c>
      <c r="J18" s="9">
        <f t="shared" si="29"/>
        <v>-1521</v>
      </c>
      <c r="K18" s="9">
        <f t="shared" si="29"/>
        <v>-1445</v>
      </c>
      <c r="L18" s="9">
        <f t="shared" si="29"/>
        <v>-1456</v>
      </c>
      <c r="M18" s="9">
        <f t="shared" si="29"/>
        <v>-1100</v>
      </c>
      <c r="N18" s="9">
        <f t="shared" si="29"/>
        <v>-740</v>
      </c>
      <c r="O18" s="9">
        <f t="shared" ref="O18:R18" si="30">O12-O17</f>
        <v>-539</v>
      </c>
      <c r="P18" s="9">
        <f t="shared" si="30"/>
        <v>-1113</v>
      </c>
      <c r="Q18" s="9">
        <f t="shared" si="30"/>
        <v>-1167</v>
      </c>
      <c r="R18" s="9">
        <f t="shared" si="30"/>
        <v>-623.99</v>
      </c>
      <c r="U18" s="9">
        <f t="shared" ref="U18:AA18" si="31">U12-U17</f>
        <v>-1018</v>
      </c>
      <c r="V18" s="9">
        <f t="shared" si="31"/>
        <v>-4687</v>
      </c>
      <c r="W18" s="9">
        <f t="shared" si="31"/>
        <v>-6748</v>
      </c>
      <c r="X18" s="9">
        <f t="shared" si="31"/>
        <v>-5431</v>
      </c>
      <c r="Y18" s="9">
        <f t="shared" si="31"/>
        <v>-4741</v>
      </c>
      <c r="Z18" s="9">
        <f t="shared" si="31"/>
        <v>-3442.9900000000007</v>
      </c>
      <c r="AA18" s="9">
        <f t="shared" si="31"/>
        <v>-2583.3818999999999</v>
      </c>
      <c r="AB18" s="9">
        <f t="shared" ref="AB18:AJ18" si="32">AB12-AB17</f>
        <v>-2040.4309310000008</v>
      </c>
      <c r="AC18" s="9">
        <f t="shared" si="32"/>
        <v>-1488.8983914900004</v>
      </c>
      <c r="AD18" s="9">
        <f t="shared" si="32"/>
        <v>-930.81928020029977</v>
      </c>
      <c r="AE18" s="9">
        <f t="shared" si="32"/>
        <v>-339.02526145636415</v>
      </c>
      <c r="AF18" s="9">
        <f t="shared" si="32"/>
        <v>324.48301105775789</v>
      </c>
      <c r="AG18" s="9">
        <f t="shared" si="32"/>
        <v>965.70537392959079</v>
      </c>
      <c r="AH18" s="9">
        <f t="shared" si="32"/>
        <v>1708.5628395825206</v>
      </c>
      <c r="AI18" s="9">
        <f t="shared" si="32"/>
        <v>2568.3367034818134</v>
      </c>
      <c r="AJ18" s="9">
        <f t="shared" si="32"/>
        <v>3378.7777461387827</v>
      </c>
    </row>
    <row r="19" spans="2:136" x14ac:dyDescent="0.3">
      <c r="B19" s="1" t="s">
        <v>40</v>
      </c>
      <c r="G19" s="6">
        <v>1</v>
      </c>
      <c r="H19" s="6">
        <v>0</v>
      </c>
      <c r="I19" s="6">
        <v>0</v>
      </c>
      <c r="J19" s="6">
        <v>0</v>
      </c>
      <c r="K19" s="6">
        <v>1</v>
      </c>
      <c r="L19" s="6">
        <v>1</v>
      </c>
      <c r="M19" s="6">
        <v>0</v>
      </c>
      <c r="N19" s="6">
        <v>3</v>
      </c>
      <c r="O19" s="6">
        <v>2</v>
      </c>
      <c r="P19" s="6">
        <v>2</v>
      </c>
      <c r="Q19" s="6">
        <v>1</v>
      </c>
      <c r="R19" s="6">
        <v>0</v>
      </c>
      <c r="U19" s="6">
        <v>0</v>
      </c>
      <c r="V19" s="6">
        <v>0</v>
      </c>
      <c r="W19" s="6">
        <v>4</v>
      </c>
      <c r="X19" s="6">
        <f>SUM(G19:J19)</f>
        <v>1</v>
      </c>
      <c r="Y19" s="6">
        <f>SUM(K19:N19)</f>
        <v>5</v>
      </c>
      <c r="Z19" s="6">
        <f>SUM(O19:R19)</f>
        <v>5</v>
      </c>
      <c r="AA19" s="6">
        <v>0</v>
      </c>
      <c r="AB19" s="6">
        <f>AB18*0.2</f>
        <v>-408.08618620000016</v>
      </c>
      <c r="AC19" s="6">
        <f t="shared" ref="AC19:AJ19" si="33">AC18*0.2</f>
        <v>-297.77967829800008</v>
      </c>
      <c r="AD19" s="6">
        <f t="shared" si="33"/>
        <v>-186.16385604005995</v>
      </c>
      <c r="AE19" s="6">
        <f t="shared" si="33"/>
        <v>-67.80505229127283</v>
      </c>
      <c r="AF19" s="6">
        <f t="shared" si="33"/>
        <v>64.896602211551581</v>
      </c>
      <c r="AG19" s="6">
        <f t="shared" si="33"/>
        <v>193.14107478591816</v>
      </c>
      <c r="AH19" s="6">
        <f t="shared" si="33"/>
        <v>341.71256791650416</v>
      </c>
      <c r="AI19" s="6">
        <f t="shared" si="33"/>
        <v>513.66734069636266</v>
      </c>
      <c r="AJ19" s="6">
        <f t="shared" si="33"/>
        <v>675.75554922775655</v>
      </c>
    </row>
    <row r="20" spans="2:136" x14ac:dyDescent="0.3">
      <c r="B20" s="1" t="s">
        <v>46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1</v>
      </c>
      <c r="O20" s="6">
        <v>4</v>
      </c>
      <c r="P20" s="6">
        <v>2</v>
      </c>
      <c r="Q20" s="6">
        <v>7</v>
      </c>
      <c r="R20" s="6">
        <v>0</v>
      </c>
      <c r="U20" s="6">
        <v>0</v>
      </c>
      <c r="V20" s="6">
        <v>0</v>
      </c>
      <c r="W20" s="6">
        <v>0</v>
      </c>
      <c r="X20" s="6">
        <f>SUM(G20:J20)</f>
        <v>0</v>
      </c>
      <c r="Y20" s="6">
        <f>SUM(K20:N20)</f>
        <v>1</v>
      </c>
      <c r="Z20" s="6">
        <f>SUM(O20:R20)</f>
        <v>13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2:136" s="3" customFormat="1" x14ac:dyDescent="0.3">
      <c r="B21" s="3" t="s">
        <v>41</v>
      </c>
      <c r="G21" s="9">
        <f t="shared" ref="G21:N21" si="34">G18-G19-G20</f>
        <v>-1349</v>
      </c>
      <c r="H21" s="9">
        <f t="shared" si="34"/>
        <v>-1195</v>
      </c>
      <c r="I21" s="9">
        <f t="shared" si="34"/>
        <v>-1367</v>
      </c>
      <c r="J21" s="9">
        <f t="shared" si="34"/>
        <v>-1521</v>
      </c>
      <c r="K21" s="9">
        <f t="shared" si="34"/>
        <v>-1446</v>
      </c>
      <c r="L21" s="9">
        <f t="shared" si="34"/>
        <v>-1457</v>
      </c>
      <c r="M21" s="9">
        <f t="shared" si="34"/>
        <v>-1100</v>
      </c>
      <c r="N21" s="9">
        <f t="shared" si="34"/>
        <v>-744</v>
      </c>
      <c r="O21" s="9">
        <f t="shared" ref="O21" si="35">O18-O19-O20</f>
        <v>-545</v>
      </c>
      <c r="P21" s="9">
        <f t="shared" ref="P21" si="36">P18-P19-P20</f>
        <v>-1117</v>
      </c>
      <c r="Q21" s="9">
        <f t="shared" ref="Q21" si="37">Q18-Q19-Q20</f>
        <v>-1175</v>
      </c>
      <c r="R21" s="9">
        <f t="shared" ref="R21" si="38">R18-R19-R20</f>
        <v>-623.99</v>
      </c>
      <c r="U21" s="9">
        <f t="shared" ref="U21:AA21" si="39">U18-U19-U20</f>
        <v>-1018</v>
      </c>
      <c r="V21" s="9">
        <f t="shared" si="39"/>
        <v>-4687</v>
      </c>
      <c r="W21" s="9">
        <f t="shared" si="39"/>
        <v>-6752</v>
      </c>
      <c r="X21" s="9">
        <f t="shared" si="39"/>
        <v>-5432</v>
      </c>
      <c r="Y21" s="9">
        <f t="shared" si="39"/>
        <v>-4747</v>
      </c>
      <c r="Z21" s="9">
        <f t="shared" si="39"/>
        <v>-3460.9900000000007</v>
      </c>
      <c r="AA21" s="9">
        <f t="shared" si="39"/>
        <v>-2583.3818999999999</v>
      </c>
      <c r="AB21" s="9">
        <f t="shared" ref="AB21:AJ21" si="40">AB18-AB19-AB20</f>
        <v>-1632.3447448000006</v>
      </c>
      <c r="AC21" s="9">
        <f t="shared" si="40"/>
        <v>-1191.1187131920003</v>
      </c>
      <c r="AD21" s="9">
        <f t="shared" si="40"/>
        <v>-744.65542416023982</v>
      </c>
      <c r="AE21" s="9">
        <f t="shared" si="40"/>
        <v>-271.22020916509132</v>
      </c>
      <c r="AF21" s="9">
        <f t="shared" si="40"/>
        <v>259.58640884620633</v>
      </c>
      <c r="AG21" s="9">
        <f t="shared" si="40"/>
        <v>772.56429914367266</v>
      </c>
      <c r="AH21" s="9">
        <f t="shared" si="40"/>
        <v>1366.8502716660164</v>
      </c>
      <c r="AI21" s="9">
        <f t="shared" si="40"/>
        <v>2054.6693627854506</v>
      </c>
      <c r="AJ21" s="9">
        <f t="shared" si="40"/>
        <v>2703.0221969110262</v>
      </c>
      <c r="AK21" s="3">
        <f>AJ21*(1+$AN$30)</f>
        <v>2675.9919749419159</v>
      </c>
      <c r="AL21" s="3">
        <f t="shared" ref="AL21:CW21" si="41">AK21*(1+$AN$30)</f>
        <v>2649.2320551924968</v>
      </c>
      <c r="AM21" s="3">
        <f t="shared" si="41"/>
        <v>2622.7397346405719</v>
      </c>
      <c r="AN21" s="3">
        <f t="shared" si="41"/>
        <v>2596.5123372941662</v>
      </c>
      <c r="AO21" s="3">
        <f t="shared" si="41"/>
        <v>2570.5472139212243</v>
      </c>
      <c r="AP21" s="3">
        <f t="shared" si="41"/>
        <v>2544.8417417820119</v>
      </c>
      <c r="AQ21" s="3">
        <f t="shared" si="41"/>
        <v>2519.3933243641918</v>
      </c>
      <c r="AR21" s="3">
        <f t="shared" si="41"/>
        <v>2494.19939112055</v>
      </c>
      <c r="AS21" s="3">
        <f t="shared" si="41"/>
        <v>2469.2573972093446</v>
      </c>
      <c r="AT21" s="3">
        <f t="shared" si="41"/>
        <v>2444.5648232372509</v>
      </c>
      <c r="AU21" s="3">
        <f t="shared" si="41"/>
        <v>2420.1191750048783</v>
      </c>
      <c r="AV21" s="3">
        <f t="shared" si="41"/>
        <v>2395.9179832548293</v>
      </c>
      <c r="AW21" s="3">
        <f t="shared" si="41"/>
        <v>2371.9588034222811</v>
      </c>
      <c r="AX21" s="3">
        <f t="shared" si="41"/>
        <v>2348.2392153880583</v>
      </c>
      <c r="AY21" s="3">
        <f t="shared" si="41"/>
        <v>2324.7568232341778</v>
      </c>
      <c r="AZ21" s="3">
        <f t="shared" si="41"/>
        <v>2301.5092550018358</v>
      </c>
      <c r="BA21" s="3">
        <f t="shared" si="41"/>
        <v>2278.4941624518174</v>
      </c>
      <c r="BB21" s="3">
        <f t="shared" si="41"/>
        <v>2255.7092208272993</v>
      </c>
      <c r="BC21" s="3">
        <f t="shared" si="41"/>
        <v>2233.1521286190264</v>
      </c>
      <c r="BD21" s="3">
        <f t="shared" si="41"/>
        <v>2210.8206073328361</v>
      </c>
      <c r="BE21" s="3">
        <f t="shared" si="41"/>
        <v>2188.7124012595077</v>
      </c>
      <c r="BF21" s="3">
        <f t="shared" si="41"/>
        <v>2166.8252772469127</v>
      </c>
      <c r="BG21" s="3">
        <f t="shared" si="41"/>
        <v>2145.1570244744435</v>
      </c>
      <c r="BH21" s="3">
        <f t="shared" si="41"/>
        <v>2123.7054542296992</v>
      </c>
      <c r="BI21" s="3">
        <f t="shared" si="41"/>
        <v>2102.4683996874023</v>
      </c>
      <c r="BJ21" s="3">
        <f t="shared" si="41"/>
        <v>2081.4437156905283</v>
      </c>
      <c r="BK21" s="3">
        <f t="shared" si="41"/>
        <v>2060.6292785336232</v>
      </c>
      <c r="BL21" s="3">
        <f t="shared" si="41"/>
        <v>2040.0229857482868</v>
      </c>
      <c r="BM21" s="3">
        <f t="shared" si="41"/>
        <v>2019.622755890804</v>
      </c>
      <c r="BN21" s="3">
        <f t="shared" si="41"/>
        <v>1999.426528331896</v>
      </c>
      <c r="BO21" s="3">
        <f t="shared" si="41"/>
        <v>1979.4322630485769</v>
      </c>
      <c r="BP21" s="3">
        <f t="shared" si="41"/>
        <v>1959.6379404180911</v>
      </c>
      <c r="BQ21" s="3">
        <f t="shared" si="41"/>
        <v>1940.0415610139103</v>
      </c>
      <c r="BR21" s="3">
        <f t="shared" si="41"/>
        <v>1920.6411454037711</v>
      </c>
      <c r="BS21" s="3">
        <f t="shared" si="41"/>
        <v>1901.4347339497333</v>
      </c>
      <c r="BT21" s="3">
        <f t="shared" si="41"/>
        <v>1882.4203866102359</v>
      </c>
      <c r="BU21" s="3">
        <f t="shared" si="41"/>
        <v>1863.5961827441336</v>
      </c>
      <c r="BV21" s="3">
        <f t="shared" si="41"/>
        <v>1844.9602209166922</v>
      </c>
      <c r="BW21" s="3">
        <f t="shared" si="41"/>
        <v>1826.5106187075253</v>
      </c>
      <c r="BX21" s="3">
        <f t="shared" si="41"/>
        <v>1808.2455125204501</v>
      </c>
      <c r="BY21" s="3">
        <f t="shared" si="41"/>
        <v>1790.1630573952457</v>
      </c>
      <c r="BZ21" s="3">
        <f t="shared" si="41"/>
        <v>1772.2614268212933</v>
      </c>
      <c r="CA21" s="3">
        <f t="shared" si="41"/>
        <v>1754.5388125530803</v>
      </c>
      <c r="CB21" s="3">
        <f t="shared" si="41"/>
        <v>1736.9934244275496</v>
      </c>
      <c r="CC21" s="3">
        <f t="shared" si="41"/>
        <v>1719.623490183274</v>
      </c>
      <c r="CD21" s="3">
        <f t="shared" si="41"/>
        <v>1702.4272552814414</v>
      </c>
      <c r="CE21" s="3">
        <f t="shared" si="41"/>
        <v>1685.402982728627</v>
      </c>
      <c r="CF21" s="3">
        <f t="shared" si="41"/>
        <v>1668.5489529013407</v>
      </c>
      <c r="CG21" s="3">
        <f t="shared" si="41"/>
        <v>1651.8634633723273</v>
      </c>
      <c r="CH21" s="3">
        <f t="shared" si="41"/>
        <v>1635.3448287386041</v>
      </c>
      <c r="CI21" s="3">
        <f t="shared" si="41"/>
        <v>1618.991380451218</v>
      </c>
      <c r="CJ21" s="3">
        <f t="shared" si="41"/>
        <v>1602.8014666467059</v>
      </c>
      <c r="CK21" s="3">
        <f t="shared" si="41"/>
        <v>1586.7734519802389</v>
      </c>
      <c r="CL21" s="3">
        <f t="shared" si="41"/>
        <v>1570.9057174604366</v>
      </c>
      <c r="CM21" s="3">
        <f t="shared" si="41"/>
        <v>1555.1966602858322</v>
      </c>
      <c r="CN21" s="3">
        <f t="shared" si="41"/>
        <v>1539.6446936829739</v>
      </c>
      <c r="CO21" s="3">
        <f t="shared" si="41"/>
        <v>1524.2482467461441</v>
      </c>
      <c r="CP21" s="3">
        <f t="shared" si="41"/>
        <v>1509.0057642786826</v>
      </c>
      <c r="CQ21" s="3">
        <f t="shared" si="41"/>
        <v>1493.9157066358957</v>
      </c>
      <c r="CR21" s="3">
        <f t="shared" si="41"/>
        <v>1478.9765495695367</v>
      </c>
      <c r="CS21" s="3">
        <f t="shared" si="41"/>
        <v>1464.1867840738414</v>
      </c>
      <c r="CT21" s="3">
        <f t="shared" si="41"/>
        <v>1449.5449162331031</v>
      </c>
      <c r="CU21" s="3">
        <f t="shared" si="41"/>
        <v>1435.0494670707722</v>
      </c>
      <c r="CV21" s="3">
        <f t="shared" si="41"/>
        <v>1420.6989724000643</v>
      </c>
      <c r="CW21" s="3">
        <f t="shared" si="41"/>
        <v>1406.4919826760638</v>
      </c>
      <c r="CX21" s="3">
        <f t="shared" ref="CX21:EF21" si="42">CW21*(1+$AN$30)</f>
        <v>1392.4270628493032</v>
      </c>
      <c r="CY21" s="3">
        <f t="shared" si="42"/>
        <v>1378.5027922208101</v>
      </c>
      <c r="CZ21" s="3">
        <f t="shared" si="42"/>
        <v>1364.7177642986019</v>
      </c>
      <c r="DA21" s="3">
        <f t="shared" si="42"/>
        <v>1351.0705866556159</v>
      </c>
      <c r="DB21" s="3">
        <f t="shared" si="42"/>
        <v>1337.5598807890597</v>
      </c>
      <c r="DC21" s="3">
        <f t="shared" si="42"/>
        <v>1324.1842819811691</v>
      </c>
      <c r="DD21" s="3">
        <f t="shared" si="42"/>
        <v>1310.9424391613575</v>
      </c>
      <c r="DE21" s="3">
        <f t="shared" si="42"/>
        <v>1297.8330147697438</v>
      </c>
      <c r="DF21" s="3">
        <f t="shared" si="42"/>
        <v>1284.8546846220463</v>
      </c>
      <c r="DG21" s="3">
        <f t="shared" si="42"/>
        <v>1272.0061377758259</v>
      </c>
      <c r="DH21" s="3">
        <f t="shared" si="42"/>
        <v>1259.2860763980677</v>
      </c>
      <c r="DI21" s="3">
        <f t="shared" si="42"/>
        <v>1246.693215634087</v>
      </c>
      <c r="DJ21" s="3">
        <f t="shared" si="42"/>
        <v>1234.2262834777462</v>
      </c>
      <c r="DK21" s="3">
        <f t="shared" si="42"/>
        <v>1221.8840206429686</v>
      </c>
      <c r="DL21" s="3">
        <f t="shared" si="42"/>
        <v>1209.665180436539</v>
      </c>
      <c r="DM21" s="3">
        <f t="shared" si="42"/>
        <v>1197.5685286321736</v>
      </c>
      <c r="DN21" s="3">
        <f t="shared" si="42"/>
        <v>1185.5928433458519</v>
      </c>
      <c r="DO21" s="3">
        <f t="shared" si="42"/>
        <v>1173.7369149123933</v>
      </c>
      <c r="DP21" s="3">
        <f t="shared" si="42"/>
        <v>1161.9995457632695</v>
      </c>
      <c r="DQ21" s="3">
        <f t="shared" si="42"/>
        <v>1150.3795503056367</v>
      </c>
      <c r="DR21" s="3">
        <f t="shared" si="42"/>
        <v>1138.8757548025803</v>
      </c>
      <c r="DS21" s="3">
        <f t="shared" si="42"/>
        <v>1127.4869972545546</v>
      </c>
      <c r="DT21" s="3">
        <f t="shared" si="42"/>
        <v>1116.2121272820091</v>
      </c>
      <c r="DU21" s="3">
        <f t="shared" si="42"/>
        <v>1105.050006009189</v>
      </c>
      <c r="DV21" s="3">
        <f t="shared" si="42"/>
        <v>1093.9995059490971</v>
      </c>
      <c r="DW21" s="3">
        <f t="shared" si="42"/>
        <v>1083.0595108896061</v>
      </c>
      <c r="DX21" s="3">
        <f t="shared" si="42"/>
        <v>1072.2289157807102</v>
      </c>
      <c r="DY21" s="3">
        <f t="shared" si="42"/>
        <v>1061.506626622903</v>
      </c>
      <c r="DZ21" s="3">
        <f t="shared" si="42"/>
        <v>1050.8915603566741</v>
      </c>
      <c r="EA21" s="3">
        <f t="shared" si="42"/>
        <v>1040.3826447531073</v>
      </c>
      <c r="EB21" s="3">
        <f t="shared" si="42"/>
        <v>1029.9788183055762</v>
      </c>
      <c r="EC21" s="3">
        <f t="shared" si="42"/>
        <v>1019.6790301225204</v>
      </c>
      <c r="ED21" s="3">
        <f t="shared" si="42"/>
        <v>1009.4822398212953</v>
      </c>
      <c r="EE21" s="3">
        <f t="shared" si="42"/>
        <v>999.3874174230823</v>
      </c>
      <c r="EF21" s="3">
        <f t="shared" si="42"/>
        <v>989.39354324885142</v>
      </c>
    </row>
    <row r="22" spans="2:136" x14ac:dyDescent="0.3">
      <c r="B22" s="1" t="s">
        <v>2</v>
      </c>
      <c r="G22" s="6">
        <v>930</v>
      </c>
      <c r="H22" s="6">
        <v>942</v>
      </c>
      <c r="I22" s="6">
        <v>942</v>
      </c>
      <c r="J22" s="6">
        <v>963</v>
      </c>
      <c r="K22" s="6">
        <v>978</v>
      </c>
      <c r="L22" s="6">
        <v>1058</v>
      </c>
      <c r="M22" s="6">
        <v>1058</v>
      </c>
      <c r="N22" s="6">
        <v>1058</v>
      </c>
      <c r="O22" s="6">
        <f>1138.6+7.8</f>
        <v>1146.3999999999999</v>
      </c>
      <c r="P22" s="6">
        <f>1209.5+3.9</f>
        <v>1213.4000000000001</v>
      </c>
      <c r="Q22" s="6">
        <f>1222+3.9</f>
        <v>1225.9000000000001</v>
      </c>
      <c r="R22" s="6">
        <f>1222+3.9</f>
        <v>1225.9000000000001</v>
      </c>
      <c r="U22" s="6">
        <v>1058</v>
      </c>
      <c r="V22" s="6">
        <v>1058</v>
      </c>
      <c r="W22" s="6">
        <v>1058</v>
      </c>
      <c r="X22" s="6">
        <v>1058</v>
      </c>
      <c r="Y22" s="6">
        <v>1058</v>
      </c>
      <c r="Z22" s="6">
        <f t="shared" ref="Z22:AJ22" si="43">1222+3.9</f>
        <v>1225.9000000000001</v>
      </c>
      <c r="AA22" s="6">
        <f t="shared" si="43"/>
        <v>1225.9000000000001</v>
      </c>
      <c r="AB22" s="6">
        <f t="shared" si="43"/>
        <v>1225.9000000000001</v>
      </c>
      <c r="AC22" s="6">
        <f t="shared" si="43"/>
        <v>1225.9000000000001</v>
      </c>
      <c r="AD22" s="6">
        <f t="shared" si="43"/>
        <v>1225.9000000000001</v>
      </c>
      <c r="AE22" s="6">
        <f t="shared" si="43"/>
        <v>1225.9000000000001</v>
      </c>
      <c r="AF22" s="6">
        <f t="shared" si="43"/>
        <v>1225.9000000000001</v>
      </c>
      <c r="AG22" s="6">
        <f t="shared" si="43"/>
        <v>1225.9000000000001</v>
      </c>
      <c r="AH22" s="6">
        <f t="shared" si="43"/>
        <v>1225.9000000000001</v>
      </c>
      <c r="AI22" s="6">
        <f t="shared" si="43"/>
        <v>1225.9000000000001</v>
      </c>
      <c r="AJ22" s="6">
        <f t="shared" si="43"/>
        <v>1225.9000000000001</v>
      </c>
    </row>
    <row r="23" spans="2:136" x14ac:dyDescent="0.3">
      <c r="B23" s="1" t="s">
        <v>42</v>
      </c>
      <c r="G23" s="10">
        <f t="shared" ref="G23:N23" si="44">G21/G22</f>
        <v>-1.4505376344086021</v>
      </c>
      <c r="H23" s="10">
        <f t="shared" si="44"/>
        <v>-1.2685774946921444</v>
      </c>
      <c r="I23" s="10">
        <f t="shared" si="44"/>
        <v>-1.4511677282377919</v>
      </c>
      <c r="J23" s="10">
        <f t="shared" si="44"/>
        <v>-1.5794392523364487</v>
      </c>
      <c r="K23" s="10">
        <f t="shared" si="44"/>
        <v>-1.4785276073619631</v>
      </c>
      <c r="L23" s="10">
        <f t="shared" si="44"/>
        <v>-1.3771266540642721</v>
      </c>
      <c r="M23" s="10">
        <f t="shared" si="44"/>
        <v>-1.0396975425330812</v>
      </c>
      <c r="N23" s="10">
        <f t="shared" si="44"/>
        <v>-0.7032136105860114</v>
      </c>
      <c r="O23" s="10">
        <f t="shared" ref="O23" si="45">O21/O22</f>
        <v>-0.47540125610607126</v>
      </c>
      <c r="P23" s="10">
        <f t="shared" ref="P23" si="46">P21/P22</f>
        <v>-0.92055381572441064</v>
      </c>
      <c r="Q23" s="10">
        <f t="shared" ref="Q23" si="47">Q21/Q22</f>
        <v>-0.95847948446039632</v>
      </c>
      <c r="R23" s="10">
        <f t="shared" ref="R23" si="48">R21/R22</f>
        <v>-0.50900562851782361</v>
      </c>
      <c r="U23" s="10">
        <f t="shared" ref="U23:AA23" si="49">U21/U22</f>
        <v>-0.96219281663516065</v>
      </c>
      <c r="V23" s="10">
        <f t="shared" si="49"/>
        <v>-4.4300567107750473</v>
      </c>
      <c r="W23" s="10">
        <f t="shared" si="49"/>
        <v>-6.3818525519848768</v>
      </c>
      <c r="X23" s="10">
        <f t="shared" si="49"/>
        <v>-5.1342155009451798</v>
      </c>
      <c r="Y23" s="10">
        <f t="shared" si="49"/>
        <v>-4.4867674858223063</v>
      </c>
      <c r="Z23" s="10">
        <f t="shared" si="49"/>
        <v>-2.8232237539766705</v>
      </c>
      <c r="AA23" s="10">
        <f t="shared" si="49"/>
        <v>-2.1073349375968675</v>
      </c>
      <c r="AB23" s="10">
        <f t="shared" ref="AB23:AJ23" si="50">AB21/AB22</f>
        <v>-1.3315480420915251</v>
      </c>
      <c r="AC23" s="10">
        <f t="shared" si="50"/>
        <v>-0.9716279575756589</v>
      </c>
      <c r="AD23" s="10">
        <f t="shared" si="50"/>
        <v>-0.60743569961680377</v>
      </c>
      <c r="AE23" s="10">
        <f t="shared" si="50"/>
        <v>-0.22124170745174263</v>
      </c>
      <c r="AF23" s="10">
        <f t="shared" si="50"/>
        <v>0.21175169985007447</v>
      </c>
      <c r="AG23" s="10">
        <f t="shared" si="50"/>
        <v>0.63020172864317858</v>
      </c>
      <c r="AH23" s="10">
        <f t="shared" si="50"/>
        <v>1.1149769733795711</v>
      </c>
      <c r="AI23" s="10">
        <f t="shared" si="50"/>
        <v>1.6760497290035488</v>
      </c>
      <c r="AJ23" s="10">
        <f t="shared" si="50"/>
        <v>2.2049287844938625</v>
      </c>
    </row>
    <row r="25" spans="2:136" x14ac:dyDescent="0.3">
      <c r="B25" s="1" t="s">
        <v>90</v>
      </c>
      <c r="N25" s="12">
        <f t="shared" ref="N25:R27" si="51">N3/J3-1</f>
        <v>0.25827814569536423</v>
      </c>
      <c r="O25" s="12">
        <f t="shared" si="51"/>
        <v>-0.1738351254480287</v>
      </c>
      <c r="P25" s="12">
        <f t="shared" ref="P25:P26" si="52">P3/L3-1</f>
        <v>-0.13687150837988826</v>
      </c>
      <c r="Q25" s="12">
        <f t="shared" ref="Q25:Q26" si="53">Q3/M3-1</f>
        <v>0.47164948453608257</v>
      </c>
      <c r="R25" s="12">
        <f t="shared" ref="R25:R26" si="54">R3/N3-1</f>
        <v>0.10000000000000009</v>
      </c>
      <c r="Z25" s="12">
        <f t="shared" ref="Z25:AJ27" si="55">Z3/Y3-1</f>
        <v>3.9456085599643309E-2</v>
      </c>
      <c r="AA25" s="12">
        <f t="shared" si="55"/>
        <v>0.30000000000000004</v>
      </c>
      <c r="AB25" s="12">
        <f t="shared" ref="AB25:AB26" si="56">AB3/AA3-1</f>
        <v>0.19999999999999996</v>
      </c>
      <c r="AC25" s="12">
        <f t="shared" ref="AC25:AC26" si="57">AC3/AB3-1</f>
        <v>0.14999999999999991</v>
      </c>
      <c r="AD25" s="12">
        <f t="shared" ref="AD25:AD26" si="58">AD3/AC3-1</f>
        <v>0.14999999999999991</v>
      </c>
      <c r="AE25" s="12">
        <f t="shared" ref="AE25:AE26" si="59">AE3/AD3-1</f>
        <v>0.14999999999999991</v>
      </c>
      <c r="AF25" s="12">
        <f t="shared" ref="AF25:AF26" si="60">AF3/AE3-1</f>
        <v>0.14999999999999991</v>
      </c>
      <c r="AG25" s="12">
        <f t="shared" ref="AG25:AG26" si="61">AG3/AF3-1</f>
        <v>0.14999999999999991</v>
      </c>
      <c r="AH25" s="12">
        <f t="shared" ref="AH25:AH26" si="62">AH3/AG3-1</f>
        <v>0.14999999999999991</v>
      </c>
      <c r="AI25" s="12">
        <f t="shared" ref="AI25:AI26" si="63">AI3/AH3-1</f>
        <v>0.14999999999999991</v>
      </c>
      <c r="AJ25" s="12">
        <f t="shared" ref="AJ25:AJ26" si="64">AJ3/AI3-1</f>
        <v>0.10000000000000009</v>
      </c>
    </row>
    <row r="26" spans="2:136" x14ac:dyDescent="0.3">
      <c r="B26" s="1" t="s">
        <v>91</v>
      </c>
      <c r="N26" s="12">
        <f t="shared" si="51"/>
        <v>1</v>
      </c>
      <c r="O26" s="12">
        <f t="shared" si="51"/>
        <v>2.6136363636363638</v>
      </c>
      <c r="P26" s="12">
        <f t="shared" si="52"/>
        <v>3.4761904761904763</v>
      </c>
      <c r="Q26" s="12">
        <f t="shared" si="53"/>
        <v>3.2448979591836737</v>
      </c>
      <c r="R26" s="12">
        <f t="shared" si="54"/>
        <v>1.5</v>
      </c>
      <c r="Z26" s="12">
        <f t="shared" si="55"/>
        <v>2.3987603305785123</v>
      </c>
      <c r="AA26" s="12">
        <f t="shared" si="55"/>
        <v>0.30000000000000004</v>
      </c>
      <c r="AB26" s="12">
        <f t="shared" si="56"/>
        <v>0.19999999999999996</v>
      </c>
      <c r="AC26" s="12">
        <f t="shared" si="57"/>
        <v>0.14999999999999991</v>
      </c>
      <c r="AD26" s="12">
        <f t="shared" si="58"/>
        <v>0.14999999999999991</v>
      </c>
      <c r="AE26" s="12">
        <f t="shared" si="59"/>
        <v>0.14999999999999991</v>
      </c>
      <c r="AF26" s="12">
        <f t="shared" si="60"/>
        <v>0.14999999999999991</v>
      </c>
      <c r="AG26" s="12">
        <f t="shared" si="61"/>
        <v>0.14999999999999991</v>
      </c>
      <c r="AH26" s="12">
        <f t="shared" si="62"/>
        <v>0.14999999999999991</v>
      </c>
      <c r="AI26" s="12">
        <f t="shared" si="63"/>
        <v>0.14999999999999991</v>
      </c>
      <c r="AJ26" s="12">
        <f t="shared" si="64"/>
        <v>0.14999999999999991</v>
      </c>
    </row>
    <row r="27" spans="2:136" s="3" customFormat="1" x14ac:dyDescent="0.3">
      <c r="B27" s="3" t="s">
        <v>47</v>
      </c>
      <c r="G27" s="11"/>
      <c r="H27" s="11"/>
      <c r="I27" s="11"/>
      <c r="J27" s="11"/>
      <c r="K27" s="11">
        <f t="shared" ref="K27:M27" si="65">K5/G5-1</f>
        <v>0.82148260211800306</v>
      </c>
      <c r="L27" s="11">
        <f t="shared" si="65"/>
        <v>3.3006244424620856E-2</v>
      </c>
      <c r="M27" s="11">
        <f t="shared" si="65"/>
        <v>-0.34629768137621542</v>
      </c>
      <c r="N27" s="11">
        <f>N5/J5-1</f>
        <v>0.31863117870722424</v>
      </c>
      <c r="O27" s="11">
        <f t="shared" si="51"/>
        <v>2.9900332225913706E-2</v>
      </c>
      <c r="P27" s="11">
        <f t="shared" si="51"/>
        <v>0.12521588946459405</v>
      </c>
      <c r="Q27" s="11">
        <f t="shared" si="51"/>
        <v>0.78260869565217384</v>
      </c>
      <c r="R27" s="11">
        <f t="shared" si="51"/>
        <v>0.27277970011534025</v>
      </c>
      <c r="T27" s="11"/>
      <c r="U27" s="11"/>
      <c r="V27" s="11"/>
      <c r="W27" s="11">
        <f t="shared" ref="W27:X27" si="66">W5/V5-1</f>
        <v>29.145454545454545</v>
      </c>
      <c r="X27" s="11">
        <f t="shared" si="66"/>
        <v>1.6743063932448732</v>
      </c>
      <c r="Y27" s="11">
        <f>Y5/X5-1</f>
        <v>0.12088407758231834</v>
      </c>
      <c r="Z27" s="11">
        <f t="shared" si="55"/>
        <v>0.26921529175050307</v>
      </c>
      <c r="AA27" s="11">
        <f t="shared" si="55"/>
        <v>0.30000000000000027</v>
      </c>
      <c r="AB27" s="11">
        <f t="shared" si="55"/>
        <v>0.19999999999999973</v>
      </c>
      <c r="AC27" s="11">
        <f t="shared" si="55"/>
        <v>0.14999999999999991</v>
      </c>
      <c r="AD27" s="11">
        <f t="shared" si="55"/>
        <v>0.14999999999999991</v>
      </c>
      <c r="AE27" s="11">
        <f t="shared" si="55"/>
        <v>0.14999999999999991</v>
      </c>
      <c r="AF27" s="11">
        <f t="shared" si="55"/>
        <v>0.14999999999999991</v>
      </c>
      <c r="AG27" s="11">
        <f t="shared" si="55"/>
        <v>0.14999999999999991</v>
      </c>
      <c r="AH27" s="11">
        <f t="shared" si="55"/>
        <v>0.14999999999999991</v>
      </c>
      <c r="AI27" s="11">
        <f t="shared" si="55"/>
        <v>0.14999999999999991</v>
      </c>
      <c r="AJ27" s="11">
        <f t="shared" si="55"/>
        <v>0.11303899809765383</v>
      </c>
    </row>
    <row r="28" spans="2:136" s="3" customFormat="1" x14ac:dyDescent="0.3">
      <c r="B28" s="1" t="s">
        <v>92</v>
      </c>
      <c r="G28" s="11"/>
      <c r="H28" s="11"/>
      <c r="I28" s="11"/>
      <c r="J28" s="12">
        <f>(J3-J6)/J3</f>
        <v>-0.50579470198675491</v>
      </c>
      <c r="K28" s="12">
        <f>(K3-K6)/K3</f>
        <v>-0.44534050179211471</v>
      </c>
      <c r="L28" s="12"/>
      <c r="M28" s="11"/>
      <c r="N28" s="12">
        <f>(N3-N6)/N3</f>
        <v>7.2368421052631582E-2</v>
      </c>
      <c r="O28" s="12">
        <f>(O3-O6)/O3</f>
        <v>9.9783080260303691E-2</v>
      </c>
      <c r="P28" s="12">
        <f t="shared" ref="P28:R28" si="67">(P3-P6)/P3</f>
        <v>-0.36138079827400216</v>
      </c>
      <c r="Q28" s="12">
        <f t="shared" si="67"/>
        <v>-0.11383537653239929</v>
      </c>
      <c r="R28" s="12">
        <f t="shared" si="67"/>
        <v>0.12000000000000004</v>
      </c>
      <c r="T28" s="11"/>
      <c r="U28" s="11"/>
      <c r="V28" s="11"/>
      <c r="W28" s="11"/>
      <c r="X28" s="11"/>
      <c r="Y28" s="11"/>
      <c r="Z28" s="12">
        <f t="shared" ref="Z28:AJ28" si="68">(Z3-Z6)/Z3</f>
        <v>-3.6963328329401794E-2</v>
      </c>
      <c r="AA28" s="12">
        <f t="shared" si="68"/>
        <v>8.0000000000000029E-2</v>
      </c>
      <c r="AB28" s="12">
        <f t="shared" si="68"/>
        <v>0.11999999999999997</v>
      </c>
      <c r="AC28" s="12">
        <f t="shared" si="68"/>
        <v>0.15000000000000008</v>
      </c>
      <c r="AD28" s="12">
        <f t="shared" si="68"/>
        <v>0.1700000000000001</v>
      </c>
      <c r="AE28" s="12">
        <f t="shared" si="68"/>
        <v>0.18000000000000008</v>
      </c>
      <c r="AF28" s="12">
        <f t="shared" si="68"/>
        <v>0.18999999999999992</v>
      </c>
      <c r="AG28" s="12">
        <f t="shared" si="68"/>
        <v>0.18999999999999992</v>
      </c>
      <c r="AH28" s="12">
        <f t="shared" si="68"/>
        <v>0.19</v>
      </c>
      <c r="AI28" s="12">
        <f t="shared" si="68"/>
        <v>0.19</v>
      </c>
      <c r="AJ28" s="12">
        <f t="shared" si="68"/>
        <v>0.18999999999999995</v>
      </c>
    </row>
    <row r="29" spans="2:136" s="3" customFormat="1" x14ac:dyDescent="0.3">
      <c r="B29" s="1" t="s">
        <v>93</v>
      </c>
      <c r="G29" s="11"/>
      <c r="H29" s="11"/>
      <c r="I29" s="11"/>
      <c r="J29" s="12">
        <f>(J4-J7)/J4</f>
        <v>4.6728971962616821E-2</v>
      </c>
      <c r="K29" s="12">
        <f>(K4-K7)/K4</f>
        <v>-0.34090909090909088</v>
      </c>
      <c r="L29" s="12"/>
      <c r="M29" s="11"/>
      <c r="N29" s="12">
        <f>(N4-N7)/N4</f>
        <v>0.28037383177570091</v>
      </c>
      <c r="O29" s="12">
        <f>(O4-O7)/O4</f>
        <v>0.35849056603773582</v>
      </c>
      <c r="P29" s="12">
        <f t="shared" ref="P29:R29" si="69">(P4-P7)/P4</f>
        <v>0.34308510638297873</v>
      </c>
      <c r="Q29" s="12">
        <f t="shared" si="69"/>
        <v>0.37019230769230771</v>
      </c>
      <c r="R29" s="12">
        <f t="shared" si="69"/>
        <v>0.4</v>
      </c>
      <c r="T29" s="11"/>
      <c r="U29" s="11"/>
      <c r="V29" s="11"/>
      <c r="W29" s="11"/>
      <c r="X29" s="11"/>
      <c r="Y29" s="11"/>
      <c r="Z29" s="12">
        <f t="shared" ref="Z29:AJ29" si="70">(Z4-Z7)/Z4</f>
        <v>0.37142857142857144</v>
      </c>
      <c r="AA29" s="12">
        <f t="shared" si="70"/>
        <v>0.4</v>
      </c>
      <c r="AB29" s="12">
        <f t="shared" si="70"/>
        <v>0.4300000000000001</v>
      </c>
      <c r="AC29" s="12">
        <f t="shared" si="70"/>
        <v>0.44999999999999996</v>
      </c>
      <c r="AD29" s="12">
        <f t="shared" si="70"/>
        <v>0.45999999999999996</v>
      </c>
      <c r="AE29" s="12">
        <f t="shared" si="70"/>
        <v>0.47</v>
      </c>
      <c r="AF29" s="12">
        <f t="shared" si="70"/>
        <v>0.47000000000000003</v>
      </c>
      <c r="AG29" s="12">
        <f t="shared" si="70"/>
        <v>0.47000000000000003</v>
      </c>
      <c r="AH29" s="12">
        <f t="shared" si="70"/>
        <v>0.47</v>
      </c>
      <c r="AI29" s="12">
        <f t="shared" si="70"/>
        <v>0.47</v>
      </c>
      <c r="AJ29" s="12">
        <f t="shared" si="70"/>
        <v>0.47</v>
      </c>
    </row>
    <row r="30" spans="2:136" x14ac:dyDescent="0.3">
      <c r="B30" s="1" t="s">
        <v>48</v>
      </c>
      <c r="G30" s="12">
        <f t="shared" ref="G30:M30" si="71">G9/G5</f>
        <v>-0.80937972768532529</v>
      </c>
      <c r="H30" s="12">
        <f t="shared" si="71"/>
        <v>-0.36752899197145406</v>
      </c>
      <c r="I30" s="12">
        <f t="shared" si="71"/>
        <v>-0.3567688855646971</v>
      </c>
      <c r="J30" s="12">
        <f t="shared" si="71"/>
        <v>-0.46083650190114067</v>
      </c>
      <c r="K30" s="12">
        <f t="shared" si="71"/>
        <v>-0.4377076411960133</v>
      </c>
      <c r="L30" s="12">
        <f t="shared" si="71"/>
        <v>-0.38946459412780654</v>
      </c>
      <c r="M30" s="12">
        <f t="shared" si="71"/>
        <v>-0.44851258581235698</v>
      </c>
      <c r="N30" s="12">
        <f>N9/N5</f>
        <v>9.8039215686274508E-2</v>
      </c>
      <c r="O30" s="12">
        <f t="shared" ref="O30:R30" si="72">O9/O5</f>
        <v>0.16612903225806452</v>
      </c>
      <c r="P30" s="12">
        <f t="shared" si="72"/>
        <v>-0.15809669992325404</v>
      </c>
      <c r="Q30" s="12">
        <f t="shared" si="72"/>
        <v>1.540436456996149E-2</v>
      </c>
      <c r="R30" s="12">
        <f t="shared" si="72"/>
        <v>0.18787494336202984</v>
      </c>
      <c r="T30" s="12"/>
      <c r="U30" s="12"/>
      <c r="V30" s="12">
        <f t="shared" ref="V30:X30" si="73">V9/V5</f>
        <v>-8.454545454545455</v>
      </c>
      <c r="W30" s="12">
        <f t="shared" si="73"/>
        <v>-1.8835946924004825</v>
      </c>
      <c r="X30" s="12">
        <f t="shared" si="73"/>
        <v>-0.45782589084348219</v>
      </c>
      <c r="Y30" s="12">
        <f>Y9/Y5</f>
        <v>-0.2414486921529175</v>
      </c>
      <c r="Z30" s="12">
        <f t="shared" ref="Z30:AJ30" si="74">Z9/Z5</f>
        <v>6.9537095751426664E-2</v>
      </c>
      <c r="AA30" s="12">
        <f t="shared" si="74"/>
        <v>0.1634495878249842</v>
      </c>
      <c r="AB30" s="12">
        <f t="shared" si="74"/>
        <v>0.20084178820545334</v>
      </c>
      <c r="AC30" s="12">
        <f t="shared" si="74"/>
        <v>0.22823398858592261</v>
      </c>
      <c r="AD30" s="12">
        <f t="shared" si="74"/>
        <v>0.24562618896639193</v>
      </c>
      <c r="AE30" s="12">
        <f t="shared" si="74"/>
        <v>0.255626188966392</v>
      </c>
      <c r="AF30" s="12">
        <f t="shared" si="74"/>
        <v>0.26301838934686106</v>
      </c>
      <c r="AG30" s="12">
        <f t="shared" si="74"/>
        <v>0.26301838934686106</v>
      </c>
      <c r="AH30" s="12">
        <f t="shared" si="74"/>
        <v>0.26301838934686111</v>
      </c>
      <c r="AI30" s="12">
        <f t="shared" si="74"/>
        <v>0.26301838934686111</v>
      </c>
      <c r="AJ30" s="12">
        <f t="shared" si="74"/>
        <v>0.26544313172531164</v>
      </c>
      <c r="AM30" s="1" t="s">
        <v>53</v>
      </c>
      <c r="AN30" s="12">
        <v>-0.01</v>
      </c>
    </row>
    <row r="31" spans="2:136" x14ac:dyDescent="0.3">
      <c r="B31" s="1" t="s">
        <v>49</v>
      </c>
      <c r="G31" s="12"/>
      <c r="H31" s="12"/>
      <c r="I31" s="12"/>
      <c r="J31" s="12"/>
      <c r="K31" s="12">
        <f t="shared" ref="K31:M31" si="75">K10/G10-1</f>
        <v>-7.0564516129032251E-2</v>
      </c>
      <c r="L31" s="12">
        <f t="shared" si="75"/>
        <v>-3.6036036036036001E-2</v>
      </c>
      <c r="M31" s="12">
        <f t="shared" si="75"/>
        <v>-0.33837429111531192</v>
      </c>
      <c r="N31" s="12">
        <f>N10/J10-1</f>
        <v>-0.28897338403041828</v>
      </c>
      <c r="O31" s="12">
        <f t="shared" ref="O31:R31" si="76">O10/K10-1</f>
        <v>-0.17353579175704992</v>
      </c>
      <c r="P31" s="12">
        <f t="shared" si="76"/>
        <v>-4.2056074766355089E-2</v>
      </c>
      <c r="Q31" s="12">
        <f t="shared" si="76"/>
        <v>0.29428571428571426</v>
      </c>
      <c r="R31" s="12">
        <f t="shared" si="76"/>
        <v>0.26069518716577522</v>
      </c>
      <c r="T31" s="12"/>
      <c r="U31" s="12"/>
      <c r="V31" s="12">
        <f t="shared" ref="V31:X31" si="77">V10/U10-1</f>
        <v>1.4151436031331595</v>
      </c>
      <c r="W31" s="12">
        <f t="shared" si="77"/>
        <v>5.0810810810810736E-2</v>
      </c>
      <c r="X31" s="12">
        <f t="shared" si="77"/>
        <v>2.6234567901234573E-2</v>
      </c>
      <c r="Y31" s="12">
        <f>Y10/X10-1</f>
        <v>-0.19147869674185458</v>
      </c>
      <c r="Z31" s="12">
        <f t="shared" ref="Z31:AJ31" si="78">Z10/Y10-1</f>
        <v>6.3546187228766371E-2</v>
      </c>
      <c r="AA31" s="12">
        <f t="shared" si="78"/>
        <v>4.0000000000000036E-2</v>
      </c>
      <c r="AB31" s="12">
        <f t="shared" si="78"/>
        <v>3.0000000000000027E-2</v>
      </c>
      <c r="AC31" s="12">
        <f t="shared" si="78"/>
        <v>2.0000000000000018E-2</v>
      </c>
      <c r="AD31" s="12">
        <f t="shared" si="78"/>
        <v>2.0000000000000018E-2</v>
      </c>
      <c r="AE31" s="12">
        <f t="shared" si="78"/>
        <v>1.0000000000000009E-2</v>
      </c>
      <c r="AF31" s="12">
        <f t="shared" si="78"/>
        <v>1.0000000000000009E-2</v>
      </c>
      <c r="AG31" s="12">
        <f t="shared" si="78"/>
        <v>1.0000000000000009E-2</v>
      </c>
      <c r="AH31" s="12">
        <f t="shared" si="78"/>
        <v>1.0000000000000009E-2</v>
      </c>
      <c r="AI31" s="12">
        <f t="shared" si="78"/>
        <v>1.0000000000000009E-2</v>
      </c>
      <c r="AJ31" s="12">
        <f t="shared" si="78"/>
        <v>1.0000000000000009E-2</v>
      </c>
      <c r="AM31" s="1" t="s">
        <v>54</v>
      </c>
      <c r="AN31" s="12">
        <v>0.09</v>
      </c>
    </row>
    <row r="32" spans="2:136" x14ac:dyDescent="0.3">
      <c r="B32" s="1" t="s">
        <v>50</v>
      </c>
      <c r="G32" s="12">
        <f t="shared" ref="G32:M32" si="79">G11/G5</f>
        <v>0.60816944024205744</v>
      </c>
      <c r="H32" s="12">
        <f t="shared" si="79"/>
        <v>0.38269402319357715</v>
      </c>
      <c r="I32" s="12">
        <f t="shared" si="79"/>
        <v>0.32460732984293195</v>
      </c>
      <c r="J32" s="12">
        <f t="shared" si="79"/>
        <v>0.34144486692015208</v>
      </c>
      <c r="K32" s="12">
        <f t="shared" si="79"/>
        <v>0.41196013289036543</v>
      </c>
      <c r="L32" s="12">
        <f t="shared" si="79"/>
        <v>0.42832469775474957</v>
      </c>
      <c r="M32" s="12">
        <f t="shared" si="79"/>
        <v>0.48855835240274598</v>
      </c>
      <c r="N32" s="12">
        <f>N11/N5</f>
        <v>0.2635524798154556</v>
      </c>
      <c r="O32" s="12">
        <f t="shared" ref="O32:R32" si="80">O11/O5</f>
        <v>0.38709677419354838</v>
      </c>
      <c r="P32" s="12">
        <f t="shared" si="80"/>
        <v>0.38219493476592481</v>
      </c>
      <c r="Q32" s="12">
        <f t="shared" si="80"/>
        <v>0.35558408215661103</v>
      </c>
      <c r="R32" s="12">
        <f t="shared" si="80"/>
        <v>0.25855006796556412</v>
      </c>
      <c r="T32" s="12"/>
      <c r="U32" s="12"/>
      <c r="V32" s="12">
        <f t="shared" ref="V32:X32" si="81">V11/V5</f>
        <v>34.618181818181817</v>
      </c>
      <c r="W32" s="12">
        <f t="shared" si="81"/>
        <v>1.0790108564535585</v>
      </c>
      <c r="X32" s="12">
        <f t="shared" si="81"/>
        <v>0.38655841226883175</v>
      </c>
      <c r="Y32" s="12">
        <f>Y11/Y5</f>
        <v>0.37746478873239436</v>
      </c>
      <c r="Z32" s="12">
        <f t="shared" ref="Z32:AJ32" si="82">Z11/Z5</f>
        <v>0.33332593532022825</v>
      </c>
      <c r="AA32" s="12">
        <f t="shared" si="82"/>
        <v>0.26409670259987317</v>
      </c>
      <c r="AB32" s="12">
        <f t="shared" si="82"/>
        <v>0.22448219720989221</v>
      </c>
      <c r="AC32" s="12">
        <f t="shared" si="82"/>
        <v>0.19715392972347054</v>
      </c>
      <c r="AD32" s="12">
        <f t="shared" si="82"/>
        <v>0.17315258175713499</v>
      </c>
      <c r="AE32" s="12">
        <f t="shared" si="82"/>
        <v>0.15207313702148378</v>
      </c>
      <c r="AF32" s="12">
        <f t="shared" si="82"/>
        <v>0.1335598855579988</v>
      </c>
      <c r="AG32" s="12">
        <f t="shared" si="82"/>
        <v>0.11730042122919898</v>
      </c>
      <c r="AH32" s="12">
        <f t="shared" si="82"/>
        <v>0.10302036994912261</v>
      </c>
      <c r="AI32" s="12">
        <f t="shared" si="82"/>
        <v>9.0478759694446811E-2</v>
      </c>
      <c r="AJ32" s="12">
        <f t="shared" si="82"/>
        <v>8.2102736245162219E-2</v>
      </c>
      <c r="AM32" s="1" t="s">
        <v>55</v>
      </c>
      <c r="AN32" s="6">
        <f>NPV(AN31,Z21:EF21)</f>
        <v>5344.564445321741</v>
      </c>
    </row>
    <row r="33" spans="2:40" x14ac:dyDescent="0.3">
      <c r="B33" s="1" t="s">
        <v>52</v>
      </c>
      <c r="G33" s="12">
        <f t="shared" ref="G33:M33" si="83">G12/G5</f>
        <v>-2.1679273827534038</v>
      </c>
      <c r="H33" s="12">
        <f t="shared" si="83"/>
        <v>-1.1462979482604818</v>
      </c>
      <c r="I33" s="12">
        <f t="shared" si="83"/>
        <v>-1.0770381451009723</v>
      </c>
      <c r="J33" s="12">
        <f t="shared" si="83"/>
        <v>-1.2022813688212928</v>
      </c>
      <c r="K33" s="12">
        <f t="shared" si="83"/>
        <v>-1.2325581395348837</v>
      </c>
      <c r="L33" s="12">
        <f t="shared" si="83"/>
        <v>-1.1873920552677029</v>
      </c>
      <c r="M33" s="12">
        <f t="shared" si="83"/>
        <v>-1.3375286041189931</v>
      </c>
      <c r="N33" s="12">
        <f>N12/N5</f>
        <v>-0.38119953863898498</v>
      </c>
      <c r="O33" s="12">
        <f t="shared" ref="O33:R33" si="84">O12/O5</f>
        <v>-0.52822580645161288</v>
      </c>
      <c r="P33" s="12">
        <f t="shared" si="84"/>
        <v>-0.85495011511895624</v>
      </c>
      <c r="Q33" s="12">
        <f t="shared" si="84"/>
        <v>-0.63093709884467264</v>
      </c>
      <c r="R33" s="12">
        <f t="shared" si="84"/>
        <v>-0.28431354780244678</v>
      </c>
      <c r="T33" s="12"/>
      <c r="U33" s="12"/>
      <c r="V33" s="12">
        <f t="shared" ref="V33:X33" si="85">V12/V5</f>
        <v>-76.709090909090904</v>
      </c>
      <c r="W33" s="12">
        <f t="shared" si="85"/>
        <v>-4.1351025331724971</v>
      </c>
      <c r="X33" s="12">
        <f t="shared" si="85"/>
        <v>-1.2943166441136671</v>
      </c>
      <c r="Y33" s="12">
        <f>Y12/Y5</f>
        <v>-0.94346076458752515</v>
      </c>
      <c r="Z33" s="12">
        <f t="shared" ref="Z33:AJ33" si="86">Z12/Z5</f>
        <v>-0.53574508560558032</v>
      </c>
      <c r="AA33" s="12">
        <f t="shared" si="86"/>
        <v>-0.3182121116043119</v>
      </c>
      <c r="AB33" s="12">
        <f t="shared" si="86"/>
        <v>-0.21038369794969358</v>
      </c>
      <c r="AC33" s="12">
        <f t="shared" si="86"/>
        <v>-0.13455311915855644</v>
      </c>
      <c r="AD33" s="12">
        <f t="shared" si="86"/>
        <v>-7.4435820252855001E-2</v>
      </c>
      <c r="AE33" s="12">
        <f t="shared" si="86"/>
        <v>-2.5471749565294469E-2</v>
      </c>
      <c r="AF33" s="12">
        <f t="shared" si="86"/>
        <v>1.6141069419032105E-2</v>
      </c>
      <c r="AG33" s="12">
        <f t="shared" si="86"/>
        <v>4.6195699671115552E-2</v>
      </c>
      <c r="AH33" s="12">
        <f t="shared" si="86"/>
        <v>7.2591505370771567E-2</v>
      </c>
      <c r="AI33" s="12">
        <f t="shared" si="86"/>
        <v>9.5773908637425936E-2</v>
      </c>
      <c r="AJ33" s="12">
        <f t="shared" si="86"/>
        <v>0.11368122059260811</v>
      </c>
      <c r="AM33" s="1" t="s">
        <v>56</v>
      </c>
      <c r="AN33" s="6">
        <f>Main!D8</f>
        <v>2650</v>
      </c>
    </row>
    <row r="34" spans="2:40" x14ac:dyDescent="0.3">
      <c r="B34" s="1" t="s">
        <v>40</v>
      </c>
      <c r="G34" s="12">
        <f t="shared" ref="G34:M34" si="87">G19/G18</f>
        <v>-7.4183976261127599E-4</v>
      </c>
      <c r="H34" s="12">
        <f t="shared" si="87"/>
        <v>0</v>
      </c>
      <c r="I34" s="12">
        <f t="shared" si="87"/>
        <v>0</v>
      </c>
      <c r="J34" s="12">
        <f t="shared" si="87"/>
        <v>0</v>
      </c>
      <c r="K34" s="12">
        <f t="shared" si="87"/>
        <v>-6.9204152249134946E-4</v>
      </c>
      <c r="L34" s="12">
        <f t="shared" si="87"/>
        <v>-6.8681318681318687E-4</v>
      </c>
      <c r="M34" s="12">
        <f t="shared" si="87"/>
        <v>0</v>
      </c>
      <c r="N34" s="12">
        <f>N19/N18</f>
        <v>-4.0540540540540543E-3</v>
      </c>
      <c r="O34" s="12">
        <f t="shared" ref="O34:R34" si="88">O19/O18</f>
        <v>-3.7105751391465678E-3</v>
      </c>
      <c r="P34" s="12">
        <f t="shared" si="88"/>
        <v>-1.7969451931716084E-3</v>
      </c>
      <c r="Q34" s="12">
        <f t="shared" si="88"/>
        <v>-8.5689802913453304E-4</v>
      </c>
      <c r="R34" s="12">
        <f t="shared" si="88"/>
        <v>0</v>
      </c>
      <c r="T34" s="12"/>
      <c r="U34" s="12"/>
      <c r="V34" s="12">
        <f t="shared" ref="V34:X34" si="89">V19/V18</f>
        <v>0</v>
      </c>
      <c r="W34" s="12">
        <f t="shared" si="89"/>
        <v>-5.9276822762299936E-4</v>
      </c>
      <c r="X34" s="12">
        <f t="shared" si="89"/>
        <v>-1.8412815319462345E-4</v>
      </c>
      <c r="Y34" s="12">
        <f>Y19/Y18</f>
        <v>-1.054629824931449E-3</v>
      </c>
      <c r="Z34" s="12">
        <f t="shared" ref="Z34:AJ34" si="90">Z19/Z18</f>
        <v>-1.4522261174153858E-3</v>
      </c>
      <c r="AA34" s="12">
        <f t="shared" si="90"/>
        <v>0</v>
      </c>
      <c r="AB34" s="12">
        <f t="shared" si="90"/>
        <v>0.2</v>
      </c>
      <c r="AC34" s="12">
        <f t="shared" si="90"/>
        <v>0.19999999999999998</v>
      </c>
      <c r="AD34" s="12">
        <f t="shared" si="90"/>
        <v>0.2</v>
      </c>
      <c r="AE34" s="12">
        <f t="shared" si="90"/>
        <v>0.2</v>
      </c>
      <c r="AF34" s="12">
        <f t="shared" si="90"/>
        <v>0.2</v>
      </c>
      <c r="AG34" s="12">
        <f t="shared" si="90"/>
        <v>0.2</v>
      </c>
      <c r="AH34" s="12">
        <f t="shared" si="90"/>
        <v>0.2</v>
      </c>
      <c r="AI34" s="12">
        <f t="shared" si="90"/>
        <v>0.19999999999999998</v>
      </c>
      <c r="AJ34" s="12">
        <f t="shared" si="90"/>
        <v>0.2</v>
      </c>
      <c r="AM34" s="1" t="s">
        <v>57</v>
      </c>
      <c r="AN34" s="6">
        <f>AN32+AN33</f>
        <v>7994.564445321741</v>
      </c>
    </row>
    <row r="35" spans="2:40" x14ac:dyDescent="0.3">
      <c r="B35" s="1" t="s">
        <v>51</v>
      </c>
      <c r="G35" s="12">
        <f t="shared" ref="G35:M35" si="91">G21/G5</f>
        <v>-2.0408472012102874</v>
      </c>
      <c r="H35" s="12">
        <f t="shared" si="91"/>
        <v>-1.0660124888492417</v>
      </c>
      <c r="I35" s="12">
        <f t="shared" si="91"/>
        <v>-1.0224382946896036</v>
      </c>
      <c r="J35" s="12">
        <f t="shared" si="91"/>
        <v>-1.1566539923954373</v>
      </c>
      <c r="K35" s="12">
        <f t="shared" si="91"/>
        <v>-1.2009966777408638</v>
      </c>
      <c r="L35" s="12">
        <f t="shared" si="91"/>
        <v>-1.258203799654577</v>
      </c>
      <c r="M35" s="12">
        <f t="shared" si="91"/>
        <v>-1.2585812356979404</v>
      </c>
      <c r="N35" s="12">
        <f>N21/N5</f>
        <v>-0.4290657439446367</v>
      </c>
      <c r="O35" s="12">
        <f t="shared" ref="O35:R35" si="92">O21/O5</f>
        <v>-0.43951612903225806</v>
      </c>
      <c r="P35" s="12">
        <f t="shared" si="92"/>
        <v>-0.85725249424405214</v>
      </c>
      <c r="Q35" s="12">
        <f t="shared" si="92"/>
        <v>-0.75417201540436452</v>
      </c>
      <c r="R35" s="12">
        <f t="shared" si="92"/>
        <v>-0.28273221567739015</v>
      </c>
      <c r="T35" s="12"/>
      <c r="U35" s="12"/>
      <c r="V35" s="12">
        <f t="shared" ref="V35:X35" si="93">V21/V5</f>
        <v>-85.218181818181819</v>
      </c>
      <c r="W35" s="12">
        <f t="shared" si="93"/>
        <v>-4.0723763570566947</v>
      </c>
      <c r="X35" s="12">
        <f t="shared" si="93"/>
        <v>-1.2250789354984213</v>
      </c>
      <c r="Y35" s="12">
        <f>Y21/Y5</f>
        <v>-0.95513078470824953</v>
      </c>
      <c r="Z35" s="12">
        <f t="shared" ref="Z35:AJ35" si="94">Z21/Z5</f>
        <v>-0.54866677235256822</v>
      </c>
      <c r="AA35" s="12">
        <f t="shared" si="94"/>
        <v>-0.31503120579483923</v>
      </c>
      <c r="AB35" s="12">
        <f t="shared" si="94"/>
        <v>-0.16588060184056069</v>
      </c>
      <c r="AC35" s="12">
        <f t="shared" si="94"/>
        <v>-0.10525456103519874</v>
      </c>
      <c r="AD35" s="12">
        <f t="shared" si="94"/>
        <v>-5.721941239624162E-2</v>
      </c>
      <c r="AE35" s="12">
        <f t="shared" si="94"/>
        <v>-1.8122255224302743E-2</v>
      </c>
      <c r="AF35" s="12">
        <f t="shared" si="94"/>
        <v>1.5082533755432514E-2</v>
      </c>
      <c r="AG35" s="12">
        <f t="shared" si="94"/>
        <v>3.9032750034171358E-2</v>
      </c>
      <c r="AH35" s="12">
        <f t="shared" si="94"/>
        <v>6.0050636952712337E-2</v>
      </c>
      <c r="AI35" s="12">
        <f t="shared" si="94"/>
        <v>7.8494780566215172E-2</v>
      </c>
      <c r="AJ35" s="12">
        <f t="shared" si="94"/>
        <v>9.2776517241754675E-2</v>
      </c>
      <c r="AM35" s="1" t="s">
        <v>58</v>
      </c>
      <c r="AN35" s="4">
        <f>AN34/AJ22</f>
        <v>6.5213838366275718</v>
      </c>
    </row>
    <row r="36" spans="2:40" x14ac:dyDescent="0.3">
      <c r="AM36" s="1" t="s">
        <v>59</v>
      </c>
      <c r="AN36" s="4">
        <f>Main!D3</f>
        <v>16.350000000000001</v>
      </c>
    </row>
    <row r="37" spans="2:40" s="3" customFormat="1" x14ac:dyDescent="0.3">
      <c r="B37" s="3" t="s">
        <v>56</v>
      </c>
      <c r="J37" s="9">
        <f>J38+J39-J53</f>
        <v>4937</v>
      </c>
      <c r="N37" s="9">
        <f>N38+N39-N53</f>
        <v>3259</v>
      </c>
      <c r="AM37" s="3" t="s">
        <v>60</v>
      </c>
      <c r="AN37" s="11">
        <f>AN35/AN36-1</f>
        <v>-0.60113860326436874</v>
      </c>
    </row>
    <row r="38" spans="2:40" x14ac:dyDescent="0.3">
      <c r="B38" s="1" t="s">
        <v>4</v>
      </c>
      <c r="J38" s="6">
        <v>7857</v>
      </c>
      <c r="N38" s="6">
        <v>5294</v>
      </c>
      <c r="AM38" s="1" t="s">
        <v>61</v>
      </c>
      <c r="AN38" s="7" t="s">
        <v>89</v>
      </c>
    </row>
    <row r="39" spans="2:40" x14ac:dyDescent="0.3">
      <c r="B39" s="1" t="s">
        <v>62</v>
      </c>
      <c r="J39" s="6">
        <v>1511</v>
      </c>
      <c r="N39" s="6">
        <v>2406</v>
      </c>
    </row>
    <row r="40" spans="2:40" x14ac:dyDescent="0.3">
      <c r="B40" s="1" t="s">
        <v>63</v>
      </c>
      <c r="J40" s="6">
        <v>161</v>
      </c>
      <c r="N40" s="6">
        <v>443</v>
      </c>
    </row>
    <row r="41" spans="2:40" x14ac:dyDescent="0.3">
      <c r="B41" s="1" t="s">
        <v>64</v>
      </c>
      <c r="J41" s="6">
        <v>2620</v>
      </c>
      <c r="N41" s="6">
        <v>2248</v>
      </c>
    </row>
    <row r="42" spans="2:40" x14ac:dyDescent="0.3">
      <c r="B42" s="1" t="s">
        <v>65</v>
      </c>
      <c r="J42" s="6">
        <v>164</v>
      </c>
      <c r="N42" s="6">
        <v>192</v>
      </c>
    </row>
    <row r="43" spans="2:40" s="3" customFormat="1" x14ac:dyDescent="0.3">
      <c r="B43" s="3" t="s">
        <v>66</v>
      </c>
      <c r="J43" s="9">
        <f>SUM(J38:J42)</f>
        <v>12313</v>
      </c>
      <c r="N43" s="9">
        <f>SUM(N38:N42)</f>
        <v>10583</v>
      </c>
    </row>
    <row r="44" spans="2:40" x14ac:dyDescent="0.3">
      <c r="B44" s="1" t="s">
        <v>67</v>
      </c>
      <c r="J44" s="6">
        <v>3874</v>
      </c>
      <c r="N44" s="6">
        <v>3965</v>
      </c>
    </row>
    <row r="45" spans="2:40" x14ac:dyDescent="0.3">
      <c r="B45" s="1" t="s">
        <v>68</v>
      </c>
      <c r="J45" s="6">
        <v>356</v>
      </c>
      <c r="N45" s="6">
        <v>416</v>
      </c>
    </row>
    <row r="46" spans="2:40" x14ac:dyDescent="0.3">
      <c r="B46" s="1" t="s">
        <v>69</v>
      </c>
      <c r="J46" s="6">
        <v>235</v>
      </c>
      <c r="N46" s="6">
        <v>446</v>
      </c>
    </row>
    <row r="47" spans="2:40" s="3" customFormat="1" x14ac:dyDescent="0.3">
      <c r="B47" s="3" t="s">
        <v>70</v>
      </c>
      <c r="J47" s="9">
        <f>SUM(J44:J46)</f>
        <v>4465</v>
      </c>
      <c r="N47" s="9">
        <f>SUM(N44:N46)</f>
        <v>4827</v>
      </c>
    </row>
    <row r="48" spans="2:40" s="3" customFormat="1" x14ac:dyDescent="0.3">
      <c r="B48" s="3" t="s">
        <v>79</v>
      </c>
      <c r="J48" s="9">
        <f>J43+J47</f>
        <v>16778</v>
      </c>
      <c r="N48" s="9">
        <f>N43+N47</f>
        <v>15410</v>
      </c>
    </row>
    <row r="49" spans="2:36" x14ac:dyDescent="0.3">
      <c r="B49" s="1" t="s">
        <v>71</v>
      </c>
      <c r="J49" s="6">
        <v>981</v>
      </c>
      <c r="N49" s="6">
        <v>499</v>
      </c>
    </row>
    <row r="50" spans="2:36" x14ac:dyDescent="0.3">
      <c r="B50" s="1" t="s">
        <v>72</v>
      </c>
      <c r="J50" s="6">
        <v>1145</v>
      </c>
      <c r="N50" s="6">
        <v>835</v>
      </c>
    </row>
    <row r="51" spans="2:36" x14ac:dyDescent="0.3">
      <c r="B51" s="1" t="s">
        <v>73</v>
      </c>
      <c r="J51" s="6">
        <v>361</v>
      </c>
      <c r="N51" s="6">
        <v>917</v>
      </c>
    </row>
    <row r="52" spans="2:36" s="3" customFormat="1" x14ac:dyDescent="0.3">
      <c r="B52" s="3" t="s">
        <v>74</v>
      </c>
      <c r="J52" s="9">
        <f>SUM(J49:J51)</f>
        <v>2487</v>
      </c>
      <c r="N52" s="9">
        <f>SUM(N49:N51)</f>
        <v>2251</v>
      </c>
    </row>
    <row r="53" spans="2:36" x14ac:dyDescent="0.3">
      <c r="B53" s="1" t="s">
        <v>5</v>
      </c>
      <c r="J53" s="6">
        <v>4431</v>
      </c>
      <c r="N53" s="6">
        <v>4441</v>
      </c>
    </row>
    <row r="54" spans="2:36" x14ac:dyDescent="0.3">
      <c r="B54" s="1" t="s">
        <v>68</v>
      </c>
      <c r="J54" s="6">
        <v>324</v>
      </c>
      <c r="N54" s="6">
        <v>379</v>
      </c>
    </row>
    <row r="55" spans="2:36" x14ac:dyDescent="0.3">
      <c r="B55" s="1" t="s">
        <v>75</v>
      </c>
      <c r="J55" s="6">
        <v>395</v>
      </c>
      <c r="N55" s="6">
        <v>1777</v>
      </c>
    </row>
    <row r="56" spans="2:36" s="3" customFormat="1" x14ac:dyDescent="0.3">
      <c r="B56" s="3" t="s">
        <v>76</v>
      </c>
      <c r="J56" s="9">
        <f>SUM(J53:J55)</f>
        <v>5150</v>
      </c>
      <c r="N56" s="9">
        <f>SUM(N53:N55)</f>
        <v>6597</v>
      </c>
    </row>
    <row r="57" spans="2:36" s="3" customFormat="1" x14ac:dyDescent="0.3">
      <c r="B57" s="3" t="s">
        <v>77</v>
      </c>
      <c r="J57" s="9">
        <v>9141</v>
      </c>
      <c r="N57" s="9">
        <v>6562</v>
      </c>
    </row>
    <row r="58" spans="2:36" s="3" customFormat="1" x14ac:dyDescent="0.3">
      <c r="B58" s="3" t="s">
        <v>78</v>
      </c>
      <c r="J58" s="9">
        <f>J52+J56+J57</f>
        <v>16778</v>
      </c>
      <c r="N58" s="9">
        <f>N52+N56+N57</f>
        <v>15410</v>
      </c>
    </row>
    <row r="60" spans="2:36" s="3" customFormat="1" x14ac:dyDescent="0.3">
      <c r="B60" s="3" t="s">
        <v>80</v>
      </c>
      <c r="X60" s="9">
        <f>X21</f>
        <v>-5432</v>
      </c>
      <c r="Y60" s="9">
        <f>Y21</f>
        <v>-4747</v>
      </c>
      <c r="Z60" s="9">
        <f t="shared" ref="Z60:AJ60" si="95">Z21</f>
        <v>-3460.9900000000007</v>
      </c>
      <c r="AA60" s="9">
        <f t="shared" si="95"/>
        <v>-2583.3818999999999</v>
      </c>
      <c r="AB60" s="9">
        <f t="shared" si="95"/>
        <v>-1632.3447448000006</v>
      </c>
      <c r="AC60" s="9">
        <f t="shared" si="95"/>
        <v>-1191.1187131920003</v>
      </c>
      <c r="AD60" s="9">
        <f t="shared" si="95"/>
        <v>-744.65542416023982</v>
      </c>
      <c r="AE60" s="9">
        <f t="shared" si="95"/>
        <v>-271.22020916509132</v>
      </c>
      <c r="AF60" s="9">
        <f t="shared" si="95"/>
        <v>259.58640884620633</v>
      </c>
      <c r="AG60" s="9">
        <f t="shared" si="95"/>
        <v>772.56429914367266</v>
      </c>
      <c r="AH60" s="9">
        <f t="shared" si="95"/>
        <v>1366.8502716660164</v>
      </c>
      <c r="AI60" s="9">
        <f t="shared" si="95"/>
        <v>2054.6693627854506</v>
      </c>
      <c r="AJ60" s="9">
        <f t="shared" si="95"/>
        <v>2703.0221969110262</v>
      </c>
    </row>
    <row r="61" spans="2:36" x14ac:dyDescent="0.3">
      <c r="B61" s="1" t="s">
        <v>81</v>
      </c>
      <c r="X61" s="6">
        <v>937</v>
      </c>
      <c r="Y61" s="6">
        <v>1031</v>
      </c>
      <c r="Z61" s="1">
        <f>Y61*1.08</f>
        <v>1113.48</v>
      </c>
      <c r="AA61" s="1">
        <f t="shared" ref="AA61" si="96">Z61*1.08</f>
        <v>1202.5584000000001</v>
      </c>
      <c r="AB61" s="1">
        <f>AA61*1.07</f>
        <v>1286.7374880000002</v>
      </c>
      <c r="AC61" s="1">
        <f>AB61*1.06</f>
        <v>1363.9417372800003</v>
      </c>
      <c r="AD61" s="1">
        <f>AC61*1.05</f>
        <v>1432.1388241440004</v>
      </c>
      <c r="AE61" s="1">
        <f>AD61*1.04</f>
        <v>1489.4243771097604</v>
      </c>
      <c r="AF61" s="1">
        <f>AE61*1.03</f>
        <v>1534.1071084230532</v>
      </c>
      <c r="AG61" s="1">
        <f>AF61*1.02</f>
        <v>1564.7892505915142</v>
      </c>
      <c r="AH61" s="1">
        <f t="shared" ref="AH61:AJ61" si="97">AG61*1.02</f>
        <v>1596.0850356033445</v>
      </c>
      <c r="AI61" s="1">
        <f t="shared" si="97"/>
        <v>1628.0067363154114</v>
      </c>
      <c r="AJ61" s="1">
        <f t="shared" si="97"/>
        <v>1660.5668710417197</v>
      </c>
    </row>
    <row r="62" spans="2:36" x14ac:dyDescent="0.3">
      <c r="B62" s="1" t="s">
        <v>82</v>
      </c>
      <c r="X62" s="6">
        <v>821</v>
      </c>
      <c r="Y62" s="6">
        <v>692</v>
      </c>
      <c r="Z62" s="1">
        <f>Y62*0.85</f>
        <v>588.19999999999993</v>
      </c>
      <c r="AA62" s="1">
        <f t="shared" ref="AA62:AJ62" si="98">Z62*0.85</f>
        <v>499.96999999999991</v>
      </c>
      <c r="AB62" s="1">
        <f t="shared" si="98"/>
        <v>424.97449999999992</v>
      </c>
      <c r="AC62" s="1">
        <f t="shared" si="98"/>
        <v>361.22832499999993</v>
      </c>
      <c r="AD62" s="1">
        <f t="shared" si="98"/>
        <v>307.04407624999993</v>
      </c>
      <c r="AE62" s="1">
        <f t="shared" si="98"/>
        <v>260.98746481249992</v>
      </c>
      <c r="AF62" s="1">
        <f t="shared" si="98"/>
        <v>221.83934509062493</v>
      </c>
      <c r="AG62" s="1">
        <f t="shared" si="98"/>
        <v>188.56344332703119</v>
      </c>
      <c r="AH62" s="1">
        <f t="shared" si="98"/>
        <v>160.27892682797651</v>
      </c>
      <c r="AI62" s="1">
        <f t="shared" si="98"/>
        <v>136.23708780378001</v>
      </c>
      <c r="AJ62" s="1">
        <f t="shared" si="98"/>
        <v>115.80152463321301</v>
      </c>
    </row>
    <row r="63" spans="2:36" x14ac:dyDescent="0.3">
      <c r="B63" s="1" t="s">
        <v>83</v>
      </c>
      <c r="X63" s="6">
        <v>0</v>
      </c>
      <c r="Y63" s="6">
        <v>112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</row>
    <row r="64" spans="2:36" x14ac:dyDescent="0.3">
      <c r="B64" s="1" t="s">
        <v>64</v>
      </c>
      <c r="X64" s="6">
        <v>107</v>
      </c>
      <c r="Y64" s="6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</row>
    <row r="65" spans="2:140" x14ac:dyDescent="0.3">
      <c r="B65" s="1" t="s">
        <v>84</v>
      </c>
      <c r="X65" s="6">
        <v>115</v>
      </c>
      <c r="Y65" s="6">
        <v>28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</row>
    <row r="66" spans="2:140" x14ac:dyDescent="0.3">
      <c r="B66" s="1" t="s">
        <v>63</v>
      </c>
      <c r="X66" s="6">
        <v>-59</v>
      </c>
      <c r="Y66" s="6">
        <v>-282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</row>
    <row r="67" spans="2:140" x14ac:dyDescent="0.3">
      <c r="B67" s="1" t="s">
        <v>64</v>
      </c>
      <c r="X67" s="6">
        <v>-1604</v>
      </c>
      <c r="Y67" s="6">
        <v>307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</row>
    <row r="68" spans="2:140" x14ac:dyDescent="0.3">
      <c r="B68" s="1" t="s">
        <v>85</v>
      </c>
      <c r="X68" s="6">
        <v>-146</v>
      </c>
      <c r="Y68" s="6">
        <v>-221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</row>
    <row r="69" spans="2:140" x14ac:dyDescent="0.3">
      <c r="B69" s="1" t="s">
        <v>71</v>
      </c>
      <c r="X69" s="6">
        <v>105</v>
      </c>
      <c r="Y69" s="6">
        <v>-572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</row>
    <row r="70" spans="2:140" x14ac:dyDescent="0.3">
      <c r="B70" s="1" t="s">
        <v>73</v>
      </c>
      <c r="X70" s="6">
        <v>149</v>
      </c>
      <c r="Y70" s="6">
        <v>1619</v>
      </c>
      <c r="Z70" s="1">
        <v>0</v>
      </c>
      <c r="AA70" s="1">
        <f t="shared" ref="AA70:AJ70" si="99">Z70*0.8</f>
        <v>0</v>
      </c>
      <c r="AB70" s="1">
        <f t="shared" si="99"/>
        <v>0</v>
      </c>
      <c r="AC70" s="1">
        <f t="shared" si="99"/>
        <v>0</v>
      </c>
      <c r="AD70" s="1">
        <f t="shared" si="99"/>
        <v>0</v>
      </c>
      <c r="AE70" s="1">
        <f t="shared" si="99"/>
        <v>0</v>
      </c>
      <c r="AF70" s="1">
        <f t="shared" si="99"/>
        <v>0</v>
      </c>
      <c r="AG70" s="1">
        <f t="shared" si="99"/>
        <v>0</v>
      </c>
      <c r="AH70" s="1">
        <f t="shared" si="99"/>
        <v>0</v>
      </c>
      <c r="AI70" s="1">
        <f t="shared" si="99"/>
        <v>0</v>
      </c>
      <c r="AJ70" s="1">
        <f t="shared" si="99"/>
        <v>0</v>
      </c>
    </row>
    <row r="71" spans="2:140" x14ac:dyDescent="0.3">
      <c r="B71" s="1" t="s">
        <v>86</v>
      </c>
      <c r="X71" s="6">
        <v>141</v>
      </c>
      <c r="Y71" s="6">
        <v>316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</row>
    <row r="72" spans="2:140" s="3" customFormat="1" x14ac:dyDescent="0.3">
      <c r="B72" s="3" t="s">
        <v>87</v>
      </c>
      <c r="X72" s="9">
        <f>X60+SUM(X61:X71)</f>
        <v>-4866</v>
      </c>
      <c r="Y72" s="9">
        <f>Y60+SUM(Y61:Y71)</f>
        <v>-1717</v>
      </c>
      <c r="Z72" s="9">
        <f t="shared" ref="Z72:AJ72" si="100">Z60+SUM(Z61:Z71)</f>
        <v>-1759.3100000000009</v>
      </c>
      <c r="AA72" s="9">
        <f t="shared" si="100"/>
        <v>-880.85349999999971</v>
      </c>
      <c r="AB72" s="9">
        <f t="shared" si="100"/>
        <v>79.367243199999393</v>
      </c>
      <c r="AC72" s="9">
        <f t="shared" si="100"/>
        <v>534.05134908800005</v>
      </c>
      <c r="AD72" s="9">
        <f t="shared" si="100"/>
        <v>994.52747623376058</v>
      </c>
      <c r="AE72" s="9">
        <f t="shared" si="100"/>
        <v>1479.1916327571689</v>
      </c>
      <c r="AF72" s="9">
        <f t="shared" si="100"/>
        <v>2015.5328623598843</v>
      </c>
      <c r="AG72" s="9">
        <f t="shared" si="100"/>
        <v>2525.9169930622179</v>
      </c>
      <c r="AH72" s="9">
        <f t="shared" si="100"/>
        <v>3123.2142340973373</v>
      </c>
      <c r="AI72" s="9">
        <f t="shared" si="100"/>
        <v>3818.9131869046423</v>
      </c>
      <c r="AJ72" s="9">
        <f t="shared" si="100"/>
        <v>4479.390592585959</v>
      </c>
    </row>
    <row r="73" spans="2:140" x14ac:dyDescent="0.3">
      <c r="B73" s="1" t="s">
        <v>67</v>
      </c>
      <c r="X73" s="6">
        <v>1026</v>
      </c>
      <c r="Y73" s="6">
        <v>1141</v>
      </c>
      <c r="Z73" s="6">
        <f>Y73*1.05</f>
        <v>1198.05</v>
      </c>
      <c r="AA73" s="6">
        <f>Z73*1.03</f>
        <v>1233.9915000000001</v>
      </c>
      <c r="AB73" s="6">
        <f>AA73*1.02</f>
        <v>1258.6713300000001</v>
      </c>
      <c r="AC73" s="6">
        <f>AB73*1.01</f>
        <v>1271.2580433000001</v>
      </c>
      <c r="AD73" s="6">
        <f t="shared" ref="AD73:AJ73" si="101">AC73*1.01</f>
        <v>1283.9706237330001</v>
      </c>
      <c r="AE73" s="6">
        <f t="shared" si="101"/>
        <v>1296.8103299703303</v>
      </c>
      <c r="AF73" s="6">
        <f t="shared" si="101"/>
        <v>1309.7784332700335</v>
      </c>
      <c r="AG73" s="6">
        <f t="shared" si="101"/>
        <v>1322.8762176027337</v>
      </c>
      <c r="AH73" s="6">
        <f t="shared" si="101"/>
        <v>1336.1049797787612</v>
      </c>
      <c r="AI73" s="6">
        <f t="shared" si="101"/>
        <v>1349.4660295765489</v>
      </c>
      <c r="AJ73" s="6">
        <f t="shared" si="101"/>
        <v>1362.9606898723143</v>
      </c>
    </row>
    <row r="74" spans="2:140" s="3" customFormat="1" x14ac:dyDescent="0.3">
      <c r="B74" s="3" t="s">
        <v>88</v>
      </c>
      <c r="X74" s="9">
        <f>X72-X73</f>
        <v>-5892</v>
      </c>
      <c r="Y74" s="9">
        <f>Y72-Y73</f>
        <v>-2858</v>
      </c>
      <c r="Z74" s="9">
        <f t="shared" ref="Z74:AJ74" si="102">Z72-Z73</f>
        <v>-2957.3600000000006</v>
      </c>
      <c r="AA74" s="9">
        <f t="shared" si="102"/>
        <v>-2114.8449999999998</v>
      </c>
      <c r="AB74" s="9">
        <f t="shared" si="102"/>
        <v>-1179.3040868000007</v>
      </c>
      <c r="AC74" s="9">
        <f t="shared" si="102"/>
        <v>-737.206694212</v>
      </c>
      <c r="AD74" s="9">
        <f t="shared" si="102"/>
        <v>-289.44314749923956</v>
      </c>
      <c r="AE74" s="9">
        <f t="shared" si="102"/>
        <v>182.38130278683866</v>
      </c>
      <c r="AF74" s="9">
        <f t="shared" si="102"/>
        <v>705.75442908985087</v>
      </c>
      <c r="AG74" s="9">
        <f t="shared" si="102"/>
        <v>1203.0407754594842</v>
      </c>
      <c r="AH74" s="9">
        <f t="shared" si="102"/>
        <v>1787.1092543185762</v>
      </c>
      <c r="AI74" s="9">
        <f t="shared" si="102"/>
        <v>2469.4471573280935</v>
      </c>
      <c r="AJ74" s="9">
        <f t="shared" si="102"/>
        <v>3116.4299027136449</v>
      </c>
      <c r="AK74" s="3">
        <f>AJ74*(1+$AN$30)</f>
        <v>3085.2656036865083</v>
      </c>
      <c r="AL74" s="3">
        <f t="shared" ref="AL74:CW74" si="103">AK74*(1+$AN$30)</f>
        <v>3054.4129476496432</v>
      </c>
      <c r="AM74" s="3">
        <f t="shared" si="103"/>
        <v>3023.8688181731468</v>
      </c>
      <c r="AN74" s="3">
        <f t="shared" si="103"/>
        <v>2993.6301299914153</v>
      </c>
      <c r="AO74" s="3">
        <f t="shared" si="103"/>
        <v>2963.693828691501</v>
      </c>
      <c r="AP74" s="3">
        <f t="shared" si="103"/>
        <v>2934.0568904045858</v>
      </c>
      <c r="AQ74" s="3">
        <f t="shared" si="103"/>
        <v>2904.7163215005398</v>
      </c>
      <c r="AR74" s="3">
        <f t="shared" si="103"/>
        <v>2875.6691582855342</v>
      </c>
      <c r="AS74" s="3">
        <f t="shared" si="103"/>
        <v>2846.912466702679</v>
      </c>
      <c r="AT74" s="3">
        <f t="shared" si="103"/>
        <v>2818.4433420356522</v>
      </c>
      <c r="AU74" s="3">
        <f t="shared" si="103"/>
        <v>2790.2589086152957</v>
      </c>
      <c r="AV74" s="3">
        <f t="shared" si="103"/>
        <v>2762.3563195291426</v>
      </c>
      <c r="AW74" s="3">
        <f t="shared" si="103"/>
        <v>2734.7327563338513</v>
      </c>
      <c r="AX74" s="3">
        <f t="shared" si="103"/>
        <v>2707.3854287705126</v>
      </c>
      <c r="AY74" s="3">
        <f t="shared" si="103"/>
        <v>2680.3115744828074</v>
      </c>
      <c r="AZ74" s="3">
        <f t="shared" si="103"/>
        <v>2653.5084587379793</v>
      </c>
      <c r="BA74" s="3">
        <f t="shared" si="103"/>
        <v>2626.9733741505993</v>
      </c>
      <c r="BB74" s="3">
        <f t="shared" si="103"/>
        <v>2600.7036404090932</v>
      </c>
      <c r="BC74" s="3">
        <f t="shared" si="103"/>
        <v>2574.6966040050024</v>
      </c>
      <c r="BD74" s="3">
        <f t="shared" si="103"/>
        <v>2548.9496379649522</v>
      </c>
      <c r="BE74" s="3">
        <f t="shared" si="103"/>
        <v>2523.4601415853026</v>
      </c>
      <c r="BF74" s="3">
        <f t="shared" si="103"/>
        <v>2498.2255401694497</v>
      </c>
      <c r="BG74" s="3">
        <f t="shared" si="103"/>
        <v>2473.2432847677551</v>
      </c>
      <c r="BH74" s="3">
        <f t="shared" si="103"/>
        <v>2448.5108519200776</v>
      </c>
      <c r="BI74" s="3">
        <f t="shared" si="103"/>
        <v>2424.0257434008768</v>
      </c>
      <c r="BJ74" s="3">
        <f t="shared" si="103"/>
        <v>2399.7854859668678</v>
      </c>
      <c r="BK74" s="3">
        <f t="shared" si="103"/>
        <v>2375.7876311071991</v>
      </c>
      <c r="BL74" s="3">
        <f t="shared" si="103"/>
        <v>2352.0297547961272</v>
      </c>
      <c r="BM74" s="3">
        <f t="shared" si="103"/>
        <v>2328.5094572481657</v>
      </c>
      <c r="BN74" s="3">
        <f t="shared" si="103"/>
        <v>2305.224362675684</v>
      </c>
      <c r="BO74" s="3">
        <f t="shared" si="103"/>
        <v>2282.172119048927</v>
      </c>
      <c r="BP74" s="3">
        <f t="shared" si="103"/>
        <v>2259.3503978584376</v>
      </c>
      <c r="BQ74" s="3">
        <f t="shared" si="103"/>
        <v>2236.7568938798531</v>
      </c>
      <c r="BR74" s="3">
        <f t="shared" si="103"/>
        <v>2214.3893249410544</v>
      </c>
      <c r="BS74" s="3">
        <f t="shared" si="103"/>
        <v>2192.2454316916437</v>
      </c>
      <c r="BT74" s="3">
        <f t="shared" si="103"/>
        <v>2170.3229773747271</v>
      </c>
      <c r="BU74" s="3">
        <f t="shared" si="103"/>
        <v>2148.6197476009797</v>
      </c>
      <c r="BV74" s="3">
        <f t="shared" si="103"/>
        <v>2127.13355012497</v>
      </c>
      <c r="BW74" s="3">
        <f t="shared" si="103"/>
        <v>2105.8622146237203</v>
      </c>
      <c r="BX74" s="3">
        <f t="shared" si="103"/>
        <v>2084.8035924774831</v>
      </c>
      <c r="BY74" s="3">
        <f t="shared" si="103"/>
        <v>2063.9555565527085</v>
      </c>
      <c r="BZ74" s="3">
        <f t="shared" si="103"/>
        <v>2043.3160009871813</v>
      </c>
      <c r="CA74" s="3">
        <f t="shared" si="103"/>
        <v>2022.8828409773093</v>
      </c>
      <c r="CB74" s="3">
        <f t="shared" si="103"/>
        <v>2002.6540125675363</v>
      </c>
      <c r="CC74" s="3">
        <f t="shared" si="103"/>
        <v>1982.6274724418608</v>
      </c>
      <c r="CD74" s="3">
        <f t="shared" si="103"/>
        <v>1962.8011977174422</v>
      </c>
      <c r="CE74" s="3">
        <f t="shared" si="103"/>
        <v>1943.1731857402676</v>
      </c>
      <c r="CF74" s="3">
        <f t="shared" si="103"/>
        <v>1923.741453882865</v>
      </c>
      <c r="CG74" s="3">
        <f t="shared" si="103"/>
        <v>1904.5040393440363</v>
      </c>
      <c r="CH74" s="3">
        <f t="shared" si="103"/>
        <v>1885.458998950596</v>
      </c>
      <c r="CI74" s="3">
        <f t="shared" si="103"/>
        <v>1866.60440896109</v>
      </c>
      <c r="CJ74" s="3">
        <f t="shared" si="103"/>
        <v>1847.9383648714791</v>
      </c>
      <c r="CK74" s="3">
        <f t="shared" si="103"/>
        <v>1829.4589812227644</v>
      </c>
      <c r="CL74" s="3">
        <f t="shared" si="103"/>
        <v>1811.1643914105366</v>
      </c>
      <c r="CM74" s="3">
        <f t="shared" si="103"/>
        <v>1793.0527474964313</v>
      </c>
      <c r="CN74" s="3">
        <f t="shared" si="103"/>
        <v>1775.122220021467</v>
      </c>
      <c r="CO74" s="3">
        <f t="shared" si="103"/>
        <v>1757.3709978212523</v>
      </c>
      <c r="CP74" s="3">
        <f t="shared" si="103"/>
        <v>1739.7972878430398</v>
      </c>
      <c r="CQ74" s="3">
        <f t="shared" si="103"/>
        <v>1722.3993149646094</v>
      </c>
      <c r="CR74" s="3">
        <f t="shared" si="103"/>
        <v>1705.1753218149634</v>
      </c>
      <c r="CS74" s="3">
        <f t="shared" si="103"/>
        <v>1688.1235685968138</v>
      </c>
      <c r="CT74" s="3">
        <f t="shared" si="103"/>
        <v>1671.2423329108456</v>
      </c>
      <c r="CU74" s="3">
        <f t="shared" si="103"/>
        <v>1654.529909581737</v>
      </c>
      <c r="CV74" s="3">
        <f t="shared" si="103"/>
        <v>1637.9846104859196</v>
      </c>
      <c r="CW74" s="3">
        <f t="shared" si="103"/>
        <v>1621.6047643810605</v>
      </c>
      <c r="CX74" s="3">
        <f t="shared" ref="CX74:EJ74" si="104">CW74*(1+$AN$30)</f>
        <v>1605.3887167372498</v>
      </c>
      <c r="CY74" s="3">
        <f t="shared" si="104"/>
        <v>1589.3348295698772</v>
      </c>
      <c r="CZ74" s="3">
        <f t="shared" si="104"/>
        <v>1573.4414812741784</v>
      </c>
      <c r="DA74" s="3">
        <f t="shared" si="104"/>
        <v>1557.7070664614366</v>
      </c>
      <c r="DB74" s="3">
        <f t="shared" si="104"/>
        <v>1542.1299957968222</v>
      </c>
      <c r="DC74" s="3">
        <f t="shared" si="104"/>
        <v>1526.7086958388541</v>
      </c>
      <c r="DD74" s="3">
        <f t="shared" si="104"/>
        <v>1511.4416088804655</v>
      </c>
      <c r="DE74" s="3">
        <f t="shared" si="104"/>
        <v>1496.3271927916608</v>
      </c>
      <c r="DF74" s="3">
        <f t="shared" si="104"/>
        <v>1481.3639208637442</v>
      </c>
      <c r="DG74" s="3">
        <f t="shared" si="104"/>
        <v>1466.5502816551068</v>
      </c>
      <c r="DH74" s="3">
        <f t="shared" si="104"/>
        <v>1451.8847788385558</v>
      </c>
      <c r="DI74" s="3">
        <f t="shared" si="104"/>
        <v>1437.3659310501703</v>
      </c>
      <c r="DJ74" s="3">
        <f t="shared" si="104"/>
        <v>1422.9922717396685</v>
      </c>
      <c r="DK74" s="3">
        <f t="shared" si="104"/>
        <v>1408.7623490222718</v>
      </c>
      <c r="DL74" s="3">
        <f t="shared" si="104"/>
        <v>1394.674725532049</v>
      </c>
      <c r="DM74" s="3">
        <f t="shared" si="104"/>
        <v>1380.7279782767284</v>
      </c>
      <c r="DN74" s="3">
        <f t="shared" si="104"/>
        <v>1366.920698493961</v>
      </c>
      <c r="DO74" s="3">
        <f t="shared" si="104"/>
        <v>1353.2514915090214</v>
      </c>
      <c r="DP74" s="3">
        <f t="shared" si="104"/>
        <v>1339.7189765939313</v>
      </c>
      <c r="DQ74" s="3">
        <f t="shared" si="104"/>
        <v>1326.3217868279919</v>
      </c>
      <c r="DR74" s="3">
        <f t="shared" si="104"/>
        <v>1313.0585689597119</v>
      </c>
      <c r="DS74" s="3">
        <f t="shared" si="104"/>
        <v>1299.9279832701147</v>
      </c>
      <c r="DT74" s="3">
        <f t="shared" si="104"/>
        <v>1286.9287034374136</v>
      </c>
      <c r="DU74" s="3">
        <f t="shared" si="104"/>
        <v>1274.0594164030394</v>
      </c>
      <c r="DV74" s="3">
        <f t="shared" si="104"/>
        <v>1261.318822239009</v>
      </c>
      <c r="DW74" s="3">
        <f t="shared" si="104"/>
        <v>1248.7056340166189</v>
      </c>
      <c r="DX74" s="3">
        <f t="shared" si="104"/>
        <v>1236.2185776764527</v>
      </c>
      <c r="DY74" s="3">
        <f t="shared" si="104"/>
        <v>1223.8563918996881</v>
      </c>
      <c r="DZ74" s="3">
        <f t="shared" si="104"/>
        <v>1211.6178279806911</v>
      </c>
      <c r="EA74" s="3">
        <f t="shared" si="104"/>
        <v>1199.5016497008842</v>
      </c>
      <c r="EB74" s="3">
        <f t="shared" si="104"/>
        <v>1187.5066332038753</v>
      </c>
      <c r="EC74" s="3">
        <f t="shared" si="104"/>
        <v>1175.6315668718364</v>
      </c>
      <c r="ED74" s="3">
        <f t="shared" si="104"/>
        <v>1163.8752512031181</v>
      </c>
      <c r="EE74" s="3">
        <f t="shared" si="104"/>
        <v>1152.2364986910868</v>
      </c>
      <c r="EF74" s="3">
        <f t="shared" si="104"/>
        <v>1140.714133704176</v>
      </c>
      <c r="EG74" s="3">
        <f t="shared" si="104"/>
        <v>1129.3069923671342</v>
      </c>
      <c r="EH74" s="3">
        <f t="shared" si="104"/>
        <v>1118.0139224434629</v>
      </c>
      <c r="EI74" s="3">
        <f t="shared" si="104"/>
        <v>1106.8337832190282</v>
      </c>
      <c r="EJ74" s="3">
        <f t="shared" si="104"/>
        <v>1095.7654453868379</v>
      </c>
    </row>
    <row r="77" spans="2:140" x14ac:dyDescent="0.3">
      <c r="AN77" s="6">
        <f>NPV(AN31,Z74:EJ74)</f>
        <v>10013.929248012633</v>
      </c>
    </row>
    <row r="78" spans="2:140" x14ac:dyDescent="0.3">
      <c r="AN78" s="6">
        <f>Main!D8</f>
        <v>2650</v>
      </c>
    </row>
    <row r="79" spans="2:140" x14ac:dyDescent="0.3">
      <c r="AN79" s="6">
        <f>AN77+AN78</f>
        <v>12663.929248012633</v>
      </c>
    </row>
    <row r="80" spans="2:140" x14ac:dyDescent="0.3">
      <c r="AN80" s="4">
        <f>AN79/AJ22</f>
        <v>10.330311810109007</v>
      </c>
    </row>
    <row r="81" spans="40:40" x14ac:dyDescent="0.3">
      <c r="AN81" s="4">
        <f>Main!D3</f>
        <v>16.350000000000001</v>
      </c>
    </row>
    <row r="82" spans="40:40" x14ac:dyDescent="0.3">
      <c r="AN82" s="11">
        <f>AN80/AN81-1</f>
        <v>-0.368176647699755</v>
      </c>
    </row>
    <row r="83" spans="40:40" x14ac:dyDescent="0.3">
      <c r="AN83" s="7" t="s">
        <v>94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2025-02-21T14:09:56Z</dcterms:created>
  <dcterms:modified xsi:type="dcterms:W3CDTF">2025-12-11T15:49:11Z</dcterms:modified>
</cp:coreProperties>
</file>