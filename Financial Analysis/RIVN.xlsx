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32BC78D-AEE9-4458-A13D-613874B3A2CC}" xr6:coauthVersionLast="47" xr6:coauthVersionMax="47" xr10:uidLastSave="{00000000-0000-0000-0000-000000000000}"/>
  <bookViews>
    <workbookView xWindow="-108" yWindow="-108" windowWidth="23256" windowHeight="12576" xr2:uid="{ABF471AF-A41B-460E-88DC-31087F0CAAF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2" l="1"/>
  <c r="L5" i="2"/>
  <c r="D7" i="1"/>
  <c r="D6" i="1"/>
  <c r="AJ22" i="2"/>
  <c r="AI22" i="2"/>
  <c r="AH22" i="2"/>
  <c r="AG22" i="2"/>
  <c r="AF22" i="2"/>
  <c r="AE22" i="2"/>
  <c r="AD22" i="2"/>
  <c r="AC22" i="2"/>
  <c r="AB22" i="2"/>
  <c r="AA22" i="2"/>
  <c r="Z22" i="2"/>
  <c r="R22" i="2"/>
  <c r="Q22" i="2"/>
  <c r="P22" i="2"/>
  <c r="D4" i="1"/>
  <c r="R26" i="2" l="1"/>
  <c r="Q26" i="2"/>
  <c r="P26" i="2"/>
  <c r="R25" i="2"/>
  <c r="Q25" i="2"/>
  <c r="P25" i="2"/>
  <c r="R29" i="2"/>
  <c r="Q29" i="2"/>
  <c r="R28" i="2"/>
  <c r="Z4" i="2"/>
  <c r="Z3" i="2"/>
  <c r="AA3" i="2" s="1"/>
  <c r="AA25" i="2" s="1"/>
  <c r="R10" i="2"/>
  <c r="Q10" i="2"/>
  <c r="R7" i="2"/>
  <c r="Q7" i="2"/>
  <c r="R5" i="2"/>
  <c r="Q5" i="2"/>
  <c r="P5" i="2"/>
  <c r="O5" i="2"/>
  <c r="Q6" i="2"/>
  <c r="Q8" i="2" s="1"/>
  <c r="R6" i="2"/>
  <c r="Z7" i="2"/>
  <c r="O22" i="2"/>
  <c r="N26" i="2"/>
  <c r="N25" i="2"/>
  <c r="N27" i="2"/>
  <c r="O26" i="2"/>
  <c r="O25" i="2"/>
  <c r="O8" i="2"/>
  <c r="N29" i="2"/>
  <c r="N28" i="2"/>
  <c r="J29" i="2"/>
  <c r="J28" i="2"/>
  <c r="O29" i="2"/>
  <c r="O28" i="2"/>
  <c r="K29" i="2"/>
  <c r="K28" i="2"/>
  <c r="AN81" i="2"/>
  <c r="AA70" i="2"/>
  <c r="AB70" i="2" s="1"/>
  <c r="AC70" i="2" s="1"/>
  <c r="AD70" i="2" s="1"/>
  <c r="AE70" i="2" s="1"/>
  <c r="AF70" i="2" s="1"/>
  <c r="AG70" i="2" s="1"/>
  <c r="AH70" i="2" s="1"/>
  <c r="AI70" i="2" s="1"/>
  <c r="AJ70" i="2" s="1"/>
  <c r="AA73" i="2"/>
  <c r="AB73" i="2" s="1"/>
  <c r="AC73" i="2" s="1"/>
  <c r="AD73" i="2" s="1"/>
  <c r="AE73" i="2" s="1"/>
  <c r="AF73" i="2" s="1"/>
  <c r="AG73" i="2" s="1"/>
  <c r="AH73" i="2" s="1"/>
  <c r="AI73" i="2" s="1"/>
  <c r="AJ73" i="2" s="1"/>
  <c r="Z61" i="2"/>
  <c r="AA61" i="2" s="1"/>
  <c r="AB61" i="2" s="1"/>
  <c r="AC61" i="2" s="1"/>
  <c r="AD61" i="2" s="1"/>
  <c r="AE61" i="2" s="1"/>
  <c r="AF61" i="2" s="1"/>
  <c r="AG61" i="2" s="1"/>
  <c r="AH61" i="2" s="1"/>
  <c r="AI61" i="2" s="1"/>
  <c r="AJ61" i="2" s="1"/>
  <c r="Z73" i="2"/>
  <c r="Z62" i="2"/>
  <c r="AA62" i="2" s="1"/>
  <c r="AB62" i="2" s="1"/>
  <c r="AC62" i="2" s="1"/>
  <c r="AD62" i="2" s="1"/>
  <c r="AE62" i="2" s="1"/>
  <c r="AF62" i="2" s="1"/>
  <c r="AG62" i="2" s="1"/>
  <c r="AH62" i="2" s="1"/>
  <c r="AI62" i="2" s="1"/>
  <c r="AJ62" i="2" s="1"/>
  <c r="J56" i="2"/>
  <c r="J52" i="2"/>
  <c r="J47" i="2"/>
  <c r="J43" i="2"/>
  <c r="J37" i="2"/>
  <c r="N56" i="2"/>
  <c r="N52" i="2"/>
  <c r="N47" i="2"/>
  <c r="N43" i="2"/>
  <c r="N37" i="2"/>
  <c r="Z6" i="2" l="1"/>
  <c r="Z28" i="2" s="1"/>
  <c r="Q28" i="2"/>
  <c r="Z5" i="2"/>
  <c r="P29" i="2"/>
  <c r="Z29" i="2"/>
  <c r="AA4" i="2"/>
  <c r="AA5" i="2" s="1"/>
  <c r="P28" i="2"/>
  <c r="AB3" i="2"/>
  <c r="AA6" i="2"/>
  <c r="AA28" i="2"/>
  <c r="R8" i="2"/>
  <c r="P8" i="2"/>
  <c r="J58" i="2"/>
  <c r="J48" i="2"/>
  <c r="N58" i="2"/>
  <c r="N48" i="2"/>
  <c r="Z8" i="2" l="1"/>
  <c r="AA7" i="2"/>
  <c r="AA29" i="2" s="1"/>
  <c r="AB4" i="2"/>
  <c r="AA26" i="2"/>
  <c r="AC3" i="2"/>
  <c r="AB6" i="2"/>
  <c r="AB25" i="2"/>
  <c r="AB28" i="2"/>
  <c r="AC25" i="2"/>
  <c r="AN36" i="2"/>
  <c r="R13" i="2"/>
  <c r="R17" i="2" s="1"/>
  <c r="Q13" i="2"/>
  <c r="Q17" i="2" s="1"/>
  <c r="P17" i="2"/>
  <c r="O17" i="2"/>
  <c r="P27" i="2"/>
  <c r="O27" i="2"/>
  <c r="O31" i="2"/>
  <c r="Z20" i="2"/>
  <c r="Z19" i="2"/>
  <c r="Z16" i="2"/>
  <c r="Z15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U17" i="2"/>
  <c r="U9" i="2"/>
  <c r="V11" i="2"/>
  <c r="V32" i="2" s="1"/>
  <c r="V17" i="2"/>
  <c r="V9" i="2"/>
  <c r="V30" i="2" s="1"/>
  <c r="W17" i="2"/>
  <c r="W32" i="2"/>
  <c r="W31" i="2"/>
  <c r="V31" i="2"/>
  <c r="M32" i="2"/>
  <c r="L32" i="2"/>
  <c r="K32" i="2"/>
  <c r="I32" i="2"/>
  <c r="H32" i="2"/>
  <c r="G32" i="2"/>
  <c r="X20" i="2"/>
  <c r="X19" i="2"/>
  <c r="X16" i="2"/>
  <c r="X15" i="2"/>
  <c r="X14" i="2"/>
  <c r="X13" i="2"/>
  <c r="X11" i="2"/>
  <c r="X10" i="2"/>
  <c r="X31" i="2" s="1"/>
  <c r="Y20" i="2"/>
  <c r="Y19" i="2"/>
  <c r="Y16" i="2"/>
  <c r="Y15" i="2"/>
  <c r="Y14" i="2"/>
  <c r="Y13" i="2"/>
  <c r="Y11" i="2"/>
  <c r="Y10" i="2"/>
  <c r="Y31" i="2" s="1"/>
  <c r="M33" i="2"/>
  <c r="M31" i="2"/>
  <c r="L31" i="2"/>
  <c r="K31" i="2"/>
  <c r="M27" i="2"/>
  <c r="L27" i="2"/>
  <c r="K27" i="2"/>
  <c r="N31" i="2"/>
  <c r="G17" i="2"/>
  <c r="G9" i="2"/>
  <c r="G12" i="2" s="1"/>
  <c r="G33" i="2" s="1"/>
  <c r="K17" i="2"/>
  <c r="K9" i="2"/>
  <c r="K12" i="2" s="1"/>
  <c r="K33" i="2" s="1"/>
  <c r="L17" i="2"/>
  <c r="L9" i="2"/>
  <c r="L12" i="2" s="1"/>
  <c r="H17" i="2"/>
  <c r="H9" i="2"/>
  <c r="H12" i="2" s="1"/>
  <c r="H33" i="2" s="1"/>
  <c r="I17" i="2"/>
  <c r="I9" i="2"/>
  <c r="I12" i="2" s="1"/>
  <c r="M17" i="2"/>
  <c r="M9" i="2"/>
  <c r="M12" i="2" s="1"/>
  <c r="AB7" i="2" l="1"/>
  <c r="AB29" i="2" s="1"/>
  <c r="AC4" i="2"/>
  <c r="AC5" i="2" s="1"/>
  <c r="AB26" i="2"/>
  <c r="AA8" i="2"/>
  <c r="AB5" i="2"/>
  <c r="AD3" i="2"/>
  <c r="AD6" i="2" s="1"/>
  <c r="AC6" i="2"/>
  <c r="AC28" i="2" s="1"/>
  <c r="I18" i="2"/>
  <c r="I21" i="2" s="1"/>
  <c r="I23" i="2" s="1"/>
  <c r="L18" i="2"/>
  <c r="L21" i="2" s="1"/>
  <c r="L23" i="2" s="1"/>
  <c r="H30" i="2"/>
  <c r="K30" i="2"/>
  <c r="O9" i="2"/>
  <c r="I30" i="2"/>
  <c r="P9" i="2"/>
  <c r="I33" i="2"/>
  <c r="O32" i="2"/>
  <c r="L30" i="2"/>
  <c r="Q11" i="2"/>
  <c r="R11" i="2" s="1"/>
  <c r="G30" i="2"/>
  <c r="M30" i="2"/>
  <c r="L33" i="2"/>
  <c r="P31" i="2"/>
  <c r="Z13" i="2"/>
  <c r="Q27" i="2"/>
  <c r="Q9" i="2"/>
  <c r="U12" i="2"/>
  <c r="V12" i="2"/>
  <c r="W9" i="2"/>
  <c r="W27" i="2"/>
  <c r="X17" i="2"/>
  <c r="Y17" i="2"/>
  <c r="G18" i="2"/>
  <c r="K18" i="2"/>
  <c r="H18" i="2"/>
  <c r="M18" i="2"/>
  <c r="AD25" i="2" l="1"/>
  <c r="AB8" i="2"/>
  <c r="AC7" i="2"/>
  <c r="AC8" i="2" s="1"/>
  <c r="AD4" i="2"/>
  <c r="AC26" i="2"/>
  <c r="AE3" i="2"/>
  <c r="AD28" i="2"/>
  <c r="I35" i="2"/>
  <c r="I34" i="2"/>
  <c r="L34" i="2"/>
  <c r="L35" i="2"/>
  <c r="O30" i="2"/>
  <c r="O12" i="2"/>
  <c r="H21" i="2"/>
  <c r="H34" i="2"/>
  <c r="G21" i="2"/>
  <c r="G34" i="2"/>
  <c r="K21" i="2"/>
  <c r="K34" i="2"/>
  <c r="Z17" i="2"/>
  <c r="AA13" i="2"/>
  <c r="M21" i="2"/>
  <c r="M34" i="2"/>
  <c r="Q31" i="2"/>
  <c r="Z11" i="2"/>
  <c r="Q32" i="2"/>
  <c r="P32" i="2"/>
  <c r="Q12" i="2"/>
  <c r="Q30" i="2"/>
  <c r="P12" i="2"/>
  <c r="P30" i="2"/>
  <c r="U18" i="2"/>
  <c r="V18" i="2"/>
  <c r="V33" i="2"/>
  <c r="W30" i="2"/>
  <c r="W12" i="2"/>
  <c r="J17" i="2"/>
  <c r="J8" i="2"/>
  <c r="X8" i="2" s="1"/>
  <c r="J5" i="2"/>
  <c r="N17" i="2"/>
  <c r="N8" i="2"/>
  <c r="Y8" i="2" s="1"/>
  <c r="N5" i="2"/>
  <c r="D8" i="1"/>
  <c r="D5" i="1"/>
  <c r="F3" i="1"/>
  <c r="AA11" i="2" l="1"/>
  <c r="AB11" i="2" s="1"/>
  <c r="AC11" i="2" s="1"/>
  <c r="AD11" i="2" s="1"/>
  <c r="AE11" i="2" s="1"/>
  <c r="AF11" i="2" s="1"/>
  <c r="AG11" i="2" s="1"/>
  <c r="AH11" i="2" s="1"/>
  <c r="AI11" i="2" s="1"/>
  <c r="AJ11" i="2" s="1"/>
  <c r="AE4" i="2"/>
  <c r="AE5" i="2" s="1"/>
  <c r="AD7" i="2"/>
  <c r="AD8" i="2" s="1"/>
  <c r="AD26" i="2"/>
  <c r="AC29" i="2"/>
  <c r="AD5" i="2"/>
  <c r="AE6" i="2"/>
  <c r="AE28" i="2" s="1"/>
  <c r="AF3" i="2"/>
  <c r="AF25" i="2" s="1"/>
  <c r="AE25" i="2"/>
  <c r="AN33" i="2"/>
  <c r="AN78" i="2"/>
  <c r="Y5" i="2"/>
  <c r="N32" i="2"/>
  <c r="AA17" i="2"/>
  <c r="AB13" i="2"/>
  <c r="O33" i="2"/>
  <c r="O18" i="2"/>
  <c r="J9" i="2"/>
  <c r="J32" i="2"/>
  <c r="X5" i="2"/>
  <c r="K23" i="2"/>
  <c r="K35" i="2"/>
  <c r="G23" i="2"/>
  <c r="G35" i="2"/>
  <c r="M23" i="2"/>
  <c r="M35" i="2"/>
  <c r="H23" i="2"/>
  <c r="H35" i="2"/>
  <c r="D9" i="1"/>
  <c r="R31" i="2"/>
  <c r="Z10" i="2"/>
  <c r="P33" i="2"/>
  <c r="P18" i="2"/>
  <c r="Q33" i="2"/>
  <c r="Q18" i="2"/>
  <c r="U21" i="2"/>
  <c r="V21" i="2"/>
  <c r="V34" i="2"/>
  <c r="W33" i="2"/>
  <c r="W18" i="2"/>
  <c r="N9" i="2"/>
  <c r="AD29" i="2" l="1"/>
  <c r="AF4" i="2"/>
  <c r="AF5" i="2" s="1"/>
  <c r="AE7" i="2"/>
  <c r="AE8" i="2" s="1"/>
  <c r="AE26" i="2"/>
  <c r="AE29" i="2"/>
  <c r="AF6" i="2"/>
  <c r="AG3" i="2"/>
  <c r="AG25" i="2"/>
  <c r="O34" i="2"/>
  <c r="O21" i="2"/>
  <c r="Y27" i="2"/>
  <c r="Y32" i="2"/>
  <c r="AC13" i="2"/>
  <c r="AB17" i="2"/>
  <c r="X27" i="2"/>
  <c r="X9" i="2"/>
  <c r="X32" i="2"/>
  <c r="J12" i="2"/>
  <c r="J30" i="2"/>
  <c r="Y9" i="2"/>
  <c r="N12" i="2"/>
  <c r="N33" i="2" s="1"/>
  <c r="N30" i="2"/>
  <c r="R27" i="2"/>
  <c r="R32" i="2"/>
  <c r="P34" i="2"/>
  <c r="P21" i="2"/>
  <c r="AA10" i="2"/>
  <c r="Z31" i="2"/>
  <c r="Q34" i="2"/>
  <c r="Q21" i="2"/>
  <c r="U23" i="2"/>
  <c r="V35" i="2"/>
  <c r="V23" i="2"/>
  <c r="W21" i="2"/>
  <c r="W34" i="2"/>
  <c r="AG4" i="2" l="1"/>
  <c r="AF7" i="2"/>
  <c r="AF29" i="2" s="1"/>
  <c r="AF26" i="2"/>
  <c r="AF28" i="2"/>
  <c r="AG6" i="2"/>
  <c r="AG28" i="2" s="1"/>
  <c r="AH3" i="2"/>
  <c r="N18" i="2"/>
  <c r="N34" i="2" s="1"/>
  <c r="R9" i="2"/>
  <c r="Z9" i="2"/>
  <c r="AD13" i="2"/>
  <c r="AC17" i="2"/>
  <c r="Y30" i="2"/>
  <c r="Y12" i="2"/>
  <c r="J18" i="2"/>
  <c r="J33" i="2"/>
  <c r="O35" i="2"/>
  <c r="O23" i="2"/>
  <c r="Z27" i="2"/>
  <c r="Z32" i="2"/>
  <c r="X12" i="2"/>
  <c r="X30" i="2"/>
  <c r="P23" i="2"/>
  <c r="P35" i="2"/>
  <c r="AB10" i="2"/>
  <c r="AA31" i="2"/>
  <c r="Q23" i="2"/>
  <c r="Q35" i="2"/>
  <c r="W23" i="2"/>
  <c r="W35" i="2"/>
  <c r="AF8" i="2" l="1"/>
  <c r="AH4" i="2"/>
  <c r="AH5" i="2" s="1"/>
  <c r="AG7" i="2"/>
  <c r="AG26" i="2"/>
  <c r="AG29" i="2"/>
  <c r="AG8" i="2"/>
  <c r="AG5" i="2"/>
  <c r="AH6" i="2"/>
  <c r="AH28" i="2" s="1"/>
  <c r="AI3" i="2"/>
  <c r="AI25" i="2" s="1"/>
  <c r="AH25" i="2"/>
  <c r="N21" i="2"/>
  <c r="N35" i="2" s="1"/>
  <c r="J21" i="2"/>
  <c r="J34" i="2"/>
  <c r="X33" i="2"/>
  <c r="X18" i="2"/>
  <c r="Z30" i="2"/>
  <c r="Z12" i="2"/>
  <c r="Y33" i="2"/>
  <c r="Y18" i="2"/>
  <c r="AA32" i="2"/>
  <c r="AA27" i="2"/>
  <c r="AE13" i="2"/>
  <c r="AD17" i="2"/>
  <c r="R30" i="2"/>
  <c r="R12" i="2"/>
  <c r="AB31" i="2"/>
  <c r="AC10" i="2"/>
  <c r="AI4" i="2" l="1"/>
  <c r="AH7" i="2"/>
  <c r="AH29" i="2" s="1"/>
  <c r="AH26" i="2"/>
  <c r="AI6" i="2"/>
  <c r="AJ3" i="2"/>
  <c r="AJ25" i="2" s="1"/>
  <c r="N23" i="2"/>
  <c r="Z33" i="2"/>
  <c r="Z18" i="2"/>
  <c r="X21" i="2"/>
  <c r="X60" i="2" s="1"/>
  <c r="X72" i="2" s="1"/>
  <c r="X74" i="2" s="1"/>
  <c r="X34" i="2"/>
  <c r="R33" i="2"/>
  <c r="R18" i="2"/>
  <c r="AF13" i="2"/>
  <c r="AE17" i="2"/>
  <c r="AB32" i="2"/>
  <c r="AB27" i="2"/>
  <c r="Y21" i="2"/>
  <c r="Y60" i="2" s="1"/>
  <c r="Y72" i="2" s="1"/>
  <c r="Y74" i="2" s="1"/>
  <c r="Y34" i="2"/>
  <c r="J35" i="2"/>
  <c r="J23" i="2"/>
  <c r="AD10" i="2"/>
  <c r="AC31" i="2"/>
  <c r="AH8" i="2" l="1"/>
  <c r="AJ4" i="2"/>
  <c r="AI7" i="2"/>
  <c r="AI8" i="2" s="1"/>
  <c r="AI29" i="2"/>
  <c r="AI26" i="2"/>
  <c r="AI5" i="2"/>
  <c r="AI28" i="2"/>
  <c r="AJ6" i="2"/>
  <c r="Y23" i="2"/>
  <c r="Y35" i="2"/>
  <c r="Z34" i="2"/>
  <c r="Z21" i="2"/>
  <c r="Z60" i="2" s="1"/>
  <c r="Z72" i="2" s="1"/>
  <c r="Z74" i="2" s="1"/>
  <c r="AC32" i="2"/>
  <c r="AC27" i="2"/>
  <c r="R21" i="2"/>
  <c r="R34" i="2"/>
  <c r="X23" i="2"/>
  <c r="X35" i="2"/>
  <c r="AG13" i="2"/>
  <c r="AF17" i="2"/>
  <c r="AD31" i="2"/>
  <c r="AE10" i="2"/>
  <c r="AJ7" i="2" l="1"/>
  <c r="AJ8" i="2" s="1"/>
  <c r="AJ26" i="2"/>
  <c r="AJ5" i="2"/>
  <c r="AJ28" i="2"/>
  <c r="Z23" i="2"/>
  <c r="Z35" i="2"/>
  <c r="R23" i="2"/>
  <c r="R35" i="2"/>
  <c r="AD32" i="2"/>
  <c r="AD27" i="2"/>
  <c r="AH13" i="2"/>
  <c r="AG17" i="2"/>
  <c r="AF10" i="2"/>
  <c r="AE31" i="2"/>
  <c r="AJ29" i="2" l="1"/>
  <c r="AE32" i="2"/>
  <c r="AE27" i="2"/>
  <c r="AI13" i="2"/>
  <c r="AH17" i="2"/>
  <c r="AG10" i="2"/>
  <c r="AF31" i="2"/>
  <c r="AJ13" i="2" l="1"/>
  <c r="AJ17" i="2" s="1"/>
  <c r="AI17" i="2"/>
  <c r="AF32" i="2"/>
  <c r="AF27" i="2"/>
  <c r="AH10" i="2"/>
  <c r="AG31" i="2"/>
  <c r="AG32" i="2" l="1"/>
  <c r="AG27" i="2"/>
  <c r="AI10" i="2"/>
  <c r="AH31" i="2"/>
  <c r="AH32" i="2" l="1"/>
  <c r="AH27" i="2"/>
  <c r="AJ10" i="2"/>
  <c r="AJ31" i="2" s="1"/>
  <c r="AI31" i="2"/>
  <c r="AI32" i="2" l="1"/>
  <c r="AI27" i="2"/>
  <c r="AJ32" i="2" l="1"/>
  <c r="AJ27" i="2"/>
  <c r="AJ9" i="2" l="1"/>
  <c r="AJ12" i="2" s="1"/>
  <c r="AI9" i="2"/>
  <c r="AI12" i="2" s="1"/>
  <c r="AH9" i="2"/>
  <c r="AH12" i="2" s="1"/>
  <c r="AG9" i="2"/>
  <c r="AG12" i="2" s="1"/>
  <c r="AF9" i="2"/>
  <c r="AF30" i="2" s="1"/>
  <c r="AE9" i="2"/>
  <c r="AE12" i="2" s="1"/>
  <c r="AD9" i="2"/>
  <c r="AD12" i="2" s="1"/>
  <c r="AC9" i="2"/>
  <c r="AC12" i="2" s="1"/>
  <c r="AB9" i="2"/>
  <c r="AB12" i="2" s="1"/>
  <c r="AA9" i="2"/>
  <c r="AA12" i="2" s="1"/>
  <c r="AH30" i="2" l="1"/>
  <c r="AG30" i="2"/>
  <c r="AD30" i="2"/>
  <c r="AI30" i="2"/>
  <c r="AA30" i="2"/>
  <c r="AC33" i="2"/>
  <c r="AC18" i="2"/>
  <c r="AC19" i="2" s="1"/>
  <c r="AA18" i="2"/>
  <c r="AA33" i="2"/>
  <c r="AB33" i="2"/>
  <c r="AB18" i="2"/>
  <c r="AB19" i="2" s="1"/>
  <c r="AI18" i="2"/>
  <c r="AI19" i="2" s="1"/>
  <c r="AI33" i="2"/>
  <c r="AG18" i="2"/>
  <c r="AG19" i="2" s="1"/>
  <c r="AG33" i="2"/>
  <c r="AH33" i="2"/>
  <c r="AH18" i="2"/>
  <c r="AH19" i="2" s="1"/>
  <c r="AD33" i="2"/>
  <c r="AD18" i="2"/>
  <c r="AD19" i="2" s="1"/>
  <c r="AE18" i="2"/>
  <c r="AE19" i="2" s="1"/>
  <c r="AE33" i="2"/>
  <c r="AJ18" i="2"/>
  <c r="AJ19" i="2" s="1"/>
  <c r="AJ33" i="2"/>
  <c r="AF12" i="2"/>
  <c r="AC30" i="2"/>
  <c r="AE30" i="2"/>
  <c r="AJ30" i="2"/>
  <c r="AB30" i="2"/>
  <c r="AI34" i="2" l="1"/>
  <c r="AI21" i="2"/>
  <c r="AE21" i="2"/>
  <c r="AE34" i="2"/>
  <c r="AC34" i="2"/>
  <c r="AC21" i="2"/>
  <c r="AD21" i="2"/>
  <c r="AD34" i="2"/>
  <c r="AB21" i="2"/>
  <c r="AB34" i="2"/>
  <c r="AH21" i="2"/>
  <c r="AH34" i="2"/>
  <c r="AF33" i="2"/>
  <c r="AF18" i="2"/>
  <c r="AF19" i="2" s="1"/>
  <c r="AA21" i="2"/>
  <c r="AA34" i="2"/>
  <c r="AJ34" i="2"/>
  <c r="AJ21" i="2"/>
  <c r="AG21" i="2"/>
  <c r="AG34" i="2"/>
  <c r="AA35" i="2" l="1"/>
  <c r="AA23" i="2"/>
  <c r="AA60" i="2"/>
  <c r="AA72" i="2" s="1"/>
  <c r="AA74" i="2" s="1"/>
  <c r="AD60" i="2"/>
  <c r="AD72" i="2" s="1"/>
  <c r="AD74" i="2" s="1"/>
  <c r="AD23" i="2"/>
  <c r="AD35" i="2"/>
  <c r="AF21" i="2"/>
  <c r="AF34" i="2"/>
  <c r="AC23" i="2"/>
  <c r="AC35" i="2"/>
  <c r="AC60" i="2"/>
  <c r="AC72" i="2" s="1"/>
  <c r="AC74" i="2" s="1"/>
  <c r="AG60" i="2"/>
  <c r="AG72" i="2" s="1"/>
  <c r="AG74" i="2" s="1"/>
  <c r="AG23" i="2"/>
  <c r="AG35" i="2"/>
  <c r="AE23" i="2"/>
  <c r="AE35" i="2"/>
  <c r="AE60" i="2"/>
  <c r="AE72" i="2" s="1"/>
  <c r="AE74" i="2" s="1"/>
  <c r="AI35" i="2"/>
  <c r="AI23" i="2"/>
  <c r="AI60" i="2"/>
  <c r="AI72" i="2" s="1"/>
  <c r="AI74" i="2" s="1"/>
  <c r="AH23" i="2"/>
  <c r="AH35" i="2"/>
  <c r="AH60" i="2"/>
  <c r="AH72" i="2" s="1"/>
  <c r="AH74" i="2" s="1"/>
  <c r="AJ60" i="2"/>
  <c r="AJ72" i="2" s="1"/>
  <c r="AJ74" i="2" s="1"/>
  <c r="AK74" i="2" s="1"/>
  <c r="AL74" i="2" s="1"/>
  <c r="AM74" i="2" s="1"/>
  <c r="AN74" i="2" s="1"/>
  <c r="AO74" i="2" s="1"/>
  <c r="AP74" i="2" s="1"/>
  <c r="AQ74" i="2" s="1"/>
  <c r="AR74" i="2" s="1"/>
  <c r="AS74" i="2" s="1"/>
  <c r="AT74" i="2" s="1"/>
  <c r="AU74" i="2" s="1"/>
  <c r="AV74" i="2" s="1"/>
  <c r="AW74" i="2" s="1"/>
  <c r="AX74" i="2" s="1"/>
  <c r="AY74" i="2" s="1"/>
  <c r="AZ74" i="2" s="1"/>
  <c r="BA74" i="2" s="1"/>
  <c r="BB74" i="2" s="1"/>
  <c r="BC74" i="2" s="1"/>
  <c r="BD74" i="2" s="1"/>
  <c r="BE74" i="2" s="1"/>
  <c r="BF74" i="2" s="1"/>
  <c r="BG74" i="2" s="1"/>
  <c r="BH74" i="2" s="1"/>
  <c r="BI74" i="2" s="1"/>
  <c r="BJ74" i="2" s="1"/>
  <c r="BK74" i="2" s="1"/>
  <c r="BL74" i="2" s="1"/>
  <c r="BM74" i="2" s="1"/>
  <c r="BN74" i="2" s="1"/>
  <c r="BO74" i="2" s="1"/>
  <c r="BP74" i="2" s="1"/>
  <c r="BQ74" i="2" s="1"/>
  <c r="BR74" i="2" s="1"/>
  <c r="BS74" i="2" s="1"/>
  <c r="BT74" i="2" s="1"/>
  <c r="BU74" i="2" s="1"/>
  <c r="BV74" i="2" s="1"/>
  <c r="BW74" i="2" s="1"/>
  <c r="BX74" i="2" s="1"/>
  <c r="BY74" i="2" s="1"/>
  <c r="BZ74" i="2" s="1"/>
  <c r="CA74" i="2" s="1"/>
  <c r="CB74" i="2" s="1"/>
  <c r="CC74" i="2" s="1"/>
  <c r="CD74" i="2" s="1"/>
  <c r="CE74" i="2" s="1"/>
  <c r="CF74" i="2" s="1"/>
  <c r="CG74" i="2" s="1"/>
  <c r="CH74" i="2" s="1"/>
  <c r="CI74" i="2" s="1"/>
  <c r="CJ74" i="2" s="1"/>
  <c r="CK74" i="2" s="1"/>
  <c r="CL74" i="2" s="1"/>
  <c r="CM74" i="2" s="1"/>
  <c r="CN74" i="2" s="1"/>
  <c r="CO74" i="2" s="1"/>
  <c r="CP74" i="2" s="1"/>
  <c r="CQ74" i="2" s="1"/>
  <c r="CR74" i="2" s="1"/>
  <c r="CS74" i="2" s="1"/>
  <c r="CT74" i="2" s="1"/>
  <c r="CU74" i="2" s="1"/>
  <c r="CV74" i="2" s="1"/>
  <c r="CW74" i="2" s="1"/>
  <c r="CX74" i="2" s="1"/>
  <c r="CY74" i="2" s="1"/>
  <c r="CZ74" i="2" s="1"/>
  <c r="DA74" i="2" s="1"/>
  <c r="DB74" i="2" s="1"/>
  <c r="DC74" i="2" s="1"/>
  <c r="DD74" i="2" s="1"/>
  <c r="DE74" i="2" s="1"/>
  <c r="DF74" i="2" s="1"/>
  <c r="DG74" i="2" s="1"/>
  <c r="DH74" i="2" s="1"/>
  <c r="DI74" i="2" s="1"/>
  <c r="DJ74" i="2" s="1"/>
  <c r="DK74" i="2" s="1"/>
  <c r="DL74" i="2" s="1"/>
  <c r="DM74" i="2" s="1"/>
  <c r="DN74" i="2" s="1"/>
  <c r="DO74" i="2" s="1"/>
  <c r="DP74" i="2" s="1"/>
  <c r="DQ74" i="2" s="1"/>
  <c r="DR74" i="2" s="1"/>
  <c r="DS74" i="2" s="1"/>
  <c r="DT74" i="2" s="1"/>
  <c r="DU74" i="2" s="1"/>
  <c r="DV74" i="2" s="1"/>
  <c r="DW74" i="2" s="1"/>
  <c r="DX74" i="2" s="1"/>
  <c r="DY74" i="2" s="1"/>
  <c r="DZ74" i="2" s="1"/>
  <c r="EA74" i="2" s="1"/>
  <c r="EB74" i="2" s="1"/>
  <c r="EC74" i="2" s="1"/>
  <c r="ED74" i="2" s="1"/>
  <c r="EE74" i="2" s="1"/>
  <c r="EF74" i="2" s="1"/>
  <c r="EG74" i="2" s="1"/>
  <c r="EH74" i="2" s="1"/>
  <c r="EI74" i="2" s="1"/>
  <c r="EJ74" i="2" s="1"/>
  <c r="AK21" i="2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AJ35" i="2"/>
  <c r="AJ23" i="2"/>
  <c r="AB23" i="2"/>
  <c r="AB35" i="2"/>
  <c r="AB60" i="2"/>
  <c r="AB72" i="2" s="1"/>
  <c r="AB74" i="2" s="1"/>
  <c r="AF60" i="2" l="1"/>
  <c r="AF72" i="2" s="1"/>
  <c r="AF74" i="2" s="1"/>
  <c r="AN77" i="2" s="1"/>
  <c r="AN79" i="2" s="1"/>
  <c r="AN80" i="2" s="1"/>
  <c r="AN82" i="2" s="1"/>
  <c r="AF23" i="2"/>
  <c r="AF35" i="2"/>
  <c r="AN32" i="2"/>
  <c r="AN34" i="2" s="1"/>
  <c r="AN35" i="2" s="1"/>
  <c r="AN37" i="2" s="1"/>
</calcChain>
</file>

<file path=xl/sharedStrings.xml><?xml version="1.0" encoding="utf-8"?>
<sst xmlns="http://schemas.openxmlformats.org/spreadsheetml/2006/main" count="109" uniqueCount="94">
  <si>
    <t>RIVN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</si>
  <si>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</si>
  <si>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</si>
  <si>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</si>
  <si>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</si>
  <si>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</si>
  <si>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</si>
  <si>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</si>
  <si>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</si>
  <si>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</si>
  <si>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</si>
  <si>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</si>
  <si>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</si>
  <si>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</si>
  <si>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</si>
  <si>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</si>
  <si>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</si>
  <si>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</si>
  <si>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</si>
  <si>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</si>
  <si>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</si>
  <si>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</si>
  <si>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</si>
  <si>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</si>
  <si>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</si>
  <si>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</si>
  <si>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</si>
  <si>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Gross profit</t>
  </si>
  <si>
    <t>Automotive</t>
  </si>
  <si>
    <t>Software &amp; services</t>
  </si>
  <si>
    <t>Total revenue</t>
  </si>
  <si>
    <t>R&amp;D</t>
  </si>
  <si>
    <t>SG&amp;A</t>
  </si>
  <si>
    <t>Operating profit</t>
  </si>
  <si>
    <t>Interest income</t>
  </si>
  <si>
    <t>Interest expense</t>
  </si>
  <si>
    <t>Finance income</t>
  </si>
  <si>
    <t>Other income</t>
  </si>
  <si>
    <t>Total other income</t>
  </si>
  <si>
    <t>Pretax profit</t>
  </si>
  <si>
    <t>Taxes</t>
  </si>
  <si>
    <t>Net profit</t>
  </si>
  <si>
    <t>EPS</t>
  </si>
  <si>
    <t>Automotive cost</t>
  </si>
  <si>
    <t>Software cost</t>
  </si>
  <si>
    <t>Total cost of sales</t>
  </si>
  <si>
    <t>MI</t>
  </si>
  <si>
    <t>Revenue y/y</t>
  </si>
  <si>
    <t>Gross Margin</t>
  </si>
  <si>
    <t>R&amp;D y/y</t>
  </si>
  <si>
    <t>SG&amp;A Margin</t>
  </si>
  <si>
    <t>Net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</si>
  <si>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</si>
  <si>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</si>
  <si>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</si>
  <si>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</si>
  <si>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</si>
  <si>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</si>
  <si>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</si>
  <si>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</si>
  <si>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</si>
  <si>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</si>
  <si>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Investments</t>
  </si>
  <si>
    <t>A/R</t>
  </si>
  <si>
    <t>Inventories</t>
  </si>
  <si>
    <t>OCA</t>
  </si>
  <si>
    <t>Current assets</t>
  </si>
  <si>
    <t>PP&amp;E</t>
  </si>
  <si>
    <t>Leases</t>
  </si>
  <si>
    <t>ONCA</t>
  </si>
  <si>
    <t>Non-current assets</t>
  </si>
  <si>
    <t>A/P</t>
  </si>
  <si>
    <t>A/L</t>
  </si>
  <si>
    <t>D/R</t>
  </si>
  <si>
    <t>Current liabilities</t>
  </si>
  <si>
    <t>ONCL</t>
  </si>
  <si>
    <t>Non-current liabilities</t>
  </si>
  <si>
    <t>S/E</t>
  </si>
  <si>
    <t>L+S/E</t>
  </si>
  <si>
    <t>Total assets</t>
  </si>
  <si>
    <t>Net income</t>
  </si>
  <si>
    <t>D&amp;A</t>
  </si>
  <si>
    <t>SBC</t>
  </si>
  <si>
    <t>Loss on notes</t>
  </si>
  <si>
    <t>Other non-cash</t>
  </si>
  <si>
    <t>Other assets</t>
  </si>
  <si>
    <t>Other liabilities</t>
  </si>
  <si>
    <t>CFFO</t>
  </si>
  <si>
    <t>FCF</t>
  </si>
  <si>
    <t>Heavily overvalued</t>
  </si>
  <si>
    <t>Automotive y/y</t>
  </si>
  <si>
    <t>Software &amp; services y/y</t>
  </si>
  <si>
    <t>Automotive Margin</t>
  </si>
  <si>
    <t>Software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</si>
</sst>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9" fontId="2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7620</xdr:rowOff>
    </xdr:from>
    <xdr:to>
      <xdr:col>16</xdr:col>
      <xdr:colOff>22860</xdr:colOff>
      <xdr:row>87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2D29758-5FD5-FE8F-2A98-4E4A622E2188}"/>
            </a:ext>
          </a:extLst>
        </xdr:cNvPr>
        <xdr:cNvCxnSpPr/>
      </xdr:nvCxnSpPr>
      <xdr:spPr>
        <a:xfrm>
          <a:off x="10561320" y="7620"/>
          <a:ext cx="0" cy="16009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30480</xdr:colOff>
      <xdr:row>0</xdr:row>
      <xdr:rowOff>15240</xdr:rowOff>
    </xdr:from>
    <xdr:to>
      <xdr:col>25</xdr:col>
      <xdr:colOff>30480</xdr:colOff>
      <xdr:row>87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C103F26-F132-AD84-7943-B5FCC5CDC2F3}"/>
            </a:ext>
          </a:extLst>
        </xdr:cNvPr>
        <xdr:cNvCxnSpPr/>
      </xdr:nvCxnSpPr>
      <xdr:spPr>
        <a:xfrm>
          <a:off x="15979140" y="15240"/>
          <a:ext cx="0" cy="15270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E8E1A-575F-445D-90C2-CF9A145194D3}">
  <dimension ref="B2:G9"/>
  <sheetViews>
    <sheetView tabSelected="1" workbookViewId="0">
      <selection activeCell="G3" sqref="G3"/>
    </sheetView>
  </sheetViews>
  <sheetFormatPr defaultRowHeight="14.4" x14ac:dyDescent="0.3"/>
  <cols>
    <col min="1" max="4" width="8.88671875" style="1"/>
    <col min="5" max="7" width="14.664062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12.68</v>
      </c>
      <c r="E3" s="5">
        <v>45965</v>
      </c>
      <c r="F3" s="5">
        <f ca="1">TODAY()</f>
        <v>45965</v>
      </c>
      <c r="G3" s="5">
        <v>45966</v>
      </c>
    </row>
    <row r="4" spans="2:7" x14ac:dyDescent="0.3">
      <c r="C4" s="1" t="s">
        <v>2</v>
      </c>
      <c r="D4" s="6">
        <f>1209.5+3.9</f>
        <v>1213.4000000000001</v>
      </c>
      <c r="E4" s="2" t="s">
        <v>24</v>
      </c>
    </row>
    <row r="5" spans="2:7" x14ac:dyDescent="0.3">
      <c r="C5" s="1" t="s">
        <v>3</v>
      </c>
      <c r="D5" s="6">
        <f>D3*D4</f>
        <v>15385.912</v>
      </c>
    </row>
    <row r="6" spans="2:7" x14ac:dyDescent="0.3">
      <c r="C6" s="1" t="s">
        <v>4</v>
      </c>
      <c r="D6" s="6">
        <f>5294+2406</f>
        <v>7700</v>
      </c>
      <c r="E6" s="2" t="s">
        <v>24</v>
      </c>
    </row>
    <row r="7" spans="2:7" x14ac:dyDescent="0.3">
      <c r="C7" s="1" t="s">
        <v>5</v>
      </c>
      <c r="D7" s="6">
        <f>4441</f>
        <v>4441</v>
      </c>
      <c r="E7" s="2" t="s">
        <v>24</v>
      </c>
    </row>
    <row r="8" spans="2:7" x14ac:dyDescent="0.3">
      <c r="C8" s="1" t="s">
        <v>6</v>
      </c>
      <c r="D8" s="6">
        <f>D6-D7</f>
        <v>3259</v>
      </c>
    </row>
    <row r="9" spans="2:7" x14ac:dyDescent="0.3">
      <c r="C9" s="1" t="s">
        <v>7</v>
      </c>
      <c r="D9" s="6">
        <f>D5-D8</f>
        <v>12126.912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D89C-980A-401A-89E6-595EDF92B56B}">
  <dimension ref="B2:EJ82"/>
  <sheetViews>
    <sheetView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RowHeight="14.4" x14ac:dyDescent="0.3"/>
  <cols>
    <col min="1" max="1" width="8.88671875" style="1"/>
    <col min="2" max="2" width="20.33203125" style="1" bestFit="1" customWidth="1"/>
    <col min="3" max="38" width="8.88671875" style="1"/>
    <col min="39" max="39" width="11.88671875" style="1" bestFit="1" customWidth="1"/>
    <col min="40" max="40" width="16.44140625" style="1" bestFit="1" customWidth="1"/>
    <col min="41" max="16384" width="8.88671875" style="1"/>
  </cols>
  <sheetData>
    <row r="2" spans="2:36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11</v>
      </c>
      <c r="O2" s="7" t="s">
        <v>23</v>
      </c>
      <c r="P2" s="7" t="s">
        <v>24</v>
      </c>
      <c r="Q2" s="7" t="s">
        <v>25</v>
      </c>
      <c r="R2" s="7" t="s">
        <v>26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28</v>
      </c>
      <c r="C3" s="7"/>
      <c r="D3" s="7"/>
      <c r="E3" s="7"/>
      <c r="F3" s="7"/>
      <c r="G3" s="7"/>
      <c r="H3" s="7"/>
      <c r="I3" s="7"/>
      <c r="J3" s="8">
        <v>1208</v>
      </c>
      <c r="K3" s="8">
        <v>1116</v>
      </c>
      <c r="L3" s="7">
        <v>1074</v>
      </c>
      <c r="M3" s="7"/>
      <c r="N3" s="8">
        <v>1520</v>
      </c>
      <c r="O3" s="8">
        <v>922</v>
      </c>
      <c r="P3" s="7">
        <v>927</v>
      </c>
      <c r="Q3" s="7">
        <v>800</v>
      </c>
      <c r="R3" s="7">
        <v>1500</v>
      </c>
      <c r="Z3" s="6">
        <f>SUM(O3:R3)</f>
        <v>4149</v>
      </c>
      <c r="AA3" s="6">
        <f>Z3*1.3</f>
        <v>5393.7</v>
      </c>
      <c r="AB3" s="6">
        <f>AA3*1.2</f>
        <v>6472.44</v>
      </c>
      <c r="AC3" s="6">
        <f t="shared" ref="AC3:AI3" si="0">AB3*1.15</f>
        <v>7443.3059999999987</v>
      </c>
      <c r="AD3" s="6">
        <f t="shared" si="0"/>
        <v>8559.8018999999986</v>
      </c>
      <c r="AE3" s="6">
        <f t="shared" si="0"/>
        <v>9843.772184999998</v>
      </c>
      <c r="AF3" s="6">
        <f t="shared" si="0"/>
        <v>11320.338012749997</v>
      </c>
      <c r="AG3" s="6">
        <f t="shared" si="0"/>
        <v>13018.388714662495</v>
      </c>
      <c r="AH3" s="6">
        <f t="shared" si="0"/>
        <v>14971.147021861867</v>
      </c>
      <c r="AI3" s="6">
        <f t="shared" si="0"/>
        <v>17216.819075141146</v>
      </c>
      <c r="AJ3" s="6">
        <f>AI3*1.1</f>
        <v>18938.500982655263</v>
      </c>
    </row>
    <row r="4" spans="2:36" x14ac:dyDescent="0.3">
      <c r="B4" s="1" t="s">
        <v>29</v>
      </c>
      <c r="C4" s="7"/>
      <c r="D4" s="7"/>
      <c r="E4" s="7"/>
      <c r="F4" s="7"/>
      <c r="G4" s="7"/>
      <c r="H4" s="7"/>
      <c r="I4" s="7"/>
      <c r="J4" s="8">
        <v>107</v>
      </c>
      <c r="K4" s="8">
        <v>88</v>
      </c>
      <c r="L4" s="7">
        <v>84</v>
      </c>
      <c r="M4" s="7"/>
      <c r="N4" s="8">
        <v>214</v>
      </c>
      <c r="O4" s="8">
        <v>318</v>
      </c>
      <c r="P4" s="7">
        <v>376</v>
      </c>
      <c r="Q4" s="7">
        <v>320</v>
      </c>
      <c r="R4" s="7">
        <v>420</v>
      </c>
      <c r="Z4" s="6">
        <f>SUM(O4:R4)</f>
        <v>1434</v>
      </c>
      <c r="AA4" s="6">
        <f>Z4*1.3</f>
        <v>1864.2</v>
      </c>
      <c r="AB4" s="6">
        <f>AA4*1.2</f>
        <v>2237.04</v>
      </c>
      <c r="AC4" s="6">
        <f>AB4*1.15</f>
        <v>2572.5959999999995</v>
      </c>
      <c r="AD4" s="6">
        <f>AC4*1.1</f>
        <v>2829.8555999999999</v>
      </c>
      <c r="AE4" s="6">
        <f>AD4*1.05</f>
        <v>2971.3483799999999</v>
      </c>
      <c r="AF4" s="6">
        <f t="shared" ref="AF4:AJ4" si="1">AE4*1.05</f>
        <v>3119.9157989999999</v>
      </c>
      <c r="AG4" s="6">
        <f t="shared" si="1"/>
        <v>3275.9115889499999</v>
      </c>
      <c r="AH4" s="6">
        <f t="shared" si="1"/>
        <v>3439.7071683975</v>
      </c>
      <c r="AI4" s="6">
        <f t="shared" si="1"/>
        <v>3611.692526817375</v>
      </c>
      <c r="AJ4" s="6">
        <f t="shared" si="1"/>
        <v>3792.2771531582439</v>
      </c>
    </row>
    <row r="5" spans="2:36" s="3" customFormat="1" x14ac:dyDescent="0.3">
      <c r="B5" s="3" t="s">
        <v>30</v>
      </c>
      <c r="G5" s="9">
        <v>661</v>
      </c>
      <c r="H5" s="9">
        <v>1121</v>
      </c>
      <c r="I5" s="9">
        <v>1337</v>
      </c>
      <c r="J5" s="9">
        <f>J3+J4</f>
        <v>1315</v>
      </c>
      <c r="K5" s="9">
        <v>1204</v>
      </c>
      <c r="L5" s="9">
        <f t="shared" ref="L5" si="2">L3+L4</f>
        <v>1158</v>
      </c>
      <c r="M5" s="9">
        <v>874</v>
      </c>
      <c r="N5" s="9">
        <f>N3+N4</f>
        <v>1734</v>
      </c>
      <c r="O5" s="9">
        <f t="shared" ref="O5:R5" si="3">O3+O4</f>
        <v>1240</v>
      </c>
      <c r="P5" s="9">
        <f t="shared" si="3"/>
        <v>1303</v>
      </c>
      <c r="Q5" s="9">
        <f t="shared" si="3"/>
        <v>1120</v>
      </c>
      <c r="R5" s="9">
        <f t="shared" si="3"/>
        <v>1920</v>
      </c>
      <c r="U5" s="9">
        <v>0</v>
      </c>
      <c r="V5" s="9">
        <v>55</v>
      </c>
      <c r="W5" s="9">
        <v>1658</v>
      </c>
      <c r="X5" s="9">
        <f>SUM(G5:J5)</f>
        <v>4434</v>
      </c>
      <c r="Y5" s="9">
        <f>SUM(K5:N5)</f>
        <v>4970</v>
      </c>
      <c r="Z5" s="9">
        <f>Z3+Z4</f>
        <v>5583</v>
      </c>
      <c r="AA5" s="9">
        <f t="shared" ref="AA5:AJ5" si="4">AA3+AA4</f>
        <v>7257.9</v>
      </c>
      <c r="AB5" s="9">
        <f t="shared" si="4"/>
        <v>8709.48</v>
      </c>
      <c r="AC5" s="9">
        <f t="shared" si="4"/>
        <v>10015.901999999998</v>
      </c>
      <c r="AD5" s="9">
        <f t="shared" si="4"/>
        <v>11389.657499999998</v>
      </c>
      <c r="AE5" s="9">
        <f t="shared" si="4"/>
        <v>12815.120564999997</v>
      </c>
      <c r="AF5" s="9">
        <f t="shared" si="4"/>
        <v>14440.253811749997</v>
      </c>
      <c r="AG5" s="9">
        <f t="shared" si="4"/>
        <v>16294.300303612494</v>
      </c>
      <c r="AH5" s="9">
        <f t="shared" si="4"/>
        <v>18410.854190259368</v>
      </c>
      <c r="AI5" s="9">
        <f t="shared" si="4"/>
        <v>20828.511601958522</v>
      </c>
      <c r="AJ5" s="9">
        <f t="shared" si="4"/>
        <v>22730.778135813507</v>
      </c>
    </row>
    <row r="6" spans="2:36" x14ac:dyDescent="0.3">
      <c r="B6" s="1" t="s">
        <v>43</v>
      </c>
      <c r="G6" s="6"/>
      <c r="H6" s="6"/>
      <c r="I6" s="6"/>
      <c r="J6" s="6">
        <v>1819</v>
      </c>
      <c r="K6" s="6">
        <v>1613</v>
      </c>
      <c r="L6" s="6">
        <v>1515</v>
      </c>
      <c r="M6" s="6"/>
      <c r="N6" s="6">
        <v>1410</v>
      </c>
      <c r="O6" s="6">
        <v>830</v>
      </c>
      <c r="P6" s="6">
        <v>1262</v>
      </c>
      <c r="Q6" s="6">
        <f>Q3*0.87</f>
        <v>696</v>
      </c>
      <c r="R6" s="6">
        <f t="shared" ref="R6" si="5">R3*0.88</f>
        <v>1320</v>
      </c>
      <c r="U6" s="6"/>
      <c r="V6" s="6"/>
      <c r="W6" s="6"/>
      <c r="X6" s="6"/>
      <c r="Y6" s="6"/>
      <c r="Z6" s="6">
        <f t="shared" ref="Z6:Z7" si="6">SUM(O6:R6)</f>
        <v>4108</v>
      </c>
      <c r="AA6" s="6">
        <f>AA3*0.86</f>
        <v>4638.5819999999994</v>
      </c>
      <c r="AB6" s="6">
        <f>AB3*0.85</f>
        <v>5501.5739999999996</v>
      </c>
      <c r="AC6" s="6">
        <f>AC3*0.84</f>
        <v>6252.3770399999985</v>
      </c>
      <c r="AD6" s="6">
        <f>AD3*0.83</f>
        <v>7104.6355769999982</v>
      </c>
      <c r="AE6" s="6">
        <f>AE3*0.82</f>
        <v>8071.8931916999982</v>
      </c>
      <c r="AF6" s="6">
        <f>AF3*0.81</f>
        <v>9169.4737903274981</v>
      </c>
      <c r="AG6" s="6">
        <f t="shared" ref="AG6:AJ6" si="7">AG3*0.81</f>
        <v>10544.894858876622</v>
      </c>
      <c r="AH6" s="6">
        <f t="shared" si="7"/>
        <v>12126.629087708114</v>
      </c>
      <c r="AI6" s="6">
        <f t="shared" si="7"/>
        <v>13945.623450864328</v>
      </c>
      <c r="AJ6" s="6">
        <f t="shared" si="7"/>
        <v>15340.185795950763</v>
      </c>
    </row>
    <row r="7" spans="2:36" x14ac:dyDescent="0.3">
      <c r="B7" s="1" t="s">
        <v>44</v>
      </c>
      <c r="G7" s="8"/>
      <c r="H7" s="8"/>
      <c r="I7" s="8"/>
      <c r="J7" s="8">
        <v>102</v>
      </c>
      <c r="K7" s="8">
        <v>118</v>
      </c>
      <c r="L7" s="8">
        <v>94</v>
      </c>
      <c r="M7" s="8"/>
      <c r="N7" s="8">
        <v>154</v>
      </c>
      <c r="O7" s="6">
        <v>204</v>
      </c>
      <c r="P7" s="6">
        <v>247</v>
      </c>
      <c r="Q7" s="6">
        <f t="shared" ref="Q7:R7" si="8">Q4*0.6</f>
        <v>192</v>
      </c>
      <c r="R7" s="6">
        <f t="shared" si="8"/>
        <v>252</v>
      </c>
      <c r="U7" s="8"/>
      <c r="V7" s="8"/>
      <c r="W7" s="8"/>
      <c r="X7" s="8"/>
      <c r="Y7" s="8"/>
      <c r="Z7" s="6">
        <f t="shared" si="6"/>
        <v>895</v>
      </c>
      <c r="AA7" s="6">
        <f>AA4*0.6</f>
        <v>1118.52</v>
      </c>
      <c r="AB7" s="6">
        <f t="shared" ref="AB7:AJ7" si="9">AB4*0.6</f>
        <v>1342.2239999999999</v>
      </c>
      <c r="AC7" s="6">
        <f t="shared" si="9"/>
        <v>1543.5575999999996</v>
      </c>
      <c r="AD7" s="6">
        <f t="shared" si="9"/>
        <v>1697.9133599999998</v>
      </c>
      <c r="AE7" s="6">
        <f t="shared" si="9"/>
        <v>1782.8090279999999</v>
      </c>
      <c r="AF7" s="6">
        <f t="shared" si="9"/>
        <v>1871.9494793999997</v>
      </c>
      <c r="AG7" s="6">
        <f t="shared" si="9"/>
        <v>1965.5469533699998</v>
      </c>
      <c r="AH7" s="6">
        <f t="shared" si="9"/>
        <v>2063.8243010384999</v>
      </c>
      <c r="AI7" s="6">
        <f t="shared" si="9"/>
        <v>2167.0155160904251</v>
      </c>
      <c r="AJ7" s="6">
        <f t="shared" si="9"/>
        <v>2275.3662918949462</v>
      </c>
    </row>
    <row r="8" spans="2:36" x14ac:dyDescent="0.3">
      <c r="B8" s="1" t="s">
        <v>45</v>
      </c>
      <c r="G8" s="8">
        <v>1196</v>
      </c>
      <c r="H8" s="8">
        <v>1533</v>
      </c>
      <c r="I8" s="8">
        <v>1814</v>
      </c>
      <c r="J8" s="8">
        <f>J6+J7</f>
        <v>1921</v>
      </c>
      <c r="K8" s="8">
        <v>1731</v>
      </c>
      <c r="L8" s="8">
        <f>L6+L7</f>
        <v>1609</v>
      </c>
      <c r="M8" s="8">
        <v>1266</v>
      </c>
      <c r="N8" s="8">
        <f>N6+N7</f>
        <v>1564</v>
      </c>
      <c r="O8" s="8">
        <f>O6+O7</f>
        <v>1034</v>
      </c>
      <c r="P8" s="8">
        <f t="shared" ref="P8:R8" si="10">P6+P7</f>
        <v>1509</v>
      </c>
      <c r="Q8" s="8">
        <f t="shared" si="10"/>
        <v>888</v>
      </c>
      <c r="R8" s="8">
        <f t="shared" si="10"/>
        <v>1572</v>
      </c>
      <c r="U8" s="6">
        <v>0</v>
      </c>
      <c r="V8" s="6">
        <v>520</v>
      </c>
      <c r="W8" s="6">
        <v>4781</v>
      </c>
      <c r="X8" s="6">
        <f>SUM(G8:J8)</f>
        <v>6464</v>
      </c>
      <c r="Y8" s="6">
        <f>SUM(K8:N8)</f>
        <v>6170</v>
      </c>
      <c r="Z8" s="6">
        <f>Z6+Z7</f>
        <v>5003</v>
      </c>
      <c r="AA8" s="6">
        <f t="shared" ref="AA8:AJ8" si="11">AA6+AA7</f>
        <v>5757.101999999999</v>
      </c>
      <c r="AB8" s="6">
        <f t="shared" si="11"/>
        <v>6843.7979999999998</v>
      </c>
      <c r="AC8" s="6">
        <f t="shared" si="11"/>
        <v>7795.9346399999977</v>
      </c>
      <c r="AD8" s="6">
        <f t="shared" si="11"/>
        <v>8802.5489369999977</v>
      </c>
      <c r="AE8" s="6">
        <f t="shared" si="11"/>
        <v>9854.7022196999988</v>
      </c>
      <c r="AF8" s="6">
        <f t="shared" si="11"/>
        <v>11041.423269727498</v>
      </c>
      <c r="AG8" s="6">
        <f t="shared" si="11"/>
        <v>12510.441812246621</v>
      </c>
      <c r="AH8" s="6">
        <f t="shared" si="11"/>
        <v>14190.453388746613</v>
      </c>
      <c r="AI8" s="6">
        <f t="shared" si="11"/>
        <v>16112.638966954753</v>
      </c>
      <c r="AJ8" s="6">
        <f t="shared" si="11"/>
        <v>17615.55208784571</v>
      </c>
    </row>
    <row r="9" spans="2:36" s="3" customFormat="1" x14ac:dyDescent="0.3">
      <c r="B9" s="3" t="s">
        <v>27</v>
      </c>
      <c r="G9" s="9">
        <f t="shared" ref="G9:N9" si="12">G5-G8</f>
        <v>-535</v>
      </c>
      <c r="H9" s="9">
        <f t="shared" si="12"/>
        <v>-412</v>
      </c>
      <c r="I9" s="9">
        <f t="shared" si="12"/>
        <v>-477</v>
      </c>
      <c r="J9" s="9">
        <f t="shared" si="12"/>
        <v>-606</v>
      </c>
      <c r="K9" s="9">
        <f t="shared" si="12"/>
        <v>-527</v>
      </c>
      <c r="L9" s="9">
        <f t="shared" si="12"/>
        <v>-451</v>
      </c>
      <c r="M9" s="9">
        <f t="shared" si="12"/>
        <v>-392</v>
      </c>
      <c r="N9" s="9">
        <f t="shared" si="12"/>
        <v>170</v>
      </c>
      <c r="O9" s="9">
        <f t="shared" ref="O9:R9" si="13">O5-O8</f>
        <v>206</v>
      </c>
      <c r="P9" s="9">
        <f t="shared" si="13"/>
        <v>-206</v>
      </c>
      <c r="Q9" s="9">
        <f t="shared" si="13"/>
        <v>232</v>
      </c>
      <c r="R9" s="9">
        <f t="shared" si="13"/>
        <v>348</v>
      </c>
      <c r="U9" s="9">
        <f t="shared" ref="U9:AJ9" si="14">U5-U8</f>
        <v>0</v>
      </c>
      <c r="V9" s="9">
        <f t="shared" si="14"/>
        <v>-465</v>
      </c>
      <c r="W9" s="9">
        <f t="shared" si="14"/>
        <v>-3123</v>
      </c>
      <c r="X9" s="9">
        <f t="shared" si="14"/>
        <v>-2030</v>
      </c>
      <c r="Y9" s="9">
        <f t="shared" si="14"/>
        <v>-1200</v>
      </c>
      <c r="Z9" s="9">
        <f t="shared" si="14"/>
        <v>580</v>
      </c>
      <c r="AA9" s="9">
        <f t="shared" si="14"/>
        <v>1500.7980000000007</v>
      </c>
      <c r="AB9" s="9">
        <f t="shared" si="14"/>
        <v>1865.6819999999998</v>
      </c>
      <c r="AC9" s="9">
        <f t="shared" si="14"/>
        <v>2219.9673600000006</v>
      </c>
      <c r="AD9" s="9">
        <f t="shared" si="14"/>
        <v>2587.1085629999998</v>
      </c>
      <c r="AE9" s="9">
        <f t="shared" si="14"/>
        <v>2960.4183452999987</v>
      </c>
      <c r="AF9" s="9">
        <f t="shared" si="14"/>
        <v>3398.8305420224988</v>
      </c>
      <c r="AG9" s="9">
        <f t="shared" si="14"/>
        <v>3783.8584913658724</v>
      </c>
      <c r="AH9" s="9">
        <f t="shared" si="14"/>
        <v>4220.4008015127547</v>
      </c>
      <c r="AI9" s="9">
        <f t="shared" si="14"/>
        <v>4715.8726350037687</v>
      </c>
      <c r="AJ9" s="9">
        <f t="shared" si="14"/>
        <v>5115.2260479677971</v>
      </c>
    </row>
    <row r="10" spans="2:36" x14ac:dyDescent="0.3">
      <c r="B10" s="1" t="s">
        <v>31</v>
      </c>
      <c r="G10" s="6">
        <v>496</v>
      </c>
      <c r="H10" s="6">
        <v>444</v>
      </c>
      <c r="I10" s="6">
        <v>529</v>
      </c>
      <c r="J10" s="6">
        <v>526</v>
      </c>
      <c r="K10" s="6">
        <v>461</v>
      </c>
      <c r="L10" s="6">
        <v>428</v>
      </c>
      <c r="M10" s="6">
        <v>350</v>
      </c>
      <c r="N10" s="6">
        <v>374</v>
      </c>
      <c r="O10" s="6">
        <v>381</v>
      </c>
      <c r="P10" s="6">
        <v>410</v>
      </c>
      <c r="Q10" s="6">
        <f>P10*0.9</f>
        <v>369</v>
      </c>
      <c r="R10" s="6">
        <f>P10*1.05</f>
        <v>430.5</v>
      </c>
      <c r="U10" s="6">
        <v>766</v>
      </c>
      <c r="V10" s="6">
        <v>1850</v>
      </c>
      <c r="W10" s="6">
        <v>1944</v>
      </c>
      <c r="X10" s="6">
        <f>SUM(G10:J10)</f>
        <v>1995</v>
      </c>
      <c r="Y10" s="6">
        <f>SUM(K10:N10)</f>
        <v>1613</v>
      </c>
      <c r="Z10" s="6">
        <f>SUM(O10:R10)</f>
        <v>1590.5</v>
      </c>
      <c r="AA10" s="6">
        <f>Z10*1.04</f>
        <v>1654.1200000000001</v>
      </c>
      <c r="AB10" s="6">
        <f>AA10*1.03</f>
        <v>1703.7436000000002</v>
      </c>
      <c r="AC10" s="6">
        <f>AB10*1.02</f>
        <v>1737.8184720000004</v>
      </c>
      <c r="AD10" s="6">
        <f t="shared" ref="AD10" si="15">AC10*1.02</f>
        <v>1772.5748414400005</v>
      </c>
      <c r="AE10" s="6">
        <f>AD10*1.01</f>
        <v>1790.3005898544004</v>
      </c>
      <c r="AF10" s="6">
        <f t="shared" ref="AF10:AJ11" si="16">AE10*1.01</f>
        <v>1808.2035957529445</v>
      </c>
      <c r="AG10" s="6">
        <f t="shared" si="16"/>
        <v>1826.285631710474</v>
      </c>
      <c r="AH10" s="6">
        <f t="shared" si="16"/>
        <v>1844.5484880275787</v>
      </c>
      <c r="AI10" s="6">
        <f t="shared" si="16"/>
        <v>1862.9939729078546</v>
      </c>
      <c r="AJ10" s="6">
        <f t="shared" si="16"/>
        <v>1881.6239126369333</v>
      </c>
    </row>
    <row r="11" spans="2:36" x14ac:dyDescent="0.3">
      <c r="B11" s="1" t="s">
        <v>32</v>
      </c>
      <c r="G11" s="6">
        <v>402</v>
      </c>
      <c r="H11" s="6">
        <v>429</v>
      </c>
      <c r="I11" s="6">
        <v>434</v>
      </c>
      <c r="J11" s="6">
        <v>449</v>
      </c>
      <c r="K11" s="6">
        <v>496</v>
      </c>
      <c r="L11" s="6">
        <v>496</v>
      </c>
      <c r="M11" s="6">
        <v>427</v>
      </c>
      <c r="N11" s="6">
        <v>457</v>
      </c>
      <c r="O11" s="6">
        <v>480</v>
      </c>
      <c r="P11" s="6">
        <v>498</v>
      </c>
      <c r="Q11" s="6">
        <f>P11*1.02</f>
        <v>507.96000000000004</v>
      </c>
      <c r="R11" s="6">
        <f>Q11*1.01</f>
        <v>513.03960000000006</v>
      </c>
      <c r="U11" s="6">
        <v>255</v>
      </c>
      <c r="V11" s="6">
        <f>1242+662</f>
        <v>1904</v>
      </c>
      <c r="W11" s="6">
        <v>1789</v>
      </c>
      <c r="X11" s="6">
        <f>SUM(G11:J11)</f>
        <v>1714</v>
      </c>
      <c r="Y11" s="6">
        <f>SUM(K11:N11)</f>
        <v>1876</v>
      </c>
      <c r="Z11" s="6">
        <f>SUM(O11:R11)</f>
        <v>1998.9996000000001</v>
      </c>
      <c r="AA11" s="6">
        <f>Z11*1.03</f>
        <v>2058.9695879999999</v>
      </c>
      <c r="AB11" s="6">
        <f>AA11*1.02</f>
        <v>2100.1489797599997</v>
      </c>
      <c r="AC11" s="6">
        <f>AB11*1.01</f>
        <v>2121.1504695576</v>
      </c>
      <c r="AD11" s="6">
        <f t="shared" ref="AD11:AE11" si="17">AC11*1.01</f>
        <v>2142.361974253176</v>
      </c>
      <c r="AE11" s="6">
        <f t="shared" si="17"/>
        <v>2163.7855939957076</v>
      </c>
      <c r="AF11" s="6">
        <f t="shared" si="16"/>
        <v>2185.4234499356648</v>
      </c>
      <c r="AG11" s="6">
        <f t="shared" si="16"/>
        <v>2207.2776844350215</v>
      </c>
      <c r="AH11" s="6">
        <f t="shared" si="16"/>
        <v>2229.3504612793718</v>
      </c>
      <c r="AI11" s="6">
        <f t="shared" si="16"/>
        <v>2251.6439658921654</v>
      </c>
      <c r="AJ11" s="6">
        <f t="shared" si="16"/>
        <v>2274.160405551087</v>
      </c>
    </row>
    <row r="12" spans="2:36" s="3" customFormat="1" x14ac:dyDescent="0.3">
      <c r="B12" s="3" t="s">
        <v>33</v>
      </c>
      <c r="G12" s="9">
        <f t="shared" ref="G12:N12" si="18">G9-G10-G11</f>
        <v>-1433</v>
      </c>
      <c r="H12" s="9">
        <f t="shared" si="18"/>
        <v>-1285</v>
      </c>
      <c r="I12" s="9">
        <f t="shared" si="18"/>
        <v>-1440</v>
      </c>
      <c r="J12" s="9">
        <f t="shared" si="18"/>
        <v>-1581</v>
      </c>
      <c r="K12" s="9">
        <f t="shared" si="18"/>
        <v>-1484</v>
      </c>
      <c r="L12" s="9">
        <f t="shared" si="18"/>
        <v>-1375</v>
      </c>
      <c r="M12" s="9">
        <f t="shared" si="18"/>
        <v>-1169</v>
      </c>
      <c r="N12" s="9">
        <f t="shared" si="18"/>
        <v>-661</v>
      </c>
      <c r="O12" s="9">
        <f t="shared" ref="O12:R12" si="19">O9-O10-O11</f>
        <v>-655</v>
      </c>
      <c r="P12" s="9">
        <f t="shared" si="19"/>
        <v>-1114</v>
      </c>
      <c r="Q12" s="9">
        <f t="shared" si="19"/>
        <v>-644.96</v>
      </c>
      <c r="R12" s="9">
        <f t="shared" si="19"/>
        <v>-595.53960000000006</v>
      </c>
      <c r="U12" s="9">
        <f t="shared" ref="U12:Z12" si="20">U9-U10-U11</f>
        <v>-1021</v>
      </c>
      <c r="V12" s="9">
        <f t="shared" si="20"/>
        <v>-4219</v>
      </c>
      <c r="W12" s="9">
        <f t="shared" si="20"/>
        <v>-6856</v>
      </c>
      <c r="X12" s="9">
        <f t="shared" si="20"/>
        <v>-5739</v>
      </c>
      <c r="Y12" s="9">
        <f t="shared" si="20"/>
        <v>-4689</v>
      </c>
      <c r="Z12" s="9">
        <f t="shared" si="20"/>
        <v>-3009.4996000000001</v>
      </c>
      <c r="AA12" s="9">
        <f t="shared" ref="AA12:AJ12" si="21">AA9-AA10-AA11</f>
        <v>-2212.2915879999991</v>
      </c>
      <c r="AB12" s="9">
        <f t="shared" si="21"/>
        <v>-1938.2105797600002</v>
      </c>
      <c r="AC12" s="9">
        <f t="shared" si="21"/>
        <v>-1639.0015815575998</v>
      </c>
      <c r="AD12" s="9">
        <f t="shared" si="21"/>
        <v>-1327.8282526931766</v>
      </c>
      <c r="AE12" s="9">
        <f t="shared" si="21"/>
        <v>-993.66783855010931</v>
      </c>
      <c r="AF12" s="9">
        <f t="shared" si="21"/>
        <v>-594.79650366611054</v>
      </c>
      <c r="AG12" s="9">
        <f t="shared" si="21"/>
        <v>-249.7048247796231</v>
      </c>
      <c r="AH12" s="9">
        <f t="shared" si="21"/>
        <v>146.50185220580397</v>
      </c>
      <c r="AI12" s="9">
        <f t="shared" si="21"/>
        <v>601.23469620374863</v>
      </c>
      <c r="AJ12" s="9">
        <f t="shared" si="21"/>
        <v>959.44172977977678</v>
      </c>
    </row>
    <row r="13" spans="2:36" x14ac:dyDescent="0.3">
      <c r="B13" s="1" t="s">
        <v>34</v>
      </c>
      <c r="G13" s="6">
        <v>-124</v>
      </c>
      <c r="H13" s="6">
        <v>-141</v>
      </c>
      <c r="I13" s="6">
        <v>-126</v>
      </c>
      <c r="J13" s="6">
        <v>-131</v>
      </c>
      <c r="K13" s="6">
        <v>-112</v>
      </c>
      <c r="L13" s="6">
        <v>-95</v>
      </c>
      <c r="M13" s="6">
        <v>-95</v>
      </c>
      <c r="N13" s="6">
        <v>-83</v>
      </c>
      <c r="O13" s="6">
        <v>-81</v>
      </c>
      <c r="P13" s="6">
        <v>-72</v>
      </c>
      <c r="Q13" s="6">
        <f t="shared" ref="Q13:R13" si="22">M13*1.03</f>
        <v>-97.850000000000009</v>
      </c>
      <c r="R13" s="6">
        <f t="shared" si="22"/>
        <v>-85.490000000000009</v>
      </c>
      <c r="U13" s="6">
        <v>-10</v>
      </c>
      <c r="V13" s="6">
        <v>-3</v>
      </c>
      <c r="W13" s="6">
        <v>-193</v>
      </c>
      <c r="X13" s="6">
        <f>SUM(G13:J13)</f>
        <v>-522</v>
      </c>
      <c r="Y13" s="6">
        <f>SUM(K13:N13)</f>
        <v>-385</v>
      </c>
      <c r="Z13" s="6">
        <f>SUM(O13:R13)</f>
        <v>-336.34000000000003</v>
      </c>
      <c r="AA13" s="6">
        <f>Z13*1.03</f>
        <v>-346.43020000000001</v>
      </c>
      <c r="AB13" s="6">
        <f t="shared" ref="AB13:AJ13" si="23">AA13*1.03</f>
        <v>-356.823106</v>
      </c>
      <c r="AC13" s="6">
        <f t="shared" si="23"/>
        <v>-367.52779917999999</v>
      </c>
      <c r="AD13" s="6">
        <f t="shared" si="23"/>
        <v>-378.55363315540001</v>
      </c>
      <c r="AE13" s="6">
        <f t="shared" si="23"/>
        <v>-389.910242150062</v>
      </c>
      <c r="AF13" s="6">
        <f t="shared" si="23"/>
        <v>-401.60754941456389</v>
      </c>
      <c r="AG13" s="6">
        <f t="shared" si="23"/>
        <v>-413.65577589700081</v>
      </c>
      <c r="AH13" s="6">
        <f t="shared" si="23"/>
        <v>-426.06544917391085</v>
      </c>
      <c r="AI13" s="6">
        <f t="shared" si="23"/>
        <v>-438.84741264912816</v>
      </c>
      <c r="AJ13" s="6">
        <f t="shared" si="23"/>
        <v>-452.01283502860201</v>
      </c>
    </row>
    <row r="14" spans="2:36" x14ac:dyDescent="0.3">
      <c r="B14" s="1" t="s">
        <v>35</v>
      </c>
      <c r="G14" s="6">
        <v>38</v>
      </c>
      <c r="H14" s="6">
        <v>54</v>
      </c>
      <c r="I14" s="6">
        <v>55</v>
      </c>
      <c r="J14" s="6">
        <v>73</v>
      </c>
      <c r="K14" s="6">
        <v>75</v>
      </c>
      <c r="L14" s="6">
        <v>75</v>
      </c>
      <c r="M14" s="6">
        <v>87</v>
      </c>
      <c r="N14" s="6">
        <v>81</v>
      </c>
      <c r="O14" s="6">
        <v>72</v>
      </c>
      <c r="P14" s="6">
        <v>69</v>
      </c>
      <c r="Q14" s="6">
        <v>82</v>
      </c>
      <c r="R14" s="6">
        <v>82</v>
      </c>
      <c r="U14" s="6">
        <v>8</v>
      </c>
      <c r="V14" s="6">
        <v>29</v>
      </c>
      <c r="W14" s="6">
        <v>103</v>
      </c>
      <c r="X14" s="6">
        <f>SUM(G14:J14)</f>
        <v>220</v>
      </c>
      <c r="Y14" s="6">
        <f>SUM(K14:N14)</f>
        <v>318</v>
      </c>
      <c r="Z14" s="6">
        <f>SUM(O14:R14)</f>
        <v>305</v>
      </c>
      <c r="AA14" s="6">
        <f>Z14*1.02</f>
        <v>311.10000000000002</v>
      </c>
      <c r="AB14" s="6">
        <f t="shared" ref="AB14:AJ14" si="24">AA14*1.02</f>
        <v>317.322</v>
      </c>
      <c r="AC14" s="6">
        <f t="shared" si="24"/>
        <v>323.66844000000003</v>
      </c>
      <c r="AD14" s="6">
        <f t="shared" si="24"/>
        <v>330.14180880000004</v>
      </c>
      <c r="AE14" s="6">
        <f t="shared" si="24"/>
        <v>336.74464497600002</v>
      </c>
      <c r="AF14" s="6">
        <f t="shared" si="24"/>
        <v>343.47953787552001</v>
      </c>
      <c r="AG14" s="6">
        <f t="shared" si="24"/>
        <v>350.34912863303043</v>
      </c>
      <c r="AH14" s="6">
        <f t="shared" si="24"/>
        <v>357.35611120569104</v>
      </c>
      <c r="AI14" s="6">
        <f t="shared" si="24"/>
        <v>364.50323342980488</v>
      </c>
      <c r="AJ14" s="6">
        <f t="shared" si="24"/>
        <v>371.79329809840101</v>
      </c>
    </row>
    <row r="15" spans="2:36" x14ac:dyDescent="0.3">
      <c r="B15" s="1" t="s">
        <v>36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90</v>
      </c>
      <c r="M15" s="6">
        <v>-60</v>
      </c>
      <c r="N15" s="6">
        <v>82</v>
      </c>
      <c r="O15" s="6">
        <v>0</v>
      </c>
      <c r="P15" s="6">
        <v>0</v>
      </c>
      <c r="Q15" s="6">
        <v>0</v>
      </c>
      <c r="R15" s="6">
        <v>0</v>
      </c>
      <c r="U15" s="6">
        <v>0</v>
      </c>
      <c r="V15" s="6">
        <v>441</v>
      </c>
      <c r="W15" s="6">
        <v>0</v>
      </c>
      <c r="X15" s="6">
        <f>SUM(G15:J15)</f>
        <v>0</v>
      </c>
      <c r="Y15" s="6">
        <f>SUM(K15:N15)</f>
        <v>112</v>
      </c>
      <c r="Z15" s="6">
        <f>SUM(O15:R15)</f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>
        <v>0</v>
      </c>
      <c r="AJ15" s="6">
        <v>0</v>
      </c>
    </row>
    <row r="16" spans="2:36" x14ac:dyDescent="0.3">
      <c r="B16" s="1" t="s">
        <v>37</v>
      </c>
      <c r="G16" s="6">
        <v>1</v>
      </c>
      <c r="H16" s="6">
        <v>-3</v>
      </c>
      <c r="I16" s="6">
        <v>-2</v>
      </c>
      <c r="J16" s="6">
        <v>-2</v>
      </c>
      <c r="K16" s="6">
        <v>-2</v>
      </c>
      <c r="L16" s="6">
        <v>11</v>
      </c>
      <c r="M16" s="6">
        <v>-1</v>
      </c>
      <c r="N16" s="6">
        <v>-1</v>
      </c>
      <c r="O16" s="6">
        <v>-107</v>
      </c>
      <c r="P16" s="6">
        <v>2</v>
      </c>
      <c r="Q16" s="6">
        <v>0</v>
      </c>
      <c r="R16" s="6">
        <v>0</v>
      </c>
      <c r="U16" s="6">
        <v>-1</v>
      </c>
      <c r="V16" s="6">
        <v>1</v>
      </c>
      <c r="W16" s="6">
        <v>-18</v>
      </c>
      <c r="X16" s="6">
        <f>SUM(G16:J16)</f>
        <v>-6</v>
      </c>
      <c r="Y16" s="6">
        <f>SUM(K16:N16)</f>
        <v>7</v>
      </c>
      <c r="Z16" s="6">
        <f>SUM(O16:R16)</f>
        <v>-105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</row>
    <row r="17" spans="2:136" x14ac:dyDescent="0.3">
      <c r="B17" s="1" t="s">
        <v>38</v>
      </c>
      <c r="G17" s="6">
        <f t="shared" ref="G17:N17" si="25">SUM(G13:G16)</f>
        <v>-85</v>
      </c>
      <c r="H17" s="6">
        <f t="shared" si="25"/>
        <v>-90</v>
      </c>
      <c r="I17" s="6">
        <f t="shared" si="25"/>
        <v>-73</v>
      </c>
      <c r="J17" s="6">
        <f t="shared" si="25"/>
        <v>-60</v>
      </c>
      <c r="K17" s="6">
        <f t="shared" si="25"/>
        <v>-39</v>
      </c>
      <c r="L17" s="6">
        <f t="shared" si="25"/>
        <v>81</v>
      </c>
      <c r="M17" s="6">
        <f t="shared" si="25"/>
        <v>-69</v>
      </c>
      <c r="N17" s="6">
        <f t="shared" si="25"/>
        <v>79</v>
      </c>
      <c r="O17" s="6">
        <f t="shared" ref="O17:R17" si="26">SUM(O13:O16)</f>
        <v>-116</v>
      </c>
      <c r="P17" s="6">
        <f t="shared" si="26"/>
        <v>-1</v>
      </c>
      <c r="Q17" s="6">
        <f t="shared" si="26"/>
        <v>-15.850000000000009</v>
      </c>
      <c r="R17" s="6">
        <f t="shared" si="26"/>
        <v>-3.4900000000000091</v>
      </c>
      <c r="U17" s="6">
        <f t="shared" ref="U17:AA17" si="27">SUM(U13:U16)</f>
        <v>-3</v>
      </c>
      <c r="V17" s="6">
        <f t="shared" si="27"/>
        <v>468</v>
      </c>
      <c r="W17" s="6">
        <f t="shared" si="27"/>
        <v>-108</v>
      </c>
      <c r="X17" s="6">
        <f t="shared" si="27"/>
        <v>-308</v>
      </c>
      <c r="Y17" s="6">
        <f t="shared" si="27"/>
        <v>52</v>
      </c>
      <c r="Z17" s="6">
        <f t="shared" si="27"/>
        <v>-136.34000000000003</v>
      </c>
      <c r="AA17" s="6">
        <f t="shared" si="27"/>
        <v>-35.330199999999991</v>
      </c>
      <c r="AB17" s="6">
        <f t="shared" ref="AB17:AJ17" si="28">SUM(AB13:AB16)</f>
        <v>-39.501105999999993</v>
      </c>
      <c r="AC17" s="6">
        <f t="shared" si="28"/>
        <v>-43.859359179999956</v>
      </c>
      <c r="AD17" s="6">
        <f t="shared" si="28"/>
        <v>-48.411824355399972</v>
      </c>
      <c r="AE17" s="6">
        <f t="shared" si="28"/>
        <v>-53.165597174061986</v>
      </c>
      <c r="AF17" s="6">
        <f t="shared" si="28"/>
        <v>-58.128011539043882</v>
      </c>
      <c r="AG17" s="6">
        <f t="shared" si="28"/>
        <v>-63.306647263970376</v>
      </c>
      <c r="AH17" s="6">
        <f t="shared" si="28"/>
        <v>-68.709337968219813</v>
      </c>
      <c r="AI17" s="6">
        <f t="shared" si="28"/>
        <v>-74.34417921932328</v>
      </c>
      <c r="AJ17" s="6">
        <f t="shared" si="28"/>
        <v>-80.219536930201002</v>
      </c>
    </row>
    <row r="18" spans="2:136" s="3" customFormat="1" x14ac:dyDescent="0.3">
      <c r="B18" s="3" t="s">
        <v>39</v>
      </c>
      <c r="G18" s="9">
        <f t="shared" ref="G18:N18" si="29">G12-G17</f>
        <v>-1348</v>
      </c>
      <c r="H18" s="9">
        <f t="shared" si="29"/>
        <v>-1195</v>
      </c>
      <c r="I18" s="9">
        <f t="shared" si="29"/>
        <v>-1367</v>
      </c>
      <c r="J18" s="9">
        <f t="shared" si="29"/>
        <v>-1521</v>
      </c>
      <c r="K18" s="9">
        <f t="shared" si="29"/>
        <v>-1445</v>
      </c>
      <c r="L18" s="9">
        <f t="shared" si="29"/>
        <v>-1456</v>
      </c>
      <c r="M18" s="9">
        <f t="shared" si="29"/>
        <v>-1100</v>
      </c>
      <c r="N18" s="9">
        <f t="shared" si="29"/>
        <v>-740</v>
      </c>
      <c r="O18" s="9">
        <f t="shared" ref="O18:R18" si="30">O12-O17</f>
        <v>-539</v>
      </c>
      <c r="P18" s="9">
        <f t="shared" si="30"/>
        <v>-1113</v>
      </c>
      <c r="Q18" s="9">
        <f t="shared" si="30"/>
        <v>-629.11</v>
      </c>
      <c r="R18" s="9">
        <f t="shared" si="30"/>
        <v>-592.04960000000005</v>
      </c>
      <c r="U18" s="9">
        <f t="shared" ref="U18:AA18" si="31">U12-U17</f>
        <v>-1018</v>
      </c>
      <c r="V18" s="9">
        <f t="shared" si="31"/>
        <v>-4687</v>
      </c>
      <c r="W18" s="9">
        <f t="shared" si="31"/>
        <v>-6748</v>
      </c>
      <c r="X18" s="9">
        <f t="shared" si="31"/>
        <v>-5431</v>
      </c>
      <c r="Y18" s="9">
        <f t="shared" si="31"/>
        <v>-4741</v>
      </c>
      <c r="Z18" s="9">
        <f t="shared" si="31"/>
        <v>-2873.1596</v>
      </c>
      <c r="AA18" s="9">
        <f t="shared" si="31"/>
        <v>-2176.9613879999993</v>
      </c>
      <c r="AB18" s="9">
        <f t="shared" ref="AB18:AJ18" si="32">AB12-AB17</f>
        <v>-1898.7094737600003</v>
      </c>
      <c r="AC18" s="9">
        <f t="shared" si="32"/>
        <v>-1595.1422223775999</v>
      </c>
      <c r="AD18" s="9">
        <f t="shared" si="32"/>
        <v>-1279.4164283377768</v>
      </c>
      <c r="AE18" s="9">
        <f t="shared" si="32"/>
        <v>-940.50224137604732</v>
      </c>
      <c r="AF18" s="9">
        <f t="shared" si="32"/>
        <v>-536.66849212706666</v>
      </c>
      <c r="AG18" s="9">
        <f t="shared" si="32"/>
        <v>-186.39817751565272</v>
      </c>
      <c r="AH18" s="9">
        <f t="shared" si="32"/>
        <v>215.21119017402378</v>
      </c>
      <c r="AI18" s="9">
        <f t="shared" si="32"/>
        <v>675.57887542307185</v>
      </c>
      <c r="AJ18" s="9">
        <f t="shared" si="32"/>
        <v>1039.6612667099778</v>
      </c>
    </row>
    <row r="19" spans="2:136" x14ac:dyDescent="0.3">
      <c r="B19" s="1" t="s">
        <v>40</v>
      </c>
      <c r="G19" s="6">
        <v>1</v>
      </c>
      <c r="H19" s="6">
        <v>0</v>
      </c>
      <c r="I19" s="6">
        <v>0</v>
      </c>
      <c r="J19" s="6">
        <v>0</v>
      </c>
      <c r="K19" s="6">
        <v>1</v>
      </c>
      <c r="L19" s="6">
        <v>1</v>
      </c>
      <c r="M19" s="6">
        <v>0</v>
      </c>
      <c r="N19" s="6">
        <v>3</v>
      </c>
      <c r="O19" s="6">
        <v>2</v>
      </c>
      <c r="P19" s="6">
        <v>2</v>
      </c>
      <c r="Q19" s="6">
        <v>0</v>
      </c>
      <c r="R19" s="6">
        <v>0</v>
      </c>
      <c r="U19" s="6">
        <v>0</v>
      </c>
      <c r="V19" s="6">
        <v>0</v>
      </c>
      <c r="W19" s="6">
        <v>4</v>
      </c>
      <c r="X19" s="6">
        <f>SUM(G19:J19)</f>
        <v>1</v>
      </c>
      <c r="Y19" s="6">
        <f>SUM(K19:N19)</f>
        <v>5</v>
      </c>
      <c r="Z19" s="6">
        <f>SUM(O19:R19)</f>
        <v>4</v>
      </c>
      <c r="AA19" s="6">
        <v>0</v>
      </c>
      <c r="AB19" s="6">
        <f>AB18*0.2</f>
        <v>-379.74189475200006</v>
      </c>
      <c r="AC19" s="6">
        <f t="shared" ref="AC19:AJ19" si="33">AC18*0.2</f>
        <v>-319.02844447552002</v>
      </c>
      <c r="AD19" s="6">
        <f t="shared" si="33"/>
        <v>-255.88328566755536</v>
      </c>
      <c r="AE19" s="6">
        <f t="shared" si="33"/>
        <v>-188.10044827520949</v>
      </c>
      <c r="AF19" s="6">
        <f t="shared" si="33"/>
        <v>-107.33369842541333</v>
      </c>
      <c r="AG19" s="6">
        <f t="shared" si="33"/>
        <v>-37.279635503130542</v>
      </c>
      <c r="AH19" s="6">
        <f t="shared" si="33"/>
        <v>43.042238034804761</v>
      </c>
      <c r="AI19" s="6">
        <f t="shared" si="33"/>
        <v>135.11577508461437</v>
      </c>
      <c r="AJ19" s="6">
        <f t="shared" si="33"/>
        <v>207.93225334199556</v>
      </c>
    </row>
    <row r="20" spans="2:136" x14ac:dyDescent="0.3">
      <c r="B20" s="1" t="s">
        <v>46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1</v>
      </c>
      <c r="O20" s="6">
        <v>4</v>
      </c>
      <c r="P20" s="6">
        <v>2</v>
      </c>
      <c r="Q20" s="6">
        <v>0</v>
      </c>
      <c r="R20" s="6">
        <v>0</v>
      </c>
      <c r="U20" s="6">
        <v>0</v>
      </c>
      <c r="V20" s="6">
        <v>0</v>
      </c>
      <c r="W20" s="6">
        <v>0</v>
      </c>
      <c r="X20" s="6">
        <f>SUM(G20:J20)</f>
        <v>0</v>
      </c>
      <c r="Y20" s="6">
        <f>SUM(K20:N20)</f>
        <v>1</v>
      </c>
      <c r="Z20" s="6">
        <f>SUM(O20:R20)</f>
        <v>6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</row>
    <row r="21" spans="2:136" s="3" customFormat="1" x14ac:dyDescent="0.3">
      <c r="B21" s="3" t="s">
        <v>41</v>
      </c>
      <c r="G21" s="9">
        <f t="shared" ref="G21:N21" si="34">G18-G19-G20</f>
        <v>-1349</v>
      </c>
      <c r="H21" s="9">
        <f t="shared" si="34"/>
        <v>-1195</v>
      </c>
      <c r="I21" s="9">
        <f t="shared" si="34"/>
        <v>-1367</v>
      </c>
      <c r="J21" s="9">
        <f t="shared" si="34"/>
        <v>-1521</v>
      </c>
      <c r="K21" s="9">
        <f t="shared" si="34"/>
        <v>-1446</v>
      </c>
      <c r="L21" s="9">
        <f t="shared" si="34"/>
        <v>-1457</v>
      </c>
      <c r="M21" s="9">
        <f t="shared" si="34"/>
        <v>-1100</v>
      </c>
      <c r="N21" s="9">
        <f t="shared" si="34"/>
        <v>-744</v>
      </c>
      <c r="O21" s="9">
        <f t="shared" ref="O21" si="35">O18-O19-O20</f>
        <v>-545</v>
      </c>
      <c r="P21" s="9">
        <f t="shared" ref="P21" si="36">P18-P19-P20</f>
        <v>-1117</v>
      </c>
      <c r="Q21" s="9">
        <f t="shared" ref="Q21" si="37">Q18-Q19-Q20</f>
        <v>-629.11</v>
      </c>
      <c r="R21" s="9">
        <f t="shared" ref="R21" si="38">R18-R19-R20</f>
        <v>-592.04960000000005</v>
      </c>
      <c r="U21" s="9">
        <f t="shared" ref="U21:AA21" si="39">U18-U19-U20</f>
        <v>-1018</v>
      </c>
      <c r="V21" s="9">
        <f t="shared" si="39"/>
        <v>-4687</v>
      </c>
      <c r="W21" s="9">
        <f t="shared" si="39"/>
        <v>-6752</v>
      </c>
      <c r="X21" s="9">
        <f t="shared" si="39"/>
        <v>-5432</v>
      </c>
      <c r="Y21" s="9">
        <f t="shared" si="39"/>
        <v>-4747</v>
      </c>
      <c r="Z21" s="9">
        <f t="shared" si="39"/>
        <v>-2883.1596</v>
      </c>
      <c r="AA21" s="9">
        <f t="shared" si="39"/>
        <v>-2176.9613879999993</v>
      </c>
      <c r="AB21" s="9">
        <f t="shared" ref="AB21:AJ21" si="40">AB18-AB19-AB20</f>
        <v>-1518.9675790080003</v>
      </c>
      <c r="AC21" s="9">
        <f t="shared" si="40"/>
        <v>-1276.1137779020798</v>
      </c>
      <c r="AD21" s="9">
        <f t="shared" si="40"/>
        <v>-1023.5331426702214</v>
      </c>
      <c r="AE21" s="9">
        <f t="shared" si="40"/>
        <v>-752.40179310083784</v>
      </c>
      <c r="AF21" s="9">
        <f t="shared" si="40"/>
        <v>-429.33479370165333</v>
      </c>
      <c r="AG21" s="9">
        <f t="shared" si="40"/>
        <v>-149.11854201252217</v>
      </c>
      <c r="AH21" s="9">
        <f t="shared" si="40"/>
        <v>172.16895213921902</v>
      </c>
      <c r="AI21" s="9">
        <f t="shared" si="40"/>
        <v>540.46310033845748</v>
      </c>
      <c r="AJ21" s="9">
        <f t="shared" si="40"/>
        <v>831.72901336798225</v>
      </c>
      <c r="AK21" s="3">
        <f>AJ21*(1+$AN$30)</f>
        <v>823.41172323430237</v>
      </c>
      <c r="AL21" s="3">
        <f t="shared" ref="AL21:CW21" si="41">AK21*(1+$AN$30)</f>
        <v>815.17760600195936</v>
      </c>
      <c r="AM21" s="3">
        <f t="shared" si="41"/>
        <v>807.02582994193972</v>
      </c>
      <c r="AN21" s="3">
        <f t="shared" si="41"/>
        <v>798.95557164252034</v>
      </c>
      <c r="AO21" s="3">
        <f t="shared" si="41"/>
        <v>790.96601592609511</v>
      </c>
      <c r="AP21" s="3">
        <f t="shared" si="41"/>
        <v>783.05635576683414</v>
      </c>
      <c r="AQ21" s="3">
        <f t="shared" si="41"/>
        <v>775.22579220916577</v>
      </c>
      <c r="AR21" s="3">
        <f t="shared" si="41"/>
        <v>767.47353428707413</v>
      </c>
      <c r="AS21" s="3">
        <f t="shared" si="41"/>
        <v>759.79879894420333</v>
      </c>
      <c r="AT21" s="3">
        <f t="shared" si="41"/>
        <v>752.20081095476132</v>
      </c>
      <c r="AU21" s="3">
        <f t="shared" si="41"/>
        <v>744.67880284521368</v>
      </c>
      <c r="AV21" s="3">
        <f t="shared" si="41"/>
        <v>737.23201481676153</v>
      </c>
      <c r="AW21" s="3">
        <f t="shared" si="41"/>
        <v>729.85969466859387</v>
      </c>
      <c r="AX21" s="3">
        <f t="shared" si="41"/>
        <v>722.56109772190791</v>
      </c>
      <c r="AY21" s="3">
        <f t="shared" si="41"/>
        <v>715.33548674468886</v>
      </c>
      <c r="AZ21" s="3">
        <f t="shared" si="41"/>
        <v>708.182131877242</v>
      </c>
      <c r="BA21" s="3">
        <f t="shared" si="41"/>
        <v>701.10031055846957</v>
      </c>
      <c r="BB21" s="3">
        <f t="shared" si="41"/>
        <v>694.0893074528849</v>
      </c>
      <c r="BC21" s="3">
        <f t="shared" si="41"/>
        <v>687.14841437835605</v>
      </c>
      <c r="BD21" s="3">
        <f t="shared" si="41"/>
        <v>680.27693023457243</v>
      </c>
      <c r="BE21" s="3">
        <f t="shared" si="41"/>
        <v>673.47416093222671</v>
      </c>
      <c r="BF21" s="3">
        <f t="shared" si="41"/>
        <v>666.73941932290438</v>
      </c>
      <c r="BG21" s="3">
        <f t="shared" si="41"/>
        <v>660.07202512967535</v>
      </c>
      <c r="BH21" s="3">
        <f t="shared" si="41"/>
        <v>653.47130487837865</v>
      </c>
      <c r="BI21" s="3">
        <f t="shared" si="41"/>
        <v>646.93659182959482</v>
      </c>
      <c r="BJ21" s="3">
        <f t="shared" si="41"/>
        <v>640.4672259112989</v>
      </c>
      <c r="BK21" s="3">
        <f t="shared" si="41"/>
        <v>634.0625536521859</v>
      </c>
      <c r="BL21" s="3">
        <f t="shared" si="41"/>
        <v>627.72192811566401</v>
      </c>
      <c r="BM21" s="3">
        <f t="shared" si="41"/>
        <v>621.44470883450742</v>
      </c>
      <c r="BN21" s="3">
        <f t="shared" si="41"/>
        <v>615.23026174616234</v>
      </c>
      <c r="BO21" s="3">
        <f t="shared" si="41"/>
        <v>609.07795912870074</v>
      </c>
      <c r="BP21" s="3">
        <f t="shared" si="41"/>
        <v>602.98717953741368</v>
      </c>
      <c r="BQ21" s="3">
        <f t="shared" si="41"/>
        <v>596.95730774203957</v>
      </c>
      <c r="BR21" s="3">
        <f t="shared" si="41"/>
        <v>590.98773466461921</v>
      </c>
      <c r="BS21" s="3">
        <f t="shared" si="41"/>
        <v>585.07785731797298</v>
      </c>
      <c r="BT21" s="3">
        <f t="shared" si="41"/>
        <v>579.22707874479329</v>
      </c>
      <c r="BU21" s="3">
        <f t="shared" si="41"/>
        <v>573.43480795734536</v>
      </c>
      <c r="BV21" s="3">
        <f t="shared" si="41"/>
        <v>567.70045987777189</v>
      </c>
      <c r="BW21" s="3">
        <f t="shared" si="41"/>
        <v>562.02345527899422</v>
      </c>
      <c r="BX21" s="3">
        <f t="shared" si="41"/>
        <v>556.40322072620427</v>
      </c>
      <c r="BY21" s="3">
        <f t="shared" si="41"/>
        <v>550.83918851894225</v>
      </c>
      <c r="BZ21" s="3">
        <f t="shared" si="41"/>
        <v>545.33079663375281</v>
      </c>
      <c r="CA21" s="3">
        <f t="shared" si="41"/>
        <v>539.87748866741526</v>
      </c>
      <c r="CB21" s="3">
        <f t="shared" si="41"/>
        <v>534.47871378074115</v>
      </c>
      <c r="CC21" s="3">
        <f t="shared" si="41"/>
        <v>529.13392664293372</v>
      </c>
      <c r="CD21" s="3">
        <f t="shared" si="41"/>
        <v>523.84258737650441</v>
      </c>
      <c r="CE21" s="3">
        <f t="shared" si="41"/>
        <v>518.60416150273932</v>
      </c>
      <c r="CF21" s="3">
        <f t="shared" si="41"/>
        <v>513.4181198877119</v>
      </c>
      <c r="CG21" s="3">
        <f t="shared" si="41"/>
        <v>508.28393868883478</v>
      </c>
      <c r="CH21" s="3">
        <f t="shared" si="41"/>
        <v>503.20109930194644</v>
      </c>
      <c r="CI21" s="3">
        <f t="shared" si="41"/>
        <v>498.16908830892697</v>
      </c>
      <c r="CJ21" s="3">
        <f t="shared" si="41"/>
        <v>493.18739742583767</v>
      </c>
      <c r="CK21" s="3">
        <f t="shared" si="41"/>
        <v>488.25552345157928</v>
      </c>
      <c r="CL21" s="3">
        <f t="shared" si="41"/>
        <v>483.37296821706349</v>
      </c>
      <c r="CM21" s="3">
        <f t="shared" si="41"/>
        <v>478.53923853489283</v>
      </c>
      <c r="CN21" s="3">
        <f t="shared" si="41"/>
        <v>473.7538461495439</v>
      </c>
      <c r="CO21" s="3">
        <f t="shared" si="41"/>
        <v>469.01630768804847</v>
      </c>
      <c r="CP21" s="3">
        <f t="shared" si="41"/>
        <v>464.32614461116799</v>
      </c>
      <c r="CQ21" s="3">
        <f t="shared" si="41"/>
        <v>459.6828831650563</v>
      </c>
      <c r="CR21" s="3">
        <f t="shared" si="41"/>
        <v>455.08605433340574</v>
      </c>
      <c r="CS21" s="3">
        <f t="shared" si="41"/>
        <v>450.53519379007167</v>
      </c>
      <c r="CT21" s="3">
        <f t="shared" si="41"/>
        <v>446.02984185217093</v>
      </c>
      <c r="CU21" s="3">
        <f t="shared" si="41"/>
        <v>441.56954343364924</v>
      </c>
      <c r="CV21" s="3">
        <f t="shared" si="41"/>
        <v>437.15384799931275</v>
      </c>
      <c r="CW21" s="3">
        <f t="shared" si="41"/>
        <v>432.7823095193196</v>
      </c>
      <c r="CX21" s="3">
        <f t="shared" ref="CX21:EF21" si="42">CW21*(1+$AN$30)</f>
        <v>428.4544864241264</v>
      </c>
      <c r="CY21" s="3">
        <f t="shared" si="42"/>
        <v>424.16994155988516</v>
      </c>
      <c r="CZ21" s="3">
        <f t="shared" si="42"/>
        <v>419.92824214428629</v>
      </c>
      <c r="DA21" s="3">
        <f t="shared" si="42"/>
        <v>415.7289597228434</v>
      </c>
      <c r="DB21" s="3">
        <f t="shared" si="42"/>
        <v>411.57167012561496</v>
      </c>
      <c r="DC21" s="3">
        <f t="shared" si="42"/>
        <v>407.45595342435882</v>
      </c>
      <c r="DD21" s="3">
        <f t="shared" si="42"/>
        <v>403.38139389011525</v>
      </c>
      <c r="DE21" s="3">
        <f t="shared" si="42"/>
        <v>399.34757995121407</v>
      </c>
      <c r="DF21" s="3">
        <f t="shared" si="42"/>
        <v>395.3541041517019</v>
      </c>
      <c r="DG21" s="3">
        <f t="shared" si="42"/>
        <v>391.40056311018486</v>
      </c>
      <c r="DH21" s="3">
        <f t="shared" si="42"/>
        <v>387.48655747908299</v>
      </c>
      <c r="DI21" s="3">
        <f t="shared" si="42"/>
        <v>383.61169190429217</v>
      </c>
      <c r="DJ21" s="3">
        <f t="shared" si="42"/>
        <v>379.77557498524925</v>
      </c>
      <c r="DK21" s="3">
        <f t="shared" si="42"/>
        <v>375.97781923539674</v>
      </c>
      <c r="DL21" s="3">
        <f t="shared" si="42"/>
        <v>372.21804104304277</v>
      </c>
      <c r="DM21" s="3">
        <f t="shared" si="42"/>
        <v>368.49586063261233</v>
      </c>
      <c r="DN21" s="3">
        <f t="shared" si="42"/>
        <v>364.81090202628621</v>
      </c>
      <c r="DO21" s="3">
        <f t="shared" si="42"/>
        <v>361.16279300602332</v>
      </c>
      <c r="DP21" s="3">
        <f t="shared" si="42"/>
        <v>357.55116507596307</v>
      </c>
      <c r="DQ21" s="3">
        <f t="shared" si="42"/>
        <v>353.97565342520346</v>
      </c>
      <c r="DR21" s="3">
        <f t="shared" si="42"/>
        <v>350.43589689095143</v>
      </c>
      <c r="DS21" s="3">
        <f t="shared" si="42"/>
        <v>346.93153792204191</v>
      </c>
      <c r="DT21" s="3">
        <f t="shared" si="42"/>
        <v>343.46222254282151</v>
      </c>
      <c r="DU21" s="3">
        <f t="shared" si="42"/>
        <v>340.02760031739331</v>
      </c>
      <c r="DV21" s="3">
        <f t="shared" si="42"/>
        <v>336.62732431421938</v>
      </c>
      <c r="DW21" s="3">
        <f t="shared" si="42"/>
        <v>333.26105107107719</v>
      </c>
      <c r="DX21" s="3">
        <f t="shared" si="42"/>
        <v>329.92844056036643</v>
      </c>
      <c r="DY21" s="3">
        <f t="shared" si="42"/>
        <v>326.62915615476277</v>
      </c>
      <c r="DZ21" s="3">
        <f t="shared" si="42"/>
        <v>323.36286459321514</v>
      </c>
      <c r="EA21" s="3">
        <f t="shared" si="42"/>
        <v>320.12923594728301</v>
      </c>
      <c r="EB21" s="3">
        <f t="shared" si="42"/>
        <v>316.92794358781015</v>
      </c>
      <c r="EC21" s="3">
        <f t="shared" si="42"/>
        <v>313.75866415193207</v>
      </c>
      <c r="ED21" s="3">
        <f t="shared" si="42"/>
        <v>310.62107751041276</v>
      </c>
      <c r="EE21" s="3">
        <f t="shared" si="42"/>
        <v>307.51486673530866</v>
      </c>
      <c r="EF21" s="3">
        <f t="shared" si="42"/>
        <v>304.4397180679556</v>
      </c>
    </row>
    <row r="22" spans="2:136" x14ac:dyDescent="0.3">
      <c r="B22" s="1" t="s">
        <v>2</v>
      </c>
      <c r="G22" s="6">
        <v>930</v>
      </c>
      <c r="H22" s="6">
        <v>942</v>
      </c>
      <c r="I22" s="6">
        <v>942</v>
      </c>
      <c r="J22" s="6">
        <v>963</v>
      </c>
      <c r="K22" s="6">
        <v>978</v>
      </c>
      <c r="L22" s="6">
        <v>1058</v>
      </c>
      <c r="M22" s="6">
        <v>1058</v>
      </c>
      <c r="N22" s="6">
        <v>1058</v>
      </c>
      <c r="O22" s="6">
        <f>1138.6+7.8</f>
        <v>1146.3999999999999</v>
      </c>
      <c r="P22" s="6">
        <f>1209.5+3.9</f>
        <v>1213.4000000000001</v>
      </c>
      <c r="Q22" s="6">
        <f>1209.5+3.9</f>
        <v>1213.4000000000001</v>
      </c>
      <c r="R22" s="6">
        <f>1209.5+3.9</f>
        <v>1213.4000000000001</v>
      </c>
      <c r="U22" s="6">
        <v>1058</v>
      </c>
      <c r="V22" s="6">
        <v>1058</v>
      </c>
      <c r="W22" s="6">
        <v>1058</v>
      </c>
      <c r="X22" s="6">
        <v>1058</v>
      </c>
      <c r="Y22" s="6">
        <v>1058</v>
      </c>
      <c r="Z22" s="6">
        <f t="shared" ref="Z22:AJ22" si="43">1209.5+3.9</f>
        <v>1213.4000000000001</v>
      </c>
      <c r="AA22" s="6">
        <f t="shared" si="43"/>
        <v>1213.4000000000001</v>
      </c>
      <c r="AB22" s="6">
        <f t="shared" si="43"/>
        <v>1213.4000000000001</v>
      </c>
      <c r="AC22" s="6">
        <f t="shared" si="43"/>
        <v>1213.4000000000001</v>
      </c>
      <c r="AD22" s="6">
        <f t="shared" si="43"/>
        <v>1213.4000000000001</v>
      </c>
      <c r="AE22" s="6">
        <f t="shared" si="43"/>
        <v>1213.4000000000001</v>
      </c>
      <c r="AF22" s="6">
        <f t="shared" si="43"/>
        <v>1213.4000000000001</v>
      </c>
      <c r="AG22" s="6">
        <f t="shared" si="43"/>
        <v>1213.4000000000001</v>
      </c>
      <c r="AH22" s="6">
        <f t="shared" si="43"/>
        <v>1213.4000000000001</v>
      </c>
      <c r="AI22" s="6">
        <f t="shared" si="43"/>
        <v>1213.4000000000001</v>
      </c>
      <c r="AJ22" s="6">
        <f t="shared" si="43"/>
        <v>1213.4000000000001</v>
      </c>
    </row>
    <row r="23" spans="2:136" x14ac:dyDescent="0.3">
      <c r="B23" s="1" t="s">
        <v>42</v>
      </c>
      <c r="G23" s="10">
        <f t="shared" ref="G23:N23" si="44">G21/G22</f>
        <v>-1.4505376344086021</v>
      </c>
      <c r="H23" s="10">
        <f t="shared" si="44"/>
        <v>-1.2685774946921444</v>
      </c>
      <c r="I23" s="10">
        <f t="shared" si="44"/>
        <v>-1.4511677282377919</v>
      </c>
      <c r="J23" s="10">
        <f t="shared" si="44"/>
        <v>-1.5794392523364487</v>
      </c>
      <c r="K23" s="10">
        <f t="shared" si="44"/>
        <v>-1.4785276073619631</v>
      </c>
      <c r="L23" s="10">
        <f t="shared" si="44"/>
        <v>-1.3771266540642721</v>
      </c>
      <c r="M23" s="10">
        <f t="shared" si="44"/>
        <v>-1.0396975425330812</v>
      </c>
      <c r="N23" s="10">
        <f t="shared" si="44"/>
        <v>-0.7032136105860114</v>
      </c>
      <c r="O23" s="10">
        <f t="shared" ref="O23" si="45">O21/O22</f>
        <v>-0.47540125610607126</v>
      </c>
      <c r="P23" s="10">
        <f t="shared" ref="P23" si="46">P21/P22</f>
        <v>-0.92055381572441064</v>
      </c>
      <c r="Q23" s="10">
        <f t="shared" ref="Q23" si="47">Q21/Q22</f>
        <v>-0.51846876545244769</v>
      </c>
      <c r="R23" s="10">
        <f t="shared" ref="R23" si="48">R21/R22</f>
        <v>-0.48792615790341193</v>
      </c>
      <c r="U23" s="10">
        <f t="shared" ref="U23:AA23" si="49">U21/U22</f>
        <v>-0.96219281663516065</v>
      </c>
      <c r="V23" s="10">
        <f t="shared" si="49"/>
        <v>-4.4300567107750473</v>
      </c>
      <c r="W23" s="10">
        <f t="shared" si="49"/>
        <v>-6.3818525519848768</v>
      </c>
      <c r="X23" s="10">
        <f t="shared" si="49"/>
        <v>-5.1342155009451798</v>
      </c>
      <c r="Y23" s="10">
        <f t="shared" si="49"/>
        <v>-4.4867674858223063</v>
      </c>
      <c r="Z23" s="10">
        <f t="shared" si="49"/>
        <v>-2.3760998846217238</v>
      </c>
      <c r="AA23" s="10">
        <f t="shared" si="49"/>
        <v>-1.7941003692104822</v>
      </c>
      <c r="AB23" s="10">
        <f t="shared" ref="AB23:AJ23" si="50">AB21/AB22</f>
        <v>-1.2518275745904073</v>
      </c>
      <c r="AC23" s="10">
        <f t="shared" si="50"/>
        <v>-1.0516843397907365</v>
      </c>
      <c r="AD23" s="10">
        <f t="shared" si="50"/>
        <v>-0.84352492390820943</v>
      </c>
      <c r="AE23" s="10">
        <f t="shared" si="50"/>
        <v>-0.6200772977590554</v>
      </c>
      <c r="AF23" s="10">
        <f t="shared" si="50"/>
        <v>-0.35382791635211247</v>
      </c>
      <c r="AG23" s="10">
        <f t="shared" si="50"/>
        <v>-0.12289314489246922</v>
      </c>
      <c r="AH23" s="10">
        <f t="shared" si="50"/>
        <v>0.14188969188991182</v>
      </c>
      <c r="AI23" s="10">
        <f t="shared" si="50"/>
        <v>0.44541214796312628</v>
      </c>
      <c r="AJ23" s="10">
        <f t="shared" si="50"/>
        <v>0.68545328281521523</v>
      </c>
    </row>
    <row r="25" spans="2:136" x14ac:dyDescent="0.3">
      <c r="B25" s="1" t="s">
        <v>90</v>
      </c>
      <c r="N25" s="12">
        <f t="shared" ref="N25:R27" si="51">N3/J3-1</f>
        <v>0.25827814569536423</v>
      </c>
      <c r="O25" s="12">
        <f t="shared" si="51"/>
        <v>-0.1738351254480287</v>
      </c>
      <c r="P25" s="12">
        <f t="shared" ref="P25:P26" si="52">P3/L3-1</f>
        <v>-0.13687150837988826</v>
      </c>
      <c r="Q25" s="12" t="e">
        <f t="shared" ref="Q25:Q26" si="53">Q3/M3-1</f>
        <v>#DIV/0!</v>
      </c>
      <c r="R25" s="12">
        <f t="shared" ref="R25:R26" si="54">R3/N3-1</f>
        <v>-1.3157894736842146E-2</v>
      </c>
      <c r="AA25" s="12">
        <f t="shared" ref="Z25:AJ27" si="55">AA3/Z3-1</f>
        <v>0.30000000000000004</v>
      </c>
      <c r="AB25" s="12">
        <f t="shared" ref="AB25:AB26" si="56">AB3/AA3-1</f>
        <v>0.19999999999999996</v>
      </c>
      <c r="AC25" s="12">
        <f t="shared" ref="AC25:AC26" si="57">AC3/AB3-1</f>
        <v>0.14999999999999991</v>
      </c>
      <c r="AD25" s="12">
        <f t="shared" ref="AD25:AD26" si="58">AD3/AC3-1</f>
        <v>0.14999999999999991</v>
      </c>
      <c r="AE25" s="12">
        <f t="shared" ref="AE25:AE26" si="59">AE3/AD3-1</f>
        <v>0.14999999999999991</v>
      </c>
      <c r="AF25" s="12">
        <f t="shared" ref="AF25:AF26" si="60">AF3/AE3-1</f>
        <v>0.14999999999999991</v>
      </c>
      <c r="AG25" s="12">
        <f t="shared" ref="AG25:AG26" si="61">AG3/AF3-1</f>
        <v>0.14999999999999991</v>
      </c>
      <c r="AH25" s="12">
        <f t="shared" ref="AH25:AH26" si="62">AH3/AG3-1</f>
        <v>0.14999999999999991</v>
      </c>
      <c r="AI25" s="12">
        <f t="shared" ref="AI25:AI26" si="63">AI3/AH3-1</f>
        <v>0.14999999999999991</v>
      </c>
      <c r="AJ25" s="12">
        <f t="shared" ref="AJ25:AJ26" si="64">AJ3/AI3-1</f>
        <v>0.10000000000000009</v>
      </c>
    </row>
    <row r="26" spans="2:136" x14ac:dyDescent="0.3">
      <c r="B26" s="1" t="s">
        <v>91</v>
      </c>
      <c r="N26" s="12">
        <f t="shared" si="51"/>
        <v>1</v>
      </c>
      <c r="O26" s="12">
        <f t="shared" si="51"/>
        <v>2.6136363636363638</v>
      </c>
      <c r="P26" s="12">
        <f t="shared" si="52"/>
        <v>3.4761904761904763</v>
      </c>
      <c r="Q26" s="12" t="e">
        <f t="shared" si="53"/>
        <v>#DIV/0!</v>
      </c>
      <c r="R26" s="12">
        <f t="shared" si="54"/>
        <v>0.96261682242990654</v>
      </c>
      <c r="AA26" s="12">
        <f t="shared" si="55"/>
        <v>0.30000000000000004</v>
      </c>
      <c r="AB26" s="12">
        <f t="shared" si="56"/>
        <v>0.19999999999999996</v>
      </c>
      <c r="AC26" s="12">
        <f t="shared" si="57"/>
        <v>0.14999999999999991</v>
      </c>
      <c r="AD26" s="12">
        <f t="shared" si="58"/>
        <v>0.10000000000000009</v>
      </c>
      <c r="AE26" s="12">
        <f t="shared" si="59"/>
        <v>5.0000000000000044E-2</v>
      </c>
      <c r="AF26" s="12">
        <f t="shared" si="60"/>
        <v>5.0000000000000044E-2</v>
      </c>
      <c r="AG26" s="12">
        <f t="shared" si="61"/>
        <v>5.0000000000000044E-2</v>
      </c>
      <c r="AH26" s="12">
        <f t="shared" si="62"/>
        <v>5.0000000000000044E-2</v>
      </c>
      <c r="AI26" s="12">
        <f t="shared" si="63"/>
        <v>5.0000000000000044E-2</v>
      </c>
      <c r="AJ26" s="12">
        <f t="shared" si="64"/>
        <v>5.0000000000000044E-2</v>
      </c>
    </row>
    <row r="27" spans="2:136" s="3" customFormat="1" x14ac:dyDescent="0.3">
      <c r="B27" s="3" t="s">
        <v>47</v>
      </c>
      <c r="G27" s="11"/>
      <c r="H27" s="11"/>
      <c r="I27" s="11"/>
      <c r="J27" s="11"/>
      <c r="K27" s="11">
        <f t="shared" ref="K27:M27" si="65">K5/G5-1</f>
        <v>0.82148260211800306</v>
      </c>
      <c r="L27" s="11">
        <f t="shared" si="65"/>
        <v>3.3006244424620856E-2</v>
      </c>
      <c r="M27" s="11">
        <f t="shared" si="65"/>
        <v>-0.34629768137621542</v>
      </c>
      <c r="N27" s="11">
        <f>N5/J5-1</f>
        <v>0.31863117870722424</v>
      </c>
      <c r="O27" s="11">
        <f t="shared" si="51"/>
        <v>2.9900332225913706E-2</v>
      </c>
      <c r="P27" s="11">
        <f t="shared" si="51"/>
        <v>0.12521588946459405</v>
      </c>
      <c r="Q27" s="11">
        <f t="shared" si="51"/>
        <v>0.28146453089244861</v>
      </c>
      <c r="R27" s="11">
        <f t="shared" si="51"/>
        <v>0.10726643598615926</v>
      </c>
      <c r="T27" s="11"/>
      <c r="U27" s="11"/>
      <c r="V27" s="11"/>
      <c r="W27" s="11">
        <f t="shared" ref="W27:X27" si="66">W5/V5-1</f>
        <v>29.145454545454545</v>
      </c>
      <c r="X27" s="11">
        <f t="shared" si="66"/>
        <v>1.6743063932448732</v>
      </c>
      <c r="Y27" s="11">
        <f>Y5/X5-1</f>
        <v>0.12088407758231834</v>
      </c>
      <c r="Z27" s="11">
        <f t="shared" si="55"/>
        <v>0.12334004024144862</v>
      </c>
      <c r="AA27" s="11">
        <f t="shared" si="55"/>
        <v>0.30000000000000004</v>
      </c>
      <c r="AB27" s="11">
        <f t="shared" si="55"/>
        <v>0.19999999999999996</v>
      </c>
      <c r="AC27" s="11">
        <f t="shared" si="55"/>
        <v>0.14999999999999991</v>
      </c>
      <c r="AD27" s="11">
        <f t="shared" si="55"/>
        <v>0.1371574422353572</v>
      </c>
      <c r="AE27" s="11">
        <f t="shared" si="55"/>
        <v>0.12515416420555225</v>
      </c>
      <c r="AF27" s="11">
        <f t="shared" si="55"/>
        <v>0.12681373058545242</v>
      </c>
      <c r="AG27" s="11">
        <f t="shared" si="55"/>
        <v>0.12839431467290852</v>
      </c>
      <c r="AH27" s="11">
        <f t="shared" si="55"/>
        <v>0.12989535280490849</v>
      </c>
      <c r="AI27" s="11">
        <f t="shared" si="55"/>
        <v>0.13131696045793806</v>
      </c>
      <c r="AJ27" s="11">
        <f t="shared" si="55"/>
        <v>9.1329931308011147E-2</v>
      </c>
    </row>
    <row r="28" spans="2:136" s="3" customFormat="1" x14ac:dyDescent="0.3">
      <c r="B28" s="1" t="s">
        <v>92</v>
      </c>
      <c r="G28" s="11"/>
      <c r="H28" s="11"/>
      <c r="I28" s="11"/>
      <c r="J28" s="12">
        <f>(J3-J6)/J3</f>
        <v>-0.50579470198675491</v>
      </c>
      <c r="K28" s="12">
        <f>(K3-K6)/K3</f>
        <v>-0.44534050179211471</v>
      </c>
      <c r="L28" s="12"/>
      <c r="M28" s="11"/>
      <c r="N28" s="12">
        <f>(N3-N6)/N3</f>
        <v>7.2368421052631582E-2</v>
      </c>
      <c r="O28" s="12">
        <f>(O3-O6)/O3</f>
        <v>9.9783080260303691E-2</v>
      </c>
      <c r="P28" s="12">
        <f t="shared" ref="P28:R28" si="67">(P3-P6)/P3</f>
        <v>-0.36138079827400216</v>
      </c>
      <c r="Q28" s="12">
        <f t="shared" si="67"/>
        <v>0.13</v>
      </c>
      <c r="R28" s="12">
        <f t="shared" si="67"/>
        <v>0.12</v>
      </c>
      <c r="T28" s="11"/>
      <c r="U28" s="11"/>
      <c r="V28" s="11"/>
      <c r="W28" s="11"/>
      <c r="X28" s="11"/>
      <c r="Y28" s="11"/>
      <c r="Z28" s="12">
        <f t="shared" ref="Z28:AJ28" si="68">(Z3-Z6)/Z3</f>
        <v>9.8818992528320083E-3</v>
      </c>
      <c r="AA28" s="12">
        <f t="shared" si="68"/>
        <v>0.14000000000000007</v>
      </c>
      <c r="AB28" s="12">
        <f t="shared" si="68"/>
        <v>0.15</v>
      </c>
      <c r="AC28" s="12">
        <f t="shared" si="68"/>
        <v>0.16000000000000006</v>
      </c>
      <c r="AD28" s="12">
        <f t="shared" si="68"/>
        <v>0.17000000000000007</v>
      </c>
      <c r="AE28" s="12">
        <f t="shared" si="68"/>
        <v>0.18000000000000002</v>
      </c>
      <c r="AF28" s="12">
        <f t="shared" si="68"/>
        <v>0.18999999999999995</v>
      </c>
      <c r="AG28" s="12">
        <f t="shared" si="68"/>
        <v>0.18999999999999995</v>
      </c>
      <c r="AH28" s="12">
        <f t="shared" si="68"/>
        <v>0.18999999999999989</v>
      </c>
      <c r="AI28" s="12">
        <f t="shared" si="68"/>
        <v>0.18999999999999997</v>
      </c>
      <c r="AJ28" s="12">
        <f t="shared" si="68"/>
        <v>0.19</v>
      </c>
    </row>
    <row r="29" spans="2:136" s="3" customFormat="1" x14ac:dyDescent="0.3">
      <c r="B29" s="1" t="s">
        <v>93</v>
      </c>
      <c r="G29" s="11"/>
      <c r="H29" s="11"/>
      <c r="I29" s="11"/>
      <c r="J29" s="12">
        <f>(J4-J7)/J4</f>
        <v>4.6728971962616821E-2</v>
      </c>
      <c r="K29" s="12">
        <f>(K4-K7)/K4</f>
        <v>-0.34090909090909088</v>
      </c>
      <c r="L29" s="12"/>
      <c r="M29" s="11"/>
      <c r="N29" s="12">
        <f>(N4-N7)/N4</f>
        <v>0.28037383177570091</v>
      </c>
      <c r="O29" s="12">
        <f>(O4-O7)/O4</f>
        <v>0.35849056603773582</v>
      </c>
      <c r="P29" s="12">
        <f t="shared" ref="P29:R29" si="69">(P4-P7)/P4</f>
        <v>0.34308510638297873</v>
      </c>
      <c r="Q29" s="12">
        <f t="shared" si="69"/>
        <v>0.4</v>
      </c>
      <c r="R29" s="12">
        <f t="shared" si="69"/>
        <v>0.4</v>
      </c>
      <c r="T29" s="11"/>
      <c r="U29" s="11"/>
      <c r="V29" s="11"/>
      <c r="W29" s="11"/>
      <c r="X29" s="11"/>
      <c r="Y29" s="11"/>
      <c r="Z29" s="12">
        <f t="shared" ref="Z29:AJ29" si="70">(Z4-Z7)/Z4</f>
        <v>0.37587168758716877</v>
      </c>
      <c r="AA29" s="12">
        <f t="shared" si="70"/>
        <v>0.4</v>
      </c>
      <c r="AB29" s="12">
        <f t="shared" si="70"/>
        <v>0.4</v>
      </c>
      <c r="AC29" s="12">
        <f t="shared" si="70"/>
        <v>0.4</v>
      </c>
      <c r="AD29" s="12">
        <f t="shared" si="70"/>
        <v>0.4</v>
      </c>
      <c r="AE29" s="12">
        <f t="shared" si="70"/>
        <v>0.4</v>
      </c>
      <c r="AF29" s="12">
        <f t="shared" si="70"/>
        <v>0.40000000000000008</v>
      </c>
      <c r="AG29" s="12">
        <f t="shared" si="70"/>
        <v>0.40000000000000008</v>
      </c>
      <c r="AH29" s="12">
        <f t="shared" si="70"/>
        <v>0.4</v>
      </c>
      <c r="AI29" s="12">
        <f t="shared" si="70"/>
        <v>0.39999999999999997</v>
      </c>
      <c r="AJ29" s="12">
        <f t="shared" si="70"/>
        <v>0.4</v>
      </c>
    </row>
    <row r="30" spans="2:136" x14ac:dyDescent="0.3">
      <c r="B30" s="1" t="s">
        <v>48</v>
      </c>
      <c r="G30" s="12">
        <f t="shared" ref="G30:M30" si="71">G9/G5</f>
        <v>-0.80937972768532529</v>
      </c>
      <c r="H30" s="12">
        <f t="shared" si="71"/>
        <v>-0.36752899197145406</v>
      </c>
      <c r="I30" s="12">
        <f t="shared" si="71"/>
        <v>-0.3567688855646971</v>
      </c>
      <c r="J30" s="12">
        <f t="shared" si="71"/>
        <v>-0.46083650190114067</v>
      </c>
      <c r="K30" s="12">
        <f t="shared" si="71"/>
        <v>-0.4377076411960133</v>
      </c>
      <c r="L30" s="12">
        <f t="shared" si="71"/>
        <v>-0.38946459412780654</v>
      </c>
      <c r="M30" s="12">
        <f t="shared" si="71"/>
        <v>-0.44851258581235698</v>
      </c>
      <c r="N30" s="12">
        <f>N9/N5</f>
        <v>9.8039215686274508E-2</v>
      </c>
      <c r="O30" s="12">
        <f t="shared" ref="O30:R30" si="72">O9/O5</f>
        <v>0.16612903225806452</v>
      </c>
      <c r="P30" s="12">
        <f t="shared" si="72"/>
        <v>-0.15809669992325404</v>
      </c>
      <c r="Q30" s="12">
        <f t="shared" si="72"/>
        <v>0.20714285714285716</v>
      </c>
      <c r="R30" s="12">
        <f t="shared" si="72"/>
        <v>0.18124999999999999</v>
      </c>
      <c r="T30" s="12"/>
      <c r="U30" s="12"/>
      <c r="V30" s="12">
        <f t="shared" ref="V30:X30" si="73">V9/V5</f>
        <v>-8.454545454545455</v>
      </c>
      <c r="W30" s="12">
        <f t="shared" si="73"/>
        <v>-1.8835946924004825</v>
      </c>
      <c r="X30" s="12">
        <f t="shared" si="73"/>
        <v>-0.45782589084348219</v>
      </c>
      <c r="Y30" s="12">
        <f>Y9/Y5</f>
        <v>-0.2414486921529175</v>
      </c>
      <c r="Z30" s="12">
        <f t="shared" ref="Z30:AJ30" si="74">Z9/Z5</f>
        <v>0.10388679921189324</v>
      </c>
      <c r="AA30" s="12">
        <f t="shared" si="74"/>
        <v>0.20678130037614195</v>
      </c>
      <c r="AB30" s="12">
        <f t="shared" si="74"/>
        <v>0.21421278882321332</v>
      </c>
      <c r="AC30" s="12">
        <f t="shared" si="74"/>
        <v>0.22164427727028488</v>
      </c>
      <c r="AD30" s="12">
        <f t="shared" si="74"/>
        <v>0.22714542232722981</v>
      </c>
      <c r="AE30" s="12">
        <f t="shared" si="74"/>
        <v>0.23100979271200475</v>
      </c>
      <c r="AF30" s="12">
        <f t="shared" si="74"/>
        <v>0.23537193918689153</v>
      </c>
      <c r="AG30" s="12">
        <f t="shared" si="74"/>
        <v>0.23221975910969186</v>
      </c>
      <c r="AH30" s="12">
        <f t="shared" si="74"/>
        <v>0.22923438303832977</v>
      </c>
      <c r="AI30" s="12">
        <f t="shared" si="74"/>
        <v>0.22641428850635353</v>
      </c>
      <c r="AJ30" s="12">
        <f t="shared" si="74"/>
        <v>0.22503523713112558</v>
      </c>
      <c r="AM30" s="1" t="s">
        <v>53</v>
      </c>
      <c r="AN30" s="12">
        <v>-0.01</v>
      </c>
    </row>
    <row r="31" spans="2:136" x14ac:dyDescent="0.3">
      <c r="B31" s="1" t="s">
        <v>49</v>
      </c>
      <c r="G31" s="12"/>
      <c r="H31" s="12"/>
      <c r="I31" s="12"/>
      <c r="J31" s="12"/>
      <c r="K31" s="12">
        <f t="shared" ref="K31:M31" si="75">K10/G10-1</f>
        <v>-7.0564516129032251E-2</v>
      </c>
      <c r="L31" s="12">
        <f t="shared" si="75"/>
        <v>-3.6036036036036001E-2</v>
      </c>
      <c r="M31" s="12">
        <f t="shared" si="75"/>
        <v>-0.33837429111531192</v>
      </c>
      <c r="N31" s="12">
        <f>N10/J10-1</f>
        <v>-0.28897338403041828</v>
      </c>
      <c r="O31" s="12">
        <f t="shared" ref="O31:R31" si="76">O10/K10-1</f>
        <v>-0.17353579175704992</v>
      </c>
      <c r="P31" s="12">
        <f t="shared" si="76"/>
        <v>-4.2056074766355089E-2</v>
      </c>
      <c r="Q31" s="12">
        <f t="shared" si="76"/>
        <v>5.428571428571427E-2</v>
      </c>
      <c r="R31" s="12">
        <f t="shared" si="76"/>
        <v>0.15106951871657759</v>
      </c>
      <c r="T31" s="12"/>
      <c r="U31" s="12"/>
      <c r="V31" s="12">
        <f t="shared" ref="V31:X31" si="77">V10/U10-1</f>
        <v>1.4151436031331595</v>
      </c>
      <c r="W31" s="12">
        <f t="shared" si="77"/>
        <v>5.0810810810810736E-2</v>
      </c>
      <c r="X31" s="12">
        <f t="shared" si="77"/>
        <v>2.6234567901234573E-2</v>
      </c>
      <c r="Y31" s="12">
        <f>Y10/X10-1</f>
        <v>-0.19147869674185458</v>
      </c>
      <c r="Z31" s="12">
        <f t="shared" ref="Z31:AJ31" si="78">Z10/Y10-1</f>
        <v>-1.3949163050216984E-2</v>
      </c>
      <c r="AA31" s="12">
        <f t="shared" si="78"/>
        <v>4.0000000000000036E-2</v>
      </c>
      <c r="AB31" s="12">
        <f t="shared" si="78"/>
        <v>3.0000000000000027E-2</v>
      </c>
      <c r="AC31" s="12">
        <f t="shared" si="78"/>
        <v>2.0000000000000018E-2</v>
      </c>
      <c r="AD31" s="12">
        <f t="shared" si="78"/>
        <v>2.0000000000000018E-2</v>
      </c>
      <c r="AE31" s="12">
        <f t="shared" si="78"/>
        <v>1.0000000000000009E-2</v>
      </c>
      <c r="AF31" s="12">
        <f t="shared" si="78"/>
        <v>1.0000000000000009E-2</v>
      </c>
      <c r="AG31" s="12">
        <f t="shared" si="78"/>
        <v>1.0000000000000009E-2</v>
      </c>
      <c r="AH31" s="12">
        <f t="shared" si="78"/>
        <v>1.0000000000000009E-2</v>
      </c>
      <c r="AI31" s="12">
        <f t="shared" si="78"/>
        <v>1.0000000000000009E-2</v>
      </c>
      <c r="AJ31" s="12">
        <f t="shared" si="78"/>
        <v>1.0000000000000009E-2</v>
      </c>
      <c r="AM31" s="1" t="s">
        <v>54</v>
      </c>
      <c r="AN31" s="12">
        <v>0.09</v>
      </c>
    </row>
    <row r="32" spans="2:136" x14ac:dyDescent="0.3">
      <c r="B32" s="1" t="s">
        <v>50</v>
      </c>
      <c r="G32" s="12">
        <f t="shared" ref="G32:M32" si="79">G11/G5</f>
        <v>0.60816944024205744</v>
      </c>
      <c r="H32" s="12">
        <f t="shared" si="79"/>
        <v>0.38269402319357715</v>
      </c>
      <c r="I32" s="12">
        <f t="shared" si="79"/>
        <v>0.32460732984293195</v>
      </c>
      <c r="J32" s="12">
        <f t="shared" si="79"/>
        <v>0.34144486692015208</v>
      </c>
      <c r="K32" s="12">
        <f t="shared" si="79"/>
        <v>0.41196013289036543</v>
      </c>
      <c r="L32" s="12">
        <f t="shared" si="79"/>
        <v>0.42832469775474957</v>
      </c>
      <c r="M32" s="12">
        <f t="shared" si="79"/>
        <v>0.48855835240274598</v>
      </c>
      <c r="N32" s="12">
        <f>N11/N5</f>
        <v>0.2635524798154556</v>
      </c>
      <c r="O32" s="12">
        <f t="shared" ref="O32:R32" si="80">O11/O5</f>
        <v>0.38709677419354838</v>
      </c>
      <c r="P32" s="12">
        <f t="shared" si="80"/>
        <v>0.38219493476592481</v>
      </c>
      <c r="Q32" s="12">
        <f t="shared" si="80"/>
        <v>0.45353571428571432</v>
      </c>
      <c r="R32" s="12">
        <f t="shared" si="80"/>
        <v>0.26720812500000002</v>
      </c>
      <c r="T32" s="12"/>
      <c r="U32" s="12"/>
      <c r="V32" s="12">
        <f t="shared" ref="V32:X32" si="81">V11/V5</f>
        <v>34.618181818181817</v>
      </c>
      <c r="W32" s="12">
        <f t="shared" si="81"/>
        <v>1.0790108564535585</v>
      </c>
      <c r="X32" s="12">
        <f t="shared" si="81"/>
        <v>0.38655841226883175</v>
      </c>
      <c r="Y32" s="12">
        <f>Y11/Y5</f>
        <v>0.37746478873239436</v>
      </c>
      <c r="Z32" s="12">
        <f t="shared" ref="Z32:AJ32" si="82">Z11/Z5</f>
        <v>0.35805115529285331</v>
      </c>
      <c r="AA32" s="12">
        <f t="shared" si="82"/>
        <v>0.2836866845781838</v>
      </c>
      <c r="AB32" s="12">
        <f t="shared" si="82"/>
        <v>0.2411336818914562</v>
      </c>
      <c r="AC32" s="12">
        <f t="shared" si="82"/>
        <v>0.21177827713945288</v>
      </c>
      <c r="AD32" s="12">
        <f t="shared" si="82"/>
        <v>0.18809713762272276</v>
      </c>
      <c r="AE32" s="12">
        <f t="shared" si="82"/>
        <v>0.16884629239504217</v>
      </c>
      <c r="AF32" s="12">
        <f t="shared" si="82"/>
        <v>0.15134245411651917</v>
      </c>
      <c r="AG32" s="12">
        <f t="shared" si="82"/>
        <v>0.13546317689662696</v>
      </c>
      <c r="AH32" s="12">
        <f t="shared" si="82"/>
        <v>0.12108892060308937</v>
      </c>
      <c r="AI32" s="12">
        <f t="shared" si="82"/>
        <v>0.10810393027221597</v>
      </c>
      <c r="AJ32" s="12">
        <f t="shared" si="82"/>
        <v>0.10004762670082247</v>
      </c>
      <c r="AM32" s="1" t="s">
        <v>55</v>
      </c>
      <c r="AN32" s="6">
        <f>NPV(AN31,Z21:EF21)</f>
        <v>-4157.2447534596513</v>
      </c>
    </row>
    <row r="33" spans="2:40" x14ac:dyDescent="0.3">
      <c r="B33" s="1" t="s">
        <v>52</v>
      </c>
      <c r="G33" s="12">
        <f t="shared" ref="G33:M33" si="83">G12/G5</f>
        <v>-2.1679273827534038</v>
      </c>
      <c r="H33" s="12">
        <f t="shared" si="83"/>
        <v>-1.1462979482604818</v>
      </c>
      <c r="I33" s="12">
        <f t="shared" si="83"/>
        <v>-1.0770381451009723</v>
      </c>
      <c r="J33" s="12">
        <f t="shared" si="83"/>
        <v>-1.2022813688212928</v>
      </c>
      <c r="K33" s="12">
        <f t="shared" si="83"/>
        <v>-1.2325581395348837</v>
      </c>
      <c r="L33" s="12">
        <f t="shared" si="83"/>
        <v>-1.1873920552677029</v>
      </c>
      <c r="M33" s="12">
        <f t="shared" si="83"/>
        <v>-1.3375286041189931</v>
      </c>
      <c r="N33" s="12">
        <f>N12/N5</f>
        <v>-0.38119953863898498</v>
      </c>
      <c r="O33" s="12">
        <f t="shared" ref="O33:R33" si="84">O12/O5</f>
        <v>-0.52822580645161288</v>
      </c>
      <c r="P33" s="12">
        <f t="shared" si="84"/>
        <v>-0.85495011511895624</v>
      </c>
      <c r="Q33" s="12">
        <f t="shared" si="84"/>
        <v>-0.57585714285714285</v>
      </c>
      <c r="R33" s="12">
        <f t="shared" si="84"/>
        <v>-0.31017687500000002</v>
      </c>
      <c r="T33" s="12"/>
      <c r="U33" s="12"/>
      <c r="V33" s="12">
        <f t="shared" ref="V33:X33" si="85">V12/V5</f>
        <v>-76.709090909090904</v>
      </c>
      <c r="W33" s="12">
        <f t="shared" si="85"/>
        <v>-4.1351025331724971</v>
      </c>
      <c r="X33" s="12">
        <f t="shared" si="85"/>
        <v>-1.2943166441136671</v>
      </c>
      <c r="Y33" s="12">
        <f>Y12/Y5</f>
        <v>-0.94346076458752515</v>
      </c>
      <c r="Z33" s="12">
        <f t="shared" ref="Z33:AJ33" si="86">Z12/Z5</f>
        <v>-0.53904703564391909</v>
      </c>
      <c r="AA33" s="12">
        <f t="shared" si="86"/>
        <v>-0.304811527852409</v>
      </c>
      <c r="AB33" s="12">
        <f t="shared" si="86"/>
        <v>-0.22254033303480808</v>
      </c>
      <c r="AC33" s="12">
        <f t="shared" si="86"/>
        <v>-0.16363993792646933</v>
      </c>
      <c r="AD33" s="12">
        <f t="shared" si="86"/>
        <v>-0.11658192993890966</v>
      </c>
      <c r="AE33" s="12">
        <f t="shared" si="86"/>
        <v>-7.7538703870173808E-2</v>
      </c>
      <c r="AF33" s="12">
        <f t="shared" si="86"/>
        <v>-4.1190169606445989E-2</v>
      </c>
      <c r="AG33" s="12">
        <f t="shared" si="86"/>
        <v>-1.5324673052960907E-2</v>
      </c>
      <c r="AH33" s="12">
        <f t="shared" si="86"/>
        <v>7.9573631235053573E-3</v>
      </c>
      <c r="AI33" s="12">
        <f t="shared" si="86"/>
        <v>2.8865946242035558E-2</v>
      </c>
      <c r="AJ33" s="12">
        <f t="shared" si="86"/>
        <v>4.2208925891020294E-2</v>
      </c>
      <c r="AM33" s="1" t="s">
        <v>56</v>
      </c>
      <c r="AN33" s="6">
        <f>Main!D8</f>
        <v>3259</v>
      </c>
    </row>
    <row r="34" spans="2:40" x14ac:dyDescent="0.3">
      <c r="B34" s="1" t="s">
        <v>40</v>
      </c>
      <c r="G34" s="12">
        <f t="shared" ref="G34:M34" si="87">G19/G18</f>
        <v>-7.4183976261127599E-4</v>
      </c>
      <c r="H34" s="12">
        <f t="shared" si="87"/>
        <v>0</v>
      </c>
      <c r="I34" s="12">
        <f t="shared" si="87"/>
        <v>0</v>
      </c>
      <c r="J34" s="12">
        <f t="shared" si="87"/>
        <v>0</v>
      </c>
      <c r="K34" s="12">
        <f t="shared" si="87"/>
        <v>-6.9204152249134946E-4</v>
      </c>
      <c r="L34" s="12">
        <f t="shared" si="87"/>
        <v>-6.8681318681318687E-4</v>
      </c>
      <c r="M34" s="12">
        <f t="shared" si="87"/>
        <v>0</v>
      </c>
      <c r="N34" s="12">
        <f>N19/N18</f>
        <v>-4.0540540540540543E-3</v>
      </c>
      <c r="O34" s="12">
        <f t="shared" ref="O34:R34" si="88">O19/O18</f>
        <v>-3.7105751391465678E-3</v>
      </c>
      <c r="P34" s="12">
        <f t="shared" si="88"/>
        <v>-1.7969451931716084E-3</v>
      </c>
      <c r="Q34" s="12">
        <f t="shared" si="88"/>
        <v>0</v>
      </c>
      <c r="R34" s="12">
        <f t="shared" si="88"/>
        <v>0</v>
      </c>
      <c r="T34" s="12"/>
      <c r="U34" s="12"/>
      <c r="V34" s="12">
        <f t="shared" ref="V34:X34" si="89">V19/V18</f>
        <v>0</v>
      </c>
      <c r="W34" s="12">
        <f t="shared" si="89"/>
        <v>-5.9276822762299936E-4</v>
      </c>
      <c r="X34" s="12">
        <f t="shared" si="89"/>
        <v>-1.8412815319462345E-4</v>
      </c>
      <c r="Y34" s="12">
        <f>Y19/Y18</f>
        <v>-1.054629824931449E-3</v>
      </c>
      <c r="Z34" s="12">
        <f t="shared" ref="Z34:AJ34" si="90">Z19/Z18</f>
        <v>-1.3921955466727292E-3</v>
      </c>
      <c r="AA34" s="12">
        <f t="shared" si="90"/>
        <v>0</v>
      </c>
      <c r="AB34" s="12">
        <f t="shared" si="90"/>
        <v>0.2</v>
      </c>
      <c r="AC34" s="12">
        <f t="shared" si="90"/>
        <v>0.20000000000000004</v>
      </c>
      <c r="AD34" s="12">
        <f t="shared" si="90"/>
        <v>0.2</v>
      </c>
      <c r="AE34" s="12">
        <f t="shared" si="90"/>
        <v>0.2</v>
      </c>
      <c r="AF34" s="12">
        <f t="shared" si="90"/>
        <v>0.2</v>
      </c>
      <c r="AG34" s="12">
        <f t="shared" si="90"/>
        <v>0.19999999999999998</v>
      </c>
      <c r="AH34" s="12">
        <f t="shared" si="90"/>
        <v>0.2</v>
      </c>
      <c r="AI34" s="12">
        <f t="shared" si="90"/>
        <v>0.2</v>
      </c>
      <c r="AJ34" s="12">
        <f t="shared" si="90"/>
        <v>0.2</v>
      </c>
      <c r="AM34" s="1" t="s">
        <v>57</v>
      </c>
      <c r="AN34" s="6">
        <f>AN32+AN33</f>
        <v>-898.24475345965129</v>
      </c>
    </row>
    <row r="35" spans="2:40" x14ac:dyDescent="0.3">
      <c r="B35" s="1" t="s">
        <v>51</v>
      </c>
      <c r="G35" s="12">
        <f t="shared" ref="G35:M35" si="91">G21/G5</f>
        <v>-2.0408472012102874</v>
      </c>
      <c r="H35" s="12">
        <f t="shared" si="91"/>
        <v>-1.0660124888492417</v>
      </c>
      <c r="I35" s="12">
        <f t="shared" si="91"/>
        <v>-1.0224382946896036</v>
      </c>
      <c r="J35" s="12">
        <f t="shared" si="91"/>
        <v>-1.1566539923954373</v>
      </c>
      <c r="K35" s="12">
        <f t="shared" si="91"/>
        <v>-1.2009966777408638</v>
      </c>
      <c r="L35" s="12">
        <f t="shared" si="91"/>
        <v>-1.258203799654577</v>
      </c>
      <c r="M35" s="12">
        <f t="shared" si="91"/>
        <v>-1.2585812356979404</v>
      </c>
      <c r="N35" s="12">
        <f>N21/N5</f>
        <v>-0.4290657439446367</v>
      </c>
      <c r="O35" s="12">
        <f t="shared" ref="O35:R35" si="92">O21/O5</f>
        <v>-0.43951612903225806</v>
      </c>
      <c r="P35" s="12">
        <f t="shared" si="92"/>
        <v>-0.85725249424405214</v>
      </c>
      <c r="Q35" s="12">
        <f t="shared" si="92"/>
        <v>-0.56170535714285719</v>
      </c>
      <c r="R35" s="12">
        <f t="shared" si="92"/>
        <v>-0.30835916666666668</v>
      </c>
      <c r="T35" s="12"/>
      <c r="U35" s="12"/>
      <c r="V35" s="12">
        <f t="shared" ref="V35:X35" si="93">V21/V5</f>
        <v>-85.218181818181819</v>
      </c>
      <c r="W35" s="12">
        <f t="shared" si="93"/>
        <v>-4.0723763570566947</v>
      </c>
      <c r="X35" s="12">
        <f t="shared" si="93"/>
        <v>-1.2250789354984213</v>
      </c>
      <c r="Y35" s="12">
        <f>Y21/Y5</f>
        <v>-0.95513078470824953</v>
      </c>
      <c r="Z35" s="12">
        <f t="shared" ref="Z35:AJ35" si="94">Z21/Z5</f>
        <v>-0.51641762493283183</v>
      </c>
      <c r="AA35" s="12">
        <f t="shared" si="94"/>
        <v>-0.29994370107055751</v>
      </c>
      <c r="AB35" s="12">
        <f t="shared" si="94"/>
        <v>-0.17440393444935867</v>
      </c>
      <c r="AC35" s="12">
        <f t="shared" si="94"/>
        <v>-0.12740877236040049</v>
      </c>
      <c r="AD35" s="12">
        <f t="shared" si="94"/>
        <v>-8.9865137970147183E-2</v>
      </c>
      <c r="AE35" s="12">
        <f t="shared" si="94"/>
        <v>-5.8712033904367564E-2</v>
      </c>
      <c r="AF35" s="12">
        <f t="shared" si="94"/>
        <v>-2.9731803837984117E-2</v>
      </c>
      <c r="AG35" s="12">
        <f t="shared" si="94"/>
        <v>-9.1515768847995373E-3</v>
      </c>
      <c r="AH35" s="12">
        <f t="shared" si="94"/>
        <v>9.3514918080394374E-3</v>
      </c>
      <c r="AI35" s="12">
        <f t="shared" si="94"/>
        <v>2.5948234356200337E-2</v>
      </c>
      <c r="AJ35" s="12">
        <f t="shared" si="94"/>
        <v>3.6590432953878975E-2</v>
      </c>
      <c r="AM35" s="1" t="s">
        <v>58</v>
      </c>
      <c r="AN35" s="4">
        <f>AN34/AJ22</f>
        <v>-0.74027093576697811</v>
      </c>
    </row>
    <row r="36" spans="2:40" x14ac:dyDescent="0.3">
      <c r="AM36" s="1" t="s">
        <v>59</v>
      </c>
      <c r="AN36" s="4">
        <f>Main!D3</f>
        <v>12.68</v>
      </c>
    </row>
    <row r="37" spans="2:40" s="3" customFormat="1" x14ac:dyDescent="0.3">
      <c r="B37" s="3" t="s">
        <v>56</v>
      </c>
      <c r="J37" s="9">
        <f>J38+J39-J53</f>
        <v>4937</v>
      </c>
      <c r="N37" s="9">
        <f>N38+N39-N53</f>
        <v>3259</v>
      </c>
      <c r="AM37" s="3" t="s">
        <v>60</v>
      </c>
      <c r="AN37" s="11">
        <f>AN35/AN36-1</f>
        <v>-1.0583809886251561</v>
      </c>
    </row>
    <row r="38" spans="2:40" x14ac:dyDescent="0.3">
      <c r="B38" s="1" t="s">
        <v>4</v>
      </c>
      <c r="J38" s="6">
        <v>7857</v>
      </c>
      <c r="N38" s="6">
        <v>5294</v>
      </c>
      <c r="AM38" s="1" t="s">
        <v>61</v>
      </c>
      <c r="AN38" s="7" t="s">
        <v>89</v>
      </c>
    </row>
    <row r="39" spans="2:40" x14ac:dyDescent="0.3">
      <c r="B39" s="1" t="s">
        <v>62</v>
      </c>
      <c r="J39" s="6">
        <v>1511</v>
      </c>
      <c r="N39" s="6">
        <v>2406</v>
      </c>
    </row>
    <row r="40" spans="2:40" x14ac:dyDescent="0.3">
      <c r="B40" s="1" t="s">
        <v>63</v>
      </c>
      <c r="J40" s="6">
        <v>161</v>
      </c>
      <c r="N40" s="6">
        <v>443</v>
      </c>
    </row>
    <row r="41" spans="2:40" x14ac:dyDescent="0.3">
      <c r="B41" s="1" t="s">
        <v>64</v>
      </c>
      <c r="J41" s="6">
        <v>2620</v>
      </c>
      <c r="N41" s="6">
        <v>2248</v>
      </c>
    </row>
    <row r="42" spans="2:40" x14ac:dyDescent="0.3">
      <c r="B42" s="1" t="s">
        <v>65</v>
      </c>
      <c r="J42" s="6">
        <v>164</v>
      </c>
      <c r="N42" s="6">
        <v>192</v>
      </c>
    </row>
    <row r="43" spans="2:40" s="3" customFormat="1" x14ac:dyDescent="0.3">
      <c r="B43" s="3" t="s">
        <v>66</v>
      </c>
      <c r="J43" s="9">
        <f>SUM(J38:J42)</f>
        <v>12313</v>
      </c>
      <c r="N43" s="9">
        <f>SUM(N38:N42)</f>
        <v>10583</v>
      </c>
    </row>
    <row r="44" spans="2:40" x14ac:dyDescent="0.3">
      <c r="B44" s="1" t="s">
        <v>67</v>
      </c>
      <c r="J44" s="6">
        <v>3874</v>
      </c>
      <c r="N44" s="6">
        <v>3965</v>
      </c>
    </row>
    <row r="45" spans="2:40" x14ac:dyDescent="0.3">
      <c r="B45" s="1" t="s">
        <v>68</v>
      </c>
      <c r="J45" s="6">
        <v>356</v>
      </c>
      <c r="N45" s="6">
        <v>416</v>
      </c>
    </row>
    <row r="46" spans="2:40" x14ac:dyDescent="0.3">
      <c r="B46" s="1" t="s">
        <v>69</v>
      </c>
      <c r="J46" s="6">
        <v>235</v>
      </c>
      <c r="N46" s="6">
        <v>446</v>
      </c>
    </row>
    <row r="47" spans="2:40" s="3" customFormat="1" x14ac:dyDescent="0.3">
      <c r="B47" s="3" t="s">
        <v>70</v>
      </c>
      <c r="J47" s="9">
        <f>SUM(J44:J46)</f>
        <v>4465</v>
      </c>
      <c r="N47" s="9">
        <f>SUM(N44:N46)</f>
        <v>4827</v>
      </c>
    </row>
    <row r="48" spans="2:40" s="3" customFormat="1" x14ac:dyDescent="0.3">
      <c r="B48" s="3" t="s">
        <v>79</v>
      </c>
      <c r="J48" s="9">
        <f>J43+J47</f>
        <v>16778</v>
      </c>
      <c r="N48" s="9">
        <f>N43+N47</f>
        <v>15410</v>
      </c>
    </row>
    <row r="49" spans="2:36" x14ac:dyDescent="0.3">
      <c r="B49" s="1" t="s">
        <v>71</v>
      </c>
      <c r="J49" s="6">
        <v>981</v>
      </c>
      <c r="N49" s="6">
        <v>499</v>
      </c>
    </row>
    <row r="50" spans="2:36" x14ac:dyDescent="0.3">
      <c r="B50" s="1" t="s">
        <v>72</v>
      </c>
      <c r="J50" s="6">
        <v>1145</v>
      </c>
      <c r="N50" s="6">
        <v>835</v>
      </c>
    </row>
    <row r="51" spans="2:36" x14ac:dyDescent="0.3">
      <c r="B51" s="1" t="s">
        <v>73</v>
      </c>
      <c r="J51" s="6">
        <v>361</v>
      </c>
      <c r="N51" s="6">
        <v>917</v>
      </c>
    </row>
    <row r="52" spans="2:36" s="3" customFormat="1" x14ac:dyDescent="0.3">
      <c r="B52" s="3" t="s">
        <v>74</v>
      </c>
      <c r="J52" s="9">
        <f>SUM(J49:J51)</f>
        <v>2487</v>
      </c>
      <c r="N52" s="9">
        <f>SUM(N49:N51)</f>
        <v>2251</v>
      </c>
    </row>
    <row r="53" spans="2:36" x14ac:dyDescent="0.3">
      <c r="B53" s="1" t="s">
        <v>5</v>
      </c>
      <c r="J53" s="6">
        <v>4431</v>
      </c>
      <c r="N53" s="6">
        <v>4441</v>
      </c>
    </row>
    <row r="54" spans="2:36" x14ac:dyDescent="0.3">
      <c r="B54" s="1" t="s">
        <v>68</v>
      </c>
      <c r="J54" s="6">
        <v>324</v>
      </c>
      <c r="N54" s="6">
        <v>379</v>
      </c>
    </row>
    <row r="55" spans="2:36" x14ac:dyDescent="0.3">
      <c r="B55" s="1" t="s">
        <v>75</v>
      </c>
      <c r="J55" s="6">
        <v>395</v>
      </c>
      <c r="N55" s="6">
        <v>1777</v>
      </c>
    </row>
    <row r="56" spans="2:36" s="3" customFormat="1" x14ac:dyDescent="0.3">
      <c r="B56" s="3" t="s">
        <v>76</v>
      </c>
      <c r="J56" s="9">
        <f>SUM(J53:J55)</f>
        <v>5150</v>
      </c>
      <c r="N56" s="9">
        <f>SUM(N53:N55)</f>
        <v>6597</v>
      </c>
    </row>
    <row r="57" spans="2:36" s="3" customFormat="1" x14ac:dyDescent="0.3">
      <c r="B57" s="3" t="s">
        <v>77</v>
      </c>
      <c r="J57" s="9">
        <v>9141</v>
      </c>
      <c r="N57" s="9">
        <v>6562</v>
      </c>
    </row>
    <row r="58" spans="2:36" s="3" customFormat="1" x14ac:dyDescent="0.3">
      <c r="B58" s="3" t="s">
        <v>78</v>
      </c>
      <c r="J58" s="9">
        <f>J52+J56+J57</f>
        <v>16778</v>
      </c>
      <c r="N58" s="9">
        <f>N52+N56+N57</f>
        <v>15410</v>
      </c>
    </row>
    <row r="60" spans="2:36" s="3" customFormat="1" x14ac:dyDescent="0.3">
      <c r="B60" s="3" t="s">
        <v>80</v>
      </c>
      <c r="X60" s="9">
        <f>X21</f>
        <v>-5432</v>
      </c>
      <c r="Y60" s="9">
        <f>Y21</f>
        <v>-4747</v>
      </c>
      <c r="Z60" s="9">
        <f t="shared" ref="Z60:AJ60" si="95">Z21</f>
        <v>-2883.1596</v>
      </c>
      <c r="AA60" s="9">
        <f t="shared" si="95"/>
        <v>-2176.9613879999993</v>
      </c>
      <c r="AB60" s="9">
        <f t="shared" si="95"/>
        <v>-1518.9675790080003</v>
      </c>
      <c r="AC60" s="9">
        <f t="shared" si="95"/>
        <v>-1276.1137779020798</v>
      </c>
      <c r="AD60" s="9">
        <f t="shared" si="95"/>
        <v>-1023.5331426702214</v>
      </c>
      <c r="AE60" s="9">
        <f t="shared" si="95"/>
        <v>-752.40179310083784</v>
      </c>
      <c r="AF60" s="9">
        <f t="shared" si="95"/>
        <v>-429.33479370165333</v>
      </c>
      <c r="AG60" s="9">
        <f t="shared" si="95"/>
        <v>-149.11854201252217</v>
      </c>
      <c r="AH60" s="9">
        <f t="shared" si="95"/>
        <v>172.16895213921902</v>
      </c>
      <c r="AI60" s="9">
        <f t="shared" si="95"/>
        <v>540.46310033845748</v>
      </c>
      <c r="AJ60" s="9">
        <f t="shared" si="95"/>
        <v>831.72901336798225</v>
      </c>
    </row>
    <row r="61" spans="2:36" x14ac:dyDescent="0.3">
      <c r="B61" s="1" t="s">
        <v>81</v>
      </c>
      <c r="X61" s="6">
        <v>937</v>
      </c>
      <c r="Y61" s="6">
        <v>1031</v>
      </c>
      <c r="Z61" s="1">
        <f>Y61*1.08</f>
        <v>1113.48</v>
      </c>
      <c r="AA61" s="1">
        <f t="shared" ref="AA61" si="96">Z61*1.08</f>
        <v>1202.5584000000001</v>
      </c>
      <c r="AB61" s="1">
        <f>AA61*1.07</f>
        <v>1286.7374880000002</v>
      </c>
      <c r="AC61" s="1">
        <f>AB61*1.06</f>
        <v>1363.9417372800003</v>
      </c>
      <c r="AD61" s="1">
        <f>AC61*1.05</f>
        <v>1432.1388241440004</v>
      </c>
      <c r="AE61" s="1">
        <f>AD61*1.04</f>
        <v>1489.4243771097604</v>
      </c>
      <c r="AF61" s="1">
        <f>AE61*1.03</f>
        <v>1534.1071084230532</v>
      </c>
      <c r="AG61" s="1">
        <f>AF61*1.02</f>
        <v>1564.7892505915142</v>
      </c>
      <c r="AH61" s="1">
        <f t="shared" ref="AH61:AJ61" si="97">AG61*1.02</f>
        <v>1596.0850356033445</v>
      </c>
      <c r="AI61" s="1">
        <f t="shared" si="97"/>
        <v>1628.0067363154114</v>
      </c>
      <c r="AJ61" s="1">
        <f t="shared" si="97"/>
        <v>1660.5668710417197</v>
      </c>
    </row>
    <row r="62" spans="2:36" x14ac:dyDescent="0.3">
      <c r="B62" s="1" t="s">
        <v>82</v>
      </c>
      <c r="X62" s="6">
        <v>821</v>
      </c>
      <c r="Y62" s="6">
        <v>692</v>
      </c>
      <c r="Z62" s="1">
        <f>Y62*0.85</f>
        <v>588.19999999999993</v>
      </c>
      <c r="AA62" s="1">
        <f t="shared" ref="AA62:AJ62" si="98">Z62*0.85</f>
        <v>499.96999999999991</v>
      </c>
      <c r="AB62" s="1">
        <f t="shared" si="98"/>
        <v>424.97449999999992</v>
      </c>
      <c r="AC62" s="1">
        <f t="shared" si="98"/>
        <v>361.22832499999993</v>
      </c>
      <c r="AD62" s="1">
        <f t="shared" si="98"/>
        <v>307.04407624999993</v>
      </c>
      <c r="AE62" s="1">
        <f t="shared" si="98"/>
        <v>260.98746481249992</v>
      </c>
      <c r="AF62" s="1">
        <f t="shared" si="98"/>
        <v>221.83934509062493</v>
      </c>
      <c r="AG62" s="1">
        <f t="shared" si="98"/>
        <v>188.56344332703119</v>
      </c>
      <c r="AH62" s="1">
        <f t="shared" si="98"/>
        <v>160.27892682797651</v>
      </c>
      <c r="AI62" s="1">
        <f t="shared" si="98"/>
        <v>136.23708780378001</v>
      </c>
      <c r="AJ62" s="1">
        <f t="shared" si="98"/>
        <v>115.80152463321301</v>
      </c>
    </row>
    <row r="63" spans="2:36" x14ac:dyDescent="0.3">
      <c r="B63" s="1" t="s">
        <v>83</v>
      </c>
      <c r="X63" s="6">
        <v>0</v>
      </c>
      <c r="Y63" s="6">
        <v>112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</row>
    <row r="64" spans="2:36" x14ac:dyDescent="0.3">
      <c r="B64" s="1" t="s">
        <v>64</v>
      </c>
      <c r="X64" s="6">
        <v>107</v>
      </c>
      <c r="Y64" s="6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</row>
    <row r="65" spans="2:140" x14ac:dyDescent="0.3">
      <c r="B65" s="1" t="s">
        <v>84</v>
      </c>
      <c r="X65" s="6">
        <v>115</v>
      </c>
      <c r="Y65" s="6">
        <v>28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</row>
    <row r="66" spans="2:140" x14ac:dyDescent="0.3">
      <c r="B66" s="1" t="s">
        <v>63</v>
      </c>
      <c r="X66" s="6">
        <v>-59</v>
      </c>
      <c r="Y66" s="6">
        <v>-282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</row>
    <row r="67" spans="2:140" x14ac:dyDescent="0.3">
      <c r="B67" s="1" t="s">
        <v>64</v>
      </c>
      <c r="X67" s="6">
        <v>-1604</v>
      </c>
      <c r="Y67" s="6">
        <v>307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</row>
    <row r="68" spans="2:140" x14ac:dyDescent="0.3">
      <c r="B68" s="1" t="s">
        <v>85</v>
      </c>
      <c r="X68" s="6">
        <v>-146</v>
      </c>
      <c r="Y68" s="6">
        <v>-221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</row>
    <row r="69" spans="2:140" x14ac:dyDescent="0.3">
      <c r="B69" s="1" t="s">
        <v>71</v>
      </c>
      <c r="X69" s="6">
        <v>105</v>
      </c>
      <c r="Y69" s="6">
        <v>-572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</row>
    <row r="70" spans="2:140" x14ac:dyDescent="0.3">
      <c r="B70" s="1" t="s">
        <v>73</v>
      </c>
      <c r="X70" s="6">
        <v>149</v>
      </c>
      <c r="Y70" s="6">
        <v>1619</v>
      </c>
      <c r="Z70" s="1">
        <v>0</v>
      </c>
      <c r="AA70" s="1">
        <f t="shared" ref="AA70:AJ70" si="99">Z70*0.8</f>
        <v>0</v>
      </c>
      <c r="AB70" s="1">
        <f t="shared" si="99"/>
        <v>0</v>
      </c>
      <c r="AC70" s="1">
        <f t="shared" si="99"/>
        <v>0</v>
      </c>
      <c r="AD70" s="1">
        <f t="shared" si="99"/>
        <v>0</v>
      </c>
      <c r="AE70" s="1">
        <f t="shared" si="99"/>
        <v>0</v>
      </c>
      <c r="AF70" s="1">
        <f t="shared" si="99"/>
        <v>0</v>
      </c>
      <c r="AG70" s="1">
        <f t="shared" si="99"/>
        <v>0</v>
      </c>
      <c r="AH70" s="1">
        <f t="shared" si="99"/>
        <v>0</v>
      </c>
      <c r="AI70" s="1">
        <f t="shared" si="99"/>
        <v>0</v>
      </c>
      <c r="AJ70" s="1">
        <f t="shared" si="99"/>
        <v>0</v>
      </c>
    </row>
    <row r="71" spans="2:140" x14ac:dyDescent="0.3">
      <c r="B71" s="1" t="s">
        <v>86</v>
      </c>
      <c r="X71" s="6">
        <v>141</v>
      </c>
      <c r="Y71" s="6">
        <v>316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</row>
    <row r="72" spans="2:140" s="3" customFormat="1" x14ac:dyDescent="0.3">
      <c r="B72" s="3" t="s">
        <v>87</v>
      </c>
      <c r="X72" s="9">
        <f>X60+SUM(X61:X71)</f>
        <v>-4866</v>
      </c>
      <c r="Y72" s="9">
        <f>Y60+SUM(Y61:Y71)</f>
        <v>-1717</v>
      </c>
      <c r="Z72" s="9">
        <f t="shared" ref="Z72:AJ72" si="100">Z60+SUM(Z61:Z71)</f>
        <v>-1181.4796000000001</v>
      </c>
      <c r="AA72" s="9">
        <f t="shared" si="100"/>
        <v>-474.43298799999911</v>
      </c>
      <c r="AB72" s="9">
        <f t="shared" si="100"/>
        <v>192.74440899199976</v>
      </c>
      <c r="AC72" s="9">
        <f t="shared" si="100"/>
        <v>449.05628437792052</v>
      </c>
      <c r="AD72" s="9">
        <f t="shared" si="100"/>
        <v>715.64975772377898</v>
      </c>
      <c r="AE72" s="9">
        <f t="shared" si="100"/>
        <v>998.0100488214224</v>
      </c>
      <c r="AF72" s="9">
        <f t="shared" si="100"/>
        <v>1326.6116598120248</v>
      </c>
      <c r="AG72" s="9">
        <f t="shared" si="100"/>
        <v>1604.2341519060233</v>
      </c>
      <c r="AH72" s="9">
        <f t="shared" si="100"/>
        <v>1928.53291457054</v>
      </c>
      <c r="AI72" s="9">
        <f t="shared" si="100"/>
        <v>2304.7069244576487</v>
      </c>
      <c r="AJ72" s="9">
        <f t="shared" si="100"/>
        <v>2608.0974090429149</v>
      </c>
    </row>
    <row r="73" spans="2:140" x14ac:dyDescent="0.3">
      <c r="B73" s="1" t="s">
        <v>67</v>
      </c>
      <c r="X73" s="6">
        <v>1026</v>
      </c>
      <c r="Y73" s="6">
        <v>1141</v>
      </c>
      <c r="Z73" s="6">
        <f>Y73*1.05</f>
        <v>1198.05</v>
      </c>
      <c r="AA73" s="6">
        <f>Z73*1.03</f>
        <v>1233.9915000000001</v>
      </c>
      <c r="AB73" s="6">
        <f>AA73*1.02</f>
        <v>1258.6713300000001</v>
      </c>
      <c r="AC73" s="6">
        <f>AB73*1.01</f>
        <v>1271.2580433000001</v>
      </c>
      <c r="AD73" s="6">
        <f t="shared" ref="AD73:AJ73" si="101">AC73*1.01</f>
        <v>1283.9706237330001</v>
      </c>
      <c r="AE73" s="6">
        <f t="shared" si="101"/>
        <v>1296.8103299703303</v>
      </c>
      <c r="AF73" s="6">
        <f t="shared" si="101"/>
        <v>1309.7784332700335</v>
      </c>
      <c r="AG73" s="6">
        <f t="shared" si="101"/>
        <v>1322.8762176027337</v>
      </c>
      <c r="AH73" s="6">
        <f t="shared" si="101"/>
        <v>1336.1049797787612</v>
      </c>
      <c r="AI73" s="6">
        <f t="shared" si="101"/>
        <v>1349.4660295765489</v>
      </c>
      <c r="AJ73" s="6">
        <f t="shared" si="101"/>
        <v>1362.9606898723143</v>
      </c>
    </row>
    <row r="74" spans="2:140" s="3" customFormat="1" x14ac:dyDescent="0.3">
      <c r="B74" s="3" t="s">
        <v>88</v>
      </c>
      <c r="X74" s="9">
        <f>X72-X73</f>
        <v>-5892</v>
      </c>
      <c r="Y74" s="9">
        <f>Y72-Y73</f>
        <v>-2858</v>
      </c>
      <c r="Z74" s="9">
        <f t="shared" ref="Z74:AJ74" si="102">Z72-Z73</f>
        <v>-2379.5295999999998</v>
      </c>
      <c r="AA74" s="9">
        <f t="shared" si="102"/>
        <v>-1708.4244879999992</v>
      </c>
      <c r="AB74" s="9">
        <f t="shared" si="102"/>
        <v>-1065.9269210080004</v>
      </c>
      <c r="AC74" s="9">
        <f t="shared" si="102"/>
        <v>-822.20175892207953</v>
      </c>
      <c r="AD74" s="9">
        <f t="shared" si="102"/>
        <v>-568.32086600922116</v>
      </c>
      <c r="AE74" s="9">
        <f t="shared" si="102"/>
        <v>-298.80028114890786</v>
      </c>
      <c r="AF74" s="9">
        <f t="shared" si="102"/>
        <v>16.83322654199128</v>
      </c>
      <c r="AG74" s="9">
        <f t="shared" si="102"/>
        <v>281.35793430328954</v>
      </c>
      <c r="AH74" s="9">
        <f t="shared" si="102"/>
        <v>592.42793479177885</v>
      </c>
      <c r="AI74" s="9">
        <f t="shared" si="102"/>
        <v>955.24089488109985</v>
      </c>
      <c r="AJ74" s="9">
        <f t="shared" si="102"/>
        <v>1245.1367191706006</v>
      </c>
      <c r="AK74" s="3">
        <f>AJ74*(1+$AN$30)</f>
        <v>1232.6853519788947</v>
      </c>
      <c r="AL74" s="3">
        <f t="shared" ref="AL74:CW74" si="103">AK74*(1+$AN$30)</f>
        <v>1220.3584984591057</v>
      </c>
      <c r="AM74" s="3">
        <f t="shared" si="103"/>
        <v>1208.1549134745146</v>
      </c>
      <c r="AN74" s="3">
        <f t="shared" si="103"/>
        <v>1196.0733643397696</v>
      </c>
      <c r="AO74" s="3">
        <f t="shared" si="103"/>
        <v>1184.1126306963718</v>
      </c>
      <c r="AP74" s="3">
        <f t="shared" si="103"/>
        <v>1172.2715043894079</v>
      </c>
      <c r="AQ74" s="3">
        <f t="shared" si="103"/>
        <v>1160.5487893455138</v>
      </c>
      <c r="AR74" s="3">
        <f t="shared" si="103"/>
        <v>1148.9433014520587</v>
      </c>
      <c r="AS74" s="3">
        <f t="shared" si="103"/>
        <v>1137.4538684375382</v>
      </c>
      <c r="AT74" s="3">
        <f t="shared" si="103"/>
        <v>1126.0793297531627</v>
      </c>
      <c r="AU74" s="3">
        <f t="shared" si="103"/>
        <v>1114.8185364556311</v>
      </c>
      <c r="AV74" s="3">
        <f t="shared" si="103"/>
        <v>1103.6703510910747</v>
      </c>
      <c r="AW74" s="3">
        <f t="shared" si="103"/>
        <v>1092.6336475801641</v>
      </c>
      <c r="AX74" s="3">
        <f t="shared" si="103"/>
        <v>1081.7073111043624</v>
      </c>
      <c r="AY74" s="3">
        <f t="shared" si="103"/>
        <v>1070.8902379933188</v>
      </c>
      <c r="AZ74" s="3">
        <f t="shared" si="103"/>
        <v>1060.1813356133855</v>
      </c>
      <c r="BA74" s="3">
        <f t="shared" si="103"/>
        <v>1049.5795222572517</v>
      </c>
      <c r="BB74" s="3">
        <f t="shared" si="103"/>
        <v>1039.0837270346792</v>
      </c>
      <c r="BC74" s="3">
        <f t="shared" si="103"/>
        <v>1028.6928897643324</v>
      </c>
      <c r="BD74" s="3">
        <f t="shared" si="103"/>
        <v>1018.4059608666892</v>
      </c>
      <c r="BE74" s="3">
        <f t="shared" si="103"/>
        <v>1008.2219012580223</v>
      </c>
      <c r="BF74" s="3">
        <f t="shared" si="103"/>
        <v>998.13968224544203</v>
      </c>
      <c r="BG74" s="3">
        <f t="shared" si="103"/>
        <v>988.15828542298755</v>
      </c>
      <c r="BH74" s="3">
        <f t="shared" si="103"/>
        <v>978.27670256875763</v>
      </c>
      <c r="BI74" s="3">
        <f t="shared" si="103"/>
        <v>968.49393554307005</v>
      </c>
      <c r="BJ74" s="3">
        <f t="shared" si="103"/>
        <v>958.80899618763931</v>
      </c>
      <c r="BK74" s="3">
        <f t="shared" si="103"/>
        <v>949.22090622576286</v>
      </c>
      <c r="BL74" s="3">
        <f t="shared" si="103"/>
        <v>939.72869716350522</v>
      </c>
      <c r="BM74" s="3">
        <f t="shared" si="103"/>
        <v>930.33141019187019</v>
      </c>
      <c r="BN74" s="3">
        <f t="shared" si="103"/>
        <v>921.02809608995153</v>
      </c>
      <c r="BO74" s="3">
        <f t="shared" si="103"/>
        <v>911.81781512905206</v>
      </c>
      <c r="BP74" s="3">
        <f t="shared" si="103"/>
        <v>902.69963697776154</v>
      </c>
      <c r="BQ74" s="3">
        <f t="shared" si="103"/>
        <v>893.67264060798391</v>
      </c>
      <c r="BR74" s="3">
        <f t="shared" si="103"/>
        <v>884.73591420190405</v>
      </c>
      <c r="BS74" s="3">
        <f t="shared" si="103"/>
        <v>875.88855505988499</v>
      </c>
      <c r="BT74" s="3">
        <f t="shared" si="103"/>
        <v>867.12966950928615</v>
      </c>
      <c r="BU74" s="3">
        <f t="shared" si="103"/>
        <v>858.45837281419324</v>
      </c>
      <c r="BV74" s="3">
        <f t="shared" si="103"/>
        <v>849.87378908605126</v>
      </c>
      <c r="BW74" s="3">
        <f t="shared" si="103"/>
        <v>841.37505119519074</v>
      </c>
      <c r="BX74" s="3">
        <f t="shared" si="103"/>
        <v>832.96130068323885</v>
      </c>
      <c r="BY74" s="3">
        <f t="shared" si="103"/>
        <v>824.6316876764065</v>
      </c>
      <c r="BZ74" s="3">
        <f t="shared" si="103"/>
        <v>816.38537079964237</v>
      </c>
      <c r="CA74" s="3">
        <f t="shared" si="103"/>
        <v>808.22151709164598</v>
      </c>
      <c r="CB74" s="3">
        <f t="shared" si="103"/>
        <v>800.13930192072951</v>
      </c>
      <c r="CC74" s="3">
        <f t="shared" si="103"/>
        <v>792.13790890152222</v>
      </c>
      <c r="CD74" s="3">
        <f t="shared" si="103"/>
        <v>784.21652981250702</v>
      </c>
      <c r="CE74" s="3">
        <f t="shared" si="103"/>
        <v>776.37436451438191</v>
      </c>
      <c r="CF74" s="3">
        <f t="shared" si="103"/>
        <v>768.61062086923812</v>
      </c>
      <c r="CG74" s="3">
        <f t="shared" si="103"/>
        <v>760.9245146605457</v>
      </c>
      <c r="CH74" s="3">
        <f t="shared" si="103"/>
        <v>753.31526951394028</v>
      </c>
      <c r="CI74" s="3">
        <f t="shared" si="103"/>
        <v>745.78211681880089</v>
      </c>
      <c r="CJ74" s="3">
        <f t="shared" si="103"/>
        <v>738.32429565061284</v>
      </c>
      <c r="CK74" s="3">
        <f t="shared" si="103"/>
        <v>730.9410526941067</v>
      </c>
      <c r="CL74" s="3">
        <f t="shared" si="103"/>
        <v>723.63164216716564</v>
      </c>
      <c r="CM74" s="3">
        <f t="shared" si="103"/>
        <v>716.39532574549401</v>
      </c>
      <c r="CN74" s="3">
        <f t="shared" si="103"/>
        <v>709.23137248803903</v>
      </c>
      <c r="CO74" s="3">
        <f t="shared" si="103"/>
        <v>702.13905876315869</v>
      </c>
      <c r="CP74" s="3">
        <f t="shared" si="103"/>
        <v>695.11766817552711</v>
      </c>
      <c r="CQ74" s="3">
        <f t="shared" si="103"/>
        <v>688.16649149377179</v>
      </c>
      <c r="CR74" s="3">
        <f t="shared" si="103"/>
        <v>681.2848265788341</v>
      </c>
      <c r="CS74" s="3">
        <f t="shared" si="103"/>
        <v>674.47197831304572</v>
      </c>
      <c r="CT74" s="3">
        <f t="shared" si="103"/>
        <v>667.72725852991528</v>
      </c>
      <c r="CU74" s="3">
        <f t="shared" si="103"/>
        <v>661.04998594461608</v>
      </c>
      <c r="CV74" s="3">
        <f t="shared" si="103"/>
        <v>654.43948608516996</v>
      </c>
      <c r="CW74" s="3">
        <f t="shared" si="103"/>
        <v>647.89509122431821</v>
      </c>
      <c r="CX74" s="3">
        <f t="shared" ref="CX74:EJ74" si="104">CW74*(1+$AN$30)</f>
        <v>641.41614031207507</v>
      </c>
      <c r="CY74" s="3">
        <f t="shared" si="104"/>
        <v>635.00197890895436</v>
      </c>
      <c r="CZ74" s="3">
        <f t="shared" si="104"/>
        <v>628.65195911986484</v>
      </c>
      <c r="DA74" s="3">
        <f t="shared" si="104"/>
        <v>622.36543952866623</v>
      </c>
      <c r="DB74" s="3">
        <f t="shared" si="104"/>
        <v>616.14178513337959</v>
      </c>
      <c r="DC74" s="3">
        <f t="shared" si="104"/>
        <v>609.98036728204579</v>
      </c>
      <c r="DD74" s="3">
        <f t="shared" si="104"/>
        <v>603.88056360922531</v>
      </c>
      <c r="DE74" s="3">
        <f t="shared" si="104"/>
        <v>597.8417579731331</v>
      </c>
      <c r="DF74" s="3">
        <f t="shared" si="104"/>
        <v>591.86334039340181</v>
      </c>
      <c r="DG74" s="3">
        <f t="shared" si="104"/>
        <v>585.94470698946782</v>
      </c>
      <c r="DH74" s="3">
        <f t="shared" si="104"/>
        <v>580.0852599195731</v>
      </c>
      <c r="DI74" s="3">
        <f t="shared" si="104"/>
        <v>574.28440732037734</v>
      </c>
      <c r="DJ74" s="3">
        <f t="shared" si="104"/>
        <v>568.5415632471736</v>
      </c>
      <c r="DK74" s="3">
        <f t="shared" si="104"/>
        <v>562.85614761470185</v>
      </c>
      <c r="DL74" s="3">
        <f t="shared" si="104"/>
        <v>557.22758613855478</v>
      </c>
      <c r="DM74" s="3">
        <f t="shared" si="104"/>
        <v>551.65531027716918</v>
      </c>
      <c r="DN74" s="3">
        <f t="shared" si="104"/>
        <v>546.13875717439748</v>
      </c>
      <c r="DO74" s="3">
        <f t="shared" si="104"/>
        <v>540.67736960265347</v>
      </c>
      <c r="DP74" s="3">
        <f t="shared" si="104"/>
        <v>535.27059590662691</v>
      </c>
      <c r="DQ74" s="3">
        <f t="shared" si="104"/>
        <v>529.91788994756064</v>
      </c>
      <c r="DR74" s="3">
        <f t="shared" si="104"/>
        <v>524.61871104808506</v>
      </c>
      <c r="DS74" s="3">
        <f t="shared" si="104"/>
        <v>519.37252393760423</v>
      </c>
      <c r="DT74" s="3">
        <f t="shared" si="104"/>
        <v>514.17879869822821</v>
      </c>
      <c r="DU74" s="3">
        <f t="shared" si="104"/>
        <v>509.0370107112459</v>
      </c>
      <c r="DV74" s="3">
        <f t="shared" si="104"/>
        <v>503.94664060413345</v>
      </c>
      <c r="DW74" s="3">
        <f t="shared" si="104"/>
        <v>498.90717419809209</v>
      </c>
      <c r="DX74" s="3">
        <f t="shared" si="104"/>
        <v>493.91810245611117</v>
      </c>
      <c r="DY74" s="3">
        <f t="shared" si="104"/>
        <v>488.97892143155008</v>
      </c>
      <c r="DZ74" s="3">
        <f t="shared" si="104"/>
        <v>484.08913221723458</v>
      </c>
      <c r="EA74" s="3">
        <f t="shared" si="104"/>
        <v>479.24824089506222</v>
      </c>
      <c r="EB74" s="3">
        <f t="shared" si="104"/>
        <v>474.45575848611162</v>
      </c>
      <c r="EC74" s="3">
        <f t="shared" si="104"/>
        <v>469.71120090125049</v>
      </c>
      <c r="ED74" s="3">
        <f t="shared" si="104"/>
        <v>465.01408889223796</v>
      </c>
      <c r="EE74" s="3">
        <f t="shared" si="104"/>
        <v>460.36394800331556</v>
      </c>
      <c r="EF74" s="3">
        <f t="shared" si="104"/>
        <v>455.76030852328239</v>
      </c>
      <c r="EG74" s="3">
        <f t="shared" si="104"/>
        <v>451.20270543804958</v>
      </c>
      <c r="EH74" s="3">
        <f t="shared" si="104"/>
        <v>446.69067838366908</v>
      </c>
      <c r="EI74" s="3">
        <f t="shared" si="104"/>
        <v>442.22377159983239</v>
      </c>
      <c r="EJ74" s="3">
        <f t="shared" si="104"/>
        <v>437.80153388383405</v>
      </c>
    </row>
    <row r="77" spans="2:140" x14ac:dyDescent="0.3">
      <c r="AN77" s="6">
        <f>NPV(AN31,Z74:EJ74)</f>
        <v>511.96820024325359</v>
      </c>
    </row>
    <row r="78" spans="2:140" x14ac:dyDescent="0.3">
      <c r="AN78" s="6">
        <f>Main!D8</f>
        <v>3259</v>
      </c>
    </row>
    <row r="79" spans="2:140" x14ac:dyDescent="0.3">
      <c r="AN79" s="6">
        <f>AN77+AN78</f>
        <v>3770.9682002432537</v>
      </c>
    </row>
    <row r="80" spans="2:140" x14ac:dyDescent="0.3">
      <c r="AN80" s="4">
        <f>AN79/AJ22</f>
        <v>3.1077700677791769</v>
      </c>
    </row>
    <row r="81" spans="40:40" x14ac:dyDescent="0.3">
      <c r="AN81" s="4">
        <f>Main!D3</f>
        <v>12.68</v>
      </c>
    </row>
    <row r="82" spans="40:40" x14ac:dyDescent="0.3">
      <c r="AN82" s="11">
        <f>AN80/AN81-1</f>
        <v>-0.75490772336126366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2025-02-21T14:09:56Z</dcterms:created>
  <dcterms:modified xsi:type="dcterms:W3CDTF">2025-11-04T16:54:38Z</dcterms:modified>
</cp:coreProperties>
</file>