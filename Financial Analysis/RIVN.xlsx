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ntos\Documents\GitHub\FinanceModels\Financial Analysis\"/>
    </mc:Choice>
  </mc:AlternateContent>
  <xr:revisionPtr revIDLastSave="0" documentId="13_ncr:1_{09E2DB49-4DF0-415B-B015-D702C899BC5D}" xr6:coauthVersionLast="47" xr6:coauthVersionMax="47" xr10:uidLastSave="{00000000-0000-0000-0000-000000000000}"/>
  <bookViews>
    <workbookView xWindow="-108" yWindow="-108" windowWidth="23256" windowHeight="12576" activeTab="1" xr2:uid="{ABF471AF-A41B-460E-88DC-31087F0CAAFB}"/>
  </bookViews>
  <sheets>
    <sheet name="Main" sheetId="1" r:id="rId1"/>
    <sheet name="Model" sheetId="2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D23" i="2" l="1"/>
  <c r="AE65" i="2"/>
  <c r="AF65" i="2" s="1"/>
  <c r="AG65" i="2" s="1"/>
  <c r="AH65" i="2" s="1"/>
  <c r="AI65" i="2" s="1"/>
  <c r="AJ65" i="2" s="1"/>
  <c r="AK65" i="2" s="1"/>
  <c r="AL65" i="2" s="1"/>
  <c r="AM65" i="2" s="1"/>
  <c r="AN65" i="2" s="1"/>
  <c r="D7" i="1"/>
  <c r="D6" i="1"/>
  <c r="AN25" i="2"/>
  <c r="AM25" i="2"/>
  <c r="AL25" i="2"/>
  <c r="AK25" i="2"/>
  <c r="AJ25" i="2"/>
  <c r="AI25" i="2"/>
  <c r="AH25" i="2"/>
  <c r="AG25" i="2"/>
  <c r="AF25" i="2"/>
  <c r="AE25" i="2"/>
  <c r="AD25" i="2"/>
  <c r="R25" i="2"/>
  <c r="D4" i="1"/>
  <c r="AC7" i="2"/>
  <c r="AC6" i="2"/>
  <c r="Q25" i="2"/>
  <c r="L11" i="2"/>
  <c r="L8" i="2"/>
  <c r="P25" i="2"/>
  <c r="R29" i="2" l="1"/>
  <c r="Q29" i="2"/>
  <c r="P29" i="2"/>
  <c r="R28" i="2"/>
  <c r="Q28" i="2"/>
  <c r="P28" i="2"/>
  <c r="AD7" i="2"/>
  <c r="AD29" i="2" s="1"/>
  <c r="AD6" i="2"/>
  <c r="AD10" i="2"/>
  <c r="R8" i="2"/>
  <c r="Q8" i="2"/>
  <c r="P8" i="2"/>
  <c r="O8" i="2"/>
  <c r="R31" i="2"/>
  <c r="O25" i="2"/>
  <c r="N29" i="2"/>
  <c r="N28" i="2"/>
  <c r="O29" i="2"/>
  <c r="O28" i="2"/>
  <c r="O11" i="2"/>
  <c r="N32" i="2"/>
  <c r="N31" i="2"/>
  <c r="J32" i="2"/>
  <c r="J31" i="2"/>
  <c r="O32" i="2"/>
  <c r="O31" i="2"/>
  <c r="K32" i="2"/>
  <c r="K31" i="2"/>
  <c r="AR85" i="2"/>
  <c r="AE64" i="2"/>
  <c r="AF64" i="2" s="1"/>
  <c r="AG64" i="2" s="1"/>
  <c r="AH64" i="2" s="1"/>
  <c r="AI64" i="2" s="1"/>
  <c r="AJ64" i="2" s="1"/>
  <c r="AK64" i="2" s="1"/>
  <c r="AL64" i="2" s="1"/>
  <c r="AM64" i="2" s="1"/>
  <c r="AN64" i="2" s="1"/>
  <c r="AE77" i="2"/>
  <c r="AF77" i="2" s="1"/>
  <c r="AG77" i="2" s="1"/>
  <c r="AH77" i="2" s="1"/>
  <c r="AI77" i="2" s="1"/>
  <c r="AJ77" i="2" s="1"/>
  <c r="AK77" i="2" s="1"/>
  <c r="AL77" i="2" s="1"/>
  <c r="AM77" i="2" s="1"/>
  <c r="AN77" i="2" s="1"/>
  <c r="J59" i="2"/>
  <c r="J55" i="2"/>
  <c r="J50" i="2"/>
  <c r="J46" i="2"/>
  <c r="J40" i="2"/>
  <c r="N59" i="2"/>
  <c r="N55" i="2"/>
  <c r="N50" i="2"/>
  <c r="N46" i="2"/>
  <c r="N40" i="2"/>
  <c r="R32" i="2" l="1"/>
  <c r="AE6" i="2"/>
  <c r="AF6" i="2" s="1"/>
  <c r="AF9" i="2" s="1"/>
  <c r="AD28" i="2"/>
  <c r="Q32" i="2"/>
  <c r="Q11" i="2"/>
  <c r="AD9" i="2"/>
  <c r="AD31" i="2" s="1"/>
  <c r="Q31" i="2"/>
  <c r="AD8" i="2"/>
  <c r="P32" i="2"/>
  <c r="AD32" i="2"/>
  <c r="AE7" i="2"/>
  <c r="P31" i="2"/>
  <c r="R11" i="2"/>
  <c r="P11" i="2"/>
  <c r="J61" i="2"/>
  <c r="J51" i="2"/>
  <c r="N61" i="2"/>
  <c r="N51" i="2"/>
  <c r="AE8" i="2" l="1"/>
  <c r="AE28" i="2"/>
  <c r="AE9" i="2"/>
  <c r="AE31" i="2" s="1"/>
  <c r="AD11" i="2"/>
  <c r="AE10" i="2"/>
  <c r="AE32" i="2" s="1"/>
  <c r="AF7" i="2"/>
  <c r="AF10" i="2" s="1"/>
  <c r="AE29" i="2"/>
  <c r="AG6" i="2"/>
  <c r="AF28" i="2"/>
  <c r="AF31" i="2"/>
  <c r="AR39" i="2"/>
  <c r="R20" i="2"/>
  <c r="Q20" i="2"/>
  <c r="P20" i="2"/>
  <c r="O20" i="2"/>
  <c r="P30" i="2"/>
  <c r="O30" i="2"/>
  <c r="O34" i="2"/>
  <c r="AD22" i="2"/>
  <c r="AD19" i="2"/>
  <c r="AD18" i="2"/>
  <c r="AD17" i="2"/>
  <c r="AE17" i="2" s="1"/>
  <c r="AF17" i="2" s="1"/>
  <c r="AG17" i="2" s="1"/>
  <c r="AH17" i="2" s="1"/>
  <c r="AI17" i="2" s="1"/>
  <c r="AJ17" i="2" s="1"/>
  <c r="AK17" i="2" s="1"/>
  <c r="AL17" i="2" s="1"/>
  <c r="AM17" i="2" s="1"/>
  <c r="AN17" i="2" s="1"/>
  <c r="Y20" i="2"/>
  <c r="Y12" i="2"/>
  <c r="Z14" i="2"/>
  <c r="Z35" i="2" s="1"/>
  <c r="Z20" i="2"/>
  <c r="Z12" i="2"/>
  <c r="Z33" i="2" s="1"/>
  <c r="AA20" i="2"/>
  <c r="AA35" i="2"/>
  <c r="AA34" i="2"/>
  <c r="Z34" i="2"/>
  <c r="M35" i="2"/>
  <c r="L35" i="2"/>
  <c r="K35" i="2"/>
  <c r="I35" i="2"/>
  <c r="H35" i="2"/>
  <c r="G35" i="2"/>
  <c r="AB23" i="2"/>
  <c r="AB22" i="2"/>
  <c r="AB19" i="2"/>
  <c r="AB18" i="2"/>
  <c r="AB17" i="2"/>
  <c r="AB16" i="2"/>
  <c r="AB14" i="2"/>
  <c r="AB13" i="2"/>
  <c r="AB34" i="2" s="1"/>
  <c r="AC23" i="2"/>
  <c r="AC22" i="2"/>
  <c r="AC19" i="2"/>
  <c r="AC18" i="2"/>
  <c r="AC17" i="2"/>
  <c r="AC16" i="2"/>
  <c r="AC14" i="2"/>
  <c r="AC13" i="2"/>
  <c r="M34" i="2"/>
  <c r="L34" i="2"/>
  <c r="K34" i="2"/>
  <c r="M30" i="2"/>
  <c r="L30" i="2"/>
  <c r="K30" i="2"/>
  <c r="N34" i="2"/>
  <c r="G20" i="2"/>
  <c r="G12" i="2"/>
  <c r="G15" i="2" s="1"/>
  <c r="G36" i="2" s="1"/>
  <c r="K20" i="2"/>
  <c r="K12" i="2"/>
  <c r="K15" i="2" s="1"/>
  <c r="K36" i="2" s="1"/>
  <c r="L20" i="2"/>
  <c r="L12" i="2"/>
  <c r="L15" i="2" s="1"/>
  <c r="H20" i="2"/>
  <c r="H12" i="2"/>
  <c r="H15" i="2" s="1"/>
  <c r="H36" i="2" s="1"/>
  <c r="I20" i="2"/>
  <c r="I12" i="2"/>
  <c r="I15" i="2" s="1"/>
  <c r="M20" i="2"/>
  <c r="M12" i="2"/>
  <c r="M15" i="2" s="1"/>
  <c r="M36" i="2" s="1"/>
  <c r="AC34" i="2" l="1"/>
  <c r="AG28" i="2"/>
  <c r="AG9" i="2"/>
  <c r="AG31" i="2" s="1"/>
  <c r="AF32" i="2"/>
  <c r="AG7" i="2"/>
  <c r="AF29" i="2"/>
  <c r="AE11" i="2"/>
  <c r="AF8" i="2"/>
  <c r="AH6" i="2"/>
  <c r="AH9" i="2" s="1"/>
  <c r="I21" i="2"/>
  <c r="I24" i="2" s="1"/>
  <c r="I26" i="2" s="1"/>
  <c r="L21" i="2"/>
  <c r="L24" i="2" s="1"/>
  <c r="L26" i="2" s="1"/>
  <c r="H33" i="2"/>
  <c r="K33" i="2"/>
  <c r="O12" i="2"/>
  <c r="I33" i="2"/>
  <c r="P12" i="2"/>
  <c r="I36" i="2"/>
  <c r="O35" i="2"/>
  <c r="L33" i="2"/>
  <c r="G33" i="2"/>
  <c r="M33" i="2"/>
  <c r="L36" i="2"/>
  <c r="P34" i="2"/>
  <c r="AD16" i="2"/>
  <c r="Q30" i="2"/>
  <c r="Q12" i="2"/>
  <c r="Y15" i="2"/>
  <c r="Z15" i="2"/>
  <c r="AA12" i="2"/>
  <c r="AA30" i="2"/>
  <c r="AB20" i="2"/>
  <c r="AC20" i="2"/>
  <c r="G21" i="2"/>
  <c r="K21" i="2"/>
  <c r="H21" i="2"/>
  <c r="M21" i="2"/>
  <c r="AG8" i="2" l="1"/>
  <c r="AG10" i="2"/>
  <c r="AG11" i="2" s="1"/>
  <c r="AH7" i="2"/>
  <c r="AH28" i="2"/>
  <c r="AF11" i="2"/>
  <c r="AG29" i="2"/>
  <c r="AI6" i="2"/>
  <c r="AH31" i="2"/>
  <c r="I38" i="2"/>
  <c r="I37" i="2"/>
  <c r="L37" i="2"/>
  <c r="L38" i="2"/>
  <c r="O33" i="2"/>
  <c r="O15" i="2"/>
  <c r="H24" i="2"/>
  <c r="H37" i="2"/>
  <c r="G24" i="2"/>
  <c r="G37" i="2"/>
  <c r="K24" i="2"/>
  <c r="K37" i="2"/>
  <c r="AD20" i="2"/>
  <c r="AE16" i="2"/>
  <c r="M24" i="2"/>
  <c r="M37" i="2"/>
  <c r="Q34" i="2"/>
  <c r="AD14" i="2"/>
  <c r="Q35" i="2"/>
  <c r="P35" i="2"/>
  <c r="Q15" i="2"/>
  <c r="Q33" i="2"/>
  <c r="P15" i="2"/>
  <c r="P33" i="2"/>
  <c r="Y21" i="2"/>
  <c r="Z21" i="2"/>
  <c r="Z36" i="2"/>
  <c r="AA33" i="2"/>
  <c r="AA15" i="2"/>
  <c r="J20" i="2"/>
  <c r="J11" i="2"/>
  <c r="AB11" i="2" s="1"/>
  <c r="J8" i="2"/>
  <c r="N20" i="2"/>
  <c r="N11" i="2"/>
  <c r="AC11" i="2" s="1"/>
  <c r="N8" i="2"/>
  <c r="D8" i="1"/>
  <c r="D5" i="1"/>
  <c r="F3" i="1"/>
  <c r="N30" i="2" l="1"/>
  <c r="AH10" i="2"/>
  <c r="AH11" i="2" s="1"/>
  <c r="AI7" i="2"/>
  <c r="AJ7" i="2" s="1"/>
  <c r="AK7" i="2" s="1"/>
  <c r="AL7" i="2" s="1"/>
  <c r="AM7" i="2" s="1"/>
  <c r="AN7" i="2" s="1"/>
  <c r="AE14" i="2"/>
  <c r="AF14" i="2" s="1"/>
  <c r="AG14" i="2" s="1"/>
  <c r="AH14" i="2" s="1"/>
  <c r="AI14" i="2" s="1"/>
  <c r="AJ14" i="2" s="1"/>
  <c r="AK14" i="2" s="1"/>
  <c r="AL14" i="2" s="1"/>
  <c r="AM14" i="2" s="1"/>
  <c r="AN14" i="2" s="1"/>
  <c r="AH29" i="2"/>
  <c r="AG32" i="2"/>
  <c r="AH8" i="2"/>
  <c r="AI9" i="2"/>
  <c r="AI31" i="2" s="1"/>
  <c r="AJ6" i="2"/>
  <c r="AJ28" i="2" s="1"/>
  <c r="AI28" i="2"/>
  <c r="AR36" i="2"/>
  <c r="AR82" i="2"/>
  <c r="AC8" i="2"/>
  <c r="N35" i="2"/>
  <c r="AE20" i="2"/>
  <c r="AF16" i="2"/>
  <c r="O36" i="2"/>
  <c r="O21" i="2"/>
  <c r="J12" i="2"/>
  <c r="J35" i="2"/>
  <c r="AB8" i="2"/>
  <c r="K26" i="2"/>
  <c r="K38" i="2"/>
  <c r="G26" i="2"/>
  <c r="G38" i="2"/>
  <c r="M26" i="2"/>
  <c r="M38" i="2"/>
  <c r="H26" i="2"/>
  <c r="H38" i="2"/>
  <c r="D9" i="1"/>
  <c r="R34" i="2"/>
  <c r="AD13" i="2"/>
  <c r="P36" i="2"/>
  <c r="P21" i="2"/>
  <c r="Q36" i="2"/>
  <c r="Q21" i="2"/>
  <c r="Y24" i="2"/>
  <c r="Z24" i="2"/>
  <c r="Z37" i="2"/>
  <c r="AA36" i="2"/>
  <c r="AA21" i="2"/>
  <c r="N12" i="2"/>
  <c r="AI8" i="2" l="1"/>
  <c r="AI10" i="2"/>
  <c r="AI11" i="2" s="1"/>
  <c r="AH32" i="2"/>
  <c r="AI29" i="2"/>
  <c r="AJ9" i="2"/>
  <c r="AK6" i="2"/>
  <c r="AK28" i="2" s="1"/>
  <c r="O37" i="2"/>
  <c r="O24" i="2"/>
  <c r="AC30" i="2"/>
  <c r="AC35" i="2"/>
  <c r="AG16" i="2"/>
  <c r="AF20" i="2"/>
  <c r="AB30" i="2"/>
  <c r="AB12" i="2"/>
  <c r="AB35" i="2"/>
  <c r="J15" i="2"/>
  <c r="J33" i="2"/>
  <c r="AC12" i="2"/>
  <c r="N15" i="2"/>
  <c r="N36" i="2" s="1"/>
  <c r="N33" i="2"/>
  <c r="R30" i="2"/>
  <c r="R35" i="2"/>
  <c r="P37" i="2"/>
  <c r="P24" i="2"/>
  <c r="AE13" i="2"/>
  <c r="AD34" i="2"/>
  <c r="Q37" i="2"/>
  <c r="Q24" i="2"/>
  <c r="Y26" i="2"/>
  <c r="Z38" i="2"/>
  <c r="Z26" i="2"/>
  <c r="AA24" i="2"/>
  <c r="AA37" i="2"/>
  <c r="AJ8" i="2" l="1"/>
  <c r="AJ10" i="2"/>
  <c r="AJ32" i="2" s="1"/>
  <c r="AI32" i="2"/>
  <c r="AK10" i="2"/>
  <c r="AJ29" i="2"/>
  <c r="AJ31" i="2"/>
  <c r="AK9" i="2"/>
  <c r="AK31" i="2" s="1"/>
  <c r="AL6" i="2"/>
  <c r="N21" i="2"/>
  <c r="N37" i="2" s="1"/>
  <c r="R12" i="2"/>
  <c r="AD12" i="2"/>
  <c r="AH16" i="2"/>
  <c r="AG20" i="2"/>
  <c r="AC33" i="2"/>
  <c r="AC15" i="2"/>
  <c r="J21" i="2"/>
  <c r="J36" i="2"/>
  <c r="O38" i="2"/>
  <c r="O26" i="2"/>
  <c r="AD30" i="2"/>
  <c r="AD35" i="2"/>
  <c r="AB15" i="2"/>
  <c r="AB33" i="2"/>
  <c r="P26" i="2"/>
  <c r="P38" i="2"/>
  <c r="AF13" i="2"/>
  <c r="AE34" i="2"/>
  <c r="Q26" i="2"/>
  <c r="Q38" i="2"/>
  <c r="AA26" i="2"/>
  <c r="AA38" i="2"/>
  <c r="AJ11" i="2" l="1"/>
  <c r="AK32" i="2"/>
  <c r="AK29" i="2"/>
  <c r="AK11" i="2"/>
  <c r="AK8" i="2"/>
  <c r="AL9" i="2"/>
  <c r="AL31" i="2" s="1"/>
  <c r="AM6" i="2"/>
  <c r="AM28" i="2" s="1"/>
  <c r="AL28" i="2"/>
  <c r="N24" i="2"/>
  <c r="N38" i="2" s="1"/>
  <c r="J24" i="2"/>
  <c r="J37" i="2"/>
  <c r="AB36" i="2"/>
  <c r="AB21" i="2"/>
  <c r="AD33" i="2"/>
  <c r="AD15" i="2"/>
  <c r="AC36" i="2"/>
  <c r="AC21" i="2"/>
  <c r="AE35" i="2"/>
  <c r="AE30" i="2"/>
  <c r="AI16" i="2"/>
  <c r="AH20" i="2"/>
  <c r="R33" i="2"/>
  <c r="R15" i="2"/>
  <c r="AF34" i="2"/>
  <c r="AG13" i="2"/>
  <c r="AL8" i="2" l="1"/>
  <c r="AL10" i="2"/>
  <c r="AL32" i="2" s="1"/>
  <c r="AM10" i="2"/>
  <c r="AL29" i="2"/>
  <c r="AM9" i="2"/>
  <c r="AN6" i="2"/>
  <c r="AN28" i="2" s="1"/>
  <c r="N26" i="2"/>
  <c r="AD36" i="2"/>
  <c r="AD21" i="2"/>
  <c r="AB24" i="2"/>
  <c r="AB63" i="2" s="1"/>
  <c r="AB76" i="2" s="1"/>
  <c r="AB78" i="2" s="1"/>
  <c r="AB37" i="2"/>
  <c r="R36" i="2"/>
  <c r="R21" i="2"/>
  <c r="AJ16" i="2"/>
  <c r="AI20" i="2"/>
  <c r="AF35" i="2"/>
  <c r="AF30" i="2"/>
  <c r="AC24" i="2"/>
  <c r="AC63" i="2" s="1"/>
  <c r="AC76" i="2" s="1"/>
  <c r="AC78" i="2" s="1"/>
  <c r="AC37" i="2"/>
  <c r="J38" i="2"/>
  <c r="J26" i="2"/>
  <c r="AH13" i="2"/>
  <c r="AG34" i="2"/>
  <c r="AL11" i="2" l="1"/>
  <c r="AN10" i="2"/>
  <c r="AM11" i="2"/>
  <c r="AM29" i="2"/>
  <c r="AM8" i="2"/>
  <c r="AM31" i="2"/>
  <c r="AN9" i="2"/>
  <c r="AC26" i="2"/>
  <c r="AC38" i="2"/>
  <c r="AD37" i="2"/>
  <c r="AD24" i="2"/>
  <c r="AD63" i="2" s="1"/>
  <c r="AD76" i="2" s="1"/>
  <c r="AD78" i="2" s="1"/>
  <c r="AG35" i="2"/>
  <c r="AG30" i="2"/>
  <c r="R24" i="2"/>
  <c r="R37" i="2"/>
  <c r="AB26" i="2"/>
  <c r="AB38" i="2"/>
  <c r="AK16" i="2"/>
  <c r="AJ20" i="2"/>
  <c r="AH34" i="2"/>
  <c r="AI13" i="2"/>
  <c r="AM32" i="2" l="1"/>
  <c r="AN11" i="2"/>
  <c r="AN29" i="2"/>
  <c r="AN8" i="2"/>
  <c r="AN31" i="2"/>
  <c r="AD26" i="2"/>
  <c r="AD38" i="2"/>
  <c r="R26" i="2"/>
  <c r="R38" i="2"/>
  <c r="AH35" i="2"/>
  <c r="AH30" i="2"/>
  <c r="AL16" i="2"/>
  <c r="AK20" i="2"/>
  <c r="AJ13" i="2"/>
  <c r="AI34" i="2"/>
  <c r="AN32" i="2" l="1"/>
  <c r="AI35" i="2"/>
  <c r="AI30" i="2"/>
  <c r="AM16" i="2"/>
  <c r="AL20" i="2"/>
  <c r="AK13" i="2"/>
  <c r="AJ34" i="2"/>
  <c r="AN16" i="2" l="1"/>
  <c r="AN20" i="2" s="1"/>
  <c r="AM20" i="2"/>
  <c r="AJ35" i="2"/>
  <c r="AJ30" i="2"/>
  <c r="AL13" i="2"/>
  <c r="AK34" i="2"/>
  <c r="AK35" i="2" l="1"/>
  <c r="AK30" i="2"/>
  <c r="AM13" i="2"/>
  <c r="AL34" i="2"/>
  <c r="AL35" i="2" l="1"/>
  <c r="AL30" i="2"/>
  <c r="AN13" i="2"/>
  <c r="AN34" i="2" s="1"/>
  <c r="AM34" i="2"/>
  <c r="AM35" i="2" l="1"/>
  <c r="AM30" i="2"/>
  <c r="AN35" i="2" l="1"/>
  <c r="AN30" i="2"/>
  <c r="AN12" i="2" l="1"/>
  <c r="AN15" i="2" s="1"/>
  <c r="AM12" i="2"/>
  <c r="AM15" i="2" s="1"/>
  <c r="AL12" i="2"/>
  <c r="AL15" i="2" s="1"/>
  <c r="AK12" i="2"/>
  <c r="AK15" i="2" s="1"/>
  <c r="AJ12" i="2"/>
  <c r="AJ33" i="2" s="1"/>
  <c r="AI12" i="2"/>
  <c r="AI15" i="2" s="1"/>
  <c r="AH12" i="2"/>
  <c r="AH15" i="2" s="1"/>
  <c r="AG12" i="2"/>
  <c r="AG15" i="2" s="1"/>
  <c r="AF12" i="2"/>
  <c r="AF15" i="2" s="1"/>
  <c r="AE12" i="2"/>
  <c r="AE15" i="2" s="1"/>
  <c r="AL33" i="2" l="1"/>
  <c r="AK33" i="2"/>
  <c r="AH33" i="2"/>
  <c r="AM33" i="2"/>
  <c r="AE33" i="2"/>
  <c r="AG36" i="2"/>
  <c r="AG21" i="2"/>
  <c r="AG22" i="2" s="1"/>
  <c r="AE21" i="2"/>
  <c r="AE36" i="2"/>
  <c r="AF36" i="2"/>
  <c r="AF21" i="2"/>
  <c r="AF22" i="2" s="1"/>
  <c r="AM21" i="2"/>
  <c r="AM22" i="2" s="1"/>
  <c r="AM36" i="2"/>
  <c r="AK21" i="2"/>
  <c r="AK22" i="2" s="1"/>
  <c r="AK36" i="2"/>
  <c r="AL36" i="2"/>
  <c r="AL21" i="2"/>
  <c r="AL22" i="2" s="1"/>
  <c r="AH36" i="2"/>
  <c r="AH21" i="2"/>
  <c r="AH22" i="2" s="1"/>
  <c r="AI21" i="2"/>
  <c r="AI22" i="2" s="1"/>
  <c r="AI36" i="2"/>
  <c r="AN21" i="2"/>
  <c r="AN22" i="2" s="1"/>
  <c r="AN36" i="2"/>
  <c r="AJ15" i="2"/>
  <c r="AG33" i="2"/>
  <c r="AI33" i="2"/>
  <c r="AN33" i="2"/>
  <c r="AF33" i="2"/>
  <c r="AM37" i="2" l="1"/>
  <c r="AM24" i="2"/>
  <c r="AI24" i="2"/>
  <c r="AI37" i="2"/>
  <c r="AG37" i="2"/>
  <c r="AG24" i="2"/>
  <c r="AH24" i="2"/>
  <c r="AH37" i="2"/>
  <c r="AF24" i="2"/>
  <c r="AF37" i="2"/>
  <c r="AL24" i="2"/>
  <c r="AL37" i="2"/>
  <c r="AJ36" i="2"/>
  <c r="AJ21" i="2"/>
  <c r="AJ22" i="2" s="1"/>
  <c r="AE24" i="2"/>
  <c r="AE37" i="2"/>
  <c r="AN37" i="2"/>
  <c r="AN24" i="2"/>
  <c r="AK24" i="2"/>
  <c r="AK37" i="2"/>
  <c r="AE38" i="2" l="1"/>
  <c r="AE26" i="2"/>
  <c r="AE63" i="2"/>
  <c r="AE76" i="2" s="1"/>
  <c r="AE78" i="2" s="1"/>
  <c r="AH63" i="2"/>
  <c r="AH76" i="2" s="1"/>
  <c r="AH78" i="2" s="1"/>
  <c r="AH26" i="2"/>
  <c r="AH38" i="2"/>
  <c r="AJ24" i="2"/>
  <c r="AJ37" i="2"/>
  <c r="AG26" i="2"/>
  <c r="AG38" i="2"/>
  <c r="AG63" i="2"/>
  <c r="AG76" i="2" s="1"/>
  <c r="AG78" i="2" s="1"/>
  <c r="AK63" i="2"/>
  <c r="AK76" i="2" s="1"/>
  <c r="AK78" i="2" s="1"/>
  <c r="AK26" i="2"/>
  <c r="AK38" i="2"/>
  <c r="AI26" i="2"/>
  <c r="AI38" i="2"/>
  <c r="AI63" i="2"/>
  <c r="AI76" i="2" s="1"/>
  <c r="AI78" i="2" s="1"/>
  <c r="AM38" i="2"/>
  <c r="AM26" i="2"/>
  <c r="AM63" i="2"/>
  <c r="AM76" i="2" s="1"/>
  <c r="AM78" i="2" s="1"/>
  <c r="AL26" i="2"/>
  <c r="AL38" i="2"/>
  <c r="AL63" i="2"/>
  <c r="AL76" i="2" s="1"/>
  <c r="AL78" i="2" s="1"/>
  <c r="AN63" i="2"/>
  <c r="AN76" i="2" s="1"/>
  <c r="AN78" i="2" s="1"/>
  <c r="AO78" i="2" s="1"/>
  <c r="AP78" i="2" s="1"/>
  <c r="AQ78" i="2" s="1"/>
  <c r="AR78" i="2" s="1"/>
  <c r="AS78" i="2" s="1"/>
  <c r="AT78" i="2" s="1"/>
  <c r="AU78" i="2" s="1"/>
  <c r="AV78" i="2" s="1"/>
  <c r="AW78" i="2" s="1"/>
  <c r="AX78" i="2" s="1"/>
  <c r="AY78" i="2" s="1"/>
  <c r="AZ78" i="2" s="1"/>
  <c r="BA78" i="2" s="1"/>
  <c r="BB78" i="2" s="1"/>
  <c r="BC78" i="2" s="1"/>
  <c r="BD78" i="2" s="1"/>
  <c r="BE78" i="2" s="1"/>
  <c r="BF78" i="2" s="1"/>
  <c r="BG78" i="2" s="1"/>
  <c r="BH78" i="2" s="1"/>
  <c r="BI78" i="2" s="1"/>
  <c r="BJ78" i="2" s="1"/>
  <c r="BK78" i="2" s="1"/>
  <c r="BL78" i="2" s="1"/>
  <c r="BM78" i="2" s="1"/>
  <c r="BN78" i="2" s="1"/>
  <c r="BO78" i="2" s="1"/>
  <c r="BP78" i="2" s="1"/>
  <c r="BQ78" i="2" s="1"/>
  <c r="BR78" i="2" s="1"/>
  <c r="BS78" i="2" s="1"/>
  <c r="BT78" i="2" s="1"/>
  <c r="BU78" i="2" s="1"/>
  <c r="BV78" i="2" s="1"/>
  <c r="BW78" i="2" s="1"/>
  <c r="BX78" i="2" s="1"/>
  <c r="BY78" i="2" s="1"/>
  <c r="BZ78" i="2" s="1"/>
  <c r="CA78" i="2" s="1"/>
  <c r="CB78" i="2" s="1"/>
  <c r="CC78" i="2" s="1"/>
  <c r="CD78" i="2" s="1"/>
  <c r="CE78" i="2" s="1"/>
  <c r="CF78" i="2" s="1"/>
  <c r="CG78" i="2" s="1"/>
  <c r="CH78" i="2" s="1"/>
  <c r="CI78" i="2" s="1"/>
  <c r="CJ78" i="2" s="1"/>
  <c r="CK78" i="2" s="1"/>
  <c r="CL78" i="2" s="1"/>
  <c r="CM78" i="2" s="1"/>
  <c r="CN78" i="2" s="1"/>
  <c r="CO78" i="2" s="1"/>
  <c r="CP78" i="2" s="1"/>
  <c r="CQ78" i="2" s="1"/>
  <c r="CR78" i="2" s="1"/>
  <c r="CS78" i="2" s="1"/>
  <c r="CT78" i="2" s="1"/>
  <c r="CU78" i="2" s="1"/>
  <c r="CV78" i="2" s="1"/>
  <c r="CW78" i="2" s="1"/>
  <c r="CX78" i="2" s="1"/>
  <c r="CY78" i="2" s="1"/>
  <c r="CZ78" i="2" s="1"/>
  <c r="DA78" i="2" s="1"/>
  <c r="DB78" i="2" s="1"/>
  <c r="DC78" i="2" s="1"/>
  <c r="DD78" i="2" s="1"/>
  <c r="DE78" i="2" s="1"/>
  <c r="DF78" i="2" s="1"/>
  <c r="DG78" i="2" s="1"/>
  <c r="DH78" i="2" s="1"/>
  <c r="DI78" i="2" s="1"/>
  <c r="DJ78" i="2" s="1"/>
  <c r="DK78" i="2" s="1"/>
  <c r="DL78" i="2" s="1"/>
  <c r="DM78" i="2" s="1"/>
  <c r="DN78" i="2" s="1"/>
  <c r="DO78" i="2" s="1"/>
  <c r="DP78" i="2" s="1"/>
  <c r="DQ78" i="2" s="1"/>
  <c r="DR78" i="2" s="1"/>
  <c r="DS78" i="2" s="1"/>
  <c r="DT78" i="2" s="1"/>
  <c r="DU78" i="2" s="1"/>
  <c r="DV78" i="2" s="1"/>
  <c r="DW78" i="2" s="1"/>
  <c r="DX78" i="2" s="1"/>
  <c r="DY78" i="2" s="1"/>
  <c r="DZ78" i="2" s="1"/>
  <c r="EA78" i="2" s="1"/>
  <c r="EB78" i="2" s="1"/>
  <c r="EC78" i="2" s="1"/>
  <c r="ED78" i="2" s="1"/>
  <c r="EE78" i="2" s="1"/>
  <c r="EF78" i="2" s="1"/>
  <c r="EG78" i="2" s="1"/>
  <c r="EH78" i="2" s="1"/>
  <c r="EI78" i="2" s="1"/>
  <c r="EJ78" i="2" s="1"/>
  <c r="EK78" i="2" s="1"/>
  <c r="EL78" i="2" s="1"/>
  <c r="EM78" i="2" s="1"/>
  <c r="EN78" i="2" s="1"/>
  <c r="AO24" i="2"/>
  <c r="AP24" i="2" s="1"/>
  <c r="AQ24" i="2" s="1"/>
  <c r="AR24" i="2" s="1"/>
  <c r="AS24" i="2" s="1"/>
  <c r="AT24" i="2" s="1"/>
  <c r="AU24" i="2" s="1"/>
  <c r="AV24" i="2" s="1"/>
  <c r="AW24" i="2" s="1"/>
  <c r="AX24" i="2" s="1"/>
  <c r="AY24" i="2" s="1"/>
  <c r="AZ24" i="2" s="1"/>
  <c r="BA24" i="2" s="1"/>
  <c r="BB24" i="2" s="1"/>
  <c r="BC24" i="2" s="1"/>
  <c r="BD24" i="2" s="1"/>
  <c r="BE24" i="2" s="1"/>
  <c r="BF24" i="2" s="1"/>
  <c r="BG24" i="2" s="1"/>
  <c r="BH24" i="2" s="1"/>
  <c r="BI24" i="2" s="1"/>
  <c r="BJ24" i="2" s="1"/>
  <c r="BK24" i="2" s="1"/>
  <c r="BL24" i="2" s="1"/>
  <c r="BM24" i="2" s="1"/>
  <c r="BN24" i="2" s="1"/>
  <c r="BO24" i="2" s="1"/>
  <c r="BP24" i="2" s="1"/>
  <c r="BQ24" i="2" s="1"/>
  <c r="BR24" i="2" s="1"/>
  <c r="BS24" i="2" s="1"/>
  <c r="BT24" i="2" s="1"/>
  <c r="BU24" i="2" s="1"/>
  <c r="BV24" i="2" s="1"/>
  <c r="BW24" i="2" s="1"/>
  <c r="BX24" i="2" s="1"/>
  <c r="BY24" i="2" s="1"/>
  <c r="BZ24" i="2" s="1"/>
  <c r="CA24" i="2" s="1"/>
  <c r="CB24" i="2" s="1"/>
  <c r="CC24" i="2" s="1"/>
  <c r="CD24" i="2" s="1"/>
  <c r="CE24" i="2" s="1"/>
  <c r="CF24" i="2" s="1"/>
  <c r="CG24" i="2" s="1"/>
  <c r="CH24" i="2" s="1"/>
  <c r="CI24" i="2" s="1"/>
  <c r="CJ24" i="2" s="1"/>
  <c r="CK24" i="2" s="1"/>
  <c r="CL24" i="2" s="1"/>
  <c r="CM24" i="2" s="1"/>
  <c r="CN24" i="2" s="1"/>
  <c r="CO24" i="2" s="1"/>
  <c r="CP24" i="2" s="1"/>
  <c r="CQ24" i="2" s="1"/>
  <c r="CR24" i="2" s="1"/>
  <c r="CS24" i="2" s="1"/>
  <c r="CT24" i="2" s="1"/>
  <c r="CU24" i="2" s="1"/>
  <c r="CV24" i="2" s="1"/>
  <c r="CW24" i="2" s="1"/>
  <c r="CX24" i="2" s="1"/>
  <c r="CY24" i="2" s="1"/>
  <c r="CZ24" i="2" s="1"/>
  <c r="DA24" i="2" s="1"/>
  <c r="DB24" i="2" s="1"/>
  <c r="DC24" i="2" s="1"/>
  <c r="DD24" i="2" s="1"/>
  <c r="DE24" i="2" s="1"/>
  <c r="DF24" i="2" s="1"/>
  <c r="DG24" i="2" s="1"/>
  <c r="DH24" i="2" s="1"/>
  <c r="DI24" i="2" s="1"/>
  <c r="DJ24" i="2" s="1"/>
  <c r="DK24" i="2" s="1"/>
  <c r="DL24" i="2" s="1"/>
  <c r="DM24" i="2" s="1"/>
  <c r="DN24" i="2" s="1"/>
  <c r="DO24" i="2" s="1"/>
  <c r="DP24" i="2" s="1"/>
  <c r="DQ24" i="2" s="1"/>
  <c r="DR24" i="2" s="1"/>
  <c r="DS24" i="2" s="1"/>
  <c r="DT24" i="2" s="1"/>
  <c r="DU24" i="2" s="1"/>
  <c r="DV24" i="2" s="1"/>
  <c r="DW24" i="2" s="1"/>
  <c r="DX24" i="2" s="1"/>
  <c r="DY24" i="2" s="1"/>
  <c r="DZ24" i="2" s="1"/>
  <c r="EA24" i="2" s="1"/>
  <c r="EB24" i="2" s="1"/>
  <c r="EC24" i="2" s="1"/>
  <c r="ED24" i="2" s="1"/>
  <c r="EE24" i="2" s="1"/>
  <c r="EF24" i="2" s="1"/>
  <c r="EG24" i="2" s="1"/>
  <c r="EH24" i="2" s="1"/>
  <c r="EI24" i="2" s="1"/>
  <c r="EJ24" i="2" s="1"/>
  <c r="AN38" i="2"/>
  <c r="AN26" i="2"/>
  <c r="AF26" i="2"/>
  <c r="AF38" i="2"/>
  <c r="AF63" i="2"/>
  <c r="AF76" i="2" s="1"/>
  <c r="AF78" i="2" s="1"/>
  <c r="AJ63" i="2" l="1"/>
  <c r="AJ76" i="2" s="1"/>
  <c r="AJ78" i="2" s="1"/>
  <c r="AR81" i="2" s="1"/>
  <c r="AR83" i="2" s="1"/>
  <c r="AR84" i="2" s="1"/>
  <c r="AR86" i="2" s="1"/>
  <c r="AJ26" i="2"/>
  <c r="AJ38" i="2"/>
  <c r="AR35" i="2"/>
  <c r="AR37" i="2" s="1"/>
  <c r="AR38" i="2" s="1"/>
  <c r="AR40" i="2" s="1"/>
</calcChain>
</file>

<file path=xl/sharedStrings.xml><?xml version="1.0" encoding="utf-8"?>
<sst xmlns="http://schemas.openxmlformats.org/spreadsheetml/2006/main" count="117" uniqueCount="101">
  <si>
    <t>RIVN</t>
  </si>
  <si>
    <t>Price</t>
  </si>
  <si>
    <t>Shares</t>
  </si>
  <si>
    <t>MC</t>
  </si>
  <si>
    <t>Cash</t>
  </si>
  <si>
    <t>Debt</t>
  </si>
  <si>
    <t>Net Cash</t>
  </si>
  <si>
    <t>EV</t>
  </si>
  <si>
    <t>Last checked</t>
  </si>
  <si>
    <t>Today</t>
  </si>
  <si>
    <t>Earnings</t>
  </si>
  <si>
    <t>Q424</t>
  </si>
  <si>
    <t>Q122</t>
  </si>
  <si>
    <t>Q222</t>
  </si>
  <si>
    <t>Q322</t>
  </si>
  <si>
    <t>Q422</t>
  </si>
  <si>
    <t>Q123</t>
  </si>
  <si>
    <t>Q223</t>
  </si>
  <si>
    <t>Q323</t>
  </si>
  <si>
    <t>Q423</t>
  </si>
  <si>
    <t>Q124</t>
  </si>
  <si>
    <t>Q224</t>
  </si>
  <si>
    <t>Q324</t>
  </si>
  <si>
    <t>Q125</t>
  </si>
  <si>
    <t>Q225</t>
  </si>
  <si>
    <t>Q325</t>
  </si>
  <si>
    <t>Q425</t>
  </si>
  <si>
    <t>Gross profit</t>
  </si>
  <si>
    <t>Automotive</t>
  </si>
  <si>
    <t>Software &amp; services</t>
  </si>
  <si>
    <t>Total revenue</t>
  </si>
  <si>
    <t>R&amp;D</t>
  </si>
  <si>
    <t>SG&amp;A</t>
  </si>
  <si>
    <t>Operating profit</t>
  </si>
  <si>
    <t>Interest income</t>
  </si>
  <si>
    <t>Interest expense</t>
  </si>
  <si>
    <t>Finance income</t>
  </si>
  <si>
    <t>Other income</t>
  </si>
  <si>
    <t>Total other income</t>
  </si>
  <si>
    <t>Pretax profit</t>
  </si>
  <si>
    <t>Taxes</t>
  </si>
  <si>
    <t>Net profit</t>
  </si>
  <si>
    <t>EPS</t>
  </si>
  <si>
    <t>Automotive cost</t>
  </si>
  <si>
    <t>Software cost</t>
  </si>
  <si>
    <t>Total cost of sales</t>
  </si>
  <si>
    <t>MI</t>
  </si>
  <si>
    <t>Revenue y/y</t>
  </si>
  <si>
    <t>Gross Margin</t>
  </si>
  <si>
    <t>R&amp;D y/y</t>
  </si>
  <si>
    <t>SG&amp;A Margin</t>
  </si>
  <si>
    <t>Net Margin</t>
  </si>
  <si>
    <t>Operating Margin</t>
  </si>
  <si>
    <t>Maturity</t>
  </si>
  <si>
    <t>Discount rate</t>
  </si>
  <si>
    <t>NPV</t>
  </si>
  <si>
    <t>Net cash</t>
  </si>
  <si>
    <t>Value</t>
  </si>
  <si>
    <t>Per share</t>
  </si>
  <si>
    <t>Current price</t>
  </si>
  <si>
    <t>Variance</t>
  </si>
  <si>
    <t>Consensus</t>
  </si>
  <si>
    <t>Investments</t>
  </si>
  <si>
    <t>A/R</t>
  </si>
  <si>
    <t>Inventories</t>
  </si>
  <si>
    <t>OCA</t>
  </si>
  <si>
    <t>Current assets</t>
  </si>
  <si>
    <t>PP&amp;E</t>
  </si>
  <si>
    <t>Leases</t>
  </si>
  <si>
    <t>ONCA</t>
  </si>
  <si>
    <t>Non-current assets</t>
  </si>
  <si>
    <t>A/P</t>
  </si>
  <si>
    <t>A/L</t>
  </si>
  <si>
    <t>D/R</t>
  </si>
  <si>
    <t>Current liabilities</t>
  </si>
  <si>
    <t>ONCL</t>
  </si>
  <si>
    <t>Non-current liabilities</t>
  </si>
  <si>
    <t>S/E</t>
  </si>
  <si>
    <t>L+S/E</t>
  </si>
  <si>
    <t>Total assets</t>
  </si>
  <si>
    <t>Net income</t>
  </si>
  <si>
    <t>D&amp;A</t>
  </si>
  <si>
    <t>SBC</t>
  </si>
  <si>
    <t>Loss on notes</t>
  </si>
  <si>
    <t>Other non-cash</t>
  </si>
  <si>
    <t>Other assets</t>
  </si>
  <si>
    <t>Other liabilities</t>
  </si>
  <si>
    <t>CFFO</t>
  </si>
  <si>
    <t>FCF</t>
  </si>
  <si>
    <t>Heavily overvalued</t>
  </si>
  <si>
    <t>Automotive y/y</t>
  </si>
  <si>
    <t>Software &amp; services y/y</t>
  </si>
  <si>
    <t>Automotive Margin</t>
  </si>
  <si>
    <t>Software Margin</t>
  </si>
  <si>
    <t>Q126</t>
  </si>
  <si>
    <t>Q226</t>
  </si>
  <si>
    <t>Q326</t>
  </si>
  <si>
    <t>Q426</t>
  </si>
  <si>
    <t>Production</t>
  </si>
  <si>
    <t>Delivery</t>
  </si>
  <si>
    <t>Gain on investment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</si>
</sst>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$-409]#,##0.00"/>
  </numFmts>
  <fonts count="5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0"/>
      <name val="Calibri"/>
      <family val="2"/>
      <scheme val="minor"/>
    </font>
    <font>
      <i/>
      <sz val="11"/>
      <color theme="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1"/>
        <bgColor indexed="64"/>
      </patternFill>
    </fill>
  </fills>
  <borders count="2">
    <border>
      <left/>
      <right/>
      <top/>
      <bottom/>
      <diagonal/>
    </border>
    <border>
      <left style="thin">
        <color theme="2" tint="-0.749992370372631"/>
      </left>
      <right style="thin">
        <color theme="2" tint="-0.749992370372631"/>
      </right>
      <top style="thin">
        <color theme="2" tint="-0.749992370372631"/>
      </top>
      <bottom style="thin">
        <color theme="2" tint="-0.749992370372631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3" fillId="2" borderId="1" xfId="0" applyFont="1" applyFill="1" applyBorder="1"/>
    <xf numFmtId="0" fontId="4" fillId="2" borderId="1" xfId="0" applyFont="1" applyFill="1" applyBorder="1" applyAlignment="1">
      <alignment horizontal="right"/>
    </xf>
    <xf numFmtId="0" fontId="2" fillId="2" borderId="1" xfId="0" applyFont="1" applyFill="1" applyBorder="1"/>
    <xf numFmtId="164" fontId="3" fillId="2" borderId="1" xfId="0" applyNumberFormat="1" applyFont="1" applyFill="1" applyBorder="1"/>
    <xf numFmtId="14" fontId="4" fillId="2" borderId="1" xfId="0" applyNumberFormat="1" applyFont="1" applyFill="1" applyBorder="1" applyAlignment="1">
      <alignment horizontal="right"/>
    </xf>
    <xf numFmtId="3" fontId="3" fillId="2" borderId="1" xfId="0" applyNumberFormat="1" applyFont="1" applyFill="1" applyBorder="1"/>
    <xf numFmtId="0" fontId="3" fillId="2" borderId="1" xfId="0" applyFont="1" applyFill="1" applyBorder="1" applyAlignment="1">
      <alignment horizontal="right"/>
    </xf>
    <xf numFmtId="3" fontId="3" fillId="2" borderId="1" xfId="0" applyNumberFormat="1" applyFont="1" applyFill="1" applyBorder="1" applyAlignment="1">
      <alignment horizontal="right"/>
    </xf>
    <xf numFmtId="3" fontId="2" fillId="2" borderId="1" xfId="0" applyNumberFormat="1" applyFont="1" applyFill="1" applyBorder="1"/>
    <xf numFmtId="2" fontId="3" fillId="2" borderId="1" xfId="0" applyNumberFormat="1" applyFont="1" applyFill="1" applyBorder="1"/>
    <xf numFmtId="9" fontId="2" fillId="2" borderId="1" xfId="0" applyNumberFormat="1" applyFont="1" applyFill="1" applyBorder="1"/>
    <xf numFmtId="9" fontId="3" fillId="2" borderId="1" xfId="0" applyNumberFormat="1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22860</xdr:colOff>
      <xdr:row>0</xdr:row>
      <xdr:rowOff>7620</xdr:rowOff>
    </xdr:from>
    <xdr:to>
      <xdr:col>18</xdr:col>
      <xdr:colOff>22860</xdr:colOff>
      <xdr:row>91</xdr:row>
      <xdr:rowOff>106680</xdr:rowOff>
    </xdr:to>
    <xdr:cxnSp macro="">
      <xdr:nvCxnSpPr>
        <xdr:cNvPr id="3" name="Straight Connector 2">
          <a:extLst>
            <a:ext uri="{FF2B5EF4-FFF2-40B4-BE49-F238E27FC236}">
              <a16:creationId xmlns:a16="http://schemas.microsoft.com/office/drawing/2014/main" id="{92D29758-5FD5-FE8F-2A98-4E4A622E2188}"/>
            </a:ext>
          </a:extLst>
        </xdr:cNvPr>
        <xdr:cNvCxnSpPr/>
      </xdr:nvCxnSpPr>
      <xdr:spPr>
        <a:xfrm>
          <a:off x="11780520" y="7620"/>
          <a:ext cx="0" cy="16558260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29</xdr:col>
      <xdr:colOff>30480</xdr:colOff>
      <xdr:row>0</xdr:row>
      <xdr:rowOff>15240</xdr:rowOff>
    </xdr:from>
    <xdr:to>
      <xdr:col>29</xdr:col>
      <xdr:colOff>30480</xdr:colOff>
      <xdr:row>91</xdr:row>
      <xdr:rowOff>106680</xdr:rowOff>
    </xdr:to>
    <xdr:cxnSp macro="">
      <xdr:nvCxnSpPr>
        <xdr:cNvPr id="5" name="Straight Connector 4">
          <a:extLst>
            <a:ext uri="{FF2B5EF4-FFF2-40B4-BE49-F238E27FC236}">
              <a16:creationId xmlns:a16="http://schemas.microsoft.com/office/drawing/2014/main" id="{6C103F26-F132-AD84-7943-B5FCC5CDC2F3}"/>
            </a:ext>
          </a:extLst>
        </xdr:cNvPr>
        <xdr:cNvCxnSpPr/>
      </xdr:nvCxnSpPr>
      <xdr:spPr>
        <a:xfrm>
          <a:off x="15979140" y="15240"/>
          <a:ext cx="0" cy="15270480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3E8E1A-575F-445D-90C2-CF9A145194D3}">
  <dimension ref="B2:G9"/>
  <sheetViews>
    <sheetView workbookViewId="0">
      <selection activeCell="E7" sqref="E7"/>
    </sheetView>
  </sheetViews>
  <sheetFormatPr defaultRowHeight="14.4" x14ac:dyDescent="0.3"/>
  <cols>
    <col min="1" max="4" width="8.88671875" style="1"/>
    <col min="5" max="7" width="14.6640625" style="2" customWidth="1"/>
    <col min="8" max="16384" width="8.88671875" style="1"/>
  </cols>
  <sheetData>
    <row r="2" spans="2:7" x14ac:dyDescent="0.3">
      <c r="E2" s="2" t="s">
        <v>8</v>
      </c>
      <c r="F2" s="2" t="s">
        <v>9</v>
      </c>
      <c r="G2" s="2" t="s">
        <v>10</v>
      </c>
    </row>
    <row r="3" spans="2:7" x14ac:dyDescent="0.3">
      <c r="B3" s="3" t="s">
        <v>0</v>
      </c>
      <c r="C3" s="1" t="s">
        <v>1</v>
      </c>
      <c r="D3" s="4">
        <v>15.22</v>
      </c>
      <c r="E3" s="5">
        <v>46076</v>
      </c>
      <c r="F3" s="5">
        <f ca="1">TODAY()</f>
        <v>46076</v>
      </c>
      <c r="G3" s="5">
        <v>46154</v>
      </c>
    </row>
    <row r="4" spans="2:7" x14ac:dyDescent="0.3">
      <c r="C4" s="1" t="s">
        <v>2</v>
      </c>
      <c r="D4" s="6">
        <f>1237.1+3.9</f>
        <v>1241</v>
      </c>
      <c r="E4" s="2" t="s">
        <v>26</v>
      </c>
    </row>
    <row r="5" spans="2:7" x14ac:dyDescent="0.3">
      <c r="C5" s="1" t="s">
        <v>3</v>
      </c>
      <c r="D5" s="6">
        <f>D3*D4</f>
        <v>18888.02</v>
      </c>
    </row>
    <row r="6" spans="2:7" x14ac:dyDescent="0.3">
      <c r="C6" s="1" t="s">
        <v>4</v>
      </c>
      <c r="D6" s="6">
        <f>5294+2406</f>
        <v>7700</v>
      </c>
      <c r="E6" s="2" t="s">
        <v>26</v>
      </c>
    </row>
    <row r="7" spans="2:7" x14ac:dyDescent="0.3">
      <c r="C7" s="1" t="s">
        <v>5</v>
      </c>
      <c r="D7" s="6">
        <f>4441</f>
        <v>4441</v>
      </c>
      <c r="E7" s="2" t="s">
        <v>26</v>
      </c>
    </row>
    <row r="8" spans="2:7" x14ac:dyDescent="0.3">
      <c r="C8" s="1" t="s">
        <v>6</v>
      </c>
      <c r="D8" s="6">
        <f>D6-D7</f>
        <v>3259</v>
      </c>
    </row>
    <row r="9" spans="2:7" x14ac:dyDescent="0.3">
      <c r="C9" s="1" t="s">
        <v>7</v>
      </c>
      <c r="D9" s="6">
        <f>D5-D8</f>
        <v>15629.02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E2D89C-980A-401A-89E6-595EDF92B56B}">
  <dimension ref="B2:EN87"/>
  <sheetViews>
    <sheetView tabSelected="1" workbookViewId="0">
      <pane xSplit="2" ySplit="2" topLeftCell="I17" activePane="bottomRight" state="frozen"/>
      <selection pane="topRight" activeCell="C1" sqref="C1"/>
      <selection pane="bottomLeft" activeCell="A3" sqref="A3"/>
      <selection pane="bottomRight" activeCell="AC76" sqref="AC76"/>
    </sheetView>
  </sheetViews>
  <sheetFormatPr defaultRowHeight="14.4" x14ac:dyDescent="0.3"/>
  <cols>
    <col min="1" max="1" width="8.88671875" style="1"/>
    <col min="2" max="2" width="20.33203125" style="1" bestFit="1" customWidth="1"/>
    <col min="3" max="42" width="8.88671875" style="1"/>
    <col min="43" max="43" width="11.88671875" style="1" bestFit="1" customWidth="1"/>
    <col min="44" max="44" width="16.44140625" style="1" bestFit="1" customWidth="1"/>
    <col min="45" max="16384" width="8.88671875" style="1"/>
  </cols>
  <sheetData>
    <row r="2" spans="2:40" x14ac:dyDescent="0.3">
      <c r="C2" s="7" t="s">
        <v>12</v>
      </c>
      <c r="D2" s="7" t="s">
        <v>13</v>
      </c>
      <c r="E2" s="7" t="s">
        <v>14</v>
      </c>
      <c r="F2" s="7" t="s">
        <v>15</v>
      </c>
      <c r="G2" s="7" t="s">
        <v>16</v>
      </c>
      <c r="H2" s="7" t="s">
        <v>17</v>
      </c>
      <c r="I2" s="7" t="s">
        <v>18</v>
      </c>
      <c r="J2" s="7" t="s">
        <v>19</v>
      </c>
      <c r="K2" s="7" t="s">
        <v>20</v>
      </c>
      <c r="L2" s="7" t="s">
        <v>21</v>
      </c>
      <c r="M2" s="7" t="s">
        <v>22</v>
      </c>
      <c r="N2" s="7" t="s">
        <v>11</v>
      </c>
      <c r="O2" s="7" t="s">
        <v>23</v>
      </c>
      <c r="P2" s="7" t="s">
        <v>24</v>
      </c>
      <c r="Q2" s="7" t="s">
        <v>25</v>
      </c>
      <c r="R2" s="7" t="s">
        <v>26</v>
      </c>
      <c r="S2" s="7" t="s">
        <v>94</v>
      </c>
      <c r="T2" s="7" t="s">
        <v>95</v>
      </c>
      <c r="U2" s="7" t="s">
        <v>96</v>
      </c>
      <c r="V2" s="7" t="s">
        <v>97</v>
      </c>
      <c r="Y2" s="1">
        <v>2020</v>
      </c>
      <c r="Z2" s="1">
        <v>2021</v>
      </c>
      <c r="AA2" s="1">
        <v>2022</v>
      </c>
      <c r="AB2" s="1">
        <v>2023</v>
      </c>
      <c r="AC2" s="1">
        <v>2024</v>
      </c>
      <c r="AD2" s="1">
        <v>2025</v>
      </c>
      <c r="AE2" s="1">
        <v>2026</v>
      </c>
      <c r="AF2" s="1">
        <v>2027</v>
      </c>
      <c r="AG2" s="1">
        <v>2028</v>
      </c>
      <c r="AH2" s="1">
        <v>2029</v>
      </c>
      <c r="AI2" s="1">
        <v>2030</v>
      </c>
      <c r="AJ2" s="1">
        <v>2031</v>
      </c>
      <c r="AK2" s="1">
        <v>2032</v>
      </c>
      <c r="AL2" s="1">
        <v>2033</v>
      </c>
      <c r="AM2" s="1">
        <v>2034</v>
      </c>
      <c r="AN2" s="1">
        <v>2035</v>
      </c>
    </row>
    <row r="3" spans="2:40" x14ac:dyDescent="0.3">
      <c r="B3" s="1" t="s">
        <v>98</v>
      </c>
      <c r="C3" s="7"/>
      <c r="D3" s="7"/>
      <c r="E3" s="7"/>
      <c r="F3" s="7"/>
      <c r="G3" s="7"/>
      <c r="H3" s="7"/>
      <c r="I3" s="7"/>
      <c r="J3" s="7"/>
      <c r="K3" s="7"/>
      <c r="L3" s="7"/>
      <c r="M3" s="7"/>
      <c r="N3" s="8">
        <v>12727</v>
      </c>
      <c r="O3" s="8">
        <v>14611</v>
      </c>
      <c r="P3" s="8">
        <v>5979</v>
      </c>
      <c r="Q3" s="8">
        <v>10720</v>
      </c>
      <c r="R3" s="8">
        <v>10974</v>
      </c>
      <c r="S3" s="7"/>
      <c r="T3" s="7"/>
      <c r="U3" s="7"/>
      <c r="V3" s="7"/>
    </row>
    <row r="4" spans="2:40" x14ac:dyDescent="0.3">
      <c r="B4" s="1" t="s">
        <v>99</v>
      </c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8">
        <v>14183</v>
      </c>
      <c r="O4" s="8">
        <v>8640</v>
      </c>
      <c r="P4" s="8">
        <v>10661</v>
      </c>
      <c r="Q4" s="8">
        <v>13201</v>
      </c>
      <c r="R4" s="8">
        <v>9745</v>
      </c>
      <c r="S4" s="7"/>
      <c r="T4" s="7"/>
      <c r="U4" s="7"/>
      <c r="V4" s="7"/>
    </row>
    <row r="5" spans="2:40" x14ac:dyDescent="0.3">
      <c r="C5" s="7"/>
      <c r="D5" s="7"/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</row>
    <row r="6" spans="2:40" x14ac:dyDescent="0.3">
      <c r="B6" s="1" t="s">
        <v>28</v>
      </c>
      <c r="C6" s="7"/>
      <c r="D6" s="7"/>
      <c r="E6" s="7"/>
      <c r="F6" s="7"/>
      <c r="G6" s="7"/>
      <c r="H6" s="7"/>
      <c r="I6" s="7"/>
      <c r="J6" s="8">
        <v>1208</v>
      </c>
      <c r="K6" s="8">
        <v>1116</v>
      </c>
      <c r="L6" s="7">
        <v>1074</v>
      </c>
      <c r="M6" s="8">
        <v>776</v>
      </c>
      <c r="N6" s="8">
        <v>1520</v>
      </c>
      <c r="O6" s="8">
        <v>922</v>
      </c>
      <c r="P6" s="7">
        <v>927</v>
      </c>
      <c r="Q6" s="8">
        <v>1142</v>
      </c>
      <c r="R6" s="8">
        <v>839</v>
      </c>
      <c r="S6" s="8"/>
      <c r="T6" s="8"/>
      <c r="U6" s="8"/>
      <c r="V6" s="8"/>
      <c r="AC6" s="6">
        <f>SUM(K6:N6)</f>
        <v>4486</v>
      </c>
      <c r="AD6" s="6">
        <f>SUM(O6:R6)</f>
        <v>3830</v>
      </c>
      <c r="AE6" s="6">
        <f>AD6*1.3</f>
        <v>4979</v>
      </c>
      <c r="AF6" s="6">
        <f>AE6*1.2</f>
        <v>5974.8</v>
      </c>
      <c r="AG6" s="6">
        <f t="shared" ref="AG6:AM7" si="0">AF6*1.15</f>
        <v>6871.0199999999995</v>
      </c>
      <c r="AH6" s="6">
        <f t="shared" si="0"/>
        <v>7901.6729999999989</v>
      </c>
      <c r="AI6" s="6">
        <f t="shared" si="0"/>
        <v>9086.9239499999985</v>
      </c>
      <c r="AJ6" s="6">
        <f t="shared" si="0"/>
        <v>10449.962542499998</v>
      </c>
      <c r="AK6" s="6">
        <f t="shared" si="0"/>
        <v>12017.456923874995</v>
      </c>
      <c r="AL6" s="6">
        <f t="shared" si="0"/>
        <v>13820.075462456243</v>
      </c>
      <c r="AM6" s="6">
        <f t="shared" si="0"/>
        <v>15893.086781824679</v>
      </c>
      <c r="AN6" s="6">
        <f>AM6*1.1</f>
        <v>17482.395460007148</v>
      </c>
    </row>
    <row r="7" spans="2:40" x14ac:dyDescent="0.3">
      <c r="B7" s="1" t="s">
        <v>29</v>
      </c>
      <c r="C7" s="7"/>
      <c r="D7" s="7"/>
      <c r="E7" s="7"/>
      <c r="F7" s="7"/>
      <c r="G7" s="7"/>
      <c r="H7" s="7"/>
      <c r="I7" s="7"/>
      <c r="J7" s="8">
        <v>107</v>
      </c>
      <c r="K7" s="8">
        <v>88</v>
      </c>
      <c r="L7" s="7">
        <v>84</v>
      </c>
      <c r="M7" s="8">
        <v>98</v>
      </c>
      <c r="N7" s="8">
        <v>214</v>
      </c>
      <c r="O7" s="8">
        <v>318</v>
      </c>
      <c r="P7" s="7">
        <v>376</v>
      </c>
      <c r="Q7" s="8">
        <v>416</v>
      </c>
      <c r="R7" s="8">
        <v>447</v>
      </c>
      <c r="S7" s="8"/>
      <c r="T7" s="8"/>
      <c r="U7" s="8"/>
      <c r="V7" s="8"/>
      <c r="AC7" s="6">
        <f>SUM(K7:N7)</f>
        <v>484</v>
      </c>
      <c r="AD7" s="6">
        <f>SUM(O7:R7)</f>
        <v>1557</v>
      </c>
      <c r="AE7" s="6">
        <f>AD7*1.3</f>
        <v>2024.1000000000001</v>
      </c>
      <c r="AF7" s="6">
        <f>AE7*1.2</f>
        <v>2428.92</v>
      </c>
      <c r="AG7" s="6">
        <f>AF7*1.15</f>
        <v>2793.2579999999998</v>
      </c>
      <c r="AH7" s="6">
        <f>AG7*1.15</f>
        <v>3212.2466999999997</v>
      </c>
      <c r="AI7" s="6">
        <f t="shared" si="0"/>
        <v>3694.0837049999996</v>
      </c>
      <c r="AJ7" s="6">
        <f t="shared" si="0"/>
        <v>4248.1962607499991</v>
      </c>
      <c r="AK7" s="6">
        <f t="shared" si="0"/>
        <v>4885.4256998624987</v>
      </c>
      <c r="AL7" s="6">
        <f t="shared" si="0"/>
        <v>5618.2395548418735</v>
      </c>
      <c r="AM7" s="6">
        <f t="shared" si="0"/>
        <v>6460.9754880681539</v>
      </c>
      <c r="AN7" s="6">
        <f t="shared" ref="AN7" si="1">AM7*1.15</f>
        <v>7430.1218112783763</v>
      </c>
    </row>
    <row r="8" spans="2:40" s="3" customFormat="1" x14ac:dyDescent="0.3">
      <c r="B8" s="3" t="s">
        <v>30</v>
      </c>
      <c r="G8" s="9">
        <v>661</v>
      </c>
      <c r="H8" s="9">
        <v>1121</v>
      </c>
      <c r="I8" s="9">
        <v>1337</v>
      </c>
      <c r="J8" s="9">
        <f>J6+J7</f>
        <v>1315</v>
      </c>
      <c r="K8" s="9">
        <v>1204</v>
      </c>
      <c r="L8" s="9">
        <f t="shared" ref="L8" si="2">L6+L7</f>
        <v>1158</v>
      </c>
      <c r="M8" s="9">
        <v>874</v>
      </c>
      <c r="N8" s="9">
        <f>N6+N7</f>
        <v>1734</v>
      </c>
      <c r="O8" s="9">
        <f t="shared" ref="O8:R8" si="3">O6+O7</f>
        <v>1240</v>
      </c>
      <c r="P8" s="9">
        <f t="shared" si="3"/>
        <v>1303</v>
      </c>
      <c r="Q8" s="9">
        <f t="shared" si="3"/>
        <v>1558</v>
      </c>
      <c r="R8" s="9">
        <f t="shared" si="3"/>
        <v>1286</v>
      </c>
      <c r="S8" s="9"/>
      <c r="T8" s="9"/>
      <c r="U8" s="9"/>
      <c r="V8" s="9"/>
      <c r="Y8" s="9">
        <v>0</v>
      </c>
      <c r="Z8" s="9">
        <v>55</v>
      </c>
      <c r="AA8" s="9">
        <v>1658</v>
      </c>
      <c r="AB8" s="9">
        <f>SUM(G8:J8)</f>
        <v>4434</v>
      </c>
      <c r="AC8" s="9">
        <f>SUM(K8:N8)</f>
        <v>4970</v>
      </c>
      <c r="AD8" s="9">
        <f>AD6+AD7</f>
        <v>5387</v>
      </c>
      <c r="AE8" s="9">
        <f t="shared" ref="AE8:AN8" si="4">AE6+AE7</f>
        <v>7003.1</v>
      </c>
      <c r="AF8" s="9">
        <f t="shared" si="4"/>
        <v>8403.7200000000012</v>
      </c>
      <c r="AG8" s="9">
        <f t="shared" si="4"/>
        <v>9664.2779999999984</v>
      </c>
      <c r="AH8" s="9">
        <f t="shared" si="4"/>
        <v>11113.919699999999</v>
      </c>
      <c r="AI8" s="9">
        <f t="shared" si="4"/>
        <v>12781.007654999998</v>
      </c>
      <c r="AJ8" s="9">
        <f t="shared" si="4"/>
        <v>14698.158803249997</v>
      </c>
      <c r="AK8" s="9">
        <f t="shared" si="4"/>
        <v>16902.882623737496</v>
      </c>
      <c r="AL8" s="9">
        <f t="shared" si="4"/>
        <v>19438.315017298119</v>
      </c>
      <c r="AM8" s="9">
        <f t="shared" si="4"/>
        <v>22354.062269892835</v>
      </c>
      <c r="AN8" s="9">
        <f t="shared" si="4"/>
        <v>24912.517271285524</v>
      </c>
    </row>
    <row r="9" spans="2:40" x14ac:dyDescent="0.3">
      <c r="B9" s="1" t="s">
        <v>43</v>
      </c>
      <c r="G9" s="6"/>
      <c r="H9" s="6"/>
      <c r="I9" s="6"/>
      <c r="J9" s="6">
        <v>1819</v>
      </c>
      <c r="K9" s="6">
        <v>1613</v>
      </c>
      <c r="L9" s="6">
        <v>1515</v>
      </c>
      <c r="M9" s="6"/>
      <c r="N9" s="6">
        <v>1410</v>
      </c>
      <c r="O9" s="6">
        <v>830</v>
      </c>
      <c r="P9" s="6">
        <v>1262</v>
      </c>
      <c r="Q9" s="6">
        <v>1272</v>
      </c>
      <c r="R9" s="6">
        <v>898</v>
      </c>
      <c r="S9" s="6"/>
      <c r="T9" s="6"/>
      <c r="U9" s="6"/>
      <c r="V9" s="6"/>
      <c r="Y9" s="6"/>
      <c r="Z9" s="6"/>
      <c r="AA9" s="6"/>
      <c r="AB9" s="6"/>
      <c r="AC9" s="6"/>
      <c r="AD9" s="6">
        <f t="shared" ref="AD9:AD10" si="5">SUM(O9:R9)</f>
        <v>4262</v>
      </c>
      <c r="AE9" s="6">
        <f>AE6*0.92</f>
        <v>4580.68</v>
      </c>
      <c r="AF9" s="6">
        <f>AF6*0.88</f>
        <v>5257.8240000000005</v>
      </c>
      <c r="AG9" s="6">
        <f>AG6*0.85</f>
        <v>5840.3669999999993</v>
      </c>
      <c r="AH9" s="6">
        <f>AH6*0.83</f>
        <v>6558.3885899999987</v>
      </c>
      <c r="AI9" s="6">
        <f>AI6*0.82</f>
        <v>7451.2776389999981</v>
      </c>
      <c r="AJ9" s="6">
        <f>AJ6*0.81</f>
        <v>8464.4696594249981</v>
      </c>
      <c r="AK9" s="6">
        <f t="shared" ref="AK9:AN9" si="6">AK6*0.81</f>
        <v>9734.1401083387464</v>
      </c>
      <c r="AL9" s="6">
        <f t="shared" si="6"/>
        <v>11194.261124589559</v>
      </c>
      <c r="AM9" s="6">
        <f t="shared" si="6"/>
        <v>12873.400293277991</v>
      </c>
      <c r="AN9" s="6">
        <f t="shared" si="6"/>
        <v>14160.74032260579</v>
      </c>
    </row>
    <row r="10" spans="2:40" x14ac:dyDescent="0.3">
      <c r="B10" s="1" t="s">
        <v>44</v>
      </c>
      <c r="G10" s="8"/>
      <c r="H10" s="8"/>
      <c r="I10" s="8"/>
      <c r="J10" s="8">
        <v>102</v>
      </c>
      <c r="K10" s="8">
        <v>118</v>
      </c>
      <c r="L10" s="8">
        <v>94</v>
      </c>
      <c r="M10" s="8"/>
      <c r="N10" s="8">
        <v>154</v>
      </c>
      <c r="O10" s="6">
        <v>204</v>
      </c>
      <c r="P10" s="6">
        <v>247</v>
      </c>
      <c r="Q10" s="6">
        <v>262</v>
      </c>
      <c r="R10" s="6">
        <v>268</v>
      </c>
      <c r="S10" s="6"/>
      <c r="T10" s="6"/>
      <c r="U10" s="6"/>
      <c r="V10" s="6"/>
      <c r="Y10" s="8"/>
      <c r="Z10" s="8"/>
      <c r="AA10" s="8"/>
      <c r="AB10" s="8"/>
      <c r="AC10" s="8"/>
      <c r="AD10" s="6">
        <f t="shared" si="5"/>
        <v>981</v>
      </c>
      <c r="AE10" s="6">
        <f>AE7*0.6</f>
        <v>1214.46</v>
      </c>
      <c r="AF10" s="6">
        <f>AF7*0.57</f>
        <v>1384.4843999999998</v>
      </c>
      <c r="AG10" s="6">
        <f>AG7*0.55</f>
        <v>1536.2918999999999</v>
      </c>
      <c r="AH10" s="6">
        <f>AH7*0.54</f>
        <v>1734.613218</v>
      </c>
      <c r="AI10" s="6">
        <f>AI7*0.53</f>
        <v>1957.8643636499999</v>
      </c>
      <c r="AJ10" s="6">
        <f t="shared" ref="AJ10:AN10" si="7">AJ7*0.53</f>
        <v>2251.5440181974996</v>
      </c>
      <c r="AK10" s="6">
        <f t="shared" si="7"/>
        <v>2589.2756209271242</v>
      </c>
      <c r="AL10" s="6">
        <f t="shared" si="7"/>
        <v>2977.666964066193</v>
      </c>
      <c r="AM10" s="6">
        <f t="shared" si="7"/>
        <v>3424.3170086761215</v>
      </c>
      <c r="AN10" s="6">
        <f t="shared" si="7"/>
        <v>3937.9645599775395</v>
      </c>
    </row>
    <row r="11" spans="2:40" x14ac:dyDescent="0.3">
      <c r="B11" s="1" t="s">
        <v>45</v>
      </c>
      <c r="G11" s="8">
        <v>1196</v>
      </c>
      <c r="H11" s="8">
        <v>1533</v>
      </c>
      <c r="I11" s="8">
        <v>1814</v>
      </c>
      <c r="J11" s="8">
        <f>J9+J10</f>
        <v>1921</v>
      </c>
      <c r="K11" s="8">
        <v>1731</v>
      </c>
      <c r="L11" s="8">
        <f>L9+L10</f>
        <v>1609</v>
      </c>
      <c r="M11" s="8">
        <v>1266</v>
      </c>
      <c r="N11" s="8">
        <f>N9+N10</f>
        <v>1564</v>
      </c>
      <c r="O11" s="8">
        <f>O9+O10</f>
        <v>1034</v>
      </c>
      <c r="P11" s="8">
        <f t="shared" ref="P11:R11" si="8">P9+P10</f>
        <v>1509</v>
      </c>
      <c r="Q11" s="8">
        <f t="shared" si="8"/>
        <v>1534</v>
      </c>
      <c r="R11" s="8">
        <f t="shared" si="8"/>
        <v>1166</v>
      </c>
      <c r="S11" s="8"/>
      <c r="T11" s="8"/>
      <c r="U11" s="8"/>
      <c r="V11" s="8"/>
      <c r="Y11" s="6">
        <v>0</v>
      </c>
      <c r="Z11" s="6">
        <v>520</v>
      </c>
      <c r="AA11" s="6">
        <v>4781</v>
      </c>
      <c r="AB11" s="6">
        <f>SUM(G11:J11)</f>
        <v>6464</v>
      </c>
      <c r="AC11" s="6">
        <f>SUM(K11:N11)</f>
        <v>6170</v>
      </c>
      <c r="AD11" s="6">
        <f>AD9+AD10</f>
        <v>5243</v>
      </c>
      <c r="AE11" s="6">
        <f t="shared" ref="AE11:AN11" si="9">AE9+AE10</f>
        <v>5795.14</v>
      </c>
      <c r="AF11" s="6">
        <f t="shared" si="9"/>
        <v>6642.3083999999999</v>
      </c>
      <c r="AG11" s="6">
        <f t="shared" si="9"/>
        <v>7376.6588999999994</v>
      </c>
      <c r="AH11" s="6">
        <f t="shared" si="9"/>
        <v>8293.0018079999991</v>
      </c>
      <c r="AI11" s="6">
        <f t="shared" si="9"/>
        <v>9409.1420026499982</v>
      </c>
      <c r="AJ11" s="6">
        <f t="shared" si="9"/>
        <v>10716.013677622497</v>
      </c>
      <c r="AK11" s="6">
        <f t="shared" si="9"/>
        <v>12323.415729265871</v>
      </c>
      <c r="AL11" s="6">
        <f t="shared" si="9"/>
        <v>14171.928088655752</v>
      </c>
      <c r="AM11" s="6">
        <f t="shared" si="9"/>
        <v>16297.717301954113</v>
      </c>
      <c r="AN11" s="6">
        <f t="shared" si="9"/>
        <v>18098.70488258333</v>
      </c>
    </row>
    <row r="12" spans="2:40" s="3" customFormat="1" x14ac:dyDescent="0.3">
      <c r="B12" s="3" t="s">
        <v>27</v>
      </c>
      <c r="G12" s="9">
        <f t="shared" ref="G12:N12" si="10">G8-G11</f>
        <v>-535</v>
      </c>
      <c r="H12" s="9">
        <f t="shared" si="10"/>
        <v>-412</v>
      </c>
      <c r="I12" s="9">
        <f t="shared" si="10"/>
        <v>-477</v>
      </c>
      <c r="J12" s="9">
        <f t="shared" si="10"/>
        <v>-606</v>
      </c>
      <c r="K12" s="9">
        <f t="shared" si="10"/>
        <v>-527</v>
      </c>
      <c r="L12" s="9">
        <f t="shared" si="10"/>
        <v>-451</v>
      </c>
      <c r="M12" s="9">
        <f t="shared" si="10"/>
        <v>-392</v>
      </c>
      <c r="N12" s="9">
        <f t="shared" si="10"/>
        <v>170</v>
      </c>
      <c r="O12" s="9">
        <f t="shared" ref="O12:R12" si="11">O8-O11</f>
        <v>206</v>
      </c>
      <c r="P12" s="9">
        <f t="shared" si="11"/>
        <v>-206</v>
      </c>
      <c r="Q12" s="9">
        <f t="shared" si="11"/>
        <v>24</v>
      </c>
      <c r="R12" s="9">
        <f t="shared" si="11"/>
        <v>120</v>
      </c>
      <c r="S12" s="9"/>
      <c r="T12" s="9"/>
      <c r="U12" s="9"/>
      <c r="V12" s="9"/>
      <c r="Y12" s="9">
        <f t="shared" ref="Y12:AN12" si="12">Y8-Y11</f>
        <v>0</v>
      </c>
      <c r="Z12" s="9">
        <f t="shared" si="12"/>
        <v>-465</v>
      </c>
      <c r="AA12" s="9">
        <f t="shared" si="12"/>
        <v>-3123</v>
      </c>
      <c r="AB12" s="9">
        <f t="shared" si="12"/>
        <v>-2030</v>
      </c>
      <c r="AC12" s="9">
        <f t="shared" si="12"/>
        <v>-1200</v>
      </c>
      <c r="AD12" s="9">
        <f t="shared" si="12"/>
        <v>144</v>
      </c>
      <c r="AE12" s="9">
        <f t="shared" si="12"/>
        <v>1207.96</v>
      </c>
      <c r="AF12" s="9">
        <f t="shared" si="12"/>
        <v>1761.4116000000013</v>
      </c>
      <c r="AG12" s="9">
        <f t="shared" si="12"/>
        <v>2287.619099999999</v>
      </c>
      <c r="AH12" s="9">
        <f t="shared" si="12"/>
        <v>2820.9178919999995</v>
      </c>
      <c r="AI12" s="9">
        <f t="shared" si="12"/>
        <v>3371.8656523499994</v>
      </c>
      <c r="AJ12" s="9">
        <f t="shared" si="12"/>
        <v>3982.1451256274995</v>
      </c>
      <c r="AK12" s="9">
        <f t="shared" si="12"/>
        <v>4579.466894471625</v>
      </c>
      <c r="AL12" s="9">
        <f t="shared" si="12"/>
        <v>5266.3869286423669</v>
      </c>
      <c r="AM12" s="9">
        <f t="shared" si="12"/>
        <v>6056.3449679387213</v>
      </c>
      <c r="AN12" s="9">
        <f t="shared" si="12"/>
        <v>6813.8123887021939</v>
      </c>
    </row>
    <row r="13" spans="2:40" x14ac:dyDescent="0.3">
      <c r="B13" s="1" t="s">
        <v>31</v>
      </c>
      <c r="G13" s="6">
        <v>496</v>
      </c>
      <c r="H13" s="6">
        <v>444</v>
      </c>
      <c r="I13" s="6">
        <v>529</v>
      </c>
      <c r="J13" s="6">
        <v>526</v>
      </c>
      <c r="K13" s="6">
        <v>461</v>
      </c>
      <c r="L13" s="6">
        <v>428</v>
      </c>
      <c r="M13" s="6">
        <v>350</v>
      </c>
      <c r="N13" s="6">
        <v>374</v>
      </c>
      <c r="O13" s="6">
        <v>381</v>
      </c>
      <c r="P13" s="6">
        <v>410</v>
      </c>
      <c r="Q13" s="6">
        <v>453</v>
      </c>
      <c r="R13" s="6">
        <v>424</v>
      </c>
      <c r="S13" s="6"/>
      <c r="T13" s="6"/>
      <c r="U13" s="6"/>
      <c r="V13" s="6"/>
      <c r="Y13" s="6">
        <v>766</v>
      </c>
      <c r="Z13" s="6">
        <v>1850</v>
      </c>
      <c r="AA13" s="6">
        <v>1944</v>
      </c>
      <c r="AB13" s="6">
        <f>SUM(G13:J13)</f>
        <v>1995</v>
      </c>
      <c r="AC13" s="6">
        <f>SUM(K13:N13)</f>
        <v>1613</v>
      </c>
      <c r="AD13" s="6">
        <f>SUM(O13:R13)</f>
        <v>1668</v>
      </c>
      <c r="AE13" s="6">
        <f>AD13*1.04</f>
        <v>1734.72</v>
      </c>
      <c r="AF13" s="6">
        <f>AE13*1.03</f>
        <v>1786.7616</v>
      </c>
      <c r="AG13" s="6">
        <f>AF13*1.02</f>
        <v>1822.496832</v>
      </c>
      <c r="AH13" s="6">
        <f t="shared" ref="AH13" si="13">AG13*1.02</f>
        <v>1858.9467686400001</v>
      </c>
      <c r="AI13" s="6">
        <f>AH13*1.01</f>
        <v>1877.5362363264001</v>
      </c>
      <c r="AJ13" s="6">
        <f t="shared" ref="AJ13:AN14" si="14">AI13*1.01</f>
        <v>1896.3115986896642</v>
      </c>
      <c r="AK13" s="6">
        <f t="shared" si="14"/>
        <v>1915.2747146765607</v>
      </c>
      <c r="AL13" s="6">
        <f t="shared" si="14"/>
        <v>1934.4274618233264</v>
      </c>
      <c r="AM13" s="6">
        <f t="shared" si="14"/>
        <v>1953.7717364415598</v>
      </c>
      <c r="AN13" s="6">
        <f t="shared" si="14"/>
        <v>1973.3094538059754</v>
      </c>
    </row>
    <row r="14" spans="2:40" x14ac:dyDescent="0.3">
      <c r="B14" s="1" t="s">
        <v>32</v>
      </c>
      <c r="G14" s="6">
        <v>402</v>
      </c>
      <c r="H14" s="6">
        <v>429</v>
      </c>
      <c r="I14" s="6">
        <v>434</v>
      </c>
      <c r="J14" s="6">
        <v>449</v>
      </c>
      <c r="K14" s="6">
        <v>496</v>
      </c>
      <c r="L14" s="6">
        <v>496</v>
      </c>
      <c r="M14" s="6">
        <v>427</v>
      </c>
      <c r="N14" s="6">
        <v>457</v>
      </c>
      <c r="O14" s="6">
        <v>480</v>
      </c>
      <c r="P14" s="6">
        <v>498</v>
      </c>
      <c r="Q14" s="6">
        <v>554</v>
      </c>
      <c r="R14" s="6">
        <v>529</v>
      </c>
      <c r="S14" s="6"/>
      <c r="T14" s="6"/>
      <c r="U14" s="6"/>
      <c r="V14" s="6"/>
      <c r="Y14" s="6">
        <v>255</v>
      </c>
      <c r="Z14" s="6">
        <f>1242+662</f>
        <v>1904</v>
      </c>
      <c r="AA14" s="6">
        <v>1789</v>
      </c>
      <c r="AB14" s="6">
        <f>SUM(G14:J14)</f>
        <v>1714</v>
      </c>
      <c r="AC14" s="6">
        <f>SUM(K14:N14)</f>
        <v>1876</v>
      </c>
      <c r="AD14" s="6">
        <f>SUM(O14:R14)</f>
        <v>2061</v>
      </c>
      <c r="AE14" s="6">
        <f>AD14*1.03</f>
        <v>2122.83</v>
      </c>
      <c r="AF14" s="6">
        <f>AE14*1.02</f>
        <v>2165.2865999999999</v>
      </c>
      <c r="AG14" s="6">
        <f>AF14*1.01</f>
        <v>2186.9394659999998</v>
      </c>
      <c r="AH14" s="6">
        <f t="shared" ref="AH14:AI14" si="15">AG14*1.01</f>
        <v>2208.8088606599999</v>
      </c>
      <c r="AI14" s="6">
        <f t="shared" si="15"/>
        <v>2230.8969492666001</v>
      </c>
      <c r="AJ14" s="6">
        <f t="shared" si="14"/>
        <v>2253.2059187592663</v>
      </c>
      <c r="AK14" s="6">
        <f t="shared" si="14"/>
        <v>2275.7379779468588</v>
      </c>
      <c r="AL14" s="6">
        <f t="shared" si="14"/>
        <v>2298.4953577263273</v>
      </c>
      <c r="AM14" s="6">
        <f t="shared" si="14"/>
        <v>2321.4803113035905</v>
      </c>
      <c r="AN14" s="6">
        <f t="shared" si="14"/>
        <v>2344.6951144166264</v>
      </c>
    </row>
    <row r="15" spans="2:40" s="3" customFormat="1" x14ac:dyDescent="0.3">
      <c r="B15" s="3" t="s">
        <v>33</v>
      </c>
      <c r="G15" s="9">
        <f t="shared" ref="G15:N15" si="16">G12-G13-G14</f>
        <v>-1433</v>
      </c>
      <c r="H15" s="9">
        <f t="shared" si="16"/>
        <v>-1285</v>
      </c>
      <c r="I15" s="9">
        <f t="shared" si="16"/>
        <v>-1440</v>
      </c>
      <c r="J15" s="9">
        <f t="shared" si="16"/>
        <v>-1581</v>
      </c>
      <c r="K15" s="9">
        <f t="shared" si="16"/>
        <v>-1484</v>
      </c>
      <c r="L15" s="9">
        <f t="shared" si="16"/>
        <v>-1375</v>
      </c>
      <c r="M15" s="9">
        <f t="shared" si="16"/>
        <v>-1169</v>
      </c>
      <c r="N15" s="9">
        <f t="shared" si="16"/>
        <v>-661</v>
      </c>
      <c r="O15" s="9">
        <f t="shared" ref="O15:R15" si="17">O12-O13-O14</f>
        <v>-655</v>
      </c>
      <c r="P15" s="9">
        <f t="shared" si="17"/>
        <v>-1114</v>
      </c>
      <c r="Q15" s="9">
        <f t="shared" si="17"/>
        <v>-983</v>
      </c>
      <c r="R15" s="9">
        <f t="shared" si="17"/>
        <v>-833</v>
      </c>
      <c r="S15" s="9"/>
      <c r="T15" s="9"/>
      <c r="U15" s="9"/>
      <c r="V15" s="9"/>
      <c r="Y15" s="9">
        <f t="shared" ref="Y15:AD15" si="18">Y12-Y13-Y14</f>
        <v>-1021</v>
      </c>
      <c r="Z15" s="9">
        <f t="shared" si="18"/>
        <v>-4219</v>
      </c>
      <c r="AA15" s="9">
        <f t="shared" si="18"/>
        <v>-6856</v>
      </c>
      <c r="AB15" s="9">
        <f t="shared" si="18"/>
        <v>-5739</v>
      </c>
      <c r="AC15" s="9">
        <f t="shared" si="18"/>
        <v>-4689</v>
      </c>
      <c r="AD15" s="9">
        <f t="shared" si="18"/>
        <v>-3585</v>
      </c>
      <c r="AE15" s="9">
        <f t="shared" ref="AE15:AN15" si="19">AE12-AE13-AE14</f>
        <v>-2649.59</v>
      </c>
      <c r="AF15" s="9">
        <f t="shared" si="19"/>
        <v>-2190.6365999999989</v>
      </c>
      <c r="AG15" s="9">
        <f t="shared" si="19"/>
        <v>-1721.8171980000009</v>
      </c>
      <c r="AH15" s="9">
        <f t="shared" si="19"/>
        <v>-1246.8377373000005</v>
      </c>
      <c r="AI15" s="9">
        <f t="shared" si="19"/>
        <v>-736.56753324300075</v>
      </c>
      <c r="AJ15" s="9">
        <f t="shared" si="19"/>
        <v>-167.37239182143094</v>
      </c>
      <c r="AK15" s="9">
        <f t="shared" si="19"/>
        <v>388.45420184820568</v>
      </c>
      <c r="AL15" s="9">
        <f t="shared" si="19"/>
        <v>1033.464109092713</v>
      </c>
      <c r="AM15" s="9">
        <f t="shared" si="19"/>
        <v>1781.0929201935705</v>
      </c>
      <c r="AN15" s="9">
        <f t="shared" si="19"/>
        <v>2495.8078204795916</v>
      </c>
    </row>
    <row r="16" spans="2:40" x14ac:dyDescent="0.3">
      <c r="B16" s="1" t="s">
        <v>34</v>
      </c>
      <c r="G16" s="6">
        <v>-124</v>
      </c>
      <c r="H16" s="6">
        <v>-141</v>
      </c>
      <c r="I16" s="6">
        <v>-126</v>
      </c>
      <c r="J16" s="6">
        <v>-131</v>
      </c>
      <c r="K16" s="6">
        <v>-112</v>
      </c>
      <c r="L16" s="6">
        <v>-95</v>
      </c>
      <c r="M16" s="6">
        <v>-95</v>
      </c>
      <c r="N16" s="6">
        <v>-83</v>
      </c>
      <c r="O16" s="6">
        <v>-81</v>
      </c>
      <c r="P16" s="6">
        <v>-72</v>
      </c>
      <c r="Q16" s="6">
        <v>-76</v>
      </c>
      <c r="R16" s="6">
        <v>-64</v>
      </c>
      <c r="S16" s="6"/>
      <c r="T16" s="6"/>
      <c r="U16" s="6"/>
      <c r="V16" s="6"/>
      <c r="Y16" s="6">
        <v>-10</v>
      </c>
      <c r="Z16" s="6">
        <v>-3</v>
      </c>
      <c r="AA16" s="6">
        <v>-193</v>
      </c>
      <c r="AB16" s="6">
        <f>SUM(G16:J16)</f>
        <v>-522</v>
      </c>
      <c r="AC16" s="6">
        <f>SUM(K16:N16)</f>
        <v>-385</v>
      </c>
      <c r="AD16" s="6">
        <f>SUM(O16:R16)</f>
        <v>-293</v>
      </c>
      <c r="AE16" s="6">
        <f>AD16*1.03</f>
        <v>-301.79000000000002</v>
      </c>
      <c r="AF16" s="6">
        <f t="shared" ref="AF16:AN16" si="20">AE16*1.03</f>
        <v>-310.84370000000001</v>
      </c>
      <c r="AG16" s="6">
        <f t="shared" si="20"/>
        <v>-320.16901100000001</v>
      </c>
      <c r="AH16" s="6">
        <f t="shared" si="20"/>
        <v>-329.77408133</v>
      </c>
      <c r="AI16" s="6">
        <f t="shared" si="20"/>
        <v>-339.6673037699</v>
      </c>
      <c r="AJ16" s="6">
        <f t="shared" si="20"/>
        <v>-349.85732288299704</v>
      </c>
      <c r="AK16" s="6">
        <f t="shared" si="20"/>
        <v>-360.35304256948695</v>
      </c>
      <c r="AL16" s="6">
        <f t="shared" si="20"/>
        <v>-371.16363384657154</v>
      </c>
      <c r="AM16" s="6">
        <f t="shared" si="20"/>
        <v>-382.29854286196871</v>
      </c>
      <c r="AN16" s="6">
        <f t="shared" si="20"/>
        <v>-393.76749914782778</v>
      </c>
    </row>
    <row r="17" spans="2:140" x14ac:dyDescent="0.3">
      <c r="B17" s="1" t="s">
        <v>35</v>
      </c>
      <c r="G17" s="6">
        <v>38</v>
      </c>
      <c r="H17" s="6">
        <v>54</v>
      </c>
      <c r="I17" s="6">
        <v>55</v>
      </c>
      <c r="J17" s="6">
        <v>73</v>
      </c>
      <c r="K17" s="6">
        <v>75</v>
      </c>
      <c r="L17" s="6">
        <v>75</v>
      </c>
      <c r="M17" s="6">
        <v>87</v>
      </c>
      <c r="N17" s="6">
        <v>81</v>
      </c>
      <c r="O17" s="6">
        <v>72</v>
      </c>
      <c r="P17" s="6">
        <v>69</v>
      </c>
      <c r="Q17" s="6">
        <v>69</v>
      </c>
      <c r="R17" s="6">
        <v>64</v>
      </c>
      <c r="S17" s="6"/>
      <c r="T17" s="6"/>
      <c r="U17" s="6"/>
      <c r="V17" s="6"/>
      <c r="Y17" s="6">
        <v>8</v>
      </c>
      <c r="Z17" s="6">
        <v>29</v>
      </c>
      <c r="AA17" s="6">
        <v>103</v>
      </c>
      <c r="AB17" s="6">
        <f>SUM(G17:J17)</f>
        <v>220</v>
      </c>
      <c r="AC17" s="6">
        <f>SUM(K17:N17)</f>
        <v>318</v>
      </c>
      <c r="AD17" s="6">
        <f>SUM(O17:R17)</f>
        <v>274</v>
      </c>
      <c r="AE17" s="6">
        <f>AD17*1.02</f>
        <v>279.48</v>
      </c>
      <c r="AF17" s="6">
        <f t="shared" ref="AF17:AN17" si="21">AE17*1.02</f>
        <v>285.06960000000004</v>
      </c>
      <c r="AG17" s="6">
        <f t="shared" si="21"/>
        <v>290.77099200000004</v>
      </c>
      <c r="AH17" s="6">
        <f t="shared" si="21"/>
        <v>296.58641184000004</v>
      </c>
      <c r="AI17" s="6">
        <f t="shared" si="21"/>
        <v>302.51814007680002</v>
      </c>
      <c r="AJ17" s="6">
        <f t="shared" si="21"/>
        <v>308.56850287833601</v>
      </c>
      <c r="AK17" s="6">
        <f t="shared" si="21"/>
        <v>314.73987293590272</v>
      </c>
      <c r="AL17" s="6">
        <f t="shared" si="21"/>
        <v>321.03467039462078</v>
      </c>
      <c r="AM17" s="6">
        <f t="shared" si="21"/>
        <v>327.4553638025132</v>
      </c>
      <c r="AN17" s="6">
        <f t="shared" si="21"/>
        <v>334.00447107856348</v>
      </c>
    </row>
    <row r="18" spans="2:140" x14ac:dyDescent="0.3">
      <c r="B18" s="1" t="s">
        <v>36</v>
      </c>
      <c r="G18" s="6">
        <v>0</v>
      </c>
      <c r="H18" s="6">
        <v>0</v>
      </c>
      <c r="I18" s="6">
        <v>0</v>
      </c>
      <c r="J18" s="6">
        <v>0</v>
      </c>
      <c r="K18" s="6">
        <v>0</v>
      </c>
      <c r="L18" s="6">
        <v>90</v>
      </c>
      <c r="M18" s="6">
        <v>-60</v>
      </c>
      <c r="N18" s="6">
        <v>82</v>
      </c>
      <c r="O18" s="6">
        <v>0</v>
      </c>
      <c r="P18" s="6">
        <v>0</v>
      </c>
      <c r="Q18" s="6">
        <v>0</v>
      </c>
      <c r="R18" s="6">
        <v>0</v>
      </c>
      <c r="S18" s="6"/>
      <c r="T18" s="6"/>
      <c r="U18" s="6"/>
      <c r="V18" s="6"/>
      <c r="Y18" s="6">
        <v>0</v>
      </c>
      <c r="Z18" s="6">
        <v>441</v>
      </c>
      <c r="AA18" s="6">
        <v>0</v>
      </c>
      <c r="AB18" s="6">
        <f>SUM(G18:J18)</f>
        <v>0</v>
      </c>
      <c r="AC18" s="6">
        <f>SUM(K18:N18)</f>
        <v>112</v>
      </c>
      <c r="AD18" s="6">
        <f>SUM(O18:R18)</f>
        <v>0</v>
      </c>
      <c r="AE18" s="6">
        <v>0</v>
      </c>
      <c r="AF18" s="6">
        <v>0</v>
      </c>
      <c r="AG18" s="6">
        <v>0</v>
      </c>
      <c r="AH18" s="6">
        <v>0</v>
      </c>
      <c r="AI18" s="6">
        <v>0</v>
      </c>
      <c r="AJ18" s="6">
        <v>0</v>
      </c>
      <c r="AK18" s="6">
        <v>0</v>
      </c>
      <c r="AL18" s="6">
        <v>0</v>
      </c>
      <c r="AM18" s="6">
        <v>0</v>
      </c>
      <c r="AN18" s="6">
        <v>0</v>
      </c>
    </row>
    <row r="19" spans="2:140" x14ac:dyDescent="0.3">
      <c r="B19" s="1" t="s">
        <v>37</v>
      </c>
      <c r="G19" s="6">
        <v>1</v>
      </c>
      <c r="H19" s="6">
        <v>-3</v>
      </c>
      <c r="I19" s="6">
        <v>-2</v>
      </c>
      <c r="J19" s="6">
        <v>-2</v>
      </c>
      <c r="K19" s="6">
        <v>-2</v>
      </c>
      <c r="L19" s="6">
        <v>11</v>
      </c>
      <c r="M19" s="6">
        <v>-1</v>
      </c>
      <c r="N19" s="6">
        <v>-1</v>
      </c>
      <c r="O19" s="6">
        <v>-107</v>
      </c>
      <c r="P19" s="6">
        <v>2</v>
      </c>
      <c r="Q19" s="6">
        <v>191</v>
      </c>
      <c r="R19" s="6">
        <v>-32</v>
      </c>
      <c r="S19" s="6"/>
      <c r="T19" s="6"/>
      <c r="U19" s="6"/>
      <c r="V19" s="6"/>
      <c r="Y19" s="6">
        <v>-1</v>
      </c>
      <c r="Z19" s="6">
        <v>1</v>
      </c>
      <c r="AA19" s="6">
        <v>-18</v>
      </c>
      <c r="AB19" s="6">
        <f>SUM(G19:J19)</f>
        <v>-6</v>
      </c>
      <c r="AC19" s="6">
        <f>SUM(K19:N19)</f>
        <v>7</v>
      </c>
      <c r="AD19" s="6">
        <f>SUM(O19:R19)</f>
        <v>54</v>
      </c>
      <c r="AE19" s="6">
        <v>0</v>
      </c>
      <c r="AF19" s="6">
        <v>0</v>
      </c>
      <c r="AG19" s="6">
        <v>0</v>
      </c>
      <c r="AH19" s="6">
        <v>0</v>
      </c>
      <c r="AI19" s="6">
        <v>0</v>
      </c>
      <c r="AJ19" s="6">
        <v>0</v>
      </c>
      <c r="AK19" s="6">
        <v>0</v>
      </c>
      <c r="AL19" s="6">
        <v>0</v>
      </c>
      <c r="AM19" s="6">
        <v>0</v>
      </c>
      <c r="AN19" s="6">
        <v>0</v>
      </c>
    </row>
    <row r="20" spans="2:140" x14ac:dyDescent="0.3">
      <c r="B20" s="1" t="s">
        <v>38</v>
      </c>
      <c r="G20" s="6">
        <f t="shared" ref="G20:N20" si="22">SUM(G16:G19)</f>
        <v>-85</v>
      </c>
      <c r="H20" s="6">
        <f t="shared" si="22"/>
        <v>-90</v>
      </c>
      <c r="I20" s="6">
        <f t="shared" si="22"/>
        <v>-73</v>
      </c>
      <c r="J20" s="6">
        <f t="shared" si="22"/>
        <v>-60</v>
      </c>
      <c r="K20" s="6">
        <f t="shared" si="22"/>
        <v>-39</v>
      </c>
      <c r="L20" s="6">
        <f t="shared" si="22"/>
        <v>81</v>
      </c>
      <c r="M20" s="6">
        <f t="shared" si="22"/>
        <v>-69</v>
      </c>
      <c r="N20" s="6">
        <f t="shared" si="22"/>
        <v>79</v>
      </c>
      <c r="O20" s="6">
        <f t="shared" ref="O20:R20" si="23">SUM(O16:O19)</f>
        <v>-116</v>
      </c>
      <c r="P20" s="6">
        <f t="shared" si="23"/>
        <v>-1</v>
      </c>
      <c r="Q20" s="6">
        <f t="shared" si="23"/>
        <v>184</v>
      </c>
      <c r="R20" s="6">
        <f t="shared" si="23"/>
        <v>-32</v>
      </c>
      <c r="S20" s="6"/>
      <c r="T20" s="6"/>
      <c r="U20" s="6"/>
      <c r="V20" s="6"/>
      <c r="Y20" s="6">
        <f t="shared" ref="Y20:AE20" si="24">SUM(Y16:Y19)</f>
        <v>-3</v>
      </c>
      <c r="Z20" s="6">
        <f t="shared" si="24"/>
        <v>468</v>
      </c>
      <c r="AA20" s="6">
        <f t="shared" si="24"/>
        <v>-108</v>
      </c>
      <c r="AB20" s="6">
        <f t="shared" si="24"/>
        <v>-308</v>
      </c>
      <c r="AC20" s="6">
        <f t="shared" si="24"/>
        <v>52</v>
      </c>
      <c r="AD20" s="6">
        <f t="shared" si="24"/>
        <v>35</v>
      </c>
      <c r="AE20" s="6">
        <f t="shared" si="24"/>
        <v>-22.310000000000002</v>
      </c>
      <c r="AF20" s="6">
        <f t="shared" ref="AF20:AN20" si="25">SUM(AF16:AF19)</f>
        <v>-25.774099999999976</v>
      </c>
      <c r="AG20" s="6">
        <f t="shared" si="25"/>
        <v>-29.398018999999977</v>
      </c>
      <c r="AH20" s="6">
        <f t="shared" si="25"/>
        <v>-33.187669489999962</v>
      </c>
      <c r="AI20" s="6">
        <f t="shared" si="25"/>
        <v>-37.149163693099979</v>
      </c>
      <c r="AJ20" s="6">
        <f t="shared" si="25"/>
        <v>-41.288820004661034</v>
      </c>
      <c r="AK20" s="6">
        <f t="shared" si="25"/>
        <v>-45.613169633584221</v>
      </c>
      <c r="AL20" s="6">
        <f t="shared" si="25"/>
        <v>-50.128963451950767</v>
      </c>
      <c r="AM20" s="6">
        <f t="shared" si="25"/>
        <v>-54.843179059455508</v>
      </c>
      <c r="AN20" s="6">
        <f t="shared" si="25"/>
        <v>-59.763028069264294</v>
      </c>
    </row>
    <row r="21" spans="2:140" s="3" customFormat="1" x14ac:dyDescent="0.3">
      <c r="B21" s="3" t="s">
        <v>39</v>
      </c>
      <c r="G21" s="9">
        <f t="shared" ref="G21:N21" si="26">G15-G20</f>
        <v>-1348</v>
      </c>
      <c r="H21" s="9">
        <f t="shared" si="26"/>
        <v>-1195</v>
      </c>
      <c r="I21" s="9">
        <f t="shared" si="26"/>
        <v>-1367</v>
      </c>
      <c r="J21" s="9">
        <f t="shared" si="26"/>
        <v>-1521</v>
      </c>
      <c r="K21" s="9">
        <f t="shared" si="26"/>
        <v>-1445</v>
      </c>
      <c r="L21" s="9">
        <f t="shared" si="26"/>
        <v>-1456</v>
      </c>
      <c r="M21" s="9">
        <f t="shared" si="26"/>
        <v>-1100</v>
      </c>
      <c r="N21" s="9">
        <f t="shared" si="26"/>
        <v>-740</v>
      </c>
      <c r="O21" s="9">
        <f t="shared" ref="O21:R21" si="27">O15-O20</f>
        <v>-539</v>
      </c>
      <c r="P21" s="9">
        <f t="shared" si="27"/>
        <v>-1113</v>
      </c>
      <c r="Q21" s="9">
        <f t="shared" si="27"/>
        <v>-1167</v>
      </c>
      <c r="R21" s="9">
        <f t="shared" si="27"/>
        <v>-801</v>
      </c>
      <c r="S21" s="9"/>
      <c r="T21" s="9"/>
      <c r="U21" s="9"/>
      <c r="V21" s="9"/>
      <c r="Y21" s="9">
        <f t="shared" ref="Y21:AE21" si="28">Y15-Y20</f>
        <v>-1018</v>
      </c>
      <c r="Z21" s="9">
        <f t="shared" si="28"/>
        <v>-4687</v>
      </c>
      <c r="AA21" s="9">
        <f t="shared" si="28"/>
        <v>-6748</v>
      </c>
      <c r="AB21" s="9">
        <f t="shared" si="28"/>
        <v>-5431</v>
      </c>
      <c r="AC21" s="9">
        <f t="shared" si="28"/>
        <v>-4741</v>
      </c>
      <c r="AD21" s="9">
        <f t="shared" si="28"/>
        <v>-3620</v>
      </c>
      <c r="AE21" s="9">
        <f t="shared" si="28"/>
        <v>-2627.28</v>
      </c>
      <c r="AF21" s="9">
        <f t="shared" ref="AF21:AN21" si="29">AF15-AF20</f>
        <v>-2164.8624999999988</v>
      </c>
      <c r="AG21" s="9">
        <f t="shared" si="29"/>
        <v>-1692.4191790000009</v>
      </c>
      <c r="AH21" s="9">
        <f t="shared" si="29"/>
        <v>-1213.6500678100006</v>
      </c>
      <c r="AI21" s="9">
        <f t="shared" si="29"/>
        <v>-699.41836954990072</v>
      </c>
      <c r="AJ21" s="9">
        <f t="shared" si="29"/>
        <v>-126.0835718167699</v>
      </c>
      <c r="AK21" s="9">
        <f t="shared" si="29"/>
        <v>434.06737148178991</v>
      </c>
      <c r="AL21" s="9">
        <f t="shared" si="29"/>
        <v>1083.5930725446638</v>
      </c>
      <c r="AM21" s="9">
        <f t="shared" si="29"/>
        <v>1835.936099253026</v>
      </c>
      <c r="AN21" s="9">
        <f t="shared" si="29"/>
        <v>2555.5708485488558</v>
      </c>
    </row>
    <row r="22" spans="2:140" x14ac:dyDescent="0.3">
      <c r="B22" s="1" t="s">
        <v>40</v>
      </c>
      <c r="G22" s="6">
        <v>1</v>
      </c>
      <c r="H22" s="6">
        <v>0</v>
      </c>
      <c r="I22" s="6">
        <v>0</v>
      </c>
      <c r="J22" s="6">
        <v>0</v>
      </c>
      <c r="K22" s="6">
        <v>1</v>
      </c>
      <c r="L22" s="6">
        <v>1</v>
      </c>
      <c r="M22" s="6">
        <v>0</v>
      </c>
      <c r="N22" s="6">
        <v>3</v>
      </c>
      <c r="O22" s="6">
        <v>2</v>
      </c>
      <c r="P22" s="6">
        <v>2</v>
      </c>
      <c r="Q22" s="6">
        <v>1</v>
      </c>
      <c r="R22" s="6">
        <v>3</v>
      </c>
      <c r="S22" s="6"/>
      <c r="T22" s="6"/>
      <c r="U22" s="6"/>
      <c r="V22" s="6"/>
      <c r="Y22" s="6">
        <v>0</v>
      </c>
      <c r="Z22" s="6">
        <v>0</v>
      </c>
      <c r="AA22" s="6">
        <v>4</v>
      </c>
      <c r="AB22" s="6">
        <f>SUM(G22:J22)</f>
        <v>1</v>
      </c>
      <c r="AC22" s="6">
        <f>SUM(K22:N22)</f>
        <v>5</v>
      </c>
      <c r="AD22" s="6">
        <f>SUM(O22:R22)</f>
        <v>8</v>
      </c>
      <c r="AE22" s="6">
        <v>0</v>
      </c>
      <c r="AF22" s="6">
        <f>AF21*0.2</f>
        <v>-432.9724999999998</v>
      </c>
      <c r="AG22" s="6">
        <f t="shared" ref="AG22:AN22" si="30">AG21*0.2</f>
        <v>-338.48383580000018</v>
      </c>
      <c r="AH22" s="6">
        <f t="shared" si="30"/>
        <v>-242.73001356200012</v>
      </c>
      <c r="AI22" s="6">
        <f t="shared" si="30"/>
        <v>-139.88367390998016</v>
      </c>
      <c r="AJ22" s="6">
        <f t="shared" si="30"/>
        <v>-25.216714363353983</v>
      </c>
      <c r="AK22" s="6">
        <f t="shared" si="30"/>
        <v>86.813474296357981</v>
      </c>
      <c r="AL22" s="6">
        <f t="shared" si="30"/>
        <v>216.71861450893277</v>
      </c>
      <c r="AM22" s="6">
        <f t="shared" si="30"/>
        <v>367.18721985060523</v>
      </c>
      <c r="AN22" s="6">
        <f t="shared" si="30"/>
        <v>511.1141697097712</v>
      </c>
    </row>
    <row r="23" spans="2:140" x14ac:dyDescent="0.3">
      <c r="B23" s="1" t="s">
        <v>46</v>
      </c>
      <c r="G23" s="6">
        <v>0</v>
      </c>
      <c r="H23" s="6">
        <v>0</v>
      </c>
      <c r="I23" s="6">
        <v>0</v>
      </c>
      <c r="J23" s="6">
        <v>0</v>
      </c>
      <c r="K23" s="6">
        <v>0</v>
      </c>
      <c r="L23" s="6">
        <v>0</v>
      </c>
      <c r="M23" s="6">
        <v>0</v>
      </c>
      <c r="N23" s="6">
        <v>1</v>
      </c>
      <c r="O23" s="6">
        <v>4</v>
      </c>
      <c r="P23" s="6">
        <v>2</v>
      </c>
      <c r="Q23" s="6">
        <v>7</v>
      </c>
      <c r="R23" s="6">
        <v>7</v>
      </c>
      <c r="S23" s="6"/>
      <c r="T23" s="6"/>
      <c r="U23" s="6"/>
      <c r="V23" s="6"/>
      <c r="Y23" s="6">
        <v>0</v>
      </c>
      <c r="Z23" s="6">
        <v>0</v>
      </c>
      <c r="AA23" s="6">
        <v>0</v>
      </c>
      <c r="AB23" s="6">
        <f>SUM(G23:J23)</f>
        <v>0</v>
      </c>
      <c r="AC23" s="6">
        <f>SUM(K23:N23)</f>
        <v>1</v>
      </c>
      <c r="AD23" s="6">
        <f>SUM(O23:R23)</f>
        <v>20</v>
      </c>
      <c r="AE23" s="6">
        <v>0</v>
      </c>
      <c r="AF23" s="6">
        <v>0</v>
      </c>
      <c r="AG23" s="6">
        <v>0</v>
      </c>
      <c r="AH23" s="6">
        <v>0</v>
      </c>
      <c r="AI23" s="6">
        <v>0</v>
      </c>
      <c r="AJ23" s="6">
        <v>0</v>
      </c>
      <c r="AK23" s="6">
        <v>0</v>
      </c>
      <c r="AL23" s="6">
        <v>0</v>
      </c>
      <c r="AM23" s="6">
        <v>0</v>
      </c>
      <c r="AN23" s="6">
        <v>0</v>
      </c>
    </row>
    <row r="24" spans="2:140" s="3" customFormat="1" x14ac:dyDescent="0.3">
      <c r="B24" s="3" t="s">
        <v>41</v>
      </c>
      <c r="G24" s="9">
        <f t="shared" ref="G24:N24" si="31">G21-G22-G23</f>
        <v>-1349</v>
      </c>
      <c r="H24" s="9">
        <f t="shared" si="31"/>
        <v>-1195</v>
      </c>
      <c r="I24" s="9">
        <f t="shared" si="31"/>
        <v>-1367</v>
      </c>
      <c r="J24" s="9">
        <f t="shared" si="31"/>
        <v>-1521</v>
      </c>
      <c r="K24" s="9">
        <f t="shared" si="31"/>
        <v>-1446</v>
      </c>
      <c r="L24" s="9">
        <f t="shared" si="31"/>
        <v>-1457</v>
      </c>
      <c r="M24" s="9">
        <f t="shared" si="31"/>
        <v>-1100</v>
      </c>
      <c r="N24" s="9">
        <f t="shared" si="31"/>
        <v>-744</v>
      </c>
      <c r="O24" s="9">
        <f t="shared" ref="O24" si="32">O21-O22-O23</f>
        <v>-545</v>
      </c>
      <c r="P24" s="9">
        <f t="shared" ref="P24" si="33">P21-P22-P23</f>
        <v>-1117</v>
      </c>
      <c r="Q24" s="9">
        <f t="shared" ref="Q24" si="34">Q21-Q22-Q23</f>
        <v>-1175</v>
      </c>
      <c r="R24" s="9">
        <f t="shared" ref="R24" si="35">R21-R22-R23</f>
        <v>-811</v>
      </c>
      <c r="S24" s="9"/>
      <c r="T24" s="9"/>
      <c r="U24" s="9"/>
      <c r="V24" s="9"/>
      <c r="Y24" s="9">
        <f t="shared" ref="Y24:AE24" si="36">Y21-Y22-Y23</f>
        <v>-1018</v>
      </c>
      <c r="Z24" s="9">
        <f t="shared" si="36"/>
        <v>-4687</v>
      </c>
      <c r="AA24" s="9">
        <f t="shared" si="36"/>
        <v>-6752</v>
      </c>
      <c r="AB24" s="9">
        <f t="shared" si="36"/>
        <v>-5432</v>
      </c>
      <c r="AC24" s="9">
        <f t="shared" si="36"/>
        <v>-4747</v>
      </c>
      <c r="AD24" s="9">
        <f t="shared" si="36"/>
        <v>-3648</v>
      </c>
      <c r="AE24" s="9">
        <f t="shared" si="36"/>
        <v>-2627.28</v>
      </c>
      <c r="AF24" s="9">
        <f t="shared" ref="AF24:AN24" si="37">AF21-AF22-AF23</f>
        <v>-1731.889999999999</v>
      </c>
      <c r="AG24" s="9">
        <f t="shared" si="37"/>
        <v>-1353.9353432000007</v>
      </c>
      <c r="AH24" s="9">
        <f t="shared" si="37"/>
        <v>-970.9200542480005</v>
      </c>
      <c r="AI24" s="9">
        <f t="shared" si="37"/>
        <v>-559.53469563992053</v>
      </c>
      <c r="AJ24" s="9">
        <f t="shared" si="37"/>
        <v>-100.86685745341592</v>
      </c>
      <c r="AK24" s="9">
        <f t="shared" si="37"/>
        <v>347.25389718543192</v>
      </c>
      <c r="AL24" s="9">
        <f t="shared" si="37"/>
        <v>866.87445803573098</v>
      </c>
      <c r="AM24" s="9">
        <f t="shared" si="37"/>
        <v>1468.7488794024207</v>
      </c>
      <c r="AN24" s="9">
        <f t="shared" si="37"/>
        <v>2044.4566788390846</v>
      </c>
      <c r="AO24" s="3">
        <f>AN24*(1+$AR$33)</f>
        <v>2024.0121120506938</v>
      </c>
      <c r="AP24" s="3">
        <f t="shared" ref="AP24:DA24" si="38">AO24*(1+$AR$33)</f>
        <v>2003.7719909301868</v>
      </c>
      <c r="AQ24" s="3">
        <f t="shared" si="38"/>
        <v>1983.734271020885</v>
      </c>
      <c r="AR24" s="3">
        <f t="shared" si="38"/>
        <v>1963.8969283106762</v>
      </c>
      <c r="AS24" s="3">
        <f t="shared" si="38"/>
        <v>1944.2579590275695</v>
      </c>
      <c r="AT24" s="3">
        <f t="shared" si="38"/>
        <v>1924.8153794372938</v>
      </c>
      <c r="AU24" s="3">
        <f t="shared" si="38"/>
        <v>1905.5672256429209</v>
      </c>
      <c r="AV24" s="3">
        <f t="shared" si="38"/>
        <v>1886.5115533864916</v>
      </c>
      <c r="AW24" s="3">
        <f t="shared" si="38"/>
        <v>1867.6464378526266</v>
      </c>
      <c r="AX24" s="3">
        <f t="shared" si="38"/>
        <v>1848.9699734741002</v>
      </c>
      <c r="AY24" s="3">
        <f t="shared" si="38"/>
        <v>1830.4802737393593</v>
      </c>
      <c r="AZ24" s="3">
        <f t="shared" si="38"/>
        <v>1812.1754710019657</v>
      </c>
      <c r="BA24" s="3">
        <f t="shared" si="38"/>
        <v>1794.0537162919459</v>
      </c>
      <c r="BB24" s="3">
        <f t="shared" si="38"/>
        <v>1776.1131791290263</v>
      </c>
      <c r="BC24" s="3">
        <f t="shared" si="38"/>
        <v>1758.3520473377359</v>
      </c>
      <c r="BD24" s="3">
        <f t="shared" si="38"/>
        <v>1740.7685268643586</v>
      </c>
      <c r="BE24" s="3">
        <f t="shared" si="38"/>
        <v>1723.3608415957151</v>
      </c>
      <c r="BF24" s="3">
        <f t="shared" si="38"/>
        <v>1706.1272331797579</v>
      </c>
      <c r="BG24" s="3">
        <f t="shared" si="38"/>
        <v>1689.0659608479602</v>
      </c>
      <c r="BH24" s="3">
        <f t="shared" si="38"/>
        <v>1672.1753012394806</v>
      </c>
      <c r="BI24" s="3">
        <f t="shared" si="38"/>
        <v>1655.4535482270858</v>
      </c>
      <c r="BJ24" s="3">
        <f t="shared" si="38"/>
        <v>1638.8990127448149</v>
      </c>
      <c r="BK24" s="3">
        <f t="shared" si="38"/>
        <v>1622.5100226173668</v>
      </c>
      <c r="BL24" s="3">
        <f t="shared" si="38"/>
        <v>1606.284922391193</v>
      </c>
      <c r="BM24" s="3">
        <f t="shared" si="38"/>
        <v>1590.222073167281</v>
      </c>
      <c r="BN24" s="3">
        <f t="shared" si="38"/>
        <v>1574.3198524356083</v>
      </c>
      <c r="BO24" s="3">
        <f t="shared" si="38"/>
        <v>1558.5766539112522</v>
      </c>
      <c r="BP24" s="3">
        <f t="shared" si="38"/>
        <v>1542.9908873721397</v>
      </c>
      <c r="BQ24" s="3">
        <f t="shared" si="38"/>
        <v>1527.5609784984183</v>
      </c>
      <c r="BR24" s="3">
        <f t="shared" si="38"/>
        <v>1512.2853687134341</v>
      </c>
      <c r="BS24" s="3">
        <f t="shared" si="38"/>
        <v>1497.1625150262996</v>
      </c>
      <c r="BT24" s="3">
        <f t="shared" si="38"/>
        <v>1482.1908898760366</v>
      </c>
      <c r="BU24" s="3">
        <f t="shared" si="38"/>
        <v>1467.3689809772764</v>
      </c>
      <c r="BV24" s="3">
        <f t="shared" si="38"/>
        <v>1452.6952911675037</v>
      </c>
      <c r="BW24" s="3">
        <f t="shared" si="38"/>
        <v>1438.1683382558285</v>
      </c>
      <c r="BX24" s="3">
        <f t="shared" si="38"/>
        <v>1423.7866548732702</v>
      </c>
      <c r="BY24" s="3">
        <f t="shared" si="38"/>
        <v>1409.5487883245376</v>
      </c>
      <c r="BZ24" s="3">
        <f t="shared" si="38"/>
        <v>1395.4533004412922</v>
      </c>
      <c r="CA24" s="3">
        <f t="shared" si="38"/>
        <v>1381.4987674368792</v>
      </c>
      <c r="CB24" s="3">
        <f t="shared" si="38"/>
        <v>1367.6837797625105</v>
      </c>
      <c r="CC24" s="3">
        <f t="shared" si="38"/>
        <v>1354.0069419648855</v>
      </c>
      <c r="CD24" s="3">
        <f t="shared" si="38"/>
        <v>1340.4668725452366</v>
      </c>
      <c r="CE24" s="3">
        <f t="shared" si="38"/>
        <v>1327.0622038197841</v>
      </c>
      <c r="CF24" s="3">
        <f t="shared" si="38"/>
        <v>1313.7915817815863</v>
      </c>
      <c r="CG24" s="3">
        <f t="shared" si="38"/>
        <v>1300.6536659637704</v>
      </c>
      <c r="CH24" s="3">
        <f t="shared" si="38"/>
        <v>1287.6471293041327</v>
      </c>
      <c r="CI24" s="3">
        <f t="shared" si="38"/>
        <v>1274.7706580110914</v>
      </c>
      <c r="CJ24" s="3">
        <f t="shared" si="38"/>
        <v>1262.0229514309806</v>
      </c>
      <c r="CK24" s="3">
        <f t="shared" si="38"/>
        <v>1249.4027219166708</v>
      </c>
      <c r="CL24" s="3">
        <f t="shared" si="38"/>
        <v>1236.908694697504</v>
      </c>
      <c r="CM24" s="3">
        <f t="shared" si="38"/>
        <v>1224.5396077505288</v>
      </c>
      <c r="CN24" s="3">
        <f t="shared" si="38"/>
        <v>1212.2942116730235</v>
      </c>
      <c r="CO24" s="3">
        <f t="shared" si="38"/>
        <v>1200.1712695562933</v>
      </c>
      <c r="CP24" s="3">
        <f t="shared" si="38"/>
        <v>1188.1695568607304</v>
      </c>
      <c r="CQ24" s="3">
        <f t="shared" si="38"/>
        <v>1176.2878612921231</v>
      </c>
      <c r="CR24" s="3">
        <f t="shared" si="38"/>
        <v>1164.5249826792019</v>
      </c>
      <c r="CS24" s="3">
        <f t="shared" si="38"/>
        <v>1152.8797328524099</v>
      </c>
      <c r="CT24" s="3">
        <f t="shared" si="38"/>
        <v>1141.3509355238857</v>
      </c>
      <c r="CU24" s="3">
        <f t="shared" si="38"/>
        <v>1129.9374261686469</v>
      </c>
      <c r="CV24" s="3">
        <f t="shared" si="38"/>
        <v>1118.6380519069603</v>
      </c>
      <c r="CW24" s="3">
        <f t="shared" si="38"/>
        <v>1107.4516713878907</v>
      </c>
      <c r="CX24" s="3">
        <f t="shared" si="38"/>
        <v>1096.3771546740118</v>
      </c>
      <c r="CY24" s="3">
        <f t="shared" si="38"/>
        <v>1085.4133831272716</v>
      </c>
      <c r="CZ24" s="3">
        <f t="shared" si="38"/>
        <v>1074.5592492959988</v>
      </c>
      <c r="DA24" s="3">
        <f t="shared" si="38"/>
        <v>1063.8136568030388</v>
      </c>
      <c r="DB24" s="3">
        <f t="shared" ref="DB24:EJ24" si="39">DA24*(1+$AR$33)</f>
        <v>1053.1755202350084</v>
      </c>
      <c r="DC24" s="3">
        <f t="shared" si="39"/>
        <v>1042.6437650326584</v>
      </c>
      <c r="DD24" s="3">
        <f t="shared" si="39"/>
        <v>1032.2173273823319</v>
      </c>
      <c r="DE24" s="3">
        <f t="shared" si="39"/>
        <v>1021.8951541085086</v>
      </c>
      <c r="DF24" s="3">
        <f t="shared" si="39"/>
        <v>1011.6762025674235</v>
      </c>
      <c r="DG24" s="3">
        <f t="shared" si="39"/>
        <v>1001.5594405417493</v>
      </c>
      <c r="DH24" s="3">
        <f t="shared" si="39"/>
        <v>991.54384613633181</v>
      </c>
      <c r="DI24" s="3">
        <f t="shared" si="39"/>
        <v>981.62840767496846</v>
      </c>
      <c r="DJ24" s="3">
        <f t="shared" si="39"/>
        <v>971.81212359821882</v>
      </c>
      <c r="DK24" s="3">
        <f t="shared" si="39"/>
        <v>962.09400236223667</v>
      </c>
      <c r="DL24" s="3">
        <f t="shared" si="39"/>
        <v>952.47306233861434</v>
      </c>
      <c r="DM24" s="3">
        <f t="shared" si="39"/>
        <v>942.94833171522816</v>
      </c>
      <c r="DN24" s="3">
        <f t="shared" si="39"/>
        <v>933.51884839807587</v>
      </c>
      <c r="DO24" s="3">
        <f t="shared" si="39"/>
        <v>924.18365991409507</v>
      </c>
      <c r="DP24" s="3">
        <f t="shared" si="39"/>
        <v>914.94182331495415</v>
      </c>
      <c r="DQ24" s="3">
        <f t="shared" si="39"/>
        <v>905.79240508180465</v>
      </c>
      <c r="DR24" s="3">
        <f t="shared" si="39"/>
        <v>896.73448103098656</v>
      </c>
      <c r="DS24" s="3">
        <f t="shared" si="39"/>
        <v>887.76713622067666</v>
      </c>
      <c r="DT24" s="3">
        <f t="shared" si="39"/>
        <v>878.88946485846986</v>
      </c>
      <c r="DU24" s="3">
        <f t="shared" si="39"/>
        <v>870.10057020988518</v>
      </c>
      <c r="DV24" s="3">
        <f t="shared" si="39"/>
        <v>861.39956450778629</v>
      </c>
      <c r="DW24" s="3">
        <f t="shared" si="39"/>
        <v>852.78556886270837</v>
      </c>
      <c r="DX24" s="3">
        <f t="shared" si="39"/>
        <v>844.25771317408123</v>
      </c>
      <c r="DY24" s="3">
        <f t="shared" si="39"/>
        <v>835.81513604234044</v>
      </c>
      <c r="DZ24" s="3">
        <f t="shared" si="39"/>
        <v>827.45698468191699</v>
      </c>
      <c r="EA24" s="3">
        <f t="shared" si="39"/>
        <v>819.1824148350978</v>
      </c>
      <c r="EB24" s="3">
        <f t="shared" si="39"/>
        <v>810.99059068674683</v>
      </c>
      <c r="EC24" s="3">
        <f t="shared" si="39"/>
        <v>802.8806847798794</v>
      </c>
      <c r="ED24" s="3">
        <f t="shared" si="39"/>
        <v>794.85187793208058</v>
      </c>
      <c r="EE24" s="3">
        <f t="shared" si="39"/>
        <v>786.90335915275978</v>
      </c>
      <c r="EF24" s="3">
        <f t="shared" si="39"/>
        <v>779.03432556123221</v>
      </c>
      <c r="EG24" s="3">
        <f t="shared" si="39"/>
        <v>771.24398230561985</v>
      </c>
      <c r="EH24" s="3">
        <f t="shared" si="39"/>
        <v>763.53154248256362</v>
      </c>
      <c r="EI24" s="3">
        <f t="shared" si="39"/>
        <v>755.89622705773797</v>
      </c>
      <c r="EJ24" s="3">
        <f t="shared" si="39"/>
        <v>748.33726478716062</v>
      </c>
    </row>
    <row r="25" spans="2:140" x14ac:dyDescent="0.3">
      <c r="B25" s="1" t="s">
        <v>2</v>
      </c>
      <c r="G25" s="6">
        <v>930</v>
      </c>
      <c r="H25" s="6">
        <v>942</v>
      </c>
      <c r="I25" s="6">
        <v>942</v>
      </c>
      <c r="J25" s="6">
        <v>963</v>
      </c>
      <c r="K25" s="6">
        <v>978</v>
      </c>
      <c r="L25" s="6">
        <v>1058</v>
      </c>
      <c r="M25" s="6">
        <v>1058</v>
      </c>
      <c r="N25" s="6">
        <v>1058</v>
      </c>
      <c r="O25" s="6">
        <f>1138.6+7.8</f>
        <v>1146.3999999999999</v>
      </c>
      <c r="P25" s="6">
        <f>1209.5+3.9</f>
        <v>1213.4000000000001</v>
      </c>
      <c r="Q25" s="6">
        <f>1222+3.9</f>
        <v>1225.9000000000001</v>
      </c>
      <c r="R25" s="6">
        <f>1237.1+3.9</f>
        <v>1241</v>
      </c>
      <c r="S25" s="6"/>
      <c r="T25" s="6"/>
      <c r="U25" s="6"/>
      <c r="V25" s="6"/>
      <c r="Y25" s="6">
        <v>1058</v>
      </c>
      <c r="Z25" s="6">
        <v>1058</v>
      </c>
      <c r="AA25" s="6">
        <v>1058</v>
      </c>
      <c r="AB25" s="6">
        <v>1058</v>
      </c>
      <c r="AC25" s="6">
        <v>1058</v>
      </c>
      <c r="AD25" s="6">
        <f>1237.1+3.9</f>
        <v>1241</v>
      </c>
      <c r="AE25" s="6">
        <f>1237.1+3.9</f>
        <v>1241</v>
      </c>
      <c r="AF25" s="6">
        <f>1237.1+3.9</f>
        <v>1241</v>
      </c>
      <c r="AG25" s="6">
        <f>1237.1+3.9</f>
        <v>1241</v>
      </c>
      <c r="AH25" s="6">
        <f>1237.1+3.9</f>
        <v>1241</v>
      </c>
      <c r="AI25" s="6">
        <f>1237.1+3.9</f>
        <v>1241</v>
      </c>
      <c r="AJ25" s="6">
        <f>1237.1+3.9</f>
        <v>1241</v>
      </c>
      <c r="AK25" s="6">
        <f>1237.1+3.9</f>
        <v>1241</v>
      </c>
      <c r="AL25" s="6">
        <f>1237.1+3.9</f>
        <v>1241</v>
      </c>
      <c r="AM25" s="6">
        <f>1237.1+3.9</f>
        <v>1241</v>
      </c>
      <c r="AN25" s="6">
        <f>1237.1+3.9</f>
        <v>1241</v>
      </c>
    </row>
    <row r="26" spans="2:140" x14ac:dyDescent="0.3">
      <c r="B26" s="1" t="s">
        <v>42</v>
      </c>
      <c r="G26" s="10">
        <f t="shared" ref="G26:N26" si="40">G24/G25</f>
        <v>-1.4505376344086021</v>
      </c>
      <c r="H26" s="10">
        <f t="shared" si="40"/>
        <v>-1.2685774946921444</v>
      </c>
      <c r="I26" s="10">
        <f t="shared" si="40"/>
        <v>-1.4511677282377919</v>
      </c>
      <c r="J26" s="10">
        <f t="shared" si="40"/>
        <v>-1.5794392523364487</v>
      </c>
      <c r="K26" s="10">
        <f t="shared" si="40"/>
        <v>-1.4785276073619631</v>
      </c>
      <c r="L26" s="10">
        <f t="shared" si="40"/>
        <v>-1.3771266540642721</v>
      </c>
      <c r="M26" s="10">
        <f t="shared" si="40"/>
        <v>-1.0396975425330812</v>
      </c>
      <c r="N26" s="10">
        <f t="shared" si="40"/>
        <v>-0.7032136105860114</v>
      </c>
      <c r="O26" s="10">
        <f t="shared" ref="O26" si="41">O24/O25</f>
        <v>-0.47540125610607126</v>
      </c>
      <c r="P26" s="10">
        <f t="shared" ref="P26" si="42">P24/P25</f>
        <v>-0.92055381572441064</v>
      </c>
      <c r="Q26" s="10">
        <f t="shared" ref="Q26" si="43">Q24/Q25</f>
        <v>-0.95847948446039632</v>
      </c>
      <c r="R26" s="10">
        <f t="shared" ref="R26" si="44">R24/R25</f>
        <v>-0.65350523771152291</v>
      </c>
      <c r="S26" s="10"/>
      <c r="T26" s="10"/>
      <c r="U26" s="10"/>
      <c r="V26" s="10"/>
      <c r="Y26" s="10">
        <f t="shared" ref="Y26:AE26" si="45">Y24/Y25</f>
        <v>-0.96219281663516065</v>
      </c>
      <c r="Z26" s="10">
        <f t="shared" si="45"/>
        <v>-4.4300567107750473</v>
      </c>
      <c r="AA26" s="10">
        <f t="shared" si="45"/>
        <v>-6.3818525519848768</v>
      </c>
      <c r="AB26" s="10">
        <f t="shared" si="45"/>
        <v>-5.1342155009451798</v>
      </c>
      <c r="AC26" s="10">
        <f t="shared" si="45"/>
        <v>-4.4867674858223063</v>
      </c>
      <c r="AD26" s="10">
        <f t="shared" si="45"/>
        <v>-2.9395648670427077</v>
      </c>
      <c r="AE26" s="10">
        <f t="shared" si="45"/>
        <v>-2.1170668815471396</v>
      </c>
      <c r="AF26" s="10">
        <f t="shared" ref="AF26:AN26" si="46">AF24/AF25</f>
        <v>-1.39556003223207</v>
      </c>
      <c r="AG26" s="10">
        <f t="shared" si="46"/>
        <v>-1.0910034997582601</v>
      </c>
      <c r="AH26" s="10">
        <f t="shared" si="46"/>
        <v>-0.78236910092506085</v>
      </c>
      <c r="AI26" s="10">
        <f t="shared" si="46"/>
        <v>-0.45087404966955724</v>
      </c>
      <c r="AJ26" s="10">
        <f t="shared" si="46"/>
        <v>-8.1278692549086151E-2</v>
      </c>
      <c r="AK26" s="10">
        <f t="shared" si="46"/>
        <v>0.27981780595119415</v>
      </c>
      <c r="AL26" s="10">
        <f t="shared" si="46"/>
        <v>0.69852897504893718</v>
      </c>
      <c r="AM26" s="10">
        <f t="shared" si="46"/>
        <v>1.1835204507674624</v>
      </c>
      <c r="AN26" s="10">
        <f t="shared" si="46"/>
        <v>1.6474268161475298</v>
      </c>
    </row>
    <row r="28" spans="2:140" x14ac:dyDescent="0.3">
      <c r="B28" s="1" t="s">
        <v>90</v>
      </c>
      <c r="N28" s="12">
        <f t="shared" ref="N28:R30" si="47">N6/J6-1</f>
        <v>0.25827814569536423</v>
      </c>
      <c r="O28" s="12">
        <f t="shared" si="47"/>
        <v>-0.1738351254480287</v>
      </c>
      <c r="P28" s="12">
        <f t="shared" ref="P28:P29" si="48">P6/L6-1</f>
        <v>-0.13687150837988826</v>
      </c>
      <c r="Q28" s="12">
        <f t="shared" ref="Q28:Q29" si="49">Q6/M6-1</f>
        <v>0.47164948453608257</v>
      </c>
      <c r="R28" s="12">
        <f t="shared" ref="R28:R29" si="50">R6/N6-1</f>
        <v>-0.44802631578947372</v>
      </c>
      <c r="S28" s="12"/>
      <c r="T28" s="12"/>
      <c r="U28" s="12"/>
      <c r="V28" s="12"/>
      <c r="AD28" s="12">
        <f t="shared" ref="AD28:AN30" si="51">AD6/AC6-1</f>
        <v>-0.14623272403031651</v>
      </c>
      <c r="AE28" s="12">
        <f t="shared" si="51"/>
        <v>0.30000000000000004</v>
      </c>
      <c r="AF28" s="12">
        <f t="shared" ref="AF28:AF29" si="52">AF6/AE6-1</f>
        <v>0.19999999999999996</v>
      </c>
      <c r="AG28" s="12">
        <f t="shared" ref="AG28:AG29" si="53">AG6/AF6-1</f>
        <v>0.14999999999999991</v>
      </c>
      <c r="AH28" s="12">
        <f t="shared" ref="AH28:AH29" si="54">AH6/AG6-1</f>
        <v>0.14999999999999991</v>
      </c>
      <c r="AI28" s="12">
        <f t="shared" ref="AI28:AI29" si="55">AI6/AH6-1</f>
        <v>0.14999999999999991</v>
      </c>
      <c r="AJ28" s="12">
        <f t="shared" ref="AJ28:AJ29" si="56">AJ6/AI6-1</f>
        <v>0.14999999999999991</v>
      </c>
      <c r="AK28" s="12">
        <f t="shared" ref="AK28:AK29" si="57">AK6/AJ6-1</f>
        <v>0.14999999999999991</v>
      </c>
      <c r="AL28" s="12">
        <f t="shared" ref="AL28:AL29" si="58">AL6/AK6-1</f>
        <v>0.14999999999999991</v>
      </c>
      <c r="AM28" s="12">
        <f t="shared" ref="AM28:AM29" si="59">AM6/AL6-1</f>
        <v>0.14999999999999991</v>
      </c>
      <c r="AN28" s="12">
        <f t="shared" ref="AN28:AN29" si="60">AN6/AM6-1</f>
        <v>0.10000000000000009</v>
      </c>
    </row>
    <row r="29" spans="2:140" x14ac:dyDescent="0.3">
      <c r="B29" s="1" t="s">
        <v>91</v>
      </c>
      <c r="N29" s="12">
        <f t="shared" si="47"/>
        <v>1</v>
      </c>
      <c r="O29" s="12">
        <f t="shared" si="47"/>
        <v>2.6136363636363638</v>
      </c>
      <c r="P29" s="12">
        <f t="shared" si="48"/>
        <v>3.4761904761904763</v>
      </c>
      <c r="Q29" s="12">
        <f t="shared" si="49"/>
        <v>3.2448979591836737</v>
      </c>
      <c r="R29" s="12">
        <f t="shared" si="50"/>
        <v>1.0887850467289719</v>
      </c>
      <c r="S29" s="12"/>
      <c r="T29" s="12"/>
      <c r="U29" s="12"/>
      <c r="V29" s="12"/>
      <c r="AD29" s="12">
        <f t="shared" si="51"/>
        <v>2.2169421487603307</v>
      </c>
      <c r="AE29" s="12">
        <f t="shared" si="51"/>
        <v>0.30000000000000004</v>
      </c>
      <c r="AF29" s="12">
        <f t="shared" si="52"/>
        <v>0.19999999999999996</v>
      </c>
      <c r="AG29" s="12">
        <f t="shared" si="53"/>
        <v>0.14999999999999991</v>
      </c>
      <c r="AH29" s="12">
        <f t="shared" si="54"/>
        <v>0.14999999999999991</v>
      </c>
      <c r="AI29" s="12">
        <f t="shared" si="55"/>
        <v>0.14999999999999991</v>
      </c>
      <c r="AJ29" s="12">
        <f t="shared" si="56"/>
        <v>0.14999999999999991</v>
      </c>
      <c r="AK29" s="12">
        <f t="shared" si="57"/>
        <v>0.14999999999999991</v>
      </c>
      <c r="AL29" s="12">
        <f t="shared" si="58"/>
        <v>0.14999999999999991</v>
      </c>
      <c r="AM29" s="12">
        <f t="shared" si="59"/>
        <v>0.14999999999999991</v>
      </c>
      <c r="AN29" s="12">
        <f t="shared" si="60"/>
        <v>0.14999999999999991</v>
      </c>
    </row>
    <row r="30" spans="2:140" s="3" customFormat="1" x14ac:dyDescent="0.3">
      <c r="B30" s="3" t="s">
        <v>47</v>
      </c>
      <c r="G30" s="11"/>
      <c r="H30" s="11"/>
      <c r="I30" s="11"/>
      <c r="J30" s="11"/>
      <c r="K30" s="11">
        <f t="shared" ref="K30:M30" si="61">K8/G8-1</f>
        <v>0.82148260211800306</v>
      </c>
      <c r="L30" s="11">
        <f t="shared" si="61"/>
        <v>3.3006244424620856E-2</v>
      </c>
      <c r="M30" s="11">
        <f t="shared" si="61"/>
        <v>-0.34629768137621542</v>
      </c>
      <c r="N30" s="11">
        <f>N8/J8-1</f>
        <v>0.31863117870722424</v>
      </c>
      <c r="O30" s="11">
        <f t="shared" si="47"/>
        <v>2.9900332225913706E-2</v>
      </c>
      <c r="P30" s="11">
        <f t="shared" si="47"/>
        <v>0.12521588946459405</v>
      </c>
      <c r="Q30" s="11">
        <f t="shared" si="47"/>
        <v>0.78260869565217384</v>
      </c>
      <c r="R30" s="11">
        <f t="shared" si="47"/>
        <v>-0.25836216839677051</v>
      </c>
      <c r="S30" s="11"/>
      <c r="T30" s="11"/>
      <c r="U30" s="11"/>
      <c r="V30" s="11"/>
      <c r="X30" s="11"/>
      <c r="Y30" s="11"/>
      <c r="Z30" s="11"/>
      <c r="AA30" s="11">
        <f t="shared" ref="AA30:AB30" si="62">AA8/Z8-1</f>
        <v>29.145454545454545</v>
      </c>
      <c r="AB30" s="11">
        <f t="shared" si="62"/>
        <v>1.6743063932448732</v>
      </c>
      <c r="AC30" s="11">
        <f>AC8/AB8-1</f>
        <v>0.12088407758231834</v>
      </c>
      <c r="AD30" s="11">
        <f t="shared" si="51"/>
        <v>8.3903420523138816E-2</v>
      </c>
      <c r="AE30" s="11">
        <f t="shared" si="51"/>
        <v>0.30000000000000004</v>
      </c>
      <c r="AF30" s="11">
        <f t="shared" si="51"/>
        <v>0.20000000000000018</v>
      </c>
      <c r="AG30" s="11">
        <f t="shared" si="51"/>
        <v>0.14999999999999969</v>
      </c>
      <c r="AH30" s="11">
        <f t="shared" si="51"/>
        <v>0.15000000000000013</v>
      </c>
      <c r="AI30" s="11">
        <f t="shared" si="51"/>
        <v>0.14999999999999991</v>
      </c>
      <c r="AJ30" s="11">
        <f t="shared" si="51"/>
        <v>0.14999999999999991</v>
      </c>
      <c r="AK30" s="11">
        <f t="shared" si="51"/>
        <v>0.14999999999999991</v>
      </c>
      <c r="AL30" s="11">
        <f t="shared" si="51"/>
        <v>0.14999999999999991</v>
      </c>
      <c r="AM30" s="11">
        <f t="shared" si="51"/>
        <v>0.14999999999999991</v>
      </c>
      <c r="AN30" s="11">
        <f t="shared" si="51"/>
        <v>0.11445145721180605</v>
      </c>
    </row>
    <row r="31" spans="2:140" s="3" customFormat="1" x14ac:dyDescent="0.3">
      <c r="B31" s="1" t="s">
        <v>92</v>
      </c>
      <c r="G31" s="11"/>
      <c r="H31" s="11"/>
      <c r="I31" s="11"/>
      <c r="J31" s="12">
        <f>(J6-J9)/J6</f>
        <v>-0.50579470198675491</v>
      </c>
      <c r="K31" s="12">
        <f>(K6-K9)/K6</f>
        <v>-0.44534050179211471</v>
      </c>
      <c r="L31" s="12"/>
      <c r="M31" s="11"/>
      <c r="N31" s="12">
        <f>(N6-N9)/N6</f>
        <v>7.2368421052631582E-2</v>
      </c>
      <c r="O31" s="12">
        <f>(O6-O9)/O6</f>
        <v>9.9783080260303691E-2</v>
      </c>
      <c r="P31" s="12">
        <f t="shared" ref="P31:R31" si="63">(P6-P9)/P6</f>
        <v>-0.36138079827400216</v>
      </c>
      <c r="Q31" s="12">
        <f t="shared" si="63"/>
        <v>-0.11383537653239929</v>
      </c>
      <c r="R31" s="12">
        <f t="shared" si="63"/>
        <v>-7.0321811680572111E-2</v>
      </c>
      <c r="S31" s="12"/>
      <c r="T31" s="12"/>
      <c r="U31" s="12"/>
      <c r="V31" s="12"/>
      <c r="X31" s="11"/>
      <c r="Y31" s="11"/>
      <c r="Z31" s="11"/>
      <c r="AA31" s="11"/>
      <c r="AB31" s="11"/>
      <c r="AC31" s="11"/>
      <c r="AD31" s="12">
        <f t="shared" ref="AD31:AN31" si="64">(AD6-AD9)/AD6</f>
        <v>-0.11279373368146214</v>
      </c>
      <c r="AE31" s="12">
        <f t="shared" si="64"/>
        <v>7.9999999999999946E-2</v>
      </c>
      <c r="AF31" s="12">
        <f t="shared" si="64"/>
        <v>0.11999999999999994</v>
      </c>
      <c r="AG31" s="12">
        <f t="shared" si="64"/>
        <v>0.15000000000000005</v>
      </c>
      <c r="AH31" s="12">
        <f t="shared" si="64"/>
        <v>0.17000000000000004</v>
      </c>
      <c r="AI31" s="12">
        <f t="shared" si="64"/>
        <v>0.18000000000000008</v>
      </c>
      <c r="AJ31" s="12">
        <f t="shared" si="64"/>
        <v>0.19</v>
      </c>
      <c r="AK31" s="12">
        <f t="shared" si="64"/>
        <v>0.19</v>
      </c>
      <c r="AL31" s="12">
        <f t="shared" si="64"/>
        <v>0.18999999999999989</v>
      </c>
      <c r="AM31" s="12">
        <f t="shared" si="64"/>
        <v>0.18999999999999992</v>
      </c>
      <c r="AN31" s="12">
        <f t="shared" si="64"/>
        <v>0.18999999999999997</v>
      </c>
    </row>
    <row r="32" spans="2:140" s="3" customFormat="1" x14ac:dyDescent="0.3">
      <c r="B32" s="1" t="s">
        <v>93</v>
      </c>
      <c r="G32" s="11"/>
      <c r="H32" s="11"/>
      <c r="I32" s="11"/>
      <c r="J32" s="12">
        <f>(J7-J10)/J7</f>
        <v>4.6728971962616821E-2</v>
      </c>
      <c r="K32" s="12">
        <f>(K7-K10)/K7</f>
        <v>-0.34090909090909088</v>
      </c>
      <c r="L32" s="12"/>
      <c r="M32" s="11"/>
      <c r="N32" s="12">
        <f>(N7-N10)/N7</f>
        <v>0.28037383177570091</v>
      </c>
      <c r="O32" s="12">
        <f>(O7-O10)/O7</f>
        <v>0.35849056603773582</v>
      </c>
      <c r="P32" s="12">
        <f t="shared" ref="P32:R32" si="65">(P7-P10)/P7</f>
        <v>0.34308510638297873</v>
      </c>
      <c r="Q32" s="12">
        <f t="shared" si="65"/>
        <v>0.37019230769230771</v>
      </c>
      <c r="R32" s="12">
        <f t="shared" si="65"/>
        <v>0.40044742729306487</v>
      </c>
      <c r="S32" s="12"/>
      <c r="T32" s="12"/>
      <c r="U32" s="12"/>
      <c r="V32" s="12"/>
      <c r="X32" s="11"/>
      <c r="Y32" s="11"/>
      <c r="Z32" s="11"/>
      <c r="AA32" s="11"/>
      <c r="AB32" s="11"/>
      <c r="AC32" s="11"/>
      <c r="AD32" s="12">
        <f t="shared" ref="AD32:AN32" si="66">(AD7-AD10)/AD7</f>
        <v>0.36994219653179189</v>
      </c>
      <c r="AE32" s="12">
        <f t="shared" si="66"/>
        <v>0.4</v>
      </c>
      <c r="AF32" s="12">
        <f t="shared" si="66"/>
        <v>0.4300000000000001</v>
      </c>
      <c r="AG32" s="12">
        <f t="shared" si="66"/>
        <v>0.45</v>
      </c>
      <c r="AH32" s="12">
        <f t="shared" si="66"/>
        <v>0.45999999999999996</v>
      </c>
      <c r="AI32" s="12">
        <f t="shared" si="66"/>
        <v>0.47</v>
      </c>
      <c r="AJ32" s="12">
        <f t="shared" si="66"/>
        <v>0.47</v>
      </c>
      <c r="AK32" s="12">
        <f t="shared" si="66"/>
        <v>0.47000000000000003</v>
      </c>
      <c r="AL32" s="12">
        <f t="shared" si="66"/>
        <v>0.47</v>
      </c>
      <c r="AM32" s="12">
        <f t="shared" si="66"/>
        <v>0.47000000000000003</v>
      </c>
      <c r="AN32" s="12">
        <f t="shared" si="66"/>
        <v>0.47</v>
      </c>
    </row>
    <row r="33" spans="2:44" x14ac:dyDescent="0.3">
      <c r="B33" s="1" t="s">
        <v>48</v>
      </c>
      <c r="G33" s="12">
        <f t="shared" ref="G33:M33" si="67">G12/G8</f>
        <v>-0.80937972768532529</v>
      </c>
      <c r="H33" s="12">
        <f t="shared" si="67"/>
        <v>-0.36752899197145406</v>
      </c>
      <c r="I33" s="12">
        <f t="shared" si="67"/>
        <v>-0.3567688855646971</v>
      </c>
      <c r="J33" s="12">
        <f t="shared" si="67"/>
        <v>-0.46083650190114067</v>
      </c>
      <c r="K33" s="12">
        <f t="shared" si="67"/>
        <v>-0.4377076411960133</v>
      </c>
      <c r="L33" s="12">
        <f t="shared" si="67"/>
        <v>-0.38946459412780654</v>
      </c>
      <c r="M33" s="12">
        <f t="shared" si="67"/>
        <v>-0.44851258581235698</v>
      </c>
      <c r="N33" s="12">
        <f>N12/N8</f>
        <v>9.8039215686274508E-2</v>
      </c>
      <c r="O33" s="12">
        <f t="shared" ref="O33:R33" si="68">O12/O8</f>
        <v>0.16612903225806452</v>
      </c>
      <c r="P33" s="12">
        <f t="shared" si="68"/>
        <v>-0.15809669992325404</v>
      </c>
      <c r="Q33" s="12">
        <f t="shared" si="68"/>
        <v>1.540436456996149E-2</v>
      </c>
      <c r="R33" s="12">
        <f t="shared" si="68"/>
        <v>9.3312597200622086E-2</v>
      </c>
      <c r="S33" s="12"/>
      <c r="T33" s="12"/>
      <c r="U33" s="12"/>
      <c r="V33" s="12"/>
      <c r="X33" s="12"/>
      <c r="Y33" s="12"/>
      <c r="Z33" s="12">
        <f t="shared" ref="Z33:AB33" si="69">Z12/Z8</f>
        <v>-8.454545454545455</v>
      </c>
      <c r="AA33" s="12">
        <f t="shared" si="69"/>
        <v>-1.8835946924004825</v>
      </c>
      <c r="AB33" s="12">
        <f t="shared" si="69"/>
        <v>-0.45782589084348219</v>
      </c>
      <c r="AC33" s="12">
        <f>AC12/AC8</f>
        <v>-0.2414486921529175</v>
      </c>
      <c r="AD33" s="12">
        <f t="shared" ref="AD33:AN33" si="70">AD12/AD8</f>
        <v>2.6731019120103953E-2</v>
      </c>
      <c r="AE33" s="12">
        <f t="shared" si="70"/>
        <v>0.17248932615555967</v>
      </c>
      <c r="AF33" s="12">
        <f t="shared" si="70"/>
        <v>0.20959903471319857</v>
      </c>
      <c r="AG33" s="12">
        <f t="shared" si="70"/>
        <v>0.23670874327083713</v>
      </c>
      <c r="AH33" s="12">
        <f t="shared" si="70"/>
        <v>0.25381845182847595</v>
      </c>
      <c r="AI33" s="12">
        <f t="shared" si="70"/>
        <v>0.26381845182847596</v>
      </c>
      <c r="AJ33" s="12">
        <f t="shared" si="70"/>
        <v>0.27092816038611472</v>
      </c>
      <c r="AK33" s="12">
        <f t="shared" si="70"/>
        <v>0.27092816038611478</v>
      </c>
      <c r="AL33" s="12">
        <f t="shared" si="70"/>
        <v>0.27092816038611472</v>
      </c>
      <c r="AM33" s="12">
        <f t="shared" si="70"/>
        <v>0.27092816038611472</v>
      </c>
      <c r="AN33" s="12">
        <f t="shared" si="70"/>
        <v>0.27350959015915577</v>
      </c>
      <c r="AQ33" s="1" t="s">
        <v>53</v>
      </c>
      <c r="AR33" s="12">
        <v>-0.01</v>
      </c>
    </row>
    <row r="34" spans="2:44" x14ac:dyDescent="0.3">
      <c r="B34" s="1" t="s">
        <v>49</v>
      </c>
      <c r="G34" s="12"/>
      <c r="H34" s="12"/>
      <c r="I34" s="12"/>
      <c r="J34" s="12"/>
      <c r="K34" s="12">
        <f t="shared" ref="K34:M34" si="71">K13/G13-1</f>
        <v>-7.0564516129032251E-2</v>
      </c>
      <c r="L34" s="12">
        <f t="shared" si="71"/>
        <v>-3.6036036036036001E-2</v>
      </c>
      <c r="M34" s="12">
        <f t="shared" si="71"/>
        <v>-0.33837429111531192</v>
      </c>
      <c r="N34" s="12">
        <f>N13/J13-1</f>
        <v>-0.28897338403041828</v>
      </c>
      <c r="O34" s="12">
        <f t="shared" ref="O34:R34" si="72">O13/K13-1</f>
        <v>-0.17353579175704992</v>
      </c>
      <c r="P34" s="12">
        <f t="shared" si="72"/>
        <v>-4.2056074766355089E-2</v>
      </c>
      <c r="Q34" s="12">
        <f t="shared" si="72"/>
        <v>0.29428571428571426</v>
      </c>
      <c r="R34" s="12">
        <f t="shared" si="72"/>
        <v>0.1336898395721926</v>
      </c>
      <c r="S34" s="12"/>
      <c r="T34" s="12"/>
      <c r="U34" s="12"/>
      <c r="V34" s="12"/>
      <c r="X34" s="12"/>
      <c r="Y34" s="12"/>
      <c r="Z34" s="12">
        <f t="shared" ref="Z34:AB34" si="73">Z13/Y13-1</f>
        <v>1.4151436031331595</v>
      </c>
      <c r="AA34" s="12">
        <f t="shared" si="73"/>
        <v>5.0810810810810736E-2</v>
      </c>
      <c r="AB34" s="12">
        <f t="shared" si="73"/>
        <v>2.6234567901234573E-2</v>
      </c>
      <c r="AC34" s="12">
        <f>AC13/AB13-1</f>
        <v>-0.19147869674185458</v>
      </c>
      <c r="AD34" s="12">
        <f t="shared" ref="AD34:AN34" si="74">AD13/AC13-1</f>
        <v>3.4097954122752627E-2</v>
      </c>
      <c r="AE34" s="12">
        <f t="shared" si="74"/>
        <v>4.0000000000000036E-2</v>
      </c>
      <c r="AF34" s="12">
        <f t="shared" si="74"/>
        <v>3.0000000000000027E-2</v>
      </c>
      <c r="AG34" s="12">
        <f t="shared" si="74"/>
        <v>2.0000000000000018E-2</v>
      </c>
      <c r="AH34" s="12">
        <f t="shared" si="74"/>
        <v>2.0000000000000018E-2</v>
      </c>
      <c r="AI34" s="12">
        <f t="shared" si="74"/>
        <v>1.0000000000000009E-2</v>
      </c>
      <c r="AJ34" s="12">
        <f t="shared" si="74"/>
        <v>1.0000000000000009E-2</v>
      </c>
      <c r="AK34" s="12">
        <f t="shared" si="74"/>
        <v>1.0000000000000009E-2</v>
      </c>
      <c r="AL34" s="12">
        <f t="shared" si="74"/>
        <v>1.0000000000000009E-2</v>
      </c>
      <c r="AM34" s="12">
        <f t="shared" si="74"/>
        <v>1.0000000000000009E-2</v>
      </c>
      <c r="AN34" s="12">
        <f t="shared" si="74"/>
        <v>1.0000000000000009E-2</v>
      </c>
      <c r="AQ34" s="1" t="s">
        <v>54</v>
      </c>
      <c r="AR34" s="12">
        <v>0.09</v>
      </c>
    </row>
    <row r="35" spans="2:44" x14ac:dyDescent="0.3">
      <c r="B35" s="1" t="s">
        <v>50</v>
      </c>
      <c r="G35" s="12">
        <f t="shared" ref="G35:M35" si="75">G14/G8</f>
        <v>0.60816944024205744</v>
      </c>
      <c r="H35" s="12">
        <f t="shared" si="75"/>
        <v>0.38269402319357715</v>
      </c>
      <c r="I35" s="12">
        <f t="shared" si="75"/>
        <v>0.32460732984293195</v>
      </c>
      <c r="J35" s="12">
        <f t="shared" si="75"/>
        <v>0.34144486692015208</v>
      </c>
      <c r="K35" s="12">
        <f t="shared" si="75"/>
        <v>0.41196013289036543</v>
      </c>
      <c r="L35" s="12">
        <f t="shared" si="75"/>
        <v>0.42832469775474957</v>
      </c>
      <c r="M35" s="12">
        <f t="shared" si="75"/>
        <v>0.48855835240274598</v>
      </c>
      <c r="N35" s="12">
        <f>N14/N8</f>
        <v>0.2635524798154556</v>
      </c>
      <c r="O35" s="12">
        <f t="shared" ref="O35:R35" si="76">O14/O8</f>
        <v>0.38709677419354838</v>
      </c>
      <c r="P35" s="12">
        <f t="shared" si="76"/>
        <v>0.38219493476592481</v>
      </c>
      <c r="Q35" s="12">
        <f t="shared" si="76"/>
        <v>0.35558408215661103</v>
      </c>
      <c r="R35" s="12">
        <f t="shared" si="76"/>
        <v>0.41135303265940903</v>
      </c>
      <c r="S35" s="12"/>
      <c r="T35" s="12"/>
      <c r="U35" s="12"/>
      <c r="V35" s="12"/>
      <c r="X35" s="12"/>
      <c r="Y35" s="12"/>
      <c r="Z35" s="12">
        <f t="shared" ref="Z35:AB35" si="77">Z14/Z8</f>
        <v>34.618181818181817</v>
      </c>
      <c r="AA35" s="12">
        <f t="shared" si="77"/>
        <v>1.0790108564535585</v>
      </c>
      <c r="AB35" s="12">
        <f t="shared" si="77"/>
        <v>0.38655841226883175</v>
      </c>
      <c r="AC35" s="12">
        <f>AC14/AC8</f>
        <v>0.37746478873239436</v>
      </c>
      <c r="AD35" s="12">
        <f t="shared" ref="AD35:AN35" si="78">AD14/AD8</f>
        <v>0.38258771115648782</v>
      </c>
      <c r="AE35" s="12">
        <f t="shared" si="78"/>
        <v>0.30312718653167881</v>
      </c>
      <c r="AF35" s="12">
        <f t="shared" si="78"/>
        <v>0.25765810855192695</v>
      </c>
      <c r="AG35" s="12">
        <f t="shared" si="78"/>
        <v>0.22629103446734461</v>
      </c>
      <c r="AH35" s="12">
        <f t="shared" si="78"/>
        <v>0.19874256070610266</v>
      </c>
      <c r="AI35" s="12">
        <f t="shared" si="78"/>
        <v>0.17454781418535975</v>
      </c>
      <c r="AJ35" s="12">
        <f t="shared" si="78"/>
        <v>0.15329851506714207</v>
      </c>
      <c r="AK35" s="12">
        <f t="shared" si="78"/>
        <v>0.13463608714592476</v>
      </c>
      <c r="AL35" s="12">
        <f t="shared" si="78"/>
        <v>0.11824560697163827</v>
      </c>
      <c r="AM35" s="12">
        <f t="shared" si="78"/>
        <v>0.10385048960117796</v>
      </c>
      <c r="AN35" s="12">
        <f t="shared" si="78"/>
        <v>9.4117149579225831E-2</v>
      </c>
      <c r="AQ35" s="1" t="s">
        <v>55</v>
      </c>
      <c r="AR35" s="6">
        <f>NPV(AR34,AD24:EJ24)</f>
        <v>954.85210722635975</v>
      </c>
    </row>
    <row r="36" spans="2:44" x14ac:dyDescent="0.3">
      <c r="B36" s="1" t="s">
        <v>52</v>
      </c>
      <c r="G36" s="12">
        <f t="shared" ref="G36:M36" si="79">G15/G8</f>
        <v>-2.1679273827534038</v>
      </c>
      <c r="H36" s="12">
        <f t="shared" si="79"/>
        <v>-1.1462979482604818</v>
      </c>
      <c r="I36" s="12">
        <f t="shared" si="79"/>
        <v>-1.0770381451009723</v>
      </c>
      <c r="J36" s="12">
        <f t="shared" si="79"/>
        <v>-1.2022813688212928</v>
      </c>
      <c r="K36" s="12">
        <f t="shared" si="79"/>
        <v>-1.2325581395348837</v>
      </c>
      <c r="L36" s="12">
        <f t="shared" si="79"/>
        <v>-1.1873920552677029</v>
      </c>
      <c r="M36" s="12">
        <f t="shared" si="79"/>
        <v>-1.3375286041189931</v>
      </c>
      <c r="N36" s="12">
        <f>N15/N8</f>
        <v>-0.38119953863898498</v>
      </c>
      <c r="O36" s="12">
        <f t="shared" ref="O36:R36" si="80">O15/O8</f>
        <v>-0.52822580645161288</v>
      </c>
      <c r="P36" s="12">
        <f t="shared" si="80"/>
        <v>-0.85495011511895624</v>
      </c>
      <c r="Q36" s="12">
        <f t="shared" si="80"/>
        <v>-0.63093709884467264</v>
      </c>
      <c r="R36" s="12">
        <f t="shared" si="80"/>
        <v>-0.64774494556765161</v>
      </c>
      <c r="S36" s="12"/>
      <c r="T36" s="12"/>
      <c r="U36" s="12"/>
      <c r="V36" s="12"/>
      <c r="X36" s="12"/>
      <c r="Y36" s="12"/>
      <c r="Z36" s="12">
        <f t="shared" ref="Z36:AB36" si="81">Z15/Z8</f>
        <v>-76.709090909090904</v>
      </c>
      <c r="AA36" s="12">
        <f t="shared" si="81"/>
        <v>-4.1351025331724971</v>
      </c>
      <c r="AB36" s="12">
        <f t="shared" si="81"/>
        <v>-1.2943166441136671</v>
      </c>
      <c r="AC36" s="12">
        <f>AC15/AC8</f>
        <v>-0.94346076458752515</v>
      </c>
      <c r="AD36" s="12">
        <f t="shared" ref="AD36:AN36" si="82">AD15/AD8</f>
        <v>-0.66549099684425472</v>
      </c>
      <c r="AE36" s="12">
        <f t="shared" si="82"/>
        <v>-0.3783453042224158</v>
      </c>
      <c r="AF36" s="12">
        <f t="shared" si="82"/>
        <v>-0.26067462980679967</v>
      </c>
      <c r="AG36" s="12">
        <f t="shared" si="82"/>
        <v>-0.17816304518557943</v>
      </c>
      <c r="AH36" s="12">
        <f t="shared" si="82"/>
        <v>-0.11218703850271662</v>
      </c>
      <c r="AI36" s="12">
        <f t="shared" si="82"/>
        <v>-5.7629848375441009E-2</v>
      </c>
      <c r="AJ36" s="12">
        <f t="shared" si="82"/>
        <v>-1.1387303271238451E-2</v>
      </c>
      <c r="AK36" s="12">
        <f t="shared" si="82"/>
        <v>2.298153578270026E-2</v>
      </c>
      <c r="AL36" s="12">
        <f t="shared" si="82"/>
        <v>5.3166342256159307E-2</v>
      </c>
      <c r="AM36" s="12">
        <f t="shared" si="82"/>
        <v>7.9676476637197319E-2</v>
      </c>
      <c r="AN36" s="12">
        <f t="shared" si="82"/>
        <v>0.10018288370064837</v>
      </c>
      <c r="AQ36" s="1" t="s">
        <v>56</v>
      </c>
      <c r="AR36" s="6">
        <f>Main!D8</f>
        <v>3259</v>
      </c>
    </row>
    <row r="37" spans="2:44" x14ac:dyDescent="0.3">
      <c r="B37" s="1" t="s">
        <v>40</v>
      </c>
      <c r="G37" s="12">
        <f t="shared" ref="G37:M37" si="83">G22/G21</f>
        <v>-7.4183976261127599E-4</v>
      </c>
      <c r="H37" s="12">
        <f t="shared" si="83"/>
        <v>0</v>
      </c>
      <c r="I37" s="12">
        <f t="shared" si="83"/>
        <v>0</v>
      </c>
      <c r="J37" s="12">
        <f t="shared" si="83"/>
        <v>0</v>
      </c>
      <c r="K37" s="12">
        <f t="shared" si="83"/>
        <v>-6.9204152249134946E-4</v>
      </c>
      <c r="L37" s="12">
        <f t="shared" si="83"/>
        <v>-6.8681318681318687E-4</v>
      </c>
      <c r="M37" s="12">
        <f t="shared" si="83"/>
        <v>0</v>
      </c>
      <c r="N37" s="12">
        <f>N22/N21</f>
        <v>-4.0540540540540543E-3</v>
      </c>
      <c r="O37" s="12">
        <f t="shared" ref="O37:R37" si="84">O22/O21</f>
        <v>-3.7105751391465678E-3</v>
      </c>
      <c r="P37" s="12">
        <f t="shared" si="84"/>
        <v>-1.7969451931716084E-3</v>
      </c>
      <c r="Q37" s="12">
        <f t="shared" si="84"/>
        <v>-8.5689802913453304E-4</v>
      </c>
      <c r="R37" s="12">
        <f t="shared" si="84"/>
        <v>-3.7453183520599251E-3</v>
      </c>
      <c r="S37" s="12"/>
      <c r="T37" s="12"/>
      <c r="U37" s="12"/>
      <c r="V37" s="12"/>
      <c r="X37" s="12"/>
      <c r="Y37" s="12"/>
      <c r="Z37" s="12">
        <f t="shared" ref="Z37:AB37" si="85">Z22/Z21</f>
        <v>0</v>
      </c>
      <c r="AA37" s="12">
        <f t="shared" si="85"/>
        <v>-5.9276822762299936E-4</v>
      </c>
      <c r="AB37" s="12">
        <f t="shared" si="85"/>
        <v>-1.8412815319462345E-4</v>
      </c>
      <c r="AC37" s="12">
        <f>AC22/AC21</f>
        <v>-1.054629824931449E-3</v>
      </c>
      <c r="AD37" s="12">
        <f t="shared" ref="AD37:AN37" si="86">AD22/AD21</f>
        <v>-2.2099447513812156E-3</v>
      </c>
      <c r="AE37" s="12">
        <f t="shared" si="86"/>
        <v>0</v>
      </c>
      <c r="AF37" s="12">
        <f t="shared" si="86"/>
        <v>0.2</v>
      </c>
      <c r="AG37" s="12">
        <f t="shared" si="86"/>
        <v>0.2</v>
      </c>
      <c r="AH37" s="12">
        <f t="shared" si="86"/>
        <v>0.2</v>
      </c>
      <c r="AI37" s="12">
        <f t="shared" si="86"/>
        <v>0.2</v>
      </c>
      <c r="AJ37" s="12">
        <f t="shared" si="86"/>
        <v>0.2</v>
      </c>
      <c r="AK37" s="12">
        <f t="shared" si="86"/>
        <v>0.2</v>
      </c>
      <c r="AL37" s="12">
        <f t="shared" si="86"/>
        <v>0.2</v>
      </c>
      <c r="AM37" s="12">
        <f t="shared" si="86"/>
        <v>0.2</v>
      </c>
      <c r="AN37" s="12">
        <f t="shared" si="86"/>
        <v>0.2</v>
      </c>
      <c r="AQ37" s="1" t="s">
        <v>57</v>
      </c>
      <c r="AR37" s="6">
        <f>AR35+AR36</f>
        <v>4213.8521072263593</v>
      </c>
    </row>
    <row r="38" spans="2:44" x14ac:dyDescent="0.3">
      <c r="B38" s="1" t="s">
        <v>51</v>
      </c>
      <c r="G38" s="12">
        <f t="shared" ref="G38:M38" si="87">G24/G8</f>
        <v>-2.0408472012102874</v>
      </c>
      <c r="H38" s="12">
        <f t="shared" si="87"/>
        <v>-1.0660124888492417</v>
      </c>
      <c r="I38" s="12">
        <f t="shared" si="87"/>
        <v>-1.0224382946896036</v>
      </c>
      <c r="J38" s="12">
        <f t="shared" si="87"/>
        <v>-1.1566539923954373</v>
      </c>
      <c r="K38" s="12">
        <f t="shared" si="87"/>
        <v>-1.2009966777408638</v>
      </c>
      <c r="L38" s="12">
        <f t="shared" si="87"/>
        <v>-1.258203799654577</v>
      </c>
      <c r="M38" s="12">
        <f t="shared" si="87"/>
        <v>-1.2585812356979404</v>
      </c>
      <c r="N38" s="12">
        <f>N24/N8</f>
        <v>-0.4290657439446367</v>
      </c>
      <c r="O38" s="12">
        <f t="shared" ref="O38:R38" si="88">O24/O8</f>
        <v>-0.43951612903225806</v>
      </c>
      <c r="P38" s="12">
        <f t="shared" si="88"/>
        <v>-0.85725249424405214</v>
      </c>
      <c r="Q38" s="12">
        <f t="shared" si="88"/>
        <v>-0.75417201540436452</v>
      </c>
      <c r="R38" s="12">
        <f t="shared" si="88"/>
        <v>-0.63063763608087087</v>
      </c>
      <c r="S38" s="12"/>
      <c r="T38" s="12"/>
      <c r="U38" s="12"/>
      <c r="V38" s="12"/>
      <c r="X38" s="12"/>
      <c r="Y38" s="12"/>
      <c r="Z38" s="12">
        <f t="shared" ref="Z38:AB38" si="89">Z24/Z8</f>
        <v>-85.218181818181819</v>
      </c>
      <c r="AA38" s="12">
        <f t="shared" si="89"/>
        <v>-4.0723763570566947</v>
      </c>
      <c r="AB38" s="12">
        <f t="shared" si="89"/>
        <v>-1.2250789354984213</v>
      </c>
      <c r="AC38" s="12">
        <f>AC24/AC8</f>
        <v>-0.95513078470824953</v>
      </c>
      <c r="AD38" s="12">
        <f t="shared" ref="AD38:AN38" si="90">AD24/AD8</f>
        <v>-0.6771858177093002</v>
      </c>
      <c r="AE38" s="12">
        <f t="shared" si="90"/>
        <v>-0.37515957218945895</v>
      </c>
      <c r="AF38" s="12">
        <f t="shared" si="90"/>
        <v>-0.20608611424464388</v>
      </c>
      <c r="AG38" s="12">
        <f t="shared" si="90"/>
        <v>-0.14009689530868225</v>
      </c>
      <c r="AH38" s="12">
        <f t="shared" si="90"/>
        <v>-8.7360722450424089E-2</v>
      </c>
      <c r="AI38" s="12">
        <f t="shared" si="90"/>
        <v>-4.3778605783169812E-2</v>
      </c>
      <c r="AJ38" s="12">
        <f t="shared" si="90"/>
        <v>-6.862550527832959E-3</v>
      </c>
      <c r="AK38" s="12">
        <f t="shared" si="90"/>
        <v>2.0544063691110729E-2</v>
      </c>
      <c r="AL38" s="12">
        <f t="shared" si="90"/>
        <v>4.459617293290602E-2</v>
      </c>
      <c r="AM38" s="12">
        <f t="shared" si="90"/>
        <v>6.5703891385351404E-2</v>
      </c>
      <c r="AN38" s="12">
        <f t="shared" si="90"/>
        <v>8.206543949677661E-2</v>
      </c>
      <c r="AQ38" s="1" t="s">
        <v>58</v>
      </c>
      <c r="AR38" s="4">
        <f>AR37/AN25</f>
        <v>3.3955294981678965</v>
      </c>
    </row>
    <row r="39" spans="2:44" x14ac:dyDescent="0.3">
      <c r="AQ39" s="1" t="s">
        <v>59</v>
      </c>
      <c r="AR39" s="4">
        <f>Main!D3</f>
        <v>15.22</v>
      </c>
    </row>
    <row r="40" spans="2:44" s="3" customFormat="1" x14ac:dyDescent="0.3">
      <c r="B40" s="3" t="s">
        <v>56</v>
      </c>
      <c r="J40" s="9">
        <f>J41+J42-J56</f>
        <v>4937</v>
      </c>
      <c r="N40" s="9">
        <f>N41+N42-N56</f>
        <v>3259</v>
      </c>
      <c r="AQ40" s="3" t="s">
        <v>60</v>
      </c>
      <c r="AR40" s="11">
        <f>AR38/AR39-1</f>
        <v>-0.77690344952904755</v>
      </c>
    </row>
    <row r="41" spans="2:44" x14ac:dyDescent="0.3">
      <c r="B41" s="1" t="s">
        <v>4</v>
      </c>
      <c r="J41" s="6">
        <v>7857</v>
      </c>
      <c r="N41" s="6">
        <v>5294</v>
      </c>
      <c r="AQ41" s="1" t="s">
        <v>61</v>
      </c>
      <c r="AR41" s="7" t="s">
        <v>89</v>
      </c>
    </row>
    <row r="42" spans="2:44" x14ac:dyDescent="0.3">
      <c r="B42" s="1" t="s">
        <v>62</v>
      </c>
      <c r="J42" s="6">
        <v>1511</v>
      </c>
      <c r="N42" s="6">
        <v>2406</v>
      </c>
    </row>
    <row r="43" spans="2:44" x14ac:dyDescent="0.3">
      <c r="B43" s="1" t="s">
        <v>63</v>
      </c>
      <c r="J43" s="6">
        <v>161</v>
      </c>
      <c r="N43" s="6">
        <v>443</v>
      </c>
    </row>
    <row r="44" spans="2:44" x14ac:dyDescent="0.3">
      <c r="B44" s="1" t="s">
        <v>64</v>
      </c>
      <c r="J44" s="6">
        <v>2620</v>
      </c>
      <c r="N44" s="6">
        <v>2248</v>
      </c>
    </row>
    <row r="45" spans="2:44" x14ac:dyDescent="0.3">
      <c r="B45" s="1" t="s">
        <v>65</v>
      </c>
      <c r="J45" s="6">
        <v>164</v>
      </c>
      <c r="N45" s="6">
        <v>192</v>
      </c>
    </row>
    <row r="46" spans="2:44" s="3" customFormat="1" x14ac:dyDescent="0.3">
      <c r="B46" s="3" t="s">
        <v>66</v>
      </c>
      <c r="J46" s="9">
        <f>SUM(J41:J45)</f>
        <v>12313</v>
      </c>
      <c r="N46" s="9">
        <f>SUM(N41:N45)</f>
        <v>10583</v>
      </c>
    </row>
    <row r="47" spans="2:44" x14ac:dyDescent="0.3">
      <c r="B47" s="1" t="s">
        <v>67</v>
      </c>
      <c r="J47" s="6">
        <v>3874</v>
      </c>
      <c r="N47" s="6">
        <v>3965</v>
      </c>
    </row>
    <row r="48" spans="2:44" x14ac:dyDescent="0.3">
      <c r="B48" s="1" t="s">
        <v>68</v>
      </c>
      <c r="J48" s="6">
        <v>356</v>
      </c>
      <c r="N48" s="6">
        <v>416</v>
      </c>
    </row>
    <row r="49" spans="2:40" x14ac:dyDescent="0.3">
      <c r="B49" s="1" t="s">
        <v>69</v>
      </c>
      <c r="J49" s="6">
        <v>235</v>
      </c>
      <c r="N49" s="6">
        <v>446</v>
      </c>
    </row>
    <row r="50" spans="2:40" s="3" customFormat="1" x14ac:dyDescent="0.3">
      <c r="B50" s="3" t="s">
        <v>70</v>
      </c>
      <c r="J50" s="9">
        <f>SUM(J47:J49)</f>
        <v>4465</v>
      </c>
      <c r="N50" s="9">
        <f>SUM(N47:N49)</f>
        <v>4827</v>
      </c>
    </row>
    <row r="51" spans="2:40" s="3" customFormat="1" x14ac:dyDescent="0.3">
      <c r="B51" s="3" t="s">
        <v>79</v>
      </c>
      <c r="J51" s="9">
        <f>J46+J50</f>
        <v>16778</v>
      </c>
      <c r="N51" s="9">
        <f>N46+N50</f>
        <v>15410</v>
      </c>
    </row>
    <row r="52" spans="2:40" x14ac:dyDescent="0.3">
      <c r="B52" s="1" t="s">
        <v>71</v>
      </c>
      <c r="J52" s="6">
        <v>981</v>
      </c>
      <c r="N52" s="6">
        <v>499</v>
      </c>
    </row>
    <row r="53" spans="2:40" x14ac:dyDescent="0.3">
      <c r="B53" s="1" t="s">
        <v>72</v>
      </c>
      <c r="J53" s="6">
        <v>1145</v>
      </c>
      <c r="N53" s="6">
        <v>835</v>
      </c>
    </row>
    <row r="54" spans="2:40" x14ac:dyDescent="0.3">
      <c r="B54" s="1" t="s">
        <v>73</v>
      </c>
      <c r="J54" s="6">
        <v>361</v>
      </c>
      <c r="N54" s="6">
        <v>917</v>
      </c>
    </row>
    <row r="55" spans="2:40" s="3" customFormat="1" x14ac:dyDescent="0.3">
      <c r="B55" s="3" t="s">
        <v>74</v>
      </c>
      <c r="J55" s="9">
        <f>SUM(J52:J54)</f>
        <v>2487</v>
      </c>
      <c r="N55" s="9">
        <f>SUM(N52:N54)</f>
        <v>2251</v>
      </c>
    </row>
    <row r="56" spans="2:40" x14ac:dyDescent="0.3">
      <c r="B56" s="1" t="s">
        <v>5</v>
      </c>
      <c r="J56" s="6">
        <v>4431</v>
      </c>
      <c r="N56" s="6">
        <v>4441</v>
      </c>
    </row>
    <row r="57" spans="2:40" x14ac:dyDescent="0.3">
      <c r="B57" s="1" t="s">
        <v>68</v>
      </c>
      <c r="J57" s="6">
        <v>324</v>
      </c>
      <c r="N57" s="6">
        <v>379</v>
      </c>
    </row>
    <row r="58" spans="2:40" x14ac:dyDescent="0.3">
      <c r="B58" s="1" t="s">
        <v>75</v>
      </c>
      <c r="J58" s="6">
        <v>395</v>
      </c>
      <c r="N58" s="6">
        <v>1777</v>
      </c>
    </row>
    <row r="59" spans="2:40" s="3" customFormat="1" x14ac:dyDescent="0.3">
      <c r="B59" s="3" t="s">
        <v>76</v>
      </c>
      <c r="J59" s="9">
        <f>SUM(J56:J58)</f>
        <v>5150</v>
      </c>
      <c r="N59" s="9">
        <f>SUM(N56:N58)</f>
        <v>6597</v>
      </c>
    </row>
    <row r="60" spans="2:40" s="3" customFormat="1" x14ac:dyDescent="0.3">
      <c r="B60" s="3" t="s">
        <v>77</v>
      </c>
      <c r="J60" s="9">
        <v>9141</v>
      </c>
      <c r="N60" s="9">
        <v>6562</v>
      </c>
    </row>
    <row r="61" spans="2:40" s="3" customFormat="1" x14ac:dyDescent="0.3">
      <c r="B61" s="3" t="s">
        <v>78</v>
      </c>
      <c r="J61" s="9">
        <f>J55+J59+J60</f>
        <v>16778</v>
      </c>
      <c r="N61" s="9">
        <f>N55+N59+N60</f>
        <v>15410</v>
      </c>
    </row>
    <row r="63" spans="2:40" s="3" customFormat="1" x14ac:dyDescent="0.3">
      <c r="B63" s="3" t="s">
        <v>80</v>
      </c>
      <c r="AB63" s="9">
        <f>AB24</f>
        <v>-5432</v>
      </c>
      <c r="AC63" s="9">
        <f>AC24</f>
        <v>-4747</v>
      </c>
      <c r="AD63" s="9">
        <f t="shared" ref="AD63:AN63" si="91">AD24</f>
        <v>-3648</v>
      </c>
      <c r="AE63" s="9">
        <f t="shared" si="91"/>
        <v>-2627.28</v>
      </c>
      <c r="AF63" s="9">
        <f t="shared" si="91"/>
        <v>-1731.889999999999</v>
      </c>
      <c r="AG63" s="9">
        <f t="shared" si="91"/>
        <v>-1353.9353432000007</v>
      </c>
      <c r="AH63" s="9">
        <f t="shared" si="91"/>
        <v>-970.9200542480005</v>
      </c>
      <c r="AI63" s="9">
        <f t="shared" si="91"/>
        <v>-559.53469563992053</v>
      </c>
      <c r="AJ63" s="9">
        <f t="shared" si="91"/>
        <v>-100.86685745341592</v>
      </c>
      <c r="AK63" s="9">
        <f t="shared" si="91"/>
        <v>347.25389718543192</v>
      </c>
      <c r="AL63" s="9">
        <f t="shared" si="91"/>
        <v>866.87445803573098</v>
      </c>
      <c r="AM63" s="9">
        <f t="shared" si="91"/>
        <v>1468.7488794024207</v>
      </c>
      <c r="AN63" s="9">
        <f t="shared" si="91"/>
        <v>2044.4566788390846</v>
      </c>
    </row>
    <row r="64" spans="2:40" x14ac:dyDescent="0.3">
      <c r="B64" s="1" t="s">
        <v>81</v>
      </c>
      <c r="AB64" s="6">
        <v>937</v>
      </c>
      <c r="AC64" s="6">
        <v>1031</v>
      </c>
      <c r="AD64" s="6">
        <v>784</v>
      </c>
      <c r="AE64" s="6">
        <f t="shared" ref="AE64" si="92">AD64*1.08</f>
        <v>846.72</v>
      </c>
      <c r="AF64" s="6">
        <f>AE64*1.07</f>
        <v>905.99040000000014</v>
      </c>
      <c r="AG64" s="6">
        <f>AF64*1.06</f>
        <v>960.34982400000024</v>
      </c>
      <c r="AH64" s="6">
        <f>AG64*1.05</f>
        <v>1008.3673152000003</v>
      </c>
      <c r="AI64" s="6">
        <f>AH64*1.04</f>
        <v>1048.7020078080004</v>
      </c>
      <c r="AJ64" s="6">
        <f>AI64*1.03</f>
        <v>1080.1630680422404</v>
      </c>
      <c r="AK64" s="6">
        <f>AJ64*1.02</f>
        <v>1101.7663294030851</v>
      </c>
      <c r="AL64" s="6">
        <f t="shared" ref="AL64:AN65" si="93">AK64*1.02</f>
        <v>1123.8016559911468</v>
      </c>
      <c r="AM64" s="6">
        <f t="shared" si="93"/>
        <v>1146.2776891109697</v>
      </c>
      <c r="AN64" s="6">
        <f t="shared" si="93"/>
        <v>1169.2032428931891</v>
      </c>
    </row>
    <row r="65" spans="2:144" x14ac:dyDescent="0.3">
      <c r="B65" s="1" t="s">
        <v>82</v>
      </c>
      <c r="AB65" s="6">
        <v>821</v>
      </c>
      <c r="AC65" s="6">
        <v>692</v>
      </c>
      <c r="AD65" s="6">
        <v>741</v>
      </c>
      <c r="AE65" s="6">
        <f>AD65*1.05</f>
        <v>778.05000000000007</v>
      </c>
      <c r="AF65" s="6">
        <f t="shared" ref="AF65:AH65" si="94">AE65*1.05</f>
        <v>816.9525000000001</v>
      </c>
      <c r="AG65" s="6">
        <f t="shared" si="94"/>
        <v>857.80012500000009</v>
      </c>
      <c r="AH65" s="6">
        <f t="shared" si="94"/>
        <v>900.69013125000015</v>
      </c>
      <c r="AI65" s="6">
        <f>AH65*1.02</f>
        <v>918.70393387500019</v>
      </c>
      <c r="AJ65" s="6">
        <f t="shared" ref="AJ65:AN65" si="95">AI65*1.02</f>
        <v>937.07801255250024</v>
      </c>
      <c r="AK65" s="6">
        <f t="shared" si="95"/>
        <v>955.81957280355027</v>
      </c>
      <c r="AL65" s="6">
        <f t="shared" si="93"/>
        <v>974.9359642596213</v>
      </c>
      <c r="AM65" s="6">
        <f t="shared" si="93"/>
        <v>994.43468354481377</v>
      </c>
      <c r="AN65" s="6">
        <f t="shared" si="93"/>
        <v>1014.32337721571</v>
      </c>
    </row>
    <row r="66" spans="2:144" x14ac:dyDescent="0.3">
      <c r="B66" s="1" t="s">
        <v>100</v>
      </c>
      <c r="AB66" s="6"/>
      <c r="AC66" s="6"/>
      <c r="AD66" s="6">
        <v>-101</v>
      </c>
      <c r="AE66" s="6"/>
      <c r="AF66" s="6"/>
      <c r="AG66" s="6"/>
      <c r="AH66" s="6"/>
      <c r="AI66" s="6"/>
      <c r="AJ66" s="6"/>
      <c r="AK66" s="6"/>
      <c r="AL66" s="6"/>
      <c r="AM66" s="6"/>
      <c r="AN66" s="6"/>
    </row>
    <row r="67" spans="2:144" x14ac:dyDescent="0.3">
      <c r="B67" s="1" t="s">
        <v>83</v>
      </c>
      <c r="AB67" s="6">
        <v>0</v>
      </c>
      <c r="AC67" s="6">
        <v>112</v>
      </c>
      <c r="AD67" s="6">
        <v>0</v>
      </c>
      <c r="AE67" s="6">
        <v>0</v>
      </c>
      <c r="AF67" s="6">
        <v>0</v>
      </c>
      <c r="AG67" s="6">
        <v>0</v>
      </c>
      <c r="AH67" s="6">
        <v>0</v>
      </c>
      <c r="AI67" s="6">
        <v>0</v>
      </c>
      <c r="AJ67" s="6">
        <v>0</v>
      </c>
      <c r="AK67" s="6">
        <v>0</v>
      </c>
      <c r="AL67" s="6">
        <v>0</v>
      </c>
      <c r="AM67" s="6">
        <v>0</v>
      </c>
      <c r="AN67" s="6">
        <v>0</v>
      </c>
    </row>
    <row r="68" spans="2:144" x14ac:dyDescent="0.3">
      <c r="B68" s="1" t="s">
        <v>64</v>
      </c>
      <c r="AB68" s="6">
        <v>107</v>
      </c>
      <c r="AC68" s="6">
        <v>0</v>
      </c>
      <c r="AD68" s="6">
        <v>0</v>
      </c>
      <c r="AE68" s="6">
        <v>0</v>
      </c>
      <c r="AF68" s="6">
        <v>0</v>
      </c>
      <c r="AG68" s="6">
        <v>0</v>
      </c>
      <c r="AH68" s="6">
        <v>0</v>
      </c>
      <c r="AI68" s="6">
        <v>0</v>
      </c>
      <c r="AJ68" s="6">
        <v>0</v>
      </c>
      <c r="AK68" s="6">
        <v>0</v>
      </c>
      <c r="AL68" s="6">
        <v>0</v>
      </c>
      <c r="AM68" s="6">
        <v>0</v>
      </c>
      <c r="AN68" s="6">
        <v>0</v>
      </c>
    </row>
    <row r="69" spans="2:144" x14ac:dyDescent="0.3">
      <c r="B69" s="1" t="s">
        <v>84</v>
      </c>
      <c r="AB69" s="6">
        <v>115</v>
      </c>
      <c r="AC69" s="6">
        <v>28</v>
      </c>
      <c r="AD69" s="6">
        <v>-17</v>
      </c>
      <c r="AE69" s="6">
        <v>0</v>
      </c>
      <c r="AF69" s="6">
        <v>0</v>
      </c>
      <c r="AG69" s="6">
        <v>0</v>
      </c>
      <c r="AH69" s="6">
        <v>0</v>
      </c>
      <c r="AI69" s="6">
        <v>0</v>
      </c>
      <c r="AJ69" s="6">
        <v>0</v>
      </c>
      <c r="AK69" s="6">
        <v>0</v>
      </c>
      <c r="AL69" s="6">
        <v>0</v>
      </c>
      <c r="AM69" s="6">
        <v>0</v>
      </c>
      <c r="AN69" s="6">
        <v>0</v>
      </c>
    </row>
    <row r="70" spans="2:144" x14ac:dyDescent="0.3">
      <c r="B70" s="1" t="s">
        <v>63</v>
      </c>
      <c r="AB70" s="6">
        <v>-59</v>
      </c>
      <c r="AC70" s="6">
        <v>-282</v>
      </c>
      <c r="AD70" s="6">
        <v>-112</v>
      </c>
      <c r="AE70" s="6">
        <v>0</v>
      </c>
      <c r="AF70" s="6">
        <v>0</v>
      </c>
      <c r="AG70" s="6">
        <v>0</v>
      </c>
      <c r="AH70" s="6">
        <v>0</v>
      </c>
      <c r="AI70" s="6">
        <v>0</v>
      </c>
      <c r="AJ70" s="6">
        <v>0</v>
      </c>
      <c r="AK70" s="6">
        <v>0</v>
      </c>
      <c r="AL70" s="6">
        <v>0</v>
      </c>
      <c r="AM70" s="6">
        <v>0</v>
      </c>
      <c r="AN70" s="6">
        <v>0</v>
      </c>
    </row>
    <row r="71" spans="2:144" x14ac:dyDescent="0.3">
      <c r="B71" s="1" t="s">
        <v>64</v>
      </c>
      <c r="AB71" s="6">
        <v>-1604</v>
      </c>
      <c r="AC71" s="6">
        <v>307</v>
      </c>
      <c r="AD71" s="6">
        <v>522</v>
      </c>
      <c r="AE71" s="6">
        <v>0</v>
      </c>
      <c r="AF71" s="6">
        <v>0</v>
      </c>
      <c r="AG71" s="6">
        <v>0</v>
      </c>
      <c r="AH71" s="6">
        <v>0</v>
      </c>
      <c r="AI71" s="6">
        <v>0</v>
      </c>
      <c r="AJ71" s="6">
        <v>0</v>
      </c>
      <c r="AK71" s="6">
        <v>0</v>
      </c>
      <c r="AL71" s="6">
        <v>0</v>
      </c>
      <c r="AM71" s="6">
        <v>0</v>
      </c>
      <c r="AN71" s="6">
        <v>0</v>
      </c>
    </row>
    <row r="72" spans="2:144" x14ac:dyDescent="0.3">
      <c r="B72" s="1" t="s">
        <v>85</v>
      </c>
      <c r="AB72" s="6">
        <v>-146</v>
      </c>
      <c r="AC72" s="6">
        <v>-221</v>
      </c>
      <c r="AD72" s="6">
        <v>9</v>
      </c>
      <c r="AE72" s="6">
        <v>0</v>
      </c>
      <c r="AF72" s="6">
        <v>0</v>
      </c>
      <c r="AG72" s="6">
        <v>0</v>
      </c>
      <c r="AH72" s="6">
        <v>0</v>
      </c>
      <c r="AI72" s="6">
        <v>0</v>
      </c>
      <c r="AJ72" s="6">
        <v>0</v>
      </c>
      <c r="AK72" s="6">
        <v>0</v>
      </c>
      <c r="AL72" s="6">
        <v>0</v>
      </c>
      <c r="AM72" s="6">
        <v>0</v>
      </c>
      <c r="AN72" s="6">
        <v>0</v>
      </c>
    </row>
    <row r="73" spans="2:144" x14ac:dyDescent="0.3">
      <c r="B73" s="1" t="s">
        <v>71</v>
      </c>
      <c r="AB73" s="6">
        <v>105</v>
      </c>
      <c r="AC73" s="6">
        <v>-572</v>
      </c>
      <c r="AD73" s="6">
        <v>571</v>
      </c>
      <c r="AE73" s="6">
        <v>0</v>
      </c>
      <c r="AF73" s="6">
        <v>0</v>
      </c>
      <c r="AG73" s="6">
        <v>0</v>
      </c>
      <c r="AH73" s="6">
        <v>0</v>
      </c>
      <c r="AI73" s="6">
        <v>0</v>
      </c>
      <c r="AJ73" s="6">
        <v>0</v>
      </c>
      <c r="AK73" s="6">
        <v>0</v>
      </c>
      <c r="AL73" s="6">
        <v>0</v>
      </c>
      <c r="AM73" s="6">
        <v>0</v>
      </c>
      <c r="AN73" s="6">
        <v>0</v>
      </c>
    </row>
    <row r="74" spans="2:144" x14ac:dyDescent="0.3">
      <c r="B74" s="1" t="s">
        <v>73</v>
      </c>
      <c r="AB74" s="6">
        <v>149</v>
      </c>
      <c r="AC74" s="6">
        <v>1619</v>
      </c>
      <c r="AD74" s="6">
        <v>503</v>
      </c>
      <c r="AE74" s="6">
        <v>0</v>
      </c>
      <c r="AF74" s="6">
        <v>0</v>
      </c>
      <c r="AG74" s="6">
        <v>0</v>
      </c>
      <c r="AH74" s="6">
        <v>0</v>
      </c>
      <c r="AI74" s="6">
        <v>0</v>
      </c>
      <c r="AJ74" s="6">
        <v>0</v>
      </c>
      <c r="AK74" s="6">
        <v>0</v>
      </c>
      <c r="AL74" s="6">
        <v>0</v>
      </c>
      <c r="AM74" s="6">
        <v>0</v>
      </c>
      <c r="AN74" s="6">
        <v>0</v>
      </c>
    </row>
    <row r="75" spans="2:144" x14ac:dyDescent="0.3">
      <c r="B75" s="1" t="s">
        <v>86</v>
      </c>
      <c r="AB75" s="6">
        <v>141</v>
      </c>
      <c r="AC75" s="6">
        <v>316</v>
      </c>
      <c r="AD75" s="6">
        <v>-53</v>
      </c>
      <c r="AE75" s="6">
        <v>0</v>
      </c>
      <c r="AF75" s="6">
        <v>0</v>
      </c>
      <c r="AG75" s="6">
        <v>0</v>
      </c>
      <c r="AH75" s="6">
        <v>0</v>
      </c>
      <c r="AI75" s="6">
        <v>0</v>
      </c>
      <c r="AJ75" s="6">
        <v>0</v>
      </c>
      <c r="AK75" s="6">
        <v>0</v>
      </c>
      <c r="AL75" s="6">
        <v>0</v>
      </c>
      <c r="AM75" s="6">
        <v>0</v>
      </c>
      <c r="AN75" s="6">
        <v>0</v>
      </c>
    </row>
    <row r="76" spans="2:144" s="3" customFormat="1" x14ac:dyDescent="0.3">
      <c r="B76" s="3" t="s">
        <v>87</v>
      </c>
      <c r="AB76" s="9">
        <f>AB63+SUM(AB64:AB75)</f>
        <v>-4866</v>
      </c>
      <c r="AC76" s="9">
        <f>AC63+SUM(AC64:AC75)</f>
        <v>-1717</v>
      </c>
      <c r="AD76" s="9">
        <f t="shared" ref="AD76:AN76" si="96">AD63+SUM(AD64:AD75)</f>
        <v>-801</v>
      </c>
      <c r="AE76" s="9">
        <f t="shared" si="96"/>
        <v>-1002.5100000000002</v>
      </c>
      <c r="AF76" s="9">
        <f t="shared" si="96"/>
        <v>-8.9470999999987271</v>
      </c>
      <c r="AG76" s="9">
        <f t="shared" si="96"/>
        <v>464.21460579999962</v>
      </c>
      <c r="AH76" s="9">
        <f t="shared" si="96"/>
        <v>938.137392202</v>
      </c>
      <c r="AI76" s="9">
        <f t="shared" si="96"/>
        <v>1407.87124604308</v>
      </c>
      <c r="AJ76" s="9">
        <f t="shared" si="96"/>
        <v>1916.3742231413248</v>
      </c>
      <c r="AK76" s="9">
        <f t="shared" si="96"/>
        <v>2404.8397993920671</v>
      </c>
      <c r="AL76" s="9">
        <f t="shared" si="96"/>
        <v>2965.6120782864991</v>
      </c>
      <c r="AM76" s="9">
        <f t="shared" si="96"/>
        <v>3609.4612520582041</v>
      </c>
      <c r="AN76" s="9">
        <f t="shared" si="96"/>
        <v>4227.9832989479837</v>
      </c>
    </row>
    <row r="77" spans="2:144" x14ac:dyDescent="0.3">
      <c r="B77" s="1" t="s">
        <v>67</v>
      </c>
      <c r="AB77" s="6">
        <v>1026</v>
      </c>
      <c r="AC77" s="6">
        <v>1141</v>
      </c>
      <c r="AD77" s="6">
        <v>1710</v>
      </c>
      <c r="AE77" s="6">
        <f>AD77*1.03</f>
        <v>1761.3</v>
      </c>
      <c r="AF77" s="6">
        <f>AE77*1.02</f>
        <v>1796.5260000000001</v>
      </c>
      <c r="AG77" s="6">
        <f>AF77*1.01</f>
        <v>1814.49126</v>
      </c>
      <c r="AH77" s="6">
        <f t="shared" ref="AH77:AN77" si="97">AG77*1.01</f>
        <v>1832.6361726</v>
      </c>
      <c r="AI77" s="6">
        <f t="shared" si="97"/>
        <v>1850.962534326</v>
      </c>
      <c r="AJ77" s="6">
        <f t="shared" si="97"/>
        <v>1869.47215966926</v>
      </c>
      <c r="AK77" s="6">
        <f t="shared" si="97"/>
        <v>1888.1668812659527</v>
      </c>
      <c r="AL77" s="6">
        <f t="shared" si="97"/>
        <v>1907.0485500786124</v>
      </c>
      <c r="AM77" s="6">
        <f t="shared" si="97"/>
        <v>1926.1190355793985</v>
      </c>
      <c r="AN77" s="6">
        <f t="shared" si="97"/>
        <v>1945.3802259351926</v>
      </c>
    </row>
    <row r="78" spans="2:144" s="3" customFormat="1" x14ac:dyDescent="0.3">
      <c r="B78" s="3" t="s">
        <v>88</v>
      </c>
      <c r="AB78" s="9">
        <f>AB76-AB77</f>
        <v>-5892</v>
      </c>
      <c r="AC78" s="9">
        <f>AC76-AC77</f>
        <v>-2858</v>
      </c>
      <c r="AD78" s="9">
        <f t="shared" ref="AD78:AN78" si="98">AD76-AD77</f>
        <v>-2511</v>
      </c>
      <c r="AE78" s="9">
        <f t="shared" si="98"/>
        <v>-2763.8100000000004</v>
      </c>
      <c r="AF78" s="9">
        <f t="shared" si="98"/>
        <v>-1805.4730999999988</v>
      </c>
      <c r="AG78" s="9">
        <f t="shared" si="98"/>
        <v>-1350.2766542000004</v>
      </c>
      <c r="AH78" s="9">
        <f t="shared" si="98"/>
        <v>-894.49878039800001</v>
      </c>
      <c r="AI78" s="9">
        <f t="shared" si="98"/>
        <v>-443.09128828292</v>
      </c>
      <c r="AJ78" s="9">
        <f t="shared" si="98"/>
        <v>46.90206347206481</v>
      </c>
      <c r="AK78" s="9">
        <f t="shared" si="98"/>
        <v>516.67291812611438</v>
      </c>
      <c r="AL78" s="9">
        <f t="shared" si="98"/>
        <v>1058.5635282078867</v>
      </c>
      <c r="AM78" s="9">
        <f t="shared" si="98"/>
        <v>1683.3422164788055</v>
      </c>
      <c r="AN78" s="9">
        <f t="shared" si="98"/>
        <v>2282.6030730127914</v>
      </c>
      <c r="AO78" s="3">
        <f>AN78*(1+$AR$33)</f>
        <v>2259.7770422826634</v>
      </c>
      <c r="AP78" s="3">
        <f t="shared" ref="AP78:DA78" si="99">AO78*(1+$AR$33)</f>
        <v>2237.1792718598367</v>
      </c>
      <c r="AQ78" s="3">
        <f t="shared" si="99"/>
        <v>2214.8074791412382</v>
      </c>
      <c r="AR78" s="3">
        <f t="shared" si="99"/>
        <v>2192.6594043498258</v>
      </c>
      <c r="AS78" s="3">
        <f t="shared" si="99"/>
        <v>2170.7328103063273</v>
      </c>
      <c r="AT78" s="3">
        <f t="shared" si="99"/>
        <v>2149.0254822032639</v>
      </c>
      <c r="AU78" s="3">
        <f t="shared" si="99"/>
        <v>2127.5352273812314</v>
      </c>
      <c r="AV78" s="3">
        <f t="shared" si="99"/>
        <v>2106.2598751074192</v>
      </c>
      <c r="AW78" s="3">
        <f t="shared" si="99"/>
        <v>2085.1972763563449</v>
      </c>
      <c r="AX78" s="3">
        <f t="shared" si="99"/>
        <v>2064.3453035927814</v>
      </c>
      <c r="AY78" s="3">
        <f t="shared" si="99"/>
        <v>2043.7018505568535</v>
      </c>
      <c r="AZ78" s="3">
        <f t="shared" si="99"/>
        <v>2023.2648320512849</v>
      </c>
      <c r="BA78" s="3">
        <f t="shared" si="99"/>
        <v>2003.032183730772</v>
      </c>
      <c r="BB78" s="3">
        <f t="shared" si="99"/>
        <v>1983.0018618934641</v>
      </c>
      <c r="BC78" s="3">
        <f t="shared" si="99"/>
        <v>1963.1718432745295</v>
      </c>
      <c r="BD78" s="3">
        <f t="shared" si="99"/>
        <v>1943.5401248417841</v>
      </c>
      <c r="BE78" s="3">
        <f t="shared" si="99"/>
        <v>1924.1047235933663</v>
      </c>
      <c r="BF78" s="3">
        <f t="shared" si="99"/>
        <v>1904.8636763574327</v>
      </c>
      <c r="BG78" s="3">
        <f t="shared" si="99"/>
        <v>1885.8150395938583</v>
      </c>
      <c r="BH78" s="3">
        <f t="shared" si="99"/>
        <v>1866.9568891979197</v>
      </c>
      <c r="BI78" s="3">
        <f t="shared" si="99"/>
        <v>1848.2873203059405</v>
      </c>
      <c r="BJ78" s="3">
        <f t="shared" si="99"/>
        <v>1829.8044471028811</v>
      </c>
      <c r="BK78" s="3">
        <f t="shared" si="99"/>
        <v>1811.5064026318523</v>
      </c>
      <c r="BL78" s="3">
        <f t="shared" si="99"/>
        <v>1793.3913386055337</v>
      </c>
      <c r="BM78" s="3">
        <f t="shared" si="99"/>
        <v>1775.4574252194784</v>
      </c>
      <c r="BN78" s="3">
        <f t="shared" si="99"/>
        <v>1757.7028509672837</v>
      </c>
      <c r="BO78" s="3">
        <f t="shared" si="99"/>
        <v>1740.1258224576109</v>
      </c>
      <c r="BP78" s="3">
        <f t="shared" si="99"/>
        <v>1722.7245642330347</v>
      </c>
      <c r="BQ78" s="3">
        <f t="shared" si="99"/>
        <v>1705.4973185907043</v>
      </c>
      <c r="BR78" s="3">
        <f t="shared" si="99"/>
        <v>1688.4423454047972</v>
      </c>
      <c r="BS78" s="3">
        <f t="shared" si="99"/>
        <v>1671.5579219507492</v>
      </c>
      <c r="BT78" s="3">
        <f t="shared" si="99"/>
        <v>1654.8423427312416</v>
      </c>
      <c r="BU78" s="3">
        <f t="shared" si="99"/>
        <v>1638.2939193039292</v>
      </c>
      <c r="BV78" s="3">
        <f t="shared" si="99"/>
        <v>1621.9109801108898</v>
      </c>
      <c r="BW78" s="3">
        <f t="shared" si="99"/>
        <v>1605.6918703097808</v>
      </c>
      <c r="BX78" s="3">
        <f t="shared" si="99"/>
        <v>1589.634951606683</v>
      </c>
      <c r="BY78" s="3">
        <f t="shared" si="99"/>
        <v>1573.738602090616</v>
      </c>
      <c r="BZ78" s="3">
        <f t="shared" si="99"/>
        <v>1558.0012160697099</v>
      </c>
      <c r="CA78" s="3">
        <f t="shared" si="99"/>
        <v>1542.4212039090128</v>
      </c>
      <c r="CB78" s="3">
        <f t="shared" si="99"/>
        <v>1526.9969918699226</v>
      </c>
      <c r="CC78" s="3">
        <f t="shared" si="99"/>
        <v>1511.7270219512234</v>
      </c>
      <c r="CD78" s="3">
        <f t="shared" si="99"/>
        <v>1496.6097517317112</v>
      </c>
      <c r="CE78" s="3">
        <f t="shared" si="99"/>
        <v>1481.643654214394</v>
      </c>
      <c r="CF78" s="3">
        <f t="shared" si="99"/>
        <v>1466.8272176722501</v>
      </c>
      <c r="CG78" s="3">
        <f t="shared" si="99"/>
        <v>1452.1589454955276</v>
      </c>
      <c r="CH78" s="3">
        <f t="shared" si="99"/>
        <v>1437.6373560405723</v>
      </c>
      <c r="CI78" s="3">
        <f t="shared" si="99"/>
        <v>1423.2609824801666</v>
      </c>
      <c r="CJ78" s="3">
        <f t="shared" si="99"/>
        <v>1409.0283726553648</v>
      </c>
      <c r="CK78" s="3">
        <f t="shared" si="99"/>
        <v>1394.9380889288111</v>
      </c>
      <c r="CL78" s="3">
        <f t="shared" si="99"/>
        <v>1380.9887080395231</v>
      </c>
      <c r="CM78" s="3">
        <f t="shared" si="99"/>
        <v>1367.1788209591277</v>
      </c>
      <c r="CN78" s="3">
        <f t="shared" si="99"/>
        <v>1353.5070327495364</v>
      </c>
      <c r="CO78" s="3">
        <f t="shared" si="99"/>
        <v>1339.9719624220411</v>
      </c>
      <c r="CP78" s="3">
        <f t="shared" si="99"/>
        <v>1326.5722427978208</v>
      </c>
      <c r="CQ78" s="3">
        <f t="shared" si="99"/>
        <v>1313.3065203698425</v>
      </c>
      <c r="CR78" s="3">
        <f t="shared" si="99"/>
        <v>1300.1734551661441</v>
      </c>
      <c r="CS78" s="3">
        <f t="shared" si="99"/>
        <v>1287.1717206144826</v>
      </c>
      <c r="CT78" s="3">
        <f t="shared" si="99"/>
        <v>1274.3000034083377</v>
      </c>
      <c r="CU78" s="3">
        <f t="shared" si="99"/>
        <v>1261.5570033742542</v>
      </c>
      <c r="CV78" s="3">
        <f t="shared" si="99"/>
        <v>1248.9414333405116</v>
      </c>
      <c r="CW78" s="3">
        <f t="shared" si="99"/>
        <v>1236.4520190071064</v>
      </c>
      <c r="CX78" s="3">
        <f t="shared" si="99"/>
        <v>1224.0874988170353</v>
      </c>
      <c r="CY78" s="3">
        <f t="shared" si="99"/>
        <v>1211.8466238288649</v>
      </c>
      <c r="CZ78" s="3">
        <f t="shared" si="99"/>
        <v>1199.7281575905763</v>
      </c>
      <c r="DA78" s="3">
        <f t="shared" si="99"/>
        <v>1187.7308760146705</v>
      </c>
      <c r="DB78" s="3">
        <f t="shared" ref="DB78:EN78" si="100">DA78*(1+$AR$33)</f>
        <v>1175.8535672545238</v>
      </c>
      <c r="DC78" s="3">
        <f t="shared" si="100"/>
        <v>1164.0950315819784</v>
      </c>
      <c r="DD78" s="3">
        <f t="shared" si="100"/>
        <v>1152.4540812661587</v>
      </c>
      <c r="DE78" s="3">
        <f t="shared" si="100"/>
        <v>1140.9295404534971</v>
      </c>
      <c r="DF78" s="3">
        <f t="shared" si="100"/>
        <v>1129.5202450489621</v>
      </c>
      <c r="DG78" s="3">
        <f t="shared" si="100"/>
        <v>1118.2250425984726</v>
      </c>
      <c r="DH78" s="3">
        <f t="shared" si="100"/>
        <v>1107.0427921724879</v>
      </c>
      <c r="DI78" s="3">
        <f t="shared" si="100"/>
        <v>1095.9723642507631</v>
      </c>
      <c r="DJ78" s="3">
        <f t="shared" si="100"/>
        <v>1085.0126406082554</v>
      </c>
      <c r="DK78" s="3">
        <f t="shared" si="100"/>
        <v>1074.1625142021728</v>
      </c>
      <c r="DL78" s="3">
        <f t="shared" si="100"/>
        <v>1063.420889060151</v>
      </c>
      <c r="DM78" s="3">
        <f t="shared" si="100"/>
        <v>1052.7866801695495</v>
      </c>
      <c r="DN78" s="3">
        <f t="shared" si="100"/>
        <v>1042.2588133678539</v>
      </c>
      <c r="DO78" s="3">
        <f t="shared" si="100"/>
        <v>1031.8362252341753</v>
      </c>
      <c r="DP78" s="3">
        <f t="shared" si="100"/>
        <v>1021.5178629818336</v>
      </c>
      <c r="DQ78" s="3">
        <f t="shared" si="100"/>
        <v>1011.3026843520153</v>
      </c>
      <c r="DR78" s="3">
        <f t="shared" si="100"/>
        <v>1001.1896575084951</v>
      </c>
      <c r="DS78" s="3">
        <f t="shared" si="100"/>
        <v>991.17776093341013</v>
      </c>
      <c r="DT78" s="3">
        <f t="shared" si="100"/>
        <v>981.26598332407605</v>
      </c>
      <c r="DU78" s="3">
        <f t="shared" si="100"/>
        <v>971.45332349083526</v>
      </c>
      <c r="DV78" s="3">
        <f t="shared" si="100"/>
        <v>961.73879025592692</v>
      </c>
      <c r="DW78" s="3">
        <f t="shared" si="100"/>
        <v>952.12140235336767</v>
      </c>
      <c r="DX78" s="3">
        <f t="shared" si="100"/>
        <v>942.60018832983394</v>
      </c>
      <c r="DY78" s="3">
        <f t="shared" si="100"/>
        <v>933.1741864465356</v>
      </c>
      <c r="DZ78" s="3">
        <f t="shared" si="100"/>
        <v>923.84244458207024</v>
      </c>
      <c r="EA78" s="3">
        <f t="shared" si="100"/>
        <v>914.60402013624957</v>
      </c>
      <c r="EB78" s="3">
        <f t="shared" si="100"/>
        <v>905.45797993488702</v>
      </c>
      <c r="EC78" s="3">
        <f t="shared" si="100"/>
        <v>896.40340013553816</v>
      </c>
      <c r="ED78" s="3">
        <f t="shared" si="100"/>
        <v>887.43936613418282</v>
      </c>
      <c r="EE78" s="3">
        <f t="shared" si="100"/>
        <v>878.56497247284096</v>
      </c>
      <c r="EF78" s="3">
        <f t="shared" si="100"/>
        <v>869.77932274811258</v>
      </c>
      <c r="EG78" s="3">
        <f t="shared" si="100"/>
        <v>861.08152952063142</v>
      </c>
      <c r="EH78" s="3">
        <f t="shared" si="100"/>
        <v>852.47071422542513</v>
      </c>
      <c r="EI78" s="3">
        <f t="shared" si="100"/>
        <v>843.94600708317091</v>
      </c>
      <c r="EJ78" s="3">
        <f t="shared" si="100"/>
        <v>835.50654701233918</v>
      </c>
      <c r="EK78" s="3">
        <f t="shared" si="100"/>
        <v>827.15148154221583</v>
      </c>
      <c r="EL78" s="3">
        <f t="shared" si="100"/>
        <v>818.87996672679367</v>
      </c>
      <c r="EM78" s="3">
        <f t="shared" si="100"/>
        <v>810.6911670595257</v>
      </c>
      <c r="EN78" s="3">
        <f t="shared" si="100"/>
        <v>802.58425538893039</v>
      </c>
    </row>
    <row r="81" spans="44:44" x14ac:dyDescent="0.3">
      <c r="AR81" s="6">
        <f>NPV(AR34,AD78:EN78)</f>
        <v>3298.7757564474509</v>
      </c>
    </row>
    <row r="82" spans="44:44" x14ac:dyDescent="0.3">
      <c r="AR82" s="6">
        <f>Main!D8</f>
        <v>3259</v>
      </c>
    </row>
    <row r="83" spans="44:44" x14ac:dyDescent="0.3">
      <c r="AR83" s="6">
        <f>AR81+AR82</f>
        <v>6557.7757564474505</v>
      </c>
    </row>
    <row r="84" spans="44:44" x14ac:dyDescent="0.3">
      <c r="AR84" s="4">
        <f>AR83/AN25</f>
        <v>5.2842673299334812</v>
      </c>
    </row>
    <row r="85" spans="44:44" x14ac:dyDescent="0.3">
      <c r="AR85" s="4">
        <f>Main!D3</f>
        <v>15.22</v>
      </c>
    </row>
    <row r="86" spans="44:44" x14ac:dyDescent="0.3">
      <c r="AR86" s="11">
        <f>AR84/AR85-1</f>
        <v>-0.6528076655759868</v>
      </c>
    </row>
    <row r="87" spans="44:44" x14ac:dyDescent="0.3">
      <c r="AR87" s="7" t="s">
        <v>89</v>
      </c>
    </row>
  </sheetData>
  <phoneticPr fontId="1" type="noConversion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Main</vt:lpstr>
      <vt:lpstr>Model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Anton Mniszek</dc:creator>
  <cp:lastModifiedBy>Anton Mniszek</cp:lastModifiedBy>
  <dcterms:created xsi:type="dcterms:W3CDTF">2025-02-21T14:09:56Z</dcterms:created>
  <dcterms:modified xsi:type="dcterms:W3CDTF">2026-02-23T10:03:35Z</dcterms:modified>
</cp:coreProperties>
</file>