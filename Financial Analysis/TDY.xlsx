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32733CB6-43CB-4791-82B2-4CFDE2F80B4C}" xr6:coauthVersionLast="47" xr6:coauthVersionMax="47" xr10:uidLastSave="{00000000-0000-0000-0000-000000000000}"/>
  <bookViews>
    <workbookView xWindow="-108" yWindow="-108" windowWidth="23256" windowHeight="12576" xr2:uid="{86B94263-ADC4-4D35-ACB3-C69945CEFC7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2" i="2" l="1"/>
  <c r="V31" i="2" l="1"/>
  <c r="AB3" i="2"/>
  <c r="Z3" i="2"/>
  <c r="Y3" i="2"/>
  <c r="X3" i="2"/>
  <c r="W3" i="2"/>
  <c r="AA7" i="2"/>
  <c r="Z7" i="2"/>
  <c r="Y7" i="2"/>
  <c r="X7" i="2"/>
  <c r="W7" i="2"/>
  <c r="X6" i="2"/>
  <c r="W6" i="2"/>
  <c r="J5" i="2"/>
  <c r="AI28" i="2"/>
  <c r="AI25" i="2"/>
  <c r="W5" i="2"/>
  <c r="W4" i="2" s="1"/>
  <c r="V16" i="2"/>
  <c r="V13" i="2"/>
  <c r="V12" i="2"/>
  <c r="V11" i="2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V8" i="2"/>
  <c r="V7" i="2"/>
  <c r="V6" i="2"/>
  <c r="V23" i="2" s="1"/>
  <c r="V3" i="2"/>
  <c r="V24" i="2"/>
  <c r="N27" i="2"/>
  <c r="M27" i="2"/>
  <c r="L27" i="2"/>
  <c r="K27" i="2"/>
  <c r="N26" i="2"/>
  <c r="M26" i="2"/>
  <c r="L26" i="2"/>
  <c r="K26" i="2"/>
  <c r="N25" i="2"/>
  <c r="M25" i="2"/>
  <c r="L25" i="2"/>
  <c r="K25" i="2"/>
  <c r="N24" i="2"/>
  <c r="M24" i="2"/>
  <c r="L24" i="2"/>
  <c r="K24" i="2"/>
  <c r="J24" i="2"/>
  <c r="N23" i="2"/>
  <c r="M23" i="2"/>
  <c r="L23" i="2"/>
  <c r="K23" i="2"/>
  <c r="J23" i="2"/>
  <c r="N22" i="2"/>
  <c r="M22" i="2"/>
  <c r="L22" i="2"/>
  <c r="K22" i="2"/>
  <c r="N21" i="2"/>
  <c r="M21" i="2"/>
  <c r="L21" i="2"/>
  <c r="K21" i="2"/>
  <c r="J21" i="2"/>
  <c r="J9" i="2"/>
  <c r="V4" i="2"/>
  <c r="T27" i="2"/>
  <c r="S27" i="2"/>
  <c r="T26" i="2"/>
  <c r="S26" i="2"/>
  <c r="T25" i="2"/>
  <c r="S25" i="2"/>
  <c r="T24" i="2"/>
  <c r="T23" i="2"/>
  <c r="T22" i="2"/>
  <c r="S22" i="2"/>
  <c r="T21" i="2"/>
  <c r="U24" i="2"/>
  <c r="U23" i="2"/>
  <c r="U21" i="2"/>
  <c r="U27" i="2"/>
  <c r="U26" i="2"/>
  <c r="U25" i="2"/>
  <c r="U22" i="2"/>
  <c r="H27" i="2"/>
  <c r="G27" i="2"/>
  <c r="F27" i="2"/>
  <c r="E27" i="2"/>
  <c r="D27" i="2"/>
  <c r="C27" i="2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H23" i="2"/>
  <c r="G23" i="2"/>
  <c r="H22" i="2"/>
  <c r="G22" i="2"/>
  <c r="F22" i="2"/>
  <c r="E22" i="2"/>
  <c r="D22" i="2"/>
  <c r="C22" i="2"/>
  <c r="H21" i="2"/>
  <c r="G21" i="2"/>
  <c r="I27" i="2"/>
  <c r="I26" i="2"/>
  <c r="I25" i="2"/>
  <c r="I24" i="2"/>
  <c r="I23" i="2"/>
  <c r="I22" i="2"/>
  <c r="I21" i="2"/>
  <c r="F16" i="2"/>
  <c r="F15" i="2"/>
  <c r="F13" i="2"/>
  <c r="F12" i="2"/>
  <c r="F11" i="2"/>
  <c r="F8" i="2"/>
  <c r="F7" i="2"/>
  <c r="F6" i="2"/>
  <c r="F4" i="2"/>
  <c r="F3" i="2"/>
  <c r="S13" i="2"/>
  <c r="S9" i="2"/>
  <c r="S5" i="2"/>
  <c r="T13" i="2"/>
  <c r="T9" i="2"/>
  <c r="T5" i="2"/>
  <c r="U9" i="2"/>
  <c r="U5" i="2"/>
  <c r="D9" i="2"/>
  <c r="D5" i="2"/>
  <c r="H9" i="2"/>
  <c r="H5" i="2"/>
  <c r="C9" i="2"/>
  <c r="C5" i="2"/>
  <c r="G9" i="2"/>
  <c r="G5" i="2"/>
  <c r="E9" i="2"/>
  <c r="E5" i="2"/>
  <c r="I9" i="2"/>
  <c r="I5" i="2"/>
  <c r="D10" i="1"/>
  <c r="D9" i="1"/>
  <c r="D8" i="1"/>
  <c r="D7" i="1"/>
  <c r="D6" i="1"/>
  <c r="D5" i="1"/>
  <c r="F3" i="1"/>
  <c r="W24" i="2" l="1"/>
  <c r="AB7" i="2"/>
  <c r="AC7" i="2" s="1"/>
  <c r="AD7" i="2" s="1"/>
  <c r="AE7" i="2" s="1"/>
  <c r="AF7" i="2" s="1"/>
  <c r="W9" i="2"/>
  <c r="X5" i="2"/>
  <c r="X22" i="2" s="1"/>
  <c r="W10" i="2"/>
  <c r="W25" i="2" s="1"/>
  <c r="J10" i="2"/>
  <c r="J22" i="2"/>
  <c r="Y24" i="2"/>
  <c r="X23" i="2"/>
  <c r="X24" i="2"/>
  <c r="X21" i="2"/>
  <c r="W22" i="2"/>
  <c r="W23" i="2"/>
  <c r="V9" i="2"/>
  <c r="V5" i="2"/>
  <c r="V22" i="2" s="1"/>
  <c r="V21" i="2"/>
  <c r="W21" i="2"/>
  <c r="F9" i="2"/>
  <c r="F5" i="2"/>
  <c r="S10" i="2"/>
  <c r="S14" i="2" s="1"/>
  <c r="S17" i="2" s="1"/>
  <c r="S19" i="2" s="1"/>
  <c r="T10" i="2"/>
  <c r="T14" i="2" s="1"/>
  <c r="T17" i="2" s="1"/>
  <c r="T19" i="2" s="1"/>
  <c r="U10" i="2"/>
  <c r="U14" i="2" s="1"/>
  <c r="U17" i="2" s="1"/>
  <c r="U19" i="2" s="1"/>
  <c r="D10" i="2"/>
  <c r="D14" i="2" s="1"/>
  <c r="D17" i="2" s="1"/>
  <c r="D19" i="2" s="1"/>
  <c r="H10" i="2"/>
  <c r="H14" i="2" s="1"/>
  <c r="H17" i="2" s="1"/>
  <c r="H19" i="2" s="1"/>
  <c r="C10" i="2"/>
  <c r="C14" i="2" s="1"/>
  <c r="C17" i="2" s="1"/>
  <c r="C19" i="2" s="1"/>
  <c r="G10" i="2"/>
  <c r="G14" i="2" s="1"/>
  <c r="G17" i="2" s="1"/>
  <c r="G19" i="2" s="1"/>
  <c r="I10" i="2"/>
  <c r="I14" i="2" s="1"/>
  <c r="I17" i="2" s="1"/>
  <c r="I19" i="2" s="1"/>
  <c r="E10" i="2"/>
  <c r="E14" i="2" s="1"/>
  <c r="E17" i="2" s="1"/>
  <c r="E19" i="2" s="1"/>
  <c r="X4" i="2" l="1"/>
  <c r="X9" i="2"/>
  <c r="X10" i="2" s="1"/>
  <c r="Y6" i="2"/>
  <c r="J14" i="2"/>
  <c r="J25" i="2"/>
  <c r="V10" i="2"/>
  <c r="V14" i="2" s="1"/>
  <c r="Y5" i="2"/>
  <c r="W14" i="2"/>
  <c r="W15" i="2" s="1"/>
  <c r="W26" i="2" s="1"/>
  <c r="Z24" i="2"/>
  <c r="Y23" i="2"/>
  <c r="Y21" i="2"/>
  <c r="F10" i="2"/>
  <c r="F14" i="2" s="1"/>
  <c r="F17" i="2" s="1"/>
  <c r="F19" i="2" s="1"/>
  <c r="V25" i="2" l="1"/>
  <c r="Y9" i="2"/>
  <c r="Y10" i="2" s="1"/>
  <c r="Z6" i="2"/>
  <c r="X14" i="2"/>
  <c r="X25" i="2"/>
  <c r="Y4" i="2"/>
  <c r="AA3" i="2"/>
  <c r="Z5" i="2"/>
  <c r="Z22" i="2" s="1"/>
  <c r="Y22" i="2"/>
  <c r="J17" i="2"/>
  <c r="W17" i="2"/>
  <c r="AA24" i="2"/>
  <c r="Z21" i="2"/>
  <c r="Y14" i="2" l="1"/>
  <c r="Y25" i="2"/>
  <c r="X15" i="2"/>
  <c r="X26" i="2" s="1"/>
  <c r="AA6" i="2"/>
  <c r="Z9" i="2"/>
  <c r="Z10" i="2" s="1"/>
  <c r="Z23" i="2"/>
  <c r="AA5" i="2"/>
  <c r="AA22" i="2" s="1"/>
  <c r="J19" i="2"/>
  <c r="J27" i="2"/>
  <c r="V15" i="2"/>
  <c r="J26" i="2"/>
  <c r="Z4" i="2"/>
  <c r="W19" i="2"/>
  <c r="W27" i="2"/>
  <c r="AB24" i="2"/>
  <c r="AA21" i="2"/>
  <c r="X17" i="2" l="1"/>
  <c r="X27" i="2" s="1"/>
  <c r="AB6" i="2"/>
  <c r="AB23" i="2" s="1"/>
  <c r="AA9" i="2"/>
  <c r="AA10" i="2" s="1"/>
  <c r="AA23" i="2"/>
  <c r="Y15" i="2"/>
  <c r="Y26" i="2" s="1"/>
  <c r="V26" i="2"/>
  <c r="V17" i="2"/>
  <c r="AA4" i="2"/>
  <c r="Z14" i="2"/>
  <c r="Z25" i="2"/>
  <c r="AC3" i="2"/>
  <c r="AB5" i="2"/>
  <c r="AC24" i="2"/>
  <c r="AB21" i="2"/>
  <c r="AB22" i="2"/>
  <c r="Y17" i="2" l="1"/>
  <c r="Y19" i="2" s="1"/>
  <c r="X19" i="2"/>
  <c r="AA14" i="2"/>
  <c r="AA25" i="2"/>
  <c r="AC6" i="2"/>
  <c r="AB9" i="2"/>
  <c r="AB10" i="2" s="1"/>
  <c r="Z15" i="2"/>
  <c r="Z26" i="2" s="1"/>
  <c r="AD3" i="2"/>
  <c r="AC5" i="2"/>
  <c r="AB4" i="2"/>
  <c r="V19" i="2"/>
  <c r="V27" i="2"/>
  <c r="AD24" i="2"/>
  <c r="AC21" i="2"/>
  <c r="Y27" i="2" l="1"/>
  <c r="AB14" i="2"/>
  <c r="AB25" i="2"/>
  <c r="AD6" i="2"/>
  <c r="AC9" i="2"/>
  <c r="AC10" i="2" s="1"/>
  <c r="AC14" i="2" s="1"/>
  <c r="AC15" i="2" s="1"/>
  <c r="AA15" i="2"/>
  <c r="AA26" i="2" s="1"/>
  <c r="AC23" i="2"/>
  <c r="AE3" i="2"/>
  <c r="AD5" i="2"/>
  <c r="AD4" i="2" s="1"/>
  <c r="AC4" i="2"/>
  <c r="Z17" i="2"/>
  <c r="AC22" i="2"/>
  <c r="AE24" i="2"/>
  <c r="AF24" i="2"/>
  <c r="AD21" i="2"/>
  <c r="AD22" i="2" l="1"/>
  <c r="AC25" i="2"/>
  <c r="AC26" i="2"/>
  <c r="AC17" i="2"/>
  <c r="AC19" i="2" s="1"/>
  <c r="AE6" i="2"/>
  <c r="AD9" i="2"/>
  <c r="AD10" i="2" s="1"/>
  <c r="AB15" i="2"/>
  <c r="AB26" i="2" s="1"/>
  <c r="AB17" i="2"/>
  <c r="AD23" i="2"/>
  <c r="AA17" i="2"/>
  <c r="Z19" i="2"/>
  <c r="Z27" i="2"/>
  <c r="AF3" i="2"/>
  <c r="AE5" i="2"/>
  <c r="AE23" i="2"/>
  <c r="AE21" i="2"/>
  <c r="AC27" i="2" l="1"/>
  <c r="AD14" i="2"/>
  <c r="AD15" i="2" s="1"/>
  <c r="AD26" i="2" s="1"/>
  <c r="AD25" i="2"/>
  <c r="AA19" i="2"/>
  <c r="AA27" i="2"/>
  <c r="AB27" i="2"/>
  <c r="AB19" i="2"/>
  <c r="AF6" i="2"/>
  <c r="AE9" i="2"/>
  <c r="AE10" i="2" s="1"/>
  <c r="AF5" i="2"/>
  <c r="AF22" i="2" s="1"/>
  <c r="AE4" i="2"/>
  <c r="AE22" i="2"/>
  <c r="AF21" i="2"/>
  <c r="AD17" i="2" l="1"/>
  <c r="AD27" i="2" s="1"/>
  <c r="AF9" i="2"/>
  <c r="AF10" i="2" s="1"/>
  <c r="AF23" i="2"/>
  <c r="AE14" i="2"/>
  <c r="AE25" i="2"/>
  <c r="AF4" i="2"/>
  <c r="AD19" i="2" l="1"/>
  <c r="AF14" i="2"/>
  <c r="AF25" i="2"/>
  <c r="AE15" i="2"/>
  <c r="AE26" i="2" s="1"/>
  <c r="AE17" i="2" l="1"/>
  <c r="AE19" i="2" s="1"/>
  <c r="AF15" i="2"/>
  <c r="AF26" i="2" s="1"/>
  <c r="AE27" i="2" l="1"/>
  <c r="AF17" i="2"/>
  <c r="AF27" i="2" s="1"/>
  <c r="AF19" i="2" l="1"/>
  <c r="AG17" i="2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AI24" i="2" l="1"/>
  <c r="AI26" i="2" s="1"/>
  <c r="AI27" i="2" s="1"/>
  <c r="AI29" i="2" s="1"/>
</calcChain>
</file>

<file path=xl/sharedStrings.xml><?xml version="1.0" encoding="utf-8"?>
<sst xmlns="http://schemas.openxmlformats.org/spreadsheetml/2006/main" count="65" uniqueCount="58">
  <si>
    <t>TDY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</si>
  <si>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</si>
  <si>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</si>
  <si>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</si>
  <si>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</si>
  <si>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</si>
  <si>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</si>
  <si>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</si>
  <si>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</si>
  <si>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</si>
  <si>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</si>
  <si>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Q224</t>
  </si>
  <si>
    <t>Revenue</t>
  </si>
  <si>
    <t>Q124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</si>
  <si>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</si>
  <si>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</si>
  <si>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</si>
  <si>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</si>
  <si>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</si>
  <si>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</si>
  <si>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</si>
  <si>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</si>
  <si>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</si>
  <si>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</si>
  <si>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L+S/E</t>
  </si>
  <si>
    <t>Cost of sales</t>
  </si>
  <si>
    <t>Gross profit</t>
  </si>
  <si>
    <t>SG&amp;A</t>
  </si>
  <si>
    <t>R&amp;D</t>
  </si>
  <si>
    <t>Amortisation</t>
  </si>
  <si>
    <t>Total opex</t>
  </si>
  <si>
    <t>Operating profit</t>
  </si>
  <si>
    <t>Interest expense</t>
  </si>
  <si>
    <t>Pension income</t>
  </si>
  <si>
    <t>Other income</t>
  </si>
  <si>
    <t>Pretax profit</t>
  </si>
  <si>
    <t>Taxes</t>
  </si>
  <si>
    <t>MI</t>
  </si>
  <si>
    <t>Net profit</t>
  </si>
  <si>
    <t>EPS</t>
  </si>
  <si>
    <t>Revenue y/y</t>
  </si>
  <si>
    <t>Gross Margin</t>
  </si>
  <si>
    <t>SG&amp;A y/y</t>
  </si>
  <si>
    <t>R&amp;D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</si>
  <si>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</si>
  <si>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</si>
  <si>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</si>
  <si>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</si>
  <si>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</si>
  <si>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</si>
  <si>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</si>
  <si>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</si>
  <si>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</si>
  <si>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</si>
  <si>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</si>
  <si>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</si>
  <si>
    <t>EV/B</t>
  </si>
  <si>
    <t>B/EV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</si>
</sst>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\x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5" fillId="2" borderId="1" xfId="0" applyFont="1" applyFill="1" applyBorder="1"/>
    <xf numFmtId="3" fontId="5" fillId="2" borderId="1" xfId="0" applyNumberFormat="1" applyFont="1" applyFill="1" applyBorder="1"/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30480</xdr:colOff>
      <xdr:row>0</xdr:row>
      <xdr:rowOff>7620</xdr:rowOff>
    </xdr:from>
    <xdr:to>
      <xdr:col>22</xdr:col>
      <xdr:colOff>30480</xdr:colOff>
      <xdr:row>32</xdr:row>
      <xdr:rowOff>160020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3FCABA0-9588-0923-6F31-8522C513614F}"/>
            </a:ext>
          </a:extLst>
        </xdr:cNvPr>
        <xdr:cNvCxnSpPr/>
      </xdr:nvCxnSpPr>
      <xdr:spPr>
        <a:xfrm>
          <a:off x="13876020" y="7620"/>
          <a:ext cx="0" cy="6004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</xdr:colOff>
      <xdr:row>0</xdr:row>
      <xdr:rowOff>0</xdr:rowOff>
    </xdr:from>
    <xdr:to>
      <xdr:col>10</xdr:col>
      <xdr:colOff>22860</xdr:colOff>
      <xdr:row>33</xdr:row>
      <xdr:rowOff>99060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EB2A76D-667C-0796-D6B7-A68586D68A11}"/>
            </a:ext>
          </a:extLst>
        </xdr:cNvPr>
        <xdr:cNvCxnSpPr/>
      </xdr:nvCxnSpPr>
      <xdr:spPr>
        <a:xfrm>
          <a:off x="6553200" y="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5A35-A6A7-4C20-B803-C3DE0A85D556}">
  <dimension ref="B2:G10"/>
  <sheetViews>
    <sheetView tabSelected="1" workbookViewId="0">
      <selection activeCell="D4" sqref="D4"/>
    </sheetView>
  </sheetViews>
  <sheetFormatPr defaultRowHeight="14.4" x14ac:dyDescent="0.3"/>
  <cols>
    <col min="1" max="4" width="8.88671875" style="1"/>
    <col min="5" max="5" width="11.88671875" style="3" bestFit="1" customWidth="1"/>
    <col min="6" max="7" width="11.21875" style="3" bestFit="1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v>660.29</v>
      </c>
      <c r="E3" s="4">
        <v>46069</v>
      </c>
      <c r="F3" s="4">
        <f ca="1">TODAY()</f>
        <v>46070</v>
      </c>
      <c r="G3" s="4">
        <v>46043</v>
      </c>
    </row>
    <row r="4" spans="2:7" x14ac:dyDescent="0.3">
      <c r="C4" s="1" t="s">
        <v>2</v>
      </c>
      <c r="D4" s="6">
        <v>47</v>
      </c>
      <c r="E4" s="3" t="s">
        <v>14</v>
      </c>
    </row>
    <row r="5" spans="2:7" x14ac:dyDescent="0.3">
      <c r="C5" s="1" t="s">
        <v>3</v>
      </c>
      <c r="D5" s="6">
        <f>D3*D4</f>
        <v>31033.629999999997</v>
      </c>
    </row>
    <row r="6" spans="2:7" x14ac:dyDescent="0.3">
      <c r="C6" s="1" t="s">
        <v>4</v>
      </c>
      <c r="D6" s="6">
        <f>528.6</f>
        <v>528.6</v>
      </c>
      <c r="E6" s="3" t="s">
        <v>14</v>
      </c>
    </row>
    <row r="7" spans="2:7" x14ac:dyDescent="0.3">
      <c r="C7" s="1" t="s">
        <v>5</v>
      </c>
      <c r="D7" s="6">
        <f>450.2+2083.2</f>
        <v>2533.3999999999996</v>
      </c>
      <c r="E7" s="3" t="s">
        <v>14</v>
      </c>
    </row>
    <row r="8" spans="2:7" x14ac:dyDescent="0.3">
      <c r="C8" s="1" t="s">
        <v>6</v>
      </c>
      <c r="D8" s="6">
        <f>D6-D7</f>
        <v>-2004.7999999999997</v>
      </c>
    </row>
    <row r="9" spans="2:7" x14ac:dyDescent="0.3">
      <c r="C9" s="1" t="s">
        <v>7</v>
      </c>
      <c r="D9" s="6">
        <f>D5-D8</f>
        <v>33038.43</v>
      </c>
    </row>
    <row r="10" spans="2:7" x14ac:dyDescent="0.3">
      <c r="C10" s="1" t="s">
        <v>24</v>
      </c>
      <c r="D10" s="6">
        <f>15368.7</f>
        <v>15368.7</v>
      </c>
      <c r="E10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3E03-80D0-4192-9A26-280D100A29AF}">
  <dimension ref="B2:DY32"/>
  <sheetViews>
    <sheetView workbookViewId="0">
      <pane xSplit="2" ySplit="2" topLeftCell="Z6" activePane="bottomRight" state="frozen"/>
      <selection pane="topRight" activeCell="C1" sqref="C1"/>
      <selection pane="bottomLeft" activeCell="A3" sqref="A3"/>
      <selection pane="bottomRight" activeCell="V32" sqref="V32"/>
    </sheetView>
  </sheetViews>
  <sheetFormatPr defaultRowHeight="14.4" x14ac:dyDescent="0.3"/>
  <cols>
    <col min="1" max="1" width="8.88671875" style="1"/>
    <col min="2" max="2" width="15.21875" style="1" bestFit="1" customWidth="1"/>
    <col min="3" max="33" width="8.88671875" style="1"/>
    <col min="34" max="34" width="11.88671875" style="1" bestFit="1" customWidth="1"/>
    <col min="35" max="35" width="16.44140625" style="1" bestFit="1" customWidth="1"/>
    <col min="36" max="16384" width="8.88671875" style="1"/>
  </cols>
  <sheetData>
    <row r="2" spans="2:32" x14ac:dyDescent="0.3">
      <c r="C2" s="7" t="s">
        <v>13</v>
      </c>
      <c r="D2" s="7" t="s">
        <v>11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  <c r="L2" s="7" t="s">
        <v>21</v>
      </c>
      <c r="M2" s="7" t="s">
        <v>22</v>
      </c>
      <c r="N2" s="7" t="s">
        <v>23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  <c r="V2" s="1">
        <v>2025</v>
      </c>
      <c r="W2" s="1">
        <v>2026</v>
      </c>
      <c r="X2" s="1">
        <v>2027</v>
      </c>
      <c r="Y2" s="1">
        <v>2028</v>
      </c>
      <c r="Z2" s="1">
        <v>2029</v>
      </c>
      <c r="AA2" s="1">
        <v>2030</v>
      </c>
      <c r="AB2" s="1">
        <v>2031</v>
      </c>
      <c r="AC2" s="1">
        <v>2032</v>
      </c>
      <c r="AD2" s="1">
        <v>2033</v>
      </c>
      <c r="AE2" s="1">
        <v>2034</v>
      </c>
      <c r="AF2" s="1">
        <v>2035</v>
      </c>
    </row>
    <row r="3" spans="2:32" s="2" customFormat="1" x14ac:dyDescent="0.3">
      <c r="B3" s="2" t="s">
        <v>12</v>
      </c>
      <c r="C3" s="9">
        <v>1350.1</v>
      </c>
      <c r="D3" s="9">
        <v>1374.1</v>
      </c>
      <c r="E3" s="9">
        <v>1443.5</v>
      </c>
      <c r="F3" s="9">
        <f>U3-E3-D3-C3</f>
        <v>1502.3000000000002</v>
      </c>
      <c r="G3" s="9">
        <v>1449.9</v>
      </c>
      <c r="H3" s="9">
        <v>1513.7</v>
      </c>
      <c r="I3" s="9">
        <v>1539.5</v>
      </c>
      <c r="J3" s="9">
        <v>1612.3</v>
      </c>
      <c r="K3" s="9"/>
      <c r="L3" s="9"/>
      <c r="M3" s="9"/>
      <c r="N3" s="9"/>
      <c r="S3" s="9">
        <v>5458.6</v>
      </c>
      <c r="T3" s="9">
        <v>5635.5</v>
      </c>
      <c r="U3" s="9">
        <v>5670</v>
      </c>
      <c r="V3" s="9">
        <f>SUM(G3:J3)</f>
        <v>6115.4000000000005</v>
      </c>
      <c r="W3" s="9">
        <f>V3*1.06</f>
        <v>6482.3240000000005</v>
      </c>
      <c r="X3" s="9">
        <f>W3*1.05</f>
        <v>6806.4402000000009</v>
      </c>
      <c r="Y3" s="9">
        <f>X3*1.04</f>
        <v>7078.6978080000008</v>
      </c>
      <c r="Z3" s="9">
        <f>Y3*1.03</f>
        <v>7291.0587422400013</v>
      </c>
      <c r="AA3" s="9">
        <f>Z3*1.02</f>
        <v>7436.8799170848015</v>
      </c>
      <c r="AB3" s="9">
        <f>AA3*1.02</f>
        <v>7585.6175154264974</v>
      </c>
      <c r="AC3" s="9">
        <f t="shared" ref="AC3:AF3" si="0">AB3*1.01</f>
        <v>7661.4736905807622</v>
      </c>
      <c r="AD3" s="9">
        <f t="shared" si="0"/>
        <v>7738.0884274865703</v>
      </c>
      <c r="AE3" s="9">
        <f t="shared" si="0"/>
        <v>7815.4693117614361</v>
      </c>
      <c r="AF3" s="9">
        <f t="shared" si="0"/>
        <v>7893.6240048790505</v>
      </c>
    </row>
    <row r="4" spans="2:32" x14ac:dyDescent="0.3">
      <c r="B4" s="1" t="s">
        <v>25</v>
      </c>
      <c r="C4" s="6">
        <v>770.2</v>
      </c>
      <c r="D4" s="6">
        <v>781.5</v>
      </c>
      <c r="E4" s="6">
        <v>823.9</v>
      </c>
      <c r="F4" s="6">
        <f>U4-E4-D4-C4</f>
        <v>859.59999999999968</v>
      </c>
      <c r="G4" s="6">
        <v>830.4</v>
      </c>
      <c r="H4" s="6">
        <v>869.1</v>
      </c>
      <c r="I4" s="6">
        <v>880</v>
      </c>
      <c r="J4" s="6">
        <v>921.1</v>
      </c>
      <c r="K4" s="6"/>
      <c r="L4" s="6"/>
      <c r="M4" s="6"/>
      <c r="N4" s="6"/>
      <c r="S4" s="6">
        <v>3128.3</v>
      </c>
      <c r="T4" s="6">
        <v>3196.1</v>
      </c>
      <c r="U4" s="6">
        <v>3235.2</v>
      </c>
      <c r="V4" s="6">
        <f>SUM(G4:J4)</f>
        <v>3500.6</v>
      </c>
      <c r="W4" s="6">
        <f>W3-W5</f>
        <v>3694.9246800000005</v>
      </c>
      <c r="X4" s="6">
        <f t="shared" ref="X4:AF4" si="1">X3-X5</f>
        <v>3879.6709140000007</v>
      </c>
      <c r="Y4" s="6">
        <f t="shared" si="1"/>
        <v>4034.8577505600006</v>
      </c>
      <c r="Z4" s="6">
        <f t="shared" si="1"/>
        <v>4155.9034830768014</v>
      </c>
      <c r="AA4" s="6">
        <f t="shared" si="1"/>
        <v>4239.021552738337</v>
      </c>
      <c r="AB4" s="6">
        <f t="shared" si="1"/>
        <v>4323.8019837931042</v>
      </c>
      <c r="AC4" s="6">
        <f t="shared" si="1"/>
        <v>4367.0400036310348</v>
      </c>
      <c r="AD4" s="6">
        <f t="shared" si="1"/>
        <v>4410.7104036673445</v>
      </c>
      <c r="AE4" s="6">
        <f t="shared" si="1"/>
        <v>4454.8175077040187</v>
      </c>
      <c r="AF4" s="6">
        <f t="shared" si="1"/>
        <v>4499.3656827810591</v>
      </c>
    </row>
    <row r="5" spans="2:32" s="2" customFormat="1" x14ac:dyDescent="0.3">
      <c r="B5" s="2" t="s">
        <v>26</v>
      </c>
      <c r="C5" s="9">
        <f>C3-C4</f>
        <v>579.89999999999986</v>
      </c>
      <c r="D5" s="9">
        <f>D3-D4</f>
        <v>592.59999999999991</v>
      </c>
      <c r="E5" s="9">
        <f>E3-E4</f>
        <v>619.6</v>
      </c>
      <c r="F5" s="9">
        <f>F3-F4</f>
        <v>642.7000000000005</v>
      </c>
      <c r="G5" s="9">
        <f>G3-G4</f>
        <v>619.50000000000011</v>
      </c>
      <c r="H5" s="9">
        <f>H3-H4</f>
        <v>644.6</v>
      </c>
      <c r="I5" s="9">
        <f>I3-I4</f>
        <v>659.5</v>
      </c>
      <c r="J5" s="9">
        <f>J3-J4</f>
        <v>691.19999999999993</v>
      </c>
      <c r="K5" s="9"/>
      <c r="L5" s="9"/>
      <c r="M5" s="9"/>
      <c r="N5" s="9"/>
      <c r="S5" s="9">
        <f>S3-S4</f>
        <v>2330.3000000000002</v>
      </c>
      <c r="T5" s="9">
        <f>T3-T4</f>
        <v>2439.4</v>
      </c>
      <c r="U5" s="9">
        <f>U3-U4</f>
        <v>2434.8000000000002</v>
      </c>
      <c r="V5" s="9">
        <f>V3-V4</f>
        <v>2614.8000000000006</v>
      </c>
      <c r="W5" s="9">
        <f>W3*0.43</f>
        <v>2787.39932</v>
      </c>
      <c r="X5" s="9">
        <f t="shared" ref="X5:AF5" si="2">X3*0.43</f>
        <v>2926.7692860000002</v>
      </c>
      <c r="Y5" s="9">
        <f t="shared" si="2"/>
        <v>3043.8400574400002</v>
      </c>
      <c r="Z5" s="9">
        <f t="shared" si="2"/>
        <v>3135.1552591632003</v>
      </c>
      <c r="AA5" s="9">
        <f t="shared" si="2"/>
        <v>3197.8583643464644</v>
      </c>
      <c r="AB5" s="9">
        <f t="shared" si="2"/>
        <v>3261.8155316333937</v>
      </c>
      <c r="AC5" s="9">
        <f t="shared" si="2"/>
        <v>3294.4336869497279</v>
      </c>
      <c r="AD5" s="9">
        <f t="shared" si="2"/>
        <v>3327.3780238192253</v>
      </c>
      <c r="AE5" s="9">
        <f t="shared" si="2"/>
        <v>3360.6518040574174</v>
      </c>
      <c r="AF5" s="9">
        <f t="shared" si="2"/>
        <v>3394.2583220979918</v>
      </c>
    </row>
    <row r="6" spans="2:32" x14ac:dyDescent="0.3">
      <c r="B6" s="1" t="s">
        <v>27</v>
      </c>
      <c r="C6" s="6">
        <v>219.7</v>
      </c>
      <c r="D6" s="6">
        <v>224.8</v>
      </c>
      <c r="E6" s="6">
        <v>226.1</v>
      </c>
      <c r="F6" s="6">
        <f t="shared" ref="F6:F8" si="3">U6-E6-D6-C6</f>
        <v>232</v>
      </c>
      <c r="G6" s="6">
        <v>233.9</v>
      </c>
      <c r="H6" s="6">
        <v>229.4</v>
      </c>
      <c r="I6" s="6">
        <v>238.2</v>
      </c>
      <c r="J6" s="6">
        <v>229.6</v>
      </c>
      <c r="K6" s="6"/>
      <c r="L6" s="6"/>
      <c r="M6" s="6"/>
      <c r="N6" s="6"/>
      <c r="S6" s="6">
        <v>804</v>
      </c>
      <c r="T6" s="6">
        <v>852</v>
      </c>
      <c r="U6" s="6">
        <v>902.6</v>
      </c>
      <c r="V6" s="6">
        <f t="shared" ref="V6:V8" si="4">SUM(G6:J6)</f>
        <v>931.1</v>
      </c>
      <c r="W6" s="6">
        <f>V6*1.03</f>
        <v>959.03300000000002</v>
      </c>
      <c r="X6" s="6">
        <f>W6*1.02</f>
        <v>978.21366</v>
      </c>
      <c r="Y6" s="6">
        <f>X6*1.02</f>
        <v>997.77793320000001</v>
      </c>
      <c r="Z6" s="6">
        <f>Y6*1.02</f>
        <v>1017.733491864</v>
      </c>
      <c r="AA6" s="6">
        <f>Z6*1.01</f>
        <v>1027.91082678264</v>
      </c>
      <c r="AB6" s="6">
        <f t="shared" ref="AB6:AF6" si="5">AA6*1.01</f>
        <v>1038.1899350504664</v>
      </c>
      <c r="AC6" s="6">
        <f t="shared" si="5"/>
        <v>1048.5718344009711</v>
      </c>
      <c r="AD6" s="6">
        <f t="shared" si="5"/>
        <v>1059.0575527449807</v>
      </c>
      <c r="AE6" s="6">
        <f t="shared" si="5"/>
        <v>1069.6481282724305</v>
      </c>
      <c r="AF6" s="6">
        <f t="shared" si="5"/>
        <v>1080.3446095551549</v>
      </c>
    </row>
    <row r="7" spans="2:32" x14ac:dyDescent="0.3">
      <c r="B7" s="1" t="s">
        <v>28</v>
      </c>
      <c r="C7" s="6">
        <v>76.5</v>
      </c>
      <c r="D7" s="6">
        <v>71.7</v>
      </c>
      <c r="E7" s="6">
        <v>73</v>
      </c>
      <c r="F7" s="6">
        <f t="shared" si="3"/>
        <v>71.400000000000034</v>
      </c>
      <c r="G7" s="6">
        <v>74.3</v>
      </c>
      <c r="H7" s="6">
        <v>82.4</v>
      </c>
      <c r="I7" s="6">
        <v>83.4</v>
      </c>
      <c r="J7" s="6">
        <v>77.2</v>
      </c>
      <c r="K7" s="6"/>
      <c r="L7" s="6"/>
      <c r="M7" s="6"/>
      <c r="N7" s="6"/>
      <c r="S7" s="6">
        <v>352.2</v>
      </c>
      <c r="T7" s="6">
        <v>356.3</v>
      </c>
      <c r="U7" s="6">
        <v>292.60000000000002</v>
      </c>
      <c r="V7" s="6">
        <f t="shared" si="4"/>
        <v>317.3</v>
      </c>
      <c r="W7" s="6">
        <f>V7*1.05</f>
        <v>333.16500000000002</v>
      </c>
      <c r="X7" s="6">
        <f>W7*1.04</f>
        <v>346.49160000000001</v>
      </c>
      <c r="Y7" s="6">
        <f>X7*1.03</f>
        <v>356.886348</v>
      </c>
      <c r="Z7" s="6">
        <f>Y7*1.02</f>
        <v>364.02407496000001</v>
      </c>
      <c r="AA7" s="6">
        <f>Z7*1.02</f>
        <v>371.3045564592</v>
      </c>
      <c r="AB7" s="6">
        <f>AA7*1.02</f>
        <v>378.73064758838399</v>
      </c>
      <c r="AC7" s="6">
        <f t="shared" ref="AC7:AF7" si="6">AB7*1.02</f>
        <v>386.30526054015166</v>
      </c>
      <c r="AD7" s="6">
        <f t="shared" si="6"/>
        <v>394.03136575095471</v>
      </c>
      <c r="AE7" s="6">
        <f t="shared" si="6"/>
        <v>401.91199306597383</v>
      </c>
      <c r="AF7" s="6">
        <f t="shared" si="6"/>
        <v>409.95023292729331</v>
      </c>
    </row>
    <row r="8" spans="2:32" x14ac:dyDescent="0.3">
      <c r="B8" s="1" t="s">
        <v>29</v>
      </c>
      <c r="C8" s="6">
        <v>49.4</v>
      </c>
      <c r="D8" s="6">
        <v>49.1</v>
      </c>
      <c r="E8" s="6">
        <v>49.8</v>
      </c>
      <c r="F8" s="6">
        <f t="shared" si="3"/>
        <v>49.699999999999996</v>
      </c>
      <c r="G8" s="6">
        <v>52</v>
      </c>
      <c r="H8" s="6">
        <v>54.6</v>
      </c>
      <c r="I8" s="6">
        <v>55.1</v>
      </c>
      <c r="J8" s="6">
        <v>54.9</v>
      </c>
      <c r="K8" s="6"/>
      <c r="L8" s="6"/>
      <c r="M8" s="6"/>
      <c r="N8" s="6"/>
      <c r="S8" s="6">
        <v>201.7</v>
      </c>
      <c r="T8" s="6">
        <v>196.7</v>
      </c>
      <c r="U8" s="6">
        <v>198</v>
      </c>
      <c r="V8" s="6">
        <f t="shared" si="4"/>
        <v>216.6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2:32" x14ac:dyDescent="0.3">
      <c r="B9" s="1" t="s">
        <v>30</v>
      </c>
      <c r="C9" s="6">
        <f>SUM(C6:C8)</f>
        <v>345.59999999999997</v>
      </c>
      <c r="D9" s="6">
        <f>SUM(D6:D8)</f>
        <v>345.6</v>
      </c>
      <c r="E9" s="6">
        <f>SUM(E6:E8)</f>
        <v>348.90000000000003</v>
      </c>
      <c r="F9" s="6">
        <f>SUM(F6:F8)</f>
        <v>353.1</v>
      </c>
      <c r="G9" s="6">
        <f>SUM(G6:G8)</f>
        <v>360.2</v>
      </c>
      <c r="H9" s="6">
        <f>SUM(H6:H8)</f>
        <v>366.40000000000003</v>
      </c>
      <c r="I9" s="6">
        <f>SUM(I6:I8)</f>
        <v>376.70000000000005</v>
      </c>
      <c r="J9" s="6">
        <f>SUM(J6:J8)</f>
        <v>361.7</v>
      </c>
      <c r="K9" s="6"/>
      <c r="L9" s="6"/>
      <c r="M9" s="6"/>
      <c r="N9" s="6"/>
      <c r="S9" s="6">
        <f>SUM(S6:S8)</f>
        <v>1357.9</v>
      </c>
      <c r="T9" s="6">
        <f>SUM(T6:T8)</f>
        <v>1405</v>
      </c>
      <c r="U9" s="6">
        <f>SUM(U6:U8)</f>
        <v>1393.2</v>
      </c>
      <c r="V9" s="6">
        <f>SUM(V6:V8)</f>
        <v>1465</v>
      </c>
      <c r="W9" s="6">
        <f>SUM(W6:W8)</f>
        <v>1292.1980000000001</v>
      </c>
      <c r="X9" s="6">
        <f t="shared" ref="X9:AF9" si="7">SUM(X6:X8)</f>
        <v>1324.70526</v>
      </c>
      <c r="Y9" s="6">
        <f t="shared" si="7"/>
        <v>1354.6642812</v>
      </c>
      <c r="Z9" s="6">
        <f t="shared" si="7"/>
        <v>1381.7575668240002</v>
      </c>
      <c r="AA9" s="6">
        <f t="shared" si="7"/>
        <v>1399.2153832418401</v>
      </c>
      <c r="AB9" s="6">
        <f t="shared" si="7"/>
        <v>1416.9205826388504</v>
      </c>
      <c r="AC9" s="6">
        <f t="shared" si="7"/>
        <v>1434.8770949411228</v>
      </c>
      <c r="AD9" s="6">
        <f t="shared" si="7"/>
        <v>1453.0889184959356</v>
      </c>
      <c r="AE9" s="6">
        <f t="shared" si="7"/>
        <v>1471.5601213384043</v>
      </c>
      <c r="AF9" s="6">
        <f t="shared" si="7"/>
        <v>1490.2948424824481</v>
      </c>
    </row>
    <row r="10" spans="2:32" s="2" customFormat="1" x14ac:dyDescent="0.3">
      <c r="B10" s="2" t="s">
        <v>31</v>
      </c>
      <c r="C10" s="9">
        <f>C5-C9</f>
        <v>234.2999999999999</v>
      </c>
      <c r="D10" s="9">
        <f>D5-D9</f>
        <v>246.99999999999989</v>
      </c>
      <c r="E10" s="9">
        <f>E5-E9</f>
        <v>270.7</v>
      </c>
      <c r="F10" s="9">
        <f>F5-F9</f>
        <v>289.60000000000048</v>
      </c>
      <c r="G10" s="9">
        <f>G5-G9</f>
        <v>259.30000000000013</v>
      </c>
      <c r="H10" s="9">
        <f>H5-H9</f>
        <v>278.2</v>
      </c>
      <c r="I10" s="9">
        <f>I5-I9</f>
        <v>282.79999999999995</v>
      </c>
      <c r="J10" s="9">
        <f>J5-J9</f>
        <v>329.49999999999994</v>
      </c>
      <c r="K10" s="9"/>
      <c r="L10" s="9"/>
      <c r="M10" s="9"/>
      <c r="N10" s="9"/>
      <c r="S10" s="9">
        <f>S5-S9</f>
        <v>972.40000000000009</v>
      </c>
      <c r="T10" s="9">
        <f>T5-T9</f>
        <v>1034.4000000000001</v>
      </c>
      <c r="U10" s="9">
        <f>U5-U9</f>
        <v>1041.6000000000001</v>
      </c>
      <c r="V10" s="9">
        <f>V5-V9</f>
        <v>1149.8000000000006</v>
      </c>
      <c r="W10" s="9">
        <f>W5-W9</f>
        <v>1495.2013199999999</v>
      </c>
      <c r="X10" s="9">
        <f t="shared" ref="X10:AF10" si="8">X5-X9</f>
        <v>1602.0640260000002</v>
      </c>
      <c r="Y10" s="9">
        <f t="shared" si="8"/>
        <v>1689.1757762400002</v>
      </c>
      <c r="Z10" s="9">
        <f t="shared" si="8"/>
        <v>1753.3976923392001</v>
      </c>
      <c r="AA10" s="9">
        <f t="shared" si="8"/>
        <v>1798.6429811046244</v>
      </c>
      <c r="AB10" s="9">
        <f t="shared" si="8"/>
        <v>1844.8949489945433</v>
      </c>
      <c r="AC10" s="9">
        <f t="shared" si="8"/>
        <v>1859.5565920086051</v>
      </c>
      <c r="AD10" s="9">
        <f t="shared" si="8"/>
        <v>1874.2891053232897</v>
      </c>
      <c r="AE10" s="9">
        <f t="shared" si="8"/>
        <v>1889.0916827190131</v>
      </c>
      <c r="AF10" s="9">
        <f t="shared" si="8"/>
        <v>1903.9634796155437</v>
      </c>
    </row>
    <row r="11" spans="2:32" x14ac:dyDescent="0.3">
      <c r="B11" s="1" t="s">
        <v>32</v>
      </c>
      <c r="C11" s="6">
        <v>12.7</v>
      </c>
      <c r="D11" s="6">
        <v>15.8</v>
      </c>
      <c r="E11" s="6">
        <v>15.7</v>
      </c>
      <c r="F11" s="6">
        <f t="shared" ref="F11:F13" si="9">U11-E11-D11-C11</f>
        <v>13.700000000000003</v>
      </c>
      <c r="G11" s="6">
        <v>17.3</v>
      </c>
      <c r="H11" s="6">
        <v>17.600000000000001</v>
      </c>
      <c r="I11" s="6">
        <v>12.6</v>
      </c>
      <c r="J11" s="6">
        <v>12.1</v>
      </c>
      <c r="K11" s="6"/>
      <c r="L11" s="6"/>
      <c r="M11" s="6"/>
      <c r="N11" s="6"/>
      <c r="S11" s="6">
        <v>89.3</v>
      </c>
      <c r="T11" s="6">
        <v>77.3</v>
      </c>
      <c r="U11" s="6">
        <v>57.9</v>
      </c>
      <c r="V11" s="6">
        <f t="shared" ref="V11:V13" si="10">SUM(G11:J11)</f>
        <v>59.600000000000009</v>
      </c>
      <c r="W11" s="6">
        <f>V11*1.02</f>
        <v>60.792000000000009</v>
      </c>
      <c r="X11" s="6">
        <f t="shared" ref="X11:AF11" si="11">W11*1.02</f>
        <v>62.007840000000009</v>
      </c>
      <c r="Y11" s="6">
        <f t="shared" si="11"/>
        <v>63.24799680000001</v>
      </c>
      <c r="Z11" s="6">
        <f t="shared" si="11"/>
        <v>64.512956736000007</v>
      </c>
      <c r="AA11" s="6">
        <f t="shared" si="11"/>
        <v>65.80321587072001</v>
      </c>
      <c r="AB11" s="6">
        <f t="shared" si="11"/>
        <v>67.119280188134411</v>
      </c>
      <c r="AC11" s="6">
        <f t="shared" si="11"/>
        <v>68.461665791897104</v>
      </c>
      <c r="AD11" s="6">
        <f t="shared" si="11"/>
        <v>69.83089910773505</v>
      </c>
      <c r="AE11" s="6">
        <f t="shared" si="11"/>
        <v>71.227517089889758</v>
      </c>
      <c r="AF11" s="6">
        <f t="shared" si="11"/>
        <v>72.652067431687556</v>
      </c>
    </row>
    <row r="12" spans="2:32" x14ac:dyDescent="0.3">
      <c r="B12" s="1" t="s">
        <v>33</v>
      </c>
      <c r="C12" s="6">
        <v>-2.7</v>
      </c>
      <c r="D12" s="6">
        <v>-2.7</v>
      </c>
      <c r="E12" s="6">
        <v>-2.8</v>
      </c>
      <c r="F12" s="6">
        <f t="shared" si="9"/>
        <v>-2.5999999999999996</v>
      </c>
      <c r="G12" s="6">
        <v>-2.8</v>
      </c>
      <c r="H12" s="6">
        <v>-2.7</v>
      </c>
      <c r="I12" s="6">
        <v>-2.7</v>
      </c>
      <c r="J12" s="6">
        <v>-2.7</v>
      </c>
      <c r="K12" s="6"/>
      <c r="L12" s="6"/>
      <c r="M12" s="6"/>
      <c r="N12" s="6"/>
      <c r="S12" s="6">
        <v>-11.4</v>
      </c>
      <c r="T12" s="6">
        <v>-12.4</v>
      </c>
      <c r="U12" s="6">
        <v>-10.8</v>
      </c>
      <c r="V12" s="6">
        <f t="shared" si="10"/>
        <v>-10.899999999999999</v>
      </c>
      <c r="W12" s="6">
        <v>-11</v>
      </c>
      <c r="X12" s="6">
        <v>-11</v>
      </c>
      <c r="Y12" s="6">
        <v>-11</v>
      </c>
      <c r="Z12" s="6">
        <v>-11</v>
      </c>
      <c r="AA12" s="6">
        <v>-11</v>
      </c>
      <c r="AB12" s="6">
        <v>-11</v>
      </c>
      <c r="AC12" s="6">
        <v>-11</v>
      </c>
      <c r="AD12" s="6">
        <v>-11</v>
      </c>
      <c r="AE12" s="6">
        <v>-11</v>
      </c>
      <c r="AF12" s="6">
        <v>-11</v>
      </c>
    </row>
    <row r="13" spans="2:32" x14ac:dyDescent="0.3">
      <c r="B13" s="1" t="s">
        <v>34</v>
      </c>
      <c r="C13" s="6">
        <v>-1.2</v>
      </c>
      <c r="D13" s="6">
        <v>2.2000000000000002</v>
      </c>
      <c r="E13" s="6">
        <v>2.7</v>
      </c>
      <c r="F13" s="6">
        <f t="shared" si="9"/>
        <v>0.39999999999999925</v>
      </c>
      <c r="G13" s="6">
        <v>5.9</v>
      </c>
      <c r="H13" s="6">
        <v>2.7</v>
      </c>
      <c r="I13" s="6">
        <v>-0.9</v>
      </c>
      <c r="J13" s="6">
        <v>-1.1000000000000001</v>
      </c>
      <c r="K13" s="6"/>
      <c r="L13" s="6"/>
      <c r="M13" s="6"/>
      <c r="N13" s="6"/>
      <c r="S13" s="6">
        <f>-10.6-3.4</f>
        <v>-14</v>
      </c>
      <c r="T13" s="6">
        <f>-1.6+12.2</f>
        <v>10.6</v>
      </c>
      <c r="U13" s="6">
        <v>4.0999999999999996</v>
      </c>
      <c r="V13" s="6">
        <f t="shared" si="10"/>
        <v>6.6000000000000014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</row>
    <row r="14" spans="2:32" s="2" customFormat="1" x14ac:dyDescent="0.3">
      <c r="B14" s="2" t="s">
        <v>35</v>
      </c>
      <c r="C14" s="9">
        <f>C10-C11-C12-C13</f>
        <v>225.49999999999989</v>
      </c>
      <c r="D14" s="9">
        <f>D10-D11-D12-D13</f>
        <v>231.69999999999987</v>
      </c>
      <c r="E14" s="9">
        <f>E10-E11-E12-E13</f>
        <v>255.10000000000002</v>
      </c>
      <c r="F14" s="9">
        <f>F10-F11-F12-F13</f>
        <v>278.10000000000053</v>
      </c>
      <c r="G14" s="9">
        <f>G10-G11-G12-G13</f>
        <v>238.90000000000012</v>
      </c>
      <c r="H14" s="9">
        <f>H10-H11-H12-H13</f>
        <v>260.59999999999997</v>
      </c>
      <c r="I14" s="9">
        <f>I10-I11-I12-I13</f>
        <v>273.7999999999999</v>
      </c>
      <c r="J14" s="9">
        <f>J10-J11-J12-J13</f>
        <v>321.19999999999993</v>
      </c>
      <c r="K14" s="9"/>
      <c r="L14" s="9"/>
      <c r="M14" s="9"/>
      <c r="N14" s="9"/>
      <c r="S14" s="9">
        <f>S10-S11-S12-S13</f>
        <v>908.50000000000011</v>
      </c>
      <c r="T14" s="9">
        <f>T10-T11-T12-T13</f>
        <v>958.90000000000009</v>
      </c>
      <c r="U14" s="9">
        <f>U10-U11-U12-U13</f>
        <v>990.40000000000009</v>
      </c>
      <c r="V14" s="9">
        <f>V10-V11-V12-V13</f>
        <v>1094.5000000000009</v>
      </c>
      <c r="W14" s="9">
        <f>W10-W11-W12-W13</f>
        <v>1445.40932</v>
      </c>
      <c r="X14" s="9">
        <f t="shared" ref="X14:AF14" si="12">X10-X11-X12-X13</f>
        <v>1551.0561860000003</v>
      </c>
      <c r="Y14" s="9">
        <f t="shared" si="12"/>
        <v>1636.9277794400002</v>
      </c>
      <c r="Z14" s="9">
        <f t="shared" si="12"/>
        <v>1699.8847356032002</v>
      </c>
      <c r="AA14" s="9">
        <f t="shared" si="12"/>
        <v>1743.8397652339045</v>
      </c>
      <c r="AB14" s="9">
        <f t="shared" si="12"/>
        <v>1788.7756688064089</v>
      </c>
      <c r="AC14" s="9">
        <f t="shared" si="12"/>
        <v>1802.094926216708</v>
      </c>
      <c r="AD14" s="9">
        <f t="shared" si="12"/>
        <v>1815.4582062155546</v>
      </c>
      <c r="AE14" s="9">
        <f t="shared" si="12"/>
        <v>1828.8641656291234</v>
      </c>
      <c r="AF14" s="9">
        <f t="shared" si="12"/>
        <v>1842.3114121838562</v>
      </c>
    </row>
    <row r="15" spans="2:32" x14ac:dyDescent="0.3">
      <c r="B15" s="1" t="s">
        <v>36</v>
      </c>
      <c r="C15" s="6">
        <v>46.4</v>
      </c>
      <c r="D15" s="6">
        <v>51.4</v>
      </c>
      <c r="E15" s="6">
        <v>-7.1</v>
      </c>
      <c r="F15" s="6">
        <f t="shared" ref="F15:F16" si="13">U15-E15-D15-C15</f>
        <v>26.500000000000007</v>
      </c>
      <c r="G15" s="6">
        <v>50.1</v>
      </c>
      <c r="H15" s="6">
        <v>50.2</v>
      </c>
      <c r="I15" s="6">
        <v>52.9</v>
      </c>
      <c r="J15" s="6">
        <v>45.6</v>
      </c>
      <c r="K15" s="6"/>
      <c r="L15" s="6"/>
      <c r="M15" s="6"/>
      <c r="N15" s="6"/>
      <c r="S15" s="6">
        <v>119.2</v>
      </c>
      <c r="T15" s="6">
        <v>72.3</v>
      </c>
      <c r="U15" s="6">
        <v>117.2</v>
      </c>
      <c r="V15" s="6">
        <f t="shared" ref="V15:V16" si="14">SUM(G15:J15)</f>
        <v>198.8</v>
      </c>
      <c r="W15" s="6">
        <f>W14*0.2</f>
        <v>289.081864</v>
      </c>
      <c r="X15" s="6">
        <f t="shared" ref="X15:AF15" si="15">X14*0.2</f>
        <v>310.21123720000008</v>
      </c>
      <c r="Y15" s="6">
        <f t="shared" si="15"/>
        <v>327.38555588800006</v>
      </c>
      <c r="Z15" s="6">
        <f t="shared" si="15"/>
        <v>339.97694712064003</v>
      </c>
      <c r="AA15" s="6">
        <f t="shared" si="15"/>
        <v>348.76795304678092</v>
      </c>
      <c r="AB15" s="6">
        <f t="shared" si="15"/>
        <v>357.7551337612818</v>
      </c>
      <c r="AC15" s="6">
        <f t="shared" si="15"/>
        <v>360.41898524334164</v>
      </c>
      <c r="AD15" s="6">
        <f t="shared" si="15"/>
        <v>363.09164124311093</v>
      </c>
      <c r="AE15" s="6">
        <f t="shared" si="15"/>
        <v>365.77283312582472</v>
      </c>
      <c r="AF15" s="6">
        <f t="shared" si="15"/>
        <v>368.46228243677126</v>
      </c>
    </row>
    <row r="16" spans="2:32" x14ac:dyDescent="0.3">
      <c r="B16" s="1" t="s">
        <v>37</v>
      </c>
      <c r="C16" s="6">
        <v>0.6</v>
      </c>
      <c r="D16" s="6">
        <v>0.1</v>
      </c>
      <c r="E16" s="6">
        <v>0.2</v>
      </c>
      <c r="F16" s="6">
        <f t="shared" si="13"/>
        <v>0.6</v>
      </c>
      <c r="G16" s="6">
        <v>0.2</v>
      </c>
      <c r="H16" s="6">
        <v>0.5</v>
      </c>
      <c r="I16" s="6">
        <v>0.2</v>
      </c>
      <c r="J16" s="6">
        <v>0</v>
      </c>
      <c r="K16" s="6"/>
      <c r="L16" s="6"/>
      <c r="M16" s="6"/>
      <c r="N16" s="6"/>
      <c r="S16" s="6">
        <v>0.3</v>
      </c>
      <c r="T16" s="6">
        <v>0.9</v>
      </c>
      <c r="U16" s="6">
        <v>1.5</v>
      </c>
      <c r="V16" s="6">
        <f t="shared" si="14"/>
        <v>0.89999999999999991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</row>
    <row r="17" spans="2:129" s="2" customFormat="1" x14ac:dyDescent="0.3">
      <c r="B17" s="2" t="s">
        <v>38</v>
      </c>
      <c r="C17" s="9">
        <f>C14-C15-C16</f>
        <v>178.49999999999989</v>
      </c>
      <c r="D17" s="9">
        <f>D14-D15-D16</f>
        <v>180.19999999999987</v>
      </c>
      <c r="E17" s="9">
        <f>E14-E15-E16</f>
        <v>262.00000000000006</v>
      </c>
      <c r="F17" s="9">
        <f>F14-F15-F16</f>
        <v>251.00000000000054</v>
      </c>
      <c r="G17" s="9">
        <f>G14-G15-G16</f>
        <v>188.60000000000014</v>
      </c>
      <c r="H17" s="9">
        <f>H14-H15-H16</f>
        <v>209.89999999999998</v>
      </c>
      <c r="I17" s="9">
        <f>I14-I15-I16</f>
        <v>220.6999999999999</v>
      </c>
      <c r="J17" s="9">
        <f>J14-J15-J16</f>
        <v>275.59999999999991</v>
      </c>
      <c r="K17" s="9"/>
      <c r="L17" s="9"/>
      <c r="M17" s="9"/>
      <c r="N17" s="9"/>
      <c r="S17" s="9">
        <f>S14-S15-S16</f>
        <v>789.00000000000011</v>
      </c>
      <c r="T17" s="9">
        <f>T14-T15-T16</f>
        <v>885.70000000000016</v>
      </c>
      <c r="U17" s="9">
        <f>U14-U15-U16</f>
        <v>871.7</v>
      </c>
      <c r="V17" s="9">
        <f>V14-V15-V16</f>
        <v>894.80000000000098</v>
      </c>
      <c r="W17" s="9">
        <f>W14-W15-W16</f>
        <v>1156.327456</v>
      </c>
      <c r="X17" s="9">
        <f t="shared" ref="X17:AF17" si="16">X14-X15-X16</f>
        <v>1240.8449488000001</v>
      </c>
      <c r="Y17" s="9">
        <f t="shared" si="16"/>
        <v>1309.5422235520002</v>
      </c>
      <c r="Z17" s="9">
        <f t="shared" si="16"/>
        <v>1359.9077884825601</v>
      </c>
      <c r="AA17" s="9">
        <f t="shared" si="16"/>
        <v>1395.0718121871237</v>
      </c>
      <c r="AB17" s="9">
        <f t="shared" si="16"/>
        <v>1431.0205350451272</v>
      </c>
      <c r="AC17" s="9">
        <f t="shared" si="16"/>
        <v>1441.6759409733663</v>
      </c>
      <c r="AD17" s="9">
        <f t="shared" si="16"/>
        <v>1452.3665649724437</v>
      </c>
      <c r="AE17" s="9">
        <f t="shared" si="16"/>
        <v>1463.0913325032986</v>
      </c>
      <c r="AF17" s="9">
        <f t="shared" si="16"/>
        <v>1473.849129747085</v>
      </c>
      <c r="AG17" s="2">
        <f>AF17*(1+$AI$22)</f>
        <v>1459.1106384496143</v>
      </c>
      <c r="AH17" s="2">
        <f t="shared" ref="AH17:CS17" si="17">AG17*(1+$AI$22)</f>
        <v>1444.519532065118</v>
      </c>
      <c r="AI17" s="2">
        <f t="shared" si="17"/>
        <v>1430.0743367444668</v>
      </c>
      <c r="AJ17" s="2">
        <f t="shared" si="17"/>
        <v>1415.7735933770221</v>
      </c>
      <c r="AK17" s="2">
        <f t="shared" si="17"/>
        <v>1401.6158574432518</v>
      </c>
      <c r="AL17" s="2">
        <f t="shared" si="17"/>
        <v>1387.5996988688194</v>
      </c>
      <c r="AM17" s="2">
        <f t="shared" si="17"/>
        <v>1373.7237018801311</v>
      </c>
      <c r="AN17" s="2">
        <f t="shared" si="17"/>
        <v>1359.9864648613298</v>
      </c>
      <c r="AO17" s="2">
        <f t="shared" si="17"/>
        <v>1346.3866002127165</v>
      </c>
      <c r="AP17" s="2">
        <f t="shared" si="17"/>
        <v>1332.9227342105894</v>
      </c>
      <c r="AQ17" s="2">
        <f t="shared" si="17"/>
        <v>1319.5935068684835</v>
      </c>
      <c r="AR17" s="2">
        <f t="shared" si="17"/>
        <v>1306.3975717997987</v>
      </c>
      <c r="AS17" s="2">
        <f t="shared" si="17"/>
        <v>1293.3335960818008</v>
      </c>
      <c r="AT17" s="2">
        <f t="shared" si="17"/>
        <v>1280.4002601209827</v>
      </c>
      <c r="AU17" s="2">
        <f t="shared" si="17"/>
        <v>1267.596257519773</v>
      </c>
      <c r="AV17" s="2">
        <f t="shared" si="17"/>
        <v>1254.9202949445753</v>
      </c>
      <c r="AW17" s="2">
        <f t="shared" si="17"/>
        <v>1242.3710919951295</v>
      </c>
      <c r="AX17" s="2">
        <f t="shared" si="17"/>
        <v>1229.9473810751781</v>
      </c>
      <c r="AY17" s="2">
        <f t="shared" si="17"/>
        <v>1217.6479072644263</v>
      </c>
      <c r="AZ17" s="2">
        <f t="shared" si="17"/>
        <v>1205.471428191782</v>
      </c>
      <c r="BA17" s="2">
        <f t="shared" si="17"/>
        <v>1193.4167139098643</v>
      </c>
      <c r="BB17" s="2">
        <f t="shared" si="17"/>
        <v>1181.4825467707656</v>
      </c>
      <c r="BC17" s="2">
        <f t="shared" si="17"/>
        <v>1169.667721303058</v>
      </c>
      <c r="BD17" s="2">
        <f t="shared" si="17"/>
        <v>1157.9710440900274</v>
      </c>
      <c r="BE17" s="2">
        <f t="shared" si="17"/>
        <v>1146.3913336491271</v>
      </c>
      <c r="BF17" s="2">
        <f t="shared" si="17"/>
        <v>1134.9274203126358</v>
      </c>
      <c r="BG17" s="2">
        <f t="shared" si="17"/>
        <v>1123.5781461095094</v>
      </c>
      <c r="BH17" s="2">
        <f t="shared" si="17"/>
        <v>1112.3423646484143</v>
      </c>
      <c r="BI17" s="2">
        <f t="shared" si="17"/>
        <v>1101.2189410019303</v>
      </c>
      <c r="BJ17" s="2">
        <f t="shared" si="17"/>
        <v>1090.2067515919109</v>
      </c>
      <c r="BK17" s="2">
        <f t="shared" si="17"/>
        <v>1079.3046840759919</v>
      </c>
      <c r="BL17" s="2">
        <f t="shared" si="17"/>
        <v>1068.511637235232</v>
      </c>
      <c r="BM17" s="2">
        <f t="shared" si="17"/>
        <v>1057.8265208628798</v>
      </c>
      <c r="BN17" s="2">
        <f t="shared" si="17"/>
        <v>1047.2482556542509</v>
      </c>
      <c r="BO17" s="2">
        <f t="shared" si="17"/>
        <v>1036.7757730977085</v>
      </c>
      <c r="BP17" s="2">
        <f t="shared" si="17"/>
        <v>1026.4080153667314</v>
      </c>
      <c r="BQ17" s="2">
        <f t="shared" si="17"/>
        <v>1016.1439352130641</v>
      </c>
      <c r="BR17" s="2">
        <f t="shared" si="17"/>
        <v>1005.9824958609335</v>
      </c>
      <c r="BS17" s="2">
        <f t="shared" si="17"/>
        <v>995.92267090232406</v>
      </c>
      <c r="BT17" s="2">
        <f t="shared" si="17"/>
        <v>985.9634441933008</v>
      </c>
      <c r="BU17" s="2">
        <f t="shared" si="17"/>
        <v>976.10380975136775</v>
      </c>
      <c r="BV17" s="2">
        <f t="shared" si="17"/>
        <v>966.34277165385402</v>
      </c>
      <c r="BW17" s="2">
        <f t="shared" si="17"/>
        <v>956.67934393731548</v>
      </c>
      <c r="BX17" s="2">
        <f t="shared" si="17"/>
        <v>947.11255049794227</v>
      </c>
      <c r="BY17" s="2">
        <f t="shared" si="17"/>
        <v>937.64142499296281</v>
      </c>
      <c r="BZ17" s="2">
        <f t="shared" si="17"/>
        <v>928.26501074303314</v>
      </c>
      <c r="CA17" s="2">
        <f t="shared" si="17"/>
        <v>918.98236063560284</v>
      </c>
      <c r="CB17" s="2">
        <f t="shared" si="17"/>
        <v>909.79253702924677</v>
      </c>
      <c r="CC17" s="2">
        <f t="shared" si="17"/>
        <v>900.69461165895427</v>
      </c>
      <c r="CD17" s="2">
        <f t="shared" si="17"/>
        <v>891.6876655423647</v>
      </c>
      <c r="CE17" s="2">
        <f t="shared" si="17"/>
        <v>882.77078888694109</v>
      </c>
      <c r="CF17" s="2">
        <f t="shared" si="17"/>
        <v>873.94308099807165</v>
      </c>
      <c r="CG17" s="2">
        <f t="shared" si="17"/>
        <v>865.20365018809093</v>
      </c>
      <c r="CH17" s="2">
        <f t="shared" si="17"/>
        <v>856.55161368620998</v>
      </c>
      <c r="CI17" s="2">
        <f t="shared" si="17"/>
        <v>847.98609754934785</v>
      </c>
      <c r="CJ17" s="2">
        <f t="shared" si="17"/>
        <v>839.50623657385438</v>
      </c>
      <c r="CK17" s="2">
        <f t="shared" si="17"/>
        <v>831.11117420811581</v>
      </c>
      <c r="CL17" s="2">
        <f t="shared" si="17"/>
        <v>822.80006246603466</v>
      </c>
      <c r="CM17" s="2">
        <f t="shared" si="17"/>
        <v>814.57206184137431</v>
      </c>
      <c r="CN17" s="2">
        <f t="shared" si="17"/>
        <v>806.42634122296056</v>
      </c>
      <c r="CO17" s="2">
        <f t="shared" si="17"/>
        <v>798.36207781073097</v>
      </c>
      <c r="CP17" s="2">
        <f t="shared" si="17"/>
        <v>790.3784570326236</v>
      </c>
      <c r="CQ17" s="2">
        <f t="shared" si="17"/>
        <v>782.47467246229735</v>
      </c>
      <c r="CR17" s="2">
        <f t="shared" si="17"/>
        <v>774.64992573767438</v>
      </c>
      <c r="CS17" s="2">
        <f t="shared" si="17"/>
        <v>766.90342648029764</v>
      </c>
      <c r="CT17" s="2">
        <f t="shared" ref="CT17:DY17" si="18">CS17*(1+$AI$22)</f>
        <v>759.23439221549461</v>
      </c>
      <c r="CU17" s="2">
        <f t="shared" si="18"/>
        <v>751.64204829333971</v>
      </c>
      <c r="CV17" s="2">
        <f t="shared" si="18"/>
        <v>744.12562781040629</v>
      </c>
      <c r="CW17" s="2">
        <f t="shared" si="18"/>
        <v>736.68437153230218</v>
      </c>
      <c r="CX17" s="2">
        <f t="shared" si="18"/>
        <v>729.31752781697912</v>
      </c>
      <c r="CY17" s="2">
        <f t="shared" si="18"/>
        <v>722.02435253880935</v>
      </c>
      <c r="CZ17" s="2">
        <f t="shared" si="18"/>
        <v>714.80410901342123</v>
      </c>
      <c r="DA17" s="2">
        <f t="shared" si="18"/>
        <v>707.65606792328697</v>
      </c>
      <c r="DB17" s="2">
        <f t="shared" si="18"/>
        <v>700.57950724405407</v>
      </c>
      <c r="DC17" s="2">
        <f t="shared" si="18"/>
        <v>693.57371217161358</v>
      </c>
      <c r="DD17" s="2">
        <f t="shared" si="18"/>
        <v>686.63797504989748</v>
      </c>
      <c r="DE17" s="2">
        <f t="shared" si="18"/>
        <v>679.77159529939854</v>
      </c>
      <c r="DF17" s="2">
        <f t="shared" si="18"/>
        <v>672.9738793464046</v>
      </c>
      <c r="DG17" s="2">
        <f t="shared" si="18"/>
        <v>666.24414055294051</v>
      </c>
      <c r="DH17" s="2">
        <f t="shared" si="18"/>
        <v>659.58169914741109</v>
      </c>
      <c r="DI17" s="2">
        <f t="shared" si="18"/>
        <v>652.98588215593702</v>
      </c>
      <c r="DJ17" s="2">
        <f t="shared" si="18"/>
        <v>646.45602333437762</v>
      </c>
      <c r="DK17" s="2">
        <f t="shared" si="18"/>
        <v>639.99146310103379</v>
      </c>
      <c r="DL17" s="2">
        <f t="shared" si="18"/>
        <v>633.59154847002344</v>
      </c>
      <c r="DM17" s="2">
        <f t="shared" si="18"/>
        <v>627.25563298532325</v>
      </c>
      <c r="DN17" s="2">
        <f t="shared" si="18"/>
        <v>620.98307665546997</v>
      </c>
      <c r="DO17" s="2">
        <f t="shared" si="18"/>
        <v>614.77324588891531</v>
      </c>
      <c r="DP17" s="2">
        <f t="shared" si="18"/>
        <v>608.6255134300261</v>
      </c>
      <c r="DQ17" s="2">
        <f t="shared" si="18"/>
        <v>602.53925829572586</v>
      </c>
      <c r="DR17" s="2">
        <f t="shared" si="18"/>
        <v>596.51386571276862</v>
      </c>
      <c r="DS17" s="2">
        <f t="shared" si="18"/>
        <v>590.54872705564094</v>
      </c>
      <c r="DT17" s="2">
        <f t="shared" si="18"/>
        <v>584.64323978508457</v>
      </c>
      <c r="DU17" s="2">
        <f t="shared" si="18"/>
        <v>578.79680738723368</v>
      </c>
      <c r="DV17" s="2">
        <f t="shared" si="18"/>
        <v>573.00883931336136</v>
      </c>
      <c r="DW17" s="2">
        <f t="shared" si="18"/>
        <v>567.27875092022771</v>
      </c>
      <c r="DX17" s="2">
        <f t="shared" si="18"/>
        <v>561.60596341102541</v>
      </c>
      <c r="DY17" s="2">
        <f t="shared" si="18"/>
        <v>555.98990377691518</v>
      </c>
    </row>
    <row r="18" spans="2:129" x14ac:dyDescent="0.3">
      <c r="B18" s="1" t="s">
        <v>2</v>
      </c>
      <c r="C18" s="6">
        <v>47</v>
      </c>
      <c r="D18" s="6">
        <v>47</v>
      </c>
      <c r="E18" s="6">
        <v>47</v>
      </c>
      <c r="F18" s="6">
        <v>47</v>
      </c>
      <c r="G18" s="6">
        <v>47</v>
      </c>
      <c r="H18" s="6">
        <v>47</v>
      </c>
      <c r="I18" s="6">
        <v>47</v>
      </c>
      <c r="J18" s="6">
        <v>47</v>
      </c>
      <c r="K18" s="6"/>
      <c r="L18" s="6"/>
      <c r="M18" s="6"/>
      <c r="N18" s="6"/>
      <c r="S18" s="6">
        <v>47</v>
      </c>
      <c r="T18" s="6">
        <v>47</v>
      </c>
      <c r="U18" s="6">
        <v>47</v>
      </c>
      <c r="V18" s="6">
        <v>47</v>
      </c>
      <c r="W18" s="6">
        <v>47</v>
      </c>
      <c r="X18" s="6">
        <v>47</v>
      </c>
      <c r="Y18" s="6">
        <v>47</v>
      </c>
      <c r="Z18" s="6">
        <v>47</v>
      </c>
      <c r="AA18" s="6">
        <v>47</v>
      </c>
      <c r="AB18" s="6">
        <v>47</v>
      </c>
      <c r="AC18" s="6">
        <v>47</v>
      </c>
      <c r="AD18" s="6">
        <v>47</v>
      </c>
      <c r="AE18" s="6">
        <v>47</v>
      </c>
      <c r="AF18" s="6">
        <v>47</v>
      </c>
    </row>
    <row r="19" spans="2:129" x14ac:dyDescent="0.3">
      <c r="B19" s="1" t="s">
        <v>39</v>
      </c>
      <c r="C19" s="8">
        <f>C17/C18</f>
        <v>3.7978723404255295</v>
      </c>
      <c r="D19" s="8">
        <f>D17/D18</f>
        <v>3.8340425531914866</v>
      </c>
      <c r="E19" s="8">
        <f>E17/E18</f>
        <v>5.5744680851063846</v>
      </c>
      <c r="F19" s="8">
        <f>F17/F18</f>
        <v>5.3404255319149048</v>
      </c>
      <c r="G19" s="8">
        <f>G17/G18</f>
        <v>4.0127659574468115</v>
      </c>
      <c r="H19" s="8">
        <f>H17/H18</f>
        <v>4.4659574468085106</v>
      </c>
      <c r="I19" s="8">
        <f>I17/I18</f>
        <v>4.6957446808510621</v>
      </c>
      <c r="J19" s="8">
        <f>J17/J18</f>
        <v>5.8638297872340406</v>
      </c>
      <c r="S19" s="8">
        <f>S17/S18</f>
        <v>16.787234042553195</v>
      </c>
      <c r="T19" s="8">
        <f>T17/T18</f>
        <v>18.844680851063835</v>
      </c>
      <c r="U19" s="8">
        <f>U17/U18</f>
        <v>18.5468085106383</v>
      </c>
      <c r="V19" s="8">
        <f>V17/V18</f>
        <v>19.038297872340447</v>
      </c>
      <c r="W19" s="8">
        <f>W17/W18</f>
        <v>24.602711829787232</v>
      </c>
      <c r="X19" s="8">
        <f t="shared" ref="X19:AF19" si="19">X17/X18</f>
        <v>26.400956357446812</v>
      </c>
      <c r="Y19" s="8">
        <f t="shared" si="19"/>
        <v>27.862600501106389</v>
      </c>
      <c r="Z19" s="8">
        <f t="shared" si="19"/>
        <v>28.934208265586385</v>
      </c>
      <c r="AA19" s="8">
        <f t="shared" si="19"/>
        <v>29.682378982704758</v>
      </c>
      <c r="AB19" s="8">
        <f t="shared" si="19"/>
        <v>30.447245426492067</v>
      </c>
      <c r="AC19" s="8">
        <f t="shared" si="19"/>
        <v>30.673956190922688</v>
      </c>
      <c r="AD19" s="8">
        <f t="shared" si="19"/>
        <v>30.901416276009442</v>
      </c>
      <c r="AE19" s="8">
        <f t="shared" si="19"/>
        <v>31.129602819219119</v>
      </c>
      <c r="AF19" s="8">
        <f t="shared" si="19"/>
        <v>31.358492122278406</v>
      </c>
    </row>
    <row r="21" spans="2:129" x14ac:dyDescent="0.3">
      <c r="B21" s="1" t="s">
        <v>40</v>
      </c>
      <c r="C21" s="10"/>
      <c r="D21" s="10"/>
      <c r="E21" s="10"/>
      <c r="F21" s="10"/>
      <c r="G21" s="10">
        <f t="shared" ref="E21:H21" si="20">G3/C3-1</f>
        <v>7.3920450337012111E-2</v>
      </c>
      <c r="H21" s="10">
        <f t="shared" si="20"/>
        <v>0.10159377046794282</v>
      </c>
      <c r="I21" s="10">
        <f>I3/E3-1</f>
        <v>6.6505022514721235E-2</v>
      </c>
      <c r="J21" s="10">
        <f t="shared" ref="J21:N21" si="21">J3/F3-1</f>
        <v>7.32210610397388E-2</v>
      </c>
      <c r="K21" s="10">
        <f t="shared" si="21"/>
        <v>-1</v>
      </c>
      <c r="L21" s="10">
        <f t="shared" si="21"/>
        <v>-1</v>
      </c>
      <c r="M21" s="10">
        <f t="shared" si="21"/>
        <v>-1</v>
      </c>
      <c r="N21" s="10">
        <f t="shared" si="21"/>
        <v>-1</v>
      </c>
      <c r="S21" s="10"/>
      <c r="T21" s="10">
        <f t="shared" ref="S21:U21" si="22">T3/S3-1</f>
        <v>3.2407577034404333E-2</v>
      </c>
      <c r="U21" s="10">
        <f>U3/T3-1</f>
        <v>6.121905775885006E-3</v>
      </c>
      <c r="V21" s="10">
        <f t="shared" ref="V21:AF21" si="23">V3/U3-1</f>
        <v>7.8553791887125302E-2</v>
      </c>
      <c r="W21" s="10">
        <f t="shared" si="23"/>
        <v>6.0000000000000053E-2</v>
      </c>
      <c r="X21" s="10">
        <f t="shared" si="23"/>
        <v>5.0000000000000044E-2</v>
      </c>
      <c r="Y21" s="10">
        <f t="shared" si="23"/>
        <v>4.0000000000000036E-2</v>
      </c>
      <c r="Z21" s="10">
        <f t="shared" si="23"/>
        <v>3.0000000000000027E-2</v>
      </c>
      <c r="AA21" s="10">
        <f t="shared" si="23"/>
        <v>2.0000000000000018E-2</v>
      </c>
      <c r="AB21" s="10">
        <f t="shared" si="23"/>
        <v>2.0000000000000018E-2</v>
      </c>
      <c r="AC21" s="10">
        <f t="shared" si="23"/>
        <v>1.0000000000000009E-2</v>
      </c>
      <c r="AD21" s="10">
        <f t="shared" si="23"/>
        <v>1.0000000000000009E-2</v>
      </c>
      <c r="AE21" s="10">
        <f t="shared" si="23"/>
        <v>1.0000000000000009E-2</v>
      </c>
      <c r="AF21" s="10">
        <f t="shared" si="23"/>
        <v>1.0000000000000009E-2</v>
      </c>
    </row>
    <row r="22" spans="2:129" x14ac:dyDescent="0.3">
      <c r="B22" s="1" t="s">
        <v>41</v>
      </c>
      <c r="C22" s="10">
        <f t="shared" ref="C22:I22" si="24">C5/C3</f>
        <v>0.42952373898229751</v>
      </c>
      <c r="D22" s="10">
        <f t="shared" si="24"/>
        <v>0.43126410013827227</v>
      </c>
      <c r="E22" s="10">
        <f t="shared" si="24"/>
        <v>0.42923449948042952</v>
      </c>
      <c r="F22" s="10">
        <f t="shared" si="24"/>
        <v>0.42781069027491209</v>
      </c>
      <c r="G22" s="10">
        <f t="shared" si="24"/>
        <v>0.42727084626525974</v>
      </c>
      <c r="H22" s="10">
        <f t="shared" si="24"/>
        <v>0.42584395851225476</v>
      </c>
      <c r="I22" s="10">
        <f>I5/I3</f>
        <v>0.42838583955829818</v>
      </c>
      <c r="J22" s="10">
        <f t="shared" ref="J22:N22" si="25">J5/J3</f>
        <v>0.42870433542144759</v>
      </c>
      <c r="K22" s="10" t="e">
        <f t="shared" si="25"/>
        <v>#DIV/0!</v>
      </c>
      <c r="L22" s="10" t="e">
        <f t="shared" si="25"/>
        <v>#DIV/0!</v>
      </c>
      <c r="M22" s="10" t="e">
        <f t="shared" si="25"/>
        <v>#DIV/0!</v>
      </c>
      <c r="N22" s="10" t="e">
        <f t="shared" si="25"/>
        <v>#DIV/0!</v>
      </c>
      <c r="S22" s="10">
        <f t="shared" ref="S22:U22" si="26">S5/S3</f>
        <v>0.42690433444472942</v>
      </c>
      <c r="T22" s="10">
        <f t="shared" si="26"/>
        <v>0.43286309999112771</v>
      </c>
      <c r="U22" s="10">
        <f>U5/U3</f>
        <v>0.42941798941798948</v>
      </c>
      <c r="V22" s="10">
        <f t="shared" ref="V22:AF22" si="27">V5/V3</f>
        <v>0.42757628282696153</v>
      </c>
      <c r="W22" s="10">
        <f t="shared" si="27"/>
        <v>0.42999999999999994</v>
      </c>
      <c r="X22" s="10">
        <f t="shared" si="27"/>
        <v>0.43</v>
      </c>
      <c r="Y22" s="10">
        <f t="shared" si="27"/>
        <v>0.43</v>
      </c>
      <c r="Z22" s="10">
        <f t="shared" si="27"/>
        <v>0.43</v>
      </c>
      <c r="AA22" s="10">
        <f t="shared" si="27"/>
        <v>0.43</v>
      </c>
      <c r="AB22" s="10">
        <f t="shared" si="27"/>
        <v>0.43</v>
      </c>
      <c r="AC22" s="10">
        <f t="shared" si="27"/>
        <v>0.43</v>
      </c>
      <c r="AD22" s="10">
        <f t="shared" si="27"/>
        <v>0.43</v>
      </c>
      <c r="AE22" s="10">
        <f t="shared" si="27"/>
        <v>0.43</v>
      </c>
      <c r="AF22" s="10">
        <f t="shared" si="27"/>
        <v>0.43</v>
      </c>
      <c r="AH22" s="1" t="s">
        <v>46</v>
      </c>
      <c r="AI22" s="10">
        <v>-0.01</v>
      </c>
    </row>
    <row r="23" spans="2:129" x14ac:dyDescent="0.3">
      <c r="B23" s="1" t="s">
        <v>42</v>
      </c>
      <c r="C23" s="10"/>
      <c r="D23" s="10"/>
      <c r="E23" s="10"/>
      <c r="F23" s="10"/>
      <c r="G23" s="10">
        <f t="shared" ref="E23:H23" si="28">G6/C6-1</f>
        <v>6.4633591260810253E-2</v>
      </c>
      <c r="H23" s="10">
        <f t="shared" si="28"/>
        <v>2.0462633451957313E-2</v>
      </c>
      <c r="I23" s="10">
        <f>I6/E6-1</f>
        <v>5.3516143299425112E-2</v>
      </c>
      <c r="J23" s="10">
        <f t="shared" ref="J23:N23" si="29">J6/F6-1</f>
        <v>-1.0344827586206917E-2</v>
      </c>
      <c r="K23" s="10">
        <f t="shared" si="29"/>
        <v>-1</v>
      </c>
      <c r="L23" s="10">
        <f t="shared" si="29"/>
        <v>-1</v>
      </c>
      <c r="M23" s="10">
        <f t="shared" si="29"/>
        <v>-1</v>
      </c>
      <c r="N23" s="10">
        <f t="shared" si="29"/>
        <v>-1</v>
      </c>
      <c r="S23" s="10"/>
      <c r="T23" s="10">
        <f t="shared" ref="S23:U23" si="30">T6/S6-1</f>
        <v>5.9701492537313383E-2</v>
      </c>
      <c r="U23" s="10">
        <f>U6/T6-1</f>
        <v>5.9389671361502305E-2</v>
      </c>
      <c r="V23" s="10">
        <f t="shared" ref="V23:AF23" si="31">V6/U6-1</f>
        <v>3.1575448703744735E-2</v>
      </c>
      <c r="W23" s="10">
        <f t="shared" si="31"/>
        <v>3.0000000000000027E-2</v>
      </c>
      <c r="X23" s="10">
        <f t="shared" si="31"/>
        <v>2.0000000000000018E-2</v>
      </c>
      <c r="Y23" s="10">
        <f t="shared" si="31"/>
        <v>2.0000000000000018E-2</v>
      </c>
      <c r="Z23" s="10">
        <f t="shared" si="31"/>
        <v>2.0000000000000018E-2</v>
      </c>
      <c r="AA23" s="10">
        <f t="shared" si="31"/>
        <v>1.0000000000000009E-2</v>
      </c>
      <c r="AB23" s="10">
        <f t="shared" si="31"/>
        <v>1.0000000000000009E-2</v>
      </c>
      <c r="AC23" s="10">
        <f t="shared" si="31"/>
        <v>1.0000000000000009E-2</v>
      </c>
      <c r="AD23" s="10">
        <f t="shared" si="31"/>
        <v>1.0000000000000009E-2</v>
      </c>
      <c r="AE23" s="10">
        <f t="shared" si="31"/>
        <v>1.0000000000000009E-2</v>
      </c>
      <c r="AF23" s="10">
        <f t="shared" si="31"/>
        <v>1.0000000000000009E-2</v>
      </c>
      <c r="AH23" s="1" t="s">
        <v>47</v>
      </c>
      <c r="AI23" s="10">
        <v>0.08</v>
      </c>
    </row>
    <row r="24" spans="2:129" x14ac:dyDescent="0.3">
      <c r="B24" s="1" t="s">
        <v>43</v>
      </c>
      <c r="C24" s="10"/>
      <c r="D24" s="10"/>
      <c r="E24" s="10"/>
      <c r="F24" s="10"/>
      <c r="G24" s="10">
        <f t="shared" ref="E24:H24" si="32">G7/C7-1</f>
        <v>-2.8758169934640532E-2</v>
      </c>
      <c r="H24" s="10">
        <f t="shared" si="32"/>
        <v>0.1492329149232916</v>
      </c>
      <c r="I24" s="10">
        <f>I7/E7-1</f>
        <v>0.14246575342465762</v>
      </c>
      <c r="J24" s="10">
        <f t="shared" ref="J24:N24" si="33">J7/F7-1</f>
        <v>8.1232492997198369E-2</v>
      </c>
      <c r="K24" s="10">
        <f t="shared" si="33"/>
        <v>-1</v>
      </c>
      <c r="L24" s="10">
        <f t="shared" si="33"/>
        <v>-1</v>
      </c>
      <c r="M24" s="10">
        <f t="shared" si="33"/>
        <v>-1</v>
      </c>
      <c r="N24" s="10">
        <f t="shared" si="33"/>
        <v>-1</v>
      </c>
      <c r="S24" s="10"/>
      <c r="T24" s="10">
        <f t="shared" ref="S24:U24" si="34">T7/S7-1</f>
        <v>1.1641113003975079E-2</v>
      </c>
      <c r="U24" s="10">
        <f>U7/T7-1</f>
        <v>-0.17878192534381132</v>
      </c>
      <c r="V24" s="10">
        <f t="shared" ref="V24:AF24" si="35">V7/U7-1</f>
        <v>8.4415584415584277E-2</v>
      </c>
      <c r="W24" s="10">
        <f t="shared" si="35"/>
        <v>5.0000000000000044E-2</v>
      </c>
      <c r="X24" s="10">
        <f t="shared" si="35"/>
        <v>4.0000000000000036E-2</v>
      </c>
      <c r="Y24" s="10">
        <f t="shared" si="35"/>
        <v>3.0000000000000027E-2</v>
      </c>
      <c r="Z24" s="10">
        <f t="shared" si="35"/>
        <v>2.0000000000000018E-2</v>
      </c>
      <c r="AA24" s="10">
        <f t="shared" si="35"/>
        <v>2.0000000000000018E-2</v>
      </c>
      <c r="AB24" s="10">
        <f t="shared" si="35"/>
        <v>2.0000000000000018E-2</v>
      </c>
      <c r="AC24" s="10">
        <f t="shared" si="35"/>
        <v>2.0000000000000018E-2</v>
      </c>
      <c r="AD24" s="10">
        <f t="shared" si="35"/>
        <v>2.0000000000000018E-2</v>
      </c>
      <c r="AE24" s="10">
        <f t="shared" si="35"/>
        <v>2.0000000000000018E-2</v>
      </c>
      <c r="AF24" s="10">
        <f t="shared" si="35"/>
        <v>2.0000000000000018E-2</v>
      </c>
      <c r="AH24" s="1" t="s">
        <v>48</v>
      </c>
      <c r="AI24" s="6">
        <f>NPV(AI23,V17:DY17)</f>
        <v>16174.040670043365</v>
      </c>
    </row>
    <row r="25" spans="2:129" x14ac:dyDescent="0.3">
      <c r="B25" s="1" t="s">
        <v>44</v>
      </c>
      <c r="C25" s="10">
        <f t="shared" ref="C25:I25" si="36">C10/C3</f>
        <v>0.17354270054070062</v>
      </c>
      <c r="D25" s="10">
        <f t="shared" si="36"/>
        <v>0.17975402081362341</v>
      </c>
      <c r="E25" s="10">
        <f t="shared" si="36"/>
        <v>0.18753030827848977</v>
      </c>
      <c r="F25" s="10">
        <f t="shared" si="36"/>
        <v>0.19277108433734969</v>
      </c>
      <c r="G25" s="10">
        <f t="shared" si="36"/>
        <v>0.17883991999448245</v>
      </c>
      <c r="H25" s="10">
        <f t="shared" si="36"/>
        <v>0.18378806897007333</v>
      </c>
      <c r="I25" s="10">
        <f>I10/I3</f>
        <v>0.18369600519649235</v>
      </c>
      <c r="J25" s="10">
        <f t="shared" ref="J25:N25" si="37">J10/J3</f>
        <v>0.20436643304595917</v>
      </c>
      <c r="K25" s="10" t="e">
        <f t="shared" si="37"/>
        <v>#DIV/0!</v>
      </c>
      <c r="L25" s="10" t="e">
        <f t="shared" si="37"/>
        <v>#DIV/0!</v>
      </c>
      <c r="M25" s="10" t="e">
        <f t="shared" si="37"/>
        <v>#DIV/0!</v>
      </c>
      <c r="N25" s="10" t="e">
        <f t="shared" si="37"/>
        <v>#DIV/0!</v>
      </c>
      <c r="S25" s="10">
        <f t="shared" ref="S25:U25" si="38">S10/S3</f>
        <v>0.17814091525299527</v>
      </c>
      <c r="T25" s="10">
        <f t="shared" si="38"/>
        <v>0.18355070535001333</v>
      </c>
      <c r="U25" s="10">
        <f>U10/U3</f>
        <v>0.18370370370370373</v>
      </c>
      <c r="V25" s="10">
        <f t="shared" ref="V25:AF25" si="39">V10/V3</f>
        <v>0.18801713706380621</v>
      </c>
      <c r="W25" s="10">
        <f t="shared" si="39"/>
        <v>0.23065822072454259</v>
      </c>
      <c r="X25" s="10">
        <f t="shared" si="39"/>
        <v>0.23537473024445291</v>
      </c>
      <c r="Y25" s="10">
        <f t="shared" si="39"/>
        <v>0.23862803894961807</v>
      </c>
      <c r="Z25" s="10">
        <f t="shared" si="39"/>
        <v>0.24048601915399068</v>
      </c>
      <c r="AA25" s="10">
        <f t="shared" si="39"/>
        <v>0.24185451441438338</v>
      </c>
      <c r="AB25" s="10">
        <f t="shared" si="39"/>
        <v>0.24320959305457612</v>
      </c>
      <c r="AC25" s="10">
        <f t="shared" si="39"/>
        <v>0.24271526172501223</v>
      </c>
      <c r="AD25" s="10">
        <f t="shared" si="39"/>
        <v>0.24221603602584865</v>
      </c>
      <c r="AE25" s="10">
        <f t="shared" si="39"/>
        <v>0.24171186749798049</v>
      </c>
      <c r="AF25" s="10">
        <f t="shared" si="39"/>
        <v>0.24120270720250972</v>
      </c>
      <c r="AH25" s="1" t="s">
        <v>49</v>
      </c>
      <c r="AI25" s="6">
        <f>Main!D8</f>
        <v>-2004.7999999999997</v>
      </c>
    </row>
    <row r="26" spans="2:129" x14ac:dyDescent="0.3">
      <c r="B26" s="1" t="s">
        <v>36</v>
      </c>
      <c r="C26" s="10">
        <f t="shared" ref="C26:I26" si="40">C15/C14</f>
        <v>0.20576496674057659</v>
      </c>
      <c r="D26" s="10">
        <f t="shared" si="40"/>
        <v>0.22183858437634885</v>
      </c>
      <c r="E26" s="10">
        <f t="shared" si="40"/>
        <v>-2.7832222657781257E-2</v>
      </c>
      <c r="F26" s="10">
        <f t="shared" si="40"/>
        <v>9.5289464221502904E-2</v>
      </c>
      <c r="G26" s="10">
        <f t="shared" si="40"/>
        <v>0.20971117622436156</v>
      </c>
      <c r="H26" s="10">
        <f t="shared" si="40"/>
        <v>0.19263238679969305</v>
      </c>
      <c r="I26" s="10">
        <f>I15/I14</f>
        <v>0.19320672023374733</v>
      </c>
      <c r="J26" s="10">
        <f t="shared" ref="J26:N26" si="41">J15/J14</f>
        <v>0.14196762141967625</v>
      </c>
      <c r="K26" s="10" t="e">
        <f t="shared" si="41"/>
        <v>#DIV/0!</v>
      </c>
      <c r="L26" s="10" t="e">
        <f t="shared" si="41"/>
        <v>#DIV/0!</v>
      </c>
      <c r="M26" s="10" t="e">
        <f t="shared" si="41"/>
        <v>#DIV/0!</v>
      </c>
      <c r="N26" s="10" t="e">
        <f t="shared" si="41"/>
        <v>#DIV/0!</v>
      </c>
      <c r="S26" s="10">
        <f t="shared" ref="S26:U26" si="42">S15/S14</f>
        <v>0.13120528343423224</v>
      </c>
      <c r="T26" s="10">
        <f t="shared" si="42"/>
        <v>7.5398894566690994E-2</v>
      </c>
      <c r="U26" s="10">
        <f>U15/U14</f>
        <v>0.11833602584814215</v>
      </c>
      <c r="V26" s="10">
        <f t="shared" ref="V26:AF26" si="43">V15/V14</f>
        <v>0.18163544997715839</v>
      </c>
      <c r="W26" s="10">
        <f t="shared" si="43"/>
        <v>0.2</v>
      </c>
      <c r="X26" s="10">
        <f t="shared" si="43"/>
        <v>0.2</v>
      </c>
      <c r="Y26" s="10">
        <f t="shared" si="43"/>
        <v>0.2</v>
      </c>
      <c r="Z26" s="10">
        <f t="shared" si="43"/>
        <v>0.2</v>
      </c>
      <c r="AA26" s="10">
        <f t="shared" si="43"/>
        <v>0.2</v>
      </c>
      <c r="AB26" s="10">
        <f t="shared" si="43"/>
        <v>0.2</v>
      </c>
      <c r="AC26" s="10">
        <f t="shared" si="43"/>
        <v>0.2</v>
      </c>
      <c r="AD26" s="10">
        <f t="shared" si="43"/>
        <v>0.2</v>
      </c>
      <c r="AE26" s="10">
        <f t="shared" si="43"/>
        <v>0.2</v>
      </c>
      <c r="AF26" s="10">
        <f t="shared" si="43"/>
        <v>0.2</v>
      </c>
      <c r="AH26" s="1" t="s">
        <v>50</v>
      </c>
      <c r="AI26" s="6">
        <f>AI24+AI25</f>
        <v>14169.240670043366</v>
      </c>
    </row>
    <row r="27" spans="2:129" x14ac:dyDescent="0.3">
      <c r="B27" s="1" t="s">
        <v>45</v>
      </c>
      <c r="C27" s="10">
        <f t="shared" ref="C27:I27" si="44">C17/C3</f>
        <v>0.13221242870898445</v>
      </c>
      <c r="D27" s="10">
        <f t="shared" si="44"/>
        <v>0.13114038279601184</v>
      </c>
      <c r="E27" s="10">
        <f t="shared" si="44"/>
        <v>0.18150329061309323</v>
      </c>
      <c r="F27" s="10">
        <f t="shared" si="44"/>
        <v>0.16707714837249585</v>
      </c>
      <c r="G27" s="10">
        <f t="shared" si="44"/>
        <v>0.13007793640940762</v>
      </c>
      <c r="H27" s="10">
        <f t="shared" si="44"/>
        <v>0.13866684283543632</v>
      </c>
      <c r="I27" s="10">
        <f>I17/I3</f>
        <v>0.14335823319259494</v>
      </c>
      <c r="J27" s="10">
        <f t="shared" ref="J27:N27" si="45">J17/J3</f>
        <v>0.17093593003783411</v>
      </c>
      <c r="K27" s="10" t="e">
        <f t="shared" si="45"/>
        <v>#DIV/0!</v>
      </c>
      <c r="L27" s="10" t="e">
        <f t="shared" si="45"/>
        <v>#DIV/0!</v>
      </c>
      <c r="M27" s="10" t="e">
        <f t="shared" si="45"/>
        <v>#DIV/0!</v>
      </c>
      <c r="N27" s="10" t="e">
        <f t="shared" si="45"/>
        <v>#DIV/0!</v>
      </c>
      <c r="S27" s="10">
        <f t="shared" ref="S27:U27" si="46">S17/S3</f>
        <v>0.14454255669952004</v>
      </c>
      <c r="T27" s="10">
        <f t="shared" si="46"/>
        <v>0.15716440422322778</v>
      </c>
      <c r="U27" s="10">
        <f>U17/U3</f>
        <v>0.15373897707231041</v>
      </c>
      <c r="V27" s="10">
        <f t="shared" ref="V27:AF27" si="47">V17/V3</f>
        <v>0.14631912875690894</v>
      </c>
      <c r="W27" s="10">
        <f t="shared" si="47"/>
        <v>0.17838161992519966</v>
      </c>
      <c r="X27" s="10">
        <f t="shared" si="47"/>
        <v>0.1823045398679915</v>
      </c>
      <c r="Y27" s="10">
        <f t="shared" si="47"/>
        <v>0.18499761666220857</v>
      </c>
      <c r="Z27" s="10">
        <f t="shared" si="47"/>
        <v>0.18651718996640004</v>
      </c>
      <c r="AA27" s="10">
        <f t="shared" si="47"/>
        <v>0.18758832033608805</v>
      </c>
      <c r="AB27" s="10">
        <f t="shared" si="47"/>
        <v>0.18864918144566756</v>
      </c>
      <c r="AC27" s="10">
        <f t="shared" si="47"/>
        <v>0.1881721453596851</v>
      </c>
      <c r="AD27" s="10">
        <f t="shared" si="47"/>
        <v>0.18769061359049252</v>
      </c>
      <c r="AE27" s="10">
        <f t="shared" si="47"/>
        <v>0.18720453937443071</v>
      </c>
      <c r="AF27" s="10">
        <f t="shared" si="47"/>
        <v>0.18671387550713064</v>
      </c>
      <c r="AH27" s="1" t="s">
        <v>51</v>
      </c>
      <c r="AI27" s="5">
        <f>AI26/AF18</f>
        <v>301.47320574560354</v>
      </c>
    </row>
    <row r="28" spans="2:129" x14ac:dyDescent="0.3">
      <c r="AH28" s="1" t="s">
        <v>52</v>
      </c>
      <c r="AI28" s="5">
        <f>Main!D3</f>
        <v>660.29</v>
      </c>
    </row>
    <row r="29" spans="2:129" s="12" customFormat="1" x14ac:dyDescent="0.3">
      <c r="B29" s="12" t="s">
        <v>24</v>
      </c>
      <c r="J29" s="13">
        <v>15285.3</v>
      </c>
      <c r="V29" s="13">
        <v>15285.3</v>
      </c>
      <c r="AH29" s="2" t="s">
        <v>53</v>
      </c>
      <c r="AI29" s="11">
        <f>AI27/AI28-1</f>
        <v>-0.5434230326892675</v>
      </c>
    </row>
    <row r="30" spans="2:129" x14ac:dyDescent="0.3">
      <c r="AH30" s="1" t="s">
        <v>54</v>
      </c>
      <c r="AI30" s="7" t="s">
        <v>55</v>
      </c>
    </row>
    <row r="31" spans="2:129" x14ac:dyDescent="0.3">
      <c r="B31" s="1" t="s">
        <v>56</v>
      </c>
      <c r="V31" s="14">
        <f>Main!$D$9/Model!V29</f>
        <v>2.1614511982100453</v>
      </c>
    </row>
    <row r="32" spans="2:129" x14ac:dyDescent="0.3">
      <c r="B32" s="1" t="s">
        <v>57</v>
      </c>
      <c r="V32" s="10">
        <f>V29/Main!D9-1</f>
        <v>-0.537347870343718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2026-02-16T12:17:16Z</dcterms:created>
  <dcterms:modified xsi:type="dcterms:W3CDTF">2026-02-17T16:00:13Z</dcterms:modified>
</cp:coreProperties>
</file>