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s\Documents\GitHub\FinanceModels\Financial Analysis\"/>
    </mc:Choice>
  </mc:AlternateContent>
  <xr:revisionPtr revIDLastSave="0" documentId="13_ncr:1_{973CEC1D-7C21-43B9-B167-50215D481EE2}" xr6:coauthVersionLast="47" xr6:coauthVersionMax="47" xr10:uidLastSave="{00000000-0000-0000-0000-000000000000}"/>
  <bookViews>
    <workbookView xWindow="-108" yWindow="-108" windowWidth="23256" windowHeight="12576" activeTab="1" xr2:uid="{30EBCB5C-6AEB-429F-AD50-6C6253964D7E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F41" i="2" l="1"/>
  <c r="R8" i="2"/>
  <c r="R7" i="2"/>
  <c r="R6" i="2"/>
  <c r="R5" i="2"/>
  <c r="R4" i="2"/>
  <c r="R3" i="2"/>
  <c r="R9" i="2"/>
  <c r="J29" i="2"/>
  <c r="J30" i="2"/>
  <c r="J31" i="2"/>
  <c r="J32" i="2"/>
  <c r="J33" i="2"/>
  <c r="J34" i="2"/>
  <c r="K34" i="2"/>
  <c r="K33" i="2"/>
  <c r="K32" i="2"/>
  <c r="K31" i="2"/>
  <c r="K30" i="2"/>
  <c r="K29" i="2"/>
  <c r="H10" i="2"/>
  <c r="J10" i="2"/>
  <c r="L10" i="2" s="1"/>
  <c r="L35" i="2" s="1"/>
  <c r="I10" i="2"/>
  <c r="I35" i="2" s="1"/>
  <c r="K10" i="2"/>
  <c r="T54" i="2"/>
  <c r="U54" i="2" s="1"/>
  <c r="V54" i="2" s="1"/>
  <c r="W54" i="2" s="1"/>
  <c r="X54" i="2" s="1"/>
  <c r="Y54" i="2" s="1"/>
  <c r="Z54" i="2" s="1"/>
  <c r="AA54" i="2" s="1"/>
  <c r="AB54" i="2" s="1"/>
  <c r="AC54" i="2" s="1"/>
  <c r="J52" i="2"/>
  <c r="J51" i="2"/>
  <c r="J49" i="2"/>
  <c r="J48" i="2"/>
  <c r="J47" i="2"/>
  <c r="J46" i="2"/>
  <c r="J45" i="2"/>
  <c r="L45" i="2"/>
  <c r="I50" i="2"/>
  <c r="J50" i="2" s="1"/>
  <c r="K50" i="2"/>
  <c r="S23" i="2"/>
  <c r="S20" i="2"/>
  <c r="S17" i="2"/>
  <c r="S16" i="2"/>
  <c r="T16" i="2" s="1"/>
  <c r="U16" i="2" s="1"/>
  <c r="V16" i="2" s="1"/>
  <c r="W16" i="2" s="1"/>
  <c r="X16" i="2" s="1"/>
  <c r="Y16" i="2" s="1"/>
  <c r="Z16" i="2" s="1"/>
  <c r="AA16" i="2" s="1"/>
  <c r="AB16" i="2" s="1"/>
  <c r="AC16" i="2" s="1"/>
  <c r="S15" i="2"/>
  <c r="L25" i="2"/>
  <c r="K38" i="2"/>
  <c r="K37" i="2"/>
  <c r="K18" i="2"/>
  <c r="D7" i="1"/>
  <c r="D6" i="1"/>
  <c r="AC25" i="2"/>
  <c r="AB25" i="2"/>
  <c r="AA25" i="2"/>
  <c r="Z25" i="2"/>
  <c r="Y25" i="2"/>
  <c r="X25" i="2"/>
  <c r="W25" i="2"/>
  <c r="V25" i="2"/>
  <c r="U25" i="2"/>
  <c r="T25" i="2"/>
  <c r="S25" i="2"/>
  <c r="K25" i="2"/>
  <c r="D4" i="1"/>
  <c r="S45" i="2"/>
  <c r="T45" i="2" s="1"/>
  <c r="U45" i="2" s="1"/>
  <c r="V45" i="2" s="1"/>
  <c r="W45" i="2" s="1"/>
  <c r="X45" i="2" s="1"/>
  <c r="Y45" i="2" s="1"/>
  <c r="Z45" i="2" s="1"/>
  <c r="AA45" i="2" s="1"/>
  <c r="AB45" i="2" s="1"/>
  <c r="AC45" i="2" s="1"/>
  <c r="AF62" i="2"/>
  <c r="P38" i="2"/>
  <c r="O38" i="2"/>
  <c r="P37" i="2"/>
  <c r="O37" i="2"/>
  <c r="P35" i="2"/>
  <c r="O35" i="2"/>
  <c r="R54" i="2"/>
  <c r="J54" i="2" s="1"/>
  <c r="N23" i="2"/>
  <c r="N25" i="2"/>
  <c r="N18" i="2"/>
  <c r="N12" i="2"/>
  <c r="N36" i="2" s="1"/>
  <c r="O23" i="2"/>
  <c r="O25" i="2"/>
  <c r="O18" i="2"/>
  <c r="O12" i="2"/>
  <c r="O36" i="2" s="1"/>
  <c r="AF43" i="2"/>
  <c r="Q38" i="2"/>
  <c r="Q37" i="2"/>
  <c r="Q35" i="2"/>
  <c r="R38" i="2"/>
  <c r="R37" i="2"/>
  <c r="R35" i="2"/>
  <c r="I38" i="2"/>
  <c r="I37" i="2"/>
  <c r="J23" i="2"/>
  <c r="J22" i="2"/>
  <c r="J20" i="2"/>
  <c r="J17" i="2"/>
  <c r="J16" i="2"/>
  <c r="J15" i="2"/>
  <c r="J14" i="2"/>
  <c r="L14" i="2" s="1"/>
  <c r="J13" i="2"/>
  <c r="L13" i="2" s="1"/>
  <c r="J11" i="2"/>
  <c r="J25" i="2"/>
  <c r="H23" i="2"/>
  <c r="H22" i="2"/>
  <c r="H20" i="2"/>
  <c r="H17" i="2"/>
  <c r="H16" i="2"/>
  <c r="H15" i="2"/>
  <c r="H14" i="2"/>
  <c r="H13" i="2"/>
  <c r="H11" i="2"/>
  <c r="H25" i="2"/>
  <c r="G25" i="2"/>
  <c r="G18" i="2"/>
  <c r="G12" i="2"/>
  <c r="G36" i="2" s="1"/>
  <c r="I25" i="2"/>
  <c r="I18" i="2"/>
  <c r="I12" i="2"/>
  <c r="I36" i="2" s="1"/>
  <c r="P25" i="2"/>
  <c r="P18" i="2"/>
  <c r="P12" i="2"/>
  <c r="P36" i="2" s="1"/>
  <c r="Q25" i="2"/>
  <c r="Q18" i="2"/>
  <c r="Q12" i="2"/>
  <c r="Q36" i="2" s="1"/>
  <c r="R25" i="2"/>
  <c r="R18" i="2"/>
  <c r="R12" i="2"/>
  <c r="R36" i="2" s="1"/>
  <c r="F3" i="1"/>
  <c r="D5" i="1"/>
  <c r="K35" i="2" l="1"/>
  <c r="K12" i="2"/>
  <c r="K36" i="2" s="1"/>
  <c r="L37" i="2"/>
  <c r="S13" i="2"/>
  <c r="S37" i="2" s="1"/>
  <c r="L38" i="2"/>
  <c r="S14" i="2"/>
  <c r="T14" i="2" s="1"/>
  <c r="U14" i="2" s="1"/>
  <c r="V14" i="2" s="1"/>
  <c r="W14" i="2" s="1"/>
  <c r="X14" i="2" s="1"/>
  <c r="S10" i="2"/>
  <c r="J12" i="2"/>
  <c r="J36" i="2" s="1"/>
  <c r="L12" i="2"/>
  <c r="L18" i="2"/>
  <c r="D8" i="1"/>
  <c r="AF40" i="2" s="1"/>
  <c r="J37" i="2"/>
  <c r="J35" i="2"/>
  <c r="N19" i="2"/>
  <c r="N21" i="2" s="1"/>
  <c r="O19" i="2"/>
  <c r="J18" i="2"/>
  <c r="R19" i="2"/>
  <c r="J38" i="2"/>
  <c r="H18" i="2"/>
  <c r="H12" i="2"/>
  <c r="G19" i="2"/>
  <c r="I19" i="2"/>
  <c r="P19" i="2"/>
  <c r="P39" i="2" s="1"/>
  <c r="Q19" i="2"/>
  <c r="K19" i="2" l="1"/>
  <c r="K21" i="2" s="1"/>
  <c r="K24" i="2" s="1"/>
  <c r="K44" i="2" s="1"/>
  <c r="K53" i="2" s="1"/>
  <c r="K55" i="2" s="1"/>
  <c r="T38" i="2"/>
  <c r="S38" i="2"/>
  <c r="U38" i="2"/>
  <c r="S35" i="2"/>
  <c r="T10" i="2"/>
  <c r="S18" i="2"/>
  <c r="J19" i="2"/>
  <c r="J21" i="2" s="1"/>
  <c r="T13" i="2"/>
  <c r="T18" i="2" s="1"/>
  <c r="AF59" i="2"/>
  <c r="D9" i="1"/>
  <c r="O21" i="2"/>
  <c r="O39" i="2"/>
  <c r="N39" i="2"/>
  <c r="I21" i="2"/>
  <c r="I39" i="2"/>
  <c r="R39" i="2"/>
  <c r="R21" i="2"/>
  <c r="P21" i="2"/>
  <c r="P40" i="2" s="1"/>
  <c r="G21" i="2"/>
  <c r="G39" i="2"/>
  <c r="Q21" i="2"/>
  <c r="Q39" i="2"/>
  <c r="H19" i="2"/>
  <c r="H36" i="2"/>
  <c r="V38" i="2"/>
  <c r="T37" i="2" l="1"/>
  <c r="U13" i="2"/>
  <c r="V13" i="2" s="1"/>
  <c r="K39" i="2"/>
  <c r="K41" i="2"/>
  <c r="K40" i="2"/>
  <c r="K26" i="2"/>
  <c r="J39" i="2"/>
  <c r="T12" i="2"/>
  <c r="T19" i="2" s="1"/>
  <c r="U10" i="2"/>
  <c r="U12" i="2" s="1"/>
  <c r="U36" i="2" s="1"/>
  <c r="T35" i="2"/>
  <c r="N24" i="2"/>
  <c r="N44" i="2" s="1"/>
  <c r="N40" i="2"/>
  <c r="O24" i="2"/>
  <c r="O40" i="2"/>
  <c r="H21" i="2"/>
  <c r="H39" i="2"/>
  <c r="R40" i="2"/>
  <c r="R24" i="2"/>
  <c r="R44" i="2" s="1"/>
  <c r="R53" i="2" s="1"/>
  <c r="Q24" i="2"/>
  <c r="Q44" i="2" s="1"/>
  <c r="Q53" i="2" s="1"/>
  <c r="Q55" i="2" s="1"/>
  <c r="Q40" i="2"/>
  <c r="J24" i="2"/>
  <c r="J44" i="2" s="1"/>
  <c r="J40" i="2"/>
  <c r="I24" i="2"/>
  <c r="I44" i="2" s="1"/>
  <c r="I53" i="2" s="1"/>
  <c r="I55" i="2" s="1"/>
  <c r="I40" i="2"/>
  <c r="P24" i="2"/>
  <c r="U18" i="2"/>
  <c r="G24" i="2"/>
  <c r="G44" i="2" s="1"/>
  <c r="G40" i="2"/>
  <c r="W38" i="2"/>
  <c r="U37" i="2" l="1"/>
  <c r="V10" i="2"/>
  <c r="V12" i="2" s="1"/>
  <c r="O41" i="2"/>
  <c r="O44" i="2"/>
  <c r="R55" i="2"/>
  <c r="J53" i="2"/>
  <c r="J55" i="2" s="1"/>
  <c r="T11" i="2"/>
  <c r="T36" i="2"/>
  <c r="U35" i="2"/>
  <c r="N26" i="2"/>
  <c r="N41" i="2"/>
  <c r="P44" i="2"/>
  <c r="P53" i="2" s="1"/>
  <c r="P55" i="2" s="1"/>
  <c r="P41" i="2"/>
  <c r="O26" i="2"/>
  <c r="U11" i="2"/>
  <c r="U19" i="2"/>
  <c r="U39" i="2" s="1"/>
  <c r="I26" i="2"/>
  <c r="I41" i="2"/>
  <c r="T39" i="2"/>
  <c r="T21" i="2"/>
  <c r="T22" i="2" s="1"/>
  <c r="W13" i="2"/>
  <c r="V18" i="2"/>
  <c r="V37" i="2"/>
  <c r="J26" i="2"/>
  <c r="J41" i="2"/>
  <c r="G26" i="2"/>
  <c r="G41" i="2"/>
  <c r="R26" i="2"/>
  <c r="R41" i="2"/>
  <c r="P26" i="2"/>
  <c r="Q26" i="2"/>
  <c r="Q41" i="2"/>
  <c r="H24" i="2"/>
  <c r="H44" i="2" s="1"/>
  <c r="H40" i="2"/>
  <c r="Y14" i="2"/>
  <c r="X38" i="2"/>
  <c r="W10" i="2" l="1"/>
  <c r="X10" i="2" s="1"/>
  <c r="Y10" i="2" s="1"/>
  <c r="Z10" i="2" s="1"/>
  <c r="AA10" i="2" s="1"/>
  <c r="AB10" i="2" s="1"/>
  <c r="AC10" i="2" s="1"/>
  <c r="V35" i="2"/>
  <c r="U21" i="2"/>
  <c r="V11" i="2"/>
  <c r="V36" i="2"/>
  <c r="H26" i="2"/>
  <c r="H41" i="2"/>
  <c r="T23" i="2"/>
  <c r="T40" i="2"/>
  <c r="X13" i="2"/>
  <c r="W18" i="2"/>
  <c r="W37" i="2"/>
  <c r="V19" i="2"/>
  <c r="Z14" i="2"/>
  <c r="Y38" i="2"/>
  <c r="W35" i="2" l="1"/>
  <c r="W12" i="2"/>
  <c r="W11" i="2" s="1"/>
  <c r="U22" i="2"/>
  <c r="U40" i="2" s="1"/>
  <c r="U23" i="2"/>
  <c r="T24" i="2"/>
  <c r="X35" i="2"/>
  <c r="X12" i="2"/>
  <c r="X36" i="2" s="1"/>
  <c r="Y13" i="2"/>
  <c r="X18" i="2"/>
  <c r="X37" i="2"/>
  <c r="V39" i="2"/>
  <c r="V21" i="2"/>
  <c r="V22" i="2" s="1"/>
  <c r="AA14" i="2"/>
  <c r="Z38" i="2"/>
  <c r="W19" i="2" l="1"/>
  <c r="W21" i="2" s="1"/>
  <c r="W22" i="2" s="1"/>
  <c r="W36" i="2"/>
  <c r="U24" i="2"/>
  <c r="U44" i="2" s="1"/>
  <c r="U53" i="2" s="1"/>
  <c r="U55" i="2" s="1"/>
  <c r="T41" i="2"/>
  <c r="T44" i="2"/>
  <c r="T53" i="2" s="1"/>
  <c r="T55" i="2" s="1"/>
  <c r="T26" i="2"/>
  <c r="X19" i="2"/>
  <c r="X21" i="2" s="1"/>
  <c r="X22" i="2" s="1"/>
  <c r="X11" i="2"/>
  <c r="Z13" i="2"/>
  <c r="Y18" i="2"/>
  <c r="Y37" i="2"/>
  <c r="V40" i="2"/>
  <c r="V23" i="2"/>
  <c r="Y35" i="2"/>
  <c r="Y12" i="2"/>
  <c r="Y36" i="2" s="1"/>
  <c r="AB14" i="2"/>
  <c r="AA38" i="2"/>
  <c r="W39" i="2" l="1"/>
  <c r="U26" i="2"/>
  <c r="U41" i="2"/>
  <c r="Y11" i="2"/>
  <c r="Y19" i="2"/>
  <c r="Y21" i="2" s="1"/>
  <c r="Y22" i="2" s="1"/>
  <c r="V24" i="2"/>
  <c r="V44" i="2" s="1"/>
  <c r="V53" i="2" s="1"/>
  <c r="V55" i="2" s="1"/>
  <c r="X39" i="2"/>
  <c r="AA13" i="2"/>
  <c r="Z18" i="2"/>
  <c r="Z37" i="2"/>
  <c r="W40" i="2"/>
  <c r="W23" i="2"/>
  <c r="Z35" i="2"/>
  <c r="Z12" i="2"/>
  <c r="X40" i="2"/>
  <c r="X23" i="2"/>
  <c r="AC14" i="2"/>
  <c r="AC38" i="2" s="1"/>
  <c r="AB38" i="2"/>
  <c r="Y39" i="2" l="1"/>
  <c r="V41" i="2"/>
  <c r="V26" i="2"/>
  <c r="X24" i="2"/>
  <c r="Z19" i="2"/>
  <c r="Z36" i="2"/>
  <c r="Y23" i="2"/>
  <c r="Y40" i="2"/>
  <c r="Z11" i="2"/>
  <c r="AA35" i="2"/>
  <c r="AA12" i="2"/>
  <c r="AA11" i="2" s="1"/>
  <c r="AB13" i="2"/>
  <c r="AA18" i="2"/>
  <c r="AA37" i="2"/>
  <c r="W24" i="2"/>
  <c r="W44" i="2" s="1"/>
  <c r="W53" i="2" s="1"/>
  <c r="W55" i="2" s="1"/>
  <c r="X41" i="2" l="1"/>
  <c r="X44" i="2"/>
  <c r="X53" i="2" s="1"/>
  <c r="X55" i="2" s="1"/>
  <c r="Y24" i="2"/>
  <c r="X26" i="2"/>
  <c r="AB35" i="2"/>
  <c r="AB12" i="2"/>
  <c r="AB36" i="2" s="1"/>
  <c r="W41" i="2"/>
  <c r="W26" i="2"/>
  <c r="AC13" i="2"/>
  <c r="AB18" i="2"/>
  <c r="AB37" i="2"/>
  <c r="AA19" i="2"/>
  <c r="AA36" i="2"/>
  <c r="Z21" i="2"/>
  <c r="Z22" i="2" s="1"/>
  <c r="Z39" i="2"/>
  <c r="Y41" i="2" l="1"/>
  <c r="Y44" i="2"/>
  <c r="Y53" i="2" s="1"/>
  <c r="Y55" i="2" s="1"/>
  <c r="Y26" i="2"/>
  <c r="AB11" i="2"/>
  <c r="AC12" i="2"/>
  <c r="AC36" i="2" s="1"/>
  <c r="AC35" i="2"/>
  <c r="Z23" i="2"/>
  <c r="Z40" i="2"/>
  <c r="AC18" i="2"/>
  <c r="AC37" i="2"/>
  <c r="AA21" i="2"/>
  <c r="AA22" i="2" s="1"/>
  <c r="AA39" i="2"/>
  <c r="AB19" i="2"/>
  <c r="AA40" i="2" l="1"/>
  <c r="AA23" i="2"/>
  <c r="AC11" i="2"/>
  <c r="AC19" i="2"/>
  <c r="Z24" i="2"/>
  <c r="Z44" i="2" s="1"/>
  <c r="Z53" i="2" s="1"/>
  <c r="Z55" i="2" s="1"/>
  <c r="AB21" i="2"/>
  <c r="AB22" i="2" s="1"/>
  <c r="AB39" i="2"/>
  <c r="Z26" i="2" l="1"/>
  <c r="Z41" i="2"/>
  <c r="AB40" i="2"/>
  <c r="AB23" i="2"/>
  <c r="AC39" i="2"/>
  <c r="AC21" i="2"/>
  <c r="AC22" i="2" s="1"/>
  <c r="AA24" i="2"/>
  <c r="AA44" i="2" s="1"/>
  <c r="AA53" i="2" s="1"/>
  <c r="AA55" i="2" s="1"/>
  <c r="AB24" i="2" l="1"/>
  <c r="AA41" i="2"/>
  <c r="AA26" i="2"/>
  <c r="AC40" i="2"/>
  <c r="AC23" i="2"/>
  <c r="AB41" i="2" l="1"/>
  <c r="AB44" i="2"/>
  <c r="AB53" i="2" s="1"/>
  <c r="AB55" i="2" s="1"/>
  <c r="AB26" i="2"/>
  <c r="AC24" i="2"/>
  <c r="AD24" i="2" l="1"/>
  <c r="AE24" i="2" s="1"/>
  <c r="AF24" i="2" s="1"/>
  <c r="AG24" i="2" s="1"/>
  <c r="AH24" i="2" s="1"/>
  <c r="AI24" i="2" s="1"/>
  <c r="AJ24" i="2" s="1"/>
  <c r="AK24" i="2" s="1"/>
  <c r="AL24" i="2" s="1"/>
  <c r="AM24" i="2" s="1"/>
  <c r="AN24" i="2" s="1"/>
  <c r="AO24" i="2" s="1"/>
  <c r="AP24" i="2" s="1"/>
  <c r="AQ24" i="2" s="1"/>
  <c r="AR24" i="2" s="1"/>
  <c r="AS24" i="2" s="1"/>
  <c r="AT24" i="2" s="1"/>
  <c r="AU24" i="2" s="1"/>
  <c r="AV24" i="2" s="1"/>
  <c r="AW24" i="2" s="1"/>
  <c r="AX24" i="2" s="1"/>
  <c r="AY24" i="2" s="1"/>
  <c r="AZ24" i="2" s="1"/>
  <c r="BA24" i="2" s="1"/>
  <c r="BB24" i="2" s="1"/>
  <c r="BC24" i="2" s="1"/>
  <c r="BD24" i="2" s="1"/>
  <c r="BE24" i="2" s="1"/>
  <c r="BF24" i="2" s="1"/>
  <c r="BG24" i="2" s="1"/>
  <c r="BH24" i="2" s="1"/>
  <c r="BI24" i="2" s="1"/>
  <c r="BJ24" i="2" s="1"/>
  <c r="BK24" i="2" s="1"/>
  <c r="BL24" i="2" s="1"/>
  <c r="BM24" i="2" s="1"/>
  <c r="BN24" i="2" s="1"/>
  <c r="BO24" i="2" s="1"/>
  <c r="BP24" i="2" s="1"/>
  <c r="BQ24" i="2" s="1"/>
  <c r="BR24" i="2" s="1"/>
  <c r="BS24" i="2" s="1"/>
  <c r="BT24" i="2" s="1"/>
  <c r="BU24" i="2" s="1"/>
  <c r="BV24" i="2" s="1"/>
  <c r="BW24" i="2" s="1"/>
  <c r="BX24" i="2" s="1"/>
  <c r="BY24" i="2" s="1"/>
  <c r="BZ24" i="2" s="1"/>
  <c r="CA24" i="2" s="1"/>
  <c r="CB24" i="2" s="1"/>
  <c r="CC24" i="2" s="1"/>
  <c r="CD24" i="2" s="1"/>
  <c r="CE24" i="2" s="1"/>
  <c r="CF24" i="2" s="1"/>
  <c r="CG24" i="2" s="1"/>
  <c r="CH24" i="2" s="1"/>
  <c r="CI24" i="2" s="1"/>
  <c r="CJ24" i="2" s="1"/>
  <c r="CK24" i="2" s="1"/>
  <c r="CL24" i="2" s="1"/>
  <c r="CM24" i="2" s="1"/>
  <c r="CN24" i="2" s="1"/>
  <c r="CO24" i="2" s="1"/>
  <c r="CP24" i="2" s="1"/>
  <c r="CQ24" i="2" s="1"/>
  <c r="CR24" i="2" s="1"/>
  <c r="CS24" i="2" s="1"/>
  <c r="CT24" i="2" s="1"/>
  <c r="CU24" i="2" s="1"/>
  <c r="CV24" i="2" s="1"/>
  <c r="CW24" i="2" s="1"/>
  <c r="CX24" i="2" s="1"/>
  <c r="CY24" i="2" s="1"/>
  <c r="CZ24" i="2" s="1"/>
  <c r="DA24" i="2" s="1"/>
  <c r="DB24" i="2" s="1"/>
  <c r="DC24" i="2" s="1"/>
  <c r="DD24" i="2" s="1"/>
  <c r="DE24" i="2" s="1"/>
  <c r="DF24" i="2" s="1"/>
  <c r="DG24" i="2" s="1"/>
  <c r="DH24" i="2" s="1"/>
  <c r="DI24" i="2" s="1"/>
  <c r="DJ24" i="2" s="1"/>
  <c r="DK24" i="2" s="1"/>
  <c r="DL24" i="2" s="1"/>
  <c r="DM24" i="2" s="1"/>
  <c r="DN24" i="2" s="1"/>
  <c r="DO24" i="2" s="1"/>
  <c r="DP24" i="2" s="1"/>
  <c r="DQ24" i="2" s="1"/>
  <c r="DR24" i="2" s="1"/>
  <c r="DS24" i="2" s="1"/>
  <c r="DT24" i="2" s="1"/>
  <c r="DU24" i="2" s="1"/>
  <c r="DV24" i="2" s="1"/>
  <c r="DW24" i="2" s="1"/>
  <c r="DX24" i="2" s="1"/>
  <c r="DY24" i="2" s="1"/>
  <c r="DZ24" i="2" s="1"/>
  <c r="EA24" i="2" s="1"/>
  <c r="EB24" i="2" s="1"/>
  <c r="EC24" i="2" s="1"/>
  <c r="ED24" i="2" s="1"/>
  <c r="EE24" i="2" s="1"/>
  <c r="EF24" i="2" s="1"/>
  <c r="EG24" i="2" s="1"/>
  <c r="EH24" i="2" s="1"/>
  <c r="EI24" i="2" s="1"/>
  <c r="EJ24" i="2" s="1"/>
  <c r="EK24" i="2" s="1"/>
  <c r="EL24" i="2" s="1"/>
  <c r="EM24" i="2" s="1"/>
  <c r="AC44" i="2"/>
  <c r="AC53" i="2" s="1"/>
  <c r="AC55" i="2" s="1"/>
  <c r="AD55" i="2" s="1"/>
  <c r="AE55" i="2" s="1"/>
  <c r="AF55" i="2" s="1"/>
  <c r="AG55" i="2" s="1"/>
  <c r="AH55" i="2" s="1"/>
  <c r="AI55" i="2" s="1"/>
  <c r="AJ55" i="2" s="1"/>
  <c r="AK55" i="2" s="1"/>
  <c r="AL55" i="2" s="1"/>
  <c r="AM55" i="2" s="1"/>
  <c r="AN55" i="2" s="1"/>
  <c r="AO55" i="2" s="1"/>
  <c r="AP55" i="2" s="1"/>
  <c r="AQ55" i="2" s="1"/>
  <c r="AR55" i="2" s="1"/>
  <c r="AS55" i="2" s="1"/>
  <c r="AT55" i="2" s="1"/>
  <c r="AU55" i="2" s="1"/>
  <c r="AV55" i="2" s="1"/>
  <c r="AW55" i="2" s="1"/>
  <c r="AX55" i="2" s="1"/>
  <c r="AY55" i="2" s="1"/>
  <c r="AZ55" i="2" s="1"/>
  <c r="BA55" i="2" s="1"/>
  <c r="BB55" i="2" s="1"/>
  <c r="BC55" i="2" s="1"/>
  <c r="BD55" i="2" s="1"/>
  <c r="BE55" i="2" s="1"/>
  <c r="BF55" i="2" s="1"/>
  <c r="BG55" i="2" s="1"/>
  <c r="BH55" i="2" s="1"/>
  <c r="BI55" i="2" s="1"/>
  <c r="BJ55" i="2" s="1"/>
  <c r="BK55" i="2" s="1"/>
  <c r="BL55" i="2" s="1"/>
  <c r="BM55" i="2" s="1"/>
  <c r="BN55" i="2" s="1"/>
  <c r="BO55" i="2" s="1"/>
  <c r="BP55" i="2" s="1"/>
  <c r="BQ55" i="2" s="1"/>
  <c r="BR55" i="2" s="1"/>
  <c r="BS55" i="2" s="1"/>
  <c r="BT55" i="2" s="1"/>
  <c r="BU55" i="2" s="1"/>
  <c r="BV55" i="2" s="1"/>
  <c r="BW55" i="2" s="1"/>
  <c r="BX55" i="2" s="1"/>
  <c r="BY55" i="2" s="1"/>
  <c r="BZ55" i="2" s="1"/>
  <c r="CA55" i="2" s="1"/>
  <c r="CB55" i="2" s="1"/>
  <c r="CC55" i="2" s="1"/>
  <c r="CD55" i="2" s="1"/>
  <c r="CE55" i="2" s="1"/>
  <c r="CF55" i="2" s="1"/>
  <c r="CG55" i="2" s="1"/>
  <c r="CH55" i="2" s="1"/>
  <c r="CI55" i="2" s="1"/>
  <c r="CJ55" i="2" s="1"/>
  <c r="CK55" i="2" s="1"/>
  <c r="CL55" i="2" s="1"/>
  <c r="CM55" i="2" s="1"/>
  <c r="CN55" i="2" s="1"/>
  <c r="CO55" i="2" s="1"/>
  <c r="CP55" i="2" s="1"/>
  <c r="CQ55" i="2" s="1"/>
  <c r="CR55" i="2" s="1"/>
  <c r="CS55" i="2" s="1"/>
  <c r="CT55" i="2" s="1"/>
  <c r="CU55" i="2" s="1"/>
  <c r="CV55" i="2" s="1"/>
  <c r="CW55" i="2" s="1"/>
  <c r="CX55" i="2" s="1"/>
  <c r="CY55" i="2" s="1"/>
  <c r="CZ55" i="2" s="1"/>
  <c r="DA55" i="2" s="1"/>
  <c r="DB55" i="2" s="1"/>
  <c r="DC55" i="2" s="1"/>
  <c r="DD55" i="2" s="1"/>
  <c r="DE55" i="2" s="1"/>
  <c r="DF55" i="2" s="1"/>
  <c r="DG55" i="2" s="1"/>
  <c r="DH55" i="2" s="1"/>
  <c r="DI55" i="2" s="1"/>
  <c r="DJ55" i="2" s="1"/>
  <c r="DK55" i="2" s="1"/>
  <c r="DL55" i="2" s="1"/>
  <c r="DM55" i="2" s="1"/>
  <c r="DN55" i="2" s="1"/>
  <c r="DO55" i="2" s="1"/>
  <c r="DP55" i="2" s="1"/>
  <c r="DQ55" i="2" s="1"/>
  <c r="DR55" i="2" s="1"/>
  <c r="DS55" i="2" s="1"/>
  <c r="DT55" i="2" s="1"/>
  <c r="DU55" i="2" s="1"/>
  <c r="DV55" i="2" s="1"/>
  <c r="DW55" i="2" s="1"/>
  <c r="DX55" i="2" s="1"/>
  <c r="DY55" i="2" s="1"/>
  <c r="DZ55" i="2" s="1"/>
  <c r="EA55" i="2" s="1"/>
  <c r="EB55" i="2" s="1"/>
  <c r="EC55" i="2" s="1"/>
  <c r="ED55" i="2" s="1"/>
  <c r="EE55" i="2" s="1"/>
  <c r="EF55" i="2" s="1"/>
  <c r="EG55" i="2" s="1"/>
  <c r="EH55" i="2" s="1"/>
  <c r="EI55" i="2" s="1"/>
  <c r="EJ55" i="2" s="1"/>
  <c r="AC26" i="2"/>
  <c r="AC41" i="2"/>
  <c r="L19" i="2" l="1"/>
  <c r="L21" i="2" s="1"/>
  <c r="L22" i="2" s="1"/>
  <c r="S22" i="2" s="1"/>
  <c r="L11" i="2"/>
  <c r="S11" i="2" s="1"/>
  <c r="S12" i="2" s="1"/>
  <c r="L36" i="2"/>
  <c r="S19" i="2" l="1"/>
  <c r="S36" i="2"/>
  <c r="L40" i="2"/>
  <c r="L24" i="2"/>
  <c r="L44" i="2" s="1"/>
  <c r="L39" i="2"/>
  <c r="S39" i="2" l="1"/>
  <c r="S21" i="2"/>
  <c r="L41" i="2"/>
  <c r="L26" i="2"/>
  <c r="S24" i="2" l="1"/>
  <c r="S40" i="2"/>
  <c r="S44" i="2" l="1"/>
  <c r="S53" i="2" s="1"/>
  <c r="S55" i="2" s="1"/>
  <c r="AF58" i="2" s="1"/>
  <c r="AF60" i="2" s="1"/>
  <c r="AF61" i="2" s="1"/>
  <c r="AF63" i="2" s="1"/>
  <c r="S41" i="2"/>
  <c r="S26" i="2"/>
  <c r="AF39" i="2"/>
  <c r="AF42" i="2" s="1"/>
  <c r="AF44" i="2" s="1"/>
</calcChain>
</file>

<file path=xl/sharedStrings.xml><?xml version="1.0" encoding="utf-8"?>
<sst xmlns="http://schemas.openxmlformats.org/spreadsheetml/2006/main" count="102" uniqueCount="96">
  <si>
    <t>STLA</t>
  </si>
  <si>
    <t>Price</t>
  </si>
  <si>
    <t>Shares</t>
  </si>
  <si>
    <t>MC</t>
  </si>
  <si>
    <t>Cash</t>
  </si>
  <si>
    <t>Debt</t>
  </si>
  <si>
    <t>Net Cash</t>
  </si>
  <si>
    <t>EV</t>
  </si>
  <si>
    <t>Last checked</t>
  </si>
  <si>
    <t>Today</t>
  </si>
  <si>
    <t>Earnings</t>
  </si>
  <si>
    <t>Revenue</t>
  </si>
  <si>
    <t>Cost of sales</t>
  </si>
  <si>
    <t>Gross profit</t>
  </si>
  <si>
    <t>H224</t>
  </si>
  <si>
    <t>R&amp;D</t>
  </si>
  <si>
    <t>SG&amp;A</t>
  </si>
  <si>
    <t>Gain on disposal</t>
  </si>
  <si>
    <t>Restructuring</t>
  </si>
  <si>
    <t>Gain on investments</t>
  </si>
  <si>
    <t>Total operating expenses</t>
  </si>
  <si>
    <t>Net finance expense</t>
  </si>
  <si>
    <t>Pretax profit</t>
  </si>
  <si>
    <t>Taxes</t>
  </si>
  <si>
    <t>MI</t>
  </si>
  <si>
    <t>Net profit</t>
  </si>
  <si>
    <t>EPS</t>
  </si>
  <si>
    <t>H121</t>
  </si>
  <si>
    <t>H221</t>
  </si>
  <si>
    <t>H122</t>
  </si>
  <si>
    <t>H222</t>
  </si>
  <si>
    <t>H123</t>
  </si>
  <si>
    <t>H223</t>
  </si>
  <si>
    <t>H124</t>
  </si>
  <si>
    <t>H125</t>
  </si>
  <si>
    <t>H225</t>
  </si>
  <si>
    <t>Operating profit</t>
  </si>
  <si>
    <t>Revenue y/y</t>
  </si>
  <si>
    <t>Gross Margin</t>
  </si>
  <si>
    <t>SG&amp;A y/y</t>
  </si>
  <si>
    <t>R&amp;D y/y</t>
  </si>
  <si>
    <t>Operating Margin</t>
  </si>
  <si>
    <t>Net Margin</t>
  </si>
  <si>
    <t>Maturity</t>
  </si>
  <si>
    <t>Discount rate</t>
  </si>
  <si>
    <t>NPV</t>
  </si>
  <si>
    <t>Value</t>
  </si>
  <si>
    <t>Per share</t>
  </si>
  <si>
    <t>Current price</t>
  </si>
  <si>
    <t>Net cash</t>
  </si>
  <si>
    <t>Variance</t>
  </si>
  <si>
    <t>Consensus</t>
  </si>
  <si>
    <t>Heavily undervalued</t>
  </si>
  <si>
    <t>D&amp;A</t>
  </si>
  <si>
    <t>Disposals</t>
  </si>
  <si>
    <t>D/T</t>
  </si>
  <si>
    <t>Other non-cash</t>
  </si>
  <si>
    <t>Provisions</t>
  </si>
  <si>
    <t>Investments</t>
  </si>
  <si>
    <t>Leases</t>
  </si>
  <si>
    <t>Working capital</t>
  </si>
  <si>
    <t>CFFO</t>
  </si>
  <si>
    <t>PP&amp;E</t>
  </si>
  <si>
    <t>FCF</t>
  </si>
  <si>
    <t>Fiat S.p.A. was founded on July 11, 1899, in Turin, Italy.</t>
  </si>
  <si>
    <t>In 2009, FCA US (formerly Chrysler Group LLC) acquired the main assets of Chrysler</t>
  </si>
  <si>
    <t>during a government-led restructuring of the U.S. auto industry.</t>
  </si>
  <si>
    <t>Between 2009 and 2014, Fiat expanded its Chrysler ownership to 100%.</t>
  </si>
  <si>
    <t>On October 12, 2014, Fiat reorganized into Fiat Chrysler Automobiles (FCA), headquartered in the UK.</t>
  </si>
  <si>
    <t>Fiat separated its non-automotive businesses in 2011 into Fiat Industrial, now CNH Industrial.</t>
  </si>
  <si>
    <t>In 2015, Ferrari completed its IPO, followed by a spin-off in 2016.</t>
  </si>
  <si>
    <t>Peugeot S.A. began vehicle production in 1896.</t>
  </si>
  <si>
    <t>In 1976, PSA acquired Citroën, and in 1978, it acquired Chrysler's European operations.</t>
  </si>
  <si>
    <t>PSA Finance Holding became Banque PSA Finance in 1995.</t>
  </si>
  <si>
    <t>In 2021, Stellantis distributed PSA’s 39% stake in Faurecia to its shareholders.</t>
  </si>
  <si>
    <t>On December 17, 2019, FCA and PSA agreed to merge.</t>
  </si>
  <si>
    <t>The merger completed on January 16, 2021, with FCA as the surviving entity.</t>
  </si>
  <si>
    <t>On January 17, 2021, the combined company was renamed Stellantis.</t>
  </si>
  <si>
    <r>
      <t xml:space="preserve">The company grew organically and through acquisitions, including </t>
    </r>
    <r>
      <rPr>
        <b/>
        <sz val="11"/>
        <color theme="0"/>
        <rFont val="Calibri"/>
        <family val="2"/>
        <scheme val="minor"/>
      </rPr>
      <t>Lancia, Alfa Romeo, Maserati,</t>
    </r>
    <r>
      <rPr>
        <sz val="11"/>
        <color theme="0"/>
        <rFont val="Calibri"/>
        <family val="2"/>
        <scheme val="minor"/>
      </rPr>
      <t xml:space="preserve"> and Ferrari.</t>
    </r>
  </si>
  <si>
    <r>
      <t xml:space="preserve">In 2017, PSA acquired </t>
    </r>
    <r>
      <rPr>
        <b/>
        <sz val="11"/>
        <color theme="0"/>
        <rFont val="Calibri"/>
        <family val="2"/>
        <scheme val="minor"/>
      </rPr>
      <t>Opel and Vauxhall</t>
    </r>
    <r>
      <rPr>
        <sz val="11"/>
        <color theme="0"/>
        <rFont val="Calibri"/>
        <family val="2"/>
        <scheme val="minor"/>
      </rPr>
      <t xml:space="preserve"> from General Motors.</t>
    </r>
  </si>
  <si>
    <t>Jeep</t>
  </si>
  <si>
    <t>Alfa Romeo</t>
  </si>
  <si>
    <t>NA</t>
  </si>
  <si>
    <t>EU</t>
  </si>
  <si>
    <t>MEA</t>
  </si>
  <si>
    <t>SA</t>
  </si>
  <si>
    <t>Asia</t>
  </si>
  <si>
    <t>Maserati</t>
  </si>
  <si>
    <t>Others</t>
  </si>
  <si>
    <t>NA y/y</t>
  </si>
  <si>
    <t>EU y/y</t>
  </si>
  <si>
    <t>MEA y/y</t>
  </si>
  <si>
    <t>SA y/y</t>
  </si>
  <si>
    <t>Asia y/y</t>
  </si>
  <si>
    <t>Maserati y/y</t>
  </si>
  <si>
    <t>Others y/y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</si>
</sst>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\ [$€-484]"/>
    <numFmt numFmtId="165" formatCode="#,##0.00\ [$€-42D]"/>
    <numFmt numFmtId="166" formatCode="#,##0.00\ [$€-1]"/>
  </numFmts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theme="1" tint="0.249977111117893"/>
      </left>
      <right style="thin">
        <color theme="1" tint="0.249977111117893"/>
      </right>
      <top style="thin">
        <color theme="1" tint="0.249977111117893"/>
      </top>
      <bottom style="thin">
        <color theme="1" tint="0.249977111117893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1" xfId="0" applyFont="1" applyFill="1" applyBorder="1"/>
    <xf numFmtId="0" fontId="1" fillId="2" borderId="1" xfId="0" applyFont="1" applyFill="1" applyBorder="1"/>
    <xf numFmtId="164" fontId="2" fillId="2" borderId="1" xfId="0" applyNumberFormat="1" applyFont="1" applyFill="1" applyBorder="1"/>
    <xf numFmtId="3" fontId="2" fillId="2" borderId="1" xfId="0" applyNumberFormat="1" applyFont="1" applyFill="1" applyBorder="1"/>
    <xf numFmtId="0" fontId="3" fillId="2" borderId="1" xfId="0" applyFont="1" applyFill="1" applyBorder="1" applyAlignment="1">
      <alignment horizontal="right"/>
    </xf>
    <xf numFmtId="14" fontId="3" fillId="2" borderId="1" xfId="0" applyNumberFormat="1" applyFont="1" applyFill="1" applyBorder="1" applyAlignment="1">
      <alignment horizontal="right"/>
    </xf>
    <xf numFmtId="0" fontId="2" fillId="2" borderId="1" xfId="0" applyFont="1" applyFill="1" applyBorder="1" applyAlignment="1">
      <alignment horizontal="right"/>
    </xf>
    <xf numFmtId="2" fontId="2" fillId="2" borderId="1" xfId="0" applyNumberFormat="1" applyFont="1" applyFill="1" applyBorder="1"/>
    <xf numFmtId="3" fontId="1" fillId="2" borderId="1" xfId="0" applyNumberFormat="1" applyFont="1" applyFill="1" applyBorder="1"/>
    <xf numFmtId="9" fontId="2" fillId="2" borderId="1" xfId="0" applyNumberFormat="1" applyFont="1" applyFill="1" applyBorder="1"/>
    <xf numFmtId="165" fontId="2" fillId="2" borderId="1" xfId="0" applyNumberFormat="1" applyFont="1" applyFill="1" applyBorder="1"/>
    <xf numFmtId="9" fontId="1" fillId="2" borderId="1" xfId="0" applyNumberFormat="1" applyFont="1" applyFill="1" applyBorder="1"/>
    <xf numFmtId="0" fontId="2" fillId="3" borderId="0" xfId="0" applyFont="1" applyFill="1"/>
    <xf numFmtId="0" fontId="1" fillId="3" borderId="0" xfId="0" applyFont="1" applyFill="1"/>
    <xf numFmtId="166" fontId="2" fillId="2" borderId="1" xfId="0" applyNumberFormat="1" applyFont="1" applyFill="1" applyBorder="1"/>
    <xf numFmtId="3" fontId="2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22860</xdr:colOff>
      <xdr:row>0</xdr:row>
      <xdr:rowOff>0</xdr:rowOff>
    </xdr:from>
    <xdr:to>
      <xdr:col>11</xdr:col>
      <xdr:colOff>22860</xdr:colOff>
      <xdr:row>63</xdr:row>
      <xdr:rowOff>106680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D88FC5A4-8564-937C-7D8A-902C87E62760}"/>
            </a:ext>
          </a:extLst>
        </xdr:cNvPr>
        <xdr:cNvCxnSpPr/>
      </xdr:nvCxnSpPr>
      <xdr:spPr>
        <a:xfrm>
          <a:off x="7604760" y="0"/>
          <a:ext cx="0" cy="90678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30480</xdr:colOff>
      <xdr:row>0</xdr:row>
      <xdr:rowOff>7620</xdr:rowOff>
    </xdr:from>
    <xdr:to>
      <xdr:col>18</xdr:col>
      <xdr:colOff>30480</xdr:colOff>
      <xdr:row>63</xdr:row>
      <xdr:rowOff>106680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4EA600EF-F614-6102-9132-956498A30529}"/>
            </a:ext>
          </a:extLst>
        </xdr:cNvPr>
        <xdr:cNvCxnSpPr/>
      </xdr:nvCxnSpPr>
      <xdr:spPr>
        <a:xfrm>
          <a:off x="13098780" y="7620"/>
          <a:ext cx="0" cy="906018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E5B53-6D51-47B4-A3B1-097E9F99F7BA}">
  <dimension ref="B2:L29"/>
  <sheetViews>
    <sheetView workbookViewId="0">
      <selection activeCell="D4" sqref="D4"/>
    </sheetView>
  </sheetViews>
  <sheetFormatPr defaultRowHeight="14.4" x14ac:dyDescent="0.3"/>
  <cols>
    <col min="1" max="4" width="8.88671875" style="1"/>
    <col min="5" max="7" width="13.5546875" style="5" customWidth="1"/>
    <col min="8" max="16384" width="8.88671875" style="1"/>
  </cols>
  <sheetData>
    <row r="2" spans="2:12" x14ac:dyDescent="0.3">
      <c r="E2" s="5" t="s">
        <v>8</v>
      </c>
      <c r="F2" s="5" t="s">
        <v>9</v>
      </c>
      <c r="G2" s="5" t="s">
        <v>10</v>
      </c>
    </row>
    <row r="3" spans="2:12" x14ac:dyDescent="0.3">
      <c r="B3" s="2" t="s">
        <v>0</v>
      </c>
      <c r="C3" s="1" t="s">
        <v>1</v>
      </c>
      <c r="D3" s="3">
        <v>9.4710000000000001</v>
      </c>
      <c r="E3" s="6">
        <v>45937</v>
      </c>
      <c r="F3" s="6">
        <f ca="1">TODAY()</f>
        <v>45937</v>
      </c>
      <c r="G3" s="6">
        <v>45960</v>
      </c>
      <c r="L3" s="1" t="s">
        <v>80</v>
      </c>
    </row>
    <row r="4" spans="2:12" x14ac:dyDescent="0.3">
      <c r="C4" s="1" t="s">
        <v>2</v>
      </c>
      <c r="D4" s="4">
        <f>2882.6</f>
        <v>2882.6</v>
      </c>
      <c r="E4" s="5" t="s">
        <v>34</v>
      </c>
      <c r="L4" s="1" t="s">
        <v>81</v>
      </c>
    </row>
    <row r="5" spans="2:12" x14ac:dyDescent="0.3">
      <c r="C5" s="1" t="s">
        <v>3</v>
      </c>
      <c r="D5" s="4">
        <f>D3*D4</f>
        <v>27301.104599999999</v>
      </c>
    </row>
    <row r="6" spans="2:12" x14ac:dyDescent="0.3">
      <c r="C6" s="1" t="s">
        <v>4</v>
      </c>
      <c r="D6" s="4">
        <f>30660</f>
        <v>30660</v>
      </c>
      <c r="E6" s="5" t="s">
        <v>34</v>
      </c>
    </row>
    <row r="7" spans="2:12" x14ac:dyDescent="0.3">
      <c r="C7" s="1" t="s">
        <v>5</v>
      </c>
      <c r="D7" s="4">
        <f>13290+27509</f>
        <v>40799</v>
      </c>
      <c r="E7" s="5" t="s">
        <v>34</v>
      </c>
    </row>
    <row r="8" spans="2:12" x14ac:dyDescent="0.3">
      <c r="C8" s="1" t="s">
        <v>6</v>
      </c>
      <c r="D8" s="4">
        <f>D6-D7</f>
        <v>-10139</v>
      </c>
      <c r="J8" s="13"/>
    </row>
    <row r="9" spans="2:12" x14ac:dyDescent="0.3">
      <c r="C9" s="1" t="s">
        <v>7</v>
      </c>
      <c r="D9" s="4">
        <f>D5-D8</f>
        <v>37440.104599999999</v>
      </c>
    </row>
    <row r="13" spans="2:12" x14ac:dyDescent="0.3">
      <c r="B13" s="14" t="s">
        <v>64</v>
      </c>
    </row>
    <row r="14" spans="2:12" x14ac:dyDescent="0.3">
      <c r="B14" s="13" t="s">
        <v>78</v>
      </c>
    </row>
    <row r="15" spans="2:12" x14ac:dyDescent="0.3">
      <c r="B15" s="14" t="s">
        <v>65</v>
      </c>
    </row>
    <row r="16" spans="2:12" x14ac:dyDescent="0.3">
      <c r="B16" s="13" t="s">
        <v>66</v>
      </c>
    </row>
    <row r="17" spans="2:2" x14ac:dyDescent="0.3">
      <c r="B17" s="13" t="s">
        <v>67</v>
      </c>
    </row>
    <row r="18" spans="2:2" x14ac:dyDescent="0.3">
      <c r="B18" s="13" t="s">
        <v>68</v>
      </c>
    </row>
    <row r="19" spans="2:2" x14ac:dyDescent="0.3">
      <c r="B19" s="13" t="s">
        <v>69</v>
      </c>
    </row>
    <row r="20" spans="2:2" x14ac:dyDescent="0.3">
      <c r="B20" s="13" t="s">
        <v>70</v>
      </c>
    </row>
    <row r="21" spans="2:2" x14ac:dyDescent="0.3">
      <c r="B21" s="14" t="s">
        <v>71</v>
      </c>
    </row>
    <row r="22" spans="2:2" x14ac:dyDescent="0.3">
      <c r="B22" s="13" t="s">
        <v>72</v>
      </c>
    </row>
    <row r="23" spans="2:2" x14ac:dyDescent="0.3">
      <c r="B23" s="13" t="s">
        <v>73</v>
      </c>
    </row>
    <row r="24" spans="2:2" x14ac:dyDescent="0.3">
      <c r="B24" s="13" t="s">
        <v>79</v>
      </c>
    </row>
    <row r="25" spans="2:2" x14ac:dyDescent="0.3">
      <c r="B25" s="13" t="s">
        <v>74</v>
      </c>
    </row>
    <row r="26" spans="2:2" x14ac:dyDescent="0.3">
      <c r="B26" s="13" t="s">
        <v>75</v>
      </c>
    </row>
    <row r="27" spans="2:2" x14ac:dyDescent="0.3">
      <c r="B27" s="13" t="s">
        <v>76</v>
      </c>
    </row>
    <row r="28" spans="2:2" x14ac:dyDescent="0.3">
      <c r="B28" s="13" t="s">
        <v>77</v>
      </c>
    </row>
    <row r="29" spans="2:2" x14ac:dyDescent="0.3">
      <c r="B29" s="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47D57-48CF-44A3-8DFD-044512D5B18E}">
  <dimension ref="B2:EM63"/>
  <sheetViews>
    <sheetView tabSelected="1" workbookViewId="0">
      <pane xSplit="2" ySplit="2" topLeftCell="P27" activePane="bottomRight" state="frozen"/>
      <selection pane="topRight" activeCell="C1" sqref="C1"/>
      <selection pane="bottomLeft" activeCell="A3" sqref="A3"/>
      <selection pane="bottomRight" activeCell="AF41" sqref="AF41"/>
    </sheetView>
  </sheetViews>
  <sheetFormatPr defaultRowHeight="14.4" x14ac:dyDescent="0.3"/>
  <cols>
    <col min="1" max="1" width="8.88671875" style="1"/>
    <col min="2" max="2" width="21.6640625" style="1" bestFit="1" customWidth="1"/>
    <col min="3" max="30" width="8.88671875" style="1"/>
    <col min="31" max="31" width="11.88671875" style="1" bestFit="1" customWidth="1"/>
    <col min="32" max="32" width="17.5546875" style="1" bestFit="1" customWidth="1"/>
    <col min="33" max="16384" width="8.88671875" style="1"/>
  </cols>
  <sheetData>
    <row r="2" spans="2:29" x14ac:dyDescent="0.3">
      <c r="C2" s="7" t="s">
        <v>27</v>
      </c>
      <c r="D2" s="7" t="s">
        <v>28</v>
      </c>
      <c r="E2" s="7" t="s">
        <v>29</v>
      </c>
      <c r="F2" s="7" t="s">
        <v>30</v>
      </c>
      <c r="G2" s="7" t="s">
        <v>31</v>
      </c>
      <c r="H2" s="7" t="s">
        <v>32</v>
      </c>
      <c r="I2" s="7" t="s">
        <v>33</v>
      </c>
      <c r="J2" s="7" t="s">
        <v>14</v>
      </c>
      <c r="K2" s="7" t="s">
        <v>34</v>
      </c>
      <c r="L2" s="7" t="s">
        <v>35</v>
      </c>
      <c r="N2" s="1">
        <v>2020</v>
      </c>
      <c r="O2" s="1">
        <v>2021</v>
      </c>
      <c r="P2" s="1">
        <v>2022</v>
      </c>
      <c r="Q2" s="1">
        <v>2023</v>
      </c>
      <c r="R2" s="1">
        <v>2024</v>
      </c>
      <c r="S2" s="1">
        <v>2025</v>
      </c>
      <c r="T2" s="1">
        <v>2026</v>
      </c>
      <c r="U2" s="1">
        <v>2027</v>
      </c>
      <c r="V2" s="1">
        <v>2028</v>
      </c>
      <c r="W2" s="1">
        <v>2029</v>
      </c>
      <c r="X2" s="1">
        <v>2030</v>
      </c>
      <c r="Y2" s="1">
        <v>2031</v>
      </c>
      <c r="Z2" s="1">
        <v>2032</v>
      </c>
      <c r="AA2" s="1">
        <v>2033</v>
      </c>
      <c r="AB2" s="1">
        <v>2034</v>
      </c>
      <c r="AC2" s="1">
        <v>2035</v>
      </c>
    </row>
    <row r="3" spans="2:29" x14ac:dyDescent="0.3">
      <c r="B3" s="1" t="s">
        <v>82</v>
      </c>
      <c r="C3" s="7"/>
      <c r="D3" s="7"/>
      <c r="E3" s="7"/>
      <c r="F3" s="7"/>
      <c r="G3" s="7"/>
      <c r="H3" s="16">
        <v>40582</v>
      </c>
      <c r="I3" s="16">
        <v>38351</v>
      </c>
      <c r="J3" s="16">
        <v>25098</v>
      </c>
      <c r="K3" s="16">
        <v>28198</v>
      </c>
      <c r="L3" s="7"/>
      <c r="R3" s="4">
        <f t="shared" ref="R3:R8" si="0">SUM(I3:J3)</f>
        <v>63449</v>
      </c>
    </row>
    <row r="4" spans="2:29" x14ac:dyDescent="0.3">
      <c r="B4" s="1" t="s">
        <v>83</v>
      </c>
      <c r="C4" s="7"/>
      <c r="D4" s="7"/>
      <c r="E4" s="7"/>
      <c r="F4" s="7"/>
      <c r="G4" s="7"/>
      <c r="H4" s="16">
        <v>31633</v>
      </c>
      <c r="I4" s="16">
        <v>29848</v>
      </c>
      <c r="J4" s="16">
        <v>28996</v>
      </c>
      <c r="K4" s="16">
        <v>29163</v>
      </c>
      <c r="L4" s="7"/>
      <c r="R4" s="4">
        <f t="shared" si="0"/>
        <v>58844</v>
      </c>
    </row>
    <row r="5" spans="2:29" x14ac:dyDescent="0.3">
      <c r="B5" s="1" t="s">
        <v>84</v>
      </c>
      <c r="C5" s="7"/>
      <c r="D5" s="7"/>
      <c r="E5" s="7"/>
      <c r="F5" s="7"/>
      <c r="G5" s="7"/>
      <c r="H5" s="16">
        <v>5862</v>
      </c>
      <c r="I5" s="16">
        <v>5005</v>
      </c>
      <c r="J5" s="16">
        <v>5104</v>
      </c>
      <c r="K5" s="16">
        <v>4938</v>
      </c>
      <c r="L5" s="7"/>
      <c r="R5" s="4">
        <f t="shared" si="0"/>
        <v>10109</v>
      </c>
    </row>
    <row r="6" spans="2:29" x14ac:dyDescent="0.3">
      <c r="B6" s="1" t="s">
        <v>85</v>
      </c>
      <c r="C6" s="7"/>
      <c r="D6" s="7"/>
      <c r="E6" s="7"/>
      <c r="F6" s="7"/>
      <c r="G6" s="7"/>
      <c r="H6" s="16">
        <v>8539</v>
      </c>
      <c r="I6" s="16">
        <v>7373</v>
      </c>
      <c r="J6" s="16">
        <v>8510</v>
      </c>
      <c r="K6" s="16">
        <v>7696</v>
      </c>
      <c r="L6" s="7"/>
      <c r="R6" s="4">
        <f t="shared" si="0"/>
        <v>15883</v>
      </c>
    </row>
    <row r="7" spans="2:29" x14ac:dyDescent="0.3">
      <c r="B7" s="1" t="s">
        <v>86</v>
      </c>
      <c r="C7" s="7"/>
      <c r="D7" s="7"/>
      <c r="E7" s="7"/>
      <c r="F7" s="7"/>
      <c r="G7" s="7"/>
      <c r="H7" s="16">
        <v>1541</v>
      </c>
      <c r="I7" s="16">
        <v>1071</v>
      </c>
      <c r="J7" s="16">
        <v>920</v>
      </c>
      <c r="K7" s="16">
        <v>919</v>
      </c>
      <c r="L7" s="7"/>
      <c r="R7" s="4">
        <f t="shared" si="0"/>
        <v>1991</v>
      </c>
    </row>
    <row r="8" spans="2:29" x14ac:dyDescent="0.3">
      <c r="B8" s="1" t="s">
        <v>87</v>
      </c>
      <c r="C8" s="7"/>
      <c r="D8" s="7"/>
      <c r="E8" s="7"/>
      <c r="F8" s="7"/>
      <c r="G8" s="7"/>
      <c r="H8" s="16">
        <v>1025</v>
      </c>
      <c r="I8" s="16">
        <v>631</v>
      </c>
      <c r="J8" s="16">
        <v>407</v>
      </c>
      <c r="K8" s="16">
        <v>368</v>
      </c>
      <c r="L8" s="7"/>
      <c r="R8" s="4">
        <f t="shared" si="0"/>
        <v>1038</v>
      </c>
    </row>
    <row r="9" spans="2:29" x14ac:dyDescent="0.3">
      <c r="B9" s="1" t="s">
        <v>88</v>
      </c>
      <c r="C9" s="7"/>
      <c r="D9" s="7"/>
      <c r="E9" s="7"/>
      <c r="F9" s="7"/>
      <c r="G9" s="7"/>
      <c r="H9" s="16">
        <v>1994</v>
      </c>
      <c r="I9" s="16">
        <v>2738</v>
      </c>
      <c r="J9" s="16">
        <v>2826</v>
      </c>
      <c r="K9" s="16">
        <v>2979</v>
      </c>
      <c r="L9" s="7"/>
      <c r="R9" s="4">
        <f>SUM(I9:J9)</f>
        <v>5564</v>
      </c>
      <c r="S9" s="4"/>
    </row>
    <row r="10" spans="2:29" s="2" customFormat="1" x14ac:dyDescent="0.3">
      <c r="B10" s="2" t="s">
        <v>11</v>
      </c>
      <c r="G10" s="9">
        <v>98368</v>
      </c>
      <c r="H10" s="9">
        <f>SUM(H3:H9)</f>
        <v>91176</v>
      </c>
      <c r="I10" s="9">
        <f>SUM(I3:I9)</f>
        <v>85017</v>
      </c>
      <c r="J10" s="9">
        <f>SUM(J3:J9)</f>
        <v>71861</v>
      </c>
      <c r="K10" s="9">
        <f>SUM(K3:K9)</f>
        <v>74261</v>
      </c>
      <c r="L10" s="9">
        <f>J10*1.05</f>
        <v>75454.05</v>
      </c>
      <c r="N10" s="9">
        <v>133882</v>
      </c>
      <c r="O10" s="9">
        <v>152119</v>
      </c>
      <c r="P10" s="9">
        <v>179592</v>
      </c>
      <c r="Q10" s="9">
        <v>189544</v>
      </c>
      <c r="R10" s="9">
        <v>156878</v>
      </c>
      <c r="S10" s="9">
        <f>SUM(K10:L10)</f>
        <v>149715.04999999999</v>
      </c>
      <c r="T10" s="9">
        <f>S10*0.97</f>
        <v>145223.59849999999</v>
      </c>
      <c r="U10" s="9">
        <f>T10*0.98</f>
        <v>142319.12652999998</v>
      </c>
      <c r="V10" s="9">
        <f>U10*1.01</f>
        <v>143742.31779529998</v>
      </c>
      <c r="W10" s="9">
        <f t="shared" ref="W10:AC10" si="1">V10*1.01</f>
        <v>145179.74097325298</v>
      </c>
      <c r="X10" s="9">
        <f t="shared" si="1"/>
        <v>146631.53838298551</v>
      </c>
      <c r="Y10" s="9">
        <f t="shared" si="1"/>
        <v>148097.85376681536</v>
      </c>
      <c r="Z10" s="9">
        <f t="shared" si="1"/>
        <v>149578.83230448351</v>
      </c>
      <c r="AA10" s="9">
        <f t="shared" si="1"/>
        <v>151074.62062752835</v>
      </c>
      <c r="AB10" s="9">
        <f t="shared" si="1"/>
        <v>152585.36683380362</v>
      </c>
      <c r="AC10" s="9">
        <f t="shared" si="1"/>
        <v>154111.22050214166</v>
      </c>
    </row>
    <row r="11" spans="2:29" x14ac:dyDescent="0.3">
      <c r="B11" s="1" t="s">
        <v>12</v>
      </c>
      <c r="G11" s="4">
        <v>76934</v>
      </c>
      <c r="H11" s="4">
        <f>Q11-G11</f>
        <v>74466</v>
      </c>
      <c r="I11" s="4">
        <v>69818</v>
      </c>
      <c r="J11" s="4">
        <f>R11-I11</f>
        <v>66542</v>
      </c>
      <c r="K11" s="4">
        <v>68267</v>
      </c>
      <c r="L11" s="4">
        <f>L10-L12</f>
        <v>68663.185500000007</v>
      </c>
      <c r="N11" s="4">
        <v>112187</v>
      </c>
      <c r="O11" s="4">
        <v>122207</v>
      </c>
      <c r="P11" s="4">
        <v>144327</v>
      </c>
      <c r="Q11" s="4">
        <v>151400</v>
      </c>
      <c r="R11" s="4">
        <v>136360</v>
      </c>
      <c r="S11" s="4">
        <f>SUM(K11:L11)</f>
        <v>136930.18550000002</v>
      </c>
      <c r="T11" s="4">
        <f t="shared" ref="T11:AC11" si="2">T10-T12</f>
        <v>129249.00266499999</v>
      </c>
      <c r="U11" s="4">
        <f t="shared" si="2"/>
        <v>122394.44881579999</v>
      </c>
      <c r="V11" s="4">
        <f t="shared" si="2"/>
        <v>119306.12377009899</v>
      </c>
      <c r="W11" s="4">
        <f t="shared" si="2"/>
        <v>117595.59018833491</v>
      </c>
      <c r="X11" s="4">
        <f t="shared" si="2"/>
        <v>117305.23070638841</v>
      </c>
      <c r="Y11" s="4">
        <f t="shared" si="2"/>
        <v>118478.28301345228</v>
      </c>
      <c r="Z11" s="4">
        <f t="shared" si="2"/>
        <v>119663.06584358681</v>
      </c>
      <c r="AA11" s="4">
        <f t="shared" si="2"/>
        <v>120859.69650202268</v>
      </c>
      <c r="AB11" s="4">
        <f t="shared" si="2"/>
        <v>122068.29346704289</v>
      </c>
      <c r="AC11" s="4">
        <f t="shared" si="2"/>
        <v>123288.97640171333</v>
      </c>
    </row>
    <row r="12" spans="2:29" s="2" customFormat="1" x14ac:dyDescent="0.3">
      <c r="B12" s="2" t="s">
        <v>13</v>
      </c>
      <c r="G12" s="9">
        <f>G10-G11</f>
        <v>21434</v>
      </c>
      <c r="H12" s="9">
        <f>H10-H11</f>
        <v>16710</v>
      </c>
      <c r="I12" s="9">
        <f>I10-I11</f>
        <v>15199</v>
      </c>
      <c r="J12" s="9">
        <f>J10-J11</f>
        <v>5319</v>
      </c>
      <c r="K12" s="9">
        <f>K10-K11</f>
        <v>5994</v>
      </c>
      <c r="L12" s="9">
        <f>L10*0.09</f>
        <v>6790.8644999999997</v>
      </c>
      <c r="N12" s="9">
        <f t="shared" ref="N12:S12" si="3">N10-N11</f>
        <v>21695</v>
      </c>
      <c r="O12" s="9">
        <f t="shared" si="3"/>
        <v>29912</v>
      </c>
      <c r="P12" s="9">
        <f t="shared" si="3"/>
        <v>35265</v>
      </c>
      <c r="Q12" s="9">
        <f t="shared" si="3"/>
        <v>38144</v>
      </c>
      <c r="R12" s="9">
        <f t="shared" si="3"/>
        <v>20518</v>
      </c>
      <c r="S12" s="9">
        <f t="shared" si="3"/>
        <v>12784.864499999967</v>
      </c>
      <c r="T12" s="9">
        <f>T10*0.11</f>
        <v>15974.595835</v>
      </c>
      <c r="U12" s="9">
        <f>U10*0.14</f>
        <v>19924.677714199999</v>
      </c>
      <c r="V12" s="9">
        <f>V10*0.17</f>
        <v>24436.194025200999</v>
      </c>
      <c r="W12" s="9">
        <f>W10*0.19</f>
        <v>27584.150784918067</v>
      </c>
      <c r="X12" s="9">
        <f t="shared" ref="X12:AC12" si="4">X10*0.2</f>
        <v>29326.307676597105</v>
      </c>
      <c r="Y12" s="9">
        <f t="shared" si="4"/>
        <v>29619.570753363074</v>
      </c>
      <c r="Z12" s="9">
        <f t="shared" si="4"/>
        <v>29915.766460896702</v>
      </c>
      <c r="AA12" s="9">
        <f t="shared" si="4"/>
        <v>30214.92412550567</v>
      </c>
      <c r="AB12" s="9">
        <f t="shared" si="4"/>
        <v>30517.073366760727</v>
      </c>
      <c r="AC12" s="9">
        <f t="shared" si="4"/>
        <v>30822.244100428332</v>
      </c>
    </row>
    <row r="13" spans="2:29" x14ac:dyDescent="0.3">
      <c r="B13" s="1" t="s">
        <v>16</v>
      </c>
      <c r="G13" s="4">
        <v>4921</v>
      </c>
      <c r="H13" s="4">
        <f>Q13-G13</f>
        <v>4620</v>
      </c>
      <c r="I13" s="4">
        <v>4564</v>
      </c>
      <c r="J13" s="4">
        <f>R13-I13</f>
        <v>4735</v>
      </c>
      <c r="K13" s="4">
        <v>4174</v>
      </c>
      <c r="L13" s="4">
        <f>J13*0.9</f>
        <v>4261.5</v>
      </c>
      <c r="N13" s="4">
        <v>9397</v>
      </c>
      <c r="O13" s="4">
        <v>9320</v>
      </c>
      <c r="P13" s="4">
        <v>8981</v>
      </c>
      <c r="Q13" s="4">
        <v>9541</v>
      </c>
      <c r="R13" s="4">
        <v>9299</v>
      </c>
      <c r="S13" s="4">
        <f t="shared" ref="S13:S17" si="5">SUM(K13:L13)</f>
        <v>8435.5</v>
      </c>
      <c r="T13" s="4">
        <f>S13*1.02</f>
        <v>8604.2100000000009</v>
      </c>
      <c r="U13" s="4">
        <f>T13*1.01</f>
        <v>8690.2521000000015</v>
      </c>
      <c r="V13" s="4">
        <f t="shared" ref="V13:AC13" si="6">U13*1.01</f>
        <v>8777.1546210000015</v>
      </c>
      <c r="W13" s="4">
        <f t="shared" si="6"/>
        <v>8864.9261672100019</v>
      </c>
      <c r="X13" s="4">
        <f t="shared" si="6"/>
        <v>8953.5754288821026</v>
      </c>
      <c r="Y13" s="4">
        <f t="shared" si="6"/>
        <v>9043.1111831709241</v>
      </c>
      <c r="Z13" s="4">
        <f t="shared" si="6"/>
        <v>9133.5422950026332</v>
      </c>
      <c r="AA13" s="4">
        <f t="shared" si="6"/>
        <v>9224.8777179526587</v>
      </c>
      <c r="AB13" s="4">
        <f t="shared" si="6"/>
        <v>9317.1264951321846</v>
      </c>
      <c r="AC13" s="4">
        <f t="shared" si="6"/>
        <v>9410.2977600835056</v>
      </c>
    </row>
    <row r="14" spans="2:29" x14ac:dyDescent="0.3">
      <c r="B14" s="1" t="s">
        <v>15</v>
      </c>
      <c r="G14" s="4">
        <v>2735</v>
      </c>
      <c r="H14" s="4">
        <f>Q14-G14</f>
        <v>2884</v>
      </c>
      <c r="I14" s="4">
        <v>2819</v>
      </c>
      <c r="J14" s="4">
        <f>R14-I14</f>
        <v>2965</v>
      </c>
      <c r="K14" s="4">
        <v>3371</v>
      </c>
      <c r="L14" s="4">
        <f>J14*1.18</f>
        <v>3498.7</v>
      </c>
      <c r="N14" s="4">
        <v>4551</v>
      </c>
      <c r="O14" s="4">
        <v>4560</v>
      </c>
      <c r="P14" s="4">
        <v>5200</v>
      </c>
      <c r="Q14" s="4">
        <v>5619</v>
      </c>
      <c r="R14" s="4">
        <v>5784</v>
      </c>
      <c r="S14" s="4">
        <f t="shared" si="5"/>
        <v>6869.7</v>
      </c>
      <c r="T14" s="4">
        <f>S14*1.13</f>
        <v>7762.7609999999995</v>
      </c>
      <c r="U14" s="4">
        <f>T14*1.07</f>
        <v>8306.1542699999991</v>
      </c>
      <c r="V14" s="4">
        <f>U14*1.04</f>
        <v>8638.4004408000001</v>
      </c>
      <c r="W14" s="4">
        <f>V14*1.03</f>
        <v>8897.5524540240003</v>
      </c>
      <c r="X14" s="4">
        <f>W14*1.02</f>
        <v>9075.5035031044808</v>
      </c>
      <c r="Y14" s="4">
        <f t="shared" ref="Y14:AC14" si="7">X14*1.01</f>
        <v>9166.2585381355257</v>
      </c>
      <c r="Z14" s="4">
        <f t="shared" si="7"/>
        <v>9257.9211235168805</v>
      </c>
      <c r="AA14" s="4">
        <f t="shared" si="7"/>
        <v>9350.5003347520487</v>
      </c>
      <c r="AB14" s="4">
        <f t="shared" si="7"/>
        <v>9444.0053380995687</v>
      </c>
      <c r="AC14" s="4">
        <f t="shared" si="7"/>
        <v>9538.4453914805636</v>
      </c>
    </row>
    <row r="15" spans="2:29" x14ac:dyDescent="0.3">
      <c r="B15" s="1" t="s">
        <v>17</v>
      </c>
      <c r="G15" s="4">
        <v>-22</v>
      </c>
      <c r="H15" s="4">
        <f>Q15-G15</f>
        <v>2</v>
      </c>
      <c r="I15" s="4">
        <v>46</v>
      </c>
      <c r="J15" s="4">
        <f>R15-I15</f>
        <v>52</v>
      </c>
      <c r="K15" s="4">
        <v>204</v>
      </c>
      <c r="L15" s="4">
        <v>150</v>
      </c>
      <c r="N15" s="4">
        <v>-178</v>
      </c>
      <c r="O15" s="4">
        <v>35</v>
      </c>
      <c r="P15" s="4">
        <v>-72</v>
      </c>
      <c r="Q15" s="4">
        <v>-20</v>
      </c>
      <c r="R15" s="4">
        <v>98</v>
      </c>
      <c r="S15" s="4">
        <f t="shared" si="5"/>
        <v>354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</row>
    <row r="16" spans="2:29" x14ac:dyDescent="0.3">
      <c r="B16" s="1" t="s">
        <v>18</v>
      </c>
      <c r="G16" s="4">
        <v>552</v>
      </c>
      <c r="H16" s="4">
        <f>Q16-G16</f>
        <v>567</v>
      </c>
      <c r="I16" s="4">
        <v>1212</v>
      </c>
      <c r="J16" s="4">
        <f>R16-I16</f>
        <v>405</v>
      </c>
      <c r="K16" s="4">
        <v>522</v>
      </c>
      <c r="L16" s="4">
        <v>500</v>
      </c>
      <c r="N16" s="4">
        <v>489</v>
      </c>
      <c r="O16" s="4">
        <v>698</v>
      </c>
      <c r="P16" s="4">
        <v>1144</v>
      </c>
      <c r="Q16" s="4">
        <v>1119</v>
      </c>
      <c r="R16" s="4">
        <v>1617</v>
      </c>
      <c r="S16" s="4">
        <f t="shared" si="5"/>
        <v>1022</v>
      </c>
      <c r="T16" s="4">
        <f>S16*0.8</f>
        <v>817.6</v>
      </c>
      <c r="U16" s="4">
        <f t="shared" ref="U16:AC16" si="8">T16*0.8</f>
        <v>654.08000000000004</v>
      </c>
      <c r="V16" s="4">
        <f t="shared" si="8"/>
        <v>523.26400000000001</v>
      </c>
      <c r="W16" s="4">
        <f t="shared" si="8"/>
        <v>418.61120000000005</v>
      </c>
      <c r="X16" s="4">
        <f t="shared" si="8"/>
        <v>334.88896000000005</v>
      </c>
      <c r="Y16" s="4">
        <f t="shared" si="8"/>
        <v>267.91116800000003</v>
      </c>
      <c r="Z16" s="4">
        <f t="shared" si="8"/>
        <v>214.32893440000004</v>
      </c>
      <c r="AA16" s="4">
        <f t="shared" si="8"/>
        <v>171.46314752000004</v>
      </c>
      <c r="AB16" s="4">
        <f t="shared" si="8"/>
        <v>137.17051801600005</v>
      </c>
      <c r="AC16" s="4">
        <f t="shared" si="8"/>
        <v>109.73641441280004</v>
      </c>
    </row>
    <row r="17" spans="2:143" x14ac:dyDescent="0.3">
      <c r="B17" s="1" t="s">
        <v>19</v>
      </c>
      <c r="G17" s="4">
        <v>-293</v>
      </c>
      <c r="H17" s="4">
        <f>Q17-G17</f>
        <v>-198</v>
      </c>
      <c r="I17" s="4">
        <v>-81</v>
      </c>
      <c r="J17" s="4">
        <f>R17-I17</f>
        <v>114</v>
      </c>
      <c r="K17" s="4">
        <v>433</v>
      </c>
      <c r="L17" s="4">
        <v>350</v>
      </c>
      <c r="N17" s="4">
        <v>0</v>
      </c>
      <c r="O17" s="4">
        <v>0</v>
      </c>
      <c r="P17" s="4">
        <v>-264</v>
      </c>
      <c r="Q17" s="4">
        <v>-491</v>
      </c>
      <c r="R17" s="4">
        <v>33</v>
      </c>
      <c r="S17" s="4">
        <f t="shared" si="5"/>
        <v>783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</row>
    <row r="18" spans="2:143" x14ac:dyDescent="0.3">
      <c r="B18" s="1" t="s">
        <v>20</v>
      </c>
      <c r="G18" s="4">
        <f t="shared" ref="G18:L18" si="9">SUM(G13:G17)</f>
        <v>7893</v>
      </c>
      <c r="H18" s="4">
        <f t="shared" si="9"/>
        <v>7875</v>
      </c>
      <c r="I18" s="4">
        <f t="shared" si="9"/>
        <v>8560</v>
      </c>
      <c r="J18" s="4">
        <f t="shared" si="9"/>
        <v>8271</v>
      </c>
      <c r="K18" s="4">
        <f t="shared" si="9"/>
        <v>8704</v>
      </c>
      <c r="L18" s="4">
        <f t="shared" si="9"/>
        <v>8760.2000000000007</v>
      </c>
      <c r="N18" s="4">
        <f t="shared" ref="N18:S18" si="10">SUM(N13:N17)</f>
        <v>14259</v>
      </c>
      <c r="O18" s="4">
        <f t="shared" si="10"/>
        <v>14613</v>
      </c>
      <c r="P18" s="4">
        <f t="shared" si="10"/>
        <v>14989</v>
      </c>
      <c r="Q18" s="4">
        <f t="shared" si="10"/>
        <v>15768</v>
      </c>
      <c r="R18" s="4">
        <f t="shared" si="10"/>
        <v>16831</v>
      </c>
      <c r="S18" s="4">
        <f t="shared" si="10"/>
        <v>17464.2</v>
      </c>
      <c r="T18" s="4">
        <f t="shared" ref="T18:AC18" si="11">SUM(T13:T17)</f>
        <v>17184.571</v>
      </c>
      <c r="U18" s="4">
        <f t="shared" si="11"/>
        <v>17650.486370000002</v>
      </c>
      <c r="V18" s="4">
        <f t="shared" si="11"/>
        <v>17938.819061800001</v>
      </c>
      <c r="W18" s="4">
        <f t="shared" si="11"/>
        <v>18181.089821234003</v>
      </c>
      <c r="X18" s="4">
        <f t="shared" si="11"/>
        <v>18363.967891986584</v>
      </c>
      <c r="Y18" s="4">
        <f t="shared" si="11"/>
        <v>18477.28088930645</v>
      </c>
      <c r="Z18" s="4">
        <f t="shared" si="11"/>
        <v>18605.792352919514</v>
      </c>
      <c r="AA18" s="4">
        <f t="shared" si="11"/>
        <v>18746.841200224706</v>
      </c>
      <c r="AB18" s="4">
        <f t="shared" si="11"/>
        <v>18898.302351247752</v>
      </c>
      <c r="AC18" s="4">
        <f t="shared" si="11"/>
        <v>19058.479565976872</v>
      </c>
    </row>
    <row r="19" spans="2:143" s="2" customFormat="1" x14ac:dyDescent="0.3">
      <c r="B19" s="2" t="s">
        <v>36</v>
      </c>
      <c r="G19" s="9">
        <f t="shared" ref="G19:L19" si="12">G12-G18</f>
        <v>13541</v>
      </c>
      <c r="H19" s="9">
        <f t="shared" si="12"/>
        <v>8835</v>
      </c>
      <c r="I19" s="9">
        <f t="shared" si="12"/>
        <v>6639</v>
      </c>
      <c r="J19" s="9">
        <f t="shared" si="12"/>
        <v>-2952</v>
      </c>
      <c r="K19" s="9">
        <f t="shared" si="12"/>
        <v>-2710</v>
      </c>
      <c r="L19" s="9">
        <f t="shared" si="12"/>
        <v>-1969.335500000001</v>
      </c>
      <c r="N19" s="9">
        <f t="shared" ref="N19:S19" si="13">N12-N18</f>
        <v>7436</v>
      </c>
      <c r="O19" s="9">
        <f t="shared" si="13"/>
        <v>15299</v>
      </c>
      <c r="P19" s="9">
        <f t="shared" si="13"/>
        <v>20276</v>
      </c>
      <c r="Q19" s="9">
        <f t="shared" si="13"/>
        <v>22376</v>
      </c>
      <c r="R19" s="9">
        <f t="shared" si="13"/>
        <v>3687</v>
      </c>
      <c r="S19" s="9">
        <f t="shared" si="13"/>
        <v>-4679.3355000000338</v>
      </c>
      <c r="T19" s="9">
        <f t="shared" ref="T19:AC19" si="14">T12-T18</f>
        <v>-1209.9751649999998</v>
      </c>
      <c r="U19" s="9">
        <f t="shared" si="14"/>
        <v>2274.1913441999968</v>
      </c>
      <c r="V19" s="9">
        <f t="shared" si="14"/>
        <v>6497.3749634009982</v>
      </c>
      <c r="W19" s="9">
        <f t="shared" si="14"/>
        <v>9403.0609636840636</v>
      </c>
      <c r="X19" s="9">
        <f t="shared" si="14"/>
        <v>10962.339784610522</v>
      </c>
      <c r="Y19" s="9">
        <f t="shared" si="14"/>
        <v>11142.289864056624</v>
      </c>
      <c r="Z19" s="9">
        <f t="shared" si="14"/>
        <v>11309.974107977188</v>
      </c>
      <c r="AA19" s="9">
        <f t="shared" si="14"/>
        <v>11468.082925280964</v>
      </c>
      <c r="AB19" s="9">
        <f t="shared" si="14"/>
        <v>11618.771015512975</v>
      </c>
      <c r="AC19" s="9">
        <f t="shared" si="14"/>
        <v>11763.76453445146</v>
      </c>
    </row>
    <row r="20" spans="2:143" x14ac:dyDescent="0.3">
      <c r="B20" s="1" t="s">
        <v>21</v>
      </c>
      <c r="G20" s="4">
        <v>-69</v>
      </c>
      <c r="H20" s="4">
        <f>Q20-G20</f>
        <v>27</v>
      </c>
      <c r="I20" s="4">
        <v>-350</v>
      </c>
      <c r="J20" s="4">
        <f>R20-I20</f>
        <v>5</v>
      </c>
      <c r="K20" s="4">
        <v>160</v>
      </c>
      <c r="L20" s="4">
        <v>150</v>
      </c>
      <c r="N20" s="4">
        <v>672</v>
      </c>
      <c r="O20" s="4">
        <v>746</v>
      </c>
      <c r="P20" s="4">
        <v>768</v>
      </c>
      <c r="Q20" s="4">
        <v>-42</v>
      </c>
      <c r="R20" s="4">
        <v>-345</v>
      </c>
      <c r="S20" s="4">
        <f>SUM(K20:L20)</f>
        <v>310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</row>
    <row r="21" spans="2:143" s="2" customFormat="1" x14ac:dyDescent="0.3">
      <c r="B21" s="2" t="s">
        <v>22</v>
      </c>
      <c r="G21" s="9">
        <f t="shared" ref="G21:L21" si="15">G19-G20</f>
        <v>13610</v>
      </c>
      <c r="H21" s="9">
        <f t="shared" si="15"/>
        <v>8808</v>
      </c>
      <c r="I21" s="9">
        <f t="shared" si="15"/>
        <v>6989</v>
      </c>
      <c r="J21" s="9">
        <f t="shared" si="15"/>
        <v>-2957</v>
      </c>
      <c r="K21" s="9">
        <f t="shared" si="15"/>
        <v>-2870</v>
      </c>
      <c r="L21" s="9">
        <f t="shared" si="15"/>
        <v>-2119.335500000001</v>
      </c>
      <c r="N21" s="9">
        <f t="shared" ref="N21:S21" si="16">N19-N20</f>
        <v>6764</v>
      </c>
      <c r="O21" s="9">
        <f t="shared" si="16"/>
        <v>14553</v>
      </c>
      <c r="P21" s="9">
        <f t="shared" si="16"/>
        <v>19508</v>
      </c>
      <c r="Q21" s="9">
        <f t="shared" si="16"/>
        <v>22418</v>
      </c>
      <c r="R21" s="9">
        <f t="shared" si="16"/>
        <v>4032</v>
      </c>
      <c r="S21" s="9">
        <f t="shared" si="16"/>
        <v>-4989.3355000000338</v>
      </c>
      <c r="T21" s="9">
        <f t="shared" ref="T21:AC21" si="17">T19-T20</f>
        <v>-1209.9751649999998</v>
      </c>
      <c r="U21" s="9">
        <f t="shared" si="17"/>
        <v>2274.1913441999968</v>
      </c>
      <c r="V21" s="9">
        <f t="shared" si="17"/>
        <v>6497.3749634009982</v>
      </c>
      <c r="W21" s="9">
        <f t="shared" si="17"/>
        <v>9403.0609636840636</v>
      </c>
      <c r="X21" s="9">
        <f t="shared" si="17"/>
        <v>10962.339784610522</v>
      </c>
      <c r="Y21" s="9">
        <f t="shared" si="17"/>
        <v>11142.289864056624</v>
      </c>
      <c r="Z21" s="9">
        <f t="shared" si="17"/>
        <v>11309.974107977188</v>
      </c>
      <c r="AA21" s="9">
        <f t="shared" si="17"/>
        <v>11468.082925280964</v>
      </c>
      <c r="AB21" s="9">
        <f t="shared" si="17"/>
        <v>11618.771015512975</v>
      </c>
      <c r="AC21" s="9">
        <f t="shared" si="17"/>
        <v>11763.76453445146</v>
      </c>
    </row>
    <row r="22" spans="2:143" x14ac:dyDescent="0.3">
      <c r="B22" s="1" t="s">
        <v>23</v>
      </c>
      <c r="G22" s="4">
        <v>2692</v>
      </c>
      <c r="H22" s="4">
        <f>Q22-G22</f>
        <v>1101</v>
      </c>
      <c r="I22" s="4">
        <v>1342</v>
      </c>
      <c r="J22" s="4">
        <f>R22-I22</f>
        <v>-2830</v>
      </c>
      <c r="K22" s="4">
        <v>-614</v>
      </c>
      <c r="L22" s="4">
        <f>L21*0.2</f>
        <v>-423.86710000000022</v>
      </c>
      <c r="N22" s="4">
        <v>2084</v>
      </c>
      <c r="O22" s="4">
        <v>1939</v>
      </c>
      <c r="P22" s="4">
        <v>2729</v>
      </c>
      <c r="Q22" s="4">
        <v>3793</v>
      </c>
      <c r="R22" s="4">
        <v>-1488</v>
      </c>
      <c r="S22" s="4">
        <f t="shared" ref="S22:S23" si="18">SUM(K22:L22)</f>
        <v>-1037.8671000000002</v>
      </c>
      <c r="T22" s="4">
        <f>T21*0.18</f>
        <v>-217.79552969999997</v>
      </c>
      <c r="U22" s="4">
        <f t="shared" ref="U22:AC22" si="19">U21*0.18</f>
        <v>409.35444195599939</v>
      </c>
      <c r="V22" s="4">
        <f t="shared" si="19"/>
        <v>1169.5274934121796</v>
      </c>
      <c r="W22" s="4">
        <f t="shared" si="19"/>
        <v>1692.5509734631314</v>
      </c>
      <c r="X22" s="4">
        <f t="shared" si="19"/>
        <v>1973.2211612298938</v>
      </c>
      <c r="Y22" s="4">
        <f t="shared" si="19"/>
        <v>2005.6121755301922</v>
      </c>
      <c r="Z22" s="4">
        <f t="shared" si="19"/>
        <v>2035.7953394358938</v>
      </c>
      <c r="AA22" s="4">
        <f t="shared" si="19"/>
        <v>2064.2549265505731</v>
      </c>
      <c r="AB22" s="4">
        <f t="shared" si="19"/>
        <v>2091.3787827923356</v>
      </c>
      <c r="AC22" s="4">
        <f t="shared" si="19"/>
        <v>2117.4776162012627</v>
      </c>
    </row>
    <row r="23" spans="2:143" x14ac:dyDescent="0.3">
      <c r="B23" s="1" t="s">
        <v>24</v>
      </c>
      <c r="G23" s="4">
        <v>-5</v>
      </c>
      <c r="H23" s="4">
        <f>Q23-G23</f>
        <v>34</v>
      </c>
      <c r="I23" s="4">
        <v>23</v>
      </c>
      <c r="J23" s="4">
        <f>R23-I23</f>
        <v>24</v>
      </c>
      <c r="K23" s="4">
        <v>-16</v>
      </c>
      <c r="L23" s="4">
        <v>20</v>
      </c>
      <c r="N23" s="4">
        <f>-110+315-139</f>
        <v>66</v>
      </c>
      <c r="O23" s="4">
        <f>-740-990+8</f>
        <v>-1722</v>
      </c>
      <c r="P23" s="4">
        <v>-20</v>
      </c>
      <c r="Q23" s="4">
        <v>29</v>
      </c>
      <c r="R23" s="4">
        <v>47</v>
      </c>
      <c r="S23" s="4">
        <f t="shared" si="18"/>
        <v>4</v>
      </c>
      <c r="T23" s="4">
        <f t="shared" ref="T23:AC23" si="20">T21*0.01</f>
        <v>-12.099751649999998</v>
      </c>
      <c r="U23" s="4">
        <f t="shared" si="20"/>
        <v>22.741913441999969</v>
      </c>
      <c r="V23" s="4">
        <f t="shared" si="20"/>
        <v>64.973749634009977</v>
      </c>
      <c r="W23" s="4">
        <f t="shared" si="20"/>
        <v>94.030609636840637</v>
      </c>
      <c r="X23" s="4">
        <f t="shared" si="20"/>
        <v>109.62339784610522</v>
      </c>
      <c r="Y23" s="4">
        <f t="shared" si="20"/>
        <v>111.42289864056625</v>
      </c>
      <c r="Z23" s="4">
        <f t="shared" si="20"/>
        <v>113.09974107977189</v>
      </c>
      <c r="AA23" s="4">
        <f t="shared" si="20"/>
        <v>114.68082925280964</v>
      </c>
      <c r="AB23" s="4">
        <f t="shared" si="20"/>
        <v>116.18771015512975</v>
      </c>
      <c r="AC23" s="4">
        <f t="shared" si="20"/>
        <v>117.63764534451461</v>
      </c>
    </row>
    <row r="24" spans="2:143" s="2" customFormat="1" x14ac:dyDescent="0.3">
      <c r="B24" s="2" t="s">
        <v>25</v>
      </c>
      <c r="G24" s="9">
        <f t="shared" ref="G24:L24" si="21">G21-G22-G23</f>
        <v>10923</v>
      </c>
      <c r="H24" s="9">
        <f t="shared" si="21"/>
        <v>7673</v>
      </c>
      <c r="I24" s="9">
        <f t="shared" si="21"/>
        <v>5624</v>
      </c>
      <c r="J24" s="9">
        <f t="shared" si="21"/>
        <v>-151</v>
      </c>
      <c r="K24" s="9">
        <f t="shared" si="21"/>
        <v>-2240</v>
      </c>
      <c r="L24" s="9">
        <f t="shared" si="21"/>
        <v>-1715.4684000000009</v>
      </c>
      <c r="N24" s="9">
        <f t="shared" ref="N24:S24" si="22">N21-N22-N23</f>
        <v>4614</v>
      </c>
      <c r="O24" s="9">
        <f t="shared" si="22"/>
        <v>14336</v>
      </c>
      <c r="P24" s="9">
        <f t="shared" si="22"/>
        <v>16799</v>
      </c>
      <c r="Q24" s="9">
        <f t="shared" si="22"/>
        <v>18596</v>
      </c>
      <c r="R24" s="9">
        <f t="shared" si="22"/>
        <v>5473</v>
      </c>
      <c r="S24" s="9">
        <f t="shared" si="22"/>
        <v>-3955.4684000000334</v>
      </c>
      <c r="T24" s="9">
        <f t="shared" ref="T24:AC24" si="23">T21-T22-T23</f>
        <v>-980.07988364999983</v>
      </c>
      <c r="U24" s="9">
        <f t="shared" si="23"/>
        <v>1842.0949888019975</v>
      </c>
      <c r="V24" s="9">
        <f t="shared" si="23"/>
        <v>5262.873720354808</v>
      </c>
      <c r="W24" s="9">
        <f t="shared" si="23"/>
        <v>7616.4793805840918</v>
      </c>
      <c r="X24" s="9">
        <f t="shared" si="23"/>
        <v>8879.4952255345215</v>
      </c>
      <c r="Y24" s="9">
        <f t="shared" si="23"/>
        <v>9025.2547898858647</v>
      </c>
      <c r="Z24" s="9">
        <f t="shared" si="23"/>
        <v>9161.0790274615229</v>
      </c>
      <c r="AA24" s="9">
        <f t="shared" si="23"/>
        <v>9289.147169477581</v>
      </c>
      <c r="AB24" s="9">
        <f t="shared" si="23"/>
        <v>9411.2045225655111</v>
      </c>
      <c r="AC24" s="9">
        <f t="shared" si="23"/>
        <v>9528.6492729056827</v>
      </c>
      <c r="AD24" s="2">
        <f>AC24*(1+$AF$37)</f>
        <v>9433.3627801766252</v>
      </c>
      <c r="AE24" s="2">
        <f t="shared" ref="AE24:CP24" si="24">AD24*(1+$AF$37)</f>
        <v>9339.0291523748583</v>
      </c>
      <c r="AF24" s="2">
        <f t="shared" si="24"/>
        <v>9245.6388608511097</v>
      </c>
      <c r="AG24" s="2">
        <f t="shared" si="24"/>
        <v>9153.182472242599</v>
      </c>
      <c r="AH24" s="2">
        <f t="shared" si="24"/>
        <v>9061.6506475201732</v>
      </c>
      <c r="AI24" s="2">
        <f t="shared" si="24"/>
        <v>8971.034141044971</v>
      </c>
      <c r="AJ24" s="2">
        <f t="shared" si="24"/>
        <v>8881.3237996345215</v>
      </c>
      <c r="AK24" s="2">
        <f t="shared" si="24"/>
        <v>8792.510561638177</v>
      </c>
      <c r="AL24" s="2">
        <f t="shared" si="24"/>
        <v>8704.5854560217958</v>
      </c>
      <c r="AM24" s="2">
        <f t="shared" si="24"/>
        <v>8617.5396014615781</v>
      </c>
      <c r="AN24" s="2">
        <f t="shared" si="24"/>
        <v>8531.3642054469619</v>
      </c>
      <c r="AO24" s="2">
        <f t="shared" si="24"/>
        <v>8446.0505633924931</v>
      </c>
      <c r="AP24" s="2">
        <f t="shared" si="24"/>
        <v>8361.5900577585689</v>
      </c>
      <c r="AQ24" s="2">
        <f t="shared" si="24"/>
        <v>8277.9741571809827</v>
      </c>
      <c r="AR24" s="2">
        <f t="shared" si="24"/>
        <v>8195.1944156091722</v>
      </c>
      <c r="AS24" s="2">
        <f t="shared" si="24"/>
        <v>8113.2424714530807</v>
      </c>
      <c r="AT24" s="2">
        <f t="shared" si="24"/>
        <v>8032.1100467385495</v>
      </c>
      <c r="AU24" s="2">
        <f t="shared" si="24"/>
        <v>7951.7889462711637</v>
      </c>
      <c r="AV24" s="2">
        <f t="shared" si="24"/>
        <v>7872.2710568084522</v>
      </c>
      <c r="AW24" s="2">
        <f t="shared" si="24"/>
        <v>7793.5483462403672</v>
      </c>
      <c r="AX24" s="2">
        <f t="shared" si="24"/>
        <v>7715.6128627779635</v>
      </c>
      <c r="AY24" s="2">
        <f t="shared" si="24"/>
        <v>7638.4567341501843</v>
      </c>
      <c r="AZ24" s="2">
        <f t="shared" si="24"/>
        <v>7562.0721668086826</v>
      </c>
      <c r="BA24" s="2">
        <f t="shared" si="24"/>
        <v>7486.4514451405958</v>
      </c>
      <c r="BB24" s="2">
        <f t="shared" si="24"/>
        <v>7411.58693068919</v>
      </c>
      <c r="BC24" s="2">
        <f t="shared" si="24"/>
        <v>7337.4710613822981</v>
      </c>
      <c r="BD24" s="2">
        <f t="shared" si="24"/>
        <v>7264.0963507684746</v>
      </c>
      <c r="BE24" s="2">
        <f t="shared" si="24"/>
        <v>7191.4553872607894</v>
      </c>
      <c r="BF24" s="2">
        <f t="shared" si="24"/>
        <v>7119.5408333881815</v>
      </c>
      <c r="BG24" s="2">
        <f t="shared" si="24"/>
        <v>7048.3454250543</v>
      </c>
      <c r="BH24" s="2">
        <f t="shared" si="24"/>
        <v>6977.8619708037568</v>
      </c>
      <c r="BI24" s="2">
        <f t="shared" si="24"/>
        <v>6908.0833510957191</v>
      </c>
      <c r="BJ24" s="2">
        <f t="shared" si="24"/>
        <v>6839.0025175847622</v>
      </c>
      <c r="BK24" s="2">
        <f t="shared" si="24"/>
        <v>6770.6124924089145</v>
      </c>
      <c r="BL24" s="2">
        <f t="shared" si="24"/>
        <v>6702.9063674848248</v>
      </c>
      <c r="BM24" s="2">
        <f t="shared" si="24"/>
        <v>6635.8773038099762</v>
      </c>
      <c r="BN24" s="2">
        <f t="shared" si="24"/>
        <v>6569.5185307718766</v>
      </c>
      <c r="BO24" s="2">
        <f t="shared" si="24"/>
        <v>6503.8233454641577</v>
      </c>
      <c r="BP24" s="2">
        <f t="shared" si="24"/>
        <v>6438.7851120095156</v>
      </c>
      <c r="BQ24" s="2">
        <f t="shared" si="24"/>
        <v>6374.3972608894201</v>
      </c>
      <c r="BR24" s="2">
        <f t="shared" si="24"/>
        <v>6310.6532882805259</v>
      </c>
      <c r="BS24" s="2">
        <f t="shared" si="24"/>
        <v>6247.5467553977205</v>
      </c>
      <c r="BT24" s="2">
        <f t="shared" si="24"/>
        <v>6185.0712878437434</v>
      </c>
      <c r="BU24" s="2">
        <f t="shared" si="24"/>
        <v>6123.2205749653058</v>
      </c>
      <c r="BV24" s="2">
        <f t="shared" si="24"/>
        <v>6061.9883692156527</v>
      </c>
      <c r="BW24" s="2">
        <f t="shared" si="24"/>
        <v>6001.368485523496</v>
      </c>
      <c r="BX24" s="2">
        <f t="shared" si="24"/>
        <v>5941.3548006682613</v>
      </c>
      <c r="BY24" s="2">
        <f t="shared" si="24"/>
        <v>5881.9412526615788</v>
      </c>
      <c r="BZ24" s="2">
        <f t="shared" si="24"/>
        <v>5823.1218401349633</v>
      </c>
      <c r="CA24" s="2">
        <f t="shared" si="24"/>
        <v>5764.8906217336134</v>
      </c>
      <c r="CB24" s="2">
        <f t="shared" si="24"/>
        <v>5707.2417155162775</v>
      </c>
      <c r="CC24" s="2">
        <f t="shared" si="24"/>
        <v>5650.1692983611147</v>
      </c>
      <c r="CD24" s="2">
        <f t="shared" si="24"/>
        <v>5593.6676053775036</v>
      </c>
      <c r="CE24" s="2">
        <f t="shared" si="24"/>
        <v>5537.7309293237286</v>
      </c>
      <c r="CF24" s="2">
        <f t="shared" si="24"/>
        <v>5482.3536200304916</v>
      </c>
      <c r="CG24" s="2">
        <f t="shared" si="24"/>
        <v>5427.5300838301864</v>
      </c>
      <c r="CH24" s="2">
        <f t="shared" si="24"/>
        <v>5373.2547829918849</v>
      </c>
      <c r="CI24" s="2">
        <f t="shared" si="24"/>
        <v>5319.5222351619659</v>
      </c>
      <c r="CJ24" s="2">
        <f t="shared" si="24"/>
        <v>5266.3270128103459</v>
      </c>
      <c r="CK24" s="2">
        <f t="shared" si="24"/>
        <v>5213.6637426822426</v>
      </c>
      <c r="CL24" s="2">
        <f t="shared" si="24"/>
        <v>5161.5271052554199</v>
      </c>
      <c r="CM24" s="2">
        <f t="shared" si="24"/>
        <v>5109.911834202866</v>
      </c>
      <c r="CN24" s="2">
        <f t="shared" si="24"/>
        <v>5058.8127158608377</v>
      </c>
      <c r="CO24" s="2">
        <f t="shared" si="24"/>
        <v>5008.2245887022291</v>
      </c>
      <c r="CP24" s="2">
        <f t="shared" si="24"/>
        <v>4958.1423428152066</v>
      </c>
      <c r="CQ24" s="2">
        <f t="shared" ref="CQ24:EM24" si="25">CP24*(1+$AF$37)</f>
        <v>4908.5609193870541</v>
      </c>
      <c r="CR24" s="2">
        <f t="shared" si="25"/>
        <v>4859.4753101931838</v>
      </c>
      <c r="CS24" s="2">
        <f t="shared" si="25"/>
        <v>4810.8805570912518</v>
      </c>
      <c r="CT24" s="2">
        <f t="shared" si="25"/>
        <v>4762.7717515203394</v>
      </c>
      <c r="CU24" s="2">
        <f t="shared" si="25"/>
        <v>4715.1440340051358</v>
      </c>
      <c r="CV24" s="2">
        <f t="shared" si="25"/>
        <v>4667.9925936650843</v>
      </c>
      <c r="CW24" s="2">
        <f t="shared" si="25"/>
        <v>4621.3126677284336</v>
      </c>
      <c r="CX24" s="2">
        <f t="shared" si="25"/>
        <v>4575.0995410511496</v>
      </c>
      <c r="CY24" s="2">
        <f t="shared" si="25"/>
        <v>4529.3485456406379</v>
      </c>
      <c r="CZ24" s="2">
        <f t="shared" si="25"/>
        <v>4484.0550601842315</v>
      </c>
      <c r="DA24" s="2">
        <f t="shared" si="25"/>
        <v>4439.2145095823889</v>
      </c>
      <c r="DB24" s="2">
        <f t="shared" si="25"/>
        <v>4394.8223644865648</v>
      </c>
      <c r="DC24" s="2">
        <f t="shared" si="25"/>
        <v>4350.874140841699</v>
      </c>
      <c r="DD24" s="2">
        <f t="shared" si="25"/>
        <v>4307.3653994332817</v>
      </c>
      <c r="DE24" s="2">
        <f t="shared" si="25"/>
        <v>4264.291745438949</v>
      </c>
      <c r="DF24" s="2">
        <f t="shared" si="25"/>
        <v>4221.6488279845598</v>
      </c>
      <c r="DG24" s="2">
        <f t="shared" si="25"/>
        <v>4179.4323397047137</v>
      </c>
      <c r="DH24" s="2">
        <f t="shared" si="25"/>
        <v>4137.6380163076665</v>
      </c>
      <c r="DI24" s="2">
        <f t="shared" si="25"/>
        <v>4096.2616361445898</v>
      </c>
      <c r="DJ24" s="2">
        <f t="shared" si="25"/>
        <v>4055.2990197831441</v>
      </c>
      <c r="DK24" s="2">
        <f t="shared" si="25"/>
        <v>4014.7460295853125</v>
      </c>
      <c r="DL24" s="2">
        <f t="shared" si="25"/>
        <v>3974.5985692894592</v>
      </c>
      <c r="DM24" s="2">
        <f t="shared" si="25"/>
        <v>3934.8525835965647</v>
      </c>
      <c r="DN24" s="2">
        <f t="shared" si="25"/>
        <v>3895.5040577605992</v>
      </c>
      <c r="DO24" s="2">
        <f t="shared" si="25"/>
        <v>3856.5490171829933</v>
      </c>
      <c r="DP24" s="2">
        <f t="shared" si="25"/>
        <v>3817.9835270111635</v>
      </c>
      <c r="DQ24" s="2">
        <f t="shared" si="25"/>
        <v>3779.8036917410518</v>
      </c>
      <c r="DR24" s="2">
        <f t="shared" si="25"/>
        <v>3742.0056548236412</v>
      </c>
      <c r="DS24" s="2">
        <f t="shared" si="25"/>
        <v>3704.5855982754047</v>
      </c>
      <c r="DT24" s="2">
        <f t="shared" si="25"/>
        <v>3667.5397422926508</v>
      </c>
      <c r="DU24" s="2">
        <f t="shared" si="25"/>
        <v>3630.8643448697244</v>
      </c>
      <c r="DV24" s="2">
        <f t="shared" si="25"/>
        <v>3594.5557014210272</v>
      </c>
      <c r="DW24" s="2">
        <f t="shared" si="25"/>
        <v>3558.6101444068167</v>
      </c>
      <c r="DX24" s="2">
        <f t="shared" si="25"/>
        <v>3523.0240429627484</v>
      </c>
      <c r="DY24" s="2">
        <f t="shared" si="25"/>
        <v>3487.7938025331209</v>
      </c>
      <c r="DZ24" s="2">
        <f t="shared" si="25"/>
        <v>3452.9158645077896</v>
      </c>
      <c r="EA24" s="2">
        <f t="shared" si="25"/>
        <v>3418.3867058627116</v>
      </c>
      <c r="EB24" s="2">
        <f t="shared" si="25"/>
        <v>3384.2028388040844</v>
      </c>
      <c r="EC24" s="2">
        <f t="shared" si="25"/>
        <v>3350.3608104160435</v>
      </c>
      <c r="ED24" s="2">
        <f t="shared" si="25"/>
        <v>3316.8572023118832</v>
      </c>
      <c r="EE24" s="2">
        <f t="shared" si="25"/>
        <v>3283.6886302887642</v>
      </c>
      <c r="EF24" s="2">
        <f t="shared" si="25"/>
        <v>3250.8517439858765</v>
      </c>
      <c r="EG24" s="2">
        <f t="shared" si="25"/>
        <v>3218.3432265460178</v>
      </c>
      <c r="EH24" s="2">
        <f t="shared" si="25"/>
        <v>3186.1597942805574</v>
      </c>
      <c r="EI24" s="2">
        <f t="shared" si="25"/>
        <v>3154.298196337752</v>
      </c>
      <c r="EJ24" s="2">
        <f t="shared" si="25"/>
        <v>3122.7552143743742</v>
      </c>
      <c r="EK24" s="2">
        <f t="shared" si="25"/>
        <v>3091.5276622306305</v>
      </c>
      <c r="EL24" s="2">
        <f t="shared" si="25"/>
        <v>3060.6123856083241</v>
      </c>
      <c r="EM24" s="2">
        <f t="shared" si="25"/>
        <v>3030.0062617522408</v>
      </c>
    </row>
    <row r="25" spans="2:143" x14ac:dyDescent="0.3">
      <c r="B25" s="1" t="s">
        <v>2</v>
      </c>
      <c r="G25" s="4">
        <f>2896.1+866.5</f>
        <v>3762.6</v>
      </c>
      <c r="H25" s="4">
        <f>2896.1+866.5</f>
        <v>3762.6</v>
      </c>
      <c r="I25" s="4">
        <f>2896.1+866.5</f>
        <v>3762.6</v>
      </c>
      <c r="J25" s="4">
        <f>2896.1+866.5</f>
        <v>3762.6</v>
      </c>
      <c r="K25" s="4">
        <f>2882.6</f>
        <v>2882.6</v>
      </c>
      <c r="L25" s="4">
        <f>2882.6</f>
        <v>2882.6</v>
      </c>
      <c r="N25" s="4">
        <f t="shared" ref="N25:R25" si="26">2896.1+866.5</f>
        <v>3762.6</v>
      </c>
      <c r="O25" s="4">
        <f t="shared" si="26"/>
        <v>3762.6</v>
      </c>
      <c r="P25" s="4">
        <f t="shared" si="26"/>
        <v>3762.6</v>
      </c>
      <c r="Q25" s="4">
        <f t="shared" si="26"/>
        <v>3762.6</v>
      </c>
      <c r="R25" s="4">
        <f t="shared" si="26"/>
        <v>3762.6</v>
      </c>
      <c r="S25" s="4">
        <f t="shared" ref="S25:AC25" si="27">2882.6</f>
        <v>2882.6</v>
      </c>
      <c r="T25" s="4">
        <f t="shared" si="27"/>
        <v>2882.6</v>
      </c>
      <c r="U25" s="4">
        <f t="shared" si="27"/>
        <v>2882.6</v>
      </c>
      <c r="V25" s="4">
        <f t="shared" si="27"/>
        <v>2882.6</v>
      </c>
      <c r="W25" s="4">
        <f t="shared" si="27"/>
        <v>2882.6</v>
      </c>
      <c r="X25" s="4">
        <f t="shared" si="27"/>
        <v>2882.6</v>
      </c>
      <c r="Y25" s="4">
        <f t="shared" si="27"/>
        <v>2882.6</v>
      </c>
      <c r="Z25" s="4">
        <f t="shared" si="27"/>
        <v>2882.6</v>
      </c>
      <c r="AA25" s="4">
        <f t="shared" si="27"/>
        <v>2882.6</v>
      </c>
      <c r="AB25" s="4">
        <f t="shared" si="27"/>
        <v>2882.6</v>
      </c>
      <c r="AC25" s="4">
        <f t="shared" si="27"/>
        <v>2882.6</v>
      </c>
    </row>
    <row r="26" spans="2:143" x14ac:dyDescent="0.3">
      <c r="B26" s="1" t="s">
        <v>26</v>
      </c>
      <c r="G26" s="8">
        <f t="shared" ref="G26:L26" si="28">G24/G25</f>
        <v>2.9030457662254823</v>
      </c>
      <c r="H26" s="8">
        <f t="shared" si="28"/>
        <v>2.0392813480040397</v>
      </c>
      <c r="I26" s="8">
        <f t="shared" si="28"/>
        <v>1.4947111040238135</v>
      </c>
      <c r="J26" s="8">
        <f t="shared" si="28"/>
        <v>-4.0131823738903949E-2</v>
      </c>
      <c r="K26" s="8">
        <f t="shared" si="28"/>
        <v>-0.77707625060709085</v>
      </c>
      <c r="L26" s="8">
        <f t="shared" si="28"/>
        <v>-0.59511149656560081</v>
      </c>
      <c r="N26" s="8">
        <f t="shared" ref="N26:S26" si="29">N24/N25</f>
        <v>1.2262797002073036</v>
      </c>
      <c r="O26" s="8">
        <f t="shared" si="29"/>
        <v>3.8101312921915698</v>
      </c>
      <c r="P26" s="8">
        <f t="shared" si="29"/>
        <v>4.464731834369851</v>
      </c>
      <c r="Q26" s="8">
        <f t="shared" si="29"/>
        <v>4.9423271142295224</v>
      </c>
      <c r="R26" s="8">
        <f t="shared" si="29"/>
        <v>1.4545792802849093</v>
      </c>
      <c r="S26" s="8">
        <f t="shared" si="29"/>
        <v>-1.3721877471727029</v>
      </c>
      <c r="T26" s="8">
        <f t="shared" ref="T26:AC26" si="30">T24/T25</f>
        <v>-0.33999857200097128</v>
      </c>
      <c r="U26" s="8">
        <f t="shared" si="30"/>
        <v>0.63903940498230682</v>
      </c>
      <c r="V26" s="8">
        <f t="shared" si="30"/>
        <v>1.825738472335672</v>
      </c>
      <c r="W26" s="8">
        <f t="shared" si="30"/>
        <v>2.6422255535225463</v>
      </c>
      <c r="X26" s="8">
        <f t="shared" si="30"/>
        <v>3.0803771683669332</v>
      </c>
      <c r="Y26" s="8">
        <f t="shared" si="30"/>
        <v>3.1309424789724085</v>
      </c>
      <c r="Z26" s="8">
        <f t="shared" si="30"/>
        <v>3.1780611348995778</v>
      </c>
      <c r="AA26" s="8">
        <f t="shared" si="30"/>
        <v>3.2224891311585311</v>
      </c>
      <c r="AB26" s="8">
        <f t="shared" si="30"/>
        <v>3.2648319303980822</v>
      </c>
      <c r="AC26" s="8">
        <f t="shared" si="30"/>
        <v>3.3055745760444331</v>
      </c>
    </row>
    <row r="28" spans="2:143" x14ac:dyDescent="0.3">
      <c r="B28" s="1" t="s">
        <v>89</v>
      </c>
    </row>
    <row r="29" spans="2:143" x14ac:dyDescent="0.3">
      <c r="B29" s="1" t="s">
        <v>90</v>
      </c>
      <c r="J29" s="10">
        <f t="shared" ref="J29:J34" si="31">J4/H4-1</f>
        <v>-8.3362311510131848E-2</v>
      </c>
      <c r="K29" s="10">
        <f t="shared" ref="K29:K34" si="32">K4/I4-1</f>
        <v>-2.2949611364245559E-2</v>
      </c>
    </row>
    <row r="30" spans="2:143" x14ac:dyDescent="0.3">
      <c r="B30" s="1" t="s">
        <v>91</v>
      </c>
      <c r="J30" s="10">
        <f t="shared" si="31"/>
        <v>-0.12930740361651316</v>
      </c>
      <c r="K30" s="10">
        <f t="shared" si="32"/>
        <v>-1.33866133866134E-2</v>
      </c>
    </row>
    <row r="31" spans="2:143" x14ac:dyDescent="0.3">
      <c r="B31" s="1" t="s">
        <v>92</v>
      </c>
      <c r="J31" s="10">
        <f t="shared" si="31"/>
        <v>-3.3961822227427385E-3</v>
      </c>
      <c r="K31" s="10">
        <f t="shared" si="32"/>
        <v>4.3808490438084879E-2</v>
      </c>
    </row>
    <row r="32" spans="2:143" x14ac:dyDescent="0.3">
      <c r="B32" s="1" t="s">
        <v>93</v>
      </c>
      <c r="J32" s="10">
        <f t="shared" si="31"/>
        <v>-0.40298507462686572</v>
      </c>
      <c r="K32" s="10">
        <f t="shared" si="32"/>
        <v>-0.14192343604108315</v>
      </c>
    </row>
    <row r="33" spans="2:32" x14ac:dyDescent="0.3">
      <c r="B33" s="1" t="s">
        <v>94</v>
      </c>
      <c r="J33" s="10">
        <f t="shared" si="31"/>
        <v>-0.60292682926829266</v>
      </c>
      <c r="K33" s="10">
        <f t="shared" si="32"/>
        <v>-0.41679873217115693</v>
      </c>
    </row>
    <row r="34" spans="2:32" x14ac:dyDescent="0.3">
      <c r="B34" s="1" t="s">
        <v>95</v>
      </c>
      <c r="J34" s="10">
        <f t="shared" si="31"/>
        <v>0.4172517552657975</v>
      </c>
      <c r="K34" s="10">
        <f t="shared" si="32"/>
        <v>8.8020452885317679E-2</v>
      </c>
    </row>
    <row r="35" spans="2:32" s="2" customFormat="1" x14ac:dyDescent="0.3">
      <c r="B35" s="2" t="s">
        <v>37</v>
      </c>
      <c r="I35" s="12">
        <f t="shared" ref="I35" si="33">I10/G10-1</f>
        <v>-0.1357250325309044</v>
      </c>
      <c r="J35" s="12">
        <f>J10/H10-1</f>
        <v>-0.21184302886724582</v>
      </c>
      <c r="K35" s="12">
        <f t="shared" ref="K35:L35" si="34">K10/I10-1</f>
        <v>-0.12651587329592906</v>
      </c>
      <c r="L35" s="12">
        <f t="shared" si="34"/>
        <v>5.0000000000000044E-2</v>
      </c>
      <c r="N35" s="12"/>
      <c r="O35" s="12">
        <f t="shared" ref="O35" si="35">O10/N10-1</f>
        <v>0.13621696718005416</v>
      </c>
      <c r="P35" s="12">
        <f t="shared" ref="P35" si="36">P10/O10-1</f>
        <v>0.18060202867491904</v>
      </c>
      <c r="Q35" s="12">
        <f t="shared" ref="Q35" si="37">Q10/P10-1</f>
        <v>5.5414495077731774E-2</v>
      </c>
      <c r="R35" s="12">
        <f>R10/Q10-1</f>
        <v>-0.17233993162537453</v>
      </c>
      <c r="S35" s="12">
        <f t="shared" ref="S35:AC35" si="38">S10/R10-1</f>
        <v>-4.5659365876668523E-2</v>
      </c>
      <c r="T35" s="12">
        <f t="shared" si="38"/>
        <v>-3.0000000000000027E-2</v>
      </c>
      <c r="U35" s="12">
        <f t="shared" si="38"/>
        <v>-2.0000000000000129E-2</v>
      </c>
      <c r="V35" s="12">
        <f t="shared" si="38"/>
        <v>1.0000000000000009E-2</v>
      </c>
      <c r="W35" s="12">
        <f t="shared" si="38"/>
        <v>1.0000000000000009E-2</v>
      </c>
      <c r="X35" s="12">
        <f t="shared" si="38"/>
        <v>1.0000000000000009E-2</v>
      </c>
      <c r="Y35" s="12">
        <f t="shared" si="38"/>
        <v>1.0000000000000009E-2</v>
      </c>
      <c r="Z35" s="12">
        <f t="shared" si="38"/>
        <v>1.0000000000000009E-2</v>
      </c>
      <c r="AA35" s="12">
        <f t="shared" si="38"/>
        <v>1.0000000000000009E-2</v>
      </c>
      <c r="AB35" s="12">
        <f t="shared" si="38"/>
        <v>1.0000000000000009E-2</v>
      </c>
      <c r="AC35" s="12">
        <f t="shared" si="38"/>
        <v>1.0000000000000009E-2</v>
      </c>
    </row>
    <row r="36" spans="2:32" x14ac:dyDescent="0.3">
      <c r="B36" s="1" t="s">
        <v>38</v>
      </c>
      <c r="G36" s="10">
        <f t="shared" ref="G36:I36" si="39">G12/G10</f>
        <v>0.21789606376057255</v>
      </c>
      <c r="H36" s="10">
        <f t="shared" si="39"/>
        <v>0.18327191366148987</v>
      </c>
      <c r="I36" s="10">
        <f t="shared" si="39"/>
        <v>0.17877600950398156</v>
      </c>
      <c r="J36" s="10">
        <f>J12/J10</f>
        <v>7.4017895659676314E-2</v>
      </c>
      <c r="K36" s="10">
        <f t="shared" ref="K36:L36" si="40">K12/K10</f>
        <v>8.0715314902842672E-2</v>
      </c>
      <c r="L36" s="10">
        <f t="shared" si="40"/>
        <v>0.09</v>
      </c>
      <c r="N36" s="10">
        <f t="shared" ref="N36:P36" si="41">N12/N10</f>
        <v>0.1620456820184939</v>
      </c>
      <c r="O36" s="10">
        <f t="shared" si="41"/>
        <v>0.1966355287636653</v>
      </c>
      <c r="P36" s="10">
        <f t="shared" si="41"/>
        <v>0.196361753307497</v>
      </c>
      <c r="Q36" s="10">
        <f t="shared" ref="Q36" si="42">Q12/Q10</f>
        <v>0.20124087283163802</v>
      </c>
      <c r="R36" s="10">
        <f>R12/R10</f>
        <v>0.13078953071813765</v>
      </c>
      <c r="S36" s="10">
        <f t="shared" ref="S36:AC36" si="43">S12/S10</f>
        <v>8.5394651372724173E-2</v>
      </c>
      <c r="T36" s="10">
        <f t="shared" si="43"/>
        <v>0.11</v>
      </c>
      <c r="U36" s="10">
        <f t="shared" si="43"/>
        <v>0.14000000000000001</v>
      </c>
      <c r="V36" s="10">
        <f t="shared" si="43"/>
        <v>0.17</v>
      </c>
      <c r="W36" s="10">
        <f t="shared" si="43"/>
        <v>0.19</v>
      </c>
      <c r="X36" s="10">
        <f t="shared" si="43"/>
        <v>0.2</v>
      </c>
      <c r="Y36" s="10">
        <f t="shared" si="43"/>
        <v>0.2</v>
      </c>
      <c r="Z36" s="10">
        <f t="shared" si="43"/>
        <v>0.2</v>
      </c>
      <c r="AA36" s="10">
        <f t="shared" si="43"/>
        <v>0.2</v>
      </c>
      <c r="AB36" s="10">
        <f t="shared" si="43"/>
        <v>0.2</v>
      </c>
      <c r="AC36" s="10">
        <f t="shared" si="43"/>
        <v>0.2</v>
      </c>
    </row>
    <row r="37" spans="2:32" x14ac:dyDescent="0.3">
      <c r="B37" s="1" t="s">
        <v>39</v>
      </c>
      <c r="G37" s="10"/>
      <c r="H37" s="10"/>
      <c r="I37" s="10">
        <f t="shared" ref="I37" si="44">I13/G13-1</f>
        <v>-7.2546230440967308E-2</v>
      </c>
      <c r="J37" s="10">
        <f>J13/H13-1</f>
        <v>2.4891774891774965E-2</v>
      </c>
      <c r="K37" s="10">
        <f t="shared" ref="K37:L37" si="45">K13/I13-1</f>
        <v>-8.5451358457493409E-2</v>
      </c>
      <c r="L37" s="10">
        <f t="shared" si="45"/>
        <v>-9.9999999999999978E-2</v>
      </c>
      <c r="N37" s="10"/>
      <c r="O37" s="10">
        <f>O13/N13-1</f>
        <v>-8.1941045014366498E-3</v>
      </c>
      <c r="P37" s="10">
        <f>P13/O13-1</f>
        <v>-3.6373390557939866E-2</v>
      </c>
      <c r="Q37" s="10">
        <f t="shared" ref="Q37" si="46">Q13/P13-1</f>
        <v>6.235385814497274E-2</v>
      </c>
      <c r="R37" s="10">
        <f>R13/Q13-1</f>
        <v>-2.5364217587255045E-2</v>
      </c>
      <c r="S37" s="10">
        <f t="shared" ref="S37:AC37" si="47">S13/R13-1</f>
        <v>-9.2859447252392702E-2</v>
      </c>
      <c r="T37" s="10">
        <f t="shared" si="47"/>
        <v>2.0000000000000018E-2</v>
      </c>
      <c r="U37" s="10">
        <f t="shared" si="47"/>
        <v>1.0000000000000009E-2</v>
      </c>
      <c r="V37" s="10">
        <f t="shared" si="47"/>
        <v>1.0000000000000009E-2</v>
      </c>
      <c r="W37" s="10">
        <f t="shared" si="47"/>
        <v>1.0000000000000009E-2</v>
      </c>
      <c r="X37" s="10">
        <f t="shared" si="47"/>
        <v>1.0000000000000009E-2</v>
      </c>
      <c r="Y37" s="10">
        <f t="shared" si="47"/>
        <v>1.0000000000000009E-2</v>
      </c>
      <c r="Z37" s="10">
        <f t="shared" si="47"/>
        <v>1.0000000000000009E-2</v>
      </c>
      <c r="AA37" s="10">
        <f t="shared" si="47"/>
        <v>1.0000000000000009E-2</v>
      </c>
      <c r="AB37" s="10">
        <f t="shared" si="47"/>
        <v>1.0000000000000009E-2</v>
      </c>
      <c r="AC37" s="10">
        <f t="shared" si="47"/>
        <v>1.0000000000000009E-2</v>
      </c>
      <c r="AE37" s="1" t="s">
        <v>43</v>
      </c>
      <c r="AF37" s="10">
        <v>-0.01</v>
      </c>
    </row>
    <row r="38" spans="2:32" x14ac:dyDescent="0.3">
      <c r="B38" s="1" t="s">
        <v>40</v>
      </c>
      <c r="G38" s="10"/>
      <c r="H38" s="10"/>
      <c r="I38" s="10">
        <f t="shared" ref="I38" si="48">I14/G14-1</f>
        <v>3.0712979890310743E-2</v>
      </c>
      <c r="J38" s="10">
        <f>J14/H14-1</f>
        <v>2.8085991678224786E-2</v>
      </c>
      <c r="K38" s="10">
        <f t="shared" ref="K38:L38" si="49">K14/I14-1</f>
        <v>0.19581411848173103</v>
      </c>
      <c r="L38" s="10">
        <f t="shared" si="49"/>
        <v>0.17999999999999994</v>
      </c>
      <c r="N38" s="10"/>
      <c r="O38" s="10">
        <f>O14/N14-1</f>
        <v>1.9775873434411118E-3</v>
      </c>
      <c r="P38" s="10">
        <f>P14/O14-1</f>
        <v>0.14035087719298245</v>
      </c>
      <c r="Q38" s="10">
        <f t="shared" ref="Q38" si="50">Q14/P14-1</f>
        <v>8.0576923076923102E-2</v>
      </c>
      <c r="R38" s="10">
        <f>R14/Q14-1</f>
        <v>2.9364655632674763E-2</v>
      </c>
      <c r="S38" s="10">
        <f t="shared" ref="S38:AC38" si="51">S14/R14-1</f>
        <v>0.18770746887966805</v>
      </c>
      <c r="T38" s="10">
        <f t="shared" si="51"/>
        <v>0.12999999999999989</v>
      </c>
      <c r="U38" s="10">
        <f t="shared" si="51"/>
        <v>6.999999999999984E-2</v>
      </c>
      <c r="V38" s="10">
        <f t="shared" si="51"/>
        <v>4.0000000000000036E-2</v>
      </c>
      <c r="W38" s="10">
        <f t="shared" si="51"/>
        <v>3.0000000000000027E-2</v>
      </c>
      <c r="X38" s="10">
        <f t="shared" si="51"/>
        <v>2.0000000000000018E-2</v>
      </c>
      <c r="Y38" s="10">
        <f t="shared" si="51"/>
        <v>1.0000000000000009E-2</v>
      </c>
      <c r="Z38" s="10">
        <f t="shared" si="51"/>
        <v>1.0000000000000009E-2</v>
      </c>
      <c r="AA38" s="10">
        <f t="shared" si="51"/>
        <v>1.0000000000000009E-2</v>
      </c>
      <c r="AB38" s="10">
        <f t="shared" si="51"/>
        <v>1.0000000000000009E-2</v>
      </c>
      <c r="AC38" s="10">
        <f t="shared" si="51"/>
        <v>1.0000000000000009E-2</v>
      </c>
      <c r="AE38" s="1" t="s">
        <v>44</v>
      </c>
      <c r="AF38" s="10">
        <v>0.09</v>
      </c>
    </row>
    <row r="39" spans="2:32" x14ac:dyDescent="0.3">
      <c r="B39" s="1" t="s">
        <v>41</v>
      </c>
      <c r="G39" s="10">
        <f t="shared" ref="G39:I39" si="52">G19/G10</f>
        <v>0.13765655497722837</v>
      </c>
      <c r="H39" s="10">
        <f t="shared" si="52"/>
        <v>9.6900500131613582E-2</v>
      </c>
      <c r="I39" s="10">
        <f t="shared" si="52"/>
        <v>7.8090264300081161E-2</v>
      </c>
      <c r="J39" s="10">
        <f>J19/J10</f>
        <v>-4.1079305882189228E-2</v>
      </c>
      <c r="K39" s="10">
        <f t="shared" ref="K39:L39" si="53">K19/K10</f>
        <v>-3.6492910141258536E-2</v>
      </c>
      <c r="L39" s="10">
        <f t="shared" si="53"/>
        <v>-2.609979848662863E-2</v>
      </c>
      <c r="N39" s="10">
        <f t="shared" ref="N39:P39" si="54">N19/N10</f>
        <v>5.554144694581796E-2</v>
      </c>
      <c r="O39" s="10">
        <f t="shared" si="54"/>
        <v>0.10057257804744969</v>
      </c>
      <c r="P39" s="10">
        <f t="shared" si="54"/>
        <v>0.112900351908771</v>
      </c>
      <c r="Q39" s="10">
        <f t="shared" ref="Q39" si="55">Q19/Q10</f>
        <v>0.11805174524121048</v>
      </c>
      <c r="R39" s="10">
        <f>R19/R10</f>
        <v>2.3502339397493594E-2</v>
      </c>
      <c r="S39" s="10">
        <f t="shared" ref="S39:AC39" si="56">S19/S10</f>
        <v>-3.1254943975238522E-2</v>
      </c>
      <c r="T39" s="10">
        <f t="shared" si="56"/>
        <v>-8.331808173724602E-3</v>
      </c>
      <c r="U39" s="10">
        <f t="shared" si="56"/>
        <v>1.597952010842767E-2</v>
      </c>
      <c r="V39" s="10">
        <f t="shared" si="56"/>
        <v>4.5201545815156223E-2</v>
      </c>
      <c r="W39" s="10">
        <f t="shared" si="56"/>
        <v>6.4768409839058919E-2</v>
      </c>
      <c r="X39" s="10">
        <f t="shared" si="56"/>
        <v>7.476113191950623E-2</v>
      </c>
      <c r="Y39" s="10">
        <f t="shared" si="56"/>
        <v>7.5235998231280937E-2</v>
      </c>
      <c r="Z39" s="10">
        <f t="shared" si="56"/>
        <v>7.5612129963379723E-2</v>
      </c>
      <c r="AA39" s="10">
        <f t="shared" si="56"/>
        <v>7.5910056087814426E-2</v>
      </c>
      <c r="AB39" s="10">
        <f t="shared" si="56"/>
        <v>7.6146037176475584E-2</v>
      </c>
      <c r="AC39" s="10">
        <f t="shared" si="56"/>
        <v>7.6332952890266551E-2</v>
      </c>
      <c r="AE39" s="1" t="s">
        <v>45</v>
      </c>
      <c r="AF39" s="4">
        <f>NPV(AF38,S24:EM24)</f>
        <v>68978.297009335045</v>
      </c>
    </row>
    <row r="40" spans="2:32" x14ac:dyDescent="0.3">
      <c r="B40" s="1" t="s">
        <v>23</v>
      </c>
      <c r="G40" s="10">
        <f t="shared" ref="G40:I40" si="57">G22/G21</f>
        <v>0.19779573842762674</v>
      </c>
      <c r="H40" s="10">
        <f t="shared" si="57"/>
        <v>0.125</v>
      </c>
      <c r="I40" s="10">
        <f t="shared" si="57"/>
        <v>0.19201602518242952</v>
      </c>
      <c r="J40" s="10">
        <f>J22/J21</f>
        <v>0.95705106526885353</v>
      </c>
      <c r="K40" s="10">
        <f t="shared" ref="K40:L40" si="58">K22/K21</f>
        <v>0.21393728222996516</v>
      </c>
      <c r="L40" s="10">
        <f t="shared" si="58"/>
        <v>0.2</v>
      </c>
      <c r="N40" s="10">
        <f t="shared" ref="N40:P40" si="59">N22/N21</f>
        <v>0.30810171496156119</v>
      </c>
      <c r="O40" s="10">
        <f t="shared" si="59"/>
        <v>0.13323713323713324</v>
      </c>
      <c r="P40" s="10">
        <f t="shared" si="59"/>
        <v>0.13989132663522658</v>
      </c>
      <c r="Q40" s="10">
        <f t="shared" ref="Q40" si="60">Q22/Q21</f>
        <v>0.16919439735926486</v>
      </c>
      <c r="R40" s="10">
        <f>R22/R21</f>
        <v>-0.36904761904761907</v>
      </c>
      <c r="S40" s="10">
        <f t="shared" ref="S40:AC40" si="61">S22/S21</f>
        <v>0.20801709967188881</v>
      </c>
      <c r="T40" s="10">
        <f t="shared" si="61"/>
        <v>0.18</v>
      </c>
      <c r="U40" s="10">
        <f t="shared" si="61"/>
        <v>0.18</v>
      </c>
      <c r="V40" s="10">
        <f t="shared" si="61"/>
        <v>0.18</v>
      </c>
      <c r="W40" s="10">
        <f t="shared" si="61"/>
        <v>0.18</v>
      </c>
      <c r="X40" s="10">
        <f t="shared" si="61"/>
        <v>0.18</v>
      </c>
      <c r="Y40" s="10">
        <f t="shared" si="61"/>
        <v>0.18</v>
      </c>
      <c r="Z40" s="10">
        <f t="shared" si="61"/>
        <v>0.18</v>
      </c>
      <c r="AA40" s="10">
        <f t="shared" si="61"/>
        <v>0.17999999999999997</v>
      </c>
      <c r="AB40" s="10">
        <f t="shared" si="61"/>
        <v>0.18000000000000002</v>
      </c>
      <c r="AC40" s="10">
        <f t="shared" si="61"/>
        <v>0.18</v>
      </c>
      <c r="AE40" s="1" t="s">
        <v>49</v>
      </c>
      <c r="AF40" s="4">
        <f>Main!D8</f>
        <v>-10139</v>
      </c>
    </row>
    <row r="41" spans="2:32" x14ac:dyDescent="0.3">
      <c r="B41" s="1" t="s">
        <v>42</v>
      </c>
      <c r="G41" s="10">
        <f t="shared" ref="G41:I41" si="62">G24/G10</f>
        <v>0.11104220884840599</v>
      </c>
      <c r="H41" s="10">
        <f t="shared" si="62"/>
        <v>8.4155918224094059E-2</v>
      </c>
      <c r="I41" s="10">
        <f t="shared" si="62"/>
        <v>6.6151475587235498E-2</v>
      </c>
      <c r="J41" s="10">
        <f>J24/J10</f>
        <v>-2.1012788577949096E-3</v>
      </c>
      <c r="K41" s="10">
        <f t="shared" ref="K41:L41" si="63">K24/K10</f>
        <v>-3.0163881445173107E-2</v>
      </c>
      <c r="L41" s="10">
        <f t="shared" si="63"/>
        <v>-2.2735272659320484E-2</v>
      </c>
      <c r="N41" s="10">
        <f t="shared" ref="N41:P41" si="64">N24/N10</f>
        <v>3.4463183997848854E-2</v>
      </c>
      <c r="O41" s="10">
        <f t="shared" si="64"/>
        <v>9.424200790170853E-2</v>
      </c>
      <c r="P41" s="10">
        <f t="shared" si="64"/>
        <v>9.3539801327453334E-2</v>
      </c>
      <c r="Q41" s="10">
        <f t="shared" ref="Q41" si="65">Q24/Q10</f>
        <v>9.8109146161313471E-2</v>
      </c>
      <c r="R41" s="10">
        <f>R24/R10</f>
        <v>3.4886982240977062E-2</v>
      </c>
      <c r="S41" s="10">
        <f t="shared" ref="S41:AC41" si="66">S24/S10</f>
        <v>-2.6419978485797076E-2</v>
      </c>
      <c r="T41" s="10">
        <f t="shared" si="66"/>
        <v>-6.7487646207169275E-3</v>
      </c>
      <c r="U41" s="10">
        <f t="shared" si="66"/>
        <v>1.2943411287826414E-2</v>
      </c>
      <c r="V41" s="10">
        <f t="shared" si="66"/>
        <v>3.6613252110276537E-2</v>
      </c>
      <c r="W41" s="10">
        <f t="shared" si="66"/>
        <v>5.2462411969637725E-2</v>
      </c>
      <c r="X41" s="10">
        <f t="shared" si="66"/>
        <v>6.0556516854800041E-2</v>
      </c>
      <c r="Y41" s="10">
        <f t="shared" si="66"/>
        <v>6.0941158567337561E-2</v>
      </c>
      <c r="Z41" s="10">
        <f t="shared" si="66"/>
        <v>6.1245825270337576E-2</v>
      </c>
      <c r="AA41" s="10">
        <f t="shared" si="66"/>
        <v>6.1487145431129688E-2</v>
      </c>
      <c r="AB41" s="10">
        <f t="shared" si="66"/>
        <v>6.1678290112945233E-2</v>
      </c>
      <c r="AC41" s="10">
        <f t="shared" si="66"/>
        <v>6.1829691841115905E-2</v>
      </c>
      <c r="AE41" s="1" t="s">
        <v>46</v>
      </c>
      <c r="AF41" s="4">
        <f>AF39+AF40</f>
        <v>58839.297009335045</v>
      </c>
    </row>
    <row r="42" spans="2:32" x14ac:dyDescent="0.3">
      <c r="AE42" s="1" t="s">
        <v>47</v>
      </c>
      <c r="AF42" s="11">
        <f>AF41/AC25</f>
        <v>20.411884066237093</v>
      </c>
    </row>
    <row r="43" spans="2:32" x14ac:dyDescent="0.3">
      <c r="AE43" s="1" t="s">
        <v>48</v>
      </c>
      <c r="AF43" s="11">
        <f>Main!D3</f>
        <v>9.4710000000000001</v>
      </c>
    </row>
    <row r="44" spans="2:32" s="2" customFormat="1" x14ac:dyDescent="0.3">
      <c r="B44" s="2" t="s">
        <v>25</v>
      </c>
      <c r="G44" s="9">
        <f t="shared" ref="G44:I44" si="67">G24</f>
        <v>10923</v>
      </c>
      <c r="H44" s="9">
        <f t="shared" si="67"/>
        <v>7673</v>
      </c>
      <c r="I44" s="9">
        <f t="shared" si="67"/>
        <v>5624</v>
      </c>
      <c r="J44" s="9">
        <f>J24</f>
        <v>-151</v>
      </c>
      <c r="K44" s="9">
        <f t="shared" ref="K44:L44" si="68">K24</f>
        <v>-2240</v>
      </c>
      <c r="L44" s="9">
        <f t="shared" si="68"/>
        <v>-1715.4684000000009</v>
      </c>
      <c r="N44" s="9">
        <f t="shared" ref="N44:AC44" si="69">N24</f>
        <v>4614</v>
      </c>
      <c r="O44" s="9">
        <f t="shared" si="69"/>
        <v>14336</v>
      </c>
      <c r="P44" s="9">
        <f t="shared" si="69"/>
        <v>16799</v>
      </c>
      <c r="Q44" s="9">
        <f t="shared" si="69"/>
        <v>18596</v>
      </c>
      <c r="R44" s="9">
        <f t="shared" si="69"/>
        <v>5473</v>
      </c>
      <c r="S44" s="9">
        <f t="shared" si="69"/>
        <v>-3955.4684000000334</v>
      </c>
      <c r="T44" s="9">
        <f t="shared" si="69"/>
        <v>-980.07988364999983</v>
      </c>
      <c r="U44" s="9">
        <f t="shared" si="69"/>
        <v>1842.0949888019975</v>
      </c>
      <c r="V44" s="9">
        <f t="shared" si="69"/>
        <v>5262.873720354808</v>
      </c>
      <c r="W44" s="9">
        <f t="shared" si="69"/>
        <v>7616.4793805840918</v>
      </c>
      <c r="X44" s="9">
        <f t="shared" si="69"/>
        <v>8879.4952255345215</v>
      </c>
      <c r="Y44" s="9">
        <f t="shared" si="69"/>
        <v>9025.2547898858647</v>
      </c>
      <c r="Z44" s="9">
        <f t="shared" si="69"/>
        <v>9161.0790274615229</v>
      </c>
      <c r="AA44" s="9">
        <f t="shared" si="69"/>
        <v>9289.147169477581</v>
      </c>
      <c r="AB44" s="9">
        <f t="shared" si="69"/>
        <v>9411.2045225655111</v>
      </c>
      <c r="AC44" s="9">
        <f t="shared" si="69"/>
        <v>9528.6492729056827</v>
      </c>
      <c r="AE44" s="2" t="s">
        <v>50</v>
      </c>
      <c r="AF44" s="12">
        <f>AF42/AF43-1</f>
        <v>1.1551984020945087</v>
      </c>
    </row>
    <row r="45" spans="2:32" x14ac:dyDescent="0.3">
      <c r="B45" s="1" t="s">
        <v>53</v>
      </c>
      <c r="I45" s="4">
        <v>3598</v>
      </c>
      <c r="J45" s="4">
        <f>R45-I45</f>
        <v>3628</v>
      </c>
      <c r="K45" s="4">
        <v>3582</v>
      </c>
      <c r="L45" s="4">
        <f>K45*1.05</f>
        <v>3761.1000000000004</v>
      </c>
      <c r="P45" s="4">
        <v>6797</v>
      </c>
      <c r="Q45" s="4">
        <v>7549</v>
      </c>
      <c r="R45" s="4">
        <v>7226</v>
      </c>
      <c r="S45" s="1">
        <f>R45*1.001</f>
        <v>7233.2259999999997</v>
      </c>
      <c r="T45" s="1">
        <f t="shared" ref="T45:AC45" si="70">S45*1.001</f>
        <v>7240.459225999999</v>
      </c>
      <c r="U45" s="1">
        <f t="shared" si="70"/>
        <v>7247.6996852259981</v>
      </c>
      <c r="V45" s="1">
        <f t="shared" si="70"/>
        <v>7254.9473849112237</v>
      </c>
      <c r="W45" s="1">
        <f t="shared" si="70"/>
        <v>7262.202332296134</v>
      </c>
      <c r="X45" s="1">
        <f t="shared" si="70"/>
        <v>7269.4645346284296</v>
      </c>
      <c r="Y45" s="1">
        <f t="shared" si="70"/>
        <v>7276.733999163057</v>
      </c>
      <c r="Z45" s="1">
        <f t="shared" si="70"/>
        <v>7284.0107331622194</v>
      </c>
      <c r="AA45" s="1">
        <f t="shared" si="70"/>
        <v>7291.2947438953806</v>
      </c>
      <c r="AB45" s="1">
        <f t="shared" si="70"/>
        <v>7298.5860386392751</v>
      </c>
      <c r="AC45" s="1">
        <f t="shared" si="70"/>
        <v>7305.884624677914</v>
      </c>
      <c r="AE45" s="1" t="s">
        <v>51</v>
      </c>
      <c r="AF45" s="7" t="s">
        <v>52</v>
      </c>
    </row>
    <row r="46" spans="2:32" x14ac:dyDescent="0.3">
      <c r="B46" s="1" t="s">
        <v>54</v>
      </c>
      <c r="I46" s="4">
        <v>9</v>
      </c>
      <c r="J46" s="4">
        <f t="shared" ref="J46:J52" si="71">R46-I46</f>
        <v>-41</v>
      </c>
      <c r="K46" s="4">
        <v>154</v>
      </c>
      <c r="L46" s="4"/>
      <c r="P46" s="4">
        <v>-192</v>
      </c>
      <c r="Q46" s="4">
        <v>-195</v>
      </c>
      <c r="R46" s="4">
        <v>-32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</row>
    <row r="47" spans="2:32" x14ac:dyDescent="0.3">
      <c r="B47" s="1" t="s">
        <v>55</v>
      </c>
      <c r="I47" s="4">
        <v>-1993</v>
      </c>
      <c r="J47" s="4">
        <f t="shared" si="71"/>
        <v>-928</v>
      </c>
      <c r="K47" s="4">
        <v>80</v>
      </c>
      <c r="L47" s="4"/>
      <c r="P47" s="4">
        <v>-711</v>
      </c>
      <c r="Q47" s="4">
        <v>701</v>
      </c>
      <c r="R47" s="4">
        <v>-2921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</row>
    <row r="48" spans="2:32" x14ac:dyDescent="0.3">
      <c r="B48" s="1" t="s">
        <v>56</v>
      </c>
      <c r="I48" s="4">
        <v>654</v>
      </c>
      <c r="J48" s="4">
        <f t="shared" si="71"/>
        <v>1273</v>
      </c>
      <c r="K48" s="4">
        <v>2155</v>
      </c>
      <c r="L48" s="4"/>
      <c r="P48" s="4">
        <v>391</v>
      </c>
      <c r="Q48" s="4">
        <v>720</v>
      </c>
      <c r="R48" s="4">
        <v>1927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</row>
    <row r="49" spans="2:140" x14ac:dyDescent="0.3">
      <c r="B49" s="1" t="s">
        <v>57</v>
      </c>
      <c r="I49" s="4">
        <v>97</v>
      </c>
      <c r="J49" s="4">
        <f t="shared" si="71"/>
        <v>1682</v>
      </c>
      <c r="K49" s="4">
        <v>-833</v>
      </c>
      <c r="L49" s="4"/>
      <c r="P49" s="4">
        <v>1906</v>
      </c>
      <c r="Q49" s="4">
        <v>2460</v>
      </c>
      <c r="R49" s="4">
        <v>1779</v>
      </c>
      <c r="S49" s="1">
        <v>0</v>
      </c>
      <c r="T49" s="1">
        <v>1000</v>
      </c>
      <c r="U49" s="1">
        <v>2000</v>
      </c>
      <c r="V49" s="1">
        <v>2000</v>
      </c>
      <c r="W49" s="1">
        <v>2000</v>
      </c>
      <c r="X49" s="1">
        <v>2000</v>
      </c>
      <c r="Y49" s="1">
        <v>2000</v>
      </c>
      <c r="Z49" s="1">
        <v>2000</v>
      </c>
      <c r="AA49" s="1">
        <v>2000</v>
      </c>
      <c r="AB49" s="1">
        <v>2000</v>
      </c>
      <c r="AC49" s="1">
        <v>2000</v>
      </c>
    </row>
    <row r="50" spans="2:140" x14ac:dyDescent="0.3">
      <c r="B50" s="1" t="s">
        <v>58</v>
      </c>
      <c r="I50" s="4">
        <f>-72-1739</f>
        <v>-1811</v>
      </c>
      <c r="J50" s="4">
        <f t="shared" si="71"/>
        <v>2192</v>
      </c>
      <c r="K50" s="4">
        <f>433-1738</f>
        <v>-1305</v>
      </c>
      <c r="L50" s="4"/>
      <c r="P50" s="4">
        <v>-47</v>
      </c>
      <c r="Q50" s="4">
        <v>-156</v>
      </c>
      <c r="R50" s="4">
        <v>381</v>
      </c>
      <c r="S50" s="1">
        <v>-2000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</row>
    <row r="51" spans="2:140" x14ac:dyDescent="0.3">
      <c r="B51" s="1" t="s">
        <v>59</v>
      </c>
      <c r="I51" s="4">
        <v>-1717</v>
      </c>
      <c r="J51" s="4">
        <f t="shared" si="71"/>
        <v>-2168</v>
      </c>
      <c r="K51" s="4">
        <v>-2824</v>
      </c>
      <c r="L51" s="4"/>
      <c r="P51" s="4">
        <v>-483</v>
      </c>
      <c r="Q51" s="4">
        <v>-1747</v>
      </c>
      <c r="R51" s="4">
        <v>-3885</v>
      </c>
      <c r="S51" s="1">
        <v>-4000</v>
      </c>
      <c r="T51" s="1">
        <v>-2000</v>
      </c>
      <c r="U51" s="1">
        <v>-2000</v>
      </c>
      <c r="V51" s="1">
        <v>-2000</v>
      </c>
      <c r="W51" s="1">
        <v>-2000</v>
      </c>
      <c r="X51" s="1">
        <v>-2000</v>
      </c>
      <c r="Y51" s="1">
        <v>-2000</v>
      </c>
      <c r="Z51" s="1">
        <v>-2000</v>
      </c>
      <c r="AA51" s="1">
        <v>-2000</v>
      </c>
      <c r="AB51" s="1">
        <v>-2000</v>
      </c>
      <c r="AC51" s="1">
        <v>-2000</v>
      </c>
    </row>
    <row r="52" spans="2:140" x14ac:dyDescent="0.3">
      <c r="B52" s="1" t="s">
        <v>60</v>
      </c>
      <c r="I52" s="4">
        <v>-2152</v>
      </c>
      <c r="J52" s="4">
        <f t="shared" si="71"/>
        <v>-3835</v>
      </c>
      <c r="K52" s="4">
        <v>-653</v>
      </c>
      <c r="L52" s="4"/>
      <c r="P52" s="4">
        <v>-4481</v>
      </c>
      <c r="Q52" s="4">
        <v>-5472</v>
      </c>
      <c r="R52" s="4">
        <v>-5987</v>
      </c>
      <c r="S52" s="1">
        <v>-1300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</row>
    <row r="53" spans="2:140" s="2" customFormat="1" x14ac:dyDescent="0.3">
      <c r="B53" s="2" t="s">
        <v>61</v>
      </c>
      <c r="I53" s="9">
        <f>I44+SUM(I45:I52)</f>
        <v>2309</v>
      </c>
      <c r="J53" s="9">
        <f>J44+SUM(J45:J52)</f>
        <v>1652</v>
      </c>
      <c r="K53" s="9">
        <f>K44+SUM(K45:K52)</f>
        <v>-1884</v>
      </c>
      <c r="L53" s="9"/>
      <c r="P53" s="9">
        <f>P44+SUM(P45:P52)</f>
        <v>19979</v>
      </c>
      <c r="Q53" s="9">
        <f t="shared" ref="Q53:AC53" si="72">Q44+SUM(Q45:Q52)</f>
        <v>22456</v>
      </c>
      <c r="R53" s="9">
        <f t="shared" si="72"/>
        <v>3961</v>
      </c>
      <c r="S53" s="9">
        <f t="shared" si="72"/>
        <v>-4022.2424000000337</v>
      </c>
      <c r="T53" s="9">
        <f t="shared" si="72"/>
        <v>5260.3793423499992</v>
      </c>
      <c r="U53" s="9">
        <f t="shared" si="72"/>
        <v>9089.7946740279949</v>
      </c>
      <c r="V53" s="9">
        <f t="shared" si="72"/>
        <v>12517.821105266032</v>
      </c>
      <c r="W53" s="9">
        <f t="shared" si="72"/>
        <v>14878.681712880225</v>
      </c>
      <c r="X53" s="9">
        <f t="shared" si="72"/>
        <v>16148.959760162952</v>
      </c>
      <c r="Y53" s="9">
        <f t="shared" si="72"/>
        <v>16301.988789048923</v>
      </c>
      <c r="Z53" s="9">
        <f t="shared" si="72"/>
        <v>16445.089760623741</v>
      </c>
      <c r="AA53" s="9">
        <f t="shared" si="72"/>
        <v>16580.441913372961</v>
      </c>
      <c r="AB53" s="9">
        <f t="shared" si="72"/>
        <v>16709.790561204783</v>
      </c>
      <c r="AC53" s="9">
        <f t="shared" si="72"/>
        <v>16834.533897583598</v>
      </c>
    </row>
    <row r="54" spans="2:140" x14ac:dyDescent="0.3">
      <c r="B54" s="1" t="s">
        <v>62</v>
      </c>
      <c r="I54" s="4">
        <v>5703</v>
      </c>
      <c r="J54" s="4">
        <f>R54-I54</f>
        <v>5357</v>
      </c>
      <c r="K54" s="4">
        <v>4447</v>
      </c>
      <c r="L54" s="4"/>
      <c r="P54" s="4">
        <v>8615</v>
      </c>
      <c r="Q54" s="4">
        <v>10193</v>
      </c>
      <c r="R54" s="4">
        <f>11060</f>
        <v>11060</v>
      </c>
      <c r="S54" s="4">
        <v>9300</v>
      </c>
      <c r="T54" s="4">
        <f>S54*1.02</f>
        <v>9486</v>
      </c>
      <c r="U54" s="4">
        <f t="shared" ref="U54:AC54" si="73">T54*1.02</f>
        <v>9675.7199999999993</v>
      </c>
      <c r="V54" s="4">
        <f t="shared" si="73"/>
        <v>9869.2343999999994</v>
      </c>
      <c r="W54" s="4">
        <f t="shared" si="73"/>
        <v>10066.619087999999</v>
      </c>
      <c r="X54" s="4">
        <f t="shared" si="73"/>
        <v>10267.951469759999</v>
      </c>
      <c r="Y54" s="4">
        <f t="shared" si="73"/>
        <v>10473.310499155199</v>
      </c>
      <c r="Z54" s="4">
        <f t="shared" si="73"/>
        <v>10682.776709138303</v>
      </c>
      <c r="AA54" s="4">
        <f t="shared" si="73"/>
        <v>10896.432243321069</v>
      </c>
      <c r="AB54" s="4">
        <f t="shared" si="73"/>
        <v>11114.360888187492</v>
      </c>
      <c r="AC54" s="4">
        <f t="shared" si="73"/>
        <v>11336.648105951241</v>
      </c>
    </row>
    <row r="55" spans="2:140" s="2" customFormat="1" x14ac:dyDescent="0.3">
      <c r="B55" s="2" t="s">
        <v>63</v>
      </c>
      <c r="I55" s="9">
        <f>I53-I54</f>
        <v>-3394</v>
      </c>
      <c r="J55" s="9">
        <f>J53-J54</f>
        <v>-3705</v>
      </c>
      <c r="K55" s="9">
        <f>K53-K54</f>
        <v>-6331</v>
      </c>
      <c r="L55" s="9"/>
      <c r="P55" s="9">
        <f>P53-P54</f>
        <v>11364</v>
      </c>
      <c r="Q55" s="9">
        <f>Q53-Q54</f>
        <v>12263</v>
      </c>
      <c r="R55" s="9">
        <f>R53-R54</f>
        <v>-7099</v>
      </c>
      <c r="S55" s="9">
        <f>S53-S54</f>
        <v>-13322.242400000034</v>
      </c>
      <c r="T55" s="9">
        <f t="shared" ref="T55:AC55" si="74">T53-T54</f>
        <v>-4225.6206576500008</v>
      </c>
      <c r="U55" s="9">
        <f t="shared" si="74"/>
        <v>-585.92532597200443</v>
      </c>
      <c r="V55" s="9">
        <f t="shared" si="74"/>
        <v>2648.5867052660324</v>
      </c>
      <c r="W55" s="9">
        <f t="shared" si="74"/>
        <v>4812.0626248802255</v>
      </c>
      <c r="X55" s="9">
        <f t="shared" si="74"/>
        <v>5881.0082904029532</v>
      </c>
      <c r="Y55" s="9">
        <f t="shared" si="74"/>
        <v>5828.6782898937236</v>
      </c>
      <c r="Z55" s="9">
        <f t="shared" si="74"/>
        <v>5762.3130514854383</v>
      </c>
      <c r="AA55" s="9">
        <f t="shared" si="74"/>
        <v>5684.0096700518916</v>
      </c>
      <c r="AB55" s="9">
        <f t="shared" si="74"/>
        <v>5595.4296730172919</v>
      </c>
      <c r="AC55" s="9">
        <f t="shared" si="74"/>
        <v>5497.8857916323577</v>
      </c>
      <c r="AD55" s="2">
        <f>AC55*(1+$AF$37)</f>
        <v>5442.9069337160345</v>
      </c>
      <c r="AE55" s="2">
        <f t="shared" ref="AE55:CP55" si="75">AD55*(1+$AF$37)</f>
        <v>5388.4778643788741</v>
      </c>
      <c r="AF55" s="2">
        <f t="shared" si="75"/>
        <v>5334.593085735085</v>
      </c>
      <c r="AG55" s="2">
        <f t="shared" si="75"/>
        <v>5281.2471548777339</v>
      </c>
      <c r="AH55" s="2">
        <f t="shared" si="75"/>
        <v>5228.4346833289565</v>
      </c>
      <c r="AI55" s="2">
        <f t="shared" si="75"/>
        <v>5176.150336495667</v>
      </c>
      <c r="AJ55" s="2">
        <f t="shared" si="75"/>
        <v>5124.3888331307107</v>
      </c>
      <c r="AK55" s="2">
        <f t="shared" si="75"/>
        <v>5073.1449447994037</v>
      </c>
      <c r="AL55" s="2">
        <f t="shared" si="75"/>
        <v>5022.4134953514094</v>
      </c>
      <c r="AM55" s="2">
        <f t="shared" si="75"/>
        <v>4972.1893603978951</v>
      </c>
      <c r="AN55" s="2">
        <f t="shared" si="75"/>
        <v>4922.4674667939162</v>
      </c>
      <c r="AO55" s="2">
        <f t="shared" si="75"/>
        <v>4873.2427921259768</v>
      </c>
      <c r="AP55" s="2">
        <f t="shared" si="75"/>
        <v>4824.510364204717</v>
      </c>
      <c r="AQ55" s="2">
        <f t="shared" si="75"/>
        <v>4776.2652605626699</v>
      </c>
      <c r="AR55" s="2">
        <f t="shared" si="75"/>
        <v>4728.5026079570434</v>
      </c>
      <c r="AS55" s="2">
        <f t="shared" si="75"/>
        <v>4681.2175818774731</v>
      </c>
      <c r="AT55" s="2">
        <f t="shared" si="75"/>
        <v>4634.4054060586986</v>
      </c>
      <c r="AU55" s="2">
        <f t="shared" si="75"/>
        <v>4588.0613519981116</v>
      </c>
      <c r="AV55" s="2">
        <f t="shared" si="75"/>
        <v>4542.1807384781305</v>
      </c>
      <c r="AW55" s="2">
        <f t="shared" si="75"/>
        <v>4496.758931093349</v>
      </c>
      <c r="AX55" s="2">
        <f t="shared" si="75"/>
        <v>4451.7913417824157</v>
      </c>
      <c r="AY55" s="2">
        <f t="shared" si="75"/>
        <v>4407.2734283645914</v>
      </c>
      <c r="AZ55" s="2">
        <f t="shared" si="75"/>
        <v>4363.2006940809451</v>
      </c>
      <c r="BA55" s="2">
        <f t="shared" si="75"/>
        <v>4319.5686871401358</v>
      </c>
      <c r="BB55" s="2">
        <f t="shared" si="75"/>
        <v>4276.3730002687344</v>
      </c>
      <c r="BC55" s="2">
        <f t="shared" si="75"/>
        <v>4233.6092702660471</v>
      </c>
      <c r="BD55" s="2">
        <f t="shared" si="75"/>
        <v>4191.2731775633865</v>
      </c>
      <c r="BE55" s="2">
        <f t="shared" si="75"/>
        <v>4149.3604457877527</v>
      </c>
      <c r="BF55" s="2">
        <f t="shared" si="75"/>
        <v>4107.8668413298756</v>
      </c>
      <c r="BG55" s="2">
        <f t="shared" si="75"/>
        <v>4066.788172916577</v>
      </c>
      <c r="BH55" s="2">
        <f t="shared" si="75"/>
        <v>4026.1202911874111</v>
      </c>
      <c r="BI55" s="2">
        <f t="shared" si="75"/>
        <v>3985.859088275537</v>
      </c>
      <c r="BJ55" s="2">
        <f t="shared" si="75"/>
        <v>3946.0004973927817</v>
      </c>
      <c r="BK55" s="2">
        <f t="shared" si="75"/>
        <v>3906.5404924188538</v>
      </c>
      <c r="BL55" s="2">
        <f t="shared" si="75"/>
        <v>3867.4750874946653</v>
      </c>
      <c r="BM55" s="2">
        <f t="shared" si="75"/>
        <v>3828.8003366197186</v>
      </c>
      <c r="BN55" s="2">
        <f t="shared" si="75"/>
        <v>3790.5123332535213</v>
      </c>
      <c r="BO55" s="2">
        <f t="shared" si="75"/>
        <v>3752.607209920986</v>
      </c>
      <c r="BP55" s="2">
        <f t="shared" si="75"/>
        <v>3715.0811378217759</v>
      </c>
      <c r="BQ55" s="2">
        <f t="shared" si="75"/>
        <v>3677.930326443558</v>
      </c>
      <c r="BR55" s="2">
        <f t="shared" si="75"/>
        <v>3641.1510231791221</v>
      </c>
      <c r="BS55" s="2">
        <f t="shared" si="75"/>
        <v>3604.7395129473307</v>
      </c>
      <c r="BT55" s="2">
        <f t="shared" si="75"/>
        <v>3568.6921178178573</v>
      </c>
      <c r="BU55" s="2">
        <f t="shared" si="75"/>
        <v>3533.0051966396786</v>
      </c>
      <c r="BV55" s="2">
        <f t="shared" si="75"/>
        <v>3497.6751446732819</v>
      </c>
      <c r="BW55" s="2">
        <f t="shared" si="75"/>
        <v>3462.6983932265489</v>
      </c>
      <c r="BX55" s="2">
        <f t="shared" si="75"/>
        <v>3428.0714092942835</v>
      </c>
      <c r="BY55" s="2">
        <f t="shared" si="75"/>
        <v>3393.7906952013404</v>
      </c>
      <c r="BZ55" s="2">
        <f t="shared" si="75"/>
        <v>3359.8527882493272</v>
      </c>
      <c r="CA55" s="2">
        <f t="shared" si="75"/>
        <v>3326.2542603668339</v>
      </c>
      <c r="CB55" s="2">
        <f t="shared" si="75"/>
        <v>3292.9917177631655</v>
      </c>
      <c r="CC55" s="2">
        <f t="shared" si="75"/>
        <v>3260.061800585534</v>
      </c>
      <c r="CD55" s="2">
        <f t="shared" si="75"/>
        <v>3227.4611825796787</v>
      </c>
      <c r="CE55" s="2">
        <f t="shared" si="75"/>
        <v>3195.1865707538818</v>
      </c>
      <c r="CF55" s="2">
        <f t="shared" si="75"/>
        <v>3163.2347050463432</v>
      </c>
      <c r="CG55" s="2">
        <f t="shared" si="75"/>
        <v>3131.6023579958796</v>
      </c>
      <c r="CH55" s="2">
        <f t="shared" si="75"/>
        <v>3100.2863344159209</v>
      </c>
      <c r="CI55" s="2">
        <f t="shared" si="75"/>
        <v>3069.2834710717616</v>
      </c>
      <c r="CJ55" s="2">
        <f t="shared" si="75"/>
        <v>3038.5906363610438</v>
      </c>
      <c r="CK55" s="2">
        <f t="shared" si="75"/>
        <v>3008.2047299974333</v>
      </c>
      <c r="CL55" s="2">
        <f t="shared" si="75"/>
        <v>2978.1226826974589</v>
      </c>
      <c r="CM55" s="2">
        <f t="shared" si="75"/>
        <v>2948.3414558704844</v>
      </c>
      <c r="CN55" s="2">
        <f t="shared" si="75"/>
        <v>2918.8580413117797</v>
      </c>
      <c r="CO55" s="2">
        <f t="shared" si="75"/>
        <v>2889.6694608986618</v>
      </c>
      <c r="CP55" s="2">
        <f t="shared" si="75"/>
        <v>2860.772766289675</v>
      </c>
      <c r="CQ55" s="2">
        <f t="shared" ref="CQ55:EJ55" si="76">CP55*(1+$AF$37)</f>
        <v>2832.1650386267784</v>
      </c>
      <c r="CR55" s="2">
        <f t="shared" si="76"/>
        <v>2803.8433882405106</v>
      </c>
      <c r="CS55" s="2">
        <f t="shared" si="76"/>
        <v>2775.8049543581055</v>
      </c>
      <c r="CT55" s="2">
        <f t="shared" si="76"/>
        <v>2748.0469048145246</v>
      </c>
      <c r="CU55" s="2">
        <f t="shared" si="76"/>
        <v>2720.5664357663795</v>
      </c>
      <c r="CV55" s="2">
        <f t="shared" si="76"/>
        <v>2693.3607714087157</v>
      </c>
      <c r="CW55" s="2">
        <f t="shared" si="76"/>
        <v>2666.4271636946287</v>
      </c>
      <c r="CX55" s="2">
        <f t="shared" si="76"/>
        <v>2639.7628920576822</v>
      </c>
      <c r="CY55" s="2">
        <f t="shared" si="76"/>
        <v>2613.3652631371051</v>
      </c>
      <c r="CZ55" s="2">
        <f t="shared" si="76"/>
        <v>2587.2316105057339</v>
      </c>
      <c r="DA55" s="2">
        <f t="shared" si="76"/>
        <v>2561.3592944006764</v>
      </c>
      <c r="DB55" s="2">
        <f t="shared" si="76"/>
        <v>2535.7457014566694</v>
      </c>
      <c r="DC55" s="2">
        <f t="shared" si="76"/>
        <v>2510.3882444421029</v>
      </c>
      <c r="DD55" s="2">
        <f t="shared" si="76"/>
        <v>2485.284361997682</v>
      </c>
      <c r="DE55" s="2">
        <f t="shared" si="76"/>
        <v>2460.4315183777053</v>
      </c>
      <c r="DF55" s="2">
        <f t="shared" si="76"/>
        <v>2435.8272031939282</v>
      </c>
      <c r="DG55" s="2">
        <f t="shared" si="76"/>
        <v>2411.4689311619891</v>
      </c>
      <c r="DH55" s="2">
        <f t="shared" si="76"/>
        <v>2387.3542418503694</v>
      </c>
      <c r="DI55" s="2">
        <f t="shared" si="76"/>
        <v>2363.4806994318656</v>
      </c>
      <c r="DJ55" s="2">
        <f t="shared" si="76"/>
        <v>2339.8458924375468</v>
      </c>
      <c r="DK55" s="2">
        <f t="shared" si="76"/>
        <v>2316.4474335131713</v>
      </c>
      <c r="DL55" s="2">
        <f t="shared" si="76"/>
        <v>2293.2829591780396</v>
      </c>
      <c r="DM55" s="2">
        <f t="shared" si="76"/>
        <v>2270.3501295862593</v>
      </c>
      <c r="DN55" s="2">
        <f t="shared" si="76"/>
        <v>2247.6466282903966</v>
      </c>
      <c r="DO55" s="2">
        <f t="shared" si="76"/>
        <v>2225.1701620074928</v>
      </c>
      <c r="DP55" s="2">
        <f t="shared" si="76"/>
        <v>2202.9184603874178</v>
      </c>
      <c r="DQ55" s="2">
        <f t="shared" si="76"/>
        <v>2180.8892757835438</v>
      </c>
      <c r="DR55" s="2">
        <f t="shared" si="76"/>
        <v>2159.0803830257082</v>
      </c>
      <c r="DS55" s="2">
        <f t="shared" si="76"/>
        <v>2137.4895791954509</v>
      </c>
      <c r="DT55" s="2">
        <f t="shared" si="76"/>
        <v>2116.1146834034962</v>
      </c>
      <c r="DU55" s="2">
        <f t="shared" si="76"/>
        <v>2094.953536569461</v>
      </c>
      <c r="DV55" s="2">
        <f t="shared" si="76"/>
        <v>2074.0040012037662</v>
      </c>
      <c r="DW55" s="2">
        <f t="shared" si="76"/>
        <v>2053.2639611917284</v>
      </c>
      <c r="DX55" s="2">
        <f t="shared" si="76"/>
        <v>2032.731321579811</v>
      </c>
      <c r="DY55" s="2">
        <f t="shared" si="76"/>
        <v>2012.404008364013</v>
      </c>
      <c r="DZ55" s="2">
        <f t="shared" si="76"/>
        <v>1992.2799682803727</v>
      </c>
      <c r="EA55" s="2">
        <f t="shared" si="76"/>
        <v>1972.3571685975689</v>
      </c>
      <c r="EB55" s="2">
        <f t="shared" si="76"/>
        <v>1952.6335969115933</v>
      </c>
      <c r="EC55" s="2">
        <f t="shared" si="76"/>
        <v>1933.1072609424773</v>
      </c>
      <c r="ED55" s="2">
        <f t="shared" si="76"/>
        <v>1913.7761883330525</v>
      </c>
      <c r="EE55" s="2">
        <f t="shared" si="76"/>
        <v>1894.6384264497219</v>
      </c>
      <c r="EF55" s="2">
        <f t="shared" si="76"/>
        <v>1875.6920421852246</v>
      </c>
      <c r="EG55" s="2">
        <f t="shared" si="76"/>
        <v>1856.9351217633723</v>
      </c>
      <c r="EH55" s="2">
        <f t="shared" si="76"/>
        <v>1838.3657705457385</v>
      </c>
      <c r="EI55" s="2">
        <f t="shared" si="76"/>
        <v>1819.9821128402812</v>
      </c>
      <c r="EJ55" s="2">
        <f t="shared" si="76"/>
        <v>1801.7822917118783</v>
      </c>
    </row>
    <row r="58" spans="2:140" x14ac:dyDescent="0.3">
      <c r="AF58" s="4">
        <f>NPV(AF38,S55:EJ55)</f>
        <v>26563.408640064245</v>
      </c>
    </row>
    <row r="59" spans="2:140" x14ac:dyDescent="0.3">
      <c r="AF59" s="4">
        <f>Main!D8</f>
        <v>-10139</v>
      </c>
    </row>
    <row r="60" spans="2:140" x14ac:dyDescent="0.3">
      <c r="AF60" s="4">
        <f>AF58+AF59</f>
        <v>16424.408640064245</v>
      </c>
    </row>
    <row r="61" spans="2:140" x14ac:dyDescent="0.3">
      <c r="AF61" s="15">
        <f>AF60/AC25</f>
        <v>5.6977758412767106</v>
      </c>
    </row>
    <row r="62" spans="2:140" x14ac:dyDescent="0.3">
      <c r="AF62" s="15">
        <f>Main!D3</f>
        <v>9.4710000000000001</v>
      </c>
    </row>
    <row r="63" spans="2:140" x14ac:dyDescent="0.3">
      <c r="AF63" s="12">
        <f>AF61/AF62-1</f>
        <v>-0.39839765164431307</v>
      </c>
    </row>
  </sheetData>
  <phoneticPr fontId="4" type="noConversion"/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 Mniszek</dc:creator>
  <cp:lastModifiedBy>Anton Mniszek</cp:lastModifiedBy>
  <dcterms:created xsi:type="dcterms:W3CDTF">2025-04-22T10:51:23Z</dcterms:created>
  <dcterms:modified xsi:type="dcterms:W3CDTF">2025-10-07T13:22:51Z</dcterms:modified>
</cp:coreProperties>
</file>