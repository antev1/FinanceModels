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7BE4022-263A-4824-8DAC-54CE3DE350C2}" xr6:coauthVersionLast="47" xr6:coauthVersionMax="47" xr10:uidLastSave="{00000000-0000-0000-0000-000000000000}"/>
  <bookViews>
    <workbookView xWindow="-108" yWindow="-108" windowWidth="23256" windowHeight="12576" activeTab="1" xr2:uid="{C257106A-0721-4BB9-8668-4D99D6414045}"/>
  </bookViews>
  <sheets>
    <sheet name="Main" sheetId="2" r:id="rId1"/>
    <sheet name="Model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12" i="1" l="1"/>
  <c r="AZ12" i="1"/>
  <c r="AY12" i="1"/>
  <c r="AX12" i="1"/>
  <c r="AW12" i="1"/>
  <c r="AV12" i="1"/>
  <c r="AU12" i="1"/>
  <c r="AT12" i="1"/>
  <c r="AS12" i="1"/>
  <c r="AR12" i="1"/>
  <c r="AG7" i="1"/>
  <c r="AR3" i="1"/>
  <c r="AH3" i="1"/>
  <c r="AG3" i="1"/>
  <c r="AG6" i="1" s="1"/>
  <c r="AF13" i="1"/>
  <c r="AF5" i="1"/>
  <c r="D7" i="2"/>
  <c r="D6" i="2"/>
  <c r="D4" i="2"/>
  <c r="AV63" i="1"/>
  <c r="AW63" i="1" s="1"/>
  <c r="AX63" i="1" s="1"/>
  <c r="AU63" i="1"/>
  <c r="AU65" i="1" s="1"/>
  <c r="AT60" i="1"/>
  <c r="AU60" i="1" s="1"/>
  <c r="AS60" i="1"/>
  <c r="AR60" i="1"/>
  <c r="BD72" i="1"/>
  <c r="AV65" i="1"/>
  <c r="AT65" i="1"/>
  <c r="AS65" i="1"/>
  <c r="AR65" i="1"/>
  <c r="AQ65" i="1"/>
  <c r="AS64" i="1"/>
  <c r="AT64" i="1" s="1"/>
  <c r="AU64" i="1" s="1"/>
  <c r="AV64" i="1" s="1"/>
  <c r="AW64" i="1" s="1"/>
  <c r="AX64" i="1" s="1"/>
  <c r="AY64" i="1" s="1"/>
  <c r="AZ64" i="1" s="1"/>
  <c r="BA64" i="1" s="1"/>
  <c r="AR64" i="1"/>
  <c r="AQ64" i="1"/>
  <c r="AR63" i="1"/>
  <c r="AS63" i="1" s="1"/>
  <c r="AT63" i="1" s="1"/>
  <c r="AQ63" i="1"/>
  <c r="AS52" i="1"/>
  <c r="AT52" i="1" s="1"/>
  <c r="AU52" i="1" s="1"/>
  <c r="AV52" i="1" s="1"/>
  <c r="AW52" i="1" s="1"/>
  <c r="AX52" i="1" s="1"/>
  <c r="AY52" i="1" s="1"/>
  <c r="AZ52" i="1" s="1"/>
  <c r="BA52" i="1" s="1"/>
  <c r="AR52" i="1"/>
  <c r="AQ52" i="1"/>
  <c r="AR51" i="1"/>
  <c r="AS51" i="1" s="1"/>
  <c r="AT51" i="1" s="1"/>
  <c r="AU51" i="1" s="1"/>
  <c r="AV51" i="1" s="1"/>
  <c r="AW51" i="1" s="1"/>
  <c r="AX51" i="1" s="1"/>
  <c r="AY51" i="1" s="1"/>
  <c r="AZ51" i="1" s="1"/>
  <c r="BA51" i="1" s="1"/>
  <c r="AQ51" i="1"/>
  <c r="AK54" i="1"/>
  <c r="AK52" i="1"/>
  <c r="AK65" i="1"/>
  <c r="AK49" i="1"/>
  <c r="AL54" i="1"/>
  <c r="AL52" i="1"/>
  <c r="AL65" i="1"/>
  <c r="AL49" i="1"/>
  <c r="AM54" i="1"/>
  <c r="AM52" i="1"/>
  <c r="AM65" i="1"/>
  <c r="AN54" i="1"/>
  <c r="AN52" i="1"/>
  <c r="AN62" i="1" s="1"/>
  <c r="AN65" i="1"/>
  <c r="AO54" i="1"/>
  <c r="AO52" i="1"/>
  <c r="AO62" i="1" s="1"/>
  <c r="AO65" i="1"/>
  <c r="AP54" i="1"/>
  <c r="AP52" i="1"/>
  <c r="AP65" i="1"/>
  <c r="AA65" i="1"/>
  <c r="AE65" i="1"/>
  <c r="AQ10" i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AQ8" i="1"/>
  <c r="AF23" i="1"/>
  <c r="AE13" i="1"/>
  <c r="AE23" i="1"/>
  <c r="AE22" i="1"/>
  <c r="AE21" i="1"/>
  <c r="AE20" i="1"/>
  <c r="AE5" i="1"/>
  <c r="AE9" i="1" s="1"/>
  <c r="AV34" i="1"/>
  <c r="AU34" i="1"/>
  <c r="AT34" i="1"/>
  <c r="AS34" i="1"/>
  <c r="AR34" i="1"/>
  <c r="AQ34" i="1"/>
  <c r="AP34" i="1"/>
  <c r="AO34" i="1"/>
  <c r="AN34" i="1"/>
  <c r="AM34" i="1"/>
  <c r="AL34" i="1"/>
  <c r="AY63" i="1" l="1"/>
  <c r="AX65" i="1"/>
  <c r="AW65" i="1"/>
  <c r="AV60" i="1"/>
  <c r="AK62" i="1"/>
  <c r="AK66" i="1" s="1"/>
  <c r="AL62" i="1"/>
  <c r="AL66" i="1" s="1"/>
  <c r="AM62" i="1"/>
  <c r="AM66" i="1" s="1"/>
  <c r="AN66" i="1"/>
  <c r="AO66" i="1"/>
  <c r="AE18" i="1"/>
  <c r="AG22" i="1"/>
  <c r="AF20" i="1"/>
  <c r="AE11" i="1"/>
  <c r="AE49" i="1" s="1"/>
  <c r="AE62" i="1" s="1"/>
  <c r="AE66" i="1" s="1"/>
  <c r="AE19" i="1"/>
  <c r="AS8" i="1"/>
  <c r="AT8" i="1" s="1"/>
  <c r="AU8" i="1" s="1"/>
  <c r="AV8" i="1" s="1"/>
  <c r="AW8" i="1" s="1"/>
  <c r="AX8" i="1" s="1"/>
  <c r="AY8" i="1" s="1"/>
  <c r="AZ8" i="1" s="1"/>
  <c r="BA8" i="1" s="1"/>
  <c r="AD12" i="1"/>
  <c r="AD7" i="1"/>
  <c r="AD6" i="1"/>
  <c r="AD4" i="1"/>
  <c r="AD3" i="1"/>
  <c r="AP13" i="1"/>
  <c r="AP8" i="1"/>
  <c r="AD8" i="1" s="1"/>
  <c r="BA15" i="1"/>
  <c r="AZ15" i="1"/>
  <c r="AY15" i="1"/>
  <c r="AX15" i="1"/>
  <c r="AW15" i="1"/>
  <c r="AV15" i="1"/>
  <c r="AU15" i="1"/>
  <c r="AT15" i="1"/>
  <c r="AS15" i="1"/>
  <c r="AR15" i="1"/>
  <c r="AQ15" i="1"/>
  <c r="AP15" i="1"/>
  <c r="M4" i="2"/>
  <c r="N4" i="2"/>
  <c r="M5" i="2"/>
  <c r="N5" i="2"/>
  <c r="N6" i="2"/>
  <c r="K7" i="2"/>
  <c r="N7" i="2"/>
  <c r="K8" i="2"/>
  <c r="N8" i="2"/>
  <c r="N9" i="2"/>
  <c r="N10" i="2"/>
  <c r="N11" i="2"/>
  <c r="K12" i="2"/>
  <c r="M12" i="2"/>
  <c r="N12" i="2"/>
  <c r="M13" i="2"/>
  <c r="N13" i="2"/>
  <c r="N14" i="2"/>
  <c r="J15" i="2"/>
  <c r="L15" i="2"/>
  <c r="M7" i="2" s="1"/>
  <c r="M15" i="2"/>
  <c r="AO22" i="1"/>
  <c r="AN22" i="1"/>
  <c r="AM22" i="1"/>
  <c r="AC22" i="1"/>
  <c r="AB22" i="1"/>
  <c r="AA22" i="1"/>
  <c r="Y22" i="1"/>
  <c r="X22" i="1"/>
  <c r="W22" i="1"/>
  <c r="U22" i="1"/>
  <c r="T22" i="1"/>
  <c r="S22" i="1"/>
  <c r="Q22" i="1"/>
  <c r="P22" i="1"/>
  <c r="O22" i="1"/>
  <c r="M22" i="1"/>
  <c r="L22" i="1"/>
  <c r="K22" i="1"/>
  <c r="I22" i="1"/>
  <c r="H22" i="1"/>
  <c r="G22" i="1"/>
  <c r="AB13" i="1"/>
  <c r="AB5" i="1"/>
  <c r="AC13" i="1"/>
  <c r="AC5" i="1"/>
  <c r="AC20" i="1"/>
  <c r="AB20" i="1"/>
  <c r="AO20" i="1"/>
  <c r="AN20" i="1"/>
  <c r="AM20" i="1"/>
  <c r="AL20" i="1"/>
  <c r="AA20" i="1"/>
  <c r="Y20" i="1"/>
  <c r="X20" i="1"/>
  <c r="W20" i="1"/>
  <c r="U20" i="1"/>
  <c r="T20" i="1"/>
  <c r="S20" i="1"/>
  <c r="Q20" i="1"/>
  <c r="P20" i="1"/>
  <c r="O20" i="1"/>
  <c r="M20" i="1"/>
  <c r="L20" i="1"/>
  <c r="K20" i="1"/>
  <c r="I20" i="1"/>
  <c r="H20" i="1"/>
  <c r="G20" i="1"/>
  <c r="E20" i="1"/>
  <c r="D20" i="1"/>
  <c r="C20" i="1"/>
  <c r="Y13" i="1"/>
  <c r="Y5" i="1"/>
  <c r="Y9" i="1" s="1"/>
  <c r="X13" i="1"/>
  <c r="X5" i="1"/>
  <c r="X18" i="1" s="1"/>
  <c r="AA23" i="1"/>
  <c r="Y23" i="1"/>
  <c r="X23" i="1"/>
  <c r="W23" i="1"/>
  <c r="U23" i="1"/>
  <c r="T23" i="1"/>
  <c r="S23" i="1"/>
  <c r="Q23" i="1"/>
  <c r="P23" i="1"/>
  <c r="AA21" i="1"/>
  <c r="Y21" i="1"/>
  <c r="X21" i="1"/>
  <c r="W21" i="1"/>
  <c r="U21" i="1"/>
  <c r="T21" i="1"/>
  <c r="S21" i="1"/>
  <c r="Q21" i="1"/>
  <c r="P21" i="1"/>
  <c r="Z12" i="1"/>
  <c r="Z7" i="1"/>
  <c r="Z6" i="1"/>
  <c r="Z4" i="1"/>
  <c r="Z3" i="1"/>
  <c r="V12" i="1"/>
  <c r="V7" i="1"/>
  <c r="V6" i="1"/>
  <c r="V4" i="1"/>
  <c r="V3" i="1"/>
  <c r="R12" i="1"/>
  <c r="R7" i="1"/>
  <c r="R6" i="1"/>
  <c r="R4" i="1"/>
  <c r="R3" i="1"/>
  <c r="AO13" i="1"/>
  <c r="AO8" i="1"/>
  <c r="Z8" i="1" s="1"/>
  <c r="AN13" i="1"/>
  <c r="AN8" i="1"/>
  <c r="V8" i="1" s="1"/>
  <c r="AM13" i="1"/>
  <c r="AM8" i="1"/>
  <c r="R8" i="1" s="1"/>
  <c r="AN5" i="1"/>
  <c r="Q13" i="1"/>
  <c r="Q5" i="1"/>
  <c r="Q9" i="1" s="1"/>
  <c r="Q11" i="1" s="1"/>
  <c r="Q25" i="1" s="1"/>
  <c r="U13" i="1"/>
  <c r="U5" i="1"/>
  <c r="U9" i="1" s="1"/>
  <c r="U11" i="1" s="1"/>
  <c r="U25" i="1" s="1"/>
  <c r="P13" i="1"/>
  <c r="P10" i="1"/>
  <c r="P5" i="1"/>
  <c r="P9" i="1" s="1"/>
  <c r="P19" i="1" s="1"/>
  <c r="T13" i="1"/>
  <c r="T10" i="1"/>
  <c r="O23" i="1"/>
  <c r="O21" i="1"/>
  <c r="O13" i="1"/>
  <c r="O10" i="1"/>
  <c r="O5" i="1"/>
  <c r="O9" i="1" s="1"/>
  <c r="S13" i="1"/>
  <c r="S10" i="1"/>
  <c r="S5" i="1"/>
  <c r="S18" i="1" s="1"/>
  <c r="N6" i="1"/>
  <c r="J7" i="1"/>
  <c r="J6" i="1"/>
  <c r="AK6" i="1" s="1"/>
  <c r="F7" i="1"/>
  <c r="F6" i="1"/>
  <c r="AJ6" i="1" s="1"/>
  <c r="W13" i="1"/>
  <c r="W10" i="1"/>
  <c r="Z10" i="1" s="1"/>
  <c r="W5" i="1"/>
  <c r="W18" i="1" s="1"/>
  <c r="AA13" i="1"/>
  <c r="AA10" i="1"/>
  <c r="AD10" i="1" s="1"/>
  <c r="AA5" i="1"/>
  <c r="AA9" i="1" s="1"/>
  <c r="AA19" i="1" s="1"/>
  <c r="AY65" i="1" l="1"/>
  <c r="AZ63" i="1"/>
  <c r="AW60" i="1"/>
  <c r="AD13" i="1"/>
  <c r="AD5" i="1"/>
  <c r="O11" i="1"/>
  <c r="O25" i="1" s="1"/>
  <c r="AF22" i="1"/>
  <c r="AF21" i="1"/>
  <c r="AG23" i="1"/>
  <c r="AG21" i="1"/>
  <c r="AG20" i="1"/>
  <c r="AE25" i="1"/>
  <c r="AE14" i="1"/>
  <c r="AF9" i="1"/>
  <c r="AG5" i="1"/>
  <c r="AG9" i="1" s="1"/>
  <c r="AG11" i="1" s="1"/>
  <c r="V22" i="1"/>
  <c r="Z22" i="1"/>
  <c r="J22" i="1"/>
  <c r="R20" i="1"/>
  <c r="K9" i="2"/>
  <c r="M6" i="2"/>
  <c r="K14" i="2"/>
  <c r="M11" i="2"/>
  <c r="K6" i="2"/>
  <c r="M9" i="2"/>
  <c r="K4" i="2"/>
  <c r="M14" i="2"/>
  <c r="N15" i="2"/>
  <c r="K11" i="2"/>
  <c r="M8" i="2"/>
  <c r="K13" i="2"/>
  <c r="M10" i="2"/>
  <c r="K5" i="2"/>
  <c r="K15" i="2"/>
  <c r="K10" i="2"/>
  <c r="AD20" i="1"/>
  <c r="Z20" i="1"/>
  <c r="V20" i="1"/>
  <c r="AB21" i="1"/>
  <c r="V21" i="1"/>
  <c r="R10" i="1"/>
  <c r="V10" i="1"/>
  <c r="Q19" i="1"/>
  <c r="R21" i="1"/>
  <c r="R13" i="1"/>
  <c r="S9" i="1"/>
  <c r="S19" i="1" s="1"/>
  <c r="V23" i="1"/>
  <c r="Q18" i="1"/>
  <c r="V13" i="1"/>
  <c r="Z23" i="1"/>
  <c r="P18" i="1"/>
  <c r="AA18" i="1"/>
  <c r="W9" i="1"/>
  <c r="W19" i="1" s="1"/>
  <c r="O18" i="1"/>
  <c r="O19" i="1"/>
  <c r="U18" i="1"/>
  <c r="U19" i="1"/>
  <c r="AC23" i="1"/>
  <c r="AC21" i="1"/>
  <c r="AB23" i="1"/>
  <c r="Z13" i="1"/>
  <c r="Y19" i="1"/>
  <c r="Y11" i="1"/>
  <c r="Y18" i="1"/>
  <c r="Z21" i="1"/>
  <c r="X9" i="1"/>
  <c r="Z5" i="1"/>
  <c r="V5" i="1"/>
  <c r="R5" i="1"/>
  <c r="AN9" i="1"/>
  <c r="Q14" i="1"/>
  <c r="U14" i="1"/>
  <c r="P11" i="1"/>
  <c r="T5" i="1"/>
  <c r="AA11" i="1"/>
  <c r="AA49" i="1" s="1"/>
  <c r="AA62" i="1" s="1"/>
  <c r="AA66" i="1" s="1"/>
  <c r="N12" i="1"/>
  <c r="N8" i="1"/>
  <c r="N4" i="1"/>
  <c r="N3" i="1"/>
  <c r="N20" i="1" s="1"/>
  <c r="AL13" i="1"/>
  <c r="AL10" i="1"/>
  <c r="N10" i="1" s="1"/>
  <c r="AM28" i="1"/>
  <c r="AV43" i="1"/>
  <c r="AU43" i="1"/>
  <c r="AT43" i="1"/>
  <c r="AS43" i="1"/>
  <c r="AR43" i="1"/>
  <c r="AQ43" i="1"/>
  <c r="AP43" i="1"/>
  <c r="AO43" i="1"/>
  <c r="AN43" i="1"/>
  <c r="AM43" i="1"/>
  <c r="AL43" i="1"/>
  <c r="AV36" i="1"/>
  <c r="AV45" i="1" s="1"/>
  <c r="AU36" i="1"/>
  <c r="AU45" i="1" s="1"/>
  <c r="AT36" i="1"/>
  <c r="AT45" i="1" s="1"/>
  <c r="AS36" i="1"/>
  <c r="AS45" i="1" s="1"/>
  <c r="AR36" i="1"/>
  <c r="AR45" i="1" s="1"/>
  <c r="AQ36" i="1"/>
  <c r="AQ45" i="1" s="1"/>
  <c r="AP36" i="1"/>
  <c r="AP45" i="1" s="1"/>
  <c r="AO36" i="1"/>
  <c r="AO45" i="1" s="1"/>
  <c r="AN36" i="1"/>
  <c r="AN45" i="1" s="1"/>
  <c r="AM36" i="1"/>
  <c r="AM45" i="1" s="1"/>
  <c r="AL36" i="1"/>
  <c r="AV33" i="1"/>
  <c r="AV42" i="1" s="1"/>
  <c r="AU33" i="1"/>
  <c r="AU42" i="1" s="1"/>
  <c r="AT33" i="1"/>
  <c r="AT42" i="1" s="1"/>
  <c r="AS33" i="1"/>
  <c r="AS42" i="1" s="1"/>
  <c r="AR33" i="1"/>
  <c r="AR42" i="1" s="1"/>
  <c r="AQ33" i="1"/>
  <c r="AQ42" i="1" s="1"/>
  <c r="AP33" i="1"/>
  <c r="AP42" i="1" s="1"/>
  <c r="AO33" i="1"/>
  <c r="AO42" i="1" s="1"/>
  <c r="AN33" i="1"/>
  <c r="AN42" i="1" s="1"/>
  <c r="AM33" i="1"/>
  <c r="AM42" i="1" s="1"/>
  <c r="AL33" i="1"/>
  <c r="AV35" i="1"/>
  <c r="AV44" i="1" s="1"/>
  <c r="AU35" i="1"/>
  <c r="AU44" i="1" s="1"/>
  <c r="AT35" i="1"/>
  <c r="AT44" i="1" s="1"/>
  <c r="AS35" i="1"/>
  <c r="AS44" i="1" s="1"/>
  <c r="AR35" i="1"/>
  <c r="AR44" i="1" s="1"/>
  <c r="AQ35" i="1"/>
  <c r="AQ44" i="1" s="1"/>
  <c r="AP35" i="1"/>
  <c r="AP44" i="1" s="1"/>
  <c r="AO35" i="1"/>
  <c r="AO44" i="1" s="1"/>
  <c r="AN35" i="1"/>
  <c r="AN44" i="1" s="1"/>
  <c r="AM35" i="1"/>
  <c r="AM44" i="1" s="1"/>
  <c r="AL35" i="1"/>
  <c r="AV32" i="1"/>
  <c r="AU32" i="1"/>
  <c r="AT32" i="1"/>
  <c r="AS32" i="1"/>
  <c r="AR32" i="1"/>
  <c r="AQ32" i="1"/>
  <c r="AP32" i="1"/>
  <c r="AO32" i="1"/>
  <c r="AN32" i="1"/>
  <c r="AM32" i="1"/>
  <c r="AL32" i="1"/>
  <c r="AL41" i="1" s="1"/>
  <c r="BA63" i="1" l="1"/>
  <c r="BA65" i="1" s="1"/>
  <c r="AZ65" i="1"/>
  <c r="AX60" i="1"/>
  <c r="AG19" i="1"/>
  <c r="AG13" i="1"/>
  <c r="AG12" i="1"/>
  <c r="AG25" i="1" s="1"/>
  <c r="AF11" i="1"/>
  <c r="AF19" i="1"/>
  <c r="O14" i="1"/>
  <c r="O24" i="1" s="1"/>
  <c r="AH6" i="1"/>
  <c r="AQ6" i="1" s="1"/>
  <c r="AQ3" i="1"/>
  <c r="AH5" i="1"/>
  <c r="AH18" i="1" s="1"/>
  <c r="AH7" i="1"/>
  <c r="AH21" i="1" s="1"/>
  <c r="AH23" i="1"/>
  <c r="AG4" i="1"/>
  <c r="AG18" i="1"/>
  <c r="AF18" i="1"/>
  <c r="AE16" i="1"/>
  <c r="AE24" i="1"/>
  <c r="AP20" i="1"/>
  <c r="AP22" i="1"/>
  <c r="AD22" i="1"/>
  <c r="AC9" i="1"/>
  <c r="AB9" i="1"/>
  <c r="S11" i="1"/>
  <c r="S14" i="1" s="1"/>
  <c r="AB18" i="1"/>
  <c r="AC18" i="1"/>
  <c r="Q16" i="1"/>
  <c r="Q24" i="1"/>
  <c r="AA14" i="1"/>
  <c r="AA25" i="1"/>
  <c r="W11" i="1"/>
  <c r="W25" i="1" s="1"/>
  <c r="R9" i="1"/>
  <c r="R18" i="1"/>
  <c r="AD9" i="1"/>
  <c r="AD11" i="1" s="1"/>
  <c r="V9" i="1"/>
  <c r="V18" i="1"/>
  <c r="R23" i="1"/>
  <c r="N5" i="1"/>
  <c r="T9" i="1"/>
  <c r="T18" i="1"/>
  <c r="P14" i="1"/>
  <c r="P25" i="1"/>
  <c r="U16" i="1"/>
  <c r="U24" i="1"/>
  <c r="AD23" i="1"/>
  <c r="AD21" i="1"/>
  <c r="Y25" i="1"/>
  <c r="Y14" i="1"/>
  <c r="Z9" i="1"/>
  <c r="Z18" i="1"/>
  <c r="X19" i="1"/>
  <c r="X11" i="1"/>
  <c r="AM41" i="1"/>
  <c r="AY60" i="1" l="1"/>
  <c r="O16" i="1"/>
  <c r="AH20" i="1"/>
  <c r="AG14" i="1"/>
  <c r="AG24" i="1" s="1"/>
  <c r="AH22" i="1"/>
  <c r="AQ7" i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AH9" i="1"/>
  <c r="AH4" i="1"/>
  <c r="AQ4" i="1" s="1"/>
  <c r="AQ5" i="1" s="1"/>
  <c r="AR6" i="1"/>
  <c r="AR5" i="1"/>
  <c r="AR13" i="1"/>
  <c r="AS3" i="1"/>
  <c r="AD19" i="1"/>
  <c r="AD25" i="1"/>
  <c r="AC11" i="1"/>
  <c r="AC19" i="1"/>
  <c r="AB11" i="1"/>
  <c r="AB19" i="1"/>
  <c r="S25" i="1"/>
  <c r="W14" i="1"/>
  <c r="W24" i="1" s="1"/>
  <c r="T11" i="1"/>
  <c r="T19" i="1"/>
  <c r="AP5" i="1"/>
  <c r="AD18" i="1"/>
  <c r="V11" i="1"/>
  <c r="V19" i="1"/>
  <c r="R11" i="1"/>
  <c r="R19" i="1"/>
  <c r="P16" i="1"/>
  <c r="P24" i="1"/>
  <c r="S16" i="1"/>
  <c r="S24" i="1"/>
  <c r="AA16" i="1"/>
  <c r="AA24" i="1"/>
  <c r="Y16" i="1"/>
  <c r="Y24" i="1"/>
  <c r="X14" i="1"/>
  <c r="X25" i="1"/>
  <c r="Z11" i="1"/>
  <c r="Z19" i="1"/>
  <c r="M13" i="1"/>
  <c r="M5" i="1"/>
  <c r="M9" i="1" s="1"/>
  <c r="AG16" i="1" l="1"/>
  <c r="AZ60" i="1"/>
  <c r="AQ22" i="1"/>
  <c r="AR22" i="1"/>
  <c r="AF25" i="1"/>
  <c r="AF14" i="1"/>
  <c r="AH11" i="1"/>
  <c r="AH19" i="1"/>
  <c r="AS5" i="1"/>
  <c r="AT3" i="1"/>
  <c r="AU3" i="1" s="1"/>
  <c r="AV3" i="1" s="1"/>
  <c r="AW3" i="1" s="1"/>
  <c r="AX3" i="1" s="1"/>
  <c r="AY3" i="1" s="1"/>
  <c r="AZ3" i="1" s="1"/>
  <c r="BA3" i="1" s="1"/>
  <c r="AS22" i="1"/>
  <c r="AS13" i="1"/>
  <c r="AS6" i="1"/>
  <c r="AD14" i="1"/>
  <c r="AC25" i="1"/>
  <c r="W16" i="1"/>
  <c r="T14" i="1"/>
  <c r="T25" i="1"/>
  <c r="V14" i="1"/>
  <c r="V25" i="1"/>
  <c r="R14" i="1"/>
  <c r="R25" i="1"/>
  <c r="Z14" i="1"/>
  <c r="Z25" i="1"/>
  <c r="X16" i="1"/>
  <c r="X24" i="1"/>
  <c r="AN28" i="1"/>
  <c r="AU30" i="1"/>
  <c r="AT30" i="1"/>
  <c r="AS30" i="1"/>
  <c r="AR30" i="1"/>
  <c r="AQ30" i="1"/>
  <c r="AP30" i="1"/>
  <c r="AO30" i="1"/>
  <c r="AN30" i="1"/>
  <c r="AM30" i="1"/>
  <c r="AL30" i="1"/>
  <c r="AL39" i="1" s="1"/>
  <c r="BA60" i="1" l="1"/>
  <c r="AT5" i="1"/>
  <c r="AF16" i="1"/>
  <c r="AF24" i="1"/>
  <c r="AH13" i="1"/>
  <c r="AQ13" i="1" s="1"/>
  <c r="AH12" i="1"/>
  <c r="AH14" i="1" s="1"/>
  <c r="AT22" i="1"/>
  <c r="AT6" i="1"/>
  <c r="AU5" i="1"/>
  <c r="AT13" i="1"/>
  <c r="AD16" i="1"/>
  <c r="AD24" i="1"/>
  <c r="AC14" i="1"/>
  <c r="AB25" i="1"/>
  <c r="AB14" i="1"/>
  <c r="R16" i="1"/>
  <c r="R24" i="1"/>
  <c r="T16" i="1"/>
  <c r="T24" i="1"/>
  <c r="V16" i="1"/>
  <c r="V24" i="1"/>
  <c r="Z16" i="1"/>
  <c r="Z24" i="1"/>
  <c r="AM39" i="1"/>
  <c r="AO28" i="1"/>
  <c r="AN41" i="1"/>
  <c r="AN39" i="1"/>
  <c r="AL45" i="1"/>
  <c r="AL44" i="1"/>
  <c r="AL42" i="1"/>
  <c r="AH16" i="1" l="1"/>
  <c r="AH24" i="1"/>
  <c r="AH25" i="1"/>
  <c r="AQ12" i="1"/>
  <c r="AQ50" i="1" s="1"/>
  <c r="AU22" i="1"/>
  <c r="AV5" i="1"/>
  <c r="AU13" i="1"/>
  <c r="AU6" i="1"/>
  <c r="AC16" i="1"/>
  <c r="AC24" i="1"/>
  <c r="AB16" i="1"/>
  <c r="AB24" i="1"/>
  <c r="AP28" i="1"/>
  <c r="AO41" i="1"/>
  <c r="AO39" i="1"/>
  <c r="F3" i="2"/>
  <c r="AV22" i="1" l="1"/>
  <c r="AW5" i="1"/>
  <c r="AV6" i="1"/>
  <c r="AV13" i="1"/>
  <c r="AQ28" i="1"/>
  <c r="AP41" i="1"/>
  <c r="AP39" i="1"/>
  <c r="AW22" i="1" l="1"/>
  <c r="AX5" i="1"/>
  <c r="AW6" i="1"/>
  <c r="AW20" i="1" s="1"/>
  <c r="AW23" i="1"/>
  <c r="AW13" i="1"/>
  <c r="AR28" i="1"/>
  <c r="AQ41" i="1"/>
  <c r="AQ39" i="1"/>
  <c r="BD27" i="1"/>
  <c r="M23" i="1"/>
  <c r="L23" i="1"/>
  <c r="K23" i="1"/>
  <c r="I23" i="1"/>
  <c r="H23" i="1"/>
  <c r="G23" i="1"/>
  <c r="F12" i="1"/>
  <c r="AJ12" i="1" s="1"/>
  <c r="F10" i="1"/>
  <c r="AJ10" i="1" s="1"/>
  <c r="F8" i="1"/>
  <c r="AJ8" i="1" s="1"/>
  <c r="F4" i="1"/>
  <c r="AJ4" i="1" s="1"/>
  <c r="F3" i="1"/>
  <c r="J12" i="1"/>
  <c r="AK12" i="1" s="1"/>
  <c r="J10" i="1"/>
  <c r="AK10" i="1" s="1"/>
  <c r="J8" i="1"/>
  <c r="AK8" i="1" s="1"/>
  <c r="J4" i="1"/>
  <c r="AK4" i="1" s="1"/>
  <c r="J3" i="1"/>
  <c r="J20" i="1" s="1"/>
  <c r="C21" i="1"/>
  <c r="C5" i="1"/>
  <c r="C9" i="1" s="1"/>
  <c r="D13" i="1"/>
  <c r="D21" i="1"/>
  <c r="D5" i="1"/>
  <c r="D9" i="1" s="1"/>
  <c r="E13" i="1"/>
  <c r="E21" i="1"/>
  <c r="E5" i="1"/>
  <c r="E9" i="1" s="1"/>
  <c r="I13" i="1"/>
  <c r="I5" i="1"/>
  <c r="I9" i="1" s="1"/>
  <c r="G13" i="1"/>
  <c r="G5" i="1"/>
  <c r="K13" i="1"/>
  <c r="K5" i="1"/>
  <c r="H13" i="1"/>
  <c r="H5" i="1"/>
  <c r="H9" i="1" s="1"/>
  <c r="D8" i="2"/>
  <c r="D5" i="2"/>
  <c r="L13" i="1"/>
  <c r="L5" i="1"/>
  <c r="L9" i="1" s="1"/>
  <c r="BD24" i="1" l="1"/>
  <c r="BD69" i="1"/>
  <c r="AX22" i="1"/>
  <c r="AX13" i="1"/>
  <c r="AX23" i="1"/>
  <c r="AY5" i="1"/>
  <c r="AX6" i="1"/>
  <c r="AX20" i="1" s="1"/>
  <c r="AW18" i="1"/>
  <c r="AW4" i="1"/>
  <c r="AJ3" i="1"/>
  <c r="AJ20" i="1" s="1"/>
  <c r="F20" i="1"/>
  <c r="G18" i="1"/>
  <c r="G9" i="1"/>
  <c r="K18" i="1"/>
  <c r="K9" i="1"/>
  <c r="N13" i="1"/>
  <c r="C11" i="1"/>
  <c r="N7" i="1"/>
  <c r="K21" i="1"/>
  <c r="L21" i="1"/>
  <c r="I21" i="1"/>
  <c r="H21" i="1"/>
  <c r="G21" i="1"/>
  <c r="AS28" i="1"/>
  <c r="AR41" i="1"/>
  <c r="AR39" i="1"/>
  <c r="J5" i="1"/>
  <c r="J18" i="1" s="1"/>
  <c r="F13" i="1"/>
  <c r="AJ13" i="1" s="1"/>
  <c r="AK3" i="1"/>
  <c r="E18" i="1"/>
  <c r="D18" i="1"/>
  <c r="J23" i="1"/>
  <c r="J13" i="1"/>
  <c r="AK13" i="1" s="1"/>
  <c r="L18" i="1"/>
  <c r="H18" i="1"/>
  <c r="I18" i="1"/>
  <c r="C18" i="1"/>
  <c r="D9" i="2"/>
  <c r="F5" i="1"/>
  <c r="AY22" i="1" l="1"/>
  <c r="AY13" i="1"/>
  <c r="AY6" i="1"/>
  <c r="AY20" i="1" s="1"/>
  <c r="AY23" i="1"/>
  <c r="AY18" i="1"/>
  <c r="AZ5" i="1"/>
  <c r="AX4" i="1"/>
  <c r="AX18" i="1"/>
  <c r="N9" i="1"/>
  <c r="N22" i="1"/>
  <c r="R22" i="1"/>
  <c r="AJ5" i="1"/>
  <c r="AJ18" i="1" s="1"/>
  <c r="AK5" i="1"/>
  <c r="AK18" i="1" s="1"/>
  <c r="AK20" i="1"/>
  <c r="J9" i="1"/>
  <c r="AJ7" i="1"/>
  <c r="AJ21" i="1" s="1"/>
  <c r="F9" i="1"/>
  <c r="C14" i="1"/>
  <c r="C24" i="1" s="1"/>
  <c r="C25" i="1"/>
  <c r="C19" i="1"/>
  <c r="I11" i="1"/>
  <c r="I14" i="1" s="1"/>
  <c r="I19" i="1"/>
  <c r="K11" i="1"/>
  <c r="K14" i="1" s="1"/>
  <c r="K19" i="1"/>
  <c r="L11" i="1"/>
  <c r="L19" i="1"/>
  <c r="G11" i="1"/>
  <c r="G14" i="1" s="1"/>
  <c r="G19" i="1"/>
  <c r="E11" i="1"/>
  <c r="E19" i="1"/>
  <c r="D11" i="1"/>
  <c r="D19" i="1"/>
  <c r="AK7" i="1"/>
  <c r="H11" i="1"/>
  <c r="H14" i="1" s="1"/>
  <c r="H19" i="1"/>
  <c r="AT28" i="1"/>
  <c r="AS41" i="1"/>
  <c r="AS39" i="1"/>
  <c r="AK23" i="1"/>
  <c r="F18" i="1"/>
  <c r="F21" i="1"/>
  <c r="M18" i="1"/>
  <c r="J21" i="1"/>
  <c r="M21" i="1"/>
  <c r="N23" i="1"/>
  <c r="AZ22" i="1" l="1"/>
  <c r="BA5" i="1"/>
  <c r="AZ13" i="1"/>
  <c r="AZ6" i="1"/>
  <c r="AZ20" i="1" s="1"/>
  <c r="AZ18" i="1"/>
  <c r="AZ23" i="1"/>
  <c r="AZ4" i="1"/>
  <c r="AY4" i="1"/>
  <c r="AK9" i="1"/>
  <c r="AK22" i="1"/>
  <c r="AL22" i="1"/>
  <c r="AJ9" i="1"/>
  <c r="AJ11" i="1" s="1"/>
  <c r="AJ14" i="1" s="1"/>
  <c r="AJ24" i="1" s="1"/>
  <c r="AQ20" i="1"/>
  <c r="K25" i="1"/>
  <c r="C16" i="1"/>
  <c r="I25" i="1"/>
  <c r="K16" i="1"/>
  <c r="K24" i="1"/>
  <c r="I16" i="1"/>
  <c r="I24" i="1"/>
  <c r="H16" i="1"/>
  <c r="H24" i="1"/>
  <c r="G16" i="1"/>
  <c r="G24" i="1"/>
  <c r="J11" i="1"/>
  <c r="J14" i="1" s="1"/>
  <c r="J19" i="1"/>
  <c r="M11" i="1"/>
  <c r="M14" i="1" s="1"/>
  <c r="M19" i="1"/>
  <c r="G25" i="1"/>
  <c r="H25" i="1"/>
  <c r="D25" i="1"/>
  <c r="D14" i="1"/>
  <c r="L25" i="1"/>
  <c r="L14" i="1"/>
  <c r="N21" i="1"/>
  <c r="AK21" i="1"/>
  <c r="F11" i="1"/>
  <c r="F14" i="1" s="1"/>
  <c r="F19" i="1"/>
  <c r="E25" i="1"/>
  <c r="E14" i="1"/>
  <c r="AU28" i="1"/>
  <c r="AT41" i="1"/>
  <c r="AT39" i="1"/>
  <c r="AL21" i="1"/>
  <c r="AL31" i="1"/>
  <c r="AL40" i="1" s="1"/>
  <c r="AM31" i="1"/>
  <c r="AL5" i="1"/>
  <c r="AL9" i="1" s="1"/>
  <c r="AL23" i="1"/>
  <c r="N18" i="1"/>
  <c r="BA22" i="1" l="1"/>
  <c r="BA13" i="1"/>
  <c r="BA23" i="1"/>
  <c r="BA6" i="1"/>
  <c r="BA20" i="1" s="1"/>
  <c r="AJ19" i="1"/>
  <c r="AR20" i="1"/>
  <c r="AJ25" i="1"/>
  <c r="F25" i="1"/>
  <c r="J25" i="1"/>
  <c r="M16" i="1"/>
  <c r="M24" i="1"/>
  <c r="F16" i="1"/>
  <c r="F24" i="1"/>
  <c r="L16" i="1"/>
  <c r="L24" i="1"/>
  <c r="E16" i="1"/>
  <c r="E24" i="1"/>
  <c r="D16" i="1"/>
  <c r="D24" i="1"/>
  <c r="J16" i="1"/>
  <c r="J24" i="1"/>
  <c r="AM40" i="1"/>
  <c r="AM46" i="1" s="1"/>
  <c r="AM37" i="1"/>
  <c r="AK11" i="1"/>
  <c r="AK19" i="1"/>
  <c r="AV28" i="1"/>
  <c r="AV41" i="1" s="1"/>
  <c r="AU41" i="1"/>
  <c r="AU39" i="1"/>
  <c r="N11" i="1"/>
  <c r="N25" i="1" s="1"/>
  <c r="N19" i="1"/>
  <c r="AL46" i="1"/>
  <c r="AL37" i="1"/>
  <c r="AL18" i="1"/>
  <c r="AM23" i="1"/>
  <c r="AJ16" i="1"/>
  <c r="M25" i="1"/>
  <c r="BA4" i="1" l="1"/>
  <c r="BA18" i="1"/>
  <c r="AK14" i="1"/>
  <c r="AK25" i="1"/>
  <c r="AL11" i="1"/>
  <c r="AL19" i="1"/>
  <c r="AN31" i="1"/>
  <c r="AN23" i="1"/>
  <c r="AM21" i="1"/>
  <c r="N14" i="1"/>
  <c r="AS20" i="1" l="1"/>
  <c r="N16" i="1"/>
  <c r="N24" i="1"/>
  <c r="AK16" i="1"/>
  <c r="AK24" i="1"/>
  <c r="AN40" i="1"/>
  <c r="AN46" i="1" s="1"/>
  <c r="AN37" i="1"/>
  <c r="AL14" i="1"/>
  <c r="AO31" i="1"/>
  <c r="AL25" i="1"/>
  <c r="AN18" i="1"/>
  <c r="AO23" i="1"/>
  <c r="AN21" i="1"/>
  <c r="AL16" i="1" l="1"/>
  <c r="AL24" i="1"/>
  <c r="AO40" i="1"/>
  <c r="AO46" i="1" s="1"/>
  <c r="AO37" i="1"/>
  <c r="AP31" i="1"/>
  <c r="AP9" i="1"/>
  <c r="AN19" i="1"/>
  <c r="AO21" i="1"/>
  <c r="AP23" i="1"/>
  <c r="AT20" i="1"/>
  <c r="AU20" i="1" l="1"/>
  <c r="AP40" i="1"/>
  <c r="AP46" i="1" s="1"/>
  <c r="AP37" i="1"/>
  <c r="AN11" i="1"/>
  <c r="AQ31" i="1"/>
  <c r="AP21" i="1"/>
  <c r="AQ23" i="1"/>
  <c r="AP18" i="1"/>
  <c r="AN25" i="1" l="1"/>
  <c r="AN49" i="1"/>
  <c r="AQ9" i="1"/>
  <c r="AQ40" i="1"/>
  <c r="AQ46" i="1" s="1"/>
  <c r="AQ37" i="1"/>
  <c r="AN14" i="1"/>
  <c r="AR31" i="1"/>
  <c r="AP19" i="1"/>
  <c r="AR23" i="1"/>
  <c r="AR21" i="1"/>
  <c r="AQ21" i="1"/>
  <c r="AQ18" i="1"/>
  <c r="AN24" i="1" l="1"/>
  <c r="AV20" i="1"/>
  <c r="AR4" i="1"/>
  <c r="AR9" i="1"/>
  <c r="AR40" i="1"/>
  <c r="AR46" i="1" s="1"/>
  <c r="AR37" i="1"/>
  <c r="AN16" i="1"/>
  <c r="AS31" i="1"/>
  <c r="AQ19" i="1"/>
  <c r="AS23" i="1"/>
  <c r="AR18" i="1"/>
  <c r="AW21" i="1" l="1"/>
  <c r="AW9" i="1"/>
  <c r="AS4" i="1"/>
  <c r="AS9" i="1"/>
  <c r="AS40" i="1"/>
  <c r="AS46" i="1" s="1"/>
  <c r="AS37" i="1"/>
  <c r="AT31" i="1"/>
  <c r="AR19" i="1"/>
  <c r="AT23" i="1"/>
  <c r="AS21" i="1"/>
  <c r="AS18" i="1"/>
  <c r="AW19" i="1" l="1"/>
  <c r="AW11" i="1"/>
  <c r="AW49" i="1" s="1"/>
  <c r="AX21" i="1"/>
  <c r="AX9" i="1"/>
  <c r="AT4" i="1"/>
  <c r="AT9" i="1"/>
  <c r="AT40" i="1"/>
  <c r="AT46" i="1" s="1"/>
  <c r="AT37" i="1"/>
  <c r="AU31" i="1"/>
  <c r="AS19" i="1"/>
  <c r="AT21" i="1"/>
  <c r="AU23" i="1"/>
  <c r="AT18" i="1"/>
  <c r="AY21" i="1" l="1"/>
  <c r="AY9" i="1"/>
  <c r="AX11" i="1"/>
  <c r="AX49" i="1" s="1"/>
  <c r="AX19" i="1"/>
  <c r="AU4" i="1"/>
  <c r="AU9" i="1"/>
  <c r="AU40" i="1"/>
  <c r="AU46" i="1" s="1"/>
  <c r="AU37" i="1"/>
  <c r="AV31" i="1"/>
  <c r="AV40" i="1" s="1"/>
  <c r="AT19" i="1"/>
  <c r="AU21" i="1"/>
  <c r="AV23" i="1"/>
  <c r="AV21" i="1"/>
  <c r="AU18" i="1"/>
  <c r="AW25" i="1" l="1"/>
  <c r="AW50" i="1"/>
  <c r="AW62" i="1" s="1"/>
  <c r="AW66" i="1" s="1"/>
  <c r="AW14" i="1"/>
  <c r="AW16" i="1" s="1"/>
  <c r="AY11" i="1"/>
  <c r="AY49" i="1" s="1"/>
  <c r="AY19" i="1"/>
  <c r="AZ21" i="1"/>
  <c r="AZ9" i="1"/>
  <c r="AV4" i="1"/>
  <c r="AV9" i="1"/>
  <c r="AU19" i="1"/>
  <c r="AV18" i="1"/>
  <c r="AX25" i="1" l="1"/>
  <c r="AX50" i="1"/>
  <c r="AX62" i="1" s="1"/>
  <c r="AX66" i="1" s="1"/>
  <c r="AW24" i="1"/>
  <c r="AX14" i="1"/>
  <c r="AX16" i="1" s="1"/>
  <c r="BA21" i="1"/>
  <c r="BA9" i="1"/>
  <c r="AZ11" i="1"/>
  <c r="AZ49" i="1" s="1"/>
  <c r="AZ19" i="1"/>
  <c r="AP11" i="1"/>
  <c r="AP49" i="1" s="1"/>
  <c r="AP62" i="1" s="1"/>
  <c r="AP66" i="1" s="1"/>
  <c r="AV19" i="1"/>
  <c r="AY25" i="1" l="1"/>
  <c r="AY50" i="1"/>
  <c r="AY62" i="1" s="1"/>
  <c r="AY66" i="1" s="1"/>
  <c r="AX24" i="1"/>
  <c r="AY14" i="1"/>
  <c r="AY16" i="1" s="1"/>
  <c r="BA11" i="1"/>
  <c r="BA49" i="1" s="1"/>
  <c r="BA19" i="1"/>
  <c r="AP25" i="1"/>
  <c r="AZ25" i="1" l="1"/>
  <c r="AZ50" i="1"/>
  <c r="AZ62" i="1" s="1"/>
  <c r="AZ66" i="1" s="1"/>
  <c r="AY24" i="1"/>
  <c r="AZ14" i="1"/>
  <c r="AP14" i="1"/>
  <c r="BA25" i="1" l="1"/>
  <c r="BA50" i="1"/>
  <c r="BA62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CP66" i="1" s="1"/>
  <c r="CQ66" i="1" s="1"/>
  <c r="CR66" i="1" s="1"/>
  <c r="CS66" i="1" s="1"/>
  <c r="CT66" i="1" s="1"/>
  <c r="CU66" i="1" s="1"/>
  <c r="CV66" i="1" s="1"/>
  <c r="CW66" i="1" s="1"/>
  <c r="CX66" i="1" s="1"/>
  <c r="CY66" i="1" s="1"/>
  <c r="CZ66" i="1" s="1"/>
  <c r="DA66" i="1" s="1"/>
  <c r="DB66" i="1" s="1"/>
  <c r="DC66" i="1" s="1"/>
  <c r="DD66" i="1" s="1"/>
  <c r="DE66" i="1" s="1"/>
  <c r="DF66" i="1" s="1"/>
  <c r="DG66" i="1" s="1"/>
  <c r="DH66" i="1" s="1"/>
  <c r="DI66" i="1" s="1"/>
  <c r="DJ66" i="1" s="1"/>
  <c r="DK66" i="1" s="1"/>
  <c r="DL66" i="1" s="1"/>
  <c r="DM66" i="1" s="1"/>
  <c r="DN66" i="1" s="1"/>
  <c r="DO66" i="1" s="1"/>
  <c r="DP66" i="1" s="1"/>
  <c r="DQ66" i="1" s="1"/>
  <c r="DR66" i="1" s="1"/>
  <c r="DS66" i="1" s="1"/>
  <c r="DT66" i="1" s="1"/>
  <c r="DU66" i="1" s="1"/>
  <c r="DV66" i="1" s="1"/>
  <c r="DW66" i="1" s="1"/>
  <c r="DX66" i="1" s="1"/>
  <c r="DY66" i="1" s="1"/>
  <c r="DZ66" i="1" s="1"/>
  <c r="EA66" i="1" s="1"/>
  <c r="EB66" i="1" s="1"/>
  <c r="EC66" i="1" s="1"/>
  <c r="ED66" i="1" s="1"/>
  <c r="EE66" i="1" s="1"/>
  <c r="EF66" i="1" s="1"/>
  <c r="EG66" i="1" s="1"/>
  <c r="EH66" i="1" s="1"/>
  <c r="EI66" i="1" s="1"/>
  <c r="AZ16" i="1"/>
  <c r="AZ24" i="1"/>
  <c r="BA14" i="1"/>
  <c r="AP16" i="1"/>
  <c r="AP24" i="1"/>
  <c r="AQ11" i="1"/>
  <c r="AQ49" i="1" s="1"/>
  <c r="AQ62" i="1" s="1"/>
  <c r="AQ66" i="1" s="1"/>
  <c r="BB14" i="1" l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BA24" i="1"/>
  <c r="BA16" i="1"/>
  <c r="AQ25" i="1"/>
  <c r="AQ14" i="1" l="1"/>
  <c r="AQ16" i="1" l="1"/>
  <c r="AQ24" i="1"/>
  <c r="AR11" i="1"/>
  <c r="AR49" i="1" s="1"/>
  <c r="AR25" i="1" l="1"/>
  <c r="AR50" i="1"/>
  <c r="AR62" i="1" s="1"/>
  <c r="AR66" i="1" s="1"/>
  <c r="AR14" i="1"/>
  <c r="AR16" i="1" l="1"/>
  <c r="AR24" i="1"/>
  <c r="AS11" i="1"/>
  <c r="AS49" i="1" s="1"/>
  <c r="AS25" i="1" l="1"/>
  <c r="AS50" i="1"/>
  <c r="AS62" i="1" s="1"/>
  <c r="AS66" i="1" s="1"/>
  <c r="AS14" i="1"/>
  <c r="AS16" i="1" l="1"/>
  <c r="AS24" i="1"/>
  <c r="AT11" i="1"/>
  <c r="AT49" i="1" s="1"/>
  <c r="AT25" i="1" l="1"/>
  <c r="AT50" i="1"/>
  <c r="AT62" i="1" s="1"/>
  <c r="AT66" i="1" s="1"/>
  <c r="AT14" i="1"/>
  <c r="AT16" i="1" l="1"/>
  <c r="AT24" i="1"/>
  <c r="AU11" i="1"/>
  <c r="AU49" i="1" s="1"/>
  <c r="AU25" i="1" l="1"/>
  <c r="AU50" i="1"/>
  <c r="AU62" i="1" s="1"/>
  <c r="AU66" i="1" s="1"/>
  <c r="AU14" i="1"/>
  <c r="AU24" i="1" s="1"/>
  <c r="AU16" i="1" l="1"/>
  <c r="AV11" i="1"/>
  <c r="AV49" i="1" s="1"/>
  <c r="AV25" i="1" l="1"/>
  <c r="AV50" i="1"/>
  <c r="AV62" i="1" s="1"/>
  <c r="AV66" i="1" s="1"/>
  <c r="BD68" i="1" s="1"/>
  <c r="BD70" i="1" s="1"/>
  <c r="BD71" i="1" s="1"/>
  <c r="BD73" i="1" s="1"/>
  <c r="AV14" i="1"/>
  <c r="BD23" i="1" s="1"/>
  <c r="AV16" i="1" l="1"/>
  <c r="AV24" i="1"/>
  <c r="BD25" i="1"/>
  <c r="BD26" i="1" l="1"/>
  <c r="BD28" i="1" s="1"/>
  <c r="AM5" i="1" l="1"/>
  <c r="AM18" i="1" l="1"/>
  <c r="AM9" i="1"/>
  <c r="AM11" i="1" s="1"/>
  <c r="AM49" i="1" s="1"/>
  <c r="AM19" i="1" l="1"/>
  <c r="AM25" i="1"/>
  <c r="AM14" i="1" l="1"/>
  <c r="AM24" i="1" l="1"/>
  <c r="AM16" i="1"/>
  <c r="AO5" i="1"/>
  <c r="AO18" i="1" s="1"/>
  <c r="AO9" i="1" l="1"/>
  <c r="AO19" i="1" l="1"/>
  <c r="AO11" i="1"/>
  <c r="AO49" i="1" s="1"/>
  <c r="AO25" i="1" l="1"/>
  <c r="AO14" i="1" l="1"/>
  <c r="AO16" i="1" l="1"/>
  <c r="AO24" i="1"/>
</calcChain>
</file>

<file path=xl/sharedStrings.xml><?xml version="1.0" encoding="utf-8"?>
<sst xmlns="http://schemas.openxmlformats.org/spreadsheetml/2006/main" count="138" uniqueCount="125">
  <si>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</si>
  <si>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</si>
  <si>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</si>
  <si>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</si>
  <si>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</si>
  <si>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</si>
  <si>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</si>
  <si>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</si>
  <si>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</si>
  <si>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</si>
  <si>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</si>
  <si>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</si>
  <si>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</si>
  <si>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Cost of sales</t>
  </si>
  <si>
    <t>Gross profit</t>
  </si>
  <si>
    <t>Other operating expense</t>
  </si>
  <si>
    <t>Operating profit</t>
  </si>
  <si>
    <t>Net financial expense</t>
  </si>
  <si>
    <t>Pretax income</t>
  </si>
  <si>
    <t>Taxes</t>
  </si>
  <si>
    <t>Net profit</t>
  </si>
  <si>
    <t>Shares</t>
  </si>
  <si>
    <t>EPS</t>
  </si>
  <si>
    <t>VOW</t>
  </si>
  <si>
    <t>Price</t>
  </si>
  <si>
    <t>MC</t>
  </si>
  <si>
    <t>Cash</t>
  </si>
  <si>
    <t>Debt</t>
  </si>
  <si>
    <t>EV</t>
  </si>
  <si>
    <t>Minority interest</t>
  </si>
  <si>
    <t>Gross Margin</t>
  </si>
  <si>
    <t>Operating Margin</t>
  </si>
  <si>
    <t>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</si>
  <si>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</si>
  <si>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</si>
  <si>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</si>
  <si>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</si>
  <si>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</si>
  <si>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</si>
  <si>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</si>
  <si>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</si>
  <si>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Segment</t>
  </si>
  <si>
    <t>VW Passenger Cars</t>
  </si>
  <si>
    <t>Audi</t>
  </si>
  <si>
    <t>Skoda</t>
  </si>
  <si>
    <t>SEAT</t>
  </si>
  <si>
    <t>Bentley</t>
  </si>
  <si>
    <t>Porsche</t>
  </si>
  <si>
    <t>VW Commercial Vehicles</t>
  </si>
  <si>
    <t>Scania</t>
  </si>
  <si>
    <t>MAN</t>
  </si>
  <si>
    <t>VW Financial Services</t>
  </si>
  <si>
    <t>Power Engineering</t>
  </si>
  <si>
    <t>Total</t>
  </si>
  <si>
    <t>2019 Revenue</t>
  </si>
  <si>
    <t>2018 Revenue</t>
  </si>
  <si>
    <t>2019 % of total</t>
  </si>
  <si>
    <t>2018 % of total</t>
  </si>
  <si>
    <t>Net Cash</t>
  </si>
  <si>
    <t>Last time checked</t>
  </si>
  <si>
    <t>Today</t>
  </si>
  <si>
    <t>Global Automotive Revenue</t>
  </si>
  <si>
    <t>VW Revenue</t>
  </si>
  <si>
    <t>Toyota Revenue</t>
  </si>
  <si>
    <t>Toyota Share</t>
  </si>
  <si>
    <t>VW Share</t>
  </si>
  <si>
    <t>Total Modelled Share</t>
  </si>
  <si>
    <t>Fiat Revenue</t>
  </si>
  <si>
    <t>Mercedes Revenue</t>
  </si>
  <si>
    <t>Ford Revenue</t>
  </si>
  <si>
    <t>BMW Revenue</t>
  </si>
  <si>
    <t>Mercedes Share</t>
  </si>
  <si>
    <t>Ford Share</t>
  </si>
  <si>
    <t>Fiat Share</t>
  </si>
  <si>
    <t>BMW Share</t>
  </si>
  <si>
    <t>Total Modelled Revenue</t>
  </si>
  <si>
    <t>Earnings</t>
  </si>
  <si>
    <t>Consensus</t>
  </si>
  <si>
    <t>GM Revenue</t>
  </si>
  <si>
    <t>GM Share</t>
  </si>
  <si>
    <t>Net Margin</t>
  </si>
  <si>
    <t>Q124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</si>
  <si>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</si>
  <si>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</si>
  <si>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</si>
  <si>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</si>
  <si>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</si>
  <si>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</si>
  <si>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</si>
  <si>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</si>
  <si>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</si>
  <si>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</si>
  <si>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</si>
  <si>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</si>
  <si>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</si>
  <si>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</si>
  <si>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</si>
  <si>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Distribution expenses</t>
  </si>
  <si>
    <t>Distribution Margin</t>
  </si>
  <si>
    <t>Admin Margin</t>
  </si>
  <si>
    <t>Administrative expenses</t>
  </si>
  <si>
    <t>Admin y/y</t>
  </si>
  <si>
    <t>Q125</t>
  </si>
  <si>
    <t>Q225</t>
  </si>
  <si>
    <t>Q325</t>
  </si>
  <si>
    <t>Q425</t>
  </si>
  <si>
    <t>depends on expenses</t>
  </si>
  <si>
    <t>Pretax profit</t>
  </si>
  <si>
    <t>D&amp;A</t>
  </si>
  <si>
    <t>Pensions</t>
  </si>
  <si>
    <t>Investments</t>
  </si>
  <si>
    <t>Other non-cash</t>
  </si>
  <si>
    <t>Inventories</t>
  </si>
  <si>
    <t>Receivables</t>
  </si>
  <si>
    <t>Liabilities</t>
  </si>
  <si>
    <t>Provisions</t>
  </si>
  <si>
    <t>Leases</t>
  </si>
  <si>
    <t>CFFO</t>
  </si>
  <si>
    <t>PP&amp;E</t>
  </si>
  <si>
    <t>R&amp;D</t>
  </si>
  <si>
    <t>FCF</t>
  </si>
  <si>
    <t>Total CapEx</t>
  </si>
  <si>
    <t>Impairment</t>
  </si>
  <si>
    <t>NPV (FCF)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</si>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</sst>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3" fillId="2" borderId="1" xfId="0" applyNumberFormat="1" applyFont="1" applyFill="1" applyBorder="1"/>
    <xf numFmtId="14" fontId="4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0" fontId="5" fillId="0" borderId="1" xfId="0" applyFont="1" applyBorder="1"/>
    <xf numFmtId="0" fontId="6" fillId="0" borderId="1" xfId="0" applyFont="1" applyBorder="1"/>
    <xf numFmtId="3" fontId="6" fillId="0" borderId="1" xfId="0" applyNumberFormat="1" applyFont="1" applyBorder="1"/>
    <xf numFmtId="9" fontId="6" fillId="0" borderId="1" xfId="0" applyNumberFormat="1" applyFont="1" applyBorder="1"/>
    <xf numFmtId="0" fontId="7" fillId="0" borderId="1" xfId="0" applyFont="1" applyBorder="1"/>
    <xf numFmtId="0" fontId="3" fillId="2" borderId="1" xfId="0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9" fontId="2" fillId="2" borderId="1" xfId="0" applyNumberFormat="1" applyFont="1" applyFill="1" applyBorder="1"/>
    <xf numFmtId="9" fontId="3" fillId="2" borderId="1" xfId="0" applyNumberFormat="1" applyFont="1" applyFill="1" applyBorder="1"/>
  </cellXfs>
  <cellStyles count="1">
    <cellStyle name="Normal" xfId="0" builtinId="0"/>
  </cellStyles>
  <dxfs count="8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border diagonalUp="0" diagonalDown="0" outline="0">
        <left style="thin">
          <color theme="1" tint="0.249977111117893"/>
        </left>
        <right/>
        <top style="thin">
          <color theme="1" tint="0.249977111117893"/>
        </top>
        <bottom style="thin">
          <color theme="1" tint="0.249977111117893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border diagonalUp="0" diagonalDown="0"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border diagonalUp="0" diagonalDown="0"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1" tint="0.249977111117893"/>
        </left>
        <right style="thin">
          <color theme="1" tint="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30480</xdr:colOff>
      <xdr:row>0</xdr:row>
      <xdr:rowOff>15240</xdr:rowOff>
    </xdr:from>
    <xdr:to>
      <xdr:col>42</xdr:col>
      <xdr:colOff>30480</xdr:colOff>
      <xdr:row>71</xdr:row>
      <xdr:rowOff>99060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2413563-FCC9-E6E6-5E5E-4F564E31B4B5}"/>
            </a:ext>
          </a:extLst>
        </xdr:cNvPr>
        <xdr:cNvCxnSpPr/>
      </xdr:nvCxnSpPr>
      <xdr:spPr>
        <a:xfrm>
          <a:off x="26631900" y="15240"/>
          <a:ext cx="0" cy="1306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22860</xdr:colOff>
      <xdr:row>0</xdr:row>
      <xdr:rowOff>0</xdr:rowOff>
    </xdr:from>
    <xdr:to>
      <xdr:col>32</xdr:col>
      <xdr:colOff>22860</xdr:colOff>
      <xdr:row>35</xdr:row>
      <xdr:rowOff>76200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797525C-352E-048A-EB90-409AE91AFAD7}"/>
            </a:ext>
          </a:extLst>
        </xdr:cNvPr>
        <xdr:cNvCxnSpPr/>
      </xdr:nvCxnSpPr>
      <xdr:spPr>
        <a:xfrm>
          <a:off x="20528280" y="0"/>
          <a:ext cx="0" cy="6477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TM.xlsx" TargetMode="External"/><Relationship Id="rId1" Type="http://schemas.openxmlformats.org/officeDocument/2006/relationships/externalLinkPath" Target="T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DAI.xlsx" TargetMode="External"/><Relationship Id="rId1" Type="http://schemas.openxmlformats.org/officeDocument/2006/relationships/externalLinkPath" Target="DA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.xlsx" TargetMode="External"/><Relationship Id="rId1" Type="http://schemas.openxmlformats.org/officeDocument/2006/relationships/externalLinkPath" Target="F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GM.xlsx" TargetMode="External"/><Relationship Id="rId1" Type="http://schemas.openxmlformats.org/officeDocument/2006/relationships/externalLinkPath" Target="GM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C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BMW.xlsx" TargetMode="External"/><Relationship Id="rId1" Type="http://schemas.openxmlformats.org/officeDocument/2006/relationships/externalLinkPath" Target="BM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urrency"/>
    </sheetNames>
    <sheetDataSet>
      <sheetData sheetId="0"/>
      <sheetData sheetId="1">
        <row r="3">
          <cell r="G3">
            <v>31021.482030881263</v>
          </cell>
          <cell r="H3">
            <v>45677.479603533138</v>
          </cell>
          <cell r="I3">
            <v>54952.680196884903</v>
          </cell>
          <cell r="J3">
            <v>53497.672779987864</v>
          </cell>
          <cell r="K3"/>
          <cell r="L3"/>
          <cell r="M3"/>
          <cell r="N3"/>
          <cell r="O3"/>
          <cell r="P3"/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/>
      <sheetData sheetId="1">
        <row r="4">
          <cell r="Q4">
            <v>24933</v>
          </cell>
          <cell r="R4">
            <v>26567</v>
          </cell>
          <cell r="S4">
            <v>26894</v>
          </cell>
          <cell r="T4">
            <v>27938</v>
          </cell>
          <cell r="U4">
            <v>28934</v>
          </cell>
          <cell r="V4">
            <v>32231</v>
          </cell>
          <cell r="W4">
            <v>28066</v>
          </cell>
          <cell r="X4">
            <v>29284</v>
          </cell>
          <cell r="Y4">
            <v>29166</v>
          </cell>
          <cell r="Z4">
            <v>32323</v>
          </cell>
          <cell r="AA4">
            <v>28767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/>
      <sheetData sheetId="1">
        <row r="3">
          <cell r="R3">
            <v>37678</v>
          </cell>
          <cell r="S3">
            <v>34476</v>
          </cell>
          <cell r="T3">
            <v>40190</v>
          </cell>
          <cell r="U3">
            <v>39392</v>
          </cell>
          <cell r="V3">
            <v>43999</v>
          </cell>
          <cell r="W3">
            <v>41474</v>
          </cell>
          <cell r="X3">
            <v>44954</v>
          </cell>
          <cell r="Y3">
            <v>43801</v>
          </cell>
          <cell r="Z3">
            <v>45962</v>
          </cell>
          <cell r="AA3">
            <v>42777</v>
          </cell>
          <cell r="AB3">
            <v>47808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/>
      <sheetData sheetId="1">
        <row r="3">
          <cell r="AL3">
            <v>122485</v>
          </cell>
          <cell r="AM3">
            <v>127004</v>
          </cell>
          <cell r="AN3">
            <v>156735</v>
          </cell>
          <cell r="AO3">
            <v>171842</v>
          </cell>
          <cell r="AP3">
            <v>187442</v>
          </cell>
          <cell r="AQ3">
            <v>189316.42</v>
          </cell>
          <cell r="AR3">
            <v>191209.58420000001</v>
          </cell>
          <cell r="AS3">
            <v>193121.68004200002</v>
          </cell>
          <cell r="AT3">
            <v>195052.89684242001</v>
          </cell>
          <cell r="AU3">
            <v>197003.42581084423</v>
          </cell>
          <cell r="AV3">
            <v>198973.46006895267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/>
      <sheetData sheetId="1">
        <row r="3">
          <cell r="F3">
            <v>86549.6</v>
          </cell>
          <cell r="G3">
            <v>103859.52</v>
          </cell>
          <cell r="H3">
            <v>104898.1152</v>
          </cell>
          <cell r="I3">
            <v>105947.09635200001</v>
          </cell>
          <cell r="J3">
            <v>107006.56731552001</v>
          </cell>
          <cell r="K3">
            <v>107006.56731552001</v>
          </cell>
          <cell r="L3">
            <v>107006.56731552001</v>
          </cell>
          <cell r="M3">
            <v>107006.56731552001</v>
          </cell>
          <cell r="N3">
            <v>107006.56731552001</v>
          </cell>
          <cell r="O3">
            <v>107006.56731552001</v>
          </cell>
          <cell r="P3">
            <v>107006.56731552001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/>
      <sheetData sheetId="1">
        <row r="3">
          <cell r="R3">
            <v>28408</v>
          </cell>
          <cell r="S3">
            <v>31142</v>
          </cell>
          <cell r="T3">
            <v>34770</v>
          </cell>
          <cell r="U3">
            <v>37176</v>
          </cell>
          <cell r="V3">
            <v>39522</v>
          </cell>
          <cell r="W3">
            <v>36853</v>
          </cell>
          <cell r="X3">
            <v>37219</v>
          </cell>
          <cell r="Y3">
            <v>38458</v>
          </cell>
          <cell r="Z3">
            <v>42968</v>
          </cell>
          <cell r="AA3">
            <v>36614</v>
          </cell>
          <cell r="AB3">
            <v>36944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EE5E1-D9DB-4082-9947-FBBDFBD43C47}" name="Table1" displayName="Table1" ref="I3:N15" totalsRowShown="0" headerRowDxfId="7" dataDxfId="6">
  <autoFilter ref="I3:N15" xr:uid="{1CFB0175-B769-4BF1-9147-35C5C068DB31}"/>
  <sortState xmlns:xlrd2="http://schemas.microsoft.com/office/spreadsheetml/2017/richdata2" ref="I4:M14">
    <sortCondition descending="1" ref="L3:L14"/>
  </sortState>
  <tableColumns count="6">
    <tableColumn id="1" xr3:uid="{A89DA74B-5588-419D-9069-7561F6170F90}" name="Segment" dataDxfId="5"/>
    <tableColumn id="4" xr3:uid="{66A9AEE1-3394-4ABD-8A02-517728484404}" name="2018 Revenue" dataDxfId="4"/>
    <tableColumn id="5" xr3:uid="{0967840B-6C5B-45ED-BB5A-27BC983C79FE}" name="2018 % of total" dataDxfId="3">
      <calculatedColumnFormula>Table1[[#This Row],[2018 Revenue]]/$L$15</calculatedColumnFormula>
    </tableColumn>
    <tableColumn id="2" xr3:uid="{6E1B27B0-9778-4885-B6DA-DBD650F912A9}" name="2019 Revenue" dataDxfId="2"/>
    <tableColumn id="3" xr3:uid="{95C24A00-FC26-4A0B-8492-15778342D9F3}" name="2019 % of total" dataDxfId="1">
      <calculatedColumnFormula>Table1[[#This Row],[2019 Revenue]]/$L$15</calculatedColumnFormula>
    </tableColumn>
    <tableColumn id="6" xr3:uid="{DC293C35-3FE8-4810-BC6E-21C487BC48C4}" name="Revenue y/y" dataDxfId="0">
      <calculatedColumnFormula>Table1[[#This Row],[2019 Revenue]]/Table1[[#This Row],[2018 Revenue]]-1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8E42-308A-4F1A-8E17-49518F9E2DA0}">
  <dimension ref="B2:N15"/>
  <sheetViews>
    <sheetView workbookViewId="0">
      <selection activeCell="E1" sqref="E1"/>
    </sheetView>
  </sheetViews>
  <sheetFormatPr defaultRowHeight="14.4" x14ac:dyDescent="0.3"/>
  <cols>
    <col min="1" max="4" width="8.88671875" style="1"/>
    <col min="5" max="8" width="15.77734375" style="2" customWidth="1"/>
    <col min="9" max="9" width="21.5546875" style="1" bestFit="1" customWidth="1"/>
    <col min="10" max="10" width="15" style="1" bestFit="1" customWidth="1"/>
    <col min="11" max="11" width="15.77734375" style="1" bestFit="1" customWidth="1"/>
    <col min="12" max="12" width="15" style="1" bestFit="1" customWidth="1"/>
    <col min="13" max="13" width="15.77734375" style="1" bestFit="1" customWidth="1"/>
    <col min="14" max="14" width="13.88671875" style="1" bestFit="1" customWidth="1"/>
    <col min="15" max="16384" width="8.88671875" style="1"/>
  </cols>
  <sheetData>
    <row r="2" spans="2:14" x14ac:dyDescent="0.3">
      <c r="E2" s="2" t="s">
        <v>59</v>
      </c>
      <c r="F2" s="2" t="s">
        <v>60</v>
      </c>
      <c r="G2" s="2" t="s">
        <v>76</v>
      </c>
    </row>
    <row r="3" spans="2:14" x14ac:dyDescent="0.3">
      <c r="B3" s="3" t="s">
        <v>23</v>
      </c>
      <c r="C3" s="1" t="s">
        <v>24</v>
      </c>
      <c r="D3" s="4">
        <v>101.3</v>
      </c>
      <c r="E3" s="5">
        <v>45863</v>
      </c>
      <c r="F3" s="5">
        <f ca="1">TODAY()</f>
        <v>45905</v>
      </c>
      <c r="G3" s="5">
        <v>45960</v>
      </c>
      <c r="H3" s="5"/>
      <c r="I3" s="7" t="s">
        <v>41</v>
      </c>
      <c r="J3" s="8" t="s">
        <v>55</v>
      </c>
      <c r="K3" s="8" t="s">
        <v>57</v>
      </c>
      <c r="L3" s="8" t="s">
        <v>54</v>
      </c>
      <c r="M3" s="8" t="s">
        <v>56</v>
      </c>
      <c r="N3" s="8" t="s">
        <v>32</v>
      </c>
    </row>
    <row r="4" spans="2:14" x14ac:dyDescent="0.3">
      <c r="C4" s="1" t="s">
        <v>21</v>
      </c>
      <c r="D4" s="6">
        <f>295.1+206.2</f>
        <v>501.3</v>
      </c>
      <c r="E4" s="2" t="s">
        <v>103</v>
      </c>
      <c r="I4" s="8" t="s">
        <v>42</v>
      </c>
      <c r="J4" s="9">
        <v>84585</v>
      </c>
      <c r="K4" s="10">
        <f>Table1[[#This Row],[2018 Revenue]]/$L$15</f>
        <v>0.29829139703418966</v>
      </c>
      <c r="L4" s="9">
        <v>88407</v>
      </c>
      <c r="M4" s="10">
        <f>Table1[[#This Row],[2019 Revenue]]/$L$15</f>
        <v>0.31176978823197504</v>
      </c>
      <c r="N4" s="10">
        <f>Table1[[#This Row],[2019 Revenue]]/Table1[[#This Row],[2018 Revenue]]-1</f>
        <v>4.5185316545486742E-2</v>
      </c>
    </row>
    <row r="5" spans="2:14" x14ac:dyDescent="0.3">
      <c r="C5" s="1" t="s">
        <v>25</v>
      </c>
      <c r="D5" s="6">
        <f>D4*D3</f>
        <v>50781.69</v>
      </c>
      <c r="I5" s="8" t="s">
        <v>43</v>
      </c>
      <c r="J5" s="9">
        <v>59248</v>
      </c>
      <c r="K5" s="10">
        <f>Table1[[#This Row],[2018 Revenue]]/$L$15</f>
        <v>0.20893974926383721</v>
      </c>
      <c r="L5" s="9">
        <v>55680</v>
      </c>
      <c r="M5" s="10">
        <f>Table1[[#This Row],[2019 Revenue]]/$L$15</f>
        <v>0.1963570962565902</v>
      </c>
      <c r="N5" s="10">
        <f>Table1[[#This Row],[2019 Revenue]]/Table1[[#This Row],[2018 Revenue]]-1</f>
        <v>-6.0221442073994047E-2</v>
      </c>
    </row>
    <row r="6" spans="2:14" x14ac:dyDescent="0.3">
      <c r="C6" s="1" t="s">
        <v>26</v>
      </c>
      <c r="D6" s="6">
        <f>34802+28110</f>
        <v>62912</v>
      </c>
      <c r="E6" s="2" t="s">
        <v>103</v>
      </c>
      <c r="I6" s="8" t="s">
        <v>51</v>
      </c>
      <c r="J6" s="9">
        <v>32764</v>
      </c>
      <c r="K6" s="10">
        <f>Table1[[#This Row],[2018 Revenue]]/$L$15</f>
        <v>0.11554317352282545</v>
      </c>
      <c r="L6" s="9">
        <v>37957</v>
      </c>
      <c r="M6" s="10">
        <f>Table1[[#This Row],[2019 Revenue]]/$L$15</f>
        <v>0.13385643503253222</v>
      </c>
      <c r="N6" s="10">
        <f>Table1[[#This Row],[2019 Revenue]]/Table1[[#This Row],[2018 Revenue]]-1</f>
        <v>0.15849713099743612</v>
      </c>
    </row>
    <row r="7" spans="2:14" x14ac:dyDescent="0.3">
      <c r="C7" s="1" t="s">
        <v>27</v>
      </c>
      <c r="D7" s="6">
        <f>126013+129905</f>
        <v>255918</v>
      </c>
      <c r="E7" s="2" t="s">
        <v>103</v>
      </c>
      <c r="I7" s="8" t="s">
        <v>47</v>
      </c>
      <c r="J7" s="9">
        <v>23668</v>
      </c>
      <c r="K7" s="10">
        <f>Table1[[#This Row],[2018 Revenue]]/$L$15</f>
        <v>8.3465872022287654E-2</v>
      </c>
      <c r="L7" s="9">
        <v>26060</v>
      </c>
      <c r="M7" s="10">
        <f>Table1[[#This Row],[2019 Revenue]]/$L$15</f>
        <v>9.190132773790842E-2</v>
      </c>
      <c r="N7" s="10">
        <f>Table1[[#This Row],[2019 Revenue]]/Table1[[#This Row],[2018 Revenue]]-1</f>
        <v>0.10106472874767625</v>
      </c>
    </row>
    <row r="8" spans="2:14" x14ac:dyDescent="0.3">
      <c r="C8" s="1" t="s">
        <v>58</v>
      </c>
      <c r="D8" s="6">
        <f>D6-D7</f>
        <v>-193006</v>
      </c>
      <c r="I8" s="8" t="s">
        <v>44</v>
      </c>
      <c r="J8" s="9">
        <v>17293</v>
      </c>
      <c r="K8" s="10">
        <f>Table1[[#This Row],[2018 Revenue]]/$L$15</f>
        <v>6.0984254051099397E-2</v>
      </c>
      <c r="L8" s="9">
        <v>19806</v>
      </c>
      <c r="M8" s="10">
        <f>Table1[[#This Row],[2019 Revenue]]/$L$15</f>
        <v>6.9846419692134079E-2</v>
      </c>
      <c r="N8" s="10">
        <f>Table1[[#This Row],[2019 Revenue]]/Table1[[#This Row],[2018 Revenue]]-1</f>
        <v>0.14531891516798701</v>
      </c>
    </row>
    <row r="9" spans="2:14" x14ac:dyDescent="0.3">
      <c r="C9" s="1" t="s">
        <v>28</v>
      </c>
      <c r="D9" s="6">
        <f>D5-D6+D7</f>
        <v>243787.69</v>
      </c>
      <c r="I9" s="8" t="s">
        <v>49</v>
      </c>
      <c r="J9" s="9">
        <v>12981</v>
      </c>
      <c r="K9" s="10">
        <f>Table1[[#This Row],[2018 Revenue]]/$L$15</f>
        <v>4.5777863981803113E-2</v>
      </c>
      <c r="L9" s="9">
        <v>13934</v>
      </c>
      <c r="M9" s="10">
        <f>Table1[[#This Row],[2019 Revenue]]/$L$15</f>
        <v>4.9138645460476436E-2</v>
      </c>
      <c r="N9" s="10">
        <f>Table1[[#This Row],[2019 Revenue]]/Table1[[#This Row],[2018 Revenue]]-1</f>
        <v>7.3414991140898334E-2</v>
      </c>
    </row>
    <row r="10" spans="2:14" x14ac:dyDescent="0.3">
      <c r="I10" s="8" t="s">
        <v>50</v>
      </c>
      <c r="J10" s="9">
        <v>12104</v>
      </c>
      <c r="K10" s="10">
        <f>Table1[[#This Row],[2018 Revenue]]/$L$15</f>
        <v>4.2685098654629453E-2</v>
      </c>
      <c r="L10" s="9">
        <v>12663</v>
      </c>
      <c r="M10" s="10">
        <f>Table1[[#This Row],[2019 Revenue]]/$L$15</f>
        <v>4.4656427979475603E-2</v>
      </c>
      <c r="N10" s="10">
        <f>Table1[[#This Row],[2019 Revenue]]/Table1[[#This Row],[2018 Revenue]]-1</f>
        <v>4.6183079973562524E-2</v>
      </c>
    </row>
    <row r="11" spans="2:14" x14ac:dyDescent="0.3">
      <c r="I11" s="8" t="s">
        <v>45</v>
      </c>
      <c r="J11" s="9">
        <v>10202</v>
      </c>
      <c r="K11" s="10">
        <f>Table1[[#This Row],[2018 Revenue]]/$L$15</f>
        <v>3.5977641810519635E-2</v>
      </c>
      <c r="L11" s="9">
        <v>11496</v>
      </c>
      <c r="M11" s="10">
        <f>Table1[[#This Row],[2019 Revenue]]/$L$15</f>
        <v>4.0540969442632198E-2</v>
      </c>
      <c r="N11" s="10">
        <f>Table1[[#This Row],[2019 Revenue]]/Table1[[#This Row],[2018 Revenue]]-1</f>
        <v>0.12683787492648491</v>
      </c>
    </row>
    <row r="12" spans="2:14" x14ac:dyDescent="0.3">
      <c r="I12" s="8" t="s">
        <v>48</v>
      </c>
      <c r="J12" s="9">
        <v>11875</v>
      </c>
      <c r="K12" s="10">
        <f>Table1[[#This Row],[2018 Revenue]]/$L$15</f>
        <v>4.1877523671821279E-2</v>
      </c>
      <c r="L12" s="9">
        <v>11473</v>
      </c>
      <c r="M12" s="10">
        <f>Table1[[#This Row],[2019 Revenue]]/$L$15</f>
        <v>4.0459859291520461E-2</v>
      </c>
      <c r="N12" s="10">
        <f>Table1[[#This Row],[2019 Revenue]]/Table1[[#This Row],[2018 Revenue]]-1</f>
        <v>-3.3852631578947356E-2</v>
      </c>
    </row>
    <row r="13" spans="2:14" x14ac:dyDescent="0.3">
      <c r="I13" s="8" t="s">
        <v>52</v>
      </c>
      <c r="J13" s="9">
        <v>3608</v>
      </c>
      <c r="K13" s="10">
        <f>Table1[[#This Row],[2018 Revenue]]/$L$15</f>
        <v>1.2723714139615256E-2</v>
      </c>
      <c r="L13" s="9">
        <v>3997</v>
      </c>
      <c r="M13" s="10">
        <f>Table1[[#This Row],[2019 Revenue]]/$L$15</f>
        <v>1.4095533651896391E-2</v>
      </c>
      <c r="N13" s="10">
        <f>Table1[[#This Row],[2019 Revenue]]/Table1[[#This Row],[2018 Revenue]]-1</f>
        <v>0.10781596452328168</v>
      </c>
    </row>
    <row r="14" spans="2:14" x14ac:dyDescent="0.3">
      <c r="I14" s="8" t="s">
        <v>46</v>
      </c>
      <c r="J14" s="9">
        <v>1548</v>
      </c>
      <c r="K14" s="10">
        <f>Table1[[#This Row],[2018 Revenue]]/$L$15</f>
        <v>5.4590658226508909E-3</v>
      </c>
      <c r="L14" s="9">
        <v>2092</v>
      </c>
      <c r="M14" s="10">
        <f>Table1[[#This Row],[2019 Revenue]]/$L$15</f>
        <v>7.3774972228589563E-3</v>
      </c>
      <c r="N14" s="10">
        <f>Table1[[#This Row],[2019 Revenue]]/Table1[[#This Row],[2018 Revenue]]-1</f>
        <v>0.35142118863049099</v>
      </c>
    </row>
    <row r="15" spans="2:14" x14ac:dyDescent="0.3">
      <c r="I15" s="11" t="s">
        <v>53</v>
      </c>
      <c r="J15" s="9">
        <f>SUM(J4:J14)</f>
        <v>269876</v>
      </c>
      <c r="K15" s="10">
        <f>Table1[[#This Row],[2018 Revenue]]/$L$15</f>
        <v>0.95172535397527902</v>
      </c>
      <c r="L15" s="9">
        <f>SUM(L4:L14)</f>
        <v>283565</v>
      </c>
      <c r="M15" s="10">
        <f>Table1[[#This Row],[2019 Revenue]]/$L$15</f>
        <v>1</v>
      </c>
      <c r="N15" s="10">
        <f>Table1[[#This Row],[2019 Revenue]]/Table1[[#This Row],[2018 Revenue]]-1</f>
        <v>5.0723295142954594E-2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6E3C-30BA-4B28-BB1D-F276369A9923}">
  <dimension ref="B1:FB73"/>
  <sheetViews>
    <sheetView tabSelected="1" workbookViewId="0">
      <pane xSplit="2" ySplit="2" topLeftCell="AN21" activePane="bottomRight" state="frozen"/>
      <selection pane="topRight" activeCell="C1" sqref="C1"/>
      <selection pane="bottomLeft" activeCell="A3" sqref="A3"/>
      <selection pane="bottomRight" activeCell="FB14" sqref="FB14"/>
    </sheetView>
  </sheetViews>
  <sheetFormatPr defaultRowHeight="14.4" x14ac:dyDescent="0.3"/>
  <cols>
    <col min="1" max="1" width="8.88671875" style="1"/>
    <col min="2" max="2" width="23.44140625" style="1" bestFit="1" customWidth="1"/>
    <col min="3" max="37" width="8.88671875" style="1"/>
    <col min="38" max="38" width="8.88671875" style="6" customWidth="1"/>
    <col min="39" max="49" width="8.88671875" style="1"/>
    <col min="50" max="51" width="8.88671875" style="1" customWidth="1"/>
    <col min="52" max="54" width="8.88671875" style="1"/>
    <col min="55" max="55" width="11.88671875" style="1" bestFit="1" customWidth="1"/>
    <col min="56" max="56" width="17.33203125" style="1" bestFit="1" customWidth="1"/>
    <col min="57" max="16384" width="8.88671875" style="1"/>
  </cols>
  <sheetData>
    <row r="1" spans="2:158" x14ac:dyDescent="0.3">
      <c r="AL1" s="1"/>
    </row>
    <row r="2" spans="2:158" x14ac:dyDescent="0.3"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3" t="s">
        <v>11</v>
      </c>
      <c r="N2" s="13" t="s">
        <v>12</v>
      </c>
      <c r="O2" s="13" t="s">
        <v>82</v>
      </c>
      <c r="P2" s="13" t="s">
        <v>83</v>
      </c>
      <c r="Q2" s="13" t="s">
        <v>84</v>
      </c>
      <c r="R2" s="13" t="s">
        <v>85</v>
      </c>
      <c r="S2" s="13" t="s">
        <v>86</v>
      </c>
      <c r="T2" s="13" t="s">
        <v>87</v>
      </c>
      <c r="U2" s="13" t="s">
        <v>88</v>
      </c>
      <c r="V2" s="13" t="s">
        <v>89</v>
      </c>
      <c r="W2" s="13" t="s">
        <v>90</v>
      </c>
      <c r="X2" s="13" t="s">
        <v>91</v>
      </c>
      <c r="Y2" s="13" t="s">
        <v>92</v>
      </c>
      <c r="Z2" s="13" t="s">
        <v>93</v>
      </c>
      <c r="AA2" s="13" t="s">
        <v>81</v>
      </c>
      <c r="AB2" s="13" t="s">
        <v>94</v>
      </c>
      <c r="AC2" s="13" t="s">
        <v>95</v>
      </c>
      <c r="AD2" s="13" t="s">
        <v>96</v>
      </c>
      <c r="AE2" s="13" t="s">
        <v>102</v>
      </c>
      <c r="AF2" s="13" t="s">
        <v>103</v>
      </c>
      <c r="AG2" s="13" t="s">
        <v>104</v>
      </c>
      <c r="AH2" s="13" t="s">
        <v>105</v>
      </c>
      <c r="AJ2" s="1">
        <v>2018</v>
      </c>
      <c r="AK2" s="1">
        <v>2019</v>
      </c>
      <c r="AL2" s="1">
        <v>2020</v>
      </c>
      <c r="AM2" s="1">
        <v>2021</v>
      </c>
      <c r="AN2" s="1">
        <v>2022</v>
      </c>
      <c r="AO2" s="1">
        <v>2023</v>
      </c>
      <c r="AP2" s="1">
        <v>2024</v>
      </c>
      <c r="AQ2" s="1">
        <v>2025</v>
      </c>
      <c r="AR2" s="1">
        <v>2026</v>
      </c>
      <c r="AS2" s="1">
        <v>2027</v>
      </c>
      <c r="AT2" s="1">
        <v>2028</v>
      </c>
      <c r="AU2" s="1">
        <v>2029</v>
      </c>
      <c r="AV2" s="1">
        <v>2030</v>
      </c>
      <c r="AW2" s="1">
        <v>2031</v>
      </c>
      <c r="AX2" s="1">
        <v>2032</v>
      </c>
      <c r="AY2" s="1">
        <v>2033</v>
      </c>
      <c r="AZ2" s="1">
        <v>2034</v>
      </c>
      <c r="BA2" s="1">
        <v>2035</v>
      </c>
    </row>
    <row r="3" spans="2:158" s="3" customFormat="1" x14ac:dyDescent="0.3">
      <c r="B3" s="3" t="s">
        <v>0</v>
      </c>
      <c r="C3" s="14">
        <v>58228</v>
      </c>
      <c r="D3" s="14">
        <v>61149</v>
      </c>
      <c r="E3" s="14">
        <v>55200</v>
      </c>
      <c r="F3" s="14">
        <f>235849-E3-D3-C3</f>
        <v>61272</v>
      </c>
      <c r="G3" s="14">
        <v>60012</v>
      </c>
      <c r="H3" s="14">
        <v>65185</v>
      </c>
      <c r="I3" s="14">
        <v>61420</v>
      </c>
      <c r="J3" s="14">
        <f>252632-I3-H3-G3</f>
        <v>66015</v>
      </c>
      <c r="K3" s="14">
        <v>55054</v>
      </c>
      <c r="L3" s="14">
        <v>41076</v>
      </c>
      <c r="M3" s="14">
        <v>59355</v>
      </c>
      <c r="N3" s="14">
        <f>AL3-M3-L3-K3</f>
        <v>67399</v>
      </c>
      <c r="O3" s="14">
        <v>62376</v>
      </c>
      <c r="P3" s="14">
        <v>67293</v>
      </c>
      <c r="Q3" s="14">
        <v>56931</v>
      </c>
      <c r="R3" s="14">
        <f>AM3-O3-P3-Q3</f>
        <v>63600</v>
      </c>
      <c r="S3" s="14">
        <v>62742</v>
      </c>
      <c r="T3" s="14">
        <v>69543</v>
      </c>
      <c r="U3" s="14">
        <v>70712</v>
      </c>
      <c r="V3" s="14">
        <f>AN3-S3-T3-U3</f>
        <v>76235</v>
      </c>
      <c r="W3" s="14">
        <v>76198</v>
      </c>
      <c r="X3" s="14">
        <v>80059</v>
      </c>
      <c r="Y3" s="14">
        <v>78845</v>
      </c>
      <c r="Z3" s="14">
        <f>AO3-W3-X3-Y3</f>
        <v>87182</v>
      </c>
      <c r="AA3" s="14">
        <v>75461</v>
      </c>
      <c r="AB3" s="14">
        <v>83339</v>
      </c>
      <c r="AC3" s="14">
        <v>78478</v>
      </c>
      <c r="AD3" s="14">
        <f>AP3-AC3-AB3-AA3</f>
        <v>87378</v>
      </c>
      <c r="AE3" s="14">
        <v>77558</v>
      </c>
      <c r="AF3" s="14">
        <v>80806</v>
      </c>
      <c r="AG3" s="14">
        <f>AC3*0.98</f>
        <v>76908.44</v>
      </c>
      <c r="AH3" s="14">
        <f>AD3*0.99</f>
        <v>86504.22</v>
      </c>
      <c r="AJ3" s="14">
        <f>SUM(C3:F3)</f>
        <v>235849</v>
      </c>
      <c r="AK3" s="14">
        <f>SUM(G3:J3)</f>
        <v>252632</v>
      </c>
      <c r="AL3" s="14">
        <v>222884</v>
      </c>
      <c r="AM3" s="14">
        <v>250200</v>
      </c>
      <c r="AN3" s="14">
        <v>279232</v>
      </c>
      <c r="AO3" s="14">
        <v>322284</v>
      </c>
      <c r="AP3" s="14">
        <v>324656</v>
      </c>
      <c r="AQ3" s="14">
        <f>SUM(AE3:AH3)</f>
        <v>321776.66000000003</v>
      </c>
      <c r="AR3" s="14">
        <f>AQ3*1.02</f>
        <v>328212.19320000004</v>
      </c>
      <c r="AS3" s="14">
        <f>AR3*1.01</f>
        <v>331494.31513200002</v>
      </c>
      <c r="AT3" s="14">
        <f t="shared" ref="AT3:BA3" si="0">AS3*1.01</f>
        <v>334809.25828332</v>
      </c>
      <c r="AU3" s="14">
        <f t="shared" si="0"/>
        <v>338157.3508661532</v>
      </c>
      <c r="AV3" s="14">
        <f t="shared" si="0"/>
        <v>341538.92437481473</v>
      </c>
      <c r="AW3" s="14">
        <f t="shared" si="0"/>
        <v>344954.31361856288</v>
      </c>
      <c r="AX3" s="14">
        <f t="shared" si="0"/>
        <v>348403.8567547485</v>
      </c>
      <c r="AY3" s="14">
        <f t="shared" si="0"/>
        <v>351887.89532229601</v>
      </c>
      <c r="AZ3" s="14">
        <f t="shared" si="0"/>
        <v>355406.77427551895</v>
      </c>
      <c r="BA3" s="14">
        <f t="shared" si="0"/>
        <v>358960.84201827412</v>
      </c>
    </row>
    <row r="4" spans="2:158" x14ac:dyDescent="0.3">
      <c r="B4" s="1" t="s">
        <v>13</v>
      </c>
      <c r="C4" s="6">
        <v>46657</v>
      </c>
      <c r="D4" s="6">
        <v>47891</v>
      </c>
      <c r="E4" s="6">
        <v>44984</v>
      </c>
      <c r="F4" s="6">
        <f>189500-E4-D4-C4</f>
        <v>49968</v>
      </c>
      <c r="G4" s="6">
        <v>48324</v>
      </c>
      <c r="H4" s="6">
        <v>52130</v>
      </c>
      <c r="I4" s="6">
        <v>49782</v>
      </c>
      <c r="J4" s="6">
        <f>203490-I4-H4-G4</f>
        <v>53254</v>
      </c>
      <c r="K4" s="6">
        <v>45824</v>
      </c>
      <c r="L4" s="6">
        <v>37404</v>
      </c>
      <c r="M4" s="6">
        <v>48928</v>
      </c>
      <c r="N4" s="6">
        <f>AL4-M4-L4-K4</f>
        <v>51781</v>
      </c>
      <c r="O4" s="6">
        <v>50048</v>
      </c>
      <c r="P4" s="6">
        <v>54772</v>
      </c>
      <c r="Q4" s="6">
        <v>48009</v>
      </c>
      <c r="R4" s="6">
        <f>AM4-O4-P4-Q4</f>
        <v>50130</v>
      </c>
      <c r="S4" s="6">
        <v>50754</v>
      </c>
      <c r="T4" s="6">
        <v>55053</v>
      </c>
      <c r="U4" s="6">
        <v>58036</v>
      </c>
      <c r="V4" s="6">
        <f>AN4-S4-T4-U4</f>
        <v>63162</v>
      </c>
      <c r="W4" s="6">
        <v>61005</v>
      </c>
      <c r="X4" s="6">
        <v>64337</v>
      </c>
      <c r="Y4" s="6">
        <v>65436</v>
      </c>
      <c r="Z4" s="6">
        <f>AO4-W4-X4-Y4</f>
        <v>70484</v>
      </c>
      <c r="AA4" s="6">
        <v>61915</v>
      </c>
      <c r="AB4" s="6">
        <v>67558</v>
      </c>
      <c r="AC4" s="6">
        <v>65420</v>
      </c>
      <c r="AD4" s="6">
        <f>AP4-AC4-AB4-AA4</f>
        <v>70291</v>
      </c>
      <c r="AE4" s="6">
        <v>64758</v>
      </c>
      <c r="AF4" s="6">
        <v>67204</v>
      </c>
      <c r="AG4" s="6">
        <f t="shared" ref="AG4:AH4" si="1">AG3-AG5</f>
        <v>63064.9208</v>
      </c>
      <c r="AH4" s="6">
        <f t="shared" si="1"/>
        <v>70068.4182</v>
      </c>
      <c r="AJ4" s="6">
        <f>SUM(C4:F4)</f>
        <v>189500</v>
      </c>
      <c r="AK4" s="6">
        <f>SUM(G4:J4)</f>
        <v>203490</v>
      </c>
      <c r="AL4" s="6">
        <v>183937</v>
      </c>
      <c r="AM4" s="6">
        <v>202959</v>
      </c>
      <c r="AN4" s="6">
        <v>227005</v>
      </c>
      <c r="AO4" s="6">
        <v>261262</v>
      </c>
      <c r="AP4" s="6">
        <v>265184</v>
      </c>
      <c r="AQ4" s="6">
        <f>SUM(AE4:AH4)</f>
        <v>265095.33899999998</v>
      </c>
      <c r="AR4" s="6">
        <f t="shared" ref="AR4:AV4" si="2">AR3-AR5</f>
        <v>269133.99842400005</v>
      </c>
      <c r="AS4" s="6">
        <f t="shared" si="2"/>
        <v>271825.33840824</v>
      </c>
      <c r="AT4" s="6">
        <f t="shared" si="2"/>
        <v>274543.5917923224</v>
      </c>
      <c r="AU4" s="6">
        <f t="shared" si="2"/>
        <v>277289.02771024563</v>
      </c>
      <c r="AV4" s="6">
        <f t="shared" si="2"/>
        <v>280061.91798734805</v>
      </c>
      <c r="AW4" s="6">
        <f t="shared" ref="AW4:BA4" si="3">AW3-AW5</f>
        <v>282862.53716722154</v>
      </c>
      <c r="AX4" s="6">
        <f t="shared" si="3"/>
        <v>285691.16253889375</v>
      </c>
      <c r="AY4" s="6">
        <f t="shared" si="3"/>
        <v>288548.07416428276</v>
      </c>
      <c r="AZ4" s="6">
        <f t="shared" si="3"/>
        <v>291433.55490592553</v>
      </c>
      <c r="BA4" s="6">
        <f t="shared" si="3"/>
        <v>294347.89045498479</v>
      </c>
    </row>
    <row r="5" spans="2:158" s="3" customFormat="1" x14ac:dyDescent="0.3">
      <c r="B5" s="3" t="s">
        <v>14</v>
      </c>
      <c r="C5" s="14">
        <f t="shared" ref="C5:M5" si="4">C3-C4</f>
        <v>11571</v>
      </c>
      <c r="D5" s="14">
        <f t="shared" si="4"/>
        <v>13258</v>
      </c>
      <c r="E5" s="14">
        <f t="shared" si="4"/>
        <v>10216</v>
      </c>
      <c r="F5" s="14">
        <f t="shared" si="4"/>
        <v>11304</v>
      </c>
      <c r="G5" s="14">
        <f t="shared" si="4"/>
        <v>11688</v>
      </c>
      <c r="H5" s="14">
        <f t="shared" si="4"/>
        <v>13055</v>
      </c>
      <c r="I5" s="14">
        <f t="shared" si="4"/>
        <v>11638</v>
      </c>
      <c r="J5" s="14">
        <f t="shared" si="4"/>
        <v>12761</v>
      </c>
      <c r="K5" s="14">
        <f t="shared" si="4"/>
        <v>9230</v>
      </c>
      <c r="L5" s="14">
        <f t="shared" si="4"/>
        <v>3672</v>
      </c>
      <c r="M5" s="14">
        <f t="shared" si="4"/>
        <v>10427</v>
      </c>
      <c r="N5" s="14">
        <f t="shared" ref="N5:Q5" si="5">N3-N4</f>
        <v>15618</v>
      </c>
      <c r="O5" s="14">
        <f t="shared" si="5"/>
        <v>12328</v>
      </c>
      <c r="P5" s="14">
        <f t="shared" si="5"/>
        <v>12521</v>
      </c>
      <c r="Q5" s="14">
        <f t="shared" si="5"/>
        <v>8922</v>
      </c>
      <c r="R5" s="14">
        <f t="shared" ref="R5" si="6">R3-R4</f>
        <v>13470</v>
      </c>
      <c r="S5" s="14">
        <f t="shared" ref="S5:T5" si="7">S3-S4</f>
        <v>11988</v>
      </c>
      <c r="T5" s="14">
        <f t="shared" si="7"/>
        <v>14490</v>
      </c>
      <c r="U5" s="14">
        <f t="shared" ref="U5:V5" si="8">U3-U4</f>
        <v>12676</v>
      </c>
      <c r="V5" s="14">
        <f t="shared" si="8"/>
        <v>13073</v>
      </c>
      <c r="W5" s="14">
        <f t="shared" ref="W5:X5" si="9">W3-W4</f>
        <v>15193</v>
      </c>
      <c r="X5" s="14">
        <f t="shared" si="9"/>
        <v>15722</v>
      </c>
      <c r="Y5" s="14">
        <f t="shared" ref="Y5" si="10">Y3-Y4</f>
        <v>13409</v>
      </c>
      <c r="Z5" s="14">
        <f t="shared" ref="Z5" si="11">Z3-Z4</f>
        <v>16698</v>
      </c>
      <c r="AA5" s="14">
        <f t="shared" ref="AA5:AF5" si="12">AA3-AA4</f>
        <v>13546</v>
      </c>
      <c r="AB5" s="14">
        <f t="shared" si="12"/>
        <v>15781</v>
      </c>
      <c r="AC5" s="14">
        <f t="shared" si="12"/>
        <v>13058</v>
      </c>
      <c r="AD5" s="14">
        <f t="shared" si="12"/>
        <v>17087</v>
      </c>
      <c r="AE5" s="14">
        <f t="shared" si="12"/>
        <v>12800</v>
      </c>
      <c r="AF5" s="14">
        <f t="shared" si="12"/>
        <v>13602</v>
      </c>
      <c r="AG5" s="14">
        <f t="shared" ref="AG5" si="13">AG3*0.18</f>
        <v>13843.519200000001</v>
      </c>
      <c r="AH5" s="14">
        <f>AH3*0.19</f>
        <v>16435.801800000001</v>
      </c>
      <c r="AJ5" s="14">
        <f>AJ3-AJ4</f>
        <v>46349</v>
      </c>
      <c r="AK5" s="14">
        <f>AK3-AK4</f>
        <v>49142</v>
      </c>
      <c r="AL5" s="14">
        <f>AL3-AL4</f>
        <v>38947</v>
      </c>
      <c r="AM5" s="14">
        <f t="shared" ref="AM5:AQ5" si="14">AM3-AM4</f>
        <v>47241</v>
      </c>
      <c r="AN5" s="14">
        <f t="shared" si="14"/>
        <v>52227</v>
      </c>
      <c r="AO5" s="14">
        <f t="shared" si="14"/>
        <v>61022</v>
      </c>
      <c r="AP5" s="14">
        <f t="shared" si="14"/>
        <v>59472</v>
      </c>
      <c r="AQ5" s="14">
        <f t="shared" si="14"/>
        <v>56681.321000000054</v>
      </c>
      <c r="AR5" s="14">
        <f t="shared" ref="AR5:BA5" si="15">AR3*0.18</f>
        <v>59078.194776000004</v>
      </c>
      <c r="AS5" s="14">
        <f t="shared" si="15"/>
        <v>59668.976723760003</v>
      </c>
      <c r="AT5" s="14">
        <f t="shared" si="15"/>
        <v>60265.666490997595</v>
      </c>
      <c r="AU5" s="14">
        <f t="shared" si="15"/>
        <v>60868.323155907572</v>
      </c>
      <c r="AV5" s="14">
        <f t="shared" si="15"/>
        <v>61477.006387466652</v>
      </c>
      <c r="AW5" s="14">
        <f t="shared" si="15"/>
        <v>62091.776451341313</v>
      </c>
      <c r="AX5" s="14">
        <f t="shared" si="15"/>
        <v>62712.694215854724</v>
      </c>
      <c r="AY5" s="14">
        <f t="shared" si="15"/>
        <v>63339.821158013277</v>
      </c>
      <c r="AZ5" s="14">
        <f t="shared" si="15"/>
        <v>63973.219369593411</v>
      </c>
      <c r="BA5" s="14">
        <f t="shared" si="15"/>
        <v>64612.951563289338</v>
      </c>
    </row>
    <row r="6" spans="2:158" x14ac:dyDescent="0.3">
      <c r="B6" s="1" t="s">
        <v>97</v>
      </c>
      <c r="C6" s="6">
        <v>4759</v>
      </c>
      <c r="D6" s="6">
        <v>5485</v>
      </c>
      <c r="E6" s="6">
        <v>4824</v>
      </c>
      <c r="F6" s="6">
        <f>20510-E6-D6-C6</f>
        <v>5442</v>
      </c>
      <c r="G6" s="6">
        <v>4941</v>
      </c>
      <c r="H6" s="6">
        <v>5056</v>
      </c>
      <c r="I6" s="6">
        <v>5096</v>
      </c>
      <c r="J6" s="6">
        <f>20978-I6-H6-G6</f>
        <v>5885</v>
      </c>
      <c r="K6" s="6">
        <v>4472</v>
      </c>
      <c r="L6" s="6">
        <v>3880</v>
      </c>
      <c r="M6" s="6">
        <v>4508</v>
      </c>
      <c r="N6" s="6">
        <f>AL6-M6-L6-K6</f>
        <v>5547</v>
      </c>
      <c r="O6" s="6">
        <v>4360</v>
      </c>
      <c r="P6" s="6">
        <v>4704</v>
      </c>
      <c r="Q6" s="6">
        <v>4774</v>
      </c>
      <c r="R6" s="6">
        <f>AM6-O6-P6-Q6</f>
        <v>5390</v>
      </c>
      <c r="S6" s="6">
        <v>4315</v>
      </c>
      <c r="T6" s="6">
        <v>4762</v>
      </c>
      <c r="U6" s="6">
        <v>4836</v>
      </c>
      <c r="V6" s="6">
        <f>AN6-S6-T6-U6</f>
        <v>5927</v>
      </c>
      <c r="W6" s="6">
        <v>4836</v>
      </c>
      <c r="X6" s="6">
        <v>5190</v>
      </c>
      <c r="Y6" s="6">
        <v>5318</v>
      </c>
      <c r="Z6" s="6">
        <f>AO6-W6-X6-Y6</f>
        <v>5996</v>
      </c>
      <c r="AA6" s="6">
        <v>5103</v>
      </c>
      <c r="AB6" s="6">
        <v>5409</v>
      </c>
      <c r="AC6" s="6">
        <v>5496</v>
      </c>
      <c r="AD6" s="6">
        <f t="shared" ref="AD6:AD8" si="16">AP6-AC6-AB6-AA6</f>
        <v>6312</v>
      </c>
      <c r="AE6" s="6">
        <v>5425</v>
      </c>
      <c r="AF6" s="6">
        <v>5455</v>
      </c>
      <c r="AG6" s="6">
        <f t="shared" ref="AG6:AH6" si="17">AG3*0.07</f>
        <v>5383.5908000000009</v>
      </c>
      <c r="AH6" s="6">
        <f t="shared" si="17"/>
        <v>6055.2954000000009</v>
      </c>
      <c r="AJ6" s="6">
        <f>SUM(C6:F6)</f>
        <v>20510</v>
      </c>
      <c r="AK6" s="6">
        <f>SUM(G6:J6)</f>
        <v>20978</v>
      </c>
      <c r="AL6" s="6">
        <v>18407</v>
      </c>
      <c r="AM6" s="6">
        <v>19228</v>
      </c>
      <c r="AN6" s="6">
        <v>19840</v>
      </c>
      <c r="AO6" s="6">
        <v>21340</v>
      </c>
      <c r="AP6" s="6">
        <v>22320</v>
      </c>
      <c r="AQ6" s="6">
        <f>SUM(AE6:AH6)</f>
        <v>22318.886200000001</v>
      </c>
      <c r="AR6" s="6">
        <f t="shared" ref="AR6:BA6" si="18">AR3*0.07</f>
        <v>22974.853524000006</v>
      </c>
      <c r="AS6" s="6">
        <f t="shared" si="18"/>
        <v>23204.602059240002</v>
      </c>
      <c r="AT6" s="6">
        <f t="shared" si="18"/>
        <v>23436.648079832401</v>
      </c>
      <c r="AU6" s="6">
        <f t="shared" si="18"/>
        <v>23671.014560630727</v>
      </c>
      <c r="AV6" s="6">
        <f t="shared" si="18"/>
        <v>23907.724706237033</v>
      </c>
      <c r="AW6" s="6">
        <f t="shared" si="18"/>
        <v>24146.801953299404</v>
      </c>
      <c r="AX6" s="6">
        <f t="shared" si="18"/>
        <v>24388.269972832397</v>
      </c>
      <c r="AY6" s="6">
        <f t="shared" si="18"/>
        <v>24632.152672560722</v>
      </c>
      <c r="AZ6" s="6">
        <f t="shared" si="18"/>
        <v>24878.474199286327</v>
      </c>
      <c r="BA6" s="6">
        <f t="shared" si="18"/>
        <v>25127.258941279189</v>
      </c>
    </row>
    <row r="7" spans="2:158" x14ac:dyDescent="0.3">
      <c r="B7" s="1" t="s">
        <v>100</v>
      </c>
      <c r="C7" s="6">
        <v>2125</v>
      </c>
      <c r="D7" s="6">
        <v>2101</v>
      </c>
      <c r="E7" s="6">
        <v>2008</v>
      </c>
      <c r="F7" s="6">
        <f>8819-E7-D7-C7</f>
        <v>2585</v>
      </c>
      <c r="G7" s="6">
        <v>2271</v>
      </c>
      <c r="H7" s="6">
        <v>2252</v>
      </c>
      <c r="I7" s="6">
        <v>2313</v>
      </c>
      <c r="J7" s="6">
        <f>9767-I7-H7-G7</f>
        <v>2931</v>
      </c>
      <c r="K7" s="6">
        <v>2445</v>
      </c>
      <c r="L7" s="6">
        <v>2415</v>
      </c>
      <c r="M7" s="6">
        <v>2354</v>
      </c>
      <c r="N7" s="6">
        <f>AL7-M7-L7-K7</f>
        <v>2185</v>
      </c>
      <c r="O7" s="6">
        <v>2629</v>
      </c>
      <c r="P7" s="6">
        <v>2304</v>
      </c>
      <c r="Q7" s="6">
        <v>2522</v>
      </c>
      <c r="R7" s="6">
        <f>AM7-O7-P7-Q7</f>
        <v>2965</v>
      </c>
      <c r="S7" s="6">
        <v>2777</v>
      </c>
      <c r="T7" s="6">
        <v>2788</v>
      </c>
      <c r="U7" s="6">
        <v>3123</v>
      </c>
      <c r="V7" s="6">
        <f>AN7-S7-T7-U7</f>
        <v>3001</v>
      </c>
      <c r="W7" s="6">
        <v>3241</v>
      </c>
      <c r="X7" s="6">
        <v>2960</v>
      </c>
      <c r="Y7" s="6">
        <v>3132</v>
      </c>
      <c r="Z7" s="6">
        <f>AO7-W7-X7-Y7</f>
        <v>3391</v>
      </c>
      <c r="AA7" s="6">
        <v>3358</v>
      </c>
      <c r="AB7" s="6">
        <v>3255</v>
      </c>
      <c r="AC7" s="6">
        <v>2754</v>
      </c>
      <c r="AD7" s="6">
        <f t="shared" si="16"/>
        <v>3387</v>
      </c>
      <c r="AE7" s="6">
        <v>3344</v>
      </c>
      <c r="AF7" s="6">
        <v>3270</v>
      </c>
      <c r="AG7" s="6">
        <f>AG3*0.037</f>
        <v>2845.6122799999998</v>
      </c>
      <c r="AH7" s="6">
        <f t="shared" ref="AH7" si="19">AH3*0.04</f>
        <v>3460.1687999999999</v>
      </c>
      <c r="AJ7" s="6">
        <f>SUM(C7:F7)</f>
        <v>8819</v>
      </c>
      <c r="AK7" s="6">
        <f>SUM(G7:J7)</f>
        <v>9767</v>
      </c>
      <c r="AL7" s="6">
        <v>9399</v>
      </c>
      <c r="AM7" s="6">
        <v>10420</v>
      </c>
      <c r="AN7" s="6">
        <v>11689</v>
      </c>
      <c r="AO7" s="6">
        <v>12724</v>
      </c>
      <c r="AP7" s="6">
        <v>12754</v>
      </c>
      <c r="AQ7" s="6">
        <f>SUM(AE7:AH7)</f>
        <v>12919.781079999999</v>
      </c>
      <c r="AR7" s="6">
        <f t="shared" ref="AR7:BA7" si="20">AQ7*1.01</f>
        <v>13048.978890799999</v>
      </c>
      <c r="AS7" s="6">
        <f t="shared" si="20"/>
        <v>13179.468679707999</v>
      </c>
      <c r="AT7" s="6">
        <f t="shared" si="20"/>
        <v>13311.26336650508</v>
      </c>
      <c r="AU7" s="6">
        <f t="shared" si="20"/>
        <v>13444.37600017013</v>
      </c>
      <c r="AV7" s="6">
        <f t="shared" si="20"/>
        <v>13578.819760171831</v>
      </c>
      <c r="AW7" s="6">
        <f t="shared" si="20"/>
        <v>13714.607957773549</v>
      </c>
      <c r="AX7" s="6">
        <f t="shared" si="20"/>
        <v>13851.754037351284</v>
      </c>
      <c r="AY7" s="6">
        <f t="shared" si="20"/>
        <v>13990.271577724798</v>
      </c>
      <c r="AZ7" s="6">
        <f t="shared" si="20"/>
        <v>14130.174293502047</v>
      </c>
      <c r="BA7" s="6">
        <f t="shared" si="20"/>
        <v>14271.476036437067</v>
      </c>
    </row>
    <row r="8" spans="2:158" s="3" customFormat="1" x14ac:dyDescent="0.3">
      <c r="B8" s="1" t="s">
        <v>15</v>
      </c>
      <c r="C8" s="6">
        <v>475</v>
      </c>
      <c r="D8" s="6">
        <v>1723</v>
      </c>
      <c r="E8" s="6">
        <v>673</v>
      </c>
      <c r="F8" s="6">
        <f>-11631+14731-E8-D8-C8</f>
        <v>229</v>
      </c>
      <c r="G8" s="6">
        <v>608</v>
      </c>
      <c r="H8" s="6">
        <v>618</v>
      </c>
      <c r="I8" s="6">
        <v>-313</v>
      </c>
      <c r="J8" s="6">
        <f>-11453+12890-I8-H8-G8</f>
        <v>524</v>
      </c>
      <c r="K8" s="6">
        <v>1409</v>
      </c>
      <c r="L8" s="6">
        <v>-229</v>
      </c>
      <c r="M8" s="6">
        <v>382</v>
      </c>
      <c r="N8" s="6">
        <f>AL8-M8-L8-K8</f>
        <v>-96</v>
      </c>
      <c r="O8" s="6">
        <v>526</v>
      </c>
      <c r="P8" s="6">
        <v>-1035</v>
      </c>
      <c r="Q8" s="6">
        <v>-970</v>
      </c>
      <c r="R8" s="6">
        <f>AM8-O8-P8-Q8</f>
        <v>-203</v>
      </c>
      <c r="S8" s="6">
        <v>-3428</v>
      </c>
      <c r="T8" s="6">
        <v>2436</v>
      </c>
      <c r="U8" s="6">
        <v>448</v>
      </c>
      <c r="V8" s="6">
        <f>AN8-S8-T8-U8</f>
        <v>-882</v>
      </c>
      <c r="W8" s="6">
        <v>1370</v>
      </c>
      <c r="X8" s="6">
        <v>1972</v>
      </c>
      <c r="Y8" s="6">
        <v>64</v>
      </c>
      <c r="Z8" s="6">
        <f>AO8-W8-X8-Y8</f>
        <v>976</v>
      </c>
      <c r="AA8" s="6">
        <v>497</v>
      </c>
      <c r="AB8" s="6">
        <v>1653</v>
      </c>
      <c r="AC8" s="6">
        <v>1954</v>
      </c>
      <c r="AD8" s="6">
        <f t="shared" si="16"/>
        <v>1234</v>
      </c>
      <c r="AE8" s="6">
        <v>1157</v>
      </c>
      <c r="AF8" s="6">
        <v>1042</v>
      </c>
      <c r="AG8" s="6">
        <v>1200</v>
      </c>
      <c r="AH8" s="6">
        <v>1200</v>
      </c>
      <c r="AI8" s="1"/>
      <c r="AJ8" s="6">
        <f>SUM(C8:F8)</f>
        <v>3100</v>
      </c>
      <c r="AK8" s="6">
        <f>SUM(G8:J8)</f>
        <v>1437</v>
      </c>
      <c r="AL8" s="6">
        <v>1466</v>
      </c>
      <c r="AM8" s="6">
        <f>-14731+13049</f>
        <v>-1682</v>
      </c>
      <c r="AN8" s="6">
        <f>-19238+17812</f>
        <v>-1426</v>
      </c>
      <c r="AO8" s="6">
        <f>-15152+19534</f>
        <v>4382</v>
      </c>
      <c r="AP8" s="6">
        <f>-14974+20312</f>
        <v>5338</v>
      </c>
      <c r="AQ8" s="6">
        <f>SUM(AE8:AH8)</f>
        <v>4599</v>
      </c>
      <c r="AR8" s="6">
        <v>1600</v>
      </c>
      <c r="AS8" s="6">
        <f t="shared" ref="AS8:BA8" si="21">AR8*1.01</f>
        <v>1616</v>
      </c>
      <c r="AT8" s="6">
        <f t="shared" si="21"/>
        <v>1632.16</v>
      </c>
      <c r="AU8" s="6">
        <f t="shared" si="21"/>
        <v>1648.4816000000001</v>
      </c>
      <c r="AV8" s="6">
        <f t="shared" si="21"/>
        <v>1664.966416</v>
      </c>
      <c r="AW8" s="6">
        <f t="shared" si="21"/>
        <v>1681.6160801599999</v>
      </c>
      <c r="AX8" s="6">
        <f t="shared" si="21"/>
        <v>1698.4322409616</v>
      </c>
      <c r="AY8" s="6">
        <f t="shared" si="21"/>
        <v>1715.4165633712159</v>
      </c>
      <c r="AZ8" s="6">
        <f t="shared" si="21"/>
        <v>1732.5707290049281</v>
      </c>
      <c r="BA8" s="6">
        <f t="shared" si="21"/>
        <v>1749.8964362949773</v>
      </c>
    </row>
    <row r="9" spans="2:158" x14ac:dyDescent="0.3">
      <c r="B9" s="3" t="s">
        <v>16</v>
      </c>
      <c r="C9" s="14">
        <f>C5-C6-C7-C8</f>
        <v>4212</v>
      </c>
      <c r="D9" s="14">
        <f t="shared" ref="D9:Q9" si="22">D5-D6-D7-D8</f>
        <v>3949</v>
      </c>
      <c r="E9" s="14">
        <f t="shared" si="22"/>
        <v>2711</v>
      </c>
      <c r="F9" s="14">
        <f t="shared" si="22"/>
        <v>3048</v>
      </c>
      <c r="G9" s="14">
        <f t="shared" si="22"/>
        <v>3868</v>
      </c>
      <c r="H9" s="14">
        <f t="shared" si="22"/>
        <v>5129</v>
      </c>
      <c r="I9" s="14">
        <f t="shared" si="22"/>
        <v>4542</v>
      </c>
      <c r="J9" s="14">
        <f t="shared" si="22"/>
        <v>3421</v>
      </c>
      <c r="K9" s="14">
        <f t="shared" si="22"/>
        <v>904</v>
      </c>
      <c r="L9" s="14">
        <f t="shared" si="22"/>
        <v>-2394</v>
      </c>
      <c r="M9" s="14">
        <f t="shared" si="22"/>
        <v>3183</v>
      </c>
      <c r="N9" s="14">
        <f t="shared" si="22"/>
        <v>7982</v>
      </c>
      <c r="O9" s="14">
        <f t="shared" si="22"/>
        <v>4813</v>
      </c>
      <c r="P9" s="14">
        <f t="shared" si="22"/>
        <v>6548</v>
      </c>
      <c r="Q9" s="14">
        <f t="shared" si="22"/>
        <v>2596</v>
      </c>
      <c r="R9" s="14">
        <f t="shared" ref="R9" si="23">R5-R6-R7-R8</f>
        <v>5318</v>
      </c>
      <c r="S9" s="14">
        <f t="shared" ref="S9:T9" si="24">S5-S6-S7-S8</f>
        <v>8324</v>
      </c>
      <c r="T9" s="14">
        <f t="shared" si="24"/>
        <v>4504</v>
      </c>
      <c r="U9" s="14">
        <f t="shared" ref="U9:V9" si="25">U5-U6-U7-U8</f>
        <v>4269</v>
      </c>
      <c r="V9" s="14">
        <f t="shared" si="25"/>
        <v>5027</v>
      </c>
      <c r="W9" s="14">
        <f t="shared" ref="W9:X9" si="26">W5-W6-W7-W8</f>
        <v>5746</v>
      </c>
      <c r="X9" s="14">
        <f t="shared" si="26"/>
        <v>5600</v>
      </c>
      <c r="Y9" s="14">
        <f t="shared" ref="Y9" si="27">Y5-Y6-Y7-Y8</f>
        <v>4895</v>
      </c>
      <c r="Z9" s="14">
        <f t="shared" ref="Z9" si="28">Z5-Z6-Z7-Z8</f>
        <v>6335</v>
      </c>
      <c r="AA9" s="14">
        <f t="shared" ref="AA9:AD9" si="29">AA5-AA6-AA7-AA8</f>
        <v>4588</v>
      </c>
      <c r="AB9" s="14">
        <f t="shared" si="29"/>
        <v>5464</v>
      </c>
      <c r="AC9" s="14">
        <f t="shared" si="29"/>
        <v>2854</v>
      </c>
      <c r="AD9" s="14">
        <f t="shared" si="29"/>
        <v>6154</v>
      </c>
      <c r="AE9" s="14">
        <f t="shared" ref="AE9:AH9" si="30">AE5-AE6-AE7-AE8</f>
        <v>2874</v>
      </c>
      <c r="AF9" s="14">
        <f t="shared" si="30"/>
        <v>3835</v>
      </c>
      <c r="AG9" s="14">
        <f t="shared" si="30"/>
        <v>4414.3161200000013</v>
      </c>
      <c r="AH9" s="14">
        <f t="shared" si="30"/>
        <v>5720.3376000000007</v>
      </c>
      <c r="AI9" s="3"/>
      <c r="AJ9" s="14">
        <f t="shared" ref="AJ9:AV9" si="31">AJ5-AJ6-AJ7-AJ8</f>
        <v>13920</v>
      </c>
      <c r="AK9" s="14">
        <f t="shared" si="31"/>
        <v>16960</v>
      </c>
      <c r="AL9" s="14">
        <f t="shared" si="31"/>
        <v>9675</v>
      </c>
      <c r="AM9" s="14">
        <f t="shared" si="31"/>
        <v>19275</v>
      </c>
      <c r="AN9" s="14">
        <f t="shared" si="31"/>
        <v>22124</v>
      </c>
      <c r="AO9" s="14">
        <f t="shared" si="31"/>
        <v>22576</v>
      </c>
      <c r="AP9" s="14">
        <f t="shared" si="31"/>
        <v>19060</v>
      </c>
      <c r="AQ9" s="14">
        <f t="shared" si="31"/>
        <v>16843.653720000053</v>
      </c>
      <c r="AR9" s="14">
        <f t="shared" si="31"/>
        <v>21454.362361200001</v>
      </c>
      <c r="AS9" s="14">
        <f t="shared" si="31"/>
        <v>21668.905984812001</v>
      </c>
      <c r="AT9" s="14">
        <f t="shared" si="31"/>
        <v>21885.595044660109</v>
      </c>
      <c r="AU9" s="14">
        <f t="shared" si="31"/>
        <v>22104.450995106716</v>
      </c>
      <c r="AV9" s="14">
        <f t="shared" si="31"/>
        <v>22325.495505057792</v>
      </c>
      <c r="AW9" s="14">
        <f t="shared" ref="AW9:BA9" si="32">AW5-AW6-AW7-AW8</f>
        <v>22548.750460108356</v>
      </c>
      <c r="AX9" s="14">
        <f t="shared" si="32"/>
        <v>22774.237964709442</v>
      </c>
      <c r="AY9" s="14">
        <f t="shared" si="32"/>
        <v>23001.98034435654</v>
      </c>
      <c r="AZ9" s="14">
        <f t="shared" si="32"/>
        <v>23232.00014780011</v>
      </c>
      <c r="BA9" s="14">
        <f t="shared" si="32"/>
        <v>23464.320149278101</v>
      </c>
    </row>
    <row r="10" spans="2:158" s="3" customFormat="1" x14ac:dyDescent="0.3">
      <c r="B10" s="1" t="s">
        <v>17</v>
      </c>
      <c r="C10" s="6">
        <v>-266</v>
      </c>
      <c r="D10" s="6">
        <v>-547</v>
      </c>
      <c r="E10" s="6">
        <v>-835</v>
      </c>
      <c r="F10" s="6">
        <f>-1723-E10-D10-C10</f>
        <v>-75</v>
      </c>
      <c r="G10" s="6">
        <v>-203</v>
      </c>
      <c r="H10" s="6">
        <v>-357</v>
      </c>
      <c r="I10" s="6">
        <v>-539</v>
      </c>
      <c r="J10" s="6">
        <f>-1396-I10-H10-G10</f>
        <v>-297</v>
      </c>
      <c r="K10" s="6">
        <v>222</v>
      </c>
      <c r="L10" s="6">
        <v>-360</v>
      </c>
      <c r="M10" s="6">
        <v>-423</v>
      </c>
      <c r="N10" s="6">
        <f>AL10-M10-L10-K10</f>
        <v>-1430</v>
      </c>
      <c r="O10" s="6">
        <f>-519+868</f>
        <v>349</v>
      </c>
      <c r="P10" s="6">
        <f>-380+236</f>
        <v>-144</v>
      </c>
      <c r="Q10" s="6">
        <v>-484</v>
      </c>
      <c r="R10" s="6">
        <f>AM10-O10-P10-Q10</f>
        <v>-572</v>
      </c>
      <c r="S10" s="6">
        <f>-627+55</f>
        <v>-572</v>
      </c>
      <c r="T10" s="6">
        <f>-448-187</f>
        <v>-635</v>
      </c>
      <c r="U10" s="6">
        <v>1333</v>
      </c>
      <c r="V10" s="6">
        <f>AN10-S10-T10-U10</f>
        <v>-45</v>
      </c>
      <c r="W10" s="6">
        <f>-535-171</f>
        <v>-706</v>
      </c>
      <c r="X10" s="6">
        <v>154</v>
      </c>
      <c r="Y10" s="6">
        <v>-907</v>
      </c>
      <c r="Z10" s="6">
        <f>AO10-W10-X10-Y10</f>
        <v>841</v>
      </c>
      <c r="AA10" s="6">
        <f>-259-334</f>
        <v>-593</v>
      </c>
      <c r="AB10" s="6">
        <v>478</v>
      </c>
      <c r="AC10" s="6">
        <v>498</v>
      </c>
      <c r="AD10" s="6">
        <f>AP10-AC10-AB10-AA10</f>
        <v>1872</v>
      </c>
      <c r="AE10" s="6">
        <v>-236</v>
      </c>
      <c r="AF10" s="6">
        <v>520</v>
      </c>
      <c r="AG10" s="6">
        <v>500</v>
      </c>
      <c r="AH10" s="6">
        <v>500</v>
      </c>
      <c r="AI10" s="1"/>
      <c r="AJ10" s="6">
        <f>SUM(C10:F10)</f>
        <v>-1723</v>
      </c>
      <c r="AK10" s="6">
        <f>SUM(G10:J10)</f>
        <v>-1396</v>
      </c>
      <c r="AL10" s="6">
        <f>-2756+765</f>
        <v>-1991</v>
      </c>
      <c r="AM10" s="6">
        <v>-851</v>
      </c>
      <c r="AN10" s="6">
        <v>81</v>
      </c>
      <c r="AO10" s="6">
        <v>-618</v>
      </c>
      <c r="AP10" s="6">
        <v>2255</v>
      </c>
      <c r="AQ10" s="6">
        <f>SUM(AE10:AH10)</f>
        <v>1284</v>
      </c>
      <c r="AR10" s="6">
        <f t="shared" ref="AR10:AV10" si="33">AQ10*1.01</f>
        <v>1296.8399999999999</v>
      </c>
      <c r="AS10" s="6">
        <f t="shared" si="33"/>
        <v>1309.8083999999999</v>
      </c>
      <c r="AT10" s="6">
        <f t="shared" si="33"/>
        <v>1322.9064839999999</v>
      </c>
      <c r="AU10" s="6">
        <f t="shared" si="33"/>
        <v>1336.13554884</v>
      </c>
      <c r="AV10" s="6">
        <f t="shared" si="33"/>
        <v>1349.4969043284</v>
      </c>
      <c r="AW10" s="6">
        <f t="shared" ref="AW10" si="34">AV10*1.01</f>
        <v>1362.9918733716841</v>
      </c>
      <c r="AX10" s="6">
        <f t="shared" ref="AX10" si="35">AW10*1.01</f>
        <v>1376.6217921054008</v>
      </c>
      <c r="AY10" s="6">
        <f t="shared" ref="AY10" si="36">AX10*1.01</f>
        <v>1390.3880100264548</v>
      </c>
      <c r="AZ10" s="6">
        <f t="shared" ref="AZ10" si="37">AY10*1.01</f>
        <v>1404.2918901267194</v>
      </c>
      <c r="BA10" s="6">
        <f t="shared" ref="BA10" si="38">AZ10*1.01</f>
        <v>1418.3348090279867</v>
      </c>
    </row>
    <row r="11" spans="2:158" x14ac:dyDescent="0.3">
      <c r="B11" s="3" t="s">
        <v>18</v>
      </c>
      <c r="C11" s="14">
        <f t="shared" ref="C11:Q11" si="39">C9-C10</f>
        <v>4478</v>
      </c>
      <c r="D11" s="14">
        <f t="shared" si="39"/>
        <v>4496</v>
      </c>
      <c r="E11" s="14">
        <f t="shared" si="39"/>
        <v>3546</v>
      </c>
      <c r="F11" s="14">
        <f t="shared" si="39"/>
        <v>3123</v>
      </c>
      <c r="G11" s="14">
        <f t="shared" si="39"/>
        <v>4071</v>
      </c>
      <c r="H11" s="14">
        <f t="shared" si="39"/>
        <v>5486</v>
      </c>
      <c r="I11" s="14">
        <f t="shared" si="39"/>
        <v>5081</v>
      </c>
      <c r="J11" s="14">
        <f t="shared" si="39"/>
        <v>3718</v>
      </c>
      <c r="K11" s="14">
        <f t="shared" si="39"/>
        <v>682</v>
      </c>
      <c r="L11" s="14">
        <f t="shared" si="39"/>
        <v>-2034</v>
      </c>
      <c r="M11" s="14">
        <f t="shared" si="39"/>
        <v>3606</v>
      </c>
      <c r="N11" s="14">
        <f t="shared" si="39"/>
        <v>9412</v>
      </c>
      <c r="O11" s="14">
        <f t="shared" si="39"/>
        <v>4464</v>
      </c>
      <c r="P11" s="14">
        <f t="shared" si="39"/>
        <v>6692</v>
      </c>
      <c r="Q11" s="14">
        <f t="shared" si="39"/>
        <v>3080</v>
      </c>
      <c r="R11" s="14">
        <f t="shared" ref="R11" si="40">R9-R10</f>
        <v>5890</v>
      </c>
      <c r="S11" s="14">
        <f t="shared" ref="S11:T11" si="41">S9-S10</f>
        <v>8896</v>
      </c>
      <c r="T11" s="14">
        <f t="shared" si="41"/>
        <v>5139</v>
      </c>
      <c r="U11" s="14">
        <f t="shared" ref="U11:V11" si="42">U9-U10</f>
        <v>2936</v>
      </c>
      <c r="V11" s="14">
        <f t="shared" si="42"/>
        <v>5072</v>
      </c>
      <c r="W11" s="14">
        <f t="shared" ref="W11:X11" si="43">W9-W10</f>
        <v>6452</v>
      </c>
      <c r="X11" s="14">
        <f t="shared" si="43"/>
        <v>5446</v>
      </c>
      <c r="Y11" s="14">
        <f t="shared" ref="Y11" si="44">Y9-Y10</f>
        <v>5802</v>
      </c>
      <c r="Z11" s="14">
        <f t="shared" ref="Z11" si="45">Z9-Z10</f>
        <v>5494</v>
      </c>
      <c r="AA11" s="14">
        <f t="shared" ref="AA11:AD11" si="46">AA9-AA10</f>
        <v>5181</v>
      </c>
      <c r="AB11" s="14">
        <f t="shared" si="46"/>
        <v>4986</v>
      </c>
      <c r="AC11" s="14">
        <f t="shared" si="46"/>
        <v>2356</v>
      </c>
      <c r="AD11" s="14">
        <f t="shared" si="46"/>
        <v>4282</v>
      </c>
      <c r="AE11" s="14">
        <f t="shared" ref="AE11:AH11" si="47">AE9-AE10</f>
        <v>3110</v>
      </c>
      <c r="AF11" s="14">
        <f t="shared" si="47"/>
        <v>3315</v>
      </c>
      <c r="AG11" s="14">
        <f t="shared" si="47"/>
        <v>3914.3161200000013</v>
      </c>
      <c r="AH11" s="14">
        <f t="shared" si="47"/>
        <v>5220.3376000000007</v>
      </c>
      <c r="AI11" s="3"/>
      <c r="AJ11" s="14">
        <f>AJ9-AJ10</f>
        <v>15643</v>
      </c>
      <c r="AK11" s="14">
        <f>AK9-AK10</f>
        <v>18356</v>
      </c>
      <c r="AL11" s="14">
        <f>AL9-AL10</f>
        <v>11666</v>
      </c>
      <c r="AM11" s="14">
        <f>AM9-AM10</f>
        <v>20126</v>
      </c>
      <c r="AN11" s="14">
        <f t="shared" ref="AN11:AV11" si="48">AN9-AN10</f>
        <v>22043</v>
      </c>
      <c r="AO11" s="14">
        <f t="shared" si="48"/>
        <v>23194</v>
      </c>
      <c r="AP11" s="14">
        <f t="shared" si="48"/>
        <v>16805</v>
      </c>
      <c r="AQ11" s="14">
        <f t="shared" si="48"/>
        <v>15559.653720000053</v>
      </c>
      <c r="AR11" s="14">
        <f t="shared" si="48"/>
        <v>20157.522361200001</v>
      </c>
      <c r="AS11" s="14">
        <f t="shared" si="48"/>
        <v>20359.097584812</v>
      </c>
      <c r="AT11" s="14">
        <f t="shared" si="48"/>
        <v>20562.68856066011</v>
      </c>
      <c r="AU11" s="14">
        <f t="shared" si="48"/>
        <v>20768.315446266715</v>
      </c>
      <c r="AV11" s="14">
        <f t="shared" si="48"/>
        <v>20975.998600729392</v>
      </c>
      <c r="AW11" s="14">
        <f t="shared" ref="AW11:BA11" si="49">AW9-AW10</f>
        <v>21185.758586736672</v>
      </c>
      <c r="AX11" s="14">
        <f t="shared" si="49"/>
        <v>21397.616172604041</v>
      </c>
      <c r="AY11" s="14">
        <f t="shared" si="49"/>
        <v>21611.592334330086</v>
      </c>
      <c r="AZ11" s="14">
        <f t="shared" si="49"/>
        <v>21827.708257673392</v>
      </c>
      <c r="BA11" s="14">
        <f t="shared" si="49"/>
        <v>22045.985340250114</v>
      </c>
    </row>
    <row r="12" spans="2:158" x14ac:dyDescent="0.3">
      <c r="B12" s="1" t="s">
        <v>19</v>
      </c>
      <c r="C12" s="6">
        <v>1178</v>
      </c>
      <c r="D12" s="6">
        <v>1182</v>
      </c>
      <c r="E12" s="6">
        <v>782</v>
      </c>
      <c r="F12" s="6">
        <f>3489-E12-D12-C12</f>
        <v>347</v>
      </c>
      <c r="G12" s="6">
        <v>1018</v>
      </c>
      <c r="H12" s="6">
        <v>1372</v>
      </c>
      <c r="I12" s="6">
        <v>1094</v>
      </c>
      <c r="J12" s="6">
        <f>4326-I12-H12-G12</f>
        <v>842</v>
      </c>
      <c r="K12" s="6">
        <v>165</v>
      </c>
      <c r="L12" s="6">
        <v>-498</v>
      </c>
      <c r="M12" s="6">
        <v>856</v>
      </c>
      <c r="N12" s="6">
        <f>AL12-M12-L12-K12</f>
        <v>2320</v>
      </c>
      <c r="O12" s="6">
        <v>1049</v>
      </c>
      <c r="P12" s="6">
        <v>1650</v>
      </c>
      <c r="Q12" s="6">
        <v>176</v>
      </c>
      <c r="R12" s="6">
        <f>AM12-O12-P12-Q12</f>
        <v>1823</v>
      </c>
      <c r="S12" s="6">
        <v>2170</v>
      </c>
      <c r="T12" s="6">
        <v>1226</v>
      </c>
      <c r="U12" s="6">
        <v>803</v>
      </c>
      <c r="V12" s="6">
        <f>AN12-S12-T12-U12</f>
        <v>2009</v>
      </c>
      <c r="W12" s="6">
        <v>1723</v>
      </c>
      <c r="X12" s="6">
        <v>1655</v>
      </c>
      <c r="Y12" s="6">
        <v>1455</v>
      </c>
      <c r="Z12" s="6">
        <f>AO12-W12-X12-Y12</f>
        <v>433</v>
      </c>
      <c r="AA12" s="6">
        <v>1471</v>
      </c>
      <c r="AB12" s="6">
        <v>1355</v>
      </c>
      <c r="AC12" s="6">
        <v>780</v>
      </c>
      <c r="AD12" s="6">
        <f t="shared" ref="AD12:AD13" si="50">AP12-AC12-AB12-AA12</f>
        <v>805</v>
      </c>
      <c r="AE12" s="6">
        <v>923</v>
      </c>
      <c r="AF12" s="6">
        <v>1023</v>
      </c>
      <c r="AG12" s="6">
        <f t="shared" ref="AG12:AH12" si="51">AG11*0.25</f>
        <v>978.57903000000033</v>
      </c>
      <c r="AH12" s="6">
        <f t="shared" si="51"/>
        <v>1305.0844000000002</v>
      </c>
      <c r="AJ12" s="6">
        <f>SUM(C12:F12)</f>
        <v>3489</v>
      </c>
      <c r="AK12" s="6">
        <f>SUM(G12:J12)</f>
        <v>4326</v>
      </c>
      <c r="AL12" s="6">
        <v>2843</v>
      </c>
      <c r="AM12" s="6">
        <v>4698</v>
      </c>
      <c r="AN12" s="6">
        <v>6208</v>
      </c>
      <c r="AO12" s="6">
        <v>5266</v>
      </c>
      <c r="AP12" s="6">
        <v>4411</v>
      </c>
      <c r="AQ12" s="6">
        <f>SUM(AE12:AH12)</f>
        <v>4229.6634300000005</v>
      </c>
      <c r="AR12" s="6">
        <f>AR11*0.25</f>
        <v>5039.3805903000002</v>
      </c>
      <c r="AS12" s="6">
        <f t="shared" ref="AS12:BA12" si="52">AS11*0.25</f>
        <v>5089.7743962029999</v>
      </c>
      <c r="AT12" s="6">
        <f t="shared" si="52"/>
        <v>5140.6721401650275</v>
      </c>
      <c r="AU12" s="6">
        <f t="shared" si="52"/>
        <v>5192.0788615666788</v>
      </c>
      <c r="AV12" s="6">
        <f t="shared" si="52"/>
        <v>5243.999650182348</v>
      </c>
      <c r="AW12" s="6">
        <f t="shared" si="52"/>
        <v>5296.4396466841681</v>
      </c>
      <c r="AX12" s="6">
        <f t="shared" si="52"/>
        <v>5349.4040431510102</v>
      </c>
      <c r="AY12" s="6">
        <f t="shared" si="52"/>
        <v>5402.8980835825214</v>
      </c>
      <c r="AZ12" s="6">
        <f t="shared" si="52"/>
        <v>5456.927064418348</v>
      </c>
      <c r="BA12" s="6">
        <f t="shared" si="52"/>
        <v>5511.4963350625285</v>
      </c>
    </row>
    <row r="13" spans="2:158" s="3" customFormat="1" x14ac:dyDescent="0.3">
      <c r="B13" s="1" t="s">
        <v>29</v>
      </c>
      <c r="C13" s="6">
        <v>78</v>
      </c>
      <c r="D13" s="6">
        <f>79+3</f>
        <v>82</v>
      </c>
      <c r="E13" s="6">
        <f>5+91</f>
        <v>96</v>
      </c>
      <c r="F13" s="6">
        <f>17+309-E13-D13-C13</f>
        <v>70</v>
      </c>
      <c r="G13" s="6">
        <f>7+134</f>
        <v>141</v>
      </c>
      <c r="H13" s="6">
        <f>17+134</f>
        <v>151</v>
      </c>
      <c r="I13" s="6">
        <f>61+136</f>
        <v>197</v>
      </c>
      <c r="J13" s="6">
        <f>143+540-I13-H13-G13</f>
        <v>194</v>
      </c>
      <c r="K13" s="6">
        <f>-6+117</f>
        <v>111</v>
      </c>
      <c r="L13" s="6">
        <f>-51+122</f>
        <v>71</v>
      </c>
      <c r="M13" s="6">
        <f>21+147</f>
        <v>168</v>
      </c>
      <c r="N13" s="6">
        <f>AL13-M13-L13-K13</f>
        <v>140</v>
      </c>
      <c r="O13" s="6">
        <f>35+136</f>
        <v>171</v>
      </c>
      <c r="P13" s="6">
        <f>46+134</f>
        <v>180</v>
      </c>
      <c r="Q13" s="6">
        <f>7+135</f>
        <v>142</v>
      </c>
      <c r="R13" s="6">
        <f>AM13-O13-P13-Q13</f>
        <v>92</v>
      </c>
      <c r="S13" s="6">
        <f>40+129</f>
        <v>169</v>
      </c>
      <c r="T13" s="6">
        <f>23+150</f>
        <v>173</v>
      </c>
      <c r="U13" s="6">
        <f>25+151</f>
        <v>176</v>
      </c>
      <c r="V13" s="6">
        <f>AN13-S13-T13-U13</f>
        <v>451</v>
      </c>
      <c r="W13" s="6">
        <f>138+382</f>
        <v>520</v>
      </c>
      <c r="X13" s="6">
        <f>402+140</f>
        <v>542</v>
      </c>
      <c r="Y13" s="6">
        <f>314+143</f>
        <v>457</v>
      </c>
      <c r="Z13" s="6">
        <f>AO13-W13-X13-Y13</f>
        <v>396</v>
      </c>
      <c r="AA13" s="6">
        <f>281+163</f>
        <v>444</v>
      </c>
      <c r="AB13" s="6">
        <f>361+158</f>
        <v>519</v>
      </c>
      <c r="AC13" s="6">
        <f>210+155</f>
        <v>365</v>
      </c>
      <c r="AD13" s="6">
        <f t="shared" si="50"/>
        <v>345</v>
      </c>
      <c r="AE13" s="6">
        <f>204+151</f>
        <v>355</v>
      </c>
      <c r="AF13" s="6">
        <f>-44+160</f>
        <v>116</v>
      </c>
      <c r="AG13" s="6">
        <f t="shared" ref="AG13:AH13" si="53">AG11*0.08</f>
        <v>313.14528960000013</v>
      </c>
      <c r="AH13" s="6">
        <f t="shared" si="53"/>
        <v>417.62700800000005</v>
      </c>
      <c r="AI13" s="1"/>
      <c r="AJ13" s="6">
        <f>SUM(C13:F13)</f>
        <v>326</v>
      </c>
      <c r="AK13" s="6">
        <f>SUM(G13:J13)</f>
        <v>683</v>
      </c>
      <c r="AL13" s="6">
        <f>-43+533</f>
        <v>490</v>
      </c>
      <c r="AM13" s="6">
        <f>46+539</f>
        <v>585</v>
      </c>
      <c r="AN13" s="6">
        <f>393+576</f>
        <v>969</v>
      </c>
      <c r="AO13" s="6">
        <f>1329+586</f>
        <v>1915</v>
      </c>
      <c r="AP13" s="6">
        <f>1043+630</f>
        <v>1673</v>
      </c>
      <c r="AQ13" s="6">
        <f>SUM(AE13:AH13)</f>
        <v>1201.7722976</v>
      </c>
      <c r="AR13" s="6">
        <f t="shared" ref="AR13:BA13" si="54">AR3*0.005</f>
        <v>1641.0609660000002</v>
      </c>
      <c r="AS13" s="6">
        <f t="shared" si="54"/>
        <v>1657.4715756600001</v>
      </c>
      <c r="AT13" s="6">
        <f t="shared" si="54"/>
        <v>1674.0462914166001</v>
      </c>
      <c r="AU13" s="6">
        <f t="shared" si="54"/>
        <v>1690.7867543307659</v>
      </c>
      <c r="AV13" s="6">
        <f t="shared" si="54"/>
        <v>1707.6946218740736</v>
      </c>
      <c r="AW13" s="6">
        <f t="shared" si="54"/>
        <v>1724.7715680928145</v>
      </c>
      <c r="AX13" s="6">
        <f t="shared" si="54"/>
        <v>1742.0192837737425</v>
      </c>
      <c r="AY13" s="6">
        <f t="shared" si="54"/>
        <v>1759.4394766114801</v>
      </c>
      <c r="AZ13" s="6">
        <f t="shared" si="54"/>
        <v>1777.0338713775948</v>
      </c>
      <c r="BA13" s="6">
        <f t="shared" si="54"/>
        <v>1794.8042100913706</v>
      </c>
    </row>
    <row r="14" spans="2:158" x14ac:dyDescent="0.3">
      <c r="B14" s="3" t="s">
        <v>20</v>
      </c>
      <c r="C14" s="14">
        <f t="shared" ref="C14:Q14" si="55">C11-C12-C13</f>
        <v>3222</v>
      </c>
      <c r="D14" s="14">
        <f t="shared" si="55"/>
        <v>3232</v>
      </c>
      <c r="E14" s="14">
        <f t="shared" si="55"/>
        <v>2668</v>
      </c>
      <c r="F14" s="14">
        <f t="shared" si="55"/>
        <v>2706</v>
      </c>
      <c r="G14" s="14">
        <f t="shared" si="55"/>
        <v>2912</v>
      </c>
      <c r="H14" s="14">
        <f t="shared" si="55"/>
        <v>3963</v>
      </c>
      <c r="I14" s="14">
        <f t="shared" si="55"/>
        <v>3790</v>
      </c>
      <c r="J14" s="14">
        <f t="shared" si="55"/>
        <v>2682</v>
      </c>
      <c r="K14" s="14">
        <f t="shared" si="55"/>
        <v>406</v>
      </c>
      <c r="L14" s="14">
        <f t="shared" si="55"/>
        <v>-1607</v>
      </c>
      <c r="M14" s="14">
        <f t="shared" si="55"/>
        <v>2582</v>
      </c>
      <c r="N14" s="14">
        <f t="shared" si="55"/>
        <v>6952</v>
      </c>
      <c r="O14" s="14">
        <f t="shared" si="55"/>
        <v>3244</v>
      </c>
      <c r="P14" s="14">
        <f t="shared" si="55"/>
        <v>4862</v>
      </c>
      <c r="Q14" s="14">
        <f t="shared" si="55"/>
        <v>2762</v>
      </c>
      <c r="R14" s="14">
        <f t="shared" ref="R14" si="56">R11-R12-R13</f>
        <v>3975</v>
      </c>
      <c r="S14" s="14">
        <f t="shared" ref="S14:T14" si="57">S11-S12-S13</f>
        <v>6557</v>
      </c>
      <c r="T14" s="14">
        <f t="shared" si="57"/>
        <v>3740</v>
      </c>
      <c r="U14" s="14">
        <f t="shared" ref="U14:V14" si="58">U11-U12-U13</f>
        <v>1957</v>
      </c>
      <c r="V14" s="14">
        <f t="shared" si="58"/>
        <v>2612</v>
      </c>
      <c r="W14" s="14">
        <f t="shared" ref="W14:X14" si="59">W11-W12-W13</f>
        <v>4209</v>
      </c>
      <c r="X14" s="14">
        <f t="shared" si="59"/>
        <v>3249</v>
      </c>
      <c r="Y14" s="14">
        <f t="shared" ref="Y14" si="60">Y11-Y12-Y13</f>
        <v>3890</v>
      </c>
      <c r="Z14" s="14">
        <f t="shared" ref="Z14" si="61">Z11-Z12-Z13</f>
        <v>4665</v>
      </c>
      <c r="AA14" s="14">
        <f t="shared" ref="AA14:AD14" si="62">AA11-AA12-AA13</f>
        <v>3266</v>
      </c>
      <c r="AB14" s="14">
        <f t="shared" si="62"/>
        <v>3112</v>
      </c>
      <c r="AC14" s="14">
        <f t="shared" si="62"/>
        <v>1211</v>
      </c>
      <c r="AD14" s="14">
        <f t="shared" si="62"/>
        <v>3132</v>
      </c>
      <c r="AE14" s="14">
        <f t="shared" ref="AE14:AH14" si="63">AE11-AE12-AE13</f>
        <v>1832</v>
      </c>
      <c r="AF14" s="14">
        <f t="shared" si="63"/>
        <v>2176</v>
      </c>
      <c r="AG14" s="14">
        <f t="shared" si="63"/>
        <v>2622.5918004000009</v>
      </c>
      <c r="AH14" s="14">
        <f t="shared" si="63"/>
        <v>3497.6261920000006</v>
      </c>
      <c r="AI14" s="3"/>
      <c r="AJ14" s="14">
        <f>AJ11-AJ12-AJ13</f>
        <v>11828</v>
      </c>
      <c r="AK14" s="14">
        <f>AK11-AK12-AK13</f>
        <v>13347</v>
      </c>
      <c r="AL14" s="14">
        <f>AL11-AL12-AL13</f>
        <v>8333</v>
      </c>
      <c r="AM14" s="14">
        <f>AM11-AM12-AM13</f>
        <v>14843</v>
      </c>
      <c r="AN14" s="14">
        <f t="shared" ref="AN14:AV14" si="64">AN11-AN12-AN13</f>
        <v>14866</v>
      </c>
      <c r="AO14" s="14">
        <f t="shared" si="64"/>
        <v>16013</v>
      </c>
      <c r="AP14" s="14">
        <f t="shared" si="64"/>
        <v>10721</v>
      </c>
      <c r="AQ14" s="14">
        <f t="shared" si="64"/>
        <v>10128.217992400052</v>
      </c>
      <c r="AR14" s="14">
        <f t="shared" si="64"/>
        <v>13477.080804900001</v>
      </c>
      <c r="AS14" s="14">
        <f t="shared" si="64"/>
        <v>13611.851612949</v>
      </c>
      <c r="AT14" s="14">
        <f t="shared" si="64"/>
        <v>13747.970129078481</v>
      </c>
      <c r="AU14" s="14">
        <f t="shared" si="64"/>
        <v>13885.449830369271</v>
      </c>
      <c r="AV14" s="14">
        <f t="shared" si="64"/>
        <v>14024.30432867297</v>
      </c>
      <c r="AW14" s="14">
        <f t="shared" ref="AW14:BA14" si="65">AW11-AW12-AW13</f>
        <v>14164.54737195969</v>
      </c>
      <c r="AX14" s="14">
        <f t="shared" si="65"/>
        <v>14306.192845679287</v>
      </c>
      <c r="AY14" s="14">
        <f t="shared" si="65"/>
        <v>14449.254774136085</v>
      </c>
      <c r="AZ14" s="14">
        <f t="shared" si="65"/>
        <v>14593.747321877448</v>
      </c>
      <c r="BA14" s="14">
        <f t="shared" si="65"/>
        <v>14739.684795096215</v>
      </c>
      <c r="BB14" s="3">
        <f>BA14*(1+$BD$21)</f>
        <v>14592.287947145252</v>
      </c>
      <c r="BC14" s="3">
        <f t="shared" ref="BC14:DN14" si="66">BB14*(1+$BD$21)</f>
        <v>14446.3650676738</v>
      </c>
      <c r="BD14" s="3">
        <f t="shared" si="66"/>
        <v>14301.901416997061</v>
      </c>
      <c r="BE14" s="3">
        <f t="shared" si="66"/>
        <v>14158.88240282709</v>
      </c>
      <c r="BF14" s="3">
        <f t="shared" si="66"/>
        <v>14017.293578798819</v>
      </c>
      <c r="BG14" s="3">
        <f t="shared" si="66"/>
        <v>13877.12064301083</v>
      </c>
      <c r="BH14" s="3">
        <f t="shared" si="66"/>
        <v>13738.349436580722</v>
      </c>
      <c r="BI14" s="3">
        <f t="shared" si="66"/>
        <v>13600.965942214914</v>
      </c>
      <c r="BJ14" s="3">
        <f t="shared" si="66"/>
        <v>13464.956282792766</v>
      </c>
      <c r="BK14" s="3">
        <f t="shared" si="66"/>
        <v>13330.306719964838</v>
      </c>
      <c r="BL14" s="3">
        <f t="shared" si="66"/>
        <v>13197.003652765188</v>
      </c>
      <c r="BM14" s="3">
        <f t="shared" si="66"/>
        <v>13065.033616237537</v>
      </c>
      <c r="BN14" s="3">
        <f t="shared" si="66"/>
        <v>12934.383280075161</v>
      </c>
      <c r="BO14" s="3">
        <f t="shared" si="66"/>
        <v>12805.039447274408</v>
      </c>
      <c r="BP14" s="3">
        <f t="shared" si="66"/>
        <v>12676.989052801664</v>
      </c>
      <c r="BQ14" s="3">
        <f t="shared" si="66"/>
        <v>12550.219162273646</v>
      </c>
      <c r="BR14" s="3">
        <f t="shared" si="66"/>
        <v>12424.71697065091</v>
      </c>
      <c r="BS14" s="3">
        <f t="shared" si="66"/>
        <v>12300.469800944402</v>
      </c>
      <c r="BT14" s="3">
        <f t="shared" si="66"/>
        <v>12177.465102934957</v>
      </c>
      <c r="BU14" s="3">
        <f t="shared" si="66"/>
        <v>12055.690451905608</v>
      </c>
      <c r="BV14" s="3">
        <f t="shared" si="66"/>
        <v>11935.133547386551</v>
      </c>
      <c r="BW14" s="3">
        <f t="shared" si="66"/>
        <v>11815.782211912685</v>
      </c>
      <c r="BX14" s="3">
        <f t="shared" si="66"/>
        <v>11697.624389793558</v>
      </c>
      <c r="BY14" s="3">
        <f t="shared" si="66"/>
        <v>11580.648145895622</v>
      </c>
      <c r="BZ14" s="3">
        <f t="shared" si="66"/>
        <v>11464.841664436666</v>
      </c>
      <c r="CA14" s="3">
        <f t="shared" si="66"/>
        <v>11350.1932477923</v>
      </c>
      <c r="CB14" s="3">
        <f t="shared" si="66"/>
        <v>11236.691315314378</v>
      </c>
      <c r="CC14" s="3">
        <f t="shared" si="66"/>
        <v>11124.324402161234</v>
      </c>
      <c r="CD14" s="3">
        <f t="shared" si="66"/>
        <v>11013.081158139621</v>
      </c>
      <c r="CE14" s="3">
        <f t="shared" si="66"/>
        <v>10902.950346558224</v>
      </c>
      <c r="CF14" s="3">
        <f t="shared" si="66"/>
        <v>10793.920843092641</v>
      </c>
      <c r="CG14" s="3">
        <f t="shared" si="66"/>
        <v>10685.981634661715</v>
      </c>
      <c r="CH14" s="3">
        <f t="shared" si="66"/>
        <v>10579.121818315098</v>
      </c>
      <c r="CI14" s="3">
        <f t="shared" si="66"/>
        <v>10473.330600131947</v>
      </c>
      <c r="CJ14" s="3">
        <f t="shared" si="66"/>
        <v>10368.597294130628</v>
      </c>
      <c r="CK14" s="3">
        <f t="shared" si="66"/>
        <v>10264.911321189322</v>
      </c>
      <c r="CL14" s="3">
        <f t="shared" si="66"/>
        <v>10162.262207977428</v>
      </c>
      <c r="CM14" s="3">
        <f t="shared" si="66"/>
        <v>10060.639585897654</v>
      </c>
      <c r="CN14" s="3">
        <f t="shared" si="66"/>
        <v>9960.0331900386773</v>
      </c>
      <c r="CO14" s="3">
        <f t="shared" si="66"/>
        <v>9860.4328581382906</v>
      </c>
      <c r="CP14" s="3">
        <f t="shared" si="66"/>
        <v>9761.8285295569076</v>
      </c>
      <c r="CQ14" s="3">
        <f t="shared" si="66"/>
        <v>9664.2102442613377</v>
      </c>
      <c r="CR14" s="3">
        <f t="shared" si="66"/>
        <v>9567.5681418187251</v>
      </c>
      <c r="CS14" s="3">
        <f t="shared" si="66"/>
        <v>9471.8924604005369</v>
      </c>
      <c r="CT14" s="3">
        <f t="shared" si="66"/>
        <v>9377.1735357965317</v>
      </c>
      <c r="CU14" s="3">
        <f t="shared" si="66"/>
        <v>9283.4018004385671</v>
      </c>
      <c r="CV14" s="3">
        <f t="shared" si="66"/>
        <v>9190.5677824341819</v>
      </c>
      <c r="CW14" s="3">
        <f t="shared" si="66"/>
        <v>9098.6621046098408</v>
      </c>
      <c r="CX14" s="3">
        <f t="shared" si="66"/>
        <v>9007.6754835637421</v>
      </c>
      <c r="CY14" s="3">
        <f t="shared" si="66"/>
        <v>8917.5987287281041</v>
      </c>
      <c r="CZ14" s="3">
        <f t="shared" si="66"/>
        <v>8828.4227414408233</v>
      </c>
      <c r="DA14" s="3">
        <f t="shared" si="66"/>
        <v>8740.1385140264156</v>
      </c>
      <c r="DB14" s="3">
        <f t="shared" si="66"/>
        <v>8652.7371288861505</v>
      </c>
      <c r="DC14" s="3">
        <f t="shared" si="66"/>
        <v>8566.2097575972894</v>
      </c>
      <c r="DD14" s="3">
        <f t="shared" si="66"/>
        <v>8480.5476600213169</v>
      </c>
      <c r="DE14" s="3">
        <f t="shared" si="66"/>
        <v>8395.7421834211036</v>
      </c>
      <c r="DF14" s="3">
        <f t="shared" si="66"/>
        <v>8311.7847615868923</v>
      </c>
      <c r="DG14" s="3">
        <f t="shared" si="66"/>
        <v>8228.666913971023</v>
      </c>
      <c r="DH14" s="3">
        <f t="shared" si="66"/>
        <v>8146.3802448313127</v>
      </c>
      <c r="DI14" s="3">
        <f t="shared" si="66"/>
        <v>8064.9164423829998</v>
      </c>
      <c r="DJ14" s="3">
        <f t="shared" si="66"/>
        <v>7984.2672779591694</v>
      </c>
      <c r="DK14" s="3">
        <f t="shared" si="66"/>
        <v>7904.4246051795781</v>
      </c>
      <c r="DL14" s="3">
        <f t="shared" si="66"/>
        <v>7825.380359127782</v>
      </c>
      <c r="DM14" s="3">
        <f t="shared" si="66"/>
        <v>7747.1265555365044</v>
      </c>
      <c r="DN14" s="3">
        <f t="shared" si="66"/>
        <v>7669.6552899811395</v>
      </c>
      <c r="DO14" s="3">
        <f t="shared" ref="DO14:FB14" si="67">DN14*(1+$BD$21)</f>
        <v>7592.9587370813279</v>
      </c>
      <c r="DP14" s="3">
        <f t="shared" si="67"/>
        <v>7517.0291497105145</v>
      </c>
      <c r="DQ14" s="3">
        <f t="shared" si="67"/>
        <v>7441.8588582134089</v>
      </c>
      <c r="DR14" s="3">
        <f t="shared" si="67"/>
        <v>7367.4402696312745</v>
      </c>
      <c r="DS14" s="3">
        <f t="shared" si="67"/>
        <v>7293.7658669349621</v>
      </c>
      <c r="DT14" s="3">
        <f t="shared" si="67"/>
        <v>7220.8282082656124</v>
      </c>
      <c r="DU14" s="3">
        <f t="shared" si="67"/>
        <v>7148.6199261829561</v>
      </c>
      <c r="DV14" s="3">
        <f t="shared" si="67"/>
        <v>7077.1337269211263</v>
      </c>
      <c r="DW14" s="3">
        <f t="shared" si="67"/>
        <v>7006.3623896519148</v>
      </c>
      <c r="DX14" s="3">
        <f t="shared" si="67"/>
        <v>6936.2987657553958</v>
      </c>
      <c r="DY14" s="3">
        <f t="shared" si="67"/>
        <v>6866.9357780978416</v>
      </c>
      <c r="DZ14" s="3">
        <f t="shared" si="67"/>
        <v>6798.2664203168633</v>
      </c>
      <c r="EA14" s="3">
        <f t="shared" si="67"/>
        <v>6730.2837561136948</v>
      </c>
      <c r="EB14" s="3">
        <f t="shared" si="67"/>
        <v>6662.9809185525583</v>
      </c>
      <c r="EC14" s="3">
        <f t="shared" si="67"/>
        <v>6596.3511093670322</v>
      </c>
      <c r="ED14" s="3">
        <f t="shared" si="67"/>
        <v>6530.3875982733616</v>
      </c>
      <c r="EE14" s="3">
        <f t="shared" si="67"/>
        <v>6465.0837222906275</v>
      </c>
      <c r="EF14" s="3">
        <f t="shared" si="67"/>
        <v>6400.4328850677211</v>
      </c>
      <c r="EG14" s="3">
        <f t="shared" si="67"/>
        <v>6336.4285562170435</v>
      </c>
      <c r="EH14" s="3">
        <f t="shared" si="67"/>
        <v>6273.0642706548733</v>
      </c>
      <c r="EI14" s="3">
        <f t="shared" si="67"/>
        <v>6210.3336279483246</v>
      </c>
      <c r="EJ14" s="3">
        <f t="shared" si="67"/>
        <v>6148.2302916688413</v>
      </c>
      <c r="EK14" s="3">
        <f t="shared" si="67"/>
        <v>6086.7479887521531</v>
      </c>
      <c r="EL14" s="3">
        <f t="shared" si="67"/>
        <v>6025.8805088646313</v>
      </c>
      <c r="EM14" s="3">
        <f t="shared" si="67"/>
        <v>5965.6217037759852</v>
      </c>
      <c r="EN14" s="3">
        <f t="shared" si="67"/>
        <v>5905.9654867382251</v>
      </c>
      <c r="EO14" s="3">
        <f t="shared" si="67"/>
        <v>5846.905831870843</v>
      </c>
      <c r="EP14" s="3">
        <f t="shared" si="67"/>
        <v>5788.4367735521346</v>
      </c>
      <c r="EQ14" s="3">
        <f t="shared" si="67"/>
        <v>5730.5524058166129</v>
      </c>
      <c r="ER14" s="3">
        <f t="shared" si="67"/>
        <v>5673.2468817584468</v>
      </c>
      <c r="ES14" s="3">
        <f t="shared" si="67"/>
        <v>5616.5144129408618</v>
      </c>
      <c r="ET14" s="3">
        <f t="shared" si="67"/>
        <v>5560.3492688114529</v>
      </c>
      <c r="EU14" s="3">
        <f t="shared" si="67"/>
        <v>5504.7457761233381</v>
      </c>
      <c r="EV14" s="3">
        <f t="shared" si="67"/>
        <v>5449.6983183621051</v>
      </c>
      <c r="EW14" s="3">
        <f t="shared" si="67"/>
        <v>5395.2013351784835</v>
      </c>
      <c r="EX14" s="3">
        <f t="shared" si="67"/>
        <v>5341.2493218266991</v>
      </c>
      <c r="EY14" s="3">
        <f t="shared" si="67"/>
        <v>5287.8368286084324</v>
      </c>
      <c r="EZ14" s="3">
        <f t="shared" si="67"/>
        <v>5234.9584603223484</v>
      </c>
      <c r="FA14" s="3">
        <f t="shared" si="67"/>
        <v>5182.6088757191246</v>
      </c>
      <c r="FB14" s="3">
        <f t="shared" si="67"/>
        <v>5130.7827869619332</v>
      </c>
    </row>
    <row r="15" spans="2:158" s="3" customFormat="1" x14ac:dyDescent="0.3">
      <c r="B15" s="1" t="s">
        <v>21</v>
      </c>
      <c r="C15" s="6">
        <v>501.3</v>
      </c>
      <c r="D15" s="6">
        <v>501.3</v>
      </c>
      <c r="E15" s="6">
        <v>501.3</v>
      </c>
      <c r="F15" s="6">
        <v>501.3</v>
      </c>
      <c r="G15" s="6">
        <v>501.3</v>
      </c>
      <c r="H15" s="6">
        <v>501.3</v>
      </c>
      <c r="I15" s="6">
        <v>501.3</v>
      </c>
      <c r="J15" s="6">
        <v>501.3</v>
      </c>
      <c r="K15" s="6">
        <v>501.3</v>
      </c>
      <c r="L15" s="6">
        <v>501.3</v>
      </c>
      <c r="M15" s="6">
        <v>501.3</v>
      </c>
      <c r="N15" s="6">
        <v>501.3</v>
      </c>
      <c r="O15" s="6">
        <v>501.3</v>
      </c>
      <c r="P15" s="6">
        <v>501.3</v>
      </c>
      <c r="Q15" s="6">
        <v>501.3</v>
      </c>
      <c r="R15" s="6">
        <v>501.3</v>
      </c>
      <c r="S15" s="6">
        <v>501.3</v>
      </c>
      <c r="T15" s="6">
        <v>501.3</v>
      </c>
      <c r="U15" s="6">
        <v>501.3</v>
      </c>
      <c r="V15" s="6">
        <v>501.3</v>
      </c>
      <c r="W15" s="6">
        <v>501.3</v>
      </c>
      <c r="X15" s="6">
        <v>501.3</v>
      </c>
      <c r="Y15" s="6">
        <v>501.3</v>
      </c>
      <c r="Z15" s="6">
        <v>501.3</v>
      </c>
      <c r="AA15" s="6">
        <v>501.3</v>
      </c>
      <c r="AB15" s="6">
        <v>501.3</v>
      </c>
      <c r="AC15" s="6">
        <v>501.3</v>
      </c>
      <c r="AD15" s="6">
        <v>501.3</v>
      </c>
      <c r="AE15" s="6">
        <v>501.3</v>
      </c>
      <c r="AF15" s="6">
        <v>501.3</v>
      </c>
      <c r="AG15" s="6">
        <v>501.3</v>
      </c>
      <c r="AH15" s="6">
        <v>501.3</v>
      </c>
      <c r="AI15" s="1"/>
      <c r="AJ15" s="6">
        <v>501.3</v>
      </c>
      <c r="AK15" s="6">
        <v>501.3</v>
      </c>
      <c r="AL15" s="6">
        <v>501.3</v>
      </c>
      <c r="AM15" s="6">
        <v>501.3</v>
      </c>
      <c r="AN15" s="6">
        <v>501.3</v>
      </c>
      <c r="AO15" s="6">
        <v>501.3</v>
      </c>
      <c r="AP15" s="6">
        <f t="shared" ref="AP15:BA15" si="68">295.1+206.2</f>
        <v>501.3</v>
      </c>
      <c r="AQ15" s="6">
        <f t="shared" si="68"/>
        <v>501.3</v>
      </c>
      <c r="AR15" s="6">
        <f t="shared" si="68"/>
        <v>501.3</v>
      </c>
      <c r="AS15" s="6">
        <f t="shared" si="68"/>
        <v>501.3</v>
      </c>
      <c r="AT15" s="6">
        <f t="shared" si="68"/>
        <v>501.3</v>
      </c>
      <c r="AU15" s="6">
        <f t="shared" si="68"/>
        <v>501.3</v>
      </c>
      <c r="AV15" s="6">
        <f t="shared" si="68"/>
        <v>501.3</v>
      </c>
      <c r="AW15" s="6">
        <f t="shared" si="68"/>
        <v>501.3</v>
      </c>
      <c r="AX15" s="6">
        <f t="shared" si="68"/>
        <v>501.3</v>
      </c>
      <c r="AY15" s="6">
        <f t="shared" si="68"/>
        <v>501.3</v>
      </c>
      <c r="AZ15" s="6">
        <f t="shared" si="68"/>
        <v>501.3</v>
      </c>
      <c r="BA15" s="6">
        <f t="shared" si="68"/>
        <v>501.3</v>
      </c>
    </row>
    <row r="16" spans="2:158" x14ac:dyDescent="0.3">
      <c r="B16" s="3" t="s">
        <v>22</v>
      </c>
      <c r="C16" s="15">
        <f t="shared" ref="C16:Q16" si="69">C14/C15</f>
        <v>6.427289048473968</v>
      </c>
      <c r="D16" s="15">
        <f t="shared" si="69"/>
        <v>6.4472371833233595</v>
      </c>
      <c r="E16" s="15">
        <f t="shared" si="69"/>
        <v>5.3221623778176737</v>
      </c>
      <c r="F16" s="15">
        <f t="shared" si="69"/>
        <v>5.3979652902453621</v>
      </c>
      <c r="G16" s="15">
        <f t="shared" si="69"/>
        <v>5.8088968681428286</v>
      </c>
      <c r="H16" s="15">
        <f t="shared" si="69"/>
        <v>7.9054458408138837</v>
      </c>
      <c r="I16" s="15">
        <f t="shared" si="69"/>
        <v>7.560343107919409</v>
      </c>
      <c r="J16" s="15">
        <f t="shared" si="69"/>
        <v>5.3500897666068221</v>
      </c>
      <c r="K16" s="15">
        <f t="shared" si="69"/>
        <v>0.80989427488529819</v>
      </c>
      <c r="L16" s="15">
        <f t="shared" si="69"/>
        <v>-3.205665270297227</v>
      </c>
      <c r="M16" s="15">
        <f t="shared" si="69"/>
        <v>5.1506084181129062</v>
      </c>
      <c r="N16" s="15">
        <f t="shared" si="69"/>
        <v>13.867943347297027</v>
      </c>
      <c r="O16" s="15">
        <f t="shared" si="69"/>
        <v>6.4711749451426286</v>
      </c>
      <c r="P16" s="15">
        <f t="shared" si="69"/>
        <v>9.6987831637741877</v>
      </c>
      <c r="Q16" s="15">
        <f t="shared" si="69"/>
        <v>5.5096748454019551</v>
      </c>
      <c r="R16" s="15">
        <f t="shared" ref="R16" si="70">R14/R15</f>
        <v>7.9293836026331537</v>
      </c>
      <c r="S16" s="15">
        <f t="shared" ref="S16:T16" si="71">S14/S15</f>
        <v>13.07999202074606</v>
      </c>
      <c r="T16" s="15">
        <f t="shared" si="71"/>
        <v>7.4606024336724515</v>
      </c>
      <c r="U16" s="15">
        <f t="shared" ref="U16:V16" si="72">U14/U15</f>
        <v>3.9038499900259325</v>
      </c>
      <c r="V16" s="15">
        <f t="shared" si="72"/>
        <v>5.2104528226610807</v>
      </c>
      <c r="W16" s="15">
        <f t="shared" ref="W16:X16" si="73">W14/W15</f>
        <v>8.3961699581089171</v>
      </c>
      <c r="X16" s="15">
        <f t="shared" si="73"/>
        <v>6.4811490125673252</v>
      </c>
      <c r="Y16" s="15">
        <f t="shared" ref="Y16" si="74">Y14/Y15</f>
        <v>7.759824456413325</v>
      </c>
      <c r="Z16" s="15">
        <f t="shared" ref="Z16" si="75">Z14/Z15</f>
        <v>9.305804907241173</v>
      </c>
      <c r="AA16" s="15">
        <f t="shared" ref="AA16:AD16" si="76">AA14/AA15</f>
        <v>6.5150608418112901</v>
      </c>
      <c r="AB16" s="15">
        <f t="shared" si="76"/>
        <v>6.2078595651306605</v>
      </c>
      <c r="AC16" s="15">
        <f t="shared" si="76"/>
        <v>2.4157191302613206</v>
      </c>
      <c r="AD16" s="15">
        <f t="shared" si="76"/>
        <v>6.2477558348294435</v>
      </c>
      <c r="AE16" s="15">
        <f t="shared" ref="AE16:AH16" si="77">AE14/AE15</f>
        <v>3.6544983044085377</v>
      </c>
      <c r="AF16" s="15">
        <f t="shared" si="77"/>
        <v>4.3407141432276077</v>
      </c>
      <c r="AG16" s="15">
        <f t="shared" si="77"/>
        <v>5.2315814889287866</v>
      </c>
      <c r="AH16" s="15">
        <f t="shared" si="77"/>
        <v>6.9771118930779981</v>
      </c>
      <c r="AI16" s="3"/>
      <c r="AJ16" s="15">
        <f>AJ14/AJ15</f>
        <v>23.594653899860361</v>
      </c>
      <c r="AK16" s="15">
        <f>AK14/AK15</f>
        <v>26.624775583482943</v>
      </c>
      <c r="AL16" s="15">
        <f>AL14/AL15</f>
        <v>16.622780769998005</v>
      </c>
      <c r="AM16" s="15">
        <f>AM14/AM15</f>
        <v>29.609016556951925</v>
      </c>
      <c r="AN16" s="15">
        <f t="shared" ref="AN16:AV16" si="78">AN14/AN15</f>
        <v>29.654897267105525</v>
      </c>
      <c r="AO16" s="15">
        <f t="shared" si="78"/>
        <v>31.94294833433074</v>
      </c>
      <c r="AP16" s="15">
        <f t="shared" si="78"/>
        <v>21.386395372032716</v>
      </c>
      <c r="AQ16" s="15">
        <f t="shared" si="78"/>
        <v>20.203905829643031</v>
      </c>
      <c r="AR16" s="15">
        <f t="shared" si="78"/>
        <v>26.884262527229204</v>
      </c>
      <c r="AS16" s="15">
        <f t="shared" si="78"/>
        <v>27.153105152501496</v>
      </c>
      <c r="AT16" s="15">
        <f t="shared" si="78"/>
        <v>27.424636204026495</v>
      </c>
      <c r="AU16" s="15">
        <f t="shared" si="78"/>
        <v>27.698882566066768</v>
      </c>
      <c r="AV16" s="15">
        <f t="shared" si="78"/>
        <v>27.975871391727448</v>
      </c>
      <c r="AW16" s="15">
        <f t="shared" ref="AW16:BA16" si="79">AW14/AW15</f>
        <v>28.255630105644705</v>
      </c>
      <c r="AX16" s="15">
        <f t="shared" si="79"/>
        <v>28.538186406701151</v>
      </c>
      <c r="AY16" s="15">
        <f t="shared" si="79"/>
        <v>28.82356827076817</v>
      </c>
      <c r="AZ16" s="15">
        <f t="shared" si="79"/>
        <v>29.11180395347586</v>
      </c>
      <c r="BA16" s="15">
        <f t="shared" si="79"/>
        <v>29.402921993010601</v>
      </c>
    </row>
    <row r="17" spans="2:56" x14ac:dyDescent="0.3">
      <c r="AL17" s="1"/>
    </row>
    <row r="18" spans="2:56" x14ac:dyDescent="0.3">
      <c r="B18" s="3" t="s">
        <v>30</v>
      </c>
      <c r="C18" s="16">
        <f t="shared" ref="C18:N18" si="80">C5/C3</f>
        <v>0.19871882942914063</v>
      </c>
      <c r="D18" s="16">
        <f t="shared" si="80"/>
        <v>0.21681466581628481</v>
      </c>
      <c r="E18" s="16">
        <f t="shared" si="80"/>
        <v>0.18507246376811595</v>
      </c>
      <c r="F18" s="16">
        <f t="shared" si="80"/>
        <v>0.18448883666274971</v>
      </c>
      <c r="G18" s="16">
        <f t="shared" si="80"/>
        <v>0.1947610477904419</v>
      </c>
      <c r="H18" s="16">
        <f t="shared" si="80"/>
        <v>0.2002761371481169</v>
      </c>
      <c r="I18" s="16">
        <f t="shared" si="80"/>
        <v>0.18948225333767502</v>
      </c>
      <c r="J18" s="16">
        <f t="shared" si="80"/>
        <v>0.19330455199575855</v>
      </c>
      <c r="K18" s="16">
        <f t="shared" si="80"/>
        <v>0.16765357648853851</v>
      </c>
      <c r="L18" s="16">
        <f t="shared" si="80"/>
        <v>8.9395267309377732E-2</v>
      </c>
      <c r="M18" s="16">
        <f t="shared" si="80"/>
        <v>0.17567180523965967</v>
      </c>
      <c r="N18" s="16">
        <f t="shared" si="80"/>
        <v>0.23172450629831304</v>
      </c>
      <c r="O18" s="16">
        <f t="shared" ref="O18:AD18" si="81">O5/O3</f>
        <v>0.19764011799410031</v>
      </c>
      <c r="P18" s="16">
        <f t="shared" si="81"/>
        <v>0.18606690146077601</v>
      </c>
      <c r="Q18" s="16">
        <f t="shared" si="81"/>
        <v>0.15671602466143225</v>
      </c>
      <c r="R18" s="16">
        <f t="shared" si="81"/>
        <v>0.21179245283018869</v>
      </c>
      <c r="S18" s="16">
        <f t="shared" si="81"/>
        <v>0.19106818399158459</v>
      </c>
      <c r="T18" s="16">
        <f t="shared" si="81"/>
        <v>0.20836029506923773</v>
      </c>
      <c r="U18" s="16">
        <f t="shared" si="81"/>
        <v>0.1792623599954746</v>
      </c>
      <c r="V18" s="16">
        <f t="shared" si="81"/>
        <v>0.17148291467173871</v>
      </c>
      <c r="W18" s="16">
        <f t="shared" si="81"/>
        <v>0.19938843539200504</v>
      </c>
      <c r="X18" s="16">
        <f t="shared" si="81"/>
        <v>0.19638016962490162</v>
      </c>
      <c r="Y18" s="16">
        <f t="shared" si="81"/>
        <v>0.17006785465153149</v>
      </c>
      <c r="Z18" s="16">
        <f t="shared" si="81"/>
        <v>0.19153036177192539</v>
      </c>
      <c r="AA18" s="16">
        <f t="shared" si="81"/>
        <v>0.17950994553477956</v>
      </c>
      <c r="AB18" s="16">
        <f t="shared" si="81"/>
        <v>0.18935912357959658</v>
      </c>
      <c r="AC18" s="16">
        <f t="shared" si="81"/>
        <v>0.16639058079971458</v>
      </c>
      <c r="AD18" s="16">
        <f t="shared" si="81"/>
        <v>0.1955526562750349</v>
      </c>
      <c r="AE18" s="16">
        <f t="shared" ref="AE18:AH18" si="82">AE5/AE3</f>
        <v>0.16503777817891127</v>
      </c>
      <c r="AF18" s="16">
        <f t="shared" si="82"/>
        <v>0.16832908447392519</v>
      </c>
      <c r="AG18" s="16">
        <f t="shared" si="82"/>
        <v>0.18</v>
      </c>
      <c r="AH18" s="16">
        <f t="shared" si="82"/>
        <v>0.19</v>
      </c>
      <c r="AJ18" s="16">
        <f t="shared" ref="AJ18:AV18" si="83">AJ5/AJ3</f>
        <v>0.19651980716475373</v>
      </c>
      <c r="AK18" s="16">
        <f t="shared" si="83"/>
        <v>0.19452009246651256</v>
      </c>
      <c r="AL18" s="16">
        <f t="shared" si="83"/>
        <v>0.17474112094183522</v>
      </c>
      <c r="AM18" s="16">
        <f t="shared" si="83"/>
        <v>0.18881294964028777</v>
      </c>
      <c r="AN18" s="16">
        <f t="shared" si="83"/>
        <v>0.18703801856520744</v>
      </c>
      <c r="AO18" s="16">
        <f t="shared" si="83"/>
        <v>0.18934231919673331</v>
      </c>
      <c r="AP18" s="16">
        <f t="shared" si="83"/>
        <v>0.18318466315115076</v>
      </c>
      <c r="AQ18" s="16">
        <f t="shared" si="83"/>
        <v>0.17615112606364938</v>
      </c>
      <c r="AR18" s="16">
        <f t="shared" si="83"/>
        <v>0.18</v>
      </c>
      <c r="AS18" s="16">
        <f t="shared" si="83"/>
        <v>0.18</v>
      </c>
      <c r="AT18" s="16">
        <f t="shared" si="83"/>
        <v>0.18</v>
      </c>
      <c r="AU18" s="16">
        <f t="shared" si="83"/>
        <v>0.18</v>
      </c>
      <c r="AV18" s="16">
        <f t="shared" si="83"/>
        <v>0.18</v>
      </c>
      <c r="AW18" s="16">
        <f t="shared" ref="AW18:BA18" si="84">AW5/AW3</f>
        <v>0.18</v>
      </c>
      <c r="AX18" s="16">
        <f t="shared" si="84"/>
        <v>0.18</v>
      </c>
      <c r="AY18" s="16">
        <f t="shared" si="84"/>
        <v>0.18</v>
      </c>
      <c r="AZ18" s="16">
        <f t="shared" si="84"/>
        <v>0.18</v>
      </c>
      <c r="BA18" s="16">
        <f t="shared" si="84"/>
        <v>0.18</v>
      </c>
    </row>
    <row r="19" spans="2:56" x14ac:dyDescent="0.3">
      <c r="B19" s="3" t="s">
        <v>31</v>
      </c>
      <c r="C19" s="16">
        <f t="shared" ref="C19:N19" si="85">C9/C3</f>
        <v>7.2336333035652955E-2</v>
      </c>
      <c r="D19" s="16">
        <f t="shared" si="85"/>
        <v>6.4579960424536786E-2</v>
      </c>
      <c r="E19" s="16">
        <f t="shared" si="85"/>
        <v>4.9112318840579712E-2</v>
      </c>
      <c r="F19" s="16">
        <f t="shared" si="85"/>
        <v>4.974539757148453E-2</v>
      </c>
      <c r="G19" s="16">
        <f t="shared" si="85"/>
        <v>6.4453775911484365E-2</v>
      </c>
      <c r="H19" s="16">
        <f t="shared" si="85"/>
        <v>7.8683746260642784E-2</v>
      </c>
      <c r="I19" s="16">
        <f t="shared" si="85"/>
        <v>7.3949853467925764E-2</v>
      </c>
      <c r="J19" s="16">
        <f t="shared" si="85"/>
        <v>5.1821555707036282E-2</v>
      </c>
      <c r="K19" s="16">
        <f t="shared" si="85"/>
        <v>1.6420241944272895E-2</v>
      </c>
      <c r="L19" s="16">
        <f t="shared" si="85"/>
        <v>-5.8282208588957052E-2</v>
      </c>
      <c r="M19" s="16">
        <f t="shared" si="85"/>
        <v>5.3626484710639376E-2</v>
      </c>
      <c r="N19" s="16">
        <f t="shared" si="85"/>
        <v>0.11842905681093191</v>
      </c>
      <c r="O19" s="16">
        <f t="shared" ref="O19:AD19" si="86">O9/O3</f>
        <v>7.7161087597794026E-2</v>
      </c>
      <c r="P19" s="16">
        <f t="shared" si="86"/>
        <v>9.7305811897225564E-2</v>
      </c>
      <c r="Q19" s="16">
        <f t="shared" si="86"/>
        <v>4.5599058509423689E-2</v>
      </c>
      <c r="R19" s="16">
        <f t="shared" si="86"/>
        <v>8.3616352201257862E-2</v>
      </c>
      <c r="S19" s="16">
        <f t="shared" si="86"/>
        <v>0.13267030059609194</v>
      </c>
      <c r="T19" s="16">
        <f t="shared" si="86"/>
        <v>6.4765684540500121E-2</v>
      </c>
      <c r="U19" s="16">
        <f t="shared" si="86"/>
        <v>6.0371648376513182E-2</v>
      </c>
      <c r="V19" s="16">
        <f t="shared" si="86"/>
        <v>6.5940840821145139E-2</v>
      </c>
      <c r="W19" s="16">
        <f t="shared" si="86"/>
        <v>7.5408803380666162E-2</v>
      </c>
      <c r="X19" s="16">
        <f t="shared" si="86"/>
        <v>6.9948413045379035E-2</v>
      </c>
      <c r="Y19" s="16">
        <f t="shared" si="86"/>
        <v>6.2083835373200585E-2</v>
      </c>
      <c r="Z19" s="16">
        <f t="shared" si="86"/>
        <v>7.2664082035282518E-2</v>
      </c>
      <c r="AA19" s="16">
        <f t="shared" si="86"/>
        <v>6.079961834590053E-2</v>
      </c>
      <c r="AB19" s="16">
        <f t="shared" si="86"/>
        <v>6.556354167916581E-2</v>
      </c>
      <c r="AC19" s="16">
        <f t="shared" si="86"/>
        <v>3.6366879889905453E-2</v>
      </c>
      <c r="AD19" s="16">
        <f t="shared" si="86"/>
        <v>7.0429627595046812E-2</v>
      </c>
      <c r="AE19" s="16">
        <f t="shared" ref="AE19:AH19" si="87">AE9/AE3</f>
        <v>3.7056138631733668E-2</v>
      </c>
      <c r="AF19" s="16">
        <f t="shared" si="87"/>
        <v>4.7459347078187261E-2</v>
      </c>
      <c r="AG19" s="16">
        <f t="shared" si="87"/>
        <v>5.7397031067071461E-2</v>
      </c>
      <c r="AH19" s="16">
        <f t="shared" si="87"/>
        <v>6.6127844398805063E-2</v>
      </c>
      <c r="AJ19" s="16">
        <f t="shared" ref="AJ19:AV19" si="88">AJ9/AJ3</f>
        <v>5.9020814164995397E-2</v>
      </c>
      <c r="AK19" s="16">
        <f t="shared" si="88"/>
        <v>6.7133221444630922E-2</v>
      </c>
      <c r="AL19" s="16">
        <f t="shared" si="88"/>
        <v>4.3408230290195797E-2</v>
      </c>
      <c r="AM19" s="16">
        <f t="shared" si="88"/>
        <v>7.7038369304556362E-2</v>
      </c>
      <c r="AN19" s="16">
        <f t="shared" si="88"/>
        <v>7.9231606692642675E-2</v>
      </c>
      <c r="AO19" s="16">
        <f t="shared" si="88"/>
        <v>7.0050017996549627E-2</v>
      </c>
      <c r="AP19" s="16">
        <f t="shared" si="88"/>
        <v>5.8708294317677788E-2</v>
      </c>
      <c r="AQ19" s="16">
        <f t="shared" si="88"/>
        <v>5.2345790773016453E-2</v>
      </c>
      <c r="AR19" s="16">
        <f t="shared" si="88"/>
        <v>6.5367353211422369E-2</v>
      </c>
      <c r="AS19" s="16">
        <f t="shared" si="88"/>
        <v>6.5367353211422369E-2</v>
      </c>
      <c r="AT19" s="16">
        <f t="shared" si="88"/>
        <v>6.5367353211422341E-2</v>
      </c>
      <c r="AU19" s="16">
        <f t="shared" si="88"/>
        <v>6.5367353211422355E-2</v>
      </c>
      <c r="AV19" s="16">
        <f t="shared" si="88"/>
        <v>6.5367353211422383E-2</v>
      </c>
      <c r="AW19" s="16">
        <f t="shared" ref="AW19:BA19" si="89">AW9/AW3</f>
        <v>6.5367353211422341E-2</v>
      </c>
      <c r="AX19" s="16">
        <f t="shared" si="89"/>
        <v>6.5367353211422355E-2</v>
      </c>
      <c r="AY19" s="16">
        <f t="shared" si="89"/>
        <v>6.5367353211422355E-2</v>
      </c>
      <c r="AZ19" s="16">
        <f t="shared" si="89"/>
        <v>6.5367353211422369E-2</v>
      </c>
      <c r="BA19" s="16">
        <f t="shared" si="89"/>
        <v>6.5367353211422341E-2</v>
      </c>
    </row>
    <row r="20" spans="2:56" x14ac:dyDescent="0.3">
      <c r="B20" s="1" t="s">
        <v>98</v>
      </c>
      <c r="C20" s="17">
        <f>C6/C3</f>
        <v>8.1730438964072269E-2</v>
      </c>
      <c r="D20" s="17">
        <f t="shared" ref="D20:AD20" si="90">D6/D3</f>
        <v>8.9698932116633143E-2</v>
      </c>
      <c r="E20" s="17">
        <f t="shared" si="90"/>
        <v>8.739130434782609E-2</v>
      </c>
      <c r="F20" s="17">
        <f t="shared" si="90"/>
        <v>8.8817077947512729E-2</v>
      </c>
      <c r="G20" s="17">
        <f t="shared" si="90"/>
        <v>8.2333533293341338E-2</v>
      </c>
      <c r="H20" s="17">
        <f t="shared" si="90"/>
        <v>7.7563856715502033E-2</v>
      </c>
      <c r="I20" s="17">
        <f t="shared" si="90"/>
        <v>8.2969716704656457E-2</v>
      </c>
      <c r="J20" s="17">
        <f t="shared" si="90"/>
        <v>8.9146406119821248E-2</v>
      </c>
      <c r="K20" s="17">
        <f t="shared" si="90"/>
        <v>8.1229338467686277E-2</v>
      </c>
      <c r="L20" s="17">
        <f t="shared" si="90"/>
        <v>9.4459051514266243E-2</v>
      </c>
      <c r="M20" s="17">
        <f t="shared" si="90"/>
        <v>7.5949793614691258E-2</v>
      </c>
      <c r="N20" s="17">
        <f t="shared" si="90"/>
        <v>8.230092434605854E-2</v>
      </c>
      <c r="O20" s="17">
        <f t="shared" si="90"/>
        <v>6.989867897909452E-2</v>
      </c>
      <c r="P20" s="17">
        <f t="shared" si="90"/>
        <v>6.9903258882796124E-2</v>
      </c>
      <c r="Q20" s="17">
        <f t="shared" si="90"/>
        <v>8.3855895733431704E-2</v>
      </c>
      <c r="R20" s="17">
        <f t="shared" si="90"/>
        <v>8.474842767295597E-2</v>
      </c>
      <c r="S20" s="17">
        <f t="shared" si="90"/>
        <v>6.8773708201842462E-2</v>
      </c>
      <c r="T20" s="17">
        <f t="shared" si="90"/>
        <v>6.847561940094618E-2</v>
      </c>
      <c r="U20" s="17">
        <f t="shared" si="90"/>
        <v>6.8390089376626315E-2</v>
      </c>
      <c r="V20" s="17">
        <f t="shared" si="90"/>
        <v>7.7746441923001244E-2</v>
      </c>
      <c r="W20" s="17">
        <f t="shared" si="90"/>
        <v>6.346623270951994E-2</v>
      </c>
      <c r="X20" s="17">
        <f t="shared" si="90"/>
        <v>6.482718994741378E-2</v>
      </c>
      <c r="Y20" s="17">
        <f t="shared" si="90"/>
        <v>6.7448791933540489E-2</v>
      </c>
      <c r="Z20" s="17">
        <f t="shared" si="90"/>
        <v>6.8775664701429193E-2</v>
      </c>
      <c r="AA20" s="17">
        <f t="shared" si="90"/>
        <v>6.7624335749592507E-2</v>
      </c>
      <c r="AB20" s="17">
        <f t="shared" si="90"/>
        <v>6.4903586556114182E-2</v>
      </c>
      <c r="AC20" s="17">
        <f t="shared" si="90"/>
        <v>7.0032365758556536E-2</v>
      </c>
      <c r="AD20" s="17">
        <f t="shared" si="90"/>
        <v>7.223786307766257E-2</v>
      </c>
      <c r="AE20" s="17">
        <f t="shared" ref="AE20:AH20" si="91">AE6/AE3</f>
        <v>6.9947652079733871E-2</v>
      </c>
      <c r="AF20" s="17">
        <f t="shared" si="91"/>
        <v>6.7507363314605356E-2</v>
      </c>
      <c r="AG20" s="17">
        <f t="shared" si="91"/>
        <v>7.0000000000000007E-2</v>
      </c>
      <c r="AH20" s="17">
        <f t="shared" si="91"/>
        <v>7.0000000000000007E-2</v>
      </c>
      <c r="AJ20" s="17">
        <f t="shared" ref="AJ20:AV20" si="92">AJ6/AJ3</f>
        <v>8.6962420870981008E-2</v>
      </c>
      <c r="AK20" s="17">
        <f t="shared" si="92"/>
        <v>8.3037778270369553E-2</v>
      </c>
      <c r="AL20" s="17">
        <f t="shared" si="92"/>
        <v>8.2585560201719282E-2</v>
      </c>
      <c r="AM20" s="17">
        <f t="shared" si="92"/>
        <v>7.6850519584332533E-2</v>
      </c>
      <c r="AN20" s="17">
        <f t="shared" si="92"/>
        <v>7.1052028420811375E-2</v>
      </c>
      <c r="AO20" s="17">
        <f t="shared" si="92"/>
        <v>6.6214891213960361E-2</v>
      </c>
      <c r="AP20" s="17">
        <f t="shared" si="92"/>
        <v>6.874969198166675E-2</v>
      </c>
      <c r="AQ20" s="17">
        <f t="shared" si="92"/>
        <v>6.9361420433663515E-2</v>
      </c>
      <c r="AR20" s="17">
        <f t="shared" si="92"/>
        <v>7.0000000000000007E-2</v>
      </c>
      <c r="AS20" s="17">
        <f t="shared" si="92"/>
        <v>7.0000000000000007E-2</v>
      </c>
      <c r="AT20" s="17">
        <f t="shared" si="92"/>
        <v>7.0000000000000007E-2</v>
      </c>
      <c r="AU20" s="17">
        <f t="shared" si="92"/>
        <v>7.0000000000000007E-2</v>
      </c>
      <c r="AV20" s="17">
        <f t="shared" si="92"/>
        <v>7.0000000000000007E-2</v>
      </c>
      <c r="AW20" s="17">
        <f t="shared" ref="AW20:BA20" si="93">AW6/AW3</f>
        <v>7.0000000000000007E-2</v>
      </c>
      <c r="AX20" s="17">
        <f t="shared" si="93"/>
        <v>7.0000000000000007E-2</v>
      </c>
      <c r="AY20" s="17">
        <f t="shared" si="93"/>
        <v>7.0000000000000007E-2</v>
      </c>
      <c r="AZ20" s="17">
        <f t="shared" si="93"/>
        <v>7.0000000000000007E-2</v>
      </c>
      <c r="BA20" s="17">
        <f t="shared" si="93"/>
        <v>7.0000000000000007E-2</v>
      </c>
    </row>
    <row r="21" spans="2:56" x14ac:dyDescent="0.3">
      <c r="B21" s="1" t="s">
        <v>99</v>
      </c>
      <c r="C21" s="17">
        <f t="shared" ref="C21:N21" si="94">C7/C3</f>
        <v>3.6494470014426052E-2</v>
      </c>
      <c r="D21" s="17">
        <f t="shared" si="94"/>
        <v>3.4358697607483363E-2</v>
      </c>
      <c r="E21" s="17">
        <f t="shared" si="94"/>
        <v>3.6376811594202897E-2</v>
      </c>
      <c r="F21" s="17">
        <f t="shared" si="94"/>
        <v>4.2188928058493273E-2</v>
      </c>
      <c r="G21" s="17">
        <f t="shared" si="94"/>
        <v>3.7842431513697261E-2</v>
      </c>
      <c r="H21" s="17">
        <f t="shared" si="94"/>
        <v>3.4547825419958579E-2</v>
      </c>
      <c r="I21" s="17">
        <f t="shared" si="94"/>
        <v>3.7658743080429824E-2</v>
      </c>
      <c r="J21" s="17">
        <f t="shared" si="94"/>
        <v>4.4399000227221083E-2</v>
      </c>
      <c r="K21" s="17">
        <f t="shared" si="94"/>
        <v>4.4410941984233662E-2</v>
      </c>
      <c r="L21" s="17">
        <f t="shared" si="94"/>
        <v>5.8793456032719835E-2</v>
      </c>
      <c r="M21" s="17">
        <f t="shared" si="94"/>
        <v>3.9659674837840116E-2</v>
      </c>
      <c r="N21" s="17">
        <f t="shared" si="94"/>
        <v>3.2418878618377125E-2</v>
      </c>
      <c r="O21" s="17">
        <f t="shared" ref="O21:AD21" si="95">O7/O3</f>
        <v>4.2147620879825577E-2</v>
      </c>
      <c r="P21" s="17">
        <f t="shared" si="95"/>
        <v>3.423833088136953E-2</v>
      </c>
      <c r="Q21" s="17">
        <f t="shared" si="95"/>
        <v>4.4299239430187418E-2</v>
      </c>
      <c r="R21" s="17">
        <f t="shared" si="95"/>
        <v>4.6619496855345909E-2</v>
      </c>
      <c r="S21" s="17">
        <f t="shared" si="95"/>
        <v>4.4260622868254121E-2</v>
      </c>
      <c r="T21" s="17">
        <f t="shared" si="95"/>
        <v>4.0090303840789154E-2</v>
      </c>
      <c r="U21" s="17">
        <f t="shared" si="95"/>
        <v>4.416506392125806E-2</v>
      </c>
      <c r="V21" s="17">
        <f t="shared" si="95"/>
        <v>3.9365121007411297E-2</v>
      </c>
      <c r="W21" s="17">
        <f t="shared" si="95"/>
        <v>4.2533924774928476E-2</v>
      </c>
      <c r="X21" s="17">
        <f t="shared" si="95"/>
        <v>3.6972732609700347E-2</v>
      </c>
      <c r="Y21" s="17">
        <f t="shared" si="95"/>
        <v>3.9723508148899737E-2</v>
      </c>
      <c r="Z21" s="17">
        <f t="shared" si="95"/>
        <v>3.8895643596155167E-2</v>
      </c>
      <c r="AA21" s="17">
        <f t="shared" si="95"/>
        <v>4.4499807847762418E-2</v>
      </c>
      <c r="AB21" s="17">
        <f t="shared" si="95"/>
        <v>3.905734410060116E-2</v>
      </c>
      <c r="AC21" s="17">
        <f t="shared" si="95"/>
        <v>3.5092637427049621E-2</v>
      </c>
      <c r="AD21" s="17">
        <f t="shared" si="95"/>
        <v>3.8762617592529011E-2</v>
      </c>
      <c r="AE21" s="17">
        <f t="shared" ref="AE21:AH21" si="96">AE7/AE3</f>
        <v>4.3116119549240571E-2</v>
      </c>
      <c r="AF21" s="17">
        <f t="shared" si="96"/>
        <v>4.0467292032769844E-2</v>
      </c>
      <c r="AG21" s="17">
        <f t="shared" si="96"/>
        <v>3.6999999999999998E-2</v>
      </c>
      <c r="AH21" s="17">
        <f t="shared" si="96"/>
        <v>0.04</v>
      </c>
      <c r="AJ21" s="17">
        <f t="shared" ref="AJ21:AV21" si="97">AJ7/AJ3</f>
        <v>3.7392568974216556E-2</v>
      </c>
      <c r="AK21" s="17">
        <f t="shared" si="97"/>
        <v>3.8660977231704613E-2</v>
      </c>
      <c r="AL21" s="17">
        <f t="shared" si="97"/>
        <v>4.2169917984242924E-2</v>
      </c>
      <c r="AM21" s="17">
        <f t="shared" si="97"/>
        <v>4.1646682653876901E-2</v>
      </c>
      <c r="AN21" s="17">
        <f t="shared" si="97"/>
        <v>4.1861247994499196E-2</v>
      </c>
      <c r="AO21" s="17">
        <f t="shared" si="97"/>
        <v>3.9480706457658464E-2</v>
      </c>
      <c r="AP21" s="17">
        <f t="shared" si="97"/>
        <v>3.9284658222857427E-2</v>
      </c>
      <c r="AQ21" s="17">
        <f t="shared" si="97"/>
        <v>4.0151392832531725E-2</v>
      </c>
      <c r="AR21" s="17">
        <f t="shared" si="97"/>
        <v>3.9757751726330434E-2</v>
      </c>
      <c r="AS21" s="17">
        <f t="shared" si="97"/>
        <v>3.9757751726330434E-2</v>
      </c>
      <c r="AT21" s="17">
        <f t="shared" si="97"/>
        <v>3.9757751726330441E-2</v>
      </c>
      <c r="AU21" s="17">
        <f t="shared" si="97"/>
        <v>3.9757751726330441E-2</v>
      </c>
      <c r="AV21" s="17">
        <f t="shared" si="97"/>
        <v>3.9757751726330441E-2</v>
      </c>
      <c r="AW21" s="17">
        <f t="shared" ref="AW21:BA21" si="98">AW7/AW3</f>
        <v>3.9757751726330434E-2</v>
      </c>
      <c r="AX21" s="17">
        <f t="shared" si="98"/>
        <v>3.9757751726330434E-2</v>
      </c>
      <c r="AY21" s="17">
        <f t="shared" si="98"/>
        <v>3.9757751726330434E-2</v>
      </c>
      <c r="AZ21" s="17">
        <f t="shared" si="98"/>
        <v>3.9757751726330441E-2</v>
      </c>
      <c r="BA21" s="17">
        <f t="shared" si="98"/>
        <v>3.9757751726330441E-2</v>
      </c>
      <c r="BC21" s="1" t="s">
        <v>33</v>
      </c>
      <c r="BD21" s="17">
        <v>-0.01</v>
      </c>
    </row>
    <row r="22" spans="2:56" x14ac:dyDescent="0.3">
      <c r="B22" s="1" t="s">
        <v>101</v>
      </c>
      <c r="C22" s="17"/>
      <c r="D22" s="17"/>
      <c r="E22" s="17"/>
      <c r="F22" s="17"/>
      <c r="G22" s="17">
        <f>G7/C7-1</f>
        <v>6.8705882352941172E-2</v>
      </c>
      <c r="H22" s="17">
        <f t="shared" ref="H22:AD22" si="99">H7/D7-1</f>
        <v>7.1870537839124227E-2</v>
      </c>
      <c r="I22" s="17">
        <f t="shared" si="99"/>
        <v>0.15189243027888444</v>
      </c>
      <c r="J22" s="17">
        <f t="shared" si="99"/>
        <v>0.13384912959381046</v>
      </c>
      <c r="K22" s="17">
        <f t="shared" si="99"/>
        <v>7.6618229854689579E-2</v>
      </c>
      <c r="L22" s="17">
        <f t="shared" si="99"/>
        <v>7.2380106571936054E-2</v>
      </c>
      <c r="M22" s="17">
        <f t="shared" si="99"/>
        <v>1.7725897103328947E-2</v>
      </c>
      <c r="N22" s="17">
        <f t="shared" si="99"/>
        <v>-0.25452064141931086</v>
      </c>
      <c r="O22" s="17">
        <f t="shared" si="99"/>
        <v>7.5255623721881326E-2</v>
      </c>
      <c r="P22" s="17">
        <f t="shared" si="99"/>
        <v>-4.5962732919254679E-2</v>
      </c>
      <c r="Q22" s="17">
        <f t="shared" si="99"/>
        <v>7.136788445199671E-2</v>
      </c>
      <c r="R22" s="17">
        <f t="shared" si="99"/>
        <v>0.3569794050343249</v>
      </c>
      <c r="S22" s="17">
        <f t="shared" si="99"/>
        <v>5.6295169265880629E-2</v>
      </c>
      <c r="T22" s="17">
        <f t="shared" si="99"/>
        <v>0.21006944444444442</v>
      </c>
      <c r="U22" s="17">
        <f t="shared" si="99"/>
        <v>0.23830293417922288</v>
      </c>
      <c r="V22" s="17">
        <f t="shared" si="99"/>
        <v>1.2141652613828047E-2</v>
      </c>
      <c r="W22" s="17">
        <f t="shared" si="99"/>
        <v>0.167086784299604</v>
      </c>
      <c r="X22" s="17">
        <f t="shared" si="99"/>
        <v>6.1692969870875247E-2</v>
      </c>
      <c r="Y22" s="17">
        <f t="shared" si="99"/>
        <v>2.8818443804035088E-3</v>
      </c>
      <c r="Z22" s="17">
        <f t="shared" si="99"/>
        <v>0.12995668110629799</v>
      </c>
      <c r="AA22" s="17">
        <f t="shared" si="99"/>
        <v>3.6099969145325428E-2</v>
      </c>
      <c r="AB22" s="17">
        <f t="shared" si="99"/>
        <v>9.966216216216206E-2</v>
      </c>
      <c r="AC22" s="17">
        <f t="shared" si="99"/>
        <v>-0.12068965517241381</v>
      </c>
      <c r="AD22" s="17">
        <f t="shared" si="99"/>
        <v>-1.1795930404010502E-3</v>
      </c>
      <c r="AE22" s="17">
        <f t="shared" ref="AE22" si="100">AE7/AA7-1</f>
        <v>-4.1691483025610987E-3</v>
      </c>
      <c r="AF22" s="17">
        <f t="shared" ref="AF22" si="101">AF7/AB7-1</f>
        <v>4.6082949308756671E-3</v>
      </c>
      <c r="AG22" s="17">
        <f t="shared" ref="AG22" si="102">AG7/AC7-1</f>
        <v>3.326517066085688E-2</v>
      </c>
      <c r="AH22" s="17">
        <f t="shared" ref="AH22" si="103">AH7/AD7-1</f>
        <v>2.1602834366696078E-2</v>
      </c>
      <c r="AJ22" s="17"/>
      <c r="AK22" s="17">
        <f>AK7/AJ7-1</f>
        <v>0.10749518085950793</v>
      </c>
      <c r="AL22" s="17">
        <f t="shared" ref="AL22:BA22" si="104">AL7/AK7-1</f>
        <v>-3.7677894952390711E-2</v>
      </c>
      <c r="AM22" s="17">
        <f t="shared" si="104"/>
        <v>0.10862857750824562</v>
      </c>
      <c r="AN22" s="17">
        <f t="shared" si="104"/>
        <v>0.1217850287907869</v>
      </c>
      <c r="AO22" s="17">
        <f t="shared" si="104"/>
        <v>8.8544785695953365E-2</v>
      </c>
      <c r="AP22" s="17">
        <f t="shared" si="104"/>
        <v>2.3577491354920266E-3</v>
      </c>
      <c r="AQ22" s="17">
        <f t="shared" si="104"/>
        <v>1.2998359730280518E-2</v>
      </c>
      <c r="AR22" s="17">
        <f t="shared" si="104"/>
        <v>1.0000000000000009E-2</v>
      </c>
      <c r="AS22" s="17">
        <f t="shared" si="104"/>
        <v>1.0000000000000009E-2</v>
      </c>
      <c r="AT22" s="17">
        <f t="shared" si="104"/>
        <v>1.0000000000000009E-2</v>
      </c>
      <c r="AU22" s="17">
        <f t="shared" si="104"/>
        <v>1.0000000000000009E-2</v>
      </c>
      <c r="AV22" s="17">
        <f t="shared" si="104"/>
        <v>1.0000000000000009E-2</v>
      </c>
      <c r="AW22" s="17">
        <f t="shared" si="104"/>
        <v>1.0000000000000009E-2</v>
      </c>
      <c r="AX22" s="17">
        <f t="shared" si="104"/>
        <v>1.0000000000000009E-2</v>
      </c>
      <c r="AY22" s="17">
        <f t="shared" si="104"/>
        <v>1.0000000000000009E-2</v>
      </c>
      <c r="AZ22" s="17">
        <f t="shared" si="104"/>
        <v>1.0000000000000009E-2</v>
      </c>
      <c r="BA22" s="17">
        <f t="shared" si="104"/>
        <v>1.0000000000000009E-2</v>
      </c>
      <c r="BC22" s="1" t="s">
        <v>34</v>
      </c>
      <c r="BD22" s="17">
        <v>0.06</v>
      </c>
    </row>
    <row r="23" spans="2:56" x14ac:dyDescent="0.3">
      <c r="B23" s="3" t="s">
        <v>32</v>
      </c>
      <c r="G23" s="16">
        <f t="shared" ref="G23:AD23" si="105">G3/C3-1</f>
        <v>3.0638180943875826E-2</v>
      </c>
      <c r="H23" s="16">
        <f t="shared" si="105"/>
        <v>6.6002714680534424E-2</v>
      </c>
      <c r="I23" s="16">
        <f t="shared" si="105"/>
        <v>0.11268115942028989</v>
      </c>
      <c r="J23" s="16">
        <f t="shared" si="105"/>
        <v>7.7408930669800258E-2</v>
      </c>
      <c r="K23" s="16">
        <f t="shared" si="105"/>
        <v>-8.2616809971339022E-2</v>
      </c>
      <c r="L23" s="16">
        <f t="shared" si="105"/>
        <v>-0.36985502799723868</v>
      </c>
      <c r="M23" s="16">
        <f t="shared" si="105"/>
        <v>-3.3620970367958303E-2</v>
      </c>
      <c r="N23" s="16">
        <f t="shared" si="105"/>
        <v>2.0964932212375942E-2</v>
      </c>
      <c r="O23" s="16">
        <f t="shared" si="105"/>
        <v>0.13299669415482973</v>
      </c>
      <c r="P23" s="16">
        <f t="shared" si="105"/>
        <v>0.6382559158632779</v>
      </c>
      <c r="Q23" s="16">
        <f t="shared" si="105"/>
        <v>-4.0839019459186221E-2</v>
      </c>
      <c r="R23" s="16">
        <f t="shared" si="105"/>
        <v>-5.6365821451356823E-2</v>
      </c>
      <c r="S23" s="16">
        <f t="shared" si="105"/>
        <v>5.8676414005387478E-3</v>
      </c>
      <c r="T23" s="16">
        <f t="shared" si="105"/>
        <v>3.343587000133752E-2</v>
      </c>
      <c r="U23" s="16">
        <f t="shared" si="105"/>
        <v>0.24206495582371645</v>
      </c>
      <c r="V23" s="16">
        <f t="shared" si="105"/>
        <v>0.19866352201257853</v>
      </c>
      <c r="W23" s="16">
        <f t="shared" si="105"/>
        <v>0.21446558923846859</v>
      </c>
      <c r="X23" s="16">
        <f t="shared" si="105"/>
        <v>0.15121579454438261</v>
      </c>
      <c r="Y23" s="16">
        <f t="shared" si="105"/>
        <v>0.11501583889580269</v>
      </c>
      <c r="Z23" s="16">
        <f t="shared" si="105"/>
        <v>0.143595461402243</v>
      </c>
      <c r="AA23" s="16">
        <f t="shared" si="105"/>
        <v>-9.6721698732250561E-3</v>
      </c>
      <c r="AB23" s="16">
        <f t="shared" si="105"/>
        <v>4.0969784783722041E-2</v>
      </c>
      <c r="AC23" s="16">
        <f t="shared" si="105"/>
        <v>-4.6547022639356062E-3</v>
      </c>
      <c r="AD23" s="16">
        <f t="shared" si="105"/>
        <v>2.2481704939092406E-3</v>
      </c>
      <c r="AE23" s="16">
        <f t="shared" ref="AE23" si="106">AE3/AA3-1</f>
        <v>2.7789189117557456E-2</v>
      </c>
      <c r="AF23" s="16">
        <f t="shared" ref="AF23" si="107">AF3/AB3-1</f>
        <v>-3.039393321254158E-2</v>
      </c>
      <c r="AG23" s="16">
        <f t="shared" ref="AG23" si="108">AG3/AC3-1</f>
        <v>-2.0000000000000018E-2</v>
      </c>
      <c r="AH23" s="16">
        <f t="shared" ref="AH23" si="109">AH3/AD3-1</f>
        <v>-1.0000000000000009E-2</v>
      </c>
      <c r="AJ23" s="16"/>
      <c r="AK23" s="16">
        <f t="shared" ref="AK23:AV23" si="110">AK3/AJ3-1</f>
        <v>7.1159937078384861E-2</v>
      </c>
      <c r="AL23" s="16">
        <f t="shared" si="110"/>
        <v>-0.11775230374616041</v>
      </c>
      <c r="AM23" s="16">
        <f t="shared" si="110"/>
        <v>0.1225570251790169</v>
      </c>
      <c r="AN23" s="16">
        <f t="shared" si="110"/>
        <v>0.11603517186250989</v>
      </c>
      <c r="AO23" s="16">
        <f t="shared" si="110"/>
        <v>0.15418003667201474</v>
      </c>
      <c r="AP23" s="16">
        <f t="shared" si="110"/>
        <v>7.3599682267813105E-3</v>
      </c>
      <c r="AQ23" s="16">
        <f t="shared" si="110"/>
        <v>-8.8688950766349084E-3</v>
      </c>
      <c r="AR23" s="16">
        <f t="shared" si="110"/>
        <v>2.0000000000000018E-2</v>
      </c>
      <c r="AS23" s="16">
        <f t="shared" si="110"/>
        <v>1.0000000000000009E-2</v>
      </c>
      <c r="AT23" s="16">
        <f t="shared" si="110"/>
        <v>1.0000000000000009E-2</v>
      </c>
      <c r="AU23" s="16">
        <f t="shared" si="110"/>
        <v>1.0000000000000009E-2</v>
      </c>
      <c r="AV23" s="16">
        <f t="shared" si="110"/>
        <v>1.0000000000000009E-2</v>
      </c>
      <c r="AW23" s="16">
        <f t="shared" ref="AW23:BA23" si="111">AW3/AV3-1</f>
        <v>1.0000000000000009E-2</v>
      </c>
      <c r="AX23" s="16">
        <f t="shared" si="111"/>
        <v>1.0000000000000009E-2</v>
      </c>
      <c r="AY23" s="16">
        <f t="shared" si="111"/>
        <v>1.0000000000000009E-2</v>
      </c>
      <c r="AZ23" s="16">
        <f t="shared" si="111"/>
        <v>1.0000000000000009E-2</v>
      </c>
      <c r="BA23" s="16">
        <f t="shared" si="111"/>
        <v>1.0000000000000009E-2</v>
      </c>
      <c r="BC23" s="1" t="s">
        <v>35</v>
      </c>
      <c r="BD23" s="6">
        <f>NPV(BD22,AQ14:FB14)</f>
        <v>216723.49143041784</v>
      </c>
    </row>
    <row r="24" spans="2:56" x14ac:dyDescent="0.3">
      <c r="B24" s="3" t="s">
        <v>80</v>
      </c>
      <c r="C24" s="16">
        <f t="shared" ref="C24:N24" si="112">C14/C3</f>
        <v>5.5334203475990933E-2</v>
      </c>
      <c r="D24" s="16">
        <f t="shared" si="112"/>
        <v>5.2854502935452748E-2</v>
      </c>
      <c r="E24" s="16">
        <f t="shared" si="112"/>
        <v>4.8333333333333332E-2</v>
      </c>
      <c r="F24" s="16">
        <f t="shared" si="112"/>
        <v>4.416372894633764E-2</v>
      </c>
      <c r="G24" s="16">
        <f t="shared" si="112"/>
        <v>4.8523628607611814E-2</v>
      </c>
      <c r="H24" s="16">
        <f t="shared" si="112"/>
        <v>6.0796195443737058E-2</v>
      </c>
      <c r="I24" s="16">
        <f t="shared" si="112"/>
        <v>6.1706284597850866E-2</v>
      </c>
      <c r="J24" s="16">
        <f t="shared" si="112"/>
        <v>4.0627130197682347E-2</v>
      </c>
      <c r="K24" s="16">
        <f t="shared" si="112"/>
        <v>7.3745776873614995E-3</v>
      </c>
      <c r="L24" s="16">
        <f t="shared" si="112"/>
        <v>-3.9122602006037586E-2</v>
      </c>
      <c r="M24" s="16">
        <f t="shared" si="112"/>
        <v>4.3500968747367537E-2</v>
      </c>
      <c r="N24" s="16">
        <f t="shared" si="112"/>
        <v>0.10314693096336741</v>
      </c>
      <c r="O24" s="16">
        <f t="shared" ref="O24:AD24" si="113">O14/O3</f>
        <v>5.2007182249583173E-2</v>
      </c>
      <c r="P24" s="16">
        <f t="shared" si="113"/>
        <v>7.2251199976223382E-2</v>
      </c>
      <c r="Q24" s="16">
        <f t="shared" si="113"/>
        <v>4.8514868876359099E-2</v>
      </c>
      <c r="R24" s="16">
        <f t="shared" si="113"/>
        <v>6.25E-2</v>
      </c>
      <c r="S24" s="16">
        <f t="shared" si="113"/>
        <v>0.10450734755028529</v>
      </c>
      <c r="T24" s="16">
        <f t="shared" si="113"/>
        <v>5.3779675883985446E-2</v>
      </c>
      <c r="U24" s="16">
        <f t="shared" si="113"/>
        <v>2.7675642040954858E-2</v>
      </c>
      <c r="V24" s="16">
        <f t="shared" si="113"/>
        <v>3.4262477864497931E-2</v>
      </c>
      <c r="W24" s="16">
        <f t="shared" si="113"/>
        <v>5.5237670280059846E-2</v>
      </c>
      <c r="X24" s="16">
        <f t="shared" si="113"/>
        <v>4.0582570354363655E-2</v>
      </c>
      <c r="Y24" s="16">
        <f t="shared" si="113"/>
        <v>4.9337307375229879E-2</v>
      </c>
      <c r="Z24" s="16">
        <f t="shared" si="113"/>
        <v>5.3508751806565578E-2</v>
      </c>
      <c r="AA24" s="16">
        <f t="shared" si="113"/>
        <v>4.3280635030015502E-2</v>
      </c>
      <c r="AB24" s="16">
        <f t="shared" si="113"/>
        <v>3.7341460780666913E-2</v>
      </c>
      <c r="AC24" s="16">
        <f t="shared" si="113"/>
        <v>1.5431076225184128E-2</v>
      </c>
      <c r="AD24" s="16">
        <f t="shared" si="113"/>
        <v>3.5844262857927627E-2</v>
      </c>
      <c r="AE24" s="16">
        <f t="shared" ref="AE24:AH24" si="114">AE14/AE3</f>
        <v>2.3621032001856675E-2</v>
      </c>
      <c r="AF24" s="16">
        <f t="shared" si="114"/>
        <v>2.6928693413855408E-2</v>
      </c>
      <c r="AG24" s="16">
        <f t="shared" si="114"/>
        <v>3.4100181987828652E-2</v>
      </c>
      <c r="AH24" s="16">
        <f t="shared" si="114"/>
        <v>4.0433012308532468E-2</v>
      </c>
      <c r="AJ24" s="16">
        <f t="shared" ref="AJ24:AV24" si="115">AJ14/AJ3</f>
        <v>5.0150732036175691E-2</v>
      </c>
      <c r="AK24" s="16">
        <f t="shared" si="115"/>
        <v>5.2831786947021758E-2</v>
      </c>
      <c r="AL24" s="16">
        <f t="shared" si="115"/>
        <v>3.7387161034439439E-2</v>
      </c>
      <c r="AM24" s="16">
        <f t="shared" si="115"/>
        <v>5.9324540367705833E-2</v>
      </c>
      <c r="AN24" s="16">
        <f t="shared" si="115"/>
        <v>5.323888379555352E-2</v>
      </c>
      <c r="AO24" s="16">
        <f t="shared" si="115"/>
        <v>4.968599123754204E-2</v>
      </c>
      <c r="AP24" s="16">
        <f t="shared" si="115"/>
        <v>3.3022645507860625E-2</v>
      </c>
      <c r="AQ24" s="16">
        <f t="shared" si="115"/>
        <v>3.147592492382776E-2</v>
      </c>
      <c r="AR24" s="16">
        <f t="shared" si="115"/>
        <v>4.1062096668320849E-2</v>
      </c>
      <c r="AS24" s="16">
        <f t="shared" si="115"/>
        <v>4.1062096668320849E-2</v>
      </c>
      <c r="AT24" s="16">
        <f t="shared" si="115"/>
        <v>4.1062096668320829E-2</v>
      </c>
      <c r="AU24" s="16">
        <f t="shared" si="115"/>
        <v>4.1062096668320842E-2</v>
      </c>
      <c r="AV24" s="16">
        <f t="shared" si="115"/>
        <v>4.1062096668320856E-2</v>
      </c>
      <c r="AW24" s="16">
        <f t="shared" ref="AW24:BA24" si="116">AW14/AW3</f>
        <v>4.1062096668320829E-2</v>
      </c>
      <c r="AX24" s="16">
        <f t="shared" si="116"/>
        <v>4.1062096668320829E-2</v>
      </c>
      <c r="AY24" s="16">
        <f t="shared" si="116"/>
        <v>4.1062096668320842E-2</v>
      </c>
      <c r="AZ24" s="16">
        <f t="shared" si="116"/>
        <v>4.1062096668320856E-2</v>
      </c>
      <c r="BA24" s="16">
        <f t="shared" si="116"/>
        <v>4.1062096668320835E-2</v>
      </c>
      <c r="BC24" s="1" t="s">
        <v>36</v>
      </c>
      <c r="BD24" s="6">
        <f>Main!D8</f>
        <v>-193006</v>
      </c>
    </row>
    <row r="25" spans="2:56" x14ac:dyDescent="0.3">
      <c r="B25" s="3" t="s">
        <v>19</v>
      </c>
      <c r="C25" s="16">
        <f t="shared" ref="C25:AD25" si="117">C12/C11</f>
        <v>0.26306386779812418</v>
      </c>
      <c r="D25" s="16">
        <f t="shared" si="117"/>
        <v>0.26290035587188609</v>
      </c>
      <c r="E25" s="16">
        <f t="shared" si="117"/>
        <v>0.22053017484489565</v>
      </c>
      <c r="F25" s="16">
        <f t="shared" si="117"/>
        <v>0.1111111111111111</v>
      </c>
      <c r="G25" s="16">
        <f t="shared" si="117"/>
        <v>0.2500614099729796</v>
      </c>
      <c r="H25" s="16">
        <f t="shared" si="117"/>
        <v>0.25009114108640174</v>
      </c>
      <c r="I25" s="16">
        <f t="shared" si="117"/>
        <v>0.21531194646723087</v>
      </c>
      <c r="J25" s="16">
        <f t="shared" si="117"/>
        <v>0.22646584185045723</v>
      </c>
      <c r="K25" s="16">
        <f t="shared" si="117"/>
        <v>0.24193548387096775</v>
      </c>
      <c r="L25" s="16">
        <f t="shared" si="117"/>
        <v>0.24483775811209441</v>
      </c>
      <c r="M25" s="16">
        <f t="shared" si="117"/>
        <v>0.23738214087631726</v>
      </c>
      <c r="N25" s="16">
        <f t="shared" si="117"/>
        <v>0.24649383765405866</v>
      </c>
      <c r="O25" s="16">
        <f t="shared" si="117"/>
        <v>0.2349910394265233</v>
      </c>
      <c r="P25" s="16">
        <f t="shared" si="117"/>
        <v>0.24656306037059175</v>
      </c>
      <c r="Q25" s="16">
        <f t="shared" si="117"/>
        <v>5.7142857142857141E-2</v>
      </c>
      <c r="R25" s="16">
        <f t="shared" si="117"/>
        <v>0.3095076400679117</v>
      </c>
      <c r="S25" s="16">
        <f t="shared" si="117"/>
        <v>0.24392985611510792</v>
      </c>
      <c r="T25" s="16">
        <f t="shared" si="117"/>
        <v>0.23856781474995134</v>
      </c>
      <c r="U25" s="16">
        <f t="shared" si="117"/>
        <v>0.27350136239782014</v>
      </c>
      <c r="V25" s="16">
        <f t="shared" si="117"/>
        <v>0.39609621451104099</v>
      </c>
      <c r="W25" s="16">
        <f t="shared" si="117"/>
        <v>0.26704897706137631</v>
      </c>
      <c r="X25" s="16">
        <f t="shared" si="117"/>
        <v>0.30389276533235404</v>
      </c>
      <c r="Y25" s="16">
        <f t="shared" si="117"/>
        <v>0.25077559462254395</v>
      </c>
      <c r="Z25" s="16">
        <f t="shared" si="117"/>
        <v>7.8813250819075351E-2</v>
      </c>
      <c r="AA25" s="16">
        <f t="shared" si="117"/>
        <v>0.28392202277552597</v>
      </c>
      <c r="AB25" s="16">
        <f t="shared" si="117"/>
        <v>0.27176093060569595</v>
      </c>
      <c r="AC25" s="16">
        <f t="shared" si="117"/>
        <v>0.33106960950764008</v>
      </c>
      <c r="AD25" s="16">
        <f t="shared" si="117"/>
        <v>0.18799626342830453</v>
      </c>
      <c r="AE25" s="16">
        <f t="shared" ref="AE25:AH25" si="118">AE12/AE11</f>
        <v>0.29678456591639873</v>
      </c>
      <c r="AF25" s="16">
        <f t="shared" si="118"/>
        <v>0.30859728506787332</v>
      </c>
      <c r="AG25" s="16">
        <f t="shared" si="118"/>
        <v>0.25</v>
      </c>
      <c r="AH25" s="16">
        <f t="shared" si="118"/>
        <v>0.25</v>
      </c>
      <c r="AJ25" s="16">
        <f t="shared" ref="AJ25:AV25" si="119">AJ12/AJ11</f>
        <v>0.22303905900402737</v>
      </c>
      <c r="AK25" s="16">
        <f t="shared" si="119"/>
        <v>0.23567225975157988</v>
      </c>
      <c r="AL25" s="16">
        <f t="shared" si="119"/>
        <v>0.2436996399794274</v>
      </c>
      <c r="AM25" s="16">
        <f t="shared" si="119"/>
        <v>0.2334293948126801</v>
      </c>
      <c r="AN25" s="16">
        <f t="shared" si="119"/>
        <v>0.28163135689334484</v>
      </c>
      <c r="AO25" s="16">
        <f t="shared" si="119"/>
        <v>0.22704147624385618</v>
      </c>
      <c r="AP25" s="16">
        <f t="shared" si="119"/>
        <v>0.26248140434394523</v>
      </c>
      <c r="AQ25" s="16">
        <f t="shared" si="119"/>
        <v>0.27183531883895845</v>
      </c>
      <c r="AR25" s="16">
        <f t="shared" si="119"/>
        <v>0.25</v>
      </c>
      <c r="AS25" s="16">
        <f t="shared" si="119"/>
        <v>0.25</v>
      </c>
      <c r="AT25" s="16">
        <f t="shared" si="119"/>
        <v>0.25</v>
      </c>
      <c r="AU25" s="16">
        <f t="shared" si="119"/>
        <v>0.25</v>
      </c>
      <c r="AV25" s="16">
        <f t="shared" si="119"/>
        <v>0.25</v>
      </c>
      <c r="AW25" s="16">
        <f t="shared" ref="AW25:BA25" si="120">AW12/AW11</f>
        <v>0.25</v>
      </c>
      <c r="AX25" s="16">
        <f t="shared" si="120"/>
        <v>0.25</v>
      </c>
      <c r="AY25" s="16">
        <f t="shared" si="120"/>
        <v>0.25</v>
      </c>
      <c r="AZ25" s="16">
        <f t="shared" si="120"/>
        <v>0.25</v>
      </c>
      <c r="BA25" s="16">
        <f t="shared" si="120"/>
        <v>0.25</v>
      </c>
      <c r="BC25" s="1" t="s">
        <v>37</v>
      </c>
      <c r="BD25" s="6">
        <f>BD23+BD24</f>
        <v>23717.491430417838</v>
      </c>
    </row>
    <row r="26" spans="2:56" x14ac:dyDescent="0.3">
      <c r="AL26" s="1"/>
      <c r="BC26" s="1" t="s">
        <v>38</v>
      </c>
      <c r="BD26" s="4">
        <f>BD25/AV15</f>
        <v>47.311971734326427</v>
      </c>
    </row>
    <row r="27" spans="2:56" x14ac:dyDescent="0.3">
      <c r="AL27" s="1"/>
      <c r="BC27" s="1" t="s">
        <v>39</v>
      </c>
      <c r="BD27" s="4">
        <f>Main!D3</f>
        <v>101.3</v>
      </c>
    </row>
    <row r="28" spans="2:56" x14ac:dyDescent="0.3">
      <c r="B28" s="1" t="s">
        <v>61</v>
      </c>
      <c r="AL28" s="6">
        <v>2910000</v>
      </c>
      <c r="AM28" s="6">
        <f>AL28*1.15</f>
        <v>3346499.9999999995</v>
      </c>
      <c r="AN28" s="6">
        <f t="shared" ref="AN28:AV28" si="121">AM28*1.02</f>
        <v>3413429.9999999995</v>
      </c>
      <c r="AO28" s="6">
        <f t="shared" si="121"/>
        <v>3481698.5999999996</v>
      </c>
      <c r="AP28" s="6">
        <f t="shared" si="121"/>
        <v>3551332.5719999997</v>
      </c>
      <c r="AQ28" s="6">
        <f t="shared" si="121"/>
        <v>3622359.2234399999</v>
      </c>
      <c r="AR28" s="6">
        <f t="shared" si="121"/>
        <v>3694806.4079088001</v>
      </c>
      <c r="AS28" s="6">
        <f t="shared" si="121"/>
        <v>3768702.5360669759</v>
      </c>
      <c r="AT28" s="6">
        <f t="shared" si="121"/>
        <v>3844076.5867883153</v>
      </c>
      <c r="AU28" s="6">
        <f t="shared" si="121"/>
        <v>3920958.1185240815</v>
      </c>
      <c r="AV28" s="6">
        <f t="shared" si="121"/>
        <v>3999377.2808945631</v>
      </c>
      <c r="BC28" s="3" t="s">
        <v>40</v>
      </c>
      <c r="BD28" s="16">
        <f>BD26/BD27-1</f>
        <v>-0.53295190785462565</v>
      </c>
    </row>
    <row r="29" spans="2:56" x14ac:dyDescent="0.3">
      <c r="BC29" s="1" t="s">
        <v>77</v>
      </c>
      <c r="BD29" s="12" t="s">
        <v>124</v>
      </c>
    </row>
    <row r="30" spans="2:56" x14ac:dyDescent="0.3">
      <c r="B30" s="1" t="s">
        <v>63</v>
      </c>
      <c r="AL30" s="6">
        <f>[1]Model!G$3</f>
        <v>31021.482030881263</v>
      </c>
      <c r="AM30" s="6">
        <f>[1]Model!H$3</f>
        <v>45677.479603533138</v>
      </c>
      <c r="AN30" s="6">
        <f>[1]Model!I$3</f>
        <v>54952.680196884903</v>
      </c>
      <c r="AO30" s="6">
        <f>[1]Model!J$3</f>
        <v>53497.672779987864</v>
      </c>
      <c r="AP30" s="6">
        <f>[1]Model!K$3</f>
        <v>0</v>
      </c>
      <c r="AQ30" s="6">
        <f>[1]Model!L$3</f>
        <v>0</v>
      </c>
      <c r="AR30" s="6">
        <f>[1]Model!M$3</f>
        <v>0</v>
      </c>
      <c r="AS30" s="6">
        <f>[1]Model!N$3</f>
        <v>0</v>
      </c>
      <c r="AT30" s="6">
        <f>[1]Model!O$3</f>
        <v>0</v>
      </c>
      <c r="AU30" s="6">
        <f>[1]Model!P$3</f>
        <v>0</v>
      </c>
      <c r="AV30" s="6"/>
    </row>
    <row r="31" spans="2:56" x14ac:dyDescent="0.3">
      <c r="B31" s="1" t="s">
        <v>62</v>
      </c>
      <c r="AL31" s="6">
        <f t="shared" ref="AL31:AV31" si="122">AL3</f>
        <v>222884</v>
      </c>
      <c r="AM31" s="6">
        <f t="shared" si="122"/>
        <v>250200</v>
      </c>
      <c r="AN31" s="6">
        <f t="shared" si="122"/>
        <v>279232</v>
      </c>
      <c r="AO31" s="6">
        <f t="shared" si="122"/>
        <v>322284</v>
      </c>
      <c r="AP31" s="6">
        <f t="shared" si="122"/>
        <v>324656</v>
      </c>
      <c r="AQ31" s="6">
        <f t="shared" si="122"/>
        <v>321776.66000000003</v>
      </c>
      <c r="AR31" s="6">
        <f t="shared" si="122"/>
        <v>328212.19320000004</v>
      </c>
      <c r="AS31" s="6">
        <f t="shared" si="122"/>
        <v>331494.31513200002</v>
      </c>
      <c r="AT31" s="6">
        <f t="shared" si="122"/>
        <v>334809.25828332</v>
      </c>
      <c r="AU31" s="6">
        <f t="shared" si="122"/>
        <v>338157.3508661532</v>
      </c>
      <c r="AV31" s="6">
        <f t="shared" si="122"/>
        <v>341538.92437481473</v>
      </c>
      <c r="BD31" s="1" t="s">
        <v>106</v>
      </c>
    </row>
    <row r="32" spans="2:56" x14ac:dyDescent="0.3">
      <c r="B32" s="1" t="s">
        <v>68</v>
      </c>
      <c r="AL32" s="6">
        <f>[2]Model!Q$4</f>
        <v>24933</v>
      </c>
      <c r="AM32" s="6">
        <f>[2]Model!R$4</f>
        <v>26567</v>
      </c>
      <c r="AN32" s="6">
        <f>[2]Model!S$4</f>
        <v>26894</v>
      </c>
      <c r="AO32" s="6">
        <f>[2]Model!T$4</f>
        <v>27938</v>
      </c>
      <c r="AP32" s="6">
        <f>[2]Model!U$4</f>
        <v>28934</v>
      </c>
      <c r="AQ32" s="6">
        <f>[2]Model!V$4</f>
        <v>32231</v>
      </c>
      <c r="AR32" s="6">
        <f>[2]Model!W$4</f>
        <v>28066</v>
      </c>
      <c r="AS32" s="6">
        <f>[2]Model!X$4</f>
        <v>29284</v>
      </c>
      <c r="AT32" s="6">
        <f>[2]Model!Y$4</f>
        <v>29166</v>
      </c>
      <c r="AU32" s="6">
        <f>[2]Model!Z$4</f>
        <v>32323</v>
      </c>
      <c r="AV32" s="6">
        <f>[2]Model!AA$4</f>
        <v>28767</v>
      </c>
    </row>
    <row r="33" spans="2:48" x14ac:dyDescent="0.3">
      <c r="B33" s="1" t="s">
        <v>69</v>
      </c>
      <c r="AL33" s="6">
        <f>[3]Model!R$3</f>
        <v>37678</v>
      </c>
      <c r="AM33" s="6">
        <f>[3]Model!S$3</f>
        <v>34476</v>
      </c>
      <c r="AN33" s="6">
        <f>[3]Model!T$3</f>
        <v>40190</v>
      </c>
      <c r="AO33" s="6">
        <f>[3]Model!U$3</f>
        <v>39392</v>
      </c>
      <c r="AP33" s="6">
        <f>[3]Model!V$3</f>
        <v>43999</v>
      </c>
      <c r="AQ33" s="6">
        <f>[3]Model!W$3</f>
        <v>41474</v>
      </c>
      <c r="AR33" s="6">
        <f>[3]Model!X$3</f>
        <v>44954</v>
      </c>
      <c r="AS33" s="6">
        <f>[3]Model!Y$3</f>
        <v>43801</v>
      </c>
      <c r="AT33" s="6">
        <f>[3]Model!Z$3</f>
        <v>45962</v>
      </c>
      <c r="AU33" s="6">
        <f>[3]Model!AA$3</f>
        <v>42777</v>
      </c>
      <c r="AV33" s="6">
        <f>[3]Model!AB$3</f>
        <v>47808</v>
      </c>
    </row>
    <row r="34" spans="2:48" x14ac:dyDescent="0.3">
      <c r="B34" s="1" t="s">
        <v>78</v>
      </c>
      <c r="AL34" s="6">
        <f>[4]Model!AL$3</f>
        <v>122485</v>
      </c>
      <c r="AM34" s="6">
        <f>[4]Model!AM$3</f>
        <v>127004</v>
      </c>
      <c r="AN34" s="6">
        <f>[4]Model!AN$3</f>
        <v>156735</v>
      </c>
      <c r="AO34" s="6">
        <f>[4]Model!AO$3</f>
        <v>171842</v>
      </c>
      <c r="AP34" s="6">
        <f>[4]Model!AP$3</f>
        <v>187442</v>
      </c>
      <c r="AQ34" s="6">
        <f>[4]Model!AQ$3</f>
        <v>189316.42</v>
      </c>
      <c r="AR34" s="6">
        <f>[4]Model!AR$3</f>
        <v>191209.58420000001</v>
      </c>
      <c r="AS34" s="6">
        <f>[4]Model!AS$3</f>
        <v>193121.68004200002</v>
      </c>
      <c r="AT34" s="6">
        <f>[4]Model!AT$3</f>
        <v>195052.89684242001</v>
      </c>
      <c r="AU34" s="6">
        <f>[4]Model!AU$3</f>
        <v>197003.42581084423</v>
      </c>
      <c r="AV34" s="6">
        <f>[4]Model!AV$3</f>
        <v>198973.46006895267</v>
      </c>
    </row>
    <row r="35" spans="2:48" x14ac:dyDescent="0.3">
      <c r="B35" s="1" t="s">
        <v>67</v>
      </c>
      <c r="AL35" s="6">
        <f>[5]Model!F$3</f>
        <v>86549.6</v>
      </c>
      <c r="AM35" s="6">
        <f>[5]Model!G$3</f>
        <v>103859.52</v>
      </c>
      <c r="AN35" s="6">
        <f>[5]Model!H$3</f>
        <v>104898.1152</v>
      </c>
      <c r="AO35" s="6">
        <f>[5]Model!I$3</f>
        <v>105947.09635200001</v>
      </c>
      <c r="AP35" s="6">
        <f>[5]Model!J$3</f>
        <v>107006.56731552001</v>
      </c>
      <c r="AQ35" s="6">
        <f>[5]Model!K$3</f>
        <v>107006.56731552001</v>
      </c>
      <c r="AR35" s="6">
        <f>[5]Model!L$3</f>
        <v>107006.56731552001</v>
      </c>
      <c r="AS35" s="6">
        <f>[5]Model!M$3</f>
        <v>107006.56731552001</v>
      </c>
      <c r="AT35" s="6">
        <f>[5]Model!N$3</f>
        <v>107006.56731552001</v>
      </c>
      <c r="AU35" s="6">
        <f>[5]Model!O$3</f>
        <v>107006.56731552001</v>
      </c>
      <c r="AV35" s="6">
        <f>[5]Model!P$3</f>
        <v>107006.56731552001</v>
      </c>
    </row>
    <row r="36" spans="2:48" x14ac:dyDescent="0.3">
      <c r="B36" s="1" t="s">
        <v>70</v>
      </c>
      <c r="AL36" s="6">
        <f>[6]Model!R$3</f>
        <v>28408</v>
      </c>
      <c r="AM36" s="6">
        <f>[6]Model!S$3</f>
        <v>31142</v>
      </c>
      <c r="AN36" s="6">
        <f>[6]Model!T$3</f>
        <v>34770</v>
      </c>
      <c r="AO36" s="6">
        <f>[6]Model!U$3</f>
        <v>37176</v>
      </c>
      <c r="AP36" s="6">
        <f>[6]Model!V$3</f>
        <v>39522</v>
      </c>
      <c r="AQ36" s="6">
        <f>[6]Model!W$3</f>
        <v>36853</v>
      </c>
      <c r="AR36" s="6">
        <f>[6]Model!X$3</f>
        <v>37219</v>
      </c>
      <c r="AS36" s="6">
        <f>[6]Model!Y$3</f>
        <v>38458</v>
      </c>
      <c r="AT36" s="6">
        <f>[6]Model!Z$3</f>
        <v>42968</v>
      </c>
      <c r="AU36" s="6">
        <f>[6]Model!AA$3</f>
        <v>36614</v>
      </c>
      <c r="AV36" s="6">
        <f>[6]Model!AB$3</f>
        <v>36944</v>
      </c>
    </row>
    <row r="37" spans="2:48" x14ac:dyDescent="0.3">
      <c r="B37" s="1" t="s">
        <v>75</v>
      </c>
      <c r="AL37" s="6">
        <f t="shared" ref="AL37:AU37" si="123">SUM(AL30:AL36)</f>
        <v>553959.08203088131</v>
      </c>
      <c r="AM37" s="6">
        <f t="shared" si="123"/>
        <v>618925.99960353319</v>
      </c>
      <c r="AN37" s="6">
        <f t="shared" si="123"/>
        <v>697671.7953968849</v>
      </c>
      <c r="AO37" s="6">
        <f t="shared" si="123"/>
        <v>758076.76913198782</v>
      </c>
      <c r="AP37" s="6">
        <f t="shared" si="123"/>
        <v>731559.56731552002</v>
      </c>
      <c r="AQ37" s="6">
        <f t="shared" si="123"/>
        <v>728657.64731552009</v>
      </c>
      <c r="AR37" s="6">
        <f t="shared" si="123"/>
        <v>736667.34471552004</v>
      </c>
      <c r="AS37" s="6">
        <f t="shared" si="123"/>
        <v>743165.56248952006</v>
      </c>
      <c r="AT37" s="6">
        <f t="shared" si="123"/>
        <v>754964.72244126</v>
      </c>
      <c r="AU37" s="6">
        <f t="shared" si="123"/>
        <v>753881.34399251745</v>
      </c>
      <c r="AV37" s="6"/>
    </row>
    <row r="39" spans="2:48" x14ac:dyDescent="0.3">
      <c r="B39" s="1" t="s">
        <v>64</v>
      </c>
      <c r="AL39" s="17">
        <f t="shared" ref="AL39:AU39" si="124">AL30/AL$28</f>
        <v>1.0660303103395623E-2</v>
      </c>
      <c r="AM39" s="17">
        <f t="shared" si="124"/>
        <v>1.3649329031385968E-2</v>
      </c>
      <c r="AN39" s="17">
        <f t="shared" si="124"/>
        <v>1.6098962098793562E-2</v>
      </c>
      <c r="AO39" s="17">
        <f t="shared" si="124"/>
        <v>1.5365394574931865E-2</v>
      </c>
      <c r="AP39" s="17">
        <f t="shared" si="124"/>
        <v>0</v>
      </c>
      <c r="AQ39" s="17">
        <f t="shared" si="124"/>
        <v>0</v>
      </c>
      <c r="AR39" s="17">
        <f t="shared" si="124"/>
        <v>0</v>
      </c>
      <c r="AS39" s="17">
        <f t="shared" si="124"/>
        <v>0</v>
      </c>
      <c r="AT39" s="17">
        <f t="shared" si="124"/>
        <v>0</v>
      </c>
      <c r="AU39" s="17">
        <f t="shared" si="124"/>
        <v>0</v>
      </c>
      <c r="AV39" s="17"/>
    </row>
    <row r="40" spans="2:48" x14ac:dyDescent="0.3">
      <c r="B40" s="1" t="s">
        <v>65</v>
      </c>
      <c r="AL40" s="17">
        <f>AL31/AL$28</f>
        <v>7.6592439862542952E-2</v>
      </c>
      <c r="AM40" s="17">
        <f t="shared" ref="AM40:AV40" si="125">AM31/AM$28</f>
        <v>7.4764679515912161E-2</v>
      </c>
      <c r="AN40" s="17">
        <f t="shared" si="125"/>
        <v>8.1803933287045591E-2</v>
      </c>
      <c r="AO40" s="17">
        <f t="shared" si="125"/>
        <v>9.2565163452115018E-2</v>
      </c>
      <c r="AP40" s="17">
        <f t="shared" si="125"/>
        <v>9.1418078543166081E-2</v>
      </c>
      <c r="AQ40" s="17">
        <f t="shared" si="125"/>
        <v>8.8830687447508994E-2</v>
      </c>
      <c r="AR40" s="17">
        <f t="shared" si="125"/>
        <v>8.8830687447508994E-2</v>
      </c>
      <c r="AS40" s="17">
        <f t="shared" si="125"/>
        <v>8.7959798354886348E-2</v>
      </c>
      <c r="AT40" s="17">
        <f t="shared" si="125"/>
        <v>8.7097447390622765E-2</v>
      </c>
      <c r="AU40" s="17">
        <f t="shared" si="125"/>
        <v>8.6243550847577441E-2</v>
      </c>
      <c r="AV40" s="17">
        <f t="shared" si="125"/>
        <v>8.5398025839267866E-2</v>
      </c>
    </row>
    <row r="41" spans="2:48" x14ac:dyDescent="0.3">
      <c r="B41" s="1" t="s">
        <v>71</v>
      </c>
      <c r="AL41" s="17">
        <f>AL32/AL$28</f>
        <v>8.568041237113402E-3</v>
      </c>
      <c r="AM41" s="17">
        <f t="shared" ref="AM41:AV41" si="126">AM32/AM$28</f>
        <v>7.9387419692215754E-3</v>
      </c>
      <c r="AN41" s="17">
        <f t="shared" si="126"/>
        <v>7.878878430200709E-3</v>
      </c>
      <c r="AO41" s="17">
        <f t="shared" si="126"/>
        <v>8.0242442582479714E-3</v>
      </c>
      <c r="AP41" s="17">
        <f t="shared" si="126"/>
        <v>8.1473642395888807E-3</v>
      </c>
      <c r="AQ41" s="17">
        <f t="shared" si="126"/>
        <v>8.8977922982998899E-3</v>
      </c>
      <c r="AR41" s="17">
        <f t="shared" si="126"/>
        <v>7.5960678047770564E-3</v>
      </c>
      <c r="AS41" s="17">
        <f t="shared" si="126"/>
        <v>7.7703134486599278E-3</v>
      </c>
      <c r="AT41" s="17">
        <f t="shared" si="126"/>
        <v>7.5872577825947737E-3</v>
      </c>
      <c r="AU41" s="17">
        <f t="shared" si="126"/>
        <v>8.2436483693345223E-3</v>
      </c>
      <c r="AV41" s="17">
        <f t="shared" si="126"/>
        <v>7.1928697843594101E-3</v>
      </c>
    </row>
    <row r="42" spans="2:48" x14ac:dyDescent="0.3">
      <c r="B42" s="1" t="s">
        <v>72</v>
      </c>
      <c r="AL42" s="17">
        <f>AL33/$AL$28</f>
        <v>1.2947766323024055E-2</v>
      </c>
      <c r="AM42" s="17">
        <f t="shared" ref="AM42:AV42" si="127">AM33/$AL$28</f>
        <v>1.184742268041237E-2</v>
      </c>
      <c r="AN42" s="17">
        <f t="shared" si="127"/>
        <v>1.3810996563573883E-2</v>
      </c>
      <c r="AO42" s="17">
        <f t="shared" si="127"/>
        <v>1.3536769759450172E-2</v>
      </c>
      <c r="AP42" s="17">
        <f t="shared" si="127"/>
        <v>1.5119931271477663E-2</v>
      </c>
      <c r="AQ42" s="17">
        <f t="shared" si="127"/>
        <v>1.4252233676975945E-2</v>
      </c>
      <c r="AR42" s="17">
        <f t="shared" si="127"/>
        <v>1.544810996563574E-2</v>
      </c>
      <c r="AS42" s="17">
        <f t="shared" si="127"/>
        <v>1.5051890034364261E-2</v>
      </c>
      <c r="AT42" s="17">
        <f t="shared" si="127"/>
        <v>1.5794501718213057E-2</v>
      </c>
      <c r="AU42" s="17">
        <f t="shared" si="127"/>
        <v>1.47E-2</v>
      </c>
      <c r="AV42" s="17">
        <f t="shared" si="127"/>
        <v>1.6428865979381445E-2</v>
      </c>
    </row>
    <row r="43" spans="2:48" x14ac:dyDescent="0.3">
      <c r="B43" s="1" t="s">
        <v>79</v>
      </c>
      <c r="AL43" s="17">
        <f t="shared" ref="AL43:AV43" si="128">AL34/$AL$28</f>
        <v>4.2091065292096219E-2</v>
      </c>
      <c r="AM43" s="17">
        <f t="shared" si="128"/>
        <v>4.3643986254295532E-2</v>
      </c>
      <c r="AN43" s="17">
        <f t="shared" si="128"/>
        <v>5.386082474226804E-2</v>
      </c>
      <c r="AO43" s="17">
        <f t="shared" si="128"/>
        <v>5.9052233676975943E-2</v>
      </c>
      <c r="AP43" s="17">
        <f t="shared" si="128"/>
        <v>6.4413058419243982E-2</v>
      </c>
      <c r="AQ43" s="17">
        <f t="shared" si="128"/>
        <v>6.5057189003436433E-2</v>
      </c>
      <c r="AR43" s="17">
        <f t="shared" si="128"/>
        <v>6.5707760893470801E-2</v>
      </c>
      <c r="AS43" s="17">
        <f t="shared" si="128"/>
        <v>6.6364838502405502E-2</v>
      </c>
      <c r="AT43" s="17">
        <f t="shared" si="128"/>
        <v>6.7028486887429559E-2</v>
      </c>
      <c r="AU43" s="17">
        <f t="shared" si="128"/>
        <v>6.7698771756303858E-2</v>
      </c>
      <c r="AV43" s="17">
        <f t="shared" si="128"/>
        <v>6.8375759473866898E-2</v>
      </c>
    </row>
    <row r="44" spans="2:48" x14ac:dyDescent="0.3">
      <c r="B44" s="1" t="s">
        <v>73</v>
      </c>
      <c r="AL44" s="17">
        <f>AL35/$AL$28</f>
        <v>2.9742130584192443E-2</v>
      </c>
      <c r="AM44" s="17">
        <f t="shared" ref="AM44:AV44" si="129">AM35/$AL$28</f>
        <v>3.5690556701030926E-2</v>
      </c>
      <c r="AN44" s="17">
        <f t="shared" si="129"/>
        <v>3.6047462268041237E-2</v>
      </c>
      <c r="AO44" s="17">
        <f t="shared" si="129"/>
        <v>3.6407936890721651E-2</v>
      </c>
      <c r="AP44" s="17">
        <f t="shared" si="129"/>
        <v>3.6772016259628865E-2</v>
      </c>
      <c r="AQ44" s="17">
        <f t="shared" si="129"/>
        <v>3.6772016259628865E-2</v>
      </c>
      <c r="AR44" s="17">
        <f t="shared" si="129"/>
        <v>3.6772016259628865E-2</v>
      </c>
      <c r="AS44" s="17">
        <f t="shared" si="129"/>
        <v>3.6772016259628865E-2</v>
      </c>
      <c r="AT44" s="17">
        <f t="shared" si="129"/>
        <v>3.6772016259628865E-2</v>
      </c>
      <c r="AU44" s="17">
        <f t="shared" si="129"/>
        <v>3.6772016259628865E-2</v>
      </c>
      <c r="AV44" s="17">
        <f t="shared" si="129"/>
        <v>3.6772016259628865E-2</v>
      </c>
    </row>
    <row r="45" spans="2:48" x14ac:dyDescent="0.3">
      <c r="B45" s="1" t="s">
        <v>74</v>
      </c>
      <c r="AL45" s="17">
        <f>AL36/$AL$28</f>
        <v>9.7621993127147769E-3</v>
      </c>
      <c r="AM45" s="17">
        <f t="shared" ref="AM45:AV45" si="130">AM36/$AL$28</f>
        <v>1.0701718213058419E-2</v>
      </c>
      <c r="AN45" s="17">
        <f t="shared" si="130"/>
        <v>1.1948453608247422E-2</v>
      </c>
      <c r="AO45" s="17">
        <f t="shared" si="130"/>
        <v>1.2775257731958763E-2</v>
      </c>
      <c r="AP45" s="17">
        <f t="shared" si="130"/>
        <v>1.3581443298969072E-2</v>
      </c>
      <c r="AQ45" s="17">
        <f t="shared" si="130"/>
        <v>1.266426116838488E-2</v>
      </c>
      <c r="AR45" s="17">
        <f t="shared" si="130"/>
        <v>1.2790034364261169E-2</v>
      </c>
      <c r="AS45" s="17">
        <f t="shared" si="130"/>
        <v>1.3215807560137457E-2</v>
      </c>
      <c r="AT45" s="17">
        <f t="shared" si="130"/>
        <v>1.4765635738831615E-2</v>
      </c>
      <c r="AU45" s="17">
        <f t="shared" si="130"/>
        <v>1.258213058419244E-2</v>
      </c>
      <c r="AV45" s="17">
        <f t="shared" si="130"/>
        <v>1.269553264604811E-2</v>
      </c>
    </row>
    <row r="46" spans="2:48" x14ac:dyDescent="0.3">
      <c r="B46" s="1" t="s">
        <v>66</v>
      </c>
      <c r="AL46" s="17">
        <f>SUM(AL39:AL45)</f>
        <v>0.19036394571507947</v>
      </c>
      <c r="AM46" s="17">
        <f t="shared" ref="AM46:AU46" si="131">SUM(AM39:AM45)</f>
        <v>0.19823643436531696</v>
      </c>
      <c r="AN46" s="17">
        <f t="shared" si="131"/>
        <v>0.22144951099817045</v>
      </c>
      <c r="AO46" s="17">
        <f t="shared" si="131"/>
        <v>0.23772700034440136</v>
      </c>
      <c r="AP46" s="17">
        <f t="shared" si="131"/>
        <v>0.22945189203207456</v>
      </c>
      <c r="AQ46" s="17">
        <f t="shared" si="131"/>
        <v>0.22647417985423499</v>
      </c>
      <c r="AR46" s="17">
        <f t="shared" si="131"/>
        <v>0.2271446767352826</v>
      </c>
      <c r="AS46" s="17">
        <f t="shared" si="131"/>
        <v>0.22713466416008235</v>
      </c>
      <c r="AT46" s="17">
        <f t="shared" si="131"/>
        <v>0.22904534577732064</v>
      </c>
      <c r="AU46" s="17">
        <f t="shared" si="131"/>
        <v>0.22624011781703715</v>
      </c>
    </row>
    <row r="49" spans="2:53" s="3" customFormat="1" x14ac:dyDescent="0.3">
      <c r="B49" s="3" t="s">
        <v>107</v>
      </c>
      <c r="AA49" s="14">
        <f>AA11</f>
        <v>5181</v>
      </c>
      <c r="AE49" s="14">
        <f>AE11</f>
        <v>3110</v>
      </c>
      <c r="AK49" s="14">
        <f t="shared" ref="AK49:AL49" si="132">AK11</f>
        <v>18356</v>
      </c>
      <c r="AL49" s="14">
        <f t="shared" si="132"/>
        <v>11666</v>
      </c>
      <c r="AM49" s="14">
        <f t="shared" ref="AM49:BA49" si="133">AM11</f>
        <v>20126</v>
      </c>
      <c r="AN49" s="14">
        <f t="shared" si="133"/>
        <v>22043</v>
      </c>
      <c r="AO49" s="14">
        <f t="shared" si="133"/>
        <v>23194</v>
      </c>
      <c r="AP49" s="14">
        <f t="shared" si="133"/>
        <v>16805</v>
      </c>
      <c r="AQ49" s="14">
        <f t="shared" si="133"/>
        <v>15559.653720000053</v>
      </c>
      <c r="AR49" s="14">
        <f t="shared" si="133"/>
        <v>20157.522361200001</v>
      </c>
      <c r="AS49" s="14">
        <f t="shared" si="133"/>
        <v>20359.097584812</v>
      </c>
      <c r="AT49" s="14">
        <f t="shared" si="133"/>
        <v>20562.68856066011</v>
      </c>
      <c r="AU49" s="14">
        <f t="shared" si="133"/>
        <v>20768.315446266715</v>
      </c>
      <c r="AV49" s="14">
        <f t="shared" si="133"/>
        <v>20975.998600729392</v>
      </c>
      <c r="AW49" s="14">
        <f t="shared" si="133"/>
        <v>21185.758586736672</v>
      </c>
      <c r="AX49" s="14">
        <f t="shared" si="133"/>
        <v>21397.616172604041</v>
      </c>
      <c r="AY49" s="14">
        <f t="shared" si="133"/>
        <v>21611.592334330086</v>
      </c>
      <c r="AZ49" s="14">
        <f t="shared" si="133"/>
        <v>21827.708257673392</v>
      </c>
      <c r="BA49" s="14">
        <f t="shared" si="133"/>
        <v>22045.985340250114</v>
      </c>
    </row>
    <row r="50" spans="2:53" x14ac:dyDescent="0.3">
      <c r="B50" s="1" t="s">
        <v>19</v>
      </c>
      <c r="AA50" s="6">
        <v>-1789</v>
      </c>
      <c r="AE50" s="6">
        <v>-1712</v>
      </c>
      <c r="AK50" s="6">
        <v>-2914</v>
      </c>
      <c r="AL50" s="6">
        <v>-2646</v>
      </c>
      <c r="AM50" s="6">
        <v>-4216</v>
      </c>
      <c r="AN50" s="6">
        <v>-4415</v>
      </c>
      <c r="AO50" s="6">
        <v>-7716</v>
      </c>
      <c r="AP50" s="6">
        <v>-6187</v>
      </c>
      <c r="AQ50" s="6">
        <f>-AQ12-AQ13</f>
        <v>-5431.435727600001</v>
      </c>
      <c r="AR50" s="6">
        <f t="shared" ref="AR50:BA50" si="134">-AR12-AR13</f>
        <v>-6680.4415563000002</v>
      </c>
      <c r="AS50" s="6">
        <f t="shared" si="134"/>
        <v>-6747.2459718629998</v>
      </c>
      <c r="AT50" s="6">
        <f t="shared" si="134"/>
        <v>-6814.7184315816276</v>
      </c>
      <c r="AU50" s="6">
        <f t="shared" si="134"/>
        <v>-6882.8656158974445</v>
      </c>
      <c r="AV50" s="6">
        <f t="shared" si="134"/>
        <v>-6951.6942720564221</v>
      </c>
      <c r="AW50" s="6">
        <f t="shared" si="134"/>
        <v>-7021.2112147769822</v>
      </c>
      <c r="AX50" s="6">
        <f t="shared" si="134"/>
        <v>-7091.4233269247525</v>
      </c>
      <c r="AY50" s="6">
        <f t="shared" si="134"/>
        <v>-7162.3375601940015</v>
      </c>
      <c r="AZ50" s="6">
        <f t="shared" si="134"/>
        <v>-7233.9609357959425</v>
      </c>
      <c r="BA50" s="6">
        <f t="shared" si="134"/>
        <v>-7306.3005451538993</v>
      </c>
    </row>
    <row r="51" spans="2:53" x14ac:dyDescent="0.3">
      <c r="B51" s="1" t="s">
        <v>108</v>
      </c>
      <c r="AA51" s="6">
        <v>7255</v>
      </c>
      <c r="AE51" s="6">
        <v>7798</v>
      </c>
      <c r="AK51" s="6">
        <v>12046</v>
      </c>
      <c r="AL51" s="6">
        <v>12765</v>
      </c>
      <c r="AM51" s="6">
        <v>12947</v>
      </c>
      <c r="AN51" s="6">
        <v>13364</v>
      </c>
      <c r="AO51" s="6">
        <v>11727</v>
      </c>
      <c r="AP51" s="6">
        <v>12858</v>
      </c>
      <c r="AQ51" s="6">
        <f>AP51*1.01</f>
        <v>12986.58</v>
      </c>
      <c r="AR51" s="6">
        <f t="shared" ref="AR51:BA51" si="135">AQ51*1.01</f>
        <v>13116.4458</v>
      </c>
      <c r="AS51" s="6">
        <f t="shared" si="135"/>
        <v>13247.610257999999</v>
      </c>
      <c r="AT51" s="6">
        <f t="shared" si="135"/>
        <v>13380.086360579999</v>
      </c>
      <c r="AU51" s="6">
        <f t="shared" si="135"/>
        <v>13513.887224185799</v>
      </c>
      <c r="AV51" s="6">
        <f t="shared" si="135"/>
        <v>13649.026096427657</v>
      </c>
      <c r="AW51" s="6">
        <f t="shared" si="135"/>
        <v>13785.516357391933</v>
      </c>
      <c r="AX51" s="6">
        <f t="shared" si="135"/>
        <v>13923.371520965851</v>
      </c>
      <c r="AY51" s="6">
        <f t="shared" si="135"/>
        <v>14062.60523617551</v>
      </c>
      <c r="AZ51" s="6">
        <f t="shared" si="135"/>
        <v>14203.231288537265</v>
      </c>
      <c r="BA51" s="6">
        <f t="shared" si="135"/>
        <v>14345.263601422637</v>
      </c>
    </row>
    <row r="52" spans="2:53" x14ac:dyDescent="0.3">
      <c r="B52" s="1" t="s">
        <v>122</v>
      </c>
      <c r="AA52" s="6"/>
      <c r="AE52" s="6"/>
      <c r="AK52" s="6">
        <f>3665+300+8428</f>
        <v>12393</v>
      </c>
      <c r="AL52" s="6">
        <f>4637+454+9214</f>
        <v>14305</v>
      </c>
      <c r="AM52" s="6">
        <f>5050+137+9339</f>
        <v>14526</v>
      </c>
      <c r="AN52" s="6">
        <f>5144+2185+9977</f>
        <v>17306</v>
      </c>
      <c r="AO52" s="6">
        <f>5184+717+10655</f>
        <v>16556</v>
      </c>
      <c r="AP52" s="6">
        <f>7209+710+11279</f>
        <v>19198</v>
      </c>
      <c r="AQ52" s="6">
        <f>AO52*1.01</f>
        <v>16721.560000000001</v>
      </c>
      <c r="AR52" s="6">
        <f>AQ52*1.01</f>
        <v>16888.775600000001</v>
      </c>
      <c r="AS52" s="6">
        <f t="shared" ref="AS52:BA52" si="136">AR52*1.01</f>
        <v>17057.663356000001</v>
      </c>
      <c r="AT52" s="6">
        <f t="shared" si="136"/>
        <v>17228.239989560003</v>
      </c>
      <c r="AU52" s="6">
        <f t="shared" si="136"/>
        <v>17400.522389455604</v>
      </c>
      <c r="AV52" s="6">
        <f t="shared" si="136"/>
        <v>17574.527613350161</v>
      </c>
      <c r="AW52" s="6">
        <f t="shared" si="136"/>
        <v>17750.272889483662</v>
      </c>
      <c r="AX52" s="6">
        <f t="shared" si="136"/>
        <v>17927.775618378499</v>
      </c>
      <c r="AY52" s="6">
        <f t="shared" si="136"/>
        <v>18107.053374562285</v>
      </c>
      <c r="AZ52" s="6">
        <f t="shared" si="136"/>
        <v>18288.123908307909</v>
      </c>
      <c r="BA52" s="6">
        <f t="shared" si="136"/>
        <v>18471.005147390988</v>
      </c>
    </row>
    <row r="53" spans="2:53" x14ac:dyDescent="0.3">
      <c r="B53" s="1" t="s">
        <v>109</v>
      </c>
      <c r="AA53" s="6">
        <v>45</v>
      </c>
      <c r="AE53" s="6">
        <v>1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</row>
    <row r="54" spans="2:53" x14ac:dyDescent="0.3">
      <c r="B54" s="1" t="s">
        <v>110</v>
      </c>
      <c r="AA54" s="6">
        <v>-259</v>
      </c>
      <c r="AE54" s="6">
        <v>-229</v>
      </c>
      <c r="AK54" s="6">
        <f>-4+460</f>
        <v>456</v>
      </c>
      <c r="AL54" s="6">
        <f>-889+536</f>
        <v>-353</v>
      </c>
      <c r="AM54" s="6">
        <f>180+787</f>
        <v>967</v>
      </c>
      <c r="AN54" s="6">
        <f>30+575</f>
        <v>605</v>
      </c>
      <c r="AO54" s="6">
        <f>208+271</f>
        <v>479</v>
      </c>
      <c r="AP54" s="6">
        <f>110+2362</f>
        <v>2472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</row>
    <row r="55" spans="2:53" x14ac:dyDescent="0.3">
      <c r="B55" s="1" t="s">
        <v>111</v>
      </c>
      <c r="AA55" s="6">
        <v>47</v>
      </c>
      <c r="AE55" s="6">
        <v>-269</v>
      </c>
      <c r="AK55" s="6">
        <v>-730</v>
      </c>
      <c r="AL55" s="6">
        <v>-1572</v>
      </c>
      <c r="AM55" s="6">
        <v>-1652</v>
      </c>
      <c r="AN55" s="6">
        <v>-542</v>
      </c>
      <c r="AO55" s="6">
        <v>3953</v>
      </c>
      <c r="AP55" s="6">
        <v>903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</row>
    <row r="56" spans="2:53" x14ac:dyDescent="0.3">
      <c r="B56" s="1" t="s">
        <v>112</v>
      </c>
      <c r="AA56" s="6">
        <v>-5515</v>
      </c>
      <c r="AE56" s="6">
        <v>-4541</v>
      </c>
      <c r="AK56" s="6">
        <v>-674</v>
      </c>
      <c r="AL56" s="6">
        <v>1334</v>
      </c>
      <c r="AM56" s="6">
        <v>2110</v>
      </c>
      <c r="AN56" s="6">
        <v>-8385</v>
      </c>
      <c r="AO56" s="6">
        <v>-2071</v>
      </c>
      <c r="AP56" s="6">
        <v>-2695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</row>
    <row r="57" spans="2:53" x14ac:dyDescent="0.3">
      <c r="B57" s="1" t="s">
        <v>113</v>
      </c>
      <c r="AA57" s="6">
        <v>-2805</v>
      </c>
      <c r="AE57" s="6">
        <v>-3577</v>
      </c>
      <c r="AK57" s="6">
        <v>-893</v>
      </c>
      <c r="AL57" s="6">
        <v>712</v>
      </c>
      <c r="AM57" s="6">
        <v>1888</v>
      </c>
      <c r="AN57" s="6">
        <v>-3207</v>
      </c>
      <c r="AO57" s="6">
        <v>-4361</v>
      </c>
      <c r="AP57" s="6">
        <v>-2083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</row>
    <row r="58" spans="2:53" x14ac:dyDescent="0.3">
      <c r="B58" s="1" t="s">
        <v>114</v>
      </c>
      <c r="AA58" s="6">
        <v>4100</v>
      </c>
      <c r="AE58" s="6">
        <v>7895</v>
      </c>
      <c r="AK58" s="6">
        <v>2297</v>
      </c>
      <c r="AL58" s="6">
        <v>540</v>
      </c>
      <c r="AM58" s="6">
        <v>1856</v>
      </c>
      <c r="AN58" s="6">
        <v>8586</v>
      </c>
      <c r="AO58" s="6">
        <v>5272</v>
      </c>
      <c r="AP58" s="6">
        <v>52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</row>
    <row r="59" spans="2:53" x14ac:dyDescent="0.3">
      <c r="B59" s="1" t="s">
        <v>115</v>
      </c>
      <c r="AA59" s="6">
        <v>68</v>
      </c>
      <c r="AE59" s="6">
        <v>143</v>
      </c>
      <c r="AK59" s="6">
        <v>1646</v>
      </c>
      <c r="AL59" s="6">
        <v>803</v>
      </c>
      <c r="AM59" s="6">
        <v>1943</v>
      </c>
      <c r="AN59" s="6">
        <v>-1856</v>
      </c>
      <c r="AO59" s="6">
        <v>715</v>
      </c>
      <c r="AP59" s="6">
        <v>4247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</row>
    <row r="60" spans="2:53" x14ac:dyDescent="0.3">
      <c r="B60" s="1" t="s">
        <v>116</v>
      </c>
      <c r="AA60" s="6">
        <v>-3963</v>
      </c>
      <c r="AE60" s="6">
        <v>-5486</v>
      </c>
      <c r="AK60" s="6">
        <v>-13204</v>
      </c>
      <c r="AL60" s="6">
        <v>-12914</v>
      </c>
      <c r="AM60" s="6">
        <v>-16205</v>
      </c>
      <c r="AN60" s="6">
        <v>-8711</v>
      </c>
      <c r="AO60" s="6">
        <v>-14964</v>
      </c>
      <c r="AP60" s="6">
        <v>-19358</v>
      </c>
      <c r="AQ60" s="6">
        <v>-5000</v>
      </c>
      <c r="AR60" s="6">
        <f>AQ60*1.01</f>
        <v>-5050</v>
      </c>
      <c r="AS60" s="6">
        <f t="shared" ref="AS60:BA60" si="137">AR60*1.01</f>
        <v>-5100.5</v>
      </c>
      <c r="AT60" s="6">
        <f t="shared" si="137"/>
        <v>-5151.5050000000001</v>
      </c>
      <c r="AU60" s="6">
        <f t="shared" si="137"/>
        <v>-5203.0200500000001</v>
      </c>
      <c r="AV60" s="6">
        <f t="shared" si="137"/>
        <v>-5255.0502505000004</v>
      </c>
      <c r="AW60" s="6">
        <f t="shared" si="137"/>
        <v>-5307.6007530050001</v>
      </c>
      <c r="AX60" s="6">
        <f t="shared" si="137"/>
        <v>-5360.6767605350506</v>
      </c>
      <c r="AY60" s="6">
        <f t="shared" si="137"/>
        <v>-5414.2835281404014</v>
      </c>
      <c r="AZ60" s="6">
        <f t="shared" si="137"/>
        <v>-5468.426363421805</v>
      </c>
      <c r="BA60" s="6">
        <f t="shared" si="137"/>
        <v>-5523.1106270560231</v>
      </c>
    </row>
    <row r="61" spans="2:53" x14ac:dyDescent="0.3">
      <c r="B61" s="1" t="s">
        <v>113</v>
      </c>
      <c r="AA61" s="6">
        <v>-555</v>
      </c>
      <c r="AE61" s="6">
        <v>-156</v>
      </c>
      <c r="AK61" s="6">
        <v>-10796</v>
      </c>
      <c r="AL61" s="6">
        <v>260</v>
      </c>
      <c r="AM61" s="6">
        <v>4345</v>
      </c>
      <c r="AN61" s="6">
        <v>-6294</v>
      </c>
      <c r="AO61" s="6">
        <v>-13332</v>
      </c>
      <c r="AP61" s="6">
        <v>-9061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</row>
    <row r="62" spans="2:53" s="3" customFormat="1" x14ac:dyDescent="0.3">
      <c r="B62" s="3" t="s">
        <v>117</v>
      </c>
      <c r="AA62" s="14">
        <f>AA49+SUM(AA50:AA61)</f>
        <v>1810</v>
      </c>
      <c r="AE62" s="14">
        <f>AE49+SUM(AE50:AE61)</f>
        <v>2977</v>
      </c>
      <c r="AK62" s="14">
        <f t="shared" ref="AK62:AQ62" si="138">AK49+SUM(AK50:AK61)</f>
        <v>17983</v>
      </c>
      <c r="AL62" s="14">
        <f t="shared" si="138"/>
        <v>24900</v>
      </c>
      <c r="AM62" s="14">
        <f t="shared" si="138"/>
        <v>38635</v>
      </c>
      <c r="AN62" s="14">
        <f t="shared" si="138"/>
        <v>28494</v>
      </c>
      <c r="AO62" s="14">
        <f t="shared" si="138"/>
        <v>19452</v>
      </c>
      <c r="AP62" s="14">
        <f t="shared" si="138"/>
        <v>17151</v>
      </c>
      <c r="AQ62" s="14">
        <f t="shared" si="138"/>
        <v>34836.357992400051</v>
      </c>
      <c r="AR62" s="14">
        <f t="shared" ref="AR62:BA62" si="139">AR49+SUM(AR50:AR61)</f>
        <v>38432.302204899999</v>
      </c>
      <c r="AS62" s="14">
        <f t="shared" si="139"/>
        <v>38816.625226949</v>
      </c>
      <c r="AT62" s="14">
        <f t="shared" si="139"/>
        <v>39204.791479218482</v>
      </c>
      <c r="AU62" s="14">
        <f t="shared" si="139"/>
        <v>39596.839394010676</v>
      </c>
      <c r="AV62" s="14">
        <f t="shared" si="139"/>
        <v>39992.807787950791</v>
      </c>
      <c r="AW62" s="14">
        <f t="shared" si="139"/>
        <v>40392.735865830284</v>
      </c>
      <c r="AX62" s="14">
        <f t="shared" si="139"/>
        <v>40796.663224488584</v>
      </c>
      <c r="AY62" s="14">
        <f t="shared" si="139"/>
        <v>41204.629856733474</v>
      </c>
      <c r="AZ62" s="14">
        <f t="shared" si="139"/>
        <v>41616.676155300818</v>
      </c>
      <c r="BA62" s="14">
        <f t="shared" si="139"/>
        <v>42032.842916853813</v>
      </c>
    </row>
    <row r="63" spans="2:53" x14ac:dyDescent="0.3">
      <c r="B63" s="1" t="s">
        <v>118</v>
      </c>
      <c r="AA63" s="6">
        <v>2787</v>
      </c>
      <c r="AE63" s="6">
        <v>2866</v>
      </c>
      <c r="AK63" s="6">
        <v>14230</v>
      </c>
      <c r="AL63" s="6">
        <v>11273</v>
      </c>
      <c r="AM63" s="6">
        <v>10655</v>
      </c>
      <c r="AN63" s="6">
        <v>12948</v>
      </c>
      <c r="AO63" s="6">
        <v>14653</v>
      </c>
      <c r="AP63" s="6">
        <v>17202</v>
      </c>
      <c r="AQ63" s="6">
        <f>AP63*0.95</f>
        <v>16341.9</v>
      </c>
      <c r="AR63" s="6">
        <f t="shared" ref="AR63:AT63" si="140">AQ63*0.95</f>
        <v>15524.804999999998</v>
      </c>
      <c r="AS63" s="6">
        <f t="shared" si="140"/>
        <v>14748.564749999998</v>
      </c>
      <c r="AT63" s="6">
        <f t="shared" si="140"/>
        <v>14011.136512499997</v>
      </c>
      <c r="AU63" s="6">
        <f>AT63*1.01</f>
        <v>14151.247877624997</v>
      </c>
      <c r="AV63" s="6">
        <f t="shared" ref="AV63:BA63" si="141">AU63*1.01</f>
        <v>14292.760356401248</v>
      </c>
      <c r="AW63" s="6">
        <f t="shared" si="141"/>
        <v>14435.68795996526</v>
      </c>
      <c r="AX63" s="6">
        <f t="shared" si="141"/>
        <v>14580.044839564913</v>
      </c>
      <c r="AY63" s="6">
        <f t="shared" si="141"/>
        <v>14725.845287960563</v>
      </c>
      <c r="AZ63" s="6">
        <f t="shared" si="141"/>
        <v>14873.103740840168</v>
      </c>
      <c r="BA63" s="6">
        <f t="shared" si="141"/>
        <v>15021.834778248571</v>
      </c>
    </row>
    <row r="64" spans="2:53" x14ac:dyDescent="0.3">
      <c r="B64" s="1" t="s">
        <v>119</v>
      </c>
      <c r="AA64" s="6">
        <v>2834</v>
      </c>
      <c r="AE64" s="6">
        <v>2222</v>
      </c>
      <c r="AK64" s="6">
        <v>5171</v>
      </c>
      <c r="AL64" s="6">
        <v>6473</v>
      </c>
      <c r="AM64" s="6">
        <v>7843</v>
      </c>
      <c r="AN64" s="6">
        <v>9723</v>
      </c>
      <c r="AO64" s="6">
        <v>11142</v>
      </c>
      <c r="AP64" s="6">
        <v>10244</v>
      </c>
      <c r="AQ64" s="6">
        <f t="shared" ref="AQ64" si="142">AP64*0.95</f>
        <v>9731.7999999999993</v>
      </c>
      <c r="AR64" s="6">
        <f>AQ64*1.01</f>
        <v>9829.1179999999986</v>
      </c>
      <c r="AS64" s="6">
        <f t="shared" ref="AS64:BA64" si="143">AR64*1.01</f>
        <v>9927.4091799999987</v>
      </c>
      <c r="AT64" s="6">
        <f t="shared" si="143"/>
        <v>10026.683271799999</v>
      </c>
      <c r="AU64" s="6">
        <f t="shared" si="143"/>
        <v>10126.950104517999</v>
      </c>
      <c r="AV64" s="6">
        <f t="shared" si="143"/>
        <v>10228.219605563179</v>
      </c>
      <c r="AW64" s="6">
        <f t="shared" si="143"/>
        <v>10330.501801618811</v>
      </c>
      <c r="AX64" s="6">
        <f t="shared" si="143"/>
        <v>10433.806819635</v>
      </c>
      <c r="AY64" s="6">
        <f t="shared" si="143"/>
        <v>10538.144887831349</v>
      </c>
      <c r="AZ64" s="6">
        <f t="shared" si="143"/>
        <v>10643.526336709663</v>
      </c>
      <c r="BA64" s="6">
        <f t="shared" si="143"/>
        <v>10749.96160007676</v>
      </c>
    </row>
    <row r="65" spans="2:139" x14ac:dyDescent="0.3">
      <c r="B65" s="1" t="s">
        <v>121</v>
      </c>
      <c r="AA65" s="6">
        <f>SUM(AA63:AA64)</f>
        <v>5621</v>
      </c>
      <c r="AE65" s="6">
        <f>SUM(AE63:AE64)</f>
        <v>5088</v>
      </c>
      <c r="AK65" s="6">
        <f t="shared" ref="AK65:AQ65" si="144">SUM(AK63:AK64)</f>
        <v>19401</v>
      </c>
      <c r="AL65" s="6">
        <f t="shared" si="144"/>
        <v>17746</v>
      </c>
      <c r="AM65" s="6">
        <f t="shared" si="144"/>
        <v>18498</v>
      </c>
      <c r="AN65" s="6">
        <f t="shared" si="144"/>
        <v>22671</v>
      </c>
      <c r="AO65" s="6">
        <f t="shared" si="144"/>
        <v>25795</v>
      </c>
      <c r="AP65" s="6">
        <f t="shared" si="144"/>
        <v>27446</v>
      </c>
      <c r="AQ65" s="6">
        <f t="shared" si="144"/>
        <v>26073.699999999997</v>
      </c>
      <c r="AR65" s="6">
        <f t="shared" ref="AR65:BA65" si="145">SUM(AR63:AR64)</f>
        <v>25353.922999999995</v>
      </c>
      <c r="AS65" s="6">
        <f t="shared" si="145"/>
        <v>24675.973929999996</v>
      </c>
      <c r="AT65" s="6">
        <f t="shared" si="145"/>
        <v>24037.819784299994</v>
      </c>
      <c r="AU65" s="6">
        <f t="shared" si="145"/>
        <v>24278.197982142996</v>
      </c>
      <c r="AV65" s="6">
        <f t="shared" si="145"/>
        <v>24520.979961964425</v>
      </c>
      <c r="AW65" s="6">
        <f t="shared" si="145"/>
        <v>24766.189761584072</v>
      </c>
      <c r="AX65" s="6">
        <f t="shared" si="145"/>
        <v>25013.851659199914</v>
      </c>
      <c r="AY65" s="6">
        <f t="shared" si="145"/>
        <v>25263.990175791914</v>
      </c>
      <c r="AZ65" s="6">
        <f t="shared" si="145"/>
        <v>25516.630077549831</v>
      </c>
      <c r="BA65" s="6">
        <f t="shared" si="145"/>
        <v>25771.796378325329</v>
      </c>
    </row>
    <row r="66" spans="2:139" s="3" customFormat="1" x14ac:dyDescent="0.3">
      <c r="B66" s="3" t="s">
        <v>120</v>
      </c>
      <c r="AA66" s="14">
        <f>AA62-AA65</f>
        <v>-3811</v>
      </c>
      <c r="AE66" s="14">
        <f>AE62-AE65</f>
        <v>-2111</v>
      </c>
      <c r="AK66" s="14">
        <f t="shared" ref="AK66:AQ66" si="146">AK62-AK65</f>
        <v>-1418</v>
      </c>
      <c r="AL66" s="14">
        <f t="shared" si="146"/>
        <v>7154</v>
      </c>
      <c r="AM66" s="14">
        <f t="shared" si="146"/>
        <v>20137</v>
      </c>
      <c r="AN66" s="14">
        <f t="shared" si="146"/>
        <v>5823</v>
      </c>
      <c r="AO66" s="14">
        <f t="shared" si="146"/>
        <v>-6343</v>
      </c>
      <c r="AP66" s="14">
        <f t="shared" si="146"/>
        <v>-10295</v>
      </c>
      <c r="AQ66" s="14">
        <f t="shared" si="146"/>
        <v>8762.6579924000544</v>
      </c>
      <c r="AR66" s="14">
        <f t="shared" ref="AR66:BA66" si="147">AR62-AR65</f>
        <v>13078.379204900004</v>
      </c>
      <c r="AS66" s="14">
        <f t="shared" si="147"/>
        <v>14140.651296949003</v>
      </c>
      <c r="AT66" s="14">
        <f t="shared" si="147"/>
        <v>15166.971694918488</v>
      </c>
      <c r="AU66" s="14">
        <f t="shared" si="147"/>
        <v>15318.64141186768</v>
      </c>
      <c r="AV66" s="14">
        <f t="shared" si="147"/>
        <v>15471.827825986365</v>
      </c>
      <c r="AW66" s="14">
        <f t="shared" si="147"/>
        <v>15626.546104246212</v>
      </c>
      <c r="AX66" s="14">
        <f t="shared" si="147"/>
        <v>15782.81156528867</v>
      </c>
      <c r="AY66" s="14">
        <f t="shared" si="147"/>
        <v>15940.63968094156</v>
      </c>
      <c r="AZ66" s="14">
        <f t="shared" si="147"/>
        <v>16100.046077750987</v>
      </c>
      <c r="BA66" s="14">
        <f t="shared" si="147"/>
        <v>16261.046538528484</v>
      </c>
      <c r="BB66" s="3">
        <f>BA66*(1+$BD$21)</f>
        <v>16098.436073143199</v>
      </c>
      <c r="BC66" s="3">
        <f t="shared" ref="BC66:DN66" si="148">BB66*(1+$BD$21)</f>
        <v>15937.451712411766</v>
      </c>
      <c r="BD66" s="3">
        <f t="shared" si="148"/>
        <v>15778.077195287649</v>
      </c>
      <c r="BE66" s="3">
        <f t="shared" si="148"/>
        <v>15620.296423334772</v>
      </c>
      <c r="BF66" s="3">
        <f t="shared" si="148"/>
        <v>15464.093459101425</v>
      </c>
      <c r="BG66" s="3">
        <f t="shared" si="148"/>
        <v>15309.452524510411</v>
      </c>
      <c r="BH66" s="3">
        <f t="shared" si="148"/>
        <v>15156.357999265307</v>
      </c>
      <c r="BI66" s="3">
        <f t="shared" si="148"/>
        <v>15004.794419272654</v>
      </c>
      <c r="BJ66" s="3">
        <f t="shared" si="148"/>
        <v>14854.746475079926</v>
      </c>
      <c r="BK66" s="3">
        <f t="shared" si="148"/>
        <v>14706.199010329126</v>
      </c>
      <c r="BL66" s="3">
        <f t="shared" si="148"/>
        <v>14559.137020225835</v>
      </c>
      <c r="BM66" s="3">
        <f t="shared" si="148"/>
        <v>14413.545650023576</v>
      </c>
      <c r="BN66" s="3">
        <f t="shared" si="148"/>
        <v>14269.410193523339</v>
      </c>
      <c r="BO66" s="3">
        <f t="shared" si="148"/>
        <v>14126.716091588105</v>
      </c>
      <c r="BP66" s="3">
        <f t="shared" si="148"/>
        <v>13985.448930672224</v>
      </c>
      <c r="BQ66" s="3">
        <f t="shared" si="148"/>
        <v>13845.594441365502</v>
      </c>
      <c r="BR66" s="3">
        <f t="shared" si="148"/>
        <v>13707.138496951846</v>
      </c>
      <c r="BS66" s="3">
        <f t="shared" si="148"/>
        <v>13570.067111982327</v>
      </c>
      <c r="BT66" s="3">
        <f t="shared" si="148"/>
        <v>13434.366440862505</v>
      </c>
      <c r="BU66" s="3">
        <f t="shared" si="148"/>
        <v>13300.022776453879</v>
      </c>
      <c r="BV66" s="3">
        <f t="shared" si="148"/>
        <v>13167.022548689341</v>
      </c>
      <c r="BW66" s="3">
        <f t="shared" si="148"/>
        <v>13035.352323202447</v>
      </c>
      <c r="BX66" s="3">
        <f t="shared" si="148"/>
        <v>12904.998799970423</v>
      </c>
      <c r="BY66" s="3">
        <f t="shared" si="148"/>
        <v>12775.948811970718</v>
      </c>
      <c r="BZ66" s="3">
        <f t="shared" si="148"/>
        <v>12648.189323851011</v>
      </c>
      <c r="CA66" s="3">
        <f t="shared" si="148"/>
        <v>12521.707430612501</v>
      </c>
      <c r="CB66" s="3">
        <f t="shared" si="148"/>
        <v>12396.490356306376</v>
      </c>
      <c r="CC66" s="3">
        <f t="shared" si="148"/>
        <v>12272.525452743312</v>
      </c>
      <c r="CD66" s="3">
        <f t="shared" si="148"/>
        <v>12149.800198215878</v>
      </c>
      <c r="CE66" s="3">
        <f t="shared" si="148"/>
        <v>12028.302196233719</v>
      </c>
      <c r="CF66" s="3">
        <f t="shared" si="148"/>
        <v>11908.019174271381</v>
      </c>
      <c r="CG66" s="3">
        <f t="shared" si="148"/>
        <v>11788.938982528667</v>
      </c>
      <c r="CH66" s="3">
        <f t="shared" si="148"/>
        <v>11671.049592703381</v>
      </c>
      <c r="CI66" s="3">
        <f t="shared" si="148"/>
        <v>11554.339096776346</v>
      </c>
      <c r="CJ66" s="3">
        <f t="shared" si="148"/>
        <v>11438.795705808583</v>
      </c>
      <c r="CK66" s="3">
        <f t="shared" si="148"/>
        <v>11324.407748750496</v>
      </c>
      <c r="CL66" s="3">
        <f t="shared" si="148"/>
        <v>11211.163671262992</v>
      </c>
      <c r="CM66" s="3">
        <f t="shared" si="148"/>
        <v>11099.052034550361</v>
      </c>
      <c r="CN66" s="3">
        <f t="shared" si="148"/>
        <v>10988.061514204857</v>
      </c>
      <c r="CO66" s="3">
        <f t="shared" si="148"/>
        <v>10878.180899062809</v>
      </c>
      <c r="CP66" s="3">
        <f t="shared" si="148"/>
        <v>10769.39909007218</v>
      </c>
      <c r="CQ66" s="3">
        <f t="shared" si="148"/>
        <v>10661.705099171459</v>
      </c>
      <c r="CR66" s="3">
        <f t="shared" si="148"/>
        <v>10555.088048179743</v>
      </c>
      <c r="CS66" s="3">
        <f t="shared" si="148"/>
        <v>10449.537167697945</v>
      </c>
      <c r="CT66" s="3">
        <f t="shared" si="148"/>
        <v>10345.041796020965</v>
      </c>
      <c r="CU66" s="3">
        <f t="shared" si="148"/>
        <v>10241.591378060755</v>
      </c>
      <c r="CV66" s="3">
        <f t="shared" si="148"/>
        <v>10139.175464280148</v>
      </c>
      <c r="CW66" s="3">
        <f t="shared" si="148"/>
        <v>10037.783709637346</v>
      </c>
      <c r="CX66" s="3">
        <f t="shared" si="148"/>
        <v>9937.4058725409723</v>
      </c>
      <c r="CY66" s="3">
        <f t="shared" si="148"/>
        <v>9838.0318138155617</v>
      </c>
      <c r="CZ66" s="3">
        <f t="shared" si="148"/>
        <v>9739.6514956774063</v>
      </c>
      <c r="DA66" s="3">
        <f t="shared" si="148"/>
        <v>9642.2549807206324</v>
      </c>
      <c r="DB66" s="3">
        <f t="shared" si="148"/>
        <v>9545.8324309134259</v>
      </c>
      <c r="DC66" s="3">
        <f t="shared" si="148"/>
        <v>9450.3741066042912</v>
      </c>
      <c r="DD66" s="3">
        <f t="shared" si="148"/>
        <v>9355.8703655382487</v>
      </c>
      <c r="DE66" s="3">
        <f t="shared" si="148"/>
        <v>9262.3116618828662</v>
      </c>
      <c r="DF66" s="3">
        <f t="shared" si="148"/>
        <v>9169.6885452640381</v>
      </c>
      <c r="DG66" s="3">
        <f t="shared" si="148"/>
        <v>9077.9916598113978</v>
      </c>
      <c r="DH66" s="3">
        <f t="shared" si="148"/>
        <v>8987.2117432132836</v>
      </c>
      <c r="DI66" s="3">
        <f t="shared" si="148"/>
        <v>8897.339625781151</v>
      </c>
      <c r="DJ66" s="3">
        <f t="shared" si="148"/>
        <v>8808.3662295233389</v>
      </c>
      <c r="DK66" s="3">
        <f t="shared" si="148"/>
        <v>8720.2825672281051</v>
      </c>
      <c r="DL66" s="3">
        <f t="shared" si="148"/>
        <v>8633.0797415558245</v>
      </c>
      <c r="DM66" s="3">
        <f t="shared" si="148"/>
        <v>8546.7489441402668</v>
      </c>
      <c r="DN66" s="3">
        <f t="shared" si="148"/>
        <v>8461.2814546988648</v>
      </c>
      <c r="DO66" s="3">
        <f t="shared" ref="DO66:EI66" si="149">DN66*(1+$BD$21)</f>
        <v>8376.6686401518764</v>
      </c>
      <c r="DP66" s="3">
        <f t="shared" si="149"/>
        <v>8292.9019537503573</v>
      </c>
      <c r="DQ66" s="3">
        <f t="shared" si="149"/>
        <v>8209.9729342128539</v>
      </c>
      <c r="DR66" s="3">
        <f t="shared" si="149"/>
        <v>8127.8732048707252</v>
      </c>
      <c r="DS66" s="3">
        <f t="shared" si="149"/>
        <v>8046.5944728220175</v>
      </c>
      <c r="DT66" s="3">
        <f t="shared" si="149"/>
        <v>7966.1285280937973</v>
      </c>
      <c r="DU66" s="3">
        <f t="shared" si="149"/>
        <v>7886.4672428128597</v>
      </c>
      <c r="DV66" s="3">
        <f t="shared" si="149"/>
        <v>7807.6025703847308</v>
      </c>
      <c r="DW66" s="3">
        <f t="shared" si="149"/>
        <v>7729.5265446808835</v>
      </c>
      <c r="DX66" s="3">
        <f t="shared" si="149"/>
        <v>7652.2312792340745</v>
      </c>
      <c r="DY66" s="3">
        <f t="shared" si="149"/>
        <v>7575.7089664417335</v>
      </c>
      <c r="DZ66" s="3">
        <f t="shared" si="149"/>
        <v>7499.9518767773161</v>
      </c>
      <c r="EA66" s="3">
        <f t="shared" si="149"/>
        <v>7424.9523580095429</v>
      </c>
      <c r="EB66" s="3">
        <f t="shared" si="149"/>
        <v>7350.7028344294476</v>
      </c>
      <c r="EC66" s="3">
        <f t="shared" si="149"/>
        <v>7277.195806085153</v>
      </c>
      <c r="ED66" s="3">
        <f t="shared" si="149"/>
        <v>7204.4238480243012</v>
      </c>
      <c r="EE66" s="3">
        <f t="shared" si="149"/>
        <v>7132.3796095440584</v>
      </c>
      <c r="EF66" s="3">
        <f t="shared" si="149"/>
        <v>7061.0558134486182</v>
      </c>
      <c r="EG66" s="3">
        <f t="shared" si="149"/>
        <v>6990.4452553141318</v>
      </c>
      <c r="EH66" s="3">
        <f t="shared" si="149"/>
        <v>6920.5408027609901</v>
      </c>
      <c r="EI66" s="3">
        <f t="shared" si="149"/>
        <v>6851.3353947333799</v>
      </c>
    </row>
    <row r="68" spans="2:139" x14ac:dyDescent="0.3">
      <c r="BC68" s="1" t="s">
        <v>123</v>
      </c>
      <c r="BD68" s="6">
        <f>NPV(BD22,AQ66:EI66)</f>
        <v>234242.45092289339</v>
      </c>
    </row>
    <row r="69" spans="2:139" x14ac:dyDescent="0.3">
      <c r="BC69" s="1" t="s">
        <v>36</v>
      </c>
      <c r="BD69" s="6">
        <f>Main!D8</f>
        <v>-193006</v>
      </c>
    </row>
    <row r="70" spans="2:139" x14ac:dyDescent="0.3">
      <c r="BC70" s="1" t="s">
        <v>37</v>
      </c>
      <c r="BD70" s="6">
        <f>BD68+BD69</f>
        <v>41236.450922893389</v>
      </c>
    </row>
    <row r="71" spans="2:139" x14ac:dyDescent="0.3">
      <c r="BC71" s="1" t="s">
        <v>38</v>
      </c>
      <c r="BD71" s="4">
        <f>BD70/BA15</f>
        <v>82.259028372019529</v>
      </c>
    </row>
    <row r="72" spans="2:139" x14ac:dyDescent="0.3">
      <c r="BC72" s="1" t="s">
        <v>39</v>
      </c>
      <c r="BD72" s="4">
        <f>Main!D3</f>
        <v>101.3</v>
      </c>
    </row>
    <row r="73" spans="2:139" x14ac:dyDescent="0.3">
      <c r="BC73" s="1" t="s">
        <v>40</v>
      </c>
      <c r="BD73" s="16">
        <f>BD71/BD72-1</f>
        <v>-0.18796615624857327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2020-09-07T06:24:57Z</dcterms:created>
  <dcterms:modified xsi:type="dcterms:W3CDTF">2025-09-05T15:42:16Z</dcterms:modified>
</cp:coreProperties>
</file>