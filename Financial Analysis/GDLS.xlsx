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CED3F5A-FFDF-42E7-A3BA-4320C8EC173F}" xr6:coauthVersionLast="47" xr6:coauthVersionMax="47" xr10:uidLastSave="{00000000-0000-0000-0000-000000000000}"/>
  <bookViews>
    <workbookView xWindow="-108" yWindow="-108" windowWidth="23256" windowHeight="12576" activeTab="1" xr2:uid="{41E58402-84C5-467D-B643-B1FD8D00AA2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2" l="1"/>
  <c r="J22" i="2"/>
  <c r="I22" i="2"/>
  <c r="H22" i="2"/>
  <c r="G22" i="2"/>
  <c r="F22" i="2"/>
  <c r="E22" i="2"/>
  <c r="D22" i="2"/>
  <c r="C22" i="2"/>
  <c r="K21" i="2"/>
  <c r="J21" i="2"/>
  <c r="I21" i="2"/>
  <c r="H21" i="2"/>
  <c r="G21" i="2"/>
  <c r="F21" i="2"/>
  <c r="E21" i="2"/>
  <c r="D21" i="2"/>
  <c r="C21" i="2"/>
  <c r="K20" i="2"/>
  <c r="J20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K18" i="2"/>
  <c r="J18" i="2"/>
  <c r="I18" i="2"/>
  <c r="H18" i="2"/>
  <c r="G18" i="2"/>
  <c r="F18" i="2"/>
  <c r="E18" i="2"/>
  <c r="D18" i="2"/>
  <c r="K17" i="2"/>
  <c r="J17" i="2"/>
  <c r="I17" i="2"/>
  <c r="H17" i="2"/>
  <c r="G17" i="2"/>
  <c r="F17" i="2"/>
  <c r="E17" i="2"/>
  <c r="D17" i="2"/>
  <c r="C17" i="2"/>
  <c r="K16" i="2"/>
  <c r="J16" i="2"/>
  <c r="I16" i="2"/>
  <c r="H16" i="2"/>
  <c r="G16" i="2"/>
  <c r="F16" i="2"/>
  <c r="E16" i="2"/>
  <c r="D16" i="2"/>
  <c r="C8" i="2"/>
  <c r="C5" i="2"/>
  <c r="D5" i="2"/>
  <c r="D8" i="2" s="1"/>
  <c r="D12" i="2" s="1"/>
  <c r="D14" i="2" s="1"/>
  <c r="E5" i="2"/>
  <c r="E8" i="2" s="1"/>
  <c r="E12" i="2" s="1"/>
  <c r="E14" i="2" s="1"/>
  <c r="F5" i="2"/>
  <c r="F8" i="2" s="1"/>
  <c r="F12" i="2" s="1"/>
  <c r="F14" i="2" s="1"/>
  <c r="G5" i="2"/>
  <c r="G8" i="2" s="1"/>
  <c r="G12" i="2" s="1"/>
  <c r="G14" i="2" s="1"/>
  <c r="I12" i="2"/>
  <c r="H12" i="2"/>
  <c r="J12" i="2"/>
  <c r="H5" i="2"/>
  <c r="H8" i="2" s="1"/>
  <c r="I5" i="2"/>
  <c r="I8" i="2" s="1"/>
  <c r="J5" i="2"/>
  <c r="J8" i="2" s="1"/>
  <c r="L19" i="2"/>
  <c r="L18" i="2"/>
  <c r="L16" i="2"/>
  <c r="K5" i="2"/>
  <c r="K8" i="2" s="1"/>
  <c r="K12" i="2" s="1"/>
  <c r="K14" i="2" s="1"/>
  <c r="M18" i="2"/>
  <c r="M16" i="2"/>
  <c r="L5" i="2"/>
  <c r="L8" i="2" s="1"/>
  <c r="L12" i="2" s="1"/>
  <c r="L14" i="2" s="1"/>
  <c r="L22" i="2" s="1"/>
  <c r="N18" i="2"/>
  <c r="N16" i="2"/>
  <c r="M19" i="2"/>
  <c r="M5" i="2"/>
  <c r="M8" i="2" s="1"/>
  <c r="M12" i="2" s="1"/>
  <c r="M14" i="2" s="1"/>
  <c r="M22" i="2" s="1"/>
  <c r="N22" i="2"/>
  <c r="N21" i="2"/>
  <c r="N20" i="2"/>
  <c r="N19" i="2"/>
  <c r="N5" i="2"/>
  <c r="N8" i="2" s="1"/>
  <c r="N12" i="2" s="1"/>
  <c r="N14" i="2" s="1"/>
  <c r="D10" i="1"/>
  <c r="D8" i="1"/>
  <c r="F3" i="1"/>
  <c r="C12" i="2" l="1"/>
  <c r="C14" i="2" s="1"/>
  <c r="L17" i="2"/>
  <c r="H14" i="2"/>
  <c r="I14" i="2"/>
  <c r="J14" i="2"/>
  <c r="L20" i="2"/>
  <c r="M17" i="2"/>
  <c r="L21" i="2"/>
  <c r="N17" i="2"/>
  <c r="M20" i="2"/>
  <c r="M21" i="2"/>
</calcChain>
</file>

<file path=xl/sharedStrings.xml><?xml version="1.0" encoding="utf-8"?>
<sst xmlns="http://schemas.openxmlformats.org/spreadsheetml/2006/main" count="33" uniqueCount="32">
  <si>
    <t>GDLS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</si>
  <si>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</si>
  <si>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</si>
  <si>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</si>
  <si>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</si>
  <si>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</si>
  <si>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</si>
  <si>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</si>
  <si>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</si>
  <si>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</si>
  <si>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</si>
  <si>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follow on companies house for annual reports</t>
  </si>
  <si>
    <t>L+S/E</t>
  </si>
  <si>
    <t>Q424</t>
  </si>
  <si>
    <t>Revenue</t>
  </si>
  <si>
    <t>Cost of sales</t>
  </si>
  <si>
    <t>Gross profit</t>
  </si>
  <si>
    <t>SG&amp;A</t>
  </si>
  <si>
    <t>Operating profit</t>
  </si>
  <si>
    <t>Interest income</t>
  </si>
  <si>
    <t>Interest expense</t>
  </si>
  <si>
    <t>Pretax profit</t>
  </si>
  <si>
    <t>Taxes</t>
  </si>
  <si>
    <t>Net profit</t>
  </si>
  <si>
    <t>Gross Margin</t>
  </si>
  <si>
    <t>Revenue y/y</t>
  </si>
  <si>
    <t>SG&amp;A Margin</t>
  </si>
  <si>
    <t>SG&amp;A y/y</t>
  </si>
  <si>
    <t>Operating Margin</t>
  </si>
  <si>
    <t>Net Margin</t>
  </si>
  <si>
    <t>Other income</t>
  </si>
  <si>
    <t>Restructuring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</si>
</sst>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0286-DF4E-485D-8968-CB2919515CF2}">
  <dimension ref="B2:I10"/>
  <sheetViews>
    <sheetView workbookViewId="0">
      <selection activeCell="E10" sqref="E10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9" x14ac:dyDescent="0.3">
      <c r="E2" s="3" t="s">
        <v>8</v>
      </c>
      <c r="F2" s="3" t="s">
        <v>9</v>
      </c>
      <c r="G2" s="3" t="s">
        <v>10</v>
      </c>
    </row>
    <row r="3" spans="2:9" x14ac:dyDescent="0.3">
      <c r="B3" s="2" t="s">
        <v>0</v>
      </c>
      <c r="C3" s="1" t="s">
        <v>1</v>
      </c>
      <c r="D3" s="5"/>
      <c r="E3" s="4">
        <v>46066</v>
      </c>
      <c r="F3" s="4">
        <f ca="1">TODAY()</f>
        <v>46066</v>
      </c>
      <c r="G3" s="4">
        <v>46266</v>
      </c>
      <c r="I3" s="1" t="s">
        <v>11</v>
      </c>
    </row>
    <row r="4" spans="2:9" x14ac:dyDescent="0.3">
      <c r="C4" s="1" t="s">
        <v>2</v>
      </c>
      <c r="D4" s="5"/>
    </row>
    <row r="5" spans="2:9" x14ac:dyDescent="0.3">
      <c r="C5" s="1" t="s">
        <v>3</v>
      </c>
      <c r="D5" s="5"/>
    </row>
    <row r="6" spans="2:9" x14ac:dyDescent="0.3">
      <c r="C6" s="1" t="s">
        <v>4</v>
      </c>
      <c r="D6" s="5">
        <v>0</v>
      </c>
    </row>
    <row r="7" spans="2:9" x14ac:dyDescent="0.3">
      <c r="C7" s="1" t="s">
        <v>5</v>
      </c>
      <c r="D7" s="5">
        <v>0</v>
      </c>
    </row>
    <row r="8" spans="2:9" x14ac:dyDescent="0.3">
      <c r="C8" s="1" t="s">
        <v>6</v>
      </c>
      <c r="D8" s="5">
        <f>D6-D7</f>
        <v>0</v>
      </c>
    </row>
    <row r="9" spans="2:9" x14ac:dyDescent="0.3">
      <c r="C9" s="1" t="s">
        <v>7</v>
      </c>
      <c r="D9" s="5"/>
    </row>
    <row r="10" spans="2:9" x14ac:dyDescent="0.3">
      <c r="C10" s="1" t="s">
        <v>12</v>
      </c>
      <c r="D10" s="5">
        <f>379.6</f>
        <v>379.6</v>
      </c>
      <c r="E10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3ECA-10EE-41BE-BCC8-8D0EE746E615}">
  <dimension ref="B2:Y2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7" sqref="M7"/>
    </sheetView>
  </sheetViews>
  <sheetFormatPr defaultRowHeight="14.4" x14ac:dyDescent="0.3"/>
  <cols>
    <col min="1" max="1" width="8.88671875" style="1"/>
    <col min="2" max="2" width="15.21875" style="1" bestFit="1" customWidth="1"/>
    <col min="3" max="16384" width="8.88671875" style="1"/>
  </cols>
  <sheetData>
    <row r="2" spans="2:25" x14ac:dyDescent="0.3">
      <c r="C2" s="1">
        <v>2013</v>
      </c>
      <c r="D2" s="1">
        <v>2014</v>
      </c>
      <c r="E2" s="1">
        <v>2015</v>
      </c>
      <c r="F2" s="1">
        <v>2016</v>
      </c>
      <c r="G2" s="1">
        <v>2017</v>
      </c>
      <c r="H2" s="1">
        <v>2018</v>
      </c>
      <c r="I2" s="1">
        <v>2019</v>
      </c>
      <c r="J2" s="1">
        <v>2020</v>
      </c>
      <c r="K2" s="1">
        <v>2021</v>
      </c>
      <c r="L2" s="1">
        <v>2022</v>
      </c>
      <c r="M2" s="1">
        <v>2023</v>
      </c>
      <c r="N2" s="1">
        <v>2024</v>
      </c>
      <c r="O2" s="1">
        <v>2025</v>
      </c>
      <c r="P2" s="1">
        <v>2026</v>
      </c>
      <c r="Q2" s="1">
        <v>2027</v>
      </c>
      <c r="R2" s="1">
        <v>2028</v>
      </c>
      <c r="S2" s="1">
        <v>2029</v>
      </c>
      <c r="T2" s="1">
        <v>2030</v>
      </c>
      <c r="U2" s="1">
        <v>2031</v>
      </c>
      <c r="V2" s="1">
        <v>2032</v>
      </c>
      <c r="W2" s="1">
        <v>2033</v>
      </c>
      <c r="X2" s="1">
        <v>2034</v>
      </c>
      <c r="Y2" s="1">
        <v>2035</v>
      </c>
    </row>
    <row r="3" spans="2:25" s="2" customFormat="1" x14ac:dyDescent="0.3">
      <c r="B3" s="2" t="s">
        <v>14</v>
      </c>
      <c r="C3" s="6">
        <v>260.60000000000002</v>
      </c>
      <c r="D3" s="6">
        <v>239.6</v>
      </c>
      <c r="E3" s="6">
        <v>440</v>
      </c>
      <c r="F3" s="6">
        <v>565.4</v>
      </c>
      <c r="G3" s="6">
        <v>680.2</v>
      </c>
      <c r="H3" s="6">
        <v>735.6</v>
      </c>
      <c r="I3" s="6">
        <v>720.5</v>
      </c>
      <c r="J3" s="6">
        <v>734.8</v>
      </c>
      <c r="K3" s="6">
        <v>604.4</v>
      </c>
      <c r="L3" s="6">
        <v>494.9</v>
      </c>
      <c r="M3" s="6">
        <v>363.6</v>
      </c>
      <c r="N3" s="6">
        <v>348.2</v>
      </c>
      <c r="O3" s="6"/>
    </row>
    <row r="4" spans="2:25" x14ac:dyDescent="0.3">
      <c r="B4" s="1" t="s">
        <v>15</v>
      </c>
      <c r="C4" s="5">
        <v>225.2</v>
      </c>
      <c r="D4" s="5">
        <v>194.4</v>
      </c>
      <c r="E4" s="5">
        <v>345.4</v>
      </c>
      <c r="F4" s="5">
        <v>447.4</v>
      </c>
      <c r="G4" s="5">
        <v>569.70000000000005</v>
      </c>
      <c r="H4" s="5">
        <v>608.20000000000005</v>
      </c>
      <c r="I4" s="5">
        <v>613.70000000000005</v>
      </c>
      <c r="J4" s="5">
        <v>626.1</v>
      </c>
      <c r="K4" s="5">
        <v>557.6</v>
      </c>
      <c r="L4" s="5">
        <v>429</v>
      </c>
      <c r="M4" s="5">
        <v>310.3</v>
      </c>
      <c r="N4" s="5">
        <v>294.39999999999998</v>
      </c>
    </row>
    <row r="5" spans="2:25" s="2" customFormat="1" x14ac:dyDescent="0.3">
      <c r="B5" s="2" t="s">
        <v>16</v>
      </c>
      <c r="C5" s="6">
        <f>C3-C4</f>
        <v>35.400000000000034</v>
      </c>
      <c r="D5" s="6">
        <f>D3-D4</f>
        <v>45.199999999999989</v>
      </c>
      <c r="E5" s="6">
        <f>E3-E4</f>
        <v>94.600000000000023</v>
      </c>
      <c r="F5" s="6">
        <f>F3-F4</f>
        <v>118</v>
      </c>
      <c r="G5" s="6">
        <f>G3-G4</f>
        <v>110.5</v>
      </c>
      <c r="H5" s="6">
        <f>H3-H4</f>
        <v>127.39999999999998</v>
      </c>
      <c r="I5" s="6">
        <f>I3-I4</f>
        <v>106.79999999999995</v>
      </c>
      <c r="J5" s="6">
        <f>J3-J4</f>
        <v>108.69999999999993</v>
      </c>
      <c r="K5" s="6">
        <f>K3-K4</f>
        <v>46.799999999999955</v>
      </c>
      <c r="L5" s="6">
        <f>L3-L4</f>
        <v>65.899999999999977</v>
      </c>
      <c r="M5" s="6">
        <f>M3-M4</f>
        <v>53.300000000000011</v>
      </c>
      <c r="N5" s="6">
        <f>N3-N4</f>
        <v>53.800000000000011</v>
      </c>
    </row>
    <row r="6" spans="2:25" x14ac:dyDescent="0.3">
      <c r="B6" s="1" t="s">
        <v>17</v>
      </c>
      <c r="C6" s="5">
        <v>27.3</v>
      </c>
      <c r="D6" s="5">
        <v>17.2</v>
      </c>
      <c r="E6" s="5">
        <v>25.8</v>
      </c>
      <c r="F6" s="5">
        <v>39</v>
      </c>
      <c r="G6" s="5">
        <v>22</v>
      </c>
      <c r="H6" s="5">
        <v>38.299999999999997</v>
      </c>
      <c r="I6" s="5">
        <v>48</v>
      </c>
      <c r="J6" s="5">
        <v>31.2</v>
      </c>
      <c r="K6" s="5">
        <v>31.7</v>
      </c>
      <c r="L6" s="5">
        <v>36.299999999999997</v>
      </c>
      <c r="M6" s="5">
        <v>28.4</v>
      </c>
      <c r="N6" s="5">
        <v>27.9</v>
      </c>
    </row>
    <row r="7" spans="2:25" x14ac:dyDescent="0.3">
      <c r="B7" s="1" t="s">
        <v>31</v>
      </c>
      <c r="C7" s="5">
        <v>10.8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2:25" s="2" customFormat="1" x14ac:dyDescent="0.3">
      <c r="B8" s="2" t="s">
        <v>18</v>
      </c>
      <c r="C8" s="6">
        <f>C5-C6-C7</f>
        <v>-2.6999999999999673</v>
      </c>
      <c r="D8" s="6">
        <f>D5-D6</f>
        <v>27.999999999999989</v>
      </c>
      <c r="E8" s="6">
        <f>E5-E6</f>
        <v>68.800000000000026</v>
      </c>
      <c r="F8" s="6">
        <f>F5-F6</f>
        <v>79</v>
      </c>
      <c r="G8" s="6">
        <f>G5-G6</f>
        <v>88.5</v>
      </c>
      <c r="H8" s="6">
        <f>H5-H6</f>
        <v>89.09999999999998</v>
      </c>
      <c r="I8" s="6">
        <f>I5-I6</f>
        <v>58.799999999999955</v>
      </c>
      <c r="J8" s="6">
        <f>J5-J6</f>
        <v>77.499999999999929</v>
      </c>
      <c r="K8" s="6">
        <f>K5-K6</f>
        <v>15.099999999999955</v>
      </c>
      <c r="L8" s="6">
        <f>L5-L6</f>
        <v>29.59999999999998</v>
      </c>
      <c r="M8" s="6">
        <f>M5-M6</f>
        <v>24.900000000000013</v>
      </c>
      <c r="N8" s="6">
        <f>N5-N6</f>
        <v>25.900000000000013</v>
      </c>
    </row>
    <row r="9" spans="2:25" x14ac:dyDescent="0.3">
      <c r="B9" s="1" t="s">
        <v>19</v>
      </c>
      <c r="C9" s="5">
        <v>-0.2</v>
      </c>
      <c r="D9" s="5">
        <v>-0.9</v>
      </c>
      <c r="E9" s="5">
        <v>-1</v>
      </c>
      <c r="F9" s="5">
        <v>-0.5</v>
      </c>
      <c r="G9" s="5">
        <v>-0.2</v>
      </c>
      <c r="H9" s="5">
        <v>-0.5</v>
      </c>
      <c r="I9" s="5">
        <v>-0.3</v>
      </c>
      <c r="J9" s="5">
        <v>-0.2</v>
      </c>
      <c r="K9" s="5">
        <v>-0.2</v>
      </c>
      <c r="L9" s="5">
        <v>-0.7</v>
      </c>
      <c r="M9" s="5">
        <v>-2.1</v>
      </c>
      <c r="N9" s="5">
        <v>-1.1000000000000001</v>
      </c>
    </row>
    <row r="10" spans="2:25" x14ac:dyDescent="0.3">
      <c r="B10" s="1" t="s">
        <v>20</v>
      </c>
      <c r="C10" s="5">
        <v>0.1</v>
      </c>
      <c r="D10" s="5">
        <v>0</v>
      </c>
      <c r="E10" s="5">
        <v>0</v>
      </c>
      <c r="F10" s="5">
        <v>0</v>
      </c>
      <c r="G10" s="5">
        <v>0.1</v>
      </c>
      <c r="H10" s="5">
        <v>4.4000000000000004</v>
      </c>
      <c r="I10" s="5">
        <v>5.7</v>
      </c>
      <c r="J10" s="5">
        <v>3.1</v>
      </c>
      <c r="K10" s="5">
        <v>1.7</v>
      </c>
      <c r="L10" s="5">
        <v>16.8</v>
      </c>
      <c r="M10" s="5">
        <v>36.299999999999997</v>
      </c>
      <c r="N10" s="5">
        <v>37.4</v>
      </c>
    </row>
    <row r="11" spans="2:25" x14ac:dyDescent="0.3">
      <c r="B11" s="1" t="s">
        <v>30</v>
      </c>
      <c r="C11" s="5">
        <v>2.2999999999999998</v>
      </c>
      <c r="D11" s="5">
        <v>0</v>
      </c>
      <c r="E11" s="5">
        <v>0</v>
      </c>
      <c r="F11" s="5">
        <v>0</v>
      </c>
      <c r="G11" s="5">
        <v>0</v>
      </c>
      <c r="H11" s="5">
        <v>-4</v>
      </c>
      <c r="I11" s="5">
        <v>0</v>
      </c>
      <c r="J11" s="5">
        <v>-0.8</v>
      </c>
      <c r="K11" s="5"/>
      <c r="L11" s="5"/>
      <c r="M11" s="5"/>
      <c r="N11" s="5"/>
    </row>
    <row r="12" spans="2:25" s="2" customFormat="1" x14ac:dyDescent="0.3">
      <c r="B12" s="2" t="s">
        <v>21</v>
      </c>
      <c r="C12" s="6">
        <f t="shared" ref="C12:I12" si="0">C8-C9-C10-C11</f>
        <v>-4.8999999999999666</v>
      </c>
      <c r="D12" s="6">
        <f t="shared" si="0"/>
        <v>28.899999999999988</v>
      </c>
      <c r="E12" s="6">
        <f t="shared" si="0"/>
        <v>69.800000000000026</v>
      </c>
      <c r="F12" s="6">
        <f t="shared" si="0"/>
        <v>79.5</v>
      </c>
      <c r="G12" s="6">
        <f t="shared" si="0"/>
        <v>88.600000000000009</v>
      </c>
      <c r="H12" s="6">
        <f t="shared" si="0"/>
        <v>89.199999999999974</v>
      </c>
      <c r="I12" s="6">
        <f t="shared" si="0"/>
        <v>53.399999999999949</v>
      </c>
      <c r="J12" s="6">
        <f>J8-J9-J10-J11</f>
        <v>75.399999999999935</v>
      </c>
      <c r="K12" s="6">
        <f>K8-K9-K10</f>
        <v>13.599999999999955</v>
      </c>
      <c r="L12" s="6">
        <f>L8-L9-L10</f>
        <v>13.499999999999979</v>
      </c>
      <c r="M12" s="6">
        <f>M8-M9-M10</f>
        <v>-9.2999999999999829</v>
      </c>
      <c r="N12" s="6">
        <f>N8-N9-N10</f>
        <v>-10.399999999999984</v>
      </c>
    </row>
    <row r="13" spans="2:25" x14ac:dyDescent="0.3">
      <c r="B13" s="1" t="s">
        <v>22</v>
      </c>
      <c r="C13" s="5">
        <v>-5.7</v>
      </c>
      <c r="D13" s="5">
        <v>8.6999999999999993</v>
      </c>
      <c r="E13" s="5">
        <v>13.3</v>
      </c>
      <c r="F13" s="5">
        <v>13.7</v>
      </c>
      <c r="G13" s="5">
        <v>5.9</v>
      </c>
      <c r="H13" s="5">
        <v>13.4</v>
      </c>
      <c r="I13" s="5">
        <v>7.3</v>
      </c>
      <c r="J13" s="5">
        <v>8.4</v>
      </c>
      <c r="K13" s="5">
        <v>3.1</v>
      </c>
      <c r="L13" s="5">
        <v>0.8</v>
      </c>
      <c r="M13" s="5">
        <v>-3</v>
      </c>
      <c r="N13" s="5">
        <v>-0.3</v>
      </c>
    </row>
    <row r="14" spans="2:25" s="2" customFormat="1" x14ac:dyDescent="0.3">
      <c r="B14" s="2" t="s">
        <v>23</v>
      </c>
      <c r="C14" s="6">
        <f>C12-C13</f>
        <v>0.80000000000003357</v>
      </c>
      <c r="D14" s="6">
        <f>D12-D13</f>
        <v>20.199999999999989</v>
      </c>
      <c r="E14" s="6">
        <f>E12-E13</f>
        <v>56.500000000000028</v>
      </c>
      <c r="F14" s="6">
        <f>F12-F13</f>
        <v>65.8</v>
      </c>
      <c r="G14" s="6">
        <f>G12-G13</f>
        <v>82.7</v>
      </c>
      <c r="H14" s="6">
        <f>H12-H13</f>
        <v>75.799999999999969</v>
      </c>
      <c r="I14" s="6">
        <f>I12-I13</f>
        <v>46.099999999999952</v>
      </c>
      <c r="J14" s="6">
        <f>J12-J13</f>
        <v>66.999999999999929</v>
      </c>
      <c r="K14" s="6">
        <f>K12-K13</f>
        <v>10.499999999999956</v>
      </c>
      <c r="L14" s="6">
        <f>L12-L13</f>
        <v>12.699999999999978</v>
      </c>
      <c r="M14" s="6">
        <f>M12-M13</f>
        <v>-6.2999999999999829</v>
      </c>
      <c r="N14" s="6">
        <f>N12-N13</f>
        <v>-10.099999999999984</v>
      </c>
    </row>
    <row r="16" spans="2:25" x14ac:dyDescent="0.3">
      <c r="B16" s="1" t="s">
        <v>25</v>
      </c>
      <c r="C16" s="7"/>
      <c r="D16" s="7">
        <f t="shared" ref="C16:L16" si="1">D3/C3-1</f>
        <v>-8.0583269378357691E-2</v>
      </c>
      <c r="E16" s="7">
        <f t="shared" si="1"/>
        <v>0.8363939899833055</v>
      </c>
      <c r="F16" s="7">
        <f t="shared" si="1"/>
        <v>0.28499999999999992</v>
      </c>
      <c r="G16" s="7">
        <f t="shared" si="1"/>
        <v>0.20304209409267782</v>
      </c>
      <c r="H16" s="7">
        <f t="shared" si="1"/>
        <v>8.1446633343134289E-2</v>
      </c>
      <c r="I16" s="7">
        <f t="shared" si="1"/>
        <v>-2.0527460576400203E-2</v>
      </c>
      <c r="J16" s="7">
        <f t="shared" si="1"/>
        <v>1.984732824427482E-2</v>
      </c>
      <c r="K16" s="7">
        <f t="shared" si="1"/>
        <v>-0.17746325530756668</v>
      </c>
      <c r="L16" s="7">
        <f>L3/K3-1</f>
        <v>-0.18117140966247514</v>
      </c>
      <c r="M16" s="7">
        <f>M3/L3-1</f>
        <v>-0.26530612244897955</v>
      </c>
      <c r="N16" s="7">
        <f>N3/M3-1</f>
        <v>-4.2354235423542441E-2</v>
      </c>
    </row>
    <row r="17" spans="2:14" x14ac:dyDescent="0.3">
      <c r="B17" s="1" t="s">
        <v>24</v>
      </c>
      <c r="C17" s="7">
        <f t="shared" ref="C17:L17" si="2">C5/C3</f>
        <v>0.13584036838066013</v>
      </c>
      <c r="D17" s="7">
        <f t="shared" si="2"/>
        <v>0.18864774624373953</v>
      </c>
      <c r="E17" s="7">
        <f t="shared" si="2"/>
        <v>0.21500000000000005</v>
      </c>
      <c r="F17" s="7">
        <f t="shared" si="2"/>
        <v>0.20870180403254335</v>
      </c>
      <c r="G17" s="7">
        <f t="shared" si="2"/>
        <v>0.16245221993531314</v>
      </c>
      <c r="H17" s="7">
        <f t="shared" si="2"/>
        <v>0.17319195214790645</v>
      </c>
      <c r="I17" s="7">
        <f t="shared" si="2"/>
        <v>0.14823039555863976</v>
      </c>
      <c r="J17" s="7">
        <f t="shared" si="2"/>
        <v>0.14793140990745773</v>
      </c>
      <c r="K17" s="7">
        <f t="shared" si="2"/>
        <v>7.7432164129715347E-2</v>
      </c>
      <c r="L17" s="7">
        <f>L5/L3</f>
        <v>0.1331582137805617</v>
      </c>
      <c r="M17" s="7">
        <f>M5/M3</f>
        <v>0.14658965896589662</v>
      </c>
      <c r="N17" s="7">
        <f>N5/N3</f>
        <v>0.15450890292935099</v>
      </c>
    </row>
    <row r="18" spans="2:14" x14ac:dyDescent="0.3">
      <c r="B18" s="1" t="s">
        <v>27</v>
      </c>
      <c r="C18" s="7"/>
      <c r="D18" s="7">
        <f t="shared" ref="C18:L18" si="3">D6/C6-1</f>
        <v>-0.36996336996336998</v>
      </c>
      <c r="E18" s="7">
        <f t="shared" si="3"/>
        <v>0.5</v>
      </c>
      <c r="F18" s="7">
        <f t="shared" si="3"/>
        <v>0.51162790697674421</v>
      </c>
      <c r="G18" s="7">
        <f t="shared" si="3"/>
        <v>-0.4358974358974359</v>
      </c>
      <c r="H18" s="7">
        <f t="shared" si="3"/>
        <v>0.74090909090909074</v>
      </c>
      <c r="I18" s="7">
        <f t="shared" si="3"/>
        <v>0.25326370757180161</v>
      </c>
      <c r="J18" s="7">
        <f t="shared" si="3"/>
        <v>-0.35</v>
      </c>
      <c r="K18" s="7">
        <f t="shared" si="3"/>
        <v>1.6025641025640969E-2</v>
      </c>
      <c r="L18" s="7">
        <f>L6/K6-1</f>
        <v>0.14511041009463721</v>
      </c>
      <c r="M18" s="7">
        <f>M6/L6-1</f>
        <v>-0.21763085399449034</v>
      </c>
      <c r="N18" s="7">
        <f>N6/M6-1</f>
        <v>-1.7605633802816878E-2</v>
      </c>
    </row>
    <row r="19" spans="2:14" x14ac:dyDescent="0.3">
      <c r="B19" s="1" t="s">
        <v>26</v>
      </c>
      <c r="C19" s="7">
        <f t="shared" ref="C19:L19" si="4">C6/C3</f>
        <v>0.10475825019186492</v>
      </c>
      <c r="D19" s="7">
        <f t="shared" si="4"/>
        <v>7.178631051752922E-2</v>
      </c>
      <c r="E19" s="7">
        <f t="shared" si="4"/>
        <v>5.8636363636363639E-2</v>
      </c>
      <c r="F19" s="7">
        <f t="shared" si="4"/>
        <v>6.8977714892111783E-2</v>
      </c>
      <c r="G19" s="7">
        <f t="shared" si="4"/>
        <v>3.2343428403410757E-2</v>
      </c>
      <c r="H19" s="7">
        <f t="shared" si="4"/>
        <v>5.2066340402392601E-2</v>
      </c>
      <c r="I19" s="7">
        <f t="shared" si="4"/>
        <v>6.6620402498265091E-2</v>
      </c>
      <c r="J19" s="7">
        <f t="shared" si="4"/>
        <v>4.2460533478497549E-2</v>
      </c>
      <c r="K19" s="7">
        <f t="shared" si="4"/>
        <v>5.2448709463931174E-2</v>
      </c>
      <c r="L19" s="7">
        <f>L6/L3</f>
        <v>7.334815114164478E-2</v>
      </c>
      <c r="M19" s="7">
        <f>M6/M3</f>
        <v>7.8107810781078105E-2</v>
      </c>
      <c r="N19" s="7">
        <f>N6/N3</f>
        <v>8.0126364158529584E-2</v>
      </c>
    </row>
    <row r="20" spans="2:14" x14ac:dyDescent="0.3">
      <c r="B20" s="1" t="s">
        <v>28</v>
      </c>
      <c r="C20" s="7">
        <f t="shared" ref="C20:L20" si="5">C8/C3</f>
        <v>-1.036070606293157E-2</v>
      </c>
      <c r="D20" s="7">
        <f t="shared" si="5"/>
        <v>0.11686143572621031</v>
      </c>
      <c r="E20" s="7">
        <f t="shared" si="5"/>
        <v>0.15636363636363643</v>
      </c>
      <c r="F20" s="7">
        <f t="shared" si="5"/>
        <v>0.13972408914043155</v>
      </c>
      <c r="G20" s="7">
        <f t="shared" si="5"/>
        <v>0.13010879153190238</v>
      </c>
      <c r="H20" s="7">
        <f t="shared" si="5"/>
        <v>0.12112561174551384</v>
      </c>
      <c r="I20" s="7">
        <f t="shared" si="5"/>
        <v>8.1609993060374683E-2</v>
      </c>
      <c r="J20" s="7">
        <f t="shared" si="5"/>
        <v>0.10547087642896018</v>
      </c>
      <c r="K20" s="7">
        <f t="shared" si="5"/>
        <v>2.4983454665784176E-2</v>
      </c>
      <c r="L20" s="7">
        <f>L8/L3</f>
        <v>5.9810062638916917E-2</v>
      </c>
      <c r="M20" s="7">
        <f>M8/M3</f>
        <v>6.848184818481852E-2</v>
      </c>
      <c r="N20" s="7">
        <f>N8/N3</f>
        <v>7.4382538770821405E-2</v>
      </c>
    </row>
    <row r="21" spans="2:14" x14ac:dyDescent="0.3">
      <c r="B21" s="1" t="s">
        <v>22</v>
      </c>
      <c r="C21" s="7">
        <f t="shared" ref="C21:L21" si="6">C13/C12</f>
        <v>1.1632653061224569</v>
      </c>
      <c r="D21" s="7">
        <f t="shared" si="6"/>
        <v>0.30103806228373714</v>
      </c>
      <c r="E21" s="7">
        <f t="shared" si="6"/>
        <v>0.19054441260744981</v>
      </c>
      <c r="F21" s="7">
        <f t="shared" si="6"/>
        <v>0.17232704402515722</v>
      </c>
      <c r="G21" s="7">
        <f t="shared" si="6"/>
        <v>6.6591422121896157E-2</v>
      </c>
      <c r="H21" s="7">
        <f t="shared" si="6"/>
        <v>0.15022421524663682</v>
      </c>
      <c r="I21" s="7">
        <f t="shared" si="6"/>
        <v>0.13670411985018741</v>
      </c>
      <c r="J21" s="7">
        <f t="shared" si="6"/>
        <v>0.11140583554376668</v>
      </c>
      <c r="K21" s="7">
        <f t="shared" si="6"/>
        <v>0.22794117647058898</v>
      </c>
      <c r="L21" s="7">
        <f>L13/L12</f>
        <v>5.9259259259259359E-2</v>
      </c>
      <c r="M21" s="7">
        <f>M13/M12</f>
        <v>0.32258064516129092</v>
      </c>
      <c r="N21" s="7">
        <f>N13/N12</f>
        <v>2.8846153846153889E-2</v>
      </c>
    </row>
    <row r="22" spans="2:14" x14ac:dyDescent="0.3">
      <c r="B22" s="1" t="s">
        <v>29</v>
      </c>
      <c r="C22" s="7">
        <f t="shared" ref="C22:L22" si="7">C14/C3</f>
        <v>3.069838833461372E-3</v>
      </c>
      <c r="D22" s="7">
        <f t="shared" si="7"/>
        <v>8.4307178631051707E-2</v>
      </c>
      <c r="E22" s="7">
        <f t="shared" si="7"/>
        <v>0.12840909090909097</v>
      </c>
      <c r="F22" s="7">
        <f t="shared" si="7"/>
        <v>0.11637778563848603</v>
      </c>
      <c r="G22" s="7">
        <f t="shared" si="7"/>
        <v>0.12158188768009409</v>
      </c>
      <c r="H22" s="7">
        <f t="shared" si="7"/>
        <v>0.10304513322457853</v>
      </c>
      <c r="I22" s="7">
        <f t="shared" si="7"/>
        <v>6.3983344899375363E-2</v>
      </c>
      <c r="J22" s="7">
        <f t="shared" si="7"/>
        <v>9.1181273816004257E-2</v>
      </c>
      <c r="K22" s="7">
        <f t="shared" si="7"/>
        <v>1.7372600926538643E-2</v>
      </c>
      <c r="L22" s="7">
        <f>L14/L3</f>
        <v>2.566174984845419E-2</v>
      </c>
      <c r="M22" s="7">
        <f>M14/M3</f>
        <v>-1.732673267326728E-2</v>
      </c>
      <c r="N22" s="7">
        <f>N14/N3</f>
        <v>-2.9006318207926433E-2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2026-02-13T18:19:55Z</dcterms:created>
  <dcterms:modified xsi:type="dcterms:W3CDTF">2026-02-13T20:38:26Z</dcterms:modified>
</cp:coreProperties>
</file>