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9C7F8ED6-7A3D-4550-BA03-21E6B26466C0}" xr6:coauthVersionLast="47" xr6:coauthVersionMax="47" xr10:uidLastSave="{00000000-0000-0000-0000-000000000000}"/>
  <bookViews>
    <workbookView xWindow="-108" yWindow="-108" windowWidth="23256" windowHeight="12576" xr2:uid="{D4154116-B837-4443-B5D0-8DB112D6F8D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30" i="2" l="1"/>
  <c r="AY56" i="2"/>
  <c r="AR36" i="2"/>
  <c r="AS36" i="2" s="1"/>
  <c r="AT36" i="2" s="1"/>
  <c r="AU36" i="2" s="1"/>
  <c r="AV36" i="2" s="1"/>
  <c r="AQ36" i="2"/>
  <c r="AO36" i="2"/>
  <c r="AP36" i="2" s="1"/>
  <c r="AN36" i="2"/>
  <c r="AM36" i="2"/>
  <c r="AN38" i="2"/>
  <c r="AO38" i="2" s="1"/>
  <c r="AP38" i="2" s="1"/>
  <c r="AQ38" i="2" s="1"/>
  <c r="AR38" i="2" s="1"/>
  <c r="AS38" i="2" s="1"/>
  <c r="AT38" i="2" s="1"/>
  <c r="AU38" i="2" s="1"/>
  <c r="AV38" i="2" s="1"/>
  <c r="AM38" i="2"/>
  <c r="AP49" i="2"/>
  <c r="AQ49" i="2" s="1"/>
  <c r="AR49" i="2" s="1"/>
  <c r="AS49" i="2" s="1"/>
  <c r="AT49" i="2" s="1"/>
  <c r="AU49" i="2" s="1"/>
  <c r="AV49" i="2" s="1"/>
  <c r="AO49" i="2"/>
  <c r="AN49" i="2"/>
  <c r="AL49" i="2"/>
  <c r="AM49" i="2" s="1"/>
  <c r="AL47" i="2"/>
  <c r="AL46" i="2"/>
  <c r="AL45" i="2"/>
  <c r="AL44" i="2"/>
  <c r="AL43" i="2"/>
  <c r="AL42" i="2"/>
  <c r="AL41" i="2"/>
  <c r="AL40" i="2"/>
  <c r="AL39" i="2"/>
  <c r="AL38" i="2"/>
  <c r="AL37" i="2"/>
  <c r="AL36" i="2"/>
  <c r="AB35" i="2"/>
  <c r="AB34" i="2"/>
  <c r="AB48" i="2" s="1"/>
  <c r="AB50" i="2" s="1"/>
  <c r="U48" i="2"/>
  <c r="U50" i="2" s="1"/>
  <c r="U34" i="2"/>
  <c r="Y48" i="2"/>
  <c r="Y50" i="2" s="1"/>
  <c r="Y34" i="2"/>
  <c r="T34" i="2"/>
  <c r="T48" i="2" s="1"/>
  <c r="T50" i="2" s="1"/>
  <c r="X48" i="2"/>
  <c r="X50" i="2" s="1"/>
  <c r="X34" i="2"/>
  <c r="AL15" i="2"/>
  <c r="AB8" i="2"/>
  <c r="AM7" i="2"/>
  <c r="AB7" i="2"/>
  <c r="X21" i="2"/>
  <c r="X20" i="2"/>
  <c r="Y21" i="2"/>
  <c r="Y20" i="2"/>
  <c r="AB5" i="2"/>
  <c r="Z21" i="2"/>
  <c r="Z20" i="2"/>
  <c r="AA21" i="2"/>
  <c r="AA20" i="2"/>
  <c r="AA12" i="2"/>
  <c r="AA7" i="2"/>
  <c r="D7" i="1"/>
  <c r="D6" i="1"/>
  <c r="AV17" i="2"/>
  <c r="AU17" i="2"/>
  <c r="AT17" i="2"/>
  <c r="AS17" i="2"/>
  <c r="AR17" i="2"/>
  <c r="AQ17" i="2"/>
  <c r="AP17" i="2"/>
  <c r="AO17" i="2"/>
  <c r="AN17" i="2"/>
  <c r="AM17" i="2"/>
  <c r="AL17" i="2"/>
  <c r="AB17" i="2"/>
  <c r="AA17" i="2"/>
  <c r="D4" i="1"/>
  <c r="Z12" i="2"/>
  <c r="Z7" i="2"/>
  <c r="Z17" i="2"/>
  <c r="Y17" i="2"/>
  <c r="Y12" i="2"/>
  <c r="Y7" i="2"/>
  <c r="AL50" i="2" l="1"/>
  <c r="AM37" i="2"/>
  <c r="AN37" i="2" s="1"/>
  <c r="AO37" i="2" s="1"/>
  <c r="AP37" i="2" s="1"/>
  <c r="AQ37" i="2" s="1"/>
  <c r="AR37" i="2" s="1"/>
  <c r="AS37" i="2" s="1"/>
  <c r="AT37" i="2" s="1"/>
  <c r="AU37" i="2" s="1"/>
  <c r="AV37" i="2" s="1"/>
  <c r="AG40" i="2"/>
  <c r="AH40" i="2"/>
  <c r="AA10" i="2" l="1"/>
  <c r="AA13" i="2" s="1"/>
  <c r="AK17" i="2"/>
  <c r="X17" i="2"/>
  <c r="Z26" i="2"/>
  <c r="Y26" i="2"/>
  <c r="AB25" i="2"/>
  <c r="Z25" i="2"/>
  <c r="Y25" i="2"/>
  <c r="AA22" i="2"/>
  <c r="Z22" i="2"/>
  <c r="Y22" i="2"/>
  <c r="AL12" i="2"/>
  <c r="AB11" i="2"/>
  <c r="AL11" i="2" s="1"/>
  <c r="AM11" i="2" s="1"/>
  <c r="AN11" i="2" s="1"/>
  <c r="AO11" i="2" s="1"/>
  <c r="AP11" i="2" s="1"/>
  <c r="AQ11" i="2" s="1"/>
  <c r="AR11" i="2" s="1"/>
  <c r="AS11" i="2" s="1"/>
  <c r="AT11" i="2" s="1"/>
  <c r="AU11" i="2" s="1"/>
  <c r="AV11" i="2" s="1"/>
  <c r="Y10" i="2"/>
  <c r="Y13" i="2" s="1"/>
  <c r="AB9" i="2"/>
  <c r="AB26" i="2" s="1"/>
  <c r="AL8" i="2"/>
  <c r="AM8" i="2" s="1"/>
  <c r="AN8" i="2" s="1"/>
  <c r="Z10" i="2"/>
  <c r="AB22" i="2"/>
  <c r="X7" i="2"/>
  <c r="X25" i="2"/>
  <c r="AK6" i="2"/>
  <c r="AK11" i="2"/>
  <c r="AK9" i="2"/>
  <c r="AJ14" i="2"/>
  <c r="AJ11" i="2"/>
  <c r="AJ9" i="2"/>
  <c r="AJ8" i="2"/>
  <c r="AJ6" i="2"/>
  <c r="AJ5" i="2"/>
  <c r="AI14" i="2"/>
  <c r="AI11" i="2"/>
  <c r="AI9" i="2"/>
  <c r="AI8" i="2"/>
  <c r="AI6" i="2"/>
  <c r="AI5" i="2"/>
  <c r="X26" i="2"/>
  <c r="W26" i="2"/>
  <c r="V26" i="2"/>
  <c r="U26" i="2"/>
  <c r="T26" i="2"/>
  <c r="S26" i="2"/>
  <c r="R26" i="2"/>
  <c r="Q26" i="2"/>
  <c r="P26" i="2"/>
  <c r="O26" i="2"/>
  <c r="N26" i="2"/>
  <c r="M26" i="2"/>
  <c r="W25" i="2"/>
  <c r="V25" i="2"/>
  <c r="U25" i="2"/>
  <c r="T25" i="2"/>
  <c r="S25" i="2"/>
  <c r="R25" i="2"/>
  <c r="Q25" i="2"/>
  <c r="P25" i="2"/>
  <c r="O25" i="2"/>
  <c r="N25" i="2"/>
  <c r="M25" i="2"/>
  <c r="X22" i="2"/>
  <c r="W22" i="2"/>
  <c r="V22" i="2"/>
  <c r="U22" i="2"/>
  <c r="T22" i="2"/>
  <c r="S22" i="2"/>
  <c r="R22" i="2"/>
  <c r="Q22" i="2"/>
  <c r="P22" i="2"/>
  <c r="O22" i="2"/>
  <c r="N22" i="2"/>
  <c r="M22" i="2"/>
  <c r="L7" i="2"/>
  <c r="L10" i="2" s="1"/>
  <c r="L13" i="2" s="1"/>
  <c r="L16" i="2" s="1"/>
  <c r="L18" i="2" s="1"/>
  <c r="M15" i="2"/>
  <c r="M7" i="2"/>
  <c r="M10" i="2" s="1"/>
  <c r="M13" i="2" s="1"/>
  <c r="M27" i="2" s="1"/>
  <c r="J7" i="2"/>
  <c r="J10" i="2" s="1"/>
  <c r="J13" i="2" s="1"/>
  <c r="J16" i="2" s="1"/>
  <c r="J18" i="2" s="1"/>
  <c r="N15" i="2"/>
  <c r="N7" i="2"/>
  <c r="N10" i="2" s="1"/>
  <c r="N13" i="2" s="1"/>
  <c r="N27" i="2" s="1"/>
  <c r="K7" i="2"/>
  <c r="K10" i="2" s="1"/>
  <c r="K13" i="2" s="1"/>
  <c r="K16" i="2" s="1"/>
  <c r="K18" i="2" s="1"/>
  <c r="O15" i="2"/>
  <c r="O7" i="2"/>
  <c r="O10" i="2" s="1"/>
  <c r="O13" i="2" s="1"/>
  <c r="P15" i="2"/>
  <c r="P12" i="2"/>
  <c r="AI12" i="2" s="1"/>
  <c r="P7" i="2"/>
  <c r="P10" i="2" s="1"/>
  <c r="P24" i="2" s="1"/>
  <c r="T15" i="2"/>
  <c r="T12" i="2"/>
  <c r="T7" i="2"/>
  <c r="T10" i="2" s="1"/>
  <c r="T24" i="2" s="1"/>
  <c r="Q15" i="2"/>
  <c r="Q12" i="2"/>
  <c r="Q7" i="2"/>
  <c r="Q10" i="2" s="1"/>
  <c r="U15" i="2"/>
  <c r="U12" i="2"/>
  <c r="U7" i="2"/>
  <c r="U10" i="2" s="1"/>
  <c r="U24" i="2" s="1"/>
  <c r="R15" i="2"/>
  <c r="R12" i="2"/>
  <c r="V15" i="2"/>
  <c r="V12" i="2"/>
  <c r="V7" i="2"/>
  <c r="V10" i="2" s="1"/>
  <c r="V24" i="2" s="1"/>
  <c r="R7" i="2"/>
  <c r="R10" i="2" s="1"/>
  <c r="R24" i="2" s="1"/>
  <c r="S12" i="2"/>
  <c r="S7" i="2"/>
  <c r="S10" i="2" s="1"/>
  <c r="S24" i="2" s="1"/>
  <c r="W15" i="2"/>
  <c r="W12" i="2"/>
  <c r="W7" i="2"/>
  <c r="W10" i="2" s="1"/>
  <c r="W24" i="2" s="1"/>
  <c r="AJ7" i="2" l="1"/>
  <c r="O23" i="2"/>
  <c r="AL5" i="2"/>
  <c r="AM5" i="2" s="1"/>
  <c r="AN5" i="2" s="1"/>
  <c r="AN7" i="2" s="1"/>
  <c r="AB10" i="2"/>
  <c r="AB24" i="2" s="1"/>
  <c r="AL9" i="2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A23" i="2"/>
  <c r="AK15" i="2"/>
  <c r="AA26" i="2"/>
  <c r="AK12" i="2"/>
  <c r="AA25" i="2"/>
  <c r="Z13" i="2"/>
  <c r="Z24" i="2"/>
  <c r="Z23" i="2"/>
  <c r="Y27" i="2"/>
  <c r="Y24" i="2"/>
  <c r="Y23" i="2"/>
  <c r="AA24" i="2"/>
  <c r="AA16" i="2"/>
  <c r="AA34" i="2" s="1"/>
  <c r="AA48" i="2" s="1"/>
  <c r="AA50" i="2" s="1"/>
  <c r="Q13" i="2"/>
  <c r="Q27" i="2" s="1"/>
  <c r="AI15" i="2"/>
  <c r="AJ15" i="2"/>
  <c r="N23" i="2"/>
  <c r="R23" i="2"/>
  <c r="Q23" i="2"/>
  <c r="N24" i="2"/>
  <c r="O24" i="2"/>
  <c r="AJ12" i="2"/>
  <c r="AI7" i="2"/>
  <c r="V23" i="2"/>
  <c r="O16" i="2"/>
  <c r="P23" i="2"/>
  <c r="M24" i="2"/>
  <c r="S23" i="2"/>
  <c r="T23" i="2"/>
  <c r="Q24" i="2"/>
  <c r="M23" i="2"/>
  <c r="U23" i="2"/>
  <c r="O27" i="2"/>
  <c r="X10" i="2"/>
  <c r="W23" i="2"/>
  <c r="AK8" i="2"/>
  <c r="AO8" i="2" s="1"/>
  <c r="AP8" i="2" s="1"/>
  <c r="AQ8" i="2" s="1"/>
  <c r="AR8" i="2" s="1"/>
  <c r="AS8" i="2" s="1"/>
  <c r="AT8" i="2" s="1"/>
  <c r="AU8" i="2" s="1"/>
  <c r="AV8" i="2" s="1"/>
  <c r="X23" i="2"/>
  <c r="AK5" i="2"/>
  <c r="AK7" i="2" s="1"/>
  <c r="M16" i="2"/>
  <c r="N16" i="2"/>
  <c r="P13" i="2"/>
  <c r="T13" i="2"/>
  <c r="U13" i="2"/>
  <c r="V13" i="2"/>
  <c r="R13" i="2"/>
  <c r="S13" i="2"/>
  <c r="W13" i="2"/>
  <c r="W27" i="2" s="1"/>
  <c r="L25" i="2"/>
  <c r="K25" i="2"/>
  <c r="L22" i="2"/>
  <c r="I26" i="2"/>
  <c r="I25" i="2"/>
  <c r="I22" i="2"/>
  <c r="E7" i="2"/>
  <c r="E10" i="2" s="1"/>
  <c r="E13" i="2" s="1"/>
  <c r="E16" i="2" s="1"/>
  <c r="E18" i="2" s="1"/>
  <c r="I7" i="2"/>
  <c r="AY30" i="2"/>
  <c r="AH12" i="2"/>
  <c r="AH11" i="2"/>
  <c r="K22" i="2"/>
  <c r="L26" i="2"/>
  <c r="K26" i="2"/>
  <c r="AG26" i="2"/>
  <c r="AF26" i="2"/>
  <c r="AG25" i="2"/>
  <c r="AF25" i="2"/>
  <c r="AG22" i="2"/>
  <c r="AF22" i="2"/>
  <c r="G26" i="2"/>
  <c r="G25" i="2"/>
  <c r="G22" i="2"/>
  <c r="H26" i="2"/>
  <c r="H25" i="2"/>
  <c r="H22" i="2"/>
  <c r="AG7" i="2"/>
  <c r="AG10" i="2" s="1"/>
  <c r="AG13" i="2" s="1"/>
  <c r="AG16" i="2" s="1"/>
  <c r="AF7" i="2"/>
  <c r="AF10" i="2" s="1"/>
  <c r="AF13" i="2" s="1"/>
  <c r="AF16" i="2" s="1"/>
  <c r="AF18" i="2" s="1"/>
  <c r="AE7" i="2"/>
  <c r="AE10" i="2" s="1"/>
  <c r="AE13" i="2" s="1"/>
  <c r="AE16" i="2" s="1"/>
  <c r="AE18" i="2" s="1"/>
  <c r="C7" i="2"/>
  <c r="C10" i="2" s="1"/>
  <c r="C13" i="2" s="1"/>
  <c r="C16" i="2" s="1"/>
  <c r="C18" i="2" s="1"/>
  <c r="G7" i="2"/>
  <c r="G10" i="2" s="1"/>
  <c r="G13" i="2" s="1"/>
  <c r="G16" i="2" s="1"/>
  <c r="G18" i="2" s="1"/>
  <c r="D7" i="2"/>
  <c r="D10" i="2" s="1"/>
  <c r="D13" i="2" s="1"/>
  <c r="D16" i="2" s="1"/>
  <c r="D18" i="2" s="1"/>
  <c r="H7" i="2"/>
  <c r="H10" i="2" s="1"/>
  <c r="D8" i="1"/>
  <c r="D5" i="1"/>
  <c r="F3" i="1"/>
  <c r="AB13" i="2" l="1"/>
  <c r="AB14" i="2" s="1"/>
  <c r="AB27" i="2" s="1"/>
  <c r="AB23" i="2"/>
  <c r="Q16" i="2"/>
  <c r="Q28" i="2" s="1"/>
  <c r="AB6" i="2"/>
  <c r="AL6" i="2" s="1"/>
  <c r="AL7" i="2" s="1"/>
  <c r="AG18" i="2"/>
  <c r="AG34" i="2"/>
  <c r="AG48" i="2" s="1"/>
  <c r="AG50" i="2" s="1"/>
  <c r="Z27" i="2"/>
  <c r="AO5" i="2"/>
  <c r="AP5" i="2" s="1"/>
  <c r="AQ5" i="2" s="1"/>
  <c r="AR5" i="2" s="1"/>
  <c r="AS5" i="2" s="1"/>
  <c r="AT5" i="2" s="1"/>
  <c r="AU5" i="2" s="1"/>
  <c r="AV5" i="2" s="1"/>
  <c r="Y16" i="2"/>
  <c r="AY27" i="2"/>
  <c r="AY53" i="2"/>
  <c r="AA18" i="2"/>
  <c r="AA28" i="2"/>
  <c r="AA27" i="2"/>
  <c r="P16" i="2"/>
  <c r="P27" i="2"/>
  <c r="U16" i="2"/>
  <c r="U27" i="2"/>
  <c r="T27" i="2"/>
  <c r="T16" i="2"/>
  <c r="T28" i="2" s="1"/>
  <c r="N18" i="2"/>
  <c r="N28" i="2"/>
  <c r="X24" i="2"/>
  <c r="X13" i="2"/>
  <c r="S16" i="2"/>
  <c r="S27" i="2"/>
  <c r="M18" i="2"/>
  <c r="M28" i="2"/>
  <c r="R16" i="2"/>
  <c r="R27" i="2"/>
  <c r="O18" i="2"/>
  <c r="O28" i="2"/>
  <c r="V16" i="2"/>
  <c r="V34" i="2" s="1"/>
  <c r="V48" i="2" s="1"/>
  <c r="V50" i="2" s="1"/>
  <c r="V27" i="2"/>
  <c r="W16" i="2"/>
  <c r="W34" i="2" s="1"/>
  <c r="W48" i="2" s="1"/>
  <c r="W50" i="2" s="1"/>
  <c r="D24" i="2"/>
  <c r="D23" i="2"/>
  <c r="AH9" i="2"/>
  <c r="E23" i="2"/>
  <c r="AG23" i="2"/>
  <c r="AH6" i="2"/>
  <c r="E24" i="2"/>
  <c r="G28" i="2"/>
  <c r="H23" i="2"/>
  <c r="AG27" i="2"/>
  <c r="AE28" i="2"/>
  <c r="E27" i="2"/>
  <c r="AF28" i="2"/>
  <c r="AG24" i="2"/>
  <c r="C28" i="2"/>
  <c r="AG28" i="2"/>
  <c r="D28" i="2"/>
  <c r="E28" i="2"/>
  <c r="AH8" i="2"/>
  <c r="AH5" i="2"/>
  <c r="J23" i="2"/>
  <c r="H24" i="2"/>
  <c r="H13" i="2"/>
  <c r="C27" i="2"/>
  <c r="G27" i="2"/>
  <c r="AF23" i="2"/>
  <c r="G23" i="2"/>
  <c r="C23" i="2"/>
  <c r="K23" i="2"/>
  <c r="D27" i="2"/>
  <c r="G24" i="2"/>
  <c r="C24" i="2"/>
  <c r="AE23" i="2"/>
  <c r="I23" i="2"/>
  <c r="I10" i="2"/>
  <c r="D9" i="1"/>
  <c r="AE24" i="2"/>
  <c r="AE27" i="2"/>
  <c r="AF27" i="2"/>
  <c r="AF24" i="2"/>
  <c r="AA31" i="2" l="1"/>
  <c r="AA32" i="2"/>
  <c r="Q18" i="2"/>
  <c r="AL14" i="2"/>
  <c r="Z16" i="2"/>
  <c r="Z34" i="2" s="1"/>
  <c r="AB16" i="2"/>
  <c r="Y28" i="2"/>
  <c r="Y18" i="2"/>
  <c r="W18" i="2"/>
  <c r="W28" i="2"/>
  <c r="V18" i="2"/>
  <c r="V28" i="2"/>
  <c r="S18" i="2"/>
  <c r="S28" i="2"/>
  <c r="T18" i="2"/>
  <c r="U18" i="2"/>
  <c r="U28" i="2"/>
  <c r="R18" i="2"/>
  <c r="R28" i="2"/>
  <c r="P18" i="2"/>
  <c r="P28" i="2"/>
  <c r="AH7" i="2"/>
  <c r="AH23" i="2" s="1"/>
  <c r="L24" i="2"/>
  <c r="L23" i="2"/>
  <c r="AH26" i="2"/>
  <c r="AJ26" i="2"/>
  <c r="AH22" i="2"/>
  <c r="AI22" i="2"/>
  <c r="AH25" i="2"/>
  <c r="J24" i="2"/>
  <c r="H16" i="2"/>
  <c r="H27" i="2"/>
  <c r="K24" i="2"/>
  <c r="I24" i="2"/>
  <c r="I13" i="2"/>
  <c r="Z48" i="2" l="1"/>
  <c r="Z50" i="2" s="1"/>
  <c r="Z18" i="2"/>
  <c r="Z28" i="2"/>
  <c r="AB18" i="2"/>
  <c r="AB28" i="2"/>
  <c r="AK14" i="2"/>
  <c r="X27" i="2"/>
  <c r="X16" i="2"/>
  <c r="AS25" i="2"/>
  <c r="L27" i="2"/>
  <c r="AI26" i="2"/>
  <c r="AH10" i="2"/>
  <c r="AH13" i="2" s="1"/>
  <c r="H18" i="2"/>
  <c r="H28" i="2"/>
  <c r="AI25" i="2"/>
  <c r="AJ25" i="2"/>
  <c r="J27" i="2"/>
  <c r="K27" i="2"/>
  <c r="AK25" i="2"/>
  <c r="AI23" i="2"/>
  <c r="AI10" i="2"/>
  <c r="AJ22" i="2"/>
  <c r="AL25" i="2"/>
  <c r="X18" i="2" l="1"/>
  <c r="X28" i="2"/>
  <c r="AS26" i="2"/>
  <c r="AT25" i="2"/>
  <c r="AH24" i="2"/>
  <c r="AL26" i="2"/>
  <c r="AK26" i="2"/>
  <c r="K28" i="2"/>
  <c r="AJ10" i="2"/>
  <c r="AJ23" i="2"/>
  <c r="AH14" i="2"/>
  <c r="I27" i="2"/>
  <c r="I16" i="2"/>
  <c r="AK22" i="2"/>
  <c r="AI13" i="2"/>
  <c r="AI24" i="2"/>
  <c r="AM26" i="2"/>
  <c r="AM25" i="2"/>
  <c r="AT26" i="2" l="1"/>
  <c r="AU25" i="2"/>
  <c r="AV25" i="2"/>
  <c r="AI27" i="2"/>
  <c r="AI16" i="2"/>
  <c r="AI34" i="2" s="1"/>
  <c r="AI48" i="2" s="1"/>
  <c r="AI50" i="2" s="1"/>
  <c r="I18" i="2"/>
  <c r="I28" i="2"/>
  <c r="L28" i="2"/>
  <c r="J28" i="2"/>
  <c r="AL22" i="2"/>
  <c r="AK10" i="2"/>
  <c r="AK23" i="2"/>
  <c r="AH27" i="2"/>
  <c r="AH16" i="2"/>
  <c r="AJ13" i="2"/>
  <c r="AJ24" i="2"/>
  <c r="AN26" i="2"/>
  <c r="AN25" i="2"/>
  <c r="AH28" i="2" l="1"/>
  <c r="AH34" i="2"/>
  <c r="AH48" i="2" s="1"/>
  <c r="AH50" i="2" s="1"/>
  <c r="AV26" i="2"/>
  <c r="AU26" i="2"/>
  <c r="AJ16" i="2"/>
  <c r="AJ34" i="2" s="1"/>
  <c r="AJ48" i="2" s="1"/>
  <c r="AJ50" i="2" s="1"/>
  <c r="AM6" i="2"/>
  <c r="AH18" i="2"/>
  <c r="AK24" i="2"/>
  <c r="AK13" i="2"/>
  <c r="AM22" i="2"/>
  <c r="AL10" i="2"/>
  <c r="AL23" i="2"/>
  <c r="AO26" i="2"/>
  <c r="AO25" i="2"/>
  <c r="AJ27" i="2" l="1"/>
  <c r="AK16" i="2"/>
  <c r="AK34" i="2" s="1"/>
  <c r="AK48" i="2" s="1"/>
  <c r="AK50" i="2" s="1"/>
  <c r="AI18" i="2"/>
  <c r="AI28" i="2"/>
  <c r="AL24" i="2"/>
  <c r="AL13" i="2"/>
  <c r="AN22" i="2"/>
  <c r="AO7" i="2"/>
  <c r="AM10" i="2"/>
  <c r="AM23" i="2"/>
  <c r="AP26" i="2"/>
  <c r="AP25" i="2"/>
  <c r="AK27" i="2" l="1"/>
  <c r="AL16" i="2"/>
  <c r="AL34" i="2" s="1"/>
  <c r="AL35" i="2" s="1"/>
  <c r="AL48" i="2" s="1"/>
  <c r="AJ18" i="2"/>
  <c r="AJ28" i="2"/>
  <c r="AN10" i="2"/>
  <c r="AN23" i="2"/>
  <c r="AP7" i="2"/>
  <c r="AO22" i="2"/>
  <c r="AO6" i="2"/>
  <c r="AK28" i="2"/>
  <c r="AM24" i="2"/>
  <c r="AM13" i="2"/>
  <c r="AN6" i="2"/>
  <c r="AR26" i="2"/>
  <c r="AQ26" i="2"/>
  <c r="AQ25" i="2"/>
  <c r="AR25" i="2"/>
  <c r="AL27" i="2" l="1"/>
  <c r="AM14" i="2"/>
  <c r="AM16" i="2" s="1"/>
  <c r="AM34" i="2" s="1"/>
  <c r="AN24" i="2"/>
  <c r="AN13" i="2"/>
  <c r="AK18" i="2"/>
  <c r="AO10" i="2"/>
  <c r="AO23" i="2"/>
  <c r="AP22" i="2"/>
  <c r="AP6" i="2"/>
  <c r="AQ7" i="2"/>
  <c r="AM35" i="2" l="1"/>
  <c r="AM48" i="2" s="1"/>
  <c r="AM50" i="2" s="1"/>
  <c r="AM27" i="2"/>
  <c r="AN14" i="2"/>
  <c r="AN16" i="2" s="1"/>
  <c r="AN34" i="2" s="1"/>
  <c r="AL18" i="2"/>
  <c r="AL28" i="2"/>
  <c r="AO24" i="2"/>
  <c r="AO13" i="2"/>
  <c r="AQ22" i="2"/>
  <c r="AR7" i="2"/>
  <c r="AP10" i="2"/>
  <c r="AP23" i="2"/>
  <c r="AN35" i="2" l="1"/>
  <c r="AN48" i="2" s="1"/>
  <c r="AN50" i="2" s="1"/>
  <c r="AN27" i="2"/>
  <c r="AS7" i="2"/>
  <c r="AO14" i="2"/>
  <c r="AO16" i="2" s="1"/>
  <c r="AO34" i="2" s="1"/>
  <c r="AM18" i="2"/>
  <c r="AM28" i="2"/>
  <c r="AP24" i="2"/>
  <c r="AP13" i="2"/>
  <c r="AR6" i="2"/>
  <c r="AR22" i="2"/>
  <c r="AQ10" i="2"/>
  <c r="AQ23" i="2"/>
  <c r="AQ6" i="2"/>
  <c r="AO35" i="2" l="1"/>
  <c r="AO48" i="2" s="1"/>
  <c r="AO50" i="2" s="1"/>
  <c r="AO27" i="2"/>
  <c r="AP14" i="2"/>
  <c r="AP27" i="2" s="1"/>
  <c r="AS22" i="2"/>
  <c r="AS6" i="2"/>
  <c r="AT7" i="2"/>
  <c r="AN18" i="2"/>
  <c r="AN28" i="2"/>
  <c r="AQ24" i="2"/>
  <c r="AQ13" i="2"/>
  <c r="AR23" i="2"/>
  <c r="AR10" i="2"/>
  <c r="AO28" i="2"/>
  <c r="AP16" i="2" l="1"/>
  <c r="AP34" i="2" s="1"/>
  <c r="AT22" i="2"/>
  <c r="AU7" i="2"/>
  <c r="AS23" i="2"/>
  <c r="AS10" i="2"/>
  <c r="AQ14" i="2"/>
  <c r="AQ27" i="2" s="1"/>
  <c r="AO18" i="2"/>
  <c r="AR24" i="2"/>
  <c r="AR13" i="2"/>
  <c r="AP35" i="2" l="1"/>
  <c r="AP48" i="2" s="1"/>
  <c r="AP50" i="2" s="1"/>
  <c r="AQ16" i="2"/>
  <c r="AQ34" i="2" s="1"/>
  <c r="AS24" i="2"/>
  <c r="AS13" i="2"/>
  <c r="AT6" i="2"/>
  <c r="AT10" i="2"/>
  <c r="AT23" i="2"/>
  <c r="AR14" i="2"/>
  <c r="AR27" i="2" s="1"/>
  <c r="AV7" i="2"/>
  <c r="AU6" i="2"/>
  <c r="AU22" i="2"/>
  <c r="AP18" i="2"/>
  <c r="AP28" i="2"/>
  <c r="AQ35" i="2" l="1"/>
  <c r="AQ48" i="2" s="1"/>
  <c r="AQ50" i="2" s="1"/>
  <c r="AR16" i="2"/>
  <c r="AV22" i="2"/>
  <c r="AT13" i="2"/>
  <c r="AT24" i="2"/>
  <c r="AS14" i="2"/>
  <c r="AS27" i="2" s="1"/>
  <c r="AU23" i="2"/>
  <c r="AU10" i="2"/>
  <c r="AQ18" i="2"/>
  <c r="AQ28" i="2"/>
  <c r="AR28" i="2" l="1"/>
  <c r="AR34" i="2"/>
  <c r="AT14" i="2"/>
  <c r="AT27" i="2" s="1"/>
  <c r="AS16" i="2"/>
  <c r="AS34" i="2" s="1"/>
  <c r="AV23" i="2"/>
  <c r="AV10" i="2"/>
  <c r="AU24" i="2"/>
  <c r="AU13" i="2"/>
  <c r="AV6" i="2"/>
  <c r="AR18" i="2"/>
  <c r="AS35" i="2" l="1"/>
  <c r="AS48" i="2" s="1"/>
  <c r="AS50" i="2" s="1"/>
  <c r="AR35" i="2"/>
  <c r="AR48" i="2" s="1"/>
  <c r="AR50" i="2" s="1"/>
  <c r="AV24" i="2"/>
  <c r="AV13" i="2"/>
  <c r="AU14" i="2"/>
  <c r="AU27" i="2" s="1"/>
  <c r="AS28" i="2"/>
  <c r="AS18" i="2"/>
  <c r="AT16" i="2"/>
  <c r="AT34" i="2" s="1"/>
  <c r="AT35" i="2" l="1"/>
  <c r="AT48" i="2" s="1"/>
  <c r="AT50" i="2" s="1"/>
  <c r="AT28" i="2"/>
  <c r="AT18" i="2"/>
  <c r="AV14" i="2"/>
  <c r="AV27" i="2" s="1"/>
  <c r="AU16" i="2"/>
  <c r="AU34" i="2" s="1"/>
  <c r="AU35" i="2" l="1"/>
  <c r="AU48" i="2" s="1"/>
  <c r="AU50" i="2" s="1"/>
  <c r="AU18" i="2"/>
  <c r="AU28" i="2"/>
  <c r="AV16" i="2"/>
  <c r="AV34" i="2" s="1"/>
  <c r="AV35" i="2" l="1"/>
  <c r="AV48" i="2" s="1"/>
  <c r="AV50" i="2" s="1"/>
  <c r="AW50" i="2" s="1"/>
  <c r="AX50" i="2" s="1"/>
  <c r="AY50" i="2" s="1"/>
  <c r="AZ50" i="2" s="1"/>
  <c r="BA50" i="2" s="1"/>
  <c r="BB50" i="2" s="1"/>
  <c r="BC50" i="2" s="1"/>
  <c r="BD50" i="2" s="1"/>
  <c r="BE50" i="2" s="1"/>
  <c r="BF50" i="2" s="1"/>
  <c r="BG50" i="2" s="1"/>
  <c r="BH50" i="2" s="1"/>
  <c r="BI50" i="2" s="1"/>
  <c r="BJ50" i="2" s="1"/>
  <c r="BK50" i="2" s="1"/>
  <c r="BL50" i="2" s="1"/>
  <c r="BM50" i="2" s="1"/>
  <c r="BN50" i="2" s="1"/>
  <c r="BO50" i="2" s="1"/>
  <c r="BP50" i="2" s="1"/>
  <c r="BQ50" i="2" s="1"/>
  <c r="BR50" i="2" s="1"/>
  <c r="BS50" i="2" s="1"/>
  <c r="BT50" i="2" s="1"/>
  <c r="BU50" i="2" s="1"/>
  <c r="BV50" i="2" s="1"/>
  <c r="BW50" i="2" s="1"/>
  <c r="BX50" i="2" s="1"/>
  <c r="BY50" i="2" s="1"/>
  <c r="BZ50" i="2" s="1"/>
  <c r="CA50" i="2" s="1"/>
  <c r="CB50" i="2" s="1"/>
  <c r="CC50" i="2" s="1"/>
  <c r="CD50" i="2" s="1"/>
  <c r="CE50" i="2" s="1"/>
  <c r="CF50" i="2" s="1"/>
  <c r="CG50" i="2" s="1"/>
  <c r="CH50" i="2" s="1"/>
  <c r="CI50" i="2" s="1"/>
  <c r="CJ50" i="2" s="1"/>
  <c r="CK50" i="2" s="1"/>
  <c r="CL50" i="2" s="1"/>
  <c r="CM50" i="2" s="1"/>
  <c r="CN50" i="2" s="1"/>
  <c r="CO50" i="2" s="1"/>
  <c r="CP50" i="2" s="1"/>
  <c r="CQ50" i="2" s="1"/>
  <c r="CR50" i="2" s="1"/>
  <c r="CS50" i="2" s="1"/>
  <c r="CT50" i="2" s="1"/>
  <c r="CU50" i="2" s="1"/>
  <c r="CV50" i="2" s="1"/>
  <c r="CW50" i="2" s="1"/>
  <c r="CX50" i="2" s="1"/>
  <c r="CY50" i="2" s="1"/>
  <c r="CZ50" i="2" s="1"/>
  <c r="DA50" i="2" s="1"/>
  <c r="DB50" i="2" s="1"/>
  <c r="DC50" i="2" s="1"/>
  <c r="DD50" i="2" s="1"/>
  <c r="DE50" i="2" s="1"/>
  <c r="DF50" i="2" s="1"/>
  <c r="DG50" i="2" s="1"/>
  <c r="DH50" i="2" s="1"/>
  <c r="DI50" i="2" s="1"/>
  <c r="DJ50" i="2" s="1"/>
  <c r="DK50" i="2" s="1"/>
  <c r="DL50" i="2" s="1"/>
  <c r="DM50" i="2" s="1"/>
  <c r="DN50" i="2" s="1"/>
  <c r="DO50" i="2" s="1"/>
  <c r="DP50" i="2" s="1"/>
  <c r="DQ50" i="2" s="1"/>
  <c r="DR50" i="2" s="1"/>
  <c r="DS50" i="2" s="1"/>
  <c r="DT50" i="2" s="1"/>
  <c r="DU50" i="2" s="1"/>
  <c r="DV50" i="2" s="1"/>
  <c r="DW50" i="2" s="1"/>
  <c r="DX50" i="2" s="1"/>
  <c r="DY50" i="2" s="1"/>
  <c r="DZ50" i="2" s="1"/>
  <c r="EA50" i="2" s="1"/>
  <c r="EB50" i="2" s="1"/>
  <c r="EC50" i="2" s="1"/>
  <c r="ED50" i="2" s="1"/>
  <c r="EE50" i="2" s="1"/>
  <c r="EF50" i="2" s="1"/>
  <c r="EG50" i="2" s="1"/>
  <c r="EH50" i="2" s="1"/>
  <c r="EI50" i="2" s="1"/>
  <c r="EJ50" i="2" s="1"/>
  <c r="EK50" i="2" s="1"/>
  <c r="EL50" i="2" s="1"/>
  <c r="EM50" i="2" s="1"/>
  <c r="AW16" i="2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AY26" i="2" s="1"/>
  <c r="AV18" i="2"/>
  <c r="AV28" i="2"/>
  <c r="AY28" i="2" l="1"/>
  <c r="AY29" i="2" s="1"/>
  <c r="AY31" i="2" s="1"/>
  <c r="AY52" i="2" l="1"/>
  <c r="AY54" i="2" s="1"/>
  <c r="AY55" i="2" s="1"/>
  <c r="AY5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AL5" authorId="0" shapeId="0" xr:uid="{660F90A3-4B49-4A4F-863A-113B2F196B3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(Q225) guidance 1.4-1.6b, (Q325) guidance 1.425-1475b</t>
        </r>
      </text>
    </comment>
  </commentList>
</comments>
</file>

<file path=xl/sharedStrings.xml><?xml version="1.0" encoding="utf-8"?>
<sst xmlns="http://schemas.openxmlformats.org/spreadsheetml/2006/main" count="103" uniqueCount="93">
  <si>
    <t>CRSR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</si>
  <si>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</si>
  <si>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</si>
  <si>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</si>
  <si>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</si>
  <si>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</si>
  <si>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</si>
  <si>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</si>
  <si>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</si>
  <si>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</si>
  <si>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</si>
  <si>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Q420</t>
  </si>
  <si>
    <t>Revenue</t>
  </si>
  <si>
    <t>Q319</t>
  </si>
  <si>
    <t>Q419</t>
  </si>
  <si>
    <t>Q120</t>
  </si>
  <si>
    <t>Q220</t>
  </si>
  <si>
    <t>Q320</t>
  </si>
  <si>
    <t>Q121</t>
  </si>
  <si>
    <t>Q221</t>
  </si>
  <si>
    <t>Q321</t>
  </si>
  <si>
    <t>Q421</t>
  </si>
  <si>
    <t>Cost of sales</t>
  </si>
  <si>
    <t>Gross profit</t>
  </si>
  <si>
    <t>SG&amp;A</t>
  </si>
  <si>
    <t>R&amp;D</t>
  </si>
  <si>
    <t>Operating profit</t>
  </si>
  <si>
    <t>Interest expense</t>
  </si>
  <si>
    <t>Other expense</t>
  </si>
  <si>
    <t>Pretax profit</t>
  </si>
  <si>
    <t>Taxes</t>
  </si>
  <si>
    <t>Net profit</t>
  </si>
  <si>
    <t>EPS</t>
  </si>
  <si>
    <t>Revenue y/y</t>
  </si>
  <si>
    <t>Gross Margin</t>
  </si>
  <si>
    <t>Operating Margin</t>
  </si>
  <si>
    <t>SG&amp;A y/y</t>
  </si>
  <si>
    <t>R&amp;D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</si>
  <si>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</si>
  <si>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</si>
  <si>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</si>
  <si>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</si>
  <si>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</si>
  <si>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</si>
  <si>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</si>
  <si>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</si>
  <si>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</si>
  <si>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Net Margin</t>
  </si>
  <si>
    <t>Q324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</si>
  <si>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</si>
  <si>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</si>
  <si>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</si>
  <si>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</si>
  <si>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</si>
  <si>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</si>
  <si>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</si>
  <si>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</si>
  <si>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</si>
  <si>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</si>
  <si>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Q424</t>
  </si>
  <si>
    <t>MI</t>
  </si>
  <si>
    <t>analyse the two revenue streams</t>
  </si>
  <si>
    <t>Q125</t>
  </si>
  <si>
    <t>Q225</t>
  </si>
  <si>
    <t>Q325</t>
  </si>
  <si>
    <t>Q425</t>
  </si>
  <si>
    <t>Heavily overvalued</t>
  </si>
  <si>
    <t>Model net profit</t>
  </si>
  <si>
    <t>CF net profit</t>
  </si>
  <si>
    <t>SBC</t>
  </si>
  <si>
    <t>Depreciation</t>
  </si>
  <si>
    <t>Amortisation</t>
  </si>
  <si>
    <t>D/T</t>
  </si>
  <si>
    <t>Other</t>
  </si>
  <si>
    <t>A/R</t>
  </si>
  <si>
    <t>Inventories</t>
  </si>
  <si>
    <t>Prepaids</t>
  </si>
  <si>
    <t>A/P</t>
  </si>
  <si>
    <t>Other liabilities</t>
  </si>
  <si>
    <t>CFFO</t>
  </si>
  <si>
    <t>PP&amp;E</t>
  </si>
  <si>
    <t>FCF</t>
  </si>
  <si>
    <t>Financial income</t>
  </si>
  <si>
    <t>NPV (FCF)</t>
  </si>
  <si>
    <t>Provisions</t>
  </si>
  <si>
    <t>L+S/E</t>
  </si>
  <si>
    <t>EV/B</t>
  </si>
  <si>
    <t>B/EV</t>
  </si>
  <si>
    <t>Peripherals</t>
  </si>
  <si>
    <t>Systems</t>
  </si>
  <si>
    <t>Peripherals y/y</t>
  </si>
  <si>
    <t>Systems y/y</t>
  </si>
  <si>
    <t>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</si>
</sst>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0" fontId="6" fillId="0" borderId="0" xfId="0" applyFont="1"/>
    <xf numFmtId="3" fontId="6" fillId="0" borderId="0" xfId="0" applyNumberFormat="1" applyFont="1"/>
    <xf numFmtId="165" fontId="0" fillId="0" borderId="0" xfId="0" applyNumberForma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30480</xdr:colOff>
      <xdr:row>0</xdr:row>
      <xdr:rowOff>0</xdr:rowOff>
    </xdr:from>
    <xdr:to>
      <xdr:col>27</xdr:col>
      <xdr:colOff>30480</xdr:colOff>
      <xdr:row>61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BE282C1-4948-4D38-B37D-132887D630A3}"/>
            </a:ext>
          </a:extLst>
        </xdr:cNvPr>
        <xdr:cNvCxnSpPr/>
      </xdr:nvCxnSpPr>
      <xdr:spPr>
        <a:xfrm>
          <a:off x="17015460" y="0"/>
          <a:ext cx="0" cy="108661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22860</xdr:colOff>
      <xdr:row>0</xdr:row>
      <xdr:rowOff>0</xdr:rowOff>
    </xdr:from>
    <xdr:to>
      <xdr:col>37</xdr:col>
      <xdr:colOff>22860</xdr:colOff>
      <xdr:row>62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F85D6FB8-A0D3-45C4-8064-24431130B33B}"/>
            </a:ext>
          </a:extLst>
        </xdr:cNvPr>
        <xdr:cNvCxnSpPr/>
      </xdr:nvCxnSpPr>
      <xdr:spPr>
        <a:xfrm>
          <a:off x="23103840" y="0"/>
          <a:ext cx="0" cy="96164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D08DD-4FE4-4609-96E5-79E6D3869EE2}">
  <dimension ref="B2:J12"/>
  <sheetViews>
    <sheetView tabSelected="1" workbookViewId="0">
      <selection activeCell="E4" sqref="E4"/>
    </sheetView>
  </sheetViews>
  <sheetFormatPr defaultRowHeight="14.4" x14ac:dyDescent="0.3"/>
  <cols>
    <col min="5" max="7" width="15.77734375" style="2" customWidth="1"/>
  </cols>
  <sheetData>
    <row r="2" spans="2:10" x14ac:dyDescent="0.3">
      <c r="E2" s="2" t="s">
        <v>8</v>
      </c>
      <c r="F2" s="2" t="s">
        <v>9</v>
      </c>
      <c r="G2" s="2" t="s">
        <v>10</v>
      </c>
    </row>
    <row r="3" spans="2:10" x14ac:dyDescent="0.3">
      <c r="B3" s="1" t="s">
        <v>0</v>
      </c>
      <c r="C3" t="s">
        <v>1</v>
      </c>
      <c r="D3" s="5">
        <v>5.04</v>
      </c>
      <c r="E3" s="3">
        <v>46052</v>
      </c>
      <c r="F3" s="3">
        <f ca="1">TODAY()</f>
        <v>46052</v>
      </c>
      <c r="G3" s="3">
        <v>46063</v>
      </c>
    </row>
    <row r="4" spans="2:10" x14ac:dyDescent="0.3">
      <c r="C4" t="s">
        <v>2</v>
      </c>
      <c r="D4" s="4">
        <f>106.6</f>
        <v>106.6</v>
      </c>
      <c r="E4" s="2" t="s">
        <v>64</v>
      </c>
    </row>
    <row r="5" spans="2:10" x14ac:dyDescent="0.3">
      <c r="C5" t="s">
        <v>3</v>
      </c>
      <c r="D5" s="4">
        <f>D3*D4</f>
        <v>537.26400000000001</v>
      </c>
    </row>
    <row r="6" spans="2:10" x14ac:dyDescent="0.3">
      <c r="C6" t="s">
        <v>4</v>
      </c>
      <c r="D6" s="4">
        <f>64.4+1.4+0.2</f>
        <v>66.000000000000014</v>
      </c>
      <c r="E6" s="2" t="s">
        <v>64</v>
      </c>
    </row>
    <row r="7" spans="2:10" x14ac:dyDescent="0.3">
      <c r="C7" t="s">
        <v>5</v>
      </c>
      <c r="D7" s="4">
        <f>6.1+116.8</f>
        <v>122.89999999999999</v>
      </c>
      <c r="E7" s="2" t="s">
        <v>64</v>
      </c>
    </row>
    <row r="8" spans="2:10" x14ac:dyDescent="0.3">
      <c r="C8" t="s">
        <v>6</v>
      </c>
      <c r="D8" s="4">
        <f>D6-D7</f>
        <v>-56.899999999999977</v>
      </c>
    </row>
    <row r="9" spans="2:10" x14ac:dyDescent="0.3">
      <c r="C9" t="s">
        <v>7</v>
      </c>
      <c r="D9" s="4">
        <f>D5-D8</f>
        <v>594.16399999999999</v>
      </c>
    </row>
    <row r="12" spans="2:10" x14ac:dyDescent="0.3">
      <c r="J12" t="s">
        <v>61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03470-03C6-4965-A90A-C28BA0FB6465}">
  <dimension ref="B2:FB68"/>
  <sheetViews>
    <sheetView workbookViewId="0">
      <pane xSplit="2" ySplit="2" topLeftCell="AL42" activePane="bottomRight" state="frozen"/>
      <selection pane="topRight" activeCell="C1" sqref="C1"/>
      <selection pane="bottomLeft" activeCell="A3" sqref="A3"/>
      <selection pane="bottomRight" activeCell="AA30" sqref="AA30"/>
    </sheetView>
  </sheetViews>
  <sheetFormatPr defaultRowHeight="14.4" x14ac:dyDescent="0.3"/>
  <cols>
    <col min="2" max="2" width="16.5546875" bestFit="1" customWidth="1"/>
    <col min="50" max="50" width="12" bestFit="1" customWidth="1"/>
    <col min="51" max="51" width="17.33203125" bestFit="1" customWidth="1"/>
  </cols>
  <sheetData>
    <row r="2" spans="2:158" x14ac:dyDescent="0.3">
      <c r="C2" s="6" t="s">
        <v>13</v>
      </c>
      <c r="D2" s="6" t="s">
        <v>14</v>
      </c>
      <c r="E2" s="6" t="s">
        <v>15</v>
      </c>
      <c r="F2" s="6" t="s">
        <v>16</v>
      </c>
      <c r="G2" s="6" t="s">
        <v>17</v>
      </c>
      <c r="H2" s="6" t="s">
        <v>11</v>
      </c>
      <c r="I2" s="6" t="s">
        <v>18</v>
      </c>
      <c r="J2" s="6" t="s">
        <v>19</v>
      </c>
      <c r="K2" s="6" t="s">
        <v>20</v>
      </c>
      <c r="L2" s="6" t="s">
        <v>21</v>
      </c>
      <c r="M2" s="6" t="s">
        <v>49</v>
      </c>
      <c r="N2" s="6" t="s">
        <v>50</v>
      </c>
      <c r="O2" s="6" t="s">
        <v>51</v>
      </c>
      <c r="P2" s="6" t="s">
        <v>52</v>
      </c>
      <c r="Q2" s="6" t="s">
        <v>53</v>
      </c>
      <c r="R2" s="6" t="s">
        <v>54</v>
      </c>
      <c r="S2" s="6" t="s">
        <v>55</v>
      </c>
      <c r="T2" s="6" t="s">
        <v>56</v>
      </c>
      <c r="U2" s="6" t="s">
        <v>57</v>
      </c>
      <c r="V2" s="6" t="s">
        <v>58</v>
      </c>
      <c r="W2" s="6" t="s">
        <v>48</v>
      </c>
      <c r="X2" s="6" t="s">
        <v>59</v>
      </c>
      <c r="Y2" s="6" t="s">
        <v>62</v>
      </c>
      <c r="Z2" s="6" t="s">
        <v>63</v>
      </c>
      <c r="AA2" s="6" t="s">
        <v>64</v>
      </c>
      <c r="AB2" s="6" t="s">
        <v>65</v>
      </c>
      <c r="AC2" s="6"/>
      <c r="AE2">
        <v>2018</v>
      </c>
      <c r="AF2">
        <v>2019</v>
      </c>
      <c r="AG2">
        <v>2020</v>
      </c>
      <c r="AH2">
        <v>2021</v>
      </c>
      <c r="AI2">
        <v>2022</v>
      </c>
      <c r="AJ2">
        <v>2023</v>
      </c>
      <c r="AK2">
        <v>2024</v>
      </c>
      <c r="AL2">
        <v>2025</v>
      </c>
      <c r="AM2">
        <v>2026</v>
      </c>
      <c r="AN2">
        <v>2027</v>
      </c>
      <c r="AO2">
        <v>2028</v>
      </c>
      <c r="AP2">
        <v>2029</v>
      </c>
      <c r="AQ2">
        <v>2030</v>
      </c>
      <c r="AR2">
        <v>2031</v>
      </c>
      <c r="AS2">
        <v>2032</v>
      </c>
      <c r="AT2">
        <v>2033</v>
      </c>
      <c r="AU2">
        <v>2034</v>
      </c>
      <c r="AV2">
        <v>2035</v>
      </c>
    </row>
    <row r="3" spans="2:158" x14ac:dyDescent="0.3">
      <c r="B3" t="s">
        <v>88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14">
        <v>136.80000000000001</v>
      </c>
      <c r="U3" s="14">
        <v>107</v>
      </c>
      <c r="V3" s="14">
        <v>94.2</v>
      </c>
      <c r="W3" s="14">
        <v>102</v>
      </c>
      <c r="X3" s="14">
        <v>169.6</v>
      </c>
      <c r="Y3" s="14">
        <v>112</v>
      </c>
      <c r="Z3" s="14">
        <v>102.6</v>
      </c>
      <c r="AA3" s="14">
        <v>112.7</v>
      </c>
      <c r="AB3" s="6"/>
      <c r="AC3" s="6"/>
    </row>
    <row r="4" spans="2:158" x14ac:dyDescent="0.3">
      <c r="B4" t="s">
        <v>89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14">
        <v>280.5</v>
      </c>
      <c r="U4" s="14">
        <v>230.3</v>
      </c>
      <c r="V4" s="14">
        <v>167.1</v>
      </c>
      <c r="W4" s="14">
        <v>202.2</v>
      </c>
      <c r="X4" s="14">
        <v>244.1</v>
      </c>
      <c r="Y4" s="14">
        <v>257.8</v>
      </c>
      <c r="Z4" s="14">
        <v>217.5</v>
      </c>
      <c r="AA4" s="14">
        <v>233.1</v>
      </c>
      <c r="AB4" s="6"/>
      <c r="AC4" s="6"/>
    </row>
    <row r="5" spans="2:158" s="1" customFormat="1" x14ac:dyDescent="0.3">
      <c r="B5" s="1" t="s">
        <v>12</v>
      </c>
      <c r="C5" s="8">
        <v>284.39999999999998</v>
      </c>
      <c r="D5" s="8">
        <v>326.60000000000002</v>
      </c>
      <c r="E5" s="8">
        <v>308.5</v>
      </c>
      <c r="G5" s="8">
        <v>457.1</v>
      </c>
      <c r="H5" s="8">
        <v>556.29999999999995</v>
      </c>
      <c r="I5" s="8">
        <v>529.4</v>
      </c>
      <c r="J5" s="8">
        <v>472.9</v>
      </c>
      <c r="K5" s="8">
        <v>391.1</v>
      </c>
      <c r="L5" s="8">
        <v>510.6</v>
      </c>
      <c r="M5" s="8">
        <v>380.7</v>
      </c>
      <c r="N5" s="8">
        <v>283.89999999999998</v>
      </c>
      <c r="O5" s="8">
        <v>311.8</v>
      </c>
      <c r="P5" s="8">
        <v>398.7</v>
      </c>
      <c r="Q5" s="8">
        <v>354</v>
      </c>
      <c r="R5" s="8">
        <v>325.39999999999998</v>
      </c>
      <c r="S5" s="8">
        <v>363.2</v>
      </c>
      <c r="T5" s="8">
        <v>417.3</v>
      </c>
      <c r="U5" s="8">
        <v>337.3</v>
      </c>
      <c r="V5" s="8">
        <v>261.3</v>
      </c>
      <c r="W5" s="8">
        <v>304.2</v>
      </c>
      <c r="X5" s="8">
        <v>413.6</v>
      </c>
      <c r="Y5" s="8">
        <v>369.8</v>
      </c>
      <c r="Z5" s="8">
        <v>320.10000000000002</v>
      </c>
      <c r="AA5" s="8">
        <v>345.8</v>
      </c>
      <c r="AB5" s="8">
        <f>X5*1.01</f>
        <v>417.73600000000005</v>
      </c>
      <c r="AC5" s="8"/>
      <c r="AE5" s="8">
        <v>937.6</v>
      </c>
      <c r="AF5" s="8">
        <v>1097.2</v>
      </c>
      <c r="AG5" s="8">
        <v>1702.4</v>
      </c>
      <c r="AH5" s="8">
        <f>SUM(I5:L5)</f>
        <v>1904</v>
      </c>
      <c r="AI5" s="8">
        <f>SUM(M5:P5)</f>
        <v>1375.1</v>
      </c>
      <c r="AJ5" s="8">
        <f>SUM(Q5:T5)</f>
        <v>1459.8999999999999</v>
      </c>
      <c r="AK5" s="8">
        <f>SUM(U5:X5)</f>
        <v>1316.4</v>
      </c>
      <c r="AL5" s="8">
        <f>SUM(Y5:AB5)</f>
        <v>1453.4360000000001</v>
      </c>
      <c r="AM5" s="8">
        <f>AL5*1.06</f>
        <v>1540.6421600000003</v>
      </c>
      <c r="AN5" s="8">
        <f>AM5*1.05</f>
        <v>1617.6742680000004</v>
      </c>
      <c r="AO5" s="8">
        <f>AN5*1.04</f>
        <v>1682.3812387200005</v>
      </c>
      <c r="AP5" s="8">
        <f>AO5*1.03</f>
        <v>1732.8526758816006</v>
      </c>
      <c r="AQ5" s="8">
        <f>AP5*1.02</f>
        <v>1767.5097293992326</v>
      </c>
      <c r="AR5" s="8">
        <f t="shared" ref="AR5:AV5" si="0">AQ5*1.02</f>
        <v>1802.8599239872174</v>
      </c>
      <c r="AS5" s="8">
        <f t="shared" si="0"/>
        <v>1838.9171224669617</v>
      </c>
      <c r="AT5" s="8">
        <f t="shared" si="0"/>
        <v>1875.695464916301</v>
      </c>
      <c r="AU5" s="8">
        <f t="shared" si="0"/>
        <v>1913.2093742146271</v>
      </c>
      <c r="AV5" s="8">
        <f t="shared" si="0"/>
        <v>1951.4735616989196</v>
      </c>
    </row>
    <row r="6" spans="2:158" x14ac:dyDescent="0.3">
      <c r="B6" t="s">
        <v>22</v>
      </c>
      <c r="C6" s="4">
        <v>224.1</v>
      </c>
      <c r="D6" s="4">
        <v>256.10000000000002</v>
      </c>
      <c r="E6" s="4">
        <v>229.9</v>
      </c>
      <c r="G6" s="4">
        <v>329.2</v>
      </c>
      <c r="H6" s="4">
        <v>402.5</v>
      </c>
      <c r="I6" s="4">
        <v>369.1</v>
      </c>
      <c r="J6" s="4">
        <v>342.6</v>
      </c>
      <c r="K6" s="4">
        <v>289.8</v>
      </c>
      <c r="L6" s="4">
        <v>388.8</v>
      </c>
      <c r="M6" s="4">
        <v>289.89999999999998</v>
      </c>
      <c r="N6" s="4">
        <v>247.4</v>
      </c>
      <c r="O6" s="4">
        <v>240.2</v>
      </c>
      <c r="P6" s="4">
        <v>300.89999999999998</v>
      </c>
      <c r="Q6" s="4">
        <v>268.60000000000002</v>
      </c>
      <c r="R6" s="4">
        <v>242.6</v>
      </c>
      <c r="S6" s="4">
        <v>273.8</v>
      </c>
      <c r="T6" s="4">
        <v>314.60000000000002</v>
      </c>
      <c r="U6" s="4">
        <v>250.6</v>
      </c>
      <c r="V6" s="4">
        <v>198.2</v>
      </c>
      <c r="W6" s="4">
        <v>234.5</v>
      </c>
      <c r="X6" s="4">
        <v>305.39999999999998</v>
      </c>
      <c r="Y6" s="4">
        <v>267.39999999999998</v>
      </c>
      <c r="Z6" s="4">
        <v>234.2</v>
      </c>
      <c r="AA6" s="4">
        <v>252.7</v>
      </c>
      <c r="AB6" s="4">
        <f t="shared" ref="AB6" si="1">AB5-AB7</f>
        <v>300.76992000000001</v>
      </c>
      <c r="AC6" s="4"/>
      <c r="AE6" s="4">
        <v>744.9</v>
      </c>
      <c r="AF6" s="4">
        <v>872.9</v>
      </c>
      <c r="AG6" s="4">
        <v>1236.9000000000001</v>
      </c>
      <c r="AH6" s="4">
        <f>SUM(I6:L6)</f>
        <v>1390.3</v>
      </c>
      <c r="AI6" s="4">
        <f>SUM(M6:P6)</f>
        <v>1078.4000000000001</v>
      </c>
      <c r="AJ6" s="4">
        <f>SUM(Q6:T6)</f>
        <v>1099.5999999999999</v>
      </c>
      <c r="AK6" s="4">
        <f>SUM(U6:X6)</f>
        <v>988.69999999999993</v>
      </c>
      <c r="AL6" s="4">
        <f>SUM(Y6:AB6)</f>
        <v>1055.0699199999999</v>
      </c>
      <c r="AM6" s="4">
        <f t="shared" ref="AM6:AR6" si="2">AM5-AM7</f>
        <v>1124.6687768000002</v>
      </c>
      <c r="AN6" s="4">
        <f t="shared" si="2"/>
        <v>1180.9022156400003</v>
      </c>
      <c r="AO6" s="4">
        <f t="shared" si="2"/>
        <v>1211.3144918784003</v>
      </c>
      <c r="AP6" s="4">
        <f t="shared" si="2"/>
        <v>1247.6539266347525</v>
      </c>
      <c r="AQ6" s="4">
        <f t="shared" si="2"/>
        <v>1272.6070051674474</v>
      </c>
      <c r="AR6" s="4">
        <f t="shared" si="2"/>
        <v>1298.0591452707965</v>
      </c>
      <c r="AS6" s="4">
        <f t="shared" ref="AS6:AV6" si="3">AS5-AS7</f>
        <v>1324.0203281762124</v>
      </c>
      <c r="AT6" s="4">
        <f t="shared" si="3"/>
        <v>1350.5007347397368</v>
      </c>
      <c r="AU6" s="4">
        <f t="shared" si="3"/>
        <v>1377.5107494345316</v>
      </c>
      <c r="AV6" s="4">
        <f t="shared" si="3"/>
        <v>1405.0609644232222</v>
      </c>
    </row>
    <row r="7" spans="2:158" s="1" customFormat="1" x14ac:dyDescent="0.3">
      <c r="B7" s="1" t="s">
        <v>23</v>
      </c>
      <c r="C7" s="8">
        <f>C5-C6</f>
        <v>60.299999999999983</v>
      </c>
      <c r="D7" s="8">
        <f>D5-D6</f>
        <v>70.5</v>
      </c>
      <c r="E7" s="8">
        <f>E5-E6</f>
        <v>78.599999999999994</v>
      </c>
      <c r="G7" s="8">
        <f t="shared" ref="G7:AA7" si="4">G5-G6</f>
        <v>127.90000000000003</v>
      </c>
      <c r="H7" s="8">
        <f t="shared" si="4"/>
        <v>153.79999999999995</v>
      </c>
      <c r="I7" s="8">
        <f t="shared" si="4"/>
        <v>160.29999999999995</v>
      </c>
      <c r="J7" s="8">
        <f t="shared" si="4"/>
        <v>130.29999999999995</v>
      </c>
      <c r="K7" s="8">
        <f t="shared" si="4"/>
        <v>101.30000000000001</v>
      </c>
      <c r="L7" s="8">
        <f t="shared" si="4"/>
        <v>121.80000000000001</v>
      </c>
      <c r="M7" s="8">
        <f t="shared" si="4"/>
        <v>90.800000000000011</v>
      </c>
      <c r="N7" s="8">
        <f t="shared" si="4"/>
        <v>36.499999999999972</v>
      </c>
      <c r="O7" s="8">
        <f t="shared" si="4"/>
        <v>71.600000000000023</v>
      </c>
      <c r="P7" s="8">
        <f t="shared" si="4"/>
        <v>97.800000000000011</v>
      </c>
      <c r="Q7" s="8">
        <f t="shared" si="4"/>
        <v>85.399999999999977</v>
      </c>
      <c r="R7" s="8">
        <f t="shared" si="4"/>
        <v>82.799999999999983</v>
      </c>
      <c r="S7" s="8">
        <f t="shared" si="4"/>
        <v>89.399999999999977</v>
      </c>
      <c r="T7" s="8">
        <f t="shared" si="4"/>
        <v>102.69999999999999</v>
      </c>
      <c r="U7" s="8">
        <f t="shared" si="4"/>
        <v>86.700000000000017</v>
      </c>
      <c r="V7" s="8">
        <f t="shared" si="4"/>
        <v>63.100000000000023</v>
      </c>
      <c r="W7" s="8">
        <f t="shared" si="4"/>
        <v>69.699999999999989</v>
      </c>
      <c r="X7" s="8">
        <f t="shared" si="4"/>
        <v>108.20000000000005</v>
      </c>
      <c r="Y7" s="8">
        <f t="shared" si="4"/>
        <v>102.40000000000003</v>
      </c>
      <c r="Z7" s="8">
        <f t="shared" si="4"/>
        <v>85.900000000000034</v>
      </c>
      <c r="AA7" s="8">
        <f t="shared" si="4"/>
        <v>93.100000000000023</v>
      </c>
      <c r="AB7" s="8">
        <f>AB5*0.28</f>
        <v>116.96608000000002</v>
      </c>
      <c r="AC7" s="8"/>
      <c r="AE7" s="8">
        <f>AE5-AE6</f>
        <v>192.70000000000005</v>
      </c>
      <c r="AF7" s="8">
        <f>AF5-AF6</f>
        <v>224.30000000000007</v>
      </c>
      <c r="AG7" s="8">
        <f>AG5-AG6</f>
        <v>465.5</v>
      </c>
      <c r="AH7" s="8">
        <f>AH5-AH6</f>
        <v>513.70000000000005</v>
      </c>
      <c r="AI7" s="8">
        <f t="shared" ref="AI7:AL7" si="5">AI5-AI6</f>
        <v>296.69999999999982</v>
      </c>
      <c r="AJ7" s="8">
        <f t="shared" si="5"/>
        <v>360.29999999999995</v>
      </c>
      <c r="AK7" s="8">
        <f t="shared" si="5"/>
        <v>327.70000000000016</v>
      </c>
      <c r="AL7" s="8">
        <f t="shared" si="5"/>
        <v>398.36608000000024</v>
      </c>
      <c r="AM7" s="8">
        <f>AM5*0.27</f>
        <v>415.97338320000011</v>
      </c>
      <c r="AN7" s="8">
        <f>AN5*0.27</f>
        <v>436.77205236000015</v>
      </c>
      <c r="AO7" s="8">
        <f>AO5*0.28</f>
        <v>471.06674684160021</v>
      </c>
      <c r="AP7" s="8">
        <f t="shared" ref="AP7:AV7" si="6">AP5*0.28</f>
        <v>485.19874924684819</v>
      </c>
      <c r="AQ7" s="8">
        <f t="shared" si="6"/>
        <v>494.90272423178516</v>
      </c>
      <c r="AR7" s="8">
        <f t="shared" si="6"/>
        <v>504.80077871642089</v>
      </c>
      <c r="AS7" s="8">
        <f t="shared" si="6"/>
        <v>514.89679429074931</v>
      </c>
      <c r="AT7" s="8">
        <f t="shared" si="6"/>
        <v>525.19473017656435</v>
      </c>
      <c r="AU7" s="8">
        <f t="shared" si="6"/>
        <v>535.69862478009566</v>
      </c>
      <c r="AV7" s="8">
        <f t="shared" si="6"/>
        <v>546.41259727569752</v>
      </c>
    </row>
    <row r="8" spans="2:158" x14ac:dyDescent="0.3">
      <c r="B8" t="s">
        <v>24</v>
      </c>
      <c r="C8" s="4">
        <v>39.799999999999997</v>
      </c>
      <c r="D8" s="4">
        <v>47</v>
      </c>
      <c r="E8" s="4">
        <v>53.7</v>
      </c>
      <c r="G8" s="4">
        <v>65.3</v>
      </c>
      <c r="H8" s="4">
        <v>81.099999999999994</v>
      </c>
      <c r="I8" s="4">
        <v>77.900000000000006</v>
      </c>
      <c r="J8" s="4">
        <v>80.2</v>
      </c>
      <c r="K8" s="4">
        <v>76.099999999999994</v>
      </c>
      <c r="L8" s="4">
        <v>81.5</v>
      </c>
      <c r="M8" s="4">
        <v>76.099999999999994</v>
      </c>
      <c r="N8" s="4">
        <v>73.400000000000006</v>
      </c>
      <c r="O8" s="4">
        <v>66.900000000000006</v>
      </c>
      <c r="P8" s="4">
        <v>68.5</v>
      </c>
      <c r="Q8" s="4">
        <v>67.5</v>
      </c>
      <c r="R8" s="4">
        <v>70</v>
      </c>
      <c r="S8" s="4">
        <v>74</v>
      </c>
      <c r="T8" s="4">
        <v>73.8</v>
      </c>
      <c r="U8" s="4">
        <v>80.2</v>
      </c>
      <c r="V8" s="4">
        <v>70.400000000000006</v>
      </c>
      <c r="W8" s="4">
        <v>74.099999999999994</v>
      </c>
      <c r="X8" s="4">
        <v>85.3</v>
      </c>
      <c r="Y8" s="4">
        <v>87</v>
      </c>
      <c r="Z8" s="4">
        <v>85.3</v>
      </c>
      <c r="AA8" s="4">
        <v>82</v>
      </c>
      <c r="AB8" s="4">
        <f>X8*1.07</f>
        <v>91.271000000000001</v>
      </c>
      <c r="AC8" s="4"/>
      <c r="AE8" s="4">
        <v>138.9</v>
      </c>
      <c r="AF8" s="4">
        <v>163</v>
      </c>
      <c r="AG8" s="4">
        <v>257</v>
      </c>
      <c r="AH8" s="4">
        <f>SUM(I8:L8)</f>
        <v>315.70000000000005</v>
      </c>
      <c r="AI8" s="4">
        <f>SUM(M8:P8)</f>
        <v>284.89999999999998</v>
      </c>
      <c r="AJ8" s="4">
        <f>SUM(Q8:T8)</f>
        <v>285.3</v>
      </c>
      <c r="AK8" s="4">
        <f>SUM(U8:X8)</f>
        <v>310</v>
      </c>
      <c r="AL8" s="4">
        <f>SUM(Y8:AB8)</f>
        <v>345.57100000000003</v>
      </c>
      <c r="AM8" s="4">
        <f>AL8*1.03</f>
        <v>355.93813000000006</v>
      </c>
      <c r="AN8" s="4">
        <f>AM8*1.02</f>
        <v>363.05689260000008</v>
      </c>
      <c r="AO8" s="4">
        <f t="shared" ref="AO8:AV8" si="7">AN8*1.01</f>
        <v>366.68746152600011</v>
      </c>
      <c r="AP8" s="4">
        <f t="shared" si="7"/>
        <v>370.35433614126009</v>
      </c>
      <c r="AQ8" s="4">
        <f t="shared" si="7"/>
        <v>374.05787950267268</v>
      </c>
      <c r="AR8" s="4">
        <f t="shared" si="7"/>
        <v>377.79845829769943</v>
      </c>
      <c r="AS8" s="4">
        <f t="shared" si="7"/>
        <v>381.57644288067644</v>
      </c>
      <c r="AT8" s="4">
        <f t="shared" si="7"/>
        <v>385.39220730948318</v>
      </c>
      <c r="AU8" s="4">
        <f t="shared" si="7"/>
        <v>389.24612938257803</v>
      </c>
      <c r="AV8" s="4">
        <f t="shared" si="7"/>
        <v>393.13859067640379</v>
      </c>
    </row>
    <row r="9" spans="2:158" x14ac:dyDescent="0.3">
      <c r="B9" t="s">
        <v>25</v>
      </c>
      <c r="C9" s="4">
        <v>9.5</v>
      </c>
      <c r="D9" s="4">
        <v>9.1999999999999993</v>
      </c>
      <c r="E9" s="4">
        <v>11.6</v>
      </c>
      <c r="G9" s="4">
        <v>12.9</v>
      </c>
      <c r="H9" s="4">
        <v>13.8</v>
      </c>
      <c r="I9" s="4">
        <v>15.2</v>
      </c>
      <c r="J9" s="4">
        <v>15.5</v>
      </c>
      <c r="K9" s="4">
        <v>14.5</v>
      </c>
      <c r="L9" s="4">
        <v>15.1</v>
      </c>
      <c r="M9" s="4">
        <v>17.100000000000001</v>
      </c>
      <c r="N9" s="4">
        <v>18</v>
      </c>
      <c r="O9" s="4">
        <v>15.6</v>
      </c>
      <c r="P9" s="4">
        <v>15.7</v>
      </c>
      <c r="Q9" s="4">
        <v>16.8</v>
      </c>
      <c r="R9" s="4">
        <v>15.6</v>
      </c>
      <c r="S9" s="4">
        <v>16.100000000000001</v>
      </c>
      <c r="T9" s="4">
        <v>16.7</v>
      </c>
      <c r="U9" s="4">
        <v>16.600000000000001</v>
      </c>
      <c r="V9" s="4">
        <v>17.399999999999999</v>
      </c>
      <c r="W9" s="4">
        <v>16.5</v>
      </c>
      <c r="X9" s="4">
        <v>17</v>
      </c>
      <c r="Y9" s="4">
        <v>17.600000000000001</v>
      </c>
      <c r="Z9" s="4">
        <v>17.5</v>
      </c>
      <c r="AA9" s="4">
        <v>16.7</v>
      </c>
      <c r="AB9" s="4">
        <f t="shared" ref="AB9" si="8">X9*1.03</f>
        <v>17.510000000000002</v>
      </c>
      <c r="AC9" s="4"/>
      <c r="AE9" s="4">
        <v>32</v>
      </c>
      <c r="AF9" s="4">
        <v>37.5</v>
      </c>
      <c r="AG9" s="4">
        <v>50.1</v>
      </c>
      <c r="AH9" s="4">
        <f>SUM(I9:L9)</f>
        <v>60.300000000000004</v>
      </c>
      <c r="AI9" s="4">
        <f>SUM(M9:P9)</f>
        <v>66.400000000000006</v>
      </c>
      <c r="AJ9" s="4">
        <f>SUM(Q9:T9)</f>
        <v>65.2</v>
      </c>
      <c r="AK9" s="4">
        <f>SUM(U9:X9)</f>
        <v>67.5</v>
      </c>
      <c r="AL9" s="4">
        <f>SUM(Y9:AB9)</f>
        <v>69.31</v>
      </c>
      <c r="AM9" s="4">
        <f>AL9*1.02</f>
        <v>70.696200000000005</v>
      </c>
      <c r="AN9" s="4">
        <f t="shared" ref="AN9" si="9">AM9*1.02</f>
        <v>72.110123999999999</v>
      </c>
      <c r="AO9" s="4">
        <f>AN9*1.01</f>
        <v>72.831225239999995</v>
      </c>
      <c r="AP9" s="4">
        <f t="shared" ref="AP9:AV9" si="10">AO9*1.01</f>
        <v>73.559537492399997</v>
      </c>
      <c r="AQ9" s="4">
        <f t="shared" si="10"/>
        <v>74.295132867324</v>
      </c>
      <c r="AR9" s="4">
        <f t="shared" si="10"/>
        <v>75.038084195997243</v>
      </c>
      <c r="AS9" s="4">
        <f t="shared" si="10"/>
        <v>75.788465037957209</v>
      </c>
      <c r="AT9" s="4">
        <f t="shared" si="10"/>
        <v>76.546349688336775</v>
      </c>
      <c r="AU9" s="4">
        <f t="shared" si="10"/>
        <v>77.311813185220146</v>
      </c>
      <c r="AV9" s="4">
        <f t="shared" si="10"/>
        <v>78.084931317072346</v>
      </c>
    </row>
    <row r="10" spans="2:158" s="1" customFormat="1" x14ac:dyDescent="0.3">
      <c r="B10" s="1" t="s">
        <v>26</v>
      </c>
      <c r="C10" s="8">
        <f>C7-C8-C9</f>
        <v>10.999999999999986</v>
      </c>
      <c r="D10" s="8">
        <f>D7-D8-D9</f>
        <v>14.3</v>
      </c>
      <c r="E10" s="8">
        <f t="shared" ref="E10" si="11">E7-E8-E9</f>
        <v>13.299999999999992</v>
      </c>
      <c r="G10" s="8">
        <f>G7-G8-G9</f>
        <v>49.700000000000038</v>
      </c>
      <c r="H10" s="8">
        <f>H7-H8-H9</f>
        <v>58.899999999999963</v>
      </c>
      <c r="I10" s="8">
        <f t="shared" ref="I10" si="12">I7-I8-I9</f>
        <v>67.199999999999946</v>
      </c>
      <c r="J10" s="8">
        <f t="shared" ref="J10:Q10" si="13">J7-J8-J9</f>
        <v>34.599999999999952</v>
      </c>
      <c r="K10" s="8">
        <f t="shared" si="13"/>
        <v>10.700000000000017</v>
      </c>
      <c r="L10" s="8">
        <f t="shared" si="13"/>
        <v>25.20000000000001</v>
      </c>
      <c r="M10" s="8">
        <f t="shared" si="13"/>
        <v>-2.3999999999999844</v>
      </c>
      <c r="N10" s="8">
        <f t="shared" si="13"/>
        <v>-54.900000000000034</v>
      </c>
      <c r="O10" s="8">
        <f t="shared" si="13"/>
        <v>-10.899999999999983</v>
      </c>
      <c r="P10" s="8">
        <f t="shared" si="13"/>
        <v>13.600000000000012</v>
      </c>
      <c r="Q10" s="8">
        <f t="shared" si="13"/>
        <v>1.0999999999999766</v>
      </c>
      <c r="R10" s="8">
        <f t="shared" ref="R10" si="14">R7-R8-R9</f>
        <v>-2.8000000000000167</v>
      </c>
      <c r="S10" s="8">
        <f>S7-S8-S9</f>
        <v>-0.70000000000002416</v>
      </c>
      <c r="T10" s="8">
        <f>T7-T8-T9</f>
        <v>12.199999999999992</v>
      </c>
      <c r="U10" s="8">
        <f>U7-U8-U9</f>
        <v>-10.099999999999987</v>
      </c>
      <c r="V10" s="8">
        <f t="shared" ref="V10" si="15">V7-V8-V9</f>
        <v>-24.699999999999982</v>
      </c>
      <c r="W10" s="8">
        <f>W7-W8-W9</f>
        <v>-20.900000000000006</v>
      </c>
      <c r="X10" s="8">
        <f>X7-X8-X9</f>
        <v>5.9000000000000483</v>
      </c>
      <c r="Y10" s="8">
        <f t="shared" ref="Y10:AB10" si="16">Y7-Y8-Y9</f>
        <v>-2.1999999999999673</v>
      </c>
      <c r="Z10" s="8">
        <f t="shared" si="16"/>
        <v>-16.899999999999963</v>
      </c>
      <c r="AA10" s="8">
        <f t="shared" si="16"/>
        <v>-5.5999999999999766</v>
      </c>
      <c r="AB10" s="8">
        <f t="shared" si="16"/>
        <v>8.185080000000017</v>
      </c>
      <c r="AC10" s="8"/>
      <c r="AE10" s="8">
        <f>AE7-AE8-AE9</f>
        <v>21.80000000000004</v>
      </c>
      <c r="AF10" s="8">
        <f>AF7-AF8-AF9</f>
        <v>23.800000000000068</v>
      </c>
      <c r="AG10" s="8">
        <f>AG7-AG8-AG9</f>
        <v>158.4</v>
      </c>
      <c r="AH10" s="8">
        <f>AH7-AH8-AH9</f>
        <v>137.69999999999999</v>
      </c>
      <c r="AI10" s="8">
        <f t="shared" ref="AI10:AR10" si="17">AI7-AI8-AI9</f>
        <v>-54.600000000000165</v>
      </c>
      <c r="AJ10" s="8">
        <f t="shared" si="17"/>
        <v>9.7999999999999403</v>
      </c>
      <c r="AK10" s="8">
        <f t="shared" si="17"/>
        <v>-49.799999999999841</v>
      </c>
      <c r="AL10" s="8">
        <f t="shared" si="17"/>
        <v>-16.51491999999979</v>
      </c>
      <c r="AM10" s="8">
        <f t="shared" si="17"/>
        <v>-10.660946799999948</v>
      </c>
      <c r="AN10" s="8">
        <f t="shared" si="17"/>
        <v>1.6050357600000638</v>
      </c>
      <c r="AO10" s="8">
        <f t="shared" si="17"/>
        <v>31.548060075600105</v>
      </c>
      <c r="AP10" s="8">
        <f t="shared" si="17"/>
        <v>41.284875613188106</v>
      </c>
      <c r="AQ10" s="8">
        <f t="shared" si="17"/>
        <v>46.549711861788481</v>
      </c>
      <c r="AR10" s="8">
        <f t="shared" si="17"/>
        <v>51.964236222724224</v>
      </c>
      <c r="AS10" s="8">
        <f t="shared" ref="AS10:AV10" si="18">AS7-AS8-AS9</f>
        <v>57.531886372115665</v>
      </c>
      <c r="AT10" s="8">
        <f t="shared" si="18"/>
        <v>63.25617317874439</v>
      </c>
      <c r="AU10" s="8">
        <f t="shared" si="18"/>
        <v>69.140682212297477</v>
      </c>
      <c r="AV10" s="8">
        <f t="shared" si="18"/>
        <v>75.189075282221381</v>
      </c>
    </row>
    <row r="11" spans="2:158" x14ac:dyDescent="0.3">
      <c r="B11" t="s">
        <v>27</v>
      </c>
      <c r="C11" s="4">
        <v>9.1</v>
      </c>
      <c r="D11" s="4">
        <v>8.5</v>
      </c>
      <c r="E11" s="4">
        <v>9.4</v>
      </c>
      <c r="G11" s="4">
        <v>10.199999999999999</v>
      </c>
      <c r="H11" s="4">
        <v>6</v>
      </c>
      <c r="I11" s="4">
        <v>4.9000000000000004</v>
      </c>
      <c r="J11" s="4">
        <v>4.5</v>
      </c>
      <c r="K11" s="4">
        <v>7.2</v>
      </c>
      <c r="L11" s="4">
        <v>1</v>
      </c>
      <c r="M11" s="4">
        <v>1.3</v>
      </c>
      <c r="N11" s="4">
        <v>1.7</v>
      </c>
      <c r="O11" s="4">
        <v>2.7</v>
      </c>
      <c r="P11" s="4">
        <v>3.9</v>
      </c>
      <c r="Q11" s="4">
        <v>4.3</v>
      </c>
      <c r="R11" s="4">
        <v>4.5</v>
      </c>
      <c r="S11" s="4">
        <v>4.3</v>
      </c>
      <c r="T11" s="4">
        <v>4.4000000000000004</v>
      </c>
      <c r="U11" s="4">
        <v>3.7</v>
      </c>
      <c r="V11" s="4">
        <v>3.4</v>
      </c>
      <c r="W11" s="4">
        <v>3</v>
      </c>
      <c r="X11" s="4">
        <v>3.1</v>
      </c>
      <c r="Y11" s="4">
        <v>2.7</v>
      </c>
      <c r="Z11" s="4">
        <v>2.5</v>
      </c>
      <c r="AA11" s="4">
        <v>2.1</v>
      </c>
      <c r="AB11" s="4">
        <f t="shared" ref="AB11" si="19">X11*1.02</f>
        <v>3.1620000000000004</v>
      </c>
      <c r="AC11" s="4"/>
      <c r="AE11" s="4">
        <v>32.700000000000003</v>
      </c>
      <c r="AF11" s="4">
        <v>35.5</v>
      </c>
      <c r="AG11" s="4">
        <v>35.1</v>
      </c>
      <c r="AH11" s="4">
        <f>SUM(I11:L11)</f>
        <v>17.600000000000001</v>
      </c>
      <c r="AI11" s="4">
        <f>SUM(M11:P11)</f>
        <v>9.6</v>
      </c>
      <c r="AJ11" s="4">
        <f>SUM(Q11:T11)</f>
        <v>17.5</v>
      </c>
      <c r="AK11" s="4">
        <f>SUM(U11:X11)</f>
        <v>13.2</v>
      </c>
      <c r="AL11" s="4">
        <f>SUM(Y11:AB11)</f>
        <v>10.462000000000002</v>
      </c>
      <c r="AM11" s="4">
        <f>AL11*1.03</f>
        <v>10.775860000000002</v>
      </c>
      <c r="AN11" s="4">
        <f t="shared" ref="AN11:AV11" si="20">AM11*1.03</f>
        <v>11.099135800000003</v>
      </c>
      <c r="AO11" s="4">
        <f t="shared" si="20"/>
        <v>11.432109874000004</v>
      </c>
      <c r="AP11" s="4">
        <f t="shared" si="20"/>
        <v>11.775073170220004</v>
      </c>
      <c r="AQ11" s="4">
        <f t="shared" si="20"/>
        <v>12.128325365326605</v>
      </c>
      <c r="AR11" s="4">
        <f t="shared" si="20"/>
        <v>12.492175126286403</v>
      </c>
      <c r="AS11" s="4">
        <f t="shared" si="20"/>
        <v>12.866940380074995</v>
      </c>
      <c r="AT11" s="4">
        <f t="shared" si="20"/>
        <v>13.252948591477246</v>
      </c>
      <c r="AU11" s="4">
        <f t="shared" si="20"/>
        <v>13.650537049221564</v>
      </c>
      <c r="AV11" s="4">
        <f t="shared" si="20"/>
        <v>14.06005316069821</v>
      </c>
    </row>
    <row r="12" spans="2:158" x14ac:dyDescent="0.3">
      <c r="B12" t="s">
        <v>28</v>
      </c>
      <c r="C12" s="4">
        <v>0.4</v>
      </c>
      <c r="D12" s="4">
        <v>0.1</v>
      </c>
      <c r="E12" s="4">
        <v>0.1</v>
      </c>
      <c r="G12" s="4">
        <v>0</v>
      </c>
      <c r="H12" s="4">
        <v>1.2</v>
      </c>
      <c r="I12" s="4">
        <v>2.4</v>
      </c>
      <c r="J12" s="4">
        <v>0.2</v>
      </c>
      <c r="K12" s="4">
        <v>1.4</v>
      </c>
      <c r="L12" s="4">
        <v>1.7</v>
      </c>
      <c r="M12" s="4">
        <v>0.5</v>
      </c>
      <c r="N12" s="4">
        <v>-0.6</v>
      </c>
      <c r="O12" s="4">
        <v>-1.7</v>
      </c>
      <c r="P12" s="4">
        <f>-0.4+1.6</f>
        <v>1.2000000000000002</v>
      </c>
      <c r="Q12" s="4">
        <f>-1.5+0.5</f>
        <v>-1</v>
      </c>
      <c r="R12" s="4">
        <f>-2+1.1</f>
        <v>-0.89999999999999991</v>
      </c>
      <c r="S12" s="4">
        <f>-1.7-0.3</f>
        <v>-2</v>
      </c>
      <c r="T12" s="4">
        <f>-1.6+1.3</f>
        <v>-0.30000000000000004</v>
      </c>
      <c r="U12" s="4">
        <f>-1.6+0.5</f>
        <v>-1.1000000000000001</v>
      </c>
      <c r="V12" s="4">
        <f>-1.2+0.5</f>
        <v>-0.7</v>
      </c>
      <c r="W12" s="4">
        <f>-0.3+0.9</f>
        <v>0.60000000000000009</v>
      </c>
      <c r="X12" s="4">
        <v>-0.3</v>
      </c>
      <c r="Y12" s="4">
        <f>-0.6+3.9</f>
        <v>3.3</v>
      </c>
      <c r="Z12" s="4">
        <f>-0.6+1.9</f>
        <v>1.2999999999999998</v>
      </c>
      <c r="AA12" s="4">
        <f>-0.2+0.8</f>
        <v>0.60000000000000009</v>
      </c>
      <c r="AB12" s="4">
        <v>0</v>
      </c>
      <c r="AC12" s="4"/>
      <c r="AE12" s="4">
        <v>-0.2</v>
      </c>
      <c r="AF12" s="4">
        <v>1.6</v>
      </c>
      <c r="AG12" s="4">
        <v>1.2</v>
      </c>
      <c r="AH12" s="4">
        <f>SUM(I12:L12)</f>
        <v>5.7</v>
      </c>
      <c r="AI12" s="4">
        <f>SUM(M12:P12)</f>
        <v>-0.59999999999999964</v>
      </c>
      <c r="AJ12" s="4">
        <f>SUM(Q12:T12)</f>
        <v>-4.2</v>
      </c>
      <c r="AK12" s="4">
        <f>SUM(U12:X12)</f>
        <v>-1.5</v>
      </c>
      <c r="AL12" s="4">
        <f>SUM(Y12:AB12)</f>
        <v>5.1999999999999993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</row>
    <row r="13" spans="2:158" s="1" customFormat="1" x14ac:dyDescent="0.3">
      <c r="B13" s="1" t="s">
        <v>29</v>
      </c>
      <c r="C13" s="8">
        <f>C10-C11-C12</f>
        <v>1.4999999999999862</v>
      </c>
      <c r="D13" s="8">
        <f>D10-D11-D12</f>
        <v>5.7000000000000011</v>
      </c>
      <c r="E13" s="8">
        <f t="shared" ref="E13" si="21">E10-E11-E12</f>
        <v>3.7999999999999914</v>
      </c>
      <c r="G13" s="8">
        <f>G10-G11-G12</f>
        <v>39.500000000000043</v>
      </c>
      <c r="H13" s="8">
        <f>H10-H11-H12</f>
        <v>51.69999999999996</v>
      </c>
      <c r="I13" s="8">
        <f t="shared" ref="I13" si="22">I10-I11-I12</f>
        <v>59.899999999999949</v>
      </c>
      <c r="J13" s="8">
        <f t="shared" ref="J13:Q13" si="23">J10-J11-J12</f>
        <v>29.899999999999952</v>
      </c>
      <c r="K13" s="8">
        <f t="shared" si="23"/>
        <v>2.100000000000017</v>
      </c>
      <c r="L13" s="8">
        <f t="shared" si="23"/>
        <v>22.500000000000011</v>
      </c>
      <c r="M13" s="8">
        <f t="shared" si="23"/>
        <v>-4.1999999999999842</v>
      </c>
      <c r="N13" s="8">
        <f t="shared" si="23"/>
        <v>-56.000000000000036</v>
      </c>
      <c r="O13" s="8">
        <f t="shared" si="23"/>
        <v>-11.899999999999984</v>
      </c>
      <c r="P13" s="8">
        <f t="shared" si="23"/>
        <v>8.5000000000000107</v>
      </c>
      <c r="Q13" s="8">
        <f t="shared" si="23"/>
        <v>-2.2000000000000233</v>
      </c>
      <c r="R13" s="8">
        <f t="shared" ref="R13" si="24">R10-R11-R12</f>
        <v>-6.4000000000000163</v>
      </c>
      <c r="S13" s="8">
        <f>S10-S11-S12</f>
        <v>-3.000000000000024</v>
      </c>
      <c r="T13" s="8">
        <f>T10-T11-T12</f>
        <v>8.0999999999999925</v>
      </c>
      <c r="U13" s="8">
        <f>U10-U11-U12</f>
        <v>-12.699999999999987</v>
      </c>
      <c r="V13" s="8">
        <f t="shared" ref="V13" si="25">V10-V11-V12</f>
        <v>-27.399999999999981</v>
      </c>
      <c r="W13" s="8">
        <f>W10-W11-W12</f>
        <v>-24.500000000000007</v>
      </c>
      <c r="X13" s="8">
        <f>X10-X11-X12</f>
        <v>3.1000000000000481</v>
      </c>
      <c r="Y13" s="8">
        <f t="shared" ref="Y13:AB13" si="26">Y10-Y11-Y12</f>
        <v>-8.1999999999999673</v>
      </c>
      <c r="Z13" s="8">
        <f t="shared" si="26"/>
        <v>-20.699999999999964</v>
      </c>
      <c r="AA13" s="8">
        <f t="shared" si="26"/>
        <v>-8.2999999999999758</v>
      </c>
      <c r="AB13" s="8">
        <f t="shared" si="26"/>
        <v>5.0230800000000162</v>
      </c>
      <c r="AC13" s="8"/>
      <c r="AE13" s="8">
        <f>AE10-AE11-AE12</f>
        <v>-10.699999999999964</v>
      </c>
      <c r="AF13" s="8">
        <f>AF10-AF11-AF12</f>
        <v>-13.299999999999931</v>
      </c>
      <c r="AG13" s="8">
        <f>AG10-AG11-AG12</f>
        <v>122.10000000000001</v>
      </c>
      <c r="AH13" s="8">
        <f>AH10-AH11-AH12</f>
        <v>114.39999999999999</v>
      </c>
      <c r="AI13" s="8">
        <f t="shared" ref="AI13:AR13" si="27">AI10-AI11-AI12</f>
        <v>-63.600000000000158</v>
      </c>
      <c r="AJ13" s="8">
        <f t="shared" si="27"/>
        <v>-3.5000000000000595</v>
      </c>
      <c r="AK13" s="8">
        <f t="shared" si="27"/>
        <v>-61.499999999999844</v>
      </c>
      <c r="AL13" s="8">
        <f t="shared" si="27"/>
        <v>-32.176919999999797</v>
      </c>
      <c r="AM13" s="8">
        <f t="shared" si="27"/>
        <v>-21.43680679999995</v>
      </c>
      <c r="AN13" s="8">
        <f t="shared" si="27"/>
        <v>-9.4941000399999389</v>
      </c>
      <c r="AO13" s="8">
        <f t="shared" si="27"/>
        <v>20.1159502016001</v>
      </c>
      <c r="AP13" s="8">
        <f t="shared" si="27"/>
        <v>29.509802442968102</v>
      </c>
      <c r="AQ13" s="8">
        <f t="shared" si="27"/>
        <v>34.421386496461878</v>
      </c>
      <c r="AR13" s="8">
        <f t="shared" si="27"/>
        <v>39.47206109643782</v>
      </c>
      <c r="AS13" s="8">
        <f t="shared" ref="AS13:AV13" si="28">AS10-AS11-AS12</f>
        <v>44.664945992040671</v>
      </c>
      <c r="AT13" s="8">
        <f t="shared" si="28"/>
        <v>50.003224587267141</v>
      </c>
      <c r="AU13" s="8">
        <f t="shared" si="28"/>
        <v>55.490145163075915</v>
      </c>
      <c r="AV13" s="8">
        <f t="shared" si="28"/>
        <v>61.129022121523171</v>
      </c>
    </row>
    <row r="14" spans="2:158" x14ac:dyDescent="0.3">
      <c r="B14" t="s">
        <v>30</v>
      </c>
      <c r="C14" s="4">
        <v>-0.1</v>
      </c>
      <c r="D14" s="4">
        <v>-0.4</v>
      </c>
      <c r="E14" s="4">
        <v>2.7</v>
      </c>
      <c r="G14" s="4">
        <v>3.2</v>
      </c>
      <c r="H14" s="4">
        <v>8.6999999999999993</v>
      </c>
      <c r="I14" s="4">
        <v>13.2</v>
      </c>
      <c r="J14" s="4">
        <v>2.2999999999999998</v>
      </c>
      <c r="K14" s="4">
        <v>0.4</v>
      </c>
      <c r="L14" s="4">
        <v>-2.2999999999999998</v>
      </c>
      <c r="M14" s="4">
        <v>-1</v>
      </c>
      <c r="N14" s="4">
        <v>-4.2</v>
      </c>
      <c r="O14" s="4">
        <v>-6.1</v>
      </c>
      <c r="P14" s="4">
        <v>1.4</v>
      </c>
      <c r="Q14" s="4">
        <v>-0.6</v>
      </c>
      <c r="R14" s="4">
        <v>-2.2999999999999998</v>
      </c>
      <c r="S14" s="4">
        <v>-0.1</v>
      </c>
      <c r="T14" s="4">
        <v>0.6</v>
      </c>
      <c r="U14" s="4">
        <v>-1.8</v>
      </c>
      <c r="V14" s="4">
        <v>-4</v>
      </c>
      <c r="W14" s="4">
        <v>27</v>
      </c>
      <c r="X14" s="4">
        <v>0.5</v>
      </c>
      <c r="Y14" s="4">
        <v>2.1</v>
      </c>
      <c r="Z14" s="4">
        <v>-0.4</v>
      </c>
      <c r="AA14" s="4">
        <v>2.1</v>
      </c>
      <c r="AB14" s="4">
        <f t="shared" ref="AB14" si="29">AB13*0.2</f>
        <v>1.0046160000000033</v>
      </c>
      <c r="AC14" s="4"/>
      <c r="AE14" s="4">
        <v>3</v>
      </c>
      <c r="AF14" s="4">
        <v>-5</v>
      </c>
      <c r="AG14" s="4">
        <v>18.8</v>
      </c>
      <c r="AH14" s="4">
        <f>SUM(I14:L14)</f>
        <v>13.600000000000001</v>
      </c>
      <c r="AI14" s="4">
        <f>SUM(M14:P14)</f>
        <v>-9.9</v>
      </c>
      <c r="AJ14" s="4">
        <f>SUM(Q14:T14)</f>
        <v>-2.4</v>
      </c>
      <c r="AK14" s="4">
        <f>SUM(U14:X14)</f>
        <v>21.7</v>
      </c>
      <c r="AL14" s="4">
        <f>SUM(Y14:AB14)</f>
        <v>4.8046160000000038</v>
      </c>
      <c r="AM14" s="4">
        <f t="shared" ref="AM14:AR14" si="30">AM13*0.19</f>
        <v>-4.0729932919999907</v>
      </c>
      <c r="AN14" s="4">
        <f t="shared" si="30"/>
        <v>-1.8038790075999884</v>
      </c>
      <c r="AO14" s="4">
        <f t="shared" si="30"/>
        <v>3.822030538304019</v>
      </c>
      <c r="AP14" s="4">
        <f t="shared" si="30"/>
        <v>5.6068624641639397</v>
      </c>
      <c r="AQ14" s="4">
        <f t="shared" si="30"/>
        <v>6.5400634343277568</v>
      </c>
      <c r="AR14" s="4">
        <f t="shared" si="30"/>
        <v>7.4996916083231859</v>
      </c>
      <c r="AS14" s="4">
        <f t="shared" ref="AS14:AV14" si="31">AS13*0.19</f>
        <v>8.486339738487727</v>
      </c>
      <c r="AT14" s="4">
        <f t="shared" si="31"/>
        <v>9.5006126715807575</v>
      </c>
      <c r="AU14" s="4">
        <f t="shared" si="31"/>
        <v>10.543127580984423</v>
      </c>
      <c r="AV14" s="4">
        <f t="shared" si="31"/>
        <v>11.614514203089403</v>
      </c>
    </row>
    <row r="15" spans="2:158" x14ac:dyDescent="0.3">
      <c r="B15" t="s">
        <v>60</v>
      </c>
      <c r="C15" s="4"/>
      <c r="D15" s="4"/>
      <c r="E15" s="4"/>
      <c r="G15" s="4"/>
      <c r="H15" s="4"/>
      <c r="I15" s="4"/>
      <c r="J15" s="4">
        <v>0</v>
      </c>
      <c r="K15" s="4">
        <v>0</v>
      </c>
      <c r="L15" s="4">
        <v>0</v>
      </c>
      <c r="M15" s="4">
        <f>-0.4+2.3</f>
        <v>1.9</v>
      </c>
      <c r="N15" s="4">
        <f>0.2+7.4</f>
        <v>7.6000000000000005</v>
      </c>
      <c r="O15" s="4">
        <f>0.3+2.7</f>
        <v>3</v>
      </c>
      <c r="P15" s="4">
        <f>0.4-5.8</f>
        <v>-5.3999999999999995</v>
      </c>
      <c r="Q15" s="4">
        <f>0.4-1</f>
        <v>-0.6</v>
      </c>
      <c r="R15" s="4">
        <f>0.4-5.6</f>
        <v>-5.1999999999999993</v>
      </c>
      <c r="S15" s="4">
        <v>0.2</v>
      </c>
      <c r="T15" s="4">
        <f>0.6+0.8</f>
        <v>1.4</v>
      </c>
      <c r="U15" s="4">
        <f>0.5+1</f>
        <v>1.5</v>
      </c>
      <c r="V15" s="4">
        <f>0.7+5.4</f>
        <v>6.1000000000000005</v>
      </c>
      <c r="W15" s="4">
        <f>0.1+6.7</f>
        <v>6.8</v>
      </c>
      <c r="X15" s="4">
        <v>0.4</v>
      </c>
      <c r="Y15" s="4">
        <v>0.1</v>
      </c>
      <c r="Z15" s="4">
        <v>0.6</v>
      </c>
      <c r="AA15" s="4">
        <v>0.2</v>
      </c>
      <c r="AB15" s="4">
        <v>0</v>
      </c>
      <c r="AC15" s="4"/>
      <c r="AE15" s="4"/>
      <c r="AF15" s="4"/>
      <c r="AG15" s="4"/>
      <c r="AH15" s="4"/>
      <c r="AI15" s="4">
        <f>SUM(M15:P15)</f>
        <v>7.1000000000000005</v>
      </c>
      <c r="AJ15" s="4">
        <f>SUM(Q15:T15)</f>
        <v>-4.1999999999999993</v>
      </c>
      <c r="AK15" s="4">
        <f>SUM(U15:X15)</f>
        <v>14.8</v>
      </c>
      <c r="AL15" s="4">
        <f>SUM(Y15:AB15)</f>
        <v>0.89999999999999991</v>
      </c>
      <c r="AM15" s="4"/>
      <c r="AN15" s="4"/>
      <c r="AO15" s="4"/>
      <c r="AP15" s="4"/>
      <c r="AQ15" s="4"/>
      <c r="AR15" s="4"/>
      <c r="AS15" s="4"/>
      <c r="AT15" s="4"/>
      <c r="AU15" s="4"/>
      <c r="AV15" s="4"/>
    </row>
    <row r="16" spans="2:158" s="1" customFormat="1" x14ac:dyDescent="0.3">
      <c r="B16" s="1" t="s">
        <v>31</v>
      </c>
      <c r="C16" s="8">
        <f>C13-C14</f>
        <v>1.5999999999999863</v>
      </c>
      <c r="D16" s="8">
        <f>D13-D14</f>
        <v>6.1000000000000014</v>
      </c>
      <c r="E16" s="8">
        <f t="shared" ref="E16" si="32">E13-E14</f>
        <v>1.0999999999999912</v>
      </c>
      <c r="G16" s="8">
        <f>G13-G14</f>
        <v>36.30000000000004</v>
      </c>
      <c r="H16" s="8">
        <f>H13-H14</f>
        <v>42.999999999999957</v>
      </c>
      <c r="I16" s="8">
        <f t="shared" ref="I16" si="33">I13-I14</f>
        <v>46.699999999999946</v>
      </c>
      <c r="J16" s="8">
        <f t="shared" ref="J16:X16" si="34">J13-J14-J15</f>
        <v>27.599999999999952</v>
      </c>
      <c r="K16" s="8">
        <f t="shared" si="34"/>
        <v>1.7000000000000171</v>
      </c>
      <c r="L16" s="8">
        <f t="shared" si="34"/>
        <v>24.800000000000011</v>
      </c>
      <c r="M16" s="8">
        <f t="shared" si="34"/>
        <v>-5.0999999999999837</v>
      </c>
      <c r="N16" s="8">
        <f t="shared" si="34"/>
        <v>-59.400000000000034</v>
      </c>
      <c r="O16" s="8">
        <f t="shared" si="34"/>
        <v>-8.7999999999999847</v>
      </c>
      <c r="P16" s="8">
        <f t="shared" si="34"/>
        <v>12.500000000000011</v>
      </c>
      <c r="Q16" s="8">
        <f t="shared" si="34"/>
        <v>-1.0000000000000231</v>
      </c>
      <c r="R16" s="8">
        <f t="shared" si="34"/>
        <v>1.0999999999999828</v>
      </c>
      <c r="S16" s="8">
        <f t="shared" si="34"/>
        <v>-3.1000000000000241</v>
      </c>
      <c r="T16" s="8">
        <f t="shared" si="34"/>
        <v>6.0999999999999925</v>
      </c>
      <c r="U16" s="8">
        <f t="shared" si="34"/>
        <v>-12.399999999999986</v>
      </c>
      <c r="V16" s="8">
        <f t="shared" si="34"/>
        <v>-29.499999999999982</v>
      </c>
      <c r="W16" s="8">
        <f t="shared" si="34"/>
        <v>-58.300000000000004</v>
      </c>
      <c r="X16" s="8">
        <f t="shared" si="34"/>
        <v>2.2000000000000481</v>
      </c>
      <c r="Y16" s="8">
        <f t="shared" ref="Y16" si="35">Y13-Y14-Y15</f>
        <v>-10.399999999999967</v>
      </c>
      <c r="Z16" s="8">
        <f t="shared" ref="Z16" si="36">Z13-Z14-Z15</f>
        <v>-20.899999999999967</v>
      </c>
      <c r="AA16" s="8">
        <f t="shared" ref="AA16" si="37">AA13-AA14-AA15</f>
        <v>-10.599999999999975</v>
      </c>
      <c r="AB16" s="8">
        <f t="shared" ref="AB16" si="38">AB13-AB14-AB15</f>
        <v>4.0184640000000131</v>
      </c>
      <c r="AC16" s="8"/>
      <c r="AE16" s="8">
        <f>AE13-AE14</f>
        <v>-13.699999999999964</v>
      </c>
      <c r="AF16" s="8">
        <f>AF13-AF14</f>
        <v>-8.2999999999999314</v>
      </c>
      <c r="AG16" s="8">
        <f>AG13-AG14</f>
        <v>103.30000000000001</v>
      </c>
      <c r="AH16" s="8">
        <f>AH13-AH14</f>
        <v>100.79999999999998</v>
      </c>
      <c r="AI16" s="8">
        <f t="shared" ref="AI16:AV16" si="39">AI13-AI14-AI15</f>
        <v>-60.800000000000161</v>
      </c>
      <c r="AJ16" s="8">
        <f t="shared" si="39"/>
        <v>3.0999999999999397</v>
      </c>
      <c r="AK16" s="8">
        <f t="shared" si="39"/>
        <v>-97.999999999999844</v>
      </c>
      <c r="AL16" s="8">
        <f t="shared" si="39"/>
        <v>-37.881535999999798</v>
      </c>
      <c r="AM16" s="8">
        <f t="shared" si="39"/>
        <v>-17.363813507999957</v>
      </c>
      <c r="AN16" s="8">
        <f t="shared" si="39"/>
        <v>-7.6902210323999505</v>
      </c>
      <c r="AO16" s="8">
        <f t="shared" si="39"/>
        <v>16.29391966329608</v>
      </c>
      <c r="AP16" s="8">
        <f t="shared" si="39"/>
        <v>23.902939978804163</v>
      </c>
      <c r="AQ16" s="8">
        <f t="shared" si="39"/>
        <v>27.881323062134122</v>
      </c>
      <c r="AR16" s="8">
        <f t="shared" si="39"/>
        <v>31.972369488114634</v>
      </c>
      <c r="AS16" s="8">
        <f t="shared" si="39"/>
        <v>36.178606253552942</v>
      </c>
      <c r="AT16" s="8">
        <f t="shared" si="39"/>
        <v>40.502611915686387</v>
      </c>
      <c r="AU16" s="8">
        <f t="shared" si="39"/>
        <v>44.94701758209149</v>
      </c>
      <c r="AV16" s="8">
        <f t="shared" si="39"/>
        <v>49.514507918433765</v>
      </c>
      <c r="AW16" s="1">
        <f>AV16*(1+$AY$24)</f>
        <v>49.019362839249425</v>
      </c>
      <c r="AX16" s="1">
        <f t="shared" ref="AX16:DI16" si="40">AW16*(1+$AY$24)</f>
        <v>48.529169210856928</v>
      </c>
      <c r="AY16" s="1">
        <f t="shared" si="40"/>
        <v>48.04387751874836</v>
      </c>
      <c r="AZ16" s="1">
        <f t="shared" si="40"/>
        <v>47.563438743560873</v>
      </c>
      <c r="BA16" s="1">
        <f t="shared" si="40"/>
        <v>47.087804356125261</v>
      </c>
      <c r="BB16" s="1">
        <f t="shared" si="40"/>
        <v>46.616926312564011</v>
      </c>
      <c r="BC16" s="1">
        <f t="shared" si="40"/>
        <v>46.150757049438369</v>
      </c>
      <c r="BD16" s="1">
        <f t="shared" si="40"/>
        <v>45.689249478943985</v>
      </c>
      <c r="BE16" s="1">
        <f t="shared" si="40"/>
        <v>45.232356984154542</v>
      </c>
      <c r="BF16" s="1">
        <f t="shared" si="40"/>
        <v>44.780033414312996</v>
      </c>
      <c r="BG16" s="1">
        <f t="shared" si="40"/>
        <v>44.332233080169864</v>
      </c>
      <c r="BH16" s="1">
        <f t="shared" si="40"/>
        <v>43.888910749368165</v>
      </c>
      <c r="BI16" s="1">
        <f t="shared" si="40"/>
        <v>43.450021641874486</v>
      </c>
      <c r="BJ16" s="1">
        <f t="shared" si="40"/>
        <v>43.015521425455738</v>
      </c>
      <c r="BK16" s="1">
        <f t="shared" si="40"/>
        <v>42.585366211201183</v>
      </c>
      <c r="BL16" s="1">
        <f t="shared" si="40"/>
        <v>42.159512549089172</v>
      </c>
      <c r="BM16" s="1">
        <f t="shared" si="40"/>
        <v>41.737917423598283</v>
      </c>
      <c r="BN16" s="1">
        <f t="shared" si="40"/>
        <v>41.320538249362301</v>
      </c>
      <c r="BO16" s="1">
        <f t="shared" si="40"/>
        <v>40.907332866868678</v>
      </c>
      <c r="BP16" s="1">
        <f t="shared" si="40"/>
        <v>40.498259538199989</v>
      </c>
      <c r="BQ16" s="1">
        <f t="shared" si="40"/>
        <v>40.093276942817987</v>
      </c>
      <c r="BR16" s="1">
        <f t="shared" si="40"/>
        <v>39.692344173389806</v>
      </c>
      <c r="BS16" s="1">
        <f t="shared" si="40"/>
        <v>39.295420731655909</v>
      </c>
      <c r="BT16" s="1">
        <f t="shared" si="40"/>
        <v>38.902466524339353</v>
      </c>
      <c r="BU16" s="1">
        <f t="shared" si="40"/>
        <v>38.513441859095956</v>
      </c>
      <c r="BV16" s="1">
        <f t="shared" si="40"/>
        <v>38.128307440504997</v>
      </c>
      <c r="BW16" s="1">
        <f t="shared" si="40"/>
        <v>37.74702436609995</v>
      </c>
      <c r="BX16" s="1">
        <f t="shared" si="40"/>
        <v>37.369554122438949</v>
      </c>
      <c r="BY16" s="1">
        <f t="shared" si="40"/>
        <v>36.995858581214556</v>
      </c>
      <c r="BZ16" s="1">
        <f t="shared" si="40"/>
        <v>36.625899995402413</v>
      </c>
      <c r="CA16" s="1">
        <f t="shared" si="40"/>
        <v>36.259640995448386</v>
      </c>
      <c r="CB16" s="1">
        <f t="shared" si="40"/>
        <v>35.897044585493902</v>
      </c>
      <c r="CC16" s="1">
        <f t="shared" si="40"/>
        <v>35.538074139638965</v>
      </c>
      <c r="CD16" s="1">
        <f t="shared" si="40"/>
        <v>35.182693398242577</v>
      </c>
      <c r="CE16" s="1">
        <f t="shared" si="40"/>
        <v>34.830866464260154</v>
      </c>
      <c r="CF16" s="1">
        <f t="shared" si="40"/>
        <v>34.482557799617553</v>
      </c>
      <c r="CG16" s="1">
        <f t="shared" si="40"/>
        <v>34.137732221621377</v>
      </c>
      <c r="CH16" s="1">
        <f t="shared" si="40"/>
        <v>33.796354899405166</v>
      </c>
      <c r="CI16" s="1">
        <f t="shared" si="40"/>
        <v>33.458391350411112</v>
      </c>
      <c r="CJ16" s="1">
        <f t="shared" si="40"/>
        <v>33.123807436907001</v>
      </c>
      <c r="CK16" s="1">
        <f t="shared" si="40"/>
        <v>32.792569362537932</v>
      </c>
      <c r="CL16" s="1">
        <f t="shared" si="40"/>
        <v>32.464643668912551</v>
      </c>
      <c r="CM16" s="1">
        <f t="shared" si="40"/>
        <v>32.139997232223422</v>
      </c>
      <c r="CN16" s="1">
        <f t="shared" si="40"/>
        <v>31.818597259901189</v>
      </c>
      <c r="CO16" s="1">
        <f t="shared" si="40"/>
        <v>31.500411287302178</v>
      </c>
      <c r="CP16" s="1">
        <f t="shared" si="40"/>
        <v>31.185407174429155</v>
      </c>
      <c r="CQ16" s="1">
        <f t="shared" si="40"/>
        <v>30.873553102684863</v>
      </c>
      <c r="CR16" s="1">
        <f t="shared" si="40"/>
        <v>30.564817571658015</v>
      </c>
      <c r="CS16" s="1">
        <f t="shared" si="40"/>
        <v>30.259169395941434</v>
      </c>
      <c r="CT16" s="1">
        <f t="shared" si="40"/>
        <v>29.95657770198202</v>
      </c>
      <c r="CU16" s="1">
        <f t="shared" si="40"/>
        <v>29.657011924962198</v>
      </c>
      <c r="CV16" s="1">
        <f t="shared" si="40"/>
        <v>29.360441805712576</v>
      </c>
      <c r="CW16" s="1">
        <f t="shared" si="40"/>
        <v>29.06683738765545</v>
      </c>
      <c r="CX16" s="1">
        <f t="shared" si="40"/>
        <v>28.776169013778894</v>
      </c>
      <c r="CY16" s="1">
        <f t="shared" si="40"/>
        <v>28.488407323641106</v>
      </c>
      <c r="CZ16" s="1">
        <f t="shared" si="40"/>
        <v>28.203523250404693</v>
      </c>
      <c r="DA16" s="1">
        <f t="shared" si="40"/>
        <v>27.921488017900646</v>
      </c>
      <c r="DB16" s="1">
        <f t="shared" si="40"/>
        <v>27.642273137721638</v>
      </c>
      <c r="DC16" s="1">
        <f t="shared" si="40"/>
        <v>27.365850406344421</v>
      </c>
      <c r="DD16" s="1">
        <f t="shared" si="40"/>
        <v>27.092191902280977</v>
      </c>
      <c r="DE16" s="1">
        <f t="shared" si="40"/>
        <v>26.821269983258166</v>
      </c>
      <c r="DF16" s="1">
        <f t="shared" si="40"/>
        <v>26.553057283425584</v>
      </c>
      <c r="DG16" s="1">
        <f t="shared" si="40"/>
        <v>26.28752671059133</v>
      </c>
      <c r="DH16" s="1">
        <f t="shared" si="40"/>
        <v>26.024651443485418</v>
      </c>
      <c r="DI16" s="1">
        <f t="shared" si="40"/>
        <v>25.764404929050563</v>
      </c>
      <c r="DJ16" s="1">
        <f t="shared" ref="DJ16:FB16" si="41">DI16*(1+$AY$24)</f>
        <v>25.506760879760058</v>
      </c>
      <c r="DK16" s="1">
        <f t="shared" si="41"/>
        <v>25.251693270962459</v>
      </c>
      <c r="DL16" s="1">
        <f t="shared" si="41"/>
        <v>24.999176338252834</v>
      </c>
      <c r="DM16" s="1">
        <f t="shared" si="41"/>
        <v>24.749184574870306</v>
      </c>
      <c r="DN16" s="1">
        <f t="shared" si="41"/>
        <v>24.501692729121601</v>
      </c>
      <c r="DO16" s="1">
        <f t="shared" si="41"/>
        <v>24.256675801830383</v>
      </c>
      <c r="DP16" s="1">
        <f t="shared" si="41"/>
        <v>24.014109043812081</v>
      </c>
      <c r="DQ16" s="1">
        <f t="shared" si="41"/>
        <v>23.773967953373958</v>
      </c>
      <c r="DR16" s="1">
        <f t="shared" si="41"/>
        <v>23.536228273840219</v>
      </c>
      <c r="DS16" s="1">
        <f t="shared" si="41"/>
        <v>23.300865991101816</v>
      </c>
      <c r="DT16" s="1">
        <f t="shared" si="41"/>
        <v>23.067857331190798</v>
      </c>
      <c r="DU16" s="1">
        <f t="shared" si="41"/>
        <v>22.837178757878888</v>
      </c>
      <c r="DV16" s="1">
        <f t="shared" si="41"/>
        <v>22.608806970300098</v>
      </c>
      <c r="DW16" s="1">
        <f t="shared" si="41"/>
        <v>22.382718900597098</v>
      </c>
      <c r="DX16" s="1">
        <f t="shared" si="41"/>
        <v>22.158891711591128</v>
      </c>
      <c r="DY16" s="1">
        <f t="shared" si="41"/>
        <v>21.937302794475215</v>
      </c>
      <c r="DZ16" s="1">
        <f t="shared" si="41"/>
        <v>21.717929766530464</v>
      </c>
      <c r="EA16" s="1">
        <f t="shared" si="41"/>
        <v>21.50075046886516</v>
      </c>
      <c r="EB16" s="1">
        <f t="shared" si="41"/>
        <v>21.285742964176507</v>
      </c>
      <c r="EC16" s="1">
        <f t="shared" si="41"/>
        <v>21.072885534534741</v>
      </c>
      <c r="ED16" s="1">
        <f t="shared" si="41"/>
        <v>20.862156679189393</v>
      </c>
      <c r="EE16" s="1">
        <f t="shared" si="41"/>
        <v>20.653535112397499</v>
      </c>
      <c r="EF16" s="1">
        <f t="shared" si="41"/>
        <v>20.446999761273524</v>
      </c>
      <c r="EG16" s="1">
        <f t="shared" si="41"/>
        <v>20.242529763660787</v>
      </c>
      <c r="EH16" s="1">
        <f t="shared" si="41"/>
        <v>20.040104466024179</v>
      </c>
      <c r="EI16" s="1">
        <f t="shared" si="41"/>
        <v>19.839703421363936</v>
      </c>
      <c r="EJ16" s="1">
        <f t="shared" si="41"/>
        <v>19.641306387150298</v>
      </c>
      <c r="EK16" s="1">
        <f t="shared" si="41"/>
        <v>19.444893323278794</v>
      </c>
      <c r="EL16" s="1">
        <f t="shared" si="41"/>
        <v>19.250444390046006</v>
      </c>
      <c r="EM16" s="1">
        <f t="shared" si="41"/>
        <v>19.057939946145545</v>
      </c>
      <c r="EN16" s="1">
        <f t="shared" si="41"/>
        <v>18.86736054668409</v>
      </c>
      <c r="EO16" s="1">
        <f t="shared" si="41"/>
        <v>18.678686941217247</v>
      </c>
      <c r="EP16" s="1">
        <f t="shared" si="41"/>
        <v>18.491900071805073</v>
      </c>
      <c r="EQ16" s="1">
        <f t="shared" si="41"/>
        <v>18.306981071087023</v>
      </c>
      <c r="ER16" s="1">
        <f t="shared" si="41"/>
        <v>18.123911260376154</v>
      </c>
      <c r="ES16" s="1">
        <f t="shared" si="41"/>
        <v>17.942672147772392</v>
      </c>
      <c r="ET16" s="1">
        <f t="shared" si="41"/>
        <v>17.763245426294667</v>
      </c>
      <c r="EU16" s="1">
        <f t="shared" si="41"/>
        <v>17.585612972031718</v>
      </c>
      <c r="EV16" s="1">
        <f t="shared" si="41"/>
        <v>17.409756842311403</v>
      </c>
      <c r="EW16" s="1">
        <f t="shared" si="41"/>
        <v>17.235659273888288</v>
      </c>
      <c r="EX16" s="1">
        <f t="shared" si="41"/>
        <v>17.063302681149406</v>
      </c>
      <c r="EY16" s="1">
        <f t="shared" si="41"/>
        <v>16.892669654337912</v>
      </c>
      <c r="EZ16" s="1">
        <f t="shared" si="41"/>
        <v>16.723742957794531</v>
      </c>
      <c r="FA16" s="1">
        <f t="shared" si="41"/>
        <v>16.556505528216586</v>
      </c>
      <c r="FB16" s="1">
        <f t="shared" si="41"/>
        <v>16.390940472934421</v>
      </c>
    </row>
    <row r="17" spans="2:51" x14ac:dyDescent="0.3">
      <c r="B17" t="s">
        <v>2</v>
      </c>
      <c r="C17" s="4">
        <v>91.9</v>
      </c>
      <c r="D17" s="4">
        <v>91.9</v>
      </c>
      <c r="E17" s="4">
        <v>92.2</v>
      </c>
      <c r="G17" s="4">
        <v>91.9</v>
      </c>
      <c r="H17" s="4">
        <v>91.9</v>
      </c>
      <c r="I17" s="4">
        <v>92.2</v>
      </c>
      <c r="J17" s="4">
        <v>104.7</v>
      </c>
      <c r="K17" s="4">
        <v>104.7</v>
      </c>
      <c r="L17" s="4">
        <v>104.7</v>
      </c>
      <c r="M17" s="4">
        <v>104.7</v>
      </c>
      <c r="N17" s="4">
        <v>104.7</v>
      </c>
      <c r="O17" s="4">
        <v>104.7</v>
      </c>
      <c r="P17" s="4">
        <v>104.7</v>
      </c>
      <c r="Q17" s="4">
        <v>104.7</v>
      </c>
      <c r="R17" s="4">
        <v>104.7</v>
      </c>
      <c r="S17" s="4">
        <v>104.7</v>
      </c>
      <c r="T17" s="4">
        <v>104.7</v>
      </c>
      <c r="U17" s="4">
        <v>104.7</v>
      </c>
      <c r="V17" s="4">
        <v>104.7</v>
      </c>
      <c r="W17" s="4">
        <v>104.7</v>
      </c>
      <c r="X17" s="4">
        <f>104.9</f>
        <v>104.9</v>
      </c>
      <c r="Y17" s="4">
        <f>105.8</f>
        <v>105.8</v>
      </c>
      <c r="Z17" s="4">
        <f>105.8</f>
        <v>105.8</v>
      </c>
      <c r="AA17" s="4">
        <f>106.6</f>
        <v>106.6</v>
      </c>
      <c r="AB17" s="4">
        <f>106.6</f>
        <v>106.6</v>
      </c>
      <c r="AC17" s="4"/>
      <c r="AE17" s="4">
        <v>91.9</v>
      </c>
      <c r="AF17" s="4">
        <v>91.9</v>
      </c>
      <c r="AG17" s="4">
        <v>91.9</v>
      </c>
      <c r="AH17" s="4">
        <v>92.2</v>
      </c>
      <c r="AI17" s="4">
        <v>92.2</v>
      </c>
      <c r="AJ17" s="4">
        <v>92.2</v>
      </c>
      <c r="AK17" s="4">
        <f t="shared" ref="AK17" si="42">104.9</f>
        <v>104.9</v>
      </c>
      <c r="AL17" s="4">
        <f t="shared" ref="AL17:AV17" si="43">106.6</f>
        <v>106.6</v>
      </c>
      <c r="AM17" s="4">
        <f t="shared" si="43"/>
        <v>106.6</v>
      </c>
      <c r="AN17" s="4">
        <f t="shared" si="43"/>
        <v>106.6</v>
      </c>
      <c r="AO17" s="4">
        <f t="shared" si="43"/>
        <v>106.6</v>
      </c>
      <c r="AP17" s="4">
        <f t="shared" si="43"/>
        <v>106.6</v>
      </c>
      <c r="AQ17" s="4">
        <f t="shared" si="43"/>
        <v>106.6</v>
      </c>
      <c r="AR17" s="4">
        <f t="shared" si="43"/>
        <v>106.6</v>
      </c>
      <c r="AS17" s="4">
        <f t="shared" si="43"/>
        <v>106.6</v>
      </c>
      <c r="AT17" s="4">
        <f t="shared" si="43"/>
        <v>106.6</v>
      </c>
      <c r="AU17" s="4">
        <f t="shared" si="43"/>
        <v>106.6</v>
      </c>
      <c r="AV17" s="4">
        <f t="shared" si="43"/>
        <v>106.6</v>
      </c>
    </row>
    <row r="18" spans="2:51" s="1" customFormat="1" x14ac:dyDescent="0.3">
      <c r="B18" s="1" t="s">
        <v>32</v>
      </c>
      <c r="C18" s="7">
        <f>C16/C17</f>
        <v>1.7410228509249035E-2</v>
      </c>
      <c r="D18" s="7">
        <f>D16/D17</f>
        <v>6.6376496191512521E-2</v>
      </c>
      <c r="E18" s="7">
        <f t="shared" ref="E18" si="44">E16/E17</f>
        <v>1.1930585683297084E-2</v>
      </c>
      <c r="G18" s="7">
        <f>G16/G17</f>
        <v>0.39499455930359129</v>
      </c>
      <c r="H18" s="7">
        <f>H16/H17</f>
        <v>0.46789989118607134</v>
      </c>
      <c r="I18" s="7">
        <f t="shared" ref="I18" si="45">I16/I17</f>
        <v>0.50650759219088881</v>
      </c>
      <c r="J18" s="7">
        <f t="shared" ref="J18:Q18" si="46">J16/J17</f>
        <v>0.26361031518624595</v>
      </c>
      <c r="K18" s="7">
        <f t="shared" si="46"/>
        <v>1.6236867239732732E-2</v>
      </c>
      <c r="L18" s="7">
        <f t="shared" si="46"/>
        <v>0.23686723973256935</v>
      </c>
      <c r="M18" s="7">
        <f t="shared" si="46"/>
        <v>-4.8710601719197548E-2</v>
      </c>
      <c r="N18" s="7">
        <f t="shared" si="46"/>
        <v>-0.56733524355300891</v>
      </c>
      <c r="O18" s="7">
        <f t="shared" si="46"/>
        <v>-8.4049665711556684E-2</v>
      </c>
      <c r="P18" s="7">
        <f t="shared" si="46"/>
        <v>0.11938872970391605</v>
      </c>
      <c r="Q18" s="7">
        <f t="shared" si="46"/>
        <v>-9.5510983763134969E-3</v>
      </c>
      <c r="R18" s="7">
        <f t="shared" ref="R18" si="47">R16/R17</f>
        <v>1.0506208213944438E-2</v>
      </c>
      <c r="S18" s="7">
        <f>S16/S17</f>
        <v>-2.9608404966571383E-2</v>
      </c>
      <c r="T18" s="7">
        <f>T16/T17</f>
        <v>5.8261700095510911E-2</v>
      </c>
      <c r="U18" s="7">
        <f>U16/U17</f>
        <v>-0.11843361986628449</v>
      </c>
      <c r="V18" s="7">
        <f t="shared" ref="V18" si="48">V16/V17</f>
        <v>-0.28175740210124145</v>
      </c>
      <c r="W18" s="7">
        <f>W16/W17</f>
        <v>-0.55682903533906403</v>
      </c>
      <c r="X18" s="7">
        <f>X16/X17</f>
        <v>2.0972354623451362E-2</v>
      </c>
      <c r="Y18" s="7">
        <f t="shared" ref="Y18:AB18" si="49">Y16/Y17</f>
        <v>-9.829867674858192E-2</v>
      </c>
      <c r="Z18" s="7">
        <f t="shared" si="49"/>
        <v>-0.19754253308128514</v>
      </c>
      <c r="AA18" s="7">
        <f t="shared" si="49"/>
        <v>-9.9437148217635787E-2</v>
      </c>
      <c r="AB18" s="7">
        <f t="shared" si="49"/>
        <v>3.7696660412758098E-2</v>
      </c>
      <c r="AC18" s="7"/>
      <c r="AE18" s="7">
        <f>AE16/AE17</f>
        <v>-0.14907508161044572</v>
      </c>
      <c r="AF18" s="7">
        <f>AF16/AF17</f>
        <v>-9.0315560391729388E-2</v>
      </c>
      <c r="AG18" s="7">
        <f>AG16/AG17</f>
        <v>1.1240478781284005</v>
      </c>
      <c r="AH18" s="7">
        <f>AH16/AH17</f>
        <v>1.093275488069414</v>
      </c>
      <c r="AI18" s="7">
        <f t="shared" ref="AI18:AR18" si="50">AI16/AI17</f>
        <v>-0.65943600867679131</v>
      </c>
      <c r="AJ18" s="7">
        <f t="shared" si="50"/>
        <v>3.3622559652927764E-2</v>
      </c>
      <c r="AK18" s="7">
        <f t="shared" si="50"/>
        <v>-0.93422306959008428</v>
      </c>
      <c r="AL18" s="7">
        <f t="shared" si="50"/>
        <v>-0.35536150093808444</v>
      </c>
      <c r="AM18" s="7">
        <f t="shared" si="50"/>
        <v>-0.16288755636022476</v>
      </c>
      <c r="AN18" s="7">
        <f t="shared" si="50"/>
        <v>-7.214091024765433E-2</v>
      </c>
      <c r="AO18" s="7">
        <f t="shared" si="50"/>
        <v>0.15285102873636097</v>
      </c>
      <c r="AP18" s="7">
        <f t="shared" si="50"/>
        <v>0.22423020618015163</v>
      </c>
      <c r="AQ18" s="7">
        <f t="shared" si="50"/>
        <v>0.26155087300313434</v>
      </c>
      <c r="AR18" s="7">
        <f t="shared" si="50"/>
        <v>0.29992841921308289</v>
      </c>
      <c r="AS18" s="7">
        <f t="shared" ref="AS18:AV18" si="51">AS16/AS17</f>
        <v>0.33938655022094694</v>
      </c>
      <c r="AT18" s="7">
        <f t="shared" si="51"/>
        <v>0.37994945511900929</v>
      </c>
      <c r="AU18" s="7">
        <f t="shared" si="51"/>
        <v>0.42164181596708716</v>
      </c>
      <c r="AV18" s="7">
        <f t="shared" si="51"/>
        <v>0.46448881724609536</v>
      </c>
    </row>
    <row r="20" spans="2:51" x14ac:dyDescent="0.3">
      <c r="B20" t="s">
        <v>90</v>
      </c>
      <c r="X20" s="9">
        <f t="shared" ref="X20:AA22" si="52">X3/T3-1</f>
        <v>0.23976608187134496</v>
      </c>
      <c r="Y20" s="9">
        <f t="shared" si="52"/>
        <v>4.6728971962616717E-2</v>
      </c>
      <c r="Z20" s="9">
        <f t="shared" si="52"/>
        <v>8.9171974522292974E-2</v>
      </c>
      <c r="AA20" s="9">
        <f t="shared" si="52"/>
        <v>0.1049019607843138</v>
      </c>
    </row>
    <row r="21" spans="2:51" x14ac:dyDescent="0.3">
      <c r="B21" t="s">
        <v>91</v>
      </c>
      <c r="X21" s="9">
        <f t="shared" si="52"/>
        <v>-0.12976827094474153</v>
      </c>
      <c r="Y21" s="9">
        <f t="shared" si="52"/>
        <v>0.11940946591402524</v>
      </c>
      <c r="Z21" s="9">
        <f t="shared" si="52"/>
        <v>0.30161579892280077</v>
      </c>
      <c r="AA21" s="9">
        <f t="shared" si="52"/>
        <v>0.15281899109792296</v>
      </c>
    </row>
    <row r="22" spans="2:51" x14ac:dyDescent="0.3">
      <c r="B22" s="1" t="s">
        <v>33</v>
      </c>
      <c r="C22" s="9"/>
      <c r="D22" s="9"/>
      <c r="G22" s="9">
        <f>G5/C5-1</f>
        <v>0.60724331926863595</v>
      </c>
      <c r="H22" s="9">
        <f>H5/D5-1</f>
        <v>0.70330679730557222</v>
      </c>
      <c r="I22" s="9">
        <f>I5/E5-1</f>
        <v>0.71604538087520253</v>
      </c>
      <c r="J22" s="9"/>
      <c r="K22" s="9">
        <f t="shared" ref="K22:L22" si="53">K5/G5-1</f>
        <v>-0.14438853642528982</v>
      </c>
      <c r="L22" s="9">
        <f t="shared" si="53"/>
        <v>-8.2149919108394642E-2</v>
      </c>
      <c r="M22" s="9">
        <f t="shared" ref="M22" si="54">M5/I5-1</f>
        <v>-0.28088401964488097</v>
      </c>
      <c r="N22" s="9">
        <f t="shared" ref="N22" si="55">N5/J5-1</f>
        <v>-0.39966166208500742</v>
      </c>
      <c r="O22" s="9">
        <f t="shared" ref="O22" si="56">O5/K5-1</f>
        <v>-0.20276144208642288</v>
      </c>
      <c r="P22" s="9">
        <f t="shared" ref="P22" si="57">P5/L5-1</f>
        <v>-0.21915393654524096</v>
      </c>
      <c r="Q22" s="9">
        <f t="shared" ref="Q22" si="58">Q5/M5-1</f>
        <v>-7.0133963750985018E-2</v>
      </c>
      <c r="R22" s="9">
        <f t="shared" ref="R22" si="59">R5/N5-1</f>
        <v>0.1461782317717506</v>
      </c>
      <c r="S22" s="9">
        <f t="shared" ref="S22" si="60">S5/O5-1</f>
        <v>0.16484926234765873</v>
      </c>
      <c r="T22" s="9">
        <f t="shared" ref="T22" si="61">T5/P5-1</f>
        <v>4.6651617757712538E-2</v>
      </c>
      <c r="U22" s="9">
        <f t="shared" ref="U22" si="62">U5/Q5-1</f>
        <v>-4.7175141242937868E-2</v>
      </c>
      <c r="V22" s="9">
        <f t="shared" ref="V22" si="63">V5/R5-1</f>
        <v>-0.19698832206515049</v>
      </c>
      <c r="W22" s="9">
        <f t="shared" ref="W22" si="64">W5/S5-1</f>
        <v>-0.1624449339207048</v>
      </c>
      <c r="X22" s="9">
        <f t="shared" ref="X22" si="65">X5/T5-1</f>
        <v>-8.8665228852145006E-3</v>
      </c>
      <c r="Y22" s="9">
        <f t="shared" ref="Y22" si="66">Y5/U5-1</f>
        <v>9.6353394604209885E-2</v>
      </c>
      <c r="Z22" s="9">
        <f t="shared" ref="Z22" si="67">Z5/V5-1</f>
        <v>0.22502870264064301</v>
      </c>
      <c r="AA22" s="9">
        <f t="shared" si="52"/>
        <v>0.13675213675213693</v>
      </c>
      <c r="AB22" s="9">
        <f t="shared" ref="AB22" si="68">AB5/X5-1</f>
        <v>1.0000000000000009E-2</v>
      </c>
      <c r="AC22" s="9"/>
      <c r="AE22" s="9"/>
      <c r="AF22" s="9">
        <f>AF5/AE5-1</f>
        <v>0.17022184300341303</v>
      </c>
      <c r="AG22" s="9">
        <f t="shared" ref="AG22:AR22" si="69">AG5/AF5-1</f>
        <v>0.55158585490339052</v>
      </c>
      <c r="AH22" s="9">
        <f t="shared" si="69"/>
        <v>0.11842105263157898</v>
      </c>
      <c r="AI22" s="9">
        <f t="shared" si="69"/>
        <v>-0.27778361344537816</v>
      </c>
      <c r="AJ22" s="9">
        <f t="shared" si="69"/>
        <v>6.1668242309650179E-2</v>
      </c>
      <c r="AK22" s="9">
        <f t="shared" si="69"/>
        <v>-9.8294403726282509E-2</v>
      </c>
      <c r="AL22" s="9">
        <f t="shared" si="69"/>
        <v>0.10409905803707087</v>
      </c>
      <c r="AM22" s="9">
        <f t="shared" si="69"/>
        <v>6.0000000000000053E-2</v>
      </c>
      <c r="AN22" s="9">
        <f t="shared" si="69"/>
        <v>5.0000000000000044E-2</v>
      </c>
      <c r="AO22" s="9">
        <f t="shared" si="69"/>
        <v>4.0000000000000036E-2</v>
      </c>
      <c r="AP22" s="9">
        <f t="shared" si="69"/>
        <v>3.0000000000000027E-2</v>
      </c>
      <c r="AQ22" s="9">
        <f t="shared" si="69"/>
        <v>2.0000000000000018E-2</v>
      </c>
      <c r="AR22" s="9">
        <f t="shared" si="69"/>
        <v>2.0000000000000018E-2</v>
      </c>
      <c r="AS22" s="9">
        <f t="shared" ref="AS22" si="70">AS5/AR5-1</f>
        <v>2.0000000000000018E-2</v>
      </c>
      <c r="AT22" s="9">
        <f t="shared" ref="AT22" si="71">AT5/AS5-1</f>
        <v>2.0000000000000018E-2</v>
      </c>
      <c r="AU22" s="9">
        <f t="shared" ref="AU22" si="72">AU5/AT5-1</f>
        <v>2.0000000000000018E-2</v>
      </c>
      <c r="AV22" s="9">
        <f t="shared" ref="AV22" si="73">AV5/AU5-1</f>
        <v>2.0000000000000018E-2</v>
      </c>
    </row>
    <row r="23" spans="2:51" x14ac:dyDescent="0.3">
      <c r="B23" s="1" t="s">
        <v>34</v>
      </c>
      <c r="C23" s="9">
        <f>C7/C5</f>
        <v>0.21202531645569617</v>
      </c>
      <c r="D23" s="9">
        <f>D7/D5</f>
        <v>0.21586037966932026</v>
      </c>
      <c r="E23" s="9">
        <f t="shared" ref="E23" si="74">E7/E5</f>
        <v>0.25478119935170174</v>
      </c>
      <c r="F23" s="9"/>
      <c r="G23" s="9">
        <f>G7/G5</f>
        <v>0.27980748195143301</v>
      </c>
      <c r="H23" s="9">
        <f>H7/H5</f>
        <v>0.27646953082868947</v>
      </c>
      <c r="I23" s="9">
        <f t="shared" ref="I23:L23" si="75">I7/I5</f>
        <v>0.30279561768039281</v>
      </c>
      <c r="J23" s="9">
        <f t="shared" si="75"/>
        <v>0.27553393952209759</v>
      </c>
      <c r="K23" s="9">
        <f t="shared" si="75"/>
        <v>0.25901304014318588</v>
      </c>
      <c r="L23" s="9">
        <f t="shared" si="75"/>
        <v>0.23854289071680376</v>
      </c>
      <c r="M23" s="9">
        <f t="shared" ref="M23:X23" si="76">M7/M5</f>
        <v>0.238508011557657</v>
      </c>
      <c r="N23" s="9">
        <f t="shared" si="76"/>
        <v>0.12856639661852756</v>
      </c>
      <c r="O23" s="9">
        <f t="shared" si="76"/>
        <v>0.22963438101347025</v>
      </c>
      <c r="P23" s="9">
        <f t="shared" si="76"/>
        <v>0.24529721595184353</v>
      </c>
      <c r="Q23" s="9">
        <f t="shared" si="76"/>
        <v>0.24124293785310727</v>
      </c>
      <c r="R23" s="9">
        <f t="shared" si="76"/>
        <v>0.25445605408727717</v>
      </c>
      <c r="S23" s="9">
        <f t="shared" si="76"/>
        <v>0.24614537444933915</v>
      </c>
      <c r="T23" s="9">
        <f t="shared" si="76"/>
        <v>0.24610591900311524</v>
      </c>
      <c r="U23" s="9">
        <f t="shared" si="76"/>
        <v>0.25704120960569232</v>
      </c>
      <c r="V23" s="9">
        <f t="shared" si="76"/>
        <v>0.24148488327592812</v>
      </c>
      <c r="W23" s="9">
        <f t="shared" si="76"/>
        <v>0.2291255752794214</v>
      </c>
      <c r="X23" s="9">
        <f t="shared" si="76"/>
        <v>0.2616054158607351</v>
      </c>
      <c r="Y23" s="9">
        <f t="shared" ref="Y23:AB23" si="77">Y7/Y5</f>
        <v>0.27690643591130348</v>
      </c>
      <c r="Z23" s="9">
        <f t="shared" si="77"/>
        <v>0.26835363948766017</v>
      </c>
      <c r="AA23" s="9">
        <f t="shared" si="77"/>
        <v>0.26923076923076927</v>
      </c>
      <c r="AB23" s="9">
        <f t="shared" si="77"/>
        <v>0.28000000000000003</v>
      </c>
      <c r="AC23" s="9"/>
      <c r="AE23" s="9">
        <f t="shared" ref="AE23:AR23" si="78">AE7/AE5</f>
        <v>0.20552474402730381</v>
      </c>
      <c r="AF23" s="9">
        <f t="shared" si="78"/>
        <v>0.20442945679912511</v>
      </c>
      <c r="AG23" s="9">
        <f t="shared" si="78"/>
        <v>0.2734375</v>
      </c>
      <c r="AH23" s="9">
        <f t="shared" si="78"/>
        <v>0.26980042016806727</v>
      </c>
      <c r="AI23" s="9">
        <f t="shared" si="78"/>
        <v>0.21576612609991988</v>
      </c>
      <c r="AJ23" s="9">
        <f t="shared" si="78"/>
        <v>0.24679772587163504</v>
      </c>
      <c r="AK23" s="9">
        <f t="shared" si="78"/>
        <v>0.24893649346703139</v>
      </c>
      <c r="AL23" s="9">
        <f t="shared" si="78"/>
        <v>0.27408573889734411</v>
      </c>
      <c r="AM23" s="9">
        <f t="shared" si="78"/>
        <v>0.27</v>
      </c>
      <c r="AN23" s="9">
        <f t="shared" si="78"/>
        <v>0.27</v>
      </c>
      <c r="AO23" s="9">
        <f t="shared" si="78"/>
        <v>0.28000000000000003</v>
      </c>
      <c r="AP23" s="9">
        <f t="shared" si="78"/>
        <v>0.28000000000000003</v>
      </c>
      <c r="AQ23" s="9">
        <f t="shared" si="78"/>
        <v>0.28000000000000003</v>
      </c>
      <c r="AR23" s="9">
        <f t="shared" si="78"/>
        <v>0.28000000000000003</v>
      </c>
      <c r="AS23" s="9">
        <f t="shared" ref="AS23:AV23" si="79">AS7/AS5</f>
        <v>0.28000000000000003</v>
      </c>
      <c r="AT23" s="9">
        <f t="shared" si="79"/>
        <v>0.28000000000000003</v>
      </c>
      <c r="AU23" s="9">
        <f t="shared" si="79"/>
        <v>0.28000000000000003</v>
      </c>
      <c r="AV23" s="9">
        <f t="shared" si="79"/>
        <v>0.28000000000000003</v>
      </c>
    </row>
    <row r="24" spans="2:51" x14ac:dyDescent="0.3">
      <c r="B24" t="s">
        <v>35</v>
      </c>
      <c r="C24" s="9">
        <f>C10/C5</f>
        <v>3.8677918424753821E-2</v>
      </c>
      <c r="D24" s="9">
        <f>D10/D5</f>
        <v>4.378444580526638E-2</v>
      </c>
      <c r="E24" s="9">
        <f t="shared" ref="E24" si="80">E10/E5</f>
        <v>4.3111831442463507E-2</v>
      </c>
      <c r="F24" s="9"/>
      <c r="G24" s="9">
        <f>G10/G5</f>
        <v>0.10872894333843806</v>
      </c>
      <c r="H24" s="9">
        <f>H10/H5</f>
        <v>0.10587812331475817</v>
      </c>
      <c r="I24" s="9">
        <f t="shared" ref="I24:L24" si="81">I10/I5</f>
        <v>0.12693615413675849</v>
      </c>
      <c r="J24" s="9">
        <f t="shared" si="81"/>
        <v>7.3165574117149398E-2</v>
      </c>
      <c r="K24" s="9">
        <f t="shared" si="81"/>
        <v>2.7358731782152944E-2</v>
      </c>
      <c r="L24" s="9">
        <f t="shared" si="81"/>
        <v>4.9353701527614591E-2</v>
      </c>
      <c r="M24" s="9">
        <f t="shared" ref="M24:X24" si="82">M10/M5</f>
        <v>-6.3041765169424332E-3</v>
      </c>
      <c r="N24" s="9">
        <f t="shared" si="82"/>
        <v>-0.1933779499823883</v>
      </c>
      <c r="O24" s="9">
        <f t="shared" si="82"/>
        <v>-3.4958306606799175E-2</v>
      </c>
      <c r="P24" s="9">
        <f t="shared" si="82"/>
        <v>3.4110860295961908E-2</v>
      </c>
      <c r="Q24" s="9">
        <f t="shared" si="82"/>
        <v>3.1073446327682954E-3</v>
      </c>
      <c r="R24" s="9">
        <f t="shared" si="82"/>
        <v>-8.6047940995698114E-3</v>
      </c>
      <c r="S24" s="9">
        <f t="shared" si="82"/>
        <v>-1.9273127753304631E-3</v>
      </c>
      <c r="T24" s="9">
        <f t="shared" si="82"/>
        <v>2.9235561945842301E-2</v>
      </c>
      <c r="U24" s="9">
        <f t="shared" si="82"/>
        <v>-2.9943670323154422E-2</v>
      </c>
      <c r="V24" s="9">
        <f t="shared" si="82"/>
        <v>-9.4527363184079533E-2</v>
      </c>
      <c r="W24" s="9">
        <f t="shared" si="82"/>
        <v>-6.870479947403027E-2</v>
      </c>
      <c r="X24" s="9">
        <f t="shared" si="82"/>
        <v>1.4264990328820231E-2</v>
      </c>
      <c r="Y24" s="9">
        <f t="shared" ref="Y24:AB24" si="83">Y10/Y5</f>
        <v>-5.9491617090318208E-3</v>
      </c>
      <c r="Z24" s="9">
        <f t="shared" si="83"/>
        <v>-5.2796001249609377E-2</v>
      </c>
      <c r="AA24" s="9">
        <f t="shared" si="83"/>
        <v>-1.6194331983805599E-2</v>
      </c>
      <c r="AB24" s="9">
        <f t="shared" si="83"/>
        <v>1.9593906199130588E-2</v>
      </c>
      <c r="AC24" s="9"/>
      <c r="AE24" s="9">
        <f t="shared" ref="AE24:AR24" si="84">AE10/AE5</f>
        <v>2.325085324232086E-2</v>
      </c>
      <c r="AF24" s="9">
        <f t="shared" si="84"/>
        <v>2.1691578563616538E-2</v>
      </c>
      <c r="AG24" s="9">
        <f t="shared" si="84"/>
        <v>9.3045112781954889E-2</v>
      </c>
      <c r="AH24" s="9">
        <f t="shared" si="84"/>
        <v>7.2321428571428564E-2</v>
      </c>
      <c r="AI24" s="9">
        <f t="shared" si="84"/>
        <v>-3.9706203185223013E-2</v>
      </c>
      <c r="AJ24" s="9">
        <f t="shared" si="84"/>
        <v>6.7127885471607238E-3</v>
      </c>
      <c r="AK24" s="9">
        <f t="shared" si="84"/>
        <v>-3.7830446672743726E-2</v>
      </c>
      <c r="AL24" s="9">
        <f t="shared" si="84"/>
        <v>-1.1362674379883111E-2</v>
      </c>
      <c r="AM24" s="9">
        <f t="shared" si="84"/>
        <v>-6.9198072575139356E-3</v>
      </c>
      <c r="AN24" s="9">
        <f t="shared" si="84"/>
        <v>9.9218723555789617E-4</v>
      </c>
      <c r="AO24" s="9">
        <f t="shared" si="84"/>
        <v>1.8752027988378359E-2</v>
      </c>
      <c r="AP24" s="9">
        <f t="shared" si="84"/>
        <v>2.3824804143943827E-2</v>
      </c>
      <c r="AQ24" s="9">
        <f t="shared" si="84"/>
        <v>2.6336325671944383E-2</v>
      </c>
      <c r="AR24" s="9">
        <f t="shared" si="84"/>
        <v>2.8823224439866499E-2</v>
      </c>
      <c r="AS24" s="9">
        <f t="shared" ref="AS24:AV24" si="85">AS10/AS5</f>
        <v>3.1285741847318783E-2</v>
      </c>
      <c r="AT24" s="9">
        <f t="shared" si="85"/>
        <v>3.3724116927247069E-2</v>
      </c>
      <c r="AU24" s="9">
        <f t="shared" si="85"/>
        <v>3.6138586369136805E-2</v>
      </c>
      <c r="AV24" s="9">
        <f t="shared" si="85"/>
        <v>3.8529384541988392E-2</v>
      </c>
      <c r="AX24" t="s">
        <v>38</v>
      </c>
      <c r="AY24" s="9">
        <v>-0.01</v>
      </c>
    </row>
    <row r="25" spans="2:51" x14ac:dyDescent="0.3">
      <c r="B25" t="s">
        <v>36</v>
      </c>
      <c r="C25" s="9"/>
      <c r="D25" s="9"/>
      <c r="E25" s="9"/>
      <c r="F25" s="9"/>
      <c r="G25" s="9">
        <f t="shared" ref="G25:I26" si="86">G8/C8-1</f>
        <v>0.64070351758793964</v>
      </c>
      <c r="H25" s="9">
        <f t="shared" si="86"/>
        <v>0.72553191489361679</v>
      </c>
      <c r="I25" s="9">
        <f t="shared" si="86"/>
        <v>0.45065176908752336</v>
      </c>
      <c r="J25" s="9"/>
      <c r="K25" s="9">
        <f>K8/G8-1</f>
        <v>0.16539050535987743</v>
      </c>
      <c r="L25" s="9">
        <f>L8/H8-1</f>
        <v>4.9321824907522238E-3</v>
      </c>
      <c r="M25" s="9">
        <f t="shared" ref="M25:X25" si="87">M8/I8-1</f>
        <v>-2.31065468549424E-2</v>
      </c>
      <c r="N25" s="9">
        <f t="shared" si="87"/>
        <v>-8.478802992518697E-2</v>
      </c>
      <c r="O25" s="9">
        <f t="shared" si="87"/>
        <v>-0.12089356110381067</v>
      </c>
      <c r="P25" s="9">
        <f t="shared" si="87"/>
        <v>-0.1595092024539877</v>
      </c>
      <c r="Q25" s="9">
        <f t="shared" si="87"/>
        <v>-0.1130091984231274</v>
      </c>
      <c r="R25" s="9">
        <f t="shared" si="87"/>
        <v>-4.6321525885558712E-2</v>
      </c>
      <c r="S25" s="9">
        <f t="shared" si="87"/>
        <v>0.10612855007473843</v>
      </c>
      <c r="T25" s="9">
        <f t="shared" si="87"/>
        <v>7.7372262773722555E-2</v>
      </c>
      <c r="U25" s="9">
        <f t="shared" si="87"/>
        <v>0.18814814814814818</v>
      </c>
      <c r="V25" s="9">
        <f t="shared" si="87"/>
        <v>5.7142857142857828E-3</v>
      </c>
      <c r="W25" s="9">
        <f t="shared" si="87"/>
        <v>1.3513513513512265E-3</v>
      </c>
      <c r="X25" s="9">
        <f t="shared" si="87"/>
        <v>0.15582655826558267</v>
      </c>
      <c r="Y25" s="9">
        <f t="shared" ref="Y25:AB26" si="88">Y8/U8-1</f>
        <v>8.4788029925187081E-2</v>
      </c>
      <c r="Z25" s="9">
        <f t="shared" si="88"/>
        <v>0.21164772727272707</v>
      </c>
      <c r="AA25" s="9">
        <f t="shared" si="88"/>
        <v>0.10661268556005399</v>
      </c>
      <c r="AB25" s="9">
        <f t="shared" si="88"/>
        <v>7.0000000000000062E-2</v>
      </c>
      <c r="AC25" s="9"/>
      <c r="AE25" s="9"/>
      <c r="AF25" s="9">
        <f t="shared" ref="AF25:AR25" si="89">AF8/AE8-1</f>
        <v>0.17350611951043904</v>
      </c>
      <c r="AG25" s="9">
        <f t="shared" si="89"/>
        <v>0.57668711656441718</v>
      </c>
      <c r="AH25" s="9">
        <f t="shared" si="89"/>
        <v>0.22840466926070047</v>
      </c>
      <c r="AI25" s="9">
        <f t="shared" si="89"/>
        <v>-9.7560975609756295E-2</v>
      </c>
      <c r="AJ25" s="9">
        <f t="shared" si="89"/>
        <v>1.4040014040015425E-3</v>
      </c>
      <c r="AK25" s="9">
        <f t="shared" si="89"/>
        <v>8.6575534525061393E-2</v>
      </c>
      <c r="AL25" s="9">
        <f t="shared" si="89"/>
        <v>0.11474516129032275</v>
      </c>
      <c r="AM25" s="9">
        <f t="shared" si="89"/>
        <v>3.0000000000000027E-2</v>
      </c>
      <c r="AN25" s="9">
        <f t="shared" si="89"/>
        <v>2.0000000000000018E-2</v>
      </c>
      <c r="AO25" s="9">
        <f t="shared" si="89"/>
        <v>1.0000000000000009E-2</v>
      </c>
      <c r="AP25" s="9">
        <f t="shared" si="89"/>
        <v>1.0000000000000009E-2</v>
      </c>
      <c r="AQ25" s="9">
        <f t="shared" si="89"/>
        <v>1.0000000000000009E-2</v>
      </c>
      <c r="AR25" s="9">
        <f t="shared" si="89"/>
        <v>1.0000000000000009E-2</v>
      </c>
      <c r="AS25" s="9">
        <f t="shared" ref="AS25:AV26" si="90">AS8/AR8-1</f>
        <v>1.0000000000000009E-2</v>
      </c>
      <c r="AT25" s="9">
        <f t="shared" si="90"/>
        <v>1.0000000000000009E-2</v>
      </c>
      <c r="AU25" s="9">
        <f t="shared" si="90"/>
        <v>1.0000000000000009E-2</v>
      </c>
      <c r="AV25" s="9">
        <f t="shared" si="90"/>
        <v>1.0000000000000009E-2</v>
      </c>
      <c r="AX25" t="s">
        <v>39</v>
      </c>
      <c r="AY25" s="9">
        <v>0.1</v>
      </c>
    </row>
    <row r="26" spans="2:51" x14ac:dyDescent="0.3">
      <c r="B26" t="s">
        <v>37</v>
      </c>
      <c r="C26" s="9"/>
      <c r="D26" s="9"/>
      <c r="E26" s="9"/>
      <c r="F26" s="9"/>
      <c r="G26" s="9">
        <f t="shared" si="86"/>
        <v>0.35789473684210527</v>
      </c>
      <c r="H26" s="9">
        <f t="shared" si="86"/>
        <v>0.50000000000000022</v>
      </c>
      <c r="I26" s="9">
        <f t="shared" si="86"/>
        <v>0.31034482758620685</v>
      </c>
      <c r="J26" s="9"/>
      <c r="K26" s="9">
        <f>K9/G9-1</f>
        <v>0.12403100775193798</v>
      </c>
      <c r="L26" s="9">
        <f>L9/H9-1</f>
        <v>9.4202898550724612E-2</v>
      </c>
      <c r="M26" s="9">
        <f t="shared" ref="M26:X26" si="91">M9/I9-1</f>
        <v>0.12500000000000022</v>
      </c>
      <c r="N26" s="9">
        <f t="shared" si="91"/>
        <v>0.16129032258064524</v>
      </c>
      <c r="O26" s="9">
        <f t="shared" si="91"/>
        <v>7.5862068965517171E-2</v>
      </c>
      <c r="P26" s="9">
        <f t="shared" si="91"/>
        <v>3.9735099337748325E-2</v>
      </c>
      <c r="Q26" s="9">
        <f t="shared" si="91"/>
        <v>-1.7543859649122862E-2</v>
      </c>
      <c r="R26" s="9">
        <f t="shared" si="91"/>
        <v>-0.1333333333333333</v>
      </c>
      <c r="S26" s="9">
        <f t="shared" si="91"/>
        <v>3.2051282051282159E-2</v>
      </c>
      <c r="T26" s="9">
        <f t="shared" si="91"/>
        <v>6.3694267515923553E-2</v>
      </c>
      <c r="U26" s="9">
        <f t="shared" si="91"/>
        <v>-1.1904761904761862E-2</v>
      </c>
      <c r="V26" s="9">
        <f t="shared" si="91"/>
        <v>0.11538461538461542</v>
      </c>
      <c r="W26" s="9">
        <f t="shared" si="91"/>
        <v>2.4844720496894235E-2</v>
      </c>
      <c r="X26" s="9">
        <f t="shared" si="91"/>
        <v>1.7964071856287456E-2</v>
      </c>
      <c r="Y26" s="9">
        <f t="shared" si="88"/>
        <v>6.024096385542177E-2</v>
      </c>
      <c r="Z26" s="9">
        <f t="shared" si="88"/>
        <v>5.7471264367816577E-3</v>
      </c>
      <c r="AA26" s="9">
        <f t="shared" si="88"/>
        <v>1.2121212121211977E-2</v>
      </c>
      <c r="AB26" s="9">
        <f t="shared" si="88"/>
        <v>3.0000000000000027E-2</v>
      </c>
      <c r="AC26" s="9"/>
      <c r="AE26" s="9"/>
      <c r="AF26" s="9">
        <f t="shared" ref="AF26:AR26" si="92">AF9/AE9-1</f>
        <v>0.171875</v>
      </c>
      <c r="AG26" s="9">
        <f t="shared" si="92"/>
        <v>0.33600000000000008</v>
      </c>
      <c r="AH26" s="9">
        <f t="shared" si="92"/>
        <v>0.20359281437125754</v>
      </c>
      <c r="AI26" s="9">
        <f t="shared" si="92"/>
        <v>0.1011608623548923</v>
      </c>
      <c r="AJ26" s="9">
        <f t="shared" si="92"/>
        <v>-1.8072289156626509E-2</v>
      </c>
      <c r="AK26" s="9">
        <f t="shared" si="92"/>
        <v>3.5276073619631809E-2</v>
      </c>
      <c r="AL26" s="9">
        <f t="shared" si="92"/>
        <v>2.6814814814814847E-2</v>
      </c>
      <c r="AM26" s="9">
        <f t="shared" si="92"/>
        <v>2.0000000000000018E-2</v>
      </c>
      <c r="AN26" s="9">
        <f t="shared" si="92"/>
        <v>2.0000000000000018E-2</v>
      </c>
      <c r="AO26" s="9">
        <f t="shared" si="92"/>
        <v>1.0000000000000009E-2</v>
      </c>
      <c r="AP26" s="9">
        <f t="shared" si="92"/>
        <v>1.0000000000000009E-2</v>
      </c>
      <c r="AQ26" s="9">
        <f t="shared" si="92"/>
        <v>1.0000000000000009E-2</v>
      </c>
      <c r="AR26" s="9">
        <f t="shared" si="92"/>
        <v>1.0000000000000009E-2</v>
      </c>
      <c r="AS26" s="9">
        <f t="shared" si="90"/>
        <v>1.0000000000000009E-2</v>
      </c>
      <c r="AT26" s="9">
        <f t="shared" si="90"/>
        <v>1.0000000000000009E-2</v>
      </c>
      <c r="AU26" s="9">
        <f t="shared" si="90"/>
        <v>1.0000000000000009E-2</v>
      </c>
      <c r="AV26" s="9">
        <f t="shared" si="90"/>
        <v>1.0000000000000009E-2</v>
      </c>
      <c r="AX26" t="s">
        <v>40</v>
      </c>
      <c r="AY26" s="4">
        <f>NPV(AY25,AL16:FB16)</f>
        <v>228.47772862366949</v>
      </c>
    </row>
    <row r="27" spans="2:51" x14ac:dyDescent="0.3">
      <c r="B27" t="s">
        <v>30</v>
      </c>
      <c r="C27" s="9">
        <f>C14/C13</f>
        <v>-6.6666666666667276E-2</v>
      </c>
      <c r="D27" s="9">
        <f>D14/D13</f>
        <v>-7.0175438596491224E-2</v>
      </c>
      <c r="E27" s="9">
        <f t="shared" ref="E27" si="93">E14/E13</f>
        <v>0.71052631578947534</v>
      </c>
      <c r="F27" s="9"/>
      <c r="G27" s="9">
        <f>G14/G13</f>
        <v>8.101265822784802E-2</v>
      </c>
      <c r="H27" s="9">
        <f>H14/H13</f>
        <v>0.16827852998065776</v>
      </c>
      <c r="I27" s="9">
        <f t="shared" ref="I27:L27" si="94">I14/I13</f>
        <v>0.22036727879799684</v>
      </c>
      <c r="J27" s="9">
        <f t="shared" si="94"/>
        <v>7.6923076923077038E-2</v>
      </c>
      <c r="K27" s="9">
        <f t="shared" si="94"/>
        <v>0.19047619047618894</v>
      </c>
      <c r="L27" s="9">
        <f t="shared" si="94"/>
        <v>-0.10222222222222217</v>
      </c>
      <c r="M27" s="9">
        <f t="shared" ref="M27:X27" si="95">M14/M13</f>
        <v>0.238095238095239</v>
      </c>
      <c r="N27" s="9">
        <f t="shared" si="95"/>
        <v>7.4999999999999956E-2</v>
      </c>
      <c r="O27" s="9">
        <f t="shared" si="95"/>
        <v>0.51260504201680734</v>
      </c>
      <c r="P27" s="9">
        <f t="shared" si="95"/>
        <v>0.16470588235294095</v>
      </c>
      <c r="Q27" s="9">
        <f t="shared" si="95"/>
        <v>0.27272727272726982</v>
      </c>
      <c r="R27" s="9">
        <f t="shared" si="95"/>
        <v>0.35937499999999906</v>
      </c>
      <c r="S27" s="9">
        <f t="shared" si="95"/>
        <v>3.3333333333333069E-2</v>
      </c>
      <c r="T27" s="9">
        <f t="shared" si="95"/>
        <v>7.4074074074074139E-2</v>
      </c>
      <c r="U27" s="9">
        <f t="shared" si="95"/>
        <v>0.14173228346456707</v>
      </c>
      <c r="V27" s="9">
        <f t="shared" si="95"/>
        <v>0.14598540145985411</v>
      </c>
      <c r="W27" s="9">
        <f t="shared" si="95"/>
        <v>-1.1020408163265303</v>
      </c>
      <c r="X27" s="9">
        <f t="shared" si="95"/>
        <v>0.16129032258064266</v>
      </c>
      <c r="Y27" s="9">
        <f t="shared" ref="Y27:AB27" si="96">Y14/Y13</f>
        <v>-0.25609756097561076</v>
      </c>
      <c r="Z27" s="9">
        <f t="shared" si="96"/>
        <v>1.9323671497584575E-2</v>
      </c>
      <c r="AA27" s="9">
        <f t="shared" si="96"/>
        <v>-0.25301204819277184</v>
      </c>
      <c r="AB27" s="9">
        <f t="shared" si="96"/>
        <v>0.2</v>
      </c>
      <c r="AC27" s="9"/>
      <c r="AE27" s="9">
        <f t="shared" ref="AE27:AR27" si="97">AE14/AE13</f>
        <v>-0.28037383177570191</v>
      </c>
      <c r="AF27" s="9">
        <f t="shared" si="97"/>
        <v>0.37593984962406207</v>
      </c>
      <c r="AG27" s="9">
        <f t="shared" si="97"/>
        <v>0.15397215397215397</v>
      </c>
      <c r="AH27" s="9">
        <f t="shared" si="97"/>
        <v>0.11888111888111891</v>
      </c>
      <c r="AI27" s="9">
        <f t="shared" si="97"/>
        <v>0.1556603773584902</v>
      </c>
      <c r="AJ27" s="9">
        <f t="shared" si="97"/>
        <v>0.68571428571427406</v>
      </c>
      <c r="AK27" s="9">
        <f t="shared" si="97"/>
        <v>-0.35284552845528544</v>
      </c>
      <c r="AL27" s="9">
        <f t="shared" si="97"/>
        <v>-0.14931870421407747</v>
      </c>
      <c r="AM27" s="9">
        <f t="shared" si="97"/>
        <v>0.19</v>
      </c>
      <c r="AN27" s="9">
        <f t="shared" si="97"/>
        <v>0.19</v>
      </c>
      <c r="AO27" s="9">
        <f t="shared" si="97"/>
        <v>0.19</v>
      </c>
      <c r="AP27" s="9">
        <f t="shared" si="97"/>
        <v>0.19</v>
      </c>
      <c r="AQ27" s="9">
        <f t="shared" si="97"/>
        <v>0.19</v>
      </c>
      <c r="AR27" s="9">
        <f t="shared" si="97"/>
        <v>0.19</v>
      </c>
      <c r="AS27" s="9">
        <f t="shared" ref="AS27:AV27" si="98">AS14/AS13</f>
        <v>0.19</v>
      </c>
      <c r="AT27" s="9">
        <f t="shared" si="98"/>
        <v>0.19</v>
      </c>
      <c r="AU27" s="9">
        <f t="shared" si="98"/>
        <v>0.19</v>
      </c>
      <c r="AV27" s="9">
        <f t="shared" si="98"/>
        <v>0.19</v>
      </c>
      <c r="AX27" t="s">
        <v>41</v>
      </c>
      <c r="AY27" s="4">
        <f>Main!D8</f>
        <v>-56.899999999999977</v>
      </c>
    </row>
    <row r="28" spans="2:51" x14ac:dyDescent="0.3">
      <c r="B28" t="s">
        <v>47</v>
      </c>
      <c r="C28" s="9">
        <f>C16/C5</f>
        <v>5.625879043600515E-3</v>
      </c>
      <c r="D28" s="9">
        <f t="shared" ref="D28:L28" si="99">D16/D5</f>
        <v>1.8677281077770978E-2</v>
      </c>
      <c r="E28" s="9">
        <f t="shared" si="99"/>
        <v>3.5656401944894368E-3</v>
      </c>
      <c r="F28" s="9"/>
      <c r="G28" s="9">
        <f t="shared" si="99"/>
        <v>7.9413695033909507E-2</v>
      </c>
      <c r="H28" s="9">
        <f t="shared" si="99"/>
        <v>7.7296422793456693E-2</v>
      </c>
      <c r="I28" s="9">
        <f t="shared" si="99"/>
        <v>8.8213071401586601E-2</v>
      </c>
      <c r="J28" s="9">
        <f t="shared" si="99"/>
        <v>5.83632903362232E-2</v>
      </c>
      <c r="K28" s="9">
        <f t="shared" si="99"/>
        <v>4.3467143952953639E-3</v>
      </c>
      <c r="L28" s="9">
        <f t="shared" si="99"/>
        <v>4.8570309439874677E-2</v>
      </c>
      <c r="M28" s="9">
        <f t="shared" ref="M28:X28" si="100">M16/M5</f>
        <v>-1.3396375098502715E-2</v>
      </c>
      <c r="N28" s="9">
        <f t="shared" si="100"/>
        <v>-0.20922860162028897</v>
      </c>
      <c r="O28" s="9">
        <f t="shared" si="100"/>
        <v>-2.8223220012828686E-2</v>
      </c>
      <c r="P28" s="9">
        <f t="shared" si="100"/>
        <v>3.1351893654376753E-2</v>
      </c>
      <c r="Q28" s="9">
        <f t="shared" si="100"/>
        <v>-2.8248587570622119E-3</v>
      </c>
      <c r="R28" s="9">
        <f t="shared" si="100"/>
        <v>3.3804548248309247E-3</v>
      </c>
      <c r="S28" s="9">
        <f t="shared" si="100"/>
        <v>-8.535242290748965E-3</v>
      </c>
      <c r="T28" s="9">
        <f t="shared" si="100"/>
        <v>1.4617780972921142E-2</v>
      </c>
      <c r="U28" s="9">
        <f t="shared" si="100"/>
        <v>-3.6762525941298502E-2</v>
      </c>
      <c r="V28" s="9">
        <f t="shared" si="100"/>
        <v>-0.11289705319556058</v>
      </c>
      <c r="W28" s="9">
        <f t="shared" si="100"/>
        <v>-0.1916502301117686</v>
      </c>
      <c r="X28" s="9">
        <f t="shared" si="100"/>
        <v>5.3191489361703289E-3</v>
      </c>
      <c r="Y28" s="9">
        <f t="shared" ref="Y28:AB28" si="101">Y16/Y5</f>
        <v>-2.8123309897241662E-2</v>
      </c>
      <c r="Z28" s="9">
        <f t="shared" si="101"/>
        <v>-6.5292096219931164E-2</v>
      </c>
      <c r="AA28" s="9">
        <f t="shared" si="101"/>
        <v>-3.0653556969346369E-2</v>
      </c>
      <c r="AB28" s="9">
        <f t="shared" si="101"/>
        <v>9.6196257923665002E-3</v>
      </c>
      <c r="AC28" s="9"/>
      <c r="AE28" s="9">
        <f t="shared" ref="AE28:AR28" si="102">AE16/AE5</f>
        <v>-1.4611774744027264E-2</v>
      </c>
      <c r="AF28" s="9">
        <f t="shared" si="102"/>
        <v>-7.5647101713451799E-3</v>
      </c>
      <c r="AG28" s="9">
        <f t="shared" si="102"/>
        <v>6.0679041353383464E-2</v>
      </c>
      <c r="AH28" s="9">
        <f t="shared" si="102"/>
        <v>5.2941176470588228E-2</v>
      </c>
      <c r="AI28" s="9">
        <f t="shared" si="102"/>
        <v>-4.4214966184277629E-2</v>
      </c>
      <c r="AJ28" s="9">
        <f t="shared" si="102"/>
        <v>2.1234331118569353E-3</v>
      </c>
      <c r="AK28" s="9">
        <f t="shared" si="102"/>
        <v>-7.4445457307809049E-2</v>
      </c>
      <c r="AL28" s="9">
        <f t="shared" si="102"/>
        <v>-2.6063435885721693E-2</v>
      </c>
      <c r="AM28" s="9">
        <f t="shared" si="102"/>
        <v>-1.1270503922857696E-2</v>
      </c>
      <c r="AN28" s="9">
        <f t="shared" si="102"/>
        <v>-4.7538748588167243E-3</v>
      </c>
      <c r="AO28" s="9">
        <f t="shared" si="102"/>
        <v>9.6850340982718754E-3</v>
      </c>
      <c r="AP28" s="9">
        <f t="shared" si="102"/>
        <v>1.3793982784279905E-2</v>
      </c>
      <c r="AQ28" s="9">
        <f t="shared" si="102"/>
        <v>1.5774353373212174E-2</v>
      </c>
      <c r="AR28" s="9">
        <f t="shared" si="102"/>
        <v>1.773425048874808E-2</v>
      </c>
      <c r="AS28" s="9">
        <f t="shared" ref="AS28:AV28" si="103">AS16/AS5</f>
        <v>1.9673864477926156E-2</v>
      </c>
      <c r="AT28" s="9">
        <f t="shared" si="103"/>
        <v>2.1593383719938637E-2</v>
      </c>
      <c r="AU28" s="9">
        <f t="shared" si="103"/>
        <v>2.3492994644426855E-2</v>
      </c>
      <c r="AV28" s="9">
        <f t="shared" si="103"/>
        <v>2.5372881749587874E-2</v>
      </c>
      <c r="AX28" t="s">
        <v>42</v>
      </c>
      <c r="AY28" s="4">
        <f>AY26+AY27</f>
        <v>171.57772862366951</v>
      </c>
    </row>
    <row r="29" spans="2:51" x14ac:dyDescent="0.3">
      <c r="AX29" t="s">
        <v>43</v>
      </c>
      <c r="AY29" s="5">
        <f>AY28/AR17</f>
        <v>1.6095471728299204</v>
      </c>
    </row>
    <row r="30" spans="2:51" s="11" customFormat="1" x14ac:dyDescent="0.3">
      <c r="B30" s="11" t="s">
        <v>85</v>
      </c>
      <c r="AA30" s="12">
        <f>1221.9</f>
        <v>1221.9000000000001</v>
      </c>
      <c r="AX30" t="s">
        <v>44</v>
      </c>
      <c r="AY30" s="5">
        <f>Main!D3</f>
        <v>5.04</v>
      </c>
    </row>
    <row r="31" spans="2:51" x14ac:dyDescent="0.3">
      <c r="B31" t="s">
        <v>86</v>
      </c>
      <c r="AA31" s="13">
        <f>Main!D9/Model!AA30</f>
        <v>0.48626237826336027</v>
      </c>
      <c r="AX31" s="1" t="s">
        <v>45</v>
      </c>
      <c r="AY31" s="10">
        <f>AY29/AY30-1</f>
        <v>-0.68064540221628556</v>
      </c>
    </row>
    <row r="32" spans="2:51" x14ac:dyDescent="0.3">
      <c r="B32" t="s">
        <v>87</v>
      </c>
      <c r="AA32" s="9">
        <f>AA30/Main!D9-1</f>
        <v>1.0565029183861698</v>
      </c>
      <c r="AX32" t="s">
        <v>46</v>
      </c>
      <c r="AY32" s="6" t="s">
        <v>66</v>
      </c>
    </row>
    <row r="34" spans="2:51" s="1" customFormat="1" x14ac:dyDescent="0.3">
      <c r="B34" s="1" t="s">
        <v>67</v>
      </c>
      <c r="T34" s="8">
        <f t="shared" ref="T34:AB34" si="104">T16</f>
        <v>6.0999999999999925</v>
      </c>
      <c r="U34" s="8">
        <f t="shared" si="104"/>
        <v>-12.399999999999986</v>
      </c>
      <c r="V34" s="8">
        <f t="shared" si="104"/>
        <v>-29.499999999999982</v>
      </c>
      <c r="W34" s="8">
        <f t="shared" si="104"/>
        <v>-58.300000000000004</v>
      </c>
      <c r="X34" s="8">
        <f t="shared" si="104"/>
        <v>2.2000000000000481</v>
      </c>
      <c r="Y34" s="8">
        <f t="shared" si="104"/>
        <v>-10.399999999999967</v>
      </c>
      <c r="Z34" s="8">
        <f t="shared" si="104"/>
        <v>-20.899999999999967</v>
      </c>
      <c r="AA34" s="8">
        <f t="shared" si="104"/>
        <v>-10.599999999999975</v>
      </c>
      <c r="AB34" s="8">
        <f t="shared" si="104"/>
        <v>4.0184640000000131</v>
      </c>
      <c r="AG34" s="8">
        <f t="shared" ref="AG34:AV34" si="105">AG16</f>
        <v>103.30000000000001</v>
      </c>
      <c r="AH34" s="8">
        <f t="shared" si="105"/>
        <v>100.79999999999998</v>
      </c>
      <c r="AI34" s="8">
        <f t="shared" si="105"/>
        <v>-60.800000000000161</v>
      </c>
      <c r="AJ34" s="8">
        <f t="shared" si="105"/>
        <v>3.0999999999999397</v>
      </c>
      <c r="AK34" s="8">
        <f t="shared" si="105"/>
        <v>-97.999999999999844</v>
      </c>
      <c r="AL34" s="8">
        <f t="shared" si="105"/>
        <v>-37.881535999999798</v>
      </c>
      <c r="AM34" s="8">
        <f t="shared" si="105"/>
        <v>-17.363813507999957</v>
      </c>
      <c r="AN34" s="8">
        <f t="shared" si="105"/>
        <v>-7.6902210323999505</v>
      </c>
      <c r="AO34" s="8">
        <f t="shared" si="105"/>
        <v>16.29391966329608</v>
      </c>
      <c r="AP34" s="8">
        <f t="shared" si="105"/>
        <v>23.902939978804163</v>
      </c>
      <c r="AQ34" s="8">
        <f t="shared" si="105"/>
        <v>27.881323062134122</v>
      </c>
      <c r="AR34" s="8">
        <f t="shared" si="105"/>
        <v>31.972369488114634</v>
      </c>
      <c r="AS34" s="8">
        <f t="shared" si="105"/>
        <v>36.178606253552942</v>
      </c>
      <c r="AT34" s="8">
        <f t="shared" si="105"/>
        <v>40.502611915686387</v>
      </c>
      <c r="AU34" s="8">
        <f t="shared" si="105"/>
        <v>44.94701758209149</v>
      </c>
      <c r="AV34" s="8">
        <f t="shared" si="105"/>
        <v>49.514507918433765</v>
      </c>
      <c r="AX34"/>
      <c r="AY34"/>
    </row>
    <row r="35" spans="2:51" s="1" customFormat="1" x14ac:dyDescent="0.3">
      <c r="B35" s="1" t="s">
        <v>68</v>
      </c>
      <c r="T35" s="8">
        <v>7.6</v>
      </c>
      <c r="U35" s="8">
        <v>-11</v>
      </c>
      <c r="V35" s="8">
        <v>-23.5</v>
      </c>
      <c r="W35" s="8">
        <v>-51.6</v>
      </c>
      <c r="X35" s="8">
        <v>2.7</v>
      </c>
      <c r="Y35" s="8">
        <v>-10.3</v>
      </c>
      <c r="Z35" s="8">
        <v>-20.3</v>
      </c>
      <c r="AA35" s="8">
        <v>-10.4</v>
      </c>
      <c r="AB35" s="8">
        <f>AB34</f>
        <v>4.0184640000000131</v>
      </c>
      <c r="AG35" s="8">
        <v>103.2</v>
      </c>
      <c r="AH35" s="8">
        <v>101</v>
      </c>
      <c r="AI35" s="8">
        <v>-53.9</v>
      </c>
      <c r="AJ35" s="8">
        <v>-1</v>
      </c>
      <c r="AK35" s="8">
        <v>-83.4</v>
      </c>
      <c r="AL35" s="8">
        <f>AL34*0.9</f>
        <v>-34.093382399999818</v>
      </c>
      <c r="AM35" s="8">
        <f t="shared" ref="AM35:AV35" si="106">AM34*0.9</f>
        <v>-15.627432157199962</v>
      </c>
      <c r="AN35" s="8">
        <f t="shared" si="106"/>
        <v>-6.9211989291599556</v>
      </c>
      <c r="AO35" s="8">
        <f t="shared" si="106"/>
        <v>14.664527696966472</v>
      </c>
      <c r="AP35" s="8">
        <f t="shared" si="106"/>
        <v>21.512645980923747</v>
      </c>
      <c r="AQ35" s="8">
        <f t="shared" si="106"/>
        <v>25.093190755920709</v>
      </c>
      <c r="AR35" s="8">
        <f t="shared" si="106"/>
        <v>28.775132539303172</v>
      </c>
      <c r="AS35" s="8">
        <f t="shared" si="106"/>
        <v>32.560745628197651</v>
      </c>
      <c r="AT35" s="8">
        <f t="shared" si="106"/>
        <v>36.45235072411775</v>
      </c>
      <c r="AU35" s="8">
        <f t="shared" si="106"/>
        <v>40.452315823882344</v>
      </c>
      <c r="AV35" s="8">
        <f t="shared" si="106"/>
        <v>44.563057126590387</v>
      </c>
      <c r="AX35"/>
      <c r="AY35"/>
    </row>
    <row r="36" spans="2:51" x14ac:dyDescent="0.3">
      <c r="B36" t="s">
        <v>69</v>
      </c>
      <c r="T36" s="4">
        <v>7.6</v>
      </c>
      <c r="U36" s="4">
        <v>7.7</v>
      </c>
      <c r="V36" s="4">
        <v>8</v>
      </c>
      <c r="W36" s="4">
        <v>7.4</v>
      </c>
      <c r="X36" s="4">
        <v>7.5</v>
      </c>
      <c r="Y36" s="4">
        <v>9.3000000000000007</v>
      </c>
      <c r="Z36" s="4">
        <v>9.3000000000000007</v>
      </c>
      <c r="AA36" s="4">
        <v>5.2</v>
      </c>
      <c r="AB36" s="4">
        <v>5.2</v>
      </c>
      <c r="AG36" s="4">
        <v>5.8</v>
      </c>
      <c r="AH36" s="4">
        <v>17.2</v>
      </c>
      <c r="AI36" s="4">
        <v>22.2</v>
      </c>
      <c r="AJ36" s="4">
        <v>30.9</v>
      </c>
      <c r="AK36" s="4">
        <v>30.6</v>
      </c>
      <c r="AL36" s="4">
        <f>SUM(Y36:AB36)</f>
        <v>29</v>
      </c>
      <c r="AM36" s="4">
        <f>AL36*0.85</f>
        <v>24.65</v>
      </c>
      <c r="AN36" s="4">
        <f>AM36*1.01</f>
        <v>24.8965</v>
      </c>
      <c r="AO36" s="4">
        <f t="shared" ref="AO36:AP36" si="107">AN36*0.95</f>
        <v>23.651674999999997</v>
      </c>
      <c r="AP36" s="4">
        <f t="shared" si="107"/>
        <v>22.469091249999998</v>
      </c>
      <c r="AQ36" s="4">
        <f>AP36*1.01</f>
        <v>22.6937821625</v>
      </c>
      <c r="AR36" s="4">
        <f t="shared" ref="AR36:AV36" si="108">AQ36*1.01</f>
        <v>22.920719984125</v>
      </c>
      <c r="AS36" s="4">
        <f t="shared" si="108"/>
        <v>23.149927183966252</v>
      </c>
      <c r="AT36" s="4">
        <f t="shared" si="108"/>
        <v>23.381426455805915</v>
      </c>
      <c r="AU36" s="4">
        <f t="shared" si="108"/>
        <v>23.615240720363975</v>
      </c>
      <c r="AV36" s="4">
        <f t="shared" si="108"/>
        <v>23.851393127567615</v>
      </c>
    </row>
    <row r="37" spans="2:51" x14ac:dyDescent="0.3">
      <c r="B37" t="s">
        <v>70</v>
      </c>
      <c r="T37" s="4">
        <v>3.2</v>
      </c>
      <c r="U37" s="4">
        <v>3.1</v>
      </c>
      <c r="V37" s="4">
        <v>3.1</v>
      </c>
      <c r="W37" s="4">
        <v>3.3</v>
      </c>
      <c r="X37" s="4">
        <v>4</v>
      </c>
      <c r="Y37" s="4">
        <v>3.4</v>
      </c>
      <c r="Z37" s="4">
        <v>3.4</v>
      </c>
      <c r="AA37" s="4">
        <v>3.5</v>
      </c>
      <c r="AB37" s="4">
        <v>3.5</v>
      </c>
      <c r="AG37" s="4">
        <v>9.3000000000000007</v>
      </c>
      <c r="AH37" s="4">
        <v>10.3</v>
      </c>
      <c r="AI37" s="4">
        <v>10.7</v>
      </c>
      <c r="AJ37" s="4">
        <v>12.2</v>
      </c>
      <c r="AK37" s="4">
        <v>13.4</v>
      </c>
      <c r="AL37" s="4">
        <f t="shared" ref="AL37:AL47" si="109">SUM(Y37:AB37)</f>
        <v>13.8</v>
      </c>
      <c r="AM37" s="4">
        <f>AL37*1.03</f>
        <v>14.214</v>
      </c>
      <c r="AN37" s="4">
        <f t="shared" ref="AN37:AV37" si="110">AM37*1.03</f>
        <v>14.640420000000001</v>
      </c>
      <c r="AO37" s="4">
        <f t="shared" si="110"/>
        <v>15.079632600000002</v>
      </c>
      <c r="AP37" s="4">
        <f t="shared" si="110"/>
        <v>15.532021578000002</v>
      </c>
      <c r="AQ37" s="4">
        <f t="shared" si="110"/>
        <v>15.997982225340003</v>
      </c>
      <c r="AR37" s="4">
        <f t="shared" si="110"/>
        <v>16.477921692100203</v>
      </c>
      <c r="AS37" s="4">
        <f t="shared" si="110"/>
        <v>16.972259342863211</v>
      </c>
      <c r="AT37" s="4">
        <f t="shared" si="110"/>
        <v>17.481427123149107</v>
      </c>
      <c r="AU37" s="4">
        <f t="shared" si="110"/>
        <v>18.005869936843581</v>
      </c>
      <c r="AV37" s="4">
        <f t="shared" si="110"/>
        <v>18.54604603494889</v>
      </c>
    </row>
    <row r="38" spans="2:51" x14ac:dyDescent="0.3">
      <c r="B38" t="s">
        <v>71</v>
      </c>
      <c r="T38" s="4">
        <v>9.5</v>
      </c>
      <c r="U38" s="4">
        <v>9.5</v>
      </c>
      <c r="V38" s="4">
        <v>9.5</v>
      </c>
      <c r="W38" s="4">
        <v>9.6</v>
      </c>
      <c r="X38" s="4">
        <v>9.9</v>
      </c>
      <c r="Y38" s="4">
        <v>9.8000000000000007</v>
      </c>
      <c r="Z38" s="4">
        <v>9.9</v>
      </c>
      <c r="AA38" s="4">
        <v>10.1</v>
      </c>
      <c r="AB38" s="4">
        <v>10.1</v>
      </c>
      <c r="AG38" s="4">
        <v>33.9</v>
      </c>
      <c r="AH38" s="4">
        <v>34.799999999999997</v>
      </c>
      <c r="AI38" s="4">
        <v>42.8</v>
      </c>
      <c r="AJ38" s="4">
        <v>38.5</v>
      </c>
      <c r="AK38" s="4">
        <v>38.4</v>
      </c>
      <c r="AL38" s="4">
        <f t="shared" si="109"/>
        <v>39.900000000000006</v>
      </c>
      <c r="AM38" s="4">
        <f>AL38*1.01</f>
        <v>40.299000000000007</v>
      </c>
      <c r="AN38" s="4">
        <f t="shared" ref="AN38:AV38" si="111">AM38*1.01</f>
        <v>40.701990000000009</v>
      </c>
      <c r="AO38" s="4">
        <f t="shared" si="111"/>
        <v>41.109009900000011</v>
      </c>
      <c r="AP38" s="4">
        <f t="shared" si="111"/>
        <v>41.52009999900001</v>
      </c>
      <c r="AQ38" s="4">
        <f t="shared" si="111"/>
        <v>41.935300998990009</v>
      </c>
      <c r="AR38" s="4">
        <f t="shared" si="111"/>
        <v>42.354654008979907</v>
      </c>
      <c r="AS38" s="4">
        <f t="shared" si="111"/>
        <v>42.778200549069709</v>
      </c>
      <c r="AT38" s="4">
        <f t="shared" si="111"/>
        <v>43.205982554560407</v>
      </c>
      <c r="AU38" s="4">
        <f t="shared" si="111"/>
        <v>43.638042380106015</v>
      </c>
      <c r="AV38" s="4">
        <f t="shared" si="111"/>
        <v>44.074422803907076</v>
      </c>
    </row>
    <row r="39" spans="2:51" x14ac:dyDescent="0.3">
      <c r="B39" t="s">
        <v>84</v>
      </c>
      <c r="T39" s="4">
        <v>0</v>
      </c>
      <c r="U39" s="4">
        <v>0</v>
      </c>
      <c r="V39" s="4">
        <v>-0.1</v>
      </c>
      <c r="W39" s="4">
        <v>0.1</v>
      </c>
      <c r="X39" s="4">
        <v>0</v>
      </c>
      <c r="Y39" s="4">
        <v>0</v>
      </c>
      <c r="Z39" s="4">
        <v>1.4</v>
      </c>
      <c r="AA39" s="4">
        <v>0</v>
      </c>
      <c r="AB39" s="4">
        <v>0</v>
      </c>
      <c r="AG39" s="4"/>
      <c r="AH39" s="4"/>
      <c r="AI39" s="4"/>
      <c r="AJ39" s="4"/>
      <c r="AK39" s="4"/>
      <c r="AL39" s="4">
        <f t="shared" si="109"/>
        <v>1.4</v>
      </c>
      <c r="AM39" s="4"/>
      <c r="AN39" s="4"/>
      <c r="AO39" s="4"/>
      <c r="AP39" s="4"/>
      <c r="AQ39" s="4"/>
      <c r="AR39" s="4"/>
      <c r="AS39" s="4"/>
      <c r="AT39" s="4"/>
      <c r="AU39" s="4"/>
      <c r="AV39" s="4"/>
    </row>
    <row r="40" spans="2:51" x14ac:dyDescent="0.3">
      <c r="B40" t="s">
        <v>82</v>
      </c>
      <c r="T40" s="4">
        <v>0</v>
      </c>
      <c r="U40" s="4">
        <v>0</v>
      </c>
      <c r="V40" s="4">
        <v>0</v>
      </c>
      <c r="W40" s="4">
        <v>0</v>
      </c>
      <c r="X40" s="4">
        <v>-2.6</v>
      </c>
      <c r="Y40" s="4">
        <v>2.6</v>
      </c>
      <c r="Z40" s="4">
        <v>0</v>
      </c>
      <c r="AA40" s="4">
        <v>0</v>
      </c>
      <c r="AB40" s="4">
        <v>0</v>
      </c>
      <c r="AG40" s="4">
        <f>2.6+4.1</f>
        <v>6.6999999999999993</v>
      </c>
      <c r="AH40" s="4">
        <f>1.5+4.9</f>
        <v>6.4</v>
      </c>
      <c r="AI40" s="4">
        <v>0.4</v>
      </c>
      <c r="AJ40" s="4">
        <v>0</v>
      </c>
      <c r="AK40" s="4">
        <v>-2.6</v>
      </c>
      <c r="AL40" s="4">
        <f t="shared" si="109"/>
        <v>2.6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</row>
    <row r="41" spans="2:51" x14ac:dyDescent="0.3">
      <c r="B41" t="s">
        <v>72</v>
      </c>
      <c r="T41" s="4">
        <v>1.4</v>
      </c>
      <c r="U41" s="4">
        <v>-6.1</v>
      </c>
      <c r="V41" s="4">
        <v>-9.1999999999999993</v>
      </c>
      <c r="W41" s="4">
        <v>28</v>
      </c>
      <c r="X41" s="4">
        <v>-1.4</v>
      </c>
      <c r="Y41" s="4">
        <v>-1</v>
      </c>
      <c r="Z41" s="4">
        <v>-2.2999999999999998</v>
      </c>
      <c r="AA41" s="4">
        <v>0.1</v>
      </c>
      <c r="AB41" s="4">
        <v>0</v>
      </c>
      <c r="AG41" s="4">
        <v>-7.5</v>
      </c>
      <c r="AH41" s="4">
        <v>-12</v>
      </c>
      <c r="AI41" s="4">
        <v>-21.7</v>
      </c>
      <c r="AJ41" s="4">
        <v>-6.3</v>
      </c>
      <c r="AK41" s="4">
        <v>11.4</v>
      </c>
      <c r="AL41" s="4">
        <f t="shared" si="109"/>
        <v>-3.1999999999999997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</row>
    <row r="42" spans="2:51" x14ac:dyDescent="0.3">
      <c r="B42" t="s">
        <v>73</v>
      </c>
      <c r="T42" s="4">
        <v>1.8</v>
      </c>
      <c r="U42" s="4">
        <v>0.8</v>
      </c>
      <c r="V42" s="4">
        <v>0.7</v>
      </c>
      <c r="W42" s="4">
        <v>1.3</v>
      </c>
      <c r="X42" s="4">
        <v>2.9</v>
      </c>
      <c r="Y42" s="4">
        <v>3</v>
      </c>
      <c r="Z42" s="4">
        <v>0.6</v>
      </c>
      <c r="AA42" s="4">
        <v>0</v>
      </c>
      <c r="AB42" s="4">
        <v>0</v>
      </c>
      <c r="AG42" s="4">
        <v>2.6</v>
      </c>
      <c r="AH42" s="4">
        <v>3.3</v>
      </c>
      <c r="AI42" s="4">
        <v>4.5</v>
      </c>
      <c r="AJ42" s="4">
        <v>4.9000000000000004</v>
      </c>
      <c r="AK42" s="4">
        <v>5.7</v>
      </c>
      <c r="AL42" s="4">
        <f t="shared" si="109"/>
        <v>3.6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</row>
    <row r="43" spans="2:51" x14ac:dyDescent="0.3">
      <c r="B43" t="s">
        <v>74</v>
      </c>
      <c r="T43" s="4">
        <v>0.4</v>
      </c>
      <c r="U43" s="4">
        <v>46.9</v>
      </c>
      <c r="V43" s="4">
        <v>28.9</v>
      </c>
      <c r="W43" s="4">
        <v>-1.6</v>
      </c>
      <c r="X43" s="4">
        <v>-42</v>
      </c>
      <c r="Y43" s="4">
        <v>0.2</v>
      </c>
      <c r="Z43" s="4">
        <v>37.799999999999997</v>
      </c>
      <c r="AA43" s="4">
        <v>-14</v>
      </c>
      <c r="AB43" s="4">
        <v>0</v>
      </c>
      <c r="AG43" s="4">
        <v>-91.5</v>
      </c>
      <c r="AH43" s="4">
        <v>0.4</v>
      </c>
      <c r="AI43" s="4">
        <v>55.8</v>
      </c>
      <c r="AJ43" s="4">
        <v>-17.7</v>
      </c>
      <c r="AK43" s="4">
        <v>32.299999999999997</v>
      </c>
      <c r="AL43" s="4">
        <f t="shared" si="109"/>
        <v>24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</row>
    <row r="44" spans="2:51" x14ac:dyDescent="0.3">
      <c r="B44" t="s">
        <v>75</v>
      </c>
      <c r="T44" s="4">
        <v>-4</v>
      </c>
      <c r="U44" s="4">
        <v>-12.1</v>
      </c>
      <c r="V44" s="4">
        <v>-13.8</v>
      </c>
      <c r="W44" s="4">
        <v>16.3</v>
      </c>
      <c r="X44" s="4">
        <v>27.9</v>
      </c>
      <c r="Y44" s="4">
        <v>-22.2</v>
      </c>
      <c r="Z44" s="4">
        <v>-21.5</v>
      </c>
      <c r="AA44" s="4">
        <v>-19.5</v>
      </c>
      <c r="AB44" s="4">
        <v>0</v>
      </c>
      <c r="AG44" s="4">
        <v>-80.099999999999994</v>
      </c>
      <c r="AH44" s="4">
        <v>-71.3</v>
      </c>
      <c r="AI44" s="4">
        <v>111.3</v>
      </c>
      <c r="AJ44" s="4">
        <v>-39.5</v>
      </c>
      <c r="AK44" s="4">
        <v>18.3</v>
      </c>
      <c r="AL44" s="4">
        <f t="shared" si="109"/>
        <v>-63.2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X44" s="1"/>
      <c r="AY44" s="1"/>
    </row>
    <row r="45" spans="2:51" x14ac:dyDescent="0.3">
      <c r="B45" t="s">
        <v>76</v>
      </c>
      <c r="T45" s="4">
        <v>6.5</v>
      </c>
      <c r="U45" s="4">
        <v>4.4000000000000004</v>
      </c>
      <c r="V45" s="4">
        <v>2.9</v>
      </c>
      <c r="W45" s="4">
        <v>-7.1</v>
      </c>
      <c r="X45" s="4">
        <v>5.7</v>
      </c>
      <c r="Y45" s="4">
        <v>2.2000000000000002</v>
      </c>
      <c r="Z45" s="4">
        <v>1.8</v>
      </c>
      <c r="AA45" s="4">
        <v>0.7</v>
      </c>
      <c r="AB45" s="4">
        <v>0</v>
      </c>
      <c r="AG45" s="4">
        <v>-8</v>
      </c>
      <c r="AH45" s="4">
        <v>-13.2</v>
      </c>
      <c r="AI45" s="4">
        <v>1.3</v>
      </c>
      <c r="AJ45" s="4">
        <v>1.9</v>
      </c>
      <c r="AK45" s="4">
        <v>5.9</v>
      </c>
      <c r="AL45" s="4">
        <f t="shared" si="109"/>
        <v>4.7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</row>
    <row r="46" spans="2:51" x14ac:dyDescent="0.3">
      <c r="B46" t="s">
        <v>77</v>
      </c>
      <c r="T46" s="4">
        <v>23.9</v>
      </c>
      <c r="U46" s="4">
        <v>-48</v>
      </c>
      <c r="V46" s="4">
        <v>-24.1</v>
      </c>
      <c r="W46" s="4">
        <v>10.7</v>
      </c>
      <c r="X46" s="4">
        <v>21.8</v>
      </c>
      <c r="Y46" s="4">
        <v>34.299999999999997</v>
      </c>
      <c r="Z46" s="4">
        <v>15.3</v>
      </c>
      <c r="AA46" s="4">
        <v>-11.3</v>
      </c>
      <c r="AB46" s="4">
        <v>0</v>
      </c>
      <c r="AG46" s="4">
        <v>116.5</v>
      </c>
      <c r="AH46" s="4">
        <v>-63.7</v>
      </c>
      <c r="AI46" s="4">
        <v>-65.900000000000006</v>
      </c>
      <c r="AJ46" s="4">
        <v>62.2</v>
      </c>
      <c r="AK46" s="4">
        <v>-39.5</v>
      </c>
      <c r="AL46" s="4">
        <f t="shared" si="109"/>
        <v>38.299999999999997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X46" s="1"/>
      <c r="AY46" s="1"/>
    </row>
    <row r="47" spans="2:51" x14ac:dyDescent="0.3">
      <c r="B47" t="s">
        <v>78</v>
      </c>
      <c r="T47" s="4">
        <v>-0.6</v>
      </c>
      <c r="U47" s="4">
        <v>-21.6</v>
      </c>
      <c r="V47" s="4">
        <v>-0.9</v>
      </c>
      <c r="W47" s="4">
        <v>8.6</v>
      </c>
      <c r="X47" s="4">
        <v>19.2</v>
      </c>
      <c r="Y47" s="4">
        <v>-12.5</v>
      </c>
      <c r="Z47" s="4">
        <v>-5.2</v>
      </c>
      <c r="AA47" s="4">
        <v>-1.4</v>
      </c>
      <c r="AB47" s="4">
        <v>0</v>
      </c>
      <c r="AG47" s="4">
        <v>77.900000000000006</v>
      </c>
      <c r="AH47" s="4">
        <v>7</v>
      </c>
      <c r="AI47" s="4">
        <v>-41</v>
      </c>
      <c r="AJ47" s="4">
        <v>3.8</v>
      </c>
      <c r="AK47" s="4">
        <v>5.3</v>
      </c>
      <c r="AL47" s="4">
        <f t="shared" si="109"/>
        <v>-19.099999999999998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</row>
    <row r="48" spans="2:51" s="1" customFormat="1" x14ac:dyDescent="0.3">
      <c r="B48" s="1" t="s">
        <v>79</v>
      </c>
      <c r="T48" s="8">
        <f t="shared" ref="T48:AB48" si="112">T34+SUM(T36:T47)</f>
        <v>55.79999999999999</v>
      </c>
      <c r="U48" s="8">
        <f t="shared" si="112"/>
        <v>-27.79999999999999</v>
      </c>
      <c r="V48" s="8">
        <f t="shared" si="112"/>
        <v>-24.499999999999986</v>
      </c>
      <c r="W48" s="8">
        <f t="shared" si="112"/>
        <v>18.299999999999976</v>
      </c>
      <c r="X48" s="8">
        <f t="shared" si="112"/>
        <v>55.100000000000037</v>
      </c>
      <c r="Y48" s="8">
        <f t="shared" si="112"/>
        <v>18.700000000000035</v>
      </c>
      <c r="Z48" s="8">
        <f t="shared" si="112"/>
        <v>29.600000000000019</v>
      </c>
      <c r="AA48" s="8">
        <f t="shared" si="112"/>
        <v>-37.199999999999974</v>
      </c>
      <c r="AB48" s="8">
        <f t="shared" si="112"/>
        <v>22.818464000000009</v>
      </c>
      <c r="AG48" s="8">
        <f t="shared" ref="AG48:AM48" si="113">AG34+SUM(AG35:AG47)</f>
        <v>272.10000000000002</v>
      </c>
      <c r="AH48" s="8">
        <f t="shared" si="113"/>
        <v>121.00000000000001</v>
      </c>
      <c r="AI48" s="8">
        <f t="shared" si="113"/>
        <v>5.6999999999998394</v>
      </c>
      <c r="AJ48" s="8">
        <f t="shared" si="113"/>
        <v>92.999999999999929</v>
      </c>
      <c r="AK48" s="8">
        <f t="shared" si="113"/>
        <v>-62.199999999999847</v>
      </c>
      <c r="AL48" s="8">
        <f t="shared" si="113"/>
        <v>-0.1749183999995978</v>
      </c>
      <c r="AM48" s="8">
        <f t="shared" si="113"/>
        <v>46.171754334800085</v>
      </c>
      <c r="AN48" s="8">
        <f t="shared" ref="AN48:AV48" si="114">AN34+SUM(AN35:AN47)</f>
        <v>65.627490038440115</v>
      </c>
      <c r="AO48" s="8">
        <f t="shared" si="114"/>
        <v>110.79876486026257</v>
      </c>
      <c r="AP48" s="8">
        <f t="shared" si="114"/>
        <v>124.93679878672791</v>
      </c>
      <c r="AQ48" s="8">
        <f t="shared" si="114"/>
        <v>133.60157920488484</v>
      </c>
      <c r="AR48" s="8">
        <f t="shared" si="114"/>
        <v>142.5007977126229</v>
      </c>
      <c r="AS48" s="8">
        <f t="shared" si="114"/>
        <v>151.63973895764977</v>
      </c>
      <c r="AT48" s="8">
        <f t="shared" si="114"/>
        <v>161.02379877331958</v>
      </c>
      <c r="AU48" s="8">
        <f t="shared" si="114"/>
        <v>170.65848644328742</v>
      </c>
      <c r="AV48" s="8">
        <f t="shared" si="114"/>
        <v>180.54942701144773</v>
      </c>
      <c r="AX48"/>
      <c r="AY48"/>
    </row>
    <row r="49" spans="2:143" x14ac:dyDescent="0.3">
      <c r="B49" t="s">
        <v>80</v>
      </c>
      <c r="T49" s="4">
        <v>2</v>
      </c>
      <c r="U49" s="4">
        <v>2.5</v>
      </c>
      <c r="V49" s="4">
        <v>2.5</v>
      </c>
      <c r="W49" s="4">
        <v>3.3</v>
      </c>
      <c r="X49" s="4">
        <v>1.5</v>
      </c>
      <c r="Y49" s="4">
        <v>3.1</v>
      </c>
      <c r="Z49" s="4">
        <v>2.7</v>
      </c>
      <c r="AA49" s="4">
        <v>4.3</v>
      </c>
      <c r="AB49" s="4">
        <v>4</v>
      </c>
      <c r="AG49" s="4">
        <v>9</v>
      </c>
      <c r="AH49" s="4">
        <v>11</v>
      </c>
      <c r="AI49" s="4">
        <v>12.8</v>
      </c>
      <c r="AJ49" s="4">
        <v>12.8</v>
      </c>
      <c r="AK49" s="4">
        <v>9.8000000000000007</v>
      </c>
      <c r="AL49" s="4">
        <f>SUM(Y49:AB49)</f>
        <v>14.100000000000001</v>
      </c>
      <c r="AM49" s="4">
        <f t="shared" ref="AM49" si="115">AL49*1.05</f>
        <v>14.805000000000001</v>
      </c>
      <c r="AN49" s="4">
        <f>AM49*1.04</f>
        <v>15.397200000000002</v>
      </c>
      <c r="AO49" s="4">
        <f>AN49*1.03</f>
        <v>15.859116000000002</v>
      </c>
      <c r="AP49" s="4">
        <f t="shared" ref="AP49:AV49" si="116">AO49*1.03</f>
        <v>16.334889480000001</v>
      </c>
      <c r="AQ49" s="4">
        <f t="shared" si="116"/>
        <v>16.8249361644</v>
      </c>
      <c r="AR49" s="4">
        <f t="shared" si="116"/>
        <v>17.329684249332001</v>
      </c>
      <c r="AS49" s="4">
        <f t="shared" si="116"/>
        <v>17.849574776811963</v>
      </c>
      <c r="AT49" s="4">
        <f t="shared" si="116"/>
        <v>18.385062020116322</v>
      </c>
      <c r="AU49" s="4">
        <f t="shared" si="116"/>
        <v>18.936613880719811</v>
      </c>
      <c r="AV49" s="4">
        <f t="shared" si="116"/>
        <v>19.504712297141406</v>
      </c>
    </row>
    <row r="50" spans="2:143" s="1" customFormat="1" x14ac:dyDescent="0.3">
      <c r="B50" s="1" t="s">
        <v>81</v>
      </c>
      <c r="T50" s="8">
        <f t="shared" ref="T50:AB50" si="117">T48-T49</f>
        <v>53.79999999999999</v>
      </c>
      <c r="U50" s="8">
        <f t="shared" si="117"/>
        <v>-30.29999999999999</v>
      </c>
      <c r="V50" s="8">
        <f t="shared" si="117"/>
        <v>-26.999999999999986</v>
      </c>
      <c r="W50" s="8">
        <f t="shared" si="117"/>
        <v>14.999999999999975</v>
      </c>
      <c r="X50" s="8">
        <f t="shared" si="117"/>
        <v>53.600000000000037</v>
      </c>
      <c r="Y50" s="8">
        <f t="shared" si="117"/>
        <v>15.600000000000035</v>
      </c>
      <c r="Z50" s="8">
        <f t="shared" si="117"/>
        <v>26.90000000000002</v>
      </c>
      <c r="AA50" s="8">
        <f t="shared" si="117"/>
        <v>-41.499999999999972</v>
      </c>
      <c r="AB50" s="8">
        <f t="shared" si="117"/>
        <v>18.818464000000009</v>
      </c>
      <c r="AG50" s="8">
        <f t="shared" ref="AG50:AM50" si="118">AG48-AG49</f>
        <v>263.10000000000002</v>
      </c>
      <c r="AH50" s="8">
        <f t="shared" si="118"/>
        <v>110.00000000000001</v>
      </c>
      <c r="AI50" s="8">
        <f t="shared" si="118"/>
        <v>-7.1000000000001613</v>
      </c>
      <c r="AJ50" s="8">
        <f t="shared" si="118"/>
        <v>80.199999999999932</v>
      </c>
      <c r="AK50" s="8">
        <f t="shared" si="118"/>
        <v>-71.999999999999844</v>
      </c>
      <c r="AL50" s="8">
        <f t="shared" si="118"/>
        <v>-14.274918399999599</v>
      </c>
      <c r="AM50" s="8">
        <f t="shared" si="118"/>
        <v>31.366754334800085</v>
      </c>
      <c r="AN50" s="8">
        <f t="shared" ref="AN50:AV50" si="119">AN48-AN49</f>
        <v>50.230290038440117</v>
      </c>
      <c r="AO50" s="8">
        <f t="shared" si="119"/>
        <v>94.939648860262565</v>
      </c>
      <c r="AP50" s="8">
        <f t="shared" si="119"/>
        <v>108.6019093067279</v>
      </c>
      <c r="AQ50" s="8">
        <f t="shared" si="119"/>
        <v>116.77664304048484</v>
      </c>
      <c r="AR50" s="8">
        <f t="shared" si="119"/>
        <v>125.17111346329089</v>
      </c>
      <c r="AS50" s="8">
        <f t="shared" si="119"/>
        <v>133.79016418083779</v>
      </c>
      <c r="AT50" s="8">
        <f t="shared" si="119"/>
        <v>142.63873675320326</v>
      </c>
      <c r="AU50" s="8">
        <f t="shared" si="119"/>
        <v>151.7218725625676</v>
      </c>
      <c r="AV50" s="8">
        <f t="shared" si="119"/>
        <v>161.04471471430634</v>
      </c>
      <c r="AW50" s="1">
        <f>AV50*(1+$AY$24)</f>
        <v>159.43426756716326</v>
      </c>
      <c r="AX50" s="1">
        <f t="shared" ref="AX50:DI50" si="120">AW50*(1+$AY$24)</f>
        <v>157.83992489149162</v>
      </c>
      <c r="AY50" s="1">
        <f t="shared" si="120"/>
        <v>156.26152564257671</v>
      </c>
      <c r="AZ50" s="1">
        <f t="shared" si="120"/>
        <v>154.69891038615094</v>
      </c>
      <c r="BA50" s="1">
        <f t="shared" si="120"/>
        <v>153.15192128228944</v>
      </c>
      <c r="BB50" s="1">
        <f t="shared" si="120"/>
        <v>151.62040206946654</v>
      </c>
      <c r="BC50" s="1">
        <f t="shared" si="120"/>
        <v>150.10419804877188</v>
      </c>
      <c r="BD50" s="1">
        <f t="shared" si="120"/>
        <v>148.60315606828416</v>
      </c>
      <c r="BE50" s="1">
        <f t="shared" si="120"/>
        <v>147.11712450760132</v>
      </c>
      <c r="BF50" s="1">
        <f t="shared" si="120"/>
        <v>145.6459532625253</v>
      </c>
      <c r="BG50" s="1">
        <f t="shared" si="120"/>
        <v>144.18949372990005</v>
      </c>
      <c r="BH50" s="1">
        <f t="shared" si="120"/>
        <v>142.74759879260105</v>
      </c>
      <c r="BI50" s="1">
        <f t="shared" si="120"/>
        <v>141.32012280467504</v>
      </c>
      <c r="BJ50" s="1">
        <f t="shared" si="120"/>
        <v>139.90692157662829</v>
      </c>
      <c r="BK50" s="1">
        <f t="shared" si="120"/>
        <v>138.50785236086202</v>
      </c>
      <c r="BL50" s="1">
        <f t="shared" si="120"/>
        <v>137.12277383725339</v>
      </c>
      <c r="BM50" s="1">
        <f t="shared" si="120"/>
        <v>135.75154609888085</v>
      </c>
      <c r="BN50" s="1">
        <f t="shared" si="120"/>
        <v>134.39403063789203</v>
      </c>
      <c r="BO50" s="1">
        <f t="shared" si="120"/>
        <v>133.0500903315131</v>
      </c>
      <c r="BP50" s="1">
        <f t="shared" si="120"/>
        <v>131.71958942819796</v>
      </c>
      <c r="BQ50" s="1">
        <f t="shared" si="120"/>
        <v>130.40239353391598</v>
      </c>
      <c r="BR50" s="1">
        <f t="shared" si="120"/>
        <v>129.09836959857682</v>
      </c>
      <c r="BS50" s="1">
        <f t="shared" si="120"/>
        <v>127.80738590259105</v>
      </c>
      <c r="BT50" s="1">
        <f t="shared" si="120"/>
        <v>126.52931204356514</v>
      </c>
      <c r="BU50" s="1">
        <f t="shared" si="120"/>
        <v>125.26401892312948</v>
      </c>
      <c r="BV50" s="1">
        <f t="shared" si="120"/>
        <v>124.01137873389818</v>
      </c>
      <c r="BW50" s="1">
        <f t="shared" si="120"/>
        <v>122.7712649465592</v>
      </c>
      <c r="BX50" s="1">
        <f t="shared" si="120"/>
        <v>121.54355229709361</v>
      </c>
      <c r="BY50" s="1">
        <f t="shared" si="120"/>
        <v>120.32811677412268</v>
      </c>
      <c r="BZ50" s="1">
        <f t="shared" si="120"/>
        <v>119.12483560638145</v>
      </c>
      <c r="CA50" s="1">
        <f t="shared" si="120"/>
        <v>117.93358725031764</v>
      </c>
      <c r="CB50" s="1">
        <f t="shared" si="120"/>
        <v>116.75425137781447</v>
      </c>
      <c r="CC50" s="1">
        <f t="shared" si="120"/>
        <v>115.58670886403632</v>
      </c>
      <c r="CD50" s="1">
        <f t="shared" si="120"/>
        <v>114.43084177539596</v>
      </c>
      <c r="CE50" s="1">
        <f t="shared" si="120"/>
        <v>113.286533357642</v>
      </c>
      <c r="CF50" s="1">
        <f t="shared" si="120"/>
        <v>112.15366802406558</v>
      </c>
      <c r="CG50" s="1">
        <f t="shared" si="120"/>
        <v>111.03213134382493</v>
      </c>
      <c r="CH50" s="1">
        <f t="shared" si="120"/>
        <v>109.92181003038668</v>
      </c>
      <c r="CI50" s="1">
        <f t="shared" si="120"/>
        <v>108.82259193008281</v>
      </c>
      <c r="CJ50" s="1">
        <f t="shared" si="120"/>
        <v>107.73436601078198</v>
      </c>
      <c r="CK50" s="1">
        <f t="shared" si="120"/>
        <v>106.65702235067417</v>
      </c>
      <c r="CL50" s="1">
        <f t="shared" si="120"/>
        <v>105.59045212716742</v>
      </c>
      <c r="CM50" s="1">
        <f t="shared" si="120"/>
        <v>104.53454760589575</v>
      </c>
      <c r="CN50" s="1">
        <f t="shared" si="120"/>
        <v>103.4892021298368</v>
      </c>
      <c r="CO50" s="1">
        <f t="shared" si="120"/>
        <v>102.45431010853842</v>
      </c>
      <c r="CP50" s="1">
        <f t="shared" si="120"/>
        <v>101.42976700745304</v>
      </c>
      <c r="CQ50" s="1">
        <f t="shared" si="120"/>
        <v>100.41546933737851</v>
      </c>
      <c r="CR50" s="1">
        <f t="shared" si="120"/>
        <v>99.411314644004719</v>
      </c>
      <c r="CS50" s="1">
        <f t="shared" si="120"/>
        <v>98.417201497564676</v>
      </c>
      <c r="CT50" s="1">
        <f t="shared" si="120"/>
        <v>97.433029482589035</v>
      </c>
      <c r="CU50" s="1">
        <f t="shared" si="120"/>
        <v>96.458699187763145</v>
      </c>
      <c r="CV50" s="1">
        <f t="shared" si="120"/>
        <v>95.494112195885506</v>
      </c>
      <c r="CW50" s="1">
        <f t="shared" si="120"/>
        <v>94.539171073926653</v>
      </c>
      <c r="CX50" s="1">
        <f t="shared" si="120"/>
        <v>93.59377936318738</v>
      </c>
      <c r="CY50" s="1">
        <f t="shared" si="120"/>
        <v>92.657841569555501</v>
      </c>
      <c r="CZ50" s="1">
        <f t="shared" si="120"/>
        <v>91.731263153859942</v>
      </c>
      <c r="DA50" s="1">
        <f t="shared" si="120"/>
        <v>90.813950522321335</v>
      </c>
      <c r="DB50" s="1">
        <f t="shared" si="120"/>
        <v>89.905811017098117</v>
      </c>
      <c r="DC50" s="1">
        <f t="shared" si="120"/>
        <v>89.006752906927133</v>
      </c>
      <c r="DD50" s="1">
        <f t="shared" si="120"/>
        <v>88.116685377857863</v>
      </c>
      <c r="DE50" s="1">
        <f t="shared" si="120"/>
        <v>87.235518524079282</v>
      </c>
      <c r="DF50" s="1">
        <f t="shared" si="120"/>
        <v>86.36316333883849</v>
      </c>
      <c r="DG50" s="1">
        <f t="shared" si="120"/>
        <v>85.49953170545011</v>
      </c>
      <c r="DH50" s="1">
        <f t="shared" si="120"/>
        <v>84.644536388395608</v>
      </c>
      <c r="DI50" s="1">
        <f t="shared" si="120"/>
        <v>83.798091024511649</v>
      </c>
      <c r="DJ50" s="1">
        <f t="shared" ref="DJ50:EM50" si="121">DI50*(1+$AY$24)</f>
        <v>82.960110114266527</v>
      </c>
      <c r="DK50" s="1">
        <f t="shared" si="121"/>
        <v>82.130509013123856</v>
      </c>
      <c r="DL50" s="1">
        <f t="shared" si="121"/>
        <v>81.309203922992623</v>
      </c>
      <c r="DM50" s="1">
        <f t="shared" si="121"/>
        <v>80.496111883762694</v>
      </c>
      <c r="DN50" s="1">
        <f t="shared" si="121"/>
        <v>79.691150764925069</v>
      </c>
      <c r="DO50" s="1">
        <f t="shared" si="121"/>
        <v>78.894239257275814</v>
      </c>
      <c r="DP50" s="1">
        <f t="shared" si="121"/>
        <v>78.10529686470305</v>
      </c>
      <c r="DQ50" s="1">
        <f t="shared" si="121"/>
        <v>77.324243896056018</v>
      </c>
      <c r="DR50" s="1">
        <f t="shared" si="121"/>
        <v>76.551001457095452</v>
      </c>
      <c r="DS50" s="1">
        <f t="shared" si="121"/>
        <v>75.785491442524503</v>
      </c>
      <c r="DT50" s="1">
        <f t="shared" si="121"/>
        <v>75.027636528099251</v>
      </c>
      <c r="DU50" s="1">
        <f t="shared" si="121"/>
        <v>74.277360162818255</v>
      </c>
      <c r="DV50" s="1">
        <f t="shared" si="121"/>
        <v>73.534586561190068</v>
      </c>
      <c r="DW50" s="1">
        <f t="shared" si="121"/>
        <v>72.799240695578163</v>
      </c>
      <c r="DX50" s="1">
        <f t="shared" si="121"/>
        <v>72.071248288622385</v>
      </c>
      <c r="DY50" s="1">
        <f t="shared" si="121"/>
        <v>71.350535805736158</v>
      </c>
      <c r="DZ50" s="1">
        <f t="shared" si="121"/>
        <v>70.637030447678796</v>
      </c>
      <c r="EA50" s="1">
        <f t="shared" si="121"/>
        <v>69.930660143202005</v>
      </c>
      <c r="EB50" s="1">
        <f t="shared" si="121"/>
        <v>69.231353541769977</v>
      </c>
      <c r="EC50" s="1">
        <f t="shared" si="121"/>
        <v>68.53904000635228</v>
      </c>
      <c r="ED50" s="1">
        <f t="shared" si="121"/>
        <v>67.853649606288755</v>
      </c>
      <c r="EE50" s="1">
        <f t="shared" si="121"/>
        <v>67.175113110225865</v>
      </c>
      <c r="EF50" s="1">
        <f t="shared" si="121"/>
        <v>66.503361979123611</v>
      </c>
      <c r="EG50" s="1">
        <f t="shared" si="121"/>
        <v>65.83832835933238</v>
      </c>
      <c r="EH50" s="1">
        <f t="shared" si="121"/>
        <v>65.179945075739056</v>
      </c>
      <c r="EI50" s="1">
        <f t="shared" si="121"/>
        <v>64.528145624981661</v>
      </c>
      <c r="EJ50" s="1">
        <f t="shared" si="121"/>
        <v>63.882864168731842</v>
      </c>
      <c r="EK50" s="1">
        <f t="shared" si="121"/>
        <v>63.244035527044524</v>
      </c>
      <c r="EL50" s="1">
        <f t="shared" si="121"/>
        <v>62.611595171774077</v>
      </c>
      <c r="EM50" s="1">
        <f t="shared" si="121"/>
        <v>61.985479220056334</v>
      </c>
    </row>
    <row r="52" spans="2:143" x14ac:dyDescent="0.3">
      <c r="AX52" t="s">
        <v>83</v>
      </c>
      <c r="AY52" s="4">
        <f>NPV(AY25,AL50:EM50)</f>
        <v>1058.943988523564</v>
      </c>
    </row>
    <row r="53" spans="2:143" x14ac:dyDescent="0.3">
      <c r="W53" s="4"/>
      <c r="AA53" s="4"/>
      <c r="AX53" t="s">
        <v>41</v>
      </c>
      <c r="AY53" s="4">
        <f>Main!D8</f>
        <v>-56.899999999999977</v>
      </c>
    </row>
    <row r="54" spans="2:143" x14ac:dyDescent="0.3">
      <c r="AX54" t="s">
        <v>42</v>
      </c>
      <c r="AY54" s="4">
        <f>AY52+AY53</f>
        <v>1002.0439885235641</v>
      </c>
    </row>
    <row r="55" spans="2:143" x14ac:dyDescent="0.3">
      <c r="AX55" t="s">
        <v>43</v>
      </c>
      <c r="AY55" s="5">
        <f>AY54/AV17</f>
        <v>9.4000374157932836</v>
      </c>
    </row>
    <row r="56" spans="2:143" x14ac:dyDescent="0.3">
      <c r="AX56" t="s">
        <v>44</v>
      </c>
      <c r="AY56" s="5">
        <f>Main!D3</f>
        <v>5.04</v>
      </c>
    </row>
    <row r="57" spans="2:143" x14ac:dyDescent="0.3">
      <c r="AX57" s="1" t="s">
        <v>45</v>
      </c>
      <c r="AY57" s="10">
        <f>AY55/AY56-1</f>
        <v>0.86508678884787371</v>
      </c>
    </row>
    <row r="58" spans="2:143" x14ac:dyDescent="0.3">
      <c r="AY58" s="6" t="s">
        <v>92</v>
      </c>
    </row>
    <row r="66" spans="2:2" x14ac:dyDescent="0.3">
      <c r="B66" s="1"/>
    </row>
    <row r="68" spans="2:2" x14ac:dyDescent="0.3">
      <c r="B68" s="1"/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2021-03-10T21:07:24Z</dcterms:created>
  <dcterms:modified xsi:type="dcterms:W3CDTF">2026-01-30T11:12:41Z</dcterms:modified>
</cp:coreProperties>
</file>