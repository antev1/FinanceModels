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3194C37-9ACB-456A-B15E-689D0B5FC859}" xr6:coauthVersionLast="47" xr6:coauthVersionMax="47" xr10:uidLastSave="{00000000-0000-0000-0000-000000000000}"/>
  <bookViews>
    <workbookView xWindow="-108" yWindow="-108" windowWidth="23256" windowHeight="12576" activeTab="1" xr2:uid="{D4154116-B837-4443-B5D0-8DB112D6F8D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36" i="2" l="1"/>
  <c r="AT36" i="2" s="1"/>
  <c r="AU36" i="2" s="1"/>
  <c r="AV36" i="2" s="1"/>
  <c r="AW36" i="2" s="1"/>
  <c r="AX36" i="2" s="1"/>
  <c r="AY36" i="2" s="1"/>
  <c r="AZ36" i="2" s="1"/>
  <c r="AR36" i="2"/>
  <c r="AQ36" i="2"/>
  <c r="AY4" i="2"/>
  <c r="AZ4" i="2" s="1"/>
  <c r="AX4" i="2"/>
  <c r="AW4" i="2"/>
  <c r="AV4" i="2"/>
  <c r="AU4" i="2"/>
  <c r="AT4" i="2"/>
  <c r="AS4" i="2"/>
  <c r="AR4" i="2"/>
  <c r="AY3" i="2"/>
  <c r="AZ3" i="2" s="1"/>
  <c r="AX3" i="2"/>
  <c r="AW3" i="2"/>
  <c r="AV3" i="2"/>
  <c r="AU3" i="2"/>
  <c r="AT3" i="2"/>
  <c r="AS3" i="2"/>
  <c r="AR3" i="2"/>
  <c r="AS8" i="2"/>
  <c r="AR8" i="2"/>
  <c r="AQ8" i="2"/>
  <c r="AQ4" i="2"/>
  <c r="AQ3" i="2"/>
  <c r="AF28" i="2"/>
  <c r="AE28" i="2"/>
  <c r="AD28" i="2"/>
  <c r="AC28" i="2"/>
  <c r="AF27" i="2"/>
  <c r="AE27" i="2"/>
  <c r="AD27" i="2"/>
  <c r="AC27" i="2"/>
  <c r="AF26" i="2"/>
  <c r="AE26" i="2"/>
  <c r="AD26" i="2"/>
  <c r="AC26" i="2"/>
  <c r="AF25" i="2"/>
  <c r="AE25" i="2"/>
  <c r="AD25" i="2"/>
  <c r="AC25" i="2"/>
  <c r="AF24" i="2"/>
  <c r="AE24" i="2"/>
  <c r="AD24" i="2"/>
  <c r="AC24" i="2"/>
  <c r="AF23" i="2"/>
  <c r="AE23" i="2"/>
  <c r="AD23" i="2"/>
  <c r="AC23" i="2"/>
  <c r="AF22" i="2"/>
  <c r="AE22" i="2"/>
  <c r="AD22" i="2"/>
  <c r="AC22" i="2"/>
  <c r="AF21" i="2"/>
  <c r="AE21" i="2"/>
  <c r="AD21" i="2"/>
  <c r="AC21" i="2"/>
  <c r="AF20" i="2"/>
  <c r="AE20" i="2"/>
  <c r="AD20" i="2"/>
  <c r="AC20" i="2"/>
  <c r="AB12" i="2"/>
  <c r="AB7" i="2"/>
  <c r="AB21" i="2"/>
  <c r="AB20" i="2"/>
  <c r="AP21" i="2"/>
  <c r="AP20" i="2"/>
  <c r="AO4" i="2"/>
  <c r="AO3" i="2"/>
  <c r="AP4" i="2"/>
  <c r="AP3" i="2"/>
  <c r="AB5" i="2"/>
  <c r="D7" i="1"/>
  <c r="D6" i="1"/>
  <c r="D4" i="1"/>
  <c r="AA30" i="2"/>
  <c r="BC56" i="2"/>
  <c r="AP49" i="2"/>
  <c r="AQ49" i="2" s="1"/>
  <c r="AR49" i="2" s="1"/>
  <c r="AS49" i="2" s="1"/>
  <c r="AT49" i="2" s="1"/>
  <c r="AU49" i="2" s="1"/>
  <c r="AV49" i="2" s="1"/>
  <c r="AW49" i="2" s="1"/>
  <c r="AX49" i="2" s="1"/>
  <c r="AY49" i="2" s="1"/>
  <c r="AZ49" i="2" s="1"/>
  <c r="AP47" i="2"/>
  <c r="AP46" i="2"/>
  <c r="AP45" i="2"/>
  <c r="AP44" i="2"/>
  <c r="AP43" i="2"/>
  <c r="AP42" i="2"/>
  <c r="AP41" i="2"/>
  <c r="AP40" i="2"/>
  <c r="AP39" i="2"/>
  <c r="AP38" i="2"/>
  <c r="AQ38" i="2" s="1"/>
  <c r="AR38" i="2" s="1"/>
  <c r="AS38" i="2" s="1"/>
  <c r="AT38" i="2" s="1"/>
  <c r="AU38" i="2" s="1"/>
  <c r="AV38" i="2" s="1"/>
  <c r="AW38" i="2" s="1"/>
  <c r="AX38" i="2" s="1"/>
  <c r="AY38" i="2" s="1"/>
  <c r="AZ38" i="2" s="1"/>
  <c r="AP37" i="2"/>
  <c r="AP36" i="2"/>
  <c r="AP15" i="2"/>
  <c r="X21" i="2"/>
  <c r="X20" i="2"/>
  <c r="Y21" i="2"/>
  <c r="Y20" i="2"/>
  <c r="Z21" i="2"/>
  <c r="Z20" i="2"/>
  <c r="AA21" i="2"/>
  <c r="AA20" i="2"/>
  <c r="AA12" i="2"/>
  <c r="AA7" i="2"/>
  <c r="AZ17" i="2"/>
  <c r="AY17" i="2"/>
  <c r="AX17" i="2"/>
  <c r="AW17" i="2"/>
  <c r="AV17" i="2"/>
  <c r="AU17" i="2"/>
  <c r="AT17" i="2"/>
  <c r="AS17" i="2"/>
  <c r="AR17" i="2"/>
  <c r="AQ17" i="2"/>
  <c r="AP17" i="2"/>
  <c r="AB17" i="2"/>
  <c r="AA17" i="2"/>
  <c r="Z12" i="2"/>
  <c r="Z7" i="2"/>
  <c r="Z17" i="2"/>
  <c r="Y17" i="2"/>
  <c r="Y12" i="2"/>
  <c r="Y7" i="2"/>
  <c r="AT8" i="2" l="1"/>
  <c r="AQ5" i="2"/>
  <c r="AQ7" i="2" s="1"/>
  <c r="AQ37" i="2"/>
  <c r="AR37" i="2" s="1"/>
  <c r="AS37" i="2" s="1"/>
  <c r="AT37" i="2" s="1"/>
  <c r="AU37" i="2" s="1"/>
  <c r="AV37" i="2" s="1"/>
  <c r="AW37" i="2" s="1"/>
  <c r="AX37" i="2" s="1"/>
  <c r="AY37" i="2" s="1"/>
  <c r="AZ37" i="2" s="1"/>
  <c r="AK40" i="2"/>
  <c r="AL40" i="2"/>
  <c r="AA10" i="2" l="1"/>
  <c r="AA13" i="2" s="1"/>
  <c r="AO17" i="2"/>
  <c r="X17" i="2"/>
  <c r="Z26" i="2"/>
  <c r="Y26" i="2"/>
  <c r="AB25" i="2"/>
  <c r="Z25" i="2"/>
  <c r="Y25" i="2"/>
  <c r="AA22" i="2"/>
  <c r="Z22" i="2"/>
  <c r="Y22" i="2"/>
  <c r="AP12" i="2"/>
  <c r="AP11" i="2"/>
  <c r="AQ11" i="2" s="1"/>
  <c r="AR11" i="2" s="1"/>
  <c r="AS11" i="2" s="1"/>
  <c r="AT11" i="2" s="1"/>
  <c r="AU11" i="2" s="1"/>
  <c r="AV11" i="2" s="1"/>
  <c r="AW11" i="2" s="1"/>
  <c r="AX11" i="2" s="1"/>
  <c r="AY11" i="2" s="1"/>
  <c r="AZ11" i="2" s="1"/>
  <c r="Y10" i="2"/>
  <c r="Y13" i="2" s="1"/>
  <c r="AB26" i="2"/>
  <c r="AP8" i="2"/>
  <c r="Z10" i="2"/>
  <c r="AB22" i="2"/>
  <c r="X7" i="2"/>
  <c r="X25" i="2"/>
  <c r="AO6" i="2"/>
  <c r="AO11" i="2"/>
  <c r="AO9" i="2"/>
  <c r="AN14" i="2"/>
  <c r="AN11" i="2"/>
  <c r="AN9" i="2"/>
  <c r="AN8" i="2"/>
  <c r="AN6" i="2"/>
  <c r="AN5" i="2"/>
  <c r="AM14" i="2"/>
  <c r="AM11" i="2"/>
  <c r="AM9" i="2"/>
  <c r="AM8" i="2"/>
  <c r="AM6" i="2"/>
  <c r="AM5" i="2"/>
  <c r="X26" i="2"/>
  <c r="W26" i="2"/>
  <c r="V26" i="2"/>
  <c r="U26" i="2"/>
  <c r="T26" i="2"/>
  <c r="S26" i="2"/>
  <c r="R26" i="2"/>
  <c r="Q26" i="2"/>
  <c r="P26" i="2"/>
  <c r="O26" i="2"/>
  <c r="N26" i="2"/>
  <c r="M26" i="2"/>
  <c r="W25" i="2"/>
  <c r="V25" i="2"/>
  <c r="U25" i="2"/>
  <c r="T25" i="2"/>
  <c r="S25" i="2"/>
  <c r="R25" i="2"/>
  <c r="Q25" i="2"/>
  <c r="P25" i="2"/>
  <c r="O25" i="2"/>
  <c r="N25" i="2"/>
  <c r="M25" i="2"/>
  <c r="X22" i="2"/>
  <c r="W22" i="2"/>
  <c r="V22" i="2"/>
  <c r="U22" i="2"/>
  <c r="T22" i="2"/>
  <c r="S22" i="2"/>
  <c r="R22" i="2"/>
  <c r="Q22" i="2"/>
  <c r="P22" i="2"/>
  <c r="O22" i="2"/>
  <c r="N22" i="2"/>
  <c r="M22" i="2"/>
  <c r="L7" i="2"/>
  <c r="L10" i="2" s="1"/>
  <c r="L13" i="2" s="1"/>
  <c r="L16" i="2" s="1"/>
  <c r="L18" i="2" s="1"/>
  <c r="M15" i="2"/>
  <c r="M7" i="2"/>
  <c r="M10" i="2" s="1"/>
  <c r="M13" i="2" s="1"/>
  <c r="M27" i="2" s="1"/>
  <c r="J7" i="2"/>
  <c r="J10" i="2" s="1"/>
  <c r="J13" i="2" s="1"/>
  <c r="J16" i="2" s="1"/>
  <c r="J18" i="2" s="1"/>
  <c r="N15" i="2"/>
  <c r="N7" i="2"/>
  <c r="N10" i="2" s="1"/>
  <c r="N13" i="2" s="1"/>
  <c r="N27" i="2" s="1"/>
  <c r="K7" i="2"/>
  <c r="K10" i="2" s="1"/>
  <c r="K13" i="2" s="1"/>
  <c r="K16" i="2" s="1"/>
  <c r="K18" i="2" s="1"/>
  <c r="O15" i="2"/>
  <c r="O7" i="2"/>
  <c r="O10" i="2" s="1"/>
  <c r="O13" i="2" s="1"/>
  <c r="P15" i="2"/>
  <c r="P12" i="2"/>
  <c r="AM12" i="2" s="1"/>
  <c r="P7" i="2"/>
  <c r="P10" i="2" s="1"/>
  <c r="P24" i="2" s="1"/>
  <c r="T15" i="2"/>
  <c r="T12" i="2"/>
  <c r="T7" i="2"/>
  <c r="T10" i="2" s="1"/>
  <c r="T24" i="2" s="1"/>
  <c r="Q15" i="2"/>
  <c r="Q12" i="2"/>
  <c r="Q7" i="2"/>
  <c r="Q10" i="2" s="1"/>
  <c r="U15" i="2"/>
  <c r="U12" i="2"/>
  <c r="U7" i="2"/>
  <c r="U10" i="2" s="1"/>
  <c r="U24" i="2" s="1"/>
  <c r="R15" i="2"/>
  <c r="R12" i="2"/>
  <c r="V15" i="2"/>
  <c r="V12" i="2"/>
  <c r="V7" i="2"/>
  <c r="V10" i="2" s="1"/>
  <c r="V24" i="2" s="1"/>
  <c r="R7" i="2"/>
  <c r="R10" i="2" s="1"/>
  <c r="R24" i="2" s="1"/>
  <c r="S12" i="2"/>
  <c r="S7" i="2"/>
  <c r="S10" i="2" s="1"/>
  <c r="S24" i="2" s="1"/>
  <c r="W15" i="2"/>
  <c r="W12" i="2"/>
  <c r="W7" i="2"/>
  <c r="W10" i="2" s="1"/>
  <c r="W24" i="2" s="1"/>
  <c r="AN7" i="2" l="1"/>
  <c r="O23" i="2"/>
  <c r="AP5" i="2"/>
  <c r="AB10" i="2"/>
  <c r="AB24" i="2" s="1"/>
  <c r="AP9" i="2"/>
  <c r="AQ9" i="2" s="1"/>
  <c r="AR9" i="2" s="1"/>
  <c r="AS9" i="2" s="1"/>
  <c r="AT9" i="2" s="1"/>
  <c r="AU9" i="2" s="1"/>
  <c r="AV9" i="2" s="1"/>
  <c r="AW9" i="2" s="1"/>
  <c r="AX9" i="2" s="1"/>
  <c r="AY9" i="2" s="1"/>
  <c r="AZ9" i="2" s="1"/>
  <c r="AA23" i="2"/>
  <c r="AO15" i="2"/>
  <c r="AA26" i="2"/>
  <c r="AO12" i="2"/>
  <c r="AA25" i="2"/>
  <c r="Z13" i="2"/>
  <c r="Z24" i="2"/>
  <c r="Z23" i="2"/>
  <c r="Y27" i="2"/>
  <c r="Y24" i="2"/>
  <c r="Y23" i="2"/>
  <c r="AA24" i="2"/>
  <c r="AA16" i="2"/>
  <c r="AA34" i="2" s="1"/>
  <c r="AA48" i="2" s="1"/>
  <c r="AA50" i="2" s="1"/>
  <c r="Q13" i="2"/>
  <c r="Q27" i="2" s="1"/>
  <c r="AM15" i="2"/>
  <c r="AN15" i="2"/>
  <c r="N23" i="2"/>
  <c r="R23" i="2"/>
  <c r="Q23" i="2"/>
  <c r="N24" i="2"/>
  <c r="O24" i="2"/>
  <c r="AN12" i="2"/>
  <c r="AM7" i="2"/>
  <c r="V23" i="2"/>
  <c r="O16" i="2"/>
  <c r="P23" i="2"/>
  <c r="M24" i="2"/>
  <c r="S23" i="2"/>
  <c r="T23" i="2"/>
  <c r="Q24" i="2"/>
  <c r="M23" i="2"/>
  <c r="U23" i="2"/>
  <c r="O27" i="2"/>
  <c r="X10" i="2"/>
  <c r="W23" i="2"/>
  <c r="AO8" i="2"/>
  <c r="AU8" i="2" s="1"/>
  <c r="AV8" i="2" s="1"/>
  <c r="AW8" i="2" s="1"/>
  <c r="AX8" i="2" s="1"/>
  <c r="AY8" i="2" s="1"/>
  <c r="AZ8" i="2" s="1"/>
  <c r="X23" i="2"/>
  <c r="AO5" i="2"/>
  <c r="AO7" i="2" s="1"/>
  <c r="M16" i="2"/>
  <c r="N16" i="2"/>
  <c r="P13" i="2"/>
  <c r="T13" i="2"/>
  <c r="U13" i="2"/>
  <c r="V13" i="2"/>
  <c r="R13" i="2"/>
  <c r="S13" i="2"/>
  <c r="W13" i="2"/>
  <c r="W27" i="2" s="1"/>
  <c r="L25" i="2"/>
  <c r="K25" i="2"/>
  <c r="L22" i="2"/>
  <c r="I26" i="2"/>
  <c r="I25" i="2"/>
  <c r="I22" i="2"/>
  <c r="E7" i="2"/>
  <c r="E10" i="2" s="1"/>
  <c r="E13" i="2" s="1"/>
  <c r="E16" i="2" s="1"/>
  <c r="E18" i="2" s="1"/>
  <c r="I7" i="2"/>
  <c r="BC30" i="2"/>
  <c r="AL12" i="2"/>
  <c r="AL11" i="2"/>
  <c r="K22" i="2"/>
  <c r="L26" i="2"/>
  <c r="K26" i="2"/>
  <c r="AK26" i="2"/>
  <c r="AJ26" i="2"/>
  <c r="AK25" i="2"/>
  <c r="AJ25" i="2"/>
  <c r="AK22" i="2"/>
  <c r="AJ22" i="2"/>
  <c r="G26" i="2"/>
  <c r="G25" i="2"/>
  <c r="G22" i="2"/>
  <c r="H26" i="2"/>
  <c r="H25" i="2"/>
  <c r="H22" i="2"/>
  <c r="AK7" i="2"/>
  <c r="AK10" i="2" s="1"/>
  <c r="AK13" i="2" s="1"/>
  <c r="AK16" i="2" s="1"/>
  <c r="AJ7" i="2"/>
  <c r="AJ10" i="2" s="1"/>
  <c r="AJ13" i="2" s="1"/>
  <c r="AJ16" i="2" s="1"/>
  <c r="AJ18" i="2" s="1"/>
  <c r="AI7" i="2"/>
  <c r="AI10" i="2" s="1"/>
  <c r="AI13" i="2" s="1"/>
  <c r="AI16" i="2" s="1"/>
  <c r="AI18" i="2" s="1"/>
  <c r="C7" i="2"/>
  <c r="C10" i="2" s="1"/>
  <c r="C13" i="2" s="1"/>
  <c r="C16" i="2" s="1"/>
  <c r="C18" i="2" s="1"/>
  <c r="G7" i="2"/>
  <c r="G10" i="2" s="1"/>
  <c r="G13" i="2" s="1"/>
  <c r="G16" i="2" s="1"/>
  <c r="G18" i="2" s="1"/>
  <c r="D7" i="2"/>
  <c r="D10" i="2" s="1"/>
  <c r="D13" i="2" s="1"/>
  <c r="D16" i="2" s="1"/>
  <c r="D18" i="2" s="1"/>
  <c r="H7" i="2"/>
  <c r="H10" i="2" s="1"/>
  <c r="D8" i="1"/>
  <c r="D5" i="1"/>
  <c r="F3" i="1"/>
  <c r="AR5" i="2" l="1"/>
  <c r="AR7" i="2" s="1"/>
  <c r="AB13" i="2"/>
  <c r="AB27" i="2" s="1"/>
  <c r="AB23" i="2"/>
  <c r="Q16" i="2"/>
  <c r="Q28" i="2" s="1"/>
  <c r="AP6" i="2"/>
  <c r="AP7" i="2" s="1"/>
  <c r="AK18" i="2"/>
  <c r="AK34" i="2"/>
  <c r="AK48" i="2" s="1"/>
  <c r="AK50" i="2" s="1"/>
  <c r="Z27" i="2"/>
  <c r="Y16" i="2"/>
  <c r="Y34" i="2" s="1"/>
  <c r="Y48" i="2" s="1"/>
  <c r="Y50" i="2" s="1"/>
  <c r="BC27" i="2"/>
  <c r="BC53" i="2"/>
  <c r="AA18" i="2"/>
  <c r="AA28" i="2"/>
  <c r="AA27" i="2"/>
  <c r="P16" i="2"/>
  <c r="P27" i="2"/>
  <c r="U16" i="2"/>
  <c r="U34" i="2" s="1"/>
  <c r="U48" i="2" s="1"/>
  <c r="U50" i="2" s="1"/>
  <c r="U27" i="2"/>
  <c r="T27" i="2"/>
  <c r="T16" i="2"/>
  <c r="N18" i="2"/>
  <c r="N28" i="2"/>
  <c r="X24" i="2"/>
  <c r="X13" i="2"/>
  <c r="S16" i="2"/>
  <c r="S27" i="2"/>
  <c r="M18" i="2"/>
  <c r="M28" i="2"/>
  <c r="R16" i="2"/>
  <c r="R27" i="2"/>
  <c r="O18" i="2"/>
  <c r="O28" i="2"/>
  <c r="V16" i="2"/>
  <c r="V34" i="2" s="1"/>
  <c r="V48" i="2" s="1"/>
  <c r="V50" i="2" s="1"/>
  <c r="V27" i="2"/>
  <c r="W16" i="2"/>
  <c r="W34" i="2" s="1"/>
  <c r="W48" i="2" s="1"/>
  <c r="W50" i="2" s="1"/>
  <c r="D24" i="2"/>
  <c r="D23" i="2"/>
  <c r="AL9" i="2"/>
  <c r="E23" i="2"/>
  <c r="AK23" i="2"/>
  <c r="AL6" i="2"/>
  <c r="E24" i="2"/>
  <c r="G28" i="2"/>
  <c r="H23" i="2"/>
  <c r="AK27" i="2"/>
  <c r="AI28" i="2"/>
  <c r="E27" i="2"/>
  <c r="AJ28" i="2"/>
  <c r="AK24" i="2"/>
  <c r="C28" i="2"/>
  <c r="AK28" i="2"/>
  <c r="D28" i="2"/>
  <c r="E28" i="2"/>
  <c r="AL8" i="2"/>
  <c r="AL5" i="2"/>
  <c r="J23" i="2"/>
  <c r="H24" i="2"/>
  <c r="H13" i="2"/>
  <c r="C27" i="2"/>
  <c r="G27" i="2"/>
  <c r="AJ23" i="2"/>
  <c r="G23" i="2"/>
  <c r="C23" i="2"/>
  <c r="K23" i="2"/>
  <c r="D27" i="2"/>
  <c r="G24" i="2"/>
  <c r="C24" i="2"/>
  <c r="AI23" i="2"/>
  <c r="I23" i="2"/>
  <c r="I10" i="2"/>
  <c r="D9" i="1"/>
  <c r="AI24" i="2"/>
  <c r="AI27" i="2"/>
  <c r="AJ27" i="2"/>
  <c r="AJ24" i="2"/>
  <c r="T28" i="2" l="1"/>
  <c r="T34" i="2"/>
  <c r="T48" i="2" s="1"/>
  <c r="T50" i="2" s="1"/>
  <c r="AS5" i="2"/>
  <c r="AA31" i="2"/>
  <c r="AA32" i="2"/>
  <c r="Q18" i="2"/>
  <c r="AP14" i="2"/>
  <c r="Z16" i="2"/>
  <c r="Z34" i="2" s="1"/>
  <c r="AB16" i="2"/>
  <c r="AB34" i="2" s="1"/>
  <c r="Y28" i="2"/>
  <c r="Y18" i="2"/>
  <c r="W18" i="2"/>
  <c r="W28" i="2"/>
  <c r="V18" i="2"/>
  <c r="V28" i="2"/>
  <c r="S18" i="2"/>
  <c r="S28" i="2"/>
  <c r="T18" i="2"/>
  <c r="U18" i="2"/>
  <c r="U28" i="2"/>
  <c r="R18" i="2"/>
  <c r="R28" i="2"/>
  <c r="P18" i="2"/>
  <c r="P28" i="2"/>
  <c r="AL7" i="2"/>
  <c r="AL23" i="2" s="1"/>
  <c r="L24" i="2"/>
  <c r="L23" i="2"/>
  <c r="AL26" i="2"/>
  <c r="AN26" i="2"/>
  <c r="AL22" i="2"/>
  <c r="AM22" i="2"/>
  <c r="AL25" i="2"/>
  <c r="J24" i="2"/>
  <c r="H16" i="2"/>
  <c r="H27" i="2"/>
  <c r="K24" i="2"/>
  <c r="I24" i="2"/>
  <c r="I13" i="2"/>
  <c r="AT5" i="2" l="1"/>
  <c r="AS7" i="2"/>
  <c r="AB48" i="2"/>
  <c r="AB50" i="2" s="1"/>
  <c r="AB35" i="2"/>
  <c r="Z48" i="2"/>
  <c r="Z50" i="2" s="1"/>
  <c r="Z18" i="2"/>
  <c r="Z28" i="2"/>
  <c r="AB18" i="2"/>
  <c r="AB28" i="2"/>
  <c r="AO14" i="2"/>
  <c r="X27" i="2"/>
  <c r="X16" i="2"/>
  <c r="X34" i="2" s="1"/>
  <c r="X48" i="2" s="1"/>
  <c r="X50" i="2" s="1"/>
  <c r="AW25" i="2"/>
  <c r="L27" i="2"/>
  <c r="AM26" i="2"/>
  <c r="AL10" i="2"/>
  <c r="AL13" i="2" s="1"/>
  <c r="H18" i="2"/>
  <c r="H28" i="2"/>
  <c r="AM25" i="2"/>
  <c r="AN25" i="2"/>
  <c r="J27" i="2"/>
  <c r="K27" i="2"/>
  <c r="AO25" i="2"/>
  <c r="AM23" i="2"/>
  <c r="AM10" i="2"/>
  <c r="AN22" i="2"/>
  <c r="AP25" i="2"/>
  <c r="AU5" i="2" l="1"/>
  <c r="AT7" i="2"/>
  <c r="X18" i="2"/>
  <c r="X28" i="2"/>
  <c r="AW26" i="2"/>
  <c r="AX25" i="2"/>
  <c r="AL24" i="2"/>
  <c r="AP26" i="2"/>
  <c r="AO26" i="2"/>
  <c r="K28" i="2"/>
  <c r="AN10" i="2"/>
  <c r="AN23" i="2"/>
  <c r="AL14" i="2"/>
  <c r="I27" i="2"/>
  <c r="I16" i="2"/>
  <c r="AO22" i="2"/>
  <c r="AM13" i="2"/>
  <c r="AM24" i="2"/>
  <c r="AQ26" i="2"/>
  <c r="AQ25" i="2"/>
  <c r="AV5" i="2" l="1"/>
  <c r="AU7" i="2"/>
  <c r="AX26" i="2"/>
  <c r="AY25" i="2"/>
  <c r="AZ25" i="2"/>
  <c r="AM27" i="2"/>
  <c r="AM16" i="2"/>
  <c r="AM34" i="2" s="1"/>
  <c r="AM48" i="2" s="1"/>
  <c r="AM50" i="2" s="1"/>
  <c r="I18" i="2"/>
  <c r="I28" i="2"/>
  <c r="L28" i="2"/>
  <c r="J28" i="2"/>
  <c r="AP22" i="2"/>
  <c r="AO10" i="2"/>
  <c r="AO23" i="2"/>
  <c r="AL27" i="2"/>
  <c r="AL16" i="2"/>
  <c r="AN13" i="2"/>
  <c r="AN24" i="2"/>
  <c r="AR26" i="2"/>
  <c r="AR25" i="2"/>
  <c r="AW5" i="2" l="1"/>
  <c r="AV7" i="2"/>
  <c r="AL28" i="2"/>
  <c r="AL34" i="2"/>
  <c r="AL48" i="2" s="1"/>
  <c r="AL50" i="2" s="1"/>
  <c r="AZ26" i="2"/>
  <c r="AY26" i="2"/>
  <c r="AN16" i="2"/>
  <c r="AN34" i="2" s="1"/>
  <c r="AN48" i="2" s="1"/>
  <c r="AN50" i="2" s="1"/>
  <c r="AQ6" i="2"/>
  <c r="AL18" i="2"/>
  <c r="AO24" i="2"/>
  <c r="AO13" i="2"/>
  <c r="AQ22" i="2"/>
  <c r="AP10" i="2"/>
  <c r="AP23" i="2"/>
  <c r="AS26" i="2"/>
  <c r="AS25" i="2"/>
  <c r="AX5" i="2" l="1"/>
  <c r="AW7" i="2"/>
  <c r="AN27" i="2"/>
  <c r="AO16" i="2"/>
  <c r="AO34" i="2" s="1"/>
  <c r="AO48" i="2" s="1"/>
  <c r="AO50" i="2" s="1"/>
  <c r="AM18" i="2"/>
  <c r="AM28" i="2"/>
  <c r="AP24" i="2"/>
  <c r="AP13" i="2"/>
  <c r="AR22" i="2"/>
  <c r="AQ10" i="2"/>
  <c r="AQ23" i="2"/>
  <c r="AT26" i="2"/>
  <c r="AT25" i="2"/>
  <c r="AY5" i="2" l="1"/>
  <c r="AX7" i="2"/>
  <c r="AO27" i="2"/>
  <c r="AP16" i="2"/>
  <c r="AP34" i="2" s="1"/>
  <c r="AP35" i="2" s="1"/>
  <c r="AP48" i="2" s="1"/>
  <c r="AP50" i="2" s="1"/>
  <c r="AN18" i="2"/>
  <c r="AN28" i="2"/>
  <c r="AR10" i="2"/>
  <c r="AR23" i="2"/>
  <c r="AS22" i="2"/>
  <c r="AS6" i="2"/>
  <c r="AO28" i="2"/>
  <c r="AQ24" i="2"/>
  <c r="AQ13" i="2"/>
  <c r="AR6" i="2"/>
  <c r="AV26" i="2"/>
  <c r="AU26" i="2"/>
  <c r="AU25" i="2"/>
  <c r="AV25" i="2"/>
  <c r="AZ5" i="2" l="1"/>
  <c r="AZ7" i="2" s="1"/>
  <c r="AY7" i="2"/>
  <c r="AP27" i="2"/>
  <c r="AQ14" i="2"/>
  <c r="AQ16" i="2" s="1"/>
  <c r="AR24" i="2"/>
  <c r="AR13" i="2"/>
  <c r="AO18" i="2"/>
  <c r="AS10" i="2"/>
  <c r="AS23" i="2"/>
  <c r="AT22" i="2"/>
  <c r="AT6" i="2"/>
  <c r="AQ34" i="2" l="1"/>
  <c r="AQ35" i="2" s="1"/>
  <c r="AQ48" i="2" s="1"/>
  <c r="AQ50" i="2" s="1"/>
  <c r="AQ27" i="2"/>
  <c r="AR14" i="2"/>
  <c r="AR16" i="2" s="1"/>
  <c r="AR34" i="2" s="1"/>
  <c r="AP18" i="2"/>
  <c r="AP28" i="2"/>
  <c r="AS24" i="2"/>
  <c r="AS13" i="2"/>
  <c r="AU22" i="2"/>
  <c r="AT10" i="2"/>
  <c r="AT23" i="2"/>
  <c r="AR35" i="2" l="1"/>
  <c r="AR48" i="2" s="1"/>
  <c r="AR50" i="2" s="1"/>
  <c r="AR27" i="2"/>
  <c r="AS14" i="2"/>
  <c r="AS16" i="2" s="1"/>
  <c r="AQ18" i="2"/>
  <c r="AQ28" i="2"/>
  <c r="AT24" i="2"/>
  <c r="AT13" i="2"/>
  <c r="AV6" i="2"/>
  <c r="AV22" i="2"/>
  <c r="AU10" i="2"/>
  <c r="AU23" i="2"/>
  <c r="AU6" i="2"/>
  <c r="AS34" i="2" l="1"/>
  <c r="AS35" i="2" s="1"/>
  <c r="AS48" i="2" s="1"/>
  <c r="AS50" i="2" s="1"/>
  <c r="AS27" i="2"/>
  <c r="AT14" i="2"/>
  <c r="AT27" i="2" s="1"/>
  <c r="AW22" i="2"/>
  <c r="AW6" i="2"/>
  <c r="AR18" i="2"/>
  <c r="AR28" i="2"/>
  <c r="AU24" i="2"/>
  <c r="AU13" i="2"/>
  <c r="AV23" i="2"/>
  <c r="AV10" i="2"/>
  <c r="AS28" i="2"/>
  <c r="AT16" i="2" l="1"/>
  <c r="AX22" i="2"/>
  <c r="AW23" i="2"/>
  <c r="AW10" i="2"/>
  <c r="AU14" i="2"/>
  <c r="AU27" i="2" s="1"/>
  <c r="AS18" i="2"/>
  <c r="AV24" i="2"/>
  <c r="AV13" i="2"/>
  <c r="AT34" i="2" l="1"/>
  <c r="AT35" i="2" s="1"/>
  <c r="AT48" i="2" s="1"/>
  <c r="AT50" i="2" s="1"/>
  <c r="AU16" i="2"/>
  <c r="AU34" i="2" s="1"/>
  <c r="AW24" i="2"/>
  <c r="AW13" i="2"/>
  <c r="AX6" i="2"/>
  <c r="AX10" i="2"/>
  <c r="AX23" i="2"/>
  <c r="AV14" i="2"/>
  <c r="AV27" i="2" s="1"/>
  <c r="AY6" i="2"/>
  <c r="AY22" i="2"/>
  <c r="AT18" i="2"/>
  <c r="AT28" i="2"/>
  <c r="AU35" i="2" l="1"/>
  <c r="AU48" i="2" s="1"/>
  <c r="AU50" i="2" s="1"/>
  <c r="AV16" i="2"/>
  <c r="AZ22" i="2"/>
  <c r="AX13" i="2"/>
  <c r="AX24" i="2"/>
  <c r="AW14" i="2"/>
  <c r="AW27" i="2" s="1"/>
  <c r="AY23" i="2"/>
  <c r="AY10" i="2"/>
  <c r="AU18" i="2"/>
  <c r="AU28" i="2"/>
  <c r="AV28" i="2" l="1"/>
  <c r="AV34" i="2"/>
  <c r="AX14" i="2"/>
  <c r="AX27" i="2" s="1"/>
  <c r="AW16" i="2"/>
  <c r="AW34" i="2" s="1"/>
  <c r="AZ23" i="2"/>
  <c r="AZ10" i="2"/>
  <c r="AY24" i="2"/>
  <c r="AY13" i="2"/>
  <c r="AZ6" i="2"/>
  <c r="AV18" i="2"/>
  <c r="AW35" i="2" l="1"/>
  <c r="AW48" i="2" s="1"/>
  <c r="AW50" i="2" s="1"/>
  <c r="AV35" i="2"/>
  <c r="AV48" i="2" s="1"/>
  <c r="AV50" i="2" s="1"/>
  <c r="AZ24" i="2"/>
  <c r="AZ13" i="2"/>
  <c r="AY14" i="2"/>
  <c r="AY27" i="2" s="1"/>
  <c r="AW28" i="2"/>
  <c r="AW18" i="2"/>
  <c r="AX16" i="2"/>
  <c r="AX34" i="2" s="1"/>
  <c r="AX35" i="2" l="1"/>
  <c r="AX48" i="2" s="1"/>
  <c r="AX50" i="2" s="1"/>
  <c r="AX28" i="2"/>
  <c r="AX18" i="2"/>
  <c r="AZ14" i="2"/>
  <c r="AZ27" i="2" s="1"/>
  <c r="AY16" i="2"/>
  <c r="AY34" i="2" s="1"/>
  <c r="AY35" i="2" l="1"/>
  <c r="AY48" i="2" s="1"/>
  <c r="AY50" i="2" s="1"/>
  <c r="AY18" i="2"/>
  <c r="AY28" i="2"/>
  <c r="AZ16" i="2"/>
  <c r="AZ34" i="2" s="1"/>
  <c r="AZ35" i="2" l="1"/>
  <c r="AZ48" i="2" s="1"/>
  <c r="AZ50" i="2" s="1"/>
  <c r="BA50" i="2" s="1"/>
  <c r="BB50" i="2" s="1"/>
  <c r="BC50" i="2" s="1"/>
  <c r="BD50" i="2" s="1"/>
  <c r="BE50" i="2" s="1"/>
  <c r="BF50" i="2" s="1"/>
  <c r="BG50" i="2" s="1"/>
  <c r="BH50" i="2" s="1"/>
  <c r="BI50" i="2" s="1"/>
  <c r="BJ50" i="2" s="1"/>
  <c r="BK50" i="2" s="1"/>
  <c r="BL50" i="2" s="1"/>
  <c r="BM50" i="2" s="1"/>
  <c r="BN50" i="2" s="1"/>
  <c r="BO50" i="2" s="1"/>
  <c r="BP50" i="2" s="1"/>
  <c r="BQ50" i="2" s="1"/>
  <c r="BR50" i="2" s="1"/>
  <c r="BS50" i="2" s="1"/>
  <c r="BT50" i="2" s="1"/>
  <c r="BU50" i="2" s="1"/>
  <c r="BV50" i="2" s="1"/>
  <c r="BW50" i="2" s="1"/>
  <c r="BX50" i="2" s="1"/>
  <c r="BY50" i="2" s="1"/>
  <c r="BZ50" i="2" s="1"/>
  <c r="CA50" i="2" s="1"/>
  <c r="CB50" i="2" s="1"/>
  <c r="CC50" i="2" s="1"/>
  <c r="CD50" i="2" s="1"/>
  <c r="CE50" i="2" s="1"/>
  <c r="CF50" i="2" s="1"/>
  <c r="CG50" i="2" s="1"/>
  <c r="CH50" i="2" s="1"/>
  <c r="CI50" i="2" s="1"/>
  <c r="CJ50" i="2" s="1"/>
  <c r="CK50" i="2" s="1"/>
  <c r="CL50" i="2" s="1"/>
  <c r="CM50" i="2" s="1"/>
  <c r="CN50" i="2" s="1"/>
  <c r="CO50" i="2" s="1"/>
  <c r="CP50" i="2" s="1"/>
  <c r="CQ50" i="2" s="1"/>
  <c r="CR50" i="2" s="1"/>
  <c r="CS50" i="2" s="1"/>
  <c r="CT50" i="2" s="1"/>
  <c r="CU50" i="2" s="1"/>
  <c r="CV50" i="2" s="1"/>
  <c r="CW50" i="2" s="1"/>
  <c r="CX50" i="2" s="1"/>
  <c r="CY50" i="2" s="1"/>
  <c r="CZ50" i="2" s="1"/>
  <c r="DA50" i="2" s="1"/>
  <c r="DB50" i="2" s="1"/>
  <c r="DC50" i="2" s="1"/>
  <c r="DD50" i="2" s="1"/>
  <c r="DE50" i="2" s="1"/>
  <c r="DF50" i="2" s="1"/>
  <c r="DG50" i="2" s="1"/>
  <c r="DH50" i="2" s="1"/>
  <c r="DI50" i="2" s="1"/>
  <c r="DJ50" i="2" s="1"/>
  <c r="DK50" i="2" s="1"/>
  <c r="DL50" i="2" s="1"/>
  <c r="DM50" i="2" s="1"/>
  <c r="DN50" i="2" s="1"/>
  <c r="DO50" i="2" s="1"/>
  <c r="DP50" i="2" s="1"/>
  <c r="DQ50" i="2" s="1"/>
  <c r="DR50" i="2" s="1"/>
  <c r="DS50" i="2" s="1"/>
  <c r="DT50" i="2" s="1"/>
  <c r="DU50" i="2" s="1"/>
  <c r="DV50" i="2" s="1"/>
  <c r="DW50" i="2" s="1"/>
  <c r="DX50" i="2" s="1"/>
  <c r="DY50" i="2" s="1"/>
  <c r="DZ50" i="2" s="1"/>
  <c r="EA50" i="2" s="1"/>
  <c r="EB50" i="2" s="1"/>
  <c r="EC50" i="2" s="1"/>
  <c r="ED50" i="2" s="1"/>
  <c r="EE50" i="2" s="1"/>
  <c r="EF50" i="2" s="1"/>
  <c r="EG50" i="2" s="1"/>
  <c r="EH50" i="2" s="1"/>
  <c r="EI50" i="2" s="1"/>
  <c r="EJ50" i="2" s="1"/>
  <c r="EK50" i="2" s="1"/>
  <c r="EL50" i="2" s="1"/>
  <c r="EM50" i="2" s="1"/>
  <c r="EN50" i="2" s="1"/>
  <c r="EO50" i="2" s="1"/>
  <c r="EP50" i="2" s="1"/>
  <c r="EQ50" i="2" s="1"/>
  <c r="BA16" i="2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FE16" i="2" s="1"/>
  <c r="FF16" i="2" s="1"/>
  <c r="BC26" i="2" s="1"/>
  <c r="AZ18" i="2"/>
  <c r="AZ28" i="2"/>
  <c r="BC28" i="2" l="1"/>
  <c r="BC29" i="2" s="1"/>
  <c r="BC31" i="2" s="1"/>
  <c r="BC52" i="2" l="1"/>
  <c r="BC54" i="2" s="1"/>
  <c r="BC55" i="2" s="1"/>
  <c r="BC5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P5" authorId="0" shapeId="0" xr:uid="{660F90A3-4B49-4A4F-863A-113B2F196B3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(Q225) guidance 1.4-1.6b, (Q325) guidance 1.425-1475b</t>
        </r>
      </text>
    </comment>
  </commentList>
</comments>
</file>

<file path=xl/sharedStrings.xml><?xml version="1.0" encoding="utf-8"?>
<sst xmlns="http://schemas.openxmlformats.org/spreadsheetml/2006/main" count="107" uniqueCount="98">
  <si>
    <t>CRSR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</si>
  <si>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</si>
  <si>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</si>
  <si>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</si>
  <si>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</si>
  <si>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</si>
  <si>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</si>
  <si>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</si>
  <si>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</si>
  <si>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</si>
  <si>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</si>
  <si>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Q420</t>
  </si>
  <si>
    <t>Revenue</t>
  </si>
  <si>
    <t>Q319</t>
  </si>
  <si>
    <t>Q419</t>
  </si>
  <si>
    <t>Q120</t>
  </si>
  <si>
    <t>Q220</t>
  </si>
  <si>
    <t>Q320</t>
  </si>
  <si>
    <t>Q121</t>
  </si>
  <si>
    <t>Q221</t>
  </si>
  <si>
    <t>Q321</t>
  </si>
  <si>
    <t>Q421</t>
  </si>
  <si>
    <t>Cost of sales</t>
  </si>
  <si>
    <t>Gross profit</t>
  </si>
  <si>
    <t>SG&amp;A</t>
  </si>
  <si>
    <t>R&amp;D</t>
  </si>
  <si>
    <t>Operating profit</t>
  </si>
  <si>
    <t>Interest expense</t>
  </si>
  <si>
    <t>Other expense</t>
  </si>
  <si>
    <t>Pretax profit</t>
  </si>
  <si>
    <t>Taxes</t>
  </si>
  <si>
    <t>Net profit</t>
  </si>
  <si>
    <t>EPS</t>
  </si>
  <si>
    <t>Revenue y/y</t>
  </si>
  <si>
    <t>Gross Margin</t>
  </si>
  <si>
    <t>Operating Margin</t>
  </si>
  <si>
    <t>SG&amp;A y/y</t>
  </si>
  <si>
    <t>R&amp;D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</si>
  <si>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</si>
  <si>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</si>
  <si>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</si>
  <si>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</si>
  <si>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</si>
  <si>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</si>
  <si>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</si>
  <si>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</si>
  <si>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</si>
  <si>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Net Margin</t>
  </si>
  <si>
    <t>Q324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</si>
  <si>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</si>
  <si>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</si>
  <si>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</si>
  <si>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</si>
  <si>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</si>
  <si>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</si>
  <si>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</si>
  <si>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</si>
  <si>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</si>
  <si>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</si>
  <si>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Q424</t>
  </si>
  <si>
    <t>MI</t>
  </si>
  <si>
    <t>analyse the two revenue streams</t>
  </si>
  <si>
    <t>Q125</t>
  </si>
  <si>
    <t>Q225</t>
  </si>
  <si>
    <t>Q325</t>
  </si>
  <si>
    <t>Q425</t>
  </si>
  <si>
    <t>Heavily overvalued</t>
  </si>
  <si>
    <t>Model net profit</t>
  </si>
  <si>
    <t>CF net profit</t>
  </si>
  <si>
    <t>SBC</t>
  </si>
  <si>
    <t>Depreciation</t>
  </si>
  <si>
    <t>Amortisation</t>
  </si>
  <si>
    <t>D/T</t>
  </si>
  <si>
    <t>Other</t>
  </si>
  <si>
    <t>A/R</t>
  </si>
  <si>
    <t>Inventories</t>
  </si>
  <si>
    <t>Prepaids</t>
  </si>
  <si>
    <t>A/P</t>
  </si>
  <si>
    <t>Other liabilities</t>
  </si>
  <si>
    <t>CFFO</t>
  </si>
  <si>
    <t>PP&amp;E</t>
  </si>
  <si>
    <t>FCF</t>
  </si>
  <si>
    <t>Financial income</t>
  </si>
  <si>
    <t>NPV (FCF)</t>
  </si>
  <si>
    <t>Provisions</t>
  </si>
  <si>
    <t>L+S/E</t>
  </si>
  <si>
    <t>EV/B</t>
  </si>
  <si>
    <t>B/EV</t>
  </si>
  <si>
    <t>Peripherals</t>
  </si>
  <si>
    <t>Systems</t>
  </si>
  <si>
    <t>Peripherals y/y</t>
  </si>
  <si>
    <t>Systems y/y</t>
  </si>
  <si>
    <t>Q425 8K</t>
  </si>
  <si>
    <t>Q126</t>
  </si>
  <si>
    <t>Q226</t>
  </si>
  <si>
    <t>Q326</t>
  </si>
  <si>
    <t>Q426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</si>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</sst>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0" fontId="6" fillId="0" borderId="0" xfId="0" applyFont="1"/>
    <xf numFmtId="3" fontId="6" fillId="0" borderId="0" xfId="0" applyNumberFormat="1" applyFont="1"/>
    <xf numFmtId="165" fontId="0" fillId="0" borderId="0" xfId="0" applyNumberForma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22860</xdr:colOff>
      <xdr:row>0</xdr:row>
      <xdr:rowOff>0</xdr:rowOff>
    </xdr:from>
    <xdr:to>
      <xdr:col>28</xdr:col>
      <xdr:colOff>22860</xdr:colOff>
      <xdr:row>61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BE282C1-4948-4D38-B37D-132887D630A3}"/>
            </a:ext>
          </a:extLst>
        </xdr:cNvPr>
        <xdr:cNvCxnSpPr/>
      </xdr:nvCxnSpPr>
      <xdr:spPr>
        <a:xfrm>
          <a:off x="17617440" y="0"/>
          <a:ext cx="0" cy="112318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22860</xdr:colOff>
      <xdr:row>0</xdr:row>
      <xdr:rowOff>0</xdr:rowOff>
    </xdr:from>
    <xdr:to>
      <xdr:col>42</xdr:col>
      <xdr:colOff>22860</xdr:colOff>
      <xdr:row>62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85D6FB8-A0D3-45C4-8064-24431130B33B}"/>
            </a:ext>
          </a:extLst>
        </xdr:cNvPr>
        <xdr:cNvCxnSpPr/>
      </xdr:nvCxnSpPr>
      <xdr:spPr>
        <a:xfrm>
          <a:off x="26151840" y="0"/>
          <a:ext cx="0" cy="11445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D08DD-4FE4-4609-96E5-79E6D3869EE2}">
  <dimension ref="B2:J12"/>
  <sheetViews>
    <sheetView workbookViewId="0">
      <selection activeCell="E7" sqref="E7"/>
    </sheetView>
  </sheetViews>
  <sheetFormatPr defaultRowHeight="14.4" x14ac:dyDescent="0.3"/>
  <cols>
    <col min="5" max="7" width="15.77734375" style="2" customWidth="1"/>
  </cols>
  <sheetData>
    <row r="2" spans="2:10" x14ac:dyDescent="0.3">
      <c r="E2" s="2" t="s">
        <v>8</v>
      </c>
      <c r="F2" s="2" t="s">
        <v>9</v>
      </c>
      <c r="G2" s="2" t="s">
        <v>10</v>
      </c>
    </row>
    <row r="3" spans="2:10" x14ac:dyDescent="0.3">
      <c r="B3" s="1" t="s">
        <v>0</v>
      </c>
      <c r="C3" t="s">
        <v>1</v>
      </c>
      <c r="D3" s="5">
        <v>6.79</v>
      </c>
      <c r="E3" s="3">
        <v>46067</v>
      </c>
      <c r="F3" s="3">
        <f ca="1">TODAY()</f>
        <v>46067</v>
      </c>
      <c r="G3" s="3">
        <v>46154</v>
      </c>
    </row>
    <row r="4" spans="2:10" x14ac:dyDescent="0.3">
      <c r="C4" t="s">
        <v>2</v>
      </c>
      <c r="D4" s="4">
        <f>106.6</f>
        <v>106.6</v>
      </c>
      <c r="E4" s="2" t="s">
        <v>92</v>
      </c>
    </row>
    <row r="5" spans="2:10" x14ac:dyDescent="0.3">
      <c r="C5" t="s">
        <v>3</v>
      </c>
      <c r="D5" s="4">
        <f>D3*D4</f>
        <v>723.81399999999996</v>
      </c>
    </row>
    <row r="6" spans="2:10" x14ac:dyDescent="0.3">
      <c r="C6" t="s">
        <v>4</v>
      </c>
      <c r="D6" s="4">
        <f>98.6</f>
        <v>98.6</v>
      </c>
      <c r="E6" s="2" t="s">
        <v>65</v>
      </c>
    </row>
    <row r="7" spans="2:10" x14ac:dyDescent="0.3">
      <c r="C7" t="s">
        <v>5</v>
      </c>
      <c r="D7" s="4">
        <f>6.1+115.2</f>
        <v>121.3</v>
      </c>
      <c r="E7" s="2" t="s">
        <v>65</v>
      </c>
    </row>
    <row r="8" spans="2:10" x14ac:dyDescent="0.3">
      <c r="C8" t="s">
        <v>6</v>
      </c>
      <c r="D8" s="4">
        <f>D6-D7</f>
        <v>-22.700000000000003</v>
      </c>
    </row>
    <row r="9" spans="2:10" x14ac:dyDescent="0.3">
      <c r="C9" t="s">
        <v>7</v>
      </c>
      <c r="D9" s="4">
        <f>D5-D8</f>
        <v>746.51400000000001</v>
      </c>
    </row>
    <row r="12" spans="2:10" x14ac:dyDescent="0.3">
      <c r="J12" t="s">
        <v>61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03470-03C6-4965-A90A-C28BA0FB6465}">
  <dimension ref="B2:FF68"/>
  <sheetViews>
    <sheetView tabSelected="1" workbookViewId="0">
      <pane xSplit="2" ySplit="2" topLeftCell="AP3" activePane="bottomRight" state="frozen"/>
      <selection pane="topRight" activeCell="C1" sqref="C1"/>
      <selection pane="bottomLeft" activeCell="A3" sqref="A3"/>
      <selection pane="bottomRight" activeCell="BC26" sqref="BC26"/>
    </sheetView>
  </sheetViews>
  <sheetFormatPr defaultRowHeight="14.4" x14ac:dyDescent="0.3"/>
  <cols>
    <col min="2" max="2" width="16.5546875" bestFit="1" customWidth="1"/>
    <col min="54" max="54" width="12" bestFit="1" customWidth="1"/>
    <col min="55" max="55" width="17.33203125" bestFit="1" customWidth="1"/>
  </cols>
  <sheetData>
    <row r="2" spans="2:162" x14ac:dyDescent="0.3">
      <c r="C2" s="6" t="s">
        <v>13</v>
      </c>
      <c r="D2" s="6" t="s">
        <v>14</v>
      </c>
      <c r="E2" s="6" t="s">
        <v>15</v>
      </c>
      <c r="F2" s="6" t="s">
        <v>16</v>
      </c>
      <c r="G2" s="6" t="s">
        <v>17</v>
      </c>
      <c r="H2" s="6" t="s">
        <v>11</v>
      </c>
      <c r="I2" s="6" t="s">
        <v>18</v>
      </c>
      <c r="J2" s="6" t="s">
        <v>19</v>
      </c>
      <c r="K2" s="6" t="s">
        <v>20</v>
      </c>
      <c r="L2" s="6" t="s">
        <v>21</v>
      </c>
      <c r="M2" s="6" t="s">
        <v>49</v>
      </c>
      <c r="N2" s="6" t="s">
        <v>50</v>
      </c>
      <c r="O2" s="6" t="s">
        <v>51</v>
      </c>
      <c r="P2" s="6" t="s">
        <v>52</v>
      </c>
      <c r="Q2" s="6" t="s">
        <v>53</v>
      </c>
      <c r="R2" s="6" t="s">
        <v>54</v>
      </c>
      <c r="S2" s="6" t="s">
        <v>55</v>
      </c>
      <c r="T2" s="6" t="s">
        <v>56</v>
      </c>
      <c r="U2" s="6" t="s">
        <v>57</v>
      </c>
      <c r="V2" s="6" t="s">
        <v>58</v>
      </c>
      <c r="W2" s="6" t="s">
        <v>48</v>
      </c>
      <c r="X2" s="6" t="s">
        <v>59</v>
      </c>
      <c r="Y2" s="6" t="s">
        <v>62</v>
      </c>
      <c r="Z2" s="6" t="s">
        <v>63</v>
      </c>
      <c r="AA2" s="6" t="s">
        <v>64</v>
      </c>
      <c r="AB2" s="6" t="s">
        <v>65</v>
      </c>
      <c r="AC2" s="6" t="s">
        <v>93</v>
      </c>
      <c r="AD2" s="6" t="s">
        <v>94</v>
      </c>
      <c r="AE2" s="6" t="s">
        <v>95</v>
      </c>
      <c r="AF2" s="6" t="s">
        <v>96</v>
      </c>
      <c r="AG2" s="6"/>
      <c r="AI2">
        <v>2018</v>
      </c>
      <c r="AJ2">
        <v>2019</v>
      </c>
      <c r="AK2">
        <v>2020</v>
      </c>
      <c r="AL2">
        <v>2021</v>
      </c>
      <c r="AM2">
        <v>2022</v>
      </c>
      <c r="AN2">
        <v>2023</v>
      </c>
      <c r="AO2">
        <v>2024</v>
      </c>
      <c r="AP2">
        <v>2025</v>
      </c>
      <c r="AQ2">
        <v>2026</v>
      </c>
      <c r="AR2">
        <v>2027</v>
      </c>
      <c r="AS2">
        <v>2028</v>
      </c>
      <c r="AT2">
        <v>2029</v>
      </c>
      <c r="AU2">
        <v>2030</v>
      </c>
      <c r="AV2">
        <v>2031</v>
      </c>
      <c r="AW2">
        <v>2032</v>
      </c>
      <c r="AX2">
        <v>2033</v>
      </c>
      <c r="AY2">
        <v>2034</v>
      </c>
      <c r="AZ2">
        <v>2035</v>
      </c>
    </row>
    <row r="3" spans="2:162" x14ac:dyDescent="0.3">
      <c r="B3" t="s">
        <v>88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14">
        <v>136.80000000000001</v>
      </c>
      <c r="U3" s="14">
        <v>107</v>
      </c>
      <c r="V3" s="14">
        <v>94.2</v>
      </c>
      <c r="W3" s="14">
        <v>102</v>
      </c>
      <c r="X3" s="14">
        <v>169.6</v>
      </c>
      <c r="Y3" s="14">
        <v>112</v>
      </c>
      <c r="Z3" s="14">
        <v>102.6</v>
      </c>
      <c r="AA3" s="14">
        <v>112.7</v>
      </c>
      <c r="AB3" s="14">
        <v>164.9</v>
      </c>
      <c r="AC3" s="6"/>
      <c r="AD3" s="6"/>
      <c r="AE3" s="6"/>
      <c r="AF3" s="6"/>
      <c r="AG3" s="6"/>
      <c r="AO3" s="14">
        <f>SUM(U3:X3)</f>
        <v>472.79999999999995</v>
      </c>
      <c r="AP3" s="14">
        <f>SUM(Y3:AB3)</f>
        <v>492.20000000000005</v>
      </c>
      <c r="AQ3" s="4">
        <f>AP3*1.1</f>
        <v>541.42000000000007</v>
      </c>
      <c r="AR3" s="4">
        <f>AQ3*1.08</f>
        <v>584.73360000000014</v>
      </c>
      <c r="AS3" s="4">
        <f>AR3*1.07</f>
        <v>625.6649520000002</v>
      </c>
      <c r="AT3" s="4">
        <f>AS3*1.06</f>
        <v>663.20484912000029</v>
      </c>
      <c r="AU3" s="4">
        <f>AT3*1.05</f>
        <v>696.36509157600028</v>
      </c>
      <c r="AV3" s="4">
        <f>AU3*1.04</f>
        <v>724.21969523904033</v>
      </c>
      <c r="AW3" s="4">
        <f>AV3*1.03</f>
        <v>745.94628609621157</v>
      </c>
      <c r="AX3" s="4">
        <f t="shared" ref="AX3:AZ3" si="0">AW3*1.03</f>
        <v>768.32467467909794</v>
      </c>
      <c r="AY3" s="4">
        <f t="shared" si="0"/>
        <v>791.37441491947095</v>
      </c>
      <c r="AZ3" s="4">
        <f t="shared" si="0"/>
        <v>815.11564736705509</v>
      </c>
    </row>
    <row r="4" spans="2:162" x14ac:dyDescent="0.3">
      <c r="B4" t="s">
        <v>89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14">
        <v>280.5</v>
      </c>
      <c r="U4" s="14">
        <v>230.3</v>
      </c>
      <c r="V4" s="14">
        <v>167.1</v>
      </c>
      <c r="W4" s="14">
        <v>202.2</v>
      </c>
      <c r="X4" s="14">
        <v>244.1</v>
      </c>
      <c r="Y4" s="14">
        <v>257.8</v>
      </c>
      <c r="Z4" s="14">
        <v>217.5</v>
      </c>
      <c r="AA4" s="14">
        <v>233.1</v>
      </c>
      <c r="AB4" s="14">
        <v>272</v>
      </c>
      <c r="AC4" s="6"/>
      <c r="AD4" s="6"/>
      <c r="AE4" s="6"/>
      <c r="AF4" s="6"/>
      <c r="AG4" s="6"/>
      <c r="AO4" s="14">
        <f>SUM(U4:X4)</f>
        <v>843.69999999999993</v>
      </c>
      <c r="AP4" s="14">
        <f>SUM(Y4:AB4)</f>
        <v>980.4</v>
      </c>
      <c r="AQ4" s="4">
        <f>AP4*0.88</f>
        <v>862.75199999999995</v>
      </c>
      <c r="AR4" s="4">
        <f>AQ4*1.07</f>
        <v>923.14463999999998</v>
      </c>
      <c r="AS4" s="4">
        <f>AR4*1.05</f>
        <v>969.301872</v>
      </c>
      <c r="AT4" s="4">
        <f>AS4*1.04</f>
        <v>1008.07394688</v>
      </c>
      <c r="AU4" s="4">
        <f>AT4*1.03</f>
        <v>1038.3161652864001</v>
      </c>
      <c r="AV4" s="4">
        <f>AU4*1.02</f>
        <v>1059.0824885921281</v>
      </c>
      <c r="AW4" s="4">
        <f>AV4*1.01</f>
        <v>1069.6733134780495</v>
      </c>
      <c r="AX4" s="4">
        <f t="shared" ref="AX4:AZ4" si="1">AW4*1.01</f>
        <v>1080.37004661283</v>
      </c>
      <c r="AY4" s="4">
        <f t="shared" si="1"/>
        <v>1091.1737470789583</v>
      </c>
      <c r="AZ4" s="4">
        <f t="shared" si="1"/>
        <v>1102.0854845497479</v>
      </c>
    </row>
    <row r="5" spans="2:162" s="1" customFormat="1" x14ac:dyDescent="0.3">
      <c r="B5" s="1" t="s">
        <v>12</v>
      </c>
      <c r="C5" s="8">
        <v>284.39999999999998</v>
      </c>
      <c r="D5" s="8">
        <v>326.60000000000002</v>
      </c>
      <c r="E5" s="8">
        <v>308.5</v>
      </c>
      <c r="G5" s="8">
        <v>457.1</v>
      </c>
      <c r="H5" s="8">
        <v>556.29999999999995</v>
      </c>
      <c r="I5" s="8">
        <v>529.4</v>
      </c>
      <c r="J5" s="8">
        <v>472.9</v>
      </c>
      <c r="K5" s="8">
        <v>391.1</v>
      </c>
      <c r="L5" s="8">
        <v>510.6</v>
      </c>
      <c r="M5" s="8">
        <v>380.7</v>
      </c>
      <c r="N5" s="8">
        <v>283.89999999999998</v>
      </c>
      <c r="O5" s="8">
        <v>311.8</v>
      </c>
      <c r="P5" s="8">
        <v>398.7</v>
      </c>
      <c r="Q5" s="8">
        <v>354</v>
      </c>
      <c r="R5" s="8">
        <v>325.39999999999998</v>
      </c>
      <c r="S5" s="8">
        <v>363.2</v>
      </c>
      <c r="T5" s="8">
        <v>417.3</v>
      </c>
      <c r="U5" s="8">
        <v>337.3</v>
      </c>
      <c r="V5" s="8">
        <v>261.3</v>
      </c>
      <c r="W5" s="8">
        <v>304.2</v>
      </c>
      <c r="X5" s="8">
        <v>413.6</v>
      </c>
      <c r="Y5" s="8">
        <v>369.8</v>
      </c>
      <c r="Z5" s="8">
        <v>320.10000000000002</v>
      </c>
      <c r="AA5" s="8">
        <v>345.8</v>
      </c>
      <c r="AB5" s="8">
        <f>SUM(AB3:AB4)</f>
        <v>436.9</v>
      </c>
      <c r="AC5" s="8"/>
      <c r="AD5" s="8"/>
      <c r="AE5" s="8"/>
      <c r="AF5" s="8"/>
      <c r="AG5" s="8"/>
      <c r="AI5" s="8">
        <v>937.6</v>
      </c>
      <c r="AJ5" s="8">
        <v>1097.2</v>
      </c>
      <c r="AK5" s="8">
        <v>1702.4</v>
      </c>
      <c r="AL5" s="8">
        <f>SUM(I5:L5)</f>
        <v>1904</v>
      </c>
      <c r="AM5" s="8">
        <f>SUM(M5:P5)</f>
        <v>1375.1</v>
      </c>
      <c r="AN5" s="8">
        <f>SUM(Q5:T5)</f>
        <v>1459.8999999999999</v>
      </c>
      <c r="AO5" s="8">
        <f>SUM(U5:X5)</f>
        <v>1316.4</v>
      </c>
      <c r="AP5" s="8">
        <f>SUM(Y5:AB5)</f>
        <v>1472.6</v>
      </c>
      <c r="AQ5" s="8">
        <f>SUM(AQ3:AQ4)</f>
        <v>1404.172</v>
      </c>
      <c r="AR5" s="8">
        <f>AQ5*1.05</f>
        <v>1474.3806000000002</v>
      </c>
      <c r="AS5" s="8">
        <f>AR5*1.04</f>
        <v>1533.3558240000002</v>
      </c>
      <c r="AT5" s="8">
        <f>AS5*1.03</f>
        <v>1579.3564987200002</v>
      </c>
      <c r="AU5" s="8">
        <f>AT5*1.02</f>
        <v>1610.9436286944003</v>
      </c>
      <c r="AV5" s="8">
        <f t="shared" ref="AV5:AZ5" si="2">AU5*1.02</f>
        <v>1643.1625012682885</v>
      </c>
      <c r="AW5" s="8">
        <f t="shared" si="2"/>
        <v>1676.0257512936541</v>
      </c>
      <c r="AX5" s="8">
        <f t="shared" si="2"/>
        <v>1709.5462663195271</v>
      </c>
      <c r="AY5" s="8">
        <f t="shared" si="2"/>
        <v>1743.7371916459176</v>
      </c>
      <c r="AZ5" s="8">
        <f t="shared" si="2"/>
        <v>1778.6119354788359</v>
      </c>
    </row>
    <row r="6" spans="2:162" x14ac:dyDescent="0.3">
      <c r="B6" t="s">
        <v>22</v>
      </c>
      <c r="C6" s="4">
        <v>224.1</v>
      </c>
      <c r="D6" s="4">
        <v>256.10000000000002</v>
      </c>
      <c r="E6" s="4">
        <v>229.9</v>
      </c>
      <c r="G6" s="4">
        <v>329.2</v>
      </c>
      <c r="H6" s="4">
        <v>402.5</v>
      </c>
      <c r="I6" s="4">
        <v>369.1</v>
      </c>
      <c r="J6" s="4">
        <v>342.6</v>
      </c>
      <c r="K6" s="4">
        <v>289.8</v>
      </c>
      <c r="L6" s="4">
        <v>388.8</v>
      </c>
      <c r="M6" s="4">
        <v>289.89999999999998</v>
      </c>
      <c r="N6" s="4">
        <v>247.4</v>
      </c>
      <c r="O6" s="4">
        <v>240.2</v>
      </c>
      <c r="P6" s="4">
        <v>300.89999999999998</v>
      </c>
      <c r="Q6" s="4">
        <v>268.60000000000002</v>
      </c>
      <c r="R6" s="4">
        <v>242.6</v>
      </c>
      <c r="S6" s="4">
        <v>273.8</v>
      </c>
      <c r="T6" s="4">
        <v>314.60000000000002</v>
      </c>
      <c r="U6" s="4">
        <v>250.6</v>
      </c>
      <c r="V6" s="4">
        <v>198.2</v>
      </c>
      <c r="W6" s="4">
        <v>234.5</v>
      </c>
      <c r="X6" s="4">
        <v>305.39999999999998</v>
      </c>
      <c r="Y6" s="4">
        <v>267.39999999999998</v>
      </c>
      <c r="Z6" s="4">
        <v>234.2</v>
      </c>
      <c r="AA6" s="4">
        <v>252.7</v>
      </c>
      <c r="AB6" s="4">
        <v>292.3</v>
      </c>
      <c r="AC6" s="4"/>
      <c r="AD6" s="4"/>
      <c r="AE6" s="4"/>
      <c r="AF6" s="4"/>
      <c r="AG6" s="4"/>
      <c r="AI6" s="4">
        <v>744.9</v>
      </c>
      <c r="AJ6" s="4">
        <v>872.9</v>
      </c>
      <c r="AK6" s="4">
        <v>1236.9000000000001</v>
      </c>
      <c r="AL6" s="4">
        <f>SUM(I6:L6)</f>
        <v>1390.3</v>
      </c>
      <c r="AM6" s="4">
        <f>SUM(M6:P6)</f>
        <v>1078.4000000000001</v>
      </c>
      <c r="AN6" s="4">
        <f>SUM(Q6:T6)</f>
        <v>1099.5999999999999</v>
      </c>
      <c r="AO6" s="4">
        <f>SUM(U6:X6)</f>
        <v>988.69999999999993</v>
      </c>
      <c r="AP6" s="4">
        <f>SUM(Y6:AB6)</f>
        <v>1046.5999999999999</v>
      </c>
      <c r="AQ6" s="4">
        <f t="shared" ref="AQ6:AV6" si="3">AQ5-AQ7</f>
        <v>1011.00384</v>
      </c>
      <c r="AR6" s="4">
        <f t="shared" si="3"/>
        <v>1046.8102260000001</v>
      </c>
      <c r="AS6" s="4">
        <f t="shared" si="3"/>
        <v>1073.3490768000001</v>
      </c>
      <c r="AT6" s="4">
        <f t="shared" si="3"/>
        <v>1105.5495491040001</v>
      </c>
      <c r="AU6" s="4">
        <f t="shared" si="3"/>
        <v>1127.6605400860803</v>
      </c>
      <c r="AV6" s="4">
        <f t="shared" si="3"/>
        <v>1150.213750887802</v>
      </c>
      <c r="AW6" s="4">
        <f t="shared" ref="AW6:AZ6" si="4">AW5-AW7</f>
        <v>1173.2180259055579</v>
      </c>
      <c r="AX6" s="4">
        <f t="shared" si="4"/>
        <v>1196.682386423669</v>
      </c>
      <c r="AY6" s="4">
        <f t="shared" si="4"/>
        <v>1220.6160341521422</v>
      </c>
      <c r="AZ6" s="4">
        <f t="shared" si="4"/>
        <v>1245.0283548351852</v>
      </c>
    </row>
    <row r="7" spans="2:162" s="1" customFormat="1" x14ac:dyDescent="0.3">
      <c r="B7" s="1" t="s">
        <v>23</v>
      </c>
      <c r="C7" s="8">
        <f>C5-C6</f>
        <v>60.299999999999983</v>
      </c>
      <c r="D7" s="8">
        <f>D5-D6</f>
        <v>70.5</v>
      </c>
      <c r="E7" s="8">
        <f>E5-E6</f>
        <v>78.599999999999994</v>
      </c>
      <c r="G7" s="8">
        <f t="shared" ref="G7:AB7" si="5">G5-G6</f>
        <v>127.90000000000003</v>
      </c>
      <c r="H7" s="8">
        <f t="shared" si="5"/>
        <v>153.79999999999995</v>
      </c>
      <c r="I7" s="8">
        <f t="shared" si="5"/>
        <v>160.29999999999995</v>
      </c>
      <c r="J7" s="8">
        <f t="shared" si="5"/>
        <v>130.29999999999995</v>
      </c>
      <c r="K7" s="8">
        <f t="shared" si="5"/>
        <v>101.30000000000001</v>
      </c>
      <c r="L7" s="8">
        <f t="shared" si="5"/>
        <v>121.80000000000001</v>
      </c>
      <c r="M7" s="8">
        <f t="shared" si="5"/>
        <v>90.800000000000011</v>
      </c>
      <c r="N7" s="8">
        <f t="shared" si="5"/>
        <v>36.499999999999972</v>
      </c>
      <c r="O7" s="8">
        <f t="shared" si="5"/>
        <v>71.600000000000023</v>
      </c>
      <c r="P7" s="8">
        <f t="shared" si="5"/>
        <v>97.800000000000011</v>
      </c>
      <c r="Q7" s="8">
        <f t="shared" si="5"/>
        <v>85.399999999999977</v>
      </c>
      <c r="R7" s="8">
        <f t="shared" si="5"/>
        <v>82.799999999999983</v>
      </c>
      <c r="S7" s="8">
        <f t="shared" si="5"/>
        <v>89.399999999999977</v>
      </c>
      <c r="T7" s="8">
        <f t="shared" si="5"/>
        <v>102.69999999999999</v>
      </c>
      <c r="U7" s="8">
        <f t="shared" si="5"/>
        <v>86.700000000000017</v>
      </c>
      <c r="V7" s="8">
        <f t="shared" si="5"/>
        <v>63.100000000000023</v>
      </c>
      <c r="W7" s="8">
        <f t="shared" si="5"/>
        <v>69.699999999999989</v>
      </c>
      <c r="X7" s="8">
        <f t="shared" si="5"/>
        <v>108.20000000000005</v>
      </c>
      <c r="Y7" s="8">
        <f t="shared" si="5"/>
        <v>102.40000000000003</v>
      </c>
      <c r="Z7" s="8">
        <f t="shared" si="5"/>
        <v>85.900000000000034</v>
      </c>
      <c r="AA7" s="8">
        <f t="shared" si="5"/>
        <v>93.100000000000023</v>
      </c>
      <c r="AB7" s="8">
        <f t="shared" si="5"/>
        <v>144.59999999999997</v>
      </c>
      <c r="AC7" s="8"/>
      <c r="AD7" s="8"/>
      <c r="AE7" s="8"/>
      <c r="AF7" s="8"/>
      <c r="AG7" s="8"/>
      <c r="AI7" s="8">
        <f>AI5-AI6</f>
        <v>192.70000000000005</v>
      </c>
      <c r="AJ7" s="8">
        <f>AJ5-AJ6</f>
        <v>224.30000000000007</v>
      </c>
      <c r="AK7" s="8">
        <f>AK5-AK6</f>
        <v>465.5</v>
      </c>
      <c r="AL7" s="8">
        <f>AL5-AL6</f>
        <v>513.70000000000005</v>
      </c>
      <c r="AM7" s="8">
        <f t="shared" ref="AM7:AP7" si="6">AM5-AM6</f>
        <v>296.69999999999982</v>
      </c>
      <c r="AN7" s="8">
        <f t="shared" si="6"/>
        <v>360.29999999999995</v>
      </c>
      <c r="AO7" s="8">
        <f t="shared" si="6"/>
        <v>327.70000000000016</v>
      </c>
      <c r="AP7" s="8">
        <f t="shared" si="6"/>
        <v>426</v>
      </c>
      <c r="AQ7" s="8">
        <f>AQ5*0.28</f>
        <v>393.16816000000006</v>
      </c>
      <c r="AR7" s="8">
        <f>AR5*0.29</f>
        <v>427.57037400000002</v>
      </c>
      <c r="AS7" s="8">
        <f>AS5*0.3</f>
        <v>460.00674720000006</v>
      </c>
      <c r="AT7" s="8">
        <f t="shared" ref="AT7:AZ7" si="7">AT5*0.3</f>
        <v>473.80694961600005</v>
      </c>
      <c r="AU7" s="8">
        <f t="shared" si="7"/>
        <v>483.2830886083201</v>
      </c>
      <c r="AV7" s="8">
        <f t="shared" si="7"/>
        <v>492.9487503804865</v>
      </c>
      <c r="AW7" s="8">
        <f t="shared" si="7"/>
        <v>502.80772538809623</v>
      </c>
      <c r="AX7" s="8">
        <f t="shared" si="7"/>
        <v>512.86387989585808</v>
      </c>
      <c r="AY7" s="8">
        <f t="shared" si="7"/>
        <v>523.12115749377529</v>
      </c>
      <c r="AZ7" s="8">
        <f t="shared" si="7"/>
        <v>533.58358064365075</v>
      </c>
    </row>
    <row r="8" spans="2:162" x14ac:dyDescent="0.3">
      <c r="B8" t="s">
        <v>24</v>
      </c>
      <c r="C8" s="4">
        <v>39.799999999999997</v>
      </c>
      <c r="D8" s="4">
        <v>47</v>
      </c>
      <c r="E8" s="4">
        <v>53.7</v>
      </c>
      <c r="G8" s="4">
        <v>65.3</v>
      </c>
      <c r="H8" s="4">
        <v>81.099999999999994</v>
      </c>
      <c r="I8" s="4">
        <v>77.900000000000006</v>
      </c>
      <c r="J8" s="4">
        <v>80.2</v>
      </c>
      <c r="K8" s="4">
        <v>76.099999999999994</v>
      </c>
      <c r="L8" s="4">
        <v>81.5</v>
      </c>
      <c r="M8" s="4">
        <v>76.099999999999994</v>
      </c>
      <c r="N8" s="4">
        <v>73.400000000000006</v>
      </c>
      <c r="O8" s="4">
        <v>66.900000000000006</v>
      </c>
      <c r="P8" s="4">
        <v>68.5</v>
      </c>
      <c r="Q8" s="4">
        <v>67.5</v>
      </c>
      <c r="R8" s="4">
        <v>70</v>
      </c>
      <c r="S8" s="4">
        <v>74</v>
      </c>
      <c r="T8" s="4">
        <v>73.8</v>
      </c>
      <c r="U8" s="4">
        <v>80.2</v>
      </c>
      <c r="V8" s="4">
        <v>70.400000000000006</v>
      </c>
      <c r="W8" s="4">
        <v>74.099999999999994</v>
      </c>
      <c r="X8" s="4">
        <v>85.3</v>
      </c>
      <c r="Y8" s="4">
        <v>87</v>
      </c>
      <c r="Z8" s="4">
        <v>85.3</v>
      </c>
      <c r="AA8" s="4">
        <v>82</v>
      </c>
      <c r="AB8" s="4">
        <v>100.4</v>
      </c>
      <c r="AC8" s="4"/>
      <c r="AD8" s="4"/>
      <c r="AE8" s="4"/>
      <c r="AF8" s="4"/>
      <c r="AG8" s="4"/>
      <c r="AI8" s="4">
        <v>138.9</v>
      </c>
      <c r="AJ8" s="4">
        <v>163</v>
      </c>
      <c r="AK8" s="4">
        <v>257</v>
      </c>
      <c r="AL8" s="4">
        <f>SUM(I8:L8)</f>
        <v>315.70000000000005</v>
      </c>
      <c r="AM8" s="4">
        <f>SUM(M8:P8)</f>
        <v>284.89999999999998</v>
      </c>
      <c r="AN8" s="4">
        <f>SUM(Q8:T8)</f>
        <v>285.3</v>
      </c>
      <c r="AO8" s="4">
        <f>SUM(U8:X8)</f>
        <v>310</v>
      </c>
      <c r="AP8" s="4">
        <f>SUM(Y8:AB8)</f>
        <v>354.70000000000005</v>
      </c>
      <c r="AQ8" s="4">
        <f>AP8*1.05</f>
        <v>372.43500000000006</v>
      </c>
      <c r="AR8" s="4">
        <f>AQ8*1.03</f>
        <v>383.60805000000005</v>
      </c>
      <c r="AS8" s="4">
        <f>AR8*1.02</f>
        <v>391.28021100000007</v>
      </c>
      <c r="AT8" s="4">
        <f>AS8*1.02</f>
        <v>399.10581522000007</v>
      </c>
      <c r="AU8" s="4">
        <f t="shared" ref="AU8:AZ8" si="8">AT8*1.01</f>
        <v>403.09687337220009</v>
      </c>
      <c r="AV8" s="4">
        <f t="shared" si="8"/>
        <v>407.12784210592207</v>
      </c>
      <c r="AW8" s="4">
        <f t="shared" si="8"/>
        <v>411.19912052698129</v>
      </c>
      <c r="AX8" s="4">
        <f t="shared" si="8"/>
        <v>415.31111173225111</v>
      </c>
      <c r="AY8" s="4">
        <f t="shared" si="8"/>
        <v>419.46422284957362</v>
      </c>
      <c r="AZ8" s="4">
        <f t="shared" si="8"/>
        <v>423.65886507806937</v>
      </c>
    </row>
    <row r="9" spans="2:162" x14ac:dyDescent="0.3">
      <c r="B9" t="s">
        <v>25</v>
      </c>
      <c r="C9" s="4">
        <v>9.5</v>
      </c>
      <c r="D9" s="4">
        <v>9.1999999999999993</v>
      </c>
      <c r="E9" s="4">
        <v>11.6</v>
      </c>
      <c r="G9" s="4">
        <v>12.9</v>
      </c>
      <c r="H9" s="4">
        <v>13.8</v>
      </c>
      <c r="I9" s="4">
        <v>15.2</v>
      </c>
      <c r="J9" s="4">
        <v>15.5</v>
      </c>
      <c r="K9" s="4">
        <v>14.5</v>
      </c>
      <c r="L9" s="4">
        <v>15.1</v>
      </c>
      <c r="M9" s="4">
        <v>17.100000000000001</v>
      </c>
      <c r="N9" s="4">
        <v>18</v>
      </c>
      <c r="O9" s="4">
        <v>15.6</v>
      </c>
      <c r="P9" s="4">
        <v>15.7</v>
      </c>
      <c r="Q9" s="4">
        <v>16.8</v>
      </c>
      <c r="R9" s="4">
        <v>15.6</v>
      </c>
      <c r="S9" s="4">
        <v>16.100000000000001</v>
      </c>
      <c r="T9" s="4">
        <v>16.7</v>
      </c>
      <c r="U9" s="4">
        <v>16.600000000000001</v>
      </c>
      <c r="V9" s="4">
        <v>17.399999999999999</v>
      </c>
      <c r="W9" s="4">
        <v>16.5</v>
      </c>
      <c r="X9" s="4">
        <v>17</v>
      </c>
      <c r="Y9" s="4">
        <v>17.600000000000001</v>
      </c>
      <c r="Z9" s="4">
        <v>17.5</v>
      </c>
      <c r="AA9" s="4">
        <v>16.7</v>
      </c>
      <c r="AB9" s="4">
        <v>17.3</v>
      </c>
      <c r="AC9" s="4"/>
      <c r="AD9" s="4"/>
      <c r="AE9" s="4"/>
      <c r="AF9" s="4"/>
      <c r="AG9" s="4"/>
      <c r="AI9" s="4">
        <v>32</v>
      </c>
      <c r="AJ9" s="4">
        <v>37.5</v>
      </c>
      <c r="AK9" s="4">
        <v>50.1</v>
      </c>
      <c r="AL9" s="4">
        <f>SUM(I9:L9)</f>
        <v>60.300000000000004</v>
      </c>
      <c r="AM9" s="4">
        <f>SUM(M9:P9)</f>
        <v>66.400000000000006</v>
      </c>
      <c r="AN9" s="4">
        <f>SUM(Q9:T9)</f>
        <v>65.2</v>
      </c>
      <c r="AO9" s="4">
        <f>SUM(U9:X9)</f>
        <v>67.5</v>
      </c>
      <c r="AP9" s="4">
        <f>SUM(Y9:AB9)</f>
        <v>69.099999999999994</v>
      </c>
      <c r="AQ9" s="4">
        <f>AP9*1.02</f>
        <v>70.481999999999999</v>
      </c>
      <c r="AR9" s="4">
        <f t="shared" ref="AR9" si="9">AQ9*1.02</f>
        <v>71.891639999999995</v>
      </c>
      <c r="AS9" s="4">
        <f>AR9*1.01</f>
        <v>72.610556399999993</v>
      </c>
      <c r="AT9" s="4">
        <f t="shared" ref="AT9:AZ9" si="10">AS9*1.01</f>
        <v>73.336661963999987</v>
      </c>
      <c r="AU9" s="4">
        <f t="shared" si="10"/>
        <v>74.070028583639981</v>
      </c>
      <c r="AV9" s="4">
        <f t="shared" si="10"/>
        <v>74.810728869476378</v>
      </c>
      <c r="AW9" s="4">
        <f t="shared" si="10"/>
        <v>75.558836158171147</v>
      </c>
      <c r="AX9" s="4">
        <f t="shared" si="10"/>
        <v>76.314424519752862</v>
      </c>
      <c r="AY9" s="4">
        <f t="shared" si="10"/>
        <v>77.077568764950385</v>
      </c>
      <c r="AZ9" s="4">
        <f t="shared" si="10"/>
        <v>77.848344452599889</v>
      </c>
    </row>
    <row r="10" spans="2:162" s="1" customFormat="1" x14ac:dyDescent="0.3">
      <c r="B10" s="1" t="s">
        <v>26</v>
      </c>
      <c r="C10" s="8">
        <f>C7-C8-C9</f>
        <v>10.999999999999986</v>
      </c>
      <c r="D10" s="8">
        <f>D7-D8-D9</f>
        <v>14.3</v>
      </c>
      <c r="E10" s="8">
        <f t="shared" ref="E10" si="11">E7-E8-E9</f>
        <v>13.299999999999992</v>
      </c>
      <c r="G10" s="8">
        <f>G7-G8-G9</f>
        <v>49.700000000000038</v>
      </c>
      <c r="H10" s="8">
        <f>H7-H8-H9</f>
        <v>58.899999999999963</v>
      </c>
      <c r="I10" s="8">
        <f t="shared" ref="I10" si="12">I7-I8-I9</f>
        <v>67.199999999999946</v>
      </c>
      <c r="J10" s="8">
        <f t="shared" ref="J10:Q10" si="13">J7-J8-J9</f>
        <v>34.599999999999952</v>
      </c>
      <c r="K10" s="8">
        <f t="shared" si="13"/>
        <v>10.700000000000017</v>
      </c>
      <c r="L10" s="8">
        <f t="shared" si="13"/>
        <v>25.20000000000001</v>
      </c>
      <c r="M10" s="8">
        <f t="shared" si="13"/>
        <v>-2.3999999999999844</v>
      </c>
      <c r="N10" s="8">
        <f t="shared" si="13"/>
        <v>-54.900000000000034</v>
      </c>
      <c r="O10" s="8">
        <f t="shared" si="13"/>
        <v>-10.899999999999983</v>
      </c>
      <c r="P10" s="8">
        <f t="shared" si="13"/>
        <v>13.600000000000012</v>
      </c>
      <c r="Q10" s="8">
        <f t="shared" si="13"/>
        <v>1.0999999999999766</v>
      </c>
      <c r="R10" s="8">
        <f t="shared" ref="R10" si="14">R7-R8-R9</f>
        <v>-2.8000000000000167</v>
      </c>
      <c r="S10" s="8">
        <f>S7-S8-S9</f>
        <v>-0.70000000000002416</v>
      </c>
      <c r="T10" s="8">
        <f>T7-T8-T9</f>
        <v>12.199999999999992</v>
      </c>
      <c r="U10" s="8">
        <f>U7-U8-U9</f>
        <v>-10.099999999999987</v>
      </c>
      <c r="V10" s="8">
        <f t="shared" ref="V10" si="15">V7-V8-V9</f>
        <v>-24.699999999999982</v>
      </c>
      <c r="W10" s="8">
        <f>W7-W8-W9</f>
        <v>-20.900000000000006</v>
      </c>
      <c r="X10" s="8">
        <f>X7-X8-X9</f>
        <v>5.9000000000000483</v>
      </c>
      <c r="Y10" s="8">
        <f t="shared" ref="Y10:AB10" si="16">Y7-Y8-Y9</f>
        <v>-2.1999999999999673</v>
      </c>
      <c r="Z10" s="8">
        <f t="shared" si="16"/>
        <v>-16.899999999999963</v>
      </c>
      <c r="AA10" s="8">
        <f t="shared" si="16"/>
        <v>-5.5999999999999766</v>
      </c>
      <c r="AB10" s="8">
        <f t="shared" si="16"/>
        <v>26.899999999999959</v>
      </c>
      <c r="AC10" s="8"/>
      <c r="AD10" s="8"/>
      <c r="AE10" s="8"/>
      <c r="AF10" s="8"/>
      <c r="AG10" s="8"/>
      <c r="AI10" s="8">
        <f>AI7-AI8-AI9</f>
        <v>21.80000000000004</v>
      </c>
      <c r="AJ10" s="8">
        <f>AJ7-AJ8-AJ9</f>
        <v>23.800000000000068</v>
      </c>
      <c r="AK10" s="8">
        <f>AK7-AK8-AK9</f>
        <v>158.4</v>
      </c>
      <c r="AL10" s="8">
        <f>AL7-AL8-AL9</f>
        <v>137.69999999999999</v>
      </c>
      <c r="AM10" s="8">
        <f t="shared" ref="AM10:AV10" si="17">AM7-AM8-AM9</f>
        <v>-54.600000000000165</v>
      </c>
      <c r="AN10" s="8">
        <f t="shared" si="17"/>
        <v>9.7999999999999403</v>
      </c>
      <c r="AO10" s="8">
        <f t="shared" si="17"/>
        <v>-49.799999999999841</v>
      </c>
      <c r="AP10" s="8">
        <f t="shared" si="17"/>
        <v>2.1999999999999602</v>
      </c>
      <c r="AQ10" s="8">
        <f t="shared" si="17"/>
        <v>-49.748840000000001</v>
      </c>
      <c r="AR10" s="8">
        <f t="shared" si="17"/>
        <v>-27.929316000000028</v>
      </c>
      <c r="AS10" s="8">
        <f t="shared" si="17"/>
        <v>-3.8840201999999948</v>
      </c>
      <c r="AT10" s="8">
        <f t="shared" si="17"/>
        <v>1.3644724319999995</v>
      </c>
      <c r="AU10" s="8">
        <f t="shared" si="17"/>
        <v>6.1161866524800246</v>
      </c>
      <c r="AV10" s="8">
        <f t="shared" si="17"/>
        <v>11.010179405088053</v>
      </c>
      <c r="AW10" s="8">
        <f t="shared" ref="AW10:AZ10" si="18">AW7-AW8-AW9</f>
        <v>16.049768702943794</v>
      </c>
      <c r="AX10" s="8">
        <f t="shared" si="18"/>
        <v>21.238343643854108</v>
      </c>
      <c r="AY10" s="8">
        <f t="shared" si="18"/>
        <v>26.579365879251284</v>
      </c>
      <c r="AZ10" s="8">
        <f t="shared" si="18"/>
        <v>32.076371112981491</v>
      </c>
    </row>
    <row r="11" spans="2:162" x14ac:dyDescent="0.3">
      <c r="B11" t="s">
        <v>27</v>
      </c>
      <c r="C11" s="4">
        <v>9.1</v>
      </c>
      <c r="D11" s="4">
        <v>8.5</v>
      </c>
      <c r="E11" s="4">
        <v>9.4</v>
      </c>
      <c r="G11" s="4">
        <v>10.199999999999999</v>
      </c>
      <c r="H11" s="4">
        <v>6</v>
      </c>
      <c r="I11" s="4">
        <v>4.9000000000000004</v>
      </c>
      <c r="J11" s="4">
        <v>4.5</v>
      </c>
      <c r="K11" s="4">
        <v>7.2</v>
      </c>
      <c r="L11" s="4">
        <v>1</v>
      </c>
      <c r="M11" s="4">
        <v>1.3</v>
      </c>
      <c r="N11" s="4">
        <v>1.7</v>
      </c>
      <c r="O11" s="4">
        <v>2.7</v>
      </c>
      <c r="P11" s="4">
        <v>3.9</v>
      </c>
      <c r="Q11" s="4">
        <v>4.3</v>
      </c>
      <c r="R11" s="4">
        <v>4.5</v>
      </c>
      <c r="S11" s="4">
        <v>4.3</v>
      </c>
      <c r="T11" s="4">
        <v>4.4000000000000004</v>
      </c>
      <c r="U11" s="4">
        <v>3.7</v>
      </c>
      <c r="V11" s="4">
        <v>3.4</v>
      </c>
      <c r="W11" s="4">
        <v>3</v>
      </c>
      <c r="X11" s="4">
        <v>3.1</v>
      </c>
      <c r="Y11" s="4">
        <v>2.7</v>
      </c>
      <c r="Z11" s="4">
        <v>2.5</v>
      </c>
      <c r="AA11" s="4">
        <v>2.1</v>
      </c>
      <c r="AB11" s="4">
        <v>2.1</v>
      </c>
      <c r="AC11" s="4"/>
      <c r="AD11" s="4"/>
      <c r="AE11" s="4"/>
      <c r="AF11" s="4"/>
      <c r="AG11" s="4"/>
      <c r="AI11" s="4">
        <v>32.700000000000003</v>
      </c>
      <c r="AJ11" s="4">
        <v>35.5</v>
      </c>
      <c r="AK11" s="4">
        <v>35.1</v>
      </c>
      <c r="AL11" s="4">
        <f>SUM(I11:L11)</f>
        <v>17.600000000000001</v>
      </c>
      <c r="AM11" s="4">
        <f>SUM(M11:P11)</f>
        <v>9.6</v>
      </c>
      <c r="AN11" s="4">
        <f>SUM(Q11:T11)</f>
        <v>17.5</v>
      </c>
      <c r="AO11" s="4">
        <f>SUM(U11:X11)</f>
        <v>13.2</v>
      </c>
      <c r="AP11" s="4">
        <f>SUM(Y11:AB11)</f>
        <v>9.4</v>
      </c>
      <c r="AQ11" s="4">
        <f>AP11*1.03</f>
        <v>9.6820000000000004</v>
      </c>
      <c r="AR11" s="4">
        <f t="shared" ref="AR11:AZ11" si="19">AQ11*1.03</f>
        <v>9.9724599999999999</v>
      </c>
      <c r="AS11" s="4">
        <f t="shared" si="19"/>
        <v>10.2716338</v>
      </c>
      <c r="AT11" s="4">
        <f t="shared" si="19"/>
        <v>10.579782814</v>
      </c>
      <c r="AU11" s="4">
        <f t="shared" si="19"/>
        <v>10.89717629842</v>
      </c>
      <c r="AV11" s="4">
        <f t="shared" si="19"/>
        <v>11.2240915873726</v>
      </c>
      <c r="AW11" s="4">
        <f t="shared" si="19"/>
        <v>11.560814334993779</v>
      </c>
      <c r="AX11" s="4">
        <f t="shared" si="19"/>
        <v>11.907638765043593</v>
      </c>
      <c r="AY11" s="4">
        <f t="shared" si="19"/>
        <v>12.264867927994901</v>
      </c>
      <c r="AZ11" s="4">
        <f t="shared" si="19"/>
        <v>12.632813965834748</v>
      </c>
    </row>
    <row r="12" spans="2:162" x14ac:dyDescent="0.3">
      <c r="B12" t="s">
        <v>28</v>
      </c>
      <c r="C12" s="4">
        <v>0.4</v>
      </c>
      <c r="D12" s="4">
        <v>0.1</v>
      </c>
      <c r="E12" s="4">
        <v>0.1</v>
      </c>
      <c r="G12" s="4">
        <v>0</v>
      </c>
      <c r="H12" s="4">
        <v>1.2</v>
      </c>
      <c r="I12" s="4">
        <v>2.4</v>
      </c>
      <c r="J12" s="4">
        <v>0.2</v>
      </c>
      <c r="K12" s="4">
        <v>1.4</v>
      </c>
      <c r="L12" s="4">
        <v>1.7</v>
      </c>
      <c r="M12" s="4">
        <v>0.5</v>
      </c>
      <c r="N12" s="4">
        <v>-0.6</v>
      </c>
      <c r="O12" s="4">
        <v>-1.7</v>
      </c>
      <c r="P12" s="4">
        <f>-0.4+1.6</f>
        <v>1.2000000000000002</v>
      </c>
      <c r="Q12" s="4">
        <f>-1.5+0.5</f>
        <v>-1</v>
      </c>
      <c r="R12" s="4">
        <f>-2+1.1</f>
        <v>-0.89999999999999991</v>
      </c>
      <c r="S12" s="4">
        <f>-1.7-0.3</f>
        <v>-2</v>
      </c>
      <c r="T12" s="4">
        <f>-1.6+1.3</f>
        <v>-0.30000000000000004</v>
      </c>
      <c r="U12" s="4">
        <f>-1.6+0.5</f>
        <v>-1.1000000000000001</v>
      </c>
      <c r="V12" s="4">
        <f>-1.2+0.5</f>
        <v>-0.7</v>
      </c>
      <c r="W12" s="4">
        <f>-0.3+0.9</f>
        <v>0.60000000000000009</v>
      </c>
      <c r="X12" s="4">
        <v>-0.3</v>
      </c>
      <c r="Y12" s="4">
        <f>-0.6+3.9</f>
        <v>3.3</v>
      </c>
      <c r="Z12" s="4">
        <f>-0.6+1.9</f>
        <v>1.2999999999999998</v>
      </c>
      <c r="AA12" s="4">
        <f>-0.2+0.8</f>
        <v>0.60000000000000009</v>
      </c>
      <c r="AB12" s="4">
        <f>-0.3-0.1</f>
        <v>-0.4</v>
      </c>
      <c r="AC12" s="4"/>
      <c r="AD12" s="4"/>
      <c r="AE12" s="4"/>
      <c r="AF12" s="4"/>
      <c r="AG12" s="4"/>
      <c r="AI12" s="4">
        <v>-0.2</v>
      </c>
      <c r="AJ12" s="4">
        <v>1.6</v>
      </c>
      <c r="AK12" s="4">
        <v>1.2</v>
      </c>
      <c r="AL12" s="4">
        <f>SUM(I12:L12)</f>
        <v>5.7</v>
      </c>
      <c r="AM12" s="4">
        <f>SUM(M12:P12)</f>
        <v>-0.59999999999999964</v>
      </c>
      <c r="AN12" s="4">
        <f>SUM(Q12:T12)</f>
        <v>-4.2</v>
      </c>
      <c r="AO12" s="4">
        <f>SUM(U12:X12)</f>
        <v>-1.5</v>
      </c>
      <c r="AP12" s="4">
        <f>SUM(Y12:AB12)</f>
        <v>4.7999999999999989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</row>
    <row r="13" spans="2:162" s="1" customFormat="1" x14ac:dyDescent="0.3">
      <c r="B13" s="1" t="s">
        <v>29</v>
      </c>
      <c r="C13" s="8">
        <f>C10-C11-C12</f>
        <v>1.4999999999999862</v>
      </c>
      <c r="D13" s="8">
        <f>D10-D11-D12</f>
        <v>5.7000000000000011</v>
      </c>
      <c r="E13" s="8">
        <f t="shared" ref="E13" si="20">E10-E11-E12</f>
        <v>3.7999999999999914</v>
      </c>
      <c r="G13" s="8">
        <f>G10-G11-G12</f>
        <v>39.500000000000043</v>
      </c>
      <c r="H13" s="8">
        <f>H10-H11-H12</f>
        <v>51.69999999999996</v>
      </c>
      <c r="I13" s="8">
        <f t="shared" ref="I13" si="21">I10-I11-I12</f>
        <v>59.899999999999949</v>
      </c>
      <c r="J13" s="8">
        <f t="shared" ref="J13:Q13" si="22">J10-J11-J12</f>
        <v>29.899999999999952</v>
      </c>
      <c r="K13" s="8">
        <f t="shared" si="22"/>
        <v>2.100000000000017</v>
      </c>
      <c r="L13" s="8">
        <f t="shared" si="22"/>
        <v>22.500000000000011</v>
      </c>
      <c r="M13" s="8">
        <f t="shared" si="22"/>
        <v>-4.1999999999999842</v>
      </c>
      <c r="N13" s="8">
        <f t="shared" si="22"/>
        <v>-56.000000000000036</v>
      </c>
      <c r="O13" s="8">
        <f t="shared" si="22"/>
        <v>-11.899999999999984</v>
      </c>
      <c r="P13" s="8">
        <f t="shared" si="22"/>
        <v>8.5000000000000107</v>
      </c>
      <c r="Q13" s="8">
        <f t="shared" si="22"/>
        <v>-2.2000000000000233</v>
      </c>
      <c r="R13" s="8">
        <f t="shared" ref="R13" si="23">R10-R11-R12</f>
        <v>-6.4000000000000163</v>
      </c>
      <c r="S13" s="8">
        <f>S10-S11-S12</f>
        <v>-3.000000000000024</v>
      </c>
      <c r="T13" s="8">
        <f>T10-T11-T12</f>
        <v>8.0999999999999925</v>
      </c>
      <c r="U13" s="8">
        <f>U10-U11-U12</f>
        <v>-12.699999999999987</v>
      </c>
      <c r="V13" s="8">
        <f t="shared" ref="V13" si="24">V10-V11-V12</f>
        <v>-27.399999999999981</v>
      </c>
      <c r="W13" s="8">
        <f>W10-W11-W12</f>
        <v>-24.500000000000007</v>
      </c>
      <c r="X13" s="8">
        <f>X10-X11-X12</f>
        <v>3.1000000000000481</v>
      </c>
      <c r="Y13" s="8">
        <f t="shared" ref="Y13:AB13" si="25">Y10-Y11-Y12</f>
        <v>-8.1999999999999673</v>
      </c>
      <c r="Z13" s="8">
        <f t="shared" si="25"/>
        <v>-20.699999999999964</v>
      </c>
      <c r="AA13" s="8">
        <f t="shared" si="25"/>
        <v>-8.2999999999999758</v>
      </c>
      <c r="AB13" s="8">
        <f t="shared" si="25"/>
        <v>25.199999999999957</v>
      </c>
      <c r="AC13" s="8"/>
      <c r="AD13" s="8"/>
      <c r="AE13" s="8"/>
      <c r="AF13" s="8"/>
      <c r="AG13" s="8"/>
      <c r="AI13" s="8">
        <f>AI10-AI11-AI12</f>
        <v>-10.699999999999964</v>
      </c>
      <c r="AJ13" s="8">
        <f>AJ10-AJ11-AJ12</f>
        <v>-13.299999999999931</v>
      </c>
      <c r="AK13" s="8">
        <f>AK10-AK11-AK12</f>
        <v>122.10000000000001</v>
      </c>
      <c r="AL13" s="8">
        <f>AL10-AL11-AL12</f>
        <v>114.39999999999999</v>
      </c>
      <c r="AM13" s="8">
        <f t="shared" ref="AM13:AV13" si="26">AM10-AM11-AM12</f>
        <v>-63.600000000000158</v>
      </c>
      <c r="AN13" s="8">
        <f t="shared" si="26"/>
        <v>-3.5000000000000595</v>
      </c>
      <c r="AO13" s="8">
        <f t="shared" si="26"/>
        <v>-61.499999999999844</v>
      </c>
      <c r="AP13" s="8">
        <f t="shared" si="26"/>
        <v>-12.000000000000039</v>
      </c>
      <c r="AQ13" s="8">
        <f t="shared" si="26"/>
        <v>-59.430840000000003</v>
      </c>
      <c r="AR13" s="8">
        <f t="shared" si="26"/>
        <v>-37.901776000000027</v>
      </c>
      <c r="AS13" s="8">
        <f t="shared" si="26"/>
        <v>-14.155653999999995</v>
      </c>
      <c r="AT13" s="8">
        <f t="shared" si="26"/>
        <v>-9.2153103820000002</v>
      </c>
      <c r="AU13" s="8">
        <f t="shared" si="26"/>
        <v>-4.7809896459399752</v>
      </c>
      <c r="AV13" s="8">
        <f t="shared" si="26"/>
        <v>-0.21391218228454711</v>
      </c>
      <c r="AW13" s="8">
        <f t="shared" ref="AW13:AZ13" si="27">AW10-AW11-AW12</f>
        <v>4.488954367950015</v>
      </c>
      <c r="AX13" s="8">
        <f t="shared" si="27"/>
        <v>9.3307048788105149</v>
      </c>
      <c r="AY13" s="8">
        <f t="shared" si="27"/>
        <v>14.314497951256383</v>
      </c>
      <c r="AZ13" s="8">
        <f t="shared" si="27"/>
        <v>19.443557147146741</v>
      </c>
    </row>
    <row r="14" spans="2:162" x14ac:dyDescent="0.3">
      <c r="B14" t="s">
        <v>30</v>
      </c>
      <c r="C14" s="4">
        <v>-0.1</v>
      </c>
      <c r="D14" s="4">
        <v>-0.4</v>
      </c>
      <c r="E14" s="4">
        <v>2.7</v>
      </c>
      <c r="G14" s="4">
        <v>3.2</v>
      </c>
      <c r="H14" s="4">
        <v>8.6999999999999993</v>
      </c>
      <c r="I14" s="4">
        <v>13.2</v>
      </c>
      <c r="J14" s="4">
        <v>2.2999999999999998</v>
      </c>
      <c r="K14" s="4">
        <v>0.4</v>
      </c>
      <c r="L14" s="4">
        <v>-2.2999999999999998</v>
      </c>
      <c r="M14" s="4">
        <v>-1</v>
      </c>
      <c r="N14" s="4">
        <v>-4.2</v>
      </c>
      <c r="O14" s="4">
        <v>-6.1</v>
      </c>
      <c r="P14" s="4">
        <v>1.4</v>
      </c>
      <c r="Q14" s="4">
        <v>-0.6</v>
      </c>
      <c r="R14" s="4">
        <v>-2.2999999999999998</v>
      </c>
      <c r="S14" s="4">
        <v>-0.1</v>
      </c>
      <c r="T14" s="4">
        <v>0.6</v>
      </c>
      <c r="U14" s="4">
        <v>-1.8</v>
      </c>
      <c r="V14" s="4">
        <v>-4</v>
      </c>
      <c r="W14" s="4">
        <v>27</v>
      </c>
      <c r="X14" s="4">
        <v>0.5</v>
      </c>
      <c r="Y14" s="4">
        <v>2.1</v>
      </c>
      <c r="Z14" s="4">
        <v>-0.4</v>
      </c>
      <c r="AA14" s="4">
        <v>2.1</v>
      </c>
      <c r="AB14" s="4">
        <v>-1</v>
      </c>
      <c r="AC14" s="4"/>
      <c r="AD14" s="4"/>
      <c r="AE14" s="4"/>
      <c r="AF14" s="4"/>
      <c r="AG14" s="4"/>
      <c r="AI14" s="4">
        <v>3</v>
      </c>
      <c r="AJ14" s="4">
        <v>-5</v>
      </c>
      <c r="AK14" s="4">
        <v>18.8</v>
      </c>
      <c r="AL14" s="4">
        <f>SUM(I14:L14)</f>
        <v>13.600000000000001</v>
      </c>
      <c r="AM14" s="4">
        <f>SUM(M14:P14)</f>
        <v>-9.9</v>
      </c>
      <c r="AN14" s="4">
        <f>SUM(Q14:T14)</f>
        <v>-2.4</v>
      </c>
      <c r="AO14" s="4">
        <f>SUM(U14:X14)</f>
        <v>21.7</v>
      </c>
      <c r="AP14" s="4">
        <f>SUM(Y14:AB14)</f>
        <v>2.8000000000000003</v>
      </c>
      <c r="AQ14" s="4">
        <f t="shared" ref="AQ14:AV14" si="28">AQ13*0.19</f>
        <v>-11.2918596</v>
      </c>
      <c r="AR14" s="4">
        <f t="shared" si="28"/>
        <v>-7.201337440000005</v>
      </c>
      <c r="AS14" s="4">
        <f t="shared" si="28"/>
        <v>-2.6895742599999992</v>
      </c>
      <c r="AT14" s="4">
        <f t="shared" si="28"/>
        <v>-1.75090897258</v>
      </c>
      <c r="AU14" s="4">
        <f t="shared" si="28"/>
        <v>-0.90838803272859525</v>
      </c>
      <c r="AV14" s="4">
        <f t="shared" si="28"/>
        <v>-4.0643314634063954E-2</v>
      </c>
      <c r="AW14" s="4">
        <f t="shared" ref="AW14:AZ14" si="29">AW13*0.19</f>
        <v>0.85290132991050283</v>
      </c>
      <c r="AX14" s="4">
        <f t="shared" si="29"/>
        <v>1.7728339269739979</v>
      </c>
      <c r="AY14" s="4">
        <f t="shared" si="29"/>
        <v>2.7197546107387129</v>
      </c>
      <c r="AZ14" s="4">
        <f t="shared" si="29"/>
        <v>3.6942758579578809</v>
      </c>
    </row>
    <row r="15" spans="2:162" x14ac:dyDescent="0.3">
      <c r="B15" t="s">
        <v>60</v>
      </c>
      <c r="C15" s="4"/>
      <c r="D15" s="4"/>
      <c r="E15" s="4"/>
      <c r="G15" s="4"/>
      <c r="H15" s="4"/>
      <c r="I15" s="4"/>
      <c r="J15" s="4">
        <v>0</v>
      </c>
      <c r="K15" s="4">
        <v>0</v>
      </c>
      <c r="L15" s="4">
        <v>0</v>
      </c>
      <c r="M15" s="4">
        <f>-0.4+2.3</f>
        <v>1.9</v>
      </c>
      <c r="N15" s="4">
        <f>0.2+7.4</f>
        <v>7.6000000000000005</v>
      </c>
      <c r="O15" s="4">
        <f>0.3+2.7</f>
        <v>3</v>
      </c>
      <c r="P15" s="4">
        <f>0.4-5.8</f>
        <v>-5.3999999999999995</v>
      </c>
      <c r="Q15" s="4">
        <f>0.4-1</f>
        <v>-0.6</v>
      </c>
      <c r="R15" s="4">
        <f>0.4-5.6</f>
        <v>-5.1999999999999993</v>
      </c>
      <c r="S15" s="4">
        <v>0.2</v>
      </c>
      <c r="T15" s="4">
        <f>0.6+0.8</f>
        <v>1.4</v>
      </c>
      <c r="U15" s="4">
        <f>0.5+1</f>
        <v>1.5</v>
      </c>
      <c r="V15" s="4">
        <f>0.7+5.4</f>
        <v>6.1000000000000005</v>
      </c>
      <c r="W15" s="4">
        <f>0.1+6.7</f>
        <v>6.8</v>
      </c>
      <c r="X15" s="4">
        <v>0.4</v>
      </c>
      <c r="Y15" s="4">
        <v>0.1</v>
      </c>
      <c r="Z15" s="4">
        <v>0.6</v>
      </c>
      <c r="AA15" s="4">
        <v>0.2</v>
      </c>
      <c r="AB15" s="4">
        <v>0.3</v>
      </c>
      <c r="AC15" s="4"/>
      <c r="AD15" s="4"/>
      <c r="AE15" s="4"/>
      <c r="AF15" s="4"/>
      <c r="AG15" s="4"/>
      <c r="AI15" s="4"/>
      <c r="AJ15" s="4"/>
      <c r="AK15" s="4"/>
      <c r="AL15" s="4"/>
      <c r="AM15" s="4">
        <f>SUM(M15:P15)</f>
        <v>7.1000000000000005</v>
      </c>
      <c r="AN15" s="4">
        <f>SUM(Q15:T15)</f>
        <v>-4.1999999999999993</v>
      </c>
      <c r="AO15" s="4">
        <f>SUM(U15:X15)</f>
        <v>14.8</v>
      </c>
      <c r="AP15" s="4">
        <f>SUM(Y15:AB15)</f>
        <v>1.2</v>
      </c>
      <c r="AQ15" s="4"/>
      <c r="AR15" s="4"/>
      <c r="AS15" s="4"/>
      <c r="AT15" s="4"/>
      <c r="AU15" s="4"/>
      <c r="AV15" s="4"/>
      <c r="AW15" s="4"/>
      <c r="AX15" s="4"/>
      <c r="AY15" s="4"/>
      <c r="AZ15" s="4"/>
    </row>
    <row r="16" spans="2:162" s="1" customFormat="1" x14ac:dyDescent="0.3">
      <c r="B16" s="1" t="s">
        <v>31</v>
      </c>
      <c r="C16" s="8">
        <f>C13-C14</f>
        <v>1.5999999999999863</v>
      </c>
      <c r="D16" s="8">
        <f>D13-D14</f>
        <v>6.1000000000000014</v>
      </c>
      <c r="E16" s="8">
        <f t="shared" ref="E16" si="30">E13-E14</f>
        <v>1.0999999999999912</v>
      </c>
      <c r="G16" s="8">
        <f>G13-G14</f>
        <v>36.30000000000004</v>
      </c>
      <c r="H16" s="8">
        <f>H13-H14</f>
        <v>42.999999999999957</v>
      </c>
      <c r="I16" s="8">
        <f t="shared" ref="I16" si="31">I13-I14</f>
        <v>46.699999999999946</v>
      </c>
      <c r="J16" s="8">
        <f t="shared" ref="J16:X16" si="32">J13-J14-J15</f>
        <v>27.599999999999952</v>
      </c>
      <c r="K16" s="8">
        <f t="shared" si="32"/>
        <v>1.7000000000000171</v>
      </c>
      <c r="L16" s="8">
        <f t="shared" si="32"/>
        <v>24.800000000000011</v>
      </c>
      <c r="M16" s="8">
        <f t="shared" si="32"/>
        <v>-5.0999999999999837</v>
      </c>
      <c r="N16" s="8">
        <f t="shared" si="32"/>
        <v>-59.400000000000034</v>
      </c>
      <c r="O16" s="8">
        <f t="shared" si="32"/>
        <v>-8.7999999999999847</v>
      </c>
      <c r="P16" s="8">
        <f t="shared" si="32"/>
        <v>12.500000000000011</v>
      </c>
      <c r="Q16" s="8">
        <f t="shared" si="32"/>
        <v>-1.0000000000000231</v>
      </c>
      <c r="R16" s="8">
        <f t="shared" si="32"/>
        <v>1.0999999999999828</v>
      </c>
      <c r="S16" s="8">
        <f t="shared" si="32"/>
        <v>-3.1000000000000241</v>
      </c>
      <c r="T16" s="8">
        <f t="shared" si="32"/>
        <v>6.0999999999999925</v>
      </c>
      <c r="U16" s="8">
        <f t="shared" si="32"/>
        <v>-12.399999999999986</v>
      </c>
      <c r="V16" s="8">
        <f t="shared" si="32"/>
        <v>-29.499999999999982</v>
      </c>
      <c r="W16" s="8">
        <f t="shared" si="32"/>
        <v>-58.300000000000004</v>
      </c>
      <c r="X16" s="8">
        <f t="shared" si="32"/>
        <v>2.2000000000000481</v>
      </c>
      <c r="Y16" s="8">
        <f t="shared" ref="Y16" si="33">Y13-Y14-Y15</f>
        <v>-10.399999999999967</v>
      </c>
      <c r="Z16" s="8">
        <f t="shared" ref="Z16" si="34">Z13-Z14-Z15</f>
        <v>-20.899999999999967</v>
      </c>
      <c r="AA16" s="8">
        <f t="shared" ref="AA16" si="35">AA13-AA14-AA15</f>
        <v>-10.599999999999975</v>
      </c>
      <c r="AB16" s="8">
        <f t="shared" ref="AB16" si="36">AB13-AB14-AB15</f>
        <v>25.899999999999956</v>
      </c>
      <c r="AC16" s="8"/>
      <c r="AD16" s="8"/>
      <c r="AE16" s="8"/>
      <c r="AF16" s="8"/>
      <c r="AG16" s="8"/>
      <c r="AI16" s="8">
        <f>AI13-AI14</f>
        <v>-13.699999999999964</v>
      </c>
      <c r="AJ16" s="8">
        <f>AJ13-AJ14</f>
        <v>-8.2999999999999314</v>
      </c>
      <c r="AK16" s="8">
        <f>AK13-AK14</f>
        <v>103.30000000000001</v>
      </c>
      <c r="AL16" s="8">
        <f>AL13-AL14</f>
        <v>100.79999999999998</v>
      </c>
      <c r="AM16" s="8">
        <f t="shared" ref="AM16:AZ16" si="37">AM13-AM14-AM15</f>
        <v>-60.800000000000161</v>
      </c>
      <c r="AN16" s="8">
        <f t="shared" si="37"/>
        <v>3.0999999999999397</v>
      </c>
      <c r="AO16" s="8">
        <f t="shared" si="37"/>
        <v>-97.999999999999844</v>
      </c>
      <c r="AP16" s="8">
        <f t="shared" si="37"/>
        <v>-16.000000000000039</v>
      </c>
      <c r="AQ16" s="8">
        <f t="shared" si="37"/>
        <v>-48.138980400000001</v>
      </c>
      <c r="AR16" s="8">
        <f t="shared" si="37"/>
        <v>-30.700438560000023</v>
      </c>
      <c r="AS16" s="8">
        <f t="shared" si="37"/>
        <v>-11.466079739999996</v>
      </c>
      <c r="AT16" s="8">
        <f t="shared" si="37"/>
        <v>-7.4644014094200006</v>
      </c>
      <c r="AU16" s="8">
        <f t="shared" si="37"/>
        <v>-3.8726016132113799</v>
      </c>
      <c r="AV16" s="8">
        <f t="shared" si="37"/>
        <v>-0.17326886765048316</v>
      </c>
      <c r="AW16" s="8">
        <f t="shared" si="37"/>
        <v>3.6360530380395124</v>
      </c>
      <c r="AX16" s="8">
        <f t="shared" si="37"/>
        <v>7.5578709518365166</v>
      </c>
      <c r="AY16" s="8">
        <f t="shared" si="37"/>
        <v>11.59474334051767</v>
      </c>
      <c r="AZ16" s="8">
        <f t="shared" si="37"/>
        <v>15.749281289188861</v>
      </c>
      <c r="BA16" s="1">
        <f>AZ16*(1+$BC$24)</f>
        <v>15.591788476296973</v>
      </c>
      <c r="BB16" s="1">
        <f t="shared" ref="BB16:DM16" si="38">BA16*(1+$BC$24)</f>
        <v>15.435870591534004</v>
      </c>
      <c r="BC16" s="1">
        <f t="shared" si="38"/>
        <v>15.281511885618663</v>
      </c>
      <c r="BD16" s="1">
        <f t="shared" si="38"/>
        <v>15.128696766762475</v>
      </c>
      <c r="BE16" s="1">
        <f t="shared" si="38"/>
        <v>14.97740979909485</v>
      </c>
      <c r="BF16" s="1">
        <f t="shared" si="38"/>
        <v>14.827635701103901</v>
      </c>
      <c r="BG16" s="1">
        <f t="shared" si="38"/>
        <v>14.679359344092862</v>
      </c>
      <c r="BH16" s="1">
        <f t="shared" si="38"/>
        <v>14.532565750651933</v>
      </c>
      <c r="BI16" s="1">
        <f t="shared" si="38"/>
        <v>14.387240093145413</v>
      </c>
      <c r="BJ16" s="1">
        <f t="shared" si="38"/>
        <v>14.243367692213958</v>
      </c>
      <c r="BK16" s="1">
        <f t="shared" si="38"/>
        <v>14.100934015291818</v>
      </c>
      <c r="BL16" s="1">
        <f t="shared" si="38"/>
        <v>13.9599246751389</v>
      </c>
      <c r="BM16" s="1">
        <f t="shared" si="38"/>
        <v>13.820325428387511</v>
      </c>
      <c r="BN16" s="1">
        <f t="shared" si="38"/>
        <v>13.682122174103636</v>
      </c>
      <c r="BO16" s="1">
        <f t="shared" si="38"/>
        <v>13.5453009523626</v>
      </c>
      <c r="BP16" s="1">
        <f t="shared" si="38"/>
        <v>13.409847942838974</v>
      </c>
      <c r="BQ16" s="1">
        <f t="shared" si="38"/>
        <v>13.275749463410584</v>
      </c>
      <c r="BR16" s="1">
        <f t="shared" si="38"/>
        <v>13.142991968776478</v>
      </c>
      <c r="BS16" s="1">
        <f t="shared" si="38"/>
        <v>13.011562049088713</v>
      </c>
      <c r="BT16" s="1">
        <f t="shared" si="38"/>
        <v>12.881446428597826</v>
      </c>
      <c r="BU16" s="1">
        <f t="shared" si="38"/>
        <v>12.752631964311847</v>
      </c>
      <c r="BV16" s="1">
        <f t="shared" si="38"/>
        <v>12.625105644668729</v>
      </c>
      <c r="BW16" s="1">
        <f t="shared" si="38"/>
        <v>12.498854588222041</v>
      </c>
      <c r="BX16" s="1">
        <f t="shared" si="38"/>
        <v>12.37386604233982</v>
      </c>
      <c r="BY16" s="1">
        <f t="shared" si="38"/>
        <v>12.250127381916421</v>
      </c>
      <c r="BZ16" s="1">
        <f t="shared" si="38"/>
        <v>12.127626108097257</v>
      </c>
      <c r="CA16" s="1">
        <f t="shared" si="38"/>
        <v>12.006349847016285</v>
      </c>
      <c r="CB16" s="1">
        <f t="shared" si="38"/>
        <v>11.886286348546122</v>
      </c>
      <c r="CC16" s="1">
        <f t="shared" si="38"/>
        <v>11.767423485060661</v>
      </c>
      <c r="CD16" s="1">
        <f t="shared" si="38"/>
        <v>11.649749250210053</v>
      </c>
      <c r="CE16" s="1">
        <f t="shared" si="38"/>
        <v>11.533251757707953</v>
      </c>
      <c r="CF16" s="1">
        <f t="shared" si="38"/>
        <v>11.417919240130873</v>
      </c>
      <c r="CG16" s="1">
        <f t="shared" si="38"/>
        <v>11.303740047729564</v>
      </c>
      <c r="CH16" s="1">
        <f t="shared" si="38"/>
        <v>11.190702647252268</v>
      </c>
      <c r="CI16" s="1">
        <f t="shared" si="38"/>
        <v>11.078795620779745</v>
      </c>
      <c r="CJ16" s="1">
        <f t="shared" si="38"/>
        <v>10.968007664571948</v>
      </c>
      <c r="CK16" s="1">
        <f t="shared" si="38"/>
        <v>10.858327587926228</v>
      </c>
      <c r="CL16" s="1">
        <f t="shared" si="38"/>
        <v>10.749744312046966</v>
      </c>
      <c r="CM16" s="1">
        <f t="shared" si="38"/>
        <v>10.642246868926495</v>
      </c>
      <c r="CN16" s="1">
        <f t="shared" si="38"/>
        <v>10.53582440023723</v>
      </c>
      <c r="CO16" s="1">
        <f t="shared" si="38"/>
        <v>10.430466156234857</v>
      </c>
      <c r="CP16" s="1">
        <f t="shared" si="38"/>
        <v>10.326161494672508</v>
      </c>
      <c r="CQ16" s="1">
        <f t="shared" si="38"/>
        <v>10.222899879725784</v>
      </c>
      <c r="CR16" s="1">
        <f t="shared" si="38"/>
        <v>10.120670880928525</v>
      </c>
      <c r="CS16" s="1">
        <f t="shared" si="38"/>
        <v>10.019464172119241</v>
      </c>
      <c r="CT16" s="1">
        <f t="shared" si="38"/>
        <v>9.9192695303980489</v>
      </c>
      <c r="CU16" s="1">
        <f t="shared" si="38"/>
        <v>9.8200768350940688</v>
      </c>
      <c r="CV16" s="1">
        <f t="shared" si="38"/>
        <v>9.7218760667431283</v>
      </c>
      <c r="CW16" s="1">
        <f t="shared" si="38"/>
        <v>9.6246573060756972</v>
      </c>
      <c r="CX16" s="1">
        <f t="shared" si="38"/>
        <v>9.5284107330149403</v>
      </c>
      <c r="CY16" s="1">
        <f t="shared" si="38"/>
        <v>9.4331266256847908</v>
      </c>
      <c r="CZ16" s="1">
        <f t="shared" si="38"/>
        <v>9.3387953594279427</v>
      </c>
      <c r="DA16" s="1">
        <f t="shared" si="38"/>
        <v>9.2454074058336637</v>
      </c>
      <c r="DB16" s="1">
        <f t="shared" si="38"/>
        <v>9.1529533317753273</v>
      </c>
      <c r="DC16" s="1">
        <f t="shared" si="38"/>
        <v>9.0614237984575734</v>
      </c>
      <c r="DD16" s="1">
        <f t="shared" si="38"/>
        <v>8.9708095604729969</v>
      </c>
      <c r="DE16" s="1">
        <f t="shared" si="38"/>
        <v>8.8811014648682676</v>
      </c>
      <c r="DF16" s="1">
        <f t="shared" si="38"/>
        <v>8.7922904502195856</v>
      </c>
      <c r="DG16" s="1">
        <f t="shared" si="38"/>
        <v>8.704367545717389</v>
      </c>
      <c r="DH16" s="1">
        <f t="shared" si="38"/>
        <v>8.6173238702602148</v>
      </c>
      <c r="DI16" s="1">
        <f t="shared" si="38"/>
        <v>8.5311506315576118</v>
      </c>
      <c r="DJ16" s="1">
        <f t="shared" si="38"/>
        <v>8.4458391252420348</v>
      </c>
      <c r="DK16" s="1">
        <f t="shared" si="38"/>
        <v>8.3613807339896145</v>
      </c>
      <c r="DL16" s="1">
        <f t="shared" si="38"/>
        <v>8.2777669266497185</v>
      </c>
      <c r="DM16" s="1">
        <f t="shared" si="38"/>
        <v>8.1949892573832219</v>
      </c>
      <c r="DN16" s="1">
        <f t="shared" ref="DN16:FF16" si="39">DM16*(1+$BC$24)</f>
        <v>8.1130393648093904</v>
      </c>
      <c r="DO16" s="1">
        <f t="shared" si="39"/>
        <v>8.0319089711612968</v>
      </c>
      <c r="DP16" s="1">
        <f t="shared" si="39"/>
        <v>7.9515898814496841</v>
      </c>
      <c r="DQ16" s="1">
        <f t="shared" si="39"/>
        <v>7.8720739826351869</v>
      </c>
      <c r="DR16" s="1">
        <f t="shared" si="39"/>
        <v>7.793353242808835</v>
      </c>
      <c r="DS16" s="1">
        <f t="shared" si="39"/>
        <v>7.7154197103807469</v>
      </c>
      <c r="DT16" s="1">
        <f t="shared" si="39"/>
        <v>7.6382655132769397</v>
      </c>
      <c r="DU16" s="1">
        <f t="shared" si="39"/>
        <v>7.5618828581441706</v>
      </c>
      <c r="DV16" s="1">
        <f t="shared" si="39"/>
        <v>7.4862640295627285</v>
      </c>
      <c r="DW16" s="1">
        <f t="shared" si="39"/>
        <v>7.4114013892671009</v>
      </c>
      <c r="DX16" s="1">
        <f t="shared" si="39"/>
        <v>7.3372873753744301</v>
      </c>
      <c r="DY16" s="1">
        <f t="shared" si="39"/>
        <v>7.2639145016206861</v>
      </c>
      <c r="DZ16" s="1">
        <f t="shared" si="39"/>
        <v>7.1912753566044794</v>
      </c>
      <c r="EA16" s="1">
        <f t="shared" si="39"/>
        <v>7.1193626030384349</v>
      </c>
      <c r="EB16" s="1">
        <f t="shared" si="39"/>
        <v>7.0481689770080509</v>
      </c>
      <c r="EC16" s="1">
        <f t="shared" si="39"/>
        <v>6.9776872872379707</v>
      </c>
      <c r="ED16" s="1">
        <f t="shared" si="39"/>
        <v>6.9079104143655909</v>
      </c>
      <c r="EE16" s="1">
        <f t="shared" si="39"/>
        <v>6.8388313102219351</v>
      </c>
      <c r="EF16" s="1">
        <f t="shared" si="39"/>
        <v>6.7704429971197158</v>
      </c>
      <c r="EG16" s="1">
        <f t="shared" si="39"/>
        <v>6.7027385671485185</v>
      </c>
      <c r="EH16" s="1">
        <f t="shared" si="39"/>
        <v>6.6357111814770331</v>
      </c>
      <c r="EI16" s="1">
        <f t="shared" si="39"/>
        <v>6.5693540696622623</v>
      </c>
      <c r="EJ16" s="1">
        <f t="shared" si="39"/>
        <v>6.5036605289656393</v>
      </c>
      <c r="EK16" s="1">
        <f t="shared" si="39"/>
        <v>6.4386239236759826</v>
      </c>
      <c r="EL16" s="1">
        <f t="shared" si="39"/>
        <v>6.3742376844392226</v>
      </c>
      <c r="EM16" s="1">
        <f t="shared" si="39"/>
        <v>6.31049530759483</v>
      </c>
      <c r="EN16" s="1">
        <f t="shared" si="39"/>
        <v>6.247390354518882</v>
      </c>
      <c r="EO16" s="1">
        <f t="shared" si="39"/>
        <v>6.1849164509736934</v>
      </c>
      <c r="EP16" s="1">
        <f t="shared" si="39"/>
        <v>6.1230672864639564</v>
      </c>
      <c r="EQ16" s="1">
        <f t="shared" si="39"/>
        <v>6.0618366135993167</v>
      </c>
      <c r="ER16" s="1">
        <f t="shared" si="39"/>
        <v>6.0012182474633233</v>
      </c>
      <c r="ES16" s="1">
        <f t="shared" si="39"/>
        <v>5.9412060649886902</v>
      </c>
      <c r="ET16" s="1">
        <f t="shared" si="39"/>
        <v>5.8817940043388033</v>
      </c>
      <c r="EU16" s="1">
        <f t="shared" si="39"/>
        <v>5.8229760642954149</v>
      </c>
      <c r="EV16" s="1">
        <f t="shared" si="39"/>
        <v>5.7647463036524611</v>
      </c>
      <c r="EW16" s="1">
        <f t="shared" si="39"/>
        <v>5.7070988406159362</v>
      </c>
      <c r="EX16" s="1">
        <f t="shared" si="39"/>
        <v>5.6500278522097771</v>
      </c>
      <c r="EY16" s="1">
        <f t="shared" si="39"/>
        <v>5.5935275736876795</v>
      </c>
      <c r="EZ16" s="1">
        <f t="shared" si="39"/>
        <v>5.5375922979508028</v>
      </c>
      <c r="FA16" s="1">
        <f t="shared" si="39"/>
        <v>5.4822163749712951</v>
      </c>
      <c r="FB16" s="1">
        <f t="shared" si="39"/>
        <v>5.4273942112215821</v>
      </c>
      <c r="FC16" s="1">
        <f t="shared" si="39"/>
        <v>5.373120269109366</v>
      </c>
      <c r="FD16" s="1">
        <f t="shared" si="39"/>
        <v>5.3193890664182719</v>
      </c>
      <c r="FE16" s="1">
        <f t="shared" si="39"/>
        <v>5.2661951757540892</v>
      </c>
      <c r="FF16" s="1">
        <f t="shared" si="39"/>
        <v>5.2135332239965484</v>
      </c>
    </row>
    <row r="17" spans="2:55" x14ac:dyDescent="0.3">
      <c r="B17" t="s">
        <v>2</v>
      </c>
      <c r="C17" s="4">
        <v>91.9</v>
      </c>
      <c r="D17" s="4">
        <v>91.9</v>
      </c>
      <c r="E17" s="4">
        <v>92.2</v>
      </c>
      <c r="G17" s="4">
        <v>91.9</v>
      </c>
      <c r="H17" s="4">
        <v>91.9</v>
      </c>
      <c r="I17" s="4">
        <v>92.2</v>
      </c>
      <c r="J17" s="4">
        <v>104.7</v>
      </c>
      <c r="K17" s="4">
        <v>104.7</v>
      </c>
      <c r="L17" s="4">
        <v>104.7</v>
      </c>
      <c r="M17" s="4">
        <v>104.7</v>
      </c>
      <c r="N17" s="4">
        <v>104.7</v>
      </c>
      <c r="O17" s="4">
        <v>104.7</v>
      </c>
      <c r="P17" s="4">
        <v>104.7</v>
      </c>
      <c r="Q17" s="4">
        <v>104.7</v>
      </c>
      <c r="R17" s="4">
        <v>104.7</v>
      </c>
      <c r="S17" s="4">
        <v>104.7</v>
      </c>
      <c r="T17" s="4">
        <v>104.7</v>
      </c>
      <c r="U17" s="4">
        <v>104.7</v>
      </c>
      <c r="V17" s="4">
        <v>104.7</v>
      </c>
      <c r="W17" s="4">
        <v>104.7</v>
      </c>
      <c r="X17" s="4">
        <f>104.9</f>
        <v>104.9</v>
      </c>
      <c r="Y17" s="4">
        <f>105.8</f>
        <v>105.8</v>
      </c>
      <c r="Z17" s="4">
        <f>105.8</f>
        <v>105.8</v>
      </c>
      <c r="AA17" s="4">
        <f>106.6</f>
        <v>106.6</v>
      </c>
      <c r="AB17" s="4">
        <f>106.6</f>
        <v>106.6</v>
      </c>
      <c r="AC17" s="4"/>
      <c r="AD17" s="4"/>
      <c r="AE17" s="4"/>
      <c r="AF17" s="4"/>
      <c r="AG17" s="4"/>
      <c r="AI17" s="4">
        <v>91.9</v>
      </c>
      <c r="AJ17" s="4">
        <v>91.9</v>
      </c>
      <c r="AK17" s="4">
        <v>91.9</v>
      </c>
      <c r="AL17" s="4">
        <v>92.2</v>
      </c>
      <c r="AM17" s="4">
        <v>92.2</v>
      </c>
      <c r="AN17" s="4">
        <v>92.2</v>
      </c>
      <c r="AO17" s="4">
        <f t="shared" ref="AO17" si="40">104.9</f>
        <v>104.9</v>
      </c>
      <c r="AP17" s="4">
        <f t="shared" ref="AP17:AZ17" si="41">106.6</f>
        <v>106.6</v>
      </c>
      <c r="AQ17" s="4">
        <f t="shared" si="41"/>
        <v>106.6</v>
      </c>
      <c r="AR17" s="4">
        <f t="shared" si="41"/>
        <v>106.6</v>
      </c>
      <c r="AS17" s="4">
        <f t="shared" si="41"/>
        <v>106.6</v>
      </c>
      <c r="AT17" s="4">
        <f t="shared" si="41"/>
        <v>106.6</v>
      </c>
      <c r="AU17" s="4">
        <f t="shared" si="41"/>
        <v>106.6</v>
      </c>
      <c r="AV17" s="4">
        <f t="shared" si="41"/>
        <v>106.6</v>
      </c>
      <c r="AW17" s="4">
        <f t="shared" si="41"/>
        <v>106.6</v>
      </c>
      <c r="AX17" s="4">
        <f t="shared" si="41"/>
        <v>106.6</v>
      </c>
      <c r="AY17" s="4">
        <f t="shared" si="41"/>
        <v>106.6</v>
      </c>
      <c r="AZ17" s="4">
        <f t="shared" si="41"/>
        <v>106.6</v>
      </c>
    </row>
    <row r="18" spans="2:55" s="1" customFormat="1" x14ac:dyDescent="0.3">
      <c r="B18" s="1" t="s">
        <v>32</v>
      </c>
      <c r="C18" s="7">
        <f>C16/C17</f>
        <v>1.7410228509249035E-2</v>
      </c>
      <c r="D18" s="7">
        <f>D16/D17</f>
        <v>6.6376496191512521E-2</v>
      </c>
      <c r="E18" s="7">
        <f t="shared" ref="E18" si="42">E16/E17</f>
        <v>1.1930585683297084E-2</v>
      </c>
      <c r="G18" s="7">
        <f>G16/G17</f>
        <v>0.39499455930359129</v>
      </c>
      <c r="H18" s="7">
        <f>H16/H17</f>
        <v>0.46789989118607134</v>
      </c>
      <c r="I18" s="7">
        <f t="shared" ref="I18" si="43">I16/I17</f>
        <v>0.50650759219088881</v>
      </c>
      <c r="J18" s="7">
        <f t="shared" ref="J18:Q18" si="44">J16/J17</f>
        <v>0.26361031518624595</v>
      </c>
      <c r="K18" s="7">
        <f t="shared" si="44"/>
        <v>1.6236867239732732E-2</v>
      </c>
      <c r="L18" s="7">
        <f t="shared" si="44"/>
        <v>0.23686723973256935</v>
      </c>
      <c r="M18" s="7">
        <f t="shared" si="44"/>
        <v>-4.8710601719197548E-2</v>
      </c>
      <c r="N18" s="7">
        <f t="shared" si="44"/>
        <v>-0.56733524355300891</v>
      </c>
      <c r="O18" s="7">
        <f t="shared" si="44"/>
        <v>-8.4049665711556684E-2</v>
      </c>
      <c r="P18" s="7">
        <f t="shared" si="44"/>
        <v>0.11938872970391605</v>
      </c>
      <c r="Q18" s="7">
        <f t="shared" si="44"/>
        <v>-9.5510983763134969E-3</v>
      </c>
      <c r="R18" s="7">
        <f t="shared" ref="R18" si="45">R16/R17</f>
        <v>1.0506208213944438E-2</v>
      </c>
      <c r="S18" s="7">
        <f>S16/S17</f>
        <v>-2.9608404966571383E-2</v>
      </c>
      <c r="T18" s="7">
        <f>T16/T17</f>
        <v>5.8261700095510911E-2</v>
      </c>
      <c r="U18" s="7">
        <f>U16/U17</f>
        <v>-0.11843361986628449</v>
      </c>
      <c r="V18" s="7">
        <f t="shared" ref="V18" si="46">V16/V17</f>
        <v>-0.28175740210124145</v>
      </c>
      <c r="W18" s="7">
        <f>W16/W17</f>
        <v>-0.55682903533906403</v>
      </c>
      <c r="X18" s="7">
        <f>X16/X17</f>
        <v>2.0972354623451362E-2</v>
      </c>
      <c r="Y18" s="7">
        <f t="shared" ref="Y18:AB18" si="47">Y16/Y17</f>
        <v>-9.829867674858192E-2</v>
      </c>
      <c r="Z18" s="7">
        <f t="shared" si="47"/>
        <v>-0.19754253308128514</v>
      </c>
      <c r="AA18" s="7">
        <f t="shared" si="47"/>
        <v>-9.9437148217635787E-2</v>
      </c>
      <c r="AB18" s="7">
        <f t="shared" si="47"/>
        <v>0.24296435272044989</v>
      </c>
      <c r="AC18" s="7"/>
      <c r="AD18" s="7"/>
      <c r="AE18" s="7"/>
      <c r="AF18" s="7"/>
      <c r="AG18" s="7"/>
      <c r="AI18" s="7">
        <f>AI16/AI17</f>
        <v>-0.14907508161044572</v>
      </c>
      <c r="AJ18" s="7">
        <f>AJ16/AJ17</f>
        <v>-9.0315560391729388E-2</v>
      </c>
      <c r="AK18" s="7">
        <f>AK16/AK17</f>
        <v>1.1240478781284005</v>
      </c>
      <c r="AL18" s="7">
        <f>AL16/AL17</f>
        <v>1.093275488069414</v>
      </c>
      <c r="AM18" s="7">
        <f t="shared" ref="AM18:AV18" si="48">AM16/AM17</f>
        <v>-0.65943600867679131</v>
      </c>
      <c r="AN18" s="7">
        <f t="shared" si="48"/>
        <v>3.3622559652927764E-2</v>
      </c>
      <c r="AO18" s="7">
        <f t="shared" si="48"/>
        <v>-0.93422306959008428</v>
      </c>
      <c r="AP18" s="7">
        <f t="shared" si="48"/>
        <v>-0.15009380863039437</v>
      </c>
      <c r="AQ18" s="7">
        <f t="shared" si="48"/>
        <v>-0.45158518198874298</v>
      </c>
      <c r="AR18" s="7">
        <f t="shared" si="48"/>
        <v>-0.2879966093808633</v>
      </c>
      <c r="AS18" s="7">
        <f t="shared" si="48"/>
        <v>-0.10756172363977483</v>
      </c>
      <c r="AT18" s="7">
        <f t="shared" si="48"/>
        <v>-7.0022527292870548E-2</v>
      </c>
      <c r="AU18" s="7">
        <f t="shared" si="48"/>
        <v>-3.6328345339694E-2</v>
      </c>
      <c r="AV18" s="7">
        <f t="shared" si="48"/>
        <v>-1.6254115164210429E-3</v>
      </c>
      <c r="AW18" s="7">
        <f t="shared" ref="AW18:AZ18" si="49">AW16/AW17</f>
        <v>3.4109315553841585E-2</v>
      </c>
      <c r="AX18" s="7">
        <f t="shared" si="49"/>
        <v>7.0899352268635238E-2</v>
      </c>
      <c r="AY18" s="7">
        <f t="shared" si="49"/>
        <v>0.10876869925438716</v>
      </c>
      <c r="AZ18" s="7">
        <f t="shared" si="49"/>
        <v>0.14774185074285986</v>
      </c>
    </row>
    <row r="20" spans="2:55" x14ac:dyDescent="0.3">
      <c r="B20" t="s">
        <v>90</v>
      </c>
      <c r="X20" s="9">
        <f t="shared" ref="X20:AB22" si="50">X3/T3-1</f>
        <v>0.23976608187134496</v>
      </c>
      <c r="Y20" s="9">
        <f t="shared" si="50"/>
        <v>4.6728971962616717E-2</v>
      </c>
      <c r="Z20" s="9">
        <f t="shared" si="50"/>
        <v>8.9171974522292974E-2</v>
      </c>
      <c r="AA20" s="9">
        <f t="shared" si="50"/>
        <v>0.1049019607843138</v>
      </c>
      <c r="AB20" s="9">
        <f t="shared" si="50"/>
        <v>-2.77122641509433E-2</v>
      </c>
      <c r="AC20" s="9">
        <f t="shared" ref="AC20:AC22" si="51">AC3/Y3-1</f>
        <v>-1</v>
      </c>
      <c r="AD20" s="9">
        <f t="shared" ref="AD20:AD22" si="52">AD3/Z3-1</f>
        <v>-1</v>
      </c>
      <c r="AE20" s="9">
        <f t="shared" ref="AE20:AE22" si="53">AE3/AA3-1</f>
        <v>-1</v>
      </c>
      <c r="AF20" s="9">
        <f t="shared" ref="AF20:AF22" si="54">AF3/AB3-1</f>
        <v>-1</v>
      </c>
      <c r="AP20" s="9">
        <f t="shared" ref="AK20:AV22" si="55">AP3/AO3-1</f>
        <v>4.1032148900169485E-2</v>
      </c>
    </row>
    <row r="21" spans="2:55" x14ac:dyDescent="0.3">
      <c r="B21" t="s">
        <v>91</v>
      </c>
      <c r="X21" s="9">
        <f t="shared" si="50"/>
        <v>-0.12976827094474153</v>
      </c>
      <c r="Y21" s="9">
        <f t="shared" si="50"/>
        <v>0.11940946591402524</v>
      </c>
      <c r="Z21" s="9">
        <f t="shared" si="50"/>
        <v>0.30161579892280077</v>
      </c>
      <c r="AA21" s="9">
        <f t="shared" si="50"/>
        <v>0.15281899109792296</v>
      </c>
      <c r="AB21" s="9">
        <f t="shared" si="50"/>
        <v>0.11429741909053659</v>
      </c>
      <c r="AC21" s="9">
        <f t="shared" si="51"/>
        <v>-1</v>
      </c>
      <c r="AD21" s="9">
        <f t="shared" si="52"/>
        <v>-1</v>
      </c>
      <c r="AE21" s="9">
        <f t="shared" si="53"/>
        <v>-1</v>
      </c>
      <c r="AF21" s="9">
        <f t="shared" si="54"/>
        <v>-1</v>
      </c>
      <c r="AP21" s="9">
        <f t="shared" si="55"/>
        <v>0.16202441626170438</v>
      </c>
    </row>
    <row r="22" spans="2:55" x14ac:dyDescent="0.3">
      <c r="B22" s="1" t="s">
        <v>33</v>
      </c>
      <c r="C22" s="9"/>
      <c r="D22" s="9"/>
      <c r="G22" s="9">
        <f>G5/C5-1</f>
        <v>0.60724331926863595</v>
      </c>
      <c r="H22" s="9">
        <f>H5/D5-1</f>
        <v>0.70330679730557222</v>
      </c>
      <c r="I22" s="9">
        <f>I5/E5-1</f>
        <v>0.71604538087520253</v>
      </c>
      <c r="J22" s="9"/>
      <c r="K22" s="9">
        <f t="shared" ref="K22:L22" si="56">K5/G5-1</f>
        <v>-0.14438853642528982</v>
      </c>
      <c r="L22" s="9">
        <f t="shared" si="56"/>
        <v>-8.2149919108394642E-2</v>
      </c>
      <c r="M22" s="9">
        <f t="shared" ref="M22" si="57">M5/I5-1</f>
        <v>-0.28088401964488097</v>
      </c>
      <c r="N22" s="9">
        <f t="shared" ref="N22" si="58">N5/J5-1</f>
        <v>-0.39966166208500742</v>
      </c>
      <c r="O22" s="9">
        <f t="shared" ref="O22" si="59">O5/K5-1</f>
        <v>-0.20276144208642288</v>
      </c>
      <c r="P22" s="9">
        <f t="shared" ref="P22" si="60">P5/L5-1</f>
        <v>-0.21915393654524096</v>
      </c>
      <c r="Q22" s="9">
        <f t="shared" ref="Q22" si="61">Q5/M5-1</f>
        <v>-7.0133963750985018E-2</v>
      </c>
      <c r="R22" s="9">
        <f t="shared" ref="R22" si="62">R5/N5-1</f>
        <v>0.1461782317717506</v>
      </c>
      <c r="S22" s="9">
        <f t="shared" ref="S22" si="63">S5/O5-1</f>
        <v>0.16484926234765873</v>
      </c>
      <c r="T22" s="9">
        <f t="shared" ref="T22" si="64">T5/P5-1</f>
        <v>4.6651617757712538E-2</v>
      </c>
      <c r="U22" s="9">
        <f t="shared" ref="U22" si="65">U5/Q5-1</f>
        <v>-4.7175141242937868E-2</v>
      </c>
      <c r="V22" s="9">
        <f t="shared" ref="V22" si="66">V5/R5-1</f>
        <v>-0.19698832206515049</v>
      </c>
      <c r="W22" s="9">
        <f t="shared" ref="W22" si="67">W5/S5-1</f>
        <v>-0.1624449339207048</v>
      </c>
      <c r="X22" s="9">
        <f t="shared" ref="X22" si="68">X5/T5-1</f>
        <v>-8.8665228852145006E-3</v>
      </c>
      <c r="Y22" s="9">
        <f t="shared" ref="Y22" si="69">Y5/U5-1</f>
        <v>9.6353394604209885E-2</v>
      </c>
      <c r="Z22" s="9">
        <f t="shared" ref="Z22" si="70">Z5/V5-1</f>
        <v>0.22502870264064301</v>
      </c>
      <c r="AA22" s="9">
        <f t="shared" si="50"/>
        <v>0.13675213675213693</v>
      </c>
      <c r="AB22" s="9">
        <f t="shared" ref="AB22" si="71">AB5/X5-1</f>
        <v>5.6334622823984493E-2</v>
      </c>
      <c r="AC22" s="9">
        <f t="shared" si="51"/>
        <v>-1</v>
      </c>
      <c r="AD22" s="9">
        <f t="shared" si="52"/>
        <v>-1</v>
      </c>
      <c r="AE22" s="9">
        <f t="shared" si="53"/>
        <v>-1</v>
      </c>
      <c r="AF22" s="9">
        <f t="shared" si="54"/>
        <v>-1</v>
      </c>
      <c r="AG22" s="9"/>
      <c r="AI22" s="9"/>
      <c r="AJ22" s="9">
        <f>AJ5/AI5-1</f>
        <v>0.17022184300341303</v>
      </c>
      <c r="AK22" s="9">
        <f t="shared" si="55"/>
        <v>0.55158585490339052</v>
      </c>
      <c r="AL22" s="9">
        <f t="shared" si="55"/>
        <v>0.11842105263157898</v>
      </c>
      <c r="AM22" s="9">
        <f t="shared" si="55"/>
        <v>-0.27778361344537816</v>
      </c>
      <c r="AN22" s="9">
        <f t="shared" si="55"/>
        <v>6.1668242309650179E-2</v>
      </c>
      <c r="AO22" s="9">
        <f t="shared" si="55"/>
        <v>-9.8294403726282509E-2</v>
      </c>
      <c r="AP22" s="9">
        <f t="shared" si="55"/>
        <v>0.11865694317836506</v>
      </c>
      <c r="AQ22" s="9">
        <f t="shared" si="55"/>
        <v>-4.6467472497623175E-2</v>
      </c>
      <c r="AR22" s="9">
        <f t="shared" si="55"/>
        <v>5.0000000000000044E-2</v>
      </c>
      <c r="AS22" s="9">
        <f t="shared" si="55"/>
        <v>4.0000000000000036E-2</v>
      </c>
      <c r="AT22" s="9">
        <f t="shared" si="55"/>
        <v>3.0000000000000027E-2</v>
      </c>
      <c r="AU22" s="9">
        <f t="shared" si="55"/>
        <v>2.0000000000000018E-2</v>
      </c>
      <c r="AV22" s="9">
        <f t="shared" si="55"/>
        <v>2.0000000000000018E-2</v>
      </c>
      <c r="AW22" s="9">
        <f t="shared" ref="AW22" si="72">AW5/AV5-1</f>
        <v>2.0000000000000018E-2</v>
      </c>
      <c r="AX22" s="9">
        <f t="shared" ref="AX22" si="73">AX5/AW5-1</f>
        <v>2.0000000000000018E-2</v>
      </c>
      <c r="AY22" s="9">
        <f t="shared" ref="AY22" si="74">AY5/AX5-1</f>
        <v>2.0000000000000018E-2</v>
      </c>
      <c r="AZ22" s="9">
        <f t="shared" ref="AZ22" si="75">AZ5/AY5-1</f>
        <v>2.0000000000000018E-2</v>
      </c>
    </row>
    <row r="23" spans="2:55" x14ac:dyDescent="0.3">
      <c r="B23" s="1" t="s">
        <v>34</v>
      </c>
      <c r="C23" s="9">
        <f>C7/C5</f>
        <v>0.21202531645569617</v>
      </c>
      <c r="D23" s="9">
        <f>D7/D5</f>
        <v>0.21586037966932026</v>
      </c>
      <c r="E23" s="9">
        <f t="shared" ref="E23" si="76">E7/E5</f>
        <v>0.25478119935170174</v>
      </c>
      <c r="F23" s="9"/>
      <c r="G23" s="9">
        <f>G7/G5</f>
        <v>0.27980748195143301</v>
      </c>
      <c r="H23" s="9">
        <f>H7/H5</f>
        <v>0.27646953082868947</v>
      </c>
      <c r="I23" s="9">
        <f t="shared" ref="I23:L23" si="77">I7/I5</f>
        <v>0.30279561768039281</v>
      </c>
      <c r="J23" s="9">
        <f t="shared" si="77"/>
        <v>0.27553393952209759</v>
      </c>
      <c r="K23" s="9">
        <f t="shared" si="77"/>
        <v>0.25901304014318588</v>
      </c>
      <c r="L23" s="9">
        <f t="shared" si="77"/>
        <v>0.23854289071680376</v>
      </c>
      <c r="M23" s="9">
        <f t="shared" ref="M23:X23" si="78">M7/M5</f>
        <v>0.238508011557657</v>
      </c>
      <c r="N23" s="9">
        <f t="shared" si="78"/>
        <v>0.12856639661852756</v>
      </c>
      <c r="O23" s="9">
        <f t="shared" si="78"/>
        <v>0.22963438101347025</v>
      </c>
      <c r="P23" s="9">
        <f t="shared" si="78"/>
        <v>0.24529721595184353</v>
      </c>
      <c r="Q23" s="9">
        <f t="shared" si="78"/>
        <v>0.24124293785310727</v>
      </c>
      <c r="R23" s="9">
        <f t="shared" si="78"/>
        <v>0.25445605408727717</v>
      </c>
      <c r="S23" s="9">
        <f t="shared" si="78"/>
        <v>0.24614537444933915</v>
      </c>
      <c r="T23" s="9">
        <f t="shared" si="78"/>
        <v>0.24610591900311524</v>
      </c>
      <c r="U23" s="9">
        <f t="shared" si="78"/>
        <v>0.25704120960569232</v>
      </c>
      <c r="V23" s="9">
        <f t="shared" si="78"/>
        <v>0.24148488327592812</v>
      </c>
      <c r="W23" s="9">
        <f t="shared" si="78"/>
        <v>0.2291255752794214</v>
      </c>
      <c r="X23" s="9">
        <f t="shared" si="78"/>
        <v>0.2616054158607351</v>
      </c>
      <c r="Y23" s="9">
        <f t="shared" ref="Y23:AB23" si="79">Y7/Y5</f>
        <v>0.27690643591130348</v>
      </c>
      <c r="Z23" s="9">
        <f t="shared" si="79"/>
        <v>0.26835363948766017</v>
      </c>
      <c r="AA23" s="9">
        <f t="shared" si="79"/>
        <v>0.26923076923076927</v>
      </c>
      <c r="AB23" s="9">
        <f t="shared" si="79"/>
        <v>0.33096818493934532</v>
      </c>
      <c r="AC23" s="9" t="e">
        <f t="shared" ref="AC23:AF23" si="80">AC7/AC5</f>
        <v>#DIV/0!</v>
      </c>
      <c r="AD23" s="9" t="e">
        <f t="shared" si="80"/>
        <v>#DIV/0!</v>
      </c>
      <c r="AE23" s="9" t="e">
        <f t="shared" si="80"/>
        <v>#DIV/0!</v>
      </c>
      <c r="AF23" s="9" t="e">
        <f t="shared" si="80"/>
        <v>#DIV/0!</v>
      </c>
      <c r="AG23" s="9"/>
      <c r="AI23" s="9">
        <f t="shared" ref="AI23:AV23" si="81">AI7/AI5</f>
        <v>0.20552474402730381</v>
      </c>
      <c r="AJ23" s="9">
        <f t="shared" si="81"/>
        <v>0.20442945679912511</v>
      </c>
      <c r="AK23" s="9">
        <f t="shared" si="81"/>
        <v>0.2734375</v>
      </c>
      <c r="AL23" s="9">
        <f t="shared" si="81"/>
        <v>0.26980042016806727</v>
      </c>
      <c r="AM23" s="9">
        <f t="shared" si="81"/>
        <v>0.21576612609991988</v>
      </c>
      <c r="AN23" s="9">
        <f t="shared" si="81"/>
        <v>0.24679772587163504</v>
      </c>
      <c r="AO23" s="9">
        <f t="shared" si="81"/>
        <v>0.24893649346703139</v>
      </c>
      <c r="AP23" s="9">
        <f t="shared" si="81"/>
        <v>0.28928425913350536</v>
      </c>
      <c r="AQ23" s="9">
        <f t="shared" si="81"/>
        <v>0.28000000000000003</v>
      </c>
      <c r="AR23" s="9">
        <f t="shared" si="81"/>
        <v>0.28999999999999998</v>
      </c>
      <c r="AS23" s="9">
        <f t="shared" si="81"/>
        <v>0.3</v>
      </c>
      <c r="AT23" s="9">
        <f t="shared" si="81"/>
        <v>0.3</v>
      </c>
      <c r="AU23" s="9">
        <f t="shared" si="81"/>
        <v>0.3</v>
      </c>
      <c r="AV23" s="9">
        <f t="shared" si="81"/>
        <v>0.3</v>
      </c>
      <c r="AW23" s="9">
        <f t="shared" ref="AW23:AZ23" si="82">AW7/AW5</f>
        <v>0.3</v>
      </c>
      <c r="AX23" s="9">
        <f t="shared" si="82"/>
        <v>0.29999999999999993</v>
      </c>
      <c r="AY23" s="9">
        <f t="shared" si="82"/>
        <v>0.3</v>
      </c>
      <c r="AZ23" s="9">
        <f t="shared" si="82"/>
        <v>0.3</v>
      </c>
    </row>
    <row r="24" spans="2:55" x14ac:dyDescent="0.3">
      <c r="B24" t="s">
        <v>35</v>
      </c>
      <c r="C24" s="9">
        <f>C10/C5</f>
        <v>3.8677918424753821E-2</v>
      </c>
      <c r="D24" s="9">
        <f>D10/D5</f>
        <v>4.378444580526638E-2</v>
      </c>
      <c r="E24" s="9">
        <f t="shared" ref="E24" si="83">E10/E5</f>
        <v>4.3111831442463507E-2</v>
      </c>
      <c r="F24" s="9"/>
      <c r="G24" s="9">
        <f>G10/G5</f>
        <v>0.10872894333843806</v>
      </c>
      <c r="H24" s="9">
        <f>H10/H5</f>
        <v>0.10587812331475817</v>
      </c>
      <c r="I24" s="9">
        <f t="shared" ref="I24:L24" si="84">I10/I5</f>
        <v>0.12693615413675849</v>
      </c>
      <c r="J24" s="9">
        <f t="shared" si="84"/>
        <v>7.3165574117149398E-2</v>
      </c>
      <c r="K24" s="9">
        <f t="shared" si="84"/>
        <v>2.7358731782152944E-2</v>
      </c>
      <c r="L24" s="9">
        <f t="shared" si="84"/>
        <v>4.9353701527614591E-2</v>
      </c>
      <c r="M24" s="9">
        <f t="shared" ref="M24:X24" si="85">M10/M5</f>
        <v>-6.3041765169424332E-3</v>
      </c>
      <c r="N24" s="9">
        <f t="shared" si="85"/>
        <v>-0.1933779499823883</v>
      </c>
      <c r="O24" s="9">
        <f t="shared" si="85"/>
        <v>-3.4958306606799175E-2</v>
      </c>
      <c r="P24" s="9">
        <f t="shared" si="85"/>
        <v>3.4110860295961908E-2</v>
      </c>
      <c r="Q24" s="9">
        <f t="shared" si="85"/>
        <v>3.1073446327682954E-3</v>
      </c>
      <c r="R24" s="9">
        <f t="shared" si="85"/>
        <v>-8.6047940995698114E-3</v>
      </c>
      <c r="S24" s="9">
        <f t="shared" si="85"/>
        <v>-1.9273127753304631E-3</v>
      </c>
      <c r="T24" s="9">
        <f t="shared" si="85"/>
        <v>2.9235561945842301E-2</v>
      </c>
      <c r="U24" s="9">
        <f t="shared" si="85"/>
        <v>-2.9943670323154422E-2</v>
      </c>
      <c r="V24" s="9">
        <f t="shared" si="85"/>
        <v>-9.4527363184079533E-2</v>
      </c>
      <c r="W24" s="9">
        <f t="shared" si="85"/>
        <v>-6.870479947403027E-2</v>
      </c>
      <c r="X24" s="9">
        <f t="shared" si="85"/>
        <v>1.4264990328820231E-2</v>
      </c>
      <c r="Y24" s="9">
        <f t="shared" ref="Y24:AB24" si="86">Y10/Y5</f>
        <v>-5.9491617090318208E-3</v>
      </c>
      <c r="Z24" s="9">
        <f t="shared" si="86"/>
        <v>-5.2796001249609377E-2</v>
      </c>
      <c r="AA24" s="9">
        <f t="shared" si="86"/>
        <v>-1.6194331983805599E-2</v>
      </c>
      <c r="AB24" s="9">
        <f t="shared" si="86"/>
        <v>6.1570153353169975E-2</v>
      </c>
      <c r="AC24" s="9" t="e">
        <f t="shared" ref="AC24:AF24" si="87">AC10/AC5</f>
        <v>#DIV/0!</v>
      </c>
      <c r="AD24" s="9" t="e">
        <f t="shared" si="87"/>
        <v>#DIV/0!</v>
      </c>
      <c r="AE24" s="9" t="e">
        <f t="shared" si="87"/>
        <v>#DIV/0!</v>
      </c>
      <c r="AF24" s="9" t="e">
        <f t="shared" si="87"/>
        <v>#DIV/0!</v>
      </c>
      <c r="AG24" s="9"/>
      <c r="AI24" s="9">
        <f t="shared" ref="AI24:AV24" si="88">AI10/AI5</f>
        <v>2.325085324232086E-2</v>
      </c>
      <c r="AJ24" s="9">
        <f t="shared" si="88"/>
        <v>2.1691578563616538E-2</v>
      </c>
      <c r="AK24" s="9">
        <f t="shared" si="88"/>
        <v>9.3045112781954889E-2</v>
      </c>
      <c r="AL24" s="9">
        <f t="shared" si="88"/>
        <v>7.2321428571428564E-2</v>
      </c>
      <c r="AM24" s="9">
        <f t="shared" si="88"/>
        <v>-3.9706203185223013E-2</v>
      </c>
      <c r="AN24" s="9">
        <f t="shared" si="88"/>
        <v>6.7127885471607238E-3</v>
      </c>
      <c r="AO24" s="9">
        <f t="shared" si="88"/>
        <v>-3.7830446672743726E-2</v>
      </c>
      <c r="AP24" s="9">
        <f t="shared" si="88"/>
        <v>1.4939562678255877E-3</v>
      </c>
      <c r="AQ24" s="9">
        <f t="shared" si="88"/>
        <v>-3.5429306381269531E-2</v>
      </c>
      <c r="AR24" s="9">
        <f t="shared" si="88"/>
        <v>-1.8943084302655653E-2</v>
      </c>
      <c r="AS24" s="9">
        <f t="shared" si="88"/>
        <v>-2.5330194982844337E-3</v>
      </c>
      <c r="AT24" s="9">
        <f t="shared" si="88"/>
        <v>8.6394201252588954E-4</v>
      </c>
      <c r="AU24" s="9">
        <f t="shared" si="88"/>
        <v>3.7966484633834936E-3</v>
      </c>
      <c r="AV24" s="9">
        <f t="shared" si="88"/>
        <v>6.7006028902130838E-3</v>
      </c>
      <c r="AW24" s="9">
        <f t="shared" ref="AW24:AZ24" si="89">AW10/AW5</f>
        <v>9.5760871756031488E-3</v>
      </c>
      <c r="AX24" s="9">
        <f t="shared" si="89"/>
        <v>1.2423380438587381E-2</v>
      </c>
      <c r="AY24" s="9">
        <f t="shared" si="89"/>
        <v>1.5242759061738517E-2</v>
      </c>
      <c r="AZ24" s="9">
        <f t="shared" si="89"/>
        <v>1.8034496717995951E-2</v>
      </c>
      <c r="BB24" t="s">
        <v>38</v>
      </c>
      <c r="BC24" s="9">
        <v>-0.01</v>
      </c>
    </row>
    <row r="25" spans="2:55" x14ac:dyDescent="0.3">
      <c r="B25" t="s">
        <v>36</v>
      </c>
      <c r="C25" s="9"/>
      <c r="D25" s="9"/>
      <c r="E25" s="9"/>
      <c r="F25" s="9"/>
      <c r="G25" s="9">
        <f t="shared" ref="G25:I26" si="90">G8/C8-1</f>
        <v>0.64070351758793964</v>
      </c>
      <c r="H25" s="9">
        <f t="shared" si="90"/>
        <v>0.72553191489361679</v>
      </c>
      <c r="I25" s="9">
        <f t="shared" si="90"/>
        <v>0.45065176908752336</v>
      </c>
      <c r="J25" s="9"/>
      <c r="K25" s="9">
        <f>K8/G8-1</f>
        <v>0.16539050535987743</v>
      </c>
      <c r="L25" s="9">
        <f>L8/H8-1</f>
        <v>4.9321824907522238E-3</v>
      </c>
      <c r="M25" s="9">
        <f t="shared" ref="M25:X25" si="91">M8/I8-1</f>
        <v>-2.31065468549424E-2</v>
      </c>
      <c r="N25" s="9">
        <f t="shared" si="91"/>
        <v>-8.478802992518697E-2</v>
      </c>
      <c r="O25" s="9">
        <f t="shared" si="91"/>
        <v>-0.12089356110381067</v>
      </c>
      <c r="P25" s="9">
        <f t="shared" si="91"/>
        <v>-0.1595092024539877</v>
      </c>
      <c r="Q25" s="9">
        <f t="shared" si="91"/>
        <v>-0.1130091984231274</v>
      </c>
      <c r="R25" s="9">
        <f t="shared" si="91"/>
        <v>-4.6321525885558712E-2</v>
      </c>
      <c r="S25" s="9">
        <f t="shared" si="91"/>
        <v>0.10612855007473843</v>
      </c>
      <c r="T25" s="9">
        <f t="shared" si="91"/>
        <v>7.7372262773722555E-2</v>
      </c>
      <c r="U25" s="9">
        <f t="shared" si="91"/>
        <v>0.18814814814814818</v>
      </c>
      <c r="V25" s="9">
        <f t="shared" si="91"/>
        <v>5.7142857142857828E-3</v>
      </c>
      <c r="W25" s="9">
        <f t="shared" si="91"/>
        <v>1.3513513513512265E-3</v>
      </c>
      <c r="X25" s="9">
        <f t="shared" si="91"/>
        <v>0.15582655826558267</v>
      </c>
      <c r="Y25" s="9">
        <f t="shared" ref="Y25:AB26" si="92">Y8/U8-1</f>
        <v>8.4788029925187081E-2</v>
      </c>
      <c r="Z25" s="9">
        <f t="shared" si="92"/>
        <v>0.21164772727272707</v>
      </c>
      <c r="AA25" s="9">
        <f t="shared" si="92"/>
        <v>0.10661268556005399</v>
      </c>
      <c r="AB25" s="9">
        <f t="shared" si="92"/>
        <v>0.17702227432590867</v>
      </c>
      <c r="AC25" s="9">
        <f t="shared" ref="AC25:AC26" si="93">AC8/Y8-1</f>
        <v>-1</v>
      </c>
      <c r="AD25" s="9">
        <f t="shared" ref="AD25:AD26" si="94">AD8/Z8-1</f>
        <v>-1</v>
      </c>
      <c r="AE25" s="9">
        <f t="shared" ref="AE25:AE26" si="95">AE8/AA8-1</f>
        <v>-1</v>
      </c>
      <c r="AF25" s="9">
        <f t="shared" ref="AF25:AF26" si="96">AF8/AB8-1</f>
        <v>-1</v>
      </c>
      <c r="AG25" s="9"/>
      <c r="AI25" s="9"/>
      <c r="AJ25" s="9">
        <f t="shared" ref="AJ25:AV25" si="97">AJ8/AI8-1</f>
        <v>0.17350611951043904</v>
      </c>
      <c r="AK25" s="9">
        <f t="shared" si="97"/>
        <v>0.57668711656441718</v>
      </c>
      <c r="AL25" s="9">
        <f t="shared" si="97"/>
        <v>0.22840466926070047</v>
      </c>
      <c r="AM25" s="9">
        <f t="shared" si="97"/>
        <v>-9.7560975609756295E-2</v>
      </c>
      <c r="AN25" s="9">
        <f t="shared" si="97"/>
        <v>1.4040014040015425E-3</v>
      </c>
      <c r="AO25" s="9">
        <f t="shared" si="97"/>
        <v>8.6575534525061393E-2</v>
      </c>
      <c r="AP25" s="9">
        <f t="shared" si="97"/>
        <v>0.14419354838709686</v>
      </c>
      <c r="AQ25" s="9">
        <f t="shared" si="97"/>
        <v>5.0000000000000044E-2</v>
      </c>
      <c r="AR25" s="9">
        <f t="shared" si="97"/>
        <v>3.0000000000000027E-2</v>
      </c>
      <c r="AS25" s="9">
        <f t="shared" si="97"/>
        <v>2.0000000000000018E-2</v>
      </c>
      <c r="AT25" s="9">
        <f t="shared" si="97"/>
        <v>2.0000000000000018E-2</v>
      </c>
      <c r="AU25" s="9">
        <f t="shared" si="97"/>
        <v>1.0000000000000009E-2</v>
      </c>
      <c r="AV25" s="9">
        <f t="shared" si="97"/>
        <v>1.0000000000000009E-2</v>
      </c>
      <c r="AW25" s="9">
        <f t="shared" ref="AW25:AZ26" si="98">AW8/AV8-1</f>
        <v>1.0000000000000009E-2</v>
      </c>
      <c r="AX25" s="9">
        <f t="shared" si="98"/>
        <v>1.0000000000000009E-2</v>
      </c>
      <c r="AY25" s="9">
        <f t="shared" si="98"/>
        <v>1.0000000000000009E-2</v>
      </c>
      <c r="AZ25" s="9">
        <f t="shared" si="98"/>
        <v>1.0000000000000009E-2</v>
      </c>
      <c r="BB25" t="s">
        <v>39</v>
      </c>
      <c r="BC25" s="9">
        <v>0.11</v>
      </c>
    </row>
    <row r="26" spans="2:55" x14ac:dyDescent="0.3">
      <c r="B26" t="s">
        <v>37</v>
      </c>
      <c r="C26" s="9"/>
      <c r="D26" s="9"/>
      <c r="E26" s="9"/>
      <c r="F26" s="9"/>
      <c r="G26" s="9">
        <f t="shared" si="90"/>
        <v>0.35789473684210527</v>
      </c>
      <c r="H26" s="9">
        <f t="shared" si="90"/>
        <v>0.50000000000000022</v>
      </c>
      <c r="I26" s="9">
        <f t="shared" si="90"/>
        <v>0.31034482758620685</v>
      </c>
      <c r="J26" s="9"/>
      <c r="K26" s="9">
        <f>K9/G9-1</f>
        <v>0.12403100775193798</v>
      </c>
      <c r="L26" s="9">
        <f>L9/H9-1</f>
        <v>9.4202898550724612E-2</v>
      </c>
      <c r="M26" s="9">
        <f t="shared" ref="M26:X26" si="99">M9/I9-1</f>
        <v>0.12500000000000022</v>
      </c>
      <c r="N26" s="9">
        <f t="shared" si="99"/>
        <v>0.16129032258064524</v>
      </c>
      <c r="O26" s="9">
        <f t="shared" si="99"/>
        <v>7.5862068965517171E-2</v>
      </c>
      <c r="P26" s="9">
        <f t="shared" si="99"/>
        <v>3.9735099337748325E-2</v>
      </c>
      <c r="Q26" s="9">
        <f t="shared" si="99"/>
        <v>-1.7543859649122862E-2</v>
      </c>
      <c r="R26" s="9">
        <f t="shared" si="99"/>
        <v>-0.1333333333333333</v>
      </c>
      <c r="S26" s="9">
        <f t="shared" si="99"/>
        <v>3.2051282051282159E-2</v>
      </c>
      <c r="T26" s="9">
        <f t="shared" si="99"/>
        <v>6.3694267515923553E-2</v>
      </c>
      <c r="U26" s="9">
        <f t="shared" si="99"/>
        <v>-1.1904761904761862E-2</v>
      </c>
      <c r="V26" s="9">
        <f t="shared" si="99"/>
        <v>0.11538461538461542</v>
      </c>
      <c r="W26" s="9">
        <f t="shared" si="99"/>
        <v>2.4844720496894235E-2</v>
      </c>
      <c r="X26" s="9">
        <f t="shared" si="99"/>
        <v>1.7964071856287456E-2</v>
      </c>
      <c r="Y26" s="9">
        <f t="shared" si="92"/>
        <v>6.024096385542177E-2</v>
      </c>
      <c r="Z26" s="9">
        <f t="shared" si="92"/>
        <v>5.7471264367816577E-3</v>
      </c>
      <c r="AA26" s="9">
        <f t="shared" si="92"/>
        <v>1.2121212121211977E-2</v>
      </c>
      <c r="AB26" s="9">
        <f t="shared" si="92"/>
        <v>1.7647058823529349E-2</v>
      </c>
      <c r="AC26" s="9">
        <f t="shared" si="93"/>
        <v>-1</v>
      </c>
      <c r="AD26" s="9">
        <f t="shared" si="94"/>
        <v>-1</v>
      </c>
      <c r="AE26" s="9">
        <f t="shared" si="95"/>
        <v>-1</v>
      </c>
      <c r="AF26" s="9">
        <f t="shared" si="96"/>
        <v>-1</v>
      </c>
      <c r="AG26" s="9"/>
      <c r="AI26" s="9"/>
      <c r="AJ26" s="9">
        <f t="shared" ref="AJ26:AV26" si="100">AJ9/AI9-1</f>
        <v>0.171875</v>
      </c>
      <c r="AK26" s="9">
        <f t="shared" si="100"/>
        <v>0.33600000000000008</v>
      </c>
      <c r="AL26" s="9">
        <f t="shared" si="100"/>
        <v>0.20359281437125754</v>
      </c>
      <c r="AM26" s="9">
        <f t="shared" si="100"/>
        <v>0.1011608623548923</v>
      </c>
      <c r="AN26" s="9">
        <f t="shared" si="100"/>
        <v>-1.8072289156626509E-2</v>
      </c>
      <c r="AO26" s="9">
        <f t="shared" si="100"/>
        <v>3.5276073619631809E-2</v>
      </c>
      <c r="AP26" s="9">
        <f t="shared" si="100"/>
        <v>2.370370370370356E-2</v>
      </c>
      <c r="AQ26" s="9">
        <f t="shared" si="100"/>
        <v>2.0000000000000018E-2</v>
      </c>
      <c r="AR26" s="9">
        <f t="shared" si="100"/>
        <v>2.0000000000000018E-2</v>
      </c>
      <c r="AS26" s="9">
        <f t="shared" si="100"/>
        <v>1.0000000000000009E-2</v>
      </c>
      <c r="AT26" s="9">
        <f t="shared" si="100"/>
        <v>1.0000000000000009E-2</v>
      </c>
      <c r="AU26" s="9">
        <f t="shared" si="100"/>
        <v>1.0000000000000009E-2</v>
      </c>
      <c r="AV26" s="9">
        <f t="shared" si="100"/>
        <v>1.0000000000000009E-2</v>
      </c>
      <c r="AW26" s="9">
        <f t="shared" si="98"/>
        <v>1.0000000000000009E-2</v>
      </c>
      <c r="AX26" s="9">
        <f t="shared" si="98"/>
        <v>1.0000000000000009E-2</v>
      </c>
      <c r="AY26" s="9">
        <f t="shared" si="98"/>
        <v>1.0000000000000009E-2</v>
      </c>
      <c r="AZ26" s="9">
        <f t="shared" si="98"/>
        <v>1.0000000000000009E-2</v>
      </c>
      <c r="BB26" t="s">
        <v>40</v>
      </c>
      <c r="BC26" s="4">
        <f>NPV(BC25,AQ16:FF16)</f>
        <v>-23.107437064803573</v>
      </c>
    </row>
    <row r="27" spans="2:55" x14ac:dyDescent="0.3">
      <c r="B27" t="s">
        <v>30</v>
      </c>
      <c r="C27" s="9">
        <f>C14/C13</f>
        <v>-6.6666666666667276E-2</v>
      </c>
      <c r="D27" s="9">
        <f>D14/D13</f>
        <v>-7.0175438596491224E-2</v>
      </c>
      <c r="E27" s="9">
        <f t="shared" ref="E27" si="101">E14/E13</f>
        <v>0.71052631578947534</v>
      </c>
      <c r="F27" s="9"/>
      <c r="G27" s="9">
        <f>G14/G13</f>
        <v>8.101265822784802E-2</v>
      </c>
      <c r="H27" s="9">
        <f>H14/H13</f>
        <v>0.16827852998065776</v>
      </c>
      <c r="I27" s="9">
        <f t="shared" ref="I27:L27" si="102">I14/I13</f>
        <v>0.22036727879799684</v>
      </c>
      <c r="J27" s="9">
        <f t="shared" si="102"/>
        <v>7.6923076923077038E-2</v>
      </c>
      <c r="K27" s="9">
        <f t="shared" si="102"/>
        <v>0.19047619047618894</v>
      </c>
      <c r="L27" s="9">
        <f t="shared" si="102"/>
        <v>-0.10222222222222217</v>
      </c>
      <c r="M27" s="9">
        <f t="shared" ref="M27:X27" si="103">M14/M13</f>
        <v>0.238095238095239</v>
      </c>
      <c r="N27" s="9">
        <f t="shared" si="103"/>
        <v>7.4999999999999956E-2</v>
      </c>
      <c r="O27" s="9">
        <f t="shared" si="103"/>
        <v>0.51260504201680734</v>
      </c>
      <c r="P27" s="9">
        <f t="shared" si="103"/>
        <v>0.16470588235294095</v>
      </c>
      <c r="Q27" s="9">
        <f t="shared" si="103"/>
        <v>0.27272727272726982</v>
      </c>
      <c r="R27" s="9">
        <f t="shared" si="103"/>
        <v>0.35937499999999906</v>
      </c>
      <c r="S27" s="9">
        <f t="shared" si="103"/>
        <v>3.3333333333333069E-2</v>
      </c>
      <c r="T27" s="9">
        <f t="shared" si="103"/>
        <v>7.4074074074074139E-2</v>
      </c>
      <c r="U27" s="9">
        <f t="shared" si="103"/>
        <v>0.14173228346456707</v>
      </c>
      <c r="V27" s="9">
        <f t="shared" si="103"/>
        <v>0.14598540145985411</v>
      </c>
      <c r="W27" s="9">
        <f t="shared" si="103"/>
        <v>-1.1020408163265303</v>
      </c>
      <c r="X27" s="9">
        <f t="shared" si="103"/>
        <v>0.16129032258064266</v>
      </c>
      <c r="Y27" s="9">
        <f t="shared" ref="Y27:AB27" si="104">Y14/Y13</f>
        <v>-0.25609756097561076</v>
      </c>
      <c r="Z27" s="9">
        <f t="shared" si="104"/>
        <v>1.9323671497584575E-2</v>
      </c>
      <c r="AA27" s="9">
        <f t="shared" si="104"/>
        <v>-0.25301204819277184</v>
      </c>
      <c r="AB27" s="9">
        <f t="shared" si="104"/>
        <v>-3.968253968253975E-2</v>
      </c>
      <c r="AC27" s="9" t="e">
        <f t="shared" ref="AC27:AF27" si="105">AC14/AC13</f>
        <v>#DIV/0!</v>
      </c>
      <c r="AD27" s="9" t="e">
        <f t="shared" si="105"/>
        <v>#DIV/0!</v>
      </c>
      <c r="AE27" s="9" t="e">
        <f t="shared" si="105"/>
        <v>#DIV/0!</v>
      </c>
      <c r="AF27" s="9" t="e">
        <f t="shared" si="105"/>
        <v>#DIV/0!</v>
      </c>
      <c r="AG27" s="9"/>
      <c r="AI27" s="9">
        <f t="shared" ref="AI27:AV27" si="106">AI14/AI13</f>
        <v>-0.28037383177570191</v>
      </c>
      <c r="AJ27" s="9">
        <f t="shared" si="106"/>
        <v>0.37593984962406207</v>
      </c>
      <c r="AK27" s="9">
        <f t="shared" si="106"/>
        <v>0.15397215397215397</v>
      </c>
      <c r="AL27" s="9">
        <f t="shared" si="106"/>
        <v>0.11888111888111891</v>
      </c>
      <c r="AM27" s="9">
        <f t="shared" si="106"/>
        <v>0.1556603773584902</v>
      </c>
      <c r="AN27" s="9">
        <f t="shared" si="106"/>
        <v>0.68571428571427406</v>
      </c>
      <c r="AO27" s="9">
        <f t="shared" si="106"/>
        <v>-0.35284552845528544</v>
      </c>
      <c r="AP27" s="9">
        <f t="shared" si="106"/>
        <v>-0.23333333333333259</v>
      </c>
      <c r="AQ27" s="9">
        <f t="shared" si="106"/>
        <v>0.19</v>
      </c>
      <c r="AR27" s="9">
        <f t="shared" si="106"/>
        <v>0.19</v>
      </c>
      <c r="AS27" s="9">
        <f t="shared" si="106"/>
        <v>0.19</v>
      </c>
      <c r="AT27" s="9">
        <f t="shared" si="106"/>
        <v>0.19</v>
      </c>
      <c r="AU27" s="9">
        <f t="shared" si="106"/>
        <v>0.19</v>
      </c>
      <c r="AV27" s="9">
        <f t="shared" si="106"/>
        <v>0.19</v>
      </c>
      <c r="AW27" s="9">
        <f t="shared" ref="AW27:AZ27" si="107">AW14/AW13</f>
        <v>0.19</v>
      </c>
      <c r="AX27" s="9">
        <f t="shared" si="107"/>
        <v>0.19</v>
      </c>
      <c r="AY27" s="9">
        <f t="shared" si="107"/>
        <v>0.19</v>
      </c>
      <c r="AZ27" s="9">
        <f t="shared" si="107"/>
        <v>0.19</v>
      </c>
      <c r="BB27" t="s">
        <v>41</v>
      </c>
      <c r="BC27" s="4">
        <f>Main!D8</f>
        <v>-22.700000000000003</v>
      </c>
    </row>
    <row r="28" spans="2:55" x14ac:dyDescent="0.3">
      <c r="B28" t="s">
        <v>47</v>
      </c>
      <c r="C28" s="9">
        <f>C16/C5</f>
        <v>5.625879043600515E-3</v>
      </c>
      <c r="D28" s="9">
        <f t="shared" ref="D28:L28" si="108">D16/D5</f>
        <v>1.8677281077770978E-2</v>
      </c>
      <c r="E28" s="9">
        <f t="shared" si="108"/>
        <v>3.5656401944894368E-3</v>
      </c>
      <c r="F28" s="9"/>
      <c r="G28" s="9">
        <f t="shared" si="108"/>
        <v>7.9413695033909507E-2</v>
      </c>
      <c r="H28" s="9">
        <f t="shared" si="108"/>
        <v>7.7296422793456693E-2</v>
      </c>
      <c r="I28" s="9">
        <f t="shared" si="108"/>
        <v>8.8213071401586601E-2</v>
      </c>
      <c r="J28" s="9">
        <f t="shared" si="108"/>
        <v>5.83632903362232E-2</v>
      </c>
      <c r="K28" s="9">
        <f t="shared" si="108"/>
        <v>4.3467143952953639E-3</v>
      </c>
      <c r="L28" s="9">
        <f t="shared" si="108"/>
        <v>4.8570309439874677E-2</v>
      </c>
      <c r="M28" s="9">
        <f t="shared" ref="M28:X28" si="109">M16/M5</f>
        <v>-1.3396375098502715E-2</v>
      </c>
      <c r="N28" s="9">
        <f t="shared" si="109"/>
        <v>-0.20922860162028897</v>
      </c>
      <c r="O28" s="9">
        <f t="shared" si="109"/>
        <v>-2.8223220012828686E-2</v>
      </c>
      <c r="P28" s="9">
        <f t="shared" si="109"/>
        <v>3.1351893654376753E-2</v>
      </c>
      <c r="Q28" s="9">
        <f t="shared" si="109"/>
        <v>-2.8248587570622119E-3</v>
      </c>
      <c r="R28" s="9">
        <f t="shared" si="109"/>
        <v>3.3804548248309247E-3</v>
      </c>
      <c r="S28" s="9">
        <f t="shared" si="109"/>
        <v>-8.535242290748965E-3</v>
      </c>
      <c r="T28" s="9">
        <f t="shared" si="109"/>
        <v>1.4617780972921142E-2</v>
      </c>
      <c r="U28" s="9">
        <f t="shared" si="109"/>
        <v>-3.6762525941298502E-2</v>
      </c>
      <c r="V28" s="9">
        <f t="shared" si="109"/>
        <v>-0.11289705319556058</v>
      </c>
      <c r="W28" s="9">
        <f t="shared" si="109"/>
        <v>-0.1916502301117686</v>
      </c>
      <c r="X28" s="9">
        <f t="shared" si="109"/>
        <v>5.3191489361703289E-3</v>
      </c>
      <c r="Y28" s="9">
        <f t="shared" ref="Y28:AB28" si="110">Y16/Y5</f>
        <v>-2.8123309897241662E-2</v>
      </c>
      <c r="Z28" s="9">
        <f t="shared" si="110"/>
        <v>-6.5292096219931164E-2</v>
      </c>
      <c r="AA28" s="9">
        <f t="shared" si="110"/>
        <v>-3.0653556969346369E-2</v>
      </c>
      <c r="AB28" s="9">
        <f t="shared" si="110"/>
        <v>5.9281300068665499E-2</v>
      </c>
      <c r="AC28" s="9" t="e">
        <f t="shared" ref="AC28:AF28" si="111">AC16/AC5</f>
        <v>#DIV/0!</v>
      </c>
      <c r="AD28" s="9" t="e">
        <f t="shared" si="111"/>
        <v>#DIV/0!</v>
      </c>
      <c r="AE28" s="9" t="e">
        <f t="shared" si="111"/>
        <v>#DIV/0!</v>
      </c>
      <c r="AF28" s="9" t="e">
        <f t="shared" si="111"/>
        <v>#DIV/0!</v>
      </c>
      <c r="AG28" s="9"/>
      <c r="AI28" s="9">
        <f t="shared" ref="AI28:AV28" si="112">AI16/AI5</f>
        <v>-1.4611774744027264E-2</v>
      </c>
      <c r="AJ28" s="9">
        <f t="shared" si="112"/>
        <v>-7.5647101713451799E-3</v>
      </c>
      <c r="AK28" s="9">
        <f t="shared" si="112"/>
        <v>6.0679041353383464E-2</v>
      </c>
      <c r="AL28" s="9">
        <f t="shared" si="112"/>
        <v>5.2941176470588228E-2</v>
      </c>
      <c r="AM28" s="9">
        <f t="shared" si="112"/>
        <v>-4.4214966184277629E-2</v>
      </c>
      <c r="AN28" s="9">
        <f t="shared" si="112"/>
        <v>2.1234331118569353E-3</v>
      </c>
      <c r="AO28" s="9">
        <f t="shared" si="112"/>
        <v>-7.4445457307809049E-2</v>
      </c>
      <c r="AP28" s="9">
        <f t="shared" si="112"/>
        <v>-1.0865136493277224E-2</v>
      </c>
      <c r="AQ28" s="9">
        <f t="shared" si="112"/>
        <v>-3.4282823186903032E-2</v>
      </c>
      <c r="AR28" s="9">
        <f t="shared" si="112"/>
        <v>-2.0822600731452937E-2</v>
      </c>
      <c r="AS28" s="9">
        <f t="shared" si="112"/>
        <v>-7.4777684086978066E-3</v>
      </c>
      <c r="AT28" s="9">
        <f t="shared" si="112"/>
        <v>-4.7262295849414453E-3</v>
      </c>
      <c r="AU28" s="9">
        <f t="shared" si="112"/>
        <v>-2.403933659894701E-3</v>
      </c>
      <c r="AV28" s="9">
        <f t="shared" si="112"/>
        <v>-1.0544840666504022E-4</v>
      </c>
      <c r="AW28" s="9">
        <f t="shared" ref="AW28:AZ28" si="113">AW16/AW5</f>
        <v>2.1694493865819157E-3</v>
      </c>
      <c r="AX28" s="9">
        <f t="shared" si="113"/>
        <v>4.4209806430730979E-3</v>
      </c>
      <c r="AY28" s="9">
        <f t="shared" si="113"/>
        <v>6.6493640188825505E-3</v>
      </c>
      <c r="AZ28" s="9">
        <f t="shared" si="113"/>
        <v>8.8548159241655256E-3</v>
      </c>
      <c r="BB28" t="s">
        <v>42</v>
      </c>
      <c r="BC28" s="4">
        <f>BC26+BC27</f>
        <v>-45.80743706480358</v>
      </c>
    </row>
    <row r="29" spans="2:55" x14ac:dyDescent="0.3">
      <c r="BB29" t="s">
        <v>43</v>
      </c>
      <c r="BC29" s="5">
        <f>BC28/AV17</f>
        <v>-0.42971329329084035</v>
      </c>
    </row>
    <row r="30" spans="2:55" s="11" customFormat="1" x14ac:dyDescent="0.3">
      <c r="B30" s="11" t="s">
        <v>85</v>
      </c>
      <c r="AA30" s="12">
        <f>1221.9</f>
        <v>1221.9000000000001</v>
      </c>
      <c r="BB30" t="s">
        <v>44</v>
      </c>
      <c r="BC30" s="5">
        <f>Main!D3</f>
        <v>6.79</v>
      </c>
    </row>
    <row r="31" spans="2:55" x14ac:dyDescent="0.3">
      <c r="B31" t="s">
        <v>86</v>
      </c>
      <c r="AA31" s="13">
        <f>Main!D9/Model!AA30</f>
        <v>0.61094524920206228</v>
      </c>
      <c r="BB31" s="1" t="s">
        <v>45</v>
      </c>
      <c r="BC31" s="10">
        <f>BC29/BC30-1</f>
        <v>-1.0632861993064566</v>
      </c>
    </row>
    <row r="32" spans="2:55" x14ac:dyDescent="0.3">
      <c r="B32" t="s">
        <v>87</v>
      </c>
      <c r="AA32" s="9">
        <f>AA30/Main!D9-1</f>
        <v>0.63680788304037184</v>
      </c>
      <c r="BB32" t="s">
        <v>46</v>
      </c>
      <c r="BC32" s="6" t="s">
        <v>66</v>
      </c>
    </row>
    <row r="34" spans="2:55" s="1" customFormat="1" x14ac:dyDescent="0.3">
      <c r="B34" s="1" t="s">
        <v>67</v>
      </c>
      <c r="T34" s="8">
        <f t="shared" ref="T34:AB34" si="114">T16</f>
        <v>6.0999999999999925</v>
      </c>
      <c r="U34" s="8">
        <f t="shared" si="114"/>
        <v>-12.399999999999986</v>
      </c>
      <c r="V34" s="8">
        <f t="shared" si="114"/>
        <v>-29.499999999999982</v>
      </c>
      <c r="W34" s="8">
        <f t="shared" si="114"/>
        <v>-58.300000000000004</v>
      </c>
      <c r="X34" s="8">
        <f t="shared" si="114"/>
        <v>2.2000000000000481</v>
      </c>
      <c r="Y34" s="8">
        <f t="shared" si="114"/>
        <v>-10.399999999999967</v>
      </c>
      <c r="Z34" s="8">
        <f t="shared" si="114"/>
        <v>-20.899999999999967</v>
      </c>
      <c r="AA34" s="8">
        <f t="shared" si="114"/>
        <v>-10.599999999999975</v>
      </c>
      <c r="AB34" s="8">
        <f t="shared" si="114"/>
        <v>25.899999999999956</v>
      </c>
      <c r="AC34" s="8"/>
      <c r="AD34" s="8"/>
      <c r="AE34" s="8"/>
      <c r="AF34" s="8"/>
      <c r="AK34" s="8">
        <f t="shared" ref="AK34:AZ34" si="115">AK16</f>
        <v>103.30000000000001</v>
      </c>
      <c r="AL34" s="8">
        <f t="shared" si="115"/>
        <v>100.79999999999998</v>
      </c>
      <c r="AM34" s="8">
        <f t="shared" si="115"/>
        <v>-60.800000000000161</v>
      </c>
      <c r="AN34" s="8">
        <f t="shared" si="115"/>
        <v>3.0999999999999397</v>
      </c>
      <c r="AO34" s="8">
        <f t="shared" si="115"/>
        <v>-97.999999999999844</v>
      </c>
      <c r="AP34" s="8">
        <f t="shared" si="115"/>
        <v>-16.000000000000039</v>
      </c>
      <c r="AQ34" s="8">
        <f t="shared" si="115"/>
        <v>-48.138980400000001</v>
      </c>
      <c r="AR34" s="8">
        <f t="shared" si="115"/>
        <v>-30.700438560000023</v>
      </c>
      <c r="AS34" s="8">
        <f t="shared" si="115"/>
        <v>-11.466079739999996</v>
      </c>
      <c r="AT34" s="8">
        <f t="shared" si="115"/>
        <v>-7.4644014094200006</v>
      </c>
      <c r="AU34" s="8">
        <f t="shared" si="115"/>
        <v>-3.8726016132113799</v>
      </c>
      <c r="AV34" s="8">
        <f t="shared" si="115"/>
        <v>-0.17326886765048316</v>
      </c>
      <c r="AW34" s="8">
        <f t="shared" si="115"/>
        <v>3.6360530380395124</v>
      </c>
      <c r="AX34" s="8">
        <f t="shared" si="115"/>
        <v>7.5578709518365166</v>
      </c>
      <c r="AY34" s="8">
        <f t="shared" si="115"/>
        <v>11.59474334051767</v>
      </c>
      <c r="AZ34" s="8">
        <f t="shared" si="115"/>
        <v>15.749281289188861</v>
      </c>
      <c r="BB34"/>
      <c r="BC34"/>
    </row>
    <row r="35" spans="2:55" s="1" customFormat="1" x14ac:dyDescent="0.3">
      <c r="B35" s="1" t="s">
        <v>68</v>
      </c>
      <c r="T35" s="8">
        <v>7.6</v>
      </c>
      <c r="U35" s="8">
        <v>-11</v>
      </c>
      <c r="V35" s="8">
        <v>-23.5</v>
      </c>
      <c r="W35" s="8">
        <v>-51.6</v>
      </c>
      <c r="X35" s="8">
        <v>2.7</v>
      </c>
      <c r="Y35" s="8">
        <v>-10.3</v>
      </c>
      <c r="Z35" s="8">
        <v>-20.3</v>
      </c>
      <c r="AA35" s="8">
        <v>-10.4</v>
      </c>
      <c r="AB35" s="8">
        <f>AB34</f>
        <v>25.899999999999956</v>
      </c>
      <c r="AC35" s="8"/>
      <c r="AD35" s="8"/>
      <c r="AE35" s="8"/>
      <c r="AF35" s="8"/>
      <c r="AK35" s="8">
        <v>103.2</v>
      </c>
      <c r="AL35" s="8">
        <v>101</v>
      </c>
      <c r="AM35" s="8">
        <v>-53.9</v>
      </c>
      <c r="AN35" s="8">
        <v>-1</v>
      </c>
      <c r="AO35" s="8">
        <v>-83.4</v>
      </c>
      <c r="AP35" s="8">
        <f>AP34*0.9</f>
        <v>-14.400000000000036</v>
      </c>
      <c r="AQ35" s="8">
        <f t="shared" ref="AQ35:AZ35" si="116">AQ34*0.9</f>
        <v>-43.325082360000003</v>
      </c>
      <c r="AR35" s="8">
        <f t="shared" si="116"/>
        <v>-27.630394704000022</v>
      </c>
      <c r="AS35" s="8">
        <f t="shared" si="116"/>
        <v>-10.319471765999996</v>
      </c>
      <c r="AT35" s="8">
        <f t="shared" si="116"/>
        <v>-6.7179612684780006</v>
      </c>
      <c r="AU35" s="8">
        <f t="shared" si="116"/>
        <v>-3.4853414518902421</v>
      </c>
      <c r="AV35" s="8">
        <f t="shared" si="116"/>
        <v>-0.15594198088543484</v>
      </c>
      <c r="AW35" s="8">
        <f t="shared" si="116"/>
        <v>3.2724477342355613</v>
      </c>
      <c r="AX35" s="8">
        <f t="shared" si="116"/>
        <v>6.8020838566528647</v>
      </c>
      <c r="AY35" s="8">
        <f t="shared" si="116"/>
        <v>10.435269006465903</v>
      </c>
      <c r="AZ35" s="8">
        <f t="shared" si="116"/>
        <v>14.174353160269975</v>
      </c>
      <c r="BB35"/>
      <c r="BC35"/>
    </row>
    <row r="36" spans="2:55" x14ac:dyDescent="0.3">
      <c r="B36" t="s">
        <v>69</v>
      </c>
      <c r="T36" s="4">
        <v>7.6</v>
      </c>
      <c r="U36" s="4">
        <v>7.7</v>
      </c>
      <c r="V36" s="4">
        <v>8</v>
      </c>
      <c r="W36" s="4">
        <v>7.4</v>
      </c>
      <c r="X36" s="4">
        <v>7.5</v>
      </c>
      <c r="Y36" s="4">
        <v>9.3000000000000007</v>
      </c>
      <c r="Z36" s="4">
        <v>9.3000000000000007</v>
      </c>
      <c r="AA36" s="4">
        <v>5.2</v>
      </c>
      <c r="AB36" s="4">
        <v>9.3000000000000007</v>
      </c>
      <c r="AC36" s="4"/>
      <c r="AD36" s="4"/>
      <c r="AE36" s="4"/>
      <c r="AF36" s="4"/>
      <c r="AK36" s="4">
        <v>5.8</v>
      </c>
      <c r="AL36" s="4">
        <v>17.2</v>
      </c>
      <c r="AM36" s="4">
        <v>22.2</v>
      </c>
      <c r="AN36" s="4">
        <v>30.9</v>
      </c>
      <c r="AO36" s="4">
        <v>30.6</v>
      </c>
      <c r="AP36" s="4">
        <f>SUM(Y36:AB36)</f>
        <v>33.1</v>
      </c>
      <c r="AQ36" s="4">
        <f>AP36*1.01</f>
        <v>33.431000000000004</v>
      </c>
      <c r="AR36" s="4">
        <f t="shared" ref="AR36:AZ36" si="117">AQ36*1.01</f>
        <v>33.765310000000007</v>
      </c>
      <c r="AS36" s="4">
        <f t="shared" si="117"/>
        <v>34.102963100000004</v>
      </c>
      <c r="AT36" s="4">
        <f t="shared" si="117"/>
        <v>34.443992731000002</v>
      </c>
      <c r="AU36" s="4">
        <f t="shared" si="117"/>
        <v>34.788432658310001</v>
      </c>
      <c r="AV36" s="4">
        <f t="shared" si="117"/>
        <v>35.136316984893099</v>
      </c>
      <c r="AW36" s="4">
        <f t="shared" si="117"/>
        <v>35.48768015474203</v>
      </c>
      <c r="AX36" s="4">
        <f t="shared" si="117"/>
        <v>35.842556956289449</v>
      </c>
      <c r="AY36" s="4">
        <f t="shared" si="117"/>
        <v>36.200982525852346</v>
      </c>
      <c r="AZ36" s="4">
        <f t="shared" si="117"/>
        <v>36.562992351110871</v>
      </c>
    </row>
    <row r="37" spans="2:55" x14ac:dyDescent="0.3">
      <c r="B37" t="s">
        <v>70</v>
      </c>
      <c r="T37" s="4">
        <v>3.2</v>
      </c>
      <c r="U37" s="4">
        <v>3.1</v>
      </c>
      <c r="V37" s="4">
        <v>3.1</v>
      </c>
      <c r="W37" s="4">
        <v>3.3</v>
      </c>
      <c r="X37" s="4">
        <v>4</v>
      </c>
      <c r="Y37" s="4">
        <v>3.4</v>
      </c>
      <c r="Z37" s="4">
        <v>3.4</v>
      </c>
      <c r="AA37" s="4">
        <v>3.5</v>
      </c>
      <c r="AB37" s="4">
        <v>3.8</v>
      </c>
      <c r="AC37" s="4"/>
      <c r="AD37" s="4"/>
      <c r="AE37" s="4"/>
      <c r="AF37" s="4"/>
      <c r="AK37" s="4">
        <v>9.3000000000000007</v>
      </c>
      <c r="AL37" s="4">
        <v>10.3</v>
      </c>
      <c r="AM37" s="4">
        <v>10.7</v>
      </c>
      <c r="AN37" s="4">
        <v>12.2</v>
      </c>
      <c r="AO37" s="4">
        <v>13.4</v>
      </c>
      <c r="AP37" s="4">
        <f t="shared" ref="AP37:AP47" si="118">SUM(Y37:AB37)</f>
        <v>14.100000000000001</v>
      </c>
      <c r="AQ37" s="4">
        <f>AP37*1.03</f>
        <v>14.523000000000001</v>
      </c>
      <c r="AR37" s="4">
        <f t="shared" ref="AR37:AZ37" si="119">AQ37*1.03</f>
        <v>14.958690000000002</v>
      </c>
      <c r="AS37" s="4">
        <f t="shared" si="119"/>
        <v>15.407450700000004</v>
      </c>
      <c r="AT37" s="4">
        <f t="shared" si="119"/>
        <v>15.869674221000004</v>
      </c>
      <c r="AU37" s="4">
        <f t="shared" si="119"/>
        <v>16.345764447630003</v>
      </c>
      <c r="AV37" s="4">
        <f t="shared" si="119"/>
        <v>16.836137381058904</v>
      </c>
      <c r="AW37" s="4">
        <f t="shared" si="119"/>
        <v>17.341221502490672</v>
      </c>
      <c r="AX37" s="4">
        <f t="shared" si="119"/>
        <v>17.861458147565394</v>
      </c>
      <c r="AY37" s="4">
        <f t="shared" si="119"/>
        <v>18.397301891992356</v>
      </c>
      <c r="AZ37" s="4">
        <f t="shared" si="119"/>
        <v>18.949220948752128</v>
      </c>
    </row>
    <row r="38" spans="2:55" x14ac:dyDescent="0.3">
      <c r="B38" t="s">
        <v>71</v>
      </c>
      <c r="T38" s="4">
        <v>9.5</v>
      </c>
      <c r="U38" s="4">
        <v>9.5</v>
      </c>
      <c r="V38" s="4">
        <v>9.5</v>
      </c>
      <c r="W38" s="4">
        <v>9.6</v>
      </c>
      <c r="X38" s="4">
        <v>9.9</v>
      </c>
      <c r="Y38" s="4">
        <v>9.8000000000000007</v>
      </c>
      <c r="Z38" s="4">
        <v>9.9</v>
      </c>
      <c r="AA38" s="4">
        <v>10.1</v>
      </c>
      <c r="AB38" s="4">
        <v>10.5</v>
      </c>
      <c r="AC38" s="4"/>
      <c r="AD38" s="4"/>
      <c r="AE38" s="4"/>
      <c r="AF38" s="4"/>
      <c r="AK38" s="4">
        <v>33.9</v>
      </c>
      <c r="AL38" s="4">
        <v>34.799999999999997</v>
      </c>
      <c r="AM38" s="4">
        <v>42.8</v>
      </c>
      <c r="AN38" s="4">
        <v>38.5</v>
      </c>
      <c r="AO38" s="4">
        <v>38.4</v>
      </c>
      <c r="AP38" s="4">
        <f t="shared" si="118"/>
        <v>40.300000000000004</v>
      </c>
      <c r="AQ38" s="4">
        <f>AP38*1.01</f>
        <v>40.703000000000003</v>
      </c>
      <c r="AR38" s="4">
        <f t="shared" ref="AR38:AZ38" si="120">AQ38*1.01</f>
        <v>41.110030000000002</v>
      </c>
      <c r="AS38" s="4">
        <f t="shared" si="120"/>
        <v>41.521130300000003</v>
      </c>
      <c r="AT38" s="4">
        <f t="shared" si="120"/>
        <v>41.936341603000002</v>
      </c>
      <c r="AU38" s="4">
        <f t="shared" si="120"/>
        <v>42.355705019030005</v>
      </c>
      <c r="AV38" s="4">
        <f t="shared" si="120"/>
        <v>42.779262069220302</v>
      </c>
      <c r="AW38" s="4">
        <f t="shared" si="120"/>
        <v>43.207054689912503</v>
      </c>
      <c r="AX38" s="4">
        <f t="shared" si="120"/>
        <v>43.63912523681163</v>
      </c>
      <c r="AY38" s="4">
        <f t="shared" si="120"/>
        <v>44.075516489179748</v>
      </c>
      <c r="AZ38" s="4">
        <f t="shared" si="120"/>
        <v>44.516271654071545</v>
      </c>
    </row>
    <row r="39" spans="2:55" x14ac:dyDescent="0.3">
      <c r="B39" t="s">
        <v>84</v>
      </c>
      <c r="T39" s="4">
        <v>0</v>
      </c>
      <c r="U39" s="4">
        <v>0</v>
      </c>
      <c r="V39" s="4">
        <v>-0.1</v>
      </c>
      <c r="W39" s="4">
        <v>0.1</v>
      </c>
      <c r="X39" s="4">
        <v>0</v>
      </c>
      <c r="Y39" s="4">
        <v>0</v>
      </c>
      <c r="Z39" s="4">
        <v>1.4</v>
      </c>
      <c r="AA39" s="4">
        <v>0</v>
      </c>
      <c r="AB39" s="4">
        <v>0</v>
      </c>
      <c r="AC39" s="4"/>
      <c r="AD39" s="4"/>
      <c r="AE39" s="4"/>
      <c r="AF39" s="4"/>
      <c r="AK39" s="4"/>
      <c r="AL39" s="4"/>
      <c r="AM39" s="4"/>
      <c r="AN39" s="4"/>
      <c r="AO39" s="4"/>
      <c r="AP39" s="4">
        <f t="shared" si="118"/>
        <v>1.4</v>
      </c>
      <c r="AQ39" s="4"/>
      <c r="AR39" s="4"/>
      <c r="AS39" s="4"/>
      <c r="AT39" s="4"/>
      <c r="AU39" s="4"/>
      <c r="AV39" s="4"/>
      <c r="AW39" s="4"/>
      <c r="AX39" s="4"/>
      <c r="AY39" s="4"/>
      <c r="AZ39" s="4"/>
    </row>
    <row r="40" spans="2:55" x14ac:dyDescent="0.3">
      <c r="B40" t="s">
        <v>82</v>
      </c>
      <c r="T40" s="4">
        <v>0</v>
      </c>
      <c r="U40" s="4">
        <v>0</v>
      </c>
      <c r="V40" s="4">
        <v>0</v>
      </c>
      <c r="W40" s="4">
        <v>0</v>
      </c>
      <c r="X40" s="4">
        <v>-2.6</v>
      </c>
      <c r="Y40" s="4">
        <v>2.6</v>
      </c>
      <c r="Z40" s="4">
        <v>0</v>
      </c>
      <c r="AA40" s="4">
        <v>0</v>
      </c>
      <c r="AB40" s="4">
        <v>0</v>
      </c>
      <c r="AC40" s="4"/>
      <c r="AD40" s="4"/>
      <c r="AE40" s="4"/>
      <c r="AF40" s="4"/>
      <c r="AK40" s="4">
        <f>2.6+4.1</f>
        <v>6.6999999999999993</v>
      </c>
      <c r="AL40" s="4">
        <f>1.5+4.9</f>
        <v>6.4</v>
      </c>
      <c r="AM40" s="4">
        <v>0.4</v>
      </c>
      <c r="AN40" s="4">
        <v>0</v>
      </c>
      <c r="AO40" s="4">
        <v>-2.6</v>
      </c>
      <c r="AP40" s="4">
        <f t="shared" si="118"/>
        <v>2.6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</row>
    <row r="41" spans="2:55" x14ac:dyDescent="0.3">
      <c r="B41" t="s">
        <v>72</v>
      </c>
      <c r="T41" s="4">
        <v>1.4</v>
      </c>
      <c r="U41" s="4">
        <v>-6.1</v>
      </c>
      <c r="V41" s="4">
        <v>-9.1999999999999993</v>
      </c>
      <c r="W41" s="4">
        <v>28</v>
      </c>
      <c r="X41" s="4">
        <v>-1.4</v>
      </c>
      <c r="Y41" s="4">
        <v>-1</v>
      </c>
      <c r="Z41" s="4">
        <v>-2.2999999999999998</v>
      </c>
      <c r="AA41" s="4">
        <v>0.1</v>
      </c>
      <c r="AB41" s="4">
        <v>-3.3</v>
      </c>
      <c r="AC41" s="4"/>
      <c r="AD41" s="4"/>
      <c r="AE41" s="4"/>
      <c r="AF41" s="4"/>
      <c r="AK41" s="4">
        <v>-7.5</v>
      </c>
      <c r="AL41" s="4">
        <v>-12</v>
      </c>
      <c r="AM41" s="4">
        <v>-21.7</v>
      </c>
      <c r="AN41" s="4">
        <v>-6.3</v>
      </c>
      <c r="AO41" s="4">
        <v>11.4</v>
      </c>
      <c r="AP41" s="4">
        <f t="shared" si="118"/>
        <v>-6.5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</row>
    <row r="42" spans="2:55" x14ac:dyDescent="0.3">
      <c r="B42" t="s">
        <v>73</v>
      </c>
      <c r="T42" s="4">
        <v>1.8</v>
      </c>
      <c r="U42" s="4">
        <v>0.8</v>
      </c>
      <c r="V42" s="4">
        <v>0.7</v>
      </c>
      <c r="W42" s="4">
        <v>1.3</v>
      </c>
      <c r="X42" s="4">
        <v>2.9</v>
      </c>
      <c r="Y42" s="4">
        <v>3</v>
      </c>
      <c r="Z42" s="4">
        <v>0.6</v>
      </c>
      <c r="AA42" s="4">
        <v>0</v>
      </c>
      <c r="AB42" s="4">
        <v>-0.7</v>
      </c>
      <c r="AC42" s="4"/>
      <c r="AD42" s="4"/>
      <c r="AE42" s="4"/>
      <c r="AF42" s="4"/>
      <c r="AK42" s="4">
        <v>2.6</v>
      </c>
      <c r="AL42" s="4">
        <v>3.3</v>
      </c>
      <c r="AM42" s="4">
        <v>4.5</v>
      </c>
      <c r="AN42" s="4">
        <v>4.9000000000000004</v>
      </c>
      <c r="AO42" s="4">
        <v>5.7</v>
      </c>
      <c r="AP42" s="4">
        <f t="shared" si="118"/>
        <v>2.9000000000000004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</row>
    <row r="43" spans="2:55" x14ac:dyDescent="0.3">
      <c r="B43" t="s">
        <v>74</v>
      </c>
      <c r="T43" s="4">
        <v>0.4</v>
      </c>
      <c r="U43" s="4">
        <v>46.9</v>
      </c>
      <c r="V43" s="4">
        <v>28.9</v>
      </c>
      <c r="W43" s="4">
        <v>-1.6</v>
      </c>
      <c r="X43" s="4">
        <v>-42</v>
      </c>
      <c r="Y43" s="4">
        <v>0.2</v>
      </c>
      <c r="Z43" s="4">
        <v>37.799999999999997</v>
      </c>
      <c r="AA43" s="4">
        <v>-14</v>
      </c>
      <c r="AB43" s="4">
        <v>-41.7</v>
      </c>
      <c r="AC43" s="4"/>
      <c r="AD43" s="4"/>
      <c r="AE43" s="4"/>
      <c r="AF43" s="4"/>
      <c r="AK43" s="4">
        <v>-91.5</v>
      </c>
      <c r="AL43" s="4">
        <v>0.4</v>
      </c>
      <c r="AM43" s="4">
        <v>55.8</v>
      </c>
      <c r="AN43" s="4">
        <v>-17.7</v>
      </c>
      <c r="AO43" s="4">
        <v>32.299999999999997</v>
      </c>
      <c r="AP43" s="4">
        <f t="shared" si="118"/>
        <v>-17.700000000000003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</row>
    <row r="44" spans="2:55" x14ac:dyDescent="0.3">
      <c r="B44" t="s">
        <v>75</v>
      </c>
      <c r="T44" s="4">
        <v>-4</v>
      </c>
      <c r="U44" s="4">
        <v>-12.1</v>
      </c>
      <c r="V44" s="4">
        <v>-13.8</v>
      </c>
      <c r="W44" s="4">
        <v>16.3</v>
      </c>
      <c r="X44" s="4">
        <v>27.9</v>
      </c>
      <c r="Y44" s="4">
        <v>-22.2</v>
      </c>
      <c r="Z44" s="4">
        <v>-21.5</v>
      </c>
      <c r="AA44" s="4">
        <v>-19.5</v>
      </c>
      <c r="AB44" s="4">
        <v>11.6</v>
      </c>
      <c r="AC44" s="4"/>
      <c r="AD44" s="4"/>
      <c r="AE44" s="4"/>
      <c r="AF44" s="4"/>
      <c r="AK44" s="4">
        <v>-80.099999999999994</v>
      </c>
      <c r="AL44" s="4">
        <v>-71.3</v>
      </c>
      <c r="AM44" s="4">
        <v>111.3</v>
      </c>
      <c r="AN44" s="4">
        <v>-39.5</v>
      </c>
      <c r="AO44" s="4">
        <v>18.3</v>
      </c>
      <c r="AP44" s="4">
        <f t="shared" si="118"/>
        <v>-51.6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B44" s="1"/>
      <c r="BC44" s="1"/>
    </row>
    <row r="45" spans="2:55" x14ac:dyDescent="0.3">
      <c r="B45" t="s">
        <v>76</v>
      </c>
      <c r="T45" s="4">
        <v>6.5</v>
      </c>
      <c r="U45" s="4">
        <v>4.4000000000000004</v>
      </c>
      <c r="V45" s="4">
        <v>2.9</v>
      </c>
      <c r="W45" s="4">
        <v>-7.1</v>
      </c>
      <c r="X45" s="4">
        <v>5.7</v>
      </c>
      <c r="Y45" s="4">
        <v>2.2000000000000002</v>
      </c>
      <c r="Z45" s="4">
        <v>1.8</v>
      </c>
      <c r="AA45" s="4">
        <v>0.7</v>
      </c>
      <c r="AB45" s="4">
        <v>4.3</v>
      </c>
      <c r="AC45" s="4"/>
      <c r="AD45" s="4"/>
      <c r="AE45" s="4"/>
      <c r="AF45" s="4"/>
      <c r="AK45" s="4">
        <v>-8</v>
      </c>
      <c r="AL45" s="4">
        <v>-13.2</v>
      </c>
      <c r="AM45" s="4">
        <v>1.3</v>
      </c>
      <c r="AN45" s="4">
        <v>1.9</v>
      </c>
      <c r="AO45" s="4">
        <v>5.9</v>
      </c>
      <c r="AP45" s="4">
        <f t="shared" si="118"/>
        <v>9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</row>
    <row r="46" spans="2:55" x14ac:dyDescent="0.3">
      <c r="B46" t="s">
        <v>77</v>
      </c>
      <c r="T46" s="4">
        <v>23.9</v>
      </c>
      <c r="U46" s="4">
        <v>-48</v>
      </c>
      <c r="V46" s="4">
        <v>-24.1</v>
      </c>
      <c r="W46" s="4">
        <v>10.7</v>
      </c>
      <c r="X46" s="4">
        <v>21.8</v>
      </c>
      <c r="Y46" s="4">
        <v>34.299999999999997</v>
      </c>
      <c r="Z46" s="4">
        <v>15.3</v>
      </c>
      <c r="AA46" s="4">
        <v>-11.3</v>
      </c>
      <c r="AB46" s="4">
        <v>-32.799999999999997</v>
      </c>
      <c r="AC46" s="4"/>
      <c r="AD46" s="4"/>
      <c r="AE46" s="4"/>
      <c r="AF46" s="4"/>
      <c r="AK46" s="4">
        <v>116.5</v>
      </c>
      <c r="AL46" s="4">
        <v>-63.7</v>
      </c>
      <c r="AM46" s="4">
        <v>-65.900000000000006</v>
      </c>
      <c r="AN46" s="4">
        <v>62.2</v>
      </c>
      <c r="AO46" s="4">
        <v>-39.5</v>
      </c>
      <c r="AP46" s="4">
        <f t="shared" si="118"/>
        <v>5.5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B46" s="1"/>
      <c r="BC46" s="1"/>
    </row>
    <row r="47" spans="2:55" x14ac:dyDescent="0.3">
      <c r="B47" t="s">
        <v>78</v>
      </c>
      <c r="T47" s="4">
        <v>-0.6</v>
      </c>
      <c r="U47" s="4">
        <v>-21.6</v>
      </c>
      <c r="V47" s="4">
        <v>-0.9</v>
      </c>
      <c r="W47" s="4">
        <v>8.6</v>
      </c>
      <c r="X47" s="4">
        <v>19.2</v>
      </c>
      <c r="Y47" s="4">
        <v>-12.5</v>
      </c>
      <c r="Z47" s="4">
        <v>-5.2</v>
      </c>
      <c r="AA47" s="4">
        <v>-1.4</v>
      </c>
      <c r="AB47" s="4">
        <v>51.3</v>
      </c>
      <c r="AC47" s="4"/>
      <c r="AD47" s="4"/>
      <c r="AE47" s="4"/>
      <c r="AF47" s="4"/>
      <c r="AK47" s="4">
        <v>77.900000000000006</v>
      </c>
      <c r="AL47" s="4">
        <v>7</v>
      </c>
      <c r="AM47" s="4">
        <v>-41</v>
      </c>
      <c r="AN47" s="4">
        <v>3.8</v>
      </c>
      <c r="AO47" s="4">
        <v>5.3</v>
      </c>
      <c r="AP47" s="4">
        <f t="shared" si="118"/>
        <v>32.200000000000003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</row>
    <row r="48" spans="2:55" s="1" customFormat="1" x14ac:dyDescent="0.3">
      <c r="B48" s="1" t="s">
        <v>79</v>
      </c>
      <c r="T48" s="8">
        <f t="shared" ref="T48:AB48" si="121">T34+SUM(T36:T47)</f>
        <v>55.79999999999999</v>
      </c>
      <c r="U48" s="8">
        <f t="shared" si="121"/>
        <v>-27.79999999999999</v>
      </c>
      <c r="V48" s="8">
        <f t="shared" si="121"/>
        <v>-24.499999999999986</v>
      </c>
      <c r="W48" s="8">
        <f t="shared" si="121"/>
        <v>18.299999999999976</v>
      </c>
      <c r="X48" s="8">
        <f t="shared" si="121"/>
        <v>55.100000000000037</v>
      </c>
      <c r="Y48" s="8">
        <f t="shared" si="121"/>
        <v>18.700000000000035</v>
      </c>
      <c r="Z48" s="8">
        <f t="shared" si="121"/>
        <v>29.600000000000019</v>
      </c>
      <c r="AA48" s="8">
        <f t="shared" si="121"/>
        <v>-37.199999999999974</v>
      </c>
      <c r="AB48" s="8">
        <f t="shared" si="121"/>
        <v>38.199999999999953</v>
      </c>
      <c r="AC48" s="8"/>
      <c r="AD48" s="8"/>
      <c r="AE48" s="8"/>
      <c r="AF48" s="8"/>
      <c r="AK48" s="8">
        <f t="shared" ref="AK48:AQ48" si="122">AK34+SUM(AK35:AK47)</f>
        <v>272.10000000000002</v>
      </c>
      <c r="AL48" s="8">
        <f t="shared" si="122"/>
        <v>121.00000000000001</v>
      </c>
      <c r="AM48" s="8">
        <f t="shared" si="122"/>
        <v>5.6999999999998394</v>
      </c>
      <c r="AN48" s="8">
        <f t="shared" si="122"/>
        <v>92.999999999999929</v>
      </c>
      <c r="AO48" s="8">
        <f t="shared" si="122"/>
        <v>-62.199999999999847</v>
      </c>
      <c r="AP48" s="8">
        <f t="shared" si="122"/>
        <v>34.899999999999935</v>
      </c>
      <c r="AQ48" s="8">
        <f t="shared" si="122"/>
        <v>-2.8070627599999938</v>
      </c>
      <c r="AR48" s="8">
        <f t="shared" ref="AR48:AZ48" si="123">AR34+SUM(AR35:AR47)</f>
        <v>31.503196735999964</v>
      </c>
      <c r="AS48" s="8">
        <f t="shared" si="123"/>
        <v>69.245992594000015</v>
      </c>
      <c r="AT48" s="8">
        <f t="shared" si="123"/>
        <v>78.067645877102009</v>
      </c>
      <c r="AU48" s="8">
        <f t="shared" si="123"/>
        <v>86.131959059868393</v>
      </c>
      <c r="AV48" s="8">
        <f t="shared" si="123"/>
        <v>94.42250558663639</v>
      </c>
      <c r="AW48" s="8">
        <f t="shared" si="123"/>
        <v>102.94445711942026</v>
      </c>
      <c r="AX48" s="8">
        <f t="shared" si="123"/>
        <v>111.70309514915586</v>
      </c>
      <c r="AY48" s="8">
        <f t="shared" si="123"/>
        <v>120.70381325400803</v>
      </c>
      <c r="AZ48" s="8">
        <f t="shared" si="123"/>
        <v>129.9521194033934</v>
      </c>
      <c r="BB48"/>
      <c r="BC48"/>
    </row>
    <row r="49" spans="2:147" x14ac:dyDescent="0.3">
      <c r="B49" t="s">
        <v>80</v>
      </c>
      <c r="T49" s="4">
        <v>2</v>
      </c>
      <c r="U49" s="4">
        <v>2.5</v>
      </c>
      <c r="V49" s="4">
        <v>2.5</v>
      </c>
      <c r="W49" s="4">
        <v>3.3</v>
      </c>
      <c r="X49" s="4">
        <v>1.5</v>
      </c>
      <c r="Y49" s="4">
        <v>3.1</v>
      </c>
      <c r="Z49" s="4">
        <v>2.7</v>
      </c>
      <c r="AA49" s="4">
        <v>4.3</v>
      </c>
      <c r="AB49" s="4">
        <v>5.3</v>
      </c>
      <c r="AC49" s="4"/>
      <c r="AD49" s="4"/>
      <c r="AE49" s="4"/>
      <c r="AF49" s="4"/>
      <c r="AK49" s="4">
        <v>9</v>
      </c>
      <c r="AL49" s="4">
        <v>11</v>
      </c>
      <c r="AM49" s="4">
        <v>12.8</v>
      </c>
      <c r="AN49" s="4">
        <v>12.8</v>
      </c>
      <c r="AO49" s="4">
        <v>9.8000000000000007</v>
      </c>
      <c r="AP49" s="4">
        <f>SUM(Y49:AB49)</f>
        <v>15.400000000000002</v>
      </c>
      <c r="AQ49" s="4">
        <f t="shared" ref="AQ49" si="124">AP49*1.05</f>
        <v>16.170000000000002</v>
      </c>
      <c r="AR49" s="4">
        <f>AQ49*1.04</f>
        <v>16.816800000000001</v>
      </c>
      <c r="AS49" s="4">
        <f>AR49*1.03</f>
        <v>17.321304000000001</v>
      </c>
      <c r="AT49" s="4">
        <f t="shared" ref="AT49:AZ49" si="125">AS49*1.03</f>
        <v>17.840943120000002</v>
      </c>
      <c r="AU49" s="4">
        <f t="shared" si="125"/>
        <v>18.376171413600002</v>
      </c>
      <c r="AV49" s="4">
        <f t="shared" si="125"/>
        <v>18.927456556008003</v>
      </c>
      <c r="AW49" s="4">
        <f t="shared" si="125"/>
        <v>19.495280252688243</v>
      </c>
      <c r="AX49" s="4">
        <f t="shared" si="125"/>
        <v>20.08013866026889</v>
      </c>
      <c r="AY49" s="4">
        <f t="shared" si="125"/>
        <v>20.682542820076957</v>
      </c>
      <c r="AZ49" s="4">
        <f t="shared" si="125"/>
        <v>21.303019104679265</v>
      </c>
    </row>
    <row r="50" spans="2:147" s="1" customFormat="1" x14ac:dyDescent="0.3">
      <c r="B50" s="1" t="s">
        <v>81</v>
      </c>
      <c r="T50" s="8">
        <f t="shared" ref="T50:AB50" si="126">T48-T49</f>
        <v>53.79999999999999</v>
      </c>
      <c r="U50" s="8">
        <f t="shared" si="126"/>
        <v>-30.29999999999999</v>
      </c>
      <c r="V50" s="8">
        <f t="shared" si="126"/>
        <v>-26.999999999999986</v>
      </c>
      <c r="W50" s="8">
        <f t="shared" si="126"/>
        <v>14.999999999999975</v>
      </c>
      <c r="X50" s="8">
        <f t="shared" si="126"/>
        <v>53.600000000000037</v>
      </c>
      <c r="Y50" s="8">
        <f t="shared" si="126"/>
        <v>15.600000000000035</v>
      </c>
      <c r="Z50" s="8">
        <f t="shared" si="126"/>
        <v>26.90000000000002</v>
      </c>
      <c r="AA50" s="8">
        <f t="shared" si="126"/>
        <v>-41.499999999999972</v>
      </c>
      <c r="AB50" s="8">
        <f t="shared" si="126"/>
        <v>32.899999999999956</v>
      </c>
      <c r="AC50" s="8"/>
      <c r="AD50" s="8"/>
      <c r="AE50" s="8"/>
      <c r="AF50" s="8"/>
      <c r="AK50" s="8">
        <f t="shared" ref="AK50:AQ50" si="127">AK48-AK49</f>
        <v>263.10000000000002</v>
      </c>
      <c r="AL50" s="8">
        <f t="shared" si="127"/>
        <v>110.00000000000001</v>
      </c>
      <c r="AM50" s="8">
        <f t="shared" si="127"/>
        <v>-7.1000000000001613</v>
      </c>
      <c r="AN50" s="8">
        <f t="shared" si="127"/>
        <v>80.199999999999932</v>
      </c>
      <c r="AO50" s="8">
        <f t="shared" si="127"/>
        <v>-71.999999999999844</v>
      </c>
      <c r="AP50" s="8">
        <f t="shared" si="127"/>
        <v>19.499999999999932</v>
      </c>
      <c r="AQ50" s="8">
        <f t="shared" si="127"/>
        <v>-18.977062759999995</v>
      </c>
      <c r="AR50" s="8">
        <f t="shared" ref="AR50:AZ50" si="128">AR48-AR49</f>
        <v>14.686396735999963</v>
      </c>
      <c r="AS50" s="8">
        <f t="shared" si="128"/>
        <v>51.924688594000017</v>
      </c>
      <c r="AT50" s="8">
        <f t="shared" si="128"/>
        <v>60.226702757102004</v>
      </c>
      <c r="AU50" s="8">
        <f t="shared" si="128"/>
        <v>67.755787646268388</v>
      </c>
      <c r="AV50" s="8">
        <f t="shared" si="128"/>
        <v>75.495049030628394</v>
      </c>
      <c r="AW50" s="8">
        <f t="shared" si="128"/>
        <v>83.449176866732017</v>
      </c>
      <c r="AX50" s="8">
        <f t="shared" si="128"/>
        <v>91.62295648888697</v>
      </c>
      <c r="AY50" s="8">
        <f t="shared" si="128"/>
        <v>100.02127043393106</v>
      </c>
      <c r="AZ50" s="8">
        <f t="shared" si="128"/>
        <v>108.64910029871413</v>
      </c>
      <c r="BA50" s="1">
        <f>AZ50*(1+$BC$24)</f>
        <v>107.56260929572699</v>
      </c>
      <c r="BB50" s="1">
        <f t="shared" ref="BB50:DM50" si="129">BA50*(1+$BC$24)</f>
        <v>106.48698320276972</v>
      </c>
      <c r="BC50" s="1">
        <f t="shared" si="129"/>
        <v>105.42211337074203</v>
      </c>
      <c r="BD50" s="1">
        <f t="shared" si="129"/>
        <v>104.36789223703461</v>
      </c>
      <c r="BE50" s="1">
        <f t="shared" si="129"/>
        <v>103.32421331466426</v>
      </c>
      <c r="BF50" s="1">
        <f t="shared" si="129"/>
        <v>102.29097118151762</v>
      </c>
      <c r="BG50" s="1">
        <f t="shared" si="129"/>
        <v>101.26806146970245</v>
      </c>
      <c r="BH50" s="1">
        <f t="shared" si="129"/>
        <v>100.25538085500541</v>
      </c>
      <c r="BI50" s="1">
        <f t="shared" si="129"/>
        <v>99.252827046455351</v>
      </c>
      <c r="BJ50" s="1">
        <f t="shared" si="129"/>
        <v>98.26029877599079</v>
      </c>
      <c r="BK50" s="1">
        <f t="shared" si="129"/>
        <v>97.277695788230886</v>
      </c>
      <c r="BL50" s="1">
        <f t="shared" si="129"/>
        <v>96.304918830348583</v>
      </c>
      <c r="BM50" s="1">
        <f t="shared" si="129"/>
        <v>95.341869642045097</v>
      </c>
      <c r="BN50" s="1">
        <f t="shared" si="129"/>
        <v>94.388450945624641</v>
      </c>
      <c r="BO50" s="1">
        <f t="shared" si="129"/>
        <v>93.444566436168387</v>
      </c>
      <c r="BP50" s="1">
        <f t="shared" si="129"/>
        <v>92.510120771806697</v>
      </c>
      <c r="BQ50" s="1">
        <f t="shared" si="129"/>
        <v>91.585019564088626</v>
      </c>
      <c r="BR50" s="1">
        <f t="shared" si="129"/>
        <v>90.66916936844774</v>
      </c>
      <c r="BS50" s="1">
        <f t="shared" si="129"/>
        <v>89.762477674763261</v>
      </c>
      <c r="BT50" s="1">
        <f t="shared" si="129"/>
        <v>88.864852898015627</v>
      </c>
      <c r="BU50" s="1">
        <f t="shared" si="129"/>
        <v>87.976204369035472</v>
      </c>
      <c r="BV50" s="1">
        <f t="shared" si="129"/>
        <v>87.096442325345123</v>
      </c>
      <c r="BW50" s="1">
        <f t="shared" si="129"/>
        <v>86.225477902091669</v>
      </c>
      <c r="BX50" s="1">
        <f t="shared" si="129"/>
        <v>85.363223123070753</v>
      </c>
      <c r="BY50" s="1">
        <f t="shared" si="129"/>
        <v>84.509590891840048</v>
      </c>
      <c r="BZ50" s="1">
        <f t="shared" si="129"/>
        <v>83.664494982921653</v>
      </c>
      <c r="CA50" s="1">
        <f t="shared" si="129"/>
        <v>82.827850033092432</v>
      </c>
      <c r="CB50" s="1">
        <f t="shared" si="129"/>
        <v>81.999571532761507</v>
      </c>
      <c r="CC50" s="1">
        <f t="shared" si="129"/>
        <v>81.179575817433886</v>
      </c>
      <c r="CD50" s="1">
        <f t="shared" si="129"/>
        <v>80.367780059259545</v>
      </c>
      <c r="CE50" s="1">
        <f t="shared" si="129"/>
        <v>79.564102258666949</v>
      </c>
      <c r="CF50" s="1">
        <f t="shared" si="129"/>
        <v>78.768461236080284</v>
      </c>
      <c r="CG50" s="1">
        <f t="shared" si="129"/>
        <v>77.980776623719478</v>
      </c>
      <c r="CH50" s="1">
        <f t="shared" si="129"/>
        <v>77.20096885748228</v>
      </c>
      <c r="CI50" s="1">
        <f t="shared" si="129"/>
        <v>76.428959168907454</v>
      </c>
      <c r="CJ50" s="1">
        <f t="shared" si="129"/>
        <v>75.664669577218376</v>
      </c>
      <c r="CK50" s="1">
        <f t="shared" si="129"/>
        <v>74.908022881446186</v>
      </c>
      <c r="CL50" s="1">
        <f t="shared" si="129"/>
        <v>74.158942652631723</v>
      </c>
      <c r="CM50" s="1">
        <f t="shared" si="129"/>
        <v>73.417353226105405</v>
      </c>
      <c r="CN50" s="1">
        <f t="shared" si="129"/>
        <v>72.683179693844352</v>
      </c>
      <c r="CO50" s="1">
        <f t="shared" si="129"/>
        <v>71.95634789690591</v>
      </c>
      <c r="CP50" s="1">
        <f t="shared" si="129"/>
        <v>71.236784417936846</v>
      </c>
      <c r="CQ50" s="1">
        <f t="shared" si="129"/>
        <v>70.524416573757478</v>
      </c>
      <c r="CR50" s="1">
        <f t="shared" si="129"/>
        <v>69.819172408019895</v>
      </c>
      <c r="CS50" s="1">
        <f t="shared" si="129"/>
        <v>69.120980683939692</v>
      </c>
      <c r="CT50" s="1">
        <f t="shared" si="129"/>
        <v>68.429770877100296</v>
      </c>
      <c r="CU50" s="1">
        <f t="shared" si="129"/>
        <v>67.745473168329298</v>
      </c>
      <c r="CV50" s="1">
        <f t="shared" si="129"/>
        <v>67.068018436646</v>
      </c>
      <c r="CW50" s="1">
        <f t="shared" si="129"/>
        <v>66.397338252279539</v>
      </c>
      <c r="CX50" s="1">
        <f t="shared" si="129"/>
        <v>65.733364869756741</v>
      </c>
      <c r="CY50" s="1">
        <f t="shared" si="129"/>
        <v>65.076031221059168</v>
      </c>
      <c r="CZ50" s="1">
        <f t="shared" si="129"/>
        <v>64.425270908848574</v>
      </c>
      <c r="DA50" s="1">
        <f t="shared" si="129"/>
        <v>63.781018199760091</v>
      </c>
      <c r="DB50" s="1">
        <f t="shared" si="129"/>
        <v>63.14320801776249</v>
      </c>
      <c r="DC50" s="1">
        <f t="shared" si="129"/>
        <v>62.511775937584865</v>
      </c>
      <c r="DD50" s="1">
        <f t="shared" si="129"/>
        <v>61.886658178209018</v>
      </c>
      <c r="DE50" s="1">
        <f t="shared" si="129"/>
        <v>61.267791596426925</v>
      </c>
      <c r="DF50" s="1">
        <f t="shared" si="129"/>
        <v>60.655113680462655</v>
      </c>
      <c r="DG50" s="1">
        <f t="shared" si="129"/>
        <v>60.048562543658029</v>
      </c>
      <c r="DH50" s="1">
        <f t="shared" si="129"/>
        <v>59.448076918221446</v>
      </c>
      <c r="DI50" s="1">
        <f t="shared" si="129"/>
        <v>58.853596149039234</v>
      </c>
      <c r="DJ50" s="1">
        <f t="shared" si="129"/>
        <v>58.265060187548841</v>
      </c>
      <c r="DK50" s="1">
        <f t="shared" si="129"/>
        <v>57.682409585673355</v>
      </c>
      <c r="DL50" s="1">
        <f t="shared" si="129"/>
        <v>57.105585489816619</v>
      </c>
      <c r="DM50" s="1">
        <f t="shared" si="129"/>
        <v>56.534529634918449</v>
      </c>
      <c r="DN50" s="1">
        <f t="shared" ref="DN50:EQ50" si="130">DM50*(1+$BC$24)</f>
        <v>55.969184338569264</v>
      </c>
      <c r="DO50" s="1">
        <f t="shared" si="130"/>
        <v>55.409492495183571</v>
      </c>
      <c r="DP50" s="1">
        <f t="shared" si="130"/>
        <v>54.855397570231737</v>
      </c>
      <c r="DQ50" s="1">
        <f t="shared" si="130"/>
        <v>54.306843594529418</v>
      </c>
      <c r="DR50" s="1">
        <f t="shared" si="130"/>
        <v>53.763775158584124</v>
      </c>
      <c r="DS50" s="1">
        <f t="shared" si="130"/>
        <v>53.226137406998284</v>
      </c>
      <c r="DT50" s="1">
        <f t="shared" si="130"/>
        <v>52.693876032928301</v>
      </c>
      <c r="DU50" s="1">
        <f t="shared" si="130"/>
        <v>52.166937272599014</v>
      </c>
      <c r="DV50" s="1">
        <f t="shared" si="130"/>
        <v>51.645267899873026</v>
      </c>
      <c r="DW50" s="1">
        <f t="shared" si="130"/>
        <v>51.128815220874294</v>
      </c>
      <c r="DX50" s="1">
        <f t="shared" si="130"/>
        <v>50.617527068665552</v>
      </c>
      <c r="DY50" s="1">
        <f t="shared" si="130"/>
        <v>50.111351797978898</v>
      </c>
      <c r="DZ50" s="1">
        <f t="shared" si="130"/>
        <v>49.610238279999109</v>
      </c>
      <c r="EA50" s="1">
        <f t="shared" si="130"/>
        <v>49.11413589719912</v>
      </c>
      <c r="EB50" s="1">
        <f t="shared" si="130"/>
        <v>48.622994538227125</v>
      </c>
      <c r="EC50" s="1">
        <f t="shared" si="130"/>
        <v>48.136764592844855</v>
      </c>
      <c r="ED50" s="1">
        <f t="shared" si="130"/>
        <v>47.655396946916404</v>
      </c>
      <c r="EE50" s="1">
        <f t="shared" si="130"/>
        <v>47.178842977447239</v>
      </c>
      <c r="EF50" s="1">
        <f t="shared" si="130"/>
        <v>46.707054547672769</v>
      </c>
      <c r="EG50" s="1">
        <f t="shared" si="130"/>
        <v>46.239984002196039</v>
      </c>
      <c r="EH50" s="1">
        <f t="shared" si="130"/>
        <v>45.77758416217408</v>
      </c>
      <c r="EI50" s="1">
        <f t="shared" si="130"/>
        <v>45.31980832055234</v>
      </c>
      <c r="EJ50" s="1">
        <f t="shared" si="130"/>
        <v>44.866610237346819</v>
      </c>
      <c r="EK50" s="1">
        <f t="shared" si="130"/>
        <v>44.417944134973354</v>
      </c>
      <c r="EL50" s="1">
        <f t="shared" si="130"/>
        <v>43.973764693623622</v>
      </c>
      <c r="EM50" s="1">
        <f t="shared" si="130"/>
        <v>43.534027046687385</v>
      </c>
      <c r="EN50" s="1">
        <f t="shared" si="130"/>
        <v>43.098686776220511</v>
      </c>
      <c r="EO50" s="1">
        <f t="shared" si="130"/>
        <v>42.667699908458303</v>
      </c>
      <c r="EP50" s="1">
        <f t="shared" si="130"/>
        <v>42.241022909373719</v>
      </c>
      <c r="EQ50" s="1">
        <f t="shared" si="130"/>
        <v>41.818612680279983</v>
      </c>
    </row>
    <row r="52" spans="2:147" x14ac:dyDescent="0.3">
      <c r="BB52" t="s">
        <v>83</v>
      </c>
      <c r="BC52" s="4">
        <f>NPV(BC25,AP50:EQ50)</f>
        <v>581.55785087338427</v>
      </c>
    </row>
    <row r="53" spans="2:147" x14ac:dyDescent="0.3">
      <c r="W53" s="4"/>
      <c r="AA53" s="4"/>
      <c r="BB53" t="s">
        <v>41</v>
      </c>
      <c r="BC53" s="4">
        <f>Main!D8</f>
        <v>-22.700000000000003</v>
      </c>
    </row>
    <row r="54" spans="2:147" x14ac:dyDescent="0.3">
      <c r="BB54" t="s">
        <v>42</v>
      </c>
      <c r="BC54" s="4">
        <f>BC52+BC53</f>
        <v>558.85785087338422</v>
      </c>
    </row>
    <row r="55" spans="2:147" x14ac:dyDescent="0.3">
      <c r="BB55" t="s">
        <v>43</v>
      </c>
      <c r="BC55" s="5">
        <f>BC54/AZ17</f>
        <v>5.242568957536438</v>
      </c>
    </row>
    <row r="56" spans="2:147" x14ac:dyDescent="0.3">
      <c r="BB56" t="s">
        <v>44</v>
      </c>
      <c r="BC56" s="5">
        <f>Main!D3</f>
        <v>6.79</v>
      </c>
    </row>
    <row r="57" spans="2:147" x14ac:dyDescent="0.3">
      <c r="BB57" s="1" t="s">
        <v>45</v>
      </c>
      <c r="BC57" s="10">
        <f>BC55/BC56-1</f>
        <v>-0.22789853349978817</v>
      </c>
    </row>
    <row r="58" spans="2:147" x14ac:dyDescent="0.3">
      <c r="BC58" s="6" t="s">
        <v>97</v>
      </c>
    </row>
    <row r="66" spans="2:2" x14ac:dyDescent="0.3">
      <c r="B66" s="1"/>
    </row>
    <row r="68" spans="2:2" x14ac:dyDescent="0.3">
      <c r="B68" s="1"/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2021-03-10T21:07:24Z</dcterms:created>
  <dcterms:modified xsi:type="dcterms:W3CDTF">2026-02-14T11:55:53Z</dcterms:modified>
</cp:coreProperties>
</file>