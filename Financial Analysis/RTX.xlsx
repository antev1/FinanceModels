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EC3DF538-6C94-44E7-A8A9-6587148DFBBD}" xr6:coauthVersionLast="47" xr6:coauthVersionMax="47" xr10:uidLastSave="{00000000-0000-0000-0000-000000000000}"/>
  <bookViews>
    <workbookView xWindow="-108" yWindow="-108" windowWidth="23256" windowHeight="12576" activeTab="1" xr2:uid="{4DC2FBA0-6E3D-459B-9C6A-21AC42B1058B}"/>
  </bookViews>
  <sheets>
    <sheet name="Main" sheetId="1" r:id="rId1"/>
    <sheet name="Model" sheetId="2" r:id="rId2"/>
    <sheet name="Charts" sheetId="3" r:id="rId3"/>
    <sheet name="Products" sheetId="4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Y16" i="2" l="1"/>
  <c r="Z16" i="2"/>
  <c r="X24" i="2"/>
  <c r="Y24" i="2"/>
  <c r="Z24" i="2"/>
  <c r="AA18" i="2"/>
  <c r="AA36" i="2"/>
  <c r="R43" i="2"/>
  <c r="Q43" i="2"/>
  <c r="Q38" i="2"/>
  <c r="Q37" i="2"/>
  <c r="Q33" i="2"/>
  <c r="Q52" i="2" s="1"/>
  <c r="Q26" i="2"/>
  <c r="Q29" i="2" s="1"/>
  <c r="Q27" i="2"/>
  <c r="Q47" i="2" s="1"/>
  <c r="F41" i="2"/>
  <c r="F40" i="2"/>
  <c r="F38" i="2"/>
  <c r="F37" i="2"/>
  <c r="F36" i="2"/>
  <c r="F34" i="2"/>
  <c r="F33" i="2"/>
  <c r="F30" i="2"/>
  <c r="F29" i="2"/>
  <c r="F27" i="2"/>
  <c r="F26" i="2"/>
  <c r="J41" i="2"/>
  <c r="J40" i="2"/>
  <c r="J38" i="2"/>
  <c r="J37" i="2"/>
  <c r="J36" i="2"/>
  <c r="J34" i="2"/>
  <c r="J33" i="2"/>
  <c r="J30" i="2"/>
  <c r="J29" i="2"/>
  <c r="J27" i="2"/>
  <c r="J26" i="2"/>
  <c r="N41" i="2"/>
  <c r="N40" i="2"/>
  <c r="N38" i="2"/>
  <c r="R38" i="2" s="1"/>
  <c r="N37" i="2"/>
  <c r="R37" i="2" s="1"/>
  <c r="N36" i="2"/>
  <c r="N34" i="2"/>
  <c r="N33" i="2"/>
  <c r="R33" i="2" s="1"/>
  <c r="N30" i="2"/>
  <c r="N29" i="2"/>
  <c r="N27" i="2"/>
  <c r="R27" i="2" s="1"/>
  <c r="N26" i="2"/>
  <c r="C50" i="2"/>
  <c r="C49" i="2"/>
  <c r="D50" i="2"/>
  <c r="D49" i="2"/>
  <c r="E50" i="2"/>
  <c r="E49" i="2"/>
  <c r="G52" i="2"/>
  <c r="G50" i="2"/>
  <c r="G49" i="2"/>
  <c r="G47" i="2"/>
  <c r="G46" i="2"/>
  <c r="H52" i="2"/>
  <c r="H50" i="2"/>
  <c r="H49" i="2"/>
  <c r="H47" i="2"/>
  <c r="H46" i="2"/>
  <c r="I52" i="2"/>
  <c r="I50" i="2"/>
  <c r="I49" i="2"/>
  <c r="I47" i="2"/>
  <c r="K52" i="2"/>
  <c r="K50" i="2"/>
  <c r="K49" i="2"/>
  <c r="K47" i="2"/>
  <c r="K46" i="2"/>
  <c r="L52" i="2"/>
  <c r="L50" i="2"/>
  <c r="L49" i="2"/>
  <c r="L47" i="2"/>
  <c r="L46" i="2"/>
  <c r="M52" i="2"/>
  <c r="M50" i="2"/>
  <c r="M49" i="2"/>
  <c r="M47" i="2"/>
  <c r="O52" i="2"/>
  <c r="O50" i="2"/>
  <c r="O49" i="2"/>
  <c r="O47" i="2"/>
  <c r="O46" i="2"/>
  <c r="D31" i="2"/>
  <c r="D28" i="2"/>
  <c r="D53" i="2" s="1"/>
  <c r="E31" i="2"/>
  <c r="E28" i="2"/>
  <c r="E53" i="2" s="1"/>
  <c r="C31" i="2"/>
  <c r="C28" i="2"/>
  <c r="C53" i="2" s="1"/>
  <c r="G31" i="2"/>
  <c r="G28" i="2"/>
  <c r="P52" i="2"/>
  <c r="P50" i="2"/>
  <c r="P49" i="2"/>
  <c r="P47" i="2"/>
  <c r="P46" i="2"/>
  <c r="AK43" i="2"/>
  <c r="AJ43" i="2"/>
  <c r="AI43" i="2"/>
  <c r="AH43" i="2"/>
  <c r="AG43" i="2"/>
  <c r="AF43" i="2"/>
  <c r="AE43" i="2"/>
  <c r="AD43" i="2"/>
  <c r="AC43" i="2"/>
  <c r="AB43" i="2"/>
  <c r="AA43" i="2"/>
  <c r="P43" i="2"/>
  <c r="P31" i="2"/>
  <c r="P28" i="2"/>
  <c r="D7" i="1"/>
  <c r="D6" i="1"/>
  <c r="D4" i="1"/>
  <c r="AO54" i="2"/>
  <c r="I31" i="2"/>
  <c r="I28" i="2"/>
  <c r="I53" i="2" s="1"/>
  <c r="M31" i="2"/>
  <c r="M28" i="2"/>
  <c r="K31" i="2"/>
  <c r="K28" i="2"/>
  <c r="O31" i="2"/>
  <c r="O28" i="2"/>
  <c r="O53" i="2" s="1"/>
  <c r="U50" i="2"/>
  <c r="U49" i="2"/>
  <c r="Z52" i="2"/>
  <c r="Y52" i="2"/>
  <c r="X52" i="2"/>
  <c r="W52" i="2"/>
  <c r="Z50" i="2"/>
  <c r="Y50" i="2"/>
  <c r="X50" i="2"/>
  <c r="W50" i="2"/>
  <c r="Z49" i="2"/>
  <c r="Y49" i="2"/>
  <c r="X49" i="2"/>
  <c r="W49" i="2"/>
  <c r="Z47" i="2"/>
  <c r="Y47" i="2"/>
  <c r="X47" i="2"/>
  <c r="W47" i="2"/>
  <c r="Z46" i="2"/>
  <c r="Y46" i="2"/>
  <c r="X46" i="2"/>
  <c r="W46" i="2"/>
  <c r="V52" i="2"/>
  <c r="V47" i="2"/>
  <c r="V46" i="2"/>
  <c r="V50" i="2"/>
  <c r="V49" i="2"/>
  <c r="U43" i="2"/>
  <c r="U31" i="2"/>
  <c r="U28" i="2"/>
  <c r="V36" i="2"/>
  <c r="V43" i="2"/>
  <c r="V31" i="2"/>
  <c r="V28" i="2"/>
  <c r="W38" i="2"/>
  <c r="W43" i="2"/>
  <c r="W31" i="2"/>
  <c r="W28" i="2"/>
  <c r="X43" i="2"/>
  <c r="X31" i="2"/>
  <c r="X28" i="2"/>
  <c r="X6" i="2" s="1"/>
  <c r="Y43" i="2"/>
  <c r="Y31" i="2"/>
  <c r="Y28" i="2"/>
  <c r="Y6" i="2" s="1"/>
  <c r="Z43" i="2"/>
  <c r="Z31" i="2"/>
  <c r="Z28" i="2"/>
  <c r="Z53" i="2" s="1"/>
  <c r="D5" i="1"/>
  <c r="H31" i="2"/>
  <c r="H28" i="2"/>
  <c r="L31" i="2"/>
  <c r="L28" i="2"/>
  <c r="L53" i="2" s="1"/>
  <c r="F3" i="1"/>
  <c r="J46" i="2" l="1"/>
  <c r="Z6" i="2"/>
  <c r="Y4" i="2"/>
  <c r="Z4" i="2"/>
  <c r="X4" i="2"/>
  <c r="F50" i="2"/>
  <c r="J52" i="2"/>
  <c r="J47" i="2"/>
  <c r="M48" i="2"/>
  <c r="N31" i="2"/>
  <c r="H48" i="2"/>
  <c r="AA38" i="2"/>
  <c r="AB38" i="2" s="1"/>
  <c r="AC38" i="2" s="1"/>
  <c r="AD38" i="2" s="1"/>
  <c r="AE38" i="2" s="1"/>
  <c r="AF38" i="2" s="1"/>
  <c r="AG38" i="2" s="1"/>
  <c r="AH38" i="2" s="1"/>
  <c r="AI38" i="2" s="1"/>
  <c r="AJ38" i="2" s="1"/>
  <c r="AK38" i="2" s="1"/>
  <c r="G32" i="2"/>
  <c r="G51" i="2" s="1"/>
  <c r="N28" i="2"/>
  <c r="N53" i="2" s="1"/>
  <c r="K48" i="2"/>
  <c r="AA37" i="2"/>
  <c r="AB37" i="2" s="1"/>
  <c r="AC37" i="2" s="1"/>
  <c r="AD37" i="2" s="1"/>
  <c r="AE37" i="2" s="1"/>
  <c r="AF37" i="2" s="1"/>
  <c r="AG37" i="2" s="1"/>
  <c r="AH37" i="2" s="1"/>
  <c r="AI37" i="2" s="1"/>
  <c r="AJ37" i="2" s="1"/>
  <c r="AK37" i="2" s="1"/>
  <c r="P32" i="2"/>
  <c r="P35" i="2" s="1"/>
  <c r="P39" i="2" s="1"/>
  <c r="P42" i="2" s="1"/>
  <c r="P57" i="2" s="1"/>
  <c r="I48" i="2"/>
  <c r="F49" i="2"/>
  <c r="H53" i="2"/>
  <c r="R47" i="2"/>
  <c r="R30" i="2"/>
  <c r="R50" i="2" s="1"/>
  <c r="AA33" i="2"/>
  <c r="R52" i="2"/>
  <c r="P48" i="2"/>
  <c r="L48" i="2"/>
  <c r="K53" i="2"/>
  <c r="Q30" i="2"/>
  <c r="Q50" i="2" s="1"/>
  <c r="Q49" i="2"/>
  <c r="O48" i="2"/>
  <c r="N46" i="2"/>
  <c r="M53" i="2"/>
  <c r="G53" i="2"/>
  <c r="R26" i="2"/>
  <c r="AA26" i="2" s="1"/>
  <c r="Q46" i="2"/>
  <c r="P53" i="2"/>
  <c r="E32" i="2"/>
  <c r="E51" i="2" s="1"/>
  <c r="N49" i="2"/>
  <c r="J31" i="2"/>
  <c r="Q28" i="2"/>
  <c r="AA27" i="2"/>
  <c r="J28" i="2"/>
  <c r="J53" i="2" s="1"/>
  <c r="G48" i="2"/>
  <c r="F28" i="2"/>
  <c r="F53" i="2" s="1"/>
  <c r="F31" i="2"/>
  <c r="J49" i="2"/>
  <c r="N52" i="2"/>
  <c r="N50" i="2"/>
  <c r="N47" i="2"/>
  <c r="J50" i="2"/>
  <c r="D32" i="2"/>
  <c r="D51" i="2" s="1"/>
  <c r="C32" i="2"/>
  <c r="C51" i="2" s="1"/>
  <c r="I32" i="2"/>
  <c r="I51" i="2" s="1"/>
  <c r="M32" i="2"/>
  <c r="K32" i="2"/>
  <c r="K51" i="2" s="1"/>
  <c r="O32" i="2"/>
  <c r="L32" i="2"/>
  <c r="W53" i="2"/>
  <c r="Z48" i="2"/>
  <c r="U53" i="2"/>
  <c r="X53" i="2"/>
  <c r="V48" i="2"/>
  <c r="Y53" i="2"/>
  <c r="V53" i="2"/>
  <c r="W48" i="2"/>
  <c r="X48" i="2"/>
  <c r="Y48" i="2"/>
  <c r="D8" i="1"/>
  <c r="AO51" i="2" s="1"/>
  <c r="U32" i="2"/>
  <c r="V32" i="2"/>
  <c r="W32" i="2"/>
  <c r="X32" i="2"/>
  <c r="Y32" i="2"/>
  <c r="Z32" i="2"/>
  <c r="H32" i="2"/>
  <c r="H51" i="2" s="1"/>
  <c r="N32" i="2" l="1"/>
  <c r="N51" i="2" s="1"/>
  <c r="P44" i="2"/>
  <c r="P54" i="2"/>
  <c r="P56" i="2"/>
  <c r="G35" i="2"/>
  <c r="G54" i="2" s="1"/>
  <c r="J32" i="2"/>
  <c r="J35" i="2" s="1"/>
  <c r="N48" i="2"/>
  <c r="P51" i="2"/>
  <c r="P55" i="2"/>
  <c r="O35" i="2"/>
  <c r="O51" i="2"/>
  <c r="AA28" i="2"/>
  <c r="AB26" i="2"/>
  <c r="AA46" i="2"/>
  <c r="E35" i="2"/>
  <c r="E54" i="2" s="1"/>
  <c r="AA47" i="2"/>
  <c r="AB27" i="2"/>
  <c r="Q31" i="2"/>
  <c r="Q32" i="2" s="1"/>
  <c r="AA30" i="2"/>
  <c r="AA50" i="2" s="1"/>
  <c r="AB33" i="2"/>
  <c r="AA52" i="2"/>
  <c r="L35" i="2"/>
  <c r="L51" i="2"/>
  <c r="M35" i="2"/>
  <c r="M51" i="2"/>
  <c r="Q34" i="2"/>
  <c r="Q48" i="2"/>
  <c r="R28" i="2"/>
  <c r="R46" i="2"/>
  <c r="R29" i="2"/>
  <c r="J48" i="2"/>
  <c r="F32" i="2"/>
  <c r="F51" i="2" s="1"/>
  <c r="N35" i="2"/>
  <c r="D35" i="2"/>
  <c r="D54" i="2" s="1"/>
  <c r="C35" i="2"/>
  <c r="C54" i="2" s="1"/>
  <c r="D9" i="1"/>
  <c r="P63" i="2" s="1"/>
  <c r="I35" i="2"/>
  <c r="I54" i="2" s="1"/>
  <c r="K35" i="2"/>
  <c r="H35" i="2"/>
  <c r="H54" i="2" s="1"/>
  <c r="Z35" i="2"/>
  <c r="Z51" i="2"/>
  <c r="U35" i="2"/>
  <c r="U51" i="2"/>
  <c r="Y35" i="2"/>
  <c r="Y51" i="2"/>
  <c r="X35" i="2"/>
  <c r="X51" i="2"/>
  <c r="W35" i="2"/>
  <c r="W51" i="2"/>
  <c r="V35" i="2"/>
  <c r="V51" i="2"/>
  <c r="J51" i="2" l="1"/>
  <c r="G39" i="2"/>
  <c r="G56" i="2" s="1"/>
  <c r="E39" i="2"/>
  <c r="E42" i="2" s="1"/>
  <c r="E57" i="2" s="1"/>
  <c r="Q53" i="2"/>
  <c r="AC27" i="2"/>
  <c r="AB30" i="2"/>
  <c r="AB50" i="2" s="1"/>
  <c r="AB47" i="2"/>
  <c r="R31" i="2"/>
  <c r="R32" i="2" s="1"/>
  <c r="AA29" i="2"/>
  <c r="K39" i="2"/>
  <c r="K42" i="2" s="1"/>
  <c r="K57" i="2" s="1"/>
  <c r="K54" i="2"/>
  <c r="L39" i="2"/>
  <c r="L54" i="2"/>
  <c r="Q35" i="2"/>
  <c r="Q51" i="2"/>
  <c r="R34" i="2"/>
  <c r="R53" i="2" s="1"/>
  <c r="R48" i="2"/>
  <c r="R49" i="2"/>
  <c r="AC33" i="2"/>
  <c r="AB52" i="2"/>
  <c r="AC26" i="2"/>
  <c r="AB29" i="2"/>
  <c r="AB49" i="2" s="1"/>
  <c r="AB46" i="2"/>
  <c r="AB28" i="2"/>
  <c r="O39" i="2"/>
  <c r="O54" i="2"/>
  <c r="M39" i="2"/>
  <c r="M54" i="2"/>
  <c r="AA48" i="2"/>
  <c r="P62" i="2"/>
  <c r="F35" i="2"/>
  <c r="F39" i="2" s="1"/>
  <c r="F56" i="2" s="1"/>
  <c r="N39" i="2"/>
  <c r="N56" i="2" s="1"/>
  <c r="N54" i="2"/>
  <c r="J54" i="2"/>
  <c r="J39" i="2"/>
  <c r="J56" i="2" s="1"/>
  <c r="D39" i="2"/>
  <c r="C39" i="2"/>
  <c r="I39" i="2"/>
  <c r="Y39" i="2"/>
  <c r="Y56" i="2" s="1"/>
  <c r="Y54" i="2"/>
  <c r="V39" i="2"/>
  <c r="V56" i="2" s="1"/>
  <c r="V54" i="2"/>
  <c r="U39" i="2"/>
  <c r="U56" i="2" s="1"/>
  <c r="U54" i="2"/>
  <c r="W39" i="2"/>
  <c r="W56" i="2" s="1"/>
  <c r="W54" i="2"/>
  <c r="Z39" i="2"/>
  <c r="Z56" i="2" s="1"/>
  <c r="Z54" i="2"/>
  <c r="X39" i="2"/>
  <c r="X56" i="2" s="1"/>
  <c r="X54" i="2"/>
  <c r="H39" i="2"/>
  <c r="E56" i="2" l="1"/>
  <c r="E55" i="2"/>
  <c r="AA34" i="2"/>
  <c r="AA53" i="2" s="1"/>
  <c r="G55" i="2"/>
  <c r="G42" i="2"/>
  <c r="G57" i="2" s="1"/>
  <c r="D55" i="2"/>
  <c r="D56" i="2"/>
  <c r="AB48" i="2"/>
  <c r="AB34" i="2"/>
  <c r="AB53" i="2" s="1"/>
  <c r="M42" i="2"/>
  <c r="M55" i="2"/>
  <c r="M56" i="2"/>
  <c r="AD26" i="2"/>
  <c r="AC29" i="2"/>
  <c r="AC49" i="2" s="1"/>
  <c r="AC46" i="2"/>
  <c r="AC28" i="2"/>
  <c r="Q39" i="2"/>
  <c r="Q54" i="2"/>
  <c r="O42" i="2"/>
  <c r="O56" i="2"/>
  <c r="O55" i="2"/>
  <c r="R51" i="2"/>
  <c r="R35" i="2"/>
  <c r="C56" i="2"/>
  <c r="C55" i="2"/>
  <c r="AD33" i="2"/>
  <c r="AC52" i="2"/>
  <c r="L42" i="2"/>
  <c r="L56" i="2"/>
  <c r="L55" i="2"/>
  <c r="AB31" i="2"/>
  <c r="AB32" i="2" s="1"/>
  <c r="K55" i="2"/>
  <c r="K56" i="2"/>
  <c r="I55" i="2"/>
  <c r="I56" i="2"/>
  <c r="AA31" i="2"/>
  <c r="AA32" i="2" s="1"/>
  <c r="AA49" i="2"/>
  <c r="H55" i="2"/>
  <c r="H56" i="2"/>
  <c r="AD27" i="2"/>
  <c r="AC30" i="2"/>
  <c r="AC47" i="2"/>
  <c r="F54" i="2"/>
  <c r="F42" i="2"/>
  <c r="F55" i="2"/>
  <c r="N42" i="2"/>
  <c r="N55" i="2"/>
  <c r="J42" i="2"/>
  <c r="J55" i="2"/>
  <c r="D42" i="2"/>
  <c r="D57" i="2" s="1"/>
  <c r="E44" i="2"/>
  <c r="C42" i="2"/>
  <c r="C57" i="2" s="1"/>
  <c r="G44" i="2"/>
  <c r="I42" i="2"/>
  <c r="I57" i="2" s="1"/>
  <c r="K44" i="2"/>
  <c r="H42" i="2"/>
  <c r="H57" i="2" s="1"/>
  <c r="W42" i="2"/>
  <c r="W55" i="2"/>
  <c r="X42" i="2"/>
  <c r="X55" i="2"/>
  <c r="V42" i="2"/>
  <c r="V55" i="2"/>
  <c r="U42" i="2"/>
  <c r="U55" i="2"/>
  <c r="Z42" i="2"/>
  <c r="Z55" i="2"/>
  <c r="Y42" i="2"/>
  <c r="Y55" i="2"/>
  <c r="AB51" i="2" l="1"/>
  <c r="AB35" i="2"/>
  <c r="AA51" i="2"/>
  <c r="AA35" i="2"/>
  <c r="L44" i="2"/>
  <c r="L57" i="2"/>
  <c r="AE26" i="2"/>
  <c r="AD29" i="2"/>
  <c r="AD49" i="2" s="1"/>
  <c r="AD46" i="2"/>
  <c r="AD28" i="2"/>
  <c r="O44" i="2"/>
  <c r="O57" i="2"/>
  <c r="AC31" i="2"/>
  <c r="AC32" i="2" s="1"/>
  <c r="AC50" i="2"/>
  <c r="Q41" i="2"/>
  <c r="Q40" i="2"/>
  <c r="M44" i="2"/>
  <c r="M57" i="2"/>
  <c r="AE27" i="2"/>
  <c r="AD30" i="2"/>
  <c r="AD47" i="2"/>
  <c r="AC48" i="2"/>
  <c r="AC34" i="2"/>
  <c r="AC53" i="2" s="1"/>
  <c r="AE33" i="2"/>
  <c r="AD52" i="2"/>
  <c r="R39" i="2"/>
  <c r="R54" i="2"/>
  <c r="F57" i="2"/>
  <c r="F44" i="2"/>
  <c r="N44" i="2"/>
  <c r="N57" i="2"/>
  <c r="J44" i="2"/>
  <c r="J57" i="2"/>
  <c r="D44" i="2"/>
  <c r="C44" i="2"/>
  <c r="I44" i="2"/>
  <c r="V44" i="2"/>
  <c r="V57" i="2"/>
  <c r="X44" i="2"/>
  <c r="X57" i="2"/>
  <c r="W44" i="2"/>
  <c r="W57" i="2"/>
  <c r="U44" i="2"/>
  <c r="U57" i="2"/>
  <c r="Y44" i="2"/>
  <c r="Y57" i="2"/>
  <c r="Z44" i="2"/>
  <c r="Z57" i="2"/>
  <c r="H44" i="2"/>
  <c r="AC51" i="2" l="1"/>
  <c r="AC35" i="2"/>
  <c r="Q55" i="2"/>
  <c r="Q56" i="2"/>
  <c r="AD31" i="2"/>
  <c r="AD32" i="2" s="1"/>
  <c r="AD50" i="2"/>
  <c r="R41" i="2"/>
  <c r="R56" i="2" s="1"/>
  <c r="R40" i="2"/>
  <c r="R55" i="2" s="1"/>
  <c r="AF27" i="2"/>
  <c r="AE30" i="2"/>
  <c r="AE47" i="2"/>
  <c r="AA39" i="2"/>
  <c r="AA54" i="2"/>
  <c r="AF26" i="2"/>
  <c r="AE29" i="2"/>
  <c r="AE49" i="2" s="1"/>
  <c r="AE46" i="2"/>
  <c r="AE28" i="2"/>
  <c r="AE52" i="2"/>
  <c r="AF33" i="2"/>
  <c r="AD48" i="2"/>
  <c r="AD34" i="2"/>
  <c r="AD53" i="2" s="1"/>
  <c r="Q42" i="2"/>
  <c r="AB39" i="2"/>
  <c r="AB54" i="2"/>
  <c r="AA40" i="2" l="1"/>
  <c r="AA55" i="2" s="1"/>
  <c r="AG26" i="2"/>
  <c r="AF29" i="2"/>
  <c r="AF49" i="2" s="1"/>
  <c r="AF46" i="2"/>
  <c r="AF28" i="2"/>
  <c r="AF52" i="2"/>
  <c r="AG33" i="2"/>
  <c r="AE48" i="2"/>
  <c r="AE34" i="2"/>
  <c r="AE53" i="2" s="1"/>
  <c r="AE31" i="2"/>
  <c r="AE32" i="2" s="1"/>
  <c r="AE50" i="2"/>
  <c r="AA41" i="2"/>
  <c r="AA56" i="2" s="1"/>
  <c r="AB40" i="2"/>
  <c r="AB55" i="2" s="1"/>
  <c r="AB41" i="2"/>
  <c r="AB56" i="2" s="1"/>
  <c r="AF47" i="2"/>
  <c r="AG27" i="2"/>
  <c r="AF30" i="2"/>
  <c r="Q44" i="2"/>
  <c r="Q57" i="2"/>
  <c r="AD51" i="2"/>
  <c r="AD35" i="2"/>
  <c r="R42" i="2"/>
  <c r="AC39" i="2"/>
  <c r="AC54" i="2"/>
  <c r="AE51" i="2" l="1"/>
  <c r="AE35" i="2"/>
  <c r="AD39" i="2"/>
  <c r="AD54" i="2"/>
  <c r="AA42" i="2"/>
  <c r="AG29" i="2"/>
  <c r="AG46" i="2"/>
  <c r="AG49" i="2"/>
  <c r="AH26" i="2"/>
  <c r="AG28" i="2"/>
  <c r="AG52" i="2"/>
  <c r="AH33" i="2"/>
  <c r="AF48" i="2"/>
  <c r="AF34" i="2"/>
  <c r="AF53" i="2" s="1"/>
  <c r="AB42" i="2"/>
  <c r="AF31" i="2"/>
  <c r="AF32" i="2" s="1"/>
  <c r="AF50" i="2"/>
  <c r="R44" i="2"/>
  <c r="R57" i="2"/>
  <c r="AC40" i="2"/>
  <c r="AC41" i="2"/>
  <c r="AC56" i="2" s="1"/>
  <c r="AG47" i="2"/>
  <c r="AH27" i="2"/>
  <c r="AG30" i="2"/>
  <c r="AF51" i="2" l="1"/>
  <c r="AF35" i="2"/>
  <c r="AB44" i="2"/>
  <c r="AB57" i="2"/>
  <c r="AC55" i="2"/>
  <c r="AC42" i="2"/>
  <c r="AA57" i="2"/>
  <c r="AA44" i="2"/>
  <c r="AI33" i="2"/>
  <c r="AH52" i="2"/>
  <c r="AD40" i="2"/>
  <c r="AD41" i="2"/>
  <c r="AD56" i="2" s="1"/>
  <c r="AG48" i="2"/>
  <c r="AG34" i="2"/>
  <c r="AG53" i="2" s="1"/>
  <c r="AE39" i="2"/>
  <c r="AE54" i="2"/>
  <c r="AI27" i="2"/>
  <c r="AH47" i="2"/>
  <c r="AH30" i="2"/>
  <c r="AG31" i="2"/>
  <c r="AG32" i="2" s="1"/>
  <c r="AG50" i="2"/>
  <c r="AI26" i="2"/>
  <c r="AH29" i="2"/>
  <c r="AH49" i="2" s="1"/>
  <c r="AH46" i="2"/>
  <c r="AH28" i="2"/>
  <c r="AH31" i="2" l="1"/>
  <c r="AH32" i="2" s="1"/>
  <c r="AG51" i="2"/>
  <c r="AG35" i="2"/>
  <c r="AC44" i="2"/>
  <c r="AC57" i="2"/>
  <c r="AJ26" i="2"/>
  <c r="AI29" i="2"/>
  <c r="AI49" i="2" s="1"/>
  <c r="AI46" i="2"/>
  <c r="AI28" i="2"/>
  <c r="AD55" i="2"/>
  <c r="AD42" i="2"/>
  <c r="AJ27" i="2"/>
  <c r="AI30" i="2"/>
  <c r="AI47" i="2"/>
  <c r="AH50" i="2"/>
  <c r="AH48" i="2"/>
  <c r="AH34" i="2"/>
  <c r="AH53" i="2" s="1"/>
  <c r="AI52" i="2"/>
  <c r="AJ33" i="2"/>
  <c r="AF54" i="2"/>
  <c r="AF39" i="2"/>
  <c r="AE41" i="2"/>
  <c r="AE56" i="2" s="1"/>
  <c r="AE40" i="2"/>
  <c r="AF41" i="2" l="1"/>
  <c r="AF56" i="2" s="1"/>
  <c r="AF40" i="2"/>
  <c r="AF55" i="2" s="1"/>
  <c r="AH51" i="2"/>
  <c r="AH35" i="2"/>
  <c r="AI31" i="2"/>
  <c r="AI32" i="2" s="1"/>
  <c r="AI50" i="2"/>
  <c r="AJ47" i="2"/>
  <c r="AJ30" i="2"/>
  <c r="AK27" i="2"/>
  <c r="AD57" i="2"/>
  <c r="AD44" i="2"/>
  <c r="AE42" i="2"/>
  <c r="AE55" i="2"/>
  <c r="AK26" i="2"/>
  <c r="AJ29" i="2"/>
  <c r="AJ49" i="2" s="1"/>
  <c r="AJ46" i="2"/>
  <c r="AJ28" i="2"/>
  <c r="AK33" i="2"/>
  <c r="AK52" i="2" s="1"/>
  <c r="AJ52" i="2"/>
  <c r="AG39" i="2"/>
  <c r="AG54" i="2"/>
  <c r="AI34" i="2"/>
  <c r="AI53" i="2" s="1"/>
  <c r="AI48" i="2"/>
  <c r="AI51" i="2" l="1"/>
  <c r="AI35" i="2"/>
  <c r="AJ31" i="2"/>
  <c r="AJ32" i="2" s="1"/>
  <c r="AJ50" i="2"/>
  <c r="AF42" i="2"/>
  <c r="AK29" i="2"/>
  <c r="AK49" i="2" s="1"/>
  <c r="AK46" i="2"/>
  <c r="AK28" i="2"/>
  <c r="AE57" i="2"/>
  <c r="AE44" i="2"/>
  <c r="AH39" i="2"/>
  <c r="AH54" i="2"/>
  <c r="AG41" i="2"/>
  <c r="AG56" i="2" s="1"/>
  <c r="AG40" i="2"/>
  <c r="AG55" i="2" s="1"/>
  <c r="AJ34" i="2"/>
  <c r="AJ53" i="2" s="1"/>
  <c r="AJ48" i="2"/>
  <c r="AK30" i="2"/>
  <c r="AK47" i="2"/>
  <c r="AG42" i="2" l="1"/>
  <c r="AG44" i="2" s="1"/>
  <c r="AK31" i="2"/>
  <c r="AK32" i="2" s="1"/>
  <c r="AK50" i="2"/>
  <c r="AF44" i="2"/>
  <c r="AF57" i="2"/>
  <c r="AJ51" i="2"/>
  <c r="AJ35" i="2"/>
  <c r="AK48" i="2"/>
  <c r="AK34" i="2"/>
  <c r="AK53" i="2" s="1"/>
  <c r="AH41" i="2"/>
  <c r="AH56" i="2" s="1"/>
  <c r="AH40" i="2"/>
  <c r="AH55" i="2" s="1"/>
  <c r="AI54" i="2"/>
  <c r="AI39" i="2"/>
  <c r="AG57" i="2" l="1"/>
  <c r="AI41" i="2"/>
  <c r="AI56" i="2" s="1"/>
  <c r="AI40" i="2"/>
  <c r="AI55" i="2" s="1"/>
  <c r="AK51" i="2"/>
  <c r="AK35" i="2"/>
  <c r="AJ54" i="2"/>
  <c r="AJ39" i="2"/>
  <c r="AH42" i="2"/>
  <c r="AK39" i="2" l="1"/>
  <c r="AK54" i="2"/>
  <c r="AJ40" i="2"/>
  <c r="AJ55" i="2" s="1"/>
  <c r="AJ41" i="2"/>
  <c r="AJ56" i="2" s="1"/>
  <c r="AH57" i="2"/>
  <c r="AH44" i="2"/>
  <c r="AI42" i="2"/>
  <c r="AJ42" i="2" l="1"/>
  <c r="AJ44" i="2" s="1"/>
  <c r="AI44" i="2"/>
  <c r="AI57" i="2"/>
  <c r="AK40" i="2"/>
  <c r="AK41" i="2"/>
  <c r="AK56" i="2" s="1"/>
  <c r="AJ57" i="2" l="1"/>
  <c r="AK55" i="2"/>
  <c r="AK42" i="2"/>
  <c r="AK44" i="2" l="1"/>
  <c r="AL42" i="2"/>
  <c r="AM42" i="2" s="1"/>
  <c r="AN42" i="2" s="1"/>
  <c r="AO42" i="2" s="1"/>
  <c r="AP42" i="2" s="1"/>
  <c r="AQ42" i="2" s="1"/>
  <c r="AR42" i="2" s="1"/>
  <c r="AS42" i="2" s="1"/>
  <c r="AT42" i="2" s="1"/>
  <c r="AU42" i="2" s="1"/>
  <c r="AV42" i="2" s="1"/>
  <c r="AW42" i="2" s="1"/>
  <c r="AX42" i="2" s="1"/>
  <c r="AY42" i="2" s="1"/>
  <c r="AZ42" i="2" s="1"/>
  <c r="BA42" i="2" s="1"/>
  <c r="BB42" i="2" s="1"/>
  <c r="BC42" i="2" s="1"/>
  <c r="BD42" i="2" s="1"/>
  <c r="BE42" i="2" s="1"/>
  <c r="BF42" i="2" s="1"/>
  <c r="BG42" i="2" s="1"/>
  <c r="BH42" i="2" s="1"/>
  <c r="BI42" i="2" s="1"/>
  <c r="BJ42" i="2" s="1"/>
  <c r="BK42" i="2" s="1"/>
  <c r="BL42" i="2" s="1"/>
  <c r="BM42" i="2" s="1"/>
  <c r="BN42" i="2" s="1"/>
  <c r="BO42" i="2" s="1"/>
  <c r="BP42" i="2" s="1"/>
  <c r="BQ42" i="2" s="1"/>
  <c r="BR42" i="2" s="1"/>
  <c r="BS42" i="2" s="1"/>
  <c r="BT42" i="2" s="1"/>
  <c r="BU42" i="2" s="1"/>
  <c r="BV42" i="2" s="1"/>
  <c r="BW42" i="2" s="1"/>
  <c r="BX42" i="2" s="1"/>
  <c r="BY42" i="2" s="1"/>
  <c r="BZ42" i="2" s="1"/>
  <c r="CA42" i="2" s="1"/>
  <c r="CB42" i="2" s="1"/>
  <c r="CC42" i="2" s="1"/>
  <c r="CD42" i="2" s="1"/>
  <c r="CE42" i="2" s="1"/>
  <c r="CF42" i="2" s="1"/>
  <c r="CG42" i="2" s="1"/>
  <c r="CH42" i="2" s="1"/>
  <c r="CI42" i="2" s="1"/>
  <c r="CJ42" i="2" s="1"/>
  <c r="CK42" i="2" s="1"/>
  <c r="CL42" i="2" s="1"/>
  <c r="CM42" i="2" s="1"/>
  <c r="CN42" i="2" s="1"/>
  <c r="CO42" i="2" s="1"/>
  <c r="CP42" i="2" s="1"/>
  <c r="CQ42" i="2" s="1"/>
  <c r="CR42" i="2" s="1"/>
  <c r="CS42" i="2" s="1"/>
  <c r="CT42" i="2" s="1"/>
  <c r="CU42" i="2" s="1"/>
  <c r="CV42" i="2" s="1"/>
  <c r="CW42" i="2" s="1"/>
  <c r="CX42" i="2" s="1"/>
  <c r="CY42" i="2" s="1"/>
  <c r="CZ42" i="2" s="1"/>
  <c r="DA42" i="2" s="1"/>
  <c r="DB42" i="2" s="1"/>
  <c r="DC42" i="2" s="1"/>
  <c r="DD42" i="2" s="1"/>
  <c r="DE42" i="2" s="1"/>
  <c r="DF42" i="2" s="1"/>
  <c r="DG42" i="2" s="1"/>
  <c r="DH42" i="2" s="1"/>
  <c r="DI42" i="2" s="1"/>
  <c r="DJ42" i="2" s="1"/>
  <c r="DK42" i="2" s="1"/>
  <c r="DL42" i="2" s="1"/>
  <c r="DM42" i="2" s="1"/>
  <c r="DN42" i="2" s="1"/>
  <c r="DO42" i="2" s="1"/>
  <c r="DP42" i="2" s="1"/>
  <c r="DQ42" i="2" s="1"/>
  <c r="DR42" i="2" s="1"/>
  <c r="DS42" i="2" s="1"/>
  <c r="DT42" i="2" s="1"/>
  <c r="DU42" i="2" s="1"/>
  <c r="DV42" i="2" s="1"/>
  <c r="DW42" i="2" s="1"/>
  <c r="DX42" i="2" s="1"/>
  <c r="DY42" i="2" s="1"/>
  <c r="DZ42" i="2" s="1"/>
  <c r="EA42" i="2" s="1"/>
  <c r="EB42" i="2" s="1"/>
  <c r="EC42" i="2" s="1"/>
  <c r="ED42" i="2" s="1"/>
  <c r="EE42" i="2" s="1"/>
  <c r="AO50" i="2" s="1"/>
  <c r="AO52" i="2" s="1"/>
  <c r="AO53" i="2" s="1"/>
  <c r="AO55" i="2" s="1"/>
  <c r="AK57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Anton Mniszek</author>
  </authors>
  <commentList>
    <comment ref="V36" authorId="0" shapeId="0" xr:uid="{E96EA7C2-9517-4C2A-93C8-3EFDE14F9423}">
      <text>
        <r>
          <rPr>
            <b/>
            <sz val="9"/>
            <color indexed="81"/>
            <rFont val="Tahoma"/>
            <family val="2"/>
          </rPr>
          <t>Anton Mniszek:</t>
        </r>
        <r>
          <rPr>
            <sz val="9"/>
            <color indexed="81"/>
            <rFont val="Tahoma"/>
            <family val="2"/>
          </rPr>
          <t xml:space="preserve">
goodwill</t>
        </r>
      </text>
    </comment>
    <comment ref="W38" authorId="0" shapeId="0" xr:uid="{937DA12A-65A9-4053-ABBD-DC872F223AF8}">
      <text>
        <r>
          <rPr>
            <b/>
            <sz val="9"/>
            <color indexed="81"/>
            <rFont val="Tahoma"/>
            <family val="2"/>
          </rPr>
          <t>Anton Mniszek:</t>
        </r>
        <r>
          <rPr>
            <sz val="9"/>
            <color indexed="81"/>
            <rFont val="Tahoma"/>
            <family val="2"/>
          </rPr>
          <t xml:space="preserve">
+debt extinguishment</t>
        </r>
      </text>
    </comment>
  </commentList>
</comments>
</file>

<file path=xl/sharedStrings.xml><?xml version="1.0" encoding="utf-8"?>
<sst xmlns="http://schemas.openxmlformats.org/spreadsheetml/2006/main" count="127" uniqueCount="121">
  <si>
    <t>RTX</t>
  </si>
  <si>
    <t>Price</t>
  </si>
  <si>
    <t>Shares</t>
  </si>
  <si>
    <t>MC</t>
  </si>
  <si>
    <t>Cash</t>
  </si>
  <si>
    <t>Debt</t>
  </si>
  <si>
    <t>Net Cash</t>
  </si>
  <si>
    <t>EV</t>
  </si>
  <si>
    <t>Last checked</t>
  </si>
  <si>
    <t>Today</t>
  </si>
  <si>
    <t>Earnings</t>
  </si>
  <si>
    <t>Q224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</si>
  <si>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</si>
  <si>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</si>
  <si>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</si>
  <si>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</si>
  <si>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</si>
  <si>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</si>
  <si>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</si>
  <si>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</si>
  <si>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</si>
  <si>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Q324</t>
  </si>
  <si>
    <t>Q424</t>
  </si>
  <si>
    <t>Product revenue</t>
  </si>
  <si>
    <t>Service revenue</t>
  </si>
  <si>
    <t>Total revenue</t>
  </si>
  <si>
    <t>Product cost</t>
  </si>
  <si>
    <t>Service cost</t>
  </si>
  <si>
    <t>Total cost of sales</t>
  </si>
  <si>
    <t>Gross profit</t>
  </si>
  <si>
    <t>R&amp;D</t>
  </si>
  <si>
    <t>SG&amp;A</t>
  </si>
  <si>
    <t>Operating profit</t>
  </si>
  <si>
    <t>Other income</t>
  </si>
  <si>
    <t>Pension income</t>
  </si>
  <si>
    <t>Interest expense</t>
  </si>
  <si>
    <t>Pretax profit</t>
  </si>
  <si>
    <t>Taxes</t>
  </si>
  <si>
    <t>MI</t>
  </si>
  <si>
    <t>Net profit</t>
  </si>
  <si>
    <t>EPS</t>
  </si>
  <si>
    <t>Revenue y/y</t>
  </si>
  <si>
    <t>Product revenue y/y</t>
  </si>
  <si>
    <t>Service revenue y/y</t>
  </si>
  <si>
    <t>Product Margin</t>
  </si>
  <si>
    <t>Service Margin</t>
  </si>
  <si>
    <t>Gross Margin</t>
  </si>
  <si>
    <t>R&amp;D y/y</t>
  </si>
  <si>
    <t>SG&amp;A Margin</t>
  </si>
  <si>
    <t>Operating Margin</t>
  </si>
  <si>
    <t>Net Margin</t>
  </si>
  <si>
    <t>Q125</t>
  </si>
  <si>
    <t>Q225</t>
  </si>
  <si>
    <t>Q325</t>
  </si>
  <si>
    <t>Q425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</si>
  <si>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</si>
  <si>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</si>
  <si>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</si>
  <si>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</si>
  <si>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</si>
  <si>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</si>
  <si>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</si>
  <si>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</si>
  <si>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</si>
  <si>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L+S/E</t>
  </si>
  <si>
    <t>EV/B</t>
  </si>
  <si>
    <t>B/EV</t>
  </si>
  <si>
    <t>Heavily overvalued</t>
  </si>
  <si>
    <t>Business segments: Collins Aerospace (Collins), Pratt &amp; Whitney, Raytheon</t>
  </si>
  <si>
    <t>Collins Aerospace</t>
  </si>
  <si>
    <r>
      <t>Collins Aerospace</t>
    </r>
    <r>
      <rPr>
        <sz val="11"/>
        <color theme="0"/>
        <rFont val="Calibri"/>
        <family val="2"/>
        <scheme val="minor"/>
      </rPr>
      <t xml:space="preserve"> - Global provider of aerospace &amp; defence products</t>
    </r>
  </si>
  <si>
    <t>Pratt &amp; Whitney</t>
  </si>
  <si>
    <r>
      <t xml:space="preserve">Pratt &amp; Whitney </t>
    </r>
    <r>
      <rPr>
        <sz val="11"/>
        <color theme="0"/>
        <rFont val="Calibri"/>
        <family val="2"/>
        <scheme val="minor"/>
      </rPr>
      <t>- Supplier of aircraft engines</t>
    </r>
  </si>
  <si>
    <r>
      <t>Avionics and flight control systems</t>
    </r>
    <r>
      <rPr>
        <sz val="11"/>
        <color theme="0"/>
        <rFont val="Calibri"/>
        <family val="2"/>
        <scheme val="minor"/>
      </rPr>
      <t xml:space="preserve"> – integrated avionics suites, flight management systems, cockpit displays, sensors, and actuation systems used across F-35, B-21, KC-46, C-130J, and FLRAA.</t>
    </r>
  </si>
  <si>
    <r>
      <t>Power generation and environmental control systems</t>
    </r>
    <r>
      <rPr>
        <sz val="11"/>
        <color theme="0"/>
        <rFont val="Calibri"/>
        <family val="2"/>
        <scheme val="minor"/>
      </rPr>
      <t xml:space="preserve"> – electric power generation, distribution, cooling, and environmental control units for aircraft and space vehicles.</t>
    </r>
  </si>
  <si>
    <r>
      <t>Mechanical and structural systems</t>
    </r>
    <r>
      <rPr>
        <sz val="11"/>
        <color theme="0"/>
        <rFont val="Calibri"/>
        <family val="2"/>
        <scheme val="minor"/>
      </rPr>
      <t xml:space="preserve"> – engine nacelles, thrust reversers, pylons, landing gear, brakes, propeller systems, and control actuation assemblies.</t>
    </r>
  </si>
  <si>
    <r>
      <t>Communication, navigation, and surveillance systems</t>
    </r>
    <r>
      <rPr>
        <sz val="11"/>
        <color theme="0"/>
        <rFont val="Calibri"/>
        <family val="2"/>
        <scheme val="minor"/>
      </rPr>
      <t xml:space="preserve"> – CNS/ATM avionics, tactical data links, and connected-battlespace technologies for both commercial and defence aircraft.</t>
    </r>
  </si>
  <si>
    <r>
      <t>Aftermarket and sustainment services</t>
    </r>
    <r>
      <rPr>
        <sz val="11"/>
        <color theme="0"/>
        <rFont val="Calibri"/>
        <family val="2"/>
        <scheme val="minor"/>
      </rPr>
      <t xml:space="preserve"> – global MRO, spares, engineering support, fleet management, and technical training for civil and military operators.</t>
    </r>
  </si>
  <si>
    <r>
      <t>Digital and connected aviation solutions</t>
    </r>
    <r>
      <rPr>
        <sz val="11"/>
        <color theme="0"/>
        <rFont val="Calibri"/>
        <family val="2"/>
        <scheme val="minor"/>
      </rPr>
      <t xml:space="preserve"> – air traffic management software, data connectivity, airport systems, and JADC2-aligned communication networks.</t>
    </r>
  </si>
  <si>
    <r>
      <t>Crew systems and safety equipment</t>
    </r>
    <r>
      <rPr>
        <sz val="11"/>
        <color theme="0"/>
        <rFont val="Calibri"/>
        <family val="2"/>
        <scheme val="minor"/>
      </rPr>
      <t xml:space="preserve"> – crew escape systems, oxygen systems, evacuation systems, and fire and ice protection hardware.</t>
    </r>
  </si>
  <si>
    <r>
      <t>Cabin and interior systems</t>
    </r>
    <r>
      <rPr>
        <sz val="11"/>
        <color theme="0"/>
        <rFont val="Calibri"/>
        <family val="2"/>
        <scheme val="minor"/>
      </rPr>
      <t xml:space="preserve"> – seating, galleys, lavatories, oxygen delivery, lighting, and other interior components for transport and VIP aircraft.</t>
    </r>
  </si>
  <si>
    <r>
      <t>Space and extravehicular systems</t>
    </r>
    <r>
      <rPr>
        <sz val="11"/>
        <color theme="0"/>
        <rFont val="Calibri"/>
        <family val="2"/>
        <scheme val="minor"/>
      </rPr>
      <t xml:space="preserve"> – environmental control and power systems for spacecraft, plus extravehicular (EVA) suits for human spaceflight.</t>
    </r>
  </si>
  <si>
    <r>
      <t>Sustainability and advanced materials technologies</t>
    </r>
    <r>
      <rPr>
        <sz val="11"/>
        <color theme="0"/>
        <rFont val="Calibri"/>
        <family val="2"/>
        <scheme val="minor"/>
      </rPr>
      <t xml:space="preserve"> – thermoplastics, lightweight composites, and hybrid-electric or alternative-energy architectures for next-generation platforms.</t>
    </r>
  </si>
  <si>
    <r>
      <t>F135 engine family</t>
    </r>
    <r>
      <rPr>
        <sz val="11"/>
        <color theme="0"/>
        <rFont val="Calibri"/>
        <family val="2"/>
        <scheme val="minor"/>
      </rPr>
      <t xml:space="preserve"> – powers all F-35 variants; includes the new Engine Core Upgrade (ECU).</t>
    </r>
  </si>
  <si>
    <r>
      <t>F100 engine</t>
    </r>
    <r>
      <rPr>
        <sz val="11"/>
        <color theme="0"/>
        <rFont val="Calibri"/>
        <family val="2"/>
        <scheme val="minor"/>
      </rPr>
      <t xml:space="preserve"> – legacy fighter engine for F-15 and F-16 fleets worldwide.</t>
    </r>
  </si>
  <si>
    <r>
      <t>Next Generation Adaptive Propulsion (NGAP)</t>
    </r>
    <r>
      <rPr>
        <sz val="11"/>
        <color theme="0"/>
        <rFont val="Calibri"/>
        <family val="2"/>
        <scheme val="minor"/>
      </rPr>
      <t xml:space="preserve"> – under development for future sixth-gen fighters (e.g. NGAD).</t>
    </r>
  </si>
  <si>
    <r>
      <t>B-21 Raider engines</t>
    </r>
    <r>
      <rPr>
        <sz val="11"/>
        <color theme="0"/>
        <rFont val="Calibri"/>
        <family val="2"/>
        <scheme val="minor"/>
      </rPr>
      <t xml:space="preserve"> – classified derivative believed to be a P&amp;W design (likely the F130 series derivative).</t>
    </r>
  </si>
  <si>
    <r>
      <t>Auxiliary power units (APUs)</t>
    </r>
    <r>
      <rPr>
        <sz val="11"/>
        <color theme="0"/>
        <rFont val="Calibri"/>
        <family val="2"/>
        <scheme val="minor"/>
      </rPr>
      <t xml:space="preserve"> – military and commercial, including for bombers, tankers, and transports.</t>
    </r>
  </si>
  <si>
    <r>
      <t>PW1000G Geared Turbofan (GTF) family</t>
    </r>
    <r>
      <rPr>
        <sz val="11"/>
        <color theme="0"/>
        <rFont val="Calibri"/>
        <family val="2"/>
        <scheme val="minor"/>
      </rPr>
      <t xml:space="preserve"> – commercial core product powering A320neo, A220, E2 jets; partially dual-use tech base.</t>
    </r>
  </si>
  <si>
    <r>
      <t>Pratt &amp; Whitney Canada small engines</t>
    </r>
    <r>
      <rPr>
        <sz val="11"/>
        <color theme="0"/>
        <rFont val="Calibri"/>
        <family val="2"/>
        <scheme val="minor"/>
      </rPr>
      <t xml:space="preserve"> – regional, business, and helicopter engines (PW200, PW500, PW800 series).</t>
    </r>
  </si>
  <si>
    <r>
      <t>Hybrid-Electric Flight Demonstrator systems</t>
    </r>
    <r>
      <rPr>
        <sz val="11"/>
        <color theme="0"/>
        <rFont val="Calibri"/>
        <family val="2"/>
        <scheme val="minor"/>
      </rPr>
      <t xml:space="preserve"> – GTF hybrid-electric project, mobile charging unit (MCU).</t>
    </r>
  </si>
  <si>
    <r>
      <t>Fleet management, MRO, and aftermarket services</t>
    </r>
    <r>
      <rPr>
        <sz val="11"/>
        <color theme="0"/>
        <rFont val="Calibri"/>
        <family val="2"/>
        <scheme val="minor"/>
      </rPr>
      <t xml:space="preserve"> – maintenance, repair, overhaul, and technical support for all engine types.</t>
    </r>
  </si>
  <si>
    <r>
      <t>Collaborative engine programmes</t>
    </r>
    <r>
      <rPr>
        <sz val="11"/>
        <color theme="0"/>
        <rFont val="Calibri"/>
        <family val="2"/>
        <scheme val="minor"/>
      </rPr>
      <t xml:space="preserve"> – cost- and revenue-sharing ventures across multiple new-engine developments.</t>
    </r>
  </si>
  <si>
    <r>
      <t>Raytheon</t>
    </r>
    <r>
      <rPr>
        <sz val="11"/>
        <color theme="0"/>
        <rFont val="Calibri"/>
        <family val="2"/>
        <scheme val="minor"/>
      </rPr>
      <t xml:space="preserve"> - Provider of threat detection, tracking and mitigation</t>
    </r>
  </si>
  <si>
    <r>
      <t>Integrated Air and Missile Defense Systems</t>
    </r>
    <r>
      <rPr>
        <sz val="11"/>
        <color theme="0"/>
        <rFont val="Calibri"/>
        <family val="2"/>
        <scheme val="minor"/>
      </rPr>
      <t xml:space="preserve"> – Patriot (PAC-3/GEM-T), NASAMS, LTAMDS, and other layered land-based defence architectures.</t>
    </r>
  </si>
  <si>
    <r>
      <t>Naval missile and sensor systems</t>
    </r>
    <r>
      <rPr>
        <sz val="11"/>
        <color theme="0"/>
        <rFont val="Calibri"/>
        <family val="2"/>
        <scheme val="minor"/>
      </rPr>
      <t xml:space="preserve"> – Standard Missile series (SM-2, SM-3, SM-6), Tomahawk cruise missile, Evolved SeaSparrow (ESSM), shipboard fire-control and SPY-6 radars.</t>
    </r>
  </si>
  <si>
    <r>
      <t>Air-to-air and air-to-ground weapons</t>
    </r>
    <r>
      <rPr>
        <sz val="11"/>
        <color theme="0"/>
        <rFont val="Calibri"/>
        <family val="2"/>
        <scheme val="minor"/>
      </rPr>
      <t xml:space="preserve"> – AMRAAM, AIM-9X Sidewinder, StormBreaker, Javelin, Excalibur, Stinger, and related precision-guided munitions.</t>
    </r>
  </si>
  <si>
    <r>
      <t>Command, Control, Communications, and Sensor Integration</t>
    </r>
    <r>
      <rPr>
        <sz val="11"/>
        <color theme="0"/>
        <rFont val="Calibri"/>
        <family val="2"/>
        <scheme val="minor"/>
      </rPr>
      <t xml:space="preserve"> – early-warning and fire-control radars (e.g. AN/TPY-2), battlefield C2 systems, and integrated multi-domain sensor networks.</t>
    </r>
  </si>
  <si>
    <r>
      <t>Electronic Warfare and Countermeasures</t>
    </r>
    <r>
      <rPr>
        <sz val="11"/>
        <color theme="0"/>
        <rFont val="Calibri"/>
        <family val="2"/>
        <scheme val="minor"/>
      </rPr>
      <t xml:space="preserve"> – Next Generation Jammer (Mid-Band / Low-Band) and other airborne EW suites for the Navy and allied forces.</t>
    </r>
  </si>
  <si>
    <r>
      <t>Space and Exo-atmospheric Systems</t>
    </r>
    <r>
      <rPr>
        <sz val="11"/>
        <color theme="0"/>
        <rFont val="Calibri"/>
        <family val="2"/>
        <scheme val="minor"/>
      </rPr>
      <t xml:space="preserve"> – missile-tracking sensors, interceptors (SM-3 exo-atmospheric), satellite control and mission-orchestration software.</t>
    </r>
  </si>
  <si>
    <r>
      <t>Hypersonic and Counter-Hypersonic Technologies</t>
    </r>
    <r>
      <rPr>
        <sz val="11"/>
        <color theme="0"/>
        <rFont val="Calibri"/>
        <family val="2"/>
        <scheme val="minor"/>
      </rPr>
      <t xml:space="preserve"> – development of hypersonic glide and defence interceptors, next-generation seekers, and advanced materials.</t>
    </r>
  </si>
  <si>
    <r>
      <t>Advanced Radars and EO/IR Sensors</t>
    </r>
    <r>
      <rPr>
        <sz val="11"/>
        <color theme="0"/>
        <rFont val="Calibri"/>
        <family val="2"/>
        <scheme val="minor"/>
      </rPr>
      <t xml:space="preserve"> – multi-band surveillance radars, electro-optical and infrared systems, and space-qualified components.</t>
    </r>
  </si>
  <si>
    <r>
      <t>Unmanned and Autonomous Systems</t>
    </r>
    <r>
      <rPr>
        <sz val="11"/>
        <color theme="0"/>
        <rFont val="Calibri"/>
        <family val="2"/>
        <scheme val="minor"/>
      </rPr>
      <t xml:space="preserve"> – Coyote expendable UAS and autonomous swarm systems for reconnaissance and interception roles.</t>
    </r>
  </si>
  <si>
    <r>
      <t>Classified and Advanced Development Programs</t>
    </r>
    <r>
      <rPr>
        <sz val="11"/>
        <color theme="0"/>
        <rFont val="Calibri"/>
        <family val="2"/>
        <scheme val="minor"/>
      </rPr>
      <t xml:space="preserve"> – next-generation radar, sensor experimentation, and undisclosed strategic systems across air, sea, and space domains.</t>
    </r>
  </si>
  <si>
    <t>Of the total RPO as of December 31, 2024, we expect approximately 25% will be recognized as revenue over the next 12 months.</t>
  </si>
  <si>
    <t>RPO rec guidance</t>
  </si>
  <si>
    <t>Expected RPO rec</t>
  </si>
  <si>
    <t>U.S. govt sales</t>
  </si>
  <si>
    <t>International sales</t>
  </si>
  <si>
    <t>U.S. govt %</t>
  </si>
  <si>
    <t>International %</t>
  </si>
  <si>
    <t>Employees</t>
  </si>
  <si>
    <t>Raytheon</t>
  </si>
  <si>
    <t>Eliminations</t>
  </si>
  <si>
    <t>Total</t>
  </si>
  <si>
    <t>P&amp;W Backlog</t>
  </si>
  <si>
    <t>Collins Backlog</t>
  </si>
  <si>
    <t>Raytheon Backlog</t>
  </si>
  <si>
    <t>Total RPO</t>
  </si>
  <si>
    <t>Defence backlog</t>
  </si>
  <si>
    <t>Commercial backlog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</si>
</sst>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$-409]#,##0.00"/>
    <numFmt numFmtId="165" formatCode="0.0\x"/>
  </numFmts>
  <fonts count="8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11"/>
      <color theme="0"/>
      <name val="Calibri"/>
      <family val="2"/>
      <scheme val="minor"/>
    </font>
    <font>
      <b/>
      <u/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6">
    <border>
      <left/>
      <right/>
      <top/>
      <bottom/>
      <diagonal/>
    </border>
    <border>
      <left style="thin">
        <color theme="1" tint="0.249977111117893"/>
      </left>
      <right style="thin">
        <color theme="1" tint="0.249977111117893"/>
      </right>
      <top style="thin">
        <color theme="1" tint="0.249977111117893"/>
      </top>
      <bottom style="thin">
        <color theme="1" tint="0.249977111117893"/>
      </bottom>
      <diagonal/>
    </border>
    <border>
      <left style="thin">
        <color theme="2" tint="-0.749992370372631"/>
      </left>
      <right style="thin">
        <color theme="2" tint="-0.749992370372631"/>
      </right>
      <top style="thin">
        <color theme="2" tint="-0.749992370372631"/>
      </top>
      <bottom style="thin">
        <color theme="2" tint="-0.749992370372631"/>
      </bottom>
      <diagonal/>
    </border>
    <border>
      <left style="thin">
        <color theme="1" tint="0.249977111117893"/>
      </left>
      <right/>
      <top style="thin">
        <color theme="1" tint="0.249977111117893"/>
      </top>
      <bottom style="thin">
        <color theme="1" tint="0.249977111117893"/>
      </bottom>
      <diagonal/>
    </border>
    <border>
      <left/>
      <right style="thin">
        <color theme="1" tint="0.249977111117893"/>
      </right>
      <top style="thin">
        <color theme="1" tint="0.249977111117893"/>
      </top>
      <bottom style="thin">
        <color theme="1" tint="0.249977111117893"/>
      </bottom>
      <diagonal/>
    </border>
    <border>
      <left style="thin">
        <color theme="1" tint="0.249977111117893"/>
      </left>
      <right style="thin">
        <color theme="1" tint="0.249977111117893"/>
      </right>
      <top style="thin">
        <color theme="1" tint="0.249977111117893"/>
      </top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5" fillId="2" borderId="1" xfId="0" applyFont="1" applyFill="1" applyBorder="1"/>
    <xf numFmtId="0" fontId="5" fillId="2" borderId="1" xfId="0" applyFont="1" applyFill="1" applyBorder="1" applyAlignment="1">
      <alignment horizontal="right"/>
    </xf>
    <xf numFmtId="3" fontId="5" fillId="2" borderId="1" xfId="0" applyNumberFormat="1" applyFont="1" applyFill="1" applyBorder="1"/>
    <xf numFmtId="0" fontId="4" fillId="2" borderId="1" xfId="0" applyFont="1" applyFill="1" applyBorder="1"/>
    <xf numFmtId="3" fontId="4" fillId="2" borderId="1" xfId="0" applyNumberFormat="1" applyFont="1" applyFill="1" applyBorder="1"/>
    <xf numFmtId="2" fontId="5" fillId="2" borderId="1" xfId="0" applyNumberFormat="1" applyFont="1" applyFill="1" applyBorder="1"/>
    <xf numFmtId="9" fontId="5" fillId="2" borderId="1" xfId="0" applyNumberFormat="1" applyFont="1" applyFill="1" applyBorder="1"/>
    <xf numFmtId="0" fontId="6" fillId="2" borderId="1" xfId="0" applyFont="1" applyFill="1" applyBorder="1" applyAlignment="1">
      <alignment horizontal="right"/>
    </xf>
    <xf numFmtId="164" fontId="5" fillId="2" borderId="1" xfId="0" applyNumberFormat="1" applyFont="1" applyFill="1" applyBorder="1"/>
    <xf numFmtId="14" fontId="6" fillId="2" borderId="1" xfId="0" applyNumberFormat="1" applyFont="1" applyFill="1" applyBorder="1" applyAlignment="1">
      <alignment horizontal="right"/>
    </xf>
    <xf numFmtId="3" fontId="6" fillId="2" borderId="1" xfId="0" applyNumberFormat="1" applyFont="1" applyFill="1" applyBorder="1" applyAlignment="1">
      <alignment horizontal="right"/>
    </xf>
    <xf numFmtId="9" fontId="4" fillId="2" borderId="1" xfId="0" applyNumberFormat="1" applyFont="1" applyFill="1" applyBorder="1"/>
    <xf numFmtId="0" fontId="5" fillId="2" borderId="2" xfId="0" applyFont="1" applyFill="1" applyBorder="1"/>
    <xf numFmtId="0" fontId="7" fillId="2" borderId="1" xfId="0" applyFont="1" applyFill="1" applyBorder="1"/>
    <xf numFmtId="165" fontId="5" fillId="2" borderId="1" xfId="0" applyNumberFormat="1" applyFont="1" applyFill="1" applyBorder="1"/>
    <xf numFmtId="0" fontId="5" fillId="2" borderId="3" xfId="0" applyFont="1" applyFill="1" applyBorder="1"/>
    <xf numFmtId="0" fontId="5" fillId="2" borderId="4" xfId="0" applyFont="1" applyFill="1" applyBorder="1"/>
    <xf numFmtId="0" fontId="5" fillId="2" borderId="5" xfId="0" applyFont="1" applyFill="1" applyBorder="1"/>
    <xf numFmtId="0" fontId="5" fillId="2" borderId="2" xfId="0" applyFont="1" applyFill="1" applyBorder="1" applyAlignment="1">
      <alignment horizontal="left" vertical="center" indent="1"/>
    </xf>
    <xf numFmtId="0" fontId="4" fillId="2" borderId="2" xfId="0" applyFont="1" applyFill="1" applyBorder="1"/>
    <xf numFmtId="0" fontId="7" fillId="2" borderId="2" xfId="0" applyFont="1" applyFill="1" applyBorder="1"/>
    <xf numFmtId="0" fontId="4" fillId="2" borderId="1" xfId="0" applyFont="1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Revenue line growth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Model!$B$46</c:f>
              <c:strCache>
                <c:ptCount val="1"/>
                <c:pt idx="0">
                  <c:v>Product revenue y/y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Model!$B$2:$P$2</c:f>
              <c:strCache>
                <c:ptCount val="15"/>
                <c:pt idx="1">
                  <c:v>Q122</c:v>
                </c:pt>
                <c:pt idx="2">
                  <c:v>Q222</c:v>
                </c:pt>
                <c:pt idx="3">
                  <c:v>Q322</c:v>
                </c:pt>
                <c:pt idx="4">
                  <c:v>Q422</c:v>
                </c:pt>
                <c:pt idx="5">
                  <c:v>Q123</c:v>
                </c:pt>
                <c:pt idx="6">
                  <c:v>Q223</c:v>
                </c:pt>
                <c:pt idx="7">
                  <c:v>Q323</c:v>
                </c:pt>
                <c:pt idx="8">
                  <c:v>Q423</c:v>
                </c:pt>
                <c:pt idx="9">
                  <c:v>Q124</c:v>
                </c:pt>
                <c:pt idx="10">
                  <c:v>Q224</c:v>
                </c:pt>
                <c:pt idx="11">
                  <c:v>Q324</c:v>
                </c:pt>
                <c:pt idx="12">
                  <c:v>Q424</c:v>
                </c:pt>
                <c:pt idx="13">
                  <c:v>Q125</c:v>
                </c:pt>
                <c:pt idx="14">
                  <c:v>Q225</c:v>
                </c:pt>
              </c:strCache>
            </c:strRef>
          </c:cat>
          <c:val>
            <c:numRef>
              <c:f>Model!$C$46:$P$46</c:f>
              <c:numCache>
                <c:formatCode>0%</c:formatCode>
                <c:ptCount val="14"/>
                <c:pt idx="4">
                  <c:v>7.7980104535491535E-2</c:v>
                </c:pt>
                <c:pt idx="5">
                  <c:v>9.4061021373796683E-2</c:v>
                </c:pt>
                <c:pt idx="7">
                  <c:v>6.1955817802403335E-2</c:v>
                </c:pt>
                <c:pt idx="8">
                  <c:v>0.11855791037772745</c:v>
                </c:pt>
                <c:pt idx="9">
                  <c:v>8.5825068973230945E-2</c:v>
                </c:pt>
                <c:pt idx="11">
                  <c:v>8.6800379455210797E-2</c:v>
                </c:pt>
                <c:pt idx="12">
                  <c:v>2.0135635880584424E-2</c:v>
                </c:pt>
                <c:pt idx="13">
                  <c:v>6.7916494986952403E-2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EF-4913-BFC3-209BA1DBF00F}"/>
            </c:ext>
          </c:extLst>
        </c:ser>
        <c:ser>
          <c:idx val="1"/>
          <c:order val="1"/>
          <c:tx>
            <c:strRef>
              <c:f>Model!$B$47</c:f>
              <c:strCache>
                <c:ptCount val="1"/>
                <c:pt idx="0">
                  <c:v>Service revenue y/y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Model!$B$2:$P$2</c:f>
              <c:strCache>
                <c:ptCount val="15"/>
                <c:pt idx="1">
                  <c:v>Q122</c:v>
                </c:pt>
                <c:pt idx="2">
                  <c:v>Q222</c:v>
                </c:pt>
                <c:pt idx="3">
                  <c:v>Q322</c:v>
                </c:pt>
                <c:pt idx="4">
                  <c:v>Q422</c:v>
                </c:pt>
                <c:pt idx="5">
                  <c:v>Q123</c:v>
                </c:pt>
                <c:pt idx="6">
                  <c:v>Q223</c:v>
                </c:pt>
                <c:pt idx="7">
                  <c:v>Q323</c:v>
                </c:pt>
                <c:pt idx="8">
                  <c:v>Q423</c:v>
                </c:pt>
                <c:pt idx="9">
                  <c:v>Q124</c:v>
                </c:pt>
                <c:pt idx="10">
                  <c:v>Q224</c:v>
                </c:pt>
                <c:pt idx="11">
                  <c:v>Q324</c:v>
                </c:pt>
                <c:pt idx="12">
                  <c:v>Q424</c:v>
                </c:pt>
                <c:pt idx="13">
                  <c:v>Q125</c:v>
                </c:pt>
                <c:pt idx="14">
                  <c:v>Q225</c:v>
                </c:pt>
              </c:strCache>
            </c:strRef>
          </c:cat>
          <c:val>
            <c:numRef>
              <c:f>Model!$C$47:$P$47</c:f>
              <c:numCache>
                <c:formatCode>0%</c:formatCode>
                <c:ptCount val="14"/>
                <c:pt idx="4">
                  <c:v>0.14867669953295271</c:v>
                </c:pt>
                <c:pt idx="5">
                  <c:v>0.20907297830374749</c:v>
                </c:pt>
                <c:pt idx="6">
                  <c:v>0.15589988081048878</c:v>
                </c:pt>
                <c:pt idx="7">
                  <c:v>0.23188751191611057</c:v>
                </c:pt>
                <c:pt idx="8">
                  <c:v>0.12988479783148854</c:v>
                </c:pt>
                <c:pt idx="9">
                  <c:v>5.1998368678629614E-2</c:v>
                </c:pt>
                <c:pt idx="10">
                  <c:v>0.10971334295731072</c:v>
                </c:pt>
                <c:pt idx="11">
                  <c:v>8.0286322306055258E-2</c:v>
                </c:pt>
                <c:pt idx="12">
                  <c:v>0.14254298280687716</c:v>
                </c:pt>
                <c:pt idx="13">
                  <c:v>0.16883116883116878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EF-4913-BFC3-209BA1DBF0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38473432"/>
        <c:axId val="638472352"/>
      </c:lineChart>
      <c:catAx>
        <c:axId val="6384734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8472352"/>
        <c:crosses val="autoZero"/>
        <c:auto val="1"/>
        <c:lblAlgn val="ctr"/>
        <c:lblOffset val="100"/>
        <c:noMultiLvlLbl val="0"/>
      </c:catAx>
      <c:valAx>
        <c:axId val="638472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84734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Model!$B$26</c:f>
              <c:strCache>
                <c:ptCount val="1"/>
                <c:pt idx="0">
                  <c:v>Product revenue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strRef>
              <c:f>Model!$C$2:$P$2</c:f>
              <c:strCache>
                <c:ptCount val="14"/>
                <c:pt idx="0">
                  <c:v>Q122</c:v>
                </c:pt>
                <c:pt idx="1">
                  <c:v>Q222</c:v>
                </c:pt>
                <c:pt idx="2">
                  <c:v>Q322</c:v>
                </c:pt>
                <c:pt idx="3">
                  <c:v>Q422</c:v>
                </c:pt>
                <c:pt idx="4">
                  <c:v>Q123</c:v>
                </c:pt>
                <c:pt idx="5">
                  <c:v>Q223</c:v>
                </c:pt>
                <c:pt idx="6">
                  <c:v>Q323</c:v>
                </c:pt>
                <c:pt idx="7">
                  <c:v>Q423</c:v>
                </c:pt>
                <c:pt idx="8">
                  <c:v>Q124</c:v>
                </c:pt>
                <c:pt idx="9">
                  <c:v>Q224</c:v>
                </c:pt>
                <c:pt idx="10">
                  <c:v>Q324</c:v>
                </c:pt>
                <c:pt idx="11">
                  <c:v>Q424</c:v>
                </c:pt>
                <c:pt idx="12">
                  <c:v>Q125</c:v>
                </c:pt>
                <c:pt idx="13">
                  <c:v>Q225</c:v>
                </c:pt>
              </c:strCache>
            </c:strRef>
          </c:xVal>
          <c:yVal>
            <c:numRef>
              <c:f>Model!$C$26:$P$26</c:f>
              <c:numCache>
                <c:formatCode>#,##0</c:formatCode>
                <c:ptCount val="14"/>
                <c:pt idx="0">
                  <c:v>11862</c:v>
                </c:pt>
                <c:pt idx="1">
                  <c:v>12258</c:v>
                </c:pt>
                <c:pt idx="2">
                  <c:v>12756</c:v>
                </c:pt>
                <c:pt idx="3">
                  <c:v>13897</c:v>
                </c:pt>
                <c:pt idx="4">
                  <c:v>12787</c:v>
                </c:pt>
                <c:pt idx="5">
                  <c:v>13411</c:v>
                </c:pt>
                <c:pt idx="6">
                  <c:v>8615</c:v>
                </c:pt>
                <c:pt idx="7">
                  <c:v>14758</c:v>
                </c:pt>
                <c:pt idx="8">
                  <c:v>14303</c:v>
                </c:pt>
                <c:pt idx="9">
                  <c:v>14562</c:v>
                </c:pt>
                <c:pt idx="10">
                  <c:v>14708</c:v>
                </c:pt>
                <c:pt idx="11">
                  <c:v>16039</c:v>
                </c:pt>
                <c:pt idx="12">
                  <c:v>14591</c:v>
                </c:pt>
                <c:pt idx="13">
                  <c:v>15551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B07-44D2-AD22-42E6A0AC66C5}"/>
            </c:ext>
          </c:extLst>
        </c:ser>
        <c:ser>
          <c:idx val="1"/>
          <c:order val="1"/>
          <c:tx>
            <c:strRef>
              <c:f>Model!$B$27</c:f>
              <c:strCache>
                <c:ptCount val="1"/>
                <c:pt idx="0">
                  <c:v>Service revenue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strRef>
              <c:f>Model!$C$2:$P$2</c:f>
              <c:strCache>
                <c:ptCount val="14"/>
                <c:pt idx="0">
                  <c:v>Q122</c:v>
                </c:pt>
                <c:pt idx="1">
                  <c:v>Q222</c:v>
                </c:pt>
                <c:pt idx="2">
                  <c:v>Q322</c:v>
                </c:pt>
                <c:pt idx="3">
                  <c:v>Q422</c:v>
                </c:pt>
                <c:pt idx="4">
                  <c:v>Q123</c:v>
                </c:pt>
                <c:pt idx="5">
                  <c:v>Q223</c:v>
                </c:pt>
                <c:pt idx="6">
                  <c:v>Q323</c:v>
                </c:pt>
                <c:pt idx="7">
                  <c:v>Q423</c:v>
                </c:pt>
                <c:pt idx="8">
                  <c:v>Q124</c:v>
                </c:pt>
                <c:pt idx="9">
                  <c:v>Q224</c:v>
                </c:pt>
                <c:pt idx="10">
                  <c:v>Q324</c:v>
                </c:pt>
                <c:pt idx="11">
                  <c:v>Q424</c:v>
                </c:pt>
                <c:pt idx="12">
                  <c:v>Q125</c:v>
                </c:pt>
                <c:pt idx="13">
                  <c:v>Q225</c:v>
                </c:pt>
              </c:strCache>
            </c:strRef>
          </c:xVal>
          <c:yVal>
            <c:numRef>
              <c:f>Model!$C$27:$P$27</c:f>
              <c:numCache>
                <c:formatCode>#,##0</c:formatCode>
                <c:ptCount val="14"/>
                <c:pt idx="0">
                  <c:v>3854</c:v>
                </c:pt>
                <c:pt idx="1">
                  <c:v>4056</c:v>
                </c:pt>
                <c:pt idx="2">
                  <c:v>4195</c:v>
                </c:pt>
                <c:pt idx="3">
                  <c:v>4196</c:v>
                </c:pt>
                <c:pt idx="4">
                  <c:v>4427</c:v>
                </c:pt>
                <c:pt idx="5">
                  <c:v>4904</c:v>
                </c:pt>
                <c:pt idx="6">
                  <c:v>4849</c:v>
                </c:pt>
                <c:pt idx="7">
                  <c:v>5169</c:v>
                </c:pt>
                <c:pt idx="8">
                  <c:v>5002</c:v>
                </c:pt>
                <c:pt idx="9">
                  <c:v>5159</c:v>
                </c:pt>
                <c:pt idx="10">
                  <c:v>5381</c:v>
                </c:pt>
                <c:pt idx="11">
                  <c:v>5584</c:v>
                </c:pt>
                <c:pt idx="12">
                  <c:v>5715</c:v>
                </c:pt>
                <c:pt idx="13">
                  <c:v>6030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B07-44D2-AD22-42E6A0AC66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7957384"/>
        <c:axId val="687960264"/>
      </c:scatterChart>
      <c:valAx>
        <c:axId val="6879573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7960264"/>
        <c:crosses val="autoZero"/>
        <c:crossBetween val="midCat"/>
      </c:valAx>
      <c:valAx>
        <c:axId val="687960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795738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26</xdr:col>
      <xdr:colOff>30480</xdr:colOff>
      <xdr:row>0</xdr:row>
      <xdr:rowOff>7620</xdr:rowOff>
    </xdr:from>
    <xdr:to>
      <xdr:col>26</xdr:col>
      <xdr:colOff>30480</xdr:colOff>
      <xdr:row>65</xdr:row>
      <xdr:rowOff>106680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BD0E2B36-EF00-58AB-7C77-B8CA6EFE834D}"/>
            </a:ext>
          </a:extLst>
        </xdr:cNvPr>
        <xdr:cNvCxnSpPr/>
      </xdr:nvCxnSpPr>
      <xdr:spPr>
        <a:xfrm>
          <a:off x="16581120" y="7620"/>
          <a:ext cx="0" cy="778002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15240</xdr:colOff>
      <xdr:row>0</xdr:row>
      <xdr:rowOff>0</xdr:rowOff>
    </xdr:from>
    <xdr:to>
      <xdr:col>16</xdr:col>
      <xdr:colOff>15240</xdr:colOff>
      <xdr:row>62</xdr:row>
      <xdr:rowOff>106680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74627786-B208-475E-9F15-8069E324F0E0}"/>
            </a:ext>
          </a:extLst>
        </xdr:cNvPr>
        <xdr:cNvCxnSpPr/>
      </xdr:nvCxnSpPr>
      <xdr:spPr>
        <a:xfrm>
          <a:off x="10469880" y="0"/>
          <a:ext cx="0" cy="72390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114300</xdr:rowOff>
    </xdr:from>
    <xdr:to>
      <xdr:col>13</xdr:col>
      <xdr:colOff>312420</xdr:colOff>
      <xdr:row>20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6CB6465-E1DA-4EEF-9D96-F3842D5081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281940</xdr:colOff>
      <xdr:row>3</xdr:row>
      <xdr:rowOff>45720</xdr:rowOff>
    </xdr:from>
    <xdr:to>
      <xdr:col>21</xdr:col>
      <xdr:colOff>586740</xdr:colOff>
      <xdr:row>18</xdr:row>
      <xdr:rowOff>45720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491106-A963-4B6E-A46D-2649FB5399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AC179-4CC4-4BFB-BB5F-20A759FB583E}">
  <dimension ref="B1:J52"/>
  <sheetViews>
    <sheetView topLeftCell="A10" workbookViewId="0">
      <selection activeCell="B38" sqref="B38"/>
    </sheetView>
  </sheetViews>
  <sheetFormatPr defaultRowHeight="14.4" x14ac:dyDescent="0.3"/>
  <cols>
    <col min="1" max="4" width="8.88671875" style="1"/>
    <col min="5" max="7" width="12.6640625" style="8" customWidth="1"/>
    <col min="8" max="8" width="8.88671875" style="16" customWidth="1"/>
    <col min="9" max="9" width="8.88671875" style="13"/>
    <col min="10" max="10" width="8.88671875" style="17"/>
    <col min="11" max="16384" width="8.88671875" style="1"/>
  </cols>
  <sheetData>
    <row r="1" spans="2:10" x14ac:dyDescent="0.3">
      <c r="H1" s="1"/>
      <c r="I1" s="1"/>
      <c r="J1" s="1"/>
    </row>
    <row r="2" spans="2:10" x14ac:dyDescent="0.3">
      <c r="E2" s="8" t="s">
        <v>8</v>
      </c>
      <c r="F2" s="8" t="s">
        <v>9</v>
      </c>
      <c r="G2" s="8" t="s">
        <v>10</v>
      </c>
      <c r="H2" s="1"/>
      <c r="I2" s="1"/>
      <c r="J2" s="1"/>
    </row>
    <row r="3" spans="2:10" x14ac:dyDescent="0.3">
      <c r="B3" s="4" t="s">
        <v>0</v>
      </c>
      <c r="C3" s="1" t="s">
        <v>1</v>
      </c>
      <c r="D3" s="9">
        <v>166.58</v>
      </c>
      <c r="E3" s="10">
        <v>45934</v>
      </c>
      <c r="F3" s="10">
        <f ca="1">TODAY()</f>
        <v>45940</v>
      </c>
      <c r="G3" s="10">
        <v>45958</v>
      </c>
      <c r="H3" s="1"/>
      <c r="I3" s="1"/>
      <c r="J3" s="1"/>
    </row>
    <row r="4" spans="2:10" x14ac:dyDescent="0.3">
      <c r="C4" s="1" t="s">
        <v>2</v>
      </c>
      <c r="D4" s="3">
        <f>1338.5</f>
        <v>1338.5</v>
      </c>
      <c r="E4" s="11" t="s">
        <v>52</v>
      </c>
      <c r="H4" s="1"/>
      <c r="I4" s="18"/>
      <c r="J4" s="1"/>
    </row>
    <row r="5" spans="2:10" x14ac:dyDescent="0.3">
      <c r="C5" s="1" t="s">
        <v>3</v>
      </c>
      <c r="D5" s="3">
        <f>D3*D4</f>
        <v>222967.33000000002</v>
      </c>
      <c r="E5" s="11"/>
      <c r="I5" s="13" t="s">
        <v>104</v>
      </c>
    </row>
    <row r="6" spans="2:10" x14ac:dyDescent="0.3">
      <c r="C6" s="1" t="s">
        <v>4</v>
      </c>
      <c r="D6" s="3">
        <f>4782</f>
        <v>4782</v>
      </c>
      <c r="E6" s="11" t="s">
        <v>52</v>
      </c>
      <c r="H6" s="1"/>
      <c r="J6" s="1"/>
    </row>
    <row r="7" spans="2:10" x14ac:dyDescent="0.3">
      <c r="C7" s="1" t="s">
        <v>5</v>
      </c>
      <c r="D7" s="3">
        <f>1635+2084+38259</f>
        <v>41978</v>
      </c>
      <c r="E7" s="11" t="s">
        <v>52</v>
      </c>
      <c r="H7" s="1"/>
      <c r="J7" s="1"/>
    </row>
    <row r="8" spans="2:10" x14ac:dyDescent="0.3">
      <c r="C8" s="1" t="s">
        <v>6</v>
      </c>
      <c r="D8" s="3">
        <f>D6-D7</f>
        <v>-37196</v>
      </c>
      <c r="E8" s="11"/>
      <c r="H8" s="1"/>
      <c r="J8" s="1"/>
    </row>
    <row r="9" spans="2:10" x14ac:dyDescent="0.3">
      <c r="C9" s="1" t="s">
        <v>7</v>
      </c>
      <c r="D9" s="3">
        <f>D5-D8</f>
        <v>260163.33000000002</v>
      </c>
      <c r="E9" s="11"/>
    </row>
    <row r="13" spans="2:10" x14ac:dyDescent="0.3">
      <c r="B13" s="1" t="s">
        <v>68</v>
      </c>
    </row>
    <row r="15" spans="2:10" x14ac:dyDescent="0.3">
      <c r="B15" s="14" t="s">
        <v>70</v>
      </c>
    </row>
    <row r="16" spans="2:10" x14ac:dyDescent="0.3">
      <c r="B16" s="13"/>
    </row>
    <row r="17" spans="2:2" x14ac:dyDescent="0.3">
      <c r="B17" s="20" t="s">
        <v>73</v>
      </c>
    </row>
    <row r="18" spans="2:2" x14ac:dyDescent="0.3">
      <c r="B18" s="20" t="s">
        <v>74</v>
      </c>
    </row>
    <row r="19" spans="2:2" x14ac:dyDescent="0.3">
      <c r="B19" s="20" t="s">
        <v>75</v>
      </c>
    </row>
    <row r="20" spans="2:2" x14ac:dyDescent="0.3">
      <c r="B20" s="20" t="s">
        <v>76</v>
      </c>
    </row>
    <row r="21" spans="2:2" x14ac:dyDescent="0.3">
      <c r="B21" s="20" t="s">
        <v>77</v>
      </c>
    </row>
    <row r="22" spans="2:2" x14ac:dyDescent="0.3">
      <c r="B22" s="20" t="s">
        <v>78</v>
      </c>
    </row>
    <row r="23" spans="2:2" x14ac:dyDescent="0.3">
      <c r="B23" s="20" t="s">
        <v>79</v>
      </c>
    </row>
    <row r="24" spans="2:2" x14ac:dyDescent="0.3">
      <c r="B24" s="20" t="s">
        <v>80</v>
      </c>
    </row>
    <row r="25" spans="2:2" x14ac:dyDescent="0.3">
      <c r="B25" s="20" t="s">
        <v>81</v>
      </c>
    </row>
    <row r="26" spans="2:2" x14ac:dyDescent="0.3">
      <c r="B26" s="20" t="s">
        <v>82</v>
      </c>
    </row>
    <row r="27" spans="2:2" x14ac:dyDescent="0.3">
      <c r="B27" s="13"/>
    </row>
    <row r="28" spans="2:2" x14ac:dyDescent="0.3">
      <c r="B28" s="14" t="s">
        <v>72</v>
      </c>
    </row>
    <row r="29" spans="2:2" x14ac:dyDescent="0.3">
      <c r="B29" s="19"/>
    </row>
    <row r="30" spans="2:2" x14ac:dyDescent="0.3">
      <c r="B30" s="20" t="s">
        <v>83</v>
      </c>
    </row>
    <row r="31" spans="2:2" x14ac:dyDescent="0.3">
      <c r="B31" s="20" t="s">
        <v>84</v>
      </c>
    </row>
    <row r="32" spans="2:2" x14ac:dyDescent="0.3">
      <c r="B32" s="20" t="s">
        <v>85</v>
      </c>
    </row>
    <row r="33" spans="2:2" x14ac:dyDescent="0.3">
      <c r="B33" s="20" t="s">
        <v>86</v>
      </c>
    </row>
    <row r="34" spans="2:2" x14ac:dyDescent="0.3">
      <c r="B34" s="20" t="s">
        <v>87</v>
      </c>
    </row>
    <row r="35" spans="2:2" x14ac:dyDescent="0.3">
      <c r="B35" s="20" t="s">
        <v>88</v>
      </c>
    </row>
    <row r="36" spans="2:2" x14ac:dyDescent="0.3">
      <c r="B36" s="20" t="s">
        <v>89</v>
      </c>
    </row>
    <row r="37" spans="2:2" x14ac:dyDescent="0.3">
      <c r="B37" s="20" t="s">
        <v>90</v>
      </c>
    </row>
    <row r="38" spans="2:2" x14ac:dyDescent="0.3">
      <c r="B38" s="20" t="s">
        <v>91</v>
      </c>
    </row>
    <row r="39" spans="2:2" x14ac:dyDescent="0.3">
      <c r="B39" s="20" t="s">
        <v>92</v>
      </c>
    </row>
    <row r="40" spans="2:2" x14ac:dyDescent="0.3">
      <c r="B40" s="19"/>
    </row>
    <row r="41" spans="2:2" x14ac:dyDescent="0.3">
      <c r="B41" s="21" t="s">
        <v>93</v>
      </c>
    </row>
    <row r="42" spans="2:2" x14ac:dyDescent="0.3">
      <c r="B42" s="21"/>
    </row>
    <row r="43" spans="2:2" x14ac:dyDescent="0.3">
      <c r="B43" s="20" t="s">
        <v>94</v>
      </c>
    </row>
    <row r="44" spans="2:2" x14ac:dyDescent="0.3">
      <c r="B44" s="20" t="s">
        <v>95</v>
      </c>
    </row>
    <row r="45" spans="2:2" x14ac:dyDescent="0.3">
      <c r="B45" s="20" t="s">
        <v>96</v>
      </c>
    </row>
    <row r="46" spans="2:2" x14ac:dyDescent="0.3">
      <c r="B46" s="20" t="s">
        <v>97</v>
      </c>
    </row>
    <row r="47" spans="2:2" x14ac:dyDescent="0.3">
      <c r="B47" s="20" t="s">
        <v>98</v>
      </c>
    </row>
    <row r="48" spans="2:2" x14ac:dyDescent="0.3">
      <c r="B48" s="20" t="s">
        <v>99</v>
      </c>
    </row>
    <row r="49" spans="2:2" x14ac:dyDescent="0.3">
      <c r="B49" s="20" t="s">
        <v>100</v>
      </c>
    </row>
    <row r="50" spans="2:2" x14ac:dyDescent="0.3">
      <c r="B50" s="20" t="s">
        <v>101</v>
      </c>
    </row>
    <row r="51" spans="2:2" x14ac:dyDescent="0.3">
      <c r="B51" s="20" t="s">
        <v>102</v>
      </c>
    </row>
    <row r="52" spans="2:2" x14ac:dyDescent="0.3">
      <c r="B52" s="20" t="s">
        <v>103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CCFEA-4609-4B74-A80E-9BDBF53DBD8A}">
  <dimension ref="B2:EE64"/>
  <sheetViews>
    <sheetView tabSelected="1" workbookViewId="0">
      <pane xSplit="2" ySplit="2" topLeftCell="Q3" activePane="bottomRight" state="frozen"/>
      <selection pane="topRight" activeCell="C1" sqref="C1"/>
      <selection pane="bottomLeft" activeCell="A3" sqref="A3"/>
      <selection pane="bottomRight" activeCell="AB18" sqref="AB18"/>
    </sheetView>
  </sheetViews>
  <sheetFormatPr defaultRowHeight="14.4" x14ac:dyDescent="0.3"/>
  <cols>
    <col min="1" max="1" width="8.88671875" style="1"/>
    <col min="2" max="2" width="19.109375" style="1" customWidth="1"/>
    <col min="3" max="39" width="8.88671875" style="1"/>
    <col min="40" max="40" width="11.88671875" style="1" bestFit="1" customWidth="1"/>
    <col min="41" max="41" width="17.109375" style="1" customWidth="1"/>
    <col min="42" max="16384" width="8.88671875" style="1"/>
  </cols>
  <sheetData>
    <row r="2" spans="2:37" x14ac:dyDescent="0.3">
      <c r="C2" s="2" t="s">
        <v>12</v>
      </c>
      <c r="D2" s="2" t="s">
        <v>13</v>
      </c>
      <c r="E2" s="2" t="s">
        <v>14</v>
      </c>
      <c r="F2" s="2" t="s">
        <v>15</v>
      </c>
      <c r="G2" s="2" t="s">
        <v>16</v>
      </c>
      <c r="H2" s="2" t="s">
        <v>17</v>
      </c>
      <c r="I2" s="2" t="s">
        <v>18</v>
      </c>
      <c r="J2" s="2" t="s">
        <v>19</v>
      </c>
      <c r="K2" s="2" t="s">
        <v>20</v>
      </c>
      <c r="L2" s="2" t="s">
        <v>11</v>
      </c>
      <c r="M2" s="2" t="s">
        <v>21</v>
      </c>
      <c r="N2" s="2" t="s">
        <v>22</v>
      </c>
      <c r="O2" s="2" t="s">
        <v>51</v>
      </c>
      <c r="P2" s="2" t="s">
        <v>52</v>
      </c>
      <c r="Q2" s="2" t="s">
        <v>53</v>
      </c>
      <c r="R2" s="2" t="s">
        <v>54</v>
      </c>
      <c r="U2" s="1">
        <v>2019</v>
      </c>
      <c r="V2" s="1">
        <v>2020</v>
      </c>
      <c r="W2" s="1">
        <v>2021</v>
      </c>
      <c r="X2" s="1">
        <v>2022</v>
      </c>
      <c r="Y2" s="1">
        <v>2023</v>
      </c>
      <c r="Z2" s="1">
        <v>2024</v>
      </c>
      <c r="AA2" s="1">
        <v>2025</v>
      </c>
      <c r="AB2" s="1">
        <v>2026</v>
      </c>
      <c r="AC2" s="1">
        <v>2027</v>
      </c>
      <c r="AD2" s="1">
        <v>2028</v>
      </c>
      <c r="AE2" s="1">
        <v>2029</v>
      </c>
      <c r="AF2" s="1">
        <v>2030</v>
      </c>
      <c r="AG2" s="1">
        <v>2031</v>
      </c>
      <c r="AH2" s="1">
        <v>2032</v>
      </c>
      <c r="AI2" s="1">
        <v>2033</v>
      </c>
      <c r="AJ2" s="1">
        <v>2034</v>
      </c>
      <c r="AK2" s="1">
        <v>2035</v>
      </c>
    </row>
    <row r="3" spans="2:37" x14ac:dyDescent="0.3">
      <c r="B3" s="1" t="s">
        <v>107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X3" s="3">
        <v>30317</v>
      </c>
      <c r="Y3" s="3">
        <v>31628</v>
      </c>
      <c r="Z3" s="3">
        <v>32246</v>
      </c>
    </row>
    <row r="4" spans="2:37" x14ac:dyDescent="0.3">
      <c r="B4" s="1" t="s">
        <v>109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X4" s="7">
        <f>X3/X28</f>
        <v>0.45199332080985183</v>
      </c>
      <c r="Y4" s="7">
        <f>Y3/Y28</f>
        <v>0.45890887986070805</v>
      </c>
      <c r="Z4" s="7">
        <f>Z3/Z28</f>
        <v>0.39939062151651017</v>
      </c>
    </row>
    <row r="5" spans="2:37" x14ac:dyDescent="0.3">
      <c r="B5" s="1" t="s">
        <v>108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X5" s="3">
        <v>25884</v>
      </c>
      <c r="Y5" s="3">
        <v>29440</v>
      </c>
      <c r="Z5" s="3">
        <v>34651</v>
      </c>
    </row>
    <row r="6" spans="2:37" x14ac:dyDescent="0.3">
      <c r="B6" s="1" t="s">
        <v>110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X6" s="7">
        <f>X5/X28</f>
        <v>0.38590213793720368</v>
      </c>
      <c r="Y6" s="7">
        <f>Y5/Y28</f>
        <v>0.42716192687173532</v>
      </c>
      <c r="Z6" s="7">
        <f>Z5/Z28</f>
        <v>0.42917832990661153</v>
      </c>
    </row>
    <row r="7" spans="2:37" x14ac:dyDescent="0.3"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X7" s="7"/>
      <c r="Y7" s="7"/>
      <c r="Z7" s="7"/>
    </row>
    <row r="8" spans="2:37" x14ac:dyDescent="0.3">
      <c r="B8" s="1" t="s">
        <v>111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X8" s="7"/>
      <c r="Y8" s="7"/>
      <c r="Z8" s="3">
        <v>186000</v>
      </c>
    </row>
    <row r="9" spans="2:37" x14ac:dyDescent="0.3"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</row>
    <row r="10" spans="2:37" x14ac:dyDescent="0.3">
      <c r="B10" s="1" t="s">
        <v>119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Y10" s="3">
        <v>78000</v>
      </c>
      <c r="Z10" s="3">
        <v>93000</v>
      </c>
    </row>
    <row r="11" spans="2:37" x14ac:dyDescent="0.3">
      <c r="B11" s="1" t="s">
        <v>120</v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Y11" s="3">
        <v>118000</v>
      </c>
      <c r="Z11" s="3">
        <v>125000</v>
      </c>
    </row>
    <row r="12" spans="2:37" x14ac:dyDescent="0.3"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Y12" s="3"/>
      <c r="Z12" s="3"/>
    </row>
    <row r="13" spans="2:37" x14ac:dyDescent="0.3">
      <c r="B13" s="1" t="s">
        <v>116</v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Y13" s="3">
        <v>30000</v>
      </c>
      <c r="Z13" s="3">
        <v>36000</v>
      </c>
    </row>
    <row r="14" spans="2:37" x14ac:dyDescent="0.3">
      <c r="B14" s="1" t="s">
        <v>115</v>
      </c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Y14" s="3">
        <v>114000</v>
      </c>
      <c r="Z14" s="3">
        <v>119000</v>
      </c>
    </row>
    <row r="15" spans="2:37" x14ac:dyDescent="0.3">
      <c r="B15" s="1" t="s">
        <v>117</v>
      </c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Y15" s="3">
        <v>52000</v>
      </c>
      <c r="Z15" s="3">
        <v>63000</v>
      </c>
    </row>
    <row r="16" spans="2:37" s="4" customFormat="1" x14ac:dyDescent="0.3">
      <c r="B16" s="4" t="s">
        <v>118</v>
      </c>
      <c r="C16" s="22"/>
      <c r="D16" s="22"/>
      <c r="E16" s="22"/>
      <c r="F16" s="22"/>
      <c r="G16" s="22"/>
      <c r="H16" s="22"/>
      <c r="I16" s="22"/>
      <c r="J16" s="22"/>
      <c r="K16" s="22"/>
      <c r="L16" s="22"/>
      <c r="M16" s="22"/>
      <c r="N16" s="22"/>
      <c r="O16" s="22"/>
      <c r="P16" s="22"/>
      <c r="Q16" s="22"/>
      <c r="R16" s="22"/>
      <c r="Y16" s="5">
        <f>SUM(Y13:Y15)</f>
        <v>196000</v>
      </c>
      <c r="Z16" s="5">
        <f>SUM(Z13:Z15)</f>
        <v>218000</v>
      </c>
    </row>
    <row r="17" spans="2:37" x14ac:dyDescent="0.3">
      <c r="B17" s="1" t="s">
        <v>105</v>
      </c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Z17" s="7"/>
      <c r="AA17" s="7">
        <v>0.25</v>
      </c>
    </row>
    <row r="18" spans="2:37" x14ac:dyDescent="0.3">
      <c r="B18" s="1" t="s">
        <v>106</v>
      </c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Z18" s="7"/>
      <c r="AA18" s="3">
        <f>Z16*AA17</f>
        <v>54500</v>
      </c>
    </row>
    <row r="19" spans="2:37" x14ac:dyDescent="0.3"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</row>
    <row r="20" spans="2:37" x14ac:dyDescent="0.3">
      <c r="B20" s="1" t="s">
        <v>69</v>
      </c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X20" s="3">
        <v>23052</v>
      </c>
      <c r="Y20" s="3">
        <v>26253</v>
      </c>
      <c r="Z20" s="3">
        <v>28284</v>
      </c>
    </row>
    <row r="21" spans="2:37" x14ac:dyDescent="0.3">
      <c r="B21" s="1" t="s">
        <v>71</v>
      </c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X21" s="3">
        <v>20530</v>
      </c>
      <c r="Y21" s="3">
        <v>18296</v>
      </c>
      <c r="Z21" s="3">
        <v>28066</v>
      </c>
    </row>
    <row r="22" spans="2:37" x14ac:dyDescent="0.3">
      <c r="B22" s="1" t="s">
        <v>112</v>
      </c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X22" s="3">
        <v>25176</v>
      </c>
      <c r="Y22" s="3">
        <v>26350</v>
      </c>
      <c r="Z22" s="3">
        <v>26713</v>
      </c>
    </row>
    <row r="23" spans="2:37" x14ac:dyDescent="0.3">
      <c r="B23" s="1" t="s">
        <v>113</v>
      </c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X23" s="3">
        <v>-1684</v>
      </c>
      <c r="Y23" s="3">
        <v>-1979</v>
      </c>
      <c r="Z23" s="3">
        <v>-2325</v>
      </c>
    </row>
    <row r="24" spans="2:37" s="4" customFormat="1" x14ac:dyDescent="0.3">
      <c r="B24" s="4" t="s">
        <v>114</v>
      </c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X24" s="5">
        <f>SUM(X20:X23)</f>
        <v>67074</v>
      </c>
      <c r="Y24" s="5">
        <f>SUM(Y20:Y23)</f>
        <v>68920</v>
      </c>
      <c r="Z24" s="5">
        <f>SUM(Z20:Z23)</f>
        <v>80738</v>
      </c>
    </row>
    <row r="25" spans="2:37" x14ac:dyDescent="0.3"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</row>
    <row r="26" spans="2:37" x14ac:dyDescent="0.3">
      <c r="B26" s="1" t="s">
        <v>23</v>
      </c>
      <c r="C26" s="3">
        <v>11862</v>
      </c>
      <c r="D26" s="3">
        <v>12258</v>
      </c>
      <c r="E26" s="3">
        <v>12756</v>
      </c>
      <c r="F26" s="3">
        <f>X26-E26-D26-C26</f>
        <v>13897</v>
      </c>
      <c r="G26" s="3">
        <v>12787</v>
      </c>
      <c r="H26" s="3">
        <v>13411</v>
      </c>
      <c r="I26" s="3">
        <v>8615</v>
      </c>
      <c r="J26" s="3">
        <f>Y26-I26-H26-G26</f>
        <v>14758</v>
      </c>
      <c r="K26" s="3">
        <v>14303</v>
      </c>
      <c r="L26" s="3">
        <v>14562</v>
      </c>
      <c r="M26" s="3">
        <v>14708</v>
      </c>
      <c r="N26" s="3">
        <f>Z26-M26-L26-K26</f>
        <v>16039</v>
      </c>
      <c r="O26" s="3">
        <v>14591</v>
      </c>
      <c r="P26" s="3">
        <v>15551</v>
      </c>
      <c r="Q26" s="3">
        <f>M26*1.06</f>
        <v>15590.480000000001</v>
      </c>
      <c r="R26" s="3">
        <f>N26*1.05</f>
        <v>16840.95</v>
      </c>
      <c r="U26" s="3">
        <v>32998</v>
      </c>
      <c r="V26" s="3">
        <v>43319</v>
      </c>
      <c r="W26" s="3">
        <v>49270</v>
      </c>
      <c r="X26" s="3">
        <v>50773</v>
      </c>
      <c r="Y26" s="3">
        <v>49571</v>
      </c>
      <c r="Z26" s="3">
        <v>59612</v>
      </c>
      <c r="AA26" s="3">
        <f>SUM(O26:R26)</f>
        <v>62573.430000000008</v>
      </c>
      <c r="AB26" s="3">
        <f>AA26*1.04</f>
        <v>65076.367200000008</v>
      </c>
      <c r="AC26" s="3">
        <f>AB26*1.03</f>
        <v>67028.658216000011</v>
      </c>
      <c r="AD26" s="3">
        <f>AC26*1.02</f>
        <v>68369.231380320009</v>
      </c>
      <c r="AE26" s="3">
        <f t="shared" ref="AE26:AK26" si="0">AD26*1.02</f>
        <v>69736.616007926408</v>
      </c>
      <c r="AF26" s="3">
        <f t="shared" si="0"/>
        <v>71131.348328084932</v>
      </c>
      <c r="AG26" s="3">
        <f t="shared" si="0"/>
        <v>72553.975294646632</v>
      </c>
      <c r="AH26" s="3">
        <f t="shared" si="0"/>
        <v>74005.054800539569</v>
      </c>
      <c r="AI26" s="3">
        <f t="shared" si="0"/>
        <v>75485.155896550365</v>
      </c>
      <c r="AJ26" s="3">
        <f t="shared" si="0"/>
        <v>76994.859014481379</v>
      </c>
      <c r="AK26" s="3">
        <f t="shared" si="0"/>
        <v>78534.756194771006</v>
      </c>
    </row>
    <row r="27" spans="2:37" x14ac:dyDescent="0.3">
      <c r="B27" s="1" t="s">
        <v>24</v>
      </c>
      <c r="C27" s="3">
        <v>3854</v>
      </c>
      <c r="D27" s="3">
        <v>4056</v>
      </c>
      <c r="E27" s="3">
        <v>4195</v>
      </c>
      <c r="F27" s="3">
        <f>X27-E27-D27-C27</f>
        <v>4196</v>
      </c>
      <c r="G27" s="3">
        <v>4427</v>
      </c>
      <c r="H27" s="3">
        <v>4904</v>
      </c>
      <c r="I27" s="3">
        <v>4849</v>
      </c>
      <c r="J27" s="3">
        <f>Y27-I27-H27-G27</f>
        <v>5169</v>
      </c>
      <c r="K27" s="3">
        <v>5002</v>
      </c>
      <c r="L27" s="3">
        <v>5159</v>
      </c>
      <c r="M27" s="3">
        <v>5381</v>
      </c>
      <c r="N27" s="3">
        <f>Z27-M27-L27-K27</f>
        <v>5584</v>
      </c>
      <c r="O27" s="3">
        <v>5715</v>
      </c>
      <c r="P27" s="3">
        <v>6030</v>
      </c>
      <c r="Q27" s="3">
        <f>M27*1.17</f>
        <v>6295.7699999999995</v>
      </c>
      <c r="R27" s="3">
        <f>N27*1.18</f>
        <v>6589.12</v>
      </c>
      <c r="U27" s="3">
        <v>12351</v>
      </c>
      <c r="V27" s="3">
        <v>13268</v>
      </c>
      <c r="W27" s="3">
        <v>15118</v>
      </c>
      <c r="X27" s="3">
        <v>16301</v>
      </c>
      <c r="Y27" s="3">
        <v>19349</v>
      </c>
      <c r="Z27" s="3">
        <v>21126</v>
      </c>
      <c r="AA27" s="3">
        <f>SUM(O27:R27)</f>
        <v>24629.89</v>
      </c>
      <c r="AB27" s="3">
        <f>AA27*1.13</f>
        <v>27831.775699999998</v>
      </c>
      <c r="AC27" s="3">
        <f>AB27*1.09</f>
        <v>30336.635513000001</v>
      </c>
      <c r="AD27" s="3">
        <f>AC27*1.05</f>
        <v>31853.467288650001</v>
      </c>
      <c r="AE27" s="3">
        <f>AD27*1.04</f>
        <v>33127.605980196</v>
      </c>
      <c r="AF27" s="3">
        <f>AE27*1.03</f>
        <v>34121.434159601878</v>
      </c>
      <c r="AG27" s="3">
        <f t="shared" ref="AG27:AK27" si="1">AF27*1.03</f>
        <v>35145.077184389935</v>
      </c>
      <c r="AH27" s="3">
        <f t="shared" si="1"/>
        <v>36199.429499921636</v>
      </c>
      <c r="AI27" s="3">
        <f t="shared" si="1"/>
        <v>37285.412384919284</v>
      </c>
      <c r="AJ27" s="3">
        <f t="shared" si="1"/>
        <v>38403.974756466865</v>
      </c>
      <c r="AK27" s="3">
        <f t="shared" si="1"/>
        <v>39556.093999160876</v>
      </c>
    </row>
    <row r="28" spans="2:37" s="4" customFormat="1" x14ac:dyDescent="0.3">
      <c r="B28" s="4" t="s">
        <v>25</v>
      </c>
      <c r="C28" s="5">
        <f t="shared" ref="C28:P28" si="2">C26+C27</f>
        <v>15716</v>
      </c>
      <c r="D28" s="5">
        <f t="shared" si="2"/>
        <v>16314</v>
      </c>
      <c r="E28" s="5">
        <f t="shared" si="2"/>
        <v>16951</v>
      </c>
      <c r="F28" s="5">
        <f t="shared" si="2"/>
        <v>18093</v>
      </c>
      <c r="G28" s="5">
        <f t="shared" si="2"/>
        <v>17214</v>
      </c>
      <c r="H28" s="5">
        <f t="shared" si="2"/>
        <v>18315</v>
      </c>
      <c r="I28" s="5">
        <f t="shared" si="2"/>
        <v>13464</v>
      </c>
      <c r="J28" s="5">
        <f t="shared" si="2"/>
        <v>19927</v>
      </c>
      <c r="K28" s="5">
        <f t="shared" si="2"/>
        <v>19305</v>
      </c>
      <c r="L28" s="5">
        <f t="shared" si="2"/>
        <v>19721</v>
      </c>
      <c r="M28" s="5">
        <f t="shared" si="2"/>
        <v>20089</v>
      </c>
      <c r="N28" s="5">
        <f t="shared" si="2"/>
        <v>21623</v>
      </c>
      <c r="O28" s="5">
        <f t="shared" si="2"/>
        <v>20306</v>
      </c>
      <c r="P28" s="5">
        <f t="shared" si="2"/>
        <v>21581</v>
      </c>
      <c r="Q28" s="5">
        <f t="shared" ref="Q28:R28" si="3">Q26+Q27</f>
        <v>21886.25</v>
      </c>
      <c r="R28" s="5">
        <f t="shared" si="3"/>
        <v>23430.07</v>
      </c>
      <c r="U28" s="5">
        <f t="shared" ref="U28:AK28" si="4">U26+U27</f>
        <v>45349</v>
      </c>
      <c r="V28" s="5">
        <f t="shared" si="4"/>
        <v>56587</v>
      </c>
      <c r="W28" s="5">
        <f t="shared" si="4"/>
        <v>64388</v>
      </c>
      <c r="X28" s="5">
        <f t="shared" si="4"/>
        <v>67074</v>
      </c>
      <c r="Y28" s="5">
        <f t="shared" si="4"/>
        <v>68920</v>
      </c>
      <c r="Z28" s="5">
        <f t="shared" si="4"/>
        <v>80738</v>
      </c>
      <c r="AA28" s="5">
        <f t="shared" si="4"/>
        <v>87203.32</v>
      </c>
      <c r="AB28" s="5">
        <f t="shared" si="4"/>
        <v>92908.142900000006</v>
      </c>
      <c r="AC28" s="5">
        <f t="shared" si="4"/>
        <v>97365.293729000012</v>
      </c>
      <c r="AD28" s="5">
        <f t="shared" si="4"/>
        <v>100222.69866897001</v>
      </c>
      <c r="AE28" s="5">
        <f t="shared" si="4"/>
        <v>102864.22198812242</v>
      </c>
      <c r="AF28" s="5">
        <f t="shared" si="4"/>
        <v>105252.78248768681</v>
      </c>
      <c r="AG28" s="5">
        <f t="shared" si="4"/>
        <v>107699.05247903656</v>
      </c>
      <c r="AH28" s="5">
        <f t="shared" si="4"/>
        <v>110204.4843004612</v>
      </c>
      <c r="AI28" s="5">
        <f t="shared" si="4"/>
        <v>112770.56828146965</v>
      </c>
      <c r="AJ28" s="5">
        <f t="shared" si="4"/>
        <v>115398.83377094824</v>
      </c>
      <c r="AK28" s="5">
        <f t="shared" si="4"/>
        <v>118090.85019393188</v>
      </c>
    </row>
    <row r="29" spans="2:37" x14ac:dyDescent="0.3">
      <c r="B29" s="1" t="s">
        <v>26</v>
      </c>
      <c r="C29" s="3">
        <v>9820</v>
      </c>
      <c r="D29" s="3">
        <v>10040</v>
      </c>
      <c r="E29" s="3">
        <v>10493</v>
      </c>
      <c r="F29" s="3">
        <f t="shared" ref="F29:F30" si="5">X29-E29-D29-C29</f>
        <v>11574</v>
      </c>
      <c r="G29" s="3">
        <v>10700</v>
      </c>
      <c r="H29" s="3">
        <v>11089</v>
      </c>
      <c r="I29" s="3">
        <v>9289</v>
      </c>
      <c r="J29" s="3">
        <f t="shared" ref="J29:J30" si="6">Y29-I29-H29-G29</f>
        <v>12347</v>
      </c>
      <c r="K29" s="3">
        <v>12216</v>
      </c>
      <c r="L29" s="3">
        <v>12625</v>
      </c>
      <c r="M29" s="3">
        <v>12336</v>
      </c>
      <c r="N29" s="3">
        <f t="shared" ref="N29:N30" si="7">Z29-M29-L29-K29</f>
        <v>13591</v>
      </c>
      <c r="O29" s="3">
        <v>12283</v>
      </c>
      <c r="P29" s="3">
        <v>12989</v>
      </c>
      <c r="Q29" s="3">
        <f>Q26*0.84</f>
        <v>13096.003200000001</v>
      </c>
      <c r="R29" s="3">
        <f>R26*0.84</f>
        <v>14146.397999999999</v>
      </c>
      <c r="U29" s="3">
        <v>26910</v>
      </c>
      <c r="V29" s="3">
        <v>38137</v>
      </c>
      <c r="W29" s="3">
        <v>41095</v>
      </c>
      <c r="X29" s="3">
        <v>41927</v>
      </c>
      <c r="Y29" s="3">
        <v>43425</v>
      </c>
      <c r="Z29" s="3">
        <v>50768</v>
      </c>
      <c r="AA29" s="3">
        <f t="shared" ref="AA29:AA30" si="8">SUM(O29:R29)</f>
        <v>52514.4012</v>
      </c>
      <c r="AB29" s="3">
        <f>AB26*0.84</f>
        <v>54664.148448000007</v>
      </c>
      <c r="AC29" s="3">
        <f t="shared" ref="AC29:AK29" si="9">AC26*0.84</f>
        <v>56304.072901440006</v>
      </c>
      <c r="AD29" s="3">
        <f t="shared" si="9"/>
        <v>57430.154359468805</v>
      </c>
      <c r="AE29" s="3">
        <f t="shared" si="9"/>
        <v>58578.757446658179</v>
      </c>
      <c r="AF29" s="3">
        <f t="shared" si="9"/>
        <v>59750.332595591339</v>
      </c>
      <c r="AG29" s="3">
        <f t="shared" si="9"/>
        <v>60945.339247503172</v>
      </c>
      <c r="AH29" s="3">
        <f t="shared" si="9"/>
        <v>62164.246032453237</v>
      </c>
      <c r="AI29" s="3">
        <f t="shared" si="9"/>
        <v>63407.530953102301</v>
      </c>
      <c r="AJ29" s="3">
        <f t="shared" si="9"/>
        <v>64675.681572164358</v>
      </c>
      <c r="AK29" s="3">
        <f t="shared" si="9"/>
        <v>65969.19520360764</v>
      </c>
    </row>
    <row r="30" spans="2:37" x14ac:dyDescent="0.3">
      <c r="B30" s="1" t="s">
        <v>27</v>
      </c>
      <c r="C30" s="3">
        <v>2740</v>
      </c>
      <c r="D30" s="3">
        <v>2816</v>
      </c>
      <c r="E30" s="3">
        <v>2971</v>
      </c>
      <c r="F30" s="3">
        <f t="shared" si="5"/>
        <v>2952</v>
      </c>
      <c r="G30" s="3">
        <v>2945</v>
      </c>
      <c r="H30" s="3">
        <v>3429</v>
      </c>
      <c r="I30" s="3">
        <v>3461</v>
      </c>
      <c r="J30" s="3">
        <f t="shared" si="6"/>
        <v>3571</v>
      </c>
      <c r="K30" s="3">
        <v>3528</v>
      </c>
      <c r="L30" s="3">
        <v>3516</v>
      </c>
      <c r="M30" s="3">
        <v>3719</v>
      </c>
      <c r="N30" s="3">
        <f t="shared" si="7"/>
        <v>3797</v>
      </c>
      <c r="O30" s="3">
        <v>3907</v>
      </c>
      <c r="P30" s="3">
        <v>4216</v>
      </c>
      <c r="Q30" s="3">
        <f>Q27*0.69</f>
        <v>4344.0812999999989</v>
      </c>
      <c r="R30" s="3">
        <f>R27*0.69</f>
        <v>4546.4928</v>
      </c>
      <c r="U30" s="3">
        <v>7688</v>
      </c>
      <c r="V30" s="3">
        <v>9919</v>
      </c>
      <c r="W30" s="3">
        <v>10802</v>
      </c>
      <c r="X30" s="3">
        <v>11479</v>
      </c>
      <c r="Y30" s="3">
        <v>13406</v>
      </c>
      <c r="Z30" s="3">
        <v>14560</v>
      </c>
      <c r="AA30" s="3">
        <f t="shared" si="8"/>
        <v>17013.574099999998</v>
      </c>
      <c r="AB30" s="3">
        <f t="shared" ref="AB30:AK30" si="10">AB27*0.69</f>
        <v>19203.925232999998</v>
      </c>
      <c r="AC30" s="3">
        <f t="shared" si="10"/>
        <v>20932.278503969999</v>
      </c>
      <c r="AD30" s="3">
        <f t="shared" si="10"/>
        <v>21978.8924291685</v>
      </c>
      <c r="AE30" s="3">
        <f t="shared" si="10"/>
        <v>22858.048126335238</v>
      </c>
      <c r="AF30" s="3">
        <f t="shared" si="10"/>
        <v>23543.789570125293</v>
      </c>
      <c r="AG30" s="3">
        <f t="shared" si="10"/>
        <v>24250.103257229053</v>
      </c>
      <c r="AH30" s="3">
        <f t="shared" si="10"/>
        <v>24977.606354945929</v>
      </c>
      <c r="AI30" s="3">
        <f t="shared" si="10"/>
        <v>25726.934545594304</v>
      </c>
      <c r="AJ30" s="3">
        <f t="shared" si="10"/>
        <v>26498.742581962135</v>
      </c>
      <c r="AK30" s="3">
        <f t="shared" si="10"/>
        <v>27293.704859421003</v>
      </c>
    </row>
    <row r="31" spans="2:37" x14ac:dyDescent="0.3">
      <c r="B31" s="1" t="s">
        <v>28</v>
      </c>
      <c r="C31" s="3">
        <f t="shared" ref="C31:P31" si="11">C29+C30</f>
        <v>12560</v>
      </c>
      <c r="D31" s="3">
        <f t="shared" si="11"/>
        <v>12856</v>
      </c>
      <c r="E31" s="3">
        <f t="shared" si="11"/>
        <v>13464</v>
      </c>
      <c r="F31" s="3">
        <f t="shared" si="11"/>
        <v>14526</v>
      </c>
      <c r="G31" s="3">
        <f t="shared" si="11"/>
        <v>13645</v>
      </c>
      <c r="H31" s="3">
        <f t="shared" si="11"/>
        <v>14518</v>
      </c>
      <c r="I31" s="3">
        <f t="shared" si="11"/>
        <v>12750</v>
      </c>
      <c r="J31" s="3">
        <f t="shared" si="11"/>
        <v>15918</v>
      </c>
      <c r="K31" s="3">
        <f t="shared" si="11"/>
        <v>15744</v>
      </c>
      <c r="L31" s="3">
        <f t="shared" si="11"/>
        <v>16141</v>
      </c>
      <c r="M31" s="3">
        <f t="shared" si="11"/>
        <v>16055</v>
      </c>
      <c r="N31" s="3">
        <f t="shared" si="11"/>
        <v>17388</v>
      </c>
      <c r="O31" s="3">
        <f t="shared" si="11"/>
        <v>16190</v>
      </c>
      <c r="P31" s="3">
        <f t="shared" si="11"/>
        <v>17205</v>
      </c>
      <c r="Q31" s="3">
        <f t="shared" ref="Q31:R31" si="12">Q29+Q30</f>
        <v>17440.084500000001</v>
      </c>
      <c r="R31" s="3">
        <f t="shared" si="12"/>
        <v>18692.890800000001</v>
      </c>
      <c r="U31" s="3">
        <f t="shared" ref="U31:Z31" si="13">U29+U30</f>
        <v>34598</v>
      </c>
      <c r="V31" s="3">
        <f t="shared" si="13"/>
        <v>48056</v>
      </c>
      <c r="W31" s="3">
        <f t="shared" si="13"/>
        <v>51897</v>
      </c>
      <c r="X31" s="3">
        <f t="shared" si="13"/>
        <v>53406</v>
      </c>
      <c r="Y31" s="3">
        <f t="shared" si="13"/>
        <v>56831</v>
      </c>
      <c r="Z31" s="3">
        <f t="shared" si="13"/>
        <v>65328</v>
      </c>
      <c r="AA31" s="3">
        <f t="shared" ref="AA31:AK31" si="14">AA29+AA30</f>
        <v>69527.975299999991</v>
      </c>
      <c r="AB31" s="3">
        <f t="shared" si="14"/>
        <v>73868.073681000009</v>
      </c>
      <c r="AC31" s="3">
        <f t="shared" si="14"/>
        <v>77236.351405410009</v>
      </c>
      <c r="AD31" s="3">
        <f t="shared" si="14"/>
        <v>79409.046788637308</v>
      </c>
      <c r="AE31" s="3">
        <f t="shared" si="14"/>
        <v>81436.805572993413</v>
      </c>
      <c r="AF31" s="3">
        <f t="shared" si="14"/>
        <v>83294.122165716632</v>
      </c>
      <c r="AG31" s="3">
        <f t="shared" si="14"/>
        <v>85195.442504732229</v>
      </c>
      <c r="AH31" s="3">
        <f t="shared" si="14"/>
        <v>87141.852387399165</v>
      </c>
      <c r="AI31" s="3">
        <f t="shared" si="14"/>
        <v>89134.465498696605</v>
      </c>
      <c r="AJ31" s="3">
        <f t="shared" si="14"/>
        <v>91174.424154126493</v>
      </c>
      <c r="AK31" s="3">
        <f t="shared" si="14"/>
        <v>93262.900063028646</v>
      </c>
    </row>
    <row r="32" spans="2:37" s="4" customFormat="1" x14ac:dyDescent="0.3">
      <c r="B32" s="4" t="s">
        <v>29</v>
      </c>
      <c r="C32" s="5">
        <f t="shared" ref="C32:P32" si="15">C28-C31</f>
        <v>3156</v>
      </c>
      <c r="D32" s="5">
        <f t="shared" si="15"/>
        <v>3458</v>
      </c>
      <c r="E32" s="5">
        <f t="shared" si="15"/>
        <v>3487</v>
      </c>
      <c r="F32" s="5">
        <f t="shared" si="15"/>
        <v>3567</v>
      </c>
      <c r="G32" s="5">
        <f t="shared" si="15"/>
        <v>3569</v>
      </c>
      <c r="H32" s="5">
        <f t="shared" si="15"/>
        <v>3797</v>
      </c>
      <c r="I32" s="5">
        <f t="shared" si="15"/>
        <v>714</v>
      </c>
      <c r="J32" s="5">
        <f t="shared" si="15"/>
        <v>4009</v>
      </c>
      <c r="K32" s="5">
        <f t="shared" si="15"/>
        <v>3561</v>
      </c>
      <c r="L32" s="5">
        <f t="shared" si="15"/>
        <v>3580</v>
      </c>
      <c r="M32" s="5">
        <f t="shared" si="15"/>
        <v>4034</v>
      </c>
      <c r="N32" s="5">
        <f t="shared" si="15"/>
        <v>4235</v>
      </c>
      <c r="O32" s="5">
        <f t="shared" si="15"/>
        <v>4116</v>
      </c>
      <c r="P32" s="5">
        <f t="shared" si="15"/>
        <v>4376</v>
      </c>
      <c r="Q32" s="5">
        <f t="shared" ref="Q32:R32" si="16">Q28-Q31</f>
        <v>4446.1654999999992</v>
      </c>
      <c r="R32" s="5">
        <f t="shared" si="16"/>
        <v>4737.1791999999987</v>
      </c>
      <c r="U32" s="5">
        <f t="shared" ref="U32:Z32" si="17">U28-U31</f>
        <v>10751</v>
      </c>
      <c r="V32" s="5">
        <f t="shared" si="17"/>
        <v>8531</v>
      </c>
      <c r="W32" s="5">
        <f t="shared" si="17"/>
        <v>12491</v>
      </c>
      <c r="X32" s="5">
        <f t="shared" si="17"/>
        <v>13668</v>
      </c>
      <c r="Y32" s="5">
        <f t="shared" si="17"/>
        <v>12089</v>
      </c>
      <c r="Z32" s="5">
        <f t="shared" si="17"/>
        <v>15410</v>
      </c>
      <c r="AA32" s="5">
        <f t="shared" ref="AA32:AK32" si="18">AA28-AA31</f>
        <v>17675.344700000016</v>
      </c>
      <c r="AB32" s="5">
        <f t="shared" si="18"/>
        <v>19040.069218999997</v>
      </c>
      <c r="AC32" s="5">
        <f t="shared" si="18"/>
        <v>20128.942323590003</v>
      </c>
      <c r="AD32" s="5">
        <f t="shared" si="18"/>
        <v>20813.651880332705</v>
      </c>
      <c r="AE32" s="5">
        <f t="shared" si="18"/>
        <v>21427.416415129002</v>
      </c>
      <c r="AF32" s="5">
        <f t="shared" si="18"/>
        <v>21958.660321970179</v>
      </c>
      <c r="AG32" s="5">
        <f t="shared" si="18"/>
        <v>22503.609974304331</v>
      </c>
      <c r="AH32" s="5">
        <f t="shared" si="18"/>
        <v>23062.63191306204</v>
      </c>
      <c r="AI32" s="5">
        <f t="shared" si="18"/>
        <v>23636.102782773043</v>
      </c>
      <c r="AJ32" s="5">
        <f t="shared" si="18"/>
        <v>24224.409616821751</v>
      </c>
      <c r="AK32" s="5">
        <f t="shared" si="18"/>
        <v>24827.950130903235</v>
      </c>
    </row>
    <row r="33" spans="2:135" x14ac:dyDescent="0.3">
      <c r="B33" s="1" t="s">
        <v>30</v>
      </c>
      <c r="C33" s="3">
        <v>635</v>
      </c>
      <c r="D33" s="3">
        <v>698</v>
      </c>
      <c r="E33" s="3">
        <v>662</v>
      </c>
      <c r="F33" s="3">
        <f t="shared" ref="F33:F34" si="19">X33-E33-D33-C33</f>
        <v>716</v>
      </c>
      <c r="G33" s="3">
        <v>607</v>
      </c>
      <c r="H33" s="3">
        <v>729</v>
      </c>
      <c r="I33" s="3">
        <v>712</v>
      </c>
      <c r="J33" s="3">
        <f t="shared" ref="J33:J34" si="20">Y33-I33-H33-G33</f>
        <v>757</v>
      </c>
      <c r="K33" s="3">
        <v>669</v>
      </c>
      <c r="L33" s="3">
        <v>706</v>
      </c>
      <c r="M33" s="3">
        <v>751</v>
      </c>
      <c r="N33" s="3">
        <f t="shared" ref="N33:N34" si="21">Z33-M33-L33-K33</f>
        <v>808</v>
      </c>
      <c r="O33" s="3">
        <v>637</v>
      </c>
      <c r="P33" s="3">
        <v>697</v>
      </c>
      <c r="Q33" s="3">
        <f>M33*0.98</f>
        <v>735.98</v>
      </c>
      <c r="R33" s="3">
        <f>N33*0.98</f>
        <v>791.84</v>
      </c>
      <c r="U33" s="3">
        <v>2452</v>
      </c>
      <c r="V33" s="3">
        <v>2582</v>
      </c>
      <c r="W33" s="3">
        <v>2732</v>
      </c>
      <c r="X33" s="3">
        <v>2711</v>
      </c>
      <c r="Y33" s="3">
        <v>2805</v>
      </c>
      <c r="Z33" s="3">
        <v>2934</v>
      </c>
      <c r="AA33" s="3">
        <f t="shared" ref="AA33:AA34" si="22">SUM(O33:R33)</f>
        <v>2861.82</v>
      </c>
      <c r="AB33" s="3">
        <f>AA33*1.01</f>
        <v>2890.4382000000001</v>
      </c>
      <c r="AC33" s="3">
        <f t="shared" ref="AC33:AE33" si="23">AB33*1.02</f>
        <v>2948.2469639999999</v>
      </c>
      <c r="AD33" s="3">
        <f t="shared" si="23"/>
        <v>3007.2119032800001</v>
      </c>
      <c r="AE33" s="3">
        <f t="shared" si="23"/>
        <v>3067.3561413456</v>
      </c>
      <c r="AF33" s="3">
        <f>AE33*1.01</f>
        <v>3098.0297027590559</v>
      </c>
      <c r="AG33" s="3">
        <f t="shared" ref="AG33:AK33" si="24">AF33*1.01</f>
        <v>3129.0099997866464</v>
      </c>
      <c r="AH33" s="3">
        <f t="shared" si="24"/>
        <v>3160.3000997845129</v>
      </c>
      <c r="AI33" s="3">
        <f t="shared" si="24"/>
        <v>3191.9031007823583</v>
      </c>
      <c r="AJ33" s="3">
        <f t="shared" si="24"/>
        <v>3223.8221317901821</v>
      </c>
      <c r="AK33" s="3">
        <f t="shared" si="24"/>
        <v>3256.0603531080837</v>
      </c>
    </row>
    <row r="34" spans="2:135" x14ac:dyDescent="0.3">
      <c r="B34" s="1" t="s">
        <v>31</v>
      </c>
      <c r="C34" s="3">
        <v>1469</v>
      </c>
      <c r="D34" s="3">
        <v>1424</v>
      </c>
      <c r="E34" s="3">
        <v>1351</v>
      </c>
      <c r="F34" s="3">
        <f t="shared" si="19"/>
        <v>1329</v>
      </c>
      <c r="G34" s="3">
        <v>1398</v>
      </c>
      <c r="H34" s="3">
        <v>1600</v>
      </c>
      <c r="I34" s="3">
        <v>1401</v>
      </c>
      <c r="J34" s="3">
        <f t="shared" si="20"/>
        <v>1410</v>
      </c>
      <c r="K34" s="3">
        <v>1394</v>
      </c>
      <c r="L34" s="3">
        <v>1449</v>
      </c>
      <c r="M34" s="3">
        <v>1389</v>
      </c>
      <c r="N34" s="3">
        <f t="shared" si="21"/>
        <v>1574</v>
      </c>
      <c r="O34" s="3">
        <v>1448</v>
      </c>
      <c r="P34" s="3">
        <v>1573</v>
      </c>
      <c r="Q34" s="3">
        <f>Q28*0.07</f>
        <v>1532.0375000000001</v>
      </c>
      <c r="R34" s="3">
        <f>R28*0.07</f>
        <v>1640.1049</v>
      </c>
      <c r="U34" s="3">
        <v>3711</v>
      </c>
      <c r="V34" s="3">
        <v>5540</v>
      </c>
      <c r="W34" s="3">
        <v>5224</v>
      </c>
      <c r="X34" s="3">
        <v>5573</v>
      </c>
      <c r="Y34" s="3">
        <v>5809</v>
      </c>
      <c r="Z34" s="3">
        <v>5806</v>
      </c>
      <c r="AA34" s="3">
        <f t="shared" si="22"/>
        <v>6193.1424000000006</v>
      </c>
      <c r="AB34" s="3">
        <f t="shared" ref="AB34:AK34" si="25">AB28*0.07</f>
        <v>6503.5700030000007</v>
      </c>
      <c r="AC34" s="3">
        <f t="shared" si="25"/>
        <v>6815.570561030001</v>
      </c>
      <c r="AD34" s="3">
        <f t="shared" si="25"/>
        <v>7015.5889068279012</v>
      </c>
      <c r="AE34" s="3">
        <f t="shared" si="25"/>
        <v>7200.4955391685698</v>
      </c>
      <c r="AF34" s="3">
        <f t="shared" si="25"/>
        <v>7367.6947741380773</v>
      </c>
      <c r="AG34" s="3">
        <f t="shared" si="25"/>
        <v>7538.9336735325596</v>
      </c>
      <c r="AH34" s="3">
        <f t="shared" si="25"/>
        <v>7714.3139010322848</v>
      </c>
      <c r="AI34" s="3">
        <f t="shared" si="25"/>
        <v>7893.939779702876</v>
      </c>
      <c r="AJ34" s="3">
        <f t="shared" si="25"/>
        <v>8077.9183639663779</v>
      </c>
      <c r="AK34" s="3">
        <f t="shared" si="25"/>
        <v>8266.359513575233</v>
      </c>
    </row>
    <row r="35" spans="2:135" s="4" customFormat="1" x14ac:dyDescent="0.3">
      <c r="B35" s="4" t="s">
        <v>32</v>
      </c>
      <c r="C35" s="5">
        <f t="shared" ref="C35:P35" si="26">C32-C33-C34</f>
        <v>1052</v>
      </c>
      <c r="D35" s="5">
        <f t="shared" si="26"/>
        <v>1336</v>
      </c>
      <c r="E35" s="5">
        <f t="shared" si="26"/>
        <v>1474</v>
      </c>
      <c r="F35" s="5">
        <f t="shared" si="26"/>
        <v>1522</v>
      </c>
      <c r="G35" s="5">
        <f t="shared" si="26"/>
        <v>1564</v>
      </c>
      <c r="H35" s="5">
        <f t="shared" si="26"/>
        <v>1468</v>
      </c>
      <c r="I35" s="5">
        <f t="shared" si="26"/>
        <v>-1399</v>
      </c>
      <c r="J35" s="5">
        <f t="shared" si="26"/>
        <v>1842</v>
      </c>
      <c r="K35" s="5">
        <f t="shared" si="26"/>
        <v>1498</v>
      </c>
      <c r="L35" s="5">
        <f t="shared" si="26"/>
        <v>1425</v>
      </c>
      <c r="M35" s="5">
        <f t="shared" si="26"/>
        <v>1894</v>
      </c>
      <c r="N35" s="5">
        <f t="shared" si="26"/>
        <v>1853</v>
      </c>
      <c r="O35" s="5">
        <f t="shared" si="26"/>
        <v>2031</v>
      </c>
      <c r="P35" s="5">
        <f t="shared" si="26"/>
        <v>2106</v>
      </c>
      <c r="Q35" s="5">
        <f t="shared" ref="Q35:R35" si="27">Q32-Q33-Q34</f>
        <v>2178.1479999999992</v>
      </c>
      <c r="R35" s="5">
        <f t="shared" si="27"/>
        <v>2305.2342999999983</v>
      </c>
      <c r="U35" s="5">
        <f t="shared" ref="U35:AA35" si="28">U32-U33-U34</f>
        <v>4588</v>
      </c>
      <c r="V35" s="5">
        <f t="shared" si="28"/>
        <v>409</v>
      </c>
      <c r="W35" s="5">
        <f t="shared" si="28"/>
        <v>4535</v>
      </c>
      <c r="X35" s="5">
        <f t="shared" si="28"/>
        <v>5384</v>
      </c>
      <c r="Y35" s="5">
        <f t="shared" si="28"/>
        <v>3475</v>
      </c>
      <c r="Z35" s="5">
        <f t="shared" si="28"/>
        <v>6670</v>
      </c>
      <c r="AA35" s="5">
        <f t="shared" si="28"/>
        <v>8620.3823000000157</v>
      </c>
      <c r="AB35" s="5">
        <f t="shared" ref="AB35:AK35" si="29">AB32-AB33-AB34</f>
        <v>9646.061015999996</v>
      </c>
      <c r="AC35" s="5">
        <f t="shared" si="29"/>
        <v>10365.124798560004</v>
      </c>
      <c r="AD35" s="5">
        <f t="shared" si="29"/>
        <v>10790.851070224804</v>
      </c>
      <c r="AE35" s="5">
        <f t="shared" si="29"/>
        <v>11159.564734614833</v>
      </c>
      <c r="AF35" s="5">
        <f t="shared" si="29"/>
        <v>11492.935845073045</v>
      </c>
      <c r="AG35" s="5">
        <f t="shared" si="29"/>
        <v>11835.666300985125</v>
      </c>
      <c r="AH35" s="5">
        <f t="shared" si="29"/>
        <v>12188.017912245243</v>
      </c>
      <c r="AI35" s="5">
        <f t="shared" si="29"/>
        <v>12550.259902287809</v>
      </c>
      <c r="AJ35" s="5">
        <f t="shared" si="29"/>
        <v>12922.669121065192</v>
      </c>
      <c r="AK35" s="5">
        <f t="shared" si="29"/>
        <v>13305.530264219917</v>
      </c>
    </row>
    <row r="36" spans="2:135" x14ac:dyDescent="0.3">
      <c r="B36" s="1" t="s">
        <v>33</v>
      </c>
      <c r="C36" s="3">
        <v>-28</v>
      </c>
      <c r="D36" s="3">
        <v>-17</v>
      </c>
      <c r="E36" s="3">
        <v>-46</v>
      </c>
      <c r="F36" s="3">
        <f t="shared" ref="F36:F38" si="30">X36-E36-D36-C36</f>
        <v>-29</v>
      </c>
      <c r="G36" s="3">
        <v>-88</v>
      </c>
      <c r="H36" s="3">
        <v>-25</v>
      </c>
      <c r="I36" s="3">
        <v>-3</v>
      </c>
      <c r="J36" s="3">
        <f t="shared" ref="J36:J38" si="31">Y36-I36-H36-G36</f>
        <v>30</v>
      </c>
      <c r="K36" s="3">
        <v>-372</v>
      </c>
      <c r="L36" s="3">
        <v>896</v>
      </c>
      <c r="M36" s="3">
        <v>-134</v>
      </c>
      <c r="N36" s="3">
        <f t="shared" ref="N36:N38" si="32">Z36-M36-L36-K36</f>
        <v>-258</v>
      </c>
      <c r="O36" s="3">
        <v>-4</v>
      </c>
      <c r="P36" s="3">
        <v>-40</v>
      </c>
      <c r="Q36" s="3">
        <v>0</v>
      </c>
      <c r="R36" s="3">
        <v>0</v>
      </c>
      <c r="U36" s="3">
        <v>-326</v>
      </c>
      <c r="V36" s="3">
        <f>3183-885</f>
        <v>2298</v>
      </c>
      <c r="W36" s="3">
        <v>-423</v>
      </c>
      <c r="X36" s="3">
        <v>-120</v>
      </c>
      <c r="Y36" s="3">
        <v>-86</v>
      </c>
      <c r="Z36" s="3">
        <v>132</v>
      </c>
      <c r="AA36" s="3">
        <f t="shared" ref="AA36:AA38" si="33">SUM(O36:R36)</f>
        <v>-44</v>
      </c>
      <c r="AB36" s="3">
        <v>0</v>
      </c>
      <c r="AC36" s="3">
        <v>0</v>
      </c>
      <c r="AD36" s="3">
        <v>0</v>
      </c>
      <c r="AE36" s="3">
        <v>0</v>
      </c>
      <c r="AF36" s="3">
        <v>0</v>
      </c>
      <c r="AG36" s="3">
        <v>0</v>
      </c>
      <c r="AH36" s="3">
        <v>0</v>
      </c>
      <c r="AI36" s="3">
        <v>0</v>
      </c>
      <c r="AJ36" s="3">
        <v>0</v>
      </c>
      <c r="AK36" s="3">
        <v>0</v>
      </c>
    </row>
    <row r="37" spans="2:135" x14ac:dyDescent="0.3">
      <c r="B37" s="1" t="s">
        <v>34</v>
      </c>
      <c r="C37" s="3">
        <v>-480</v>
      </c>
      <c r="D37" s="3">
        <v>-474</v>
      </c>
      <c r="E37" s="3">
        <v>-468</v>
      </c>
      <c r="F37" s="3">
        <f t="shared" si="30"/>
        <v>-467</v>
      </c>
      <c r="G37" s="3">
        <v>-444</v>
      </c>
      <c r="H37" s="3">
        <v>-447</v>
      </c>
      <c r="I37" s="3">
        <v>-443</v>
      </c>
      <c r="J37" s="3">
        <f t="shared" si="31"/>
        <v>-446</v>
      </c>
      <c r="K37" s="3">
        <v>-386</v>
      </c>
      <c r="L37" s="3">
        <v>-374</v>
      </c>
      <c r="M37" s="3">
        <v>-374</v>
      </c>
      <c r="N37" s="3">
        <f t="shared" si="32"/>
        <v>-384</v>
      </c>
      <c r="O37" s="3">
        <v>-366</v>
      </c>
      <c r="P37" s="3">
        <v>-351</v>
      </c>
      <c r="Q37" s="3">
        <f>M37*1.01</f>
        <v>-377.74</v>
      </c>
      <c r="R37" s="3">
        <f>N37*1.01</f>
        <v>-387.84000000000003</v>
      </c>
      <c r="U37" s="3">
        <v>-829</v>
      </c>
      <c r="V37" s="3">
        <v>-902</v>
      </c>
      <c r="W37" s="3">
        <v>-1944</v>
      </c>
      <c r="X37" s="3">
        <v>-1889</v>
      </c>
      <c r="Y37" s="3">
        <v>-1780</v>
      </c>
      <c r="Z37" s="3">
        <v>-1518</v>
      </c>
      <c r="AA37" s="3">
        <f t="shared" si="33"/>
        <v>-1482.58</v>
      </c>
      <c r="AB37" s="3">
        <f t="shared" ref="AB37:AK37" si="34">AA37*1.01</f>
        <v>-1497.4058</v>
      </c>
      <c r="AC37" s="3">
        <f t="shared" si="34"/>
        <v>-1512.379858</v>
      </c>
      <c r="AD37" s="3">
        <f t="shared" si="34"/>
        <v>-1527.5036565800001</v>
      </c>
      <c r="AE37" s="3">
        <f t="shared" si="34"/>
        <v>-1542.7786931458002</v>
      </c>
      <c r="AF37" s="3">
        <f t="shared" si="34"/>
        <v>-1558.2064800772582</v>
      </c>
      <c r="AG37" s="3">
        <f t="shared" si="34"/>
        <v>-1573.7885448780307</v>
      </c>
      <c r="AH37" s="3">
        <f t="shared" si="34"/>
        <v>-1589.5264303268111</v>
      </c>
      <c r="AI37" s="3">
        <f t="shared" si="34"/>
        <v>-1605.4216946300792</v>
      </c>
      <c r="AJ37" s="3">
        <f t="shared" si="34"/>
        <v>-1621.47591157638</v>
      </c>
      <c r="AK37" s="3">
        <f t="shared" si="34"/>
        <v>-1637.6906706921438</v>
      </c>
    </row>
    <row r="38" spans="2:135" x14ac:dyDescent="0.3">
      <c r="B38" s="1" t="s">
        <v>35</v>
      </c>
      <c r="C38" s="3">
        <v>318</v>
      </c>
      <c r="D38" s="3">
        <v>329</v>
      </c>
      <c r="E38" s="3">
        <v>311</v>
      </c>
      <c r="F38" s="3">
        <f t="shared" si="30"/>
        <v>318</v>
      </c>
      <c r="G38" s="3">
        <v>315</v>
      </c>
      <c r="H38" s="3">
        <v>333</v>
      </c>
      <c r="I38" s="3">
        <v>369</v>
      </c>
      <c r="J38" s="3">
        <f t="shared" si="31"/>
        <v>488</v>
      </c>
      <c r="K38" s="3">
        <v>405</v>
      </c>
      <c r="L38" s="3">
        <v>475</v>
      </c>
      <c r="M38" s="3">
        <v>496</v>
      </c>
      <c r="N38" s="3">
        <f t="shared" si="32"/>
        <v>486</v>
      </c>
      <c r="O38" s="3">
        <v>443</v>
      </c>
      <c r="P38" s="3">
        <v>457</v>
      </c>
      <c r="Q38" s="3">
        <f t="shared" ref="Q38:R38" si="35">M38*1.01</f>
        <v>500.96</v>
      </c>
      <c r="R38" s="3">
        <f t="shared" si="35"/>
        <v>490.86</v>
      </c>
      <c r="U38" s="3">
        <v>1591</v>
      </c>
      <c r="V38" s="3">
        <v>1366</v>
      </c>
      <c r="W38" s="3">
        <f>1322+649</f>
        <v>1971</v>
      </c>
      <c r="X38" s="3">
        <v>1276</v>
      </c>
      <c r="Y38" s="3">
        <v>1505</v>
      </c>
      <c r="Z38" s="3">
        <v>1862</v>
      </c>
      <c r="AA38" s="3">
        <f t="shared" si="33"/>
        <v>1891.8200000000002</v>
      </c>
      <c r="AB38" s="3">
        <f t="shared" ref="AB38:AK38" si="36">AA38*1.01</f>
        <v>1910.7382000000002</v>
      </c>
      <c r="AC38" s="3">
        <f t="shared" si="36"/>
        <v>1929.8455820000001</v>
      </c>
      <c r="AD38" s="3">
        <f t="shared" si="36"/>
        <v>1949.1440378200002</v>
      </c>
      <c r="AE38" s="3">
        <f t="shared" si="36"/>
        <v>1968.6354781982002</v>
      </c>
      <c r="AF38" s="3">
        <f t="shared" si="36"/>
        <v>1988.3218329801823</v>
      </c>
      <c r="AG38" s="3">
        <f t="shared" si="36"/>
        <v>2008.2050513099841</v>
      </c>
      <c r="AH38" s="3">
        <f t="shared" si="36"/>
        <v>2028.287101823084</v>
      </c>
      <c r="AI38" s="3">
        <f t="shared" si="36"/>
        <v>2048.5699728413147</v>
      </c>
      <c r="AJ38" s="3">
        <f t="shared" si="36"/>
        <v>2069.0556725697279</v>
      </c>
      <c r="AK38" s="3">
        <f t="shared" si="36"/>
        <v>2089.7462292954251</v>
      </c>
    </row>
    <row r="39" spans="2:135" s="4" customFormat="1" x14ac:dyDescent="0.3">
      <c r="B39" s="4" t="s">
        <v>36</v>
      </c>
      <c r="C39" s="5">
        <f t="shared" ref="C39:P39" si="37">C35-C36-C37-C38</f>
        <v>1242</v>
      </c>
      <c r="D39" s="5">
        <f t="shared" si="37"/>
        <v>1498</v>
      </c>
      <c r="E39" s="5">
        <f t="shared" si="37"/>
        <v>1677</v>
      </c>
      <c r="F39" s="5">
        <f t="shared" si="37"/>
        <v>1700</v>
      </c>
      <c r="G39" s="5">
        <f t="shared" si="37"/>
        <v>1781</v>
      </c>
      <c r="H39" s="5">
        <f t="shared" si="37"/>
        <v>1607</v>
      </c>
      <c r="I39" s="5">
        <f t="shared" si="37"/>
        <v>-1322</v>
      </c>
      <c r="J39" s="5">
        <f t="shared" si="37"/>
        <v>1770</v>
      </c>
      <c r="K39" s="5">
        <f t="shared" si="37"/>
        <v>1851</v>
      </c>
      <c r="L39" s="5">
        <f t="shared" si="37"/>
        <v>428</v>
      </c>
      <c r="M39" s="5">
        <f t="shared" si="37"/>
        <v>1906</v>
      </c>
      <c r="N39" s="5">
        <f t="shared" si="37"/>
        <v>2009</v>
      </c>
      <c r="O39" s="5">
        <f t="shared" si="37"/>
        <v>1958</v>
      </c>
      <c r="P39" s="5">
        <f t="shared" si="37"/>
        <v>2040</v>
      </c>
      <c r="Q39" s="5">
        <f t="shared" ref="Q39:R39" si="38">Q35-Q36-Q37-Q38</f>
        <v>2054.927999999999</v>
      </c>
      <c r="R39" s="5">
        <f t="shared" si="38"/>
        <v>2202.2142999999983</v>
      </c>
      <c r="U39" s="5">
        <f t="shared" ref="U39:AA39" si="39">U35-U36-U37-U38</f>
        <v>4152</v>
      </c>
      <c r="V39" s="5">
        <f t="shared" si="39"/>
        <v>-2353</v>
      </c>
      <c r="W39" s="5">
        <f t="shared" si="39"/>
        <v>4931</v>
      </c>
      <c r="X39" s="5">
        <f t="shared" si="39"/>
        <v>6117</v>
      </c>
      <c r="Y39" s="5">
        <f t="shared" si="39"/>
        <v>3836</v>
      </c>
      <c r="Z39" s="5">
        <f t="shared" si="39"/>
        <v>6194</v>
      </c>
      <c r="AA39" s="5">
        <f t="shared" si="39"/>
        <v>8255.1423000000159</v>
      </c>
      <c r="AB39" s="5">
        <f t="shared" ref="AB39:AK39" si="40">AB35-AB36-AB37-AB38</f>
        <v>9232.7286159999967</v>
      </c>
      <c r="AC39" s="5">
        <f t="shared" si="40"/>
        <v>9947.6590745600042</v>
      </c>
      <c r="AD39" s="5">
        <f t="shared" si="40"/>
        <v>10369.210688984804</v>
      </c>
      <c r="AE39" s="5">
        <f t="shared" si="40"/>
        <v>10733.707949562431</v>
      </c>
      <c r="AF39" s="5">
        <f t="shared" si="40"/>
        <v>11062.820492170122</v>
      </c>
      <c r="AG39" s="5">
        <f t="shared" si="40"/>
        <v>11401.249794553172</v>
      </c>
      <c r="AH39" s="5">
        <f t="shared" si="40"/>
        <v>11749.25724074897</v>
      </c>
      <c r="AI39" s="5">
        <f t="shared" si="40"/>
        <v>12107.111624076573</v>
      </c>
      <c r="AJ39" s="5">
        <f t="shared" si="40"/>
        <v>12475.089360071845</v>
      </c>
      <c r="AK39" s="5">
        <f t="shared" si="40"/>
        <v>12853.474705616634</v>
      </c>
    </row>
    <row r="40" spans="2:135" x14ac:dyDescent="0.3">
      <c r="B40" s="1" t="s">
        <v>37</v>
      </c>
      <c r="C40" s="3">
        <v>116</v>
      </c>
      <c r="D40" s="3">
        <v>160</v>
      </c>
      <c r="E40" s="3">
        <v>282</v>
      </c>
      <c r="F40" s="3">
        <f t="shared" ref="F40:F41" si="41">X40-E40-D40-C40</f>
        <v>232</v>
      </c>
      <c r="G40" s="3">
        <v>300</v>
      </c>
      <c r="H40" s="3">
        <v>248</v>
      </c>
      <c r="I40" s="3">
        <v>-389</v>
      </c>
      <c r="J40" s="3">
        <f t="shared" ref="J40:J41" si="42">Y40-I40-H40-G40</f>
        <v>297</v>
      </c>
      <c r="K40" s="3">
        <v>108</v>
      </c>
      <c r="L40" s="3">
        <v>253</v>
      </c>
      <c r="M40" s="3">
        <v>371</v>
      </c>
      <c r="N40" s="3">
        <f t="shared" ref="N40:N41" si="43">Z40-M40-L40-K40</f>
        <v>449</v>
      </c>
      <c r="O40" s="3">
        <v>333</v>
      </c>
      <c r="P40" s="3">
        <v>315</v>
      </c>
      <c r="Q40" s="3">
        <f>Q39*0.17</f>
        <v>349.33775999999983</v>
      </c>
      <c r="R40" s="3">
        <f>R39*0.17</f>
        <v>374.37643099999974</v>
      </c>
      <c r="U40" s="3">
        <v>421</v>
      </c>
      <c r="V40" s="3">
        <v>575</v>
      </c>
      <c r="W40" s="3">
        <v>786</v>
      </c>
      <c r="X40" s="3">
        <v>790</v>
      </c>
      <c r="Y40" s="3">
        <v>456</v>
      </c>
      <c r="Z40" s="3">
        <v>1181</v>
      </c>
      <c r="AA40" s="3">
        <f t="shared" ref="AA40:AA41" si="44">SUM(O40:R40)</f>
        <v>1371.7141909999996</v>
      </c>
      <c r="AB40" s="3">
        <f t="shared" ref="AB40:AK40" si="45">AB39*0.15</f>
        <v>1384.9092923999995</v>
      </c>
      <c r="AC40" s="3">
        <f t="shared" si="45"/>
        <v>1492.1488611840007</v>
      </c>
      <c r="AD40" s="3">
        <f t="shared" si="45"/>
        <v>1555.3816033477206</v>
      </c>
      <c r="AE40" s="3">
        <f t="shared" si="45"/>
        <v>1610.0561924343647</v>
      </c>
      <c r="AF40" s="3">
        <f t="shared" si="45"/>
        <v>1659.4230738255183</v>
      </c>
      <c r="AG40" s="3">
        <f t="shared" si="45"/>
        <v>1710.1874691829757</v>
      </c>
      <c r="AH40" s="3">
        <f t="shared" si="45"/>
        <v>1762.3885861123454</v>
      </c>
      <c r="AI40" s="3">
        <f t="shared" si="45"/>
        <v>1816.0667436114859</v>
      </c>
      <c r="AJ40" s="3">
        <f t="shared" si="45"/>
        <v>1871.2634040107766</v>
      </c>
      <c r="AK40" s="3">
        <f t="shared" si="45"/>
        <v>1928.021205842495</v>
      </c>
    </row>
    <row r="41" spans="2:135" x14ac:dyDescent="0.3">
      <c r="B41" s="1" t="s">
        <v>38</v>
      </c>
      <c r="C41" s="3">
        <v>23</v>
      </c>
      <c r="D41" s="3">
        <v>34</v>
      </c>
      <c r="E41" s="3">
        <v>8</v>
      </c>
      <c r="F41" s="3">
        <f t="shared" si="41"/>
        <v>46</v>
      </c>
      <c r="G41" s="3">
        <v>55</v>
      </c>
      <c r="H41" s="3">
        <v>32</v>
      </c>
      <c r="I41" s="3">
        <v>51</v>
      </c>
      <c r="J41" s="3">
        <f t="shared" si="42"/>
        <v>47</v>
      </c>
      <c r="K41" s="3">
        <v>34</v>
      </c>
      <c r="L41" s="3">
        <v>64</v>
      </c>
      <c r="M41" s="3">
        <v>63</v>
      </c>
      <c r="N41" s="3">
        <f t="shared" si="43"/>
        <v>78</v>
      </c>
      <c r="O41" s="3">
        <v>90</v>
      </c>
      <c r="P41" s="3">
        <v>68</v>
      </c>
      <c r="Q41" s="3">
        <f>Q39*0.03</f>
        <v>61.647839999999967</v>
      </c>
      <c r="R41" s="3">
        <f>R39*0.03</f>
        <v>66.066428999999943</v>
      </c>
      <c r="U41" s="3">
        <v>221</v>
      </c>
      <c r="V41" s="3">
        <v>181</v>
      </c>
      <c r="W41" s="3">
        <v>248</v>
      </c>
      <c r="X41" s="3">
        <v>111</v>
      </c>
      <c r="Y41" s="3">
        <v>185</v>
      </c>
      <c r="Z41" s="3">
        <v>239</v>
      </c>
      <c r="AA41" s="3">
        <f t="shared" si="44"/>
        <v>285.71426899999994</v>
      </c>
      <c r="AB41" s="3">
        <f t="shared" ref="AB41:AK41" si="46">AB39*0.03</f>
        <v>276.98185847999991</v>
      </c>
      <c r="AC41" s="3">
        <f t="shared" si="46"/>
        <v>298.42977223680009</v>
      </c>
      <c r="AD41" s="3">
        <f t="shared" si="46"/>
        <v>311.07632066954409</v>
      </c>
      <c r="AE41" s="3">
        <f t="shared" si="46"/>
        <v>322.01123848687291</v>
      </c>
      <c r="AF41" s="3">
        <f t="shared" si="46"/>
        <v>331.88461476510366</v>
      </c>
      <c r="AG41" s="3">
        <f t="shared" si="46"/>
        <v>342.03749383659516</v>
      </c>
      <c r="AH41" s="3">
        <f t="shared" si="46"/>
        <v>352.4777172224691</v>
      </c>
      <c r="AI41" s="3">
        <f t="shared" si="46"/>
        <v>363.21334872229716</v>
      </c>
      <c r="AJ41" s="3">
        <f t="shared" si="46"/>
        <v>374.25268080215534</v>
      </c>
      <c r="AK41" s="3">
        <f t="shared" si="46"/>
        <v>385.60424116849902</v>
      </c>
    </row>
    <row r="42" spans="2:135" s="4" customFormat="1" x14ac:dyDescent="0.3">
      <c r="B42" s="4" t="s">
        <v>39</v>
      </c>
      <c r="C42" s="5">
        <f t="shared" ref="C42:P42" si="47">C39-C40-C41</f>
        <v>1103</v>
      </c>
      <c r="D42" s="5">
        <f t="shared" si="47"/>
        <v>1304</v>
      </c>
      <c r="E42" s="5">
        <f t="shared" si="47"/>
        <v>1387</v>
      </c>
      <c r="F42" s="5">
        <f t="shared" si="47"/>
        <v>1422</v>
      </c>
      <c r="G42" s="5">
        <f t="shared" si="47"/>
        <v>1426</v>
      </c>
      <c r="H42" s="5">
        <f t="shared" si="47"/>
        <v>1327</v>
      </c>
      <c r="I42" s="5">
        <f t="shared" si="47"/>
        <v>-984</v>
      </c>
      <c r="J42" s="5">
        <f t="shared" si="47"/>
        <v>1426</v>
      </c>
      <c r="K42" s="5">
        <f t="shared" si="47"/>
        <v>1709</v>
      </c>
      <c r="L42" s="5">
        <f t="shared" si="47"/>
        <v>111</v>
      </c>
      <c r="M42" s="5">
        <f t="shared" si="47"/>
        <v>1472</v>
      </c>
      <c r="N42" s="5">
        <f t="shared" si="47"/>
        <v>1482</v>
      </c>
      <c r="O42" s="5">
        <f t="shared" si="47"/>
        <v>1535</v>
      </c>
      <c r="P42" s="5">
        <f t="shared" si="47"/>
        <v>1657</v>
      </c>
      <c r="Q42" s="5">
        <f t="shared" ref="Q42:R42" si="48">Q39-Q40-Q41</f>
        <v>1643.9423999999992</v>
      </c>
      <c r="R42" s="5">
        <f t="shared" si="48"/>
        <v>1761.7714399999986</v>
      </c>
      <c r="U42" s="5">
        <f t="shared" ref="U42:Z42" si="49">U39-U40-U41</f>
        <v>3510</v>
      </c>
      <c r="V42" s="5">
        <f t="shared" si="49"/>
        <v>-3109</v>
      </c>
      <c r="W42" s="5">
        <f t="shared" si="49"/>
        <v>3897</v>
      </c>
      <c r="X42" s="5">
        <f t="shared" si="49"/>
        <v>5216</v>
      </c>
      <c r="Y42" s="5">
        <f t="shared" si="49"/>
        <v>3195</v>
      </c>
      <c r="Z42" s="5">
        <f t="shared" si="49"/>
        <v>4774</v>
      </c>
      <c r="AA42" s="5">
        <f t="shared" ref="AA42:AK42" si="50">AA39-AA40-AA41</f>
        <v>6597.7138400000167</v>
      </c>
      <c r="AB42" s="5">
        <f t="shared" si="50"/>
        <v>7570.8374651199974</v>
      </c>
      <c r="AC42" s="5">
        <f t="shared" si="50"/>
        <v>8157.0804411392028</v>
      </c>
      <c r="AD42" s="5">
        <f t="shared" si="50"/>
        <v>8502.7527649675394</v>
      </c>
      <c r="AE42" s="5">
        <f t="shared" si="50"/>
        <v>8801.6405186411939</v>
      </c>
      <c r="AF42" s="5">
        <f t="shared" si="50"/>
        <v>9071.5128035795005</v>
      </c>
      <c r="AG42" s="5">
        <f t="shared" si="50"/>
        <v>9349.0248315336012</v>
      </c>
      <c r="AH42" s="5">
        <f t="shared" si="50"/>
        <v>9634.3909374141549</v>
      </c>
      <c r="AI42" s="5">
        <f t="shared" si="50"/>
        <v>9927.8315317427914</v>
      </c>
      <c r="AJ42" s="5">
        <f t="shared" si="50"/>
        <v>10229.573275258912</v>
      </c>
      <c r="AK42" s="5">
        <f t="shared" si="50"/>
        <v>10539.84925860564</v>
      </c>
      <c r="AL42" s="4">
        <f>AK42*(1+$AO$48)</f>
        <v>10434.450766019583</v>
      </c>
      <c r="AM42" s="4">
        <f t="shared" ref="AM42:CX42" si="51">AL42*(1+$AO$48)</f>
        <v>10330.106258359387</v>
      </c>
      <c r="AN42" s="4">
        <f t="shared" si="51"/>
        <v>10226.805195775793</v>
      </c>
      <c r="AO42" s="4">
        <f t="shared" si="51"/>
        <v>10124.537143818034</v>
      </c>
      <c r="AP42" s="4">
        <f t="shared" si="51"/>
        <v>10023.291772379853</v>
      </c>
      <c r="AQ42" s="4">
        <f t="shared" si="51"/>
        <v>9923.0588546560539</v>
      </c>
      <c r="AR42" s="4">
        <f t="shared" si="51"/>
        <v>9823.8282661094927</v>
      </c>
      <c r="AS42" s="4">
        <f t="shared" si="51"/>
        <v>9725.5899834483971</v>
      </c>
      <c r="AT42" s="4">
        <f t="shared" si="51"/>
        <v>9628.3340836139123</v>
      </c>
      <c r="AU42" s="4">
        <f t="shared" si="51"/>
        <v>9532.0507427777738</v>
      </c>
      <c r="AV42" s="4">
        <f t="shared" si="51"/>
        <v>9436.7302353499963</v>
      </c>
      <c r="AW42" s="4">
        <f t="shared" si="51"/>
        <v>9342.362932996497</v>
      </c>
      <c r="AX42" s="4">
        <f t="shared" si="51"/>
        <v>9248.9393036665315</v>
      </c>
      <c r="AY42" s="4">
        <f t="shared" si="51"/>
        <v>9156.4499106298663</v>
      </c>
      <c r="AZ42" s="4">
        <f t="shared" si="51"/>
        <v>9064.8854115235681</v>
      </c>
      <c r="BA42" s="4">
        <f t="shared" si="51"/>
        <v>8974.2365574083324</v>
      </c>
      <c r="BB42" s="4">
        <f t="shared" si="51"/>
        <v>8884.4941918342483</v>
      </c>
      <c r="BC42" s="4">
        <f t="shared" si="51"/>
        <v>8795.6492499159049</v>
      </c>
      <c r="BD42" s="4">
        <f t="shared" si="51"/>
        <v>8707.6927574167457</v>
      </c>
      <c r="BE42" s="4">
        <f t="shared" si="51"/>
        <v>8620.615829842578</v>
      </c>
      <c r="BF42" s="4">
        <f t="shared" si="51"/>
        <v>8534.4096715441519</v>
      </c>
      <c r="BG42" s="4">
        <f t="shared" si="51"/>
        <v>8449.0655748287099</v>
      </c>
      <c r="BH42" s="4">
        <f t="shared" si="51"/>
        <v>8364.5749190804236</v>
      </c>
      <c r="BI42" s="4">
        <f t="shared" si="51"/>
        <v>8280.9291698896195</v>
      </c>
      <c r="BJ42" s="4">
        <f t="shared" si="51"/>
        <v>8198.1198781907224</v>
      </c>
      <c r="BK42" s="4">
        <f t="shared" si="51"/>
        <v>8116.1386794088148</v>
      </c>
      <c r="BL42" s="4">
        <f t="shared" si="51"/>
        <v>8034.977292614727</v>
      </c>
      <c r="BM42" s="4">
        <f t="shared" si="51"/>
        <v>7954.6275196885799</v>
      </c>
      <c r="BN42" s="4">
        <f t="shared" si="51"/>
        <v>7875.0812444916937</v>
      </c>
      <c r="BO42" s="4">
        <f t="shared" si="51"/>
        <v>7796.3304320467769</v>
      </c>
      <c r="BP42" s="4">
        <f t="shared" si="51"/>
        <v>7718.3671277263093</v>
      </c>
      <c r="BQ42" s="4">
        <f t="shared" si="51"/>
        <v>7641.1834564490464</v>
      </c>
      <c r="BR42" s="4">
        <f t="shared" si="51"/>
        <v>7564.7716218845562</v>
      </c>
      <c r="BS42" s="4">
        <f t="shared" si="51"/>
        <v>7489.1239056657105</v>
      </c>
      <c r="BT42" s="4">
        <f t="shared" si="51"/>
        <v>7414.232666609053</v>
      </c>
      <c r="BU42" s="4">
        <f t="shared" si="51"/>
        <v>7340.0903399429626</v>
      </c>
      <c r="BV42" s="4">
        <f t="shared" si="51"/>
        <v>7266.6894365435328</v>
      </c>
      <c r="BW42" s="4">
        <f t="shared" si="51"/>
        <v>7194.022542178097</v>
      </c>
      <c r="BX42" s="4">
        <f t="shared" si="51"/>
        <v>7122.0823167563158</v>
      </c>
      <c r="BY42" s="4">
        <f t="shared" si="51"/>
        <v>7050.8614935887526</v>
      </c>
      <c r="BZ42" s="4">
        <f t="shared" si="51"/>
        <v>6980.352878652865</v>
      </c>
      <c r="CA42" s="4">
        <f t="shared" si="51"/>
        <v>6910.5493498663363</v>
      </c>
      <c r="CB42" s="4">
        <f t="shared" si="51"/>
        <v>6841.4438563676731</v>
      </c>
      <c r="CC42" s="4">
        <f t="shared" si="51"/>
        <v>6773.0294178039967</v>
      </c>
      <c r="CD42" s="4">
        <f t="shared" si="51"/>
        <v>6705.2991236259568</v>
      </c>
      <c r="CE42" s="4">
        <f t="shared" si="51"/>
        <v>6638.2461323896969</v>
      </c>
      <c r="CF42" s="4">
        <f t="shared" si="51"/>
        <v>6571.8636710658002</v>
      </c>
      <c r="CG42" s="4">
        <f t="shared" si="51"/>
        <v>6506.1450343551423</v>
      </c>
      <c r="CH42" s="4">
        <f t="shared" si="51"/>
        <v>6441.0835840115906</v>
      </c>
      <c r="CI42" s="4">
        <f t="shared" si="51"/>
        <v>6376.6727481714743</v>
      </c>
      <c r="CJ42" s="4">
        <f t="shared" si="51"/>
        <v>6312.9060206897593</v>
      </c>
      <c r="CK42" s="4">
        <f t="shared" si="51"/>
        <v>6249.7769604828618</v>
      </c>
      <c r="CL42" s="4">
        <f t="shared" si="51"/>
        <v>6187.2791908780328</v>
      </c>
      <c r="CM42" s="4">
        <f t="shared" si="51"/>
        <v>6125.4063989692522</v>
      </c>
      <c r="CN42" s="4">
        <f t="shared" si="51"/>
        <v>6064.1523349795598</v>
      </c>
      <c r="CO42" s="4">
        <f t="shared" si="51"/>
        <v>6003.5108116297642</v>
      </c>
      <c r="CP42" s="4">
        <f t="shared" si="51"/>
        <v>5943.4757035134662</v>
      </c>
      <c r="CQ42" s="4">
        <f t="shared" si="51"/>
        <v>5884.0409464783315</v>
      </c>
      <c r="CR42" s="4">
        <f t="shared" si="51"/>
        <v>5825.2005370135485</v>
      </c>
      <c r="CS42" s="4">
        <f t="shared" si="51"/>
        <v>5766.9485316434129</v>
      </c>
      <c r="CT42" s="4">
        <f t="shared" si="51"/>
        <v>5709.2790463269785</v>
      </c>
      <c r="CU42" s="4">
        <f t="shared" si="51"/>
        <v>5652.1862558637085</v>
      </c>
      <c r="CV42" s="4">
        <f t="shared" si="51"/>
        <v>5595.6643933050718</v>
      </c>
      <c r="CW42" s="4">
        <f t="shared" si="51"/>
        <v>5539.7077493720208</v>
      </c>
      <c r="CX42" s="4">
        <f t="shared" si="51"/>
        <v>5484.3106718783001</v>
      </c>
      <c r="CY42" s="4">
        <f t="shared" ref="CY42:EE42" si="52">CX42*(1+$AO$48)</f>
        <v>5429.4675651595171</v>
      </c>
      <c r="CZ42" s="4">
        <f t="shared" si="52"/>
        <v>5375.1728895079223</v>
      </c>
      <c r="DA42" s="4">
        <f t="shared" si="52"/>
        <v>5321.4211606128429</v>
      </c>
      <c r="DB42" s="4">
        <f t="shared" si="52"/>
        <v>5268.2069490067142</v>
      </c>
      <c r="DC42" s="4">
        <f t="shared" si="52"/>
        <v>5215.5248795166472</v>
      </c>
      <c r="DD42" s="4">
        <f t="shared" si="52"/>
        <v>5163.3696307214805</v>
      </c>
      <c r="DE42" s="4">
        <f t="shared" si="52"/>
        <v>5111.735934414266</v>
      </c>
      <c r="DF42" s="4">
        <f t="shared" si="52"/>
        <v>5060.6185750701234</v>
      </c>
      <c r="DG42" s="4">
        <f t="shared" si="52"/>
        <v>5010.0123893194223</v>
      </c>
      <c r="DH42" s="4">
        <f t="shared" si="52"/>
        <v>4959.9122654262283</v>
      </c>
      <c r="DI42" s="4">
        <f t="shared" si="52"/>
        <v>4910.3131427719663</v>
      </c>
      <c r="DJ42" s="4">
        <f t="shared" si="52"/>
        <v>4861.2100113442466</v>
      </c>
      <c r="DK42" s="4">
        <f t="shared" si="52"/>
        <v>4812.5979112308041</v>
      </c>
      <c r="DL42" s="4">
        <f t="shared" si="52"/>
        <v>4764.4719321184957</v>
      </c>
      <c r="DM42" s="4">
        <f t="shared" si="52"/>
        <v>4716.8272127973105</v>
      </c>
      <c r="DN42" s="4">
        <f t="shared" si="52"/>
        <v>4669.6589406693374</v>
      </c>
      <c r="DO42" s="4">
        <f t="shared" si="52"/>
        <v>4622.962351262644</v>
      </c>
      <c r="DP42" s="4">
        <f t="shared" si="52"/>
        <v>4576.7327277500171</v>
      </c>
      <c r="DQ42" s="4">
        <f t="shared" si="52"/>
        <v>4530.9654004725171</v>
      </c>
      <c r="DR42" s="4">
        <f t="shared" si="52"/>
        <v>4485.6557464677917</v>
      </c>
      <c r="DS42" s="4">
        <f t="shared" si="52"/>
        <v>4440.7991890031135</v>
      </c>
      <c r="DT42" s="4">
        <f t="shared" si="52"/>
        <v>4396.3911971130819</v>
      </c>
      <c r="DU42" s="4">
        <f t="shared" si="52"/>
        <v>4352.427285141951</v>
      </c>
      <c r="DV42" s="4">
        <f t="shared" si="52"/>
        <v>4308.9030122905315</v>
      </c>
      <c r="DW42" s="4">
        <f t="shared" si="52"/>
        <v>4265.8139821676259</v>
      </c>
      <c r="DX42" s="4">
        <f t="shared" si="52"/>
        <v>4223.1558423459492</v>
      </c>
      <c r="DY42" s="4">
        <f t="shared" si="52"/>
        <v>4180.9242839224898</v>
      </c>
      <c r="DZ42" s="4">
        <f t="shared" si="52"/>
        <v>4139.1150410832652</v>
      </c>
      <c r="EA42" s="4">
        <f t="shared" si="52"/>
        <v>4097.7238906724324</v>
      </c>
      <c r="EB42" s="4">
        <f t="shared" si="52"/>
        <v>4056.7466517657081</v>
      </c>
      <c r="EC42" s="4">
        <f t="shared" si="52"/>
        <v>4016.179185248051</v>
      </c>
      <c r="ED42" s="4">
        <f t="shared" si="52"/>
        <v>3976.0173933955703</v>
      </c>
      <c r="EE42" s="4">
        <f t="shared" si="52"/>
        <v>3936.2572194616146</v>
      </c>
    </row>
    <row r="43" spans="2:135" x14ac:dyDescent="0.3">
      <c r="B43" s="1" t="s">
        <v>2</v>
      </c>
      <c r="C43" s="3">
        <v>1330</v>
      </c>
      <c r="D43" s="3">
        <v>1330</v>
      </c>
      <c r="E43" s="3">
        <v>1330</v>
      </c>
      <c r="F43" s="3">
        <v>1330</v>
      </c>
      <c r="G43" s="3">
        <v>1330</v>
      </c>
      <c r="H43" s="3">
        <v>1330</v>
      </c>
      <c r="I43" s="3">
        <v>1330</v>
      </c>
      <c r="J43" s="3">
        <v>1330</v>
      </c>
      <c r="K43" s="3">
        <v>1330</v>
      </c>
      <c r="L43" s="3">
        <v>1330</v>
      </c>
      <c r="M43" s="3">
        <v>1330</v>
      </c>
      <c r="N43" s="3">
        <v>1330</v>
      </c>
      <c r="O43" s="3">
        <v>1330</v>
      </c>
      <c r="P43" s="3">
        <f>1338.5</f>
        <v>1338.5</v>
      </c>
      <c r="Q43" s="3">
        <f t="shared" ref="Q43:R43" si="53">1338.5</f>
        <v>1338.5</v>
      </c>
      <c r="R43" s="3">
        <f t="shared" si="53"/>
        <v>1338.5</v>
      </c>
      <c r="U43" s="3">
        <f t="shared" ref="U43:Z43" si="54">1332.1</f>
        <v>1332.1</v>
      </c>
      <c r="V43" s="3">
        <f t="shared" si="54"/>
        <v>1332.1</v>
      </c>
      <c r="W43" s="3">
        <f t="shared" si="54"/>
        <v>1332.1</v>
      </c>
      <c r="X43" s="3">
        <f t="shared" si="54"/>
        <v>1332.1</v>
      </c>
      <c r="Y43" s="3">
        <f t="shared" si="54"/>
        <v>1332.1</v>
      </c>
      <c r="Z43" s="3">
        <f t="shared" si="54"/>
        <v>1332.1</v>
      </c>
      <c r="AA43" s="3">
        <f t="shared" ref="AA43:AK43" si="55">1338.5</f>
        <v>1338.5</v>
      </c>
      <c r="AB43" s="3">
        <f t="shared" si="55"/>
        <v>1338.5</v>
      </c>
      <c r="AC43" s="3">
        <f t="shared" si="55"/>
        <v>1338.5</v>
      </c>
      <c r="AD43" s="3">
        <f t="shared" si="55"/>
        <v>1338.5</v>
      </c>
      <c r="AE43" s="3">
        <f t="shared" si="55"/>
        <v>1338.5</v>
      </c>
      <c r="AF43" s="3">
        <f t="shared" si="55"/>
        <v>1338.5</v>
      </c>
      <c r="AG43" s="3">
        <f t="shared" si="55"/>
        <v>1338.5</v>
      </c>
      <c r="AH43" s="3">
        <f t="shared" si="55"/>
        <v>1338.5</v>
      </c>
      <c r="AI43" s="3">
        <f t="shared" si="55"/>
        <v>1338.5</v>
      </c>
      <c r="AJ43" s="3">
        <f t="shared" si="55"/>
        <v>1338.5</v>
      </c>
      <c r="AK43" s="3">
        <f t="shared" si="55"/>
        <v>1338.5</v>
      </c>
    </row>
    <row r="44" spans="2:135" x14ac:dyDescent="0.3">
      <c r="B44" s="1" t="s">
        <v>40</v>
      </c>
      <c r="C44" s="6">
        <f t="shared" ref="C44:P44" si="56">C42/C43</f>
        <v>0.82932330827067668</v>
      </c>
      <c r="D44" s="6">
        <f t="shared" si="56"/>
        <v>0.98045112781954891</v>
      </c>
      <c r="E44" s="6">
        <f t="shared" si="56"/>
        <v>1.0428571428571429</v>
      </c>
      <c r="F44" s="6">
        <f t="shared" si="56"/>
        <v>1.069172932330827</v>
      </c>
      <c r="G44" s="6">
        <f t="shared" si="56"/>
        <v>1.0721804511278195</v>
      </c>
      <c r="H44" s="6">
        <f t="shared" si="56"/>
        <v>0.9977443609022556</v>
      </c>
      <c r="I44" s="6">
        <f t="shared" si="56"/>
        <v>-0.73984962406015042</v>
      </c>
      <c r="J44" s="6">
        <f t="shared" si="56"/>
        <v>1.0721804511278195</v>
      </c>
      <c r="K44" s="6">
        <f t="shared" si="56"/>
        <v>1.2849624060150375</v>
      </c>
      <c r="L44" s="6">
        <f t="shared" si="56"/>
        <v>8.3458646616541357E-2</v>
      </c>
      <c r="M44" s="6">
        <f t="shared" si="56"/>
        <v>1.1067669172932331</v>
      </c>
      <c r="N44" s="6">
        <f t="shared" si="56"/>
        <v>1.1142857142857143</v>
      </c>
      <c r="O44" s="6">
        <f t="shared" si="56"/>
        <v>1.1541353383458646</v>
      </c>
      <c r="P44" s="6">
        <f t="shared" si="56"/>
        <v>1.2379529323870004</v>
      </c>
      <c r="Q44" s="6">
        <f t="shared" ref="Q44:R44" si="57">Q42/Q43</f>
        <v>1.2281975345536043</v>
      </c>
      <c r="R44" s="6">
        <f t="shared" si="57"/>
        <v>1.3162281957415007</v>
      </c>
      <c r="U44" s="6">
        <f t="shared" ref="U44:Z44" si="58">U42/U43</f>
        <v>2.6349373170182422</v>
      </c>
      <c r="V44" s="6">
        <f t="shared" si="58"/>
        <v>-2.3339088657007734</v>
      </c>
      <c r="W44" s="6">
        <f t="shared" si="58"/>
        <v>2.9254560468433302</v>
      </c>
      <c r="X44" s="6">
        <f t="shared" si="58"/>
        <v>3.9156219503040317</v>
      </c>
      <c r="Y44" s="6">
        <f t="shared" si="58"/>
        <v>2.3984685834396817</v>
      </c>
      <c r="Z44" s="6">
        <f t="shared" si="58"/>
        <v>3.5838150289017343</v>
      </c>
      <c r="AA44" s="6">
        <f t="shared" ref="AA44:AK44" si="59">AA42/AA43</f>
        <v>4.9291847889428588</v>
      </c>
      <c r="AB44" s="6">
        <f t="shared" si="59"/>
        <v>5.6562102839895383</v>
      </c>
      <c r="AC44" s="6">
        <f t="shared" si="59"/>
        <v>6.0941953239740032</v>
      </c>
      <c r="AD44" s="6">
        <f t="shared" si="59"/>
        <v>6.352448834491998</v>
      </c>
      <c r="AE44" s="6">
        <f t="shared" si="59"/>
        <v>6.5757493602100814</v>
      </c>
      <c r="AF44" s="6">
        <f t="shared" si="59"/>
        <v>6.7773722850799407</v>
      </c>
      <c r="AG44" s="6">
        <f t="shared" si="59"/>
        <v>6.9847028999130378</v>
      </c>
      <c r="AH44" s="6">
        <f t="shared" si="59"/>
        <v>7.1979013353859953</v>
      </c>
      <c r="AI44" s="6">
        <f t="shared" si="59"/>
        <v>7.4171322612945767</v>
      </c>
      <c r="AJ44" s="6">
        <f t="shared" si="59"/>
        <v>7.6425650170032959</v>
      </c>
      <c r="AK44" s="6">
        <f t="shared" si="59"/>
        <v>7.8743737456896827</v>
      </c>
    </row>
    <row r="46" spans="2:135" x14ac:dyDescent="0.3">
      <c r="B46" s="1" t="s">
        <v>42</v>
      </c>
      <c r="C46" s="7"/>
      <c r="D46" s="7"/>
      <c r="E46" s="7"/>
      <c r="F46" s="7"/>
      <c r="G46" s="7">
        <f t="shared" ref="G46:P48" si="60">G26/C26-1</f>
        <v>7.7980104535491535E-2</v>
      </c>
      <c r="H46" s="7">
        <f t="shared" si="60"/>
        <v>9.4061021373796683E-2</v>
      </c>
      <c r="I46" s="7"/>
      <c r="J46" s="7">
        <f t="shared" si="60"/>
        <v>6.1955817802403335E-2</v>
      </c>
      <c r="K46" s="7">
        <f t="shared" si="60"/>
        <v>0.11855791037772745</v>
      </c>
      <c r="L46" s="7">
        <f t="shared" si="60"/>
        <v>8.5825068973230945E-2</v>
      </c>
      <c r="M46" s="7"/>
      <c r="N46" s="7">
        <f t="shared" si="60"/>
        <v>8.6800379455210797E-2</v>
      </c>
      <c r="O46" s="7">
        <f t="shared" si="60"/>
        <v>2.0135635880584424E-2</v>
      </c>
      <c r="P46" s="7">
        <f t="shared" si="60"/>
        <v>6.7916494986952403E-2</v>
      </c>
      <c r="Q46" s="7">
        <f t="shared" ref="Q46:Q48" si="61">Q26/M26-1</f>
        <v>6.0000000000000053E-2</v>
      </c>
      <c r="R46" s="7">
        <f t="shared" ref="R46:R48" si="62">R26/N26-1</f>
        <v>5.0000000000000044E-2</v>
      </c>
      <c r="U46" s="7"/>
      <c r="V46" s="7">
        <f>V26/U26-1</f>
        <v>0.31277653191102495</v>
      </c>
      <c r="W46" s="7">
        <f t="shared" ref="W46:Z46" si="63">W26/V26-1</f>
        <v>0.13737620905376402</v>
      </c>
      <c r="X46" s="7">
        <f t="shared" si="63"/>
        <v>3.0505378526486604E-2</v>
      </c>
      <c r="Y46" s="7">
        <f t="shared" si="63"/>
        <v>-2.3673999960609038E-2</v>
      </c>
      <c r="Z46" s="7">
        <f t="shared" si="63"/>
        <v>0.20255794718686326</v>
      </c>
      <c r="AA46" s="7">
        <f t="shared" ref="AA46:AA48" si="64">AA26/Z26-1</f>
        <v>4.967842045225801E-2</v>
      </c>
      <c r="AB46" s="7">
        <f t="shared" ref="AB46:AB48" si="65">AB26/AA26-1</f>
        <v>4.0000000000000036E-2</v>
      </c>
      <c r="AC46" s="7">
        <f t="shared" ref="AC46:AC48" si="66">AC26/AB26-1</f>
        <v>3.0000000000000027E-2</v>
      </c>
      <c r="AD46" s="7">
        <f t="shared" ref="AD46:AD48" si="67">AD26/AC26-1</f>
        <v>2.0000000000000018E-2</v>
      </c>
      <c r="AE46" s="7">
        <f t="shared" ref="AE46:AE48" si="68">AE26/AD26-1</f>
        <v>2.0000000000000018E-2</v>
      </c>
      <c r="AF46" s="7">
        <f t="shared" ref="AF46:AF48" si="69">AF26/AE26-1</f>
        <v>2.0000000000000018E-2</v>
      </c>
      <c r="AG46" s="7">
        <f t="shared" ref="AG46:AG48" si="70">AG26/AF26-1</f>
        <v>2.0000000000000018E-2</v>
      </c>
      <c r="AH46" s="7">
        <f t="shared" ref="AH46:AH48" si="71">AH26/AG26-1</f>
        <v>2.0000000000000018E-2</v>
      </c>
      <c r="AI46" s="7">
        <f t="shared" ref="AI46:AI48" si="72">AI26/AH26-1</f>
        <v>2.0000000000000018E-2</v>
      </c>
      <c r="AJ46" s="7">
        <f t="shared" ref="AJ46:AJ48" si="73">AJ26/AI26-1</f>
        <v>2.0000000000000018E-2</v>
      </c>
      <c r="AK46" s="7">
        <f t="shared" ref="AK46:AK48" si="74">AK26/AJ26-1</f>
        <v>2.0000000000000018E-2</v>
      </c>
    </row>
    <row r="47" spans="2:135" x14ac:dyDescent="0.3">
      <c r="B47" s="1" t="s">
        <v>43</v>
      </c>
      <c r="C47" s="7"/>
      <c r="D47" s="7"/>
      <c r="E47" s="7"/>
      <c r="F47" s="7"/>
      <c r="G47" s="7">
        <f t="shared" si="60"/>
        <v>0.14867669953295271</v>
      </c>
      <c r="H47" s="7">
        <f t="shared" si="60"/>
        <v>0.20907297830374749</v>
      </c>
      <c r="I47" s="7">
        <f t="shared" si="60"/>
        <v>0.15589988081048878</v>
      </c>
      <c r="J47" s="7">
        <f t="shared" si="60"/>
        <v>0.23188751191611057</v>
      </c>
      <c r="K47" s="7">
        <f t="shared" si="60"/>
        <v>0.12988479783148854</v>
      </c>
      <c r="L47" s="7">
        <f t="shared" si="60"/>
        <v>5.1998368678629614E-2</v>
      </c>
      <c r="M47" s="7">
        <f t="shared" si="60"/>
        <v>0.10971334295731072</v>
      </c>
      <c r="N47" s="7">
        <f t="shared" si="60"/>
        <v>8.0286322306055258E-2</v>
      </c>
      <c r="O47" s="7">
        <f t="shared" si="60"/>
        <v>0.14254298280687716</v>
      </c>
      <c r="P47" s="7">
        <f t="shared" si="60"/>
        <v>0.16883116883116878</v>
      </c>
      <c r="Q47" s="7">
        <f t="shared" si="61"/>
        <v>0.16999999999999993</v>
      </c>
      <c r="R47" s="7">
        <f t="shared" si="62"/>
        <v>0.17999999999999994</v>
      </c>
      <c r="U47" s="7"/>
      <c r="V47" s="7">
        <f t="shared" ref="V47:Z48" si="75">V27/U27-1</f>
        <v>7.4245000404825623E-2</v>
      </c>
      <c r="W47" s="7">
        <f t="shared" si="75"/>
        <v>0.13943322279167925</v>
      </c>
      <c r="X47" s="7">
        <f t="shared" si="75"/>
        <v>7.8251091414208274E-2</v>
      </c>
      <c r="Y47" s="7">
        <f t="shared" si="75"/>
        <v>0.18698239371817671</v>
      </c>
      <c r="Z47" s="7">
        <f t="shared" si="75"/>
        <v>9.1839371543749104E-2</v>
      </c>
      <c r="AA47" s="7">
        <f t="shared" si="64"/>
        <v>0.16585676417684359</v>
      </c>
      <c r="AB47" s="7">
        <f t="shared" si="65"/>
        <v>0.12999999999999989</v>
      </c>
      <c r="AC47" s="7">
        <f t="shared" si="66"/>
        <v>9.000000000000008E-2</v>
      </c>
      <c r="AD47" s="7">
        <f t="shared" si="67"/>
        <v>5.0000000000000044E-2</v>
      </c>
      <c r="AE47" s="7">
        <f t="shared" si="68"/>
        <v>4.0000000000000036E-2</v>
      </c>
      <c r="AF47" s="7">
        <f t="shared" si="69"/>
        <v>3.0000000000000027E-2</v>
      </c>
      <c r="AG47" s="7">
        <f t="shared" si="70"/>
        <v>3.0000000000000027E-2</v>
      </c>
      <c r="AH47" s="7">
        <f t="shared" si="71"/>
        <v>3.0000000000000027E-2</v>
      </c>
      <c r="AI47" s="7">
        <f t="shared" si="72"/>
        <v>3.0000000000000027E-2</v>
      </c>
      <c r="AJ47" s="7">
        <f t="shared" si="73"/>
        <v>3.0000000000000027E-2</v>
      </c>
      <c r="AK47" s="7">
        <f t="shared" si="74"/>
        <v>3.0000000000000027E-2</v>
      </c>
    </row>
    <row r="48" spans="2:135" s="4" customFormat="1" x14ac:dyDescent="0.3">
      <c r="B48" s="4" t="s">
        <v>41</v>
      </c>
      <c r="C48" s="7"/>
      <c r="D48" s="7"/>
      <c r="E48" s="7"/>
      <c r="F48" s="7"/>
      <c r="G48" s="7">
        <f t="shared" si="60"/>
        <v>9.531687452277926E-2</v>
      </c>
      <c r="H48" s="7">
        <f t="shared" si="60"/>
        <v>0.12265538801029785</v>
      </c>
      <c r="I48" s="7">
        <f t="shared" si="60"/>
        <v>-0.20571057754704736</v>
      </c>
      <c r="J48" s="7">
        <f t="shared" si="60"/>
        <v>0.10136516884983138</v>
      </c>
      <c r="K48" s="7">
        <f t="shared" si="60"/>
        <v>0.12147089578250259</v>
      </c>
      <c r="L48" s="7">
        <f t="shared" si="60"/>
        <v>7.6767676767676818E-2</v>
      </c>
      <c r="M48" s="7">
        <f t="shared" si="60"/>
        <v>0.49205288175876416</v>
      </c>
      <c r="N48" s="7">
        <f t="shared" si="60"/>
        <v>8.5110653886686372E-2</v>
      </c>
      <c r="O48" s="7">
        <f t="shared" si="60"/>
        <v>5.1851851851851816E-2</v>
      </c>
      <c r="P48" s="7">
        <f t="shared" si="60"/>
        <v>9.4315704071801676E-2</v>
      </c>
      <c r="Q48" s="7">
        <f t="shared" si="61"/>
        <v>8.9464383493454092E-2</v>
      </c>
      <c r="R48" s="7">
        <f t="shared" si="62"/>
        <v>8.3571659806687348E-2</v>
      </c>
      <c r="U48" s="7"/>
      <c r="V48" s="7">
        <f t="shared" si="75"/>
        <v>0.24781141811285812</v>
      </c>
      <c r="W48" s="7">
        <f t="shared" si="75"/>
        <v>0.1378585187410537</v>
      </c>
      <c r="X48" s="7">
        <f t="shared" si="75"/>
        <v>4.1715847673479578E-2</v>
      </c>
      <c r="Y48" s="7">
        <f t="shared" si="75"/>
        <v>2.7521841548140857E-2</v>
      </c>
      <c r="Z48" s="7">
        <f t="shared" si="75"/>
        <v>0.17147417295414979</v>
      </c>
      <c r="AA48" s="7">
        <f t="shared" si="64"/>
        <v>8.0077782456835722E-2</v>
      </c>
      <c r="AB48" s="7">
        <f t="shared" si="65"/>
        <v>6.5419790209822359E-2</v>
      </c>
      <c r="AC48" s="7">
        <f t="shared" si="66"/>
        <v>4.7973737176055575E-2</v>
      </c>
      <c r="AD48" s="7">
        <f t="shared" si="67"/>
        <v>2.9347263593977546E-2</v>
      </c>
      <c r="AE48" s="7">
        <f t="shared" si="68"/>
        <v>2.6356537533250846E-2</v>
      </c>
      <c r="AF48" s="7">
        <f t="shared" si="69"/>
        <v>2.3220517818529851E-2</v>
      </c>
      <c r="AG48" s="7">
        <f t="shared" si="70"/>
        <v>2.3241855783108889E-2</v>
      </c>
      <c r="AH48" s="7">
        <f t="shared" si="71"/>
        <v>2.326326707388926E-2</v>
      </c>
      <c r="AI48" s="7">
        <f t="shared" si="72"/>
        <v>2.3284751045268504E-2</v>
      </c>
      <c r="AJ48" s="7">
        <f t="shared" si="73"/>
        <v>2.3306307040313667E-2</v>
      </c>
      <c r="AK48" s="7">
        <f t="shared" si="74"/>
        <v>2.3327934390801053E-2</v>
      </c>
      <c r="AN48" s="1" t="s">
        <v>55</v>
      </c>
      <c r="AO48" s="7">
        <v>-0.01</v>
      </c>
    </row>
    <row r="49" spans="2:41" x14ac:dyDescent="0.3">
      <c r="B49" s="1" t="s">
        <v>44</v>
      </c>
      <c r="C49" s="7">
        <f t="shared" ref="C49" si="76">(C26-C29)/C26</f>
        <v>0.17214634968807957</v>
      </c>
      <c r="D49" s="7">
        <f t="shared" ref="D49:N49" si="77">(D26-D29)/D26</f>
        <v>0.18094305759503998</v>
      </c>
      <c r="E49" s="7">
        <f t="shared" si="77"/>
        <v>0.17740671056757604</v>
      </c>
      <c r="F49" s="7">
        <f t="shared" si="77"/>
        <v>0.16715837950636828</v>
      </c>
      <c r="G49" s="7">
        <f t="shared" si="77"/>
        <v>0.16321263783530149</v>
      </c>
      <c r="H49" s="7">
        <f t="shared" si="77"/>
        <v>0.17314145104764744</v>
      </c>
      <c r="I49" s="7">
        <f t="shared" si="77"/>
        <v>-7.8235635519442834E-2</v>
      </c>
      <c r="J49" s="7">
        <f t="shared" si="77"/>
        <v>0.16336902019243799</v>
      </c>
      <c r="K49" s="7">
        <f t="shared" si="77"/>
        <v>0.14591344473187443</v>
      </c>
      <c r="L49" s="7">
        <f t="shared" si="77"/>
        <v>0.13301744265897542</v>
      </c>
      <c r="M49" s="7">
        <f t="shared" si="77"/>
        <v>0.16127277672015231</v>
      </c>
      <c r="N49" s="7">
        <f t="shared" si="77"/>
        <v>0.15262796932477088</v>
      </c>
      <c r="O49" s="7">
        <f t="shared" ref="O49" si="78">(O26-O29)/O26</f>
        <v>0.15817969981495442</v>
      </c>
      <c r="P49" s="7">
        <f t="shared" ref="P49" si="79">(P26-P29)/P26</f>
        <v>0.16474824770111246</v>
      </c>
      <c r="Q49" s="7">
        <f t="shared" ref="Q49:R49" si="80">(Q26-Q29)/Q26</f>
        <v>0.16</v>
      </c>
      <c r="R49" s="7">
        <f t="shared" si="80"/>
        <v>0.16000000000000009</v>
      </c>
      <c r="U49" s="7">
        <f>(U26-U29)/U26</f>
        <v>0.18449603006242801</v>
      </c>
      <c r="V49" s="7">
        <f>(V26-V29)/V26</f>
        <v>0.11962418338373462</v>
      </c>
      <c r="W49" s="7">
        <f t="shared" ref="W49:Z49" si="81">(W26-W29)/W26</f>
        <v>0.16592246803328597</v>
      </c>
      <c r="X49" s="7">
        <f t="shared" si="81"/>
        <v>0.17422645894471472</v>
      </c>
      <c r="Y49" s="7">
        <f t="shared" si="81"/>
        <v>0.1239837808396038</v>
      </c>
      <c r="Z49" s="7">
        <f t="shared" si="81"/>
        <v>0.14835939072669932</v>
      </c>
      <c r="AA49" s="7">
        <f t="shared" ref="AA49:AK49" si="82">(AA26-AA29)/AA26</f>
        <v>0.16075559226975422</v>
      </c>
      <c r="AB49" s="7">
        <f t="shared" si="82"/>
        <v>0.16</v>
      </c>
      <c r="AC49" s="7">
        <f t="shared" si="82"/>
        <v>0.16000000000000006</v>
      </c>
      <c r="AD49" s="7">
        <f t="shared" si="82"/>
        <v>0.16000000000000003</v>
      </c>
      <c r="AE49" s="7">
        <f t="shared" si="82"/>
        <v>0.16000000000000006</v>
      </c>
      <c r="AF49" s="7">
        <f t="shared" si="82"/>
        <v>0.16000000000000006</v>
      </c>
      <c r="AG49" s="7">
        <f t="shared" si="82"/>
        <v>0.15999999999999998</v>
      </c>
      <c r="AH49" s="7">
        <f t="shared" si="82"/>
        <v>0.16</v>
      </c>
      <c r="AI49" s="7">
        <f t="shared" si="82"/>
        <v>0.16000000000000006</v>
      </c>
      <c r="AJ49" s="7">
        <f t="shared" si="82"/>
        <v>0.16</v>
      </c>
      <c r="AK49" s="7">
        <f t="shared" si="82"/>
        <v>0.16000000000000006</v>
      </c>
      <c r="AN49" s="1" t="s">
        <v>56</v>
      </c>
      <c r="AO49" s="7">
        <v>0.06</v>
      </c>
    </row>
    <row r="50" spans="2:41" x14ac:dyDescent="0.3">
      <c r="B50" s="1" t="s">
        <v>45</v>
      </c>
      <c r="C50" s="7">
        <f t="shared" ref="C50" si="83">(C27-C30)/C27</f>
        <v>0.28905033731188373</v>
      </c>
      <c r="D50" s="7">
        <f t="shared" ref="D50:N50" si="84">(D27-D30)/D27</f>
        <v>0.3057199211045365</v>
      </c>
      <c r="E50" s="7">
        <f t="shared" si="84"/>
        <v>0.29177592371871275</v>
      </c>
      <c r="F50" s="7">
        <f t="shared" si="84"/>
        <v>0.29647283126787416</v>
      </c>
      <c r="G50" s="7">
        <f t="shared" si="84"/>
        <v>0.33476394849785407</v>
      </c>
      <c r="H50" s="7">
        <f t="shared" si="84"/>
        <v>0.30077487765089722</v>
      </c>
      <c r="I50" s="7">
        <f t="shared" si="84"/>
        <v>0.28624458651268303</v>
      </c>
      <c r="J50" s="7">
        <f t="shared" si="84"/>
        <v>0.30915070613271428</v>
      </c>
      <c r="K50" s="7">
        <f t="shared" si="84"/>
        <v>0.29468212714914033</v>
      </c>
      <c r="L50" s="7">
        <f t="shared" si="84"/>
        <v>0.3184725722039155</v>
      </c>
      <c r="M50" s="7">
        <f t="shared" si="84"/>
        <v>0.30886452332280245</v>
      </c>
      <c r="N50" s="7">
        <f t="shared" si="84"/>
        <v>0.32002148997134672</v>
      </c>
      <c r="O50" s="7">
        <f t="shared" ref="O50" si="85">(O27-O30)/O27</f>
        <v>0.31636045494313209</v>
      </c>
      <c r="P50" s="7">
        <f t="shared" ref="P50" si="86">(P27-P30)/P27</f>
        <v>0.30082918739635156</v>
      </c>
      <c r="Q50" s="7">
        <f t="shared" ref="Q50:R50" si="87">(Q27-Q30)/Q27</f>
        <v>0.31000000000000011</v>
      </c>
      <c r="R50" s="7">
        <f t="shared" si="87"/>
        <v>0.31</v>
      </c>
      <c r="U50" s="7">
        <f>(U27-U30)/U27</f>
        <v>0.37754028013926</v>
      </c>
      <c r="V50" s="7">
        <f>(V27-V30)/V27</f>
        <v>0.25241181790774797</v>
      </c>
      <c r="W50" s="7">
        <f t="shared" ref="W50:Z50" si="88">(W27-W30)/W27</f>
        <v>0.28548749834634213</v>
      </c>
      <c r="X50" s="7">
        <f t="shared" si="88"/>
        <v>0.29581007300165635</v>
      </c>
      <c r="Y50" s="7">
        <f t="shared" si="88"/>
        <v>0.30714765620962325</v>
      </c>
      <c r="Z50" s="7">
        <f t="shared" si="88"/>
        <v>0.3108018555334659</v>
      </c>
      <c r="AA50" s="7">
        <f t="shared" ref="AA50:AK50" si="89">(AA27-AA30)/AA27</f>
        <v>0.30923060963731475</v>
      </c>
      <c r="AB50" s="7">
        <f t="shared" si="89"/>
        <v>0.31000000000000005</v>
      </c>
      <c r="AC50" s="7">
        <f t="shared" si="89"/>
        <v>0.31000000000000005</v>
      </c>
      <c r="AD50" s="7">
        <f t="shared" si="89"/>
        <v>0.31000000000000005</v>
      </c>
      <c r="AE50" s="7">
        <f t="shared" si="89"/>
        <v>0.31000000000000005</v>
      </c>
      <c r="AF50" s="7">
        <f t="shared" si="89"/>
        <v>0.31000000000000011</v>
      </c>
      <c r="AG50" s="7">
        <f t="shared" si="89"/>
        <v>0.31000000000000005</v>
      </c>
      <c r="AH50" s="7">
        <f t="shared" si="89"/>
        <v>0.31</v>
      </c>
      <c r="AI50" s="7">
        <f t="shared" si="89"/>
        <v>0.31000000000000005</v>
      </c>
      <c r="AJ50" s="7">
        <f t="shared" si="89"/>
        <v>0.31000000000000005</v>
      </c>
      <c r="AK50" s="7">
        <f t="shared" si="89"/>
        <v>0.31000000000000005</v>
      </c>
      <c r="AN50" s="1" t="s">
        <v>57</v>
      </c>
      <c r="AO50" s="3">
        <f>NPV(AO49,AA42:EE42)</f>
        <v>147349.01469148142</v>
      </c>
    </row>
    <row r="51" spans="2:41" x14ac:dyDescent="0.3">
      <c r="B51" s="1" t="s">
        <v>46</v>
      </c>
      <c r="C51" s="7">
        <f t="shared" ref="C51" si="90">C32/C28</f>
        <v>0.20081445660473402</v>
      </c>
      <c r="D51" s="7">
        <f t="shared" ref="D51:N51" si="91">D32/D28</f>
        <v>0.21196518327816599</v>
      </c>
      <c r="E51" s="7">
        <f t="shared" si="91"/>
        <v>0.20571057754704739</v>
      </c>
      <c r="F51" s="7">
        <f t="shared" si="91"/>
        <v>0.19714806831371248</v>
      </c>
      <c r="G51" s="7">
        <f t="shared" si="91"/>
        <v>0.20733124201231556</v>
      </c>
      <c r="H51" s="7">
        <f t="shared" si="91"/>
        <v>0.20731640731640733</v>
      </c>
      <c r="I51" s="7">
        <f t="shared" si="91"/>
        <v>5.3030303030303032E-2</v>
      </c>
      <c r="J51" s="7">
        <f t="shared" si="91"/>
        <v>0.20118432277814022</v>
      </c>
      <c r="K51" s="7">
        <f t="shared" si="91"/>
        <v>0.18445998445998446</v>
      </c>
      <c r="L51" s="7">
        <f t="shared" si="91"/>
        <v>0.18153237665432786</v>
      </c>
      <c r="M51" s="7">
        <f t="shared" si="91"/>
        <v>0.20080641146896311</v>
      </c>
      <c r="N51" s="7">
        <f t="shared" si="91"/>
        <v>0.1958562641631596</v>
      </c>
      <c r="O51" s="7">
        <f t="shared" ref="O51" si="92">O32/O28</f>
        <v>0.20269870974096327</v>
      </c>
      <c r="P51" s="7">
        <f t="shared" ref="P51" si="93">P32/P28</f>
        <v>0.20277095593345998</v>
      </c>
      <c r="Q51" s="7">
        <f t="shared" ref="Q51:R51" si="94">Q32/Q28</f>
        <v>0.20314880347249981</v>
      </c>
      <c r="R51" s="7">
        <f t="shared" si="94"/>
        <v>0.20218374080828605</v>
      </c>
      <c r="U51" s="7">
        <f>U32/U28</f>
        <v>0.23707248230390968</v>
      </c>
      <c r="V51" s="7">
        <f>V32/V28</f>
        <v>0.15075900825277891</v>
      </c>
      <c r="W51" s="7">
        <f t="shared" ref="W51:Z51" si="95">W32/W28</f>
        <v>0.19399577561036219</v>
      </c>
      <c r="X51" s="7">
        <f t="shared" si="95"/>
        <v>0.20377493514625639</v>
      </c>
      <c r="Y51" s="7">
        <f t="shared" si="95"/>
        <v>0.17540626813697041</v>
      </c>
      <c r="Z51" s="7">
        <f t="shared" si="95"/>
        <v>0.19086427704426664</v>
      </c>
      <c r="AA51" s="7">
        <f t="shared" ref="AA51:AK51" si="96">AA32/AA28</f>
        <v>0.2026911899684555</v>
      </c>
      <c r="AB51" s="7">
        <f t="shared" si="96"/>
        <v>0.20493434294013851</v>
      </c>
      <c r="AC51" s="7">
        <f t="shared" si="96"/>
        <v>0.20673631796988712</v>
      </c>
      <c r="AD51" s="7">
        <f t="shared" si="96"/>
        <v>0.20767403149938157</v>
      </c>
      <c r="AE51" s="7">
        <f t="shared" si="96"/>
        <v>0.20830776727794817</v>
      </c>
      <c r="AF51" s="7">
        <f t="shared" si="96"/>
        <v>0.20862783674663474</v>
      </c>
      <c r="AG51" s="7">
        <f t="shared" si="96"/>
        <v>0.20894900610833711</v>
      </c>
      <c r="AH51" s="7">
        <f t="shared" si="96"/>
        <v>0.20927126567902757</v>
      </c>
      <c r="AI51" s="7">
        <f t="shared" si="96"/>
        <v>0.20959460560470461</v>
      </c>
      <c r="AJ51" s="7">
        <f t="shared" si="96"/>
        <v>0.20991901586201531</v>
      </c>
      <c r="AK51" s="7">
        <f t="shared" si="96"/>
        <v>0.210244486258928</v>
      </c>
      <c r="AN51" s="1" t="s">
        <v>58</v>
      </c>
      <c r="AO51" s="3">
        <f>Main!D8</f>
        <v>-37196</v>
      </c>
    </row>
    <row r="52" spans="2:41" x14ac:dyDescent="0.3">
      <c r="B52" s="1" t="s">
        <v>47</v>
      </c>
      <c r="C52" s="7"/>
      <c r="D52" s="7"/>
      <c r="E52" s="7"/>
      <c r="F52" s="7"/>
      <c r="G52" s="7">
        <f t="shared" ref="G52:P52" si="97">G33/C33-1</f>
        <v>-4.4094488188976433E-2</v>
      </c>
      <c r="H52" s="7">
        <f t="shared" si="97"/>
        <v>4.4412607449856756E-2</v>
      </c>
      <c r="I52" s="7">
        <f t="shared" si="97"/>
        <v>7.5528700906344337E-2</v>
      </c>
      <c r="J52" s="7">
        <f t="shared" si="97"/>
        <v>5.7262569832402299E-2</v>
      </c>
      <c r="K52" s="7">
        <f t="shared" si="97"/>
        <v>0.10214168039538718</v>
      </c>
      <c r="L52" s="7">
        <f t="shared" si="97"/>
        <v>-3.1550068587105629E-2</v>
      </c>
      <c r="M52" s="7">
        <f t="shared" si="97"/>
        <v>5.47752808988764E-2</v>
      </c>
      <c r="N52" s="7">
        <f t="shared" si="97"/>
        <v>6.7371202113606365E-2</v>
      </c>
      <c r="O52" s="7">
        <f t="shared" si="97"/>
        <v>-4.783258594917783E-2</v>
      </c>
      <c r="P52" s="7">
        <f t="shared" si="97"/>
        <v>-1.2747875354107596E-2</v>
      </c>
      <c r="Q52" s="7">
        <f t="shared" ref="Q52" si="98">Q33/M33-1</f>
        <v>-2.0000000000000018E-2</v>
      </c>
      <c r="R52" s="7">
        <f t="shared" ref="R52" si="99">R33/N33-1</f>
        <v>-1.9999999999999907E-2</v>
      </c>
      <c r="U52" s="7"/>
      <c r="V52" s="7">
        <f>V33/U33-1</f>
        <v>5.3017944535073358E-2</v>
      </c>
      <c r="W52" s="7">
        <f t="shared" ref="W52:Z52" si="100">W33/V33-1</f>
        <v>5.8094500387296577E-2</v>
      </c>
      <c r="X52" s="7">
        <f t="shared" si="100"/>
        <v>-7.6866764275256294E-3</v>
      </c>
      <c r="Y52" s="7">
        <f t="shared" si="100"/>
        <v>3.4673552194762092E-2</v>
      </c>
      <c r="Z52" s="7">
        <f t="shared" si="100"/>
        <v>4.5989304812834142E-2</v>
      </c>
      <c r="AA52" s="7">
        <f t="shared" ref="AA52" si="101">AA33/Z33-1</f>
        <v>-2.4601226993865022E-2</v>
      </c>
      <c r="AB52" s="7">
        <f t="shared" ref="AB52" si="102">AB33/AA33-1</f>
        <v>1.0000000000000009E-2</v>
      </c>
      <c r="AC52" s="7">
        <f t="shared" ref="AC52" si="103">AC33/AB33-1</f>
        <v>2.0000000000000018E-2</v>
      </c>
      <c r="AD52" s="7">
        <f t="shared" ref="AD52" si="104">AD33/AC33-1</f>
        <v>2.0000000000000018E-2</v>
      </c>
      <c r="AE52" s="7">
        <f t="shared" ref="AE52" si="105">AE33/AD33-1</f>
        <v>2.0000000000000018E-2</v>
      </c>
      <c r="AF52" s="7">
        <f t="shared" ref="AF52" si="106">AF33/AE33-1</f>
        <v>1.0000000000000009E-2</v>
      </c>
      <c r="AG52" s="7">
        <f t="shared" ref="AG52" si="107">AG33/AF33-1</f>
        <v>1.0000000000000009E-2</v>
      </c>
      <c r="AH52" s="7">
        <f t="shared" ref="AH52" si="108">AH33/AG33-1</f>
        <v>1.0000000000000009E-2</v>
      </c>
      <c r="AI52" s="7">
        <f t="shared" ref="AI52" si="109">AI33/AH33-1</f>
        <v>1.0000000000000009E-2</v>
      </c>
      <c r="AJ52" s="7">
        <f t="shared" ref="AJ52" si="110">AJ33/AI33-1</f>
        <v>1.0000000000000009E-2</v>
      </c>
      <c r="AK52" s="7">
        <f t="shared" ref="AK52" si="111">AK33/AJ33-1</f>
        <v>1.0000000000000009E-2</v>
      </c>
      <c r="AN52" s="1" t="s">
        <v>59</v>
      </c>
      <c r="AO52" s="3">
        <f>AO50+AO51</f>
        <v>110153.01469148142</v>
      </c>
    </row>
    <row r="53" spans="2:41" x14ac:dyDescent="0.3">
      <c r="B53" s="1" t="s">
        <v>48</v>
      </c>
      <c r="C53" s="7">
        <f t="shared" ref="C53" si="112">C34/C28</f>
        <v>9.3471621277678801E-2</v>
      </c>
      <c r="D53" s="7">
        <f t="shared" ref="D53:N53" si="113">D34/D28</f>
        <v>8.7286992766948637E-2</v>
      </c>
      <c r="E53" s="7">
        <f t="shared" si="113"/>
        <v>7.9700312665919412E-2</v>
      </c>
      <c r="F53" s="7">
        <f t="shared" si="113"/>
        <v>7.3453821920079584E-2</v>
      </c>
      <c r="G53" s="7">
        <f t="shared" si="113"/>
        <v>8.121296619031021E-2</v>
      </c>
      <c r="H53" s="7">
        <f t="shared" si="113"/>
        <v>8.7360087360087366E-2</v>
      </c>
      <c r="I53" s="7">
        <f t="shared" si="113"/>
        <v>0.10405525846702317</v>
      </c>
      <c r="J53" s="7">
        <f t="shared" si="113"/>
        <v>7.0758267677021133E-2</v>
      </c>
      <c r="K53" s="7">
        <f t="shared" si="113"/>
        <v>7.2209272209272216E-2</v>
      </c>
      <c r="L53" s="7">
        <f t="shared" si="113"/>
        <v>7.3474975914000304E-2</v>
      </c>
      <c r="M53" s="7">
        <f t="shared" si="113"/>
        <v>6.9142316690726263E-2</v>
      </c>
      <c r="N53" s="7">
        <f t="shared" si="113"/>
        <v>7.2792859455209732E-2</v>
      </c>
      <c r="O53" s="7">
        <f t="shared" ref="O53" si="114">O34/O28</f>
        <v>7.1308972717423424E-2</v>
      </c>
      <c r="P53" s="7">
        <f t="shared" ref="P53" si="115">P34/P28</f>
        <v>7.2888188684490984E-2</v>
      </c>
      <c r="Q53" s="7">
        <f t="shared" ref="Q53:R53" si="116">Q34/Q28</f>
        <v>7.0000000000000007E-2</v>
      </c>
      <c r="R53" s="7">
        <f t="shared" si="116"/>
        <v>7.0000000000000007E-2</v>
      </c>
      <c r="U53" s="7">
        <f>U34/U28</f>
        <v>8.1832013936360234E-2</v>
      </c>
      <c r="V53" s="7">
        <f>V34/V28</f>
        <v>9.7902345061586585E-2</v>
      </c>
      <c r="W53" s="7">
        <f t="shared" ref="W53:Z53" si="117">W34/W28</f>
        <v>8.1133130396968373E-2</v>
      </c>
      <c r="X53" s="7">
        <f t="shared" si="117"/>
        <v>8.308733637475027E-2</v>
      </c>
      <c r="Y53" s="7">
        <f t="shared" si="117"/>
        <v>8.4286128845037722E-2</v>
      </c>
      <c r="Z53" s="7">
        <f t="shared" si="117"/>
        <v>7.1911615348410909E-2</v>
      </c>
      <c r="AA53" s="7">
        <f t="shared" ref="AA53:AK53" si="118">AA34/AA28</f>
        <v>7.1019571273203824E-2</v>
      </c>
      <c r="AB53" s="7">
        <f t="shared" si="118"/>
        <v>7.0000000000000007E-2</v>
      </c>
      <c r="AC53" s="7">
        <f t="shared" si="118"/>
        <v>7.0000000000000007E-2</v>
      </c>
      <c r="AD53" s="7">
        <f t="shared" si="118"/>
        <v>7.0000000000000007E-2</v>
      </c>
      <c r="AE53" s="7">
        <f t="shared" si="118"/>
        <v>7.0000000000000007E-2</v>
      </c>
      <c r="AF53" s="7">
        <f t="shared" si="118"/>
        <v>7.0000000000000007E-2</v>
      </c>
      <c r="AG53" s="7">
        <f t="shared" si="118"/>
        <v>7.0000000000000007E-2</v>
      </c>
      <c r="AH53" s="7">
        <f t="shared" si="118"/>
        <v>7.0000000000000007E-2</v>
      </c>
      <c r="AI53" s="7">
        <f t="shared" si="118"/>
        <v>7.0000000000000007E-2</v>
      </c>
      <c r="AJ53" s="7">
        <f t="shared" si="118"/>
        <v>7.0000000000000007E-2</v>
      </c>
      <c r="AK53" s="7">
        <f t="shared" si="118"/>
        <v>7.0000000000000007E-2</v>
      </c>
      <c r="AN53" s="1" t="s">
        <v>60</v>
      </c>
      <c r="AO53" s="9">
        <f>AO52/AK43</f>
        <v>82.29586454350499</v>
      </c>
    </row>
    <row r="54" spans="2:41" x14ac:dyDescent="0.3">
      <c r="B54" s="1" t="s">
        <v>49</v>
      </c>
      <c r="C54" s="7">
        <f t="shared" ref="C54" si="119">C35/C28</f>
        <v>6.6938152201578005E-2</v>
      </c>
      <c r="D54" s="7">
        <f t="shared" ref="D54:N54" si="120">D35/D28</f>
        <v>8.1892852764496746E-2</v>
      </c>
      <c r="E54" s="7">
        <f t="shared" si="120"/>
        <v>8.6956521739130432E-2</v>
      </c>
      <c r="F54" s="7">
        <f t="shared" si="120"/>
        <v>8.4120930746697617E-2</v>
      </c>
      <c r="G54" s="7">
        <f t="shared" si="120"/>
        <v>9.0856279772278378E-2</v>
      </c>
      <c r="H54" s="7">
        <f t="shared" si="120"/>
        <v>8.0152880152880149E-2</v>
      </c>
      <c r="I54" s="7">
        <f t="shared" si="120"/>
        <v>-0.10390671420083185</v>
      </c>
      <c r="J54" s="7">
        <f t="shared" si="120"/>
        <v>9.243739649721483E-2</v>
      </c>
      <c r="K54" s="7">
        <f t="shared" si="120"/>
        <v>7.75964775964776E-2</v>
      </c>
      <c r="L54" s="7">
        <f t="shared" si="120"/>
        <v>7.2257999087267377E-2</v>
      </c>
      <c r="M54" s="7">
        <f t="shared" si="120"/>
        <v>9.428045198865051E-2</v>
      </c>
      <c r="N54" s="7">
        <f t="shared" si="120"/>
        <v>8.5695786893585535E-2</v>
      </c>
      <c r="O54" s="7">
        <f t="shared" ref="O54" si="121">O35/O28</f>
        <v>0.1000196986112479</v>
      </c>
      <c r="P54" s="7">
        <f t="shared" ref="P54" si="122">P35/P28</f>
        <v>9.758583939576479E-2</v>
      </c>
      <c r="Q54" s="7">
        <f t="shared" ref="Q54:R54" si="123">Q35/Q28</f>
        <v>9.9521297618367657E-2</v>
      </c>
      <c r="R54" s="7">
        <f t="shared" si="123"/>
        <v>9.8387853728136465E-2</v>
      </c>
      <c r="U54" s="7">
        <f>U35/U28</f>
        <v>0.10117091887362456</v>
      </c>
      <c r="V54" s="7">
        <f>V35/V28</f>
        <v>7.2278085072543163E-3</v>
      </c>
      <c r="W54" s="7">
        <f t="shared" ref="W54:Z54" si="124">W35/W28</f>
        <v>7.043237870410636E-2</v>
      </c>
      <c r="X54" s="7">
        <f t="shared" si="124"/>
        <v>8.0269553030980711E-2</v>
      </c>
      <c r="Y54" s="7">
        <f t="shared" si="124"/>
        <v>5.0420777713290774E-2</v>
      </c>
      <c r="Z54" s="7">
        <f t="shared" si="124"/>
        <v>8.2612896034085559E-2</v>
      </c>
      <c r="AA54" s="7">
        <f t="shared" ref="AA54:AK54" si="125">AA35/AA28</f>
        <v>9.8853831482562993E-2</v>
      </c>
      <c r="AB54" s="7">
        <f t="shared" si="125"/>
        <v>0.10382363391314751</v>
      </c>
      <c r="AC54" s="7">
        <f t="shared" si="125"/>
        <v>0.10645605227063344</v>
      </c>
      <c r="AD54" s="7">
        <f t="shared" si="125"/>
        <v>0.10766873386503374</v>
      </c>
      <c r="AE54" s="7">
        <f t="shared" si="125"/>
        <v>0.10848830155837286</v>
      </c>
      <c r="AF54" s="7">
        <f t="shared" si="125"/>
        <v>0.10919365334990139</v>
      </c>
      <c r="AG54" s="7">
        <f t="shared" si="125"/>
        <v>0.10989573286439933</v>
      </c>
      <c r="AH54" s="7">
        <f t="shared" si="125"/>
        <v>0.11059457325725389</v>
      </c>
      <c r="AI54" s="7">
        <f t="shared" si="125"/>
        <v>0.11129020713066723</v>
      </c>
      <c r="AJ54" s="7">
        <f t="shared" si="125"/>
        <v>0.11198266653816466</v>
      </c>
      <c r="AK54" s="7">
        <f t="shared" si="125"/>
        <v>0.11267198298910734</v>
      </c>
      <c r="AN54" s="1" t="s">
        <v>61</v>
      </c>
      <c r="AO54" s="9">
        <f>Main!D3</f>
        <v>166.58</v>
      </c>
    </row>
    <row r="55" spans="2:41" x14ac:dyDescent="0.3">
      <c r="B55" s="1" t="s">
        <v>37</v>
      </c>
      <c r="C55" s="7">
        <f t="shared" ref="C55" si="126">C40/C39</f>
        <v>9.3397745571658614E-2</v>
      </c>
      <c r="D55" s="7">
        <f t="shared" ref="D55:N55" si="127">D40/D39</f>
        <v>0.1068090787716956</v>
      </c>
      <c r="E55" s="7">
        <f t="shared" si="127"/>
        <v>0.16815742397137745</v>
      </c>
      <c r="F55" s="7">
        <f t="shared" si="127"/>
        <v>0.13647058823529412</v>
      </c>
      <c r="G55" s="7">
        <f t="shared" si="127"/>
        <v>0.16844469399213924</v>
      </c>
      <c r="H55" s="7">
        <f t="shared" si="127"/>
        <v>0.15432482887367766</v>
      </c>
      <c r="I55" s="7">
        <f t="shared" si="127"/>
        <v>0.29425113464447805</v>
      </c>
      <c r="J55" s="7">
        <f t="shared" si="127"/>
        <v>0.16779661016949152</v>
      </c>
      <c r="K55" s="7">
        <f t="shared" si="127"/>
        <v>5.834683954619125E-2</v>
      </c>
      <c r="L55" s="7">
        <f t="shared" si="127"/>
        <v>0.59112149532710279</v>
      </c>
      <c r="M55" s="7">
        <f t="shared" si="127"/>
        <v>0.19464847848898217</v>
      </c>
      <c r="N55" s="7">
        <f t="shared" si="127"/>
        <v>0.22349427575908412</v>
      </c>
      <c r="O55" s="7">
        <f t="shared" ref="O55" si="128">O40/O39</f>
        <v>0.17007150153217568</v>
      </c>
      <c r="P55" s="7">
        <f t="shared" ref="P55" si="129">P40/P39</f>
        <v>0.15441176470588236</v>
      </c>
      <c r="Q55" s="7">
        <f t="shared" ref="Q55:R55" si="130">Q40/Q39</f>
        <v>0.17</v>
      </c>
      <c r="R55" s="7">
        <f t="shared" si="130"/>
        <v>0.17</v>
      </c>
      <c r="U55" s="7">
        <f>U40/U39</f>
        <v>0.10139691714836223</v>
      </c>
      <c r="V55" s="7">
        <f>V40/V39</f>
        <v>-0.24436889077773055</v>
      </c>
      <c r="W55" s="7">
        <f t="shared" ref="W55:Z55" si="131">W40/W39</f>
        <v>0.15939971608193065</v>
      </c>
      <c r="X55" s="7">
        <f t="shared" si="131"/>
        <v>0.12914827529834885</v>
      </c>
      <c r="Y55" s="7">
        <f t="shared" si="131"/>
        <v>0.11887382690302398</v>
      </c>
      <c r="Z55" s="7">
        <f t="shared" si="131"/>
        <v>0.19066838876331935</v>
      </c>
      <c r="AA55" s="7">
        <f t="shared" ref="AA55:AK55" si="132">AA40/AA39</f>
        <v>0.16616481474825659</v>
      </c>
      <c r="AB55" s="7">
        <f t="shared" si="132"/>
        <v>0.15</v>
      </c>
      <c r="AC55" s="7">
        <f t="shared" si="132"/>
        <v>0.15</v>
      </c>
      <c r="AD55" s="7">
        <f t="shared" si="132"/>
        <v>0.15</v>
      </c>
      <c r="AE55" s="7">
        <f t="shared" si="132"/>
        <v>0.15</v>
      </c>
      <c r="AF55" s="7">
        <f t="shared" si="132"/>
        <v>0.15</v>
      </c>
      <c r="AG55" s="7">
        <f t="shared" si="132"/>
        <v>0.15</v>
      </c>
      <c r="AH55" s="7">
        <f t="shared" si="132"/>
        <v>0.15</v>
      </c>
      <c r="AI55" s="7">
        <f t="shared" si="132"/>
        <v>0.15</v>
      </c>
      <c r="AJ55" s="7">
        <f t="shared" si="132"/>
        <v>0.15</v>
      </c>
      <c r="AK55" s="7">
        <f t="shared" si="132"/>
        <v>0.15</v>
      </c>
      <c r="AN55" s="4" t="s">
        <v>62</v>
      </c>
      <c r="AO55" s="12">
        <f>AO53/AO54-1</f>
        <v>-0.50596791605531888</v>
      </c>
    </row>
    <row r="56" spans="2:41" x14ac:dyDescent="0.3">
      <c r="B56" s="1" t="s">
        <v>38</v>
      </c>
      <c r="C56" s="7">
        <f t="shared" ref="C56:O56" si="133">C41/C39</f>
        <v>1.8518518518518517E-2</v>
      </c>
      <c r="D56" s="7">
        <f t="shared" si="133"/>
        <v>2.2696929238985315E-2</v>
      </c>
      <c r="E56" s="7">
        <f t="shared" si="133"/>
        <v>4.7704233750745376E-3</v>
      </c>
      <c r="F56" s="7">
        <f t="shared" si="133"/>
        <v>2.7058823529411764E-2</v>
      </c>
      <c r="G56" s="7">
        <f t="shared" si="133"/>
        <v>3.0881527231892195E-2</v>
      </c>
      <c r="H56" s="7">
        <f t="shared" si="133"/>
        <v>1.9912881144990666E-2</v>
      </c>
      <c r="I56" s="7">
        <f t="shared" si="133"/>
        <v>-3.8577912254160365E-2</v>
      </c>
      <c r="J56" s="7">
        <f t="shared" si="133"/>
        <v>2.655367231638418E-2</v>
      </c>
      <c r="K56" s="7">
        <f t="shared" si="133"/>
        <v>1.8368449486763912E-2</v>
      </c>
      <c r="L56" s="7">
        <f t="shared" si="133"/>
        <v>0.14953271028037382</v>
      </c>
      <c r="M56" s="7">
        <f t="shared" si="133"/>
        <v>3.3053515215110178E-2</v>
      </c>
      <c r="N56" s="7">
        <f t="shared" si="133"/>
        <v>3.8825286212045791E-2</v>
      </c>
      <c r="O56" s="7">
        <f t="shared" si="133"/>
        <v>4.5965270684371805E-2</v>
      </c>
      <c r="P56" s="7">
        <f>P41/P39</f>
        <v>3.3333333333333333E-2</v>
      </c>
      <c r="Q56" s="7">
        <f t="shared" ref="Q56:R56" si="134">Q41/Q39</f>
        <v>0.03</v>
      </c>
      <c r="R56" s="7">
        <f t="shared" si="134"/>
        <v>0.03</v>
      </c>
      <c r="U56" s="7">
        <f t="shared" ref="U56:Y56" si="135">U41/U39</f>
        <v>5.3227360308285163E-2</v>
      </c>
      <c r="V56" s="7">
        <f t="shared" si="135"/>
        <v>-7.6923076923076927E-2</v>
      </c>
      <c r="W56" s="7">
        <f t="shared" si="135"/>
        <v>5.0294058000405595E-2</v>
      </c>
      <c r="X56" s="7">
        <f t="shared" si="135"/>
        <v>1.8146150073565473E-2</v>
      </c>
      <c r="Y56" s="7">
        <f t="shared" si="135"/>
        <v>4.8227320125130341E-2</v>
      </c>
      <c r="Z56" s="7">
        <f>Z41/Z39</f>
        <v>3.8585728123990956E-2</v>
      </c>
      <c r="AA56" s="7">
        <f t="shared" ref="AA56:AK56" si="136">AA41/AA39</f>
        <v>3.4610459591956327E-2</v>
      </c>
      <c r="AB56" s="7">
        <f t="shared" si="136"/>
        <v>3.0000000000000002E-2</v>
      </c>
      <c r="AC56" s="7">
        <f t="shared" si="136"/>
        <v>2.9999999999999995E-2</v>
      </c>
      <c r="AD56" s="7">
        <f t="shared" si="136"/>
        <v>0.03</v>
      </c>
      <c r="AE56" s="7">
        <f t="shared" si="136"/>
        <v>0.03</v>
      </c>
      <c r="AF56" s="7">
        <f t="shared" si="136"/>
        <v>3.0000000000000002E-2</v>
      </c>
      <c r="AG56" s="7">
        <f t="shared" si="136"/>
        <v>0.03</v>
      </c>
      <c r="AH56" s="7">
        <f t="shared" si="136"/>
        <v>0.03</v>
      </c>
      <c r="AI56" s="7">
        <f t="shared" si="136"/>
        <v>2.9999999999999995E-2</v>
      </c>
      <c r="AJ56" s="7">
        <f t="shared" si="136"/>
        <v>0.03</v>
      </c>
      <c r="AK56" s="7">
        <f t="shared" si="136"/>
        <v>0.03</v>
      </c>
      <c r="AN56" s="1" t="s">
        <v>63</v>
      </c>
      <c r="AO56" s="2" t="s">
        <v>67</v>
      </c>
    </row>
    <row r="57" spans="2:41" x14ac:dyDescent="0.3">
      <c r="B57" s="1" t="s">
        <v>50</v>
      </c>
      <c r="C57" s="7">
        <f t="shared" ref="C57" si="137">C42/C28</f>
        <v>7.0183252736065155E-2</v>
      </c>
      <c r="D57" s="7">
        <f t="shared" ref="D57:N57" si="138">D42/D28</f>
        <v>7.9931347309059708E-2</v>
      </c>
      <c r="E57" s="7">
        <f t="shared" si="138"/>
        <v>8.1824081175151914E-2</v>
      </c>
      <c r="F57" s="7">
        <f t="shared" si="138"/>
        <v>7.8593931354667551E-2</v>
      </c>
      <c r="G57" s="7">
        <f t="shared" si="138"/>
        <v>8.2839549204136165E-2</v>
      </c>
      <c r="H57" s="7">
        <f t="shared" si="138"/>
        <v>7.2454272454272453E-2</v>
      </c>
      <c r="I57" s="7">
        <f t="shared" si="138"/>
        <v>-7.3083778966131913E-2</v>
      </c>
      <c r="J57" s="7">
        <f t="shared" si="138"/>
        <v>7.1561198374065341E-2</v>
      </c>
      <c r="K57" s="7">
        <f t="shared" si="138"/>
        <v>8.8526288526288521E-2</v>
      </c>
      <c r="L57" s="7">
        <f t="shared" si="138"/>
        <v>5.6285178236397749E-3</v>
      </c>
      <c r="M57" s="7">
        <f t="shared" si="138"/>
        <v>7.3273931007018761E-2</v>
      </c>
      <c r="N57" s="7">
        <f t="shared" si="138"/>
        <v>6.8538130694168253E-2</v>
      </c>
      <c r="O57" s="7">
        <f t="shared" ref="O57" si="139">O42/O28</f>
        <v>7.5593420663843197E-2</v>
      </c>
      <c r="P57" s="7">
        <f t="shared" ref="P57" si="140">P42/P28</f>
        <v>7.6780501366943144E-2</v>
      </c>
      <c r="Q57" s="7">
        <f t="shared" ref="Q57:R57" si="141">Q42/Q28</f>
        <v>7.5113023016734212E-2</v>
      </c>
      <c r="R57" s="7">
        <f t="shared" si="141"/>
        <v>7.5192751878248712E-2</v>
      </c>
      <c r="U57" s="7">
        <f>U42/U28</f>
        <v>7.7399722154843545E-2</v>
      </c>
      <c r="V57" s="7">
        <f>V42/V28</f>
        <v>-5.4941947797197237E-2</v>
      </c>
      <c r="W57" s="7">
        <f t="shared" ref="W57:Z57" si="142">W42/W28</f>
        <v>6.0523700068335712E-2</v>
      </c>
      <c r="X57" s="7">
        <f t="shared" si="142"/>
        <v>7.7764856725407755E-2</v>
      </c>
      <c r="Y57" s="7">
        <f t="shared" si="142"/>
        <v>4.6358096343586765E-2</v>
      </c>
      <c r="Z57" s="7">
        <f t="shared" si="142"/>
        <v>5.9129530084966186E-2</v>
      </c>
      <c r="AA57" s="7">
        <f t="shared" ref="AA57:AK57" si="143">AA42/AA28</f>
        <v>7.5658975369286591E-2</v>
      </c>
      <c r="AB57" s="7">
        <f t="shared" si="143"/>
        <v>8.1487340385963059E-2</v>
      </c>
      <c r="AC57" s="7">
        <f t="shared" si="143"/>
        <v>8.3778111570669833E-2</v>
      </c>
      <c r="AD57" s="7">
        <f t="shared" si="143"/>
        <v>8.4838593231775353E-2</v>
      </c>
      <c r="AE57" s="7">
        <f t="shared" si="143"/>
        <v>8.5565615998704644E-2</v>
      </c>
      <c r="AF57" s="7">
        <f t="shared" si="143"/>
        <v>8.6187866858918896E-2</v>
      </c>
      <c r="AG57" s="7">
        <f t="shared" si="143"/>
        <v>8.6806936703118842E-2</v>
      </c>
      <c r="AH57" s="7">
        <f t="shared" si="143"/>
        <v>8.7422857595766956E-2</v>
      </c>
      <c r="AI57" s="7">
        <f t="shared" si="143"/>
        <v>8.803566110408724E-2</v>
      </c>
      <c r="AJ57" s="7">
        <f t="shared" si="143"/>
        <v>8.8645378302204439E-2</v>
      </c>
      <c r="AK57" s="7">
        <f t="shared" si="143"/>
        <v>8.9252039775281691E-2</v>
      </c>
    </row>
    <row r="60" spans="2:41" s="14" customFormat="1" x14ac:dyDescent="0.3">
      <c r="B60" s="14" t="s">
        <v>64</v>
      </c>
      <c r="N60" s="14">
        <v>162861</v>
      </c>
      <c r="P60" s="14">
        <v>167139</v>
      </c>
    </row>
    <row r="62" spans="2:41" x14ac:dyDescent="0.3">
      <c r="B62" s="1" t="s">
        <v>65</v>
      </c>
      <c r="P62" s="15">
        <f>Main!D9/Model!P60</f>
        <v>1.556568664405076</v>
      </c>
    </row>
    <row r="63" spans="2:41" x14ac:dyDescent="0.3">
      <c r="B63" s="1" t="s">
        <v>66</v>
      </c>
      <c r="P63" s="7">
        <f>P60/Main!D9-1</f>
        <v>-0.35756126737768923</v>
      </c>
    </row>
    <row r="64" spans="2:41" x14ac:dyDescent="0.3">
      <c r="P64" s="7"/>
    </row>
  </sheetData>
  <phoneticPr fontId="1" type="noConversion"/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47B37D-5C25-469B-9D0C-C2E6A30B3F3A}">
  <dimension ref="A1"/>
  <sheetViews>
    <sheetView workbookViewId="0">
      <selection activeCell="R22" sqref="R22"/>
    </sheetView>
  </sheetViews>
  <sheetFormatPr defaultRowHeight="14.4" x14ac:dyDescent="0.3"/>
  <cols>
    <col min="1" max="16384" width="8.88671875" style="13"/>
  </cols>
  <sheetData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D4505-608F-421A-97B1-56F07D46F9CD}">
  <dimension ref="A1"/>
  <sheetViews>
    <sheetView workbookViewId="0">
      <selection activeCell="B3" sqref="B3"/>
    </sheetView>
  </sheetViews>
  <sheetFormatPr defaultRowHeight="14.4" x14ac:dyDescent="0.3"/>
  <cols>
    <col min="1" max="16384" width="8.88671875" style="13"/>
  </cols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Main</vt:lpstr>
      <vt:lpstr>Model</vt:lpstr>
      <vt:lpstr>Charts</vt:lpstr>
      <vt:lpstr>Products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2024-09-29T13:29:43Z</dcterms:created>
  <dcterms:modified xsi:type="dcterms:W3CDTF">2025-10-10T14:00:36Z</dcterms:modified>
</cp:coreProperties>
</file>