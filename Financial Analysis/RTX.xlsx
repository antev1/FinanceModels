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B2BACD7-3761-4F37-BA75-09A00F94E5C1}" xr6:coauthVersionLast="47" xr6:coauthVersionMax="47" xr10:uidLastSave="{00000000-0000-0000-0000-000000000000}"/>
  <bookViews>
    <workbookView xWindow="-108" yWindow="-108" windowWidth="23256" windowHeight="12576" xr2:uid="{4DC2FBA0-6E3D-459B-9C6A-21AC42B1058B}"/>
  </bookViews>
  <sheets>
    <sheet name="Main" sheetId="1" r:id="rId1"/>
    <sheet name="Model" sheetId="2" r:id="rId2"/>
    <sheet name="Charts" sheetId="3" r:id="rId3"/>
    <sheet name="Products" sheetId="4" r:id="rId4"/>
    <sheet name="PivotTable" sheetId="5" r:id="rId5"/>
  </sheets>
  <calcPr calcId="191029"/>
  <pivotCaches>
    <pivotCache cacheId="4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26" i="2" l="1"/>
  <c r="AD26" i="2"/>
  <c r="AC26" i="2"/>
  <c r="AB26" i="2"/>
  <c r="R26" i="2"/>
  <c r="R27" i="2"/>
  <c r="Q51" i="2"/>
  <c r="M24" i="2"/>
  <c r="Q24" i="2"/>
  <c r="D7" i="1"/>
  <c r="D6" i="1"/>
  <c r="Q48" i="2"/>
  <c r="Q47" i="2"/>
  <c r="Q46" i="2"/>
  <c r="AK43" i="2"/>
  <c r="AJ43" i="2"/>
  <c r="AI43" i="2"/>
  <c r="AH43" i="2"/>
  <c r="AG43" i="2"/>
  <c r="AF43" i="2"/>
  <c r="AE43" i="2"/>
  <c r="AD43" i="2"/>
  <c r="AC43" i="2"/>
  <c r="AB43" i="2"/>
  <c r="AA43" i="2"/>
  <c r="R43" i="2"/>
  <c r="Q43" i="2"/>
  <c r="D4" i="1"/>
  <c r="Y16" i="2"/>
  <c r="Z16" i="2"/>
  <c r="AA18" i="2" s="1"/>
  <c r="X24" i="2"/>
  <c r="Y24" i="2"/>
  <c r="Z24" i="2"/>
  <c r="AA36" i="2"/>
  <c r="Q56" i="2"/>
  <c r="F41" i="2"/>
  <c r="F40" i="2"/>
  <c r="F38" i="2"/>
  <c r="F37" i="2"/>
  <c r="F36" i="2"/>
  <c r="F34" i="2"/>
  <c r="F33" i="2"/>
  <c r="F30" i="2"/>
  <c r="F29" i="2"/>
  <c r="F27" i="2"/>
  <c r="F26" i="2"/>
  <c r="J41" i="2"/>
  <c r="J40" i="2"/>
  <c r="J38" i="2"/>
  <c r="J37" i="2"/>
  <c r="J36" i="2"/>
  <c r="J34" i="2"/>
  <c r="J33" i="2"/>
  <c r="J30" i="2"/>
  <c r="J29" i="2"/>
  <c r="J27" i="2"/>
  <c r="J26" i="2"/>
  <c r="N41" i="2"/>
  <c r="N40" i="2"/>
  <c r="N38" i="2"/>
  <c r="R38" i="2" s="1"/>
  <c r="N37" i="2"/>
  <c r="R37" i="2" s="1"/>
  <c r="N36" i="2"/>
  <c r="N34" i="2"/>
  <c r="N33" i="2"/>
  <c r="R33" i="2" s="1"/>
  <c r="N30" i="2"/>
  <c r="N29" i="2"/>
  <c r="N27" i="2"/>
  <c r="N26" i="2"/>
  <c r="C54" i="2"/>
  <c r="C53" i="2"/>
  <c r="D54" i="2"/>
  <c r="D53" i="2"/>
  <c r="E54" i="2"/>
  <c r="E53" i="2"/>
  <c r="G56" i="2"/>
  <c r="G54" i="2"/>
  <c r="G53" i="2"/>
  <c r="G51" i="2"/>
  <c r="G50" i="2"/>
  <c r="H56" i="2"/>
  <c r="H54" i="2"/>
  <c r="H53" i="2"/>
  <c r="H51" i="2"/>
  <c r="H50" i="2"/>
  <c r="I56" i="2"/>
  <c r="I54" i="2"/>
  <c r="I53" i="2"/>
  <c r="I51" i="2"/>
  <c r="K56" i="2"/>
  <c r="K54" i="2"/>
  <c r="K53" i="2"/>
  <c r="K51" i="2"/>
  <c r="K50" i="2"/>
  <c r="L56" i="2"/>
  <c r="L54" i="2"/>
  <c r="L53" i="2"/>
  <c r="L51" i="2"/>
  <c r="L50" i="2"/>
  <c r="M56" i="2"/>
  <c r="M54" i="2"/>
  <c r="M53" i="2"/>
  <c r="M51" i="2"/>
  <c r="O56" i="2"/>
  <c r="O54" i="2"/>
  <c r="O53" i="2"/>
  <c r="O51" i="2"/>
  <c r="O50" i="2"/>
  <c r="D31" i="2"/>
  <c r="D28" i="2"/>
  <c r="D57" i="2" s="1"/>
  <c r="E31" i="2"/>
  <c r="E28" i="2"/>
  <c r="E57" i="2" s="1"/>
  <c r="C31" i="2"/>
  <c r="C28" i="2"/>
  <c r="C57" i="2" s="1"/>
  <c r="G31" i="2"/>
  <c r="G28" i="2"/>
  <c r="P56" i="2"/>
  <c r="P54" i="2"/>
  <c r="P53" i="2"/>
  <c r="P51" i="2"/>
  <c r="P50" i="2"/>
  <c r="P43" i="2"/>
  <c r="P31" i="2"/>
  <c r="P28" i="2"/>
  <c r="AO58" i="2"/>
  <c r="I31" i="2"/>
  <c r="I28" i="2"/>
  <c r="I57" i="2" s="1"/>
  <c r="M31" i="2"/>
  <c r="M28" i="2"/>
  <c r="K31" i="2"/>
  <c r="K28" i="2"/>
  <c r="O31" i="2"/>
  <c r="O28" i="2"/>
  <c r="O57" i="2" s="1"/>
  <c r="U54" i="2"/>
  <c r="U53" i="2"/>
  <c r="Z56" i="2"/>
  <c r="Y56" i="2"/>
  <c r="X56" i="2"/>
  <c r="W56" i="2"/>
  <c r="Z54" i="2"/>
  <c r="Y54" i="2"/>
  <c r="X54" i="2"/>
  <c r="W54" i="2"/>
  <c r="Z53" i="2"/>
  <c r="Y53" i="2"/>
  <c r="X53" i="2"/>
  <c r="W53" i="2"/>
  <c r="Z51" i="2"/>
  <c r="Y51" i="2"/>
  <c r="X51" i="2"/>
  <c r="W51" i="2"/>
  <c r="Z50" i="2"/>
  <c r="Y50" i="2"/>
  <c r="X50" i="2"/>
  <c r="W50" i="2"/>
  <c r="V56" i="2"/>
  <c r="V51" i="2"/>
  <c r="V50" i="2"/>
  <c r="V54" i="2"/>
  <c r="V53" i="2"/>
  <c r="U43" i="2"/>
  <c r="U31" i="2"/>
  <c r="U28" i="2"/>
  <c r="V36" i="2"/>
  <c r="V43" i="2"/>
  <c r="V31" i="2"/>
  <c r="V28" i="2"/>
  <c r="W38" i="2"/>
  <c r="W43" i="2"/>
  <c r="W31" i="2"/>
  <c r="W28" i="2"/>
  <c r="X43" i="2"/>
  <c r="X31" i="2"/>
  <c r="X28" i="2"/>
  <c r="X6" i="2" s="1"/>
  <c r="Y43" i="2"/>
  <c r="Y31" i="2"/>
  <c r="Y28" i="2"/>
  <c r="Y6" i="2" s="1"/>
  <c r="Z43" i="2"/>
  <c r="Z31" i="2"/>
  <c r="Z28" i="2"/>
  <c r="Z57" i="2" s="1"/>
  <c r="D5" i="1"/>
  <c r="H31" i="2"/>
  <c r="H28" i="2"/>
  <c r="L31" i="2"/>
  <c r="L28" i="2"/>
  <c r="L57" i="2" s="1"/>
  <c r="F3" i="1"/>
  <c r="J50" i="2" l="1"/>
  <c r="Z6" i="2"/>
  <c r="Y4" i="2"/>
  <c r="Z4" i="2"/>
  <c r="X4" i="2"/>
  <c r="F54" i="2"/>
  <c r="J56" i="2"/>
  <c r="J51" i="2"/>
  <c r="M52" i="2"/>
  <c r="N31" i="2"/>
  <c r="H52" i="2"/>
  <c r="AA38" i="2"/>
  <c r="AB38" i="2" s="1"/>
  <c r="AC38" i="2" s="1"/>
  <c r="AD38" i="2" s="1"/>
  <c r="AE38" i="2" s="1"/>
  <c r="AF38" i="2" s="1"/>
  <c r="AG38" i="2" s="1"/>
  <c r="AH38" i="2" s="1"/>
  <c r="AI38" i="2" s="1"/>
  <c r="AJ38" i="2" s="1"/>
  <c r="AK38" i="2" s="1"/>
  <c r="G32" i="2"/>
  <c r="G55" i="2" s="1"/>
  <c r="N28" i="2"/>
  <c r="N57" i="2" s="1"/>
  <c r="K52" i="2"/>
  <c r="AA37" i="2"/>
  <c r="AB37" i="2" s="1"/>
  <c r="AC37" i="2" s="1"/>
  <c r="AD37" i="2" s="1"/>
  <c r="AE37" i="2" s="1"/>
  <c r="AF37" i="2" s="1"/>
  <c r="AG37" i="2" s="1"/>
  <c r="AH37" i="2" s="1"/>
  <c r="AI37" i="2" s="1"/>
  <c r="AJ37" i="2" s="1"/>
  <c r="AK37" i="2" s="1"/>
  <c r="P32" i="2"/>
  <c r="P35" i="2" s="1"/>
  <c r="P39" i="2" s="1"/>
  <c r="P42" i="2" s="1"/>
  <c r="P61" i="2" s="1"/>
  <c r="I52" i="2"/>
  <c r="F53" i="2"/>
  <c r="H57" i="2"/>
  <c r="R51" i="2"/>
  <c r="R30" i="2"/>
  <c r="R54" i="2" s="1"/>
  <c r="AA33" i="2"/>
  <c r="R56" i="2"/>
  <c r="P52" i="2"/>
  <c r="L52" i="2"/>
  <c r="K57" i="2"/>
  <c r="Q54" i="2"/>
  <c r="Q53" i="2"/>
  <c r="O52" i="2"/>
  <c r="N50" i="2"/>
  <c r="M57" i="2"/>
  <c r="G57" i="2"/>
  <c r="AA26" i="2"/>
  <c r="Q50" i="2"/>
  <c r="P57" i="2"/>
  <c r="E32" i="2"/>
  <c r="E55" i="2" s="1"/>
  <c r="N53" i="2"/>
  <c r="J31" i="2"/>
  <c r="AA27" i="2"/>
  <c r="J28" i="2"/>
  <c r="J57" i="2" s="1"/>
  <c r="G52" i="2"/>
  <c r="F28" i="2"/>
  <c r="F57" i="2" s="1"/>
  <c r="F31" i="2"/>
  <c r="J53" i="2"/>
  <c r="N56" i="2"/>
  <c r="N54" i="2"/>
  <c r="N51" i="2"/>
  <c r="J54" i="2"/>
  <c r="D32" i="2"/>
  <c r="D55" i="2" s="1"/>
  <c r="C32" i="2"/>
  <c r="C55" i="2" s="1"/>
  <c r="I32" i="2"/>
  <c r="I55" i="2" s="1"/>
  <c r="M32" i="2"/>
  <c r="K32" i="2"/>
  <c r="K55" i="2" s="1"/>
  <c r="O32" i="2"/>
  <c r="L32" i="2"/>
  <c r="W57" i="2"/>
  <c r="Z52" i="2"/>
  <c r="U57" i="2"/>
  <c r="X57" i="2"/>
  <c r="V52" i="2"/>
  <c r="Y57" i="2"/>
  <c r="V57" i="2"/>
  <c r="W52" i="2"/>
  <c r="X52" i="2"/>
  <c r="Y52" i="2"/>
  <c r="D8" i="1"/>
  <c r="AO55" i="2" s="1"/>
  <c r="U32" i="2"/>
  <c r="V32" i="2"/>
  <c r="W32" i="2"/>
  <c r="X32" i="2"/>
  <c r="Y32" i="2"/>
  <c r="Z32" i="2"/>
  <c r="H32" i="2"/>
  <c r="H55" i="2" s="1"/>
  <c r="N32" i="2" l="1"/>
  <c r="N55" i="2" s="1"/>
  <c r="P44" i="2"/>
  <c r="P58" i="2"/>
  <c r="P60" i="2"/>
  <c r="G35" i="2"/>
  <c r="G58" i="2" s="1"/>
  <c r="J32" i="2"/>
  <c r="J35" i="2" s="1"/>
  <c r="N52" i="2"/>
  <c r="P55" i="2"/>
  <c r="P59" i="2"/>
  <c r="O35" i="2"/>
  <c r="O55" i="2"/>
  <c r="AA28" i="2"/>
  <c r="AA50" i="2"/>
  <c r="E35" i="2"/>
  <c r="E58" i="2" s="1"/>
  <c r="AA51" i="2"/>
  <c r="AB27" i="2"/>
  <c r="Q32" i="2"/>
  <c r="AA30" i="2"/>
  <c r="AA54" i="2" s="1"/>
  <c r="AB33" i="2"/>
  <c r="AA56" i="2"/>
  <c r="L35" i="2"/>
  <c r="L55" i="2"/>
  <c r="M35" i="2"/>
  <c r="M55" i="2"/>
  <c r="Q52" i="2"/>
  <c r="R28" i="2"/>
  <c r="R50" i="2"/>
  <c r="R29" i="2"/>
  <c r="J52" i="2"/>
  <c r="F32" i="2"/>
  <c r="F55" i="2" s="1"/>
  <c r="D35" i="2"/>
  <c r="D58" i="2" s="1"/>
  <c r="C35" i="2"/>
  <c r="C58" i="2" s="1"/>
  <c r="D9" i="1"/>
  <c r="I35" i="2"/>
  <c r="I58" i="2" s="1"/>
  <c r="K35" i="2"/>
  <c r="H35" i="2"/>
  <c r="H58" i="2" s="1"/>
  <c r="Z35" i="2"/>
  <c r="Z55" i="2"/>
  <c r="U35" i="2"/>
  <c r="U55" i="2"/>
  <c r="Y35" i="2"/>
  <c r="Y55" i="2"/>
  <c r="X35" i="2"/>
  <c r="X55" i="2"/>
  <c r="W35" i="2"/>
  <c r="W55" i="2"/>
  <c r="V35" i="2"/>
  <c r="V55" i="2"/>
  <c r="Q66" i="2" l="1"/>
  <c r="AA66" i="2"/>
  <c r="Q67" i="2"/>
  <c r="AA67" i="2"/>
  <c r="N35" i="2"/>
  <c r="J55" i="2"/>
  <c r="G39" i="2"/>
  <c r="G60" i="2" s="1"/>
  <c r="E39" i="2"/>
  <c r="E42" i="2" s="1"/>
  <c r="E61" i="2" s="1"/>
  <c r="Q57" i="2"/>
  <c r="AC27" i="2"/>
  <c r="AB30" i="2"/>
  <c r="AB54" i="2" s="1"/>
  <c r="AB51" i="2"/>
  <c r="R31" i="2"/>
  <c r="R32" i="2" s="1"/>
  <c r="AA29" i="2"/>
  <c r="K39" i="2"/>
  <c r="K42" i="2" s="1"/>
  <c r="K61" i="2" s="1"/>
  <c r="K58" i="2"/>
  <c r="L39" i="2"/>
  <c r="L58" i="2"/>
  <c r="Q35" i="2"/>
  <c r="Q55" i="2"/>
  <c r="R34" i="2"/>
  <c r="R57" i="2" s="1"/>
  <c r="R52" i="2"/>
  <c r="R53" i="2"/>
  <c r="AC33" i="2"/>
  <c r="AB56" i="2"/>
  <c r="AB29" i="2"/>
  <c r="AB53" i="2" s="1"/>
  <c r="AB50" i="2"/>
  <c r="AB28" i="2"/>
  <c r="O39" i="2"/>
  <c r="O58" i="2"/>
  <c r="M39" i="2"/>
  <c r="M58" i="2"/>
  <c r="AA52" i="2"/>
  <c r="F35" i="2"/>
  <c r="F39" i="2" s="1"/>
  <c r="F60" i="2" s="1"/>
  <c r="N39" i="2"/>
  <c r="N60" i="2" s="1"/>
  <c r="N58" i="2"/>
  <c r="J58" i="2"/>
  <c r="J39" i="2"/>
  <c r="J60" i="2" s="1"/>
  <c r="D39" i="2"/>
  <c r="C39" i="2"/>
  <c r="I39" i="2"/>
  <c r="Y39" i="2"/>
  <c r="Y60" i="2" s="1"/>
  <c r="Y58" i="2"/>
  <c r="V39" i="2"/>
  <c r="V60" i="2" s="1"/>
  <c r="V58" i="2"/>
  <c r="U39" i="2"/>
  <c r="U60" i="2" s="1"/>
  <c r="U58" i="2"/>
  <c r="W39" i="2"/>
  <c r="W60" i="2" s="1"/>
  <c r="W58" i="2"/>
  <c r="Z39" i="2"/>
  <c r="Z60" i="2" s="1"/>
  <c r="Z58" i="2"/>
  <c r="X39" i="2"/>
  <c r="X60" i="2" s="1"/>
  <c r="X58" i="2"/>
  <c r="H39" i="2"/>
  <c r="E60" i="2" l="1"/>
  <c r="E59" i="2"/>
  <c r="AA34" i="2"/>
  <c r="AA57" i="2" s="1"/>
  <c r="G59" i="2"/>
  <c r="G42" i="2"/>
  <c r="G61" i="2" s="1"/>
  <c r="D59" i="2"/>
  <c r="D60" i="2"/>
  <c r="AB52" i="2"/>
  <c r="AB34" i="2"/>
  <c r="AB57" i="2" s="1"/>
  <c r="M42" i="2"/>
  <c r="M59" i="2"/>
  <c r="M60" i="2"/>
  <c r="AC29" i="2"/>
  <c r="AC53" i="2" s="1"/>
  <c r="AC50" i="2"/>
  <c r="AC28" i="2"/>
  <c r="Q39" i="2"/>
  <c r="Q58" i="2"/>
  <c r="O42" i="2"/>
  <c r="O60" i="2"/>
  <c r="O59" i="2"/>
  <c r="R55" i="2"/>
  <c r="R35" i="2"/>
  <c r="C60" i="2"/>
  <c r="C59" i="2"/>
  <c r="AD33" i="2"/>
  <c r="AC56" i="2"/>
  <c r="L42" i="2"/>
  <c r="L60" i="2"/>
  <c r="L59" i="2"/>
  <c r="AB31" i="2"/>
  <c r="AB32" i="2" s="1"/>
  <c r="K59" i="2"/>
  <c r="K60" i="2"/>
  <c r="I59" i="2"/>
  <c r="I60" i="2"/>
  <c r="AA31" i="2"/>
  <c r="AA32" i="2" s="1"/>
  <c r="AA53" i="2"/>
  <c r="H59" i="2"/>
  <c r="H60" i="2"/>
  <c r="AD27" i="2"/>
  <c r="AC30" i="2"/>
  <c r="AC51" i="2"/>
  <c r="F58" i="2"/>
  <c r="F42" i="2"/>
  <c r="F59" i="2"/>
  <c r="N42" i="2"/>
  <c r="N59" i="2"/>
  <c r="J42" i="2"/>
  <c r="J59" i="2"/>
  <c r="D42" i="2"/>
  <c r="D61" i="2" s="1"/>
  <c r="E44" i="2"/>
  <c r="C42" i="2"/>
  <c r="C61" i="2" s="1"/>
  <c r="G44" i="2"/>
  <c r="I42" i="2"/>
  <c r="I61" i="2" s="1"/>
  <c r="K44" i="2"/>
  <c r="H42" i="2"/>
  <c r="H61" i="2" s="1"/>
  <c r="W42" i="2"/>
  <c r="W59" i="2"/>
  <c r="X42" i="2"/>
  <c r="X59" i="2"/>
  <c r="V42" i="2"/>
  <c r="V59" i="2"/>
  <c r="U42" i="2"/>
  <c r="U59" i="2"/>
  <c r="Z42" i="2"/>
  <c r="Z59" i="2"/>
  <c r="Y42" i="2"/>
  <c r="Y59" i="2"/>
  <c r="AB55" i="2" l="1"/>
  <c r="AB35" i="2"/>
  <c r="AA55" i="2"/>
  <c r="AA35" i="2"/>
  <c r="L44" i="2"/>
  <c r="L61" i="2"/>
  <c r="AD29" i="2"/>
  <c r="AD53" i="2" s="1"/>
  <c r="AD50" i="2"/>
  <c r="AD28" i="2"/>
  <c r="O44" i="2"/>
  <c r="O61" i="2"/>
  <c r="AC31" i="2"/>
  <c r="AC32" i="2" s="1"/>
  <c r="AC54" i="2"/>
  <c r="M44" i="2"/>
  <c r="M61" i="2"/>
  <c r="AE27" i="2"/>
  <c r="AD30" i="2"/>
  <c r="AD51" i="2"/>
  <c r="AC52" i="2"/>
  <c r="AC34" i="2"/>
  <c r="AC57" i="2" s="1"/>
  <c r="AE33" i="2"/>
  <c r="AD56" i="2"/>
  <c r="R39" i="2"/>
  <c r="R58" i="2"/>
  <c r="F61" i="2"/>
  <c r="F44" i="2"/>
  <c r="N44" i="2"/>
  <c r="N61" i="2"/>
  <c r="J44" i="2"/>
  <c r="J61" i="2"/>
  <c r="D44" i="2"/>
  <c r="C44" i="2"/>
  <c r="I44" i="2"/>
  <c r="V44" i="2"/>
  <c r="V61" i="2"/>
  <c r="X44" i="2"/>
  <c r="X61" i="2"/>
  <c r="W44" i="2"/>
  <c r="W61" i="2"/>
  <c r="U44" i="2"/>
  <c r="U61" i="2"/>
  <c r="Y44" i="2"/>
  <c r="Y61" i="2"/>
  <c r="Z44" i="2"/>
  <c r="Z61" i="2"/>
  <c r="H44" i="2"/>
  <c r="AC55" i="2" l="1"/>
  <c r="AC35" i="2"/>
  <c r="Q59" i="2"/>
  <c r="Q60" i="2"/>
  <c r="AD31" i="2"/>
  <c r="AD32" i="2" s="1"/>
  <c r="AD54" i="2"/>
  <c r="R41" i="2"/>
  <c r="R60" i="2" s="1"/>
  <c r="R40" i="2"/>
  <c r="R59" i="2" s="1"/>
  <c r="AF27" i="2"/>
  <c r="AE30" i="2"/>
  <c r="AE51" i="2"/>
  <c r="AA39" i="2"/>
  <c r="AA58" i="2"/>
  <c r="AF26" i="2"/>
  <c r="AE29" i="2"/>
  <c r="AE53" i="2" s="1"/>
  <c r="AE50" i="2"/>
  <c r="AE28" i="2"/>
  <c r="AE56" i="2"/>
  <c r="AF33" i="2"/>
  <c r="AD52" i="2"/>
  <c r="AD34" i="2"/>
  <c r="AD57" i="2" s="1"/>
  <c r="Q42" i="2"/>
  <c r="AB39" i="2"/>
  <c r="AB58" i="2"/>
  <c r="AA40" i="2" l="1"/>
  <c r="AA59" i="2" s="1"/>
  <c r="AG26" i="2"/>
  <c r="AF29" i="2"/>
  <c r="AF53" i="2" s="1"/>
  <c r="AF50" i="2"/>
  <c r="AF28" i="2"/>
  <c r="AF56" i="2"/>
  <c r="AG33" i="2"/>
  <c r="AE52" i="2"/>
  <c r="AE34" i="2"/>
  <c r="AE57" i="2" s="1"/>
  <c r="AE31" i="2"/>
  <c r="AE32" i="2" s="1"/>
  <c r="AE54" i="2"/>
  <c r="AA41" i="2"/>
  <c r="AA60" i="2" s="1"/>
  <c r="AB40" i="2"/>
  <c r="AB59" i="2" s="1"/>
  <c r="AB41" i="2"/>
  <c r="AB60" i="2" s="1"/>
  <c r="AF51" i="2"/>
  <c r="AG27" i="2"/>
  <c r="AF30" i="2"/>
  <c r="Q44" i="2"/>
  <c r="Q61" i="2"/>
  <c r="AD55" i="2"/>
  <c r="AD35" i="2"/>
  <c r="R42" i="2"/>
  <c r="AC39" i="2"/>
  <c r="AC58" i="2"/>
  <c r="AE55" i="2" l="1"/>
  <c r="AE35" i="2"/>
  <c r="AD39" i="2"/>
  <c r="AD58" i="2"/>
  <c r="AA42" i="2"/>
  <c r="AG29" i="2"/>
  <c r="AG50" i="2"/>
  <c r="AG53" i="2"/>
  <c r="AH26" i="2"/>
  <c r="AG28" i="2"/>
  <c r="AG56" i="2"/>
  <c r="AH33" i="2"/>
  <c r="AF52" i="2"/>
  <c r="AF34" i="2"/>
  <c r="AF57" i="2" s="1"/>
  <c r="AB42" i="2"/>
  <c r="AF31" i="2"/>
  <c r="AF32" i="2" s="1"/>
  <c r="AF54" i="2"/>
  <c r="R44" i="2"/>
  <c r="R61" i="2"/>
  <c r="AC40" i="2"/>
  <c r="AC41" i="2"/>
  <c r="AC60" i="2" s="1"/>
  <c r="AG51" i="2"/>
  <c r="AH27" i="2"/>
  <c r="AG30" i="2"/>
  <c r="AF55" i="2" l="1"/>
  <c r="AF35" i="2"/>
  <c r="AB44" i="2"/>
  <c r="AB61" i="2"/>
  <c r="AC59" i="2"/>
  <c r="AC42" i="2"/>
  <c r="AA61" i="2"/>
  <c r="AA44" i="2"/>
  <c r="AI33" i="2"/>
  <c r="AH56" i="2"/>
  <c r="AD40" i="2"/>
  <c r="AD41" i="2"/>
  <c r="AD60" i="2" s="1"/>
  <c r="AG52" i="2"/>
  <c r="AG34" i="2"/>
  <c r="AG57" i="2" s="1"/>
  <c r="AE39" i="2"/>
  <c r="AE58" i="2"/>
  <c r="AI27" i="2"/>
  <c r="AH51" i="2"/>
  <c r="AH30" i="2"/>
  <c r="AG31" i="2"/>
  <c r="AG32" i="2" s="1"/>
  <c r="AG54" i="2"/>
  <c r="AI26" i="2"/>
  <c r="AH29" i="2"/>
  <c r="AH53" i="2" s="1"/>
  <c r="AH50" i="2"/>
  <c r="AH28" i="2"/>
  <c r="AH31" i="2" l="1"/>
  <c r="AH32" i="2" s="1"/>
  <c r="AG55" i="2"/>
  <c r="AG35" i="2"/>
  <c r="AC44" i="2"/>
  <c r="AC61" i="2"/>
  <c r="AJ26" i="2"/>
  <c r="AI29" i="2"/>
  <c r="AI53" i="2" s="1"/>
  <c r="AI50" i="2"/>
  <c r="AI28" i="2"/>
  <c r="AD59" i="2"/>
  <c r="AD42" i="2"/>
  <c r="AJ27" i="2"/>
  <c r="AI30" i="2"/>
  <c r="AI51" i="2"/>
  <c r="AH54" i="2"/>
  <c r="AH52" i="2"/>
  <c r="AH34" i="2"/>
  <c r="AH57" i="2" s="1"/>
  <c r="AI56" i="2"/>
  <c r="AJ33" i="2"/>
  <c r="AF58" i="2"/>
  <c r="AF39" i="2"/>
  <c r="AE41" i="2"/>
  <c r="AE60" i="2" s="1"/>
  <c r="AE40" i="2"/>
  <c r="AF41" i="2" l="1"/>
  <c r="AF60" i="2" s="1"/>
  <c r="AF40" i="2"/>
  <c r="AF59" i="2" s="1"/>
  <c r="AH55" i="2"/>
  <c r="AH35" i="2"/>
  <c r="AI31" i="2"/>
  <c r="AI32" i="2" s="1"/>
  <c r="AI54" i="2"/>
  <c r="AJ51" i="2"/>
  <c r="AJ30" i="2"/>
  <c r="AK27" i="2"/>
  <c r="AD61" i="2"/>
  <c r="AD44" i="2"/>
  <c r="AE42" i="2"/>
  <c r="AE59" i="2"/>
  <c r="AK26" i="2"/>
  <c r="AJ29" i="2"/>
  <c r="AJ53" i="2" s="1"/>
  <c r="AJ50" i="2"/>
  <c r="AJ28" i="2"/>
  <c r="AK33" i="2"/>
  <c r="AK56" i="2" s="1"/>
  <c r="AJ56" i="2"/>
  <c r="AG39" i="2"/>
  <c r="AG58" i="2"/>
  <c r="AI34" i="2"/>
  <c r="AI57" i="2" s="1"/>
  <c r="AI52" i="2"/>
  <c r="AI55" i="2" l="1"/>
  <c r="AI35" i="2"/>
  <c r="AJ31" i="2"/>
  <c r="AJ32" i="2" s="1"/>
  <c r="AJ54" i="2"/>
  <c r="AF42" i="2"/>
  <c r="AK29" i="2"/>
  <c r="AK53" i="2" s="1"/>
  <c r="AK50" i="2"/>
  <c r="AK28" i="2"/>
  <c r="AE61" i="2"/>
  <c r="AE44" i="2"/>
  <c r="AH39" i="2"/>
  <c r="AH58" i="2"/>
  <c r="AG41" i="2"/>
  <c r="AG60" i="2" s="1"/>
  <c r="AG40" i="2"/>
  <c r="AG59" i="2" s="1"/>
  <c r="AJ34" i="2"/>
  <c r="AJ57" i="2" s="1"/>
  <c r="AJ52" i="2"/>
  <c r="AK30" i="2"/>
  <c r="AK51" i="2"/>
  <c r="AG42" i="2" l="1"/>
  <c r="AG44" i="2" s="1"/>
  <c r="AK31" i="2"/>
  <c r="AK32" i="2" s="1"/>
  <c r="AK54" i="2"/>
  <c r="AF44" i="2"/>
  <c r="AF61" i="2"/>
  <c r="AJ55" i="2"/>
  <c r="AJ35" i="2"/>
  <c r="AK52" i="2"/>
  <c r="AK34" i="2"/>
  <c r="AK57" i="2" s="1"/>
  <c r="AH41" i="2"/>
  <c r="AH60" i="2" s="1"/>
  <c r="AH40" i="2"/>
  <c r="AH59" i="2" s="1"/>
  <c r="AI58" i="2"/>
  <c r="AI39" i="2"/>
  <c r="AG61" i="2" l="1"/>
  <c r="AI41" i="2"/>
  <c r="AI60" i="2" s="1"/>
  <c r="AI40" i="2"/>
  <c r="AI59" i="2" s="1"/>
  <c r="AK55" i="2"/>
  <c r="AK35" i="2"/>
  <c r="AJ58" i="2"/>
  <c r="AJ39" i="2"/>
  <c r="AH42" i="2"/>
  <c r="AK39" i="2" l="1"/>
  <c r="AK58" i="2"/>
  <c r="AJ40" i="2"/>
  <c r="AJ59" i="2" s="1"/>
  <c r="AJ41" i="2"/>
  <c r="AJ60" i="2" s="1"/>
  <c r="AH61" i="2"/>
  <c r="AH44" i="2"/>
  <c r="AI42" i="2"/>
  <c r="AJ42" i="2" l="1"/>
  <c r="AJ44" i="2" s="1"/>
  <c r="AI44" i="2"/>
  <c r="AI61" i="2"/>
  <c r="AK40" i="2"/>
  <c r="AK41" i="2"/>
  <c r="AK60" i="2" s="1"/>
  <c r="AJ61" i="2" l="1"/>
  <c r="AK59" i="2"/>
  <c r="AK42" i="2"/>
  <c r="AK44" i="2" l="1"/>
  <c r="AL42" i="2"/>
  <c r="AM42" i="2" s="1"/>
  <c r="AN42" i="2" s="1"/>
  <c r="AO42" i="2" s="1"/>
  <c r="AP42" i="2" s="1"/>
  <c r="AQ42" i="2" s="1"/>
  <c r="AR42" i="2" s="1"/>
  <c r="AS42" i="2" s="1"/>
  <c r="AT42" i="2" s="1"/>
  <c r="AU42" i="2" s="1"/>
  <c r="AV42" i="2" s="1"/>
  <c r="AW42" i="2" s="1"/>
  <c r="AX42" i="2" s="1"/>
  <c r="AY42" i="2" s="1"/>
  <c r="AZ42" i="2" s="1"/>
  <c r="BA42" i="2" s="1"/>
  <c r="BB42" i="2" s="1"/>
  <c r="BC42" i="2" s="1"/>
  <c r="BD42" i="2" s="1"/>
  <c r="BE42" i="2" s="1"/>
  <c r="BF42" i="2" s="1"/>
  <c r="BG42" i="2" s="1"/>
  <c r="BH42" i="2" s="1"/>
  <c r="BI42" i="2" s="1"/>
  <c r="BJ42" i="2" s="1"/>
  <c r="BK42" i="2" s="1"/>
  <c r="BL42" i="2" s="1"/>
  <c r="BM42" i="2" s="1"/>
  <c r="BN42" i="2" s="1"/>
  <c r="BO42" i="2" s="1"/>
  <c r="BP42" i="2" s="1"/>
  <c r="BQ42" i="2" s="1"/>
  <c r="BR42" i="2" s="1"/>
  <c r="BS42" i="2" s="1"/>
  <c r="BT42" i="2" s="1"/>
  <c r="BU42" i="2" s="1"/>
  <c r="BV42" i="2" s="1"/>
  <c r="BW42" i="2" s="1"/>
  <c r="BX42" i="2" s="1"/>
  <c r="BY42" i="2" s="1"/>
  <c r="BZ42" i="2" s="1"/>
  <c r="CA42" i="2" s="1"/>
  <c r="CB42" i="2" s="1"/>
  <c r="CC42" i="2" s="1"/>
  <c r="CD42" i="2" s="1"/>
  <c r="CE42" i="2" s="1"/>
  <c r="CF42" i="2" s="1"/>
  <c r="CG42" i="2" s="1"/>
  <c r="CH42" i="2" s="1"/>
  <c r="CI42" i="2" s="1"/>
  <c r="CJ42" i="2" s="1"/>
  <c r="CK42" i="2" s="1"/>
  <c r="CL42" i="2" s="1"/>
  <c r="CM42" i="2" s="1"/>
  <c r="CN42" i="2" s="1"/>
  <c r="CO42" i="2" s="1"/>
  <c r="CP42" i="2" s="1"/>
  <c r="CQ42" i="2" s="1"/>
  <c r="CR42" i="2" s="1"/>
  <c r="CS42" i="2" s="1"/>
  <c r="CT42" i="2" s="1"/>
  <c r="CU42" i="2" s="1"/>
  <c r="CV42" i="2" s="1"/>
  <c r="CW42" i="2" s="1"/>
  <c r="CX42" i="2" s="1"/>
  <c r="CY42" i="2" s="1"/>
  <c r="CZ42" i="2" s="1"/>
  <c r="DA42" i="2" s="1"/>
  <c r="DB42" i="2" s="1"/>
  <c r="DC42" i="2" s="1"/>
  <c r="DD42" i="2" s="1"/>
  <c r="DE42" i="2" s="1"/>
  <c r="DF42" i="2" s="1"/>
  <c r="DG42" i="2" s="1"/>
  <c r="DH42" i="2" s="1"/>
  <c r="DI42" i="2" s="1"/>
  <c r="DJ42" i="2" s="1"/>
  <c r="DK42" i="2" s="1"/>
  <c r="DL42" i="2" s="1"/>
  <c r="DM42" i="2" s="1"/>
  <c r="DN42" i="2" s="1"/>
  <c r="DO42" i="2" s="1"/>
  <c r="DP42" i="2" s="1"/>
  <c r="DQ42" i="2" s="1"/>
  <c r="DR42" i="2" s="1"/>
  <c r="DS42" i="2" s="1"/>
  <c r="DT42" i="2" s="1"/>
  <c r="DU42" i="2" s="1"/>
  <c r="DV42" i="2" s="1"/>
  <c r="DW42" i="2" s="1"/>
  <c r="DX42" i="2" s="1"/>
  <c r="DY42" i="2" s="1"/>
  <c r="DZ42" i="2" s="1"/>
  <c r="EA42" i="2" s="1"/>
  <c r="EB42" i="2" s="1"/>
  <c r="EC42" i="2" s="1"/>
  <c r="ED42" i="2" s="1"/>
  <c r="EE42" i="2" s="1"/>
  <c r="AO54" i="2" s="1"/>
  <c r="AO56" i="2" s="1"/>
  <c r="AO57" i="2" s="1"/>
  <c r="AO59" i="2" s="1"/>
  <c r="AK6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V36" authorId="0" shapeId="0" xr:uid="{E96EA7C2-9517-4C2A-93C8-3EFDE14F9423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goodwill</t>
        </r>
      </text>
    </comment>
    <comment ref="W38" authorId="0" shapeId="0" xr:uid="{937DA12A-65A9-4053-ABBD-DC872F223AF8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+debt extinguishment</t>
        </r>
      </text>
    </comment>
  </commentList>
</comments>
</file>

<file path=xl/sharedStrings.xml><?xml version="1.0" encoding="utf-8"?>
<sst xmlns="http://schemas.openxmlformats.org/spreadsheetml/2006/main" count="208" uniqueCount="187">
  <si>
    <t>RTX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</si>
  <si>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</si>
  <si>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</si>
  <si>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</si>
  <si>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</si>
  <si>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</si>
  <si>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</si>
  <si>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</si>
  <si>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</si>
  <si>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</si>
  <si>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</si>
  <si>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</si>
  <si>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</si>
  <si>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</si>
  <si>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</si>
  <si>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</si>
  <si>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</si>
  <si>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</si>
  <si>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</si>
  <si>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</si>
  <si>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</si>
  <si>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</si>
  <si>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</si>
  <si>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Product revenue</t>
  </si>
  <si>
    <t>Service revenue</t>
  </si>
  <si>
    <t>Total revenue</t>
  </si>
  <si>
    <t>Product cost</t>
  </si>
  <si>
    <t>Service cost</t>
  </si>
  <si>
    <t>Total cost of sales</t>
  </si>
  <si>
    <t>Gross profit</t>
  </si>
  <si>
    <t>R&amp;D</t>
  </si>
  <si>
    <t>SG&amp;A</t>
  </si>
  <si>
    <t>Operating profit</t>
  </si>
  <si>
    <t>Other income</t>
  </si>
  <si>
    <t>Pension income</t>
  </si>
  <si>
    <t>Interest expense</t>
  </si>
  <si>
    <t>Pretax profit</t>
  </si>
  <si>
    <t>Taxes</t>
  </si>
  <si>
    <t>MI</t>
  </si>
  <si>
    <t>Net profit</t>
  </si>
  <si>
    <t>EPS</t>
  </si>
  <si>
    <t>Revenue y/y</t>
  </si>
  <si>
    <t>Product revenue y/y</t>
  </si>
  <si>
    <t>Service revenue y/y</t>
  </si>
  <si>
    <t>Product Margin</t>
  </si>
  <si>
    <t>Service Margin</t>
  </si>
  <si>
    <t>Gross Margin</t>
  </si>
  <si>
    <t>R&amp;D y/y</t>
  </si>
  <si>
    <t>SG&amp;A Margin</t>
  </si>
  <si>
    <t>Operating Margin</t>
  </si>
  <si>
    <t>Net Margin</t>
  </si>
  <si>
    <t>Q125</t>
  </si>
  <si>
    <t>Q225</t>
  </si>
  <si>
    <t>Q325</t>
  </si>
  <si>
    <t>Q425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</si>
  <si>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</si>
  <si>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</si>
  <si>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</si>
  <si>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</si>
  <si>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</si>
  <si>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</si>
  <si>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</si>
  <si>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</si>
  <si>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</si>
  <si>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L+S/E</t>
  </si>
  <si>
    <t>EV/B</t>
  </si>
  <si>
    <t>B/EV</t>
  </si>
  <si>
    <t>Business segments: Collins Aerospace (Collins), Pratt &amp; Whitney, Raytheon</t>
  </si>
  <si>
    <t>Collins Aerospace</t>
  </si>
  <si>
    <r>
      <t>Collins Aerospace</t>
    </r>
    <r>
      <rPr>
        <sz val="11"/>
        <color theme="0"/>
        <rFont val="Calibri"/>
        <family val="2"/>
        <scheme val="minor"/>
      </rPr>
      <t xml:space="preserve"> - Global provider of aerospace &amp; defence products</t>
    </r>
  </si>
  <si>
    <t>Pratt &amp; Whitney</t>
  </si>
  <si>
    <r>
      <t xml:space="preserve">Pratt &amp; Whitney </t>
    </r>
    <r>
      <rPr>
        <sz val="11"/>
        <color theme="0"/>
        <rFont val="Calibri"/>
        <family val="2"/>
        <scheme val="minor"/>
      </rPr>
      <t>- Supplier of aircraft engines</t>
    </r>
  </si>
  <si>
    <r>
      <t>Avionics and flight control systems</t>
    </r>
    <r>
      <rPr>
        <sz val="11"/>
        <color theme="0"/>
        <rFont val="Calibri"/>
        <family val="2"/>
        <scheme val="minor"/>
      </rPr>
      <t xml:space="preserve"> – integrated avionics suites, flight management systems, cockpit displays, sensors, and actuation systems used across F-35, B-21, KC-46, C-130J, and FLRAA.</t>
    </r>
  </si>
  <si>
    <r>
      <t>Power generation and environmental control systems</t>
    </r>
    <r>
      <rPr>
        <sz val="11"/>
        <color theme="0"/>
        <rFont val="Calibri"/>
        <family val="2"/>
        <scheme val="minor"/>
      </rPr>
      <t xml:space="preserve"> – electric power generation, distribution, cooling, and environmental control units for aircraft and space vehicles.</t>
    </r>
  </si>
  <si>
    <r>
      <t>Mechanical and structural systems</t>
    </r>
    <r>
      <rPr>
        <sz val="11"/>
        <color theme="0"/>
        <rFont val="Calibri"/>
        <family val="2"/>
        <scheme val="minor"/>
      </rPr>
      <t xml:space="preserve"> – engine nacelles, thrust reversers, pylons, landing gear, brakes, propeller systems, and control actuation assemblies.</t>
    </r>
  </si>
  <si>
    <r>
      <t>Communication, navigation, and surveillance systems</t>
    </r>
    <r>
      <rPr>
        <sz val="11"/>
        <color theme="0"/>
        <rFont val="Calibri"/>
        <family val="2"/>
        <scheme val="minor"/>
      </rPr>
      <t xml:space="preserve"> – CNS/ATM avionics, tactical data links, and connected-battlespace technologies for both commercial and defence aircraft.</t>
    </r>
  </si>
  <si>
    <r>
      <t>Aftermarket and sustainment services</t>
    </r>
    <r>
      <rPr>
        <sz val="11"/>
        <color theme="0"/>
        <rFont val="Calibri"/>
        <family val="2"/>
        <scheme val="minor"/>
      </rPr>
      <t xml:space="preserve"> – global MRO, spares, engineering support, fleet management, and technical training for civil and military operators.</t>
    </r>
  </si>
  <si>
    <r>
      <t>Digital and connected aviation solutions</t>
    </r>
    <r>
      <rPr>
        <sz val="11"/>
        <color theme="0"/>
        <rFont val="Calibri"/>
        <family val="2"/>
        <scheme val="minor"/>
      </rPr>
      <t xml:space="preserve"> – air traffic management software, data connectivity, airport systems, and JADC2-aligned communication networks.</t>
    </r>
  </si>
  <si>
    <r>
      <t>Crew systems and safety equipment</t>
    </r>
    <r>
      <rPr>
        <sz val="11"/>
        <color theme="0"/>
        <rFont val="Calibri"/>
        <family val="2"/>
        <scheme val="minor"/>
      </rPr>
      <t xml:space="preserve"> – crew escape systems, oxygen systems, evacuation systems, and fire and ice protection hardware.</t>
    </r>
  </si>
  <si>
    <r>
      <t>Cabin and interior systems</t>
    </r>
    <r>
      <rPr>
        <sz val="11"/>
        <color theme="0"/>
        <rFont val="Calibri"/>
        <family val="2"/>
        <scheme val="minor"/>
      </rPr>
      <t xml:space="preserve"> – seating, galleys, lavatories, oxygen delivery, lighting, and other interior components for transport and VIP aircraft.</t>
    </r>
  </si>
  <si>
    <r>
      <t>Space and extravehicular systems</t>
    </r>
    <r>
      <rPr>
        <sz val="11"/>
        <color theme="0"/>
        <rFont val="Calibri"/>
        <family val="2"/>
        <scheme val="minor"/>
      </rPr>
      <t xml:space="preserve"> – environmental control and power systems for spacecraft, plus extravehicular (EVA) suits for human spaceflight.</t>
    </r>
  </si>
  <si>
    <r>
      <t>Sustainability and advanced materials technologies</t>
    </r>
    <r>
      <rPr>
        <sz val="11"/>
        <color theme="0"/>
        <rFont val="Calibri"/>
        <family val="2"/>
        <scheme val="minor"/>
      </rPr>
      <t xml:space="preserve"> – thermoplastics, lightweight composites, and hybrid-electric or alternative-energy architectures for next-generation platforms.</t>
    </r>
  </si>
  <si>
    <r>
      <t>F135 engine family</t>
    </r>
    <r>
      <rPr>
        <sz val="11"/>
        <color theme="0"/>
        <rFont val="Calibri"/>
        <family val="2"/>
        <scheme val="minor"/>
      </rPr>
      <t xml:space="preserve"> – powers all F-35 variants; includes the new Engine Core Upgrade (ECU).</t>
    </r>
  </si>
  <si>
    <r>
      <t>F100 engine</t>
    </r>
    <r>
      <rPr>
        <sz val="11"/>
        <color theme="0"/>
        <rFont val="Calibri"/>
        <family val="2"/>
        <scheme val="minor"/>
      </rPr>
      <t xml:space="preserve"> – legacy fighter engine for F-15 and F-16 fleets worldwide.</t>
    </r>
  </si>
  <si>
    <r>
      <t>Next Generation Adaptive Propulsion (NGAP)</t>
    </r>
    <r>
      <rPr>
        <sz val="11"/>
        <color theme="0"/>
        <rFont val="Calibri"/>
        <family val="2"/>
        <scheme val="minor"/>
      </rPr>
      <t xml:space="preserve"> – under development for future sixth-gen fighters (e.g. NGAD).</t>
    </r>
  </si>
  <si>
    <r>
      <t>B-21 Raider engines</t>
    </r>
    <r>
      <rPr>
        <sz val="11"/>
        <color theme="0"/>
        <rFont val="Calibri"/>
        <family val="2"/>
        <scheme val="minor"/>
      </rPr>
      <t xml:space="preserve"> – classified derivative believed to be a P&amp;W design (likely the F130 series derivative).</t>
    </r>
  </si>
  <si>
    <r>
      <t>Auxiliary power units (APUs)</t>
    </r>
    <r>
      <rPr>
        <sz val="11"/>
        <color theme="0"/>
        <rFont val="Calibri"/>
        <family val="2"/>
        <scheme val="minor"/>
      </rPr>
      <t xml:space="preserve"> – military and commercial, including for bombers, tankers, and transports.</t>
    </r>
  </si>
  <si>
    <r>
      <t>PW1000G Geared Turbofan (GTF) family</t>
    </r>
    <r>
      <rPr>
        <sz val="11"/>
        <color theme="0"/>
        <rFont val="Calibri"/>
        <family val="2"/>
        <scheme val="minor"/>
      </rPr>
      <t xml:space="preserve"> – commercial core product powering A320neo, A220, E2 jets; partially dual-use tech base.</t>
    </r>
  </si>
  <si>
    <r>
      <t>Pratt &amp; Whitney Canada small engines</t>
    </r>
    <r>
      <rPr>
        <sz val="11"/>
        <color theme="0"/>
        <rFont val="Calibri"/>
        <family val="2"/>
        <scheme val="minor"/>
      </rPr>
      <t xml:space="preserve"> – regional, business, and helicopter engines (PW200, PW500, PW800 series).</t>
    </r>
  </si>
  <si>
    <r>
      <t>Hybrid-Electric Flight Demonstrator systems</t>
    </r>
    <r>
      <rPr>
        <sz val="11"/>
        <color theme="0"/>
        <rFont val="Calibri"/>
        <family val="2"/>
        <scheme val="minor"/>
      </rPr>
      <t xml:space="preserve"> – GTF hybrid-electric project, mobile charging unit (MCU).</t>
    </r>
  </si>
  <si>
    <r>
      <t>Fleet management, MRO, and aftermarket services</t>
    </r>
    <r>
      <rPr>
        <sz val="11"/>
        <color theme="0"/>
        <rFont val="Calibri"/>
        <family val="2"/>
        <scheme val="minor"/>
      </rPr>
      <t xml:space="preserve"> – maintenance, repair, overhaul, and technical support for all engine types.</t>
    </r>
  </si>
  <si>
    <r>
      <t>Collaborative engine programmes</t>
    </r>
    <r>
      <rPr>
        <sz val="11"/>
        <color theme="0"/>
        <rFont val="Calibri"/>
        <family val="2"/>
        <scheme val="minor"/>
      </rPr>
      <t xml:space="preserve"> – cost- and revenue-sharing ventures across multiple new-engine developments.</t>
    </r>
  </si>
  <si>
    <r>
      <t>Raytheon</t>
    </r>
    <r>
      <rPr>
        <sz val="11"/>
        <color theme="0"/>
        <rFont val="Calibri"/>
        <family val="2"/>
        <scheme val="minor"/>
      </rPr>
      <t xml:space="preserve"> - Provider of threat detection, tracking and mitigation</t>
    </r>
  </si>
  <si>
    <r>
      <t>Integrated Air and Missile Defense Systems</t>
    </r>
    <r>
      <rPr>
        <sz val="11"/>
        <color theme="0"/>
        <rFont val="Calibri"/>
        <family val="2"/>
        <scheme val="minor"/>
      </rPr>
      <t xml:space="preserve"> – Patriot (PAC-3/GEM-T), NASAMS, LTAMDS, and other layered land-based defence architectures.</t>
    </r>
  </si>
  <si>
    <r>
      <t>Naval missile and sensor systems</t>
    </r>
    <r>
      <rPr>
        <sz val="11"/>
        <color theme="0"/>
        <rFont val="Calibri"/>
        <family val="2"/>
        <scheme val="minor"/>
      </rPr>
      <t xml:space="preserve"> – Standard Missile series (SM-2, SM-3, SM-6), Tomahawk cruise missile, Evolved SeaSparrow (ESSM), shipboard fire-control and SPY-6 radars.</t>
    </r>
  </si>
  <si>
    <r>
      <t>Air-to-air and air-to-ground weapons</t>
    </r>
    <r>
      <rPr>
        <sz val="11"/>
        <color theme="0"/>
        <rFont val="Calibri"/>
        <family val="2"/>
        <scheme val="minor"/>
      </rPr>
      <t xml:space="preserve"> – AMRAAM, AIM-9X Sidewinder, StormBreaker, Javelin, Excalibur, Stinger, and related precision-guided munitions.</t>
    </r>
  </si>
  <si>
    <r>
      <t>Command, Control, Communications, and Sensor Integration</t>
    </r>
    <r>
      <rPr>
        <sz val="11"/>
        <color theme="0"/>
        <rFont val="Calibri"/>
        <family val="2"/>
        <scheme val="minor"/>
      </rPr>
      <t xml:space="preserve"> – early-warning and fire-control radars (e.g. AN/TPY-2), battlefield C2 systems, and integrated multi-domain sensor networks.</t>
    </r>
  </si>
  <si>
    <r>
      <t>Electronic Warfare and Countermeasures</t>
    </r>
    <r>
      <rPr>
        <sz val="11"/>
        <color theme="0"/>
        <rFont val="Calibri"/>
        <family val="2"/>
        <scheme val="minor"/>
      </rPr>
      <t xml:space="preserve"> – Next Generation Jammer (Mid-Band / Low-Band) and other airborne EW suites for the Navy and allied forces.</t>
    </r>
  </si>
  <si>
    <r>
      <t>Space and Exo-atmospheric Systems</t>
    </r>
    <r>
      <rPr>
        <sz val="11"/>
        <color theme="0"/>
        <rFont val="Calibri"/>
        <family val="2"/>
        <scheme val="minor"/>
      </rPr>
      <t xml:space="preserve"> – missile-tracking sensors, interceptors (SM-3 exo-atmospheric), satellite control and mission-orchestration software.</t>
    </r>
  </si>
  <si>
    <r>
      <t>Hypersonic and Counter-Hypersonic Technologies</t>
    </r>
    <r>
      <rPr>
        <sz val="11"/>
        <color theme="0"/>
        <rFont val="Calibri"/>
        <family val="2"/>
        <scheme val="minor"/>
      </rPr>
      <t xml:space="preserve"> – development of hypersonic glide and defence interceptors, next-generation seekers, and advanced materials.</t>
    </r>
  </si>
  <si>
    <r>
      <t>Advanced Radars and EO/IR Sensors</t>
    </r>
    <r>
      <rPr>
        <sz val="11"/>
        <color theme="0"/>
        <rFont val="Calibri"/>
        <family val="2"/>
        <scheme val="minor"/>
      </rPr>
      <t xml:space="preserve"> – multi-band surveillance radars, electro-optical and infrared systems, and space-qualified components.</t>
    </r>
  </si>
  <si>
    <r>
      <t>Unmanned and Autonomous Systems</t>
    </r>
    <r>
      <rPr>
        <sz val="11"/>
        <color theme="0"/>
        <rFont val="Calibri"/>
        <family val="2"/>
        <scheme val="minor"/>
      </rPr>
      <t xml:space="preserve"> – Coyote expendable UAS and autonomous swarm systems for reconnaissance and interception roles.</t>
    </r>
  </si>
  <si>
    <r>
      <t>Classified and Advanced Development Programs</t>
    </r>
    <r>
      <rPr>
        <sz val="11"/>
        <color theme="0"/>
        <rFont val="Calibri"/>
        <family val="2"/>
        <scheme val="minor"/>
      </rPr>
      <t xml:space="preserve"> – next-generation radar, sensor experimentation, and undisclosed strategic systems across air, sea, and space domains.</t>
    </r>
  </si>
  <si>
    <t>Of the total RPO as of December 31, 2024, we expect approximately 25% will be recognized as revenue over the next 12 months.</t>
  </si>
  <si>
    <t>RPO rec guidance</t>
  </si>
  <si>
    <t>Expected RPO rec</t>
  </si>
  <si>
    <t>U.S. govt sales</t>
  </si>
  <si>
    <t>International sales</t>
  </si>
  <si>
    <t>U.S. govt %</t>
  </si>
  <si>
    <t>International %</t>
  </si>
  <si>
    <t>Employees</t>
  </si>
  <si>
    <t>Raytheon</t>
  </si>
  <si>
    <t>Eliminations</t>
  </si>
  <si>
    <t>Total</t>
  </si>
  <si>
    <t>P&amp;W Backlog</t>
  </si>
  <si>
    <t>Collins Backlog</t>
  </si>
  <si>
    <t>Raytheon Backlog</t>
  </si>
  <si>
    <t>Total RPO</t>
  </si>
  <si>
    <t>Defence backlog</t>
  </si>
  <si>
    <t>Commercial backlog</t>
  </si>
  <si>
    <t>CEO: Christopher Callo</t>
  </si>
  <si>
    <t>Product</t>
  </si>
  <si>
    <t>AMRAAM</t>
  </si>
  <si>
    <t>2024 Budget</t>
  </si>
  <si>
    <t>Contractor</t>
  </si>
  <si>
    <t>2025 Budget</t>
  </si>
  <si>
    <t>2026 Budget</t>
  </si>
  <si>
    <t>2024 Quantity</t>
  </si>
  <si>
    <t>2025 Quantity</t>
  </si>
  <si>
    <t>2026 Quantity</t>
  </si>
  <si>
    <t>2024 Unit Cost</t>
  </si>
  <si>
    <t>2025 Unit Cost</t>
  </si>
  <si>
    <t>2026 Unit Cost</t>
  </si>
  <si>
    <t>F-35</t>
  </si>
  <si>
    <t>F-15</t>
  </si>
  <si>
    <t>PATRIOT</t>
  </si>
  <si>
    <t>MWMT</t>
  </si>
  <si>
    <t>SM-6</t>
  </si>
  <si>
    <t>LRSO</t>
  </si>
  <si>
    <t>Hypersonics</t>
  </si>
  <si>
    <t>Sum of Adj_Value_USD_M</t>
  </si>
  <si>
    <t>Column Labels</t>
  </si>
  <si>
    <t>Row Labels</t>
  </si>
  <si>
    <t>Grand Total</t>
  </si>
  <si>
    <t>LMT</t>
  </si>
  <si>
    <t>F-22</t>
  </si>
  <si>
    <t>IFPC</t>
  </si>
  <si>
    <t>Aegis BMD</t>
  </si>
  <si>
    <t>NOC</t>
  </si>
  <si>
    <t>MQ-1C</t>
  </si>
  <si>
    <t>MQ-9</t>
  </si>
  <si>
    <t>B-21</t>
  </si>
  <si>
    <t>SATCOM</t>
  </si>
  <si>
    <t>HACM</t>
  </si>
  <si>
    <t>F-47</t>
  </si>
  <si>
    <t>FLRAA</t>
  </si>
  <si>
    <t>AMMO</t>
  </si>
  <si>
    <t>TLAM</t>
  </si>
  <si>
    <t>KC-46</t>
  </si>
  <si>
    <t>HMS</t>
  </si>
  <si>
    <t>BA</t>
  </si>
  <si>
    <t>GD</t>
  </si>
  <si>
    <t>BAE</t>
  </si>
  <si>
    <t>TXT</t>
  </si>
  <si>
    <t>LHX</t>
  </si>
  <si>
    <t>NAMMO</t>
  </si>
  <si>
    <t>NPK</t>
  </si>
  <si>
    <t>GAI</t>
  </si>
  <si>
    <t>GE</t>
  </si>
  <si>
    <t>ULA</t>
  </si>
  <si>
    <t>SPAC</t>
  </si>
  <si>
    <t>RR</t>
  </si>
  <si>
    <t>LDOS</t>
  </si>
  <si>
    <t>ADUI</t>
  </si>
  <si>
    <t>RHM</t>
  </si>
  <si>
    <t>Blue Origin</t>
  </si>
  <si>
    <t>RKLB</t>
  </si>
  <si>
    <t>HO</t>
  </si>
  <si>
    <t>Stoke Space</t>
  </si>
  <si>
    <t>OSK</t>
  </si>
  <si>
    <t>LDO</t>
  </si>
  <si>
    <t>HON</t>
  </si>
  <si>
    <t>GKN</t>
  </si>
  <si>
    <t>Collins Aerospace y/y</t>
  </si>
  <si>
    <t>Pratt &amp; Whitney y/y</t>
  </si>
  <si>
    <t>Raytheon y/y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</si>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</sst>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.00"/>
    <numFmt numFmtId="165" formatCode="0.0\x"/>
    <numFmt numFmtId="166" formatCode="#,##0.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1" tint="0.249977111117893"/>
      </left>
      <right/>
      <top style="thin">
        <color theme="1" tint="0.249977111117893"/>
      </top>
      <bottom style="thin">
        <color theme="1" tint="0.249977111117893"/>
      </bottom>
      <diagonal/>
    </border>
    <border>
      <left/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5" fillId="2" borderId="1" xfId="0" applyFont="1" applyFill="1" applyBorder="1"/>
    <xf numFmtId="0" fontId="5" fillId="2" borderId="1" xfId="0" applyFont="1" applyFill="1" applyBorder="1" applyAlignment="1">
      <alignment horizontal="right"/>
    </xf>
    <xf numFmtId="3" fontId="5" fillId="2" borderId="1" xfId="0" applyNumberFormat="1" applyFont="1" applyFill="1" applyBorder="1"/>
    <xf numFmtId="0" fontId="4" fillId="2" borderId="1" xfId="0" applyFont="1" applyFill="1" applyBorder="1"/>
    <xf numFmtId="3" fontId="4" fillId="2" borderId="1" xfId="0" applyNumberFormat="1" applyFont="1" applyFill="1" applyBorder="1"/>
    <xf numFmtId="2" fontId="5" fillId="2" borderId="1" xfId="0" applyNumberFormat="1" applyFont="1" applyFill="1" applyBorder="1"/>
    <xf numFmtId="9" fontId="5" fillId="2" borderId="1" xfId="0" applyNumberFormat="1" applyFont="1" applyFill="1" applyBorder="1"/>
    <xf numFmtId="0" fontId="6" fillId="2" borderId="1" xfId="0" applyFont="1" applyFill="1" applyBorder="1" applyAlignment="1">
      <alignment horizontal="right"/>
    </xf>
    <xf numFmtId="164" fontId="5" fillId="2" borderId="1" xfId="0" applyNumberFormat="1" applyFont="1" applyFill="1" applyBorder="1"/>
    <xf numFmtId="14" fontId="6" fillId="2" borderId="1" xfId="0" applyNumberFormat="1" applyFont="1" applyFill="1" applyBorder="1" applyAlignment="1">
      <alignment horizontal="right"/>
    </xf>
    <xf numFmtId="3" fontId="6" fillId="2" borderId="1" xfId="0" applyNumberFormat="1" applyFont="1" applyFill="1" applyBorder="1" applyAlignment="1">
      <alignment horizontal="right"/>
    </xf>
    <xf numFmtId="9" fontId="4" fillId="2" borderId="1" xfId="0" applyNumberFormat="1" applyFont="1" applyFill="1" applyBorder="1"/>
    <xf numFmtId="0" fontId="5" fillId="2" borderId="2" xfId="0" applyFont="1" applyFill="1" applyBorder="1"/>
    <xf numFmtId="0" fontId="7" fillId="2" borderId="1" xfId="0" applyFont="1" applyFill="1" applyBorder="1"/>
    <xf numFmtId="165" fontId="5" fillId="2" borderId="1" xfId="0" applyNumberFormat="1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5" fillId="2" borderId="5" xfId="0" applyFont="1" applyFill="1" applyBorder="1"/>
    <xf numFmtId="0" fontId="5" fillId="2" borderId="2" xfId="0" applyFont="1" applyFill="1" applyBorder="1" applyAlignment="1">
      <alignment horizontal="left" vertical="center" indent="1"/>
    </xf>
    <xf numFmtId="0" fontId="4" fillId="2" borderId="2" xfId="0" applyFont="1" applyFill="1" applyBorder="1"/>
    <xf numFmtId="0" fontId="7" fillId="2" borderId="2" xfId="0" applyFont="1" applyFill="1" applyBorder="1"/>
    <xf numFmtId="0" fontId="4" fillId="2" borderId="1" xfId="0" applyFont="1" applyFill="1" applyBorder="1" applyAlignment="1">
      <alignment horizontal="right"/>
    </xf>
    <xf numFmtId="0" fontId="5" fillId="2" borderId="2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left"/>
    </xf>
    <xf numFmtId="166" fontId="5" fillId="2" borderId="2" xfId="0" applyNumberFormat="1" applyFont="1" applyFill="1" applyBorder="1"/>
    <xf numFmtId="0" fontId="5" fillId="2" borderId="2" xfId="0" applyFont="1" applyFill="1" applyBorder="1" applyAlignment="1">
      <alignment horizontal="left" indent="1"/>
    </xf>
    <xf numFmtId="0" fontId="5" fillId="2" borderId="2" xfId="0" applyFont="1" applyFill="1" applyBorder="1" applyAlignment="1">
      <alignment horizontal="left" indent="2"/>
    </xf>
    <xf numFmtId="3" fontId="5" fillId="2" borderId="1" xfId="0" applyNumberFormat="1" applyFont="1" applyFill="1" applyBorder="1" applyAlignment="1">
      <alignment horizontal="right"/>
    </xf>
    <xf numFmtId="3" fontId="4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3">
    <dxf>
      <font>
        <color theme="0"/>
      </font>
    </dxf>
    <dxf>
      <fill>
        <patternFill patternType="solid">
          <bgColor theme="1"/>
        </patternFill>
      </fill>
    </dxf>
    <dxf>
      <border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 style="thin">
          <color theme="2" tint="-0.749992370372631"/>
        </vertical>
        <horizontal style="thin">
          <color theme="2" tint="-0.749992370372631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Revenue line growth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Model!$B$50</c:f>
              <c:strCache>
                <c:ptCount val="1"/>
                <c:pt idx="0">
                  <c:v>Product revenue y/y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Model!$B$2:$P$2</c:f>
              <c:strCache>
                <c:ptCount val="15"/>
                <c:pt idx="1">
                  <c:v>Q122</c:v>
                </c:pt>
                <c:pt idx="2">
                  <c:v>Q222</c:v>
                </c:pt>
                <c:pt idx="3">
                  <c:v>Q322</c:v>
                </c:pt>
                <c:pt idx="4">
                  <c:v>Q422</c:v>
                </c:pt>
                <c:pt idx="5">
                  <c:v>Q123</c:v>
                </c:pt>
                <c:pt idx="6">
                  <c:v>Q223</c:v>
                </c:pt>
                <c:pt idx="7">
                  <c:v>Q323</c:v>
                </c:pt>
                <c:pt idx="8">
                  <c:v>Q423</c:v>
                </c:pt>
                <c:pt idx="9">
                  <c:v>Q124</c:v>
                </c:pt>
                <c:pt idx="10">
                  <c:v>Q224</c:v>
                </c:pt>
                <c:pt idx="11">
                  <c:v>Q324</c:v>
                </c:pt>
                <c:pt idx="12">
                  <c:v>Q424</c:v>
                </c:pt>
                <c:pt idx="13">
                  <c:v>Q125</c:v>
                </c:pt>
                <c:pt idx="14">
                  <c:v>Q225</c:v>
                </c:pt>
              </c:strCache>
            </c:strRef>
          </c:cat>
          <c:val>
            <c:numRef>
              <c:f>Model!$C$50:$P$50</c:f>
              <c:numCache>
                <c:formatCode>0%</c:formatCode>
                <c:ptCount val="14"/>
                <c:pt idx="4">
                  <c:v>7.7980104535491535E-2</c:v>
                </c:pt>
                <c:pt idx="5">
                  <c:v>9.4061021373796683E-2</c:v>
                </c:pt>
                <c:pt idx="7">
                  <c:v>6.1955817802403335E-2</c:v>
                </c:pt>
                <c:pt idx="8">
                  <c:v>0.11855791037772745</c:v>
                </c:pt>
                <c:pt idx="9">
                  <c:v>8.5825068973230945E-2</c:v>
                </c:pt>
                <c:pt idx="11">
                  <c:v>8.6800379455210797E-2</c:v>
                </c:pt>
                <c:pt idx="12">
                  <c:v>2.0135635880584424E-2</c:v>
                </c:pt>
                <c:pt idx="13">
                  <c:v>6.7916494986952403E-2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EF-4913-BFC3-209BA1DBF00F}"/>
            </c:ext>
          </c:extLst>
        </c:ser>
        <c:ser>
          <c:idx val="1"/>
          <c:order val="1"/>
          <c:tx>
            <c:strRef>
              <c:f>Model!$B$51</c:f>
              <c:strCache>
                <c:ptCount val="1"/>
                <c:pt idx="0">
                  <c:v>Service revenue y/y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Model!$B$2:$P$2</c:f>
              <c:strCache>
                <c:ptCount val="15"/>
                <c:pt idx="1">
                  <c:v>Q122</c:v>
                </c:pt>
                <c:pt idx="2">
                  <c:v>Q222</c:v>
                </c:pt>
                <c:pt idx="3">
                  <c:v>Q322</c:v>
                </c:pt>
                <c:pt idx="4">
                  <c:v>Q422</c:v>
                </c:pt>
                <c:pt idx="5">
                  <c:v>Q123</c:v>
                </c:pt>
                <c:pt idx="6">
                  <c:v>Q223</c:v>
                </c:pt>
                <c:pt idx="7">
                  <c:v>Q323</c:v>
                </c:pt>
                <c:pt idx="8">
                  <c:v>Q423</c:v>
                </c:pt>
                <c:pt idx="9">
                  <c:v>Q124</c:v>
                </c:pt>
                <c:pt idx="10">
                  <c:v>Q224</c:v>
                </c:pt>
                <c:pt idx="11">
                  <c:v>Q324</c:v>
                </c:pt>
                <c:pt idx="12">
                  <c:v>Q424</c:v>
                </c:pt>
                <c:pt idx="13">
                  <c:v>Q125</c:v>
                </c:pt>
                <c:pt idx="14">
                  <c:v>Q225</c:v>
                </c:pt>
              </c:strCache>
            </c:strRef>
          </c:cat>
          <c:val>
            <c:numRef>
              <c:f>Model!$C$51:$P$51</c:f>
              <c:numCache>
                <c:formatCode>0%</c:formatCode>
                <c:ptCount val="14"/>
                <c:pt idx="4">
                  <c:v>0.14867669953295271</c:v>
                </c:pt>
                <c:pt idx="5">
                  <c:v>0.20907297830374749</c:v>
                </c:pt>
                <c:pt idx="6">
                  <c:v>0.15589988081048878</c:v>
                </c:pt>
                <c:pt idx="7">
                  <c:v>0.23188751191611057</c:v>
                </c:pt>
                <c:pt idx="8">
                  <c:v>0.12988479783148854</c:v>
                </c:pt>
                <c:pt idx="9">
                  <c:v>5.1998368678629614E-2</c:v>
                </c:pt>
                <c:pt idx="10">
                  <c:v>0.10971334295731072</c:v>
                </c:pt>
                <c:pt idx="11">
                  <c:v>8.0286322306055258E-2</c:v>
                </c:pt>
                <c:pt idx="12">
                  <c:v>0.14254298280687716</c:v>
                </c:pt>
                <c:pt idx="13">
                  <c:v>0.16883116883116878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EF-4913-BFC3-209BA1DBF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8473432"/>
        <c:axId val="638472352"/>
      </c:lineChart>
      <c:catAx>
        <c:axId val="638473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472352"/>
        <c:crosses val="autoZero"/>
        <c:auto val="1"/>
        <c:lblAlgn val="ctr"/>
        <c:lblOffset val="100"/>
        <c:noMultiLvlLbl val="0"/>
      </c:catAx>
      <c:valAx>
        <c:axId val="63847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473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Model!$B$26</c:f>
              <c:strCache>
                <c:ptCount val="1"/>
                <c:pt idx="0">
                  <c:v>Product revenue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Model!$C$2:$P$2</c:f>
              <c:strCache>
                <c:ptCount val="14"/>
                <c:pt idx="0">
                  <c:v>Q122</c:v>
                </c:pt>
                <c:pt idx="1">
                  <c:v>Q222</c:v>
                </c:pt>
                <c:pt idx="2">
                  <c:v>Q322</c:v>
                </c:pt>
                <c:pt idx="3">
                  <c:v>Q422</c:v>
                </c:pt>
                <c:pt idx="4">
                  <c:v>Q123</c:v>
                </c:pt>
                <c:pt idx="5">
                  <c:v>Q223</c:v>
                </c:pt>
                <c:pt idx="6">
                  <c:v>Q323</c:v>
                </c:pt>
                <c:pt idx="7">
                  <c:v>Q423</c:v>
                </c:pt>
                <c:pt idx="8">
                  <c:v>Q124</c:v>
                </c:pt>
                <c:pt idx="9">
                  <c:v>Q224</c:v>
                </c:pt>
                <c:pt idx="10">
                  <c:v>Q324</c:v>
                </c:pt>
                <c:pt idx="11">
                  <c:v>Q424</c:v>
                </c:pt>
                <c:pt idx="12">
                  <c:v>Q125</c:v>
                </c:pt>
                <c:pt idx="13">
                  <c:v>Q225</c:v>
                </c:pt>
              </c:strCache>
            </c:strRef>
          </c:xVal>
          <c:yVal>
            <c:numRef>
              <c:f>Model!$C$26:$P$26</c:f>
              <c:numCache>
                <c:formatCode>#,##0</c:formatCode>
                <c:ptCount val="14"/>
                <c:pt idx="0">
                  <c:v>11862</c:v>
                </c:pt>
                <c:pt idx="1">
                  <c:v>12258</c:v>
                </c:pt>
                <c:pt idx="2">
                  <c:v>12756</c:v>
                </c:pt>
                <c:pt idx="3">
                  <c:v>13897</c:v>
                </c:pt>
                <c:pt idx="4">
                  <c:v>12787</c:v>
                </c:pt>
                <c:pt idx="5">
                  <c:v>13411</c:v>
                </c:pt>
                <c:pt idx="6">
                  <c:v>8615</c:v>
                </c:pt>
                <c:pt idx="7">
                  <c:v>14758</c:v>
                </c:pt>
                <c:pt idx="8">
                  <c:v>14303</c:v>
                </c:pt>
                <c:pt idx="9">
                  <c:v>14562</c:v>
                </c:pt>
                <c:pt idx="10">
                  <c:v>14708</c:v>
                </c:pt>
                <c:pt idx="11">
                  <c:v>16039</c:v>
                </c:pt>
                <c:pt idx="12">
                  <c:v>14591</c:v>
                </c:pt>
                <c:pt idx="13">
                  <c:v>15551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B07-44D2-AD22-42E6A0AC66C5}"/>
            </c:ext>
          </c:extLst>
        </c:ser>
        <c:ser>
          <c:idx val="1"/>
          <c:order val="1"/>
          <c:tx>
            <c:strRef>
              <c:f>Model!$B$27</c:f>
              <c:strCache>
                <c:ptCount val="1"/>
                <c:pt idx="0">
                  <c:v>Service revenue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Model!$C$2:$P$2</c:f>
              <c:strCache>
                <c:ptCount val="14"/>
                <c:pt idx="0">
                  <c:v>Q122</c:v>
                </c:pt>
                <c:pt idx="1">
                  <c:v>Q222</c:v>
                </c:pt>
                <c:pt idx="2">
                  <c:v>Q322</c:v>
                </c:pt>
                <c:pt idx="3">
                  <c:v>Q422</c:v>
                </c:pt>
                <c:pt idx="4">
                  <c:v>Q123</c:v>
                </c:pt>
                <c:pt idx="5">
                  <c:v>Q223</c:v>
                </c:pt>
                <c:pt idx="6">
                  <c:v>Q323</c:v>
                </c:pt>
                <c:pt idx="7">
                  <c:v>Q423</c:v>
                </c:pt>
                <c:pt idx="8">
                  <c:v>Q124</c:v>
                </c:pt>
                <c:pt idx="9">
                  <c:v>Q224</c:v>
                </c:pt>
                <c:pt idx="10">
                  <c:v>Q324</c:v>
                </c:pt>
                <c:pt idx="11">
                  <c:v>Q424</c:v>
                </c:pt>
                <c:pt idx="12">
                  <c:v>Q125</c:v>
                </c:pt>
                <c:pt idx="13">
                  <c:v>Q225</c:v>
                </c:pt>
              </c:strCache>
            </c:strRef>
          </c:xVal>
          <c:yVal>
            <c:numRef>
              <c:f>Model!$C$27:$P$27</c:f>
              <c:numCache>
                <c:formatCode>#,##0</c:formatCode>
                <c:ptCount val="14"/>
                <c:pt idx="0">
                  <c:v>3854</c:v>
                </c:pt>
                <c:pt idx="1">
                  <c:v>4056</c:v>
                </c:pt>
                <c:pt idx="2">
                  <c:v>4195</c:v>
                </c:pt>
                <c:pt idx="3">
                  <c:v>4196</c:v>
                </c:pt>
                <c:pt idx="4">
                  <c:v>4427</c:v>
                </c:pt>
                <c:pt idx="5">
                  <c:v>4904</c:v>
                </c:pt>
                <c:pt idx="6">
                  <c:v>4849</c:v>
                </c:pt>
                <c:pt idx="7">
                  <c:v>5169</c:v>
                </c:pt>
                <c:pt idx="8">
                  <c:v>5002</c:v>
                </c:pt>
                <c:pt idx="9">
                  <c:v>5159</c:v>
                </c:pt>
                <c:pt idx="10">
                  <c:v>5381</c:v>
                </c:pt>
                <c:pt idx="11">
                  <c:v>5584</c:v>
                </c:pt>
                <c:pt idx="12">
                  <c:v>5715</c:v>
                </c:pt>
                <c:pt idx="13">
                  <c:v>6030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B07-44D2-AD22-42E6A0AC6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7957384"/>
        <c:axId val="687960264"/>
      </c:scatterChart>
      <c:valAx>
        <c:axId val="687957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960264"/>
        <c:crosses val="autoZero"/>
        <c:crossBetween val="midCat"/>
      </c:valAx>
      <c:valAx>
        <c:axId val="687960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957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30480</xdr:colOff>
      <xdr:row>0</xdr:row>
      <xdr:rowOff>7620</xdr:rowOff>
    </xdr:from>
    <xdr:to>
      <xdr:col>26</xdr:col>
      <xdr:colOff>30480</xdr:colOff>
      <xdr:row>69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D0E2B36-EF00-58AB-7C77-B8CA6EFE834D}"/>
            </a:ext>
          </a:extLst>
        </xdr:cNvPr>
        <xdr:cNvCxnSpPr/>
      </xdr:nvCxnSpPr>
      <xdr:spPr>
        <a:xfrm>
          <a:off x="16581120" y="7620"/>
          <a:ext cx="0" cy="77800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53340</xdr:colOff>
      <xdr:row>0</xdr:row>
      <xdr:rowOff>0</xdr:rowOff>
    </xdr:from>
    <xdr:to>
      <xdr:col>17</xdr:col>
      <xdr:colOff>53340</xdr:colOff>
      <xdr:row>66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74627786-B208-475E-9F15-8069E324F0E0}"/>
            </a:ext>
          </a:extLst>
        </xdr:cNvPr>
        <xdr:cNvCxnSpPr/>
      </xdr:nvCxnSpPr>
      <xdr:spPr>
        <a:xfrm>
          <a:off x="11117580" y="0"/>
          <a:ext cx="0" cy="121767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114300</xdr:rowOff>
    </xdr:from>
    <xdr:to>
      <xdr:col>13</xdr:col>
      <xdr:colOff>312420</xdr:colOff>
      <xdr:row>20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CB6465-E1DA-4EEF-9D96-F3842D5081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281940</xdr:colOff>
      <xdr:row>3</xdr:row>
      <xdr:rowOff>45720</xdr:rowOff>
    </xdr:from>
    <xdr:to>
      <xdr:col>21</xdr:col>
      <xdr:colOff>586740</xdr:colOff>
      <xdr:row>18</xdr:row>
      <xdr:rowOff>45720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491106-A963-4B6E-A46D-2649FB5399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Models%20(Defence)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on Mniszek" refreshedDate="45946.741133564814" createdVersion="8" refreshedVersion="8" minRefreshableVersion="3" recordCount="759" xr:uid="{7AD62436-8994-4431-A5BD-73527EBFC98F}">
  <cacheSource type="worksheet">
    <worksheetSource name="RawData" r:id="rId2"/>
  </cacheSource>
  <cacheFields count="18">
    <cacheField name="Program" numFmtId="0">
      <sharedItems count="49">
        <s v="AMRAAM"/>
        <s v="F-35"/>
        <s v="V-22"/>
        <s v="C-130J"/>
        <s v="MQ-1C"/>
        <s v="MQ-9"/>
        <s v="B-21"/>
        <s v="F-47"/>
        <s v="PATRIOT"/>
        <s v="CCA"/>
        <s v="F-15"/>
        <s v="F-22"/>
        <s v="KC-46"/>
        <s v="B-1, B-2, B-52"/>
        <s v="CH-53K"/>
        <s v="FLRAA"/>
        <s v="MQ-25"/>
        <s v="F/A-18"/>
        <s v="E-2"/>
        <s v="HMS"/>
        <s v="M1"/>
        <s v="AMPV"/>
        <s v="PIM"/>
        <s v="XM30"/>
        <s v="ACV"/>
        <s v="GMD"/>
        <s v="THAAD"/>
        <s v="Aegis BMD"/>
        <s v="MSE"/>
        <s v="IFPC"/>
        <s v="JASSM"/>
        <s v="LRASM"/>
        <s v="AMMO"/>
        <s v="GMLRS"/>
        <s v="PrSM"/>
        <s v="UGM-133"/>
        <s v="SM-6"/>
        <s v="TLAM"/>
        <s v="LGM-35"/>
        <s v="LRSO"/>
        <s v="NSSL/RSLP"/>
        <s v="MWMT"/>
        <s v="SATCOM"/>
        <s v="Hypersonics"/>
        <s v="LRHW"/>
        <s v="HACM"/>
        <s v="AJAX"/>
        <s v="AH-64"/>
        <s v="Challenger 3"/>
      </sharedItems>
    </cacheField>
    <cacheField name="FY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Customer" numFmtId="0">
      <sharedItems containsBlank="1"/>
    </cacheField>
    <cacheField name="Country" numFmtId="0">
      <sharedItems/>
    </cacheField>
    <cacheField name="Type" numFmtId="0">
      <sharedItems/>
    </cacheField>
    <cacheField name="Company" numFmtId="0">
      <sharedItems containsBlank="1" count="28">
        <s v="RTX"/>
        <s v="LMT"/>
        <s v="TXT"/>
        <s v="BA"/>
        <s v="RR"/>
        <s v="GE"/>
        <s v="NOC"/>
        <s v="HON"/>
        <s v="GAI"/>
        <s v="LHX"/>
        <s v="ADUI"/>
        <s v="HO"/>
        <s v="GD"/>
        <s v="BAE"/>
        <s v="RHM"/>
        <s v="LDOS"/>
        <s v="NPK"/>
        <s v="NAMMO"/>
        <s v="ULA"/>
        <s v="SPAC"/>
        <s v="Blue Origin"/>
        <s v="RKLB"/>
        <s v="Stoke Space"/>
        <s v="OSK"/>
        <s v="GKN"/>
        <s v="LDO"/>
        <m u="1"/>
        <s v="RHX" u="1"/>
      </sharedItems>
    </cacheField>
    <cacheField name="Segment" numFmtId="0">
      <sharedItems containsBlank="1" count="27">
        <s v="Raytheon"/>
        <s v="Aeronautics"/>
        <s v="Pratt &amp; Whitney"/>
        <s v="Bell"/>
        <s v="Defense"/>
        <s v="Defence"/>
        <s v="Dowty"/>
        <s v="Mission Systems"/>
        <s v="Avionics"/>
        <s v="Aeronautical Systems"/>
        <m/>
        <s v="Collins Aerospace"/>
        <s v="Missiles &amp; Fire Control"/>
        <s v="Sikorsky"/>
        <s v="Military Engines"/>
        <s v="Ground Systems"/>
        <s v="Platforms &amp; Services"/>
        <s v="Rotary &amp; Mission Systems"/>
        <s v="Defense Solutions"/>
        <s v="Ordnance &amp; Tactical Systems"/>
        <s v="AMTEC"/>
        <s v="Space"/>
        <s v="Dynetics"/>
        <s v="GD UK"/>
        <s v="Thales UK"/>
        <s v="Vehicle Systems"/>
        <s v="Weapon &amp; Ammunition"/>
      </sharedItems>
    </cacheField>
    <cacheField name="Component" numFmtId="0">
      <sharedItems containsBlank="1"/>
    </cacheField>
    <cacheField name="Role" numFmtId="0">
      <sharedItems containsBlank="1"/>
    </cacheField>
    <cacheField name="Qty" numFmtId="0">
      <sharedItems containsString="0" containsBlank="1" containsNumber="1" containsInteger="1" minValue="0" maxValue="13189"/>
    </cacheField>
    <cacheField name="Value_Other" numFmtId="0">
      <sharedItems containsString="0" containsBlank="1" containsNumber="1" containsInteger="1" minValue="604" maxValue="1644"/>
    </cacheField>
    <cacheField name="Value_USD_M" numFmtId="0">
      <sharedItems containsSemiMixedTypes="0" containsString="0" containsNumber="1" minValue="0" maxValue="12958.8"/>
    </cacheField>
    <cacheField name="Confidence/Status" numFmtId="0">
      <sharedItems containsBlank="1"/>
    </cacheField>
    <cacheField name="Share_Est" numFmtId="0">
      <sharedItems containsSemiMixedTypes="0" containsString="0" containsNumber="1" minValue="0.03" maxValue="1"/>
    </cacheField>
    <cacheField name="Adj_Value_USD_M" numFmtId="166">
      <sharedItems containsSemiMixedTypes="0" containsString="0" containsNumber="1" minValue="0" maxValue="7127.34"/>
    </cacheField>
    <cacheField name="Source" numFmtId="0">
      <sharedItems containsBlank="1"/>
    </cacheField>
    <cacheField name="Data_Source_Detail" numFmtId="0">
      <sharedItems containsNonDate="0" containsString="0" containsBlank="1"/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9">
  <r>
    <x v="0"/>
    <x v="0"/>
    <s v="USAF"/>
    <s v="US"/>
    <s v="Procurement"/>
    <x v="0"/>
    <x v="0"/>
    <m/>
    <s v="Prime"/>
    <n v="457"/>
    <m/>
    <n v="544"/>
    <s v="H"/>
    <n v="1"/>
    <n v="544"/>
    <s v="DoD FY2026 Budget"/>
    <m/>
    <s v="add SRM suppliers later"/>
  </r>
  <r>
    <x v="0"/>
    <x v="0"/>
    <s v="USN"/>
    <s v="US"/>
    <s v="Procurement"/>
    <x v="0"/>
    <x v="0"/>
    <m/>
    <s v="Prime"/>
    <n v="300"/>
    <m/>
    <n v="385.7"/>
    <s v="H"/>
    <n v="1"/>
    <n v="385.7"/>
    <s v="DoD FY2026 Budget"/>
    <m/>
    <m/>
  </r>
  <r>
    <x v="0"/>
    <x v="1"/>
    <s v="USAF"/>
    <s v="US"/>
    <s v="Procurement"/>
    <x v="0"/>
    <x v="0"/>
    <m/>
    <s v="Prime"/>
    <n v="290"/>
    <m/>
    <n v="392.8"/>
    <s v="H"/>
    <n v="1"/>
    <n v="392.8"/>
    <s v="DoD FY2026 Budget"/>
    <m/>
    <m/>
  </r>
  <r>
    <x v="0"/>
    <x v="1"/>
    <s v="USN"/>
    <s v="US"/>
    <s v="Procurement"/>
    <x v="0"/>
    <x v="0"/>
    <m/>
    <s v="Prime"/>
    <n v="181"/>
    <m/>
    <n v="191.5"/>
    <s v="H"/>
    <n v="1"/>
    <n v="191.5"/>
    <s v="DoD FY2026 Budget"/>
    <m/>
    <m/>
  </r>
  <r>
    <x v="0"/>
    <x v="2"/>
    <s v="USAF"/>
    <s v="US"/>
    <s v="Procurement"/>
    <x v="0"/>
    <x v="0"/>
    <m/>
    <s v="Prime"/>
    <n v="483"/>
    <m/>
    <n v="668.5"/>
    <s v="H"/>
    <n v="1"/>
    <n v="668.5"/>
    <s v="DoD FY2026 Budget"/>
    <m/>
    <m/>
  </r>
  <r>
    <x v="0"/>
    <x v="2"/>
    <s v="USN"/>
    <s v="US"/>
    <s v="Procurement"/>
    <x v="0"/>
    <x v="0"/>
    <m/>
    <s v="Prime"/>
    <n v="51"/>
    <m/>
    <n v="69.900000000000006"/>
    <s v="H"/>
    <n v="1"/>
    <n v="69.900000000000006"/>
    <s v="DoD FY2026 Budget"/>
    <m/>
    <m/>
  </r>
  <r>
    <x v="0"/>
    <x v="0"/>
    <s v="USAF"/>
    <s v="US"/>
    <s v="RDT&amp;E"/>
    <x v="0"/>
    <x v="0"/>
    <m/>
    <s v="Prime"/>
    <m/>
    <m/>
    <n v="52"/>
    <s v="H"/>
    <n v="1"/>
    <n v="52"/>
    <s v="DoD FY2026 Budget"/>
    <m/>
    <m/>
  </r>
  <r>
    <x v="0"/>
    <x v="0"/>
    <s v="USN"/>
    <s v="US"/>
    <s v="RDT&amp;E"/>
    <x v="0"/>
    <x v="0"/>
    <m/>
    <s v="Prime"/>
    <m/>
    <m/>
    <n v="28.8"/>
    <s v="H"/>
    <n v="1"/>
    <n v="28.8"/>
    <s v="DoD FY2026 Budget"/>
    <m/>
    <m/>
  </r>
  <r>
    <x v="0"/>
    <x v="1"/>
    <s v="USAF"/>
    <s v="US"/>
    <s v="RDT&amp;E"/>
    <x v="0"/>
    <x v="0"/>
    <m/>
    <s v="Prime"/>
    <m/>
    <m/>
    <n v="53.6"/>
    <s v="H"/>
    <n v="1"/>
    <n v="53.6"/>
    <s v="DoD FY2026 Budget"/>
    <m/>
    <m/>
  </r>
  <r>
    <x v="0"/>
    <x v="1"/>
    <s v="USN"/>
    <s v="US"/>
    <s v="RDT&amp;E"/>
    <x v="0"/>
    <x v="0"/>
    <m/>
    <s v="Prime"/>
    <m/>
    <m/>
    <n v="29.6"/>
    <s v="H"/>
    <n v="1"/>
    <n v="29.6"/>
    <s v="DoD FY2026 Budget"/>
    <m/>
    <m/>
  </r>
  <r>
    <x v="0"/>
    <x v="2"/>
    <s v="USAF"/>
    <s v="US"/>
    <s v="RDT&amp;E"/>
    <x v="0"/>
    <x v="0"/>
    <m/>
    <s v="Prime"/>
    <m/>
    <m/>
    <n v="51.2"/>
    <s v="H"/>
    <n v="1"/>
    <n v="51.2"/>
    <s v="DoD FY2026 Budget"/>
    <m/>
    <m/>
  </r>
  <r>
    <x v="0"/>
    <x v="2"/>
    <s v="USN"/>
    <s v="US"/>
    <s v="RDT&amp;E"/>
    <x v="0"/>
    <x v="0"/>
    <m/>
    <s v="Prime"/>
    <m/>
    <m/>
    <n v="26.3"/>
    <s v="H"/>
    <n v="1"/>
    <n v="26.3"/>
    <s v="DoD FY2026 Budget"/>
    <m/>
    <m/>
  </r>
  <r>
    <x v="1"/>
    <x v="0"/>
    <s v="USN/USMC"/>
    <s v="US"/>
    <s v="RDT&amp;E"/>
    <x v="1"/>
    <x v="1"/>
    <s v="Airframe"/>
    <s v="Prime"/>
    <m/>
    <m/>
    <n v="945"/>
    <s v="H"/>
    <n v="0.9"/>
    <n v="850.5"/>
    <s v="DoD FY2026 Budget"/>
    <m/>
    <m/>
  </r>
  <r>
    <x v="1"/>
    <x v="0"/>
    <s v="USAF"/>
    <s v="US"/>
    <s v="RDT&amp;E"/>
    <x v="1"/>
    <x v="1"/>
    <s v="Airframe"/>
    <s v="Prime"/>
    <m/>
    <m/>
    <n v="1325.7"/>
    <s v="H"/>
    <n v="0.9"/>
    <n v="1193.1300000000001"/>
    <s v="DoD FY2026 Budget"/>
    <m/>
    <m/>
  </r>
  <r>
    <x v="1"/>
    <x v="1"/>
    <s v="USN/USMC"/>
    <s v="US"/>
    <s v="RDT&amp;E"/>
    <x v="1"/>
    <x v="1"/>
    <s v="Airframe"/>
    <s v="Prime"/>
    <m/>
    <m/>
    <n v="946.9"/>
    <s v="H"/>
    <n v="0.9"/>
    <n v="852.21"/>
    <s v="DoD FY2026 Budget"/>
    <m/>
    <m/>
  </r>
  <r>
    <x v="1"/>
    <x v="1"/>
    <s v="USAF"/>
    <s v="US"/>
    <s v="RDT&amp;E"/>
    <x v="1"/>
    <x v="1"/>
    <s v="Airframe"/>
    <s v="Prime"/>
    <m/>
    <m/>
    <n v="1230.5"/>
    <s v="H"/>
    <n v="0.9"/>
    <n v="1107.45"/>
    <s v="DoD FY2026 Budget"/>
    <m/>
    <m/>
  </r>
  <r>
    <x v="1"/>
    <x v="2"/>
    <s v="USN/USMC"/>
    <s v="US"/>
    <s v="RDT&amp;E"/>
    <x v="1"/>
    <x v="1"/>
    <s v="Airframe"/>
    <s v="Prime"/>
    <m/>
    <m/>
    <n v="969.7"/>
    <s v="H"/>
    <n v="0.9"/>
    <n v="872.73"/>
    <s v="DoD FY2026 Budget"/>
    <m/>
    <m/>
  </r>
  <r>
    <x v="1"/>
    <x v="2"/>
    <s v="USAF"/>
    <s v="US"/>
    <s v="RDT&amp;E"/>
    <x v="1"/>
    <x v="1"/>
    <s v="Airframe"/>
    <s v="Prime"/>
    <m/>
    <m/>
    <n v="1230.5"/>
    <s v="H"/>
    <n v="0.9"/>
    <n v="1107.45"/>
    <s v="DoD FY2026 Budget"/>
    <m/>
    <m/>
  </r>
  <r>
    <x v="1"/>
    <x v="0"/>
    <s v="USN/USMC"/>
    <s v="US"/>
    <s v="RDT&amp;E"/>
    <x v="0"/>
    <x v="2"/>
    <s v="Engine"/>
    <s v="Prime"/>
    <m/>
    <m/>
    <n v="945"/>
    <s v="H"/>
    <n v="0.1"/>
    <n v="94.5"/>
    <s v="DoD FY2026 Budget"/>
    <m/>
    <m/>
  </r>
  <r>
    <x v="1"/>
    <x v="0"/>
    <s v="USAF"/>
    <s v="US"/>
    <s v="RDT&amp;E"/>
    <x v="0"/>
    <x v="2"/>
    <s v="Engine"/>
    <s v="Prime"/>
    <m/>
    <m/>
    <n v="1325.7"/>
    <s v="H"/>
    <n v="0.1"/>
    <n v="132.57000000000002"/>
    <s v="DoD FY2026 Budget"/>
    <m/>
    <m/>
  </r>
  <r>
    <x v="1"/>
    <x v="1"/>
    <s v="USN/USMC"/>
    <s v="US"/>
    <s v="RDT&amp;E"/>
    <x v="0"/>
    <x v="2"/>
    <s v="Engine"/>
    <s v="Prime"/>
    <m/>
    <m/>
    <n v="946.9"/>
    <s v="H"/>
    <n v="0.1"/>
    <n v="94.69"/>
    <s v="DoD FY2026 Budget"/>
    <m/>
    <m/>
  </r>
  <r>
    <x v="1"/>
    <x v="1"/>
    <s v="USAF"/>
    <s v="US"/>
    <s v="RDT&amp;E"/>
    <x v="0"/>
    <x v="2"/>
    <s v="Engine"/>
    <s v="Prime"/>
    <m/>
    <m/>
    <n v="1230.5"/>
    <s v="H"/>
    <n v="0.1"/>
    <n v="123.05000000000001"/>
    <s v="DoD FY2026 Budget"/>
    <m/>
    <m/>
  </r>
  <r>
    <x v="1"/>
    <x v="2"/>
    <s v="USN/USMC"/>
    <s v="US"/>
    <s v="RDT&amp;E"/>
    <x v="0"/>
    <x v="2"/>
    <s v="Engine"/>
    <s v="Prime"/>
    <m/>
    <m/>
    <n v="969.7"/>
    <s v="H"/>
    <n v="0.1"/>
    <n v="96.970000000000013"/>
    <s v="DoD FY2026 Budget"/>
    <m/>
    <m/>
  </r>
  <r>
    <x v="1"/>
    <x v="2"/>
    <s v="USAF"/>
    <s v="US"/>
    <s v="RDT&amp;E"/>
    <x v="0"/>
    <x v="2"/>
    <s v="Engine"/>
    <s v="Prime"/>
    <m/>
    <m/>
    <n v="1230.5"/>
    <s v="H"/>
    <n v="0.1"/>
    <n v="123.05000000000001"/>
    <s v="DoD FY2026 Budget"/>
    <m/>
    <m/>
  </r>
  <r>
    <x v="1"/>
    <x v="0"/>
    <s v="USN/USMC"/>
    <s v="US"/>
    <s v="Procurement"/>
    <x v="1"/>
    <x v="1"/>
    <s v="Airframe"/>
    <s v="Prime"/>
    <n v="35"/>
    <m/>
    <n v="5623.6"/>
    <s v="H"/>
    <n v="0.8"/>
    <n v="4498.88"/>
    <s v="DoD FY2026 Budget"/>
    <m/>
    <m/>
  </r>
  <r>
    <x v="1"/>
    <x v="0"/>
    <s v="USAF"/>
    <s v="US"/>
    <s v="Procurement"/>
    <x v="1"/>
    <x v="1"/>
    <s v="Airframe"/>
    <s v="Prime"/>
    <n v="51"/>
    <m/>
    <n v="6377"/>
    <s v="H"/>
    <n v="0.8"/>
    <n v="5101.6000000000004"/>
    <s v="DoD FY2026 Budget"/>
    <m/>
    <m/>
  </r>
  <r>
    <x v="1"/>
    <x v="1"/>
    <s v="USN/USMC"/>
    <s v="US"/>
    <s v="Procurement"/>
    <x v="1"/>
    <x v="1"/>
    <s v="Airframe"/>
    <s v="Prime"/>
    <n v="30"/>
    <m/>
    <n v="5353"/>
    <s v="H"/>
    <n v="0.8"/>
    <n v="4282.4000000000005"/>
    <s v="DoD FY2026 Budget"/>
    <m/>
    <m/>
  </r>
  <r>
    <x v="1"/>
    <x v="1"/>
    <s v="USAF"/>
    <s v="US"/>
    <s v="Procurement"/>
    <x v="1"/>
    <x v="1"/>
    <s v="Airframe"/>
    <s v="Prime"/>
    <n v="44"/>
    <m/>
    <n v="5852.1"/>
    <s v="H"/>
    <n v="0.8"/>
    <n v="4681.68"/>
    <s v="DoD FY2026 Budget"/>
    <m/>
    <m/>
  </r>
  <r>
    <x v="1"/>
    <x v="2"/>
    <s v="USN/USMC"/>
    <s v="US"/>
    <s v="Procurement"/>
    <x v="1"/>
    <x v="1"/>
    <s v="Airframe"/>
    <s v="Prime"/>
    <n v="23"/>
    <m/>
    <n v="5116.8"/>
    <s v="H"/>
    <n v="0.8"/>
    <n v="4093.4400000000005"/>
    <s v="DoD FY2026 Budget"/>
    <m/>
    <m/>
  </r>
  <r>
    <x v="1"/>
    <x v="2"/>
    <s v="USAF"/>
    <s v="US"/>
    <s v="Procurement"/>
    <x v="1"/>
    <x v="1"/>
    <s v="Airframe"/>
    <s v="Prime"/>
    <n v="24"/>
    <m/>
    <n v="5803.7"/>
    <s v="H"/>
    <n v="0.8"/>
    <n v="4642.96"/>
    <s v="DoD FY2026 Budget"/>
    <m/>
    <m/>
  </r>
  <r>
    <x v="1"/>
    <x v="0"/>
    <s v="USN/USMC"/>
    <s v="US"/>
    <s v="Procurement"/>
    <x v="0"/>
    <x v="2"/>
    <s v="Engine"/>
    <s v="Prime"/>
    <n v="35"/>
    <m/>
    <n v="5623.6"/>
    <s v="H"/>
    <n v="0.2"/>
    <n v="1124.72"/>
    <s v="DoD FY2026 Budget"/>
    <m/>
    <m/>
  </r>
  <r>
    <x v="1"/>
    <x v="0"/>
    <s v="USAF"/>
    <s v="US"/>
    <s v="Procurement"/>
    <x v="0"/>
    <x v="2"/>
    <s v="Engine"/>
    <s v="Prime"/>
    <n v="51"/>
    <m/>
    <n v="6377"/>
    <s v="H"/>
    <n v="0.2"/>
    <n v="1275.4000000000001"/>
    <s v="DoD FY2026 Budget"/>
    <m/>
    <m/>
  </r>
  <r>
    <x v="1"/>
    <x v="1"/>
    <s v="USN/USMC"/>
    <s v="US"/>
    <s v="Procurement"/>
    <x v="0"/>
    <x v="2"/>
    <s v="Engine"/>
    <s v="Prime"/>
    <n v="30"/>
    <m/>
    <n v="5353"/>
    <s v="H"/>
    <n v="0.2"/>
    <n v="1070.6000000000001"/>
    <s v="DoD FY2026 Budget"/>
    <m/>
    <m/>
  </r>
  <r>
    <x v="1"/>
    <x v="1"/>
    <s v="USAF"/>
    <s v="US"/>
    <s v="Procurement"/>
    <x v="0"/>
    <x v="2"/>
    <s v="Engine"/>
    <s v="Prime"/>
    <n v="44"/>
    <m/>
    <n v="5852.1"/>
    <s v="H"/>
    <n v="0.2"/>
    <n v="1170.42"/>
    <s v="DoD FY2026 Budget"/>
    <m/>
    <m/>
  </r>
  <r>
    <x v="1"/>
    <x v="2"/>
    <s v="USN/USMC"/>
    <s v="US"/>
    <s v="Procurement"/>
    <x v="0"/>
    <x v="2"/>
    <s v="Engine"/>
    <s v="Prime"/>
    <n v="23"/>
    <m/>
    <n v="5116.8"/>
    <s v="H"/>
    <n v="0.2"/>
    <n v="1023.3600000000001"/>
    <s v="DoD FY2026 Budget"/>
    <m/>
    <m/>
  </r>
  <r>
    <x v="1"/>
    <x v="2"/>
    <s v="USAF"/>
    <s v="US"/>
    <s v="Procurement"/>
    <x v="0"/>
    <x v="2"/>
    <s v="Engine"/>
    <s v="Prime"/>
    <n v="24"/>
    <m/>
    <n v="5803.7"/>
    <s v="H"/>
    <n v="0.2"/>
    <n v="1160.74"/>
    <s v="DoD FY2026 Budget"/>
    <m/>
    <m/>
  </r>
  <r>
    <x v="2"/>
    <x v="0"/>
    <s v="USN"/>
    <s v="US"/>
    <s v="RDT&amp;E"/>
    <x v="2"/>
    <x v="3"/>
    <m/>
    <m/>
    <m/>
    <m/>
    <n v="144.69999999999999"/>
    <s v="H"/>
    <n v="0.5"/>
    <n v="72.349999999999994"/>
    <s v="DoD FY2026 Budget"/>
    <m/>
    <m/>
  </r>
  <r>
    <x v="2"/>
    <x v="0"/>
    <s v="USAF"/>
    <s v="US"/>
    <s v="RDT&amp;E"/>
    <x v="2"/>
    <x v="3"/>
    <m/>
    <m/>
    <m/>
    <m/>
    <n v="16.600000000000001"/>
    <s v="H"/>
    <n v="0.5"/>
    <n v="8.3000000000000007"/>
    <s v="DoD FY2026 Budget"/>
    <m/>
    <m/>
  </r>
  <r>
    <x v="2"/>
    <x v="0"/>
    <s v="SOCOM"/>
    <s v="US"/>
    <s v="RDT&amp;E"/>
    <x v="2"/>
    <x v="3"/>
    <m/>
    <m/>
    <m/>
    <m/>
    <n v="19.8"/>
    <s v="H"/>
    <n v="0.5"/>
    <n v="9.9"/>
    <s v="DoD FY2026 Budget"/>
    <m/>
    <m/>
  </r>
  <r>
    <x v="2"/>
    <x v="1"/>
    <s v="USN"/>
    <s v="US"/>
    <s v="RDT&amp;E"/>
    <x v="2"/>
    <x v="3"/>
    <m/>
    <m/>
    <m/>
    <m/>
    <n v="108.2"/>
    <s v="H"/>
    <n v="0.5"/>
    <n v="54.1"/>
    <s v="DoD FY2026 Budget"/>
    <m/>
    <m/>
  </r>
  <r>
    <x v="2"/>
    <x v="1"/>
    <s v="USAF"/>
    <s v="US"/>
    <s v="RDT&amp;E"/>
    <x v="2"/>
    <x v="3"/>
    <m/>
    <m/>
    <m/>
    <m/>
    <n v="26.2"/>
    <s v="H"/>
    <n v="0.5"/>
    <n v="13.1"/>
    <s v="DoD FY2026 Budget"/>
    <m/>
    <m/>
  </r>
  <r>
    <x v="2"/>
    <x v="1"/>
    <s v="SOCOM"/>
    <s v="US"/>
    <s v="RDT&amp;E"/>
    <x v="2"/>
    <x v="3"/>
    <m/>
    <m/>
    <m/>
    <m/>
    <n v="15.7"/>
    <s v="H"/>
    <n v="0.5"/>
    <n v="7.85"/>
    <s v="DoD FY2026 Budget"/>
    <m/>
    <m/>
  </r>
  <r>
    <x v="2"/>
    <x v="2"/>
    <s v="USN"/>
    <s v="US"/>
    <s v="RDT&amp;E"/>
    <x v="2"/>
    <x v="3"/>
    <m/>
    <m/>
    <m/>
    <m/>
    <n v="125"/>
    <s v="H"/>
    <n v="0.5"/>
    <n v="62.5"/>
    <s v="DoD FY2026 Budget"/>
    <m/>
    <m/>
  </r>
  <r>
    <x v="2"/>
    <x v="2"/>
    <s v="USAF"/>
    <s v="US"/>
    <s v="RDT&amp;E"/>
    <x v="2"/>
    <x v="3"/>
    <m/>
    <m/>
    <m/>
    <m/>
    <n v="31.5"/>
    <s v="H"/>
    <n v="0.5"/>
    <n v="15.75"/>
    <s v="DoD FY2026 Budget"/>
    <m/>
    <m/>
  </r>
  <r>
    <x v="2"/>
    <x v="2"/>
    <s v="SOCOM"/>
    <s v="US"/>
    <s v="RDT&amp;E"/>
    <x v="2"/>
    <x v="3"/>
    <m/>
    <m/>
    <m/>
    <m/>
    <n v="4.5"/>
    <s v="H"/>
    <n v="0.5"/>
    <n v="2.25"/>
    <s v="DoD FY2026 Budget"/>
    <m/>
    <m/>
  </r>
  <r>
    <x v="2"/>
    <x v="0"/>
    <s v="USN"/>
    <s v="US"/>
    <s v="RDT&amp;E"/>
    <x v="3"/>
    <x v="4"/>
    <m/>
    <m/>
    <m/>
    <m/>
    <n v="144.69999999999999"/>
    <s v="H"/>
    <n v="0.4"/>
    <n v="57.879999999999995"/>
    <s v="DoD FY2026 Budget"/>
    <m/>
    <m/>
  </r>
  <r>
    <x v="2"/>
    <x v="0"/>
    <s v="USAF"/>
    <s v="US"/>
    <s v="RDT&amp;E"/>
    <x v="3"/>
    <x v="4"/>
    <m/>
    <m/>
    <m/>
    <m/>
    <n v="16.600000000000001"/>
    <s v="H"/>
    <n v="0.4"/>
    <n v="6.6400000000000006"/>
    <s v="DoD FY2026 Budget"/>
    <m/>
    <m/>
  </r>
  <r>
    <x v="2"/>
    <x v="0"/>
    <s v="SOCOM"/>
    <s v="US"/>
    <s v="RDT&amp;E"/>
    <x v="3"/>
    <x v="4"/>
    <m/>
    <m/>
    <m/>
    <m/>
    <n v="19.8"/>
    <s v="H"/>
    <n v="0.4"/>
    <n v="7.9200000000000008"/>
    <s v="DoD FY2026 Budget"/>
    <m/>
    <m/>
  </r>
  <r>
    <x v="2"/>
    <x v="1"/>
    <s v="USN"/>
    <s v="US"/>
    <s v="RDT&amp;E"/>
    <x v="3"/>
    <x v="4"/>
    <m/>
    <m/>
    <m/>
    <m/>
    <n v="108.2"/>
    <s v="H"/>
    <n v="0.4"/>
    <n v="43.28"/>
    <s v="DoD FY2026 Budget"/>
    <m/>
    <m/>
  </r>
  <r>
    <x v="2"/>
    <x v="1"/>
    <s v="USAF"/>
    <s v="US"/>
    <s v="RDT&amp;E"/>
    <x v="3"/>
    <x v="4"/>
    <m/>
    <m/>
    <m/>
    <m/>
    <n v="26.2"/>
    <s v="H"/>
    <n v="0.4"/>
    <n v="10.48"/>
    <s v="DoD FY2026 Budget"/>
    <m/>
    <m/>
  </r>
  <r>
    <x v="2"/>
    <x v="1"/>
    <s v="SOCOM"/>
    <s v="US"/>
    <s v="RDT&amp;E"/>
    <x v="3"/>
    <x v="4"/>
    <m/>
    <m/>
    <m/>
    <m/>
    <n v="15.7"/>
    <s v="H"/>
    <n v="0.4"/>
    <n v="6.28"/>
    <s v="DoD FY2026 Budget"/>
    <m/>
    <m/>
  </r>
  <r>
    <x v="2"/>
    <x v="2"/>
    <s v="USN"/>
    <s v="US"/>
    <s v="RDT&amp;E"/>
    <x v="3"/>
    <x v="4"/>
    <m/>
    <m/>
    <m/>
    <m/>
    <n v="125"/>
    <s v="H"/>
    <n v="0.4"/>
    <n v="50"/>
    <s v="DoD FY2026 Budget"/>
    <m/>
    <m/>
  </r>
  <r>
    <x v="2"/>
    <x v="2"/>
    <s v="USAF"/>
    <s v="US"/>
    <s v="RDT&amp;E"/>
    <x v="3"/>
    <x v="4"/>
    <m/>
    <m/>
    <m/>
    <m/>
    <n v="31.5"/>
    <s v="H"/>
    <n v="0.4"/>
    <n v="12.600000000000001"/>
    <s v="DoD FY2026 Budget"/>
    <m/>
    <m/>
  </r>
  <r>
    <x v="2"/>
    <x v="2"/>
    <s v="SOCOM"/>
    <s v="US"/>
    <s v="RDT&amp;E"/>
    <x v="3"/>
    <x v="4"/>
    <m/>
    <m/>
    <m/>
    <m/>
    <n v="4.5"/>
    <s v="H"/>
    <n v="0.4"/>
    <n v="1.8"/>
    <s v="DoD FY2026 Budget"/>
    <m/>
    <m/>
  </r>
  <r>
    <x v="2"/>
    <x v="0"/>
    <s v="USN"/>
    <s v="US"/>
    <s v="RDT&amp;E"/>
    <x v="4"/>
    <x v="5"/>
    <m/>
    <m/>
    <m/>
    <m/>
    <n v="144.69999999999999"/>
    <s v="H"/>
    <n v="0.1"/>
    <n v="14.469999999999999"/>
    <s v="DoD FY2026 Budget"/>
    <m/>
    <m/>
  </r>
  <r>
    <x v="2"/>
    <x v="0"/>
    <s v="USAF"/>
    <s v="US"/>
    <s v="RDT&amp;E"/>
    <x v="4"/>
    <x v="5"/>
    <m/>
    <m/>
    <m/>
    <m/>
    <n v="16.600000000000001"/>
    <s v="H"/>
    <n v="0.1"/>
    <n v="1.6600000000000001"/>
    <s v="DoD FY2026 Budget"/>
    <m/>
    <m/>
  </r>
  <r>
    <x v="2"/>
    <x v="0"/>
    <s v="SOCOM"/>
    <s v="US"/>
    <s v="RDT&amp;E"/>
    <x v="4"/>
    <x v="5"/>
    <m/>
    <m/>
    <m/>
    <m/>
    <n v="19.8"/>
    <s v="H"/>
    <n v="0.1"/>
    <n v="1.9800000000000002"/>
    <s v="DoD FY2026 Budget"/>
    <m/>
    <m/>
  </r>
  <r>
    <x v="2"/>
    <x v="1"/>
    <s v="USN"/>
    <s v="US"/>
    <s v="RDT&amp;E"/>
    <x v="4"/>
    <x v="5"/>
    <m/>
    <m/>
    <m/>
    <m/>
    <n v="108.2"/>
    <s v="H"/>
    <n v="0.1"/>
    <n v="10.82"/>
    <s v="DoD FY2026 Budget"/>
    <m/>
    <m/>
  </r>
  <r>
    <x v="2"/>
    <x v="1"/>
    <s v="USAF"/>
    <s v="US"/>
    <s v="RDT&amp;E"/>
    <x v="4"/>
    <x v="5"/>
    <m/>
    <m/>
    <m/>
    <m/>
    <n v="26.2"/>
    <s v="H"/>
    <n v="0.1"/>
    <n v="2.62"/>
    <s v="DoD FY2026 Budget"/>
    <m/>
    <m/>
  </r>
  <r>
    <x v="2"/>
    <x v="1"/>
    <s v="SOCOM"/>
    <s v="US"/>
    <s v="RDT&amp;E"/>
    <x v="4"/>
    <x v="5"/>
    <m/>
    <m/>
    <m/>
    <m/>
    <n v="15.7"/>
    <s v="H"/>
    <n v="0.1"/>
    <n v="1.57"/>
    <s v="DoD FY2026 Budget"/>
    <m/>
    <m/>
  </r>
  <r>
    <x v="2"/>
    <x v="2"/>
    <s v="USN"/>
    <s v="US"/>
    <s v="RDT&amp;E"/>
    <x v="4"/>
    <x v="5"/>
    <m/>
    <m/>
    <m/>
    <m/>
    <n v="125"/>
    <s v="H"/>
    <n v="0.1"/>
    <n v="12.5"/>
    <s v="DoD FY2026 Budget"/>
    <m/>
    <m/>
  </r>
  <r>
    <x v="2"/>
    <x v="2"/>
    <s v="USAF"/>
    <s v="US"/>
    <s v="RDT&amp;E"/>
    <x v="4"/>
    <x v="5"/>
    <m/>
    <m/>
    <m/>
    <m/>
    <n v="31.5"/>
    <s v="H"/>
    <n v="0.1"/>
    <n v="3.1500000000000004"/>
    <s v="DoD FY2026 Budget"/>
    <m/>
    <m/>
  </r>
  <r>
    <x v="2"/>
    <x v="2"/>
    <s v="SOCOM"/>
    <s v="US"/>
    <s v="RDT&amp;E"/>
    <x v="4"/>
    <x v="5"/>
    <m/>
    <m/>
    <m/>
    <m/>
    <n v="4.5"/>
    <s v="H"/>
    <n v="0.1"/>
    <n v="0.45"/>
    <s v="DoD FY2026 Budget"/>
    <m/>
    <m/>
  </r>
  <r>
    <x v="2"/>
    <x v="0"/>
    <s v="USN"/>
    <s v="US"/>
    <s v="Procurement"/>
    <x v="2"/>
    <x v="3"/>
    <m/>
    <m/>
    <n v="5"/>
    <m/>
    <n v="1028.8"/>
    <s v="H"/>
    <n v="0.46"/>
    <n v="473.24799999999999"/>
    <s v="DoD FY2026 Budget"/>
    <m/>
    <m/>
  </r>
  <r>
    <x v="2"/>
    <x v="0"/>
    <s v="USAF"/>
    <s v="US"/>
    <s v="Procurement"/>
    <x v="2"/>
    <x v="3"/>
    <m/>
    <m/>
    <n v="5"/>
    <m/>
    <n v="157"/>
    <s v="H"/>
    <n v="0.46"/>
    <n v="72.22"/>
    <s v="DoD FY2026 Budget"/>
    <m/>
    <m/>
  </r>
  <r>
    <x v="2"/>
    <x v="0"/>
    <s v="SOCOM"/>
    <s v="US"/>
    <s v="Procurement"/>
    <x v="2"/>
    <x v="3"/>
    <m/>
    <m/>
    <n v="5"/>
    <m/>
    <n v="76"/>
    <s v="H"/>
    <n v="0.46"/>
    <n v="34.96"/>
    <s v="DoD FY2026 Budget"/>
    <m/>
    <m/>
  </r>
  <r>
    <x v="2"/>
    <x v="1"/>
    <s v="USN"/>
    <s v="US"/>
    <s v="Procurement"/>
    <x v="2"/>
    <x v="3"/>
    <m/>
    <m/>
    <n v="0"/>
    <m/>
    <n v="395.4"/>
    <s v="H"/>
    <n v="0.46"/>
    <n v="181.88399999999999"/>
    <s v="DoD FY2026 Budget"/>
    <m/>
    <m/>
  </r>
  <r>
    <x v="2"/>
    <x v="1"/>
    <s v="USAF"/>
    <s v="US"/>
    <s v="Procurement"/>
    <x v="2"/>
    <x v="3"/>
    <m/>
    <m/>
    <n v="0"/>
    <m/>
    <n v="58.6"/>
    <s v="H"/>
    <n v="0.46"/>
    <n v="26.956000000000003"/>
    <s v="DoD FY2026 Budget"/>
    <m/>
    <m/>
  </r>
  <r>
    <x v="2"/>
    <x v="1"/>
    <s v="SOCOM"/>
    <s v="US"/>
    <s v="Procurement"/>
    <x v="2"/>
    <x v="3"/>
    <m/>
    <m/>
    <n v="0"/>
    <m/>
    <n v="40.799999999999997"/>
    <s v="H"/>
    <n v="0.46"/>
    <n v="18.768000000000001"/>
    <s v="DoD FY2026 Budget"/>
    <m/>
    <m/>
  </r>
  <r>
    <x v="2"/>
    <x v="2"/>
    <s v="USN"/>
    <s v="US"/>
    <s v="Procurement"/>
    <x v="2"/>
    <x v="3"/>
    <m/>
    <m/>
    <n v="0"/>
    <m/>
    <n v="453.3"/>
    <s v="H"/>
    <n v="0.46"/>
    <n v="208.518"/>
    <s v="DoD FY2026 Budget"/>
    <m/>
    <m/>
  </r>
  <r>
    <x v="2"/>
    <x v="2"/>
    <s v="USAF"/>
    <s v="US"/>
    <s v="Procurement"/>
    <x v="2"/>
    <x v="3"/>
    <m/>
    <m/>
    <n v="0"/>
    <m/>
    <n v="193.5"/>
    <s v="H"/>
    <n v="0.46"/>
    <n v="89.01"/>
    <s v="DoD FY2026 Budget"/>
    <m/>
    <m/>
  </r>
  <r>
    <x v="2"/>
    <x v="2"/>
    <s v="SOCOM"/>
    <s v="US"/>
    <s v="Procurement"/>
    <x v="2"/>
    <x v="3"/>
    <m/>
    <m/>
    <n v="0"/>
    <m/>
    <n v="19.7"/>
    <s v="H"/>
    <n v="0.46"/>
    <n v="9.0619999999999994"/>
    <s v="DoD FY2026 Budget"/>
    <m/>
    <m/>
  </r>
  <r>
    <x v="2"/>
    <x v="0"/>
    <s v="USN"/>
    <s v="US"/>
    <s v="Procurement"/>
    <x v="3"/>
    <x v="4"/>
    <m/>
    <m/>
    <n v="5"/>
    <m/>
    <n v="1028.8"/>
    <s v="H"/>
    <n v="0.39"/>
    <n v="401.23199999999997"/>
    <s v="DoD FY2026 Budget"/>
    <m/>
    <m/>
  </r>
  <r>
    <x v="2"/>
    <x v="0"/>
    <s v="USAF"/>
    <s v="US"/>
    <s v="Procurement"/>
    <x v="3"/>
    <x v="4"/>
    <m/>
    <m/>
    <n v="5"/>
    <m/>
    <n v="157"/>
    <s v="H"/>
    <n v="0.39"/>
    <n v="61.230000000000004"/>
    <s v="DoD FY2026 Budget"/>
    <m/>
    <m/>
  </r>
  <r>
    <x v="2"/>
    <x v="0"/>
    <s v="SOCOM"/>
    <s v="US"/>
    <s v="Procurement"/>
    <x v="3"/>
    <x v="4"/>
    <m/>
    <m/>
    <n v="5"/>
    <m/>
    <n v="76"/>
    <s v="H"/>
    <n v="0.39"/>
    <n v="29.64"/>
    <s v="DoD FY2026 Budget"/>
    <m/>
    <m/>
  </r>
  <r>
    <x v="2"/>
    <x v="1"/>
    <s v="USN"/>
    <s v="US"/>
    <s v="Procurement"/>
    <x v="3"/>
    <x v="4"/>
    <m/>
    <m/>
    <n v="0"/>
    <m/>
    <n v="395.4"/>
    <s v="H"/>
    <n v="0.39"/>
    <n v="154.20599999999999"/>
    <s v="DoD FY2026 Budget"/>
    <m/>
    <m/>
  </r>
  <r>
    <x v="2"/>
    <x v="1"/>
    <s v="USAF"/>
    <s v="US"/>
    <s v="Procurement"/>
    <x v="3"/>
    <x v="4"/>
    <m/>
    <m/>
    <n v="0"/>
    <m/>
    <n v="58.6"/>
    <s v="H"/>
    <n v="0.39"/>
    <n v="22.854000000000003"/>
    <s v="DoD FY2026 Budget"/>
    <m/>
    <m/>
  </r>
  <r>
    <x v="2"/>
    <x v="1"/>
    <s v="SOCOM"/>
    <s v="US"/>
    <s v="Procurement"/>
    <x v="3"/>
    <x v="4"/>
    <m/>
    <m/>
    <n v="0"/>
    <m/>
    <n v="40.799999999999997"/>
    <s v="H"/>
    <n v="0.39"/>
    <n v="15.911999999999999"/>
    <s v="DoD FY2026 Budget"/>
    <m/>
    <m/>
  </r>
  <r>
    <x v="2"/>
    <x v="2"/>
    <s v="USN"/>
    <s v="US"/>
    <s v="Procurement"/>
    <x v="3"/>
    <x v="4"/>
    <m/>
    <m/>
    <n v="0"/>
    <m/>
    <n v="453.3"/>
    <s v="H"/>
    <n v="0.39"/>
    <n v="176.78700000000001"/>
    <s v="DoD FY2026 Budget"/>
    <m/>
    <m/>
  </r>
  <r>
    <x v="2"/>
    <x v="2"/>
    <s v="USAF"/>
    <s v="US"/>
    <s v="Procurement"/>
    <x v="3"/>
    <x v="4"/>
    <m/>
    <m/>
    <n v="0"/>
    <m/>
    <n v="193.5"/>
    <s v="H"/>
    <n v="0.39"/>
    <n v="75.465000000000003"/>
    <s v="DoD FY2026 Budget"/>
    <m/>
    <m/>
  </r>
  <r>
    <x v="2"/>
    <x v="2"/>
    <s v="SOCOM"/>
    <s v="US"/>
    <s v="Procurement"/>
    <x v="3"/>
    <x v="4"/>
    <m/>
    <m/>
    <n v="0"/>
    <m/>
    <n v="19.7"/>
    <s v="H"/>
    <n v="0.39"/>
    <n v="7.6829999999999998"/>
    <s v="DoD FY2026 Budget"/>
    <m/>
    <m/>
  </r>
  <r>
    <x v="2"/>
    <x v="0"/>
    <s v="USN"/>
    <s v="US"/>
    <s v="Procurement"/>
    <x v="4"/>
    <x v="5"/>
    <m/>
    <m/>
    <n v="5"/>
    <m/>
    <n v="1028.8"/>
    <s v="H"/>
    <n v="0.15"/>
    <n v="154.32"/>
    <s v="DoD FY2026 Budget"/>
    <m/>
    <m/>
  </r>
  <r>
    <x v="2"/>
    <x v="0"/>
    <s v="USAF"/>
    <s v="US"/>
    <s v="Procurement"/>
    <x v="4"/>
    <x v="5"/>
    <m/>
    <m/>
    <n v="5"/>
    <m/>
    <n v="157"/>
    <s v="H"/>
    <n v="0.15"/>
    <n v="23.55"/>
    <s v="DoD FY2026 Budget"/>
    <m/>
    <m/>
  </r>
  <r>
    <x v="2"/>
    <x v="0"/>
    <s v="SOCOM"/>
    <s v="US"/>
    <s v="Procurement"/>
    <x v="4"/>
    <x v="5"/>
    <m/>
    <m/>
    <n v="5"/>
    <m/>
    <n v="76"/>
    <s v="H"/>
    <n v="0.15"/>
    <n v="11.4"/>
    <s v="DoD FY2026 Budget"/>
    <m/>
    <m/>
  </r>
  <r>
    <x v="2"/>
    <x v="1"/>
    <s v="USN"/>
    <s v="US"/>
    <s v="Procurement"/>
    <x v="4"/>
    <x v="5"/>
    <m/>
    <m/>
    <n v="0"/>
    <m/>
    <n v="395.4"/>
    <s v="H"/>
    <n v="0.15"/>
    <n v="59.309999999999995"/>
    <s v="DoD FY2026 Budget"/>
    <m/>
    <m/>
  </r>
  <r>
    <x v="2"/>
    <x v="1"/>
    <s v="USAF"/>
    <s v="US"/>
    <s v="Procurement"/>
    <x v="4"/>
    <x v="5"/>
    <m/>
    <m/>
    <n v="0"/>
    <m/>
    <n v="58.6"/>
    <s v="H"/>
    <n v="0.15"/>
    <n v="8.7899999999999991"/>
    <s v="DoD FY2026 Budget"/>
    <m/>
    <m/>
  </r>
  <r>
    <x v="2"/>
    <x v="1"/>
    <s v="SOCOM"/>
    <s v="US"/>
    <s v="Procurement"/>
    <x v="4"/>
    <x v="5"/>
    <m/>
    <m/>
    <n v="0"/>
    <m/>
    <n v="40.799999999999997"/>
    <s v="H"/>
    <n v="0.15"/>
    <n v="6.1199999999999992"/>
    <s v="DoD FY2026 Budget"/>
    <m/>
    <m/>
  </r>
  <r>
    <x v="2"/>
    <x v="2"/>
    <s v="USN"/>
    <s v="US"/>
    <s v="Procurement"/>
    <x v="4"/>
    <x v="5"/>
    <m/>
    <m/>
    <n v="0"/>
    <m/>
    <n v="453.3"/>
    <s v="H"/>
    <n v="0.15"/>
    <n v="67.995000000000005"/>
    <s v="DoD FY2026 Budget"/>
    <m/>
    <m/>
  </r>
  <r>
    <x v="2"/>
    <x v="2"/>
    <s v="USAF"/>
    <s v="US"/>
    <s v="Procurement"/>
    <x v="4"/>
    <x v="5"/>
    <m/>
    <m/>
    <n v="0"/>
    <m/>
    <n v="193.5"/>
    <s v="H"/>
    <n v="0.15"/>
    <n v="29.024999999999999"/>
    <s v="DoD FY2026 Budget"/>
    <m/>
    <m/>
  </r>
  <r>
    <x v="2"/>
    <x v="2"/>
    <s v="SOCOM"/>
    <s v="US"/>
    <s v="Procurement"/>
    <x v="4"/>
    <x v="5"/>
    <m/>
    <m/>
    <n v="0"/>
    <m/>
    <n v="19.7"/>
    <s v="H"/>
    <n v="0.15"/>
    <n v="2.9549999999999996"/>
    <s v="DoD FY2026 Budget"/>
    <m/>
    <m/>
  </r>
  <r>
    <x v="3"/>
    <x v="0"/>
    <s v="Joint Service"/>
    <s v="US"/>
    <s v="RDT&amp;E"/>
    <x v="1"/>
    <x v="1"/>
    <m/>
    <m/>
    <m/>
    <m/>
    <n v="34.700000000000003"/>
    <s v="H"/>
    <n v="0.85"/>
    <n v="29.495000000000001"/>
    <s v="DoD FY2026 Budget"/>
    <m/>
    <m/>
  </r>
  <r>
    <x v="3"/>
    <x v="1"/>
    <s v="Joint Service"/>
    <s v="US"/>
    <s v="RDT&amp;E"/>
    <x v="1"/>
    <x v="1"/>
    <m/>
    <m/>
    <m/>
    <m/>
    <n v="79.599999999999994"/>
    <s v="H"/>
    <n v="0.85"/>
    <n v="67.66"/>
    <s v="DoD FY2026 Budget"/>
    <m/>
    <m/>
  </r>
  <r>
    <x v="3"/>
    <x v="2"/>
    <s v="Joint Service"/>
    <s v="US"/>
    <s v="RDT&amp;E"/>
    <x v="1"/>
    <x v="1"/>
    <m/>
    <m/>
    <m/>
    <m/>
    <n v="82.2"/>
    <s v="H"/>
    <n v="0.85"/>
    <n v="69.87"/>
    <s v="DoD FY2026 Budget"/>
    <m/>
    <m/>
  </r>
  <r>
    <x v="3"/>
    <x v="0"/>
    <s v="Joint Service"/>
    <s v="US"/>
    <s v="RDT&amp;E"/>
    <x v="4"/>
    <x v="5"/>
    <m/>
    <m/>
    <m/>
    <m/>
    <n v="34.700000000000003"/>
    <s v="H"/>
    <n v="0.1"/>
    <n v="3.4700000000000006"/>
    <s v="DoD FY2026 Budget"/>
    <m/>
    <m/>
  </r>
  <r>
    <x v="3"/>
    <x v="1"/>
    <s v="Joint Service"/>
    <s v="US"/>
    <s v="RDT&amp;E"/>
    <x v="4"/>
    <x v="5"/>
    <m/>
    <m/>
    <m/>
    <m/>
    <n v="79.599999999999994"/>
    <s v="H"/>
    <n v="0.1"/>
    <n v="7.96"/>
    <s v="DoD FY2026 Budget"/>
    <m/>
    <m/>
  </r>
  <r>
    <x v="3"/>
    <x v="2"/>
    <s v="Joint Service"/>
    <s v="US"/>
    <s v="RDT&amp;E"/>
    <x v="4"/>
    <x v="5"/>
    <m/>
    <m/>
    <m/>
    <m/>
    <n v="82.2"/>
    <s v="H"/>
    <n v="0.1"/>
    <n v="8.2200000000000006"/>
    <s v="DoD FY2026 Budget"/>
    <m/>
    <m/>
  </r>
  <r>
    <x v="3"/>
    <x v="0"/>
    <s v="Joint Service"/>
    <s v="US"/>
    <s v="RDT&amp;E"/>
    <x v="5"/>
    <x v="6"/>
    <m/>
    <m/>
    <m/>
    <m/>
    <n v="34.700000000000003"/>
    <s v="H"/>
    <n v="0.05"/>
    <n v="1.7350000000000003"/>
    <s v="DoD FY2026 Budget"/>
    <m/>
    <m/>
  </r>
  <r>
    <x v="3"/>
    <x v="1"/>
    <s v="Joint Service"/>
    <s v="US"/>
    <s v="RDT&amp;E"/>
    <x v="5"/>
    <x v="6"/>
    <m/>
    <m/>
    <m/>
    <m/>
    <n v="79.599999999999994"/>
    <s v="H"/>
    <n v="0.05"/>
    <n v="3.98"/>
    <s v="DoD FY2026 Budget"/>
    <m/>
    <m/>
  </r>
  <r>
    <x v="3"/>
    <x v="2"/>
    <s v="Joint Service"/>
    <s v="US"/>
    <s v="RDT&amp;E"/>
    <x v="5"/>
    <x v="6"/>
    <m/>
    <m/>
    <m/>
    <m/>
    <n v="82.2"/>
    <s v="H"/>
    <n v="0.05"/>
    <n v="4.1100000000000003"/>
    <s v="DoD FY2026 Budget"/>
    <m/>
    <m/>
  </r>
  <r>
    <x v="3"/>
    <x v="0"/>
    <s v="Joint Service"/>
    <s v="US"/>
    <s v="Procurement"/>
    <x v="1"/>
    <x v="1"/>
    <m/>
    <m/>
    <n v="11"/>
    <m/>
    <n v="1992.1"/>
    <s v="H"/>
    <n v="0.749"/>
    <n v="1492.0828999999999"/>
    <s v="DoD FY2026 Budget"/>
    <m/>
    <m/>
  </r>
  <r>
    <x v="3"/>
    <x v="1"/>
    <s v="Joint Service"/>
    <s v="US"/>
    <s v="Procurement"/>
    <x v="1"/>
    <x v="1"/>
    <m/>
    <m/>
    <n v="3"/>
    <m/>
    <n v="1311.9"/>
    <s v="H"/>
    <n v="0.749"/>
    <n v="982.61310000000003"/>
    <s v="DoD FY2026 Budget"/>
    <m/>
    <m/>
  </r>
  <r>
    <x v="3"/>
    <x v="2"/>
    <s v="Joint Service"/>
    <s v="US"/>
    <s v="Procurement"/>
    <x v="1"/>
    <x v="1"/>
    <m/>
    <m/>
    <n v="0"/>
    <m/>
    <n v="917"/>
    <s v="H"/>
    <n v="0.749"/>
    <n v="686.83299999999997"/>
    <s v="DoD FY2026 Budget"/>
    <m/>
    <m/>
  </r>
  <r>
    <x v="3"/>
    <x v="0"/>
    <s v="Joint Service"/>
    <s v="US"/>
    <s v="Procurement"/>
    <x v="4"/>
    <x v="5"/>
    <m/>
    <m/>
    <n v="11"/>
    <m/>
    <n v="1992.1"/>
    <s v="H"/>
    <n v="0.121"/>
    <n v="241.04409999999999"/>
    <s v="DoD FY2026 Budget"/>
    <m/>
    <m/>
  </r>
  <r>
    <x v="3"/>
    <x v="1"/>
    <s v="Joint Service"/>
    <s v="US"/>
    <s v="Procurement"/>
    <x v="4"/>
    <x v="5"/>
    <m/>
    <m/>
    <n v="3"/>
    <m/>
    <n v="1311.9"/>
    <s v="H"/>
    <n v="0.121"/>
    <n v="158.73990000000001"/>
    <s v="DoD FY2026 Budget"/>
    <m/>
    <m/>
  </r>
  <r>
    <x v="3"/>
    <x v="2"/>
    <s v="Joint Service"/>
    <s v="US"/>
    <s v="Procurement"/>
    <x v="4"/>
    <x v="5"/>
    <m/>
    <m/>
    <n v="0"/>
    <m/>
    <n v="917"/>
    <s v="H"/>
    <n v="0.121"/>
    <n v="110.95699999999999"/>
    <s v="DoD FY2026 Budget"/>
    <m/>
    <m/>
  </r>
  <r>
    <x v="3"/>
    <x v="0"/>
    <s v="Joint Service"/>
    <s v="US"/>
    <s v="Procurement"/>
    <x v="5"/>
    <x v="6"/>
    <m/>
    <m/>
    <n v="11"/>
    <m/>
    <n v="1992.1"/>
    <s v="H"/>
    <n v="4.7E-2"/>
    <n v="93.628699999999995"/>
    <s v="DoD FY2026 Budget"/>
    <m/>
    <m/>
  </r>
  <r>
    <x v="3"/>
    <x v="1"/>
    <s v="Joint Service"/>
    <s v="US"/>
    <s v="Procurement"/>
    <x v="5"/>
    <x v="6"/>
    <m/>
    <m/>
    <n v="3"/>
    <m/>
    <n v="1311.9"/>
    <s v="H"/>
    <n v="4.7E-2"/>
    <n v="61.659300000000002"/>
    <s v="DoD FY2026 Budget"/>
    <m/>
    <m/>
  </r>
  <r>
    <x v="3"/>
    <x v="2"/>
    <s v="Joint Service"/>
    <s v="US"/>
    <s v="Procurement"/>
    <x v="5"/>
    <x v="6"/>
    <m/>
    <m/>
    <n v="0"/>
    <m/>
    <n v="917"/>
    <s v="H"/>
    <n v="4.7E-2"/>
    <n v="43.098999999999997"/>
    <s v="DoD FY2026 Budget"/>
    <m/>
    <m/>
  </r>
  <r>
    <x v="3"/>
    <x v="0"/>
    <s v="Joint Service"/>
    <s v="US"/>
    <s v="Procurement"/>
    <x v="6"/>
    <x v="7"/>
    <m/>
    <m/>
    <n v="11"/>
    <m/>
    <n v="1992.1"/>
    <s v="H"/>
    <n v="3.6999999999999998E-2"/>
    <n v="73.707699999999988"/>
    <s v="DoD FY2026 Budget"/>
    <m/>
    <m/>
  </r>
  <r>
    <x v="3"/>
    <x v="1"/>
    <s v="Joint Service"/>
    <s v="US"/>
    <s v="Procurement"/>
    <x v="6"/>
    <x v="7"/>
    <m/>
    <m/>
    <n v="3"/>
    <m/>
    <n v="1311.9"/>
    <s v="H"/>
    <n v="3.6999999999999998E-2"/>
    <n v="48.540300000000002"/>
    <s v="DoD FY2026 Budget"/>
    <m/>
    <m/>
  </r>
  <r>
    <x v="3"/>
    <x v="2"/>
    <s v="Joint Service"/>
    <s v="US"/>
    <s v="Procurement"/>
    <x v="6"/>
    <x v="7"/>
    <m/>
    <m/>
    <n v="0"/>
    <m/>
    <n v="917"/>
    <s v="H"/>
    <n v="3.6999999999999998E-2"/>
    <n v="33.928999999999995"/>
    <s v="DoD FY2026 Budget"/>
    <m/>
    <m/>
  </r>
  <r>
    <x v="3"/>
    <x v="0"/>
    <s v="Joint Service"/>
    <s v="US"/>
    <s v="Procurement"/>
    <x v="7"/>
    <x v="8"/>
    <m/>
    <m/>
    <n v="11"/>
    <m/>
    <n v="1992.1"/>
    <s v="H"/>
    <n v="4.5999999999999999E-2"/>
    <n v="91.636599999999987"/>
    <s v="DoD FY2026 Budget"/>
    <m/>
    <m/>
  </r>
  <r>
    <x v="3"/>
    <x v="1"/>
    <s v="Joint Service"/>
    <s v="US"/>
    <s v="Procurement"/>
    <x v="7"/>
    <x v="8"/>
    <m/>
    <m/>
    <n v="3"/>
    <m/>
    <n v="1311.9"/>
    <s v="H"/>
    <n v="4.5999999999999999E-2"/>
    <n v="60.3474"/>
    <s v="DoD FY2026 Budget"/>
    <m/>
    <m/>
  </r>
  <r>
    <x v="3"/>
    <x v="2"/>
    <s v="Joint Service"/>
    <s v="US"/>
    <s v="Procurement"/>
    <x v="7"/>
    <x v="8"/>
    <m/>
    <m/>
    <n v="0"/>
    <m/>
    <n v="917"/>
    <s v="H"/>
    <n v="4.5999999999999999E-2"/>
    <n v="42.182000000000002"/>
    <s v="DoD FY2026 Budget"/>
    <m/>
    <m/>
  </r>
  <r>
    <x v="4"/>
    <x v="0"/>
    <s v="Joint Service"/>
    <s v="US"/>
    <s v="Procurement"/>
    <x v="8"/>
    <x v="9"/>
    <m/>
    <m/>
    <n v="0"/>
    <m/>
    <n v="6.6"/>
    <s v="H"/>
    <n v="0.82"/>
    <n v="5.411999999999999"/>
    <s v="DoD FY2026 Budget"/>
    <m/>
    <m/>
  </r>
  <r>
    <x v="4"/>
    <x v="1"/>
    <s v="Joint Service"/>
    <s v="US"/>
    <s v="Procurement"/>
    <x v="8"/>
    <x v="9"/>
    <m/>
    <m/>
    <n v="8"/>
    <m/>
    <n v="6.7"/>
    <s v="H"/>
    <n v="0.82"/>
    <n v="5.4939999999999998"/>
    <s v="DoD FY2026 Budget"/>
    <m/>
    <m/>
  </r>
  <r>
    <x v="4"/>
    <x v="2"/>
    <s v="Joint Service"/>
    <s v="US"/>
    <s v="Procurement"/>
    <x v="8"/>
    <x v="9"/>
    <m/>
    <m/>
    <n v="0"/>
    <m/>
    <n v="3.4"/>
    <s v="H"/>
    <n v="0.82"/>
    <n v="2.7879999999999998"/>
    <s v="DoD FY2026 Budget"/>
    <m/>
    <m/>
  </r>
  <r>
    <x v="4"/>
    <x v="0"/>
    <s v="Joint Service"/>
    <s v="US"/>
    <s v="Procurement"/>
    <x v="0"/>
    <x v="2"/>
    <m/>
    <m/>
    <n v="0"/>
    <m/>
    <n v="6.6"/>
    <s v="H"/>
    <n v="0.1"/>
    <n v="0.66"/>
    <s v="DoD FY2026 Budget"/>
    <m/>
    <m/>
  </r>
  <r>
    <x v="4"/>
    <x v="1"/>
    <s v="Joint Service"/>
    <s v="US"/>
    <s v="Procurement"/>
    <x v="0"/>
    <x v="2"/>
    <m/>
    <m/>
    <n v="8"/>
    <m/>
    <n v="6.7"/>
    <s v="H"/>
    <n v="0.1"/>
    <n v="0.67"/>
    <s v="DoD FY2026 Budget"/>
    <m/>
    <m/>
  </r>
  <r>
    <x v="4"/>
    <x v="2"/>
    <s v="Joint Service"/>
    <s v="US"/>
    <s v="Procurement"/>
    <x v="0"/>
    <x v="2"/>
    <m/>
    <m/>
    <n v="0"/>
    <m/>
    <n v="3.4"/>
    <s v="H"/>
    <n v="0.1"/>
    <n v="0.34"/>
    <s v="DoD FY2026 Budget"/>
    <m/>
    <m/>
  </r>
  <r>
    <x v="4"/>
    <x v="0"/>
    <s v="Joint Service"/>
    <s v="US"/>
    <s v="Procurement"/>
    <x v="9"/>
    <x v="10"/>
    <m/>
    <m/>
    <n v="0"/>
    <m/>
    <n v="6.6"/>
    <s v="H"/>
    <n v="0.05"/>
    <n v="0.33"/>
    <s v="DoD FY2026 Budget"/>
    <m/>
    <s v="Communications, and ISR?"/>
  </r>
  <r>
    <x v="4"/>
    <x v="1"/>
    <s v="Joint Service"/>
    <s v="US"/>
    <s v="Procurement"/>
    <x v="9"/>
    <x v="10"/>
    <m/>
    <m/>
    <n v="8"/>
    <m/>
    <n v="6.7"/>
    <s v="H"/>
    <n v="0.05"/>
    <n v="0.33500000000000002"/>
    <s v="DoD FY2026 Budget"/>
    <m/>
    <m/>
  </r>
  <r>
    <x v="4"/>
    <x v="2"/>
    <s v="Joint Service"/>
    <s v="US"/>
    <s v="Procurement"/>
    <x v="9"/>
    <x v="10"/>
    <m/>
    <m/>
    <n v="0"/>
    <m/>
    <n v="3.4"/>
    <s v="H"/>
    <n v="0.05"/>
    <n v="0.17"/>
    <s v="DoD FY2026 Budget"/>
    <m/>
    <m/>
  </r>
  <r>
    <x v="4"/>
    <x v="0"/>
    <s v="Joint Service"/>
    <s v="US"/>
    <s v="Procurement"/>
    <x v="6"/>
    <x v="7"/>
    <m/>
    <m/>
    <n v="0"/>
    <m/>
    <n v="6.6"/>
    <s v="H"/>
    <n v="0.03"/>
    <n v="0.19799999999999998"/>
    <s v="DoD FY2026 Budget"/>
    <m/>
    <m/>
  </r>
  <r>
    <x v="4"/>
    <x v="1"/>
    <s v="Joint Service"/>
    <s v="US"/>
    <s v="Procurement"/>
    <x v="6"/>
    <x v="7"/>
    <m/>
    <m/>
    <n v="8"/>
    <m/>
    <n v="6.7"/>
    <s v="H"/>
    <n v="0.03"/>
    <n v="0.20099999999999998"/>
    <s v="DoD FY2026 Budget"/>
    <m/>
    <m/>
  </r>
  <r>
    <x v="4"/>
    <x v="2"/>
    <s v="Joint Service"/>
    <s v="US"/>
    <s v="Procurement"/>
    <x v="6"/>
    <x v="7"/>
    <m/>
    <m/>
    <n v="0"/>
    <m/>
    <n v="3.4"/>
    <s v="H"/>
    <n v="0.03"/>
    <n v="0.10199999999999999"/>
    <s v="DoD FY2026 Budget"/>
    <m/>
    <m/>
  </r>
  <r>
    <x v="4"/>
    <x v="0"/>
    <s v="Joint Service"/>
    <s v="US"/>
    <s v="RDT&amp;E"/>
    <x v="8"/>
    <x v="9"/>
    <m/>
    <m/>
    <m/>
    <m/>
    <n v="96.6"/>
    <s v="H"/>
    <n v="0.9"/>
    <n v="86.94"/>
    <s v="DoD FY2026 Budget"/>
    <m/>
    <m/>
  </r>
  <r>
    <x v="4"/>
    <x v="1"/>
    <s v="Joint Service"/>
    <s v="US"/>
    <s v="RDT&amp;E"/>
    <x v="8"/>
    <x v="9"/>
    <m/>
    <m/>
    <m/>
    <m/>
    <n v="278"/>
    <s v="H"/>
    <n v="0.9"/>
    <n v="250.20000000000002"/>
    <s v="DoD FY2026 Budget"/>
    <m/>
    <m/>
  </r>
  <r>
    <x v="4"/>
    <x v="2"/>
    <s v="Joint Service"/>
    <s v="US"/>
    <s v="RDT&amp;E"/>
    <x v="8"/>
    <x v="9"/>
    <m/>
    <m/>
    <m/>
    <m/>
    <n v="12.4"/>
    <s v="H"/>
    <n v="0.9"/>
    <n v="11.16"/>
    <s v="DoD FY2026 Budget"/>
    <m/>
    <m/>
  </r>
  <r>
    <x v="4"/>
    <x v="0"/>
    <s v="Joint Service"/>
    <s v="US"/>
    <s v="RDT&amp;E"/>
    <x v="0"/>
    <x v="2"/>
    <m/>
    <m/>
    <m/>
    <m/>
    <n v="96.6"/>
    <s v="H"/>
    <n v="0.05"/>
    <n v="4.83"/>
    <s v="DoD FY2026 Budget"/>
    <m/>
    <m/>
  </r>
  <r>
    <x v="4"/>
    <x v="1"/>
    <s v="Joint Service"/>
    <s v="US"/>
    <s v="RDT&amp;E"/>
    <x v="0"/>
    <x v="2"/>
    <m/>
    <m/>
    <m/>
    <m/>
    <n v="278"/>
    <s v="H"/>
    <n v="0.05"/>
    <n v="13.9"/>
    <s v="DoD FY2026 Budget"/>
    <m/>
    <m/>
  </r>
  <r>
    <x v="4"/>
    <x v="2"/>
    <s v="Joint Service"/>
    <s v="US"/>
    <s v="RDT&amp;E"/>
    <x v="0"/>
    <x v="2"/>
    <m/>
    <m/>
    <m/>
    <m/>
    <n v="12.4"/>
    <s v="H"/>
    <n v="0.05"/>
    <n v="0.62000000000000011"/>
    <s v="DoD FY2026 Budget"/>
    <m/>
    <m/>
  </r>
  <r>
    <x v="4"/>
    <x v="0"/>
    <s v="Joint Service"/>
    <s v="US"/>
    <s v="RDT&amp;E"/>
    <x v="9"/>
    <x v="10"/>
    <m/>
    <m/>
    <m/>
    <m/>
    <n v="96.6"/>
    <s v="H"/>
    <n v="0.05"/>
    <n v="4.83"/>
    <s v="DoD FY2026 Budget"/>
    <m/>
    <m/>
  </r>
  <r>
    <x v="4"/>
    <x v="1"/>
    <s v="Joint Service"/>
    <s v="US"/>
    <s v="RDT&amp;E"/>
    <x v="9"/>
    <x v="10"/>
    <m/>
    <m/>
    <m/>
    <m/>
    <n v="278"/>
    <s v="H"/>
    <n v="0.05"/>
    <n v="13.9"/>
    <s v="DoD FY2026 Budget"/>
    <m/>
    <m/>
  </r>
  <r>
    <x v="4"/>
    <x v="2"/>
    <s v="Joint Service"/>
    <s v="US"/>
    <s v="RDT&amp;E"/>
    <x v="9"/>
    <x v="10"/>
    <m/>
    <m/>
    <m/>
    <m/>
    <n v="12.4"/>
    <s v="H"/>
    <n v="0.05"/>
    <n v="0.62000000000000011"/>
    <s v="DoD FY2026 Budget"/>
    <m/>
    <m/>
  </r>
  <r>
    <x v="5"/>
    <x v="0"/>
    <s v="USAF"/>
    <s v="US"/>
    <s v="RDT&amp;E"/>
    <x v="8"/>
    <x v="9"/>
    <m/>
    <m/>
    <m/>
    <m/>
    <n v="82.4"/>
    <m/>
    <n v="0.85"/>
    <n v="70.040000000000006"/>
    <s v="DoD FY2026 Budget"/>
    <m/>
    <m/>
  </r>
  <r>
    <x v="5"/>
    <x v="0"/>
    <s v="USN/USMC"/>
    <s v="US"/>
    <s v="RDT&amp;E"/>
    <x v="8"/>
    <x v="9"/>
    <m/>
    <m/>
    <m/>
    <m/>
    <n v="98.8"/>
    <m/>
    <n v="0.85"/>
    <n v="83.97999999999999"/>
    <s v="DoD FY2026 Budget"/>
    <m/>
    <m/>
  </r>
  <r>
    <x v="5"/>
    <x v="0"/>
    <s v="SOCOM"/>
    <s v="US"/>
    <s v="RDT&amp;E"/>
    <x v="8"/>
    <x v="9"/>
    <m/>
    <m/>
    <m/>
    <m/>
    <n v="90.8"/>
    <m/>
    <n v="0.85"/>
    <n v="77.179999999999993"/>
    <s v="DoD FY2026 Budget"/>
    <m/>
    <m/>
  </r>
  <r>
    <x v="5"/>
    <x v="0"/>
    <s v="USAF"/>
    <s v="US"/>
    <s v="RDT&amp;E"/>
    <x v="0"/>
    <x v="2"/>
    <m/>
    <m/>
    <m/>
    <m/>
    <n v="82.4"/>
    <m/>
    <n v="0.05"/>
    <n v="4.12"/>
    <s v="DoD FY2026 Budget"/>
    <m/>
    <m/>
  </r>
  <r>
    <x v="5"/>
    <x v="0"/>
    <s v="USN/USMC"/>
    <s v="US"/>
    <s v="RDT&amp;E"/>
    <x v="0"/>
    <x v="2"/>
    <m/>
    <m/>
    <m/>
    <m/>
    <n v="98.8"/>
    <m/>
    <n v="0.05"/>
    <n v="4.9400000000000004"/>
    <s v="DoD FY2026 Budget"/>
    <m/>
    <m/>
  </r>
  <r>
    <x v="5"/>
    <x v="0"/>
    <s v="SOCOM"/>
    <s v="US"/>
    <s v="RDT&amp;E"/>
    <x v="0"/>
    <x v="2"/>
    <m/>
    <m/>
    <m/>
    <m/>
    <n v="90.8"/>
    <m/>
    <n v="0.05"/>
    <n v="4.54"/>
    <s v="DoD FY2026 Budget"/>
    <m/>
    <m/>
  </r>
  <r>
    <x v="5"/>
    <x v="0"/>
    <s v="USAF"/>
    <s v="US"/>
    <s v="RDT&amp;E"/>
    <x v="9"/>
    <x v="10"/>
    <m/>
    <m/>
    <m/>
    <m/>
    <n v="82.4"/>
    <m/>
    <n v="0.05"/>
    <n v="4.12"/>
    <s v="DoD FY2026 Budget"/>
    <m/>
    <m/>
  </r>
  <r>
    <x v="5"/>
    <x v="0"/>
    <s v="USN/USMC"/>
    <s v="US"/>
    <s v="RDT&amp;E"/>
    <x v="9"/>
    <x v="10"/>
    <m/>
    <m/>
    <m/>
    <m/>
    <n v="98.8"/>
    <m/>
    <n v="0.05"/>
    <n v="4.9400000000000004"/>
    <s v="DoD FY2026 Budget"/>
    <m/>
    <m/>
  </r>
  <r>
    <x v="5"/>
    <x v="0"/>
    <s v="SOCOM"/>
    <s v="US"/>
    <s v="RDT&amp;E"/>
    <x v="9"/>
    <x v="10"/>
    <m/>
    <m/>
    <m/>
    <m/>
    <n v="90.8"/>
    <m/>
    <n v="0.05"/>
    <n v="4.54"/>
    <s v="DoD FY2026 Budget"/>
    <m/>
    <m/>
  </r>
  <r>
    <x v="5"/>
    <x v="0"/>
    <s v="USAF"/>
    <s v="US"/>
    <s v="RDT&amp;E"/>
    <x v="6"/>
    <x v="7"/>
    <m/>
    <m/>
    <m/>
    <m/>
    <n v="82.4"/>
    <m/>
    <n v="0.03"/>
    <n v="2.472"/>
    <s v="DoD FY2026 Budget"/>
    <m/>
    <m/>
  </r>
  <r>
    <x v="5"/>
    <x v="0"/>
    <s v="USN/USMC"/>
    <s v="US"/>
    <s v="RDT&amp;E"/>
    <x v="6"/>
    <x v="7"/>
    <m/>
    <m/>
    <m/>
    <m/>
    <n v="98.8"/>
    <m/>
    <n v="0.03"/>
    <n v="2.964"/>
    <s v="DoD FY2026 Budget"/>
    <m/>
    <m/>
  </r>
  <r>
    <x v="5"/>
    <x v="0"/>
    <s v="SOCOM"/>
    <s v="US"/>
    <s v="RDT&amp;E"/>
    <x v="6"/>
    <x v="7"/>
    <m/>
    <m/>
    <m/>
    <m/>
    <n v="90.8"/>
    <m/>
    <n v="0.03"/>
    <n v="2.7239999999999998"/>
    <s v="DoD FY2026 Budget"/>
    <m/>
    <m/>
  </r>
  <r>
    <x v="5"/>
    <x v="1"/>
    <s v="USAF"/>
    <s v="US"/>
    <s v="RDT&amp;E"/>
    <x v="8"/>
    <x v="9"/>
    <m/>
    <m/>
    <m/>
    <m/>
    <n v="7.1"/>
    <m/>
    <n v="0.85"/>
    <n v="6.0349999999999993"/>
    <s v="DoD FY2026 Budget"/>
    <m/>
    <m/>
  </r>
  <r>
    <x v="5"/>
    <x v="1"/>
    <s v="USN/USMC"/>
    <s v="US"/>
    <s v="RDT&amp;E"/>
    <x v="8"/>
    <x v="9"/>
    <m/>
    <m/>
    <m/>
    <m/>
    <n v="78.2"/>
    <m/>
    <n v="0.85"/>
    <n v="66.47"/>
    <s v="DoD FY2026 Budget"/>
    <m/>
    <m/>
  </r>
  <r>
    <x v="5"/>
    <x v="1"/>
    <s v="SOCOM"/>
    <s v="US"/>
    <s v="RDT&amp;E"/>
    <x v="8"/>
    <x v="9"/>
    <m/>
    <m/>
    <m/>
    <m/>
    <n v="34.9"/>
    <m/>
    <n v="0.85"/>
    <n v="29.664999999999999"/>
    <s v="DoD FY2026 Budget"/>
    <m/>
    <m/>
  </r>
  <r>
    <x v="5"/>
    <x v="1"/>
    <s v="USAF"/>
    <s v="US"/>
    <s v="RDT&amp;E"/>
    <x v="0"/>
    <x v="2"/>
    <m/>
    <m/>
    <m/>
    <m/>
    <n v="7.1"/>
    <m/>
    <n v="0.05"/>
    <n v="0.35499999999999998"/>
    <s v="DoD FY2026 Budget"/>
    <m/>
    <m/>
  </r>
  <r>
    <x v="5"/>
    <x v="1"/>
    <s v="USN/USMC"/>
    <s v="US"/>
    <s v="RDT&amp;E"/>
    <x v="0"/>
    <x v="2"/>
    <m/>
    <m/>
    <m/>
    <m/>
    <n v="78.2"/>
    <m/>
    <n v="0.05"/>
    <n v="3.91"/>
    <s v="DoD FY2026 Budget"/>
    <m/>
    <m/>
  </r>
  <r>
    <x v="5"/>
    <x v="1"/>
    <s v="SOCOM"/>
    <s v="US"/>
    <s v="RDT&amp;E"/>
    <x v="0"/>
    <x v="2"/>
    <m/>
    <m/>
    <m/>
    <m/>
    <n v="34.9"/>
    <m/>
    <n v="0.05"/>
    <n v="1.7450000000000001"/>
    <s v="DoD FY2026 Budget"/>
    <m/>
    <m/>
  </r>
  <r>
    <x v="5"/>
    <x v="1"/>
    <s v="USAF"/>
    <s v="US"/>
    <s v="RDT&amp;E"/>
    <x v="9"/>
    <x v="10"/>
    <m/>
    <m/>
    <m/>
    <m/>
    <n v="7.1"/>
    <m/>
    <n v="0.05"/>
    <n v="0.35499999999999998"/>
    <s v="DoD FY2026 Budget"/>
    <m/>
    <m/>
  </r>
  <r>
    <x v="5"/>
    <x v="1"/>
    <s v="USN/USMC"/>
    <s v="US"/>
    <s v="RDT&amp;E"/>
    <x v="9"/>
    <x v="10"/>
    <m/>
    <m/>
    <m/>
    <m/>
    <n v="78.2"/>
    <m/>
    <n v="0.05"/>
    <n v="3.91"/>
    <s v="DoD FY2026 Budget"/>
    <m/>
    <m/>
  </r>
  <r>
    <x v="5"/>
    <x v="1"/>
    <s v="SOCOM"/>
    <s v="US"/>
    <s v="RDT&amp;E"/>
    <x v="9"/>
    <x v="10"/>
    <m/>
    <m/>
    <m/>
    <m/>
    <n v="34.9"/>
    <m/>
    <n v="0.05"/>
    <n v="1.7450000000000001"/>
    <s v="DoD FY2026 Budget"/>
    <m/>
    <m/>
  </r>
  <r>
    <x v="5"/>
    <x v="1"/>
    <s v="USAF"/>
    <s v="US"/>
    <s v="RDT&amp;E"/>
    <x v="6"/>
    <x v="7"/>
    <m/>
    <m/>
    <m/>
    <m/>
    <n v="7.1"/>
    <m/>
    <n v="0.03"/>
    <n v="0.21299999999999999"/>
    <s v="DoD FY2026 Budget"/>
    <m/>
    <m/>
  </r>
  <r>
    <x v="5"/>
    <x v="1"/>
    <s v="USN/USMC"/>
    <s v="US"/>
    <s v="RDT&amp;E"/>
    <x v="6"/>
    <x v="7"/>
    <m/>
    <m/>
    <m/>
    <m/>
    <n v="78.2"/>
    <m/>
    <n v="0.03"/>
    <n v="2.3460000000000001"/>
    <s v="DoD FY2026 Budget"/>
    <m/>
    <m/>
  </r>
  <r>
    <x v="5"/>
    <x v="1"/>
    <s v="SOCOM"/>
    <s v="US"/>
    <s v="RDT&amp;E"/>
    <x v="6"/>
    <x v="7"/>
    <m/>
    <m/>
    <m/>
    <m/>
    <n v="34.9"/>
    <m/>
    <n v="0.03"/>
    <n v="1.0469999999999999"/>
    <s v="DoD FY2026 Budget"/>
    <m/>
    <m/>
  </r>
  <r>
    <x v="5"/>
    <x v="2"/>
    <s v="USAF"/>
    <s v="US"/>
    <s v="RDT&amp;E"/>
    <x v="0"/>
    <x v="2"/>
    <m/>
    <m/>
    <m/>
    <m/>
    <n v="26.7"/>
    <m/>
    <n v="0.85"/>
    <n v="22.695"/>
    <s v="DoD FY2026 Budget"/>
    <m/>
    <m/>
  </r>
  <r>
    <x v="5"/>
    <x v="2"/>
    <s v="USN/USMC"/>
    <s v="US"/>
    <s v="RDT&amp;E"/>
    <x v="0"/>
    <x v="2"/>
    <m/>
    <m/>
    <m/>
    <m/>
    <n v="28.4"/>
    <m/>
    <n v="0.85"/>
    <n v="24.139999999999997"/>
    <s v="DoD FY2026 Budget"/>
    <m/>
    <m/>
  </r>
  <r>
    <x v="5"/>
    <x v="2"/>
    <s v="SOCOM"/>
    <s v="US"/>
    <s v="RDT&amp;E"/>
    <x v="0"/>
    <x v="2"/>
    <m/>
    <m/>
    <m/>
    <m/>
    <n v="0"/>
    <m/>
    <n v="0.85"/>
    <n v="0"/>
    <s v="DoD FY2026 Budget"/>
    <m/>
    <m/>
  </r>
  <r>
    <x v="5"/>
    <x v="2"/>
    <s v="USAF"/>
    <s v="US"/>
    <s v="RDT&amp;E"/>
    <x v="9"/>
    <x v="10"/>
    <m/>
    <m/>
    <m/>
    <m/>
    <n v="26.7"/>
    <m/>
    <n v="0.05"/>
    <n v="1.335"/>
    <s v="DoD FY2026 Budget"/>
    <m/>
    <m/>
  </r>
  <r>
    <x v="5"/>
    <x v="2"/>
    <s v="USN/USMC"/>
    <s v="US"/>
    <s v="RDT&amp;E"/>
    <x v="9"/>
    <x v="10"/>
    <m/>
    <m/>
    <m/>
    <m/>
    <n v="28.4"/>
    <m/>
    <n v="0.05"/>
    <n v="1.42"/>
    <s v="DoD FY2026 Budget"/>
    <m/>
    <m/>
  </r>
  <r>
    <x v="5"/>
    <x v="2"/>
    <s v="SOCOM"/>
    <s v="US"/>
    <s v="RDT&amp;E"/>
    <x v="9"/>
    <x v="10"/>
    <m/>
    <m/>
    <m/>
    <m/>
    <n v="0"/>
    <m/>
    <n v="0.05"/>
    <n v="0"/>
    <s v="DoD FY2026 Budget"/>
    <m/>
    <m/>
  </r>
  <r>
    <x v="5"/>
    <x v="2"/>
    <s v="USAF"/>
    <s v="US"/>
    <s v="RDT&amp;E"/>
    <x v="6"/>
    <x v="7"/>
    <m/>
    <m/>
    <m/>
    <m/>
    <n v="26.7"/>
    <m/>
    <n v="0.05"/>
    <n v="1.335"/>
    <s v="DoD FY2026 Budget"/>
    <m/>
    <m/>
  </r>
  <r>
    <x v="5"/>
    <x v="2"/>
    <s v="USN/USMC"/>
    <s v="US"/>
    <s v="RDT&amp;E"/>
    <x v="6"/>
    <x v="7"/>
    <m/>
    <m/>
    <m/>
    <m/>
    <n v="28.4"/>
    <m/>
    <n v="0.05"/>
    <n v="1.42"/>
    <s v="DoD FY2026 Budget"/>
    <m/>
    <m/>
  </r>
  <r>
    <x v="5"/>
    <x v="2"/>
    <s v="SOCOM"/>
    <s v="US"/>
    <s v="RDT&amp;E"/>
    <x v="6"/>
    <x v="7"/>
    <m/>
    <m/>
    <m/>
    <m/>
    <n v="0"/>
    <m/>
    <n v="0.05"/>
    <n v="0"/>
    <s v="DoD FY2026 Budget"/>
    <m/>
    <m/>
  </r>
  <r>
    <x v="5"/>
    <x v="2"/>
    <s v="USAF"/>
    <s v="US"/>
    <s v="RDT&amp;E"/>
    <x v="0"/>
    <x v="2"/>
    <m/>
    <m/>
    <m/>
    <m/>
    <n v="26.7"/>
    <m/>
    <n v="0.03"/>
    <n v="0.80099999999999993"/>
    <s v="DoD FY2026 Budget"/>
    <m/>
    <m/>
  </r>
  <r>
    <x v="5"/>
    <x v="2"/>
    <s v="USN/USMC"/>
    <s v="US"/>
    <s v="RDT&amp;E"/>
    <x v="0"/>
    <x v="2"/>
    <m/>
    <m/>
    <m/>
    <m/>
    <n v="28.4"/>
    <m/>
    <n v="0.03"/>
    <n v="0.85199999999999998"/>
    <s v="DoD FY2026 Budget"/>
    <m/>
    <m/>
  </r>
  <r>
    <x v="5"/>
    <x v="2"/>
    <s v="SOCOM"/>
    <s v="US"/>
    <s v="RDT&amp;E"/>
    <x v="0"/>
    <x v="2"/>
    <m/>
    <m/>
    <m/>
    <m/>
    <n v="0"/>
    <m/>
    <n v="0.03"/>
    <n v="0"/>
    <s v="DoD FY2026 Budget"/>
    <m/>
    <m/>
  </r>
  <r>
    <x v="5"/>
    <x v="0"/>
    <s v="USAF"/>
    <s v="US"/>
    <s v="Procurement"/>
    <x v="8"/>
    <x v="9"/>
    <m/>
    <m/>
    <n v="0"/>
    <m/>
    <n v="107.6"/>
    <m/>
    <n v="0.78"/>
    <n v="83.927999999999997"/>
    <s v="DoD FY2026 Budget"/>
    <m/>
    <m/>
  </r>
  <r>
    <x v="5"/>
    <x v="0"/>
    <s v="USN/USMC"/>
    <s v="US"/>
    <s v="Procurement"/>
    <x v="8"/>
    <x v="9"/>
    <m/>
    <m/>
    <n v="5"/>
    <m/>
    <n v="179.1"/>
    <m/>
    <n v="0.78"/>
    <n v="139.69800000000001"/>
    <s v="DoD FY2026 Budget"/>
    <m/>
    <m/>
  </r>
  <r>
    <x v="5"/>
    <x v="0"/>
    <s v="SOCOM"/>
    <s v="US"/>
    <s v="Procurement"/>
    <x v="8"/>
    <x v="9"/>
    <m/>
    <m/>
    <n v="0"/>
    <m/>
    <n v="17.7"/>
    <m/>
    <n v="0.78"/>
    <n v="13.805999999999999"/>
    <s v="DoD FY2026 Budget"/>
    <m/>
    <m/>
  </r>
  <r>
    <x v="5"/>
    <x v="0"/>
    <s v="USAF"/>
    <s v="US"/>
    <s v="Procurement"/>
    <x v="0"/>
    <x v="2"/>
    <m/>
    <m/>
    <n v="0"/>
    <m/>
    <n v="107.6"/>
    <m/>
    <n v="0.09"/>
    <n v="9.6839999999999993"/>
    <s v="DoD FY2026 Budget"/>
    <m/>
    <m/>
  </r>
  <r>
    <x v="5"/>
    <x v="0"/>
    <s v="USN/USMC"/>
    <s v="US"/>
    <s v="Procurement"/>
    <x v="0"/>
    <x v="2"/>
    <m/>
    <m/>
    <n v="5"/>
    <m/>
    <n v="179.1"/>
    <m/>
    <n v="0.09"/>
    <n v="16.119"/>
    <s v="DoD FY2026 Budget"/>
    <m/>
    <m/>
  </r>
  <r>
    <x v="5"/>
    <x v="0"/>
    <s v="SOCOM"/>
    <s v="US"/>
    <s v="Procurement"/>
    <x v="0"/>
    <x v="2"/>
    <m/>
    <m/>
    <n v="0"/>
    <m/>
    <n v="17.7"/>
    <m/>
    <n v="0.09"/>
    <n v="1.593"/>
    <s v="DoD FY2026 Budget"/>
    <m/>
    <m/>
  </r>
  <r>
    <x v="5"/>
    <x v="0"/>
    <s v="USAF"/>
    <s v="US"/>
    <s v="Procurement"/>
    <x v="9"/>
    <x v="10"/>
    <m/>
    <m/>
    <n v="0"/>
    <m/>
    <n v="107.6"/>
    <m/>
    <n v="0.05"/>
    <n v="5.38"/>
    <s v="DoD FY2026 Budget"/>
    <m/>
    <m/>
  </r>
  <r>
    <x v="5"/>
    <x v="0"/>
    <s v="USN/USMC"/>
    <s v="US"/>
    <s v="Procurement"/>
    <x v="9"/>
    <x v="10"/>
    <m/>
    <m/>
    <n v="5"/>
    <m/>
    <n v="179.1"/>
    <m/>
    <n v="0.05"/>
    <n v="8.9550000000000001"/>
    <s v="DoD FY2026 Budget"/>
    <m/>
    <m/>
  </r>
  <r>
    <x v="5"/>
    <x v="0"/>
    <s v="SOCOM"/>
    <s v="US"/>
    <s v="Procurement"/>
    <x v="9"/>
    <x v="10"/>
    <m/>
    <m/>
    <n v="0"/>
    <m/>
    <n v="17.7"/>
    <m/>
    <n v="0.05"/>
    <n v="0.88500000000000001"/>
    <s v="DoD FY2026 Budget"/>
    <m/>
    <m/>
  </r>
  <r>
    <x v="5"/>
    <x v="0"/>
    <s v="USAF"/>
    <s v="US"/>
    <s v="Procurement"/>
    <x v="6"/>
    <x v="7"/>
    <m/>
    <m/>
    <n v="0"/>
    <m/>
    <n v="107.6"/>
    <m/>
    <n v="0.05"/>
    <n v="5.38"/>
    <s v="DoD FY2026 Budget"/>
    <m/>
    <m/>
  </r>
  <r>
    <x v="5"/>
    <x v="0"/>
    <s v="USN/USMC"/>
    <s v="US"/>
    <s v="Procurement"/>
    <x v="6"/>
    <x v="7"/>
    <m/>
    <m/>
    <n v="5"/>
    <m/>
    <n v="179.1"/>
    <m/>
    <n v="0.05"/>
    <n v="8.9550000000000001"/>
    <s v="DoD FY2026 Budget"/>
    <m/>
    <m/>
  </r>
  <r>
    <x v="5"/>
    <x v="0"/>
    <s v="SOCOM"/>
    <s v="US"/>
    <s v="Procurement"/>
    <x v="6"/>
    <x v="7"/>
    <m/>
    <m/>
    <n v="0"/>
    <m/>
    <n v="17.7"/>
    <m/>
    <n v="0.05"/>
    <n v="0.88500000000000001"/>
    <s v="DoD FY2026 Budget"/>
    <m/>
    <m/>
  </r>
  <r>
    <x v="5"/>
    <x v="0"/>
    <s v="USAF"/>
    <s v="US"/>
    <s v="Procurement"/>
    <x v="0"/>
    <x v="0"/>
    <m/>
    <m/>
    <n v="0"/>
    <m/>
    <n v="107.6"/>
    <m/>
    <n v="0.03"/>
    <n v="3.2279999999999998"/>
    <s v="DoD FY2026 Budget"/>
    <m/>
    <m/>
  </r>
  <r>
    <x v="5"/>
    <x v="0"/>
    <s v="USN/USMC"/>
    <s v="US"/>
    <s v="Procurement"/>
    <x v="0"/>
    <x v="0"/>
    <m/>
    <m/>
    <n v="5"/>
    <m/>
    <n v="179.1"/>
    <m/>
    <n v="0.03"/>
    <n v="5.3729999999999993"/>
    <s v="DoD FY2026 Budget"/>
    <m/>
    <m/>
  </r>
  <r>
    <x v="5"/>
    <x v="0"/>
    <s v="SOCOM"/>
    <s v="US"/>
    <s v="Procurement"/>
    <x v="0"/>
    <x v="0"/>
    <m/>
    <m/>
    <n v="0"/>
    <m/>
    <n v="17.7"/>
    <m/>
    <n v="0.03"/>
    <n v="0.53099999999999992"/>
    <s v="DoD FY2026 Budget"/>
    <m/>
    <m/>
  </r>
  <r>
    <x v="5"/>
    <x v="1"/>
    <s v="USAF"/>
    <s v="US"/>
    <s v="Procurement"/>
    <x v="8"/>
    <x v="9"/>
    <m/>
    <m/>
    <n v="0"/>
    <m/>
    <n v="12.4"/>
    <m/>
    <n v="0.78"/>
    <n v="9.6720000000000006"/>
    <s v="DoD FY2026 Budget"/>
    <m/>
    <m/>
  </r>
  <r>
    <x v="5"/>
    <x v="1"/>
    <s v="USN/USMC"/>
    <s v="US"/>
    <s v="Procurement"/>
    <x v="8"/>
    <x v="9"/>
    <m/>
    <m/>
    <n v="0"/>
    <m/>
    <n v="131.80000000000001"/>
    <m/>
    <n v="0.78"/>
    <n v="102.80400000000002"/>
    <s v="DoD FY2026 Budget"/>
    <m/>
    <m/>
  </r>
  <r>
    <x v="5"/>
    <x v="1"/>
    <s v="SOCOM"/>
    <s v="US"/>
    <s v="Procurement"/>
    <x v="8"/>
    <x v="9"/>
    <m/>
    <m/>
    <n v="0"/>
    <m/>
    <n v="13.5"/>
    <m/>
    <n v="0.78"/>
    <n v="10.530000000000001"/>
    <s v="DoD FY2026 Budget"/>
    <m/>
    <m/>
  </r>
  <r>
    <x v="5"/>
    <x v="1"/>
    <s v="USAF"/>
    <s v="US"/>
    <s v="Procurement"/>
    <x v="0"/>
    <x v="2"/>
    <m/>
    <m/>
    <n v="0"/>
    <m/>
    <n v="12.4"/>
    <m/>
    <n v="0.09"/>
    <n v="1.1159999999999999"/>
    <s v="DoD FY2026 Budget"/>
    <m/>
    <m/>
  </r>
  <r>
    <x v="5"/>
    <x v="1"/>
    <s v="USN/USMC"/>
    <s v="US"/>
    <s v="Procurement"/>
    <x v="0"/>
    <x v="2"/>
    <m/>
    <m/>
    <n v="0"/>
    <m/>
    <n v="131.80000000000001"/>
    <m/>
    <n v="0.09"/>
    <n v="11.862"/>
    <s v="DoD FY2026 Budget"/>
    <m/>
    <m/>
  </r>
  <r>
    <x v="5"/>
    <x v="1"/>
    <s v="SOCOM"/>
    <s v="US"/>
    <s v="Procurement"/>
    <x v="0"/>
    <x v="2"/>
    <m/>
    <m/>
    <n v="0"/>
    <m/>
    <n v="13.5"/>
    <m/>
    <n v="0.09"/>
    <n v="1.2149999999999999"/>
    <s v="DoD FY2026 Budget"/>
    <m/>
    <m/>
  </r>
  <r>
    <x v="5"/>
    <x v="1"/>
    <s v="USAF"/>
    <s v="US"/>
    <s v="Procurement"/>
    <x v="9"/>
    <x v="10"/>
    <m/>
    <m/>
    <n v="0"/>
    <m/>
    <n v="12.4"/>
    <m/>
    <n v="0.05"/>
    <n v="0.62000000000000011"/>
    <s v="DoD FY2026 Budget"/>
    <m/>
    <m/>
  </r>
  <r>
    <x v="5"/>
    <x v="1"/>
    <s v="USN/USMC"/>
    <s v="US"/>
    <s v="Procurement"/>
    <x v="9"/>
    <x v="10"/>
    <m/>
    <m/>
    <n v="0"/>
    <m/>
    <n v="131.80000000000001"/>
    <m/>
    <n v="0.05"/>
    <n v="6.5900000000000007"/>
    <s v="DoD FY2026 Budget"/>
    <m/>
    <m/>
  </r>
  <r>
    <x v="5"/>
    <x v="1"/>
    <s v="SOCOM"/>
    <s v="US"/>
    <s v="Procurement"/>
    <x v="9"/>
    <x v="10"/>
    <m/>
    <m/>
    <n v="0"/>
    <m/>
    <n v="13.5"/>
    <m/>
    <n v="0.05"/>
    <n v="0.67500000000000004"/>
    <s v="DoD FY2026 Budget"/>
    <m/>
    <m/>
  </r>
  <r>
    <x v="5"/>
    <x v="1"/>
    <s v="USAF"/>
    <s v="US"/>
    <s v="Procurement"/>
    <x v="6"/>
    <x v="7"/>
    <m/>
    <m/>
    <n v="0"/>
    <m/>
    <n v="12.4"/>
    <m/>
    <n v="0.05"/>
    <n v="0.62000000000000011"/>
    <s v="DoD FY2026 Budget"/>
    <m/>
    <m/>
  </r>
  <r>
    <x v="5"/>
    <x v="1"/>
    <s v="USN/USMC"/>
    <s v="US"/>
    <s v="Procurement"/>
    <x v="6"/>
    <x v="7"/>
    <m/>
    <m/>
    <n v="0"/>
    <m/>
    <n v="131.80000000000001"/>
    <m/>
    <n v="0.05"/>
    <n v="6.5900000000000007"/>
    <s v="DoD FY2026 Budget"/>
    <m/>
    <m/>
  </r>
  <r>
    <x v="5"/>
    <x v="1"/>
    <s v="SOCOM"/>
    <s v="US"/>
    <s v="Procurement"/>
    <x v="6"/>
    <x v="7"/>
    <m/>
    <m/>
    <n v="0"/>
    <m/>
    <n v="13.5"/>
    <m/>
    <n v="0.05"/>
    <n v="0.67500000000000004"/>
    <s v="DoD FY2026 Budget"/>
    <m/>
    <m/>
  </r>
  <r>
    <x v="5"/>
    <x v="1"/>
    <s v="USAF"/>
    <s v="US"/>
    <s v="Procurement"/>
    <x v="0"/>
    <x v="0"/>
    <m/>
    <m/>
    <n v="0"/>
    <m/>
    <n v="12.4"/>
    <m/>
    <n v="0.03"/>
    <n v="0.372"/>
    <s v="DoD FY2026 Budget"/>
    <m/>
    <m/>
  </r>
  <r>
    <x v="5"/>
    <x v="1"/>
    <s v="USN/USMC"/>
    <s v="US"/>
    <s v="Procurement"/>
    <x v="0"/>
    <x v="0"/>
    <m/>
    <m/>
    <n v="0"/>
    <m/>
    <n v="131.80000000000001"/>
    <m/>
    <n v="0.03"/>
    <n v="3.9540000000000002"/>
    <s v="DoD FY2026 Budget"/>
    <m/>
    <m/>
  </r>
  <r>
    <x v="5"/>
    <x v="1"/>
    <s v="SOCOM"/>
    <s v="US"/>
    <s v="Procurement"/>
    <x v="0"/>
    <x v="0"/>
    <m/>
    <m/>
    <n v="0"/>
    <m/>
    <n v="13.5"/>
    <m/>
    <n v="0.03"/>
    <n v="0.40499999999999997"/>
    <s v="DoD FY2026 Budget"/>
    <m/>
    <m/>
  </r>
  <r>
    <x v="5"/>
    <x v="2"/>
    <s v="USAF"/>
    <s v="US"/>
    <s v="Procurement"/>
    <x v="8"/>
    <x v="9"/>
    <m/>
    <m/>
    <n v="0"/>
    <m/>
    <n v="100.9"/>
    <m/>
    <n v="0.78"/>
    <n v="78.702000000000012"/>
    <s v="DoD FY2026 Budget"/>
    <m/>
    <m/>
  </r>
  <r>
    <x v="5"/>
    <x v="2"/>
    <s v="USN/USMC"/>
    <s v="US"/>
    <s v="Procurement"/>
    <x v="8"/>
    <x v="9"/>
    <m/>
    <m/>
    <n v="0"/>
    <m/>
    <n v="158.9"/>
    <m/>
    <n v="0.78"/>
    <n v="123.94200000000001"/>
    <s v="DoD FY2026 Budget"/>
    <m/>
    <m/>
  </r>
  <r>
    <x v="5"/>
    <x v="2"/>
    <s v="SOCOM"/>
    <s v="US"/>
    <s v="Procurement"/>
    <x v="8"/>
    <x v="9"/>
    <m/>
    <m/>
    <n v="0"/>
    <m/>
    <n v="24.9"/>
    <m/>
    <n v="0.78"/>
    <n v="19.422000000000001"/>
    <s v="DoD FY2026 Budget"/>
    <m/>
    <m/>
  </r>
  <r>
    <x v="5"/>
    <x v="2"/>
    <s v="USAF"/>
    <s v="US"/>
    <s v="Procurement"/>
    <x v="0"/>
    <x v="2"/>
    <m/>
    <m/>
    <n v="0"/>
    <m/>
    <n v="100.9"/>
    <m/>
    <n v="0.09"/>
    <n v="9.0809999999999995"/>
    <s v="DoD FY2026 Budget"/>
    <m/>
    <m/>
  </r>
  <r>
    <x v="5"/>
    <x v="2"/>
    <s v="USN/USMC"/>
    <s v="US"/>
    <s v="Procurement"/>
    <x v="0"/>
    <x v="2"/>
    <m/>
    <m/>
    <n v="0"/>
    <m/>
    <n v="158.9"/>
    <m/>
    <n v="0.09"/>
    <n v="14.301"/>
    <s v="DoD FY2026 Budget"/>
    <m/>
    <m/>
  </r>
  <r>
    <x v="5"/>
    <x v="2"/>
    <s v="SOCOM"/>
    <s v="US"/>
    <s v="Procurement"/>
    <x v="0"/>
    <x v="2"/>
    <m/>
    <m/>
    <n v="0"/>
    <m/>
    <n v="24.9"/>
    <m/>
    <n v="0.09"/>
    <n v="2.2409999999999997"/>
    <s v="DoD FY2026 Budget"/>
    <m/>
    <m/>
  </r>
  <r>
    <x v="5"/>
    <x v="2"/>
    <s v="USAF"/>
    <s v="US"/>
    <s v="Procurement"/>
    <x v="9"/>
    <x v="10"/>
    <m/>
    <m/>
    <n v="0"/>
    <m/>
    <n v="100.9"/>
    <m/>
    <n v="0.05"/>
    <n v="5.0450000000000008"/>
    <s v="DoD FY2026 Budget"/>
    <m/>
    <m/>
  </r>
  <r>
    <x v="5"/>
    <x v="2"/>
    <s v="USN/USMC"/>
    <s v="US"/>
    <s v="Procurement"/>
    <x v="9"/>
    <x v="10"/>
    <m/>
    <m/>
    <n v="0"/>
    <m/>
    <n v="158.9"/>
    <m/>
    <n v="0.05"/>
    <n v="7.9450000000000003"/>
    <s v="DoD FY2026 Budget"/>
    <m/>
    <m/>
  </r>
  <r>
    <x v="5"/>
    <x v="2"/>
    <s v="SOCOM"/>
    <s v="US"/>
    <s v="Procurement"/>
    <x v="9"/>
    <x v="10"/>
    <m/>
    <m/>
    <n v="0"/>
    <m/>
    <n v="24.9"/>
    <m/>
    <n v="0.05"/>
    <n v="1.2450000000000001"/>
    <s v="DoD FY2026 Budget"/>
    <m/>
    <m/>
  </r>
  <r>
    <x v="5"/>
    <x v="2"/>
    <s v="USAF"/>
    <s v="US"/>
    <s v="Procurement"/>
    <x v="6"/>
    <x v="7"/>
    <m/>
    <m/>
    <n v="0"/>
    <m/>
    <n v="100.9"/>
    <m/>
    <n v="0.05"/>
    <n v="5.0450000000000008"/>
    <s v="DoD FY2026 Budget"/>
    <m/>
    <m/>
  </r>
  <r>
    <x v="5"/>
    <x v="2"/>
    <s v="USN/USMC"/>
    <s v="US"/>
    <s v="Procurement"/>
    <x v="6"/>
    <x v="7"/>
    <m/>
    <m/>
    <n v="0"/>
    <m/>
    <n v="158.9"/>
    <m/>
    <n v="0.05"/>
    <n v="7.9450000000000003"/>
    <s v="DoD FY2026 Budget"/>
    <m/>
    <m/>
  </r>
  <r>
    <x v="5"/>
    <x v="2"/>
    <s v="SOCOM"/>
    <s v="US"/>
    <s v="Procurement"/>
    <x v="6"/>
    <x v="7"/>
    <m/>
    <m/>
    <n v="0"/>
    <m/>
    <n v="24.9"/>
    <m/>
    <n v="0.05"/>
    <n v="1.2450000000000001"/>
    <s v="DoD FY2026 Budget"/>
    <m/>
    <m/>
  </r>
  <r>
    <x v="5"/>
    <x v="2"/>
    <s v="USAF"/>
    <s v="US"/>
    <s v="Procurement"/>
    <x v="0"/>
    <x v="0"/>
    <m/>
    <m/>
    <n v="0"/>
    <m/>
    <n v="100.9"/>
    <m/>
    <n v="0.03"/>
    <n v="3.0270000000000001"/>
    <s v="DoD FY2026 Budget"/>
    <m/>
    <m/>
  </r>
  <r>
    <x v="5"/>
    <x v="2"/>
    <s v="USN/USMC"/>
    <s v="US"/>
    <s v="Procurement"/>
    <x v="0"/>
    <x v="0"/>
    <m/>
    <m/>
    <n v="0"/>
    <m/>
    <n v="158.9"/>
    <m/>
    <n v="0.03"/>
    <n v="4.7670000000000003"/>
    <s v="DoD FY2026 Budget"/>
    <m/>
    <m/>
  </r>
  <r>
    <x v="5"/>
    <x v="2"/>
    <s v="SOCOM"/>
    <s v="US"/>
    <s v="Procurement"/>
    <x v="0"/>
    <x v="0"/>
    <m/>
    <m/>
    <n v="0"/>
    <m/>
    <n v="24.9"/>
    <m/>
    <n v="0.03"/>
    <n v="0.74699999999999989"/>
    <s v="DoD FY2026 Budget"/>
    <m/>
    <m/>
  </r>
  <r>
    <x v="6"/>
    <x v="0"/>
    <s v="USAF"/>
    <s v="US"/>
    <s v="RDT&amp;E"/>
    <x v="6"/>
    <x v="9"/>
    <m/>
    <m/>
    <m/>
    <m/>
    <n v="2877.8"/>
    <s v="M"/>
    <n v="0.9"/>
    <n v="2590.0200000000004"/>
    <s v="DoD FY2026 Budget"/>
    <m/>
    <m/>
  </r>
  <r>
    <x v="6"/>
    <x v="0"/>
    <s v="USAF"/>
    <s v="US"/>
    <s v="RDT&amp;E"/>
    <x v="0"/>
    <x v="2"/>
    <m/>
    <m/>
    <m/>
    <m/>
    <n v="2877.8"/>
    <s v="M"/>
    <n v="7.0000000000000007E-2"/>
    <n v="201.44600000000003"/>
    <s v="DoD FY2026 Budget"/>
    <m/>
    <m/>
  </r>
  <r>
    <x v="6"/>
    <x v="0"/>
    <s v="USAF"/>
    <s v="US"/>
    <s v="RDT&amp;E"/>
    <x v="0"/>
    <x v="11"/>
    <m/>
    <m/>
    <m/>
    <m/>
    <n v="2877.8"/>
    <s v="M"/>
    <n v="0.03"/>
    <n v="86.334000000000003"/>
    <s v="DoD FY2026 Budget"/>
    <m/>
    <m/>
  </r>
  <r>
    <x v="6"/>
    <x v="0"/>
    <s v="USAF"/>
    <s v="US"/>
    <s v="Procurement"/>
    <x v="6"/>
    <x v="9"/>
    <m/>
    <m/>
    <n v="0"/>
    <m/>
    <n v="2270.6999999999998"/>
    <s v="M"/>
    <n v="0.85"/>
    <n v="1930.0949999999998"/>
    <s v="DoD FY2026 Budget"/>
    <m/>
    <m/>
  </r>
  <r>
    <x v="6"/>
    <x v="0"/>
    <s v="USAF"/>
    <s v="US"/>
    <s v="Procurement"/>
    <x v="0"/>
    <x v="2"/>
    <m/>
    <m/>
    <n v="0"/>
    <m/>
    <n v="2270.6999999999998"/>
    <s v="M"/>
    <n v="0.1"/>
    <n v="227.07"/>
    <s v="DoD FY2026 Budget"/>
    <m/>
    <m/>
  </r>
  <r>
    <x v="6"/>
    <x v="0"/>
    <s v="USAF"/>
    <s v="US"/>
    <s v="Procurement"/>
    <x v="0"/>
    <x v="11"/>
    <m/>
    <m/>
    <n v="0"/>
    <m/>
    <n v="2270.6999999999998"/>
    <s v="M"/>
    <n v="0.05"/>
    <n v="113.535"/>
    <s v="DoD FY2026 Budget"/>
    <m/>
    <m/>
  </r>
  <r>
    <x v="6"/>
    <x v="1"/>
    <s v="USAF"/>
    <s v="US"/>
    <s v="RDT&amp;E"/>
    <x v="6"/>
    <x v="9"/>
    <m/>
    <m/>
    <m/>
    <m/>
    <n v="2654.1"/>
    <s v="M"/>
    <n v="0.9"/>
    <n v="2388.69"/>
    <s v="DoD FY2026 Budget"/>
    <m/>
    <m/>
  </r>
  <r>
    <x v="6"/>
    <x v="1"/>
    <s v="USAF"/>
    <s v="US"/>
    <s v="RDT&amp;E"/>
    <x v="0"/>
    <x v="2"/>
    <m/>
    <m/>
    <m/>
    <m/>
    <n v="2654.1"/>
    <s v="M"/>
    <n v="7.0000000000000007E-2"/>
    <n v="185.78700000000001"/>
    <s v="DoD FY2026 Budget"/>
    <m/>
    <m/>
  </r>
  <r>
    <x v="6"/>
    <x v="1"/>
    <s v="USAF"/>
    <s v="US"/>
    <s v="RDT&amp;E"/>
    <x v="0"/>
    <x v="11"/>
    <m/>
    <m/>
    <m/>
    <m/>
    <n v="2654.1"/>
    <s v="M"/>
    <n v="0.03"/>
    <n v="79.62299999999999"/>
    <s v="DoD FY2026 Budget"/>
    <m/>
    <m/>
  </r>
  <r>
    <x v="6"/>
    <x v="1"/>
    <s v="USAF"/>
    <s v="US"/>
    <s v="Procurement"/>
    <x v="6"/>
    <x v="9"/>
    <m/>
    <m/>
    <n v="0"/>
    <m/>
    <n v="2600.5"/>
    <s v="M"/>
    <n v="0.85"/>
    <n v="2210.4249999999997"/>
    <s v="DoD FY2026 Budget"/>
    <m/>
    <m/>
  </r>
  <r>
    <x v="6"/>
    <x v="1"/>
    <s v="USAF"/>
    <s v="US"/>
    <s v="Procurement"/>
    <x v="0"/>
    <x v="2"/>
    <m/>
    <m/>
    <n v="0"/>
    <m/>
    <n v="2600.5"/>
    <s v="M"/>
    <n v="0.1"/>
    <n v="260.05"/>
    <s v="DoD FY2026 Budget"/>
    <m/>
    <m/>
  </r>
  <r>
    <x v="6"/>
    <x v="1"/>
    <s v="USAF"/>
    <s v="US"/>
    <s v="Procurement"/>
    <x v="0"/>
    <x v="11"/>
    <m/>
    <m/>
    <n v="0"/>
    <m/>
    <n v="2600.5"/>
    <s v="M"/>
    <n v="0.05"/>
    <n v="130.02500000000001"/>
    <s v="DoD FY2026 Budget"/>
    <m/>
    <m/>
  </r>
  <r>
    <x v="6"/>
    <x v="2"/>
    <s v="USAF"/>
    <s v="US"/>
    <s v="RDT&amp;E"/>
    <x v="6"/>
    <x v="9"/>
    <m/>
    <m/>
    <m/>
    <m/>
    <n v="4739.1000000000004"/>
    <s v="M"/>
    <n v="0.9"/>
    <n v="4265.1900000000005"/>
    <s v="DoD FY2026 Budget"/>
    <m/>
    <m/>
  </r>
  <r>
    <x v="6"/>
    <x v="2"/>
    <s v="USAF"/>
    <s v="US"/>
    <s v="RDT&amp;E"/>
    <x v="0"/>
    <x v="2"/>
    <m/>
    <m/>
    <m/>
    <m/>
    <n v="4739.1000000000004"/>
    <s v="M"/>
    <n v="7.0000000000000007E-2"/>
    <n v="331.73700000000008"/>
    <s v="DoD FY2026 Budget"/>
    <m/>
    <m/>
  </r>
  <r>
    <x v="6"/>
    <x v="2"/>
    <s v="USAF"/>
    <s v="US"/>
    <s v="RDT&amp;E"/>
    <x v="0"/>
    <x v="11"/>
    <m/>
    <m/>
    <m/>
    <m/>
    <n v="4739.1000000000004"/>
    <s v="M"/>
    <n v="0.03"/>
    <n v="142.173"/>
    <s v="DoD FY2026 Budget"/>
    <m/>
    <m/>
  </r>
  <r>
    <x v="6"/>
    <x v="2"/>
    <s v="USAF"/>
    <s v="US"/>
    <s v="Procurement"/>
    <x v="6"/>
    <x v="9"/>
    <m/>
    <m/>
    <n v="0"/>
    <m/>
    <n v="5551.2"/>
    <s v="M"/>
    <n v="0.85"/>
    <n v="4718.5199999999995"/>
    <s v="DoD FY2026 Budget"/>
    <m/>
    <m/>
  </r>
  <r>
    <x v="6"/>
    <x v="2"/>
    <s v="USAF"/>
    <s v="US"/>
    <s v="Procurement"/>
    <x v="0"/>
    <x v="2"/>
    <m/>
    <m/>
    <n v="0"/>
    <m/>
    <n v="5551.2"/>
    <s v="M"/>
    <n v="0.1"/>
    <n v="555.12"/>
    <s v="DoD FY2026 Budget"/>
    <m/>
    <m/>
  </r>
  <r>
    <x v="6"/>
    <x v="2"/>
    <s v="USAF"/>
    <s v="US"/>
    <s v="Procurement"/>
    <x v="0"/>
    <x v="11"/>
    <m/>
    <m/>
    <n v="0"/>
    <m/>
    <n v="5551.2"/>
    <s v="M"/>
    <n v="0.05"/>
    <n v="277.56"/>
    <s v="DoD FY2026 Budget"/>
    <m/>
    <m/>
  </r>
  <r>
    <x v="7"/>
    <x v="0"/>
    <s v="USAF"/>
    <s v="US"/>
    <s v="RDT&amp;E"/>
    <x v="3"/>
    <x v="4"/>
    <m/>
    <m/>
    <m/>
    <m/>
    <n v="1954.7"/>
    <s v="M"/>
    <n v="0.85"/>
    <n v="1661.4949999999999"/>
    <s v="DoD FY2026 Budget"/>
    <m/>
    <m/>
  </r>
  <r>
    <x v="7"/>
    <x v="0"/>
    <s v="USAF"/>
    <s v="US"/>
    <s v="RDT&amp;E"/>
    <x v="0"/>
    <x v="2"/>
    <m/>
    <m/>
    <m/>
    <m/>
    <n v="1954.7"/>
    <s v="M"/>
    <n v="0.1"/>
    <n v="195.47000000000003"/>
    <s v="DoD FY2026 Budget"/>
    <m/>
    <m/>
  </r>
  <r>
    <x v="7"/>
    <x v="0"/>
    <s v="USAF"/>
    <s v="US"/>
    <s v="RDT&amp;E"/>
    <x v="0"/>
    <x v="0"/>
    <m/>
    <m/>
    <m/>
    <m/>
    <n v="1954.7"/>
    <s v="M"/>
    <n v="0.05"/>
    <n v="97.735000000000014"/>
    <s v="DoD FY2026 Budget"/>
    <m/>
    <m/>
  </r>
  <r>
    <x v="7"/>
    <x v="1"/>
    <s v="USAF"/>
    <s v="US"/>
    <s v="RDT&amp;E"/>
    <x v="3"/>
    <x v="4"/>
    <m/>
    <m/>
    <m/>
    <m/>
    <n v="2424.1999999999998"/>
    <s v="M"/>
    <n v="0.85"/>
    <n v="2060.5699999999997"/>
    <s v="DoD FY2026 Budget"/>
    <m/>
    <m/>
  </r>
  <r>
    <x v="7"/>
    <x v="1"/>
    <s v="USAF"/>
    <s v="US"/>
    <s v="RDT&amp;E"/>
    <x v="0"/>
    <x v="2"/>
    <m/>
    <m/>
    <m/>
    <m/>
    <n v="2424.1999999999998"/>
    <s v="M"/>
    <n v="0.1"/>
    <n v="242.42"/>
    <s v="DoD FY2026 Budget"/>
    <m/>
    <m/>
  </r>
  <r>
    <x v="7"/>
    <x v="1"/>
    <s v="USAF"/>
    <s v="US"/>
    <s v="RDT&amp;E"/>
    <x v="0"/>
    <x v="0"/>
    <m/>
    <m/>
    <m/>
    <m/>
    <n v="2424.1999999999998"/>
    <s v="M"/>
    <n v="0.05"/>
    <n v="121.21"/>
    <s v="DoD FY2026 Budget"/>
    <m/>
    <m/>
  </r>
  <r>
    <x v="7"/>
    <x v="2"/>
    <s v="USAF"/>
    <s v="US"/>
    <s v="RDT&amp;E"/>
    <x v="3"/>
    <x v="4"/>
    <m/>
    <m/>
    <m/>
    <m/>
    <n v="3479.4"/>
    <s v="M"/>
    <n v="0.85"/>
    <n v="2957.49"/>
    <s v="DoD FY2026 Budget"/>
    <m/>
    <m/>
  </r>
  <r>
    <x v="7"/>
    <x v="2"/>
    <s v="USAF"/>
    <s v="US"/>
    <s v="RDT&amp;E"/>
    <x v="0"/>
    <x v="2"/>
    <m/>
    <m/>
    <m/>
    <m/>
    <n v="3479.4"/>
    <s v="M"/>
    <n v="0.1"/>
    <n v="347.94000000000005"/>
    <s v="DoD FY2026 Budget"/>
    <m/>
    <m/>
  </r>
  <r>
    <x v="7"/>
    <x v="2"/>
    <s v="USAF"/>
    <s v="US"/>
    <s v="RDT&amp;E"/>
    <x v="0"/>
    <x v="0"/>
    <m/>
    <m/>
    <m/>
    <m/>
    <n v="3479.4"/>
    <m/>
    <n v="0.05"/>
    <n v="173.97000000000003"/>
    <s v="DoD FY2026 Budget"/>
    <m/>
    <m/>
  </r>
  <r>
    <x v="8"/>
    <x v="0"/>
    <s v="US Army"/>
    <s v="US"/>
    <s v="RDT&amp;E"/>
    <x v="0"/>
    <x v="0"/>
    <m/>
    <m/>
    <m/>
    <m/>
    <n v="760.1"/>
    <m/>
    <n v="0.55000000000000004"/>
    <n v="418.05500000000006"/>
    <s v="DoD FY2026 Budget"/>
    <m/>
    <m/>
  </r>
  <r>
    <x v="8"/>
    <x v="0"/>
    <s v="US Army"/>
    <s v="US"/>
    <s v="RDT&amp;E"/>
    <x v="1"/>
    <x v="12"/>
    <m/>
    <m/>
    <m/>
    <m/>
    <n v="760.1"/>
    <m/>
    <n v="0.45"/>
    <n v="342.04500000000002"/>
    <s v="DoD FY2026 Budget"/>
    <m/>
    <m/>
  </r>
  <r>
    <x v="8"/>
    <x v="0"/>
    <s v="US Army"/>
    <s v="US"/>
    <s v="Procurement"/>
    <x v="0"/>
    <x v="0"/>
    <m/>
    <m/>
    <n v="0"/>
    <m/>
    <n v="418.6"/>
    <m/>
    <n v="0.6"/>
    <n v="251.16"/>
    <s v="DoD FY2026 Budget"/>
    <m/>
    <m/>
  </r>
  <r>
    <x v="8"/>
    <x v="0"/>
    <s v="US Army"/>
    <s v="US"/>
    <s v="Procurement"/>
    <x v="1"/>
    <x v="12"/>
    <m/>
    <m/>
    <n v="0"/>
    <m/>
    <n v="418.6"/>
    <m/>
    <n v="0.4"/>
    <n v="167.44000000000003"/>
    <s v="DoD FY2026 Budget"/>
    <m/>
    <m/>
  </r>
  <r>
    <x v="8"/>
    <x v="1"/>
    <s v="US Army"/>
    <s v="US"/>
    <s v="RDT&amp;E"/>
    <x v="0"/>
    <x v="0"/>
    <m/>
    <m/>
    <m/>
    <m/>
    <n v="337.5"/>
    <m/>
    <n v="0.55000000000000004"/>
    <n v="185.62500000000003"/>
    <s v="DoD FY2026 Budget"/>
    <m/>
    <m/>
  </r>
  <r>
    <x v="8"/>
    <x v="1"/>
    <s v="US Army"/>
    <s v="US"/>
    <s v="RDT&amp;E"/>
    <x v="1"/>
    <x v="12"/>
    <m/>
    <m/>
    <m/>
    <m/>
    <n v="337.5"/>
    <m/>
    <n v="0.45"/>
    <n v="151.875"/>
    <s v="DoD FY2026 Budget"/>
    <m/>
    <m/>
  </r>
  <r>
    <x v="8"/>
    <x v="1"/>
    <s v="US Army"/>
    <s v="US"/>
    <s v="Procurement"/>
    <x v="0"/>
    <x v="0"/>
    <m/>
    <m/>
    <n v="0"/>
    <m/>
    <n v="566.29999999999995"/>
    <m/>
    <n v="0.6"/>
    <n v="339.78"/>
    <s v="DoD FY2026 Budget"/>
    <m/>
    <m/>
  </r>
  <r>
    <x v="8"/>
    <x v="1"/>
    <s v="US Army"/>
    <s v="US"/>
    <s v="Procurement"/>
    <x v="1"/>
    <x v="12"/>
    <m/>
    <m/>
    <n v="0"/>
    <m/>
    <n v="566.29999999999995"/>
    <m/>
    <n v="0.4"/>
    <n v="226.51999999999998"/>
    <s v="DoD FY2026 Budget"/>
    <m/>
    <m/>
  </r>
  <r>
    <x v="8"/>
    <x v="2"/>
    <s v="US Army"/>
    <s v="US"/>
    <s v="RDT&amp;E"/>
    <x v="0"/>
    <x v="0"/>
    <m/>
    <m/>
    <m/>
    <m/>
    <n v="480.4"/>
    <m/>
    <n v="0.55000000000000004"/>
    <n v="264.22000000000003"/>
    <s v="DoD FY2026 Budget"/>
    <m/>
    <m/>
  </r>
  <r>
    <x v="8"/>
    <x v="2"/>
    <s v="US Army"/>
    <s v="US"/>
    <s v="RDT&amp;E"/>
    <x v="1"/>
    <x v="12"/>
    <m/>
    <m/>
    <m/>
    <m/>
    <n v="480.4"/>
    <m/>
    <n v="0.45"/>
    <n v="216.18"/>
    <s v="DoD FY2026 Budget"/>
    <m/>
    <m/>
  </r>
  <r>
    <x v="8"/>
    <x v="2"/>
    <s v="US Army"/>
    <s v="US"/>
    <s v="Procurement"/>
    <x v="0"/>
    <x v="0"/>
    <m/>
    <m/>
    <n v="0"/>
    <m/>
    <n v="2019.9"/>
    <m/>
    <n v="0.6"/>
    <n v="1211.94"/>
    <s v="DoD FY2026 Budget"/>
    <m/>
    <m/>
  </r>
  <r>
    <x v="8"/>
    <x v="2"/>
    <s v="US Army"/>
    <s v="US"/>
    <s v="Procurement"/>
    <x v="1"/>
    <x v="12"/>
    <m/>
    <m/>
    <n v="0"/>
    <m/>
    <n v="2019.9"/>
    <m/>
    <n v="0.4"/>
    <n v="807.96"/>
    <s v="DoD FY2026 Budget"/>
    <m/>
    <m/>
  </r>
  <r>
    <x v="9"/>
    <x v="0"/>
    <s v="USAF"/>
    <s v="US"/>
    <s v="RDT&amp;E"/>
    <x v="8"/>
    <x v="9"/>
    <m/>
    <m/>
    <m/>
    <m/>
    <n v="392"/>
    <s v="M"/>
    <n v="0.6"/>
    <n v="235.2"/>
    <s v="DoD FY2026 Budget"/>
    <m/>
    <m/>
  </r>
  <r>
    <x v="9"/>
    <x v="0"/>
    <s v="USAF"/>
    <s v="US"/>
    <s v="RDT&amp;E"/>
    <x v="10"/>
    <x v="10"/>
    <m/>
    <m/>
    <m/>
    <m/>
    <n v="392"/>
    <s v="M"/>
    <n v="0.4"/>
    <n v="156.80000000000001"/>
    <s v="DoD FY2026 Budget"/>
    <m/>
    <m/>
  </r>
  <r>
    <x v="9"/>
    <x v="1"/>
    <s v="USAF"/>
    <s v="US"/>
    <s v="RDT&amp;E"/>
    <x v="8"/>
    <x v="9"/>
    <m/>
    <m/>
    <m/>
    <m/>
    <n v="711.7"/>
    <s v="M"/>
    <n v="0.6"/>
    <n v="427.02000000000004"/>
    <s v="DoD FY2026 Budget"/>
    <m/>
    <m/>
  </r>
  <r>
    <x v="9"/>
    <x v="1"/>
    <s v="USAF"/>
    <s v="US"/>
    <s v="RDT&amp;E"/>
    <x v="10"/>
    <x v="10"/>
    <m/>
    <m/>
    <m/>
    <m/>
    <n v="711.7"/>
    <s v="M"/>
    <n v="0.4"/>
    <n v="284.68"/>
    <s v="DoD FY2026 Budget"/>
    <m/>
    <m/>
  </r>
  <r>
    <x v="9"/>
    <x v="2"/>
    <s v="USAF"/>
    <s v="US"/>
    <s v="RDT&amp;E"/>
    <x v="8"/>
    <x v="9"/>
    <m/>
    <m/>
    <m/>
    <m/>
    <n v="678"/>
    <s v="M"/>
    <n v="0.6"/>
    <n v="406.8"/>
    <s v="DoD FY2026 Budget"/>
    <m/>
    <m/>
  </r>
  <r>
    <x v="9"/>
    <x v="2"/>
    <s v="USAF"/>
    <s v="US"/>
    <s v="RDT&amp;E"/>
    <x v="10"/>
    <x v="10"/>
    <m/>
    <m/>
    <m/>
    <m/>
    <n v="678"/>
    <s v="M"/>
    <n v="0.4"/>
    <n v="271.2"/>
    <s v="DoD FY2026 Budget"/>
    <m/>
    <m/>
  </r>
  <r>
    <x v="9"/>
    <x v="2"/>
    <s v="USAF"/>
    <s v="US"/>
    <s v="Procurement"/>
    <x v="8"/>
    <x v="9"/>
    <m/>
    <m/>
    <n v="0"/>
    <m/>
    <n v="15"/>
    <s v="M"/>
    <n v="0.65"/>
    <n v="9.75"/>
    <s v="DoD FY2026 Budget"/>
    <m/>
    <m/>
  </r>
  <r>
    <x v="9"/>
    <x v="2"/>
    <s v="USAF"/>
    <s v="US"/>
    <s v="Procurement"/>
    <x v="10"/>
    <x v="10"/>
    <m/>
    <m/>
    <n v="0"/>
    <m/>
    <n v="15"/>
    <s v="M"/>
    <n v="0.35"/>
    <n v="5.25"/>
    <s v="DoD FY2026 Budget"/>
    <m/>
    <m/>
  </r>
  <r>
    <x v="10"/>
    <x v="0"/>
    <s v="USAF"/>
    <s v="US"/>
    <s v="RDT&amp;E"/>
    <x v="3"/>
    <x v="4"/>
    <m/>
    <m/>
    <m/>
    <m/>
    <n v="155.30000000000001"/>
    <m/>
    <n v="0.73"/>
    <n v="113.369"/>
    <s v="DoD FY2026 Budget"/>
    <m/>
    <m/>
  </r>
  <r>
    <x v="10"/>
    <x v="0"/>
    <s v="USAF"/>
    <s v="US"/>
    <s v="RDT&amp;E"/>
    <x v="0"/>
    <x v="11"/>
    <m/>
    <m/>
    <m/>
    <m/>
    <n v="155.30000000000001"/>
    <m/>
    <n v="0.27"/>
    <n v="41.931000000000004"/>
    <s v="DoD FY2026 Budget"/>
    <m/>
    <m/>
  </r>
  <r>
    <x v="10"/>
    <x v="1"/>
    <s v="USAF"/>
    <s v="US"/>
    <s v="RDT&amp;E"/>
    <x v="3"/>
    <x v="4"/>
    <m/>
    <m/>
    <m/>
    <m/>
    <n v="214.8"/>
    <m/>
    <n v="0.73"/>
    <n v="156.804"/>
    <s v="DoD FY2026 Budget"/>
    <m/>
    <m/>
  </r>
  <r>
    <x v="10"/>
    <x v="1"/>
    <s v="USAF"/>
    <s v="US"/>
    <s v="RDT&amp;E"/>
    <x v="0"/>
    <x v="11"/>
    <m/>
    <m/>
    <m/>
    <m/>
    <n v="214.8"/>
    <m/>
    <n v="0.27"/>
    <n v="57.996000000000009"/>
    <s v="DoD FY2026 Budget"/>
    <m/>
    <m/>
  </r>
  <r>
    <x v="10"/>
    <x v="2"/>
    <s v="USAF"/>
    <s v="US"/>
    <s v="RDT&amp;E"/>
    <x v="3"/>
    <x v="4"/>
    <m/>
    <m/>
    <m/>
    <m/>
    <n v="313.39999999999998"/>
    <m/>
    <n v="0.73"/>
    <n v="228.78199999999998"/>
    <s v="DoD FY2026 Budget"/>
    <m/>
    <m/>
  </r>
  <r>
    <x v="10"/>
    <x v="2"/>
    <s v="USAF"/>
    <s v="US"/>
    <s v="RDT&amp;E"/>
    <x v="0"/>
    <x v="11"/>
    <m/>
    <m/>
    <m/>
    <m/>
    <n v="313.39999999999998"/>
    <m/>
    <n v="0.27"/>
    <n v="84.617999999999995"/>
    <s v="DoD FY2026 Budget"/>
    <m/>
    <m/>
  </r>
  <r>
    <x v="10"/>
    <x v="0"/>
    <s v="USAF"/>
    <s v="US"/>
    <s v="Procurement"/>
    <x v="3"/>
    <x v="4"/>
    <m/>
    <m/>
    <m/>
    <m/>
    <n v="3051.5"/>
    <m/>
    <n v="0.69"/>
    <n v="2105.5349999999999"/>
    <s v="DoD FY2026 Budget"/>
    <m/>
    <m/>
  </r>
  <r>
    <x v="10"/>
    <x v="0"/>
    <s v="USAF"/>
    <s v="US"/>
    <s v="Procurement"/>
    <x v="0"/>
    <x v="11"/>
    <m/>
    <m/>
    <m/>
    <m/>
    <n v="3051.5"/>
    <m/>
    <n v="0.31"/>
    <n v="945.96500000000003"/>
    <s v="DoD FY2026 Budget"/>
    <m/>
    <m/>
  </r>
  <r>
    <x v="10"/>
    <x v="1"/>
    <s v="USAF"/>
    <s v="US"/>
    <s v="Procurement"/>
    <x v="3"/>
    <x v="4"/>
    <m/>
    <m/>
    <m/>
    <m/>
    <n v="2155.4"/>
    <m/>
    <n v="0.69"/>
    <n v="1487.2259999999999"/>
    <s v="DoD FY2026 Budget"/>
    <m/>
    <m/>
  </r>
  <r>
    <x v="10"/>
    <x v="1"/>
    <s v="USAF"/>
    <s v="US"/>
    <s v="Procurement"/>
    <x v="0"/>
    <x v="11"/>
    <m/>
    <m/>
    <m/>
    <m/>
    <n v="2155.4"/>
    <m/>
    <n v="0.31"/>
    <n v="668.17399999999998"/>
    <s v="DoD FY2026 Budget"/>
    <m/>
    <m/>
  </r>
  <r>
    <x v="10"/>
    <x v="2"/>
    <s v="USAF"/>
    <s v="US"/>
    <s v="Procurement"/>
    <x v="3"/>
    <x v="4"/>
    <m/>
    <m/>
    <m/>
    <m/>
    <n v="3486.7"/>
    <m/>
    <n v="0.69"/>
    <n v="2405.8229999999999"/>
    <s v="DoD FY2026 Budget"/>
    <m/>
    <m/>
  </r>
  <r>
    <x v="10"/>
    <x v="2"/>
    <s v="USAF"/>
    <s v="US"/>
    <s v="Procurement"/>
    <x v="0"/>
    <x v="11"/>
    <m/>
    <m/>
    <m/>
    <m/>
    <n v="3486.7"/>
    <m/>
    <n v="0.31"/>
    <n v="1080.877"/>
    <s v="DoD FY2026 Budget"/>
    <m/>
    <m/>
  </r>
  <r>
    <x v="11"/>
    <x v="0"/>
    <s v="USAF"/>
    <s v="US"/>
    <s v="RDT&amp;E"/>
    <x v="1"/>
    <x v="1"/>
    <m/>
    <m/>
    <m/>
    <m/>
    <n v="640.1"/>
    <m/>
    <n v="0.7"/>
    <n v="448.07"/>
    <s v="DoD FY2026 Budget"/>
    <m/>
    <m/>
  </r>
  <r>
    <x v="11"/>
    <x v="0"/>
    <s v="USAF"/>
    <s v="US"/>
    <s v="RDT&amp;E"/>
    <x v="0"/>
    <x v="2"/>
    <m/>
    <m/>
    <m/>
    <m/>
    <n v="640.1"/>
    <m/>
    <n v="0.3"/>
    <n v="192.03"/>
    <s v="DoD FY2026 Budget"/>
    <m/>
    <m/>
  </r>
  <r>
    <x v="11"/>
    <x v="1"/>
    <s v="USAF"/>
    <s v="US"/>
    <s v="RDT&amp;E"/>
    <x v="1"/>
    <x v="1"/>
    <m/>
    <m/>
    <m/>
    <m/>
    <n v="758.8"/>
    <m/>
    <n v="0.7"/>
    <n v="531.16"/>
    <s v="DoD FY2026 Budget"/>
    <m/>
    <m/>
  </r>
  <r>
    <x v="11"/>
    <x v="1"/>
    <s v="USAF"/>
    <s v="US"/>
    <s v="RDT&amp;E"/>
    <x v="0"/>
    <x v="2"/>
    <m/>
    <m/>
    <m/>
    <m/>
    <n v="758.8"/>
    <m/>
    <n v="0.3"/>
    <n v="227.64"/>
    <s v="DoD FY2026 Budget"/>
    <m/>
    <m/>
  </r>
  <r>
    <x v="11"/>
    <x v="2"/>
    <s v="USAF"/>
    <s v="US"/>
    <s v="RDT&amp;E"/>
    <x v="1"/>
    <x v="1"/>
    <m/>
    <m/>
    <m/>
    <m/>
    <n v="852.3"/>
    <m/>
    <n v="0.7"/>
    <n v="596.6099999999999"/>
    <s v="DoD FY2026 Budget"/>
    <m/>
    <m/>
  </r>
  <r>
    <x v="11"/>
    <x v="2"/>
    <s v="USAF"/>
    <s v="US"/>
    <s v="RDT&amp;E"/>
    <x v="0"/>
    <x v="2"/>
    <m/>
    <m/>
    <m/>
    <m/>
    <n v="852.3"/>
    <m/>
    <n v="0.3"/>
    <n v="255.68999999999997"/>
    <s v="DoD FY2026 Budget"/>
    <m/>
    <m/>
  </r>
  <r>
    <x v="11"/>
    <x v="0"/>
    <s v="USAF"/>
    <s v="US"/>
    <s v="Procurement"/>
    <x v="1"/>
    <x v="1"/>
    <m/>
    <m/>
    <n v="0"/>
    <m/>
    <n v="414.1"/>
    <m/>
    <n v="0.65"/>
    <n v="269.16500000000002"/>
    <s v="DoD FY2026 Budget"/>
    <m/>
    <m/>
  </r>
  <r>
    <x v="11"/>
    <x v="0"/>
    <s v="USAF"/>
    <s v="US"/>
    <s v="Procurement"/>
    <x v="0"/>
    <x v="2"/>
    <m/>
    <m/>
    <n v="0"/>
    <m/>
    <n v="414.1"/>
    <m/>
    <n v="0.35"/>
    <n v="144.935"/>
    <s v="DoD FY2026 Budget"/>
    <m/>
    <m/>
  </r>
  <r>
    <x v="11"/>
    <x v="1"/>
    <s v="USAF"/>
    <s v="US"/>
    <s v="Procurement"/>
    <x v="1"/>
    <x v="1"/>
    <m/>
    <m/>
    <n v="0"/>
    <m/>
    <n v="891.6"/>
    <m/>
    <n v="0.65"/>
    <n v="579.54000000000008"/>
    <s v="DoD FY2026 Budget"/>
    <m/>
    <m/>
  </r>
  <r>
    <x v="11"/>
    <x v="1"/>
    <s v="USAF"/>
    <s v="US"/>
    <s v="Procurement"/>
    <x v="0"/>
    <x v="2"/>
    <m/>
    <m/>
    <n v="0"/>
    <m/>
    <n v="891.6"/>
    <m/>
    <n v="0.35"/>
    <n v="312.06"/>
    <s v="DoD FY2026 Budget"/>
    <m/>
    <m/>
  </r>
  <r>
    <x v="11"/>
    <x v="2"/>
    <s v="USAF"/>
    <s v="US"/>
    <s v="Procurement"/>
    <x v="1"/>
    <x v="1"/>
    <m/>
    <m/>
    <n v="0"/>
    <m/>
    <n v="1161.8"/>
    <m/>
    <n v="0.65"/>
    <n v="755.17"/>
    <s v="DoD FY2026 Budget"/>
    <m/>
    <m/>
  </r>
  <r>
    <x v="11"/>
    <x v="2"/>
    <s v="USAF"/>
    <s v="US"/>
    <s v="Procurement"/>
    <x v="0"/>
    <x v="2"/>
    <m/>
    <m/>
    <n v="0"/>
    <m/>
    <n v="1161.8"/>
    <m/>
    <n v="0.35"/>
    <n v="406.62999999999994"/>
    <s v="DoD FY2026 Budget"/>
    <m/>
    <m/>
  </r>
  <r>
    <x v="12"/>
    <x v="0"/>
    <s v="USAF"/>
    <s v="US"/>
    <s v="RDT&amp;E"/>
    <x v="3"/>
    <x v="4"/>
    <m/>
    <m/>
    <m/>
    <m/>
    <n v="78.7"/>
    <m/>
    <n v="0.9"/>
    <n v="70.83"/>
    <m/>
    <m/>
    <m/>
  </r>
  <r>
    <x v="12"/>
    <x v="0"/>
    <s v="USAF"/>
    <s v="US"/>
    <s v="RDT&amp;E"/>
    <x v="0"/>
    <x v="11"/>
    <m/>
    <m/>
    <m/>
    <m/>
    <n v="78.7"/>
    <m/>
    <n v="0.1"/>
    <n v="7.870000000000001"/>
    <m/>
    <m/>
    <m/>
  </r>
  <r>
    <x v="12"/>
    <x v="1"/>
    <s v="USAF"/>
    <s v="US"/>
    <s v="RDT&amp;E"/>
    <x v="3"/>
    <x v="4"/>
    <m/>
    <m/>
    <m/>
    <m/>
    <n v="77.8"/>
    <m/>
    <n v="0.9"/>
    <n v="70.02"/>
    <m/>
    <m/>
    <m/>
  </r>
  <r>
    <x v="12"/>
    <x v="1"/>
    <s v="USAF"/>
    <s v="US"/>
    <s v="RDT&amp;E"/>
    <x v="0"/>
    <x v="11"/>
    <m/>
    <m/>
    <m/>
    <m/>
    <n v="77.8"/>
    <m/>
    <n v="0.1"/>
    <n v="7.78"/>
    <m/>
    <m/>
    <m/>
  </r>
  <r>
    <x v="12"/>
    <x v="2"/>
    <s v="USAF"/>
    <s v="US"/>
    <s v="RDT&amp;E"/>
    <x v="3"/>
    <x v="4"/>
    <m/>
    <m/>
    <m/>
    <m/>
    <n v="121.6"/>
    <m/>
    <n v="0.9"/>
    <n v="109.44"/>
    <m/>
    <m/>
    <m/>
  </r>
  <r>
    <x v="12"/>
    <x v="2"/>
    <s v="USAF"/>
    <s v="US"/>
    <s v="RDT&amp;E"/>
    <x v="0"/>
    <x v="11"/>
    <m/>
    <m/>
    <m/>
    <m/>
    <n v="121.6"/>
    <m/>
    <n v="0.1"/>
    <n v="12.16"/>
    <m/>
    <m/>
    <m/>
  </r>
  <r>
    <x v="12"/>
    <x v="0"/>
    <s v="USAF"/>
    <s v="US"/>
    <s v="Procurement"/>
    <x v="3"/>
    <x v="4"/>
    <m/>
    <m/>
    <n v="15"/>
    <m/>
    <n v="2943"/>
    <m/>
    <n v="0.85"/>
    <n v="2501.5499999999997"/>
    <m/>
    <m/>
    <m/>
  </r>
  <r>
    <x v="12"/>
    <x v="0"/>
    <s v="USAF"/>
    <s v="US"/>
    <s v="Procurement"/>
    <x v="0"/>
    <x v="11"/>
    <m/>
    <m/>
    <n v="15"/>
    <m/>
    <n v="2943"/>
    <m/>
    <n v="0.15"/>
    <n v="441.45"/>
    <m/>
    <m/>
    <m/>
  </r>
  <r>
    <x v="12"/>
    <x v="1"/>
    <s v="USAF"/>
    <s v="US"/>
    <s v="Procurement"/>
    <x v="3"/>
    <x v="4"/>
    <m/>
    <m/>
    <n v="15"/>
    <m/>
    <n v="2986.4"/>
    <m/>
    <n v="0.85"/>
    <n v="2538.44"/>
    <m/>
    <m/>
    <m/>
  </r>
  <r>
    <x v="12"/>
    <x v="1"/>
    <s v="USAF"/>
    <s v="US"/>
    <s v="Procurement"/>
    <x v="0"/>
    <x v="11"/>
    <m/>
    <m/>
    <n v="15"/>
    <m/>
    <n v="2986.4"/>
    <m/>
    <n v="0.15"/>
    <n v="447.96"/>
    <m/>
    <m/>
    <m/>
  </r>
  <r>
    <x v="12"/>
    <x v="2"/>
    <s v="USAF"/>
    <s v="US"/>
    <s v="Procurement"/>
    <x v="3"/>
    <x v="4"/>
    <m/>
    <m/>
    <n v="15"/>
    <m/>
    <n v="3143.1"/>
    <m/>
    <n v="0.85"/>
    <n v="2671.6349999999998"/>
    <m/>
    <m/>
    <m/>
  </r>
  <r>
    <x v="12"/>
    <x v="2"/>
    <s v="USAF"/>
    <s v="US"/>
    <s v="Procurement"/>
    <x v="0"/>
    <x v="11"/>
    <m/>
    <m/>
    <n v="15"/>
    <m/>
    <n v="3143.1"/>
    <m/>
    <n v="0.15"/>
    <n v="471.46499999999997"/>
    <m/>
    <m/>
    <m/>
  </r>
  <r>
    <x v="13"/>
    <x v="0"/>
    <s v="USAF"/>
    <s v="US"/>
    <s v="RDT&amp;E"/>
    <x v="6"/>
    <x v="9"/>
    <m/>
    <m/>
    <m/>
    <m/>
    <n v="975.6"/>
    <m/>
    <n v="0.6"/>
    <n v="585.36"/>
    <m/>
    <m/>
    <m/>
  </r>
  <r>
    <x v="13"/>
    <x v="0"/>
    <s v="USAF"/>
    <s v="US"/>
    <s v="RDT&amp;E"/>
    <x v="3"/>
    <x v="4"/>
    <m/>
    <m/>
    <m/>
    <m/>
    <n v="975.6"/>
    <m/>
    <n v="0.4"/>
    <n v="390.24"/>
    <m/>
    <m/>
    <m/>
  </r>
  <r>
    <x v="13"/>
    <x v="1"/>
    <s v="USAF"/>
    <s v="US"/>
    <s v="RDT&amp;E"/>
    <x v="6"/>
    <x v="9"/>
    <m/>
    <m/>
    <m/>
    <m/>
    <n v="1106.9000000000001"/>
    <m/>
    <n v="0.6"/>
    <n v="664.14"/>
    <m/>
    <m/>
    <m/>
  </r>
  <r>
    <x v="13"/>
    <x v="1"/>
    <s v="USAF"/>
    <s v="US"/>
    <s v="RDT&amp;E"/>
    <x v="3"/>
    <x v="4"/>
    <m/>
    <m/>
    <m/>
    <m/>
    <n v="1106.9000000000001"/>
    <m/>
    <n v="0.4"/>
    <n v="442.76000000000005"/>
    <m/>
    <m/>
    <m/>
  </r>
  <r>
    <x v="13"/>
    <x v="2"/>
    <s v="USAF"/>
    <s v="US"/>
    <s v="RDT&amp;E"/>
    <x v="6"/>
    <x v="9"/>
    <m/>
    <m/>
    <m/>
    <m/>
    <n v="1037.5"/>
    <m/>
    <n v="0.6"/>
    <n v="622.5"/>
    <m/>
    <m/>
    <m/>
  </r>
  <r>
    <x v="13"/>
    <x v="2"/>
    <s v="USAF"/>
    <s v="US"/>
    <s v="RDT&amp;E"/>
    <x v="3"/>
    <x v="4"/>
    <m/>
    <m/>
    <m/>
    <m/>
    <n v="1037.5"/>
    <m/>
    <n v="0.4"/>
    <n v="415"/>
    <m/>
    <m/>
    <m/>
  </r>
  <r>
    <x v="13"/>
    <x v="0"/>
    <s v="USAF"/>
    <s v="US"/>
    <s v="Procurement"/>
    <x v="6"/>
    <x v="9"/>
    <m/>
    <m/>
    <m/>
    <m/>
    <n v="174.2"/>
    <m/>
    <n v="0.5"/>
    <n v="87.1"/>
    <m/>
    <m/>
    <m/>
  </r>
  <r>
    <x v="13"/>
    <x v="0"/>
    <s v="USAF"/>
    <s v="US"/>
    <s v="Procurement"/>
    <x v="3"/>
    <x v="4"/>
    <m/>
    <m/>
    <m/>
    <m/>
    <n v="174.2"/>
    <m/>
    <n v="0.5"/>
    <n v="87.1"/>
    <m/>
    <m/>
    <m/>
  </r>
  <r>
    <x v="13"/>
    <x v="1"/>
    <s v="USAF"/>
    <s v="US"/>
    <s v="Procurement"/>
    <x v="6"/>
    <x v="9"/>
    <m/>
    <m/>
    <m/>
    <m/>
    <n v="208.1"/>
    <m/>
    <n v="0.5"/>
    <n v="104.05"/>
    <m/>
    <m/>
    <m/>
  </r>
  <r>
    <x v="13"/>
    <x v="1"/>
    <s v="USAF"/>
    <s v="US"/>
    <s v="Procurement"/>
    <x v="3"/>
    <x v="4"/>
    <m/>
    <m/>
    <m/>
    <m/>
    <n v="208.1"/>
    <m/>
    <n v="0.5"/>
    <n v="104.05"/>
    <m/>
    <m/>
    <m/>
  </r>
  <r>
    <x v="13"/>
    <x v="2"/>
    <s v="USAF"/>
    <s v="US"/>
    <s v="Procurement"/>
    <x v="6"/>
    <x v="9"/>
    <m/>
    <m/>
    <m/>
    <m/>
    <n v="437.5"/>
    <m/>
    <n v="0.5"/>
    <n v="218.75"/>
    <m/>
    <m/>
    <m/>
  </r>
  <r>
    <x v="13"/>
    <x v="2"/>
    <s v="USAF"/>
    <s v="US"/>
    <s v="Procurement"/>
    <x v="3"/>
    <x v="4"/>
    <m/>
    <m/>
    <m/>
    <m/>
    <n v="437.5"/>
    <m/>
    <n v="0.5"/>
    <n v="218.75"/>
    <m/>
    <m/>
    <m/>
  </r>
  <r>
    <x v="14"/>
    <x v="0"/>
    <s v="USMC"/>
    <s v="US"/>
    <s v="RDT&amp;E"/>
    <x v="1"/>
    <x v="13"/>
    <m/>
    <m/>
    <m/>
    <m/>
    <n v="154.1"/>
    <m/>
    <n v="0.9"/>
    <n v="138.69"/>
    <m/>
    <m/>
    <m/>
  </r>
  <r>
    <x v="14"/>
    <x v="0"/>
    <s v="USMC"/>
    <s v="US"/>
    <s v="RDT&amp;E"/>
    <x v="5"/>
    <x v="6"/>
    <m/>
    <m/>
    <m/>
    <m/>
    <n v="154.1"/>
    <m/>
    <n v="0.1"/>
    <n v="15.41"/>
    <m/>
    <m/>
    <m/>
  </r>
  <r>
    <x v="14"/>
    <x v="1"/>
    <s v="USMC"/>
    <s v="US"/>
    <s v="RDT&amp;E"/>
    <x v="1"/>
    <x v="13"/>
    <m/>
    <m/>
    <m/>
    <m/>
    <n v="71.400000000000006"/>
    <m/>
    <n v="0.9"/>
    <n v="64.260000000000005"/>
    <m/>
    <m/>
    <m/>
  </r>
  <r>
    <x v="14"/>
    <x v="1"/>
    <s v="USMC"/>
    <s v="US"/>
    <s v="RDT&amp;E"/>
    <x v="5"/>
    <x v="6"/>
    <m/>
    <m/>
    <m/>
    <m/>
    <n v="71.400000000000006"/>
    <m/>
    <n v="0.1"/>
    <n v="7.1400000000000006"/>
    <m/>
    <m/>
    <m/>
  </r>
  <r>
    <x v="14"/>
    <x v="2"/>
    <s v="USMC"/>
    <s v="US"/>
    <s v="RDT&amp;E"/>
    <x v="1"/>
    <x v="13"/>
    <m/>
    <m/>
    <m/>
    <m/>
    <n v="135.4"/>
    <m/>
    <n v="0.9"/>
    <n v="121.86000000000001"/>
    <m/>
    <m/>
    <m/>
  </r>
  <r>
    <x v="14"/>
    <x v="2"/>
    <s v="USMC"/>
    <s v="US"/>
    <s v="RDT&amp;E"/>
    <x v="5"/>
    <x v="6"/>
    <m/>
    <m/>
    <m/>
    <m/>
    <n v="135.4"/>
    <m/>
    <n v="0.1"/>
    <n v="13.540000000000001"/>
    <m/>
    <m/>
    <m/>
  </r>
  <r>
    <x v="14"/>
    <x v="0"/>
    <s v="USMC"/>
    <s v="US"/>
    <s v="Procurement"/>
    <x v="1"/>
    <x v="13"/>
    <m/>
    <m/>
    <n v="15"/>
    <m/>
    <n v="2352.1"/>
    <m/>
    <n v="0.85"/>
    <n v="1999.2849999999999"/>
    <m/>
    <m/>
    <m/>
  </r>
  <r>
    <x v="14"/>
    <x v="0"/>
    <s v="USMC"/>
    <s v="US"/>
    <s v="Procurement"/>
    <x v="5"/>
    <x v="6"/>
    <m/>
    <m/>
    <n v="15"/>
    <m/>
    <n v="2352.1"/>
    <m/>
    <n v="0.15"/>
    <n v="352.815"/>
    <m/>
    <m/>
    <m/>
  </r>
  <r>
    <x v="14"/>
    <x v="1"/>
    <s v="USMC"/>
    <s v="US"/>
    <s v="Procurement"/>
    <x v="1"/>
    <x v="13"/>
    <m/>
    <m/>
    <n v="20"/>
    <m/>
    <n v="2911.6"/>
    <m/>
    <n v="0.85"/>
    <n v="2474.8599999999997"/>
    <m/>
    <m/>
    <m/>
  </r>
  <r>
    <x v="14"/>
    <x v="1"/>
    <s v="USMC"/>
    <s v="US"/>
    <s v="Procurement"/>
    <x v="5"/>
    <x v="6"/>
    <m/>
    <m/>
    <n v="20"/>
    <m/>
    <n v="2911.6"/>
    <m/>
    <n v="0.15"/>
    <n v="436.73999999999995"/>
    <m/>
    <m/>
    <m/>
  </r>
  <r>
    <x v="14"/>
    <x v="2"/>
    <s v="USMC"/>
    <s v="US"/>
    <s v="Procurement"/>
    <x v="1"/>
    <x v="13"/>
    <m/>
    <m/>
    <n v="12"/>
    <m/>
    <n v="2342.1999999999998"/>
    <m/>
    <n v="0.85"/>
    <n v="1990.87"/>
    <m/>
    <m/>
    <m/>
  </r>
  <r>
    <x v="14"/>
    <x v="2"/>
    <s v="USMC"/>
    <s v="US"/>
    <s v="Procurement"/>
    <x v="5"/>
    <x v="6"/>
    <m/>
    <m/>
    <n v="12"/>
    <m/>
    <n v="2342.1999999999998"/>
    <m/>
    <n v="0.15"/>
    <n v="351.33"/>
    <m/>
    <m/>
    <m/>
  </r>
  <r>
    <x v="15"/>
    <x v="0"/>
    <s v="Joint Service"/>
    <s v="US"/>
    <s v="RDT&amp;E"/>
    <x v="2"/>
    <x v="3"/>
    <m/>
    <m/>
    <m/>
    <m/>
    <n v="1006"/>
    <m/>
    <n v="0.9"/>
    <n v="905.4"/>
    <m/>
    <m/>
    <m/>
  </r>
  <r>
    <x v="15"/>
    <x v="0"/>
    <s v="Joint Service"/>
    <s v="US"/>
    <s v="RDT&amp;E"/>
    <x v="0"/>
    <x v="2"/>
    <m/>
    <m/>
    <m/>
    <m/>
    <n v="1006"/>
    <m/>
    <n v="0.1"/>
    <n v="100.60000000000001"/>
    <m/>
    <m/>
    <m/>
  </r>
  <r>
    <x v="15"/>
    <x v="1"/>
    <s v="Joint Service"/>
    <s v="US"/>
    <s v="RDT&amp;E"/>
    <x v="2"/>
    <x v="3"/>
    <m/>
    <m/>
    <m/>
    <m/>
    <n v="1258.5999999999999"/>
    <m/>
    <n v="0.9"/>
    <n v="1132.74"/>
    <m/>
    <m/>
    <m/>
  </r>
  <r>
    <x v="15"/>
    <x v="1"/>
    <s v="Joint Service"/>
    <s v="US"/>
    <s v="RDT&amp;E"/>
    <x v="0"/>
    <x v="2"/>
    <m/>
    <m/>
    <m/>
    <m/>
    <n v="1258.5999999999999"/>
    <m/>
    <n v="0.1"/>
    <n v="125.86"/>
    <m/>
    <m/>
    <m/>
  </r>
  <r>
    <x v="15"/>
    <x v="2"/>
    <s v="Joint Service"/>
    <s v="US"/>
    <s v="RDT&amp;E"/>
    <x v="2"/>
    <x v="3"/>
    <m/>
    <m/>
    <m/>
    <m/>
    <n v="1248.5"/>
    <m/>
    <n v="0.9"/>
    <n v="1123.6500000000001"/>
    <m/>
    <m/>
    <m/>
  </r>
  <r>
    <x v="15"/>
    <x v="2"/>
    <s v="Joint Service"/>
    <s v="US"/>
    <s v="RDT&amp;E"/>
    <x v="0"/>
    <x v="2"/>
    <m/>
    <m/>
    <m/>
    <m/>
    <n v="1248.5"/>
    <m/>
    <n v="0.1"/>
    <n v="124.85000000000001"/>
    <m/>
    <m/>
    <m/>
  </r>
  <r>
    <x v="16"/>
    <x v="0"/>
    <s v="USN"/>
    <s v="US"/>
    <s v="RDT&amp;E"/>
    <x v="3"/>
    <x v="1"/>
    <m/>
    <m/>
    <m/>
    <m/>
    <n v="275.3"/>
    <m/>
    <n v="0.8"/>
    <n v="220.24"/>
    <m/>
    <m/>
    <m/>
  </r>
  <r>
    <x v="16"/>
    <x v="0"/>
    <s v="USN"/>
    <s v="US"/>
    <s v="RDT&amp;E"/>
    <x v="1"/>
    <x v="7"/>
    <m/>
    <m/>
    <m/>
    <m/>
    <n v="275.3"/>
    <m/>
    <n v="0.2"/>
    <n v="55.06"/>
    <m/>
    <m/>
    <m/>
  </r>
  <r>
    <x v="16"/>
    <x v="1"/>
    <s v="USN"/>
    <s v="US"/>
    <s v="RDT&amp;E"/>
    <x v="3"/>
    <x v="1"/>
    <m/>
    <m/>
    <m/>
    <m/>
    <n v="255"/>
    <m/>
    <n v="0.8"/>
    <n v="204"/>
    <m/>
    <m/>
    <m/>
  </r>
  <r>
    <x v="16"/>
    <x v="1"/>
    <s v="USN"/>
    <s v="US"/>
    <s v="RDT&amp;E"/>
    <x v="1"/>
    <x v="7"/>
    <m/>
    <m/>
    <m/>
    <m/>
    <n v="255"/>
    <m/>
    <n v="0.2"/>
    <n v="51"/>
    <m/>
    <m/>
    <m/>
  </r>
  <r>
    <x v="16"/>
    <x v="2"/>
    <s v="USN"/>
    <s v="US"/>
    <s v="RDT&amp;E"/>
    <x v="3"/>
    <x v="1"/>
    <m/>
    <m/>
    <m/>
    <m/>
    <n v="305.5"/>
    <m/>
    <n v="0.8"/>
    <n v="244.4"/>
    <m/>
    <m/>
    <m/>
  </r>
  <r>
    <x v="16"/>
    <x v="2"/>
    <s v="USN"/>
    <s v="US"/>
    <s v="RDT&amp;E"/>
    <x v="1"/>
    <x v="7"/>
    <m/>
    <m/>
    <m/>
    <m/>
    <n v="305.5"/>
    <m/>
    <n v="0.2"/>
    <n v="61.1"/>
    <m/>
    <m/>
    <m/>
  </r>
  <r>
    <x v="16"/>
    <x v="0"/>
    <s v="USN"/>
    <s v="US"/>
    <s v="Procurement"/>
    <x v="3"/>
    <x v="1"/>
    <m/>
    <m/>
    <n v="0"/>
    <m/>
    <n v="286.29999999999995"/>
    <m/>
    <n v="0.75"/>
    <n v="214.72499999999997"/>
    <m/>
    <m/>
    <m/>
  </r>
  <r>
    <x v="16"/>
    <x v="0"/>
    <s v="USN"/>
    <s v="US"/>
    <s v="Procurement"/>
    <x v="1"/>
    <x v="7"/>
    <m/>
    <m/>
    <n v="0"/>
    <m/>
    <n v="286.29999999999995"/>
    <m/>
    <n v="0.25"/>
    <n v="71.574999999999989"/>
    <m/>
    <m/>
    <m/>
  </r>
  <r>
    <x v="16"/>
    <x v="1"/>
    <s v="USN"/>
    <s v="US"/>
    <s v="Procurement"/>
    <x v="3"/>
    <x v="1"/>
    <m/>
    <m/>
    <n v="0"/>
    <m/>
    <n v="170"/>
    <m/>
    <n v="0.75"/>
    <n v="127.5"/>
    <m/>
    <m/>
    <m/>
  </r>
  <r>
    <x v="16"/>
    <x v="1"/>
    <s v="USN"/>
    <s v="US"/>
    <s v="Procurement"/>
    <x v="1"/>
    <x v="7"/>
    <m/>
    <m/>
    <n v="0"/>
    <m/>
    <n v="170"/>
    <m/>
    <n v="0.25"/>
    <n v="42.5"/>
    <m/>
    <m/>
    <m/>
  </r>
  <r>
    <x v="16"/>
    <x v="2"/>
    <s v="USN"/>
    <s v="US"/>
    <s v="Procurement"/>
    <x v="3"/>
    <x v="1"/>
    <m/>
    <m/>
    <n v="3"/>
    <m/>
    <n v="836.5"/>
    <m/>
    <n v="0.75"/>
    <n v="627.375"/>
    <m/>
    <m/>
    <m/>
  </r>
  <r>
    <x v="16"/>
    <x v="2"/>
    <s v="USN"/>
    <s v="US"/>
    <s v="Procurement"/>
    <x v="1"/>
    <x v="7"/>
    <m/>
    <m/>
    <n v="3"/>
    <m/>
    <n v="836.5"/>
    <m/>
    <n v="0.25"/>
    <n v="209.125"/>
    <m/>
    <m/>
    <m/>
  </r>
  <r>
    <x v="17"/>
    <x v="0"/>
    <s v="USN"/>
    <s v="US"/>
    <s v="RDT&amp;E"/>
    <x v="3"/>
    <x v="1"/>
    <s v="Airframe"/>
    <m/>
    <m/>
    <m/>
    <n v="310.8"/>
    <m/>
    <n v="0.85"/>
    <n v="264.18"/>
    <m/>
    <m/>
    <m/>
  </r>
  <r>
    <x v="17"/>
    <x v="0"/>
    <s v="USN"/>
    <s v="US"/>
    <s v="RDT&amp;E"/>
    <x v="5"/>
    <x v="14"/>
    <s v="Engine"/>
    <m/>
    <m/>
    <m/>
    <n v="310.8"/>
    <m/>
    <n v="0.15"/>
    <n v="46.62"/>
    <m/>
    <m/>
    <m/>
  </r>
  <r>
    <x v="17"/>
    <x v="1"/>
    <s v="USN"/>
    <s v="US"/>
    <s v="RDT&amp;E"/>
    <x v="3"/>
    <x v="1"/>
    <s v="Airframe"/>
    <m/>
    <m/>
    <m/>
    <n v="356.9"/>
    <m/>
    <n v="0.85"/>
    <n v="303.36499999999995"/>
    <m/>
    <m/>
    <m/>
  </r>
  <r>
    <x v="17"/>
    <x v="1"/>
    <s v="USN"/>
    <s v="US"/>
    <s v="RDT&amp;E"/>
    <x v="5"/>
    <x v="14"/>
    <s v="Engine"/>
    <m/>
    <m/>
    <m/>
    <n v="356.9"/>
    <m/>
    <n v="0.15"/>
    <n v="53.534999999999997"/>
    <m/>
    <m/>
    <m/>
  </r>
  <r>
    <x v="17"/>
    <x v="2"/>
    <s v="USN"/>
    <s v="US"/>
    <s v="RDT&amp;E"/>
    <x v="3"/>
    <x v="1"/>
    <s v="Airframe"/>
    <m/>
    <m/>
    <m/>
    <n v="369.9"/>
    <m/>
    <n v="0.85"/>
    <n v="314.41499999999996"/>
    <m/>
    <m/>
    <m/>
  </r>
  <r>
    <x v="17"/>
    <x v="2"/>
    <s v="USN"/>
    <s v="US"/>
    <s v="RDT&amp;E"/>
    <x v="5"/>
    <x v="14"/>
    <s v="Engine"/>
    <m/>
    <m/>
    <m/>
    <n v="369.9"/>
    <m/>
    <n v="0.15"/>
    <n v="55.484999999999992"/>
    <m/>
    <m/>
    <m/>
  </r>
  <r>
    <x v="17"/>
    <x v="0"/>
    <s v="USN"/>
    <s v="US"/>
    <s v="Procurement"/>
    <x v="3"/>
    <x v="1"/>
    <s v="Airframe"/>
    <m/>
    <m/>
    <m/>
    <n v="1488.2"/>
    <m/>
    <n v="0.85"/>
    <n v="1264.97"/>
    <m/>
    <m/>
    <m/>
  </r>
  <r>
    <x v="17"/>
    <x v="0"/>
    <s v="USN"/>
    <s v="US"/>
    <s v="Procurement"/>
    <x v="5"/>
    <x v="14"/>
    <s v="Engine"/>
    <m/>
    <m/>
    <m/>
    <n v="1488.2"/>
    <m/>
    <n v="0.15"/>
    <n v="223.23"/>
    <m/>
    <m/>
    <m/>
  </r>
  <r>
    <x v="17"/>
    <x v="1"/>
    <s v="USN"/>
    <s v="US"/>
    <s v="Procurement"/>
    <x v="3"/>
    <x v="1"/>
    <s v="Airframe"/>
    <m/>
    <m/>
    <m/>
    <n v="1303.2"/>
    <m/>
    <n v="0.85"/>
    <n v="1107.72"/>
    <m/>
    <m/>
    <m/>
  </r>
  <r>
    <x v="17"/>
    <x v="1"/>
    <s v="USN"/>
    <s v="US"/>
    <s v="Procurement"/>
    <x v="5"/>
    <x v="14"/>
    <s v="Engine"/>
    <m/>
    <m/>
    <m/>
    <n v="1303.2"/>
    <m/>
    <n v="0.15"/>
    <n v="195.48"/>
    <m/>
    <m/>
    <m/>
  </r>
  <r>
    <x v="17"/>
    <x v="2"/>
    <s v="USN"/>
    <s v="US"/>
    <s v="Procurement"/>
    <x v="3"/>
    <x v="1"/>
    <s v="Airframe"/>
    <m/>
    <m/>
    <m/>
    <n v="1612.4"/>
    <m/>
    <n v="0.85"/>
    <n v="1370.54"/>
    <m/>
    <m/>
    <m/>
  </r>
  <r>
    <x v="17"/>
    <x v="2"/>
    <s v="USN"/>
    <s v="US"/>
    <s v="Procurement"/>
    <x v="5"/>
    <x v="14"/>
    <s v="Engine"/>
    <m/>
    <m/>
    <m/>
    <n v="1612.4"/>
    <m/>
    <n v="0.15"/>
    <n v="241.86"/>
    <m/>
    <m/>
    <m/>
  </r>
  <r>
    <x v="18"/>
    <x v="0"/>
    <s v="USN"/>
    <s v="US"/>
    <s v="RDT&amp;E"/>
    <x v="6"/>
    <x v="9"/>
    <m/>
    <m/>
    <m/>
    <m/>
    <n v="365.2"/>
    <m/>
    <n v="0.7"/>
    <n v="255.64"/>
    <m/>
    <m/>
    <m/>
  </r>
  <r>
    <x v="18"/>
    <x v="0"/>
    <s v="USN"/>
    <s v="US"/>
    <s v="RDT&amp;E"/>
    <x v="4"/>
    <x v="5"/>
    <m/>
    <m/>
    <m/>
    <m/>
    <n v="365.2"/>
    <m/>
    <n v="0.15"/>
    <n v="54.779999999999994"/>
    <m/>
    <m/>
    <m/>
  </r>
  <r>
    <x v="18"/>
    <x v="0"/>
    <s v="USN"/>
    <s v="US"/>
    <s v="RDT&amp;E"/>
    <x v="1"/>
    <x v="7"/>
    <m/>
    <m/>
    <m/>
    <m/>
    <n v="365.2"/>
    <m/>
    <n v="0.15"/>
    <n v="54.779999999999994"/>
    <m/>
    <m/>
    <m/>
  </r>
  <r>
    <x v="18"/>
    <x v="1"/>
    <s v="USN"/>
    <s v="US"/>
    <s v="RDT&amp;E"/>
    <x v="6"/>
    <x v="9"/>
    <m/>
    <m/>
    <m/>
    <m/>
    <n v="288.3"/>
    <m/>
    <n v="0.7"/>
    <n v="201.81"/>
    <m/>
    <m/>
    <m/>
  </r>
  <r>
    <x v="18"/>
    <x v="1"/>
    <s v="USN"/>
    <s v="US"/>
    <s v="RDT&amp;E"/>
    <x v="4"/>
    <x v="5"/>
    <m/>
    <m/>
    <m/>
    <m/>
    <n v="288.3"/>
    <m/>
    <n v="0.15"/>
    <n v="43.244999999999997"/>
    <m/>
    <m/>
    <m/>
  </r>
  <r>
    <x v="18"/>
    <x v="1"/>
    <s v="USN"/>
    <s v="US"/>
    <s v="RDT&amp;E"/>
    <x v="1"/>
    <x v="7"/>
    <m/>
    <m/>
    <m/>
    <m/>
    <n v="288.3"/>
    <m/>
    <n v="0.15"/>
    <n v="43.244999999999997"/>
    <m/>
    <m/>
    <m/>
  </r>
  <r>
    <x v="18"/>
    <x v="2"/>
    <s v="USN"/>
    <s v="US"/>
    <s v="RDT&amp;E"/>
    <x v="6"/>
    <x v="9"/>
    <m/>
    <m/>
    <m/>
    <m/>
    <n v="350.3"/>
    <m/>
    <n v="0.7"/>
    <n v="245.20999999999998"/>
    <m/>
    <m/>
    <m/>
  </r>
  <r>
    <x v="18"/>
    <x v="2"/>
    <s v="USN"/>
    <s v="US"/>
    <s v="RDT&amp;E"/>
    <x v="4"/>
    <x v="5"/>
    <m/>
    <m/>
    <m/>
    <m/>
    <n v="350.3"/>
    <m/>
    <n v="0.15"/>
    <n v="52.545000000000002"/>
    <m/>
    <m/>
    <m/>
  </r>
  <r>
    <x v="18"/>
    <x v="2"/>
    <s v="USN"/>
    <s v="US"/>
    <s v="RDT&amp;E"/>
    <x v="1"/>
    <x v="7"/>
    <m/>
    <m/>
    <m/>
    <m/>
    <n v="350.3"/>
    <m/>
    <n v="0.15"/>
    <n v="52.545000000000002"/>
    <m/>
    <m/>
    <m/>
  </r>
  <r>
    <x v="18"/>
    <x v="0"/>
    <s v="USN"/>
    <s v="US"/>
    <s v="Procurement"/>
    <x v="6"/>
    <x v="9"/>
    <m/>
    <m/>
    <n v="2"/>
    <m/>
    <n v="840.4"/>
    <m/>
    <n v="0.7"/>
    <n v="588.28"/>
    <m/>
    <m/>
    <m/>
  </r>
  <r>
    <x v="18"/>
    <x v="0"/>
    <s v="USN"/>
    <s v="US"/>
    <s v="Procurement"/>
    <x v="4"/>
    <x v="5"/>
    <m/>
    <m/>
    <n v="2"/>
    <m/>
    <n v="840.4"/>
    <m/>
    <n v="0.15"/>
    <n v="126.05999999999999"/>
    <m/>
    <m/>
    <m/>
  </r>
  <r>
    <x v="18"/>
    <x v="0"/>
    <s v="USN"/>
    <s v="US"/>
    <s v="Procurement"/>
    <x v="1"/>
    <x v="7"/>
    <m/>
    <m/>
    <n v="2"/>
    <m/>
    <n v="840.4"/>
    <m/>
    <n v="0.15"/>
    <n v="126.05999999999999"/>
    <m/>
    <m/>
    <m/>
  </r>
  <r>
    <x v="18"/>
    <x v="1"/>
    <s v="USN"/>
    <s v="US"/>
    <s v="Procurement"/>
    <x v="6"/>
    <x v="9"/>
    <m/>
    <m/>
    <n v="4"/>
    <m/>
    <n v="295.7"/>
    <m/>
    <n v="0.7"/>
    <n v="206.98999999999998"/>
    <m/>
    <m/>
    <m/>
  </r>
  <r>
    <x v="18"/>
    <x v="1"/>
    <s v="USN"/>
    <s v="US"/>
    <s v="Procurement"/>
    <x v="4"/>
    <x v="5"/>
    <m/>
    <m/>
    <n v="4"/>
    <m/>
    <n v="295.7"/>
    <m/>
    <n v="0.15"/>
    <n v="44.354999999999997"/>
    <m/>
    <m/>
    <m/>
  </r>
  <r>
    <x v="18"/>
    <x v="1"/>
    <s v="USN"/>
    <s v="US"/>
    <s v="Procurement"/>
    <x v="1"/>
    <x v="7"/>
    <m/>
    <m/>
    <n v="4"/>
    <m/>
    <n v="295.7"/>
    <m/>
    <n v="0.15"/>
    <n v="44.354999999999997"/>
    <m/>
    <m/>
    <m/>
  </r>
  <r>
    <x v="18"/>
    <x v="2"/>
    <s v="USN"/>
    <s v="US"/>
    <s v="Procurement"/>
    <x v="6"/>
    <x v="9"/>
    <m/>
    <m/>
    <n v="4"/>
    <m/>
    <n v="1773.8"/>
    <m/>
    <n v="0.7"/>
    <n v="1241.6599999999999"/>
    <m/>
    <m/>
    <m/>
  </r>
  <r>
    <x v="18"/>
    <x v="2"/>
    <s v="USN"/>
    <s v="US"/>
    <s v="Procurement"/>
    <x v="4"/>
    <x v="5"/>
    <m/>
    <m/>
    <n v="4"/>
    <m/>
    <n v="1773.8"/>
    <m/>
    <n v="0.15"/>
    <n v="266.07"/>
    <m/>
    <m/>
    <m/>
  </r>
  <r>
    <x v="18"/>
    <x v="2"/>
    <s v="USN"/>
    <s v="US"/>
    <s v="Procurement"/>
    <x v="1"/>
    <x v="7"/>
    <m/>
    <m/>
    <n v="4"/>
    <m/>
    <n v="1773.8"/>
    <m/>
    <n v="0.15"/>
    <n v="266.07"/>
    <m/>
    <m/>
    <m/>
  </r>
  <r>
    <x v="19"/>
    <x v="0"/>
    <s v="Joint Service"/>
    <s v="US"/>
    <s v="Procurement"/>
    <x v="9"/>
    <x v="10"/>
    <m/>
    <m/>
    <n v="13189"/>
    <m/>
    <n v="721.4"/>
    <m/>
    <n v="0.35"/>
    <n v="252.48999999999998"/>
    <m/>
    <m/>
    <m/>
  </r>
  <r>
    <x v="19"/>
    <x v="0"/>
    <s v="Joint Service"/>
    <s v="US"/>
    <s v="Procurement"/>
    <x v="0"/>
    <x v="11"/>
    <m/>
    <m/>
    <n v="13189"/>
    <m/>
    <n v="721.4"/>
    <m/>
    <n v="0.25"/>
    <n v="180.35"/>
    <m/>
    <m/>
    <m/>
  </r>
  <r>
    <x v="19"/>
    <x v="0"/>
    <s v="Joint Service"/>
    <s v="US"/>
    <s v="Procurement"/>
    <x v="11"/>
    <x v="10"/>
    <m/>
    <m/>
    <n v="13189"/>
    <m/>
    <n v="721.4"/>
    <m/>
    <n v="0.25"/>
    <n v="180.35"/>
    <m/>
    <m/>
    <m/>
  </r>
  <r>
    <x v="19"/>
    <x v="0"/>
    <s v="Joint Service"/>
    <s v="US"/>
    <s v="Procurement"/>
    <x v="10"/>
    <x v="10"/>
    <m/>
    <m/>
    <n v="13189"/>
    <m/>
    <n v="721.4"/>
    <m/>
    <n v="0.15"/>
    <n v="108.21"/>
    <m/>
    <m/>
    <m/>
  </r>
  <r>
    <x v="19"/>
    <x v="1"/>
    <s v="Joint Service"/>
    <s v="US"/>
    <s v="Procurement"/>
    <x v="9"/>
    <x v="10"/>
    <m/>
    <m/>
    <n v="10206"/>
    <m/>
    <n v="649.20000000000005"/>
    <m/>
    <n v="0.35"/>
    <n v="227.22"/>
    <m/>
    <m/>
    <m/>
  </r>
  <r>
    <x v="19"/>
    <x v="1"/>
    <s v="Joint Service"/>
    <s v="US"/>
    <s v="Procurement"/>
    <x v="0"/>
    <x v="11"/>
    <m/>
    <m/>
    <n v="10206"/>
    <m/>
    <n v="649.20000000000005"/>
    <m/>
    <n v="0.25"/>
    <n v="162.30000000000001"/>
    <m/>
    <m/>
    <m/>
  </r>
  <r>
    <x v="19"/>
    <x v="1"/>
    <s v="Joint Service"/>
    <s v="US"/>
    <s v="Procurement"/>
    <x v="11"/>
    <x v="10"/>
    <m/>
    <m/>
    <n v="10206"/>
    <m/>
    <n v="649.20000000000005"/>
    <m/>
    <n v="0.25"/>
    <n v="162.30000000000001"/>
    <m/>
    <m/>
    <m/>
  </r>
  <r>
    <x v="19"/>
    <x v="1"/>
    <s v="Joint Service"/>
    <s v="US"/>
    <s v="Procurement"/>
    <x v="10"/>
    <x v="10"/>
    <m/>
    <m/>
    <n v="10206"/>
    <m/>
    <n v="649.20000000000005"/>
    <m/>
    <n v="0.15"/>
    <n v="97.38000000000001"/>
    <m/>
    <m/>
    <m/>
  </r>
  <r>
    <x v="19"/>
    <x v="2"/>
    <s v="Joint Service"/>
    <s v="US"/>
    <s v="Procurement"/>
    <x v="9"/>
    <x v="10"/>
    <m/>
    <m/>
    <n v="7966"/>
    <m/>
    <n v="478.4"/>
    <m/>
    <n v="0.35"/>
    <n v="167.43999999999997"/>
    <m/>
    <m/>
    <m/>
  </r>
  <r>
    <x v="19"/>
    <x v="2"/>
    <s v="Joint Service"/>
    <s v="US"/>
    <s v="Procurement"/>
    <x v="0"/>
    <x v="11"/>
    <m/>
    <m/>
    <n v="7966"/>
    <m/>
    <n v="478.4"/>
    <m/>
    <n v="0.25"/>
    <n v="119.6"/>
    <m/>
    <m/>
    <m/>
  </r>
  <r>
    <x v="19"/>
    <x v="2"/>
    <s v="Joint Service"/>
    <s v="US"/>
    <s v="Procurement"/>
    <x v="11"/>
    <x v="10"/>
    <m/>
    <m/>
    <n v="7966"/>
    <m/>
    <n v="478.4"/>
    <m/>
    <n v="0.25"/>
    <n v="119.6"/>
    <m/>
    <m/>
    <m/>
  </r>
  <r>
    <x v="19"/>
    <x v="2"/>
    <s v="Joint Service"/>
    <s v="US"/>
    <s v="Procurement"/>
    <x v="10"/>
    <x v="10"/>
    <m/>
    <m/>
    <n v="7966"/>
    <m/>
    <n v="478.4"/>
    <m/>
    <n v="0.15"/>
    <n v="71.759999999999991"/>
    <m/>
    <m/>
    <m/>
  </r>
  <r>
    <x v="20"/>
    <x v="0"/>
    <s v="US Army"/>
    <s v="US"/>
    <s v="RDT&amp;E"/>
    <x v="12"/>
    <x v="15"/>
    <m/>
    <m/>
    <m/>
    <m/>
    <n v="181"/>
    <m/>
    <n v="1"/>
    <n v="181"/>
    <m/>
    <m/>
    <m/>
  </r>
  <r>
    <x v="20"/>
    <x v="1"/>
    <s v="US Army"/>
    <s v="US"/>
    <s v="RDT&amp;E"/>
    <x v="12"/>
    <x v="15"/>
    <m/>
    <m/>
    <m/>
    <m/>
    <n v="251.7"/>
    <m/>
    <n v="1"/>
    <n v="251.7"/>
    <m/>
    <m/>
    <m/>
  </r>
  <r>
    <x v="20"/>
    <x v="2"/>
    <s v="US Army"/>
    <s v="US"/>
    <s v="RDT&amp;E"/>
    <x v="12"/>
    <x v="15"/>
    <m/>
    <m/>
    <m/>
    <m/>
    <n v="723.5"/>
    <m/>
    <n v="1"/>
    <n v="723.5"/>
    <m/>
    <m/>
    <m/>
  </r>
  <r>
    <x v="20"/>
    <x v="0"/>
    <s v="US Army"/>
    <s v="US"/>
    <s v="Procurement"/>
    <x v="12"/>
    <x v="15"/>
    <m/>
    <m/>
    <n v="100"/>
    <m/>
    <n v="1240.3"/>
    <m/>
    <n v="1"/>
    <n v="1240.3"/>
    <m/>
    <m/>
    <m/>
  </r>
  <r>
    <x v="20"/>
    <x v="1"/>
    <s v="US Army"/>
    <s v="US"/>
    <s v="Procurement"/>
    <x v="12"/>
    <x v="15"/>
    <m/>
    <m/>
    <n v="30"/>
    <m/>
    <n v="799.7"/>
    <m/>
    <n v="1"/>
    <n v="799.7"/>
    <m/>
    <m/>
    <m/>
  </r>
  <r>
    <x v="20"/>
    <x v="2"/>
    <s v="US Army"/>
    <s v="US"/>
    <s v="Procurement"/>
    <x v="12"/>
    <x v="15"/>
    <m/>
    <m/>
    <n v="30"/>
    <m/>
    <n v="740.5"/>
    <m/>
    <n v="1"/>
    <n v="740.5"/>
    <m/>
    <m/>
    <m/>
  </r>
  <r>
    <x v="21"/>
    <x v="0"/>
    <s v="US Army"/>
    <s v="US"/>
    <s v="RDT&amp;E"/>
    <x v="13"/>
    <x v="16"/>
    <m/>
    <m/>
    <m/>
    <m/>
    <n v="11.9"/>
    <m/>
    <n v="1"/>
    <n v="11.9"/>
    <m/>
    <m/>
    <m/>
  </r>
  <r>
    <x v="21"/>
    <x v="1"/>
    <s v="US Army"/>
    <s v="US"/>
    <s v="RDT&amp;E"/>
    <x v="13"/>
    <x v="16"/>
    <m/>
    <m/>
    <m/>
    <m/>
    <n v="12.3"/>
    <m/>
    <n v="1"/>
    <n v="12.3"/>
    <m/>
    <m/>
    <m/>
  </r>
  <r>
    <x v="21"/>
    <x v="2"/>
    <s v="US Army"/>
    <s v="US"/>
    <s v="RDT&amp;E"/>
    <x v="13"/>
    <x v="16"/>
    <m/>
    <m/>
    <m/>
    <m/>
    <n v="10.8"/>
    <m/>
    <n v="1"/>
    <n v="10.8"/>
    <m/>
    <m/>
    <m/>
  </r>
  <r>
    <x v="21"/>
    <x v="0"/>
    <s v="US Army"/>
    <s v="US"/>
    <s v="Procurement"/>
    <x v="13"/>
    <x v="16"/>
    <m/>
    <m/>
    <n v="57"/>
    <m/>
    <n v="592"/>
    <m/>
    <n v="1"/>
    <n v="592"/>
    <m/>
    <m/>
    <m/>
  </r>
  <r>
    <x v="21"/>
    <x v="1"/>
    <s v="US Army"/>
    <s v="US"/>
    <s v="Procurement"/>
    <x v="13"/>
    <x v="16"/>
    <m/>
    <m/>
    <n v="56"/>
    <m/>
    <n v="381.5"/>
    <m/>
    <n v="1"/>
    <n v="381.5"/>
    <m/>
    <m/>
    <m/>
  </r>
  <r>
    <x v="21"/>
    <x v="2"/>
    <s v="US Army"/>
    <s v="US"/>
    <s v="Procurement"/>
    <x v="13"/>
    <x v="16"/>
    <m/>
    <m/>
    <n v="86"/>
    <m/>
    <n v="554.6"/>
    <m/>
    <n v="1"/>
    <n v="554.6"/>
    <m/>
    <m/>
    <m/>
  </r>
  <r>
    <x v="22"/>
    <x v="0"/>
    <s v="US Army"/>
    <s v="US"/>
    <s v="RDT&amp;E"/>
    <x v="13"/>
    <x v="16"/>
    <m/>
    <m/>
    <m/>
    <m/>
    <n v="40.9"/>
    <m/>
    <n v="1"/>
    <n v="40.9"/>
    <m/>
    <m/>
    <m/>
  </r>
  <r>
    <x v="22"/>
    <x v="1"/>
    <s v="US Army"/>
    <s v="US"/>
    <s v="RDT&amp;E"/>
    <x v="13"/>
    <x v="16"/>
    <m/>
    <m/>
    <m/>
    <m/>
    <n v="42.5"/>
    <m/>
    <n v="1"/>
    <n v="42.5"/>
    <m/>
    <m/>
    <m/>
  </r>
  <r>
    <x v="22"/>
    <x v="2"/>
    <s v="US Army"/>
    <s v="US"/>
    <s v="RDT&amp;E"/>
    <x v="13"/>
    <x v="16"/>
    <m/>
    <m/>
    <m/>
    <m/>
    <n v="12.5"/>
    <m/>
    <n v="1"/>
    <n v="12.5"/>
    <m/>
    <m/>
    <m/>
  </r>
  <r>
    <x v="22"/>
    <x v="0"/>
    <s v="US Army"/>
    <s v="US"/>
    <s v="Procurement"/>
    <x v="13"/>
    <x v="16"/>
    <m/>
    <m/>
    <n v="57"/>
    <m/>
    <n v="742.3"/>
    <m/>
    <n v="1"/>
    <n v="742.3"/>
    <m/>
    <m/>
    <m/>
  </r>
  <r>
    <x v="22"/>
    <x v="1"/>
    <s v="US Army"/>
    <s v="US"/>
    <s v="Procurement"/>
    <x v="13"/>
    <x v="16"/>
    <m/>
    <m/>
    <n v="20"/>
    <m/>
    <n v="568.6"/>
    <m/>
    <n v="1"/>
    <n v="568.6"/>
    <m/>
    <m/>
    <m/>
  </r>
  <r>
    <x v="22"/>
    <x v="2"/>
    <s v="US Army"/>
    <s v="US"/>
    <s v="Procurement"/>
    <x v="13"/>
    <x v="16"/>
    <m/>
    <m/>
    <n v="10"/>
    <m/>
    <n v="250.2"/>
    <m/>
    <n v="1"/>
    <n v="250.2"/>
    <m/>
    <m/>
    <m/>
  </r>
  <r>
    <x v="23"/>
    <x v="0"/>
    <s v="US Army"/>
    <s v="US"/>
    <s v="RDT&amp;E"/>
    <x v="12"/>
    <x v="15"/>
    <m/>
    <m/>
    <m/>
    <m/>
    <n v="565"/>
    <m/>
    <n v="0.5"/>
    <n v="282.5"/>
    <m/>
    <m/>
    <m/>
  </r>
  <r>
    <x v="23"/>
    <x v="0"/>
    <s v="US Army"/>
    <s v="US"/>
    <s v="RDT&amp;E"/>
    <x v="14"/>
    <x v="15"/>
    <m/>
    <m/>
    <m/>
    <m/>
    <n v="565"/>
    <m/>
    <n v="0.5"/>
    <n v="282.5"/>
    <m/>
    <m/>
    <m/>
  </r>
  <r>
    <x v="23"/>
    <x v="1"/>
    <s v="US Army"/>
    <s v="US"/>
    <s v="RDT&amp;E"/>
    <x v="12"/>
    <x v="15"/>
    <m/>
    <m/>
    <m/>
    <m/>
    <n v="499.5"/>
    <m/>
    <n v="0.5"/>
    <n v="249.75"/>
    <m/>
    <m/>
    <m/>
  </r>
  <r>
    <x v="23"/>
    <x v="1"/>
    <s v="US Army"/>
    <s v="US"/>
    <s v="RDT&amp;E"/>
    <x v="14"/>
    <x v="15"/>
    <m/>
    <m/>
    <m/>
    <m/>
    <n v="499.5"/>
    <m/>
    <n v="0.5"/>
    <n v="249.75"/>
    <m/>
    <m/>
    <m/>
  </r>
  <r>
    <x v="23"/>
    <x v="2"/>
    <s v="US Army"/>
    <s v="US"/>
    <s v="RDT&amp;E"/>
    <x v="12"/>
    <x v="15"/>
    <m/>
    <m/>
    <m/>
    <m/>
    <n v="386.4"/>
    <m/>
    <n v="0.5"/>
    <n v="193.2"/>
    <m/>
    <m/>
    <m/>
  </r>
  <r>
    <x v="23"/>
    <x v="2"/>
    <s v="US Army"/>
    <s v="US"/>
    <s v="RDT&amp;E"/>
    <x v="14"/>
    <x v="15"/>
    <m/>
    <m/>
    <m/>
    <m/>
    <n v="386.4"/>
    <m/>
    <n v="0.5"/>
    <n v="193.2"/>
    <m/>
    <m/>
    <m/>
  </r>
  <r>
    <x v="24"/>
    <x v="0"/>
    <s v="USMC"/>
    <s v="US"/>
    <s v="RDT&amp;E"/>
    <x v="13"/>
    <x v="15"/>
    <m/>
    <m/>
    <m/>
    <m/>
    <n v="87.7"/>
    <m/>
    <n v="1"/>
    <n v="87.7"/>
    <m/>
    <m/>
    <m/>
  </r>
  <r>
    <x v="24"/>
    <x v="1"/>
    <s v="USMC"/>
    <s v="US"/>
    <s v="RDT&amp;E"/>
    <x v="13"/>
    <x v="15"/>
    <m/>
    <m/>
    <m/>
    <m/>
    <n v="46.7"/>
    <m/>
    <n v="1"/>
    <n v="46.7"/>
    <m/>
    <m/>
    <m/>
  </r>
  <r>
    <x v="24"/>
    <x v="2"/>
    <s v="USMC"/>
    <s v="US"/>
    <s v="RDT&amp;E"/>
    <x v="13"/>
    <x v="15"/>
    <m/>
    <m/>
    <m/>
    <m/>
    <n v="44.6"/>
    <m/>
    <n v="1"/>
    <n v="44.6"/>
    <m/>
    <m/>
    <m/>
  </r>
  <r>
    <x v="24"/>
    <x v="0"/>
    <s v="USMC"/>
    <s v="US"/>
    <s v="Procurement"/>
    <x v="13"/>
    <x v="15"/>
    <m/>
    <m/>
    <m/>
    <m/>
    <n v="545.1"/>
    <m/>
    <n v="1"/>
    <n v="545.1"/>
    <m/>
    <m/>
    <m/>
  </r>
  <r>
    <x v="24"/>
    <x v="1"/>
    <s v="USMC"/>
    <s v="US"/>
    <s v="Procurement"/>
    <x v="13"/>
    <x v="15"/>
    <m/>
    <m/>
    <m/>
    <m/>
    <n v="810.3"/>
    <m/>
    <n v="1"/>
    <n v="810.3"/>
    <m/>
    <m/>
    <m/>
  </r>
  <r>
    <x v="24"/>
    <x v="2"/>
    <s v="USMC"/>
    <s v="US"/>
    <s v="Procurement"/>
    <x v="13"/>
    <x v="15"/>
    <m/>
    <m/>
    <m/>
    <m/>
    <n v="790.8"/>
    <m/>
    <n v="1"/>
    <n v="790.8"/>
    <m/>
    <m/>
    <m/>
  </r>
  <r>
    <x v="25"/>
    <x v="0"/>
    <s v="MDA"/>
    <s v="US"/>
    <s v="RDT&amp;E"/>
    <x v="6"/>
    <x v="7"/>
    <m/>
    <m/>
    <m/>
    <m/>
    <n v="2973.7"/>
    <m/>
    <n v="0.5"/>
    <n v="1486.85"/>
    <m/>
    <m/>
    <m/>
  </r>
  <r>
    <x v="25"/>
    <x v="0"/>
    <s v="MDA"/>
    <s v="US"/>
    <s v="RDT&amp;E"/>
    <x v="1"/>
    <x v="12"/>
    <m/>
    <m/>
    <m/>
    <m/>
    <n v="2973.7"/>
    <m/>
    <n v="0.5"/>
    <n v="1486.85"/>
    <m/>
    <m/>
    <m/>
  </r>
  <r>
    <x v="25"/>
    <x v="1"/>
    <s v="MDA"/>
    <s v="US"/>
    <s v="RDT&amp;E"/>
    <x v="6"/>
    <x v="7"/>
    <m/>
    <m/>
    <m/>
    <m/>
    <n v="2462.1999999999998"/>
    <m/>
    <n v="0.5"/>
    <n v="1231.0999999999999"/>
    <m/>
    <m/>
    <m/>
  </r>
  <r>
    <x v="25"/>
    <x v="1"/>
    <s v="MDA"/>
    <s v="US"/>
    <s v="RDT&amp;E"/>
    <x v="1"/>
    <x v="12"/>
    <m/>
    <m/>
    <m/>
    <m/>
    <n v="2462.1999999999998"/>
    <m/>
    <n v="0.5"/>
    <n v="1231.0999999999999"/>
    <m/>
    <m/>
    <m/>
  </r>
  <r>
    <x v="25"/>
    <x v="2"/>
    <s v="MDA"/>
    <s v="US"/>
    <s v="RDT&amp;E"/>
    <x v="6"/>
    <x v="7"/>
    <m/>
    <m/>
    <m/>
    <m/>
    <n v="2501.6999999999998"/>
    <m/>
    <n v="0.5"/>
    <n v="1250.8499999999999"/>
    <m/>
    <m/>
    <m/>
  </r>
  <r>
    <x v="25"/>
    <x v="2"/>
    <s v="MDA"/>
    <s v="US"/>
    <s v="RDT&amp;E"/>
    <x v="1"/>
    <x v="12"/>
    <m/>
    <m/>
    <m/>
    <m/>
    <n v="2501.6999999999998"/>
    <m/>
    <n v="0.5"/>
    <n v="1250.8499999999999"/>
    <m/>
    <m/>
    <m/>
  </r>
  <r>
    <x v="26"/>
    <x v="0"/>
    <s v="MDA"/>
    <s v="US"/>
    <s v="RDT&amp;E"/>
    <x v="1"/>
    <x v="12"/>
    <m/>
    <m/>
    <m/>
    <m/>
    <n v="241.2"/>
    <m/>
    <n v="1"/>
    <n v="241.2"/>
    <m/>
    <m/>
    <m/>
  </r>
  <r>
    <x v="26"/>
    <x v="1"/>
    <s v="MDA"/>
    <s v="US"/>
    <s v="RDT&amp;E"/>
    <x v="1"/>
    <x v="12"/>
    <m/>
    <m/>
    <m/>
    <m/>
    <n v="311"/>
    <m/>
    <n v="1"/>
    <n v="311"/>
    <m/>
    <m/>
    <m/>
  </r>
  <r>
    <x v="26"/>
    <x v="2"/>
    <s v="MDA"/>
    <s v="US"/>
    <s v="RDT&amp;E"/>
    <x v="1"/>
    <x v="12"/>
    <m/>
    <m/>
    <m/>
    <m/>
    <n v="684.7"/>
    <m/>
    <n v="1"/>
    <n v="684.7"/>
    <m/>
    <m/>
    <m/>
  </r>
  <r>
    <x v="26"/>
    <x v="0"/>
    <s v="MDA"/>
    <s v="US"/>
    <s v="Procurement"/>
    <x v="1"/>
    <x v="12"/>
    <m/>
    <m/>
    <n v="11"/>
    <m/>
    <n v="216.8"/>
    <m/>
    <n v="1"/>
    <n v="216.8"/>
    <m/>
    <m/>
    <m/>
  </r>
  <r>
    <x v="26"/>
    <x v="1"/>
    <s v="MDA"/>
    <s v="US"/>
    <s v="Procurement"/>
    <x v="1"/>
    <x v="12"/>
    <m/>
    <m/>
    <n v="12"/>
    <m/>
    <n v="247"/>
    <m/>
    <n v="1"/>
    <n v="247"/>
    <m/>
    <m/>
    <m/>
  </r>
  <r>
    <x v="26"/>
    <x v="2"/>
    <s v="MDA"/>
    <s v="US"/>
    <s v="Procurement"/>
    <x v="1"/>
    <x v="12"/>
    <m/>
    <m/>
    <n v="12"/>
    <m/>
    <n v="840.1"/>
    <m/>
    <n v="1"/>
    <n v="840.1"/>
    <m/>
    <m/>
    <m/>
  </r>
  <r>
    <x v="27"/>
    <x v="0"/>
    <s v="MDA"/>
    <s v="US"/>
    <s v="RDT&amp;E"/>
    <x v="1"/>
    <x v="17"/>
    <m/>
    <m/>
    <m/>
    <m/>
    <n v="983.5"/>
    <m/>
    <n v="0.55000000000000004"/>
    <n v="540.92500000000007"/>
    <m/>
    <m/>
    <m/>
  </r>
  <r>
    <x v="27"/>
    <x v="0"/>
    <s v="MDA"/>
    <s v="US"/>
    <s v="RDT&amp;E"/>
    <x v="0"/>
    <x v="0"/>
    <m/>
    <m/>
    <m/>
    <m/>
    <n v="983.5"/>
    <m/>
    <n v="0.45"/>
    <n v="442.57499999999999"/>
    <m/>
    <m/>
    <m/>
  </r>
  <r>
    <x v="27"/>
    <x v="1"/>
    <s v="MDA"/>
    <s v="US"/>
    <s v="RDT&amp;E"/>
    <x v="1"/>
    <x v="17"/>
    <m/>
    <m/>
    <m/>
    <m/>
    <n v="984.4"/>
    <m/>
    <n v="0.55000000000000004"/>
    <n v="541.42000000000007"/>
    <m/>
    <m/>
    <m/>
  </r>
  <r>
    <x v="27"/>
    <x v="1"/>
    <s v="MDA"/>
    <s v="US"/>
    <s v="RDT&amp;E"/>
    <x v="0"/>
    <x v="0"/>
    <m/>
    <m/>
    <m/>
    <m/>
    <n v="984.4"/>
    <m/>
    <n v="0.45"/>
    <n v="442.98"/>
    <m/>
    <m/>
    <m/>
  </r>
  <r>
    <x v="27"/>
    <x v="2"/>
    <s v="MDA"/>
    <s v="US"/>
    <s v="RDT&amp;E"/>
    <x v="1"/>
    <x v="17"/>
    <m/>
    <m/>
    <m/>
    <m/>
    <n v="1339.4"/>
    <m/>
    <n v="0.55000000000000004"/>
    <n v="736.67000000000007"/>
    <m/>
    <m/>
    <m/>
  </r>
  <r>
    <x v="27"/>
    <x v="2"/>
    <s v="MDA"/>
    <s v="US"/>
    <s v="RDT&amp;E"/>
    <x v="0"/>
    <x v="0"/>
    <m/>
    <m/>
    <m/>
    <m/>
    <n v="1339.4"/>
    <m/>
    <n v="0.45"/>
    <n v="602.73"/>
    <m/>
    <m/>
    <m/>
  </r>
  <r>
    <x v="27"/>
    <x v="0"/>
    <s v="MDA"/>
    <s v="US"/>
    <s v="Procurement"/>
    <x v="1"/>
    <x v="17"/>
    <m/>
    <m/>
    <n v="48"/>
    <m/>
    <n v="1072.6000000000001"/>
    <m/>
    <n v="0.55000000000000004"/>
    <n v="589.93000000000018"/>
    <m/>
    <m/>
    <m/>
  </r>
  <r>
    <x v="27"/>
    <x v="0"/>
    <s v="MDA"/>
    <s v="US"/>
    <s v="Procurement"/>
    <x v="0"/>
    <x v="0"/>
    <m/>
    <m/>
    <n v="48"/>
    <m/>
    <n v="1072.6000000000001"/>
    <m/>
    <n v="0.45"/>
    <n v="482.67000000000007"/>
    <m/>
    <m/>
    <m/>
  </r>
  <r>
    <x v="27"/>
    <x v="1"/>
    <s v="MDA"/>
    <s v="US"/>
    <s v="Procurement"/>
    <x v="1"/>
    <x v="17"/>
    <m/>
    <m/>
    <n v="18"/>
    <m/>
    <n v="633.4"/>
    <m/>
    <n v="0.55000000000000004"/>
    <n v="348.37"/>
    <m/>
    <m/>
    <m/>
  </r>
  <r>
    <x v="27"/>
    <x v="1"/>
    <s v="MDA"/>
    <s v="US"/>
    <s v="Procurement"/>
    <x v="0"/>
    <x v="0"/>
    <m/>
    <m/>
    <n v="18"/>
    <m/>
    <n v="633.4"/>
    <m/>
    <n v="0.45"/>
    <n v="285.02999999999997"/>
    <m/>
    <m/>
    <m/>
  </r>
  <r>
    <x v="27"/>
    <x v="2"/>
    <s v="MDA"/>
    <s v="US"/>
    <s v="Procurement"/>
    <x v="1"/>
    <x v="17"/>
    <m/>
    <m/>
    <n v="12"/>
    <m/>
    <n v="462"/>
    <m/>
    <n v="0.55000000000000004"/>
    <n v="254.10000000000002"/>
    <m/>
    <m/>
    <m/>
  </r>
  <r>
    <x v="27"/>
    <x v="2"/>
    <s v="MDA"/>
    <s v="US"/>
    <s v="Procurement"/>
    <x v="0"/>
    <x v="0"/>
    <m/>
    <m/>
    <n v="12"/>
    <m/>
    <n v="462"/>
    <m/>
    <n v="0.45"/>
    <n v="207.9"/>
    <m/>
    <m/>
    <m/>
  </r>
  <r>
    <x v="28"/>
    <x v="0"/>
    <s v="US Army"/>
    <s v="US"/>
    <s v="Procurement"/>
    <x v="1"/>
    <x v="12"/>
    <m/>
    <m/>
    <n v="230"/>
    <m/>
    <n v="2814.9"/>
    <m/>
    <n v="1"/>
    <n v="2814.9"/>
    <m/>
    <m/>
    <s v="PAC-3"/>
  </r>
  <r>
    <x v="28"/>
    <x v="1"/>
    <s v="US Army"/>
    <s v="US"/>
    <s v="Procurement"/>
    <x v="1"/>
    <x v="12"/>
    <m/>
    <m/>
    <n v="214"/>
    <m/>
    <n v="905.1"/>
    <m/>
    <n v="1"/>
    <n v="905.1"/>
    <m/>
    <m/>
    <m/>
  </r>
  <r>
    <x v="28"/>
    <x v="2"/>
    <s v="US Army"/>
    <s v="US"/>
    <s v="Procurement"/>
    <x v="1"/>
    <x v="12"/>
    <m/>
    <m/>
    <n v="245"/>
    <m/>
    <n v="1358.9"/>
    <m/>
    <n v="1"/>
    <n v="1358.9"/>
    <m/>
    <m/>
    <m/>
  </r>
  <r>
    <x v="29"/>
    <x v="0"/>
    <s v="US Army"/>
    <s v="US"/>
    <s v="RDT&amp;E"/>
    <x v="15"/>
    <x v="18"/>
    <m/>
    <m/>
    <m/>
    <m/>
    <n v="172.7"/>
    <m/>
    <n v="0.25"/>
    <n v="43.174999999999997"/>
    <m/>
    <m/>
    <m/>
  </r>
  <r>
    <x v="29"/>
    <x v="0"/>
    <s v="US Army"/>
    <s v="US"/>
    <s v="RDT&amp;E"/>
    <x v="0"/>
    <x v="0"/>
    <m/>
    <m/>
    <m/>
    <m/>
    <n v="172.7"/>
    <m/>
    <n v="0.25"/>
    <n v="43.174999999999997"/>
    <m/>
    <m/>
    <m/>
  </r>
  <r>
    <x v="29"/>
    <x v="0"/>
    <s v="US Army"/>
    <s v="US"/>
    <s v="RDT&amp;E"/>
    <x v="1"/>
    <x v="12"/>
    <m/>
    <m/>
    <m/>
    <m/>
    <n v="172.7"/>
    <m/>
    <n v="0.2"/>
    <n v="34.54"/>
    <m/>
    <m/>
    <m/>
  </r>
  <r>
    <x v="29"/>
    <x v="0"/>
    <s v="US Army"/>
    <s v="US"/>
    <s v="RDT&amp;E"/>
    <x v="10"/>
    <x v="10"/>
    <m/>
    <m/>
    <m/>
    <m/>
    <n v="172.7"/>
    <m/>
    <n v="0.15"/>
    <n v="25.904999999999998"/>
    <m/>
    <m/>
    <m/>
  </r>
  <r>
    <x v="29"/>
    <x v="0"/>
    <s v="US Army"/>
    <s v="US"/>
    <s v="RDT&amp;E"/>
    <x v="9"/>
    <x v="10"/>
    <m/>
    <m/>
    <m/>
    <m/>
    <n v="172.7"/>
    <m/>
    <n v="0.15"/>
    <n v="25.904999999999998"/>
    <m/>
    <m/>
    <m/>
  </r>
  <r>
    <x v="29"/>
    <x v="1"/>
    <s v="US Army"/>
    <s v="US"/>
    <s v="RDT&amp;E"/>
    <x v="15"/>
    <x v="18"/>
    <m/>
    <m/>
    <m/>
    <m/>
    <n v="140.9"/>
    <m/>
    <n v="0.25"/>
    <n v="35.225000000000001"/>
    <m/>
    <m/>
    <m/>
  </r>
  <r>
    <x v="29"/>
    <x v="1"/>
    <s v="US Army"/>
    <s v="US"/>
    <s v="RDT&amp;E"/>
    <x v="0"/>
    <x v="0"/>
    <m/>
    <m/>
    <m/>
    <m/>
    <n v="140.9"/>
    <m/>
    <n v="0.25"/>
    <n v="35.225000000000001"/>
    <m/>
    <m/>
    <m/>
  </r>
  <r>
    <x v="29"/>
    <x v="1"/>
    <s v="US Army"/>
    <s v="US"/>
    <s v="RDT&amp;E"/>
    <x v="1"/>
    <x v="12"/>
    <m/>
    <m/>
    <m/>
    <m/>
    <n v="140.9"/>
    <m/>
    <n v="0.2"/>
    <n v="28.180000000000003"/>
    <m/>
    <m/>
    <m/>
  </r>
  <r>
    <x v="29"/>
    <x v="1"/>
    <s v="US Army"/>
    <s v="US"/>
    <s v="RDT&amp;E"/>
    <x v="10"/>
    <x v="10"/>
    <m/>
    <m/>
    <m/>
    <m/>
    <n v="140.9"/>
    <m/>
    <n v="0.15"/>
    <n v="21.135000000000002"/>
    <m/>
    <m/>
    <m/>
  </r>
  <r>
    <x v="29"/>
    <x v="1"/>
    <s v="US Army"/>
    <s v="US"/>
    <s v="RDT&amp;E"/>
    <x v="9"/>
    <x v="10"/>
    <m/>
    <m/>
    <m/>
    <m/>
    <n v="140.9"/>
    <m/>
    <n v="0.15"/>
    <n v="21.135000000000002"/>
    <m/>
    <m/>
    <m/>
  </r>
  <r>
    <x v="29"/>
    <x v="2"/>
    <s v="US Army"/>
    <s v="US"/>
    <s v="RDT&amp;E"/>
    <x v="15"/>
    <x v="18"/>
    <m/>
    <m/>
    <m/>
    <m/>
    <n v="248.7"/>
    <m/>
    <n v="0.25"/>
    <n v="62.174999999999997"/>
    <m/>
    <m/>
    <m/>
  </r>
  <r>
    <x v="29"/>
    <x v="2"/>
    <s v="US Army"/>
    <s v="US"/>
    <s v="RDT&amp;E"/>
    <x v="0"/>
    <x v="0"/>
    <m/>
    <m/>
    <m/>
    <m/>
    <n v="248.7"/>
    <m/>
    <n v="0.25"/>
    <n v="62.174999999999997"/>
    <m/>
    <m/>
    <m/>
  </r>
  <r>
    <x v="29"/>
    <x v="2"/>
    <s v="US Army"/>
    <s v="US"/>
    <s v="RDT&amp;E"/>
    <x v="1"/>
    <x v="12"/>
    <m/>
    <m/>
    <m/>
    <m/>
    <n v="248.7"/>
    <m/>
    <n v="0.2"/>
    <n v="49.74"/>
    <m/>
    <m/>
    <m/>
  </r>
  <r>
    <x v="29"/>
    <x v="2"/>
    <s v="US Army"/>
    <s v="US"/>
    <s v="RDT&amp;E"/>
    <x v="10"/>
    <x v="10"/>
    <m/>
    <m/>
    <m/>
    <m/>
    <n v="248.7"/>
    <m/>
    <n v="0.15"/>
    <n v="37.305"/>
    <m/>
    <m/>
    <m/>
  </r>
  <r>
    <x v="29"/>
    <x v="2"/>
    <s v="US Army"/>
    <s v="US"/>
    <s v="RDT&amp;E"/>
    <x v="9"/>
    <x v="10"/>
    <m/>
    <m/>
    <m/>
    <m/>
    <n v="248.7"/>
    <m/>
    <n v="0.15"/>
    <n v="37.305"/>
    <m/>
    <m/>
    <m/>
  </r>
  <r>
    <x v="29"/>
    <x v="0"/>
    <s v="US Army"/>
    <s v="US"/>
    <s v="Procurement"/>
    <x v="15"/>
    <x v="18"/>
    <m/>
    <m/>
    <m/>
    <m/>
    <n v="256.8"/>
    <m/>
    <n v="0.25"/>
    <n v="64.2"/>
    <m/>
    <m/>
    <m/>
  </r>
  <r>
    <x v="29"/>
    <x v="0"/>
    <s v="US Army"/>
    <s v="US"/>
    <s v="Procurement"/>
    <x v="0"/>
    <x v="0"/>
    <m/>
    <m/>
    <m/>
    <m/>
    <n v="256.8"/>
    <m/>
    <n v="0.25"/>
    <n v="64.2"/>
    <m/>
    <m/>
    <m/>
  </r>
  <r>
    <x v="29"/>
    <x v="0"/>
    <s v="US Army"/>
    <s v="US"/>
    <s v="Procurement"/>
    <x v="1"/>
    <x v="12"/>
    <m/>
    <m/>
    <m/>
    <m/>
    <n v="256.8"/>
    <m/>
    <n v="0.2"/>
    <n v="51.360000000000007"/>
    <m/>
    <m/>
    <m/>
  </r>
  <r>
    <x v="29"/>
    <x v="0"/>
    <s v="US Army"/>
    <s v="US"/>
    <s v="Procurement"/>
    <x v="10"/>
    <x v="10"/>
    <m/>
    <m/>
    <m/>
    <m/>
    <n v="256.8"/>
    <m/>
    <n v="0.15"/>
    <n v="38.520000000000003"/>
    <m/>
    <m/>
    <m/>
  </r>
  <r>
    <x v="29"/>
    <x v="0"/>
    <s v="US Army"/>
    <s v="US"/>
    <s v="Procurement"/>
    <x v="9"/>
    <x v="10"/>
    <m/>
    <m/>
    <m/>
    <m/>
    <n v="256.8"/>
    <m/>
    <n v="0.15"/>
    <n v="38.520000000000003"/>
    <m/>
    <m/>
    <m/>
  </r>
  <r>
    <x v="29"/>
    <x v="1"/>
    <s v="US Army"/>
    <s v="US"/>
    <s v="Procurement"/>
    <x v="15"/>
    <x v="18"/>
    <m/>
    <m/>
    <m/>
    <m/>
    <n v="552.4"/>
    <m/>
    <n v="0.25"/>
    <n v="138.1"/>
    <m/>
    <m/>
    <m/>
  </r>
  <r>
    <x v="29"/>
    <x v="1"/>
    <s v="US Army"/>
    <s v="US"/>
    <s v="Procurement"/>
    <x v="0"/>
    <x v="0"/>
    <m/>
    <m/>
    <m/>
    <m/>
    <n v="552.4"/>
    <m/>
    <n v="0.25"/>
    <n v="138.1"/>
    <m/>
    <m/>
    <m/>
  </r>
  <r>
    <x v="29"/>
    <x v="1"/>
    <s v="US Army"/>
    <s v="US"/>
    <s v="Procurement"/>
    <x v="1"/>
    <x v="12"/>
    <m/>
    <m/>
    <m/>
    <m/>
    <n v="552.4"/>
    <m/>
    <n v="0.2"/>
    <n v="110.48"/>
    <m/>
    <m/>
    <m/>
  </r>
  <r>
    <x v="29"/>
    <x v="1"/>
    <s v="US Army"/>
    <s v="US"/>
    <s v="Procurement"/>
    <x v="10"/>
    <x v="10"/>
    <m/>
    <m/>
    <m/>
    <m/>
    <n v="552.4"/>
    <m/>
    <n v="0.15"/>
    <n v="82.86"/>
    <m/>
    <m/>
    <m/>
  </r>
  <r>
    <x v="29"/>
    <x v="1"/>
    <s v="US Army"/>
    <s v="US"/>
    <s v="Procurement"/>
    <x v="9"/>
    <x v="10"/>
    <m/>
    <m/>
    <m/>
    <m/>
    <n v="552.4"/>
    <m/>
    <n v="0.15"/>
    <n v="82.86"/>
    <m/>
    <m/>
    <m/>
  </r>
  <r>
    <x v="29"/>
    <x v="2"/>
    <s v="US Army"/>
    <s v="US"/>
    <s v="Procurement"/>
    <x v="15"/>
    <x v="18"/>
    <m/>
    <m/>
    <m/>
    <m/>
    <n v="1018.6"/>
    <m/>
    <n v="0.25"/>
    <n v="254.65"/>
    <m/>
    <m/>
    <m/>
  </r>
  <r>
    <x v="29"/>
    <x v="2"/>
    <s v="US Army"/>
    <s v="US"/>
    <s v="Procurement"/>
    <x v="0"/>
    <x v="0"/>
    <m/>
    <m/>
    <m/>
    <m/>
    <n v="1018.6"/>
    <m/>
    <n v="0.25"/>
    <n v="254.65"/>
    <m/>
    <m/>
    <m/>
  </r>
  <r>
    <x v="29"/>
    <x v="2"/>
    <s v="US Army"/>
    <s v="US"/>
    <s v="Procurement"/>
    <x v="1"/>
    <x v="12"/>
    <m/>
    <m/>
    <m/>
    <m/>
    <n v="1018.6"/>
    <m/>
    <n v="0.2"/>
    <n v="203.72000000000003"/>
    <m/>
    <m/>
    <m/>
  </r>
  <r>
    <x v="29"/>
    <x v="2"/>
    <s v="US Army"/>
    <s v="US"/>
    <s v="Procurement"/>
    <x v="10"/>
    <x v="10"/>
    <m/>
    <m/>
    <m/>
    <m/>
    <n v="1018.6"/>
    <m/>
    <n v="0.15"/>
    <n v="152.79"/>
    <m/>
    <m/>
    <m/>
  </r>
  <r>
    <x v="29"/>
    <x v="2"/>
    <s v="US Army"/>
    <s v="US"/>
    <s v="Procurement"/>
    <x v="9"/>
    <x v="10"/>
    <m/>
    <m/>
    <m/>
    <m/>
    <n v="1018.6"/>
    <m/>
    <n v="0.15"/>
    <n v="152.79"/>
    <m/>
    <m/>
    <m/>
  </r>
  <r>
    <x v="30"/>
    <x v="0"/>
    <s v="USAF"/>
    <s v="US"/>
    <s v="RDT&amp;E"/>
    <x v="1"/>
    <x v="12"/>
    <m/>
    <m/>
    <m/>
    <m/>
    <n v="129.30000000000001"/>
    <m/>
    <n v="1"/>
    <n v="129.30000000000001"/>
    <m/>
    <m/>
    <m/>
  </r>
  <r>
    <x v="30"/>
    <x v="1"/>
    <s v="USAF"/>
    <s v="US"/>
    <s v="RDT&amp;E"/>
    <x v="1"/>
    <x v="12"/>
    <m/>
    <m/>
    <m/>
    <m/>
    <n v="181.7"/>
    <m/>
    <n v="1"/>
    <n v="181.7"/>
    <m/>
    <m/>
    <m/>
  </r>
  <r>
    <x v="30"/>
    <x v="2"/>
    <s v="USAF"/>
    <s v="US"/>
    <s v="RDT&amp;E"/>
    <x v="1"/>
    <x v="12"/>
    <m/>
    <m/>
    <m/>
    <m/>
    <n v="232.3"/>
    <m/>
    <n v="1"/>
    <n v="232.3"/>
    <m/>
    <m/>
    <m/>
  </r>
  <r>
    <x v="30"/>
    <x v="0"/>
    <s v="USAF"/>
    <s v="US"/>
    <s v="Procurement"/>
    <x v="1"/>
    <x v="12"/>
    <m/>
    <m/>
    <n v="1140"/>
    <m/>
    <n v="2730.3"/>
    <m/>
    <n v="1"/>
    <n v="2730.3"/>
    <m/>
    <m/>
    <m/>
  </r>
  <r>
    <x v="30"/>
    <x v="1"/>
    <s v="USAF"/>
    <s v="US"/>
    <s v="Procurement"/>
    <x v="1"/>
    <x v="12"/>
    <m/>
    <m/>
    <n v="450"/>
    <m/>
    <n v="821.1"/>
    <m/>
    <n v="1"/>
    <n v="821.1"/>
    <m/>
    <m/>
    <m/>
  </r>
  <r>
    <x v="30"/>
    <x v="2"/>
    <s v="USAF"/>
    <s v="US"/>
    <s v="Procurement"/>
    <x v="1"/>
    <x v="12"/>
    <m/>
    <m/>
    <n v="389"/>
    <m/>
    <n v="819.1"/>
    <m/>
    <n v="1"/>
    <n v="819.1"/>
    <m/>
    <m/>
    <m/>
  </r>
  <r>
    <x v="31"/>
    <x v="0"/>
    <s v="Joint Service"/>
    <s v="US"/>
    <s v="RDT&amp;E"/>
    <x v="1"/>
    <x v="12"/>
    <m/>
    <m/>
    <m/>
    <m/>
    <n v="253.1"/>
    <m/>
    <n v="1"/>
    <n v="253.1"/>
    <m/>
    <m/>
    <m/>
  </r>
  <r>
    <x v="31"/>
    <x v="1"/>
    <s v="Joint Service"/>
    <s v="US"/>
    <s v="RDT&amp;E"/>
    <x v="1"/>
    <x v="12"/>
    <m/>
    <m/>
    <m/>
    <m/>
    <n v="286.39999999999998"/>
    <m/>
    <n v="1"/>
    <n v="286.39999999999998"/>
    <m/>
    <m/>
    <m/>
  </r>
  <r>
    <x v="31"/>
    <x v="2"/>
    <s v="Joint Service"/>
    <s v="US"/>
    <s v="RDT&amp;E"/>
    <x v="1"/>
    <x v="12"/>
    <m/>
    <m/>
    <m/>
    <m/>
    <n v="225.8"/>
    <m/>
    <n v="1"/>
    <n v="225.8"/>
    <m/>
    <m/>
    <m/>
  </r>
  <r>
    <x v="31"/>
    <x v="0"/>
    <s v="USN"/>
    <s v="US"/>
    <s v="Procurement"/>
    <x v="1"/>
    <x v="12"/>
    <m/>
    <m/>
    <n v="91"/>
    <m/>
    <n v="599.6"/>
    <m/>
    <n v="1"/>
    <n v="599.6"/>
    <m/>
    <m/>
    <m/>
  </r>
  <r>
    <x v="31"/>
    <x v="1"/>
    <s v="USN"/>
    <s v="US"/>
    <s v="Procurement"/>
    <x v="1"/>
    <x v="12"/>
    <m/>
    <m/>
    <n v="90"/>
    <m/>
    <n v="326.39999999999998"/>
    <m/>
    <n v="1"/>
    <n v="326.39999999999998"/>
    <m/>
    <m/>
    <m/>
  </r>
  <r>
    <x v="31"/>
    <x v="2"/>
    <s v="USN"/>
    <s v="US"/>
    <s v="Procurement"/>
    <x v="1"/>
    <x v="12"/>
    <m/>
    <m/>
    <n v="120"/>
    <m/>
    <n v="535.5"/>
    <m/>
    <n v="1"/>
    <n v="535.5"/>
    <m/>
    <m/>
    <m/>
  </r>
  <r>
    <x v="31"/>
    <x v="0"/>
    <s v="USAF"/>
    <s v="US"/>
    <s v="Procurement"/>
    <x v="1"/>
    <x v="12"/>
    <m/>
    <m/>
    <n v="118"/>
    <m/>
    <n v="514.9"/>
    <m/>
    <n v="1"/>
    <n v="514.9"/>
    <m/>
    <m/>
    <m/>
  </r>
  <r>
    <x v="31"/>
    <x v="1"/>
    <s v="USAF"/>
    <s v="US"/>
    <s v="Procurement"/>
    <x v="1"/>
    <x v="12"/>
    <m/>
    <m/>
    <n v="115"/>
    <m/>
    <n v="354.1"/>
    <m/>
    <n v="1"/>
    <n v="354.1"/>
    <m/>
    <m/>
    <m/>
  </r>
  <r>
    <x v="31"/>
    <x v="2"/>
    <s v="USAF"/>
    <s v="US"/>
    <s v="Procurement"/>
    <x v="1"/>
    <x v="12"/>
    <m/>
    <m/>
    <n v="118"/>
    <m/>
    <n v="406.6"/>
    <m/>
    <n v="1"/>
    <n v="406.6"/>
    <m/>
    <m/>
    <m/>
  </r>
  <r>
    <x v="32"/>
    <x v="0"/>
    <s v="US Army"/>
    <s v="US"/>
    <s v="Procurement"/>
    <x v="12"/>
    <x v="19"/>
    <m/>
    <m/>
    <m/>
    <m/>
    <n v="10653.5"/>
    <m/>
    <n v="0.35"/>
    <n v="3728.7249999999999"/>
    <m/>
    <m/>
    <s v="FY 2026 includes XM1128/XM1113/C-DAEM rounds; produced primarily at GD-OTS and BAE-operated GOCO facilities under the Joint DoD Ammunition Program"/>
  </r>
  <r>
    <x v="32"/>
    <x v="0"/>
    <s v="US Army"/>
    <s v="US"/>
    <s v="Procurement"/>
    <x v="13"/>
    <x v="16"/>
    <m/>
    <m/>
    <m/>
    <m/>
    <n v="10653.5"/>
    <m/>
    <n v="0.3"/>
    <n v="3196.0499999999997"/>
    <m/>
    <m/>
    <m/>
  </r>
  <r>
    <x v="32"/>
    <x v="0"/>
    <s v="US Army"/>
    <s v="US"/>
    <s v="Procurement"/>
    <x v="0"/>
    <x v="0"/>
    <m/>
    <m/>
    <m/>
    <m/>
    <n v="10653.5"/>
    <m/>
    <n v="0.15"/>
    <n v="1598.0249999999999"/>
    <m/>
    <m/>
    <m/>
  </r>
  <r>
    <x v="32"/>
    <x v="0"/>
    <s v="US Army"/>
    <s v="US"/>
    <s v="Procurement"/>
    <x v="16"/>
    <x v="20"/>
    <m/>
    <m/>
    <m/>
    <m/>
    <n v="10653.5"/>
    <m/>
    <n v="0.1"/>
    <n v="1065.3500000000001"/>
    <m/>
    <m/>
    <m/>
  </r>
  <r>
    <x v="32"/>
    <x v="0"/>
    <s v="US Army"/>
    <s v="US"/>
    <s v="Procurement"/>
    <x v="17"/>
    <x v="10"/>
    <m/>
    <m/>
    <m/>
    <m/>
    <n v="10653.5"/>
    <m/>
    <n v="0.1"/>
    <n v="1065.3500000000001"/>
    <m/>
    <m/>
    <m/>
  </r>
  <r>
    <x v="32"/>
    <x v="1"/>
    <s v="US Army"/>
    <s v="US"/>
    <s v="Procurement"/>
    <x v="12"/>
    <x v="19"/>
    <m/>
    <m/>
    <m/>
    <m/>
    <n v="3535.5"/>
    <m/>
    <n v="0.35"/>
    <n v="1237.425"/>
    <m/>
    <m/>
    <m/>
  </r>
  <r>
    <x v="32"/>
    <x v="1"/>
    <s v="US Army"/>
    <s v="US"/>
    <s v="Procurement"/>
    <x v="13"/>
    <x v="16"/>
    <m/>
    <m/>
    <m/>
    <m/>
    <n v="3535.5"/>
    <m/>
    <n v="0.3"/>
    <n v="1060.6499999999999"/>
    <m/>
    <m/>
    <m/>
  </r>
  <r>
    <x v="32"/>
    <x v="1"/>
    <s v="US Army"/>
    <s v="US"/>
    <s v="Procurement"/>
    <x v="0"/>
    <x v="0"/>
    <m/>
    <m/>
    <m/>
    <m/>
    <n v="3535.5"/>
    <m/>
    <n v="0.15"/>
    <n v="530.32499999999993"/>
    <m/>
    <m/>
    <m/>
  </r>
  <r>
    <x v="32"/>
    <x v="1"/>
    <s v="US Army"/>
    <s v="US"/>
    <s v="Procurement"/>
    <x v="16"/>
    <x v="20"/>
    <m/>
    <m/>
    <m/>
    <m/>
    <n v="3535.5"/>
    <m/>
    <n v="0.1"/>
    <n v="353.55"/>
    <m/>
    <m/>
    <m/>
  </r>
  <r>
    <x v="32"/>
    <x v="1"/>
    <s v="US Army"/>
    <s v="US"/>
    <s v="Procurement"/>
    <x v="17"/>
    <x v="10"/>
    <m/>
    <m/>
    <m/>
    <m/>
    <n v="3535.5"/>
    <m/>
    <n v="0.1"/>
    <n v="353.55"/>
    <m/>
    <m/>
    <m/>
  </r>
  <r>
    <x v="32"/>
    <x v="2"/>
    <s v="US Army"/>
    <s v="US"/>
    <s v="Procurement"/>
    <x v="12"/>
    <x v="19"/>
    <m/>
    <m/>
    <m/>
    <m/>
    <n v="4201.1000000000004"/>
    <m/>
    <n v="0.35"/>
    <n v="1470.385"/>
    <m/>
    <m/>
    <m/>
  </r>
  <r>
    <x v="32"/>
    <x v="2"/>
    <s v="US Army"/>
    <s v="US"/>
    <s v="Procurement"/>
    <x v="13"/>
    <x v="16"/>
    <m/>
    <m/>
    <m/>
    <m/>
    <n v="4201.1000000000004"/>
    <m/>
    <n v="0.3"/>
    <n v="1260.3300000000002"/>
    <m/>
    <m/>
    <m/>
  </r>
  <r>
    <x v="32"/>
    <x v="2"/>
    <s v="US Army"/>
    <s v="US"/>
    <s v="Procurement"/>
    <x v="0"/>
    <x v="0"/>
    <m/>
    <m/>
    <m/>
    <m/>
    <n v="4201.1000000000004"/>
    <m/>
    <n v="0.15"/>
    <n v="630.16500000000008"/>
    <m/>
    <m/>
    <m/>
  </r>
  <r>
    <x v="32"/>
    <x v="2"/>
    <s v="US Army"/>
    <s v="US"/>
    <s v="Procurement"/>
    <x v="16"/>
    <x v="20"/>
    <m/>
    <m/>
    <m/>
    <m/>
    <n v="4201.1000000000004"/>
    <m/>
    <n v="0.1"/>
    <n v="420.11000000000007"/>
    <m/>
    <m/>
    <m/>
  </r>
  <r>
    <x v="32"/>
    <x v="2"/>
    <s v="US Army"/>
    <s v="US"/>
    <s v="Procurement"/>
    <x v="17"/>
    <x v="10"/>
    <m/>
    <m/>
    <m/>
    <m/>
    <n v="4201.1000000000004"/>
    <m/>
    <n v="0.1"/>
    <n v="420.11000000000007"/>
    <m/>
    <m/>
    <m/>
  </r>
  <r>
    <x v="32"/>
    <x v="0"/>
    <s v="USN"/>
    <s v="US"/>
    <s v="Procurement"/>
    <x v="12"/>
    <x v="19"/>
    <m/>
    <m/>
    <m/>
    <m/>
    <n v="2170.9"/>
    <m/>
    <n v="0.35"/>
    <n v="759.81499999999994"/>
    <m/>
    <m/>
    <m/>
  </r>
  <r>
    <x v="32"/>
    <x v="0"/>
    <s v="USN"/>
    <s v="US"/>
    <s v="Procurement"/>
    <x v="13"/>
    <x v="16"/>
    <m/>
    <m/>
    <m/>
    <m/>
    <n v="2170.9"/>
    <m/>
    <n v="0.3"/>
    <n v="651.27"/>
    <m/>
    <m/>
    <m/>
  </r>
  <r>
    <x v="32"/>
    <x v="0"/>
    <s v="USN"/>
    <s v="US"/>
    <s v="Procurement"/>
    <x v="0"/>
    <x v="0"/>
    <m/>
    <m/>
    <m/>
    <m/>
    <n v="2170.9"/>
    <m/>
    <n v="0.15"/>
    <n v="325.63499999999999"/>
    <m/>
    <m/>
    <m/>
  </r>
  <r>
    <x v="32"/>
    <x v="0"/>
    <s v="USN"/>
    <s v="US"/>
    <s v="Procurement"/>
    <x v="16"/>
    <x v="20"/>
    <m/>
    <m/>
    <m/>
    <m/>
    <n v="2170.9"/>
    <m/>
    <n v="0.1"/>
    <n v="217.09000000000003"/>
    <m/>
    <m/>
    <m/>
  </r>
  <r>
    <x v="32"/>
    <x v="0"/>
    <s v="USN"/>
    <s v="US"/>
    <s v="Procurement"/>
    <x v="17"/>
    <x v="10"/>
    <m/>
    <m/>
    <m/>
    <m/>
    <n v="2170.9"/>
    <m/>
    <n v="0.1"/>
    <n v="217.09000000000003"/>
    <m/>
    <m/>
    <m/>
  </r>
  <r>
    <x v="32"/>
    <x v="1"/>
    <s v="USN"/>
    <s v="US"/>
    <s v="Procurement"/>
    <x v="12"/>
    <x v="19"/>
    <m/>
    <m/>
    <m/>
    <m/>
    <n v="1753.9"/>
    <m/>
    <n v="0.35"/>
    <n v="613.86500000000001"/>
    <m/>
    <m/>
    <m/>
  </r>
  <r>
    <x v="32"/>
    <x v="1"/>
    <s v="USN"/>
    <s v="US"/>
    <s v="Procurement"/>
    <x v="13"/>
    <x v="16"/>
    <m/>
    <m/>
    <m/>
    <m/>
    <n v="1753.9"/>
    <m/>
    <n v="0.3"/>
    <n v="526.16999999999996"/>
    <m/>
    <m/>
    <m/>
  </r>
  <r>
    <x v="32"/>
    <x v="1"/>
    <s v="USN"/>
    <s v="US"/>
    <s v="Procurement"/>
    <x v="0"/>
    <x v="0"/>
    <m/>
    <m/>
    <m/>
    <m/>
    <n v="1753.9"/>
    <m/>
    <n v="0.15"/>
    <n v="263.08499999999998"/>
    <m/>
    <m/>
    <m/>
  </r>
  <r>
    <x v="32"/>
    <x v="1"/>
    <s v="USN"/>
    <s v="US"/>
    <s v="Procurement"/>
    <x v="16"/>
    <x v="20"/>
    <m/>
    <m/>
    <m/>
    <m/>
    <n v="1753.9"/>
    <m/>
    <n v="0.1"/>
    <n v="175.39000000000001"/>
    <m/>
    <m/>
    <m/>
  </r>
  <r>
    <x v="32"/>
    <x v="1"/>
    <s v="USN"/>
    <s v="US"/>
    <s v="Procurement"/>
    <x v="17"/>
    <x v="10"/>
    <m/>
    <m/>
    <m/>
    <m/>
    <n v="1753.9"/>
    <m/>
    <n v="0.1"/>
    <n v="175.39000000000001"/>
    <m/>
    <m/>
    <m/>
  </r>
  <r>
    <x v="32"/>
    <x v="2"/>
    <s v="USN"/>
    <s v="US"/>
    <s v="Procurement"/>
    <x v="12"/>
    <x v="19"/>
    <m/>
    <m/>
    <m/>
    <m/>
    <n v="1359.3"/>
    <m/>
    <n v="0.35"/>
    <n v="475.75499999999994"/>
    <m/>
    <m/>
    <m/>
  </r>
  <r>
    <x v="32"/>
    <x v="2"/>
    <s v="USN"/>
    <s v="US"/>
    <s v="Procurement"/>
    <x v="13"/>
    <x v="16"/>
    <m/>
    <m/>
    <m/>
    <m/>
    <n v="1359.3"/>
    <m/>
    <n v="0.3"/>
    <n v="407.78999999999996"/>
    <m/>
    <m/>
    <m/>
  </r>
  <r>
    <x v="32"/>
    <x v="2"/>
    <s v="USN"/>
    <s v="US"/>
    <s v="Procurement"/>
    <x v="0"/>
    <x v="0"/>
    <m/>
    <m/>
    <m/>
    <m/>
    <n v="1359.3"/>
    <m/>
    <n v="0.15"/>
    <n v="203.89499999999998"/>
    <m/>
    <m/>
    <m/>
  </r>
  <r>
    <x v="32"/>
    <x v="2"/>
    <s v="USN"/>
    <s v="US"/>
    <s v="Procurement"/>
    <x v="16"/>
    <x v="20"/>
    <m/>
    <m/>
    <m/>
    <m/>
    <n v="1359.3"/>
    <m/>
    <n v="0.1"/>
    <n v="135.93"/>
    <m/>
    <m/>
    <m/>
  </r>
  <r>
    <x v="32"/>
    <x v="2"/>
    <s v="USN"/>
    <s v="US"/>
    <s v="Procurement"/>
    <x v="17"/>
    <x v="10"/>
    <m/>
    <m/>
    <m/>
    <m/>
    <n v="1359.3"/>
    <m/>
    <n v="0.1"/>
    <n v="135.93"/>
    <m/>
    <m/>
    <m/>
  </r>
  <r>
    <x v="32"/>
    <x v="0"/>
    <s v="USAF"/>
    <s v="US"/>
    <s v="Procurement"/>
    <x v="12"/>
    <x v="19"/>
    <m/>
    <m/>
    <m/>
    <m/>
    <n v="490.7"/>
    <m/>
    <n v="0.35"/>
    <n v="171.74499999999998"/>
    <m/>
    <m/>
    <m/>
  </r>
  <r>
    <x v="32"/>
    <x v="0"/>
    <s v="USAF"/>
    <s v="US"/>
    <s v="Procurement"/>
    <x v="13"/>
    <x v="16"/>
    <m/>
    <m/>
    <m/>
    <m/>
    <n v="490.7"/>
    <m/>
    <n v="0.3"/>
    <n v="147.20999999999998"/>
    <m/>
    <m/>
    <m/>
  </r>
  <r>
    <x v="32"/>
    <x v="0"/>
    <s v="USAF"/>
    <s v="US"/>
    <s v="Procurement"/>
    <x v="0"/>
    <x v="0"/>
    <m/>
    <m/>
    <m/>
    <m/>
    <n v="490.7"/>
    <m/>
    <n v="0.15"/>
    <n v="73.60499999999999"/>
    <m/>
    <m/>
    <m/>
  </r>
  <r>
    <x v="32"/>
    <x v="0"/>
    <s v="USAF"/>
    <s v="US"/>
    <s v="Procurement"/>
    <x v="16"/>
    <x v="20"/>
    <m/>
    <m/>
    <m/>
    <m/>
    <n v="490.7"/>
    <m/>
    <n v="0.1"/>
    <n v="49.07"/>
    <m/>
    <m/>
    <m/>
  </r>
  <r>
    <x v="32"/>
    <x v="0"/>
    <s v="USAF"/>
    <s v="US"/>
    <s v="Procurement"/>
    <x v="17"/>
    <x v="10"/>
    <m/>
    <m/>
    <m/>
    <m/>
    <n v="490.7"/>
    <m/>
    <n v="0.1"/>
    <n v="49.07"/>
    <m/>
    <m/>
    <m/>
  </r>
  <r>
    <x v="32"/>
    <x v="1"/>
    <s v="USAF"/>
    <s v="US"/>
    <s v="Procurement"/>
    <x v="12"/>
    <x v="19"/>
    <m/>
    <m/>
    <m/>
    <m/>
    <n v="426.4"/>
    <m/>
    <n v="0.35"/>
    <n v="149.23999999999998"/>
    <m/>
    <m/>
    <m/>
  </r>
  <r>
    <x v="32"/>
    <x v="1"/>
    <s v="USAF"/>
    <s v="US"/>
    <s v="Procurement"/>
    <x v="13"/>
    <x v="16"/>
    <m/>
    <m/>
    <m/>
    <m/>
    <n v="426.4"/>
    <m/>
    <n v="0.3"/>
    <n v="127.91999999999999"/>
    <m/>
    <m/>
    <m/>
  </r>
  <r>
    <x v="32"/>
    <x v="1"/>
    <s v="USAF"/>
    <s v="US"/>
    <s v="Procurement"/>
    <x v="0"/>
    <x v="0"/>
    <m/>
    <m/>
    <m/>
    <m/>
    <n v="426.4"/>
    <m/>
    <n v="0.15"/>
    <n v="63.959999999999994"/>
    <m/>
    <m/>
    <m/>
  </r>
  <r>
    <x v="32"/>
    <x v="1"/>
    <s v="USAF"/>
    <s v="US"/>
    <s v="Procurement"/>
    <x v="16"/>
    <x v="20"/>
    <m/>
    <m/>
    <m/>
    <m/>
    <n v="426.4"/>
    <m/>
    <n v="0.1"/>
    <n v="42.64"/>
    <m/>
    <m/>
    <m/>
  </r>
  <r>
    <x v="32"/>
    <x v="1"/>
    <s v="USAF"/>
    <s v="US"/>
    <s v="Procurement"/>
    <x v="17"/>
    <x v="10"/>
    <m/>
    <m/>
    <m/>
    <m/>
    <n v="426.4"/>
    <m/>
    <n v="0.1"/>
    <n v="42.64"/>
    <m/>
    <m/>
    <m/>
  </r>
  <r>
    <x v="32"/>
    <x v="2"/>
    <s v="USAF"/>
    <s v="US"/>
    <s v="Procurement"/>
    <x v="12"/>
    <x v="19"/>
    <m/>
    <m/>
    <m/>
    <m/>
    <n v="653.29999999999995"/>
    <m/>
    <n v="0.35"/>
    <n v="228.65499999999997"/>
    <m/>
    <m/>
    <m/>
  </r>
  <r>
    <x v="32"/>
    <x v="2"/>
    <s v="USAF"/>
    <s v="US"/>
    <s v="Procurement"/>
    <x v="13"/>
    <x v="16"/>
    <m/>
    <m/>
    <m/>
    <m/>
    <n v="653.29999999999995"/>
    <m/>
    <n v="0.3"/>
    <n v="195.98999999999998"/>
    <m/>
    <m/>
    <m/>
  </r>
  <r>
    <x v="32"/>
    <x v="2"/>
    <s v="USAF"/>
    <s v="US"/>
    <s v="Procurement"/>
    <x v="0"/>
    <x v="0"/>
    <m/>
    <m/>
    <m/>
    <m/>
    <n v="653.29999999999995"/>
    <m/>
    <n v="0.15"/>
    <n v="97.99499999999999"/>
    <m/>
    <m/>
    <m/>
  </r>
  <r>
    <x v="32"/>
    <x v="2"/>
    <s v="USAF"/>
    <s v="US"/>
    <s v="Procurement"/>
    <x v="16"/>
    <x v="20"/>
    <m/>
    <m/>
    <m/>
    <m/>
    <n v="653.29999999999995"/>
    <m/>
    <n v="0.1"/>
    <n v="65.33"/>
    <m/>
    <m/>
    <m/>
  </r>
  <r>
    <x v="32"/>
    <x v="2"/>
    <s v="USAF"/>
    <s v="US"/>
    <s v="Procurement"/>
    <x v="17"/>
    <x v="10"/>
    <m/>
    <m/>
    <m/>
    <m/>
    <n v="653.29999999999995"/>
    <m/>
    <n v="0.1"/>
    <n v="65.33"/>
    <m/>
    <m/>
    <m/>
  </r>
  <r>
    <x v="32"/>
    <x v="0"/>
    <s v="SOCOM"/>
    <s v="US"/>
    <s v="Procurement"/>
    <x v="12"/>
    <x v="19"/>
    <m/>
    <m/>
    <m/>
    <m/>
    <n v="147"/>
    <m/>
    <n v="0.35"/>
    <n v="51.449999999999996"/>
    <m/>
    <m/>
    <m/>
  </r>
  <r>
    <x v="32"/>
    <x v="0"/>
    <s v="SOCOM"/>
    <s v="US"/>
    <s v="Procurement"/>
    <x v="13"/>
    <x v="16"/>
    <m/>
    <m/>
    <m/>
    <m/>
    <n v="147"/>
    <m/>
    <n v="0.3"/>
    <n v="44.1"/>
    <m/>
    <m/>
    <m/>
  </r>
  <r>
    <x v="32"/>
    <x v="0"/>
    <s v="SOCOM"/>
    <s v="US"/>
    <s v="Procurement"/>
    <x v="0"/>
    <x v="0"/>
    <m/>
    <m/>
    <m/>
    <m/>
    <n v="147"/>
    <m/>
    <n v="0.15"/>
    <n v="22.05"/>
    <m/>
    <m/>
    <m/>
  </r>
  <r>
    <x v="32"/>
    <x v="0"/>
    <s v="SOCOM"/>
    <s v="US"/>
    <s v="Procurement"/>
    <x v="16"/>
    <x v="20"/>
    <m/>
    <m/>
    <m/>
    <m/>
    <n v="147"/>
    <m/>
    <n v="0.1"/>
    <n v="14.700000000000001"/>
    <m/>
    <m/>
    <m/>
  </r>
  <r>
    <x v="32"/>
    <x v="0"/>
    <s v="SOCOM"/>
    <s v="US"/>
    <s v="Procurement"/>
    <x v="17"/>
    <x v="10"/>
    <m/>
    <m/>
    <m/>
    <m/>
    <n v="147"/>
    <m/>
    <n v="0.1"/>
    <n v="14.700000000000001"/>
    <m/>
    <m/>
    <m/>
  </r>
  <r>
    <x v="32"/>
    <x v="1"/>
    <s v="SOCOM"/>
    <s v="US"/>
    <s v="Procurement"/>
    <x v="12"/>
    <x v="19"/>
    <m/>
    <m/>
    <m/>
    <m/>
    <n v="130.69999999999999"/>
    <m/>
    <n v="0.35"/>
    <n v="45.74499999999999"/>
    <m/>
    <m/>
    <m/>
  </r>
  <r>
    <x v="32"/>
    <x v="1"/>
    <s v="SOCOM"/>
    <s v="US"/>
    <s v="Procurement"/>
    <x v="13"/>
    <x v="16"/>
    <m/>
    <m/>
    <m/>
    <m/>
    <n v="130.69999999999999"/>
    <m/>
    <n v="0.3"/>
    <n v="39.209999999999994"/>
    <m/>
    <m/>
    <m/>
  </r>
  <r>
    <x v="32"/>
    <x v="1"/>
    <s v="SOCOM"/>
    <s v="US"/>
    <s v="Procurement"/>
    <x v="0"/>
    <x v="0"/>
    <m/>
    <m/>
    <m/>
    <m/>
    <n v="130.69999999999999"/>
    <m/>
    <n v="0.15"/>
    <n v="19.604999999999997"/>
    <m/>
    <m/>
    <m/>
  </r>
  <r>
    <x v="32"/>
    <x v="1"/>
    <s v="SOCOM"/>
    <s v="US"/>
    <s v="Procurement"/>
    <x v="16"/>
    <x v="20"/>
    <m/>
    <m/>
    <m/>
    <m/>
    <n v="130.69999999999999"/>
    <m/>
    <n v="0.1"/>
    <n v="13.07"/>
    <m/>
    <m/>
    <m/>
  </r>
  <r>
    <x v="32"/>
    <x v="1"/>
    <s v="SOCOM"/>
    <s v="US"/>
    <s v="Procurement"/>
    <x v="17"/>
    <x v="10"/>
    <m/>
    <m/>
    <m/>
    <m/>
    <n v="130.69999999999999"/>
    <m/>
    <n v="0.1"/>
    <n v="13.07"/>
    <m/>
    <m/>
    <m/>
  </r>
  <r>
    <x v="32"/>
    <x v="2"/>
    <s v="SOCOM"/>
    <s v="US"/>
    <s v="Procurement"/>
    <x v="12"/>
    <x v="19"/>
    <m/>
    <m/>
    <m/>
    <m/>
    <n v="117"/>
    <m/>
    <n v="0.35"/>
    <n v="40.949999999999996"/>
    <m/>
    <m/>
    <m/>
  </r>
  <r>
    <x v="32"/>
    <x v="2"/>
    <s v="SOCOM"/>
    <s v="US"/>
    <s v="Procurement"/>
    <x v="13"/>
    <x v="16"/>
    <m/>
    <m/>
    <m/>
    <m/>
    <n v="117"/>
    <m/>
    <n v="0.3"/>
    <n v="35.1"/>
    <m/>
    <m/>
    <m/>
  </r>
  <r>
    <x v="32"/>
    <x v="2"/>
    <s v="SOCOM"/>
    <s v="US"/>
    <s v="Procurement"/>
    <x v="0"/>
    <x v="0"/>
    <m/>
    <m/>
    <m/>
    <m/>
    <n v="117"/>
    <m/>
    <n v="0.15"/>
    <n v="17.55"/>
    <m/>
    <m/>
    <m/>
  </r>
  <r>
    <x v="32"/>
    <x v="2"/>
    <s v="SOCOM"/>
    <s v="US"/>
    <s v="Procurement"/>
    <x v="16"/>
    <x v="20"/>
    <m/>
    <m/>
    <m/>
    <m/>
    <n v="117"/>
    <m/>
    <n v="0.1"/>
    <n v="11.700000000000001"/>
    <m/>
    <m/>
    <m/>
  </r>
  <r>
    <x v="32"/>
    <x v="2"/>
    <s v="SOCOM"/>
    <s v="US"/>
    <s v="Procurement"/>
    <x v="17"/>
    <x v="10"/>
    <m/>
    <m/>
    <m/>
    <m/>
    <n v="117"/>
    <m/>
    <n v="0.1"/>
    <n v="11.700000000000001"/>
    <m/>
    <m/>
    <m/>
  </r>
  <r>
    <x v="33"/>
    <x v="0"/>
    <s v="Joint Service"/>
    <s v="US"/>
    <s v="RDT&amp;E"/>
    <x v="1"/>
    <x v="12"/>
    <m/>
    <m/>
    <m/>
    <m/>
    <n v="70.8"/>
    <m/>
    <n v="1"/>
    <n v="70.8"/>
    <m/>
    <m/>
    <m/>
  </r>
  <r>
    <x v="33"/>
    <x v="1"/>
    <s v="Joint Service"/>
    <s v="US"/>
    <s v="RDT&amp;E"/>
    <x v="1"/>
    <x v="12"/>
    <m/>
    <m/>
    <m/>
    <m/>
    <n v="20.6"/>
    <m/>
    <n v="1"/>
    <n v="20.6"/>
    <m/>
    <m/>
    <m/>
  </r>
  <r>
    <x v="33"/>
    <x v="2"/>
    <s v="Joint Service"/>
    <s v="US"/>
    <s v="RDT&amp;E"/>
    <x v="1"/>
    <x v="12"/>
    <m/>
    <m/>
    <m/>
    <m/>
    <n v="33.299999999999997"/>
    <m/>
    <n v="1"/>
    <n v="33.299999999999997"/>
    <m/>
    <m/>
    <m/>
  </r>
  <r>
    <x v="33"/>
    <x v="0"/>
    <s v="US Army"/>
    <s v="US"/>
    <s v="Procurement"/>
    <x v="1"/>
    <x v="12"/>
    <m/>
    <m/>
    <m/>
    <m/>
    <n v="1398.1"/>
    <m/>
    <n v="1"/>
    <n v="1398.1"/>
    <m/>
    <m/>
    <m/>
  </r>
  <r>
    <x v="33"/>
    <x v="1"/>
    <s v="US Army"/>
    <s v="US"/>
    <s v="Procurement"/>
    <x v="1"/>
    <x v="12"/>
    <m/>
    <m/>
    <m/>
    <m/>
    <n v="1198.3"/>
    <m/>
    <n v="1"/>
    <n v="1198.3"/>
    <m/>
    <m/>
    <m/>
  </r>
  <r>
    <x v="33"/>
    <x v="2"/>
    <s v="US Army"/>
    <s v="US"/>
    <s v="Procurement"/>
    <x v="1"/>
    <x v="12"/>
    <m/>
    <m/>
    <m/>
    <m/>
    <n v="1168.3"/>
    <m/>
    <n v="1"/>
    <n v="1168.3"/>
    <m/>
    <m/>
    <m/>
  </r>
  <r>
    <x v="33"/>
    <x v="0"/>
    <s v="USN"/>
    <s v="US"/>
    <s v="Procurement"/>
    <x v="1"/>
    <x v="12"/>
    <m/>
    <m/>
    <m/>
    <m/>
    <n v="200"/>
    <m/>
    <n v="1"/>
    <n v="200"/>
    <m/>
    <m/>
    <m/>
  </r>
  <r>
    <x v="33"/>
    <x v="1"/>
    <s v="USN"/>
    <s v="US"/>
    <s v="Procurement"/>
    <x v="1"/>
    <x v="12"/>
    <m/>
    <m/>
    <m/>
    <m/>
    <n v="1.6"/>
    <m/>
    <n v="1"/>
    <n v="1.6"/>
    <m/>
    <m/>
    <m/>
  </r>
  <r>
    <x v="33"/>
    <x v="2"/>
    <s v="USN"/>
    <s v="US"/>
    <s v="Procurement"/>
    <x v="1"/>
    <x v="12"/>
    <m/>
    <m/>
    <m/>
    <m/>
    <n v="61.5"/>
    <m/>
    <n v="1"/>
    <n v="61.5"/>
    <m/>
    <m/>
    <m/>
  </r>
  <r>
    <x v="34"/>
    <x v="0"/>
    <s v="US Army"/>
    <s v="US"/>
    <s v="RDT&amp;E"/>
    <x v="1"/>
    <x v="12"/>
    <m/>
    <m/>
    <m/>
    <m/>
    <n v="262.8"/>
    <m/>
    <n v="1"/>
    <n v="262.8"/>
    <m/>
    <m/>
    <s v="While the U.S. Navy is exploring a future surface-launch variant, FY2026 funding is entirely Army-managed — Navy participation remains exploratory at this stage."/>
  </r>
  <r>
    <x v="34"/>
    <x v="1"/>
    <s v="US Army"/>
    <s v="US"/>
    <s v="RDT&amp;E"/>
    <x v="1"/>
    <x v="12"/>
    <m/>
    <m/>
    <m/>
    <m/>
    <n v="184"/>
    <m/>
    <n v="1"/>
    <n v="184"/>
    <m/>
    <m/>
    <m/>
  </r>
  <r>
    <x v="34"/>
    <x v="2"/>
    <s v="US Army"/>
    <s v="US"/>
    <s v="RDT&amp;E"/>
    <x v="1"/>
    <x v="12"/>
    <m/>
    <m/>
    <m/>
    <m/>
    <n v="197.2"/>
    <m/>
    <n v="1"/>
    <n v="197.2"/>
    <m/>
    <m/>
    <m/>
  </r>
  <r>
    <x v="34"/>
    <x v="0"/>
    <s v="US Army"/>
    <s v="US"/>
    <s v="Procurement"/>
    <x v="1"/>
    <x v="12"/>
    <m/>
    <m/>
    <n v="98"/>
    <m/>
    <n v="1048.5"/>
    <m/>
    <n v="1"/>
    <n v="1048.5"/>
    <m/>
    <m/>
    <m/>
  </r>
  <r>
    <x v="34"/>
    <x v="1"/>
    <s v="US Army"/>
    <s v="US"/>
    <s v="Procurement"/>
    <x v="1"/>
    <x v="12"/>
    <m/>
    <m/>
    <n v="230"/>
    <m/>
    <n v="457.5"/>
    <m/>
    <n v="1"/>
    <n v="457.5"/>
    <m/>
    <m/>
    <m/>
  </r>
  <r>
    <x v="34"/>
    <x v="2"/>
    <s v="US Army"/>
    <s v="US"/>
    <s v="Procurement"/>
    <x v="1"/>
    <x v="12"/>
    <m/>
    <m/>
    <n v="152"/>
    <m/>
    <n v="363.7"/>
    <m/>
    <n v="1"/>
    <n v="363.7"/>
    <m/>
    <m/>
    <m/>
  </r>
  <r>
    <x v="35"/>
    <x v="0"/>
    <s v="USN"/>
    <s v="US"/>
    <s v="RDT&amp;E"/>
    <x v="1"/>
    <x v="21"/>
    <m/>
    <m/>
    <m/>
    <m/>
    <n v="326.3"/>
    <m/>
    <n v="1"/>
    <n v="326.3"/>
    <m/>
    <m/>
    <s v="Trident"/>
  </r>
  <r>
    <x v="35"/>
    <x v="1"/>
    <s v="USN"/>
    <s v="US"/>
    <s v="RDT&amp;E"/>
    <x v="1"/>
    <x v="21"/>
    <m/>
    <m/>
    <m/>
    <m/>
    <n v="335.3"/>
    <m/>
    <n v="1"/>
    <n v="335.3"/>
    <m/>
    <m/>
    <m/>
  </r>
  <r>
    <x v="35"/>
    <x v="2"/>
    <s v="USN"/>
    <s v="US"/>
    <s v="RDT&amp;E"/>
    <x v="1"/>
    <x v="21"/>
    <m/>
    <m/>
    <m/>
    <m/>
    <n v="807.1"/>
    <m/>
    <n v="1"/>
    <n v="807.1"/>
    <m/>
    <m/>
    <m/>
  </r>
  <r>
    <x v="35"/>
    <x v="0"/>
    <s v="USN"/>
    <s v="US"/>
    <s v="Procurement"/>
    <x v="1"/>
    <x v="21"/>
    <m/>
    <m/>
    <m/>
    <m/>
    <n v="1545.8"/>
    <m/>
    <n v="1"/>
    <n v="1545.8"/>
    <m/>
    <m/>
    <m/>
  </r>
  <r>
    <x v="35"/>
    <x v="1"/>
    <s v="USN"/>
    <s v="US"/>
    <s v="Procurement"/>
    <x v="1"/>
    <x v="21"/>
    <m/>
    <m/>
    <m/>
    <m/>
    <n v="2057.8000000000002"/>
    <m/>
    <n v="1"/>
    <n v="2057.8000000000002"/>
    <m/>
    <m/>
    <m/>
  </r>
  <r>
    <x v="35"/>
    <x v="2"/>
    <s v="USN"/>
    <s v="US"/>
    <s v="Procurement"/>
    <x v="1"/>
    <x v="21"/>
    <m/>
    <m/>
    <m/>
    <m/>
    <n v="2934.9"/>
    <m/>
    <n v="1"/>
    <n v="2934.9"/>
    <m/>
    <m/>
    <m/>
  </r>
  <r>
    <x v="36"/>
    <x v="0"/>
    <s v="USN"/>
    <s v="US"/>
    <s v="RDT&amp;E"/>
    <x v="0"/>
    <x v="0"/>
    <m/>
    <m/>
    <m/>
    <m/>
    <n v="366.2"/>
    <m/>
    <n v="1"/>
    <n v="366.2"/>
    <m/>
    <m/>
    <m/>
  </r>
  <r>
    <x v="36"/>
    <x v="1"/>
    <s v="USN"/>
    <s v="US"/>
    <s v="RDT&amp;E"/>
    <x v="0"/>
    <x v="0"/>
    <m/>
    <m/>
    <m/>
    <m/>
    <n v="288.3"/>
    <m/>
    <n v="1"/>
    <n v="288.3"/>
    <m/>
    <m/>
    <m/>
  </r>
  <r>
    <x v="36"/>
    <x v="2"/>
    <s v="USN"/>
    <s v="US"/>
    <s v="RDT&amp;E"/>
    <x v="0"/>
    <x v="0"/>
    <m/>
    <m/>
    <m/>
    <m/>
    <n v="413"/>
    <m/>
    <n v="1"/>
    <n v="413"/>
    <m/>
    <m/>
    <m/>
  </r>
  <r>
    <x v="36"/>
    <x v="0"/>
    <s v="USN"/>
    <s v="US"/>
    <s v="Procurement"/>
    <x v="0"/>
    <x v="0"/>
    <m/>
    <m/>
    <n v="97"/>
    <m/>
    <n v="1137.5"/>
    <m/>
    <n v="1"/>
    <n v="1137.5"/>
    <m/>
    <m/>
    <m/>
  </r>
  <r>
    <x v="36"/>
    <x v="1"/>
    <s v="USN"/>
    <s v="US"/>
    <s v="Procurement"/>
    <x v="0"/>
    <x v="0"/>
    <m/>
    <m/>
    <n v="78"/>
    <m/>
    <n v="694.4"/>
    <m/>
    <n v="1"/>
    <n v="694.4"/>
    <m/>
    <m/>
    <m/>
  </r>
  <r>
    <x v="36"/>
    <x v="2"/>
    <s v="USN"/>
    <s v="US"/>
    <s v="Procurement"/>
    <x v="0"/>
    <x v="0"/>
    <m/>
    <m/>
    <n v="139"/>
    <m/>
    <n v="849.5"/>
    <m/>
    <n v="1"/>
    <n v="849.5"/>
    <m/>
    <m/>
    <m/>
  </r>
  <r>
    <x v="37"/>
    <x v="0"/>
    <s v="Joint Service"/>
    <s v="US"/>
    <s v="RDT&amp;E"/>
    <x v="0"/>
    <x v="0"/>
    <m/>
    <m/>
    <m/>
    <m/>
    <n v="119.5"/>
    <m/>
    <n v="1"/>
    <n v="119.5"/>
    <m/>
    <m/>
    <s v="Tomahawk"/>
  </r>
  <r>
    <x v="37"/>
    <x v="1"/>
    <s v="Joint Service"/>
    <s v="US"/>
    <s v="RDT&amp;E"/>
    <x v="0"/>
    <x v="0"/>
    <m/>
    <m/>
    <m/>
    <m/>
    <n v="166.2"/>
    <m/>
    <n v="1"/>
    <n v="166.2"/>
    <m/>
    <m/>
    <m/>
  </r>
  <r>
    <x v="37"/>
    <x v="2"/>
    <s v="Joint Service"/>
    <s v="US"/>
    <s v="RDT&amp;E"/>
    <x v="0"/>
    <x v="0"/>
    <m/>
    <m/>
    <m/>
    <m/>
    <n v="151.19999999999999"/>
    <m/>
    <n v="1"/>
    <n v="151.19999999999999"/>
    <m/>
    <m/>
    <m/>
  </r>
  <r>
    <x v="37"/>
    <x v="0"/>
    <s v="US Army"/>
    <s v="US"/>
    <s v="Procurement"/>
    <x v="0"/>
    <x v="0"/>
    <m/>
    <m/>
    <m/>
    <m/>
    <n v="5"/>
    <m/>
    <n v="1"/>
    <n v="5"/>
    <m/>
    <m/>
    <m/>
  </r>
  <r>
    <x v="37"/>
    <x v="0"/>
    <s v="USN"/>
    <s v="US"/>
    <s v="Procurement"/>
    <x v="0"/>
    <x v="0"/>
    <m/>
    <m/>
    <m/>
    <m/>
    <n v="665.6"/>
    <m/>
    <n v="1"/>
    <n v="665.6"/>
    <m/>
    <m/>
    <m/>
  </r>
  <r>
    <x v="37"/>
    <x v="1"/>
    <s v="USN"/>
    <s v="US"/>
    <s v="Procurement"/>
    <x v="0"/>
    <x v="0"/>
    <m/>
    <m/>
    <m/>
    <m/>
    <n v="429"/>
    <m/>
    <n v="1"/>
    <n v="429"/>
    <m/>
    <m/>
    <m/>
  </r>
  <r>
    <x v="37"/>
    <x v="2"/>
    <s v="USN"/>
    <s v="US"/>
    <s v="Procurement"/>
    <x v="0"/>
    <x v="0"/>
    <m/>
    <m/>
    <n v="57"/>
    <m/>
    <n v="795"/>
    <m/>
    <n v="1"/>
    <n v="795"/>
    <m/>
    <m/>
    <m/>
  </r>
  <r>
    <x v="37"/>
    <x v="0"/>
    <s v="USMC"/>
    <s v="US"/>
    <s v="Procurement"/>
    <x v="0"/>
    <x v="0"/>
    <m/>
    <m/>
    <n v="30"/>
    <m/>
    <n v="93.6"/>
    <m/>
    <n v="1"/>
    <n v="93.6"/>
    <m/>
    <m/>
    <m/>
  </r>
  <r>
    <x v="37"/>
    <x v="1"/>
    <s v="USMC"/>
    <s v="US"/>
    <s v="Procurement"/>
    <x v="0"/>
    <x v="0"/>
    <m/>
    <m/>
    <n v="22"/>
    <m/>
    <n v="112.5"/>
    <m/>
    <n v="1"/>
    <n v="112.5"/>
    <m/>
    <m/>
    <m/>
  </r>
  <r>
    <x v="38"/>
    <x v="0"/>
    <s v="USAF"/>
    <s v="US"/>
    <s v="RDT&amp;E"/>
    <x v="6"/>
    <x v="9"/>
    <m/>
    <m/>
    <m/>
    <m/>
    <n v="4237.3"/>
    <m/>
    <n v="1"/>
    <n v="4237.3"/>
    <m/>
    <m/>
    <m/>
  </r>
  <r>
    <x v="38"/>
    <x v="1"/>
    <s v="USAF"/>
    <s v="US"/>
    <s v="RDT&amp;E"/>
    <x v="6"/>
    <x v="9"/>
    <m/>
    <m/>
    <m/>
    <m/>
    <n v="2011"/>
    <m/>
    <n v="1"/>
    <n v="2011"/>
    <m/>
    <m/>
    <m/>
  </r>
  <r>
    <x v="38"/>
    <x v="2"/>
    <s v="USAF"/>
    <s v="US"/>
    <s v="RDT&amp;E"/>
    <x v="6"/>
    <x v="9"/>
    <m/>
    <m/>
    <m/>
    <m/>
    <n v="4147.6000000000004"/>
    <m/>
    <n v="1"/>
    <n v="4147.6000000000004"/>
    <m/>
    <m/>
    <m/>
  </r>
  <r>
    <x v="39"/>
    <x v="0"/>
    <s v="USAF"/>
    <s v="US"/>
    <s v="RDT&amp;E"/>
    <x v="0"/>
    <x v="0"/>
    <m/>
    <m/>
    <m/>
    <m/>
    <n v="856.9"/>
    <m/>
    <n v="1"/>
    <n v="856.9"/>
    <m/>
    <m/>
    <m/>
  </r>
  <r>
    <x v="39"/>
    <x v="1"/>
    <s v="USAF"/>
    <s v="US"/>
    <s v="RDT&amp;E"/>
    <x v="0"/>
    <x v="0"/>
    <m/>
    <m/>
    <m/>
    <m/>
    <n v="593.9"/>
    <m/>
    <n v="1"/>
    <n v="593.9"/>
    <m/>
    <m/>
    <m/>
  </r>
  <r>
    <x v="39"/>
    <x v="2"/>
    <s v="USAF"/>
    <s v="US"/>
    <s v="RDT&amp;E"/>
    <x v="0"/>
    <x v="0"/>
    <m/>
    <m/>
    <m/>
    <m/>
    <n v="607"/>
    <m/>
    <n v="1"/>
    <n v="607"/>
    <m/>
    <m/>
    <m/>
  </r>
  <r>
    <x v="39"/>
    <x v="0"/>
    <s v="USAF"/>
    <s v="US"/>
    <s v="Procurement"/>
    <x v="0"/>
    <x v="0"/>
    <m/>
    <m/>
    <m/>
    <m/>
    <n v="66.8"/>
    <m/>
    <n v="1"/>
    <n v="66.8"/>
    <m/>
    <m/>
    <m/>
  </r>
  <r>
    <x v="39"/>
    <x v="1"/>
    <s v="USAF"/>
    <s v="US"/>
    <s v="Procurement"/>
    <x v="0"/>
    <x v="0"/>
    <m/>
    <m/>
    <m/>
    <m/>
    <n v="210.3"/>
    <m/>
    <n v="1"/>
    <n v="210.3"/>
    <m/>
    <m/>
    <m/>
  </r>
  <r>
    <x v="39"/>
    <x v="2"/>
    <s v="USAF"/>
    <s v="US"/>
    <s v="Procurement"/>
    <x v="0"/>
    <x v="0"/>
    <m/>
    <m/>
    <m/>
    <m/>
    <n v="443.7"/>
    <m/>
    <n v="1"/>
    <n v="443.7"/>
    <m/>
    <m/>
    <m/>
  </r>
  <r>
    <x v="40"/>
    <x v="0"/>
    <s v="USSF"/>
    <s v="US"/>
    <s v="RDT&amp;E"/>
    <x v="6"/>
    <x v="21"/>
    <m/>
    <m/>
    <m/>
    <m/>
    <n v="258.60000000000002"/>
    <m/>
    <n v="0.2"/>
    <n v="51.720000000000006"/>
    <m/>
    <m/>
    <s v="Space Force Launch Enterprise"/>
  </r>
  <r>
    <x v="40"/>
    <x v="0"/>
    <s v="USSF"/>
    <s v="US"/>
    <s v="RDT&amp;E"/>
    <x v="18"/>
    <x v="10"/>
    <m/>
    <m/>
    <m/>
    <m/>
    <n v="258.60000000000002"/>
    <m/>
    <n v="0.25"/>
    <n v="64.650000000000006"/>
    <m/>
    <m/>
    <m/>
  </r>
  <r>
    <x v="40"/>
    <x v="0"/>
    <s v="USSF"/>
    <s v="US"/>
    <s v="RDT&amp;E"/>
    <x v="19"/>
    <x v="10"/>
    <m/>
    <m/>
    <m/>
    <m/>
    <n v="258.60000000000002"/>
    <m/>
    <n v="0.25"/>
    <n v="64.650000000000006"/>
    <m/>
    <m/>
    <m/>
  </r>
  <r>
    <x v="40"/>
    <x v="0"/>
    <s v="USSF"/>
    <s v="US"/>
    <s v="RDT&amp;E"/>
    <x v="20"/>
    <x v="10"/>
    <m/>
    <m/>
    <m/>
    <m/>
    <n v="258.60000000000002"/>
    <m/>
    <n v="0.15"/>
    <n v="38.79"/>
    <m/>
    <m/>
    <m/>
  </r>
  <r>
    <x v="40"/>
    <x v="0"/>
    <s v="USSF"/>
    <s v="US"/>
    <s v="RDT&amp;E"/>
    <x v="21"/>
    <x v="10"/>
    <m/>
    <m/>
    <m/>
    <m/>
    <n v="258.60000000000002"/>
    <m/>
    <n v="0.1"/>
    <n v="25.860000000000003"/>
    <m/>
    <m/>
    <m/>
  </r>
  <r>
    <x v="40"/>
    <x v="0"/>
    <s v="USSF"/>
    <s v="US"/>
    <s v="RDT&amp;E"/>
    <x v="22"/>
    <x v="10"/>
    <m/>
    <m/>
    <m/>
    <m/>
    <n v="258.60000000000002"/>
    <m/>
    <n v="0.05"/>
    <n v="12.930000000000001"/>
    <m/>
    <m/>
    <m/>
  </r>
  <r>
    <x v="40"/>
    <x v="1"/>
    <s v="USSF"/>
    <s v="US"/>
    <s v="RDT&amp;E"/>
    <x v="6"/>
    <x v="21"/>
    <m/>
    <m/>
    <m/>
    <m/>
    <n v="248.1"/>
    <m/>
    <n v="0.2"/>
    <n v="49.620000000000005"/>
    <m/>
    <m/>
    <m/>
  </r>
  <r>
    <x v="40"/>
    <x v="1"/>
    <s v="USSF"/>
    <s v="US"/>
    <s v="RDT&amp;E"/>
    <x v="18"/>
    <x v="10"/>
    <m/>
    <m/>
    <m/>
    <m/>
    <n v="248.1"/>
    <m/>
    <n v="0.25"/>
    <n v="62.024999999999999"/>
    <m/>
    <m/>
    <m/>
  </r>
  <r>
    <x v="40"/>
    <x v="1"/>
    <s v="USSF"/>
    <s v="US"/>
    <s v="RDT&amp;E"/>
    <x v="19"/>
    <x v="10"/>
    <m/>
    <m/>
    <m/>
    <m/>
    <n v="248.1"/>
    <m/>
    <n v="0.25"/>
    <n v="62.024999999999999"/>
    <m/>
    <m/>
    <m/>
  </r>
  <r>
    <x v="40"/>
    <x v="1"/>
    <s v="USSF"/>
    <s v="US"/>
    <s v="RDT&amp;E"/>
    <x v="20"/>
    <x v="10"/>
    <m/>
    <m/>
    <m/>
    <m/>
    <n v="248.1"/>
    <m/>
    <n v="0.15"/>
    <n v="37.214999999999996"/>
    <m/>
    <m/>
    <m/>
  </r>
  <r>
    <x v="40"/>
    <x v="1"/>
    <s v="USSF"/>
    <s v="US"/>
    <s v="RDT&amp;E"/>
    <x v="21"/>
    <x v="10"/>
    <m/>
    <m/>
    <m/>
    <m/>
    <n v="248.1"/>
    <m/>
    <n v="0.1"/>
    <n v="24.810000000000002"/>
    <m/>
    <m/>
    <m/>
  </r>
  <r>
    <x v="40"/>
    <x v="1"/>
    <s v="USSF"/>
    <s v="US"/>
    <s v="RDT&amp;E"/>
    <x v="22"/>
    <x v="10"/>
    <m/>
    <m/>
    <m/>
    <m/>
    <n v="248.1"/>
    <m/>
    <n v="0.05"/>
    <n v="12.405000000000001"/>
    <m/>
    <m/>
    <m/>
  </r>
  <r>
    <x v="40"/>
    <x v="2"/>
    <s v="USSF"/>
    <s v="US"/>
    <s v="RDT&amp;E"/>
    <x v="6"/>
    <x v="21"/>
    <m/>
    <m/>
    <m/>
    <m/>
    <n v="264.2"/>
    <m/>
    <n v="0.2"/>
    <n v="52.84"/>
    <m/>
    <m/>
    <m/>
  </r>
  <r>
    <x v="40"/>
    <x v="2"/>
    <s v="USSF"/>
    <s v="US"/>
    <s v="RDT&amp;E"/>
    <x v="18"/>
    <x v="10"/>
    <m/>
    <m/>
    <m/>
    <m/>
    <n v="264.2"/>
    <m/>
    <n v="0.25"/>
    <n v="66.05"/>
    <m/>
    <m/>
    <m/>
  </r>
  <r>
    <x v="40"/>
    <x v="2"/>
    <s v="USSF"/>
    <s v="US"/>
    <s v="RDT&amp;E"/>
    <x v="19"/>
    <x v="10"/>
    <m/>
    <m/>
    <m/>
    <m/>
    <n v="264.2"/>
    <m/>
    <n v="0.25"/>
    <n v="66.05"/>
    <m/>
    <m/>
    <m/>
  </r>
  <r>
    <x v="40"/>
    <x v="2"/>
    <s v="USSF"/>
    <s v="US"/>
    <s v="RDT&amp;E"/>
    <x v="20"/>
    <x v="10"/>
    <m/>
    <m/>
    <m/>
    <m/>
    <n v="264.2"/>
    <m/>
    <n v="0.15"/>
    <n v="39.629999999999995"/>
    <m/>
    <m/>
    <m/>
  </r>
  <r>
    <x v="40"/>
    <x v="2"/>
    <s v="USSF"/>
    <s v="US"/>
    <s v="RDT&amp;E"/>
    <x v="21"/>
    <x v="10"/>
    <m/>
    <m/>
    <m/>
    <m/>
    <n v="264.2"/>
    <m/>
    <n v="0.1"/>
    <n v="26.42"/>
    <m/>
    <m/>
    <m/>
  </r>
  <r>
    <x v="40"/>
    <x v="2"/>
    <s v="USSF"/>
    <s v="US"/>
    <s v="RDT&amp;E"/>
    <x v="22"/>
    <x v="10"/>
    <m/>
    <m/>
    <m/>
    <m/>
    <n v="264.2"/>
    <m/>
    <n v="0.05"/>
    <n v="13.21"/>
    <m/>
    <m/>
    <m/>
  </r>
  <r>
    <x v="40"/>
    <x v="0"/>
    <s v="USSF"/>
    <s v="US"/>
    <s v="Procurement"/>
    <x v="6"/>
    <x v="21"/>
    <m/>
    <m/>
    <m/>
    <m/>
    <n v="2812.7"/>
    <m/>
    <n v="0.2"/>
    <n v="562.54"/>
    <m/>
    <m/>
    <m/>
  </r>
  <r>
    <x v="40"/>
    <x v="0"/>
    <s v="USSF"/>
    <s v="US"/>
    <s v="Procurement"/>
    <x v="18"/>
    <x v="10"/>
    <m/>
    <m/>
    <m/>
    <m/>
    <n v="2812.7"/>
    <m/>
    <n v="0.25"/>
    <n v="703.17499999999995"/>
    <m/>
    <m/>
    <m/>
  </r>
  <r>
    <x v="40"/>
    <x v="0"/>
    <s v="USSF"/>
    <s v="US"/>
    <s v="Procurement"/>
    <x v="19"/>
    <x v="10"/>
    <m/>
    <m/>
    <m/>
    <m/>
    <n v="2812.7"/>
    <m/>
    <n v="0.25"/>
    <n v="703.17499999999995"/>
    <m/>
    <m/>
    <m/>
  </r>
  <r>
    <x v="40"/>
    <x v="0"/>
    <s v="USSF"/>
    <s v="US"/>
    <s v="Procurement"/>
    <x v="20"/>
    <x v="10"/>
    <m/>
    <m/>
    <m/>
    <m/>
    <n v="2812.7"/>
    <m/>
    <n v="0.15"/>
    <n v="421.90499999999997"/>
    <m/>
    <m/>
    <m/>
  </r>
  <r>
    <x v="40"/>
    <x v="0"/>
    <s v="USSF"/>
    <s v="US"/>
    <s v="Procurement"/>
    <x v="21"/>
    <x v="10"/>
    <m/>
    <m/>
    <m/>
    <m/>
    <n v="2812.7"/>
    <m/>
    <n v="0.1"/>
    <n v="281.27"/>
    <m/>
    <m/>
    <m/>
  </r>
  <r>
    <x v="40"/>
    <x v="0"/>
    <s v="USSF"/>
    <s v="US"/>
    <s v="Procurement"/>
    <x v="22"/>
    <x v="10"/>
    <m/>
    <m/>
    <m/>
    <m/>
    <n v="2812.7"/>
    <m/>
    <n v="0.05"/>
    <n v="140.63499999999999"/>
    <m/>
    <m/>
    <m/>
  </r>
  <r>
    <x v="40"/>
    <x v="1"/>
    <s v="USSF"/>
    <s v="US"/>
    <s v="Procurement"/>
    <x v="6"/>
    <x v="21"/>
    <m/>
    <m/>
    <m/>
    <m/>
    <n v="2190.5"/>
    <m/>
    <n v="0.2"/>
    <n v="438.1"/>
    <m/>
    <m/>
    <m/>
  </r>
  <r>
    <x v="40"/>
    <x v="1"/>
    <s v="USSF"/>
    <s v="US"/>
    <s v="Procurement"/>
    <x v="18"/>
    <x v="10"/>
    <m/>
    <m/>
    <m/>
    <m/>
    <n v="2190.5"/>
    <m/>
    <n v="0.25"/>
    <n v="547.625"/>
    <m/>
    <m/>
    <m/>
  </r>
  <r>
    <x v="40"/>
    <x v="1"/>
    <s v="USSF"/>
    <s v="US"/>
    <s v="Procurement"/>
    <x v="19"/>
    <x v="10"/>
    <m/>
    <m/>
    <m/>
    <m/>
    <n v="2190.5"/>
    <m/>
    <n v="0.25"/>
    <n v="547.625"/>
    <m/>
    <m/>
    <m/>
  </r>
  <r>
    <x v="40"/>
    <x v="1"/>
    <s v="USSF"/>
    <s v="US"/>
    <s v="Procurement"/>
    <x v="20"/>
    <x v="10"/>
    <m/>
    <m/>
    <m/>
    <m/>
    <n v="2190.5"/>
    <m/>
    <n v="0.15"/>
    <n v="328.57499999999999"/>
    <m/>
    <m/>
    <m/>
  </r>
  <r>
    <x v="40"/>
    <x v="1"/>
    <s v="USSF"/>
    <s v="US"/>
    <s v="Procurement"/>
    <x v="21"/>
    <x v="10"/>
    <m/>
    <m/>
    <m/>
    <m/>
    <n v="2190.5"/>
    <m/>
    <n v="0.1"/>
    <n v="219.05"/>
    <m/>
    <m/>
    <m/>
  </r>
  <r>
    <x v="40"/>
    <x v="1"/>
    <s v="USSF"/>
    <s v="US"/>
    <s v="Procurement"/>
    <x v="22"/>
    <x v="10"/>
    <m/>
    <m/>
    <m/>
    <m/>
    <n v="2190.5"/>
    <m/>
    <n v="0.05"/>
    <n v="109.52500000000001"/>
    <m/>
    <m/>
    <m/>
  </r>
  <r>
    <x v="40"/>
    <x v="2"/>
    <s v="USSF"/>
    <s v="US"/>
    <s v="Procurement"/>
    <x v="6"/>
    <x v="21"/>
    <m/>
    <m/>
    <m/>
    <m/>
    <n v="2185.6999999999998"/>
    <m/>
    <n v="0.2"/>
    <n v="437.14"/>
    <m/>
    <m/>
    <m/>
  </r>
  <r>
    <x v="40"/>
    <x v="2"/>
    <s v="USSF"/>
    <s v="US"/>
    <s v="Procurement"/>
    <x v="18"/>
    <x v="10"/>
    <m/>
    <m/>
    <m/>
    <m/>
    <n v="2185.6999999999998"/>
    <m/>
    <n v="0.25"/>
    <n v="546.42499999999995"/>
    <m/>
    <m/>
    <m/>
  </r>
  <r>
    <x v="40"/>
    <x v="2"/>
    <s v="USSF"/>
    <s v="US"/>
    <s v="Procurement"/>
    <x v="19"/>
    <x v="10"/>
    <m/>
    <m/>
    <m/>
    <m/>
    <n v="2185.6999999999998"/>
    <m/>
    <n v="0.25"/>
    <n v="546.42499999999995"/>
    <m/>
    <m/>
    <m/>
  </r>
  <r>
    <x v="40"/>
    <x v="2"/>
    <s v="USSF"/>
    <s v="US"/>
    <s v="Procurement"/>
    <x v="20"/>
    <x v="10"/>
    <m/>
    <m/>
    <m/>
    <m/>
    <n v="2185.6999999999998"/>
    <m/>
    <n v="0.15"/>
    <n v="327.85499999999996"/>
    <m/>
    <m/>
    <m/>
  </r>
  <r>
    <x v="40"/>
    <x v="2"/>
    <s v="USSF"/>
    <s v="US"/>
    <s v="Procurement"/>
    <x v="21"/>
    <x v="10"/>
    <m/>
    <m/>
    <m/>
    <m/>
    <n v="2185.6999999999998"/>
    <m/>
    <n v="0.1"/>
    <n v="218.57"/>
    <m/>
    <m/>
    <m/>
  </r>
  <r>
    <x v="40"/>
    <x v="2"/>
    <s v="USSF"/>
    <s v="US"/>
    <s v="Procurement"/>
    <x v="22"/>
    <x v="10"/>
    <m/>
    <m/>
    <m/>
    <m/>
    <n v="2185.6999999999998"/>
    <m/>
    <n v="0.05"/>
    <n v="109.285"/>
    <m/>
    <m/>
    <m/>
  </r>
  <r>
    <x v="41"/>
    <x v="0"/>
    <s v="USSF"/>
    <s v="US"/>
    <s v="RDT&amp;E"/>
    <x v="1"/>
    <x v="21"/>
    <m/>
    <m/>
    <m/>
    <m/>
    <n v="4756.1000000000004"/>
    <m/>
    <n v="0.55000000000000004"/>
    <n v="2615.8550000000005"/>
    <m/>
    <m/>
    <m/>
  </r>
  <r>
    <x v="41"/>
    <x v="0"/>
    <s v="USSF"/>
    <s v="US"/>
    <s v="RDT&amp;E"/>
    <x v="6"/>
    <x v="21"/>
    <m/>
    <m/>
    <m/>
    <m/>
    <n v="4756.1000000000004"/>
    <m/>
    <n v="0.3"/>
    <n v="1426.8300000000002"/>
    <m/>
    <m/>
    <m/>
  </r>
  <r>
    <x v="41"/>
    <x v="0"/>
    <s v="USSF"/>
    <s v="US"/>
    <s v="RDT&amp;E"/>
    <x v="0"/>
    <x v="0"/>
    <m/>
    <m/>
    <m/>
    <m/>
    <n v="4756.1000000000004"/>
    <m/>
    <n v="0.1"/>
    <n v="475.61000000000007"/>
    <m/>
    <m/>
    <m/>
  </r>
  <r>
    <x v="41"/>
    <x v="0"/>
    <s v="USSF"/>
    <s v="US"/>
    <s v="RDT&amp;E"/>
    <x v="9"/>
    <x v="7"/>
    <m/>
    <m/>
    <m/>
    <m/>
    <n v="4756.1000000000004"/>
    <m/>
    <n v="0.05"/>
    <n v="237.80500000000004"/>
    <m/>
    <m/>
    <m/>
  </r>
  <r>
    <x v="41"/>
    <x v="1"/>
    <s v="USSF"/>
    <s v="US"/>
    <s v="RDT&amp;E"/>
    <x v="1"/>
    <x v="21"/>
    <m/>
    <m/>
    <m/>
    <m/>
    <n v="4701.3"/>
    <m/>
    <n v="0.55000000000000004"/>
    <n v="2585.7150000000001"/>
    <m/>
    <m/>
    <m/>
  </r>
  <r>
    <x v="41"/>
    <x v="1"/>
    <s v="USSF"/>
    <s v="US"/>
    <s v="RDT&amp;E"/>
    <x v="6"/>
    <x v="21"/>
    <m/>
    <m/>
    <m/>
    <m/>
    <n v="4701.3"/>
    <m/>
    <n v="0.3"/>
    <n v="1410.39"/>
    <m/>
    <m/>
    <m/>
  </r>
  <r>
    <x v="41"/>
    <x v="1"/>
    <s v="USSF"/>
    <s v="US"/>
    <s v="RDT&amp;E"/>
    <x v="0"/>
    <x v="0"/>
    <m/>
    <m/>
    <m/>
    <m/>
    <n v="4701.3"/>
    <m/>
    <n v="0.1"/>
    <n v="470.13000000000005"/>
    <m/>
    <m/>
    <m/>
  </r>
  <r>
    <x v="41"/>
    <x v="1"/>
    <s v="USSF"/>
    <s v="US"/>
    <s v="RDT&amp;E"/>
    <x v="9"/>
    <x v="7"/>
    <m/>
    <m/>
    <m/>
    <m/>
    <n v="4701.3"/>
    <m/>
    <n v="0.05"/>
    <n v="235.06500000000003"/>
    <m/>
    <m/>
    <m/>
  </r>
  <r>
    <x v="41"/>
    <x v="2"/>
    <s v="USSF"/>
    <s v="US"/>
    <s v="RDT&amp;E"/>
    <x v="1"/>
    <x v="21"/>
    <m/>
    <m/>
    <m/>
    <m/>
    <n v="12958.8"/>
    <m/>
    <n v="0.55000000000000004"/>
    <n v="7127.34"/>
    <m/>
    <m/>
    <m/>
  </r>
  <r>
    <x v="41"/>
    <x v="2"/>
    <s v="USSF"/>
    <s v="US"/>
    <s v="RDT&amp;E"/>
    <x v="6"/>
    <x v="21"/>
    <m/>
    <m/>
    <m/>
    <m/>
    <n v="12958.8"/>
    <m/>
    <n v="0.3"/>
    <n v="3887.6399999999994"/>
    <m/>
    <m/>
    <m/>
  </r>
  <r>
    <x v="41"/>
    <x v="2"/>
    <s v="USSF"/>
    <s v="US"/>
    <s v="RDT&amp;E"/>
    <x v="0"/>
    <x v="0"/>
    <m/>
    <m/>
    <m/>
    <m/>
    <n v="12958.8"/>
    <m/>
    <n v="0.1"/>
    <n v="1295.8800000000001"/>
    <m/>
    <m/>
    <m/>
  </r>
  <r>
    <x v="41"/>
    <x v="2"/>
    <s v="USSF"/>
    <s v="US"/>
    <s v="RDT&amp;E"/>
    <x v="9"/>
    <x v="7"/>
    <m/>
    <m/>
    <m/>
    <m/>
    <n v="12958.8"/>
    <m/>
    <n v="0.05"/>
    <n v="647.94000000000005"/>
    <m/>
    <m/>
    <m/>
  </r>
  <r>
    <x v="41"/>
    <x v="0"/>
    <s v="USSF"/>
    <s v="US"/>
    <s v="Procurement"/>
    <x v="1"/>
    <x v="21"/>
    <m/>
    <m/>
    <m/>
    <m/>
    <n v="124.6"/>
    <m/>
    <n v="0.55000000000000004"/>
    <n v="68.53"/>
    <m/>
    <m/>
    <m/>
  </r>
  <r>
    <x v="41"/>
    <x v="0"/>
    <s v="USSF"/>
    <s v="US"/>
    <s v="Procurement"/>
    <x v="6"/>
    <x v="21"/>
    <m/>
    <m/>
    <m/>
    <m/>
    <n v="124.6"/>
    <m/>
    <n v="0.3"/>
    <n v="37.379999999999995"/>
    <m/>
    <m/>
    <m/>
  </r>
  <r>
    <x v="41"/>
    <x v="0"/>
    <s v="USSF"/>
    <s v="US"/>
    <s v="Procurement"/>
    <x v="0"/>
    <x v="0"/>
    <m/>
    <m/>
    <m/>
    <m/>
    <n v="124.6"/>
    <m/>
    <n v="0.1"/>
    <n v="12.46"/>
    <m/>
    <m/>
    <m/>
  </r>
  <r>
    <x v="41"/>
    <x v="0"/>
    <s v="USSF"/>
    <s v="US"/>
    <s v="Procurement"/>
    <x v="9"/>
    <x v="7"/>
    <m/>
    <m/>
    <m/>
    <m/>
    <n v="124.6"/>
    <m/>
    <n v="0.05"/>
    <n v="6.23"/>
    <m/>
    <m/>
    <m/>
  </r>
  <r>
    <x v="41"/>
    <x v="2"/>
    <s v="USSF"/>
    <s v="US"/>
    <s v="Procurement"/>
    <x v="1"/>
    <x v="21"/>
    <m/>
    <m/>
    <m/>
    <m/>
    <n v="8"/>
    <m/>
    <n v="0.55000000000000004"/>
    <n v="4.4000000000000004"/>
    <m/>
    <m/>
    <m/>
  </r>
  <r>
    <x v="41"/>
    <x v="2"/>
    <s v="USSF"/>
    <s v="US"/>
    <s v="Procurement"/>
    <x v="6"/>
    <x v="21"/>
    <m/>
    <m/>
    <m/>
    <m/>
    <n v="8"/>
    <m/>
    <n v="0.3"/>
    <n v="2.4"/>
    <m/>
    <m/>
    <m/>
  </r>
  <r>
    <x v="41"/>
    <x v="2"/>
    <s v="USSF"/>
    <s v="US"/>
    <s v="Procurement"/>
    <x v="0"/>
    <x v="0"/>
    <m/>
    <m/>
    <m/>
    <m/>
    <n v="8"/>
    <m/>
    <n v="0.1"/>
    <n v="0.8"/>
    <m/>
    <m/>
    <m/>
  </r>
  <r>
    <x v="41"/>
    <x v="2"/>
    <s v="USSF"/>
    <s v="US"/>
    <s v="Procurement"/>
    <x v="9"/>
    <x v="7"/>
    <m/>
    <m/>
    <m/>
    <m/>
    <n v="8"/>
    <m/>
    <n v="0.05"/>
    <n v="0.4"/>
    <m/>
    <m/>
    <m/>
  </r>
  <r>
    <x v="42"/>
    <x v="0"/>
    <s v="USSF"/>
    <s v="US"/>
    <s v="RDT&amp;E"/>
    <x v="3"/>
    <x v="1"/>
    <m/>
    <m/>
    <m/>
    <m/>
    <n v="3569.7"/>
    <m/>
    <n v="0.35"/>
    <n v="1249.3949999999998"/>
    <m/>
    <m/>
    <m/>
  </r>
  <r>
    <x v="42"/>
    <x v="0"/>
    <s v="USSF"/>
    <s v="US"/>
    <s v="RDT&amp;E"/>
    <x v="6"/>
    <x v="21"/>
    <m/>
    <m/>
    <m/>
    <m/>
    <n v="3569.7"/>
    <m/>
    <n v="0.35"/>
    <n v="1249.3949999999998"/>
    <m/>
    <m/>
    <m/>
  </r>
  <r>
    <x v="42"/>
    <x v="0"/>
    <s v="USSF"/>
    <s v="US"/>
    <s v="RDT&amp;E"/>
    <x v="12"/>
    <x v="10"/>
    <m/>
    <m/>
    <m/>
    <m/>
    <n v="3569.7"/>
    <m/>
    <n v="0.15"/>
    <n v="535.45499999999993"/>
    <m/>
    <m/>
    <m/>
  </r>
  <r>
    <x v="42"/>
    <x v="0"/>
    <s v="USSF"/>
    <s v="US"/>
    <s v="RDT&amp;E"/>
    <x v="0"/>
    <x v="0"/>
    <m/>
    <m/>
    <m/>
    <m/>
    <n v="3569.7"/>
    <m/>
    <n v="0.15"/>
    <n v="535.45499999999993"/>
    <m/>
    <m/>
    <m/>
  </r>
  <r>
    <x v="42"/>
    <x v="1"/>
    <s v="USSF"/>
    <s v="US"/>
    <s v="RDT&amp;E"/>
    <x v="3"/>
    <x v="1"/>
    <m/>
    <m/>
    <m/>
    <m/>
    <n v="4116.5"/>
    <m/>
    <n v="0.35"/>
    <n v="1440.7749999999999"/>
    <m/>
    <m/>
    <m/>
  </r>
  <r>
    <x v="42"/>
    <x v="1"/>
    <s v="USSF"/>
    <s v="US"/>
    <s v="RDT&amp;E"/>
    <x v="6"/>
    <x v="21"/>
    <m/>
    <m/>
    <m/>
    <m/>
    <n v="4116.5"/>
    <m/>
    <n v="0.35"/>
    <n v="1440.7749999999999"/>
    <m/>
    <m/>
    <m/>
  </r>
  <r>
    <x v="42"/>
    <x v="1"/>
    <s v="USSF"/>
    <s v="US"/>
    <s v="RDT&amp;E"/>
    <x v="12"/>
    <x v="10"/>
    <m/>
    <m/>
    <m/>
    <m/>
    <n v="4116.5"/>
    <m/>
    <n v="0.15"/>
    <n v="617.47500000000002"/>
    <m/>
    <m/>
    <m/>
  </r>
  <r>
    <x v="42"/>
    <x v="1"/>
    <s v="USSF"/>
    <s v="US"/>
    <s v="RDT&amp;E"/>
    <x v="0"/>
    <x v="0"/>
    <m/>
    <m/>
    <m/>
    <m/>
    <n v="4116.5"/>
    <m/>
    <n v="0.15"/>
    <n v="617.47500000000002"/>
    <m/>
    <m/>
    <m/>
  </r>
  <r>
    <x v="42"/>
    <x v="2"/>
    <s v="USSF"/>
    <s v="US"/>
    <s v="RDT&amp;E"/>
    <x v="3"/>
    <x v="1"/>
    <m/>
    <m/>
    <m/>
    <m/>
    <n v="5735.6"/>
    <m/>
    <n v="0.35"/>
    <n v="2007.46"/>
    <m/>
    <m/>
    <m/>
  </r>
  <r>
    <x v="42"/>
    <x v="2"/>
    <s v="USSF"/>
    <s v="US"/>
    <s v="RDT&amp;E"/>
    <x v="6"/>
    <x v="21"/>
    <m/>
    <m/>
    <m/>
    <m/>
    <n v="5735.6"/>
    <m/>
    <n v="0.35"/>
    <n v="2007.46"/>
    <m/>
    <m/>
    <m/>
  </r>
  <r>
    <x v="42"/>
    <x v="2"/>
    <s v="USSF"/>
    <s v="US"/>
    <s v="RDT&amp;E"/>
    <x v="12"/>
    <x v="10"/>
    <m/>
    <m/>
    <m/>
    <m/>
    <n v="5735.6"/>
    <m/>
    <n v="0.15"/>
    <n v="860.34"/>
    <m/>
    <m/>
    <m/>
  </r>
  <r>
    <x v="42"/>
    <x v="2"/>
    <s v="USSF"/>
    <s v="US"/>
    <s v="RDT&amp;E"/>
    <x v="0"/>
    <x v="0"/>
    <m/>
    <m/>
    <m/>
    <m/>
    <n v="5735.6"/>
    <m/>
    <n v="0.15"/>
    <n v="860.34"/>
    <m/>
    <m/>
    <m/>
  </r>
  <r>
    <x v="42"/>
    <x v="0"/>
    <s v="USSF"/>
    <s v="US"/>
    <s v="Procurement"/>
    <x v="3"/>
    <x v="1"/>
    <m/>
    <m/>
    <m/>
    <m/>
    <n v="334.8"/>
    <m/>
    <n v="0.35"/>
    <n v="117.17999999999999"/>
    <m/>
    <m/>
    <m/>
  </r>
  <r>
    <x v="42"/>
    <x v="0"/>
    <s v="USSF"/>
    <s v="US"/>
    <s v="Procurement"/>
    <x v="6"/>
    <x v="21"/>
    <m/>
    <m/>
    <m/>
    <m/>
    <n v="334.8"/>
    <m/>
    <n v="0.35"/>
    <n v="117.17999999999999"/>
    <m/>
    <m/>
    <m/>
  </r>
  <r>
    <x v="42"/>
    <x v="0"/>
    <s v="USSF"/>
    <s v="US"/>
    <s v="Procurement"/>
    <x v="12"/>
    <x v="10"/>
    <m/>
    <m/>
    <m/>
    <m/>
    <n v="334.8"/>
    <m/>
    <n v="0.15"/>
    <n v="50.22"/>
    <m/>
    <m/>
    <m/>
  </r>
  <r>
    <x v="42"/>
    <x v="0"/>
    <s v="USSF"/>
    <s v="US"/>
    <s v="Procurement"/>
    <x v="0"/>
    <x v="0"/>
    <m/>
    <m/>
    <m/>
    <m/>
    <n v="334.8"/>
    <m/>
    <n v="0.15"/>
    <n v="50.22"/>
    <m/>
    <m/>
    <m/>
  </r>
  <r>
    <x v="42"/>
    <x v="1"/>
    <s v="USSF"/>
    <s v="US"/>
    <s v="Procurement"/>
    <x v="3"/>
    <x v="1"/>
    <m/>
    <m/>
    <m/>
    <m/>
    <n v="398.2"/>
    <m/>
    <n v="0.35"/>
    <n v="139.36999999999998"/>
    <m/>
    <m/>
    <m/>
  </r>
  <r>
    <x v="42"/>
    <x v="1"/>
    <s v="USSF"/>
    <s v="US"/>
    <s v="Procurement"/>
    <x v="6"/>
    <x v="21"/>
    <m/>
    <m/>
    <m/>
    <m/>
    <n v="398.2"/>
    <m/>
    <n v="0.35"/>
    <n v="139.36999999999998"/>
    <m/>
    <m/>
    <m/>
  </r>
  <r>
    <x v="42"/>
    <x v="1"/>
    <s v="USSF"/>
    <s v="US"/>
    <s v="Procurement"/>
    <x v="12"/>
    <x v="10"/>
    <m/>
    <m/>
    <m/>
    <m/>
    <n v="398.2"/>
    <m/>
    <n v="0.15"/>
    <n v="59.73"/>
    <m/>
    <m/>
    <m/>
  </r>
  <r>
    <x v="42"/>
    <x v="1"/>
    <s v="USSF"/>
    <s v="US"/>
    <s v="Procurement"/>
    <x v="0"/>
    <x v="0"/>
    <m/>
    <m/>
    <m/>
    <m/>
    <n v="398.2"/>
    <m/>
    <n v="0.15"/>
    <n v="59.73"/>
    <m/>
    <m/>
    <m/>
  </r>
  <r>
    <x v="42"/>
    <x v="2"/>
    <s v="USSF"/>
    <s v="US"/>
    <s v="Procurement"/>
    <x v="3"/>
    <x v="1"/>
    <m/>
    <m/>
    <m/>
    <m/>
    <n v="195.8"/>
    <m/>
    <n v="0.35"/>
    <n v="68.53"/>
    <m/>
    <m/>
    <m/>
  </r>
  <r>
    <x v="42"/>
    <x v="2"/>
    <s v="USSF"/>
    <s v="US"/>
    <s v="Procurement"/>
    <x v="6"/>
    <x v="21"/>
    <m/>
    <m/>
    <m/>
    <m/>
    <n v="195.8"/>
    <m/>
    <n v="0.35"/>
    <n v="68.53"/>
    <m/>
    <m/>
    <m/>
  </r>
  <r>
    <x v="42"/>
    <x v="2"/>
    <s v="USSF"/>
    <s v="US"/>
    <s v="Procurement"/>
    <x v="12"/>
    <x v="10"/>
    <m/>
    <m/>
    <m/>
    <m/>
    <n v="195.8"/>
    <m/>
    <n v="0.15"/>
    <n v="29.37"/>
    <m/>
    <m/>
    <m/>
  </r>
  <r>
    <x v="42"/>
    <x v="2"/>
    <s v="USSF"/>
    <s v="US"/>
    <s v="Procurement"/>
    <x v="0"/>
    <x v="0"/>
    <m/>
    <m/>
    <m/>
    <m/>
    <n v="195.8"/>
    <m/>
    <n v="0.15"/>
    <n v="29.37"/>
    <m/>
    <m/>
    <m/>
  </r>
  <r>
    <x v="43"/>
    <x v="0"/>
    <s v="US Army"/>
    <s v="US"/>
    <s v="RDT&amp;E"/>
    <x v="0"/>
    <x v="0"/>
    <m/>
    <m/>
    <m/>
    <m/>
    <n v="3.9"/>
    <m/>
    <n v="0.35"/>
    <n v="1.365"/>
    <m/>
    <m/>
    <m/>
  </r>
  <r>
    <x v="43"/>
    <x v="0"/>
    <s v="US Army"/>
    <s v="US"/>
    <s v="RDT&amp;E"/>
    <x v="9"/>
    <x v="7"/>
    <m/>
    <m/>
    <m/>
    <m/>
    <n v="3.9"/>
    <m/>
    <n v="0.15"/>
    <n v="0.58499999999999996"/>
    <m/>
    <m/>
    <m/>
  </r>
  <r>
    <x v="43"/>
    <x v="0"/>
    <s v="US Army"/>
    <s v="US"/>
    <s v="RDT&amp;E"/>
    <x v="6"/>
    <x v="21"/>
    <m/>
    <m/>
    <m/>
    <m/>
    <n v="3.9"/>
    <m/>
    <n v="0.25"/>
    <n v="0.97499999999999998"/>
    <m/>
    <m/>
    <m/>
  </r>
  <r>
    <x v="43"/>
    <x v="0"/>
    <s v="US Army"/>
    <s v="US"/>
    <s v="RDT&amp;E"/>
    <x v="1"/>
    <x v="12"/>
    <m/>
    <m/>
    <m/>
    <m/>
    <n v="3.9"/>
    <m/>
    <n v="0.25"/>
    <n v="0.97499999999999998"/>
    <m/>
    <m/>
    <m/>
  </r>
  <r>
    <x v="43"/>
    <x v="1"/>
    <s v="US Army"/>
    <s v="US"/>
    <s v="RDT&amp;E"/>
    <x v="0"/>
    <x v="0"/>
    <m/>
    <m/>
    <m/>
    <m/>
    <n v="38.1"/>
    <m/>
    <n v="0.35"/>
    <n v="13.334999999999999"/>
    <m/>
    <m/>
    <m/>
  </r>
  <r>
    <x v="43"/>
    <x v="1"/>
    <s v="US Army"/>
    <s v="US"/>
    <s v="RDT&amp;E"/>
    <x v="9"/>
    <x v="7"/>
    <m/>
    <m/>
    <m/>
    <m/>
    <n v="38.1"/>
    <m/>
    <n v="0.15"/>
    <n v="5.7149999999999999"/>
    <m/>
    <m/>
    <m/>
  </r>
  <r>
    <x v="43"/>
    <x v="1"/>
    <s v="US Army"/>
    <s v="US"/>
    <s v="RDT&amp;E"/>
    <x v="6"/>
    <x v="21"/>
    <m/>
    <m/>
    <m/>
    <m/>
    <n v="38.1"/>
    <m/>
    <n v="0.25"/>
    <n v="9.5250000000000004"/>
    <m/>
    <m/>
    <m/>
  </r>
  <r>
    <x v="43"/>
    <x v="1"/>
    <s v="US Army"/>
    <s v="US"/>
    <s v="RDT&amp;E"/>
    <x v="1"/>
    <x v="12"/>
    <m/>
    <m/>
    <m/>
    <m/>
    <n v="38.1"/>
    <m/>
    <n v="0.25"/>
    <n v="9.5250000000000004"/>
    <m/>
    <m/>
    <m/>
  </r>
  <r>
    <x v="43"/>
    <x v="2"/>
    <s v="US Army"/>
    <s v="US"/>
    <s v="RDT&amp;E"/>
    <x v="0"/>
    <x v="0"/>
    <m/>
    <m/>
    <m/>
    <m/>
    <n v="350"/>
    <m/>
    <n v="0.35"/>
    <n v="122.49999999999999"/>
    <m/>
    <m/>
    <m/>
  </r>
  <r>
    <x v="43"/>
    <x v="2"/>
    <s v="US Army"/>
    <s v="US"/>
    <s v="RDT&amp;E"/>
    <x v="9"/>
    <x v="7"/>
    <m/>
    <m/>
    <m/>
    <m/>
    <n v="350"/>
    <m/>
    <n v="0.15"/>
    <n v="52.5"/>
    <m/>
    <m/>
    <m/>
  </r>
  <r>
    <x v="43"/>
    <x v="2"/>
    <s v="US Army"/>
    <s v="US"/>
    <s v="RDT&amp;E"/>
    <x v="6"/>
    <x v="21"/>
    <m/>
    <m/>
    <m/>
    <m/>
    <n v="350"/>
    <m/>
    <n v="0.25"/>
    <n v="87.5"/>
    <m/>
    <m/>
    <m/>
  </r>
  <r>
    <x v="43"/>
    <x v="2"/>
    <s v="US Army"/>
    <s v="US"/>
    <s v="RDT&amp;E"/>
    <x v="1"/>
    <x v="12"/>
    <m/>
    <m/>
    <m/>
    <m/>
    <n v="350"/>
    <m/>
    <n v="0.25"/>
    <n v="87.5"/>
    <m/>
    <m/>
    <m/>
  </r>
  <r>
    <x v="43"/>
    <x v="0"/>
    <s v="USN"/>
    <s v="US"/>
    <s v="RDT&amp;E"/>
    <x v="0"/>
    <x v="0"/>
    <m/>
    <m/>
    <m/>
    <m/>
    <n v="366.2"/>
    <m/>
    <n v="0.35"/>
    <n v="128.16999999999999"/>
    <m/>
    <m/>
    <m/>
  </r>
  <r>
    <x v="43"/>
    <x v="0"/>
    <s v="USN"/>
    <s v="US"/>
    <s v="RDT&amp;E"/>
    <x v="9"/>
    <x v="7"/>
    <m/>
    <m/>
    <m/>
    <m/>
    <n v="366.2"/>
    <m/>
    <n v="0.15"/>
    <n v="54.93"/>
    <m/>
    <m/>
    <m/>
  </r>
  <r>
    <x v="43"/>
    <x v="0"/>
    <s v="USN"/>
    <s v="US"/>
    <s v="RDT&amp;E"/>
    <x v="6"/>
    <x v="21"/>
    <m/>
    <m/>
    <m/>
    <m/>
    <n v="366.2"/>
    <m/>
    <n v="0.25"/>
    <n v="91.55"/>
    <m/>
    <m/>
    <m/>
  </r>
  <r>
    <x v="43"/>
    <x v="0"/>
    <s v="USN"/>
    <s v="US"/>
    <s v="RDT&amp;E"/>
    <x v="1"/>
    <x v="12"/>
    <m/>
    <m/>
    <m/>
    <m/>
    <n v="366.2"/>
    <m/>
    <n v="0.25"/>
    <n v="91.55"/>
    <m/>
    <m/>
    <m/>
  </r>
  <r>
    <x v="43"/>
    <x v="1"/>
    <s v="USN"/>
    <s v="US"/>
    <s v="RDT&amp;E"/>
    <x v="0"/>
    <x v="0"/>
    <m/>
    <m/>
    <m/>
    <m/>
    <n v="288.3"/>
    <m/>
    <n v="0.35"/>
    <n v="100.905"/>
    <m/>
    <m/>
    <m/>
  </r>
  <r>
    <x v="43"/>
    <x v="1"/>
    <s v="USN"/>
    <s v="US"/>
    <s v="RDT&amp;E"/>
    <x v="9"/>
    <x v="7"/>
    <m/>
    <m/>
    <m/>
    <m/>
    <n v="288.3"/>
    <m/>
    <n v="0.15"/>
    <n v="43.244999999999997"/>
    <m/>
    <m/>
    <m/>
  </r>
  <r>
    <x v="43"/>
    <x v="1"/>
    <s v="USN"/>
    <s v="US"/>
    <s v="RDT&amp;E"/>
    <x v="6"/>
    <x v="21"/>
    <m/>
    <m/>
    <m/>
    <m/>
    <n v="288.3"/>
    <m/>
    <n v="0.25"/>
    <n v="72.075000000000003"/>
    <m/>
    <m/>
    <m/>
  </r>
  <r>
    <x v="43"/>
    <x v="1"/>
    <s v="USN"/>
    <s v="US"/>
    <s v="RDT&amp;E"/>
    <x v="1"/>
    <x v="12"/>
    <m/>
    <m/>
    <m/>
    <m/>
    <n v="288.3"/>
    <m/>
    <n v="0.25"/>
    <n v="72.075000000000003"/>
    <m/>
    <m/>
    <m/>
  </r>
  <r>
    <x v="43"/>
    <x v="2"/>
    <s v="USN"/>
    <s v="US"/>
    <s v="RDT&amp;E"/>
    <x v="0"/>
    <x v="0"/>
    <m/>
    <m/>
    <m/>
    <m/>
    <n v="413"/>
    <m/>
    <n v="0.35"/>
    <n v="144.54999999999998"/>
    <m/>
    <m/>
    <m/>
  </r>
  <r>
    <x v="43"/>
    <x v="2"/>
    <s v="USN"/>
    <s v="US"/>
    <s v="RDT&amp;E"/>
    <x v="9"/>
    <x v="7"/>
    <m/>
    <m/>
    <m/>
    <m/>
    <n v="413"/>
    <m/>
    <n v="0.15"/>
    <n v="61.949999999999996"/>
    <m/>
    <m/>
    <m/>
  </r>
  <r>
    <x v="43"/>
    <x v="2"/>
    <s v="USN"/>
    <s v="US"/>
    <s v="RDT&amp;E"/>
    <x v="6"/>
    <x v="21"/>
    <m/>
    <m/>
    <m/>
    <m/>
    <n v="413"/>
    <m/>
    <n v="0.25"/>
    <n v="103.25"/>
    <m/>
    <m/>
    <m/>
  </r>
  <r>
    <x v="43"/>
    <x v="2"/>
    <s v="USN"/>
    <s v="US"/>
    <s v="RDT&amp;E"/>
    <x v="1"/>
    <x v="12"/>
    <m/>
    <m/>
    <m/>
    <m/>
    <n v="413"/>
    <m/>
    <n v="0.25"/>
    <n v="103.25"/>
    <m/>
    <m/>
    <m/>
  </r>
  <r>
    <x v="43"/>
    <x v="0"/>
    <s v="MDA"/>
    <s v="US"/>
    <s v="RDT&amp;E"/>
    <x v="0"/>
    <x v="0"/>
    <m/>
    <m/>
    <m/>
    <m/>
    <n v="417"/>
    <m/>
    <n v="0.35"/>
    <n v="145.94999999999999"/>
    <m/>
    <m/>
    <m/>
  </r>
  <r>
    <x v="43"/>
    <x v="0"/>
    <s v="MDA"/>
    <s v="US"/>
    <s v="RDT&amp;E"/>
    <x v="9"/>
    <x v="7"/>
    <m/>
    <m/>
    <m/>
    <m/>
    <n v="417"/>
    <m/>
    <n v="0.15"/>
    <n v="62.55"/>
    <m/>
    <m/>
    <m/>
  </r>
  <r>
    <x v="43"/>
    <x v="0"/>
    <s v="MDA"/>
    <s v="US"/>
    <s v="RDT&amp;E"/>
    <x v="6"/>
    <x v="21"/>
    <m/>
    <m/>
    <m/>
    <m/>
    <n v="417"/>
    <m/>
    <n v="0.25"/>
    <n v="104.25"/>
    <m/>
    <m/>
    <m/>
  </r>
  <r>
    <x v="43"/>
    <x v="0"/>
    <s v="MDA"/>
    <s v="US"/>
    <s v="RDT&amp;E"/>
    <x v="1"/>
    <x v="12"/>
    <m/>
    <m/>
    <m/>
    <m/>
    <n v="417"/>
    <m/>
    <n v="0.25"/>
    <n v="104.25"/>
    <m/>
    <m/>
    <m/>
  </r>
  <r>
    <x v="43"/>
    <x v="1"/>
    <s v="MDA"/>
    <s v="US"/>
    <s v="RDT&amp;E"/>
    <x v="0"/>
    <x v="0"/>
    <m/>
    <m/>
    <m/>
    <m/>
    <n v="353"/>
    <m/>
    <n v="0.35"/>
    <n v="123.55"/>
    <m/>
    <m/>
    <m/>
  </r>
  <r>
    <x v="43"/>
    <x v="1"/>
    <s v="MDA"/>
    <s v="US"/>
    <s v="RDT&amp;E"/>
    <x v="9"/>
    <x v="7"/>
    <m/>
    <m/>
    <m/>
    <m/>
    <n v="353"/>
    <m/>
    <n v="0.15"/>
    <n v="52.949999999999996"/>
    <m/>
    <m/>
    <m/>
  </r>
  <r>
    <x v="43"/>
    <x v="1"/>
    <s v="MDA"/>
    <s v="US"/>
    <s v="RDT&amp;E"/>
    <x v="6"/>
    <x v="21"/>
    <m/>
    <m/>
    <m/>
    <m/>
    <n v="353"/>
    <m/>
    <n v="0.25"/>
    <n v="88.25"/>
    <m/>
    <m/>
    <m/>
  </r>
  <r>
    <x v="43"/>
    <x v="1"/>
    <s v="MDA"/>
    <s v="US"/>
    <s v="RDT&amp;E"/>
    <x v="1"/>
    <x v="12"/>
    <m/>
    <m/>
    <m/>
    <m/>
    <n v="353"/>
    <m/>
    <n v="0.25"/>
    <n v="88.25"/>
    <m/>
    <m/>
    <m/>
  </r>
  <r>
    <x v="43"/>
    <x v="2"/>
    <s v="MDA"/>
    <s v="US"/>
    <s v="RDT&amp;E"/>
    <x v="0"/>
    <x v="0"/>
    <m/>
    <m/>
    <m/>
    <m/>
    <n v="612.1"/>
    <m/>
    <n v="0.35"/>
    <n v="214.23499999999999"/>
    <m/>
    <m/>
    <m/>
  </r>
  <r>
    <x v="43"/>
    <x v="2"/>
    <s v="MDA"/>
    <s v="US"/>
    <s v="RDT&amp;E"/>
    <x v="9"/>
    <x v="7"/>
    <m/>
    <m/>
    <m/>
    <m/>
    <n v="612.1"/>
    <m/>
    <n v="0.15"/>
    <n v="91.814999999999998"/>
    <m/>
    <m/>
    <m/>
  </r>
  <r>
    <x v="43"/>
    <x v="2"/>
    <s v="MDA"/>
    <s v="US"/>
    <s v="RDT&amp;E"/>
    <x v="6"/>
    <x v="21"/>
    <m/>
    <m/>
    <m/>
    <m/>
    <n v="612.1"/>
    <m/>
    <n v="0.25"/>
    <n v="153.02500000000001"/>
    <m/>
    <m/>
    <m/>
  </r>
  <r>
    <x v="43"/>
    <x v="2"/>
    <s v="MDA"/>
    <s v="US"/>
    <s v="RDT&amp;E"/>
    <x v="1"/>
    <x v="12"/>
    <m/>
    <m/>
    <m/>
    <m/>
    <n v="612.1"/>
    <m/>
    <n v="0.25"/>
    <n v="153.02500000000001"/>
    <m/>
    <m/>
    <m/>
  </r>
  <r>
    <x v="43"/>
    <x v="0"/>
    <s v="US Army"/>
    <s v="US"/>
    <s v="Procurement"/>
    <x v="0"/>
    <x v="0"/>
    <m/>
    <m/>
    <m/>
    <m/>
    <n v="2814.9"/>
    <m/>
    <n v="0.4"/>
    <n v="1125.96"/>
    <m/>
    <m/>
    <m/>
  </r>
  <r>
    <x v="43"/>
    <x v="0"/>
    <s v="US Army"/>
    <s v="US"/>
    <s v="Procurement"/>
    <x v="9"/>
    <x v="7"/>
    <m/>
    <m/>
    <m/>
    <m/>
    <n v="2814.9"/>
    <m/>
    <n v="0.1"/>
    <n v="281.49"/>
    <m/>
    <m/>
    <m/>
  </r>
  <r>
    <x v="43"/>
    <x v="0"/>
    <s v="US Army"/>
    <s v="US"/>
    <s v="Procurement"/>
    <x v="6"/>
    <x v="21"/>
    <m/>
    <m/>
    <m/>
    <m/>
    <n v="2814.9"/>
    <m/>
    <n v="0.2"/>
    <n v="562.98"/>
    <m/>
    <m/>
    <m/>
  </r>
  <r>
    <x v="43"/>
    <x v="0"/>
    <s v="US Army"/>
    <s v="US"/>
    <s v="Procurement"/>
    <x v="1"/>
    <x v="12"/>
    <m/>
    <m/>
    <m/>
    <m/>
    <n v="2814.9"/>
    <m/>
    <n v="0.3"/>
    <n v="844.47"/>
    <m/>
    <m/>
    <m/>
  </r>
  <r>
    <x v="43"/>
    <x v="1"/>
    <s v="US Army"/>
    <s v="US"/>
    <s v="Procurement"/>
    <x v="0"/>
    <x v="0"/>
    <m/>
    <m/>
    <m/>
    <m/>
    <n v="905.1"/>
    <m/>
    <n v="0.4"/>
    <n v="362.04"/>
    <m/>
    <m/>
    <m/>
  </r>
  <r>
    <x v="43"/>
    <x v="1"/>
    <s v="US Army"/>
    <s v="US"/>
    <s v="Procurement"/>
    <x v="9"/>
    <x v="7"/>
    <m/>
    <m/>
    <m/>
    <m/>
    <n v="905.1"/>
    <m/>
    <n v="0.1"/>
    <n v="90.51"/>
    <m/>
    <m/>
    <m/>
  </r>
  <r>
    <x v="43"/>
    <x v="1"/>
    <s v="US Army"/>
    <s v="US"/>
    <s v="Procurement"/>
    <x v="6"/>
    <x v="21"/>
    <m/>
    <m/>
    <m/>
    <m/>
    <n v="905.1"/>
    <m/>
    <n v="0.2"/>
    <n v="181.02"/>
    <m/>
    <m/>
    <m/>
  </r>
  <r>
    <x v="43"/>
    <x v="1"/>
    <s v="US Army"/>
    <s v="US"/>
    <s v="Procurement"/>
    <x v="1"/>
    <x v="12"/>
    <m/>
    <m/>
    <m/>
    <m/>
    <n v="905.1"/>
    <m/>
    <n v="0.3"/>
    <n v="271.52999999999997"/>
    <m/>
    <m/>
    <m/>
  </r>
  <r>
    <x v="43"/>
    <x v="2"/>
    <s v="US Army"/>
    <s v="US"/>
    <s v="Procurement"/>
    <x v="0"/>
    <x v="0"/>
    <m/>
    <m/>
    <m/>
    <m/>
    <n v="1311.9"/>
    <m/>
    <n v="0.4"/>
    <n v="524.7600000000001"/>
    <m/>
    <m/>
    <m/>
  </r>
  <r>
    <x v="43"/>
    <x v="2"/>
    <s v="US Army"/>
    <s v="US"/>
    <s v="Procurement"/>
    <x v="9"/>
    <x v="7"/>
    <m/>
    <m/>
    <m/>
    <m/>
    <n v="1311.9"/>
    <m/>
    <n v="0.1"/>
    <n v="131.19000000000003"/>
    <m/>
    <m/>
    <m/>
  </r>
  <r>
    <x v="43"/>
    <x v="2"/>
    <s v="US Army"/>
    <s v="US"/>
    <s v="Procurement"/>
    <x v="6"/>
    <x v="21"/>
    <m/>
    <m/>
    <m/>
    <m/>
    <n v="1311.9"/>
    <m/>
    <n v="0.2"/>
    <n v="262.38000000000005"/>
    <m/>
    <m/>
    <m/>
  </r>
  <r>
    <x v="43"/>
    <x v="2"/>
    <s v="US Army"/>
    <s v="US"/>
    <s v="Procurement"/>
    <x v="1"/>
    <x v="12"/>
    <m/>
    <m/>
    <m/>
    <m/>
    <n v="1311.9"/>
    <m/>
    <n v="0.3"/>
    <n v="393.57"/>
    <m/>
    <m/>
    <m/>
  </r>
  <r>
    <x v="44"/>
    <x v="0"/>
    <s v="US Army"/>
    <s v="US"/>
    <s v="RDT&amp;E"/>
    <x v="1"/>
    <x v="12"/>
    <m/>
    <m/>
    <m/>
    <m/>
    <n v="973.4"/>
    <m/>
    <n v="0.4"/>
    <n v="389.36"/>
    <m/>
    <m/>
    <m/>
  </r>
  <r>
    <x v="44"/>
    <x v="0"/>
    <s v="US Army"/>
    <s v="US"/>
    <s v="RDT&amp;E"/>
    <x v="6"/>
    <x v="21"/>
    <m/>
    <m/>
    <m/>
    <m/>
    <n v="973.4"/>
    <m/>
    <n v="0.25"/>
    <n v="243.35"/>
    <m/>
    <m/>
    <m/>
  </r>
  <r>
    <x v="44"/>
    <x v="0"/>
    <s v="US Army"/>
    <s v="US"/>
    <s v="RDT&amp;E"/>
    <x v="15"/>
    <x v="22"/>
    <m/>
    <m/>
    <m/>
    <m/>
    <n v="973.4"/>
    <m/>
    <n v="0.25"/>
    <n v="243.35"/>
    <m/>
    <m/>
    <m/>
  </r>
  <r>
    <x v="44"/>
    <x v="0"/>
    <s v="US Army"/>
    <s v="US"/>
    <s v="RDT&amp;E"/>
    <x v="23"/>
    <x v="10"/>
    <m/>
    <m/>
    <m/>
    <m/>
    <n v="973.4"/>
    <m/>
    <n v="0.1"/>
    <n v="97.34"/>
    <m/>
    <m/>
    <m/>
  </r>
  <r>
    <x v="44"/>
    <x v="1"/>
    <s v="US Army"/>
    <s v="US"/>
    <s v="RDT&amp;E"/>
    <x v="1"/>
    <x v="12"/>
    <m/>
    <m/>
    <m/>
    <m/>
    <n v="469.8"/>
    <m/>
    <n v="0.4"/>
    <n v="187.92000000000002"/>
    <m/>
    <m/>
    <m/>
  </r>
  <r>
    <x v="44"/>
    <x v="1"/>
    <s v="US Army"/>
    <s v="US"/>
    <s v="RDT&amp;E"/>
    <x v="6"/>
    <x v="21"/>
    <m/>
    <m/>
    <m/>
    <m/>
    <n v="469.8"/>
    <m/>
    <n v="0.25"/>
    <n v="117.45"/>
    <m/>
    <m/>
    <m/>
  </r>
  <r>
    <x v="44"/>
    <x v="1"/>
    <s v="US Army"/>
    <s v="US"/>
    <s v="RDT&amp;E"/>
    <x v="15"/>
    <x v="22"/>
    <m/>
    <m/>
    <m/>
    <m/>
    <n v="469.8"/>
    <m/>
    <n v="0.25"/>
    <n v="117.45"/>
    <m/>
    <m/>
    <m/>
  </r>
  <r>
    <x v="44"/>
    <x v="1"/>
    <s v="US Army"/>
    <s v="US"/>
    <s v="RDT&amp;E"/>
    <x v="23"/>
    <x v="10"/>
    <m/>
    <m/>
    <m/>
    <m/>
    <n v="469.8"/>
    <m/>
    <n v="0.1"/>
    <n v="46.980000000000004"/>
    <m/>
    <m/>
    <m/>
  </r>
  <r>
    <x v="44"/>
    <x v="2"/>
    <s v="US Army"/>
    <s v="US"/>
    <s v="RDT&amp;E"/>
    <x v="1"/>
    <x v="12"/>
    <m/>
    <m/>
    <m/>
    <m/>
    <n v="538"/>
    <m/>
    <n v="0.4"/>
    <n v="215.20000000000002"/>
    <m/>
    <m/>
    <m/>
  </r>
  <r>
    <x v="44"/>
    <x v="2"/>
    <s v="US Army"/>
    <s v="US"/>
    <s v="RDT&amp;E"/>
    <x v="6"/>
    <x v="21"/>
    <m/>
    <m/>
    <m/>
    <m/>
    <n v="538"/>
    <m/>
    <n v="0.25"/>
    <n v="134.5"/>
    <m/>
    <m/>
    <m/>
  </r>
  <r>
    <x v="44"/>
    <x v="2"/>
    <s v="US Army"/>
    <s v="US"/>
    <s v="RDT&amp;E"/>
    <x v="15"/>
    <x v="22"/>
    <m/>
    <m/>
    <m/>
    <m/>
    <n v="538"/>
    <m/>
    <n v="0.25"/>
    <n v="134.5"/>
    <m/>
    <m/>
    <m/>
  </r>
  <r>
    <x v="44"/>
    <x v="2"/>
    <s v="US Army"/>
    <s v="US"/>
    <s v="RDT&amp;E"/>
    <x v="23"/>
    <x v="10"/>
    <m/>
    <m/>
    <m/>
    <m/>
    <n v="538"/>
    <m/>
    <n v="0.1"/>
    <n v="53.800000000000004"/>
    <m/>
    <m/>
    <m/>
  </r>
  <r>
    <x v="44"/>
    <x v="0"/>
    <s v="US Army"/>
    <s v="US"/>
    <s v="Procurement"/>
    <x v="1"/>
    <x v="12"/>
    <m/>
    <m/>
    <m/>
    <m/>
    <n v="62.8"/>
    <m/>
    <n v="0.4"/>
    <n v="25.12"/>
    <m/>
    <m/>
    <m/>
  </r>
  <r>
    <x v="44"/>
    <x v="0"/>
    <s v="US Army"/>
    <s v="US"/>
    <s v="Procurement"/>
    <x v="6"/>
    <x v="21"/>
    <m/>
    <m/>
    <m/>
    <m/>
    <n v="62.8"/>
    <m/>
    <n v="0.25"/>
    <n v="15.7"/>
    <m/>
    <m/>
    <m/>
  </r>
  <r>
    <x v="44"/>
    <x v="0"/>
    <s v="US Army"/>
    <s v="US"/>
    <s v="Procurement"/>
    <x v="15"/>
    <x v="22"/>
    <m/>
    <m/>
    <m/>
    <m/>
    <n v="62.8"/>
    <m/>
    <n v="0.25"/>
    <n v="15.7"/>
    <m/>
    <m/>
    <m/>
  </r>
  <r>
    <x v="44"/>
    <x v="0"/>
    <s v="US Army"/>
    <s v="US"/>
    <s v="Procurement"/>
    <x v="23"/>
    <x v="10"/>
    <m/>
    <m/>
    <m/>
    <m/>
    <n v="62.8"/>
    <m/>
    <n v="0.1"/>
    <n v="6.28"/>
    <m/>
    <m/>
    <m/>
  </r>
  <r>
    <x v="44"/>
    <x v="1"/>
    <s v="US Army"/>
    <s v="US"/>
    <s v="Procurement"/>
    <x v="1"/>
    <x v="12"/>
    <m/>
    <m/>
    <m/>
    <m/>
    <n v="669.2"/>
    <m/>
    <n v="0.4"/>
    <n v="267.68"/>
    <m/>
    <m/>
    <m/>
  </r>
  <r>
    <x v="44"/>
    <x v="1"/>
    <s v="US Army"/>
    <s v="US"/>
    <s v="Procurement"/>
    <x v="6"/>
    <x v="21"/>
    <m/>
    <m/>
    <m/>
    <m/>
    <n v="669.2"/>
    <m/>
    <n v="0.25"/>
    <n v="167.3"/>
    <m/>
    <m/>
    <m/>
  </r>
  <r>
    <x v="44"/>
    <x v="1"/>
    <s v="US Army"/>
    <s v="US"/>
    <s v="Procurement"/>
    <x v="15"/>
    <x v="22"/>
    <m/>
    <m/>
    <m/>
    <m/>
    <n v="669.2"/>
    <m/>
    <n v="0.25"/>
    <n v="167.3"/>
    <m/>
    <m/>
    <m/>
  </r>
  <r>
    <x v="44"/>
    <x v="1"/>
    <s v="US Army"/>
    <s v="US"/>
    <s v="Procurement"/>
    <x v="23"/>
    <x v="10"/>
    <m/>
    <m/>
    <m/>
    <m/>
    <n v="669.2"/>
    <m/>
    <n v="0.1"/>
    <n v="66.92"/>
    <m/>
    <m/>
    <m/>
  </r>
  <r>
    <x v="44"/>
    <x v="2"/>
    <s v="US Army"/>
    <s v="US"/>
    <s v="Procurement"/>
    <x v="1"/>
    <x v="12"/>
    <m/>
    <m/>
    <m/>
    <m/>
    <n v="438.4"/>
    <m/>
    <n v="0.4"/>
    <n v="175.36"/>
    <m/>
    <m/>
    <m/>
  </r>
  <r>
    <x v="44"/>
    <x v="2"/>
    <s v="US Army"/>
    <s v="US"/>
    <s v="Procurement"/>
    <x v="6"/>
    <x v="21"/>
    <m/>
    <m/>
    <m/>
    <m/>
    <n v="438.4"/>
    <m/>
    <n v="0.25"/>
    <n v="109.6"/>
    <m/>
    <m/>
    <m/>
  </r>
  <r>
    <x v="44"/>
    <x v="2"/>
    <s v="US Army"/>
    <s v="US"/>
    <s v="Procurement"/>
    <x v="15"/>
    <x v="22"/>
    <m/>
    <m/>
    <m/>
    <m/>
    <n v="438.4"/>
    <m/>
    <n v="0.25"/>
    <n v="109.6"/>
    <m/>
    <m/>
    <m/>
  </r>
  <r>
    <x v="44"/>
    <x v="2"/>
    <s v="US Army"/>
    <s v="US"/>
    <s v="Procurement"/>
    <x v="23"/>
    <x v="10"/>
    <m/>
    <m/>
    <m/>
    <m/>
    <n v="438.4"/>
    <m/>
    <n v="0.1"/>
    <n v="43.84"/>
    <m/>
    <m/>
    <m/>
  </r>
  <r>
    <x v="45"/>
    <x v="0"/>
    <s v="USAF"/>
    <s v="US"/>
    <s v="RDT&amp;E"/>
    <x v="0"/>
    <x v="0"/>
    <m/>
    <m/>
    <m/>
    <m/>
    <n v="333.3"/>
    <m/>
    <n v="0.65"/>
    <n v="216.64500000000001"/>
    <m/>
    <m/>
    <m/>
  </r>
  <r>
    <x v="45"/>
    <x v="1"/>
    <s v="USAF"/>
    <s v="US"/>
    <s v="RDT&amp;E"/>
    <x v="6"/>
    <x v="21"/>
    <m/>
    <m/>
    <m/>
    <m/>
    <n v="333.3"/>
    <m/>
    <n v="0.35"/>
    <n v="116.655"/>
    <m/>
    <m/>
    <m/>
  </r>
  <r>
    <x v="45"/>
    <x v="2"/>
    <s v="USAF"/>
    <s v="US"/>
    <s v="RDT&amp;E"/>
    <x v="0"/>
    <x v="0"/>
    <m/>
    <m/>
    <m/>
    <m/>
    <n v="466.7"/>
    <m/>
    <n v="0.65"/>
    <n v="303.35500000000002"/>
    <m/>
    <m/>
    <m/>
  </r>
  <r>
    <x v="45"/>
    <x v="0"/>
    <s v="USAF"/>
    <s v="US"/>
    <s v="RDT&amp;E"/>
    <x v="6"/>
    <x v="21"/>
    <m/>
    <m/>
    <m/>
    <m/>
    <n v="466.7"/>
    <m/>
    <n v="0.35"/>
    <n v="163.345"/>
    <m/>
    <m/>
    <m/>
  </r>
  <r>
    <x v="45"/>
    <x v="1"/>
    <s v="USAF"/>
    <s v="US"/>
    <s v="RDT&amp;E"/>
    <x v="0"/>
    <x v="0"/>
    <m/>
    <m/>
    <m/>
    <m/>
    <n v="802.8"/>
    <m/>
    <n v="0.65"/>
    <n v="521.81999999999994"/>
    <m/>
    <m/>
    <m/>
  </r>
  <r>
    <x v="45"/>
    <x v="2"/>
    <s v="USAF"/>
    <s v="US"/>
    <s v="RDT&amp;E"/>
    <x v="6"/>
    <x v="21"/>
    <m/>
    <m/>
    <m/>
    <m/>
    <n v="802.8"/>
    <m/>
    <n v="0.35"/>
    <n v="280.97999999999996"/>
    <m/>
    <m/>
    <m/>
  </r>
  <r>
    <x v="46"/>
    <x v="2"/>
    <m/>
    <s v="UK"/>
    <s v="Procurement"/>
    <x v="12"/>
    <x v="23"/>
    <m/>
    <m/>
    <m/>
    <n v="1644"/>
    <n v="2202.96"/>
    <m/>
    <n v="0.7"/>
    <n v="1542.0719999999999"/>
    <m/>
    <m/>
    <m/>
  </r>
  <r>
    <x v="46"/>
    <x v="2"/>
    <m/>
    <s v="UK"/>
    <s v="Procurement"/>
    <x v="1"/>
    <x v="7"/>
    <m/>
    <m/>
    <m/>
    <n v="1644"/>
    <n v="2202.96"/>
    <m/>
    <n v="0.15"/>
    <n v="330.44400000000002"/>
    <m/>
    <m/>
    <m/>
  </r>
  <r>
    <x v="46"/>
    <x v="2"/>
    <m/>
    <s v="UK"/>
    <s v="Procurement"/>
    <x v="11"/>
    <x v="24"/>
    <m/>
    <m/>
    <m/>
    <n v="1644"/>
    <n v="2202.96"/>
    <m/>
    <n v="0.1"/>
    <n v="220.29600000000002"/>
    <m/>
    <m/>
    <m/>
  </r>
  <r>
    <x v="46"/>
    <x v="2"/>
    <m/>
    <s v="UK"/>
    <s v="Procurement"/>
    <x v="24"/>
    <x v="10"/>
    <m/>
    <m/>
    <m/>
    <n v="1644"/>
    <n v="2202.96"/>
    <m/>
    <n v="0.05"/>
    <n v="110.14800000000001"/>
    <m/>
    <m/>
    <m/>
  </r>
  <r>
    <x v="47"/>
    <x v="2"/>
    <m/>
    <s v="UK"/>
    <s v="Procurement"/>
    <x v="3"/>
    <x v="10"/>
    <m/>
    <m/>
    <m/>
    <n v="604"/>
    <n v="809.36"/>
    <m/>
    <n v="0.8"/>
    <n v="647.48800000000006"/>
    <m/>
    <m/>
    <m/>
  </r>
  <r>
    <x v="47"/>
    <x v="2"/>
    <m/>
    <s v="UK"/>
    <s v="Procurement"/>
    <x v="25"/>
    <x v="10"/>
    <m/>
    <m/>
    <m/>
    <n v="604"/>
    <n v="809.36"/>
    <m/>
    <n v="0.2"/>
    <n v="161.87200000000001"/>
    <m/>
    <m/>
    <m/>
  </r>
  <r>
    <x v="48"/>
    <x v="2"/>
    <m/>
    <s v="UK"/>
    <s v="RDT&amp;E"/>
    <x v="14"/>
    <x v="25"/>
    <m/>
    <m/>
    <m/>
    <n v="654"/>
    <n v="876.36"/>
    <m/>
    <n v="0.38500000000000001"/>
    <n v="337.39859999999999"/>
    <m/>
    <m/>
    <m/>
  </r>
  <r>
    <x v="48"/>
    <x v="2"/>
    <m/>
    <s v="UK"/>
    <s v="RDT&amp;E"/>
    <x v="13"/>
    <x v="10"/>
    <m/>
    <m/>
    <m/>
    <n v="654"/>
    <n v="876.36"/>
    <m/>
    <n v="0.315"/>
    <n v="276.05340000000001"/>
    <m/>
    <m/>
    <m/>
  </r>
  <r>
    <x v="48"/>
    <x v="2"/>
    <m/>
    <s v="UK"/>
    <s v="RDT&amp;E"/>
    <x v="14"/>
    <x v="26"/>
    <m/>
    <m/>
    <m/>
    <n v="654"/>
    <n v="876.36"/>
    <m/>
    <n v="0.15"/>
    <n v="131.45400000000001"/>
    <m/>
    <m/>
    <m/>
  </r>
  <r>
    <x v="48"/>
    <x v="2"/>
    <m/>
    <s v="UK"/>
    <s v="RDT&amp;E"/>
    <x v="25"/>
    <x v="10"/>
    <m/>
    <m/>
    <m/>
    <n v="654"/>
    <n v="876.36"/>
    <m/>
    <n v="0.1"/>
    <n v="87.63600000000001"/>
    <m/>
    <m/>
    <m/>
  </r>
  <r>
    <x v="48"/>
    <x v="2"/>
    <m/>
    <s v="UK"/>
    <s v="RDT&amp;E"/>
    <x v="11"/>
    <x v="10"/>
    <m/>
    <m/>
    <m/>
    <n v="654"/>
    <n v="876.36"/>
    <m/>
    <n v="0.05"/>
    <n v="43.818000000000005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4D8AC4-127D-4D88-A9CD-05B4B0D26444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F59" firstHeaderRow="1" firstDataRow="2" firstDataCol="1"/>
  <pivotFields count="18">
    <pivotField axis="axisRow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axis="axisRow" showAll="0" sortType="descending">
      <items count="29">
        <item sd="0" x="1"/>
        <item x="0"/>
        <item sd="0" m="1" x="26"/>
        <item sd="0" x="2"/>
        <item sd="0" x="3"/>
        <item sd="0" x="4"/>
        <item sd="0" x="5"/>
        <item sd="0" x="6"/>
        <item sd="0" x="7"/>
        <item sd="0" x="8"/>
        <item sd="0" x="9"/>
        <item sd="0" m="1" x="27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8">
        <item x="1"/>
        <item x="2"/>
        <item x="0"/>
        <item x="10"/>
        <item x="3"/>
        <item x="4"/>
        <item x="5"/>
        <item x="6"/>
        <item x="7"/>
        <item x="8"/>
        <item x="9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numFmtId="166" showAll="0"/>
    <pivotField showAll="0"/>
    <pivotField showAll="0"/>
    <pivotField showAll="0"/>
  </pivotFields>
  <rowFields count="3">
    <field x="5"/>
    <field x="6"/>
    <field x="0"/>
  </rowFields>
  <rowItems count="55">
    <i>
      <x/>
    </i>
    <i>
      <x v="7"/>
    </i>
    <i>
      <x v="1"/>
    </i>
    <i r="1">
      <x v="1"/>
    </i>
    <i r="2">
      <x v="1"/>
    </i>
    <i r="2">
      <x v="4"/>
    </i>
    <i r="2">
      <x v="5"/>
    </i>
    <i r="2">
      <x v="6"/>
    </i>
    <i r="2">
      <x v="7"/>
    </i>
    <i r="2">
      <x v="11"/>
    </i>
    <i r="2">
      <x v="15"/>
    </i>
    <i r="1">
      <x v="2"/>
    </i>
    <i r="2">
      <x/>
    </i>
    <i r="2">
      <x v="5"/>
    </i>
    <i r="2">
      <x v="7"/>
    </i>
    <i r="2">
      <x v="8"/>
    </i>
    <i r="2">
      <x v="27"/>
    </i>
    <i r="2">
      <x v="29"/>
    </i>
    <i r="2">
      <x v="32"/>
    </i>
    <i r="2">
      <x v="36"/>
    </i>
    <i r="2">
      <x v="37"/>
    </i>
    <i r="2">
      <x v="39"/>
    </i>
    <i r="2">
      <x v="41"/>
    </i>
    <i r="2">
      <x v="42"/>
    </i>
    <i r="2">
      <x v="43"/>
    </i>
    <i r="2">
      <x v="45"/>
    </i>
    <i r="1">
      <x v="11"/>
    </i>
    <i r="2">
      <x v="6"/>
    </i>
    <i r="2">
      <x v="10"/>
    </i>
    <i r="2">
      <x v="12"/>
    </i>
    <i r="2">
      <x v="19"/>
    </i>
    <i>
      <x v="4"/>
    </i>
    <i>
      <x v="14"/>
    </i>
    <i>
      <x v="15"/>
    </i>
    <i>
      <x v="3"/>
    </i>
    <i>
      <x v="10"/>
    </i>
    <i>
      <x v="19"/>
    </i>
    <i>
      <x v="18"/>
    </i>
    <i>
      <x v="9"/>
    </i>
    <i>
      <x v="6"/>
    </i>
    <i>
      <x v="20"/>
    </i>
    <i>
      <x v="21"/>
    </i>
    <i>
      <x v="5"/>
    </i>
    <i>
      <x v="17"/>
    </i>
    <i>
      <x v="12"/>
    </i>
    <i>
      <x v="16"/>
    </i>
    <i>
      <x v="22"/>
    </i>
    <i>
      <x v="23"/>
    </i>
    <i>
      <x v="13"/>
    </i>
    <i>
      <x v="24"/>
    </i>
    <i>
      <x v="25"/>
    </i>
    <i>
      <x v="27"/>
    </i>
    <i>
      <x v="8"/>
    </i>
    <i>
      <x v="26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Adj_Value_USD_M" fld="14" baseField="0" baseItem="0" numFmtId="166"/>
  </dataFields>
  <formats count="3">
    <format dxfId="2">
      <pivotArea type="all" dataOnly="0" outline="0" fieldPosition="0"/>
    </format>
    <format dxfId="1">
      <pivotArea type="all" dataOnly="0" outline="0" fieldPosition="0"/>
    </format>
    <format dxfId="0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C179-4CC4-4BFB-BB5F-20A759FB583E}">
  <dimension ref="B1:J52"/>
  <sheetViews>
    <sheetView tabSelected="1" workbookViewId="0">
      <selection activeCell="E4" sqref="E4"/>
    </sheetView>
  </sheetViews>
  <sheetFormatPr defaultRowHeight="14.4" x14ac:dyDescent="0.3"/>
  <cols>
    <col min="1" max="4" width="8.88671875" style="1"/>
    <col min="5" max="7" width="12.6640625" style="8" customWidth="1"/>
    <col min="8" max="8" width="8.88671875" style="16" customWidth="1"/>
    <col min="9" max="9" width="8.88671875" style="13"/>
    <col min="10" max="10" width="8.88671875" style="17"/>
    <col min="11" max="16384" width="8.88671875" style="1"/>
  </cols>
  <sheetData>
    <row r="1" spans="2:10" x14ac:dyDescent="0.3">
      <c r="H1" s="1"/>
      <c r="I1" s="1"/>
      <c r="J1" s="1"/>
    </row>
    <row r="2" spans="2:10" x14ac:dyDescent="0.3">
      <c r="E2" s="8" t="s">
        <v>8</v>
      </c>
      <c r="F2" s="8" t="s">
        <v>9</v>
      </c>
      <c r="G2" s="8" t="s">
        <v>10</v>
      </c>
      <c r="H2" s="1"/>
      <c r="I2" s="1"/>
      <c r="J2" s="1"/>
    </row>
    <row r="3" spans="2:10" x14ac:dyDescent="0.3">
      <c r="B3" s="4" t="s">
        <v>0</v>
      </c>
      <c r="C3" s="1" t="s">
        <v>1</v>
      </c>
      <c r="D3" s="9">
        <v>178.65</v>
      </c>
      <c r="E3" s="10">
        <v>45955</v>
      </c>
      <c r="F3" s="10">
        <f ca="1">TODAY()</f>
        <v>45955</v>
      </c>
      <c r="G3" s="10">
        <v>46074</v>
      </c>
      <c r="H3" s="1"/>
      <c r="I3" s="1" t="s">
        <v>120</v>
      </c>
      <c r="J3" s="1"/>
    </row>
    <row r="4" spans="2:10" x14ac:dyDescent="0.3">
      <c r="C4" s="1" t="s">
        <v>2</v>
      </c>
      <c r="D4" s="3">
        <f>1343.1</f>
        <v>1343.1</v>
      </c>
      <c r="E4" s="11" t="s">
        <v>53</v>
      </c>
      <c r="H4" s="1"/>
      <c r="I4" s="18"/>
      <c r="J4" s="1"/>
    </row>
    <row r="5" spans="2:10" x14ac:dyDescent="0.3">
      <c r="C5" s="1" t="s">
        <v>3</v>
      </c>
      <c r="D5" s="3">
        <f>D3*D4</f>
        <v>239944.815</v>
      </c>
      <c r="E5" s="11"/>
      <c r="I5" s="13" t="s">
        <v>103</v>
      </c>
    </row>
    <row r="6" spans="2:10" x14ac:dyDescent="0.3">
      <c r="C6" s="1" t="s">
        <v>4</v>
      </c>
      <c r="D6" s="3">
        <f>5966</f>
        <v>5966</v>
      </c>
      <c r="E6" s="11" t="s">
        <v>53</v>
      </c>
      <c r="H6" s="1"/>
      <c r="J6" s="1"/>
    </row>
    <row r="7" spans="2:10" x14ac:dyDescent="0.3">
      <c r="C7" s="1" t="s">
        <v>5</v>
      </c>
      <c r="D7" s="3">
        <f>215+584+38260</f>
        <v>39059</v>
      </c>
      <c r="E7" s="11" t="s">
        <v>53</v>
      </c>
      <c r="H7" s="1"/>
      <c r="J7" s="1"/>
    </row>
    <row r="8" spans="2:10" x14ac:dyDescent="0.3">
      <c r="C8" s="1" t="s">
        <v>6</v>
      </c>
      <c r="D8" s="3">
        <f>D6-D7</f>
        <v>-33093</v>
      </c>
      <c r="E8" s="11"/>
      <c r="H8" s="1"/>
      <c r="J8" s="1"/>
    </row>
    <row r="9" spans="2:10" x14ac:dyDescent="0.3">
      <c r="C9" s="1" t="s">
        <v>7</v>
      </c>
      <c r="D9" s="3">
        <f>D5-D8</f>
        <v>273037.815</v>
      </c>
      <c r="E9" s="11"/>
    </row>
    <row r="13" spans="2:10" x14ac:dyDescent="0.3">
      <c r="B13" s="1" t="s">
        <v>67</v>
      </c>
    </row>
    <row r="15" spans="2:10" x14ac:dyDescent="0.3">
      <c r="B15" s="14" t="s">
        <v>69</v>
      </c>
    </row>
    <row r="16" spans="2:10" x14ac:dyDescent="0.3">
      <c r="B16" s="13"/>
    </row>
    <row r="17" spans="2:2" x14ac:dyDescent="0.3">
      <c r="B17" s="20" t="s">
        <v>72</v>
      </c>
    </row>
    <row r="18" spans="2:2" x14ac:dyDescent="0.3">
      <c r="B18" s="20" t="s">
        <v>73</v>
      </c>
    </row>
    <row r="19" spans="2:2" x14ac:dyDescent="0.3">
      <c r="B19" s="20" t="s">
        <v>74</v>
      </c>
    </row>
    <row r="20" spans="2:2" x14ac:dyDescent="0.3">
      <c r="B20" s="20" t="s">
        <v>75</v>
      </c>
    </row>
    <row r="21" spans="2:2" x14ac:dyDescent="0.3">
      <c r="B21" s="20" t="s">
        <v>76</v>
      </c>
    </row>
    <row r="22" spans="2:2" x14ac:dyDescent="0.3">
      <c r="B22" s="20" t="s">
        <v>77</v>
      </c>
    </row>
    <row r="23" spans="2:2" x14ac:dyDescent="0.3">
      <c r="B23" s="20" t="s">
        <v>78</v>
      </c>
    </row>
    <row r="24" spans="2:2" x14ac:dyDescent="0.3">
      <c r="B24" s="20" t="s">
        <v>79</v>
      </c>
    </row>
    <row r="25" spans="2:2" x14ac:dyDescent="0.3">
      <c r="B25" s="20" t="s">
        <v>80</v>
      </c>
    </row>
    <row r="26" spans="2:2" x14ac:dyDescent="0.3">
      <c r="B26" s="20" t="s">
        <v>81</v>
      </c>
    </row>
    <row r="27" spans="2:2" x14ac:dyDescent="0.3">
      <c r="B27" s="13"/>
    </row>
    <row r="28" spans="2:2" x14ac:dyDescent="0.3">
      <c r="B28" s="14" t="s">
        <v>71</v>
      </c>
    </row>
    <row r="29" spans="2:2" x14ac:dyDescent="0.3">
      <c r="B29" s="19"/>
    </row>
    <row r="30" spans="2:2" x14ac:dyDescent="0.3">
      <c r="B30" s="20" t="s">
        <v>82</v>
      </c>
    </row>
    <row r="31" spans="2:2" x14ac:dyDescent="0.3">
      <c r="B31" s="20" t="s">
        <v>83</v>
      </c>
    </row>
    <row r="32" spans="2:2" x14ac:dyDescent="0.3">
      <c r="B32" s="20" t="s">
        <v>84</v>
      </c>
    </row>
    <row r="33" spans="2:2" x14ac:dyDescent="0.3">
      <c r="B33" s="20" t="s">
        <v>85</v>
      </c>
    </row>
    <row r="34" spans="2:2" x14ac:dyDescent="0.3">
      <c r="B34" s="20" t="s">
        <v>86</v>
      </c>
    </row>
    <row r="35" spans="2:2" x14ac:dyDescent="0.3">
      <c r="B35" s="20" t="s">
        <v>87</v>
      </c>
    </row>
    <row r="36" spans="2:2" x14ac:dyDescent="0.3">
      <c r="B36" s="20" t="s">
        <v>88</v>
      </c>
    </row>
    <row r="37" spans="2:2" x14ac:dyDescent="0.3">
      <c r="B37" s="20" t="s">
        <v>89</v>
      </c>
    </row>
    <row r="38" spans="2:2" x14ac:dyDescent="0.3">
      <c r="B38" s="20" t="s">
        <v>90</v>
      </c>
    </row>
    <row r="39" spans="2:2" x14ac:dyDescent="0.3">
      <c r="B39" s="20" t="s">
        <v>91</v>
      </c>
    </row>
    <row r="40" spans="2:2" x14ac:dyDescent="0.3">
      <c r="B40" s="19"/>
    </row>
    <row r="41" spans="2:2" x14ac:dyDescent="0.3">
      <c r="B41" s="21" t="s">
        <v>92</v>
      </c>
    </row>
    <row r="42" spans="2:2" x14ac:dyDescent="0.3">
      <c r="B42" s="21"/>
    </row>
    <row r="43" spans="2:2" x14ac:dyDescent="0.3">
      <c r="B43" s="20" t="s">
        <v>93</v>
      </c>
    </row>
    <row r="44" spans="2:2" x14ac:dyDescent="0.3">
      <c r="B44" s="20" t="s">
        <v>94</v>
      </c>
    </row>
    <row r="45" spans="2:2" x14ac:dyDescent="0.3">
      <c r="B45" s="20" t="s">
        <v>95</v>
      </c>
    </row>
    <row r="46" spans="2:2" x14ac:dyDescent="0.3">
      <c r="B46" s="20" t="s">
        <v>96</v>
      </c>
    </row>
    <row r="47" spans="2:2" x14ac:dyDescent="0.3">
      <c r="B47" s="20" t="s">
        <v>97</v>
      </c>
    </row>
    <row r="48" spans="2:2" x14ac:dyDescent="0.3">
      <c r="B48" s="20" t="s">
        <v>98</v>
      </c>
    </row>
    <row r="49" spans="2:2" x14ac:dyDescent="0.3">
      <c r="B49" s="20" t="s">
        <v>99</v>
      </c>
    </row>
    <row r="50" spans="2:2" x14ac:dyDescent="0.3">
      <c r="B50" s="20" t="s">
        <v>100</v>
      </c>
    </row>
    <row r="51" spans="2:2" x14ac:dyDescent="0.3">
      <c r="B51" s="20" t="s">
        <v>101</v>
      </c>
    </row>
    <row r="52" spans="2:2" x14ac:dyDescent="0.3">
      <c r="B52" s="20" t="s">
        <v>102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CCFEA-4609-4B74-A80E-9BDBF53DBD8A}">
  <dimension ref="B2:EE68"/>
  <sheetViews>
    <sheetView workbookViewId="0">
      <pane xSplit="2" ySplit="2" topLeftCell="P24" activePane="bottomRight" state="frozen"/>
      <selection pane="topRight" activeCell="C1" sqref="C1"/>
      <selection pane="bottomLeft" activeCell="A3" sqref="A3"/>
      <selection pane="bottomRight" activeCell="AA28" sqref="AA28"/>
    </sheetView>
  </sheetViews>
  <sheetFormatPr defaultRowHeight="14.4" x14ac:dyDescent="0.3"/>
  <cols>
    <col min="1" max="1" width="8.88671875" style="1"/>
    <col min="2" max="2" width="19.109375" style="1" customWidth="1"/>
    <col min="3" max="39" width="8.88671875" style="1"/>
    <col min="40" max="40" width="11.88671875" style="1" bestFit="1" customWidth="1"/>
    <col min="41" max="41" width="17.109375" style="1" customWidth="1"/>
    <col min="42" max="16384" width="8.88671875" style="1"/>
  </cols>
  <sheetData>
    <row r="2" spans="2:37" x14ac:dyDescent="0.3"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 t="s">
        <v>19</v>
      </c>
      <c r="K2" s="2" t="s">
        <v>20</v>
      </c>
      <c r="L2" s="2" t="s">
        <v>11</v>
      </c>
      <c r="M2" s="2" t="s">
        <v>21</v>
      </c>
      <c r="N2" s="2" t="s">
        <v>22</v>
      </c>
      <c r="O2" s="2" t="s">
        <v>51</v>
      </c>
      <c r="P2" s="2" t="s">
        <v>52</v>
      </c>
      <c r="Q2" s="2" t="s">
        <v>53</v>
      </c>
      <c r="R2" s="2" t="s">
        <v>54</v>
      </c>
      <c r="U2" s="1">
        <v>2019</v>
      </c>
      <c r="V2" s="1">
        <v>2020</v>
      </c>
      <c r="W2" s="1">
        <v>2021</v>
      </c>
      <c r="X2" s="1">
        <v>2022</v>
      </c>
      <c r="Y2" s="1">
        <v>2023</v>
      </c>
      <c r="Z2" s="1">
        <v>2024</v>
      </c>
      <c r="AA2" s="1">
        <v>2025</v>
      </c>
      <c r="AB2" s="1">
        <v>2026</v>
      </c>
      <c r="AC2" s="1">
        <v>2027</v>
      </c>
      <c r="AD2" s="1">
        <v>2028</v>
      </c>
      <c r="AE2" s="1">
        <v>2029</v>
      </c>
      <c r="AF2" s="1">
        <v>2030</v>
      </c>
      <c r="AG2" s="1">
        <v>2031</v>
      </c>
      <c r="AH2" s="1">
        <v>2032</v>
      </c>
      <c r="AI2" s="1">
        <v>2033</v>
      </c>
      <c r="AJ2" s="1">
        <v>2034</v>
      </c>
      <c r="AK2" s="1">
        <v>2035</v>
      </c>
    </row>
    <row r="3" spans="2:37" x14ac:dyDescent="0.3">
      <c r="B3" s="1" t="s">
        <v>106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X3" s="3">
        <v>30317</v>
      </c>
      <c r="Y3" s="3">
        <v>31628</v>
      </c>
      <c r="Z3" s="3">
        <v>32246</v>
      </c>
    </row>
    <row r="4" spans="2:37" x14ac:dyDescent="0.3">
      <c r="B4" s="1" t="s">
        <v>108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X4" s="7">
        <f>X3/X28</f>
        <v>0.45199332080985183</v>
      </c>
      <c r="Y4" s="7">
        <f>Y3/Y28</f>
        <v>0.45890887986070805</v>
      </c>
      <c r="Z4" s="7">
        <f>Z3/Z28</f>
        <v>0.39939062151651017</v>
      </c>
    </row>
    <row r="5" spans="2:37" x14ac:dyDescent="0.3">
      <c r="B5" s="1" t="s">
        <v>107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X5" s="3">
        <v>25884</v>
      </c>
      <c r="Y5" s="3">
        <v>29440</v>
      </c>
      <c r="Z5" s="3">
        <v>34651</v>
      </c>
    </row>
    <row r="6" spans="2:37" x14ac:dyDescent="0.3">
      <c r="B6" s="1" t="s">
        <v>109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X6" s="7">
        <f>X5/X28</f>
        <v>0.38590213793720368</v>
      </c>
      <c r="Y6" s="7">
        <f>Y5/Y28</f>
        <v>0.42716192687173532</v>
      </c>
      <c r="Z6" s="7">
        <f>Z5/Z28</f>
        <v>0.42917832990661153</v>
      </c>
    </row>
    <row r="7" spans="2:37" x14ac:dyDescent="0.3"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X7" s="7"/>
      <c r="Y7" s="7"/>
      <c r="Z7" s="7"/>
    </row>
    <row r="8" spans="2:37" x14ac:dyDescent="0.3">
      <c r="B8" s="1" t="s">
        <v>110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X8" s="7"/>
      <c r="Y8" s="7"/>
      <c r="Z8" s="3">
        <v>186000</v>
      </c>
    </row>
    <row r="9" spans="2:37" x14ac:dyDescent="0.3"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spans="2:37" x14ac:dyDescent="0.3">
      <c r="B10" s="1" t="s">
        <v>118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9">
        <v>103000</v>
      </c>
      <c r="R10" s="2"/>
      <c r="Y10" s="3">
        <v>78000</v>
      </c>
      <c r="Z10" s="3">
        <v>93000</v>
      </c>
    </row>
    <row r="11" spans="2:37" x14ac:dyDescent="0.3">
      <c r="B11" s="1" t="s">
        <v>119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9">
        <v>148000</v>
      </c>
      <c r="R11" s="2"/>
      <c r="Y11" s="3">
        <v>118000</v>
      </c>
      <c r="Z11" s="3">
        <v>125000</v>
      </c>
    </row>
    <row r="12" spans="2:37" x14ac:dyDescent="0.3"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Y12" s="3"/>
      <c r="Z12" s="3"/>
    </row>
    <row r="13" spans="2:37" x14ac:dyDescent="0.3">
      <c r="B13" s="1" t="s">
        <v>115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9"/>
      <c r="R13" s="2"/>
      <c r="Y13" s="3">
        <v>30000</v>
      </c>
      <c r="Z13" s="3">
        <v>36000</v>
      </c>
    </row>
    <row r="14" spans="2:37" x14ac:dyDescent="0.3">
      <c r="B14" s="1" t="s">
        <v>114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Y14" s="3">
        <v>114000</v>
      </c>
      <c r="Z14" s="3">
        <v>119000</v>
      </c>
    </row>
    <row r="15" spans="2:37" x14ac:dyDescent="0.3">
      <c r="B15" s="1" t="s">
        <v>116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Y15" s="3">
        <v>52000</v>
      </c>
      <c r="Z15" s="3">
        <v>63000</v>
      </c>
    </row>
    <row r="16" spans="2:37" s="4" customFormat="1" x14ac:dyDescent="0.3">
      <c r="B16" s="4" t="s">
        <v>117</v>
      </c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30">
        <v>251000</v>
      </c>
      <c r="R16" s="22"/>
      <c r="Y16" s="5">
        <f>SUM(Y13:Y15)</f>
        <v>196000</v>
      </c>
      <c r="Z16" s="5">
        <f>SUM(Z13:Z15)</f>
        <v>218000</v>
      </c>
      <c r="AA16" s="30">
        <v>251000</v>
      </c>
    </row>
    <row r="17" spans="2:37" x14ac:dyDescent="0.3">
      <c r="B17" s="1" t="s">
        <v>104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Z17" s="7"/>
      <c r="AA17" s="7">
        <v>0.25</v>
      </c>
    </row>
    <row r="18" spans="2:37" x14ac:dyDescent="0.3">
      <c r="B18" s="1" t="s">
        <v>105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Z18" s="7"/>
      <c r="AA18" s="3">
        <f>Z16*AA17</f>
        <v>54500</v>
      </c>
    </row>
    <row r="19" spans="2:37" x14ac:dyDescent="0.3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</row>
    <row r="20" spans="2:37" x14ac:dyDescent="0.3">
      <c r="B20" s="1" t="s">
        <v>68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9">
        <v>7075</v>
      </c>
      <c r="N20" s="29"/>
      <c r="O20" s="29"/>
      <c r="P20" s="29"/>
      <c r="Q20" s="29">
        <v>7621</v>
      </c>
      <c r="R20" s="2"/>
      <c r="X20" s="3">
        <v>23052</v>
      </c>
      <c r="Y20" s="3">
        <v>26253</v>
      </c>
      <c r="Z20" s="3">
        <v>28284</v>
      </c>
    </row>
    <row r="21" spans="2:37" x14ac:dyDescent="0.3">
      <c r="B21" s="1" t="s">
        <v>70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9">
        <v>7239</v>
      </c>
      <c r="N21" s="29"/>
      <c r="O21" s="29"/>
      <c r="P21" s="29"/>
      <c r="Q21" s="29">
        <v>8423</v>
      </c>
      <c r="R21" s="2"/>
      <c r="X21" s="3">
        <v>20530</v>
      </c>
      <c r="Y21" s="3">
        <v>18296</v>
      </c>
      <c r="Z21" s="3">
        <v>28066</v>
      </c>
    </row>
    <row r="22" spans="2:37" x14ac:dyDescent="0.3">
      <c r="B22" s="1" t="s">
        <v>111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9">
        <v>6386</v>
      </c>
      <c r="N22" s="29"/>
      <c r="O22" s="29"/>
      <c r="P22" s="29"/>
      <c r="Q22" s="29">
        <v>7045</v>
      </c>
      <c r="R22" s="2"/>
      <c r="X22" s="3">
        <v>25176</v>
      </c>
      <c r="Y22" s="3">
        <v>26350</v>
      </c>
      <c r="Z22" s="3">
        <v>26713</v>
      </c>
    </row>
    <row r="23" spans="2:37" x14ac:dyDescent="0.3">
      <c r="B23" s="1" t="s">
        <v>112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9">
        <v>-611</v>
      </c>
      <c r="N23" s="29"/>
      <c r="O23" s="29"/>
      <c r="P23" s="29"/>
      <c r="Q23" s="29">
        <v>-611</v>
      </c>
      <c r="R23" s="2"/>
      <c r="X23" s="3">
        <v>-1684</v>
      </c>
      <c r="Y23" s="3">
        <v>-1979</v>
      </c>
      <c r="Z23" s="3">
        <v>-2325</v>
      </c>
    </row>
    <row r="24" spans="2:37" s="4" customFormat="1" x14ac:dyDescent="0.3">
      <c r="B24" s="4" t="s">
        <v>113</v>
      </c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30">
        <f>SUM(M20:M23)</f>
        <v>20089</v>
      </c>
      <c r="N24" s="22"/>
      <c r="O24" s="22"/>
      <c r="P24" s="22"/>
      <c r="Q24" s="30">
        <f>SUM(Q20:Q23)</f>
        <v>22478</v>
      </c>
      <c r="R24" s="22"/>
      <c r="X24" s="5">
        <f>SUM(X20:X23)</f>
        <v>67074</v>
      </c>
      <c r="Y24" s="5">
        <f>SUM(Y20:Y23)</f>
        <v>68920</v>
      </c>
      <c r="Z24" s="5">
        <f>SUM(Z20:Z23)</f>
        <v>80738</v>
      </c>
    </row>
    <row r="25" spans="2:37" x14ac:dyDescent="0.3"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2:37" x14ac:dyDescent="0.3">
      <c r="B26" s="1" t="s">
        <v>23</v>
      </c>
      <c r="C26" s="3">
        <v>11862</v>
      </c>
      <c r="D26" s="3">
        <v>12258</v>
      </c>
      <c r="E26" s="3">
        <v>12756</v>
      </c>
      <c r="F26" s="3">
        <f>X26-E26-D26-C26</f>
        <v>13897</v>
      </c>
      <c r="G26" s="3">
        <v>12787</v>
      </c>
      <c r="H26" s="3">
        <v>13411</v>
      </c>
      <c r="I26" s="3">
        <v>8615</v>
      </c>
      <c r="J26" s="3">
        <f>Y26-I26-H26-G26</f>
        <v>14758</v>
      </c>
      <c r="K26" s="3">
        <v>14303</v>
      </c>
      <c r="L26" s="3">
        <v>14562</v>
      </c>
      <c r="M26" s="3">
        <v>14708</v>
      </c>
      <c r="N26" s="3">
        <f>Z26-M26-L26-K26</f>
        <v>16039</v>
      </c>
      <c r="O26" s="3">
        <v>14591</v>
      </c>
      <c r="P26" s="3">
        <v>15551</v>
      </c>
      <c r="Q26" s="3">
        <v>16264</v>
      </c>
      <c r="R26" s="3">
        <f>N26*1.1</f>
        <v>17642.900000000001</v>
      </c>
      <c r="U26" s="3">
        <v>32998</v>
      </c>
      <c r="V26" s="3">
        <v>43319</v>
      </c>
      <c r="W26" s="3">
        <v>49270</v>
      </c>
      <c r="X26" s="3">
        <v>50773</v>
      </c>
      <c r="Y26" s="3">
        <v>49571</v>
      </c>
      <c r="Z26" s="3">
        <v>59612</v>
      </c>
      <c r="AA26" s="3">
        <f>SUM(O26:R26)</f>
        <v>64048.9</v>
      </c>
      <c r="AB26" s="3">
        <f>AA26*1.08</f>
        <v>69172.812000000005</v>
      </c>
      <c r="AC26" s="3">
        <f>AB26*1.05</f>
        <v>72631.452600000004</v>
      </c>
      <c r="AD26" s="3">
        <f>AC26*1.04</f>
        <v>75536.710704000012</v>
      </c>
      <c r="AE26" s="3">
        <f>AD26*1.03</f>
        <v>77802.812025120016</v>
      </c>
      <c r="AF26" s="3">
        <f t="shared" ref="AF26:AK26" si="0">AE26*1.02</f>
        <v>79358.868265622412</v>
      </c>
      <c r="AG26" s="3">
        <f t="shared" si="0"/>
        <v>80946.045630934866</v>
      </c>
      <c r="AH26" s="3">
        <f t="shared" si="0"/>
        <v>82564.966543553572</v>
      </c>
      <c r="AI26" s="3">
        <f t="shared" si="0"/>
        <v>84216.265874424644</v>
      </c>
      <c r="AJ26" s="3">
        <f t="shared" si="0"/>
        <v>85900.591191913132</v>
      </c>
      <c r="AK26" s="3">
        <f t="shared" si="0"/>
        <v>87618.603015751403</v>
      </c>
    </row>
    <row r="27" spans="2:37" x14ac:dyDescent="0.3">
      <c r="B27" s="1" t="s">
        <v>24</v>
      </c>
      <c r="C27" s="3">
        <v>3854</v>
      </c>
      <c r="D27" s="3">
        <v>4056</v>
      </c>
      <c r="E27" s="3">
        <v>4195</v>
      </c>
      <c r="F27" s="3">
        <f>X27-E27-D27-C27</f>
        <v>4196</v>
      </c>
      <c r="G27" s="3">
        <v>4427</v>
      </c>
      <c r="H27" s="3">
        <v>4904</v>
      </c>
      <c r="I27" s="3">
        <v>4849</v>
      </c>
      <c r="J27" s="3">
        <f>Y27-I27-H27-G27</f>
        <v>5169</v>
      </c>
      <c r="K27" s="3">
        <v>5002</v>
      </c>
      <c r="L27" s="3">
        <v>5159</v>
      </c>
      <c r="M27" s="3">
        <v>5381</v>
      </c>
      <c r="N27" s="3">
        <f>Z27-M27-L27-K27</f>
        <v>5584</v>
      </c>
      <c r="O27" s="3">
        <v>5715</v>
      </c>
      <c r="P27" s="3">
        <v>6030</v>
      </c>
      <c r="Q27" s="3">
        <v>6214</v>
      </c>
      <c r="R27" s="3">
        <f>N27*1.16</f>
        <v>6477.44</v>
      </c>
      <c r="U27" s="3">
        <v>12351</v>
      </c>
      <c r="V27" s="3">
        <v>13268</v>
      </c>
      <c r="W27" s="3">
        <v>15118</v>
      </c>
      <c r="X27" s="3">
        <v>16301</v>
      </c>
      <c r="Y27" s="3">
        <v>19349</v>
      </c>
      <c r="Z27" s="3">
        <v>21126</v>
      </c>
      <c r="AA27" s="3">
        <f>SUM(O27:R27)</f>
        <v>24436.44</v>
      </c>
      <c r="AB27" s="3">
        <f>AA27*1.13</f>
        <v>27613.177199999995</v>
      </c>
      <c r="AC27" s="3">
        <f>AB27*1.09</f>
        <v>30098.363147999997</v>
      </c>
      <c r="AD27" s="3">
        <f>AC27*1.05</f>
        <v>31603.281305399996</v>
      </c>
      <c r="AE27" s="3">
        <f>AD27*1.04</f>
        <v>32867.412557616</v>
      </c>
      <c r="AF27" s="3">
        <f>AE27*1.03</f>
        <v>33853.434934344485</v>
      </c>
      <c r="AG27" s="3">
        <f t="shared" ref="AG27:AK27" si="1">AF27*1.03</f>
        <v>34869.037982374823</v>
      </c>
      <c r="AH27" s="3">
        <f t="shared" si="1"/>
        <v>35915.109121846072</v>
      </c>
      <c r="AI27" s="3">
        <f t="shared" si="1"/>
        <v>36992.562395501453</v>
      </c>
      <c r="AJ27" s="3">
        <f t="shared" si="1"/>
        <v>38102.3392673665</v>
      </c>
      <c r="AK27" s="3">
        <f t="shared" si="1"/>
        <v>39245.409445387493</v>
      </c>
    </row>
    <row r="28" spans="2:37" s="4" customFormat="1" x14ac:dyDescent="0.3">
      <c r="B28" s="4" t="s">
        <v>25</v>
      </c>
      <c r="C28" s="5">
        <f t="shared" ref="C28:P28" si="2">C26+C27</f>
        <v>15716</v>
      </c>
      <c r="D28" s="5">
        <f t="shared" si="2"/>
        <v>16314</v>
      </c>
      <c r="E28" s="5">
        <f t="shared" si="2"/>
        <v>16951</v>
      </c>
      <c r="F28" s="5">
        <f t="shared" si="2"/>
        <v>18093</v>
      </c>
      <c r="G28" s="5">
        <f t="shared" si="2"/>
        <v>17214</v>
      </c>
      <c r="H28" s="5">
        <f t="shared" si="2"/>
        <v>18315</v>
      </c>
      <c r="I28" s="5">
        <f t="shared" si="2"/>
        <v>13464</v>
      </c>
      <c r="J28" s="5">
        <f t="shared" si="2"/>
        <v>19927</v>
      </c>
      <c r="K28" s="5">
        <f t="shared" si="2"/>
        <v>19305</v>
      </c>
      <c r="L28" s="5">
        <f t="shared" si="2"/>
        <v>19721</v>
      </c>
      <c r="M28" s="5">
        <f t="shared" si="2"/>
        <v>20089</v>
      </c>
      <c r="N28" s="5">
        <f t="shared" si="2"/>
        <v>21623</v>
      </c>
      <c r="O28" s="5">
        <f t="shared" si="2"/>
        <v>20306</v>
      </c>
      <c r="P28" s="5">
        <f t="shared" si="2"/>
        <v>21581</v>
      </c>
      <c r="Q28" s="5">
        <v>22478</v>
      </c>
      <c r="R28" s="5">
        <f t="shared" ref="R28" si="3">R26+R27</f>
        <v>24120.34</v>
      </c>
      <c r="U28" s="5">
        <f t="shared" ref="U28:AK28" si="4">U26+U27</f>
        <v>45349</v>
      </c>
      <c r="V28" s="5">
        <f t="shared" si="4"/>
        <v>56587</v>
      </c>
      <c r="W28" s="5">
        <f t="shared" si="4"/>
        <v>64388</v>
      </c>
      <c r="X28" s="5">
        <f t="shared" si="4"/>
        <v>67074</v>
      </c>
      <c r="Y28" s="5">
        <f t="shared" si="4"/>
        <v>68920</v>
      </c>
      <c r="Z28" s="5">
        <f t="shared" si="4"/>
        <v>80738</v>
      </c>
      <c r="AA28" s="5">
        <f t="shared" si="4"/>
        <v>88485.34</v>
      </c>
      <c r="AB28" s="5">
        <f t="shared" si="4"/>
        <v>96785.989199999996</v>
      </c>
      <c r="AC28" s="5">
        <f t="shared" si="4"/>
        <v>102729.81574799999</v>
      </c>
      <c r="AD28" s="5">
        <f t="shared" si="4"/>
        <v>107139.99200940001</v>
      </c>
      <c r="AE28" s="5">
        <f t="shared" si="4"/>
        <v>110670.22458273602</v>
      </c>
      <c r="AF28" s="5">
        <f t="shared" si="4"/>
        <v>113212.3031999669</v>
      </c>
      <c r="AG28" s="5">
        <f t="shared" si="4"/>
        <v>115815.08361330969</v>
      </c>
      <c r="AH28" s="5">
        <f t="shared" si="4"/>
        <v>118480.07566539964</v>
      </c>
      <c r="AI28" s="5">
        <f t="shared" si="4"/>
        <v>121208.8282699261</v>
      </c>
      <c r="AJ28" s="5">
        <f t="shared" si="4"/>
        <v>124002.93045927963</v>
      </c>
      <c r="AK28" s="5">
        <f t="shared" si="4"/>
        <v>126864.01246113889</v>
      </c>
    </row>
    <row r="29" spans="2:37" x14ac:dyDescent="0.3">
      <c r="B29" s="1" t="s">
        <v>26</v>
      </c>
      <c r="C29" s="3">
        <v>9820</v>
      </c>
      <c r="D29" s="3">
        <v>10040</v>
      </c>
      <c r="E29" s="3">
        <v>10493</v>
      </c>
      <c r="F29" s="3">
        <f t="shared" ref="F29:F30" si="5">X29-E29-D29-C29</f>
        <v>11574</v>
      </c>
      <c r="G29" s="3">
        <v>10700</v>
      </c>
      <c r="H29" s="3">
        <v>11089</v>
      </c>
      <c r="I29" s="3">
        <v>9289</v>
      </c>
      <c r="J29" s="3">
        <f t="shared" ref="J29:J30" si="6">Y29-I29-H29-G29</f>
        <v>12347</v>
      </c>
      <c r="K29" s="3">
        <v>12216</v>
      </c>
      <c r="L29" s="3">
        <v>12625</v>
      </c>
      <c r="M29" s="3">
        <v>12336</v>
      </c>
      <c r="N29" s="3">
        <f t="shared" ref="N29:N30" si="7">Z29-M29-L29-K29</f>
        <v>13591</v>
      </c>
      <c r="O29" s="3">
        <v>12283</v>
      </c>
      <c r="P29" s="3">
        <v>12989</v>
      </c>
      <c r="Q29" s="3">
        <v>13593</v>
      </c>
      <c r="R29" s="3">
        <f>R26*0.84</f>
        <v>14820.036</v>
      </c>
      <c r="U29" s="3">
        <v>26910</v>
      </c>
      <c r="V29" s="3">
        <v>38137</v>
      </c>
      <c r="W29" s="3">
        <v>41095</v>
      </c>
      <c r="X29" s="3">
        <v>41927</v>
      </c>
      <c r="Y29" s="3">
        <v>43425</v>
      </c>
      <c r="Z29" s="3">
        <v>50768</v>
      </c>
      <c r="AA29" s="3">
        <f t="shared" ref="AA29:AA30" si="8">SUM(O29:R29)</f>
        <v>53685.036</v>
      </c>
      <c r="AB29" s="3">
        <f>AB26*0.84</f>
        <v>58105.162080000002</v>
      </c>
      <c r="AC29" s="3">
        <f t="shared" ref="AC29:AK29" si="9">AC26*0.84</f>
        <v>61010.420184000002</v>
      </c>
      <c r="AD29" s="3">
        <f t="shared" si="9"/>
        <v>63450.836991360011</v>
      </c>
      <c r="AE29" s="3">
        <f t="shared" si="9"/>
        <v>65354.362101100814</v>
      </c>
      <c r="AF29" s="3">
        <f t="shared" si="9"/>
        <v>66661.449343122818</v>
      </c>
      <c r="AG29" s="3">
        <f t="shared" si="9"/>
        <v>67994.678329985283</v>
      </c>
      <c r="AH29" s="3">
        <f t="shared" si="9"/>
        <v>69354.571896584996</v>
      </c>
      <c r="AI29" s="3">
        <f t="shared" si="9"/>
        <v>70741.663334516692</v>
      </c>
      <c r="AJ29" s="3">
        <f t="shared" si="9"/>
        <v>72156.496601207022</v>
      </c>
      <c r="AK29" s="3">
        <f t="shared" si="9"/>
        <v>73599.626533231174</v>
      </c>
    </row>
    <row r="30" spans="2:37" x14ac:dyDescent="0.3">
      <c r="B30" s="1" t="s">
        <v>27</v>
      </c>
      <c r="C30" s="3">
        <v>2740</v>
      </c>
      <c r="D30" s="3">
        <v>2816</v>
      </c>
      <c r="E30" s="3">
        <v>2971</v>
      </c>
      <c r="F30" s="3">
        <f t="shared" si="5"/>
        <v>2952</v>
      </c>
      <c r="G30" s="3">
        <v>2945</v>
      </c>
      <c r="H30" s="3">
        <v>3429</v>
      </c>
      <c r="I30" s="3">
        <v>3461</v>
      </c>
      <c r="J30" s="3">
        <f t="shared" si="6"/>
        <v>3571</v>
      </c>
      <c r="K30" s="3">
        <v>3528</v>
      </c>
      <c r="L30" s="3">
        <v>3516</v>
      </c>
      <c r="M30" s="3">
        <v>3719</v>
      </c>
      <c r="N30" s="3">
        <f t="shared" si="7"/>
        <v>3797</v>
      </c>
      <c r="O30" s="3">
        <v>3907</v>
      </c>
      <c r="P30" s="3">
        <v>4216</v>
      </c>
      <c r="Q30" s="3">
        <v>4305</v>
      </c>
      <c r="R30" s="3">
        <f>R27*0.69</f>
        <v>4469.4335999999994</v>
      </c>
      <c r="U30" s="3">
        <v>7688</v>
      </c>
      <c r="V30" s="3">
        <v>9919</v>
      </c>
      <c r="W30" s="3">
        <v>10802</v>
      </c>
      <c r="X30" s="3">
        <v>11479</v>
      </c>
      <c r="Y30" s="3">
        <v>13406</v>
      </c>
      <c r="Z30" s="3">
        <v>14560</v>
      </c>
      <c r="AA30" s="3">
        <f t="shared" si="8"/>
        <v>16897.4336</v>
      </c>
      <c r="AB30" s="3">
        <f t="shared" ref="AB30:AK30" si="10">AB27*0.69</f>
        <v>19053.092267999993</v>
      </c>
      <c r="AC30" s="3">
        <f t="shared" si="10"/>
        <v>20767.870572119995</v>
      </c>
      <c r="AD30" s="3">
        <f t="shared" si="10"/>
        <v>21806.264100725995</v>
      </c>
      <c r="AE30" s="3">
        <f t="shared" si="10"/>
        <v>22678.514664755039</v>
      </c>
      <c r="AF30" s="3">
        <f t="shared" si="10"/>
        <v>23358.870104697693</v>
      </c>
      <c r="AG30" s="3">
        <f t="shared" si="10"/>
        <v>24059.636207838626</v>
      </c>
      <c r="AH30" s="3">
        <f t="shared" si="10"/>
        <v>24781.425294073786</v>
      </c>
      <c r="AI30" s="3">
        <f t="shared" si="10"/>
        <v>25524.868052895999</v>
      </c>
      <c r="AJ30" s="3">
        <f t="shared" si="10"/>
        <v>26290.614094482884</v>
      </c>
      <c r="AK30" s="3">
        <f t="shared" si="10"/>
        <v>27079.332517317369</v>
      </c>
    </row>
    <row r="31" spans="2:37" x14ac:dyDescent="0.3">
      <c r="B31" s="1" t="s">
        <v>28</v>
      </c>
      <c r="C31" s="3">
        <f t="shared" ref="C31:P31" si="11">C29+C30</f>
        <v>12560</v>
      </c>
      <c r="D31" s="3">
        <f t="shared" si="11"/>
        <v>12856</v>
      </c>
      <c r="E31" s="3">
        <f t="shared" si="11"/>
        <v>13464</v>
      </c>
      <c r="F31" s="3">
        <f t="shared" si="11"/>
        <v>14526</v>
      </c>
      <c r="G31" s="3">
        <f t="shared" si="11"/>
        <v>13645</v>
      </c>
      <c r="H31" s="3">
        <f t="shared" si="11"/>
        <v>14518</v>
      </c>
      <c r="I31" s="3">
        <f t="shared" si="11"/>
        <v>12750</v>
      </c>
      <c r="J31" s="3">
        <f t="shared" si="11"/>
        <v>15918</v>
      </c>
      <c r="K31" s="3">
        <f t="shared" si="11"/>
        <v>15744</v>
      </c>
      <c r="L31" s="3">
        <f t="shared" si="11"/>
        <v>16141</v>
      </c>
      <c r="M31" s="3">
        <f t="shared" si="11"/>
        <v>16055</v>
      </c>
      <c r="N31" s="3">
        <f t="shared" si="11"/>
        <v>17388</v>
      </c>
      <c r="O31" s="3">
        <f t="shared" si="11"/>
        <v>16190</v>
      </c>
      <c r="P31" s="3">
        <f t="shared" si="11"/>
        <v>17205</v>
      </c>
      <c r="Q31" s="3">
        <v>17898</v>
      </c>
      <c r="R31" s="3">
        <f t="shared" ref="R31" si="12">R29+R30</f>
        <v>19289.4696</v>
      </c>
      <c r="U31" s="3">
        <f t="shared" ref="U31:Z31" si="13">U29+U30</f>
        <v>34598</v>
      </c>
      <c r="V31" s="3">
        <f t="shared" si="13"/>
        <v>48056</v>
      </c>
      <c r="W31" s="3">
        <f t="shared" si="13"/>
        <v>51897</v>
      </c>
      <c r="X31" s="3">
        <f t="shared" si="13"/>
        <v>53406</v>
      </c>
      <c r="Y31" s="3">
        <f t="shared" si="13"/>
        <v>56831</v>
      </c>
      <c r="Z31" s="3">
        <f t="shared" si="13"/>
        <v>65328</v>
      </c>
      <c r="AA31" s="3">
        <f t="shared" ref="AA31:AK31" si="14">AA29+AA30</f>
        <v>70582.469599999997</v>
      </c>
      <c r="AB31" s="3">
        <f t="shared" si="14"/>
        <v>77158.254347999988</v>
      </c>
      <c r="AC31" s="3">
        <f t="shared" si="14"/>
        <v>81778.290756119997</v>
      </c>
      <c r="AD31" s="3">
        <f t="shared" si="14"/>
        <v>85257.101092085999</v>
      </c>
      <c r="AE31" s="3">
        <f t="shared" si="14"/>
        <v>88032.87676585585</v>
      </c>
      <c r="AF31" s="3">
        <f t="shared" si="14"/>
        <v>90020.319447820511</v>
      </c>
      <c r="AG31" s="3">
        <f t="shared" si="14"/>
        <v>92054.314537823913</v>
      </c>
      <c r="AH31" s="3">
        <f t="shared" si="14"/>
        <v>94135.997190658789</v>
      </c>
      <c r="AI31" s="3">
        <f t="shared" si="14"/>
        <v>96266.531387412688</v>
      </c>
      <c r="AJ31" s="3">
        <f t="shared" si="14"/>
        <v>98447.110695689902</v>
      </c>
      <c r="AK31" s="3">
        <f t="shared" si="14"/>
        <v>100678.95905054854</v>
      </c>
    </row>
    <row r="32" spans="2:37" s="4" customFormat="1" x14ac:dyDescent="0.3">
      <c r="B32" s="4" t="s">
        <v>29</v>
      </c>
      <c r="C32" s="5">
        <f t="shared" ref="C32:P32" si="15">C28-C31</f>
        <v>3156</v>
      </c>
      <c r="D32" s="5">
        <f t="shared" si="15"/>
        <v>3458</v>
      </c>
      <c r="E32" s="5">
        <f t="shared" si="15"/>
        <v>3487</v>
      </c>
      <c r="F32" s="5">
        <f t="shared" si="15"/>
        <v>3567</v>
      </c>
      <c r="G32" s="5">
        <f t="shared" si="15"/>
        <v>3569</v>
      </c>
      <c r="H32" s="5">
        <f t="shared" si="15"/>
        <v>3797</v>
      </c>
      <c r="I32" s="5">
        <f t="shared" si="15"/>
        <v>714</v>
      </c>
      <c r="J32" s="5">
        <f t="shared" si="15"/>
        <v>4009</v>
      </c>
      <c r="K32" s="5">
        <f t="shared" si="15"/>
        <v>3561</v>
      </c>
      <c r="L32" s="5">
        <f t="shared" si="15"/>
        <v>3580</v>
      </c>
      <c r="M32" s="5">
        <f t="shared" si="15"/>
        <v>4034</v>
      </c>
      <c r="N32" s="5">
        <f t="shared" si="15"/>
        <v>4235</v>
      </c>
      <c r="O32" s="5">
        <f t="shared" si="15"/>
        <v>4116</v>
      </c>
      <c r="P32" s="5">
        <f t="shared" si="15"/>
        <v>4376</v>
      </c>
      <c r="Q32" s="5">
        <f t="shared" ref="Q32:R32" si="16">Q28-Q31</f>
        <v>4580</v>
      </c>
      <c r="R32" s="5">
        <f t="shared" si="16"/>
        <v>4830.8703999999998</v>
      </c>
      <c r="U32" s="5">
        <f t="shared" ref="U32:Z32" si="17">U28-U31</f>
        <v>10751</v>
      </c>
      <c r="V32" s="5">
        <f t="shared" si="17"/>
        <v>8531</v>
      </c>
      <c r="W32" s="5">
        <f t="shared" si="17"/>
        <v>12491</v>
      </c>
      <c r="X32" s="5">
        <f t="shared" si="17"/>
        <v>13668</v>
      </c>
      <c r="Y32" s="5">
        <f t="shared" si="17"/>
        <v>12089</v>
      </c>
      <c r="Z32" s="5">
        <f t="shared" si="17"/>
        <v>15410</v>
      </c>
      <c r="AA32" s="5">
        <f t="shared" ref="AA32:AK32" si="18">AA28-AA31</f>
        <v>17902.8704</v>
      </c>
      <c r="AB32" s="5">
        <f t="shared" si="18"/>
        <v>19627.734852000009</v>
      </c>
      <c r="AC32" s="5">
        <f t="shared" si="18"/>
        <v>20951.524991879996</v>
      </c>
      <c r="AD32" s="5">
        <f t="shared" si="18"/>
        <v>21882.890917314013</v>
      </c>
      <c r="AE32" s="5">
        <f t="shared" si="18"/>
        <v>22637.347816880167</v>
      </c>
      <c r="AF32" s="5">
        <f t="shared" si="18"/>
        <v>23191.983752146392</v>
      </c>
      <c r="AG32" s="5">
        <f t="shared" si="18"/>
        <v>23760.769075485776</v>
      </c>
      <c r="AH32" s="5">
        <f t="shared" si="18"/>
        <v>24344.078474740847</v>
      </c>
      <c r="AI32" s="5">
        <f t="shared" si="18"/>
        <v>24942.296882513416</v>
      </c>
      <c r="AJ32" s="5">
        <f t="shared" si="18"/>
        <v>25555.819763589723</v>
      </c>
      <c r="AK32" s="5">
        <f t="shared" si="18"/>
        <v>26185.05341059035</v>
      </c>
    </row>
    <row r="33" spans="2:135" x14ac:dyDescent="0.3">
      <c r="B33" s="1" t="s">
        <v>30</v>
      </c>
      <c r="C33" s="3">
        <v>635</v>
      </c>
      <c r="D33" s="3">
        <v>698</v>
      </c>
      <c r="E33" s="3">
        <v>662</v>
      </c>
      <c r="F33" s="3">
        <f t="shared" ref="F33:F34" si="19">X33-E33-D33-C33</f>
        <v>716</v>
      </c>
      <c r="G33" s="3">
        <v>607</v>
      </c>
      <c r="H33" s="3">
        <v>729</v>
      </c>
      <c r="I33" s="3">
        <v>712</v>
      </c>
      <c r="J33" s="3">
        <f t="shared" ref="J33:J34" si="20">Y33-I33-H33-G33</f>
        <v>757</v>
      </c>
      <c r="K33" s="3">
        <v>669</v>
      </c>
      <c r="L33" s="3">
        <v>706</v>
      </c>
      <c r="M33" s="3">
        <v>751</v>
      </c>
      <c r="N33" s="3">
        <f t="shared" ref="N33:N34" si="21">Z33-M33-L33-K33</f>
        <v>808</v>
      </c>
      <c r="O33" s="3">
        <v>637</v>
      </c>
      <c r="P33" s="3">
        <v>697</v>
      </c>
      <c r="Q33" s="3">
        <v>684</v>
      </c>
      <c r="R33" s="3">
        <f>N33*0.98</f>
        <v>791.84</v>
      </c>
      <c r="U33" s="3">
        <v>2452</v>
      </c>
      <c r="V33" s="3">
        <v>2582</v>
      </c>
      <c r="W33" s="3">
        <v>2732</v>
      </c>
      <c r="X33" s="3">
        <v>2711</v>
      </c>
      <c r="Y33" s="3">
        <v>2805</v>
      </c>
      <c r="Z33" s="3">
        <v>2934</v>
      </c>
      <c r="AA33" s="3">
        <f t="shared" ref="AA33:AA34" si="22">SUM(O33:R33)</f>
        <v>2809.84</v>
      </c>
      <c r="AB33" s="3">
        <f>AA33*1.01</f>
        <v>2837.9384</v>
      </c>
      <c r="AC33" s="3">
        <f t="shared" ref="AC33:AE33" si="23">AB33*1.02</f>
        <v>2894.6971680000001</v>
      </c>
      <c r="AD33" s="3">
        <f t="shared" si="23"/>
        <v>2952.59111136</v>
      </c>
      <c r="AE33" s="3">
        <f t="shared" si="23"/>
        <v>3011.6429335871999</v>
      </c>
      <c r="AF33" s="3">
        <f>AE33*1.01</f>
        <v>3041.7593629230719</v>
      </c>
      <c r="AG33" s="3">
        <f t="shared" ref="AG33:AK33" si="24">AF33*1.01</f>
        <v>3072.1769565523027</v>
      </c>
      <c r="AH33" s="3">
        <f t="shared" si="24"/>
        <v>3102.8987261178258</v>
      </c>
      <c r="AI33" s="3">
        <f t="shared" si="24"/>
        <v>3133.9277133790042</v>
      </c>
      <c r="AJ33" s="3">
        <f t="shared" si="24"/>
        <v>3165.2669905127941</v>
      </c>
      <c r="AK33" s="3">
        <f t="shared" si="24"/>
        <v>3196.9196604179219</v>
      </c>
    </row>
    <row r="34" spans="2:135" x14ac:dyDescent="0.3">
      <c r="B34" s="1" t="s">
        <v>31</v>
      </c>
      <c r="C34" s="3">
        <v>1469</v>
      </c>
      <c r="D34" s="3">
        <v>1424</v>
      </c>
      <c r="E34" s="3">
        <v>1351</v>
      </c>
      <c r="F34" s="3">
        <f t="shared" si="19"/>
        <v>1329</v>
      </c>
      <c r="G34" s="3">
        <v>1398</v>
      </c>
      <c r="H34" s="3">
        <v>1600</v>
      </c>
      <c r="I34" s="3">
        <v>1401</v>
      </c>
      <c r="J34" s="3">
        <f t="shared" si="20"/>
        <v>1410</v>
      </c>
      <c r="K34" s="3">
        <v>1394</v>
      </c>
      <c r="L34" s="3">
        <v>1449</v>
      </c>
      <c r="M34" s="3">
        <v>1389</v>
      </c>
      <c r="N34" s="3">
        <f t="shared" si="21"/>
        <v>1574</v>
      </c>
      <c r="O34" s="3">
        <v>1448</v>
      </c>
      <c r="P34" s="3">
        <v>1573</v>
      </c>
      <c r="Q34" s="3">
        <v>1436</v>
      </c>
      <c r="R34" s="3">
        <f>R28*0.07</f>
        <v>1688.4238000000003</v>
      </c>
      <c r="U34" s="3">
        <v>3711</v>
      </c>
      <c r="V34" s="3">
        <v>5540</v>
      </c>
      <c r="W34" s="3">
        <v>5224</v>
      </c>
      <c r="X34" s="3">
        <v>5573</v>
      </c>
      <c r="Y34" s="3">
        <v>5809</v>
      </c>
      <c r="Z34" s="3">
        <v>5806</v>
      </c>
      <c r="AA34" s="3">
        <f t="shared" si="22"/>
        <v>6145.4238000000005</v>
      </c>
      <c r="AB34" s="3">
        <f t="shared" ref="AB34:AK34" si="25">AB28*0.07</f>
        <v>6775.0192440000001</v>
      </c>
      <c r="AC34" s="3">
        <f t="shared" si="25"/>
        <v>7191.0871023600002</v>
      </c>
      <c r="AD34" s="3">
        <f t="shared" si="25"/>
        <v>7499.7994406580019</v>
      </c>
      <c r="AE34" s="3">
        <f t="shared" si="25"/>
        <v>7746.9157207915223</v>
      </c>
      <c r="AF34" s="3">
        <f t="shared" si="25"/>
        <v>7924.8612239976837</v>
      </c>
      <c r="AG34" s="3">
        <f t="shared" si="25"/>
        <v>8107.0558529316786</v>
      </c>
      <c r="AH34" s="3">
        <f t="shared" si="25"/>
        <v>8293.6052965779745</v>
      </c>
      <c r="AI34" s="3">
        <f t="shared" si="25"/>
        <v>8484.6179788948284</v>
      </c>
      <c r="AJ34" s="3">
        <f t="shared" si="25"/>
        <v>8680.2051321495746</v>
      </c>
      <c r="AK34" s="3">
        <f t="shared" si="25"/>
        <v>8880.4808722797225</v>
      </c>
    </row>
    <row r="35" spans="2:135" s="4" customFormat="1" x14ac:dyDescent="0.3">
      <c r="B35" s="4" t="s">
        <v>32</v>
      </c>
      <c r="C35" s="5">
        <f t="shared" ref="C35:P35" si="26">C32-C33-C34</f>
        <v>1052</v>
      </c>
      <c r="D35" s="5">
        <f t="shared" si="26"/>
        <v>1336</v>
      </c>
      <c r="E35" s="5">
        <f t="shared" si="26"/>
        <v>1474</v>
      </c>
      <c r="F35" s="5">
        <f t="shared" si="26"/>
        <v>1522</v>
      </c>
      <c r="G35" s="5">
        <f t="shared" si="26"/>
        <v>1564</v>
      </c>
      <c r="H35" s="5">
        <f t="shared" si="26"/>
        <v>1468</v>
      </c>
      <c r="I35" s="5">
        <f t="shared" si="26"/>
        <v>-1399</v>
      </c>
      <c r="J35" s="5">
        <f t="shared" si="26"/>
        <v>1842</v>
      </c>
      <c r="K35" s="5">
        <f t="shared" si="26"/>
        <v>1498</v>
      </c>
      <c r="L35" s="5">
        <f t="shared" si="26"/>
        <v>1425</v>
      </c>
      <c r="M35" s="5">
        <f t="shared" si="26"/>
        <v>1894</v>
      </c>
      <c r="N35" s="5">
        <f t="shared" si="26"/>
        <v>1853</v>
      </c>
      <c r="O35" s="5">
        <f t="shared" si="26"/>
        <v>2031</v>
      </c>
      <c r="P35" s="5">
        <f t="shared" si="26"/>
        <v>2106</v>
      </c>
      <c r="Q35" s="5">
        <f t="shared" ref="Q35:R35" si="27">Q32-Q33-Q34</f>
        <v>2460</v>
      </c>
      <c r="R35" s="5">
        <f t="shared" si="27"/>
        <v>2350.6065999999992</v>
      </c>
      <c r="U35" s="5">
        <f t="shared" ref="U35:AA35" si="28">U32-U33-U34</f>
        <v>4588</v>
      </c>
      <c r="V35" s="5">
        <f t="shared" si="28"/>
        <v>409</v>
      </c>
      <c r="W35" s="5">
        <f t="shared" si="28"/>
        <v>4535</v>
      </c>
      <c r="X35" s="5">
        <f t="shared" si="28"/>
        <v>5384</v>
      </c>
      <c r="Y35" s="5">
        <f t="shared" si="28"/>
        <v>3475</v>
      </c>
      <c r="Z35" s="5">
        <f t="shared" si="28"/>
        <v>6670</v>
      </c>
      <c r="AA35" s="5">
        <f t="shared" si="28"/>
        <v>8947.6065999999992</v>
      </c>
      <c r="AB35" s="5">
        <f t="shared" ref="AB35:AK35" si="29">AB32-AB33-AB34</f>
        <v>10014.77720800001</v>
      </c>
      <c r="AC35" s="5">
        <f t="shared" si="29"/>
        <v>10865.740721519996</v>
      </c>
      <c r="AD35" s="5">
        <f t="shared" si="29"/>
        <v>11430.500365296009</v>
      </c>
      <c r="AE35" s="5">
        <f t="shared" si="29"/>
        <v>11878.789162501442</v>
      </c>
      <c r="AF35" s="5">
        <f t="shared" si="29"/>
        <v>12225.363165225637</v>
      </c>
      <c r="AG35" s="5">
        <f t="shared" si="29"/>
        <v>12581.536266001795</v>
      </c>
      <c r="AH35" s="5">
        <f t="shared" si="29"/>
        <v>12947.574452045046</v>
      </c>
      <c r="AI35" s="5">
        <f t="shared" si="29"/>
        <v>13323.751190239582</v>
      </c>
      <c r="AJ35" s="5">
        <f t="shared" si="29"/>
        <v>13710.347640927353</v>
      </c>
      <c r="AK35" s="5">
        <f t="shared" si="29"/>
        <v>14107.652877892704</v>
      </c>
    </row>
    <row r="36" spans="2:135" x14ac:dyDescent="0.3">
      <c r="B36" s="1" t="s">
        <v>33</v>
      </c>
      <c r="C36" s="3">
        <v>-28</v>
      </c>
      <c r="D36" s="3">
        <v>-17</v>
      </c>
      <c r="E36" s="3">
        <v>-46</v>
      </c>
      <c r="F36" s="3">
        <f t="shared" ref="F36:F38" si="30">X36-E36-D36-C36</f>
        <v>-29</v>
      </c>
      <c r="G36" s="3">
        <v>-88</v>
      </c>
      <c r="H36" s="3">
        <v>-25</v>
      </c>
      <c r="I36" s="3">
        <v>-3</v>
      </c>
      <c r="J36" s="3">
        <f t="shared" ref="J36:J38" si="31">Y36-I36-H36-G36</f>
        <v>30</v>
      </c>
      <c r="K36" s="3">
        <v>-372</v>
      </c>
      <c r="L36" s="3">
        <v>896</v>
      </c>
      <c r="M36" s="3">
        <v>-134</v>
      </c>
      <c r="N36" s="3">
        <f t="shared" ref="N36:N38" si="32">Z36-M36-L36-K36</f>
        <v>-258</v>
      </c>
      <c r="O36" s="3">
        <v>-4</v>
      </c>
      <c r="P36" s="3">
        <v>-40</v>
      </c>
      <c r="Q36" s="3">
        <v>-63</v>
      </c>
      <c r="R36" s="3">
        <v>0</v>
      </c>
      <c r="U36" s="3">
        <v>-326</v>
      </c>
      <c r="V36" s="3">
        <f>3183-885</f>
        <v>2298</v>
      </c>
      <c r="W36" s="3">
        <v>-423</v>
      </c>
      <c r="X36" s="3">
        <v>-120</v>
      </c>
      <c r="Y36" s="3">
        <v>-86</v>
      </c>
      <c r="Z36" s="3">
        <v>132</v>
      </c>
      <c r="AA36" s="3">
        <f t="shared" ref="AA36:AA38" si="33">SUM(O36:R36)</f>
        <v>-107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</row>
    <row r="37" spans="2:135" x14ac:dyDescent="0.3">
      <c r="B37" s="1" t="s">
        <v>34</v>
      </c>
      <c r="C37" s="3">
        <v>-480</v>
      </c>
      <c r="D37" s="3">
        <v>-474</v>
      </c>
      <c r="E37" s="3">
        <v>-468</v>
      </c>
      <c r="F37" s="3">
        <f t="shared" si="30"/>
        <v>-467</v>
      </c>
      <c r="G37" s="3">
        <v>-444</v>
      </c>
      <c r="H37" s="3">
        <v>-447</v>
      </c>
      <c r="I37" s="3">
        <v>-443</v>
      </c>
      <c r="J37" s="3">
        <f t="shared" si="31"/>
        <v>-446</v>
      </c>
      <c r="K37" s="3">
        <v>-386</v>
      </c>
      <c r="L37" s="3">
        <v>-374</v>
      </c>
      <c r="M37" s="3">
        <v>-374</v>
      </c>
      <c r="N37" s="3">
        <f t="shared" si="32"/>
        <v>-384</v>
      </c>
      <c r="O37" s="3">
        <v>-366</v>
      </c>
      <c r="P37" s="3">
        <v>-351</v>
      </c>
      <c r="Q37" s="3">
        <v>-364</v>
      </c>
      <c r="R37" s="3">
        <f>N37*1.01</f>
        <v>-387.84000000000003</v>
      </c>
      <c r="U37" s="3">
        <v>-829</v>
      </c>
      <c r="V37" s="3">
        <v>-902</v>
      </c>
      <c r="W37" s="3">
        <v>-1944</v>
      </c>
      <c r="X37" s="3">
        <v>-1889</v>
      </c>
      <c r="Y37" s="3">
        <v>-1780</v>
      </c>
      <c r="Z37" s="3">
        <v>-1518</v>
      </c>
      <c r="AA37" s="3">
        <f t="shared" si="33"/>
        <v>-1468.8400000000001</v>
      </c>
      <c r="AB37" s="3">
        <f t="shared" ref="AB37:AK37" si="34">AA37*1.01</f>
        <v>-1483.5284000000001</v>
      </c>
      <c r="AC37" s="3">
        <f t="shared" si="34"/>
        <v>-1498.3636840000001</v>
      </c>
      <c r="AD37" s="3">
        <f t="shared" si="34"/>
        <v>-1513.3473208400001</v>
      </c>
      <c r="AE37" s="3">
        <f t="shared" si="34"/>
        <v>-1528.4807940484002</v>
      </c>
      <c r="AF37" s="3">
        <f t="shared" si="34"/>
        <v>-1543.7656019888841</v>
      </c>
      <c r="AG37" s="3">
        <f t="shared" si="34"/>
        <v>-1559.203258008773</v>
      </c>
      <c r="AH37" s="3">
        <f t="shared" si="34"/>
        <v>-1574.7952905888608</v>
      </c>
      <c r="AI37" s="3">
        <f t="shared" si="34"/>
        <v>-1590.5432434947495</v>
      </c>
      <c r="AJ37" s="3">
        <f t="shared" si="34"/>
        <v>-1606.4486759296969</v>
      </c>
      <c r="AK37" s="3">
        <f t="shared" si="34"/>
        <v>-1622.513162688994</v>
      </c>
    </row>
    <row r="38" spans="2:135" x14ac:dyDescent="0.3">
      <c r="B38" s="1" t="s">
        <v>35</v>
      </c>
      <c r="C38" s="3">
        <v>318</v>
      </c>
      <c r="D38" s="3">
        <v>329</v>
      </c>
      <c r="E38" s="3">
        <v>311</v>
      </c>
      <c r="F38" s="3">
        <f t="shared" si="30"/>
        <v>318</v>
      </c>
      <c r="G38" s="3">
        <v>315</v>
      </c>
      <c r="H38" s="3">
        <v>333</v>
      </c>
      <c r="I38" s="3">
        <v>369</v>
      </c>
      <c r="J38" s="3">
        <f t="shared" si="31"/>
        <v>488</v>
      </c>
      <c r="K38" s="3">
        <v>405</v>
      </c>
      <c r="L38" s="3">
        <v>475</v>
      </c>
      <c r="M38" s="3">
        <v>496</v>
      </c>
      <c r="N38" s="3">
        <f t="shared" si="32"/>
        <v>486</v>
      </c>
      <c r="O38" s="3">
        <v>443</v>
      </c>
      <c r="P38" s="3">
        <v>457</v>
      </c>
      <c r="Q38" s="3">
        <v>449</v>
      </c>
      <c r="R38" s="3">
        <f t="shared" ref="R38" si="35">N38*1.01</f>
        <v>490.86</v>
      </c>
      <c r="U38" s="3">
        <v>1591</v>
      </c>
      <c r="V38" s="3">
        <v>1366</v>
      </c>
      <c r="W38" s="3">
        <f>1322+649</f>
        <v>1971</v>
      </c>
      <c r="X38" s="3">
        <v>1276</v>
      </c>
      <c r="Y38" s="3">
        <v>1505</v>
      </c>
      <c r="Z38" s="3">
        <v>1862</v>
      </c>
      <c r="AA38" s="3">
        <f t="shared" si="33"/>
        <v>1839.8600000000001</v>
      </c>
      <c r="AB38" s="3">
        <f t="shared" ref="AB38:AK38" si="36">AA38*1.01</f>
        <v>1858.2586000000001</v>
      </c>
      <c r="AC38" s="3">
        <f t="shared" si="36"/>
        <v>1876.8411860000001</v>
      </c>
      <c r="AD38" s="3">
        <f t="shared" si="36"/>
        <v>1895.6095978600001</v>
      </c>
      <c r="AE38" s="3">
        <f t="shared" si="36"/>
        <v>1914.5656938386001</v>
      </c>
      <c r="AF38" s="3">
        <f t="shared" si="36"/>
        <v>1933.7113507769861</v>
      </c>
      <c r="AG38" s="3">
        <f t="shared" si="36"/>
        <v>1953.0484642847559</v>
      </c>
      <c r="AH38" s="3">
        <f t="shared" si="36"/>
        <v>1972.5789489276035</v>
      </c>
      <c r="AI38" s="3">
        <f t="shared" si="36"/>
        <v>1992.3047384168794</v>
      </c>
      <c r="AJ38" s="3">
        <f t="shared" si="36"/>
        <v>2012.2277858010482</v>
      </c>
      <c r="AK38" s="3">
        <f t="shared" si="36"/>
        <v>2032.3500636590586</v>
      </c>
    </row>
    <row r="39" spans="2:135" s="4" customFormat="1" x14ac:dyDescent="0.3">
      <c r="B39" s="4" t="s">
        <v>36</v>
      </c>
      <c r="C39" s="5">
        <f t="shared" ref="C39:P39" si="37">C35-C36-C37-C38</f>
        <v>1242</v>
      </c>
      <c r="D39" s="5">
        <f t="shared" si="37"/>
        <v>1498</v>
      </c>
      <c r="E39" s="5">
        <f t="shared" si="37"/>
        <v>1677</v>
      </c>
      <c r="F39" s="5">
        <f t="shared" si="37"/>
        <v>1700</v>
      </c>
      <c r="G39" s="5">
        <f t="shared" si="37"/>
        <v>1781</v>
      </c>
      <c r="H39" s="5">
        <f t="shared" si="37"/>
        <v>1607</v>
      </c>
      <c r="I39" s="5">
        <f t="shared" si="37"/>
        <v>-1322</v>
      </c>
      <c r="J39" s="5">
        <f t="shared" si="37"/>
        <v>1770</v>
      </c>
      <c r="K39" s="5">
        <f t="shared" si="37"/>
        <v>1851</v>
      </c>
      <c r="L39" s="5">
        <f t="shared" si="37"/>
        <v>428</v>
      </c>
      <c r="M39" s="5">
        <f t="shared" si="37"/>
        <v>1906</v>
      </c>
      <c r="N39" s="5">
        <f t="shared" si="37"/>
        <v>2009</v>
      </c>
      <c r="O39" s="5">
        <f t="shared" si="37"/>
        <v>1958</v>
      </c>
      <c r="P39" s="5">
        <f t="shared" si="37"/>
        <v>2040</v>
      </c>
      <c r="Q39" s="5">
        <f t="shared" ref="Q39:R39" si="38">Q35-Q36-Q37-Q38</f>
        <v>2438</v>
      </c>
      <c r="R39" s="5">
        <f t="shared" si="38"/>
        <v>2247.5865999999992</v>
      </c>
      <c r="U39" s="5">
        <f t="shared" ref="U39:AA39" si="39">U35-U36-U37-U38</f>
        <v>4152</v>
      </c>
      <c r="V39" s="5">
        <f t="shared" si="39"/>
        <v>-2353</v>
      </c>
      <c r="W39" s="5">
        <f t="shared" si="39"/>
        <v>4931</v>
      </c>
      <c r="X39" s="5">
        <f t="shared" si="39"/>
        <v>6117</v>
      </c>
      <c r="Y39" s="5">
        <f t="shared" si="39"/>
        <v>3836</v>
      </c>
      <c r="Z39" s="5">
        <f t="shared" si="39"/>
        <v>6194</v>
      </c>
      <c r="AA39" s="5">
        <f t="shared" si="39"/>
        <v>8683.5865999999987</v>
      </c>
      <c r="AB39" s="5">
        <f t="shared" ref="AB39:AK39" si="40">AB35-AB36-AB37-AB38</f>
        <v>9640.0470080000086</v>
      </c>
      <c r="AC39" s="5">
        <f t="shared" si="40"/>
        <v>10487.263219519997</v>
      </c>
      <c r="AD39" s="5">
        <f t="shared" si="40"/>
        <v>11048.23808827601</v>
      </c>
      <c r="AE39" s="5">
        <f t="shared" si="40"/>
        <v>11492.704262711242</v>
      </c>
      <c r="AF39" s="5">
        <f t="shared" si="40"/>
        <v>11835.417416437534</v>
      </c>
      <c r="AG39" s="5">
        <f t="shared" si="40"/>
        <v>12187.69105972581</v>
      </c>
      <c r="AH39" s="5">
        <f t="shared" si="40"/>
        <v>12549.790793706305</v>
      </c>
      <c r="AI39" s="5">
        <f t="shared" si="40"/>
        <v>12921.98969531745</v>
      </c>
      <c r="AJ39" s="5">
        <f t="shared" si="40"/>
        <v>13304.568531056002</v>
      </c>
      <c r="AK39" s="5">
        <f t="shared" si="40"/>
        <v>13697.81597692264</v>
      </c>
    </row>
    <row r="40" spans="2:135" x14ac:dyDescent="0.3">
      <c r="B40" s="1" t="s">
        <v>37</v>
      </c>
      <c r="C40" s="3">
        <v>116</v>
      </c>
      <c r="D40" s="3">
        <v>160</v>
      </c>
      <c r="E40" s="3">
        <v>282</v>
      </c>
      <c r="F40" s="3">
        <f t="shared" ref="F40:F41" si="41">X40-E40-D40-C40</f>
        <v>232</v>
      </c>
      <c r="G40" s="3">
        <v>300</v>
      </c>
      <c r="H40" s="3">
        <v>248</v>
      </c>
      <c r="I40" s="3">
        <v>-389</v>
      </c>
      <c r="J40" s="3">
        <f t="shared" ref="J40:J41" si="42">Y40-I40-H40-G40</f>
        <v>297</v>
      </c>
      <c r="K40" s="3">
        <v>108</v>
      </c>
      <c r="L40" s="3">
        <v>253</v>
      </c>
      <c r="M40" s="3">
        <v>371</v>
      </c>
      <c r="N40" s="3">
        <f t="shared" ref="N40:N41" si="43">Z40-M40-L40-K40</f>
        <v>449</v>
      </c>
      <c r="O40" s="3">
        <v>333</v>
      </c>
      <c r="P40" s="3">
        <v>315</v>
      </c>
      <c r="Q40" s="3">
        <v>432</v>
      </c>
      <c r="R40" s="3">
        <f>R39*0.17</f>
        <v>382.08972199999988</v>
      </c>
      <c r="U40" s="3">
        <v>421</v>
      </c>
      <c r="V40" s="3">
        <v>575</v>
      </c>
      <c r="W40" s="3">
        <v>786</v>
      </c>
      <c r="X40" s="3">
        <v>790</v>
      </c>
      <c r="Y40" s="3">
        <v>456</v>
      </c>
      <c r="Z40" s="3">
        <v>1181</v>
      </c>
      <c r="AA40" s="3">
        <f t="shared" ref="AA40:AA41" si="44">SUM(O40:R40)</f>
        <v>1462.0897219999999</v>
      </c>
      <c r="AB40" s="3">
        <f t="shared" ref="AB40:AK40" si="45">AB39*0.15</f>
        <v>1446.0070512000013</v>
      </c>
      <c r="AC40" s="3">
        <f t="shared" si="45"/>
        <v>1573.0894829279994</v>
      </c>
      <c r="AD40" s="3">
        <f t="shared" si="45"/>
        <v>1657.2357132414015</v>
      </c>
      <c r="AE40" s="3">
        <f t="shared" si="45"/>
        <v>1723.9056394066863</v>
      </c>
      <c r="AF40" s="3">
        <f t="shared" si="45"/>
        <v>1775.3126124656301</v>
      </c>
      <c r="AG40" s="3">
        <f t="shared" si="45"/>
        <v>1828.1536589588716</v>
      </c>
      <c r="AH40" s="3">
        <f t="shared" si="45"/>
        <v>1882.4686190559455</v>
      </c>
      <c r="AI40" s="3">
        <f t="shared" si="45"/>
        <v>1938.2984542976174</v>
      </c>
      <c r="AJ40" s="3">
        <f t="shared" si="45"/>
        <v>1995.6852796584003</v>
      </c>
      <c r="AK40" s="3">
        <f t="shared" si="45"/>
        <v>2054.6723965383958</v>
      </c>
    </row>
    <row r="41" spans="2:135" x14ac:dyDescent="0.3">
      <c r="B41" s="1" t="s">
        <v>38</v>
      </c>
      <c r="C41" s="3">
        <v>23</v>
      </c>
      <c r="D41" s="3">
        <v>34</v>
      </c>
      <c r="E41" s="3">
        <v>8</v>
      </c>
      <c r="F41" s="3">
        <f t="shared" si="41"/>
        <v>46</v>
      </c>
      <c r="G41" s="3">
        <v>55</v>
      </c>
      <c r="H41" s="3">
        <v>32</v>
      </c>
      <c r="I41" s="3">
        <v>51</v>
      </c>
      <c r="J41" s="3">
        <f t="shared" si="42"/>
        <v>47</v>
      </c>
      <c r="K41" s="3">
        <v>34</v>
      </c>
      <c r="L41" s="3">
        <v>64</v>
      </c>
      <c r="M41" s="3">
        <v>63</v>
      </c>
      <c r="N41" s="3">
        <f t="shared" si="43"/>
        <v>78</v>
      </c>
      <c r="O41" s="3">
        <v>90</v>
      </c>
      <c r="P41" s="3">
        <v>68</v>
      </c>
      <c r="Q41" s="3">
        <v>88</v>
      </c>
      <c r="R41" s="3">
        <f>R39*0.03</f>
        <v>67.427597999999975</v>
      </c>
      <c r="U41" s="3">
        <v>221</v>
      </c>
      <c r="V41" s="3">
        <v>181</v>
      </c>
      <c r="W41" s="3">
        <v>248</v>
      </c>
      <c r="X41" s="3">
        <v>111</v>
      </c>
      <c r="Y41" s="3">
        <v>185</v>
      </c>
      <c r="Z41" s="3">
        <v>239</v>
      </c>
      <c r="AA41" s="3">
        <f t="shared" si="44"/>
        <v>313.42759799999999</v>
      </c>
      <c r="AB41" s="3">
        <f t="shared" ref="AB41:AK41" si="46">AB39*0.03</f>
        <v>289.20141024000026</v>
      </c>
      <c r="AC41" s="3">
        <f t="shared" si="46"/>
        <v>314.61789658559991</v>
      </c>
      <c r="AD41" s="3">
        <f t="shared" si="46"/>
        <v>331.44714264828031</v>
      </c>
      <c r="AE41" s="3">
        <f t="shared" si="46"/>
        <v>344.78112788133728</v>
      </c>
      <c r="AF41" s="3">
        <f t="shared" si="46"/>
        <v>355.06252249312604</v>
      </c>
      <c r="AG41" s="3">
        <f t="shared" si="46"/>
        <v>365.63073179177428</v>
      </c>
      <c r="AH41" s="3">
        <f t="shared" si="46"/>
        <v>376.49372381118911</v>
      </c>
      <c r="AI41" s="3">
        <f t="shared" si="46"/>
        <v>387.65969085952349</v>
      </c>
      <c r="AJ41" s="3">
        <f t="shared" si="46"/>
        <v>399.13705593168004</v>
      </c>
      <c r="AK41" s="3">
        <f t="shared" si="46"/>
        <v>410.93447930767917</v>
      </c>
    </row>
    <row r="42" spans="2:135" s="4" customFormat="1" x14ac:dyDescent="0.3">
      <c r="B42" s="4" t="s">
        <v>39</v>
      </c>
      <c r="C42" s="5">
        <f t="shared" ref="C42:P42" si="47">C39-C40-C41</f>
        <v>1103</v>
      </c>
      <c r="D42" s="5">
        <f t="shared" si="47"/>
        <v>1304</v>
      </c>
      <c r="E42" s="5">
        <f t="shared" si="47"/>
        <v>1387</v>
      </c>
      <c r="F42" s="5">
        <f t="shared" si="47"/>
        <v>1422</v>
      </c>
      <c r="G42" s="5">
        <f t="shared" si="47"/>
        <v>1426</v>
      </c>
      <c r="H42" s="5">
        <f t="shared" si="47"/>
        <v>1327</v>
      </c>
      <c r="I42" s="5">
        <f t="shared" si="47"/>
        <v>-984</v>
      </c>
      <c r="J42" s="5">
        <f t="shared" si="47"/>
        <v>1426</v>
      </c>
      <c r="K42" s="5">
        <f t="shared" si="47"/>
        <v>1709</v>
      </c>
      <c r="L42" s="5">
        <f t="shared" si="47"/>
        <v>111</v>
      </c>
      <c r="M42" s="5">
        <f t="shared" si="47"/>
        <v>1472</v>
      </c>
      <c r="N42" s="5">
        <f t="shared" si="47"/>
        <v>1482</v>
      </c>
      <c r="O42" s="5">
        <f t="shared" si="47"/>
        <v>1535</v>
      </c>
      <c r="P42" s="5">
        <f t="shared" si="47"/>
        <v>1657</v>
      </c>
      <c r="Q42" s="5">
        <f t="shared" ref="Q42:R42" si="48">Q39-Q40-Q41</f>
        <v>1918</v>
      </c>
      <c r="R42" s="5">
        <f t="shared" si="48"/>
        <v>1798.0692799999993</v>
      </c>
      <c r="U42" s="5">
        <f t="shared" ref="U42:Z42" si="49">U39-U40-U41</f>
        <v>3510</v>
      </c>
      <c r="V42" s="5">
        <f t="shared" si="49"/>
        <v>-3109</v>
      </c>
      <c r="W42" s="5">
        <f t="shared" si="49"/>
        <v>3897</v>
      </c>
      <c r="X42" s="5">
        <f t="shared" si="49"/>
        <v>5216</v>
      </c>
      <c r="Y42" s="5">
        <f t="shared" si="49"/>
        <v>3195</v>
      </c>
      <c r="Z42" s="5">
        <f t="shared" si="49"/>
        <v>4774</v>
      </c>
      <c r="AA42" s="5">
        <f t="shared" ref="AA42:AK42" si="50">AA39-AA40-AA41</f>
        <v>6908.0692799999988</v>
      </c>
      <c r="AB42" s="5">
        <f t="shared" si="50"/>
        <v>7904.8385465600068</v>
      </c>
      <c r="AC42" s="5">
        <f t="shared" si="50"/>
        <v>8599.5558400063983</v>
      </c>
      <c r="AD42" s="5">
        <f t="shared" si="50"/>
        <v>9059.5552323863285</v>
      </c>
      <c r="AE42" s="5">
        <f t="shared" si="50"/>
        <v>9424.0174954232189</v>
      </c>
      <c r="AF42" s="5">
        <f t="shared" si="50"/>
        <v>9705.042281478778</v>
      </c>
      <c r="AG42" s="5">
        <f t="shared" si="50"/>
        <v>9993.9066689751635</v>
      </c>
      <c r="AH42" s="5">
        <f t="shared" si="50"/>
        <v>10290.82845083917</v>
      </c>
      <c r="AI42" s="5">
        <f t="shared" si="50"/>
        <v>10596.031550160309</v>
      </c>
      <c r="AJ42" s="5">
        <f t="shared" si="50"/>
        <v>10909.746195465921</v>
      </c>
      <c r="AK42" s="5">
        <f t="shared" si="50"/>
        <v>11232.209101076565</v>
      </c>
      <c r="AL42" s="4">
        <f>AK42*(1+$AO$52)</f>
        <v>11119.887010065799</v>
      </c>
      <c r="AM42" s="4">
        <f t="shared" ref="AM42:CX42" si="51">AL42*(1+$AO$52)</f>
        <v>11008.688139965141</v>
      </c>
      <c r="AN42" s="4">
        <f t="shared" si="51"/>
        <v>10898.60125856549</v>
      </c>
      <c r="AO42" s="4">
        <f t="shared" si="51"/>
        <v>10789.615245979834</v>
      </c>
      <c r="AP42" s="4">
        <f t="shared" si="51"/>
        <v>10681.719093520036</v>
      </c>
      <c r="AQ42" s="4">
        <f t="shared" si="51"/>
        <v>10574.901902584836</v>
      </c>
      <c r="AR42" s="4">
        <f t="shared" si="51"/>
        <v>10469.152883558987</v>
      </c>
      <c r="AS42" s="4">
        <f t="shared" si="51"/>
        <v>10364.461354723397</v>
      </c>
      <c r="AT42" s="4">
        <f t="shared" si="51"/>
        <v>10260.816741176162</v>
      </c>
      <c r="AU42" s="4">
        <f t="shared" si="51"/>
        <v>10158.208573764401</v>
      </c>
      <c r="AV42" s="4">
        <f t="shared" si="51"/>
        <v>10056.626488026757</v>
      </c>
      <c r="AW42" s="4">
        <f t="shared" si="51"/>
        <v>9956.0602231464891</v>
      </c>
      <c r="AX42" s="4">
        <f t="shared" si="51"/>
        <v>9856.4996209150249</v>
      </c>
      <c r="AY42" s="4">
        <f t="shared" si="51"/>
        <v>9757.9346247058747</v>
      </c>
      <c r="AZ42" s="4">
        <f t="shared" si="51"/>
        <v>9660.3552784588155</v>
      </c>
      <c r="BA42" s="4">
        <f t="shared" si="51"/>
        <v>9563.7517256742267</v>
      </c>
      <c r="BB42" s="4">
        <f t="shared" si="51"/>
        <v>9468.1142084174844</v>
      </c>
      <c r="BC42" s="4">
        <f t="shared" si="51"/>
        <v>9373.4330663333094</v>
      </c>
      <c r="BD42" s="4">
        <f t="shared" si="51"/>
        <v>9279.6987356699756</v>
      </c>
      <c r="BE42" s="4">
        <f t="shared" si="51"/>
        <v>9186.9017483132757</v>
      </c>
      <c r="BF42" s="4">
        <f t="shared" si="51"/>
        <v>9095.0327308301421</v>
      </c>
      <c r="BG42" s="4">
        <f t="shared" si="51"/>
        <v>9004.0824035218411</v>
      </c>
      <c r="BH42" s="4">
        <f t="shared" si="51"/>
        <v>8914.0415794866221</v>
      </c>
      <c r="BI42" s="4">
        <f t="shared" si="51"/>
        <v>8824.9011636917567</v>
      </c>
      <c r="BJ42" s="4">
        <f t="shared" si="51"/>
        <v>8736.6521520548395</v>
      </c>
      <c r="BK42" s="4">
        <f t="shared" si="51"/>
        <v>8649.2856305342902</v>
      </c>
      <c r="BL42" s="4">
        <f t="shared" si="51"/>
        <v>8562.7927742289467</v>
      </c>
      <c r="BM42" s="4">
        <f t="shared" si="51"/>
        <v>8477.1648464866576</v>
      </c>
      <c r="BN42" s="4">
        <f t="shared" si="51"/>
        <v>8392.3931980217912</v>
      </c>
      <c r="BO42" s="4">
        <f t="shared" si="51"/>
        <v>8308.4692660415731</v>
      </c>
      <c r="BP42" s="4">
        <f t="shared" si="51"/>
        <v>8225.3845733811577</v>
      </c>
      <c r="BQ42" s="4">
        <f t="shared" si="51"/>
        <v>8143.1307276473462</v>
      </c>
      <c r="BR42" s="4">
        <f t="shared" si="51"/>
        <v>8061.6994203708728</v>
      </c>
      <c r="BS42" s="4">
        <f t="shared" si="51"/>
        <v>7981.0824261671642</v>
      </c>
      <c r="BT42" s="4">
        <f t="shared" si="51"/>
        <v>7901.2716019054924</v>
      </c>
      <c r="BU42" s="4">
        <f t="shared" si="51"/>
        <v>7822.2588858864374</v>
      </c>
      <c r="BV42" s="4">
        <f t="shared" si="51"/>
        <v>7744.0362970275728</v>
      </c>
      <c r="BW42" s="4">
        <f t="shared" si="51"/>
        <v>7666.5959340572972</v>
      </c>
      <c r="BX42" s="4">
        <f t="shared" si="51"/>
        <v>7589.9299747167242</v>
      </c>
      <c r="BY42" s="4">
        <f t="shared" si="51"/>
        <v>7514.0306749695574</v>
      </c>
      <c r="BZ42" s="4">
        <f t="shared" si="51"/>
        <v>7438.8903682198616</v>
      </c>
      <c r="CA42" s="4">
        <f t="shared" si="51"/>
        <v>7364.5014645376632</v>
      </c>
      <c r="CB42" s="4">
        <f t="shared" si="51"/>
        <v>7290.8564498922869</v>
      </c>
      <c r="CC42" s="4">
        <f t="shared" si="51"/>
        <v>7217.9478853933642</v>
      </c>
      <c r="CD42" s="4">
        <f t="shared" si="51"/>
        <v>7145.7684065394305</v>
      </c>
      <c r="CE42" s="4">
        <f t="shared" si="51"/>
        <v>7074.3107224740361</v>
      </c>
      <c r="CF42" s="4">
        <f t="shared" si="51"/>
        <v>7003.5676152492961</v>
      </c>
      <c r="CG42" s="4">
        <f t="shared" si="51"/>
        <v>6933.5319390968034</v>
      </c>
      <c r="CH42" s="4">
        <f t="shared" si="51"/>
        <v>6864.1966197058355</v>
      </c>
      <c r="CI42" s="4">
        <f t="shared" si="51"/>
        <v>6795.5546535087769</v>
      </c>
      <c r="CJ42" s="4">
        <f t="shared" si="51"/>
        <v>6727.5991069736892</v>
      </c>
      <c r="CK42" s="4">
        <f t="shared" si="51"/>
        <v>6660.3231159039524</v>
      </c>
      <c r="CL42" s="4">
        <f t="shared" si="51"/>
        <v>6593.7198847449126</v>
      </c>
      <c r="CM42" s="4">
        <f t="shared" si="51"/>
        <v>6527.7826858974631</v>
      </c>
      <c r="CN42" s="4">
        <f t="shared" si="51"/>
        <v>6462.5048590384886</v>
      </c>
      <c r="CO42" s="4">
        <f t="shared" si="51"/>
        <v>6397.8798104481039</v>
      </c>
      <c r="CP42" s="4">
        <f t="shared" si="51"/>
        <v>6333.9010123436228</v>
      </c>
      <c r="CQ42" s="4">
        <f t="shared" si="51"/>
        <v>6270.5620022201865</v>
      </c>
      <c r="CR42" s="4">
        <f t="shared" si="51"/>
        <v>6207.8563821979842</v>
      </c>
      <c r="CS42" s="4">
        <f t="shared" si="51"/>
        <v>6145.7778183760047</v>
      </c>
      <c r="CT42" s="4">
        <f t="shared" si="51"/>
        <v>6084.320040192245</v>
      </c>
      <c r="CU42" s="4">
        <f t="shared" si="51"/>
        <v>6023.4768397903226</v>
      </c>
      <c r="CV42" s="4">
        <f t="shared" si="51"/>
        <v>5963.2420713924193</v>
      </c>
      <c r="CW42" s="4">
        <f t="shared" si="51"/>
        <v>5903.6096506784952</v>
      </c>
      <c r="CX42" s="4">
        <f t="shared" si="51"/>
        <v>5844.5735541717104</v>
      </c>
      <c r="CY42" s="4">
        <f t="shared" ref="CY42:EE42" si="52">CX42*(1+$AO$52)</f>
        <v>5786.1278186299933</v>
      </c>
      <c r="CZ42" s="4">
        <f t="shared" si="52"/>
        <v>5728.266540443693</v>
      </c>
      <c r="DA42" s="4">
        <f t="shared" si="52"/>
        <v>5670.9838750392564</v>
      </c>
      <c r="DB42" s="4">
        <f t="shared" si="52"/>
        <v>5614.2740362888635</v>
      </c>
      <c r="DC42" s="4">
        <f t="shared" si="52"/>
        <v>5558.1312959259749</v>
      </c>
      <c r="DD42" s="4">
        <f t="shared" si="52"/>
        <v>5502.5499829667151</v>
      </c>
      <c r="DE42" s="4">
        <f t="shared" si="52"/>
        <v>5447.5244831370483</v>
      </c>
      <c r="DF42" s="4">
        <f t="shared" si="52"/>
        <v>5393.049238305678</v>
      </c>
      <c r="DG42" s="4">
        <f t="shared" si="52"/>
        <v>5339.1187459226212</v>
      </c>
      <c r="DH42" s="4">
        <f t="shared" si="52"/>
        <v>5285.7275584633953</v>
      </c>
      <c r="DI42" s="4">
        <f t="shared" si="52"/>
        <v>5232.8702828787609</v>
      </c>
      <c r="DJ42" s="4">
        <f t="shared" si="52"/>
        <v>5180.5415800499732</v>
      </c>
      <c r="DK42" s="4">
        <f t="shared" si="52"/>
        <v>5128.7361642494734</v>
      </c>
      <c r="DL42" s="4">
        <f t="shared" si="52"/>
        <v>5077.4488026069785</v>
      </c>
      <c r="DM42" s="4">
        <f t="shared" si="52"/>
        <v>5026.6743145809087</v>
      </c>
      <c r="DN42" s="4">
        <f t="shared" si="52"/>
        <v>4976.4075714350993</v>
      </c>
      <c r="DO42" s="4">
        <f t="shared" si="52"/>
        <v>4926.6434957207484</v>
      </c>
      <c r="DP42" s="4">
        <f t="shared" si="52"/>
        <v>4877.3770607635406</v>
      </c>
      <c r="DQ42" s="4">
        <f t="shared" si="52"/>
        <v>4828.6032901559056</v>
      </c>
      <c r="DR42" s="4">
        <f t="shared" si="52"/>
        <v>4780.3172572543463</v>
      </c>
      <c r="DS42" s="4">
        <f t="shared" si="52"/>
        <v>4732.5140846818031</v>
      </c>
      <c r="DT42" s="4">
        <f t="shared" si="52"/>
        <v>4685.1889438349854</v>
      </c>
      <c r="DU42" s="4">
        <f t="shared" si="52"/>
        <v>4638.3370543966357</v>
      </c>
      <c r="DV42" s="4">
        <f t="shared" si="52"/>
        <v>4591.9536838526692</v>
      </c>
      <c r="DW42" s="4">
        <f t="shared" si="52"/>
        <v>4546.034147014142</v>
      </c>
      <c r="DX42" s="4">
        <f t="shared" si="52"/>
        <v>4500.5738055440006</v>
      </c>
      <c r="DY42" s="4">
        <f t="shared" si="52"/>
        <v>4455.5680674885607</v>
      </c>
      <c r="DZ42" s="4">
        <f t="shared" si="52"/>
        <v>4411.0123868136752</v>
      </c>
      <c r="EA42" s="4">
        <f t="shared" si="52"/>
        <v>4366.9022629455385</v>
      </c>
      <c r="EB42" s="4">
        <f t="shared" si="52"/>
        <v>4323.2332403160826</v>
      </c>
      <c r="EC42" s="4">
        <f t="shared" si="52"/>
        <v>4280.0009079129213</v>
      </c>
      <c r="ED42" s="4">
        <f t="shared" si="52"/>
        <v>4237.2008988337921</v>
      </c>
      <c r="EE42" s="4">
        <f t="shared" si="52"/>
        <v>4194.8288898454539</v>
      </c>
    </row>
    <row r="43" spans="2:135" x14ac:dyDescent="0.3">
      <c r="B43" s="1" t="s">
        <v>2</v>
      </c>
      <c r="C43" s="3">
        <v>1330</v>
      </c>
      <c r="D43" s="3">
        <v>1330</v>
      </c>
      <c r="E43" s="3">
        <v>1330</v>
      </c>
      <c r="F43" s="3">
        <v>1330</v>
      </c>
      <c r="G43" s="3">
        <v>1330</v>
      </c>
      <c r="H43" s="3">
        <v>1330</v>
      </c>
      <c r="I43" s="3">
        <v>1330</v>
      </c>
      <c r="J43" s="3">
        <v>1330</v>
      </c>
      <c r="K43" s="3">
        <v>1330</v>
      </c>
      <c r="L43" s="3">
        <v>1330</v>
      </c>
      <c r="M43" s="3">
        <v>1330</v>
      </c>
      <c r="N43" s="3">
        <v>1330</v>
      </c>
      <c r="O43" s="3">
        <v>1330</v>
      </c>
      <c r="P43" s="3">
        <f>1338.5</f>
        <v>1338.5</v>
      </c>
      <c r="Q43" s="3">
        <f>1343.1</f>
        <v>1343.1</v>
      </c>
      <c r="R43" s="3">
        <f>1343.1</f>
        <v>1343.1</v>
      </c>
      <c r="U43" s="3">
        <f t="shared" ref="U43:Z43" si="53">1332.1</f>
        <v>1332.1</v>
      </c>
      <c r="V43" s="3">
        <f t="shared" si="53"/>
        <v>1332.1</v>
      </c>
      <c r="W43" s="3">
        <f t="shared" si="53"/>
        <v>1332.1</v>
      </c>
      <c r="X43" s="3">
        <f t="shared" si="53"/>
        <v>1332.1</v>
      </c>
      <c r="Y43" s="3">
        <f t="shared" si="53"/>
        <v>1332.1</v>
      </c>
      <c r="Z43" s="3">
        <f t="shared" si="53"/>
        <v>1332.1</v>
      </c>
      <c r="AA43" s="3">
        <f t="shared" ref="AA43:AK43" si="54">1343.1</f>
        <v>1343.1</v>
      </c>
      <c r="AB43" s="3">
        <f t="shared" si="54"/>
        <v>1343.1</v>
      </c>
      <c r="AC43" s="3">
        <f t="shared" si="54"/>
        <v>1343.1</v>
      </c>
      <c r="AD43" s="3">
        <f t="shared" si="54"/>
        <v>1343.1</v>
      </c>
      <c r="AE43" s="3">
        <f t="shared" si="54"/>
        <v>1343.1</v>
      </c>
      <c r="AF43" s="3">
        <f t="shared" si="54"/>
        <v>1343.1</v>
      </c>
      <c r="AG43" s="3">
        <f t="shared" si="54"/>
        <v>1343.1</v>
      </c>
      <c r="AH43" s="3">
        <f t="shared" si="54"/>
        <v>1343.1</v>
      </c>
      <c r="AI43" s="3">
        <f t="shared" si="54"/>
        <v>1343.1</v>
      </c>
      <c r="AJ43" s="3">
        <f t="shared" si="54"/>
        <v>1343.1</v>
      </c>
      <c r="AK43" s="3">
        <f t="shared" si="54"/>
        <v>1343.1</v>
      </c>
    </row>
    <row r="44" spans="2:135" x14ac:dyDescent="0.3">
      <c r="B44" s="1" t="s">
        <v>40</v>
      </c>
      <c r="C44" s="6">
        <f t="shared" ref="C44:P44" si="55">C42/C43</f>
        <v>0.82932330827067668</v>
      </c>
      <c r="D44" s="6">
        <f t="shared" si="55"/>
        <v>0.98045112781954891</v>
      </c>
      <c r="E44" s="6">
        <f t="shared" si="55"/>
        <v>1.0428571428571429</v>
      </c>
      <c r="F44" s="6">
        <f t="shared" si="55"/>
        <v>1.069172932330827</v>
      </c>
      <c r="G44" s="6">
        <f t="shared" si="55"/>
        <v>1.0721804511278195</v>
      </c>
      <c r="H44" s="6">
        <f t="shared" si="55"/>
        <v>0.9977443609022556</v>
      </c>
      <c r="I44" s="6">
        <f t="shared" si="55"/>
        <v>-0.73984962406015042</v>
      </c>
      <c r="J44" s="6">
        <f t="shared" si="55"/>
        <v>1.0721804511278195</v>
      </c>
      <c r="K44" s="6">
        <f t="shared" si="55"/>
        <v>1.2849624060150375</v>
      </c>
      <c r="L44" s="6">
        <f t="shared" si="55"/>
        <v>8.3458646616541357E-2</v>
      </c>
      <c r="M44" s="6">
        <f t="shared" si="55"/>
        <v>1.1067669172932331</v>
      </c>
      <c r="N44" s="6">
        <f t="shared" si="55"/>
        <v>1.1142857142857143</v>
      </c>
      <c r="O44" s="6">
        <f t="shared" si="55"/>
        <v>1.1541353383458646</v>
      </c>
      <c r="P44" s="6">
        <f t="shared" si="55"/>
        <v>1.2379529323870004</v>
      </c>
      <c r="Q44" s="6">
        <f t="shared" ref="Q44:R44" si="56">Q42/Q43</f>
        <v>1.4280396098577919</v>
      </c>
      <c r="R44" s="6">
        <f t="shared" si="56"/>
        <v>1.3387456481274658</v>
      </c>
      <c r="U44" s="6">
        <f t="shared" ref="U44:Z44" si="57">U42/U43</f>
        <v>2.6349373170182422</v>
      </c>
      <c r="V44" s="6">
        <f t="shared" si="57"/>
        <v>-2.3339088657007734</v>
      </c>
      <c r="W44" s="6">
        <f t="shared" si="57"/>
        <v>2.9254560468433302</v>
      </c>
      <c r="X44" s="6">
        <f t="shared" si="57"/>
        <v>3.9156219503040317</v>
      </c>
      <c r="Y44" s="6">
        <f t="shared" si="57"/>
        <v>2.3984685834396817</v>
      </c>
      <c r="Z44" s="6">
        <f t="shared" si="57"/>
        <v>3.5838150289017343</v>
      </c>
      <c r="AA44" s="6">
        <f t="shared" ref="AA44:AK44" si="58">AA42/AA43</f>
        <v>5.1433767254858163</v>
      </c>
      <c r="AB44" s="6">
        <f t="shared" si="58"/>
        <v>5.8855174942744455</v>
      </c>
      <c r="AC44" s="6">
        <f t="shared" si="58"/>
        <v>6.4027666145531974</v>
      </c>
      <c r="AD44" s="6">
        <f t="shared" si="58"/>
        <v>6.7452574137341443</v>
      </c>
      <c r="AE44" s="6">
        <f t="shared" si="58"/>
        <v>7.0166164063906038</v>
      </c>
      <c r="AF44" s="6">
        <f t="shared" si="58"/>
        <v>7.2258523426988148</v>
      </c>
      <c r="AG44" s="6">
        <f t="shared" si="58"/>
        <v>7.4409252244621875</v>
      </c>
      <c r="AH44" s="6">
        <f t="shared" si="58"/>
        <v>7.6619972085765546</v>
      </c>
      <c r="AI44" s="6">
        <f t="shared" si="58"/>
        <v>7.8892350161271017</v>
      </c>
      <c r="AJ44" s="6">
        <f t="shared" si="58"/>
        <v>8.1228100628887816</v>
      </c>
      <c r="AK44" s="6">
        <f t="shared" si="58"/>
        <v>8.3628985936092377</v>
      </c>
    </row>
    <row r="46" spans="2:135" x14ac:dyDescent="0.3">
      <c r="B46" s="1" t="s">
        <v>183</v>
      </c>
      <c r="Q46" s="7">
        <f>Q20/M20-1</f>
        <v>7.7173144876325095E-2</v>
      </c>
    </row>
    <row r="47" spans="2:135" x14ac:dyDescent="0.3">
      <c r="B47" s="1" t="s">
        <v>184</v>
      </c>
      <c r="Q47" s="7">
        <f t="shared" ref="Q47:Q48" si="59">Q21/M21-1</f>
        <v>0.16355850255560167</v>
      </c>
    </row>
    <row r="48" spans="2:135" x14ac:dyDescent="0.3">
      <c r="B48" s="1" t="s">
        <v>185</v>
      </c>
      <c r="Q48" s="7">
        <f t="shared" si="59"/>
        <v>0.10319448794237385</v>
      </c>
    </row>
    <row r="50" spans="2:41" x14ac:dyDescent="0.3">
      <c r="B50" s="1" t="s">
        <v>42</v>
      </c>
      <c r="C50" s="7"/>
      <c r="D50" s="7"/>
      <c r="E50" s="7"/>
      <c r="F50" s="7"/>
      <c r="G50" s="7">
        <f t="shared" ref="G50:P52" si="60">G26/C26-1</f>
        <v>7.7980104535491535E-2</v>
      </c>
      <c r="H50" s="7">
        <f t="shared" si="60"/>
        <v>9.4061021373796683E-2</v>
      </c>
      <c r="I50" s="7"/>
      <c r="J50" s="7">
        <f t="shared" si="60"/>
        <v>6.1955817802403335E-2</v>
      </c>
      <c r="K50" s="7">
        <f t="shared" si="60"/>
        <v>0.11855791037772745</v>
      </c>
      <c r="L50" s="7">
        <f t="shared" si="60"/>
        <v>8.5825068973230945E-2</v>
      </c>
      <c r="M50" s="7"/>
      <c r="N50" s="7">
        <f t="shared" si="60"/>
        <v>8.6800379455210797E-2</v>
      </c>
      <c r="O50" s="7">
        <f t="shared" si="60"/>
        <v>2.0135635880584424E-2</v>
      </c>
      <c r="P50" s="7">
        <f t="shared" si="60"/>
        <v>6.7916494986952403E-2</v>
      </c>
      <c r="Q50" s="7">
        <f t="shared" ref="Q50:Q52" si="61">Q26/M26-1</f>
        <v>0.10579276584171882</v>
      </c>
      <c r="R50" s="7">
        <f t="shared" ref="R50:R52" si="62">R26/N26-1</f>
        <v>0.10000000000000009</v>
      </c>
      <c r="U50" s="7"/>
      <c r="V50" s="7">
        <f>V26/U26-1</f>
        <v>0.31277653191102495</v>
      </c>
      <c r="W50" s="7">
        <f t="shared" ref="W50:Z50" si="63">W26/V26-1</f>
        <v>0.13737620905376402</v>
      </c>
      <c r="X50" s="7">
        <f t="shared" si="63"/>
        <v>3.0505378526486604E-2</v>
      </c>
      <c r="Y50" s="7">
        <f t="shared" si="63"/>
        <v>-2.3673999960609038E-2</v>
      </c>
      <c r="Z50" s="7">
        <f t="shared" si="63"/>
        <v>0.20255794718686326</v>
      </c>
      <c r="AA50" s="7">
        <f t="shared" ref="AA50:AA52" si="64">AA26/Z26-1</f>
        <v>7.4429645037911829E-2</v>
      </c>
      <c r="AB50" s="7">
        <f t="shared" ref="AB50:AB52" si="65">AB26/AA26-1</f>
        <v>8.0000000000000071E-2</v>
      </c>
      <c r="AC50" s="7">
        <f t="shared" ref="AC50:AC52" si="66">AC26/AB26-1</f>
        <v>5.0000000000000044E-2</v>
      </c>
      <c r="AD50" s="7">
        <f t="shared" ref="AD50:AD52" si="67">AD26/AC26-1</f>
        <v>4.0000000000000036E-2</v>
      </c>
      <c r="AE50" s="7">
        <f t="shared" ref="AE50:AE52" si="68">AE26/AD26-1</f>
        <v>3.0000000000000027E-2</v>
      </c>
      <c r="AF50" s="7">
        <f t="shared" ref="AF50:AF52" si="69">AF26/AE26-1</f>
        <v>2.0000000000000018E-2</v>
      </c>
      <c r="AG50" s="7">
        <f t="shared" ref="AG50:AG52" si="70">AG26/AF26-1</f>
        <v>2.0000000000000018E-2</v>
      </c>
      <c r="AH50" s="7">
        <f t="shared" ref="AH50:AH52" si="71">AH26/AG26-1</f>
        <v>2.0000000000000018E-2</v>
      </c>
      <c r="AI50" s="7">
        <f t="shared" ref="AI50:AI52" si="72">AI26/AH26-1</f>
        <v>2.0000000000000018E-2</v>
      </c>
      <c r="AJ50" s="7">
        <f t="shared" ref="AJ50:AJ52" si="73">AJ26/AI26-1</f>
        <v>2.0000000000000018E-2</v>
      </c>
      <c r="AK50" s="7">
        <f t="shared" ref="AK50:AK52" si="74">AK26/AJ26-1</f>
        <v>2.0000000000000018E-2</v>
      </c>
    </row>
    <row r="51" spans="2:41" x14ac:dyDescent="0.3">
      <c r="B51" s="1" t="s">
        <v>43</v>
      </c>
      <c r="C51" s="7"/>
      <c r="D51" s="7"/>
      <c r="E51" s="7"/>
      <c r="F51" s="7"/>
      <c r="G51" s="7">
        <f t="shared" si="60"/>
        <v>0.14867669953295271</v>
      </c>
      <c r="H51" s="7">
        <f t="shared" si="60"/>
        <v>0.20907297830374749</v>
      </c>
      <c r="I51" s="7">
        <f t="shared" si="60"/>
        <v>0.15589988081048878</v>
      </c>
      <c r="J51" s="7">
        <f t="shared" si="60"/>
        <v>0.23188751191611057</v>
      </c>
      <c r="K51" s="7">
        <f t="shared" si="60"/>
        <v>0.12988479783148854</v>
      </c>
      <c r="L51" s="7">
        <f t="shared" si="60"/>
        <v>5.1998368678629614E-2</v>
      </c>
      <c r="M51" s="7">
        <f t="shared" si="60"/>
        <v>0.10971334295731072</v>
      </c>
      <c r="N51" s="7">
        <f t="shared" si="60"/>
        <v>8.0286322306055258E-2</v>
      </c>
      <c r="O51" s="7">
        <f t="shared" si="60"/>
        <v>0.14254298280687716</v>
      </c>
      <c r="P51" s="7">
        <f t="shared" si="60"/>
        <v>0.16883116883116878</v>
      </c>
      <c r="Q51" s="7">
        <f t="shared" si="61"/>
        <v>0.15480393978814355</v>
      </c>
      <c r="R51" s="7">
        <f t="shared" si="62"/>
        <v>0.15999999999999992</v>
      </c>
      <c r="U51" s="7"/>
      <c r="V51" s="7">
        <f t="shared" ref="V51:Z52" si="75">V27/U27-1</f>
        <v>7.4245000404825623E-2</v>
      </c>
      <c r="W51" s="7">
        <f t="shared" si="75"/>
        <v>0.13943322279167925</v>
      </c>
      <c r="X51" s="7">
        <f t="shared" si="75"/>
        <v>7.8251091414208274E-2</v>
      </c>
      <c r="Y51" s="7">
        <f t="shared" si="75"/>
        <v>0.18698239371817671</v>
      </c>
      <c r="Z51" s="7">
        <f t="shared" si="75"/>
        <v>9.1839371543749104E-2</v>
      </c>
      <c r="AA51" s="7">
        <f t="shared" si="64"/>
        <v>0.15669980119284288</v>
      </c>
      <c r="AB51" s="7">
        <f t="shared" si="65"/>
        <v>0.12999999999999989</v>
      </c>
      <c r="AC51" s="7">
        <f t="shared" si="66"/>
        <v>9.000000000000008E-2</v>
      </c>
      <c r="AD51" s="7">
        <f t="shared" si="67"/>
        <v>5.0000000000000044E-2</v>
      </c>
      <c r="AE51" s="7">
        <f t="shared" si="68"/>
        <v>4.0000000000000036E-2</v>
      </c>
      <c r="AF51" s="7">
        <f t="shared" si="69"/>
        <v>3.0000000000000027E-2</v>
      </c>
      <c r="AG51" s="7">
        <f t="shared" si="70"/>
        <v>3.0000000000000027E-2</v>
      </c>
      <c r="AH51" s="7">
        <f t="shared" si="71"/>
        <v>3.0000000000000027E-2</v>
      </c>
      <c r="AI51" s="7">
        <f t="shared" si="72"/>
        <v>3.0000000000000027E-2</v>
      </c>
      <c r="AJ51" s="7">
        <f t="shared" si="73"/>
        <v>3.0000000000000027E-2</v>
      </c>
      <c r="AK51" s="7">
        <f t="shared" si="74"/>
        <v>3.0000000000000027E-2</v>
      </c>
    </row>
    <row r="52" spans="2:41" s="4" customFormat="1" x14ac:dyDescent="0.3">
      <c r="B52" s="4" t="s">
        <v>41</v>
      </c>
      <c r="C52" s="7"/>
      <c r="D52" s="7"/>
      <c r="E52" s="7"/>
      <c r="F52" s="7"/>
      <c r="G52" s="7">
        <f t="shared" si="60"/>
        <v>9.531687452277926E-2</v>
      </c>
      <c r="H52" s="7">
        <f t="shared" si="60"/>
        <v>0.12265538801029785</v>
      </c>
      <c r="I52" s="7">
        <f t="shared" si="60"/>
        <v>-0.20571057754704736</v>
      </c>
      <c r="J52" s="7">
        <f t="shared" si="60"/>
        <v>0.10136516884983138</v>
      </c>
      <c r="K52" s="7">
        <f t="shared" si="60"/>
        <v>0.12147089578250259</v>
      </c>
      <c r="L52" s="7">
        <f t="shared" si="60"/>
        <v>7.6767676767676818E-2</v>
      </c>
      <c r="M52" s="7">
        <f t="shared" si="60"/>
        <v>0.49205288175876416</v>
      </c>
      <c r="N52" s="7">
        <f t="shared" si="60"/>
        <v>8.5110653886686372E-2</v>
      </c>
      <c r="O52" s="7">
        <f t="shared" si="60"/>
        <v>5.1851851851851816E-2</v>
      </c>
      <c r="P52" s="7">
        <f t="shared" si="60"/>
        <v>9.4315704071801676E-2</v>
      </c>
      <c r="Q52" s="7">
        <f t="shared" si="61"/>
        <v>0.11892080242919012</v>
      </c>
      <c r="R52" s="7">
        <f t="shared" si="62"/>
        <v>0.11549461221847102</v>
      </c>
      <c r="U52" s="7"/>
      <c r="V52" s="7">
        <f t="shared" si="75"/>
        <v>0.24781141811285812</v>
      </c>
      <c r="W52" s="7">
        <f t="shared" si="75"/>
        <v>0.1378585187410537</v>
      </c>
      <c r="X52" s="7">
        <f t="shared" si="75"/>
        <v>4.1715847673479578E-2</v>
      </c>
      <c r="Y52" s="7">
        <f t="shared" si="75"/>
        <v>2.7521841548140857E-2</v>
      </c>
      <c r="Z52" s="7">
        <f t="shared" si="75"/>
        <v>0.17147417295414979</v>
      </c>
      <c r="AA52" s="7">
        <f t="shared" si="64"/>
        <v>9.5956550818697472E-2</v>
      </c>
      <c r="AB52" s="7">
        <f t="shared" si="65"/>
        <v>9.3808185627133334E-2</v>
      </c>
      <c r="AC52" s="7">
        <f t="shared" si="66"/>
        <v>6.1412055578804692E-2</v>
      </c>
      <c r="AD52" s="7">
        <f t="shared" si="67"/>
        <v>4.2929856627197172E-2</v>
      </c>
      <c r="AE52" s="7">
        <f t="shared" si="68"/>
        <v>3.2949718467649936E-2</v>
      </c>
      <c r="AF52" s="7">
        <f t="shared" si="69"/>
        <v>2.2969851437596445E-2</v>
      </c>
      <c r="AG52" s="7">
        <f t="shared" si="70"/>
        <v>2.2990261126880407E-2</v>
      </c>
      <c r="AH52" s="7">
        <f t="shared" si="71"/>
        <v>2.3010751008806229E-2</v>
      </c>
      <c r="AI52" s="7">
        <f t="shared" si="72"/>
        <v>2.3031320576066827E-2</v>
      </c>
      <c r="AJ52" s="7">
        <f t="shared" si="73"/>
        <v>2.3051969309786591E-2</v>
      </c>
      <c r="AK52" s="7">
        <f t="shared" si="74"/>
        <v>2.3072696679525606E-2</v>
      </c>
      <c r="AN52" s="1" t="s">
        <v>55</v>
      </c>
      <c r="AO52" s="7">
        <v>-0.01</v>
      </c>
    </row>
    <row r="53" spans="2:41" x14ac:dyDescent="0.3">
      <c r="B53" s="1" t="s">
        <v>44</v>
      </c>
      <c r="C53" s="7">
        <f t="shared" ref="C53" si="76">(C26-C29)/C26</f>
        <v>0.17214634968807957</v>
      </c>
      <c r="D53" s="7">
        <f t="shared" ref="D53:N53" si="77">(D26-D29)/D26</f>
        <v>0.18094305759503998</v>
      </c>
      <c r="E53" s="7">
        <f t="shared" si="77"/>
        <v>0.17740671056757604</v>
      </c>
      <c r="F53" s="7">
        <f t="shared" si="77"/>
        <v>0.16715837950636828</v>
      </c>
      <c r="G53" s="7">
        <f t="shared" si="77"/>
        <v>0.16321263783530149</v>
      </c>
      <c r="H53" s="7">
        <f t="shared" si="77"/>
        <v>0.17314145104764744</v>
      </c>
      <c r="I53" s="7">
        <f t="shared" si="77"/>
        <v>-7.8235635519442834E-2</v>
      </c>
      <c r="J53" s="7">
        <f t="shared" si="77"/>
        <v>0.16336902019243799</v>
      </c>
      <c r="K53" s="7">
        <f t="shared" si="77"/>
        <v>0.14591344473187443</v>
      </c>
      <c r="L53" s="7">
        <f t="shared" si="77"/>
        <v>0.13301744265897542</v>
      </c>
      <c r="M53" s="7">
        <f t="shared" si="77"/>
        <v>0.16127277672015231</v>
      </c>
      <c r="N53" s="7">
        <f t="shared" si="77"/>
        <v>0.15262796932477088</v>
      </c>
      <c r="O53" s="7">
        <f t="shared" ref="O53" si="78">(O26-O29)/O26</f>
        <v>0.15817969981495442</v>
      </c>
      <c r="P53" s="7">
        <f t="shared" ref="P53" si="79">(P26-P29)/P26</f>
        <v>0.16474824770111246</v>
      </c>
      <c r="Q53" s="7">
        <f t="shared" ref="Q53:R53" si="80">(Q26-Q29)/Q26</f>
        <v>0.16422774225282832</v>
      </c>
      <c r="R53" s="7">
        <f t="shared" si="80"/>
        <v>0.16000000000000006</v>
      </c>
      <c r="U53" s="7">
        <f>(U26-U29)/U26</f>
        <v>0.18449603006242801</v>
      </c>
      <c r="V53" s="7">
        <f>(V26-V29)/V26</f>
        <v>0.11962418338373462</v>
      </c>
      <c r="W53" s="7">
        <f t="shared" ref="W53:Z53" si="81">(W26-W29)/W26</f>
        <v>0.16592246803328597</v>
      </c>
      <c r="X53" s="7">
        <f t="shared" si="81"/>
        <v>0.17422645894471472</v>
      </c>
      <c r="Y53" s="7">
        <f t="shared" si="81"/>
        <v>0.1239837808396038</v>
      </c>
      <c r="Z53" s="7">
        <f t="shared" si="81"/>
        <v>0.14835939072669932</v>
      </c>
      <c r="AA53" s="7">
        <f t="shared" ref="AA53:AK53" si="82">(AA26-AA29)/AA26</f>
        <v>0.16181174071685855</v>
      </c>
      <c r="AB53" s="7">
        <f t="shared" si="82"/>
        <v>0.16000000000000003</v>
      </c>
      <c r="AC53" s="7">
        <f t="shared" si="82"/>
        <v>0.16</v>
      </c>
      <c r="AD53" s="7">
        <f t="shared" si="82"/>
        <v>0.15999999999999998</v>
      </c>
      <c r="AE53" s="7">
        <f t="shared" si="82"/>
        <v>0.15999999999999998</v>
      </c>
      <c r="AF53" s="7">
        <f t="shared" si="82"/>
        <v>0.16000000000000009</v>
      </c>
      <c r="AG53" s="7">
        <f t="shared" si="82"/>
        <v>0.16000000000000006</v>
      </c>
      <c r="AH53" s="7">
        <f t="shared" si="82"/>
        <v>0.16000000000000006</v>
      </c>
      <c r="AI53" s="7">
        <f t="shared" si="82"/>
        <v>0.16000000000000011</v>
      </c>
      <c r="AJ53" s="7">
        <f t="shared" si="82"/>
        <v>0.16000000000000011</v>
      </c>
      <c r="AK53" s="7">
        <f t="shared" si="82"/>
        <v>0.16000000000000006</v>
      </c>
      <c r="AN53" s="1" t="s">
        <v>56</v>
      </c>
      <c r="AO53" s="7">
        <v>0.06</v>
      </c>
    </row>
    <row r="54" spans="2:41" x14ac:dyDescent="0.3">
      <c r="B54" s="1" t="s">
        <v>45</v>
      </c>
      <c r="C54" s="7">
        <f t="shared" ref="C54" si="83">(C27-C30)/C27</f>
        <v>0.28905033731188373</v>
      </c>
      <c r="D54" s="7">
        <f t="shared" ref="D54:N54" si="84">(D27-D30)/D27</f>
        <v>0.3057199211045365</v>
      </c>
      <c r="E54" s="7">
        <f t="shared" si="84"/>
        <v>0.29177592371871275</v>
      </c>
      <c r="F54" s="7">
        <f t="shared" si="84"/>
        <v>0.29647283126787416</v>
      </c>
      <c r="G54" s="7">
        <f t="shared" si="84"/>
        <v>0.33476394849785407</v>
      </c>
      <c r="H54" s="7">
        <f t="shared" si="84"/>
        <v>0.30077487765089722</v>
      </c>
      <c r="I54" s="7">
        <f t="shared" si="84"/>
        <v>0.28624458651268303</v>
      </c>
      <c r="J54" s="7">
        <f t="shared" si="84"/>
        <v>0.30915070613271428</v>
      </c>
      <c r="K54" s="7">
        <f t="shared" si="84"/>
        <v>0.29468212714914033</v>
      </c>
      <c r="L54" s="7">
        <f t="shared" si="84"/>
        <v>0.3184725722039155</v>
      </c>
      <c r="M54" s="7">
        <f t="shared" si="84"/>
        <v>0.30886452332280245</v>
      </c>
      <c r="N54" s="7">
        <f t="shared" si="84"/>
        <v>0.32002148997134672</v>
      </c>
      <c r="O54" s="7">
        <f t="shared" ref="O54" si="85">(O27-O30)/O27</f>
        <v>0.31636045494313209</v>
      </c>
      <c r="P54" s="7">
        <f t="shared" ref="P54" si="86">(P27-P30)/P27</f>
        <v>0.30082918739635156</v>
      </c>
      <c r="Q54" s="7">
        <f t="shared" ref="Q54:R54" si="87">(Q27-Q30)/Q27</f>
        <v>0.30720952687479886</v>
      </c>
      <c r="R54" s="7">
        <f t="shared" si="87"/>
        <v>0.31000000000000005</v>
      </c>
      <c r="U54" s="7">
        <f>(U27-U30)/U27</f>
        <v>0.37754028013926</v>
      </c>
      <c r="V54" s="7">
        <f>(V27-V30)/V27</f>
        <v>0.25241181790774797</v>
      </c>
      <c r="W54" s="7">
        <f t="shared" ref="W54:Z54" si="88">(W27-W30)/W27</f>
        <v>0.28548749834634213</v>
      </c>
      <c r="X54" s="7">
        <f t="shared" si="88"/>
        <v>0.29581007300165635</v>
      </c>
      <c r="Y54" s="7">
        <f t="shared" si="88"/>
        <v>0.30714765620962325</v>
      </c>
      <c r="Z54" s="7">
        <f t="shared" si="88"/>
        <v>0.3108018555334659</v>
      </c>
      <c r="AA54" s="7">
        <f t="shared" ref="AA54:AK54" si="89">(AA27-AA30)/AA27</f>
        <v>0.30851492279562814</v>
      </c>
      <c r="AB54" s="7">
        <f t="shared" si="89"/>
        <v>0.31000000000000011</v>
      </c>
      <c r="AC54" s="7">
        <f t="shared" si="89"/>
        <v>0.31000000000000011</v>
      </c>
      <c r="AD54" s="7">
        <f t="shared" si="89"/>
        <v>0.31000000000000005</v>
      </c>
      <c r="AE54" s="7">
        <f t="shared" si="89"/>
        <v>0.31000000000000005</v>
      </c>
      <c r="AF54" s="7">
        <f t="shared" si="89"/>
        <v>0.31000000000000005</v>
      </c>
      <c r="AG54" s="7">
        <f t="shared" si="89"/>
        <v>0.31000000000000005</v>
      </c>
      <c r="AH54" s="7">
        <f t="shared" si="89"/>
        <v>0.31000000000000011</v>
      </c>
      <c r="AI54" s="7">
        <f t="shared" si="89"/>
        <v>0.31000000000000005</v>
      </c>
      <c r="AJ54" s="7">
        <f t="shared" si="89"/>
        <v>0.31000000000000005</v>
      </c>
      <c r="AK54" s="7">
        <f t="shared" si="89"/>
        <v>0.31000000000000005</v>
      </c>
      <c r="AN54" s="1" t="s">
        <v>57</v>
      </c>
      <c r="AO54" s="3">
        <f>NPV(AO53,AA42:EE42)</f>
        <v>156795.97693203905</v>
      </c>
    </row>
    <row r="55" spans="2:41" x14ac:dyDescent="0.3">
      <c r="B55" s="1" t="s">
        <v>46</v>
      </c>
      <c r="C55" s="7">
        <f t="shared" ref="C55" si="90">C32/C28</f>
        <v>0.20081445660473402</v>
      </c>
      <c r="D55" s="7">
        <f t="shared" ref="D55:N55" si="91">D32/D28</f>
        <v>0.21196518327816599</v>
      </c>
      <c r="E55" s="7">
        <f t="shared" si="91"/>
        <v>0.20571057754704739</v>
      </c>
      <c r="F55" s="7">
        <f t="shared" si="91"/>
        <v>0.19714806831371248</v>
      </c>
      <c r="G55" s="7">
        <f t="shared" si="91"/>
        <v>0.20733124201231556</v>
      </c>
      <c r="H55" s="7">
        <f t="shared" si="91"/>
        <v>0.20731640731640733</v>
      </c>
      <c r="I55" s="7">
        <f t="shared" si="91"/>
        <v>5.3030303030303032E-2</v>
      </c>
      <c r="J55" s="7">
        <f t="shared" si="91"/>
        <v>0.20118432277814022</v>
      </c>
      <c r="K55" s="7">
        <f t="shared" si="91"/>
        <v>0.18445998445998446</v>
      </c>
      <c r="L55" s="7">
        <f t="shared" si="91"/>
        <v>0.18153237665432786</v>
      </c>
      <c r="M55" s="7">
        <f t="shared" si="91"/>
        <v>0.20080641146896311</v>
      </c>
      <c r="N55" s="7">
        <f t="shared" si="91"/>
        <v>0.1958562641631596</v>
      </c>
      <c r="O55" s="7">
        <f t="shared" ref="O55" si="92">O32/O28</f>
        <v>0.20269870974096327</v>
      </c>
      <c r="P55" s="7">
        <f t="shared" ref="P55" si="93">P32/P28</f>
        <v>0.20277095593345998</v>
      </c>
      <c r="Q55" s="7">
        <f t="shared" ref="Q55:R55" si="94">Q32/Q28</f>
        <v>0.20375478245395498</v>
      </c>
      <c r="R55" s="7">
        <f t="shared" si="94"/>
        <v>0.20028201924185146</v>
      </c>
      <c r="U55" s="7">
        <f>U32/U28</f>
        <v>0.23707248230390968</v>
      </c>
      <c r="V55" s="7">
        <f>V32/V28</f>
        <v>0.15075900825277891</v>
      </c>
      <c r="W55" s="7">
        <f t="shared" ref="W55:Z55" si="95">W32/W28</f>
        <v>0.19399577561036219</v>
      </c>
      <c r="X55" s="7">
        <f t="shared" si="95"/>
        <v>0.20377493514625639</v>
      </c>
      <c r="Y55" s="7">
        <f t="shared" si="95"/>
        <v>0.17540626813697041</v>
      </c>
      <c r="Z55" s="7">
        <f t="shared" si="95"/>
        <v>0.19086427704426664</v>
      </c>
      <c r="AA55" s="7">
        <f t="shared" ref="AA55:AK55" si="96">AA32/AA28</f>
        <v>0.20232583612155416</v>
      </c>
      <c r="AB55" s="7">
        <f t="shared" si="96"/>
        <v>0.20279520842051804</v>
      </c>
      <c r="AC55" s="7">
        <f t="shared" si="96"/>
        <v>0.20394784940795432</v>
      </c>
      <c r="AD55" s="7">
        <f t="shared" si="96"/>
        <v>0.20424577701475002</v>
      </c>
      <c r="AE55" s="7">
        <f t="shared" si="96"/>
        <v>0.20454777156394671</v>
      </c>
      <c r="AF55" s="7">
        <f t="shared" si="96"/>
        <v>0.20485391690320431</v>
      </c>
      <c r="AG55" s="7">
        <f t="shared" si="96"/>
        <v>0.20516126513209323</v>
      </c>
      <c r="AH55" s="7">
        <f t="shared" si="96"/>
        <v>0.20546980864099987</v>
      </c>
      <c r="AI55" s="7">
        <f t="shared" si="96"/>
        <v>0.20577953964679987</v>
      </c>
      <c r="AJ55" s="7">
        <f t="shared" si="96"/>
        <v>0.20609045019288316</v>
      </c>
      <c r="AK55" s="7">
        <f t="shared" si="96"/>
        <v>0.20640253214922855</v>
      </c>
      <c r="AN55" s="1" t="s">
        <v>58</v>
      </c>
      <c r="AO55" s="3">
        <f>Main!D8</f>
        <v>-33093</v>
      </c>
    </row>
    <row r="56" spans="2:41" x14ac:dyDescent="0.3">
      <c r="B56" s="1" t="s">
        <v>47</v>
      </c>
      <c r="C56" s="7"/>
      <c r="D56" s="7"/>
      <c r="E56" s="7"/>
      <c r="F56" s="7"/>
      <c r="G56" s="7">
        <f t="shared" ref="G56:P56" si="97">G33/C33-1</f>
        <v>-4.4094488188976433E-2</v>
      </c>
      <c r="H56" s="7">
        <f t="shared" si="97"/>
        <v>4.4412607449856756E-2</v>
      </c>
      <c r="I56" s="7">
        <f t="shared" si="97"/>
        <v>7.5528700906344337E-2</v>
      </c>
      <c r="J56" s="7">
        <f t="shared" si="97"/>
        <v>5.7262569832402299E-2</v>
      </c>
      <c r="K56" s="7">
        <f t="shared" si="97"/>
        <v>0.10214168039538718</v>
      </c>
      <c r="L56" s="7">
        <f t="shared" si="97"/>
        <v>-3.1550068587105629E-2</v>
      </c>
      <c r="M56" s="7">
        <f t="shared" si="97"/>
        <v>5.47752808988764E-2</v>
      </c>
      <c r="N56" s="7">
        <f t="shared" si="97"/>
        <v>6.7371202113606365E-2</v>
      </c>
      <c r="O56" s="7">
        <f t="shared" si="97"/>
        <v>-4.783258594917783E-2</v>
      </c>
      <c r="P56" s="7">
        <f t="shared" si="97"/>
        <v>-1.2747875354107596E-2</v>
      </c>
      <c r="Q56" s="7">
        <f t="shared" ref="Q56" si="98">Q33/M33-1</f>
        <v>-8.9214380825565875E-2</v>
      </c>
      <c r="R56" s="7">
        <f t="shared" ref="R56" si="99">R33/N33-1</f>
        <v>-1.9999999999999907E-2</v>
      </c>
      <c r="U56" s="7"/>
      <c r="V56" s="7">
        <f>V33/U33-1</f>
        <v>5.3017944535073358E-2</v>
      </c>
      <c r="W56" s="7">
        <f t="shared" ref="W56:Z56" si="100">W33/V33-1</f>
        <v>5.8094500387296577E-2</v>
      </c>
      <c r="X56" s="7">
        <f t="shared" si="100"/>
        <v>-7.6866764275256294E-3</v>
      </c>
      <c r="Y56" s="7">
        <f t="shared" si="100"/>
        <v>3.4673552194762092E-2</v>
      </c>
      <c r="Z56" s="7">
        <f t="shared" si="100"/>
        <v>4.5989304812834142E-2</v>
      </c>
      <c r="AA56" s="7">
        <f t="shared" ref="AA56" si="101">AA33/Z33-1</f>
        <v>-4.2317655078391248E-2</v>
      </c>
      <c r="AB56" s="7">
        <f t="shared" ref="AB56" si="102">AB33/AA33-1</f>
        <v>1.0000000000000009E-2</v>
      </c>
      <c r="AC56" s="7">
        <f t="shared" ref="AC56" si="103">AC33/AB33-1</f>
        <v>2.0000000000000018E-2</v>
      </c>
      <c r="AD56" s="7">
        <f t="shared" ref="AD56" si="104">AD33/AC33-1</f>
        <v>2.0000000000000018E-2</v>
      </c>
      <c r="AE56" s="7">
        <f t="shared" ref="AE56" si="105">AE33/AD33-1</f>
        <v>2.0000000000000018E-2</v>
      </c>
      <c r="AF56" s="7">
        <f t="shared" ref="AF56" si="106">AF33/AE33-1</f>
        <v>1.0000000000000009E-2</v>
      </c>
      <c r="AG56" s="7">
        <f t="shared" ref="AG56" si="107">AG33/AF33-1</f>
        <v>1.0000000000000009E-2</v>
      </c>
      <c r="AH56" s="7">
        <f t="shared" ref="AH56" si="108">AH33/AG33-1</f>
        <v>1.0000000000000009E-2</v>
      </c>
      <c r="AI56" s="7">
        <f t="shared" ref="AI56" si="109">AI33/AH33-1</f>
        <v>1.0000000000000009E-2</v>
      </c>
      <c r="AJ56" s="7">
        <f t="shared" ref="AJ56" si="110">AJ33/AI33-1</f>
        <v>1.0000000000000009E-2</v>
      </c>
      <c r="AK56" s="7">
        <f t="shared" ref="AK56" si="111">AK33/AJ33-1</f>
        <v>1.0000000000000009E-2</v>
      </c>
      <c r="AN56" s="1" t="s">
        <v>59</v>
      </c>
      <c r="AO56" s="3">
        <f>AO54+AO55</f>
        <v>123702.97693203905</v>
      </c>
    </row>
    <row r="57" spans="2:41" x14ac:dyDescent="0.3">
      <c r="B57" s="1" t="s">
        <v>48</v>
      </c>
      <c r="C57" s="7">
        <f t="shared" ref="C57" si="112">C34/C28</f>
        <v>9.3471621277678801E-2</v>
      </c>
      <c r="D57" s="7">
        <f t="shared" ref="D57:N57" si="113">D34/D28</f>
        <v>8.7286992766948637E-2</v>
      </c>
      <c r="E57" s="7">
        <f t="shared" si="113"/>
        <v>7.9700312665919412E-2</v>
      </c>
      <c r="F57" s="7">
        <f t="shared" si="113"/>
        <v>7.3453821920079584E-2</v>
      </c>
      <c r="G57" s="7">
        <f t="shared" si="113"/>
        <v>8.121296619031021E-2</v>
      </c>
      <c r="H57" s="7">
        <f t="shared" si="113"/>
        <v>8.7360087360087366E-2</v>
      </c>
      <c r="I57" s="7">
        <f t="shared" si="113"/>
        <v>0.10405525846702317</v>
      </c>
      <c r="J57" s="7">
        <f t="shared" si="113"/>
        <v>7.0758267677021133E-2</v>
      </c>
      <c r="K57" s="7">
        <f t="shared" si="113"/>
        <v>7.2209272209272216E-2</v>
      </c>
      <c r="L57" s="7">
        <f t="shared" si="113"/>
        <v>7.3474975914000304E-2</v>
      </c>
      <c r="M57" s="7">
        <f t="shared" si="113"/>
        <v>6.9142316690726263E-2</v>
      </c>
      <c r="N57" s="7">
        <f t="shared" si="113"/>
        <v>7.2792859455209732E-2</v>
      </c>
      <c r="O57" s="7">
        <f t="shared" ref="O57" si="114">O34/O28</f>
        <v>7.1308972717423424E-2</v>
      </c>
      <c r="P57" s="7">
        <f t="shared" ref="P57" si="115">P34/P28</f>
        <v>7.2888188684490984E-2</v>
      </c>
      <c r="Q57" s="7">
        <f t="shared" ref="Q57:R57" si="116">Q34/Q28</f>
        <v>6.3884687249755323E-2</v>
      </c>
      <c r="R57" s="7">
        <f t="shared" si="116"/>
        <v>7.0000000000000007E-2</v>
      </c>
      <c r="U57" s="7">
        <f>U34/U28</f>
        <v>8.1832013936360234E-2</v>
      </c>
      <c r="V57" s="7">
        <f>V34/V28</f>
        <v>9.7902345061586585E-2</v>
      </c>
      <c r="W57" s="7">
        <f t="shared" ref="W57:Z57" si="117">W34/W28</f>
        <v>8.1133130396968373E-2</v>
      </c>
      <c r="X57" s="7">
        <f t="shared" si="117"/>
        <v>8.308733637475027E-2</v>
      </c>
      <c r="Y57" s="7">
        <f t="shared" si="117"/>
        <v>8.4286128845037722E-2</v>
      </c>
      <c r="Z57" s="7">
        <f t="shared" si="117"/>
        <v>7.1911615348410909E-2</v>
      </c>
      <c r="AA57" s="7">
        <f t="shared" ref="AA57:AK57" si="118">AA34/AA28</f>
        <v>6.9451321540946798E-2</v>
      </c>
      <c r="AB57" s="7">
        <f t="shared" si="118"/>
        <v>7.0000000000000007E-2</v>
      </c>
      <c r="AC57" s="7">
        <f t="shared" si="118"/>
        <v>7.0000000000000007E-2</v>
      </c>
      <c r="AD57" s="7">
        <f t="shared" si="118"/>
        <v>7.0000000000000007E-2</v>
      </c>
      <c r="AE57" s="7">
        <f t="shared" si="118"/>
        <v>7.0000000000000007E-2</v>
      </c>
      <c r="AF57" s="7">
        <f t="shared" si="118"/>
        <v>7.0000000000000007E-2</v>
      </c>
      <c r="AG57" s="7">
        <f t="shared" si="118"/>
        <v>7.0000000000000007E-2</v>
      </c>
      <c r="AH57" s="7">
        <f t="shared" si="118"/>
        <v>7.0000000000000007E-2</v>
      </c>
      <c r="AI57" s="7">
        <f t="shared" si="118"/>
        <v>7.0000000000000007E-2</v>
      </c>
      <c r="AJ57" s="7">
        <f t="shared" si="118"/>
        <v>7.0000000000000007E-2</v>
      </c>
      <c r="AK57" s="7">
        <f t="shared" si="118"/>
        <v>7.0000000000000007E-2</v>
      </c>
      <c r="AN57" s="1" t="s">
        <v>60</v>
      </c>
      <c r="AO57" s="9">
        <f>AO56/AK43</f>
        <v>92.102581291072184</v>
      </c>
    </row>
    <row r="58" spans="2:41" x14ac:dyDescent="0.3">
      <c r="B58" s="1" t="s">
        <v>49</v>
      </c>
      <c r="C58" s="7">
        <f t="shared" ref="C58" si="119">C35/C28</f>
        <v>6.6938152201578005E-2</v>
      </c>
      <c r="D58" s="7">
        <f t="shared" ref="D58:N58" si="120">D35/D28</f>
        <v>8.1892852764496746E-2</v>
      </c>
      <c r="E58" s="7">
        <f t="shared" si="120"/>
        <v>8.6956521739130432E-2</v>
      </c>
      <c r="F58" s="7">
        <f t="shared" si="120"/>
        <v>8.4120930746697617E-2</v>
      </c>
      <c r="G58" s="7">
        <f t="shared" si="120"/>
        <v>9.0856279772278378E-2</v>
      </c>
      <c r="H58" s="7">
        <f t="shared" si="120"/>
        <v>8.0152880152880149E-2</v>
      </c>
      <c r="I58" s="7">
        <f t="shared" si="120"/>
        <v>-0.10390671420083185</v>
      </c>
      <c r="J58" s="7">
        <f t="shared" si="120"/>
        <v>9.243739649721483E-2</v>
      </c>
      <c r="K58" s="7">
        <f t="shared" si="120"/>
        <v>7.75964775964776E-2</v>
      </c>
      <c r="L58" s="7">
        <f t="shared" si="120"/>
        <v>7.2257999087267377E-2</v>
      </c>
      <c r="M58" s="7">
        <f t="shared" si="120"/>
        <v>9.428045198865051E-2</v>
      </c>
      <c r="N58" s="7">
        <f t="shared" si="120"/>
        <v>8.5695786893585535E-2</v>
      </c>
      <c r="O58" s="7">
        <f t="shared" ref="O58" si="121">O35/O28</f>
        <v>0.1000196986112479</v>
      </c>
      <c r="P58" s="7">
        <f t="shared" ref="P58" si="122">P35/P28</f>
        <v>9.758583939576479E-2</v>
      </c>
      <c r="Q58" s="7">
        <f t="shared" ref="Q58:R58" si="123">Q35/Q28</f>
        <v>0.10944034166740814</v>
      </c>
      <c r="R58" s="7">
        <f t="shared" si="123"/>
        <v>9.7453294605299889E-2</v>
      </c>
      <c r="U58" s="7">
        <f>U35/U28</f>
        <v>0.10117091887362456</v>
      </c>
      <c r="V58" s="7">
        <f>V35/V28</f>
        <v>7.2278085072543163E-3</v>
      </c>
      <c r="W58" s="7">
        <f t="shared" ref="W58:Z58" si="124">W35/W28</f>
        <v>7.043237870410636E-2</v>
      </c>
      <c r="X58" s="7">
        <f t="shared" si="124"/>
        <v>8.0269553030980711E-2</v>
      </c>
      <c r="Y58" s="7">
        <f t="shared" si="124"/>
        <v>5.0420777713290774E-2</v>
      </c>
      <c r="Z58" s="7">
        <f t="shared" si="124"/>
        <v>8.2612896034085559E-2</v>
      </c>
      <c r="AA58" s="7">
        <f t="shared" ref="AA58:AK58" si="125">AA35/AA28</f>
        <v>0.10111964987646541</v>
      </c>
      <c r="AB58" s="7">
        <f t="shared" si="125"/>
        <v>0.10347341893985634</v>
      </c>
      <c r="AC58" s="7">
        <f t="shared" si="125"/>
        <v>0.10577007894352752</v>
      </c>
      <c r="AD58" s="7">
        <f t="shared" si="125"/>
        <v>0.10668752303335197</v>
      </c>
      <c r="AE58" s="7">
        <f t="shared" si="125"/>
        <v>0.10733500548398156</v>
      </c>
      <c r="AF58" s="7">
        <f t="shared" si="125"/>
        <v>0.10798617128769103</v>
      </c>
      <c r="AG58" s="7">
        <f t="shared" si="125"/>
        <v>0.10863469483828012</v>
      </c>
      <c r="AH58" s="7">
        <f t="shared" si="125"/>
        <v>0.10928060586836875</v>
      </c>
      <c r="AI58" s="7">
        <f t="shared" si="125"/>
        <v>0.10992393359803992</v>
      </c>
      <c r="AJ58" s="7">
        <f t="shared" si="125"/>
        <v>0.11056470673835882</v>
      </c>
      <c r="AK58" s="7">
        <f t="shared" si="125"/>
        <v>0.11120295349490207</v>
      </c>
      <c r="AN58" s="1" t="s">
        <v>61</v>
      </c>
      <c r="AO58" s="9">
        <f>Main!D3</f>
        <v>178.65</v>
      </c>
    </row>
    <row r="59" spans="2:41" x14ac:dyDescent="0.3">
      <c r="B59" s="1" t="s">
        <v>37</v>
      </c>
      <c r="C59" s="7">
        <f t="shared" ref="C59" si="126">C40/C39</f>
        <v>9.3397745571658614E-2</v>
      </c>
      <c r="D59" s="7">
        <f t="shared" ref="D59:N59" si="127">D40/D39</f>
        <v>0.1068090787716956</v>
      </c>
      <c r="E59" s="7">
        <f t="shared" si="127"/>
        <v>0.16815742397137745</v>
      </c>
      <c r="F59" s="7">
        <f t="shared" si="127"/>
        <v>0.13647058823529412</v>
      </c>
      <c r="G59" s="7">
        <f t="shared" si="127"/>
        <v>0.16844469399213924</v>
      </c>
      <c r="H59" s="7">
        <f t="shared" si="127"/>
        <v>0.15432482887367766</v>
      </c>
      <c r="I59" s="7">
        <f t="shared" si="127"/>
        <v>0.29425113464447805</v>
      </c>
      <c r="J59" s="7">
        <f t="shared" si="127"/>
        <v>0.16779661016949152</v>
      </c>
      <c r="K59" s="7">
        <f t="shared" si="127"/>
        <v>5.834683954619125E-2</v>
      </c>
      <c r="L59" s="7">
        <f t="shared" si="127"/>
        <v>0.59112149532710279</v>
      </c>
      <c r="M59" s="7">
        <f t="shared" si="127"/>
        <v>0.19464847848898217</v>
      </c>
      <c r="N59" s="7">
        <f t="shared" si="127"/>
        <v>0.22349427575908412</v>
      </c>
      <c r="O59" s="7">
        <f t="shared" ref="O59" si="128">O40/O39</f>
        <v>0.17007150153217568</v>
      </c>
      <c r="P59" s="7">
        <f t="shared" ref="P59" si="129">P40/P39</f>
        <v>0.15441176470588236</v>
      </c>
      <c r="Q59" s="7">
        <f t="shared" ref="Q59:R59" si="130">Q40/Q39</f>
        <v>0.17719442165709598</v>
      </c>
      <c r="R59" s="7">
        <f t="shared" si="130"/>
        <v>0.17</v>
      </c>
      <c r="U59" s="7">
        <f>U40/U39</f>
        <v>0.10139691714836223</v>
      </c>
      <c r="V59" s="7">
        <f>V40/V39</f>
        <v>-0.24436889077773055</v>
      </c>
      <c r="W59" s="7">
        <f t="shared" ref="W59:Z59" si="131">W40/W39</f>
        <v>0.15939971608193065</v>
      </c>
      <c r="X59" s="7">
        <f t="shared" si="131"/>
        <v>0.12914827529834885</v>
      </c>
      <c r="Y59" s="7">
        <f t="shared" si="131"/>
        <v>0.11887382690302398</v>
      </c>
      <c r="Z59" s="7">
        <f t="shared" si="131"/>
        <v>0.19066838876331935</v>
      </c>
      <c r="AA59" s="7">
        <f t="shared" ref="AA59:AK59" si="132">AA40/AA39</f>
        <v>0.16837394378032691</v>
      </c>
      <c r="AB59" s="7">
        <f t="shared" si="132"/>
        <v>0.15</v>
      </c>
      <c r="AC59" s="7">
        <f t="shared" si="132"/>
        <v>0.15</v>
      </c>
      <c r="AD59" s="7">
        <f t="shared" si="132"/>
        <v>0.15</v>
      </c>
      <c r="AE59" s="7">
        <f t="shared" si="132"/>
        <v>0.15</v>
      </c>
      <c r="AF59" s="7">
        <f t="shared" si="132"/>
        <v>0.15</v>
      </c>
      <c r="AG59" s="7">
        <f t="shared" si="132"/>
        <v>0.15</v>
      </c>
      <c r="AH59" s="7">
        <f t="shared" si="132"/>
        <v>0.15</v>
      </c>
      <c r="AI59" s="7">
        <f t="shared" si="132"/>
        <v>0.15</v>
      </c>
      <c r="AJ59" s="7">
        <f t="shared" si="132"/>
        <v>0.15</v>
      </c>
      <c r="AK59" s="7">
        <f t="shared" si="132"/>
        <v>0.14999999999999997</v>
      </c>
      <c r="AN59" s="4" t="s">
        <v>62</v>
      </c>
      <c r="AO59" s="12">
        <f>AO57/AO58-1</f>
        <v>-0.48445238572027882</v>
      </c>
    </row>
    <row r="60" spans="2:41" x14ac:dyDescent="0.3">
      <c r="B60" s="1" t="s">
        <v>38</v>
      </c>
      <c r="C60" s="7">
        <f t="shared" ref="C60:O60" si="133">C41/C39</f>
        <v>1.8518518518518517E-2</v>
      </c>
      <c r="D60" s="7">
        <f t="shared" si="133"/>
        <v>2.2696929238985315E-2</v>
      </c>
      <c r="E60" s="7">
        <f t="shared" si="133"/>
        <v>4.7704233750745376E-3</v>
      </c>
      <c r="F60" s="7">
        <f t="shared" si="133"/>
        <v>2.7058823529411764E-2</v>
      </c>
      <c r="G60" s="7">
        <f t="shared" si="133"/>
        <v>3.0881527231892195E-2</v>
      </c>
      <c r="H60" s="7">
        <f t="shared" si="133"/>
        <v>1.9912881144990666E-2</v>
      </c>
      <c r="I60" s="7">
        <f t="shared" si="133"/>
        <v>-3.8577912254160365E-2</v>
      </c>
      <c r="J60" s="7">
        <f t="shared" si="133"/>
        <v>2.655367231638418E-2</v>
      </c>
      <c r="K60" s="7">
        <f t="shared" si="133"/>
        <v>1.8368449486763912E-2</v>
      </c>
      <c r="L60" s="7">
        <f t="shared" si="133"/>
        <v>0.14953271028037382</v>
      </c>
      <c r="M60" s="7">
        <f t="shared" si="133"/>
        <v>3.3053515215110178E-2</v>
      </c>
      <c r="N60" s="7">
        <f t="shared" si="133"/>
        <v>3.8825286212045791E-2</v>
      </c>
      <c r="O60" s="7">
        <f t="shared" si="133"/>
        <v>4.5965270684371805E-2</v>
      </c>
      <c r="P60" s="7">
        <f>P41/P39</f>
        <v>3.3333333333333333E-2</v>
      </c>
      <c r="Q60" s="7">
        <f t="shared" ref="Q60:R60" si="134">Q41/Q39</f>
        <v>3.6095159967186222E-2</v>
      </c>
      <c r="R60" s="7">
        <f t="shared" si="134"/>
        <v>0.03</v>
      </c>
      <c r="U60" s="7">
        <f t="shared" ref="U60:Y60" si="135">U41/U39</f>
        <v>5.3227360308285163E-2</v>
      </c>
      <c r="V60" s="7">
        <f t="shared" si="135"/>
        <v>-7.6923076923076927E-2</v>
      </c>
      <c r="W60" s="7">
        <f t="shared" si="135"/>
        <v>5.0294058000405595E-2</v>
      </c>
      <c r="X60" s="7">
        <f t="shared" si="135"/>
        <v>1.8146150073565473E-2</v>
      </c>
      <c r="Y60" s="7">
        <f t="shared" si="135"/>
        <v>4.8227320125130341E-2</v>
      </c>
      <c r="Z60" s="7">
        <f>Z41/Z39</f>
        <v>3.8585728123990956E-2</v>
      </c>
      <c r="AA60" s="7">
        <f t="shared" ref="AA60:AK60" si="136">AA41/AA39</f>
        <v>3.6094256030106277E-2</v>
      </c>
      <c r="AB60" s="7">
        <f t="shared" si="136"/>
        <v>0.03</v>
      </c>
      <c r="AC60" s="7">
        <f t="shared" si="136"/>
        <v>3.0000000000000002E-2</v>
      </c>
      <c r="AD60" s="7">
        <f t="shared" si="136"/>
        <v>3.0000000000000002E-2</v>
      </c>
      <c r="AE60" s="7">
        <f t="shared" si="136"/>
        <v>3.0000000000000002E-2</v>
      </c>
      <c r="AF60" s="7">
        <f t="shared" si="136"/>
        <v>0.03</v>
      </c>
      <c r="AG60" s="7">
        <f t="shared" si="136"/>
        <v>0.03</v>
      </c>
      <c r="AH60" s="7">
        <f t="shared" si="136"/>
        <v>0.03</v>
      </c>
      <c r="AI60" s="7">
        <f t="shared" si="136"/>
        <v>0.03</v>
      </c>
      <c r="AJ60" s="7">
        <f t="shared" si="136"/>
        <v>0.03</v>
      </c>
      <c r="AK60" s="7">
        <f t="shared" si="136"/>
        <v>2.9999999999999995E-2</v>
      </c>
      <c r="AN60" s="1" t="s">
        <v>63</v>
      </c>
      <c r="AO60" s="2" t="s">
        <v>186</v>
      </c>
    </row>
    <row r="61" spans="2:41" x14ac:dyDescent="0.3">
      <c r="B61" s="1" t="s">
        <v>50</v>
      </c>
      <c r="C61" s="7">
        <f t="shared" ref="C61" si="137">C42/C28</f>
        <v>7.0183252736065155E-2</v>
      </c>
      <c r="D61" s="7">
        <f t="shared" ref="D61:N61" si="138">D42/D28</f>
        <v>7.9931347309059708E-2</v>
      </c>
      <c r="E61" s="7">
        <f t="shared" si="138"/>
        <v>8.1824081175151914E-2</v>
      </c>
      <c r="F61" s="7">
        <f t="shared" si="138"/>
        <v>7.8593931354667551E-2</v>
      </c>
      <c r="G61" s="7">
        <f t="shared" si="138"/>
        <v>8.2839549204136165E-2</v>
      </c>
      <c r="H61" s="7">
        <f t="shared" si="138"/>
        <v>7.2454272454272453E-2</v>
      </c>
      <c r="I61" s="7">
        <f t="shared" si="138"/>
        <v>-7.3083778966131913E-2</v>
      </c>
      <c r="J61" s="7">
        <f t="shared" si="138"/>
        <v>7.1561198374065341E-2</v>
      </c>
      <c r="K61" s="7">
        <f t="shared" si="138"/>
        <v>8.8526288526288521E-2</v>
      </c>
      <c r="L61" s="7">
        <f t="shared" si="138"/>
        <v>5.6285178236397749E-3</v>
      </c>
      <c r="M61" s="7">
        <f t="shared" si="138"/>
        <v>7.3273931007018761E-2</v>
      </c>
      <c r="N61" s="7">
        <f t="shared" si="138"/>
        <v>6.8538130694168253E-2</v>
      </c>
      <c r="O61" s="7">
        <f t="shared" ref="O61" si="139">O42/O28</f>
        <v>7.5593420663843197E-2</v>
      </c>
      <c r="P61" s="7">
        <f t="shared" ref="P61" si="140">P42/P28</f>
        <v>7.6780501366943144E-2</v>
      </c>
      <c r="Q61" s="7">
        <f t="shared" ref="Q61:R61" si="141">Q42/Q28</f>
        <v>8.5327876145564557E-2</v>
      </c>
      <c r="R61" s="7">
        <f t="shared" si="141"/>
        <v>7.454576842614985E-2</v>
      </c>
      <c r="U61" s="7">
        <f>U42/U28</f>
        <v>7.7399722154843545E-2</v>
      </c>
      <c r="V61" s="7">
        <f>V42/V28</f>
        <v>-5.4941947797197237E-2</v>
      </c>
      <c r="W61" s="7">
        <f t="shared" ref="W61:Z61" si="142">W42/W28</f>
        <v>6.0523700068335712E-2</v>
      </c>
      <c r="X61" s="7">
        <f t="shared" si="142"/>
        <v>7.7764856725407755E-2</v>
      </c>
      <c r="Y61" s="7">
        <f t="shared" si="142"/>
        <v>4.6358096343586765E-2</v>
      </c>
      <c r="Z61" s="7">
        <f t="shared" si="142"/>
        <v>5.9129530084966186E-2</v>
      </c>
      <c r="AA61" s="7">
        <f t="shared" ref="AA61:AK61" si="143">AA42/AA28</f>
        <v>7.8070212308615175E-2</v>
      </c>
      <c r="AB61" s="7">
        <f t="shared" si="143"/>
        <v>8.1673376610589071E-2</v>
      </c>
      <c r="AC61" s="7">
        <f t="shared" si="143"/>
        <v>8.3710418220757102E-2</v>
      </c>
      <c r="AD61" s="7">
        <f t="shared" si="143"/>
        <v>8.4558110024793368E-2</v>
      </c>
      <c r="AE61" s="7">
        <f t="shared" si="143"/>
        <v>8.515404690787369E-2</v>
      </c>
      <c r="AF61" s="7">
        <f t="shared" si="143"/>
        <v>8.5724272072592325E-2</v>
      </c>
      <c r="AG61" s="7">
        <f t="shared" si="143"/>
        <v>8.6291926381052542E-2</v>
      </c>
      <c r="AH61" s="7">
        <f t="shared" si="143"/>
        <v>8.6857038139489098E-2</v>
      </c>
      <c r="AI61" s="7">
        <f t="shared" si="143"/>
        <v>8.7419635198217313E-2</v>
      </c>
      <c r="AJ61" s="7">
        <f t="shared" si="143"/>
        <v>8.797974495488628E-2</v>
      </c>
      <c r="AK61" s="7">
        <f t="shared" si="143"/>
        <v>8.8537394357735819E-2</v>
      </c>
    </row>
    <row r="64" spans="2:41" s="14" customFormat="1" x14ac:dyDescent="0.3">
      <c r="B64" s="14" t="s">
        <v>64</v>
      </c>
      <c r="N64" s="14">
        <v>162861</v>
      </c>
      <c r="P64" s="14">
        <v>167139</v>
      </c>
      <c r="Q64" s="14">
        <v>168672</v>
      </c>
      <c r="AA64" s="14">
        <v>168672</v>
      </c>
    </row>
    <row r="66" spans="2:27" x14ac:dyDescent="0.3">
      <c r="B66" s="1" t="s">
        <v>65</v>
      </c>
      <c r="P66" s="15"/>
      <c r="Q66" s="15">
        <f>Main!$D$9/Model!Q64</f>
        <v>1.6187500889299944</v>
      </c>
      <c r="AA66" s="15">
        <f>Main!$D$9/Model!AA64</f>
        <v>1.6187500889299944</v>
      </c>
    </row>
    <row r="67" spans="2:27" x14ac:dyDescent="0.3">
      <c r="B67" s="1" t="s">
        <v>66</v>
      </c>
      <c r="P67" s="7"/>
      <c r="Q67" s="7">
        <f>Q64/Main!$D$9-1</f>
        <v>-0.38223941617757229</v>
      </c>
      <c r="AA67" s="7">
        <f>AA64/Main!$D$9-1</f>
        <v>-0.38223941617757229</v>
      </c>
    </row>
    <row r="68" spans="2:27" x14ac:dyDescent="0.3">
      <c r="P68" s="7"/>
    </row>
  </sheetData>
  <phoneticPr fontId="1" type="noConversion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7B37D-5C25-469B-9D0C-C2E6A30B3F3A}">
  <dimension ref="A1"/>
  <sheetViews>
    <sheetView workbookViewId="0">
      <selection activeCell="R22" sqref="R22"/>
    </sheetView>
  </sheetViews>
  <sheetFormatPr defaultRowHeight="14.4" x14ac:dyDescent="0.3"/>
  <cols>
    <col min="1" max="16384" width="8.88671875" style="13"/>
  </cols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D4505-608F-421A-97B1-56F07D46F9CD}">
  <dimension ref="B2:L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4.4" x14ac:dyDescent="0.3"/>
  <cols>
    <col min="1" max="1" width="8.88671875" style="13"/>
    <col min="2" max="2" width="10.77734375" style="23" bestFit="1" customWidth="1"/>
    <col min="3" max="3" width="9.88671875" style="23" bestFit="1" customWidth="1"/>
    <col min="4" max="6" width="12.44140625" style="23" bestFit="1" customWidth="1"/>
    <col min="7" max="9" width="11.109375" style="23" bestFit="1" customWidth="1"/>
    <col min="10" max="12" width="13.109375" style="23" bestFit="1" customWidth="1"/>
    <col min="13" max="16384" width="8.88671875" style="13"/>
  </cols>
  <sheetData>
    <row r="2" spans="2:12" x14ac:dyDescent="0.3">
      <c r="B2" s="24" t="s">
        <v>121</v>
      </c>
      <c r="C2" s="23" t="s">
        <v>124</v>
      </c>
      <c r="D2" s="23" t="s">
        <v>127</v>
      </c>
      <c r="E2" s="23" t="s">
        <v>128</v>
      </c>
      <c r="F2" s="23" t="s">
        <v>129</v>
      </c>
      <c r="G2" s="23" t="s">
        <v>123</v>
      </c>
      <c r="H2" s="23" t="s">
        <v>125</v>
      </c>
      <c r="I2" s="23" t="s">
        <v>126</v>
      </c>
      <c r="J2" s="23" t="s">
        <v>130</v>
      </c>
      <c r="K2" s="23" t="s">
        <v>131</v>
      </c>
      <c r="L2" s="23" t="s">
        <v>132</v>
      </c>
    </row>
    <row r="3" spans="2:12" x14ac:dyDescent="0.3">
      <c r="B3" s="23" t="s">
        <v>133</v>
      </c>
    </row>
    <row r="4" spans="2:12" x14ac:dyDescent="0.3">
      <c r="B4" s="23" t="s">
        <v>134</v>
      </c>
    </row>
    <row r="5" spans="2:12" x14ac:dyDescent="0.3">
      <c r="B5" s="23" t="s">
        <v>135</v>
      </c>
    </row>
    <row r="6" spans="2:12" x14ac:dyDescent="0.3">
      <c r="B6" s="23" t="s">
        <v>136</v>
      </c>
    </row>
    <row r="7" spans="2:12" x14ac:dyDescent="0.3">
      <c r="B7" s="23" t="s">
        <v>137</v>
      </c>
    </row>
    <row r="8" spans="2:12" x14ac:dyDescent="0.3">
      <c r="B8" s="23" t="s">
        <v>138</v>
      </c>
    </row>
    <row r="9" spans="2:12" x14ac:dyDescent="0.3">
      <c r="B9" s="23" t="s">
        <v>139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A9873-A383-4395-9D61-A91E52DD2221}">
  <dimension ref="B3:F198"/>
  <sheetViews>
    <sheetView workbookViewId="0">
      <selection activeCell="D8" sqref="D8"/>
    </sheetView>
  </sheetViews>
  <sheetFormatPr defaultRowHeight="14.4" x14ac:dyDescent="0.3"/>
  <cols>
    <col min="1" max="1" width="8.88671875" style="13"/>
    <col min="2" max="2" width="23.77734375" style="13" bestFit="1" customWidth="1"/>
    <col min="3" max="3" width="15.5546875" style="13" bestFit="1" customWidth="1"/>
    <col min="4" max="4" width="8.109375" style="13" bestFit="1" customWidth="1"/>
    <col min="5" max="5" width="9.109375" style="13" bestFit="1" customWidth="1"/>
    <col min="6" max="6" width="10.77734375" style="13" bestFit="1" customWidth="1"/>
    <col min="7" max="16384" width="8.88671875" style="13"/>
  </cols>
  <sheetData>
    <row r="3" spans="2:6" x14ac:dyDescent="0.3">
      <c r="B3" s="13" t="s">
        <v>140</v>
      </c>
      <c r="C3" s="13" t="s">
        <v>141</v>
      </c>
    </row>
    <row r="4" spans="2:6" x14ac:dyDescent="0.3">
      <c r="B4" s="13" t="s">
        <v>142</v>
      </c>
      <c r="C4" s="13">
        <v>2024</v>
      </c>
      <c r="D4" s="13">
        <v>2025</v>
      </c>
      <c r="E4" s="13">
        <v>2026</v>
      </c>
      <c r="F4" s="13" t="s">
        <v>143</v>
      </c>
    </row>
    <row r="5" spans="2:6" x14ac:dyDescent="0.3">
      <c r="B5" s="25" t="s">
        <v>144</v>
      </c>
      <c r="C5" s="26">
        <v>36033.972900000008</v>
      </c>
      <c r="D5" s="26">
        <v>29613.473099999996</v>
      </c>
      <c r="E5" s="26">
        <v>38304.942000000003</v>
      </c>
      <c r="F5" s="26">
        <v>103952.38800000001</v>
      </c>
    </row>
    <row r="6" spans="2:6" x14ac:dyDescent="0.3">
      <c r="B6" s="25" t="s">
        <v>148</v>
      </c>
      <c r="C6" s="26">
        <v>16485.125700000001</v>
      </c>
      <c r="D6" s="26">
        <v>13308.967300000002</v>
      </c>
      <c r="E6" s="26">
        <v>24348.545999999998</v>
      </c>
      <c r="F6" s="26">
        <v>54142.638999999996</v>
      </c>
    </row>
    <row r="7" spans="2:6" x14ac:dyDescent="0.3">
      <c r="B7" s="25" t="s">
        <v>0</v>
      </c>
      <c r="C7" s="26">
        <v>16394.114000000001</v>
      </c>
      <c r="D7" s="26">
        <v>13261.948999999997</v>
      </c>
      <c r="E7" s="26">
        <v>17996.432000000001</v>
      </c>
      <c r="F7" s="26">
        <v>47652.494999999995</v>
      </c>
    </row>
    <row r="8" spans="2:6" x14ac:dyDescent="0.3">
      <c r="B8" s="27" t="s">
        <v>70</v>
      </c>
      <c r="C8" s="26">
        <v>3735.2270000000003</v>
      </c>
      <c r="D8" s="26">
        <v>3847.3500000000008</v>
      </c>
      <c r="E8" s="26">
        <v>4501.1580000000004</v>
      </c>
      <c r="F8" s="26">
        <v>12083.735000000001</v>
      </c>
    </row>
    <row r="9" spans="2:6" x14ac:dyDescent="0.3">
      <c r="B9" s="28" t="s">
        <v>133</v>
      </c>
      <c r="C9" s="26">
        <v>2627.19</v>
      </c>
      <c r="D9" s="26">
        <v>2458.7600000000002</v>
      </c>
      <c r="E9" s="26">
        <v>2404.12</v>
      </c>
      <c r="F9" s="26">
        <v>7490.0700000000006</v>
      </c>
    </row>
    <row r="10" spans="2:6" x14ac:dyDescent="0.3">
      <c r="B10" s="28" t="s">
        <v>149</v>
      </c>
      <c r="C10" s="26">
        <v>5.49</v>
      </c>
      <c r="D10" s="26">
        <v>14.57</v>
      </c>
      <c r="E10" s="26">
        <v>0.96000000000000019</v>
      </c>
      <c r="F10" s="26">
        <v>21.020000000000003</v>
      </c>
    </row>
    <row r="11" spans="2:6" x14ac:dyDescent="0.3">
      <c r="B11" s="28" t="s">
        <v>150</v>
      </c>
      <c r="C11" s="26">
        <v>40.995999999999995</v>
      </c>
      <c r="D11" s="26">
        <v>20.202999999999999</v>
      </c>
      <c r="E11" s="26">
        <v>74.11099999999999</v>
      </c>
      <c r="F11" s="26">
        <v>135.31</v>
      </c>
    </row>
    <row r="12" spans="2:6" x14ac:dyDescent="0.3">
      <c r="B12" s="28" t="s">
        <v>151</v>
      </c>
      <c r="C12" s="26">
        <v>428.51600000000002</v>
      </c>
      <c r="D12" s="26">
        <v>445.83699999999999</v>
      </c>
      <c r="E12" s="26">
        <v>886.85700000000008</v>
      </c>
      <c r="F12" s="26">
        <v>1761.21</v>
      </c>
    </row>
    <row r="13" spans="2:6" x14ac:dyDescent="0.3">
      <c r="B13" s="28" t="s">
        <v>154</v>
      </c>
      <c r="C13" s="26">
        <v>195.47000000000003</v>
      </c>
      <c r="D13" s="26">
        <v>242.42</v>
      </c>
      <c r="E13" s="26">
        <v>347.94000000000005</v>
      </c>
      <c r="F13" s="26">
        <v>785.83</v>
      </c>
    </row>
    <row r="14" spans="2:6" x14ac:dyDescent="0.3">
      <c r="B14" s="28" t="s">
        <v>145</v>
      </c>
      <c r="C14" s="26">
        <v>336.96500000000003</v>
      </c>
      <c r="D14" s="26">
        <v>539.70000000000005</v>
      </c>
      <c r="E14" s="26">
        <v>662.31999999999994</v>
      </c>
      <c r="F14" s="26">
        <v>1538.9850000000001</v>
      </c>
    </row>
    <row r="15" spans="2:6" x14ac:dyDescent="0.3">
      <c r="B15" s="28" t="s">
        <v>155</v>
      </c>
      <c r="C15" s="26">
        <v>100.60000000000001</v>
      </c>
      <c r="D15" s="26">
        <v>125.86</v>
      </c>
      <c r="E15" s="26">
        <v>124.85000000000001</v>
      </c>
      <c r="F15" s="26">
        <v>351.31</v>
      </c>
    </row>
    <row r="16" spans="2:6" x14ac:dyDescent="0.3">
      <c r="B16" s="27" t="s">
        <v>111</v>
      </c>
      <c r="C16" s="26">
        <v>10841.451999999999</v>
      </c>
      <c r="D16" s="26">
        <v>7860.7409999999991</v>
      </c>
      <c r="E16" s="26">
        <v>11306.820999999998</v>
      </c>
      <c r="F16" s="26">
        <v>30009.014000000003</v>
      </c>
    </row>
    <row r="17" spans="2:6" x14ac:dyDescent="0.3">
      <c r="B17" s="28" t="s">
        <v>122</v>
      </c>
      <c r="C17" s="26">
        <v>1010.5</v>
      </c>
      <c r="D17" s="26">
        <v>667.5</v>
      </c>
      <c r="E17" s="26">
        <v>815.9</v>
      </c>
      <c r="F17" s="26">
        <v>2493.9</v>
      </c>
    </row>
    <row r="18" spans="2:6" x14ac:dyDescent="0.3">
      <c r="B18" s="28" t="s">
        <v>150</v>
      </c>
      <c r="C18" s="26">
        <v>9.1319999999999997</v>
      </c>
      <c r="D18" s="26">
        <v>4.7310000000000008</v>
      </c>
      <c r="E18" s="26">
        <v>8.5410000000000004</v>
      </c>
      <c r="F18" s="26">
        <v>22.404</v>
      </c>
    </row>
    <row r="19" spans="2:6" x14ac:dyDescent="0.3">
      <c r="B19" s="28" t="s">
        <v>154</v>
      </c>
      <c r="C19" s="26">
        <v>97.735000000000014</v>
      </c>
      <c r="D19" s="26">
        <v>121.21</v>
      </c>
      <c r="E19" s="26">
        <v>173.97000000000003</v>
      </c>
      <c r="F19" s="26">
        <v>392.91500000000002</v>
      </c>
    </row>
    <row r="20" spans="2:6" x14ac:dyDescent="0.3">
      <c r="B20" s="28" t="s">
        <v>135</v>
      </c>
      <c r="C20" s="26">
        <v>669.21500000000003</v>
      </c>
      <c r="D20" s="26">
        <v>525.40499999999997</v>
      </c>
      <c r="E20" s="26">
        <v>1476.16</v>
      </c>
      <c r="F20" s="26">
        <v>2670.7799999999997</v>
      </c>
    </row>
    <row r="21" spans="2:6" x14ac:dyDescent="0.3">
      <c r="B21" s="28" t="s">
        <v>147</v>
      </c>
      <c r="C21" s="26">
        <v>925.24500000000012</v>
      </c>
      <c r="D21" s="26">
        <v>728.01</v>
      </c>
      <c r="E21" s="26">
        <v>810.63</v>
      </c>
      <c r="F21" s="26">
        <v>2463.8850000000002</v>
      </c>
    </row>
    <row r="22" spans="2:6" x14ac:dyDescent="0.3">
      <c r="B22" s="28" t="s">
        <v>146</v>
      </c>
      <c r="C22" s="26">
        <v>107.375</v>
      </c>
      <c r="D22" s="26">
        <v>173.32499999999999</v>
      </c>
      <c r="E22" s="26">
        <v>316.82499999999999</v>
      </c>
      <c r="F22" s="26">
        <v>597.52499999999998</v>
      </c>
    </row>
    <row r="23" spans="2:6" x14ac:dyDescent="0.3">
      <c r="B23" s="28" t="s">
        <v>156</v>
      </c>
      <c r="C23" s="26">
        <v>2019.3149999999998</v>
      </c>
      <c r="D23" s="26">
        <v>876.97499999999991</v>
      </c>
      <c r="E23" s="26">
        <v>949.60500000000002</v>
      </c>
      <c r="F23" s="26">
        <v>3845.895</v>
      </c>
    </row>
    <row r="24" spans="2:6" x14ac:dyDescent="0.3">
      <c r="B24" s="28" t="s">
        <v>137</v>
      </c>
      <c r="C24" s="26">
        <v>1503.7</v>
      </c>
      <c r="D24" s="26">
        <v>982.7</v>
      </c>
      <c r="E24" s="26">
        <v>1262.5</v>
      </c>
      <c r="F24" s="26">
        <v>3748.9</v>
      </c>
    </row>
    <row r="25" spans="2:6" x14ac:dyDescent="0.3">
      <c r="B25" s="28" t="s">
        <v>157</v>
      </c>
      <c r="C25" s="26">
        <v>883.7</v>
      </c>
      <c r="D25" s="26">
        <v>707.7</v>
      </c>
      <c r="E25" s="26">
        <v>946.2</v>
      </c>
      <c r="F25" s="26">
        <v>2537.6000000000004</v>
      </c>
    </row>
    <row r="26" spans="2:6" x14ac:dyDescent="0.3">
      <c r="B26" s="28" t="s">
        <v>138</v>
      </c>
      <c r="C26" s="26">
        <v>923.69999999999993</v>
      </c>
      <c r="D26" s="26">
        <v>804.2</v>
      </c>
      <c r="E26" s="26">
        <v>1050.7</v>
      </c>
      <c r="F26" s="26">
        <v>2778.6000000000004</v>
      </c>
    </row>
    <row r="27" spans="2:6" x14ac:dyDescent="0.3">
      <c r="B27" s="28" t="s">
        <v>136</v>
      </c>
      <c r="C27" s="26">
        <v>488.07000000000005</v>
      </c>
      <c r="D27" s="26">
        <v>470.13000000000005</v>
      </c>
      <c r="E27" s="26">
        <v>1296.68</v>
      </c>
      <c r="F27" s="26">
        <v>2254.88</v>
      </c>
    </row>
    <row r="28" spans="2:6" x14ac:dyDescent="0.3">
      <c r="B28" s="28" t="s">
        <v>152</v>
      </c>
      <c r="C28" s="26">
        <v>585.67499999999995</v>
      </c>
      <c r="D28" s="26">
        <v>677.20500000000004</v>
      </c>
      <c r="E28" s="26">
        <v>889.71</v>
      </c>
      <c r="F28" s="26">
        <v>2152.59</v>
      </c>
    </row>
    <row r="29" spans="2:6" x14ac:dyDescent="0.3">
      <c r="B29" s="28" t="s">
        <v>139</v>
      </c>
      <c r="C29" s="26">
        <v>1401.4450000000002</v>
      </c>
      <c r="D29" s="26">
        <v>599.83000000000004</v>
      </c>
      <c r="E29" s="26">
        <v>1006.0450000000001</v>
      </c>
      <c r="F29" s="26">
        <v>3007.32</v>
      </c>
    </row>
    <row r="30" spans="2:6" x14ac:dyDescent="0.3">
      <c r="B30" s="28" t="s">
        <v>153</v>
      </c>
      <c r="C30" s="26">
        <v>216.64500000000001</v>
      </c>
      <c r="D30" s="26">
        <v>521.81999999999994</v>
      </c>
      <c r="E30" s="26">
        <v>303.35500000000002</v>
      </c>
      <c r="F30" s="26">
        <v>1041.82</v>
      </c>
    </row>
    <row r="31" spans="2:6" x14ac:dyDescent="0.3">
      <c r="B31" s="27" t="s">
        <v>68</v>
      </c>
      <c r="C31" s="26">
        <v>1817.4349999999999</v>
      </c>
      <c r="D31" s="26">
        <v>1553.8579999999999</v>
      </c>
      <c r="E31" s="26">
        <v>2188.453</v>
      </c>
      <c r="F31" s="26">
        <v>5559.7459999999992</v>
      </c>
    </row>
    <row r="32" spans="2:6" x14ac:dyDescent="0.3">
      <c r="B32" s="28" t="s">
        <v>151</v>
      </c>
      <c r="C32" s="26">
        <v>199.869</v>
      </c>
      <c r="D32" s="26">
        <v>209.648</v>
      </c>
      <c r="E32" s="26">
        <v>419.733</v>
      </c>
      <c r="F32" s="26">
        <v>829.25</v>
      </c>
    </row>
    <row r="33" spans="2:6" x14ac:dyDescent="0.3">
      <c r="B33" s="28" t="s">
        <v>134</v>
      </c>
      <c r="C33" s="26">
        <v>987.89600000000007</v>
      </c>
      <c r="D33" s="26">
        <v>726.17</v>
      </c>
      <c r="E33" s="26">
        <v>1165.4949999999999</v>
      </c>
      <c r="F33" s="26">
        <v>2879.5609999999997</v>
      </c>
    </row>
    <row r="34" spans="2:6" x14ac:dyDescent="0.3">
      <c r="B34" s="28" t="s">
        <v>158</v>
      </c>
      <c r="C34" s="26">
        <v>449.32</v>
      </c>
      <c r="D34" s="26">
        <v>455.73999999999995</v>
      </c>
      <c r="E34" s="26">
        <v>483.625</v>
      </c>
      <c r="F34" s="26">
        <v>1388.6849999999999</v>
      </c>
    </row>
    <row r="35" spans="2:6" x14ac:dyDescent="0.3">
      <c r="B35" s="28" t="s">
        <v>159</v>
      </c>
      <c r="C35" s="26">
        <v>180.35</v>
      </c>
      <c r="D35" s="26">
        <v>162.30000000000001</v>
      </c>
      <c r="E35" s="26">
        <v>119.6</v>
      </c>
      <c r="F35" s="26">
        <v>462.25</v>
      </c>
    </row>
    <row r="36" spans="2:6" x14ac:dyDescent="0.3">
      <c r="B36" s="25" t="s">
        <v>160</v>
      </c>
      <c r="C36" s="26">
        <v>10825.351000000001</v>
      </c>
      <c r="D36" s="26">
        <v>10435.612000000001</v>
      </c>
      <c r="E36" s="26">
        <v>14611.463</v>
      </c>
      <c r="F36" s="26">
        <v>35872.426000000007</v>
      </c>
    </row>
    <row r="37" spans="2:6" x14ac:dyDescent="0.3">
      <c r="B37" s="25" t="s">
        <v>161</v>
      </c>
      <c r="C37" s="26">
        <v>7001.2099999999991</v>
      </c>
      <c r="D37" s="26">
        <v>4024.6299999999992</v>
      </c>
      <c r="E37" s="26">
        <v>6304.7269999999999</v>
      </c>
      <c r="F37" s="26">
        <v>17330.566999999999</v>
      </c>
    </row>
    <row r="38" spans="2:6" x14ac:dyDescent="0.3">
      <c r="B38" s="25" t="s">
        <v>162</v>
      </c>
      <c r="C38" s="26">
        <v>6058.53</v>
      </c>
      <c r="D38" s="26">
        <v>3615.8500000000004</v>
      </c>
      <c r="E38" s="26">
        <v>3838.7633999999998</v>
      </c>
      <c r="F38" s="26">
        <v>13513.143400000001</v>
      </c>
    </row>
    <row r="39" spans="2:6" x14ac:dyDescent="0.3">
      <c r="B39" s="25" t="s">
        <v>163</v>
      </c>
      <c r="C39" s="26">
        <v>1576.3780000000002</v>
      </c>
      <c r="D39" s="26">
        <v>1435.3980000000001</v>
      </c>
      <c r="E39" s="26">
        <v>1510.7400000000002</v>
      </c>
      <c r="F39" s="26">
        <v>4522.5160000000005</v>
      </c>
    </row>
    <row r="40" spans="2:6" x14ac:dyDescent="0.3">
      <c r="B40" s="25" t="s">
        <v>164</v>
      </c>
      <c r="C40" s="26">
        <v>994.4849999999999</v>
      </c>
      <c r="D40" s="26">
        <v>786.83000000000015</v>
      </c>
      <c r="E40" s="26">
        <v>1361.1100000000001</v>
      </c>
      <c r="F40" s="26">
        <v>3142.4250000000002</v>
      </c>
    </row>
    <row r="41" spans="2:6" x14ac:dyDescent="0.3">
      <c r="B41" s="25" t="s">
        <v>165</v>
      </c>
      <c r="C41" s="26">
        <v>1346.21</v>
      </c>
      <c r="D41" s="26">
        <v>584.65000000000009</v>
      </c>
      <c r="E41" s="26">
        <v>633.07000000000016</v>
      </c>
      <c r="F41" s="26">
        <v>2563.9300000000003</v>
      </c>
    </row>
    <row r="42" spans="2:6" x14ac:dyDescent="0.3">
      <c r="B42" s="25" t="s">
        <v>166</v>
      </c>
      <c r="C42" s="26">
        <v>1346.21</v>
      </c>
      <c r="D42" s="26">
        <v>584.65000000000009</v>
      </c>
      <c r="E42" s="26">
        <v>633.07000000000016</v>
      </c>
      <c r="F42" s="26">
        <v>2563.9300000000003</v>
      </c>
    </row>
    <row r="43" spans="2:6" x14ac:dyDescent="0.3">
      <c r="B43" s="25" t="s">
        <v>167</v>
      </c>
      <c r="C43" s="26">
        <v>796.18399999999997</v>
      </c>
      <c r="D43" s="26">
        <v>907.8900000000001</v>
      </c>
      <c r="E43" s="26">
        <v>652.56400000000008</v>
      </c>
      <c r="F43" s="26">
        <v>2356.6379999999999</v>
      </c>
    </row>
    <row r="44" spans="2:6" x14ac:dyDescent="0.3">
      <c r="B44" s="25" t="s">
        <v>168</v>
      </c>
      <c r="C44" s="26">
        <v>733.43870000000004</v>
      </c>
      <c r="D44" s="26">
        <v>758.53429999999992</v>
      </c>
      <c r="E44" s="26">
        <v>709.42399999999998</v>
      </c>
      <c r="F44" s="26">
        <v>2201.3969999999999</v>
      </c>
    </row>
    <row r="45" spans="2:6" x14ac:dyDescent="0.3">
      <c r="B45" s="25" t="s">
        <v>169</v>
      </c>
      <c r="C45" s="26">
        <v>767.82499999999993</v>
      </c>
      <c r="D45" s="26">
        <v>609.65</v>
      </c>
      <c r="E45" s="26">
        <v>612.47499999999991</v>
      </c>
      <c r="F45" s="26">
        <v>1989.9499999999998</v>
      </c>
    </row>
    <row r="46" spans="2:6" x14ac:dyDescent="0.3">
      <c r="B46" s="25" t="s">
        <v>170</v>
      </c>
      <c r="C46" s="26">
        <v>767.82499999999993</v>
      </c>
      <c r="D46" s="26">
        <v>609.65</v>
      </c>
      <c r="E46" s="26">
        <v>612.47499999999991</v>
      </c>
      <c r="F46" s="26">
        <v>1989.9499999999998</v>
      </c>
    </row>
    <row r="47" spans="2:6" x14ac:dyDescent="0.3">
      <c r="B47" s="25" t="s">
        <v>171</v>
      </c>
      <c r="C47" s="26">
        <v>632.7340999999999</v>
      </c>
      <c r="D47" s="26">
        <v>343.5299</v>
      </c>
      <c r="E47" s="26">
        <v>553.86699999999996</v>
      </c>
      <c r="F47" s="26">
        <v>1530.1309999999999</v>
      </c>
    </row>
    <row r="48" spans="2:6" x14ac:dyDescent="0.3">
      <c r="B48" s="25" t="s">
        <v>172</v>
      </c>
      <c r="C48" s="26">
        <v>366.42500000000001</v>
      </c>
      <c r="D48" s="26">
        <v>458.07499999999999</v>
      </c>
      <c r="E48" s="26">
        <v>560.92499999999995</v>
      </c>
      <c r="F48" s="26">
        <v>1385.425</v>
      </c>
    </row>
    <row r="49" spans="2:6" x14ac:dyDescent="0.3">
      <c r="B49" s="25" t="s">
        <v>173</v>
      </c>
      <c r="C49" s="26">
        <v>329.43499999999995</v>
      </c>
      <c r="D49" s="26">
        <v>486.05500000000001</v>
      </c>
      <c r="E49" s="26">
        <v>538.30499999999995</v>
      </c>
      <c r="F49" s="26">
        <v>1353.7950000000001</v>
      </c>
    </row>
    <row r="50" spans="2:6" x14ac:dyDescent="0.3">
      <c r="B50" s="25" t="s">
        <v>174</v>
      </c>
      <c r="C50" s="26">
        <v>282.5</v>
      </c>
      <c r="D50" s="26">
        <v>249.75</v>
      </c>
      <c r="E50" s="26">
        <v>662.05259999999998</v>
      </c>
      <c r="F50" s="26">
        <v>1194.3026</v>
      </c>
    </row>
    <row r="51" spans="2:6" x14ac:dyDescent="0.3">
      <c r="B51" s="25" t="s">
        <v>175</v>
      </c>
      <c r="C51" s="26">
        <v>460.69499999999999</v>
      </c>
      <c r="D51" s="26">
        <v>365.78999999999996</v>
      </c>
      <c r="E51" s="26">
        <v>367.48499999999996</v>
      </c>
      <c r="F51" s="26">
        <v>1193.9699999999998</v>
      </c>
    </row>
    <row r="52" spans="2:6" x14ac:dyDescent="0.3">
      <c r="B52" s="25" t="s">
        <v>176</v>
      </c>
      <c r="C52" s="26">
        <v>307.13</v>
      </c>
      <c r="D52" s="26">
        <v>243.86</v>
      </c>
      <c r="E52" s="26">
        <v>244.99</v>
      </c>
      <c r="F52" s="26">
        <v>795.98</v>
      </c>
    </row>
    <row r="53" spans="2:6" x14ac:dyDescent="0.3">
      <c r="B53" s="25" t="s">
        <v>177</v>
      </c>
      <c r="C53" s="26">
        <v>180.35</v>
      </c>
      <c r="D53" s="26">
        <v>162.30000000000001</v>
      </c>
      <c r="E53" s="26">
        <v>383.714</v>
      </c>
      <c r="F53" s="26">
        <v>726.36400000000003</v>
      </c>
    </row>
    <row r="54" spans="2:6" x14ac:dyDescent="0.3">
      <c r="B54" s="25" t="s">
        <v>178</v>
      </c>
      <c r="C54" s="26">
        <v>153.565</v>
      </c>
      <c r="D54" s="26">
        <v>121.93</v>
      </c>
      <c r="E54" s="26">
        <v>122.495</v>
      </c>
      <c r="F54" s="26">
        <v>397.99</v>
      </c>
    </row>
    <row r="55" spans="2:6" x14ac:dyDescent="0.3">
      <c r="B55" s="25" t="s">
        <v>179</v>
      </c>
      <c r="C55" s="26">
        <v>103.62</v>
      </c>
      <c r="D55" s="26">
        <v>113.9</v>
      </c>
      <c r="E55" s="26">
        <v>97.640000000000015</v>
      </c>
      <c r="F55" s="26">
        <v>315.16000000000003</v>
      </c>
    </row>
    <row r="56" spans="2:6" x14ac:dyDescent="0.3">
      <c r="B56" s="25" t="s">
        <v>180</v>
      </c>
      <c r="C56" s="26"/>
      <c r="D56" s="26"/>
      <c r="E56" s="26">
        <v>249.50800000000004</v>
      </c>
      <c r="F56" s="26">
        <v>249.50800000000004</v>
      </c>
    </row>
    <row r="57" spans="2:6" x14ac:dyDescent="0.3">
      <c r="B57" s="25" t="s">
        <v>181</v>
      </c>
      <c r="C57" s="26">
        <v>91.636599999999987</v>
      </c>
      <c r="D57" s="26">
        <v>60.3474</v>
      </c>
      <c r="E57" s="26">
        <v>42.182000000000002</v>
      </c>
      <c r="F57" s="26">
        <v>194.166</v>
      </c>
    </row>
    <row r="58" spans="2:6" x14ac:dyDescent="0.3">
      <c r="B58" s="25" t="s">
        <v>182</v>
      </c>
      <c r="C58" s="26"/>
      <c r="D58" s="26"/>
      <c r="E58" s="26">
        <v>110.14800000000001</v>
      </c>
      <c r="F58" s="26">
        <v>110.14800000000001</v>
      </c>
    </row>
    <row r="59" spans="2:6" x14ac:dyDescent="0.3">
      <c r="B59" s="25" t="s">
        <v>143</v>
      </c>
      <c r="C59" s="26">
        <v>104034.95000000003</v>
      </c>
      <c r="D59" s="26">
        <v>83143.27099999995</v>
      </c>
      <c r="E59" s="26">
        <v>116063.11300000003</v>
      </c>
      <c r="F59" s="26">
        <v>303241.33399999986</v>
      </c>
    </row>
    <row r="60" spans="2:6" x14ac:dyDescent="0.3">
      <c r="B60"/>
      <c r="C60"/>
      <c r="D60"/>
      <c r="E60"/>
      <c r="F60"/>
    </row>
    <row r="61" spans="2:6" x14ac:dyDescent="0.3">
      <c r="B61"/>
      <c r="C61"/>
      <c r="D61"/>
      <c r="E61"/>
      <c r="F61"/>
    </row>
    <row r="62" spans="2:6" x14ac:dyDescent="0.3">
      <c r="B62"/>
      <c r="C62"/>
      <c r="D62"/>
      <c r="E62"/>
      <c r="F62"/>
    </row>
    <row r="63" spans="2:6" x14ac:dyDescent="0.3">
      <c r="B63"/>
      <c r="C63"/>
      <c r="D63"/>
      <c r="E63"/>
      <c r="F63"/>
    </row>
    <row r="64" spans="2:6" x14ac:dyDescent="0.3">
      <c r="B64"/>
      <c r="C64"/>
      <c r="D64"/>
      <c r="E64"/>
      <c r="F64"/>
    </row>
    <row r="65" spans="2:6" x14ac:dyDescent="0.3">
      <c r="B65"/>
      <c r="C65"/>
      <c r="D65"/>
      <c r="E65"/>
      <c r="F65"/>
    </row>
    <row r="66" spans="2:6" x14ac:dyDescent="0.3">
      <c r="B66"/>
      <c r="C66"/>
      <c r="D66"/>
      <c r="E66"/>
      <c r="F66"/>
    </row>
    <row r="67" spans="2:6" x14ac:dyDescent="0.3">
      <c r="B67"/>
      <c r="C67"/>
      <c r="D67"/>
      <c r="E67"/>
      <c r="F67"/>
    </row>
    <row r="68" spans="2:6" x14ac:dyDescent="0.3">
      <c r="B68"/>
      <c r="C68"/>
      <c r="D68"/>
      <c r="E68"/>
      <c r="F68"/>
    </row>
    <row r="69" spans="2:6" x14ac:dyDescent="0.3">
      <c r="B69"/>
      <c r="C69"/>
      <c r="D69"/>
      <c r="E69"/>
      <c r="F69"/>
    </row>
    <row r="70" spans="2:6" x14ac:dyDescent="0.3">
      <c r="B70"/>
      <c r="C70"/>
      <c r="D70"/>
      <c r="E70"/>
      <c r="F70"/>
    </row>
    <row r="71" spans="2:6" x14ac:dyDescent="0.3">
      <c r="B71"/>
      <c r="C71"/>
      <c r="D71"/>
      <c r="E71"/>
      <c r="F71"/>
    </row>
    <row r="72" spans="2:6" x14ac:dyDescent="0.3">
      <c r="B72"/>
      <c r="C72"/>
      <c r="D72"/>
      <c r="E72"/>
      <c r="F72"/>
    </row>
    <row r="73" spans="2:6" x14ac:dyDescent="0.3">
      <c r="B73"/>
      <c r="C73"/>
      <c r="D73"/>
      <c r="E73"/>
      <c r="F73"/>
    </row>
    <row r="74" spans="2:6" x14ac:dyDescent="0.3">
      <c r="B74"/>
      <c r="C74"/>
      <c r="D74"/>
      <c r="E74"/>
      <c r="F74"/>
    </row>
    <row r="75" spans="2:6" x14ac:dyDescent="0.3">
      <c r="B75"/>
      <c r="C75"/>
      <c r="D75"/>
      <c r="E75"/>
      <c r="F75"/>
    </row>
    <row r="76" spans="2:6" x14ac:dyDescent="0.3">
      <c r="B76"/>
      <c r="C76"/>
      <c r="D76"/>
      <c r="E76"/>
      <c r="F76"/>
    </row>
    <row r="77" spans="2:6" x14ac:dyDescent="0.3">
      <c r="B77"/>
      <c r="C77"/>
      <c r="D77"/>
      <c r="E77"/>
      <c r="F77"/>
    </row>
    <row r="78" spans="2:6" x14ac:dyDescent="0.3">
      <c r="B78"/>
      <c r="C78"/>
      <c r="D78"/>
      <c r="E78"/>
      <c r="F78"/>
    </row>
    <row r="79" spans="2:6" x14ac:dyDescent="0.3">
      <c r="B79"/>
      <c r="C79"/>
      <c r="D79"/>
      <c r="E79"/>
      <c r="F79"/>
    </row>
    <row r="80" spans="2:6" x14ac:dyDescent="0.3">
      <c r="B80"/>
      <c r="C80"/>
      <c r="D80"/>
      <c r="E80"/>
      <c r="F80"/>
    </row>
    <row r="81" spans="2:6" x14ac:dyDescent="0.3">
      <c r="B81"/>
      <c r="C81"/>
      <c r="D81"/>
      <c r="E81"/>
      <c r="F81"/>
    </row>
    <row r="82" spans="2:6" x14ac:dyDescent="0.3">
      <c r="B82"/>
      <c r="C82"/>
      <c r="D82"/>
      <c r="E82"/>
      <c r="F82"/>
    </row>
    <row r="83" spans="2:6" x14ac:dyDescent="0.3">
      <c r="B83"/>
      <c r="C83"/>
      <c r="D83"/>
      <c r="E83"/>
      <c r="F83"/>
    </row>
    <row r="84" spans="2:6" x14ac:dyDescent="0.3">
      <c r="B84"/>
      <c r="C84"/>
      <c r="D84"/>
      <c r="E84"/>
      <c r="F84"/>
    </row>
    <row r="85" spans="2:6" x14ac:dyDescent="0.3">
      <c r="B85"/>
      <c r="C85"/>
      <c r="D85"/>
      <c r="E85"/>
      <c r="F85"/>
    </row>
    <row r="86" spans="2:6" x14ac:dyDescent="0.3">
      <c r="B86"/>
      <c r="C86"/>
      <c r="D86"/>
      <c r="E86"/>
      <c r="F86"/>
    </row>
    <row r="87" spans="2:6" x14ac:dyDescent="0.3">
      <c r="B87"/>
      <c r="C87"/>
      <c r="D87"/>
      <c r="E87"/>
      <c r="F87"/>
    </row>
    <row r="88" spans="2:6" x14ac:dyDescent="0.3">
      <c r="B88"/>
      <c r="C88"/>
      <c r="D88"/>
      <c r="E88"/>
      <c r="F88"/>
    </row>
    <row r="89" spans="2:6" x14ac:dyDescent="0.3">
      <c r="B89"/>
      <c r="C89"/>
      <c r="D89"/>
      <c r="E89"/>
      <c r="F89"/>
    </row>
    <row r="90" spans="2:6" x14ac:dyDescent="0.3">
      <c r="B90"/>
      <c r="C90"/>
      <c r="D90"/>
      <c r="E90"/>
      <c r="F90"/>
    </row>
    <row r="91" spans="2:6" x14ac:dyDescent="0.3">
      <c r="B91"/>
      <c r="C91"/>
      <c r="D91"/>
      <c r="E91"/>
      <c r="F91"/>
    </row>
    <row r="92" spans="2:6" x14ac:dyDescent="0.3">
      <c r="B92"/>
      <c r="C92"/>
      <c r="D92"/>
      <c r="E92"/>
      <c r="F92"/>
    </row>
    <row r="93" spans="2:6" x14ac:dyDescent="0.3">
      <c r="B93"/>
      <c r="C93"/>
      <c r="D93"/>
      <c r="E93"/>
      <c r="F93"/>
    </row>
    <row r="94" spans="2:6" x14ac:dyDescent="0.3">
      <c r="B94"/>
      <c r="C94"/>
      <c r="D94"/>
      <c r="E94"/>
      <c r="F94"/>
    </row>
    <row r="95" spans="2:6" x14ac:dyDescent="0.3">
      <c r="B95"/>
      <c r="C95"/>
      <c r="D95"/>
      <c r="E95"/>
      <c r="F95"/>
    </row>
    <row r="96" spans="2:6" x14ac:dyDescent="0.3">
      <c r="B96"/>
      <c r="C96"/>
      <c r="D96"/>
      <c r="E96"/>
      <c r="F96"/>
    </row>
    <row r="97" spans="2:6" x14ac:dyDescent="0.3">
      <c r="B97"/>
      <c r="C97"/>
      <c r="D97"/>
      <c r="E97"/>
      <c r="F97"/>
    </row>
    <row r="98" spans="2:6" x14ac:dyDescent="0.3">
      <c r="B98"/>
      <c r="C98"/>
      <c r="D98"/>
      <c r="E98"/>
      <c r="F98"/>
    </row>
    <row r="99" spans="2:6" x14ac:dyDescent="0.3">
      <c r="B99"/>
      <c r="C99"/>
      <c r="D99"/>
      <c r="E99"/>
      <c r="F99"/>
    </row>
    <row r="100" spans="2:6" x14ac:dyDescent="0.3">
      <c r="B100"/>
      <c r="C100"/>
      <c r="D100"/>
      <c r="E100"/>
      <c r="F100"/>
    </row>
    <row r="101" spans="2:6" x14ac:dyDescent="0.3">
      <c r="B101"/>
      <c r="C101"/>
      <c r="D101"/>
      <c r="E101"/>
      <c r="F101"/>
    </row>
    <row r="102" spans="2:6" x14ac:dyDescent="0.3">
      <c r="B102"/>
      <c r="C102"/>
      <c r="D102"/>
      <c r="E102"/>
      <c r="F102"/>
    </row>
    <row r="103" spans="2:6" x14ac:dyDescent="0.3">
      <c r="B103"/>
      <c r="C103"/>
      <c r="D103"/>
      <c r="E103"/>
      <c r="F103"/>
    </row>
    <row r="104" spans="2:6" x14ac:dyDescent="0.3">
      <c r="B104"/>
      <c r="C104"/>
      <c r="D104"/>
      <c r="E104"/>
      <c r="F104"/>
    </row>
    <row r="105" spans="2:6" x14ac:dyDescent="0.3">
      <c r="B105"/>
      <c r="C105"/>
      <c r="D105"/>
      <c r="E105"/>
      <c r="F105"/>
    </row>
    <row r="106" spans="2:6" x14ac:dyDescent="0.3">
      <c r="B106"/>
      <c r="C106"/>
      <c r="D106"/>
      <c r="E106"/>
      <c r="F106"/>
    </row>
    <row r="107" spans="2:6" x14ac:dyDescent="0.3">
      <c r="B107"/>
      <c r="C107"/>
      <c r="D107"/>
      <c r="E107"/>
      <c r="F107"/>
    </row>
    <row r="108" spans="2:6" x14ac:dyDescent="0.3">
      <c r="B108"/>
      <c r="C108"/>
      <c r="D108"/>
      <c r="E108"/>
      <c r="F108"/>
    </row>
    <row r="109" spans="2:6" x14ac:dyDescent="0.3">
      <c r="B109"/>
      <c r="C109"/>
      <c r="D109"/>
      <c r="E109"/>
      <c r="F109"/>
    </row>
    <row r="110" spans="2:6" x14ac:dyDescent="0.3">
      <c r="B110"/>
      <c r="C110"/>
      <c r="D110"/>
      <c r="E110"/>
      <c r="F110"/>
    </row>
    <row r="111" spans="2:6" x14ac:dyDescent="0.3">
      <c r="B111"/>
      <c r="C111"/>
      <c r="D111"/>
      <c r="E111"/>
      <c r="F111"/>
    </row>
    <row r="112" spans="2:6" x14ac:dyDescent="0.3">
      <c r="B112"/>
      <c r="C112"/>
      <c r="D112"/>
      <c r="E112"/>
      <c r="F112"/>
    </row>
    <row r="113" spans="2:6" x14ac:dyDescent="0.3">
      <c r="B113"/>
      <c r="C113"/>
      <c r="D113"/>
      <c r="E113"/>
      <c r="F113"/>
    </row>
    <row r="114" spans="2:6" x14ac:dyDescent="0.3">
      <c r="B114"/>
      <c r="C114"/>
      <c r="D114"/>
      <c r="E114"/>
      <c r="F114"/>
    </row>
    <row r="115" spans="2:6" x14ac:dyDescent="0.3">
      <c r="B115"/>
      <c r="C115"/>
      <c r="D115"/>
      <c r="E115"/>
      <c r="F115"/>
    </row>
    <row r="116" spans="2:6" x14ac:dyDescent="0.3">
      <c r="B116"/>
      <c r="C116"/>
      <c r="D116"/>
      <c r="E116"/>
      <c r="F116"/>
    </row>
    <row r="117" spans="2:6" x14ac:dyDescent="0.3">
      <c r="B117"/>
      <c r="C117"/>
      <c r="D117"/>
      <c r="E117"/>
      <c r="F117"/>
    </row>
    <row r="118" spans="2:6" x14ac:dyDescent="0.3">
      <c r="B118"/>
      <c r="C118"/>
      <c r="D118"/>
      <c r="E118"/>
      <c r="F118"/>
    </row>
    <row r="119" spans="2:6" x14ac:dyDescent="0.3">
      <c r="B119"/>
      <c r="C119"/>
      <c r="D119"/>
      <c r="E119"/>
      <c r="F119"/>
    </row>
    <row r="120" spans="2:6" x14ac:dyDescent="0.3">
      <c r="B120"/>
      <c r="C120"/>
      <c r="D120"/>
      <c r="E120"/>
      <c r="F120"/>
    </row>
    <row r="121" spans="2:6" x14ac:dyDescent="0.3">
      <c r="B121"/>
      <c r="C121"/>
      <c r="D121"/>
      <c r="E121"/>
      <c r="F121"/>
    </row>
    <row r="122" spans="2:6" x14ac:dyDescent="0.3">
      <c r="B122"/>
      <c r="C122"/>
      <c r="D122"/>
      <c r="E122"/>
      <c r="F122"/>
    </row>
    <row r="123" spans="2:6" x14ac:dyDescent="0.3">
      <c r="B123"/>
      <c r="C123"/>
      <c r="D123"/>
      <c r="E123"/>
      <c r="F123"/>
    </row>
    <row r="124" spans="2:6" x14ac:dyDescent="0.3">
      <c r="B124"/>
      <c r="C124"/>
      <c r="D124"/>
      <c r="E124"/>
      <c r="F124"/>
    </row>
    <row r="125" spans="2:6" x14ac:dyDescent="0.3">
      <c r="B125"/>
      <c r="C125"/>
      <c r="D125"/>
      <c r="E125"/>
      <c r="F125"/>
    </row>
    <row r="126" spans="2:6" x14ac:dyDescent="0.3">
      <c r="B126"/>
      <c r="C126"/>
      <c r="D126"/>
      <c r="E126"/>
      <c r="F126"/>
    </row>
    <row r="127" spans="2:6" x14ac:dyDescent="0.3">
      <c r="B127"/>
      <c r="C127"/>
      <c r="D127"/>
      <c r="E127"/>
      <c r="F127"/>
    </row>
    <row r="128" spans="2:6" x14ac:dyDescent="0.3">
      <c r="B128"/>
      <c r="C128"/>
      <c r="D128"/>
      <c r="E128"/>
      <c r="F128"/>
    </row>
    <row r="129" spans="2:6" x14ac:dyDescent="0.3">
      <c r="B129"/>
      <c r="C129"/>
      <c r="D129"/>
      <c r="E129"/>
      <c r="F129"/>
    </row>
    <row r="130" spans="2:6" x14ac:dyDescent="0.3">
      <c r="B130"/>
      <c r="C130"/>
      <c r="D130"/>
      <c r="E130"/>
      <c r="F130"/>
    </row>
    <row r="131" spans="2:6" x14ac:dyDescent="0.3">
      <c r="B131"/>
      <c r="C131"/>
      <c r="D131"/>
      <c r="E131"/>
      <c r="F131"/>
    </row>
    <row r="132" spans="2:6" x14ac:dyDescent="0.3">
      <c r="B132"/>
      <c r="C132"/>
      <c r="D132"/>
      <c r="E132"/>
      <c r="F132"/>
    </row>
    <row r="133" spans="2:6" x14ac:dyDescent="0.3">
      <c r="B133"/>
      <c r="C133"/>
      <c r="D133"/>
      <c r="E133"/>
      <c r="F133"/>
    </row>
    <row r="134" spans="2:6" x14ac:dyDescent="0.3">
      <c r="B134"/>
      <c r="C134"/>
      <c r="D134"/>
      <c r="E134"/>
      <c r="F134"/>
    </row>
    <row r="135" spans="2:6" x14ac:dyDescent="0.3">
      <c r="B135"/>
      <c r="C135"/>
      <c r="D135"/>
      <c r="E135"/>
      <c r="F135"/>
    </row>
    <row r="136" spans="2:6" x14ac:dyDescent="0.3">
      <c r="B136"/>
      <c r="C136"/>
      <c r="D136"/>
      <c r="E136"/>
      <c r="F136"/>
    </row>
    <row r="137" spans="2:6" x14ac:dyDescent="0.3">
      <c r="B137"/>
      <c r="C137"/>
      <c r="D137"/>
      <c r="E137"/>
      <c r="F137"/>
    </row>
    <row r="138" spans="2:6" x14ac:dyDescent="0.3">
      <c r="B138"/>
      <c r="C138"/>
      <c r="D138"/>
      <c r="E138"/>
      <c r="F138"/>
    </row>
    <row r="139" spans="2:6" x14ac:dyDescent="0.3">
      <c r="B139"/>
      <c r="C139"/>
      <c r="D139"/>
      <c r="E139"/>
      <c r="F139"/>
    </row>
    <row r="140" spans="2:6" x14ac:dyDescent="0.3">
      <c r="B140"/>
      <c r="C140"/>
      <c r="D140"/>
      <c r="E140"/>
      <c r="F140"/>
    </row>
    <row r="141" spans="2:6" x14ac:dyDescent="0.3">
      <c r="B141"/>
      <c r="C141"/>
      <c r="D141"/>
      <c r="E141"/>
      <c r="F141"/>
    </row>
    <row r="142" spans="2:6" x14ac:dyDescent="0.3">
      <c r="B142"/>
      <c r="C142"/>
      <c r="D142"/>
      <c r="E142"/>
      <c r="F142"/>
    </row>
    <row r="143" spans="2:6" x14ac:dyDescent="0.3">
      <c r="B143"/>
      <c r="C143"/>
      <c r="D143"/>
      <c r="E143"/>
      <c r="F143"/>
    </row>
    <row r="144" spans="2:6" x14ac:dyDescent="0.3">
      <c r="B144"/>
      <c r="C144"/>
      <c r="D144"/>
      <c r="E144"/>
      <c r="F144"/>
    </row>
    <row r="145" spans="2:6" x14ac:dyDescent="0.3">
      <c r="B145"/>
      <c r="C145"/>
      <c r="D145"/>
      <c r="E145"/>
      <c r="F145"/>
    </row>
    <row r="146" spans="2:6" x14ac:dyDescent="0.3">
      <c r="B146"/>
      <c r="C146"/>
      <c r="D146"/>
      <c r="E146"/>
      <c r="F146"/>
    </row>
    <row r="147" spans="2:6" x14ac:dyDescent="0.3">
      <c r="B147"/>
      <c r="C147"/>
      <c r="D147"/>
      <c r="E147"/>
      <c r="F147"/>
    </row>
    <row r="148" spans="2:6" x14ac:dyDescent="0.3">
      <c r="B148"/>
      <c r="C148"/>
      <c r="D148"/>
      <c r="E148"/>
      <c r="F148"/>
    </row>
    <row r="149" spans="2:6" x14ac:dyDescent="0.3">
      <c r="B149"/>
      <c r="C149"/>
      <c r="D149"/>
      <c r="E149"/>
      <c r="F149"/>
    </row>
    <row r="150" spans="2:6" x14ac:dyDescent="0.3">
      <c r="B150"/>
      <c r="C150"/>
      <c r="D150"/>
      <c r="E150"/>
      <c r="F150"/>
    </row>
    <row r="151" spans="2:6" x14ac:dyDescent="0.3">
      <c r="B151"/>
      <c r="C151"/>
      <c r="D151"/>
      <c r="E151"/>
      <c r="F151"/>
    </row>
    <row r="152" spans="2:6" x14ac:dyDescent="0.3">
      <c r="B152"/>
      <c r="C152"/>
      <c r="D152"/>
      <c r="E152"/>
      <c r="F152"/>
    </row>
    <row r="153" spans="2:6" x14ac:dyDescent="0.3">
      <c r="B153"/>
      <c r="C153"/>
      <c r="D153"/>
      <c r="E153"/>
      <c r="F153"/>
    </row>
    <row r="154" spans="2:6" x14ac:dyDescent="0.3">
      <c r="B154"/>
      <c r="C154"/>
      <c r="D154"/>
      <c r="E154"/>
      <c r="F154"/>
    </row>
    <row r="155" spans="2:6" x14ac:dyDescent="0.3">
      <c r="B155"/>
      <c r="C155"/>
      <c r="D155"/>
      <c r="E155"/>
      <c r="F155"/>
    </row>
    <row r="156" spans="2:6" x14ac:dyDescent="0.3">
      <c r="B156"/>
      <c r="C156"/>
      <c r="D156"/>
      <c r="E156"/>
      <c r="F156"/>
    </row>
    <row r="157" spans="2:6" x14ac:dyDescent="0.3">
      <c r="B157"/>
      <c r="C157"/>
      <c r="D157"/>
      <c r="E157"/>
      <c r="F157"/>
    </row>
    <row r="158" spans="2:6" x14ac:dyDescent="0.3">
      <c r="B158"/>
      <c r="C158"/>
      <c r="D158"/>
      <c r="E158"/>
      <c r="F158"/>
    </row>
    <row r="159" spans="2:6" x14ac:dyDescent="0.3">
      <c r="B159"/>
      <c r="C159"/>
      <c r="D159"/>
      <c r="E159"/>
      <c r="F159"/>
    </row>
    <row r="160" spans="2:6" x14ac:dyDescent="0.3">
      <c r="B160"/>
      <c r="C160"/>
      <c r="D160"/>
      <c r="E160"/>
      <c r="F160"/>
    </row>
    <row r="161" spans="2:6" x14ac:dyDescent="0.3">
      <c r="B161"/>
      <c r="C161"/>
      <c r="D161"/>
      <c r="E161"/>
      <c r="F161"/>
    </row>
    <row r="162" spans="2:6" x14ac:dyDescent="0.3">
      <c r="B162"/>
      <c r="C162"/>
      <c r="D162"/>
      <c r="E162"/>
      <c r="F162"/>
    </row>
    <row r="163" spans="2:6" x14ac:dyDescent="0.3">
      <c r="B163"/>
      <c r="C163"/>
      <c r="D163"/>
      <c r="E163"/>
      <c r="F163"/>
    </row>
    <row r="164" spans="2:6" x14ac:dyDescent="0.3">
      <c r="B164"/>
      <c r="C164"/>
      <c r="D164"/>
      <c r="E164"/>
      <c r="F164"/>
    </row>
    <row r="165" spans="2:6" x14ac:dyDescent="0.3">
      <c r="B165"/>
      <c r="C165"/>
      <c r="D165"/>
      <c r="E165"/>
      <c r="F165"/>
    </row>
    <row r="166" spans="2:6" x14ac:dyDescent="0.3">
      <c r="B166"/>
      <c r="C166"/>
      <c r="D166"/>
      <c r="E166"/>
      <c r="F166"/>
    </row>
    <row r="167" spans="2:6" x14ac:dyDescent="0.3">
      <c r="B167"/>
      <c r="C167"/>
      <c r="D167"/>
      <c r="E167"/>
      <c r="F167"/>
    </row>
    <row r="168" spans="2:6" x14ac:dyDescent="0.3">
      <c r="B168"/>
      <c r="C168"/>
      <c r="D168"/>
      <c r="E168"/>
      <c r="F168"/>
    </row>
    <row r="169" spans="2:6" x14ac:dyDescent="0.3">
      <c r="B169"/>
      <c r="C169"/>
      <c r="D169"/>
      <c r="E169"/>
      <c r="F169"/>
    </row>
    <row r="170" spans="2:6" x14ac:dyDescent="0.3">
      <c r="B170"/>
      <c r="C170"/>
      <c r="D170"/>
      <c r="E170"/>
      <c r="F170"/>
    </row>
    <row r="171" spans="2:6" x14ac:dyDescent="0.3">
      <c r="B171"/>
      <c r="C171"/>
      <c r="D171"/>
      <c r="E171"/>
      <c r="F171"/>
    </row>
    <row r="172" spans="2:6" x14ac:dyDescent="0.3">
      <c r="B172"/>
      <c r="C172"/>
      <c r="D172"/>
      <c r="E172"/>
      <c r="F172"/>
    </row>
    <row r="173" spans="2:6" x14ac:dyDescent="0.3">
      <c r="B173"/>
      <c r="C173"/>
      <c r="D173"/>
      <c r="E173"/>
      <c r="F173"/>
    </row>
    <row r="174" spans="2:6" x14ac:dyDescent="0.3">
      <c r="B174"/>
      <c r="C174"/>
      <c r="D174"/>
      <c r="E174"/>
      <c r="F174"/>
    </row>
    <row r="175" spans="2:6" x14ac:dyDescent="0.3">
      <c r="B175"/>
      <c r="C175"/>
      <c r="D175"/>
      <c r="E175"/>
      <c r="F175"/>
    </row>
    <row r="176" spans="2:6" x14ac:dyDescent="0.3">
      <c r="B176"/>
      <c r="C176"/>
      <c r="D176"/>
      <c r="E176"/>
      <c r="F176"/>
    </row>
    <row r="177" spans="2:6" x14ac:dyDescent="0.3">
      <c r="B177"/>
      <c r="C177"/>
      <c r="D177"/>
      <c r="E177"/>
      <c r="F177"/>
    </row>
    <row r="178" spans="2:6" x14ac:dyDescent="0.3">
      <c r="B178"/>
      <c r="C178"/>
      <c r="D178"/>
      <c r="E178"/>
      <c r="F178"/>
    </row>
    <row r="179" spans="2:6" x14ac:dyDescent="0.3">
      <c r="B179"/>
      <c r="C179"/>
      <c r="D179"/>
      <c r="E179"/>
      <c r="F179"/>
    </row>
    <row r="180" spans="2:6" x14ac:dyDescent="0.3">
      <c r="B180"/>
      <c r="C180"/>
      <c r="D180"/>
      <c r="E180"/>
      <c r="F180"/>
    </row>
    <row r="181" spans="2:6" x14ac:dyDescent="0.3">
      <c r="B181"/>
      <c r="C181"/>
      <c r="D181"/>
      <c r="E181"/>
      <c r="F181"/>
    </row>
    <row r="182" spans="2:6" x14ac:dyDescent="0.3">
      <c r="B182"/>
      <c r="C182"/>
      <c r="D182"/>
      <c r="E182"/>
      <c r="F182"/>
    </row>
    <row r="183" spans="2:6" x14ac:dyDescent="0.3">
      <c r="B183"/>
      <c r="C183"/>
      <c r="D183"/>
      <c r="E183"/>
      <c r="F183"/>
    </row>
    <row r="184" spans="2:6" x14ac:dyDescent="0.3">
      <c r="B184"/>
      <c r="C184"/>
      <c r="D184"/>
      <c r="E184"/>
      <c r="F184"/>
    </row>
    <row r="185" spans="2:6" x14ac:dyDescent="0.3">
      <c r="B185"/>
      <c r="C185"/>
      <c r="D185"/>
      <c r="E185"/>
      <c r="F185"/>
    </row>
    <row r="186" spans="2:6" x14ac:dyDescent="0.3">
      <c r="B186"/>
      <c r="C186"/>
      <c r="D186"/>
      <c r="E186"/>
      <c r="F186"/>
    </row>
    <row r="187" spans="2:6" x14ac:dyDescent="0.3">
      <c r="B187"/>
      <c r="C187"/>
      <c r="D187"/>
      <c r="E187"/>
      <c r="F187"/>
    </row>
    <row r="188" spans="2:6" x14ac:dyDescent="0.3">
      <c r="B188"/>
      <c r="C188"/>
      <c r="D188"/>
      <c r="E188"/>
      <c r="F188"/>
    </row>
    <row r="189" spans="2:6" x14ac:dyDescent="0.3">
      <c r="B189"/>
      <c r="C189"/>
      <c r="D189"/>
      <c r="E189"/>
      <c r="F189"/>
    </row>
    <row r="190" spans="2:6" x14ac:dyDescent="0.3">
      <c r="B190"/>
      <c r="C190"/>
      <c r="D190"/>
      <c r="E190"/>
      <c r="F190"/>
    </row>
    <row r="191" spans="2:6" x14ac:dyDescent="0.3">
      <c r="B191"/>
      <c r="C191"/>
      <c r="D191"/>
      <c r="E191"/>
      <c r="F191"/>
    </row>
    <row r="192" spans="2:6" x14ac:dyDescent="0.3">
      <c r="B192"/>
      <c r="C192"/>
      <c r="D192"/>
      <c r="E192"/>
      <c r="F192"/>
    </row>
    <row r="193" spans="2:6" x14ac:dyDescent="0.3">
      <c r="B193"/>
      <c r="C193"/>
      <c r="D193"/>
      <c r="E193"/>
      <c r="F193"/>
    </row>
    <row r="194" spans="2:6" x14ac:dyDescent="0.3">
      <c r="B194"/>
      <c r="C194"/>
      <c r="D194"/>
      <c r="E194"/>
      <c r="F194"/>
    </row>
    <row r="195" spans="2:6" x14ac:dyDescent="0.3">
      <c r="B195"/>
      <c r="C195"/>
      <c r="D195"/>
      <c r="E195"/>
      <c r="F195"/>
    </row>
    <row r="196" spans="2:6" x14ac:dyDescent="0.3">
      <c r="B196"/>
      <c r="C196"/>
      <c r="D196"/>
      <c r="E196"/>
      <c r="F196"/>
    </row>
    <row r="197" spans="2:6" x14ac:dyDescent="0.3">
      <c r="B197"/>
      <c r="C197"/>
      <c r="D197"/>
      <c r="E197"/>
      <c r="F197"/>
    </row>
    <row r="198" spans="2:6" x14ac:dyDescent="0.3">
      <c r="B198"/>
      <c r="C198"/>
      <c r="D198"/>
      <c r="E198"/>
      <c r="F19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Charts</vt:lpstr>
      <vt:lpstr>Products</vt:lpstr>
      <vt:lpstr>PivotTable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2024-09-29T13:29:43Z</dcterms:created>
  <dcterms:modified xsi:type="dcterms:W3CDTF">2025-10-25T10:00:21Z</dcterms:modified>
</cp:coreProperties>
</file>