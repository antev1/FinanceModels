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AD18CDC-A799-49FD-891B-9FCAB4610D99}" xr6:coauthVersionLast="47" xr6:coauthVersionMax="47" xr10:uidLastSave="{00000000-0000-0000-0000-000000000000}"/>
  <bookViews>
    <workbookView xWindow="-108" yWindow="-108" windowWidth="23256" windowHeight="12576" activeTab="1" xr2:uid="{4DC2FBA0-6E3D-459B-9C6A-21AC42B1058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32" i="2" l="1"/>
  <c r="AO31" i="2"/>
  <c r="AO30" i="2"/>
  <c r="AO29" i="2"/>
  <c r="AO28" i="2"/>
  <c r="AO27" i="2"/>
  <c r="AM19" i="2"/>
  <c r="AN19" i="2" s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DX19" i="2" s="1"/>
  <c r="DY19" i="2" s="1"/>
  <c r="DZ19" i="2" s="1"/>
  <c r="EA19" i="2" s="1"/>
  <c r="EB19" i="2" s="1"/>
  <c r="EC19" i="2" s="1"/>
  <c r="ED19" i="2" s="1"/>
  <c r="EE19" i="2" s="1"/>
  <c r="AL19" i="2"/>
  <c r="AK34" i="2"/>
  <c r="AJ34" i="2"/>
  <c r="AI34" i="2"/>
  <c r="AH34" i="2"/>
  <c r="AG34" i="2"/>
  <c r="AF34" i="2"/>
  <c r="AE34" i="2"/>
  <c r="AD34" i="2"/>
  <c r="AC34" i="2"/>
  <c r="AB34" i="2"/>
  <c r="AA34" i="2"/>
  <c r="AK33" i="2"/>
  <c r="AJ33" i="2"/>
  <c r="AI33" i="2"/>
  <c r="AH33" i="2"/>
  <c r="AG33" i="2"/>
  <c r="AF33" i="2"/>
  <c r="AE33" i="2"/>
  <c r="AD33" i="2"/>
  <c r="AC33" i="2"/>
  <c r="AB33" i="2"/>
  <c r="AA33" i="2"/>
  <c r="AK32" i="2"/>
  <c r="AJ32" i="2"/>
  <c r="AI32" i="2"/>
  <c r="AH32" i="2"/>
  <c r="AG32" i="2"/>
  <c r="AF32" i="2"/>
  <c r="AE32" i="2"/>
  <c r="AD32" i="2"/>
  <c r="AC32" i="2"/>
  <c r="AB32" i="2"/>
  <c r="AA32" i="2"/>
  <c r="AK31" i="2"/>
  <c r="AJ31" i="2"/>
  <c r="AI31" i="2"/>
  <c r="AH31" i="2"/>
  <c r="AG31" i="2"/>
  <c r="AF31" i="2"/>
  <c r="AE31" i="2"/>
  <c r="AD31" i="2"/>
  <c r="AC31" i="2"/>
  <c r="AB31" i="2"/>
  <c r="AA31" i="2"/>
  <c r="AK30" i="2"/>
  <c r="AJ30" i="2"/>
  <c r="AI30" i="2"/>
  <c r="AH30" i="2"/>
  <c r="AG30" i="2"/>
  <c r="AF30" i="2"/>
  <c r="AE30" i="2"/>
  <c r="AD30" i="2"/>
  <c r="AC30" i="2"/>
  <c r="AB30" i="2"/>
  <c r="AA30" i="2"/>
  <c r="AK29" i="2"/>
  <c r="AJ29" i="2"/>
  <c r="AI29" i="2"/>
  <c r="AH29" i="2"/>
  <c r="AG29" i="2"/>
  <c r="AF29" i="2"/>
  <c r="AE29" i="2"/>
  <c r="AD29" i="2"/>
  <c r="AC29" i="2"/>
  <c r="AB29" i="2"/>
  <c r="AA29" i="2"/>
  <c r="AK28" i="2"/>
  <c r="AJ28" i="2"/>
  <c r="AI28" i="2"/>
  <c r="AH28" i="2"/>
  <c r="AG28" i="2"/>
  <c r="AF28" i="2"/>
  <c r="AE28" i="2"/>
  <c r="AD28" i="2"/>
  <c r="AC28" i="2"/>
  <c r="AB28" i="2"/>
  <c r="AA28" i="2"/>
  <c r="AK27" i="2"/>
  <c r="AJ27" i="2"/>
  <c r="AI27" i="2"/>
  <c r="AH27" i="2"/>
  <c r="AG27" i="2"/>
  <c r="AF27" i="2"/>
  <c r="AE27" i="2"/>
  <c r="AD27" i="2"/>
  <c r="AC27" i="2"/>
  <c r="AB27" i="2"/>
  <c r="AA27" i="2"/>
  <c r="AK26" i="2"/>
  <c r="AJ26" i="2"/>
  <c r="AI26" i="2"/>
  <c r="AH26" i="2"/>
  <c r="AG26" i="2"/>
  <c r="AF26" i="2"/>
  <c r="AE26" i="2"/>
  <c r="AD26" i="2"/>
  <c r="AC26" i="2"/>
  <c r="AB26" i="2"/>
  <c r="AA26" i="2"/>
  <c r="AK25" i="2"/>
  <c r="AJ25" i="2"/>
  <c r="AI25" i="2"/>
  <c r="AH25" i="2"/>
  <c r="AG25" i="2"/>
  <c r="AF25" i="2"/>
  <c r="AE25" i="2"/>
  <c r="AD25" i="2"/>
  <c r="AC25" i="2"/>
  <c r="AB25" i="2"/>
  <c r="AA25" i="2"/>
  <c r="AK24" i="2"/>
  <c r="AJ24" i="2"/>
  <c r="AI24" i="2"/>
  <c r="AH24" i="2"/>
  <c r="AG24" i="2"/>
  <c r="AF24" i="2"/>
  <c r="AE24" i="2"/>
  <c r="AD24" i="2"/>
  <c r="AC24" i="2"/>
  <c r="AB24" i="2"/>
  <c r="AA24" i="2"/>
  <c r="AK23" i="2"/>
  <c r="AJ23" i="2"/>
  <c r="AI23" i="2"/>
  <c r="AH23" i="2"/>
  <c r="AG23" i="2"/>
  <c r="AF23" i="2"/>
  <c r="AE23" i="2"/>
  <c r="AD23" i="2"/>
  <c r="AC23" i="2"/>
  <c r="AB23" i="2"/>
  <c r="AA23" i="2"/>
  <c r="AG10" i="2"/>
  <c r="AH10" i="2" s="1"/>
  <c r="AI10" i="2" s="1"/>
  <c r="AJ10" i="2" s="1"/>
  <c r="AK10" i="2" s="1"/>
  <c r="AF10" i="2"/>
  <c r="AK20" i="2"/>
  <c r="AJ20" i="2"/>
  <c r="AI20" i="2"/>
  <c r="AH20" i="2"/>
  <c r="AG20" i="2"/>
  <c r="AF20" i="2"/>
  <c r="AE20" i="2"/>
  <c r="AD20" i="2"/>
  <c r="AC20" i="2"/>
  <c r="AB20" i="2"/>
  <c r="AB15" i="2"/>
  <c r="AC15" i="2" s="1"/>
  <c r="AD15" i="2" s="1"/>
  <c r="AE15" i="2" s="1"/>
  <c r="AF15" i="2" s="1"/>
  <c r="AG15" i="2" s="1"/>
  <c r="AH15" i="2" s="1"/>
  <c r="AI15" i="2" s="1"/>
  <c r="AJ15" i="2" s="1"/>
  <c r="AK15" i="2" s="1"/>
  <c r="AB14" i="2"/>
  <c r="AC14" i="2" s="1"/>
  <c r="AD14" i="2" s="1"/>
  <c r="AE14" i="2" s="1"/>
  <c r="AF14" i="2" s="1"/>
  <c r="AG14" i="2" s="1"/>
  <c r="AH14" i="2" s="1"/>
  <c r="AI14" i="2" s="1"/>
  <c r="AJ14" i="2" s="1"/>
  <c r="AK14" i="2" s="1"/>
  <c r="AK11" i="2"/>
  <c r="AJ11" i="2"/>
  <c r="AI11" i="2"/>
  <c r="AH11" i="2"/>
  <c r="AG11" i="2"/>
  <c r="AF11" i="2"/>
  <c r="AE11" i="2"/>
  <c r="AD11" i="2"/>
  <c r="AC11" i="2"/>
  <c r="AB11" i="2"/>
  <c r="AB10" i="2"/>
  <c r="AC10" i="2" s="1"/>
  <c r="AD10" i="2" s="1"/>
  <c r="AE10" i="2" s="1"/>
  <c r="AE8" i="2"/>
  <c r="AE9" i="2" s="1"/>
  <c r="AD8" i="2"/>
  <c r="AD9" i="2" s="1"/>
  <c r="AK7" i="2"/>
  <c r="AJ7" i="2"/>
  <c r="AI7" i="2"/>
  <c r="AH7" i="2"/>
  <c r="AG7" i="2"/>
  <c r="AF7" i="2"/>
  <c r="AF8" i="2" s="1"/>
  <c r="AF9" i="2" s="1"/>
  <c r="AE7" i="2"/>
  <c r="AD7" i="2"/>
  <c r="AC7" i="2"/>
  <c r="AB7" i="2"/>
  <c r="AK6" i="2"/>
  <c r="AK8" i="2" s="1"/>
  <c r="AK9" i="2" s="1"/>
  <c r="AJ6" i="2"/>
  <c r="AJ8" i="2" s="1"/>
  <c r="AJ9" i="2" s="1"/>
  <c r="AI6" i="2"/>
  <c r="AI8" i="2" s="1"/>
  <c r="AI9" i="2" s="1"/>
  <c r="AH6" i="2"/>
  <c r="AH8" i="2" s="1"/>
  <c r="AH9" i="2" s="1"/>
  <c r="AG6" i="2"/>
  <c r="AG8" i="2" s="1"/>
  <c r="AG9" i="2" s="1"/>
  <c r="AF6" i="2"/>
  <c r="AE6" i="2"/>
  <c r="AD6" i="2"/>
  <c r="AC6" i="2"/>
  <c r="AC8" i="2" s="1"/>
  <c r="AC9" i="2" s="1"/>
  <c r="AB6" i="2"/>
  <c r="AB8" i="2" s="1"/>
  <c r="AB9" i="2" s="1"/>
  <c r="AB12" i="2" s="1"/>
  <c r="AB16" i="2" s="1"/>
  <c r="AA20" i="2"/>
  <c r="Y33" i="2"/>
  <c r="X33" i="2"/>
  <c r="W33" i="2"/>
  <c r="V33" i="2"/>
  <c r="U33" i="2"/>
  <c r="Z33" i="2"/>
  <c r="AA15" i="2"/>
  <c r="AA14" i="2"/>
  <c r="AA11" i="2"/>
  <c r="AA10" i="2"/>
  <c r="AA8" i="2"/>
  <c r="AA9" i="2" s="1"/>
  <c r="AA12" i="2" s="1"/>
  <c r="AA16" i="2" s="1"/>
  <c r="AA7" i="2"/>
  <c r="AA6" i="2"/>
  <c r="AE4" i="2"/>
  <c r="AF4" i="2" s="1"/>
  <c r="AD5" i="2"/>
  <c r="AC5" i="2"/>
  <c r="AB5" i="2"/>
  <c r="AD4" i="2"/>
  <c r="AC4" i="2"/>
  <c r="AB4" i="2"/>
  <c r="AA5" i="2"/>
  <c r="AA4" i="2"/>
  <c r="AA3" i="2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I8" i="2"/>
  <c r="I5" i="2"/>
  <c r="I33" i="2" s="1"/>
  <c r="M8" i="2"/>
  <c r="M5" i="2"/>
  <c r="K8" i="2"/>
  <c r="K5" i="2"/>
  <c r="K30" i="2" s="1"/>
  <c r="O8" i="2"/>
  <c r="O5" i="2"/>
  <c r="D7" i="1"/>
  <c r="D6" i="1"/>
  <c r="D4" i="1"/>
  <c r="U27" i="2"/>
  <c r="U26" i="2"/>
  <c r="Z29" i="2"/>
  <c r="Y29" i="2"/>
  <c r="X29" i="2"/>
  <c r="W29" i="2"/>
  <c r="Z27" i="2"/>
  <c r="Y27" i="2"/>
  <c r="X27" i="2"/>
  <c r="W27" i="2"/>
  <c r="Z26" i="2"/>
  <c r="Y26" i="2"/>
  <c r="X26" i="2"/>
  <c r="W26" i="2"/>
  <c r="Z24" i="2"/>
  <c r="Y24" i="2"/>
  <c r="X24" i="2"/>
  <c r="W24" i="2"/>
  <c r="Z23" i="2"/>
  <c r="Y23" i="2"/>
  <c r="X23" i="2"/>
  <c r="W23" i="2"/>
  <c r="V29" i="2"/>
  <c r="V24" i="2"/>
  <c r="V23" i="2"/>
  <c r="V27" i="2"/>
  <c r="V26" i="2"/>
  <c r="U20" i="2"/>
  <c r="U8" i="2"/>
  <c r="U5" i="2"/>
  <c r="V13" i="2"/>
  <c r="V20" i="2"/>
  <c r="V8" i="2"/>
  <c r="V5" i="2"/>
  <c r="W15" i="2"/>
  <c r="W20" i="2"/>
  <c r="W8" i="2"/>
  <c r="W5" i="2"/>
  <c r="X20" i="2"/>
  <c r="X8" i="2"/>
  <c r="X5" i="2"/>
  <c r="Y20" i="2"/>
  <c r="Y8" i="2"/>
  <c r="Y5" i="2"/>
  <c r="Z20" i="2"/>
  <c r="Z8" i="2"/>
  <c r="Z5" i="2"/>
  <c r="Z30" i="2" s="1"/>
  <c r="D5" i="1"/>
  <c r="L24" i="2"/>
  <c r="L23" i="2"/>
  <c r="J34" i="2"/>
  <c r="G34" i="2"/>
  <c r="F34" i="2"/>
  <c r="E34" i="2"/>
  <c r="D34" i="2"/>
  <c r="C34" i="2"/>
  <c r="J33" i="2"/>
  <c r="G33" i="2"/>
  <c r="F33" i="2"/>
  <c r="E33" i="2"/>
  <c r="D33" i="2"/>
  <c r="C33" i="2"/>
  <c r="J32" i="2"/>
  <c r="G32" i="2"/>
  <c r="F32" i="2"/>
  <c r="E32" i="2"/>
  <c r="D32" i="2"/>
  <c r="C32" i="2"/>
  <c r="J31" i="2"/>
  <c r="G31" i="2"/>
  <c r="F31" i="2"/>
  <c r="E31" i="2"/>
  <c r="D31" i="2"/>
  <c r="C31" i="2"/>
  <c r="J30" i="2"/>
  <c r="G30" i="2"/>
  <c r="F30" i="2"/>
  <c r="E30" i="2"/>
  <c r="D30" i="2"/>
  <c r="C30" i="2"/>
  <c r="K29" i="2"/>
  <c r="J29" i="2"/>
  <c r="I29" i="2"/>
  <c r="H29" i="2"/>
  <c r="J28" i="2"/>
  <c r="G28" i="2"/>
  <c r="F28" i="2"/>
  <c r="E28" i="2"/>
  <c r="D28" i="2"/>
  <c r="C28" i="2"/>
  <c r="K27" i="2"/>
  <c r="J27" i="2"/>
  <c r="I27" i="2"/>
  <c r="H27" i="2"/>
  <c r="G27" i="2"/>
  <c r="F27" i="2"/>
  <c r="E27" i="2"/>
  <c r="D27" i="2"/>
  <c r="C27" i="2"/>
  <c r="K26" i="2"/>
  <c r="J26" i="2"/>
  <c r="I26" i="2"/>
  <c r="H26" i="2"/>
  <c r="G26" i="2"/>
  <c r="F26" i="2"/>
  <c r="E26" i="2"/>
  <c r="D26" i="2"/>
  <c r="C26" i="2"/>
  <c r="K25" i="2"/>
  <c r="J25" i="2"/>
  <c r="I25" i="2"/>
  <c r="H25" i="2"/>
  <c r="K24" i="2"/>
  <c r="J24" i="2"/>
  <c r="I24" i="2"/>
  <c r="H24" i="2"/>
  <c r="J23" i="2"/>
  <c r="L29" i="2"/>
  <c r="L27" i="2"/>
  <c r="L26" i="2"/>
  <c r="H8" i="2"/>
  <c r="H5" i="2"/>
  <c r="H33" i="2" s="1"/>
  <c r="L8" i="2"/>
  <c r="L5" i="2"/>
  <c r="F3" i="1"/>
  <c r="AA18" i="2" l="1"/>
  <c r="AA19" i="2"/>
  <c r="AA21" i="2" s="1"/>
  <c r="AA17" i="2"/>
  <c r="AD12" i="2"/>
  <c r="AD16" i="2" s="1"/>
  <c r="AG12" i="2"/>
  <c r="AG16" i="2" s="1"/>
  <c r="AE12" i="2"/>
  <c r="AE16" i="2" s="1"/>
  <c r="AI12" i="2"/>
  <c r="AI16" i="2" s="1"/>
  <c r="AB17" i="2"/>
  <c r="AB19" i="2" s="1"/>
  <c r="AB21" i="2" s="1"/>
  <c r="AB18" i="2"/>
  <c r="AJ12" i="2"/>
  <c r="AJ16" i="2" s="1"/>
  <c r="AF12" i="2"/>
  <c r="AF16" i="2" s="1"/>
  <c r="AC12" i="2"/>
  <c r="AC16" i="2" s="1"/>
  <c r="AK12" i="2"/>
  <c r="AK16" i="2" s="1"/>
  <c r="AG4" i="2"/>
  <c r="AF5" i="2"/>
  <c r="AE5" i="2"/>
  <c r="I30" i="2"/>
  <c r="I9" i="2"/>
  <c r="M9" i="2"/>
  <c r="M12" i="2" s="1"/>
  <c r="M16" i="2" s="1"/>
  <c r="M19" i="2" s="1"/>
  <c r="M21" i="2" s="1"/>
  <c r="K33" i="2"/>
  <c r="K9" i="2"/>
  <c r="K28" i="2" s="1"/>
  <c r="O9" i="2"/>
  <c r="O12" i="2" s="1"/>
  <c r="O16" i="2" s="1"/>
  <c r="O19" i="2" s="1"/>
  <c r="O21" i="2" s="1"/>
  <c r="L9" i="2"/>
  <c r="L12" i="2" s="1"/>
  <c r="L16" i="2" s="1"/>
  <c r="L19" i="2" s="1"/>
  <c r="L21" i="2" s="1"/>
  <c r="W30" i="2"/>
  <c r="H30" i="2"/>
  <c r="Z25" i="2"/>
  <c r="U30" i="2"/>
  <c r="X30" i="2"/>
  <c r="L25" i="2"/>
  <c r="V25" i="2"/>
  <c r="Y30" i="2"/>
  <c r="V30" i="2"/>
  <c r="L30" i="2"/>
  <c r="W25" i="2"/>
  <c r="X25" i="2"/>
  <c r="L33" i="2"/>
  <c r="Y25" i="2"/>
  <c r="D8" i="1"/>
  <c r="U9" i="2"/>
  <c r="V9" i="2"/>
  <c r="W9" i="2"/>
  <c r="X9" i="2"/>
  <c r="Y9" i="2"/>
  <c r="Z9" i="2"/>
  <c r="D9" i="1"/>
  <c r="H9" i="2"/>
  <c r="AH12" i="2" l="1"/>
  <c r="AH16" i="2" s="1"/>
  <c r="AH18" i="2" s="1"/>
  <c r="AK17" i="2"/>
  <c r="AK18" i="2"/>
  <c r="AC17" i="2"/>
  <c r="AC18" i="2"/>
  <c r="AC19" i="2" s="1"/>
  <c r="AC21" i="2" s="1"/>
  <c r="AF18" i="2"/>
  <c r="AF17" i="2"/>
  <c r="AG18" i="2"/>
  <c r="AG17" i="2"/>
  <c r="AG19" i="2" s="1"/>
  <c r="AG21" i="2" s="1"/>
  <c r="AD17" i="2"/>
  <c r="AD18" i="2"/>
  <c r="AD19" i="2" s="1"/>
  <c r="AD21" i="2" s="1"/>
  <c r="AI18" i="2"/>
  <c r="AI17" i="2"/>
  <c r="AE18" i="2"/>
  <c r="AE17" i="2"/>
  <c r="AE19" i="2" s="1"/>
  <c r="AE21" i="2" s="1"/>
  <c r="AJ18" i="2"/>
  <c r="AJ17" i="2"/>
  <c r="AJ19" i="2" s="1"/>
  <c r="AJ21" i="2" s="1"/>
  <c r="AH4" i="2"/>
  <c r="AG5" i="2"/>
  <c r="I28" i="2"/>
  <c r="I12" i="2"/>
  <c r="I23" i="2"/>
  <c r="K23" i="2"/>
  <c r="K12" i="2"/>
  <c r="K16" i="2" s="1"/>
  <c r="L34" i="2"/>
  <c r="L32" i="2"/>
  <c r="L28" i="2"/>
  <c r="L31" i="2"/>
  <c r="H12" i="2"/>
  <c r="H23" i="2"/>
  <c r="H28" i="2"/>
  <c r="Z12" i="2"/>
  <c r="Z28" i="2"/>
  <c r="U12" i="2"/>
  <c r="U28" i="2"/>
  <c r="Y12" i="2"/>
  <c r="Y28" i="2"/>
  <c r="X12" i="2"/>
  <c r="X28" i="2"/>
  <c r="W12" i="2"/>
  <c r="W28" i="2"/>
  <c r="V12" i="2"/>
  <c r="V28" i="2"/>
  <c r="AH19" i="2" l="1"/>
  <c r="AH21" i="2" s="1"/>
  <c r="AH17" i="2"/>
  <c r="AF19" i="2"/>
  <c r="AF21" i="2" s="1"/>
  <c r="AK19" i="2"/>
  <c r="AK21" i="2" s="1"/>
  <c r="AI19" i="2"/>
  <c r="AI21" i="2" s="1"/>
  <c r="AI4" i="2"/>
  <c r="AH5" i="2"/>
  <c r="I31" i="2"/>
  <c r="I16" i="2"/>
  <c r="K31" i="2"/>
  <c r="K19" i="2"/>
  <c r="K32" i="2"/>
  <c r="Y16" i="2"/>
  <c r="Y31" i="2"/>
  <c r="V16" i="2"/>
  <c r="V31" i="2"/>
  <c r="U16" i="2"/>
  <c r="U31" i="2"/>
  <c r="W16" i="2"/>
  <c r="W31" i="2"/>
  <c r="Z16" i="2"/>
  <c r="Z31" i="2"/>
  <c r="X16" i="2"/>
  <c r="X31" i="2"/>
  <c r="H16" i="2"/>
  <c r="H31" i="2"/>
  <c r="AJ4" i="2" l="1"/>
  <c r="AI5" i="2"/>
  <c r="I19" i="2"/>
  <c r="I32" i="2"/>
  <c r="K21" i="2"/>
  <c r="K34" i="2"/>
  <c r="H19" i="2"/>
  <c r="H32" i="2"/>
  <c r="W19" i="2"/>
  <c r="W32" i="2"/>
  <c r="X19" i="2"/>
  <c r="X32" i="2"/>
  <c r="V19" i="2"/>
  <c r="V32" i="2"/>
  <c r="U19" i="2"/>
  <c r="U32" i="2"/>
  <c r="Z19" i="2"/>
  <c r="Z32" i="2"/>
  <c r="Y19" i="2"/>
  <c r="Y32" i="2"/>
  <c r="AK4" i="2" l="1"/>
  <c r="AK5" i="2" s="1"/>
  <c r="AJ5" i="2"/>
  <c r="I21" i="2"/>
  <c r="I34" i="2"/>
  <c r="V21" i="2"/>
  <c r="V34" i="2"/>
  <c r="X21" i="2"/>
  <c r="X34" i="2"/>
  <c r="W21" i="2"/>
  <c r="W34" i="2"/>
  <c r="U21" i="2"/>
  <c r="U34" i="2"/>
  <c r="Y21" i="2"/>
  <c r="Y34" i="2"/>
  <c r="Z21" i="2"/>
  <c r="Z34" i="2"/>
  <c r="H21" i="2"/>
  <c r="H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3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W15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<sst xmlns="http://schemas.openxmlformats.org/spreadsheetml/2006/main" count="71" uniqueCount="65">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</sst>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7620</xdr:rowOff>
    </xdr:from>
    <xdr:to>
      <xdr:col>26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4142720" y="762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30480</xdr:colOff>
      <xdr:row>0</xdr:row>
      <xdr:rowOff>0</xdr:rowOff>
    </xdr:from>
    <xdr:to>
      <xdr:col>14</xdr:col>
      <xdr:colOff>30480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926592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2:G9"/>
  <sheetViews>
    <sheetView workbookViewId="0">
      <selection activeCell="E3" sqref="E3"/>
    </sheetView>
  </sheetViews>
  <sheetFormatPr defaultRowHeight="14.4" x14ac:dyDescent="0.3"/>
  <cols>
    <col min="1" max="4" width="8.88671875" style="1"/>
    <col min="5" max="7" width="12.6640625" style="8" customWidth="1"/>
    <col min="8" max="8" width="8.88671875" style="1" customWidth="1"/>
    <col min="9" max="16384" width="8.88671875" style="1"/>
  </cols>
  <sheetData>
    <row r="2" spans="2:7" x14ac:dyDescent="0.3">
      <c r="E2" s="8" t="s">
        <v>8</v>
      </c>
      <c r="F2" s="8" t="s">
        <v>9</v>
      </c>
      <c r="G2" s="8" t="s">
        <v>10</v>
      </c>
    </row>
    <row r="3" spans="2:7" x14ac:dyDescent="0.3">
      <c r="B3" s="4" t="s">
        <v>0</v>
      </c>
      <c r="C3" s="1" t="s">
        <v>1</v>
      </c>
      <c r="D3" s="9">
        <v>119.35</v>
      </c>
      <c r="E3" s="10">
        <v>45770</v>
      </c>
      <c r="F3" s="10">
        <f ca="1">TODAY()</f>
        <v>45804</v>
      </c>
      <c r="G3" s="10">
        <v>45867</v>
      </c>
    </row>
    <row r="4" spans="2:7" x14ac:dyDescent="0.3">
      <c r="C4" s="1" t="s">
        <v>2</v>
      </c>
      <c r="D4" s="3">
        <f>1336</f>
        <v>1336</v>
      </c>
      <c r="E4" s="11" t="s">
        <v>51</v>
      </c>
    </row>
    <row r="5" spans="2:7" x14ac:dyDescent="0.3">
      <c r="C5" s="1" t="s">
        <v>3</v>
      </c>
      <c r="D5" s="3">
        <f>D3*D4</f>
        <v>159451.6</v>
      </c>
      <c r="E5" s="11"/>
    </row>
    <row r="6" spans="2:7" x14ac:dyDescent="0.3">
      <c r="C6" s="1" t="s">
        <v>4</v>
      </c>
      <c r="D6" s="3">
        <f>5157</f>
        <v>5157</v>
      </c>
      <c r="E6" s="11" t="s">
        <v>51</v>
      </c>
    </row>
    <row r="7" spans="2:7" x14ac:dyDescent="0.3">
      <c r="C7" s="1" t="s">
        <v>5</v>
      </c>
      <c r="D7" s="3">
        <f>212+2844+38244</f>
        <v>41300</v>
      </c>
      <c r="E7" s="11" t="s">
        <v>51</v>
      </c>
    </row>
    <row r="8" spans="2:7" x14ac:dyDescent="0.3">
      <c r="C8" s="1" t="s">
        <v>6</v>
      </c>
      <c r="D8" s="3">
        <f>D6-D7</f>
        <v>-36143</v>
      </c>
      <c r="E8" s="11"/>
    </row>
    <row r="9" spans="2:7" x14ac:dyDescent="0.3">
      <c r="C9" s="1" t="s">
        <v>7</v>
      </c>
      <c r="D9" s="3">
        <f>D5-D8</f>
        <v>195594.6</v>
      </c>
      <c r="E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E34"/>
  <sheetViews>
    <sheetView tabSelected="1" workbookViewId="0">
      <pane xSplit="2" ySplit="2" topLeftCell="Y8" activePane="bottomRight" state="frozen"/>
      <selection pane="topRight" activeCell="C1" sqref="C1"/>
      <selection pane="bottomLeft" activeCell="A3" sqref="A3"/>
      <selection pane="bottomRight" activeCell="AG11" sqref="AG11"/>
    </sheetView>
  </sheetViews>
  <sheetFormatPr defaultRowHeight="14.4" x14ac:dyDescent="0.3"/>
  <cols>
    <col min="1" max="1" width="8.88671875" style="1"/>
    <col min="2" max="2" width="19.109375" style="1" customWidth="1"/>
    <col min="3" max="39" width="8.88671875" style="1"/>
    <col min="40" max="40" width="11.88671875" style="1" bestFit="1" customWidth="1"/>
    <col min="41" max="41" width="17.109375" style="1" customWidth="1"/>
    <col min="42" max="16384" width="8.88671875" style="1"/>
  </cols>
  <sheetData>
    <row r="2" spans="2:37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23</v>
      </c>
      <c r="H3" s="3">
        <v>13411</v>
      </c>
      <c r="I3" s="3">
        <v>8615</v>
      </c>
      <c r="K3" s="3">
        <v>14303</v>
      </c>
      <c r="L3" s="3">
        <v>14562</v>
      </c>
      <c r="M3" s="3">
        <v>14708</v>
      </c>
      <c r="O3" s="3">
        <v>14591</v>
      </c>
      <c r="U3" s="3">
        <v>32998</v>
      </c>
      <c r="V3" s="3">
        <v>43319</v>
      </c>
      <c r="W3" s="3">
        <v>49270</v>
      </c>
      <c r="X3" s="3">
        <v>50773</v>
      </c>
      <c r="Y3" s="3">
        <v>49571</v>
      </c>
      <c r="Z3" s="3">
        <v>59612</v>
      </c>
      <c r="AA3" s="3">
        <f>Z3*1.07</f>
        <v>63784.840000000004</v>
      </c>
      <c r="AB3" s="3">
        <f>AA3*1.05</f>
        <v>66974.082000000009</v>
      </c>
      <c r="AC3" s="3">
        <f>AB3*1.03</f>
        <v>68983.304460000014</v>
      </c>
      <c r="AD3" s="3">
        <f>AC3*1.02</f>
        <v>70362.970549200021</v>
      </c>
      <c r="AE3" s="3">
        <f>AD3*1.01</f>
        <v>71066.600254692021</v>
      </c>
      <c r="AF3" s="3">
        <f t="shared" ref="AF3:AK3" si="0">AE3*1.01</f>
        <v>71777.266257238938</v>
      </c>
      <c r="AG3" s="3">
        <f t="shared" si="0"/>
        <v>72495.038919811326</v>
      </c>
      <c r="AH3" s="3">
        <f t="shared" si="0"/>
        <v>73219.989309009441</v>
      </c>
      <c r="AI3" s="3">
        <f t="shared" si="0"/>
        <v>73952.189202099529</v>
      </c>
      <c r="AJ3" s="3">
        <f t="shared" si="0"/>
        <v>74691.711094120532</v>
      </c>
      <c r="AK3" s="3">
        <f t="shared" si="0"/>
        <v>75438.628205061745</v>
      </c>
    </row>
    <row r="4" spans="2:37" x14ac:dyDescent="0.3">
      <c r="B4" s="1" t="s">
        <v>24</v>
      </c>
      <c r="H4" s="3">
        <v>4904</v>
      </c>
      <c r="I4" s="3">
        <v>4849</v>
      </c>
      <c r="K4" s="3">
        <v>5002</v>
      </c>
      <c r="L4" s="3">
        <v>5159</v>
      </c>
      <c r="M4" s="3">
        <v>5381</v>
      </c>
      <c r="O4" s="3">
        <v>5715</v>
      </c>
      <c r="U4" s="3">
        <v>12351</v>
      </c>
      <c r="V4" s="3">
        <v>13268</v>
      </c>
      <c r="W4" s="3">
        <v>15118</v>
      </c>
      <c r="X4" s="3">
        <v>16301</v>
      </c>
      <c r="Y4" s="3">
        <v>19349</v>
      </c>
      <c r="Z4" s="3">
        <v>21126</v>
      </c>
      <c r="AA4" s="3">
        <f>Z4*1.08</f>
        <v>22816.080000000002</v>
      </c>
      <c r="AB4" s="3">
        <f>AA4*1.05</f>
        <v>23956.884000000002</v>
      </c>
      <c r="AC4" s="3">
        <f>AB4*1.04</f>
        <v>24915.159360000001</v>
      </c>
      <c r="AD4" s="3">
        <f>AC4*1.03</f>
        <v>25662.614140800004</v>
      </c>
      <c r="AE4" s="3">
        <f t="shared" ref="AE4:AK4" si="1">AD4*1.03</f>
        <v>26432.492565024004</v>
      </c>
      <c r="AF4" s="3">
        <f t="shared" si="1"/>
        <v>27225.467341974723</v>
      </c>
      <c r="AG4" s="3">
        <f t="shared" si="1"/>
        <v>28042.231362233964</v>
      </c>
      <c r="AH4" s="3">
        <f t="shared" si="1"/>
        <v>28883.498303100983</v>
      </c>
      <c r="AI4" s="3">
        <f t="shared" si="1"/>
        <v>29750.003252194012</v>
      </c>
      <c r="AJ4" s="3">
        <f t="shared" si="1"/>
        <v>30642.503349759834</v>
      </c>
      <c r="AK4" s="3">
        <f t="shared" si="1"/>
        <v>31561.77845025263</v>
      </c>
    </row>
    <row r="5" spans="2:37" s="4" customFormat="1" x14ac:dyDescent="0.3">
      <c r="B5" s="4" t="s">
        <v>25</v>
      </c>
      <c r="H5" s="5">
        <f>H3+H4</f>
        <v>18315</v>
      </c>
      <c r="I5" s="5">
        <f>I3+I4</f>
        <v>13464</v>
      </c>
      <c r="K5" s="5">
        <f>K3+K4</f>
        <v>19305</v>
      </c>
      <c r="L5" s="5">
        <f>L3+L4</f>
        <v>19721</v>
      </c>
      <c r="M5" s="5">
        <f>M3+M4</f>
        <v>20089</v>
      </c>
      <c r="O5" s="5">
        <f>O3+O4</f>
        <v>20306</v>
      </c>
      <c r="U5" s="5">
        <f t="shared" ref="U5:AK5" si="2">U3+U4</f>
        <v>45349</v>
      </c>
      <c r="V5" s="5">
        <f t="shared" si="2"/>
        <v>56587</v>
      </c>
      <c r="W5" s="5">
        <f t="shared" si="2"/>
        <v>64388</v>
      </c>
      <c r="X5" s="5">
        <f t="shared" si="2"/>
        <v>67074</v>
      </c>
      <c r="Y5" s="5">
        <f t="shared" si="2"/>
        <v>68920</v>
      </c>
      <c r="Z5" s="5">
        <f t="shared" si="2"/>
        <v>80738</v>
      </c>
      <c r="AA5" s="5">
        <f t="shared" si="2"/>
        <v>86600.920000000013</v>
      </c>
      <c r="AB5" s="5">
        <f t="shared" si="2"/>
        <v>90930.966000000015</v>
      </c>
      <c r="AC5" s="5">
        <f t="shared" si="2"/>
        <v>93898.463820000019</v>
      </c>
      <c r="AD5" s="5">
        <f t="shared" si="2"/>
        <v>96025.584690000018</v>
      </c>
      <c r="AE5" s="5">
        <f t="shared" si="2"/>
        <v>97499.092819716025</v>
      </c>
      <c r="AF5" s="5">
        <f t="shared" si="2"/>
        <v>99002.733599213665</v>
      </c>
      <c r="AG5" s="5">
        <f t="shared" si="2"/>
        <v>100537.2702820453</v>
      </c>
      <c r="AH5" s="5">
        <f t="shared" si="2"/>
        <v>102103.48761211042</v>
      </c>
      <c r="AI5" s="5">
        <f t="shared" si="2"/>
        <v>103702.19245429354</v>
      </c>
      <c r="AJ5" s="5">
        <f t="shared" si="2"/>
        <v>105334.21444388037</v>
      </c>
      <c r="AK5" s="5">
        <f t="shared" si="2"/>
        <v>107000.40665531438</v>
      </c>
    </row>
    <row r="6" spans="2:37" x14ac:dyDescent="0.3">
      <c r="B6" s="1" t="s">
        <v>26</v>
      </c>
      <c r="H6" s="3">
        <v>11089</v>
      </c>
      <c r="I6" s="3">
        <v>9289</v>
      </c>
      <c r="K6" s="3">
        <v>12216</v>
      </c>
      <c r="L6" s="3">
        <v>12625</v>
      </c>
      <c r="M6" s="3">
        <v>12336</v>
      </c>
      <c r="O6" s="3">
        <v>12283</v>
      </c>
      <c r="U6" s="3">
        <v>26910</v>
      </c>
      <c r="V6" s="3">
        <v>38137</v>
      </c>
      <c r="W6" s="3">
        <v>41095</v>
      </c>
      <c r="X6" s="3">
        <v>41927</v>
      </c>
      <c r="Y6" s="3">
        <v>43425</v>
      </c>
      <c r="Z6" s="3">
        <v>50768</v>
      </c>
      <c r="AA6" s="3">
        <f>AA3*0.85</f>
        <v>54217.114000000001</v>
      </c>
      <c r="AB6" s="3">
        <f t="shared" ref="AB6:AK6" si="3">AB3*0.85</f>
        <v>56927.969700000009</v>
      </c>
      <c r="AC6" s="3">
        <f t="shared" si="3"/>
        <v>58635.80879100001</v>
      </c>
      <c r="AD6" s="3">
        <f t="shared" si="3"/>
        <v>59808.524966820019</v>
      </c>
      <c r="AE6" s="3">
        <f t="shared" si="3"/>
        <v>60406.610216488218</v>
      </c>
      <c r="AF6" s="3">
        <f t="shared" si="3"/>
        <v>61010.676318653095</v>
      </c>
      <c r="AG6" s="3">
        <f t="shared" si="3"/>
        <v>61620.783081839625</v>
      </c>
      <c r="AH6" s="3">
        <f t="shared" si="3"/>
        <v>62236.990912658024</v>
      </c>
      <c r="AI6" s="3">
        <f t="shared" si="3"/>
        <v>62859.360821784598</v>
      </c>
      <c r="AJ6" s="3">
        <f t="shared" si="3"/>
        <v>63487.95443000245</v>
      </c>
      <c r="AK6" s="3">
        <f t="shared" si="3"/>
        <v>64122.833974302484</v>
      </c>
    </row>
    <row r="7" spans="2:37" x14ac:dyDescent="0.3">
      <c r="B7" s="1" t="s">
        <v>27</v>
      </c>
      <c r="H7" s="3">
        <v>3429</v>
      </c>
      <c r="I7" s="3">
        <v>3461</v>
      </c>
      <c r="K7" s="3">
        <v>3528</v>
      </c>
      <c r="L7" s="3">
        <v>3516</v>
      </c>
      <c r="M7" s="3">
        <v>3719</v>
      </c>
      <c r="O7" s="3">
        <v>3907</v>
      </c>
      <c r="U7" s="3">
        <v>7688</v>
      </c>
      <c r="V7" s="3">
        <v>9919</v>
      </c>
      <c r="W7" s="3">
        <v>10802</v>
      </c>
      <c r="X7" s="3">
        <v>11479</v>
      </c>
      <c r="Y7" s="3">
        <v>13406</v>
      </c>
      <c r="Z7" s="3">
        <v>14560</v>
      </c>
      <c r="AA7" s="3">
        <f>AA4*0.69</f>
        <v>15743.0952</v>
      </c>
      <c r="AB7" s="3">
        <f t="shared" ref="AB7:AK7" si="4">AB4*0.69</f>
        <v>16530.249960000001</v>
      </c>
      <c r="AC7" s="3">
        <f t="shared" si="4"/>
        <v>17191.459958399999</v>
      </c>
      <c r="AD7" s="3">
        <f t="shared" si="4"/>
        <v>17707.203757152001</v>
      </c>
      <c r="AE7" s="3">
        <f t="shared" si="4"/>
        <v>18238.41986986656</v>
      </c>
      <c r="AF7" s="3">
        <f t="shared" si="4"/>
        <v>18785.572465962559</v>
      </c>
      <c r="AG7" s="3">
        <f t="shared" si="4"/>
        <v>19349.139639941433</v>
      </c>
      <c r="AH7" s="3">
        <f t="shared" si="4"/>
        <v>19929.613829139678</v>
      </c>
      <c r="AI7" s="3">
        <f t="shared" si="4"/>
        <v>20527.502244013867</v>
      </c>
      <c r="AJ7" s="3">
        <f t="shared" si="4"/>
        <v>21143.327311334284</v>
      </c>
      <c r="AK7" s="3">
        <f t="shared" si="4"/>
        <v>21777.627130674315</v>
      </c>
    </row>
    <row r="8" spans="2:37" x14ac:dyDescent="0.3">
      <c r="B8" s="1" t="s">
        <v>28</v>
      </c>
      <c r="H8" s="3">
        <f>H6+H7</f>
        <v>14518</v>
      </c>
      <c r="I8" s="3">
        <f>I6+I7</f>
        <v>12750</v>
      </c>
      <c r="K8" s="3">
        <f>K6+K7</f>
        <v>15744</v>
      </c>
      <c r="L8" s="3">
        <f>L6+L7</f>
        <v>16141</v>
      </c>
      <c r="M8" s="3">
        <f>M6+M7</f>
        <v>16055</v>
      </c>
      <c r="O8" s="3">
        <f>O6+O7</f>
        <v>16190</v>
      </c>
      <c r="U8" s="3">
        <f t="shared" ref="U8:Z8" si="5">U6+U7</f>
        <v>34598</v>
      </c>
      <c r="V8" s="3">
        <f t="shared" si="5"/>
        <v>48056</v>
      </c>
      <c r="W8" s="3">
        <f t="shared" si="5"/>
        <v>51897</v>
      </c>
      <c r="X8" s="3">
        <f t="shared" si="5"/>
        <v>53406</v>
      </c>
      <c r="Y8" s="3">
        <f t="shared" si="5"/>
        <v>56831</v>
      </c>
      <c r="Z8" s="3">
        <f t="shared" si="5"/>
        <v>65328</v>
      </c>
      <c r="AA8" s="3">
        <f t="shared" ref="AA8:AK8" si="6">AA6+AA7</f>
        <v>69960.209199999998</v>
      </c>
      <c r="AB8" s="3">
        <f t="shared" si="6"/>
        <v>73458.219660000002</v>
      </c>
      <c r="AC8" s="3">
        <f t="shared" si="6"/>
        <v>75827.268749400013</v>
      </c>
      <c r="AD8" s="3">
        <f t="shared" si="6"/>
        <v>77515.728723972017</v>
      </c>
      <c r="AE8" s="3">
        <f t="shared" si="6"/>
        <v>78645.030086354775</v>
      </c>
      <c r="AF8" s="3">
        <f t="shared" si="6"/>
        <v>79796.248784615658</v>
      </c>
      <c r="AG8" s="3">
        <f t="shared" si="6"/>
        <v>80969.922721781055</v>
      </c>
      <c r="AH8" s="3">
        <f t="shared" si="6"/>
        <v>82166.604741797695</v>
      </c>
      <c r="AI8" s="3">
        <f t="shared" si="6"/>
        <v>83386.863065798461</v>
      </c>
      <c r="AJ8" s="3">
        <f t="shared" si="6"/>
        <v>84631.28174133673</v>
      </c>
      <c r="AK8" s="3">
        <f t="shared" si="6"/>
        <v>85900.461104976799</v>
      </c>
    </row>
    <row r="9" spans="2:37" s="4" customFormat="1" x14ac:dyDescent="0.3">
      <c r="B9" s="4" t="s">
        <v>29</v>
      </c>
      <c r="H9" s="5">
        <f>H5-H8</f>
        <v>3797</v>
      </c>
      <c r="I9" s="5">
        <f>I5-I8</f>
        <v>714</v>
      </c>
      <c r="K9" s="5">
        <f>K5-K8</f>
        <v>3561</v>
      </c>
      <c r="L9" s="5">
        <f>L5-L8</f>
        <v>3580</v>
      </c>
      <c r="M9" s="5">
        <f>M5-M8</f>
        <v>4034</v>
      </c>
      <c r="O9" s="5">
        <f>O5-O8</f>
        <v>4116</v>
      </c>
      <c r="U9" s="5">
        <f t="shared" ref="U9:Z9" si="7">U5-U8</f>
        <v>10751</v>
      </c>
      <c r="V9" s="5">
        <f t="shared" si="7"/>
        <v>8531</v>
      </c>
      <c r="W9" s="5">
        <f t="shared" si="7"/>
        <v>12491</v>
      </c>
      <c r="X9" s="5">
        <f t="shared" si="7"/>
        <v>13668</v>
      </c>
      <c r="Y9" s="5">
        <f t="shared" si="7"/>
        <v>12089</v>
      </c>
      <c r="Z9" s="5">
        <f t="shared" si="7"/>
        <v>15410</v>
      </c>
      <c r="AA9" s="5">
        <f t="shared" ref="AA9:AK9" si="8">AA5-AA8</f>
        <v>16640.710800000015</v>
      </c>
      <c r="AB9" s="5">
        <f t="shared" si="8"/>
        <v>17472.746340000012</v>
      </c>
      <c r="AC9" s="5">
        <f t="shared" si="8"/>
        <v>18071.195070600006</v>
      </c>
      <c r="AD9" s="5">
        <f t="shared" si="8"/>
        <v>18509.855966028001</v>
      </c>
      <c r="AE9" s="5">
        <f t="shared" si="8"/>
        <v>18854.06273336125</v>
      </c>
      <c r="AF9" s="5">
        <f t="shared" si="8"/>
        <v>19206.484814598007</v>
      </c>
      <c r="AG9" s="5">
        <f t="shared" si="8"/>
        <v>19567.347560264243</v>
      </c>
      <c r="AH9" s="5">
        <f t="shared" si="8"/>
        <v>19936.882870312722</v>
      </c>
      <c r="AI9" s="5">
        <f t="shared" si="8"/>
        <v>20315.329388495084</v>
      </c>
      <c r="AJ9" s="5">
        <f t="shared" si="8"/>
        <v>20702.932702543636</v>
      </c>
      <c r="AK9" s="5">
        <f t="shared" si="8"/>
        <v>21099.945550337579</v>
      </c>
    </row>
    <row r="10" spans="2:37" x14ac:dyDescent="0.3">
      <c r="B10" s="1" t="s">
        <v>30</v>
      </c>
      <c r="H10" s="3">
        <v>729</v>
      </c>
      <c r="I10" s="3">
        <v>712</v>
      </c>
      <c r="K10" s="3">
        <v>669</v>
      </c>
      <c r="L10" s="3">
        <v>706</v>
      </c>
      <c r="M10" s="3">
        <v>751</v>
      </c>
      <c r="O10" s="3">
        <v>637</v>
      </c>
      <c r="U10" s="3">
        <v>2452</v>
      </c>
      <c r="V10" s="3">
        <v>2582</v>
      </c>
      <c r="W10" s="3">
        <v>2732</v>
      </c>
      <c r="X10" s="3">
        <v>2711</v>
      </c>
      <c r="Y10" s="3">
        <v>2805</v>
      </c>
      <c r="Z10" s="3">
        <v>2934</v>
      </c>
      <c r="AA10" s="3">
        <f>Z10*1.02</f>
        <v>2992.68</v>
      </c>
      <c r="AB10" s="3">
        <f t="shared" ref="AB10:AK10" si="9">AA10*1.02</f>
        <v>3052.5335999999998</v>
      </c>
      <c r="AC10" s="3">
        <f t="shared" si="9"/>
        <v>3113.5842719999996</v>
      </c>
      <c r="AD10" s="3">
        <f t="shared" si="9"/>
        <v>3175.8559574399997</v>
      </c>
      <c r="AE10" s="3">
        <f t="shared" si="9"/>
        <v>3239.3730765887999</v>
      </c>
      <c r="AF10" s="3">
        <f>AE10*1.01</f>
        <v>3271.7668073546879</v>
      </c>
      <c r="AG10" s="3">
        <f t="shared" ref="AG10:AK10" si="10">AF10*1.01</f>
        <v>3304.4844754282349</v>
      </c>
      <c r="AH10" s="3">
        <f t="shared" si="10"/>
        <v>3337.529320182517</v>
      </c>
      <c r="AI10" s="3">
        <f t="shared" si="10"/>
        <v>3370.9046133843422</v>
      </c>
      <c r="AJ10" s="3">
        <f t="shared" si="10"/>
        <v>3404.6136595181856</v>
      </c>
      <c r="AK10" s="3">
        <f t="shared" si="10"/>
        <v>3438.6597961133675</v>
      </c>
    </row>
    <row r="11" spans="2:37" x14ac:dyDescent="0.3">
      <c r="B11" s="1" t="s">
        <v>31</v>
      </c>
      <c r="H11" s="3">
        <v>1600</v>
      </c>
      <c r="I11" s="3">
        <v>1401</v>
      </c>
      <c r="K11" s="3">
        <v>1394</v>
      </c>
      <c r="L11" s="3">
        <v>1449</v>
      </c>
      <c r="M11" s="3">
        <v>1389</v>
      </c>
      <c r="O11" s="3">
        <v>1448</v>
      </c>
      <c r="U11" s="3">
        <v>3711</v>
      </c>
      <c r="V11" s="3">
        <v>5540</v>
      </c>
      <c r="W11" s="3">
        <v>5224</v>
      </c>
      <c r="X11" s="3">
        <v>5573</v>
      </c>
      <c r="Y11" s="3">
        <v>5809</v>
      </c>
      <c r="Z11" s="3">
        <v>5806</v>
      </c>
      <c r="AA11" s="3">
        <f>AA5*0.07</f>
        <v>6062.0644000000011</v>
      </c>
      <c r="AB11" s="3">
        <f t="shared" ref="AB11:AK11" si="11">AB5*0.07</f>
        <v>6365.167620000002</v>
      </c>
      <c r="AC11" s="3">
        <f t="shared" si="11"/>
        <v>6572.8924674000018</v>
      </c>
      <c r="AD11" s="3">
        <f t="shared" si="11"/>
        <v>6721.7909283000017</v>
      </c>
      <c r="AE11" s="3">
        <f t="shared" si="11"/>
        <v>6824.9364973801221</v>
      </c>
      <c r="AF11" s="3">
        <f t="shared" si="11"/>
        <v>6930.1913519449572</v>
      </c>
      <c r="AG11" s="3">
        <f t="shared" si="11"/>
        <v>7037.6089197431711</v>
      </c>
      <c r="AH11" s="3">
        <f t="shared" si="11"/>
        <v>7147.2441328477298</v>
      </c>
      <c r="AI11" s="3">
        <f t="shared" si="11"/>
        <v>7259.1534718005487</v>
      </c>
      <c r="AJ11" s="3">
        <f t="shared" si="11"/>
        <v>7373.395011071626</v>
      </c>
      <c r="AK11" s="3">
        <f t="shared" si="11"/>
        <v>7490.0284658720075</v>
      </c>
    </row>
    <row r="12" spans="2:37" s="4" customFormat="1" x14ac:dyDescent="0.3">
      <c r="B12" s="4" t="s">
        <v>32</v>
      </c>
      <c r="H12" s="5">
        <f>H9-H10-H11</f>
        <v>1468</v>
      </c>
      <c r="I12" s="5">
        <f>I9-I10-I11</f>
        <v>-1399</v>
      </c>
      <c r="K12" s="5">
        <f>K9-K10-K11</f>
        <v>1498</v>
      </c>
      <c r="L12" s="5">
        <f>L9-L10-L11</f>
        <v>1425</v>
      </c>
      <c r="M12" s="5">
        <f>M9-M10-M11</f>
        <v>1894</v>
      </c>
      <c r="O12" s="5">
        <f>O9-O10-O11</f>
        <v>2031</v>
      </c>
      <c r="U12" s="5">
        <f t="shared" ref="U12:AA12" si="12">U9-U10-U11</f>
        <v>4588</v>
      </c>
      <c r="V12" s="5">
        <f t="shared" si="12"/>
        <v>409</v>
      </c>
      <c r="W12" s="5">
        <f t="shared" si="12"/>
        <v>4535</v>
      </c>
      <c r="X12" s="5">
        <f t="shared" si="12"/>
        <v>5384</v>
      </c>
      <c r="Y12" s="5">
        <f t="shared" si="12"/>
        <v>3475</v>
      </c>
      <c r="Z12" s="5">
        <f t="shared" si="12"/>
        <v>6670</v>
      </c>
      <c r="AA12" s="5">
        <f t="shared" si="12"/>
        <v>7585.9664000000139</v>
      </c>
      <c r="AB12" s="5">
        <f t="shared" ref="AB12:AK12" si="13">AB9-AB10-AB11</f>
        <v>8055.0451200000116</v>
      </c>
      <c r="AC12" s="5">
        <f t="shared" si="13"/>
        <v>8384.7183312000052</v>
      </c>
      <c r="AD12" s="5">
        <f t="shared" si="13"/>
        <v>8612.2090802880011</v>
      </c>
      <c r="AE12" s="5">
        <f t="shared" si="13"/>
        <v>8789.7531593923286</v>
      </c>
      <c r="AF12" s="5">
        <f t="shared" si="13"/>
        <v>9004.5266552983612</v>
      </c>
      <c r="AG12" s="5">
        <f t="shared" si="13"/>
        <v>9225.254165092836</v>
      </c>
      <c r="AH12" s="5">
        <f t="shared" si="13"/>
        <v>9452.1094172824742</v>
      </c>
      <c r="AI12" s="5">
        <f t="shared" si="13"/>
        <v>9685.27130331019</v>
      </c>
      <c r="AJ12" s="5">
        <f t="shared" si="13"/>
        <v>9924.9240319538258</v>
      </c>
      <c r="AK12" s="5">
        <f t="shared" si="13"/>
        <v>10171.257288352204</v>
      </c>
    </row>
    <row r="13" spans="2:37" x14ac:dyDescent="0.3">
      <c r="B13" s="1" t="s">
        <v>33</v>
      </c>
      <c r="H13" s="3">
        <v>-25</v>
      </c>
      <c r="I13" s="3">
        <v>-3</v>
      </c>
      <c r="K13" s="3">
        <v>-372</v>
      </c>
      <c r="L13" s="3">
        <v>896</v>
      </c>
      <c r="M13" s="3">
        <v>-134</v>
      </c>
      <c r="O13" s="3">
        <v>-4</v>
      </c>
      <c r="U13" s="3">
        <v>-326</v>
      </c>
      <c r="V13" s="3">
        <f>3183-885</f>
        <v>2298</v>
      </c>
      <c r="W13" s="3">
        <v>-423</v>
      </c>
      <c r="X13" s="3">
        <v>-120</v>
      </c>
      <c r="Y13" s="3">
        <v>-86</v>
      </c>
      <c r="Z13" s="3">
        <v>132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</row>
    <row r="14" spans="2:37" x14ac:dyDescent="0.3">
      <c r="B14" s="1" t="s">
        <v>34</v>
      </c>
      <c r="H14" s="3">
        <v>-447</v>
      </c>
      <c r="I14" s="3">
        <v>-443</v>
      </c>
      <c r="K14" s="3">
        <v>-386</v>
      </c>
      <c r="L14" s="3">
        <v>-374</v>
      </c>
      <c r="M14" s="3">
        <v>-374</v>
      </c>
      <c r="O14" s="3">
        <v>-366</v>
      </c>
      <c r="U14" s="3">
        <v>-829</v>
      </c>
      <c r="V14" s="3">
        <v>-902</v>
      </c>
      <c r="W14" s="3">
        <v>-1944</v>
      </c>
      <c r="X14" s="3">
        <v>-1889</v>
      </c>
      <c r="Y14" s="3">
        <v>-1780</v>
      </c>
      <c r="Z14" s="3">
        <v>-1518</v>
      </c>
      <c r="AA14" s="3">
        <f>Z14*1.01</f>
        <v>-1533.18</v>
      </c>
      <c r="AB14" s="3">
        <f t="shared" ref="AB14:AK14" si="14">AA14*1.01</f>
        <v>-1548.5118</v>
      </c>
      <c r="AC14" s="3">
        <f t="shared" si="14"/>
        <v>-1563.9969180000001</v>
      </c>
      <c r="AD14" s="3">
        <f t="shared" si="14"/>
        <v>-1579.63688718</v>
      </c>
      <c r="AE14" s="3">
        <f t="shared" si="14"/>
        <v>-1595.4332560518001</v>
      </c>
      <c r="AF14" s="3">
        <f t="shared" si="14"/>
        <v>-1611.387588612318</v>
      </c>
      <c r="AG14" s="3">
        <f t="shared" si="14"/>
        <v>-1627.5014644984412</v>
      </c>
      <c r="AH14" s="3">
        <f t="shared" si="14"/>
        <v>-1643.7764791434256</v>
      </c>
      <c r="AI14" s="3">
        <f t="shared" si="14"/>
        <v>-1660.21424393486</v>
      </c>
      <c r="AJ14" s="3">
        <f t="shared" si="14"/>
        <v>-1676.8163863742086</v>
      </c>
      <c r="AK14" s="3">
        <f t="shared" si="14"/>
        <v>-1693.5845502379507</v>
      </c>
    </row>
    <row r="15" spans="2:37" x14ac:dyDescent="0.3">
      <c r="B15" s="1" t="s">
        <v>35</v>
      </c>
      <c r="H15" s="3">
        <v>333</v>
      </c>
      <c r="I15" s="3">
        <v>369</v>
      </c>
      <c r="K15" s="3">
        <v>405</v>
      </c>
      <c r="L15" s="3">
        <v>475</v>
      </c>
      <c r="M15" s="3">
        <v>496</v>
      </c>
      <c r="O15" s="3">
        <v>443</v>
      </c>
      <c r="U15" s="3">
        <v>1591</v>
      </c>
      <c r="V15" s="3">
        <v>1366</v>
      </c>
      <c r="W15" s="3">
        <f>1322+649</f>
        <v>1971</v>
      </c>
      <c r="X15" s="3">
        <v>1276</v>
      </c>
      <c r="Y15" s="3">
        <v>1505</v>
      </c>
      <c r="Z15" s="3">
        <v>1862</v>
      </c>
      <c r="AA15" s="3">
        <f>Z15*1.01</f>
        <v>1880.6200000000001</v>
      </c>
      <c r="AB15" s="3">
        <f t="shared" ref="AB15:AK15" si="15">AA15*1.01</f>
        <v>1899.4262000000001</v>
      </c>
      <c r="AC15" s="3">
        <f t="shared" si="15"/>
        <v>1918.420462</v>
      </c>
      <c r="AD15" s="3">
        <f t="shared" si="15"/>
        <v>1937.60466662</v>
      </c>
      <c r="AE15" s="3">
        <f t="shared" si="15"/>
        <v>1956.9807132861999</v>
      </c>
      <c r="AF15" s="3">
        <f t="shared" si="15"/>
        <v>1976.550520419062</v>
      </c>
      <c r="AG15" s="3">
        <f t="shared" si="15"/>
        <v>1996.3160256232527</v>
      </c>
      <c r="AH15" s="3">
        <f t="shared" si="15"/>
        <v>2016.2791858794853</v>
      </c>
      <c r="AI15" s="3">
        <f t="shared" si="15"/>
        <v>2036.4419777382802</v>
      </c>
      <c r="AJ15" s="3">
        <f t="shared" si="15"/>
        <v>2056.8063975156629</v>
      </c>
      <c r="AK15" s="3">
        <f t="shared" si="15"/>
        <v>2077.3744614908196</v>
      </c>
    </row>
    <row r="16" spans="2:37" s="4" customFormat="1" x14ac:dyDescent="0.3">
      <c r="B16" s="4" t="s">
        <v>36</v>
      </c>
      <c r="H16" s="5">
        <f>H12-H13-H14-H15</f>
        <v>1607</v>
      </c>
      <c r="I16" s="5">
        <f>I12-I13-I14-I15</f>
        <v>-1322</v>
      </c>
      <c r="K16" s="5">
        <f>K12-K13-K14-K15</f>
        <v>1851</v>
      </c>
      <c r="L16" s="5">
        <f>L12-L13-L14-L15</f>
        <v>428</v>
      </c>
      <c r="M16" s="5">
        <f>M12-M13-M14-M15</f>
        <v>1906</v>
      </c>
      <c r="O16" s="5">
        <f>O12-O13-O14-O15</f>
        <v>1958</v>
      </c>
      <c r="U16" s="5">
        <f t="shared" ref="U16:AA16" si="16">U12-U13-U14-U15</f>
        <v>4152</v>
      </c>
      <c r="V16" s="5">
        <f t="shared" si="16"/>
        <v>-2353</v>
      </c>
      <c r="W16" s="5">
        <f t="shared" si="16"/>
        <v>4931</v>
      </c>
      <c r="X16" s="5">
        <f t="shared" si="16"/>
        <v>6117</v>
      </c>
      <c r="Y16" s="5">
        <f t="shared" si="16"/>
        <v>3836</v>
      </c>
      <c r="Z16" s="5">
        <f t="shared" si="16"/>
        <v>6194</v>
      </c>
      <c r="AA16" s="5">
        <f t="shared" si="16"/>
        <v>7238.5264000000143</v>
      </c>
      <c r="AB16" s="5">
        <f t="shared" ref="AB16:AK16" si="17">AB12-AB13-AB14-AB15</f>
        <v>7704.1307200000119</v>
      </c>
      <c r="AC16" s="5">
        <f t="shared" si="17"/>
        <v>8030.2947872000059</v>
      </c>
      <c r="AD16" s="5">
        <f t="shared" si="17"/>
        <v>8254.2413008480016</v>
      </c>
      <c r="AE16" s="5">
        <f t="shared" si="17"/>
        <v>8428.2057021579276</v>
      </c>
      <c r="AF16" s="5">
        <f t="shared" si="17"/>
        <v>8639.3637234916187</v>
      </c>
      <c r="AG16" s="5">
        <f t="shared" si="17"/>
        <v>8856.4396039680232</v>
      </c>
      <c r="AH16" s="5">
        <f t="shared" si="17"/>
        <v>9079.6067105464135</v>
      </c>
      <c r="AI16" s="5">
        <f t="shared" si="17"/>
        <v>9309.0435695067699</v>
      </c>
      <c r="AJ16" s="5">
        <f t="shared" si="17"/>
        <v>9544.9340208123722</v>
      </c>
      <c r="AK16" s="5">
        <f t="shared" si="17"/>
        <v>9787.4673770993359</v>
      </c>
    </row>
    <row r="17" spans="2:135" x14ac:dyDescent="0.3">
      <c r="B17" s="1" t="s">
        <v>37</v>
      </c>
      <c r="H17" s="3">
        <v>248</v>
      </c>
      <c r="I17" s="3">
        <v>-389</v>
      </c>
      <c r="K17" s="3">
        <v>108</v>
      </c>
      <c r="L17" s="3">
        <v>253</v>
      </c>
      <c r="M17" s="3">
        <v>371</v>
      </c>
      <c r="O17" s="3">
        <v>333</v>
      </c>
      <c r="U17" s="3">
        <v>421</v>
      </c>
      <c r="V17" s="3">
        <v>575</v>
      </c>
      <c r="W17" s="3">
        <v>786</v>
      </c>
      <c r="X17" s="3">
        <v>790</v>
      </c>
      <c r="Y17" s="3">
        <v>456</v>
      </c>
      <c r="Z17" s="3">
        <v>1181</v>
      </c>
      <c r="AA17" s="3">
        <f>AA16*0.15</f>
        <v>1085.7789600000021</v>
      </c>
      <c r="AB17" s="3">
        <f t="shared" ref="AB17:AK17" si="18">AB16*0.15</f>
        <v>1155.6196080000018</v>
      </c>
      <c r="AC17" s="3">
        <f t="shared" si="18"/>
        <v>1204.5442180800007</v>
      </c>
      <c r="AD17" s="3">
        <f t="shared" si="18"/>
        <v>1238.1361951272002</v>
      </c>
      <c r="AE17" s="3">
        <f t="shared" si="18"/>
        <v>1264.2308553236892</v>
      </c>
      <c r="AF17" s="3">
        <f t="shared" si="18"/>
        <v>1295.9045585237427</v>
      </c>
      <c r="AG17" s="3">
        <f t="shared" si="18"/>
        <v>1328.4659405952034</v>
      </c>
      <c r="AH17" s="3">
        <f t="shared" si="18"/>
        <v>1361.941006581962</v>
      </c>
      <c r="AI17" s="3">
        <f t="shared" si="18"/>
        <v>1396.3565354260154</v>
      </c>
      <c r="AJ17" s="3">
        <f t="shared" si="18"/>
        <v>1431.7401031218558</v>
      </c>
      <c r="AK17" s="3">
        <f t="shared" si="18"/>
        <v>1468.1201065649004</v>
      </c>
    </row>
    <row r="18" spans="2:135" x14ac:dyDescent="0.3">
      <c r="B18" s="1" t="s">
        <v>38</v>
      </c>
      <c r="H18" s="3">
        <v>32</v>
      </c>
      <c r="I18" s="3">
        <v>51</v>
      </c>
      <c r="K18" s="3">
        <v>34</v>
      </c>
      <c r="L18" s="3">
        <v>64</v>
      </c>
      <c r="M18" s="3">
        <v>63</v>
      </c>
      <c r="O18" s="3">
        <v>90</v>
      </c>
      <c r="U18" s="3">
        <v>221</v>
      </c>
      <c r="V18" s="3">
        <v>181</v>
      </c>
      <c r="W18" s="3">
        <v>248</v>
      </c>
      <c r="X18" s="3">
        <v>111</v>
      </c>
      <c r="Y18" s="3">
        <v>185</v>
      </c>
      <c r="Z18" s="3">
        <v>239</v>
      </c>
      <c r="AA18" s="3">
        <f>AA16*0.03</f>
        <v>217.15579200000042</v>
      </c>
      <c r="AB18" s="3">
        <f t="shared" ref="AB18:AK18" si="19">AB16*0.03</f>
        <v>231.12392160000036</v>
      </c>
      <c r="AC18" s="3">
        <f t="shared" si="19"/>
        <v>240.90884361600015</v>
      </c>
      <c r="AD18" s="3">
        <f t="shared" si="19"/>
        <v>247.62723902544005</v>
      </c>
      <c r="AE18" s="3">
        <f t="shared" si="19"/>
        <v>252.84617106473783</v>
      </c>
      <c r="AF18" s="3">
        <f t="shared" si="19"/>
        <v>259.18091170474855</v>
      </c>
      <c r="AG18" s="3">
        <f t="shared" si="19"/>
        <v>265.69318811904071</v>
      </c>
      <c r="AH18" s="3">
        <f t="shared" si="19"/>
        <v>272.38820131639238</v>
      </c>
      <c r="AI18" s="3">
        <f t="shared" si="19"/>
        <v>279.27130708520309</v>
      </c>
      <c r="AJ18" s="3">
        <f t="shared" si="19"/>
        <v>286.34802062437115</v>
      </c>
      <c r="AK18" s="3">
        <f t="shared" si="19"/>
        <v>293.62402131298006</v>
      </c>
    </row>
    <row r="19" spans="2:135" s="4" customFormat="1" x14ac:dyDescent="0.3">
      <c r="B19" s="4" t="s">
        <v>39</v>
      </c>
      <c r="H19" s="5">
        <f>H16-H17-H18</f>
        <v>1327</v>
      </c>
      <c r="I19" s="5">
        <f>I16-I17-I18</f>
        <v>-984</v>
      </c>
      <c r="K19" s="5">
        <f>K16-K17-K18</f>
        <v>1709</v>
      </c>
      <c r="L19" s="5">
        <f>L16-L17-L18</f>
        <v>111</v>
      </c>
      <c r="M19" s="5">
        <f>M16-M17-M18</f>
        <v>1472</v>
      </c>
      <c r="O19" s="5">
        <f>O16-O17-O18</f>
        <v>1535</v>
      </c>
      <c r="U19" s="5">
        <f t="shared" ref="U19:Z19" si="20">U16-U17-U18</f>
        <v>3510</v>
      </c>
      <c r="V19" s="5">
        <f t="shared" si="20"/>
        <v>-3109</v>
      </c>
      <c r="W19" s="5">
        <f t="shared" si="20"/>
        <v>3897</v>
      </c>
      <c r="X19" s="5">
        <f t="shared" si="20"/>
        <v>5216</v>
      </c>
      <c r="Y19" s="5">
        <f t="shared" si="20"/>
        <v>3195</v>
      </c>
      <c r="Z19" s="5">
        <f t="shared" si="20"/>
        <v>4774</v>
      </c>
      <c r="AA19" s="5">
        <f t="shared" ref="AA19:AK19" si="21">AA16-AA17-AA18</f>
        <v>5935.5916480000114</v>
      </c>
      <c r="AB19" s="5">
        <f t="shared" si="21"/>
        <v>6317.3871904000098</v>
      </c>
      <c r="AC19" s="5">
        <f t="shared" si="21"/>
        <v>6584.8417255040049</v>
      </c>
      <c r="AD19" s="5">
        <f t="shared" si="21"/>
        <v>6768.4778666953616</v>
      </c>
      <c r="AE19" s="5">
        <f t="shared" si="21"/>
        <v>6911.1286757695007</v>
      </c>
      <c r="AF19" s="5">
        <f t="shared" si="21"/>
        <v>7084.2782532631272</v>
      </c>
      <c r="AG19" s="5">
        <f t="shared" si="21"/>
        <v>7262.2804752537795</v>
      </c>
      <c r="AH19" s="5">
        <f t="shared" si="21"/>
        <v>7445.2775026480595</v>
      </c>
      <c r="AI19" s="5">
        <f t="shared" si="21"/>
        <v>7633.4157269955513</v>
      </c>
      <c r="AJ19" s="5">
        <f t="shared" si="21"/>
        <v>7826.845897066145</v>
      </c>
      <c r="AK19" s="5">
        <f t="shared" si="21"/>
        <v>8025.7232492214553</v>
      </c>
      <c r="AL19" s="4">
        <f>AK19*(1+$AO$25)</f>
        <v>7945.4660167292404</v>
      </c>
      <c r="AM19" s="4">
        <f t="shared" ref="AM19:CX19" si="22">AL19*(1+$AO$25)</f>
        <v>7866.0113565619477</v>
      </c>
      <c r="AN19" s="4">
        <f t="shared" si="22"/>
        <v>7787.3512429963284</v>
      </c>
      <c r="AO19" s="4">
        <f t="shared" si="22"/>
        <v>7709.4777305663647</v>
      </c>
      <c r="AP19" s="4">
        <f t="shared" si="22"/>
        <v>7632.3829532607006</v>
      </c>
      <c r="AQ19" s="4">
        <f t="shared" si="22"/>
        <v>7556.0591237280933</v>
      </c>
      <c r="AR19" s="4">
        <f t="shared" si="22"/>
        <v>7480.4985324908121</v>
      </c>
      <c r="AS19" s="4">
        <f t="shared" si="22"/>
        <v>7405.6935471659035</v>
      </c>
      <c r="AT19" s="4">
        <f t="shared" si="22"/>
        <v>7331.6366116942445</v>
      </c>
      <c r="AU19" s="4">
        <f t="shared" si="22"/>
        <v>7258.3202455773016</v>
      </c>
      <c r="AV19" s="4">
        <f t="shared" si="22"/>
        <v>7185.7370431215286</v>
      </c>
      <c r="AW19" s="4">
        <f t="shared" si="22"/>
        <v>7113.8796726903129</v>
      </c>
      <c r="AX19" s="4">
        <f t="shared" si="22"/>
        <v>7042.74087596341</v>
      </c>
      <c r="AY19" s="4">
        <f t="shared" si="22"/>
        <v>6972.3134672037759</v>
      </c>
      <c r="AZ19" s="4">
        <f t="shared" si="22"/>
        <v>6902.5903325317377</v>
      </c>
      <c r="BA19" s="4">
        <f t="shared" si="22"/>
        <v>6833.5644292064198</v>
      </c>
      <c r="BB19" s="4">
        <f t="shared" si="22"/>
        <v>6765.2287849143559</v>
      </c>
      <c r="BC19" s="4">
        <f t="shared" si="22"/>
        <v>6697.5764970652126</v>
      </c>
      <c r="BD19" s="4">
        <f t="shared" si="22"/>
        <v>6630.60073209456</v>
      </c>
      <c r="BE19" s="4">
        <f t="shared" si="22"/>
        <v>6564.2947247736147</v>
      </c>
      <c r="BF19" s="4">
        <f t="shared" si="22"/>
        <v>6498.6517775258781</v>
      </c>
      <c r="BG19" s="4">
        <f t="shared" si="22"/>
        <v>6433.665259750619</v>
      </c>
      <c r="BH19" s="4">
        <f t="shared" si="22"/>
        <v>6369.3286071531129</v>
      </c>
      <c r="BI19" s="4">
        <f t="shared" si="22"/>
        <v>6305.6353210815814</v>
      </c>
      <c r="BJ19" s="4">
        <f t="shared" si="22"/>
        <v>6242.5789678707652</v>
      </c>
      <c r="BK19" s="4">
        <f t="shared" si="22"/>
        <v>6180.1531781920576</v>
      </c>
      <c r="BL19" s="4">
        <f t="shared" si="22"/>
        <v>6118.3516464101367</v>
      </c>
      <c r="BM19" s="4">
        <f t="shared" si="22"/>
        <v>6057.1681299460352</v>
      </c>
      <c r="BN19" s="4">
        <f t="shared" si="22"/>
        <v>5996.5964486465746</v>
      </c>
      <c r="BO19" s="4">
        <f t="shared" si="22"/>
        <v>5936.6304841601086</v>
      </c>
      <c r="BP19" s="4">
        <f t="shared" si="22"/>
        <v>5877.2641793185076</v>
      </c>
      <c r="BQ19" s="4">
        <f t="shared" si="22"/>
        <v>5818.4915375253222</v>
      </c>
      <c r="BR19" s="4">
        <f t="shared" si="22"/>
        <v>5760.3066221500685</v>
      </c>
      <c r="BS19" s="4">
        <f t="shared" si="22"/>
        <v>5702.7035559285678</v>
      </c>
      <c r="BT19" s="4">
        <f t="shared" si="22"/>
        <v>5645.6765203692821</v>
      </c>
      <c r="BU19" s="4">
        <f t="shared" si="22"/>
        <v>5589.219755165589</v>
      </c>
      <c r="BV19" s="4">
        <f t="shared" si="22"/>
        <v>5533.3275576139331</v>
      </c>
      <c r="BW19" s="4">
        <f t="shared" si="22"/>
        <v>5477.9942820377937</v>
      </c>
      <c r="BX19" s="4">
        <f t="shared" si="22"/>
        <v>5423.2143392174157</v>
      </c>
      <c r="BY19" s="4">
        <f t="shared" si="22"/>
        <v>5368.9821958252414</v>
      </c>
      <c r="BZ19" s="4">
        <f t="shared" si="22"/>
        <v>5315.2923738669888</v>
      </c>
      <c r="CA19" s="4">
        <f t="shared" si="22"/>
        <v>5262.1394501283185</v>
      </c>
      <c r="CB19" s="4">
        <f t="shared" si="22"/>
        <v>5209.5180556270352</v>
      </c>
      <c r="CC19" s="4">
        <f t="shared" si="22"/>
        <v>5157.4228750707653</v>
      </c>
      <c r="CD19" s="4">
        <f t="shared" si="22"/>
        <v>5105.8486463200579</v>
      </c>
      <c r="CE19" s="4">
        <f t="shared" si="22"/>
        <v>5054.7901598568569</v>
      </c>
      <c r="CF19" s="4">
        <f t="shared" si="22"/>
        <v>5004.2422582582885</v>
      </c>
      <c r="CG19" s="4">
        <f t="shared" si="22"/>
        <v>4954.1998356757058</v>
      </c>
      <c r="CH19" s="4">
        <f t="shared" si="22"/>
        <v>4904.6578373189486</v>
      </c>
      <c r="CI19" s="4">
        <f t="shared" si="22"/>
        <v>4855.6112589457589</v>
      </c>
      <c r="CJ19" s="4">
        <f t="shared" si="22"/>
        <v>4807.0551463563015</v>
      </c>
      <c r="CK19" s="4">
        <f t="shared" si="22"/>
        <v>4758.9845948927386</v>
      </c>
      <c r="CL19" s="4">
        <f t="shared" si="22"/>
        <v>4711.3947489438115</v>
      </c>
      <c r="CM19" s="4">
        <f t="shared" si="22"/>
        <v>4664.2808014543734</v>
      </c>
      <c r="CN19" s="4">
        <f t="shared" si="22"/>
        <v>4617.6379934398301</v>
      </c>
      <c r="CO19" s="4">
        <f t="shared" si="22"/>
        <v>4571.4616135054321</v>
      </c>
      <c r="CP19" s="4">
        <f t="shared" si="22"/>
        <v>4525.7469973703774</v>
      </c>
      <c r="CQ19" s="4">
        <f t="shared" si="22"/>
        <v>4480.4895273966731</v>
      </c>
      <c r="CR19" s="4">
        <f t="shared" si="22"/>
        <v>4435.6846321227067</v>
      </c>
      <c r="CS19" s="4">
        <f t="shared" si="22"/>
        <v>4391.3277858014799</v>
      </c>
      <c r="CT19" s="4">
        <f t="shared" si="22"/>
        <v>4347.4145079434647</v>
      </c>
      <c r="CU19" s="4">
        <f t="shared" si="22"/>
        <v>4303.9403628640302</v>
      </c>
      <c r="CV19" s="4">
        <f t="shared" si="22"/>
        <v>4260.9009592353896</v>
      </c>
      <c r="CW19" s="4">
        <f t="shared" si="22"/>
        <v>4218.2919496430359</v>
      </c>
      <c r="CX19" s="4">
        <f t="shared" si="22"/>
        <v>4176.1090301466056</v>
      </c>
      <c r="CY19" s="4">
        <f t="shared" ref="CY19:EE19" si="23">CX19*(1+$AO$25)</f>
        <v>4134.3479398451391</v>
      </c>
      <c r="CZ19" s="4">
        <f t="shared" si="23"/>
        <v>4093.0044604466875</v>
      </c>
      <c r="DA19" s="4">
        <f t="shared" si="23"/>
        <v>4052.0744158422208</v>
      </c>
      <c r="DB19" s="4">
        <f t="shared" si="23"/>
        <v>4011.5536716837987</v>
      </c>
      <c r="DC19" s="4">
        <f t="shared" si="23"/>
        <v>3971.4381349669607</v>
      </c>
      <c r="DD19" s="4">
        <f t="shared" si="23"/>
        <v>3931.7237536172911</v>
      </c>
      <c r="DE19" s="4">
        <f t="shared" si="23"/>
        <v>3892.4065160811183</v>
      </c>
      <c r="DF19" s="4">
        <f t="shared" si="23"/>
        <v>3853.4824509203072</v>
      </c>
      <c r="DG19" s="4">
        <f t="shared" si="23"/>
        <v>3814.947626411104</v>
      </c>
      <c r="DH19" s="4">
        <f t="shared" si="23"/>
        <v>3776.7981501469931</v>
      </c>
      <c r="DI19" s="4">
        <f t="shared" si="23"/>
        <v>3739.0301686455232</v>
      </c>
      <c r="DJ19" s="4">
        <f t="shared" si="23"/>
        <v>3701.6398669590681</v>
      </c>
      <c r="DK19" s="4">
        <f t="shared" si="23"/>
        <v>3664.6234682894774</v>
      </c>
      <c r="DL19" s="4">
        <f t="shared" si="23"/>
        <v>3627.9772336065826</v>
      </c>
      <c r="DM19" s="4">
        <f t="shared" si="23"/>
        <v>3591.6974612705167</v>
      </c>
      <c r="DN19" s="4">
        <f t="shared" si="23"/>
        <v>3555.7804866578113</v>
      </c>
      <c r="DO19" s="4">
        <f t="shared" si="23"/>
        <v>3520.2226817912333</v>
      </c>
      <c r="DP19" s="4">
        <f t="shared" si="23"/>
        <v>3485.0204549733207</v>
      </c>
      <c r="DQ19" s="4">
        <f t="shared" si="23"/>
        <v>3450.1702504235873</v>
      </c>
      <c r="DR19" s="4">
        <f t="shared" si="23"/>
        <v>3415.6685479193516</v>
      </c>
      <c r="DS19" s="4">
        <f t="shared" si="23"/>
        <v>3381.511862440158</v>
      </c>
      <c r="DT19" s="4">
        <f t="shared" si="23"/>
        <v>3347.6967438157562</v>
      </c>
      <c r="DU19" s="4">
        <f t="shared" si="23"/>
        <v>3314.2197763775985</v>
      </c>
      <c r="DV19" s="4">
        <f t="shared" si="23"/>
        <v>3281.0775786138224</v>
      </c>
      <c r="DW19" s="4">
        <f t="shared" si="23"/>
        <v>3248.2668028276844</v>
      </c>
      <c r="DX19" s="4">
        <f t="shared" si="23"/>
        <v>3215.7841347994076</v>
      </c>
      <c r="DY19" s="4">
        <f t="shared" si="23"/>
        <v>3183.6262934514134</v>
      </c>
      <c r="DZ19" s="4">
        <f t="shared" si="23"/>
        <v>3151.7900305168992</v>
      </c>
      <c r="EA19" s="4">
        <f t="shared" si="23"/>
        <v>3120.2721302117302</v>
      </c>
      <c r="EB19" s="4">
        <f t="shared" si="23"/>
        <v>3089.0694089096128</v>
      </c>
      <c r="EC19" s="4">
        <f t="shared" si="23"/>
        <v>3058.1787148205167</v>
      </c>
      <c r="ED19" s="4">
        <f t="shared" si="23"/>
        <v>3027.5969276723117</v>
      </c>
      <c r="EE19" s="4">
        <f t="shared" si="23"/>
        <v>2997.3209583955886</v>
      </c>
    </row>
    <row r="20" spans="2:135" x14ac:dyDescent="0.3">
      <c r="B20" s="1" t="s">
        <v>2</v>
      </c>
      <c r="H20" s="3">
        <v>1330</v>
      </c>
      <c r="I20" s="3">
        <v>1330</v>
      </c>
      <c r="K20" s="3">
        <v>1330</v>
      </c>
      <c r="L20" s="3">
        <v>1330</v>
      </c>
      <c r="M20" s="3">
        <v>1330</v>
      </c>
      <c r="O20" s="3">
        <v>1330</v>
      </c>
      <c r="U20" s="3">
        <f t="shared" ref="U20:AK20" si="24">1332.1</f>
        <v>1332.1</v>
      </c>
      <c r="V20" s="3">
        <f t="shared" si="24"/>
        <v>1332.1</v>
      </c>
      <c r="W20" s="3">
        <f t="shared" si="24"/>
        <v>1332.1</v>
      </c>
      <c r="X20" s="3">
        <f t="shared" si="24"/>
        <v>1332.1</v>
      </c>
      <c r="Y20" s="3">
        <f t="shared" si="24"/>
        <v>1332.1</v>
      </c>
      <c r="Z20" s="3">
        <f t="shared" si="24"/>
        <v>1332.1</v>
      </c>
      <c r="AA20" s="3">
        <f t="shared" si="24"/>
        <v>1332.1</v>
      </c>
      <c r="AB20" s="3">
        <f t="shared" si="24"/>
        <v>1332.1</v>
      </c>
      <c r="AC20" s="3">
        <f t="shared" si="24"/>
        <v>1332.1</v>
      </c>
      <c r="AD20" s="3">
        <f t="shared" si="24"/>
        <v>1332.1</v>
      </c>
      <c r="AE20" s="3">
        <f t="shared" si="24"/>
        <v>1332.1</v>
      </c>
      <c r="AF20" s="3">
        <f t="shared" si="24"/>
        <v>1332.1</v>
      </c>
      <c r="AG20" s="3">
        <f t="shared" si="24"/>
        <v>1332.1</v>
      </c>
      <c r="AH20" s="3">
        <f t="shared" si="24"/>
        <v>1332.1</v>
      </c>
      <c r="AI20" s="3">
        <f t="shared" si="24"/>
        <v>1332.1</v>
      </c>
      <c r="AJ20" s="3">
        <f t="shared" si="24"/>
        <v>1332.1</v>
      </c>
      <c r="AK20" s="3">
        <f t="shared" si="24"/>
        <v>1332.1</v>
      </c>
    </row>
    <row r="21" spans="2:135" x14ac:dyDescent="0.3">
      <c r="B21" s="1" t="s">
        <v>40</v>
      </c>
      <c r="H21" s="6">
        <f>H19/H20</f>
        <v>0.9977443609022556</v>
      </c>
      <c r="I21" s="6">
        <f>I19/I20</f>
        <v>-0.73984962406015042</v>
      </c>
      <c r="K21" s="6">
        <f>K19/K20</f>
        <v>1.2849624060150375</v>
      </c>
      <c r="L21" s="6">
        <f>L19/L20</f>
        <v>8.3458646616541357E-2</v>
      </c>
      <c r="M21" s="6">
        <f>M19/M20</f>
        <v>1.1067669172932331</v>
      </c>
      <c r="O21" s="6">
        <f>O19/O20</f>
        <v>1.1541353383458646</v>
      </c>
      <c r="U21" s="6">
        <f t="shared" ref="U21:Z21" si="25">U19/U20</f>
        <v>2.6349373170182422</v>
      </c>
      <c r="V21" s="6">
        <f t="shared" si="25"/>
        <v>-2.3339088657007734</v>
      </c>
      <c r="W21" s="6">
        <f t="shared" si="25"/>
        <v>2.9254560468433302</v>
      </c>
      <c r="X21" s="6">
        <f t="shared" si="25"/>
        <v>3.9156219503040317</v>
      </c>
      <c r="Y21" s="6">
        <f t="shared" si="25"/>
        <v>2.3984685834396817</v>
      </c>
      <c r="Z21" s="6">
        <f t="shared" si="25"/>
        <v>3.5838150289017343</v>
      </c>
      <c r="AA21" s="6">
        <f t="shared" ref="AA21:AK21" si="26">AA19/AA20</f>
        <v>4.4558153652128309</v>
      </c>
      <c r="AB21" s="6">
        <f t="shared" si="26"/>
        <v>4.7424271379025678</v>
      </c>
      <c r="AC21" s="6">
        <f t="shared" si="26"/>
        <v>4.9432037576037873</v>
      </c>
      <c r="AD21" s="6">
        <f t="shared" si="26"/>
        <v>5.0810583790221173</v>
      </c>
      <c r="AE21" s="6">
        <f t="shared" si="26"/>
        <v>5.18814554145297</v>
      </c>
      <c r="AF21" s="6">
        <f t="shared" si="26"/>
        <v>5.3181279583087813</v>
      </c>
      <c r="AG21" s="6">
        <f t="shared" si="26"/>
        <v>5.4517532281763978</v>
      </c>
      <c r="AH21" s="6">
        <f t="shared" si="26"/>
        <v>5.5891280704512125</v>
      </c>
      <c r="AI21" s="6">
        <f t="shared" si="26"/>
        <v>5.7303623804485788</v>
      </c>
      <c r="AJ21" s="6">
        <f t="shared" si="26"/>
        <v>5.8755693244247018</v>
      </c>
      <c r="AK21" s="6">
        <f t="shared" si="26"/>
        <v>6.0248654374457296</v>
      </c>
    </row>
    <row r="23" spans="2:135" x14ac:dyDescent="0.3">
      <c r="B23" s="1" t="s">
        <v>42</v>
      </c>
      <c r="C23" s="7"/>
      <c r="D23" s="7"/>
      <c r="E23" s="7"/>
      <c r="F23" s="7"/>
      <c r="G23" s="7"/>
      <c r="H23" s="7" t="e">
        <f t="shared" ref="H23:K23" si="27">H9/D9-1</f>
        <v>#DIV/0!</v>
      </c>
      <c r="I23" s="7" t="e">
        <f t="shared" si="27"/>
        <v>#DIV/0!</v>
      </c>
      <c r="J23" s="7" t="e">
        <f t="shared" si="27"/>
        <v>#DIV/0!</v>
      </c>
      <c r="K23" s="7" t="e">
        <f t="shared" si="27"/>
        <v>#DIV/0!</v>
      </c>
      <c r="L23" s="7">
        <f>L3/H3-1</f>
        <v>8.5825068973230945E-2</v>
      </c>
      <c r="U23" s="7"/>
      <c r="V23" s="7">
        <f>V3/U3-1</f>
        <v>0.31277653191102495</v>
      </c>
      <c r="W23" s="7">
        <f t="shared" ref="W23:Z23" si="28">W3/V3-1</f>
        <v>0.13737620905376402</v>
      </c>
      <c r="X23" s="7">
        <f t="shared" si="28"/>
        <v>3.0505378526486604E-2</v>
      </c>
      <c r="Y23" s="7">
        <f t="shared" si="28"/>
        <v>-2.3673999960609038E-2</v>
      </c>
      <c r="Z23" s="7">
        <f t="shared" si="28"/>
        <v>0.20255794718686326</v>
      </c>
      <c r="AA23" s="7">
        <f t="shared" ref="AA23:AA25" si="29">AA3/Z3-1</f>
        <v>7.0000000000000062E-2</v>
      </c>
      <c r="AB23" s="7">
        <f t="shared" ref="AB23:AB25" si="30">AB3/AA3-1</f>
        <v>5.0000000000000044E-2</v>
      </c>
      <c r="AC23" s="7">
        <f t="shared" ref="AC23:AC25" si="31">AC3/AB3-1</f>
        <v>3.0000000000000027E-2</v>
      </c>
      <c r="AD23" s="7">
        <f t="shared" ref="AD23:AD25" si="32">AD3/AC3-1</f>
        <v>2.0000000000000018E-2</v>
      </c>
      <c r="AE23" s="7">
        <f t="shared" ref="AE23:AE25" si="33">AE3/AD3-1</f>
        <v>1.0000000000000009E-2</v>
      </c>
      <c r="AF23" s="7">
        <f t="shared" ref="AF23:AF25" si="34">AF3/AE3-1</f>
        <v>1.0000000000000009E-2</v>
      </c>
      <c r="AG23" s="7">
        <f t="shared" ref="AG23:AG25" si="35">AG3/AF3-1</f>
        <v>1.0000000000000009E-2</v>
      </c>
      <c r="AH23" s="7">
        <f t="shared" ref="AH23:AH25" si="36">AH3/AG3-1</f>
        <v>1.0000000000000009E-2</v>
      </c>
      <c r="AI23" s="7">
        <f t="shared" ref="AI23:AI25" si="37">AI3/AH3-1</f>
        <v>1.0000000000000009E-2</v>
      </c>
      <c r="AJ23" s="7">
        <f t="shared" ref="AJ23:AJ25" si="38">AJ3/AI3-1</f>
        <v>1.0000000000000009E-2</v>
      </c>
      <c r="AK23" s="7">
        <f t="shared" ref="AK23:AK25" si="39">AK3/AJ3-1</f>
        <v>1.0000000000000009E-2</v>
      </c>
    </row>
    <row r="24" spans="2:135" x14ac:dyDescent="0.3">
      <c r="B24" s="1" t="s">
        <v>43</v>
      </c>
      <c r="C24" s="7"/>
      <c r="D24" s="7"/>
      <c r="E24" s="7"/>
      <c r="F24" s="7"/>
      <c r="G24" s="7"/>
      <c r="H24" s="7" t="e">
        <f t="shared" ref="H24:K24" si="40">H10/#REF!-1</f>
        <v>#REF!</v>
      </c>
      <c r="I24" s="7" t="e">
        <f t="shared" si="40"/>
        <v>#REF!</v>
      </c>
      <c r="J24" s="7" t="e">
        <f t="shared" si="40"/>
        <v>#REF!</v>
      </c>
      <c r="K24" s="7" t="e">
        <f t="shared" si="40"/>
        <v>#REF!</v>
      </c>
      <c r="L24" s="7">
        <f t="shared" ref="L24:L25" si="41">L4/H4-1</f>
        <v>5.1998368678629614E-2</v>
      </c>
      <c r="U24" s="7"/>
      <c r="V24" s="7">
        <f t="shared" ref="V24:Z25" si="42">V4/U4-1</f>
        <v>7.4245000404825623E-2</v>
      </c>
      <c r="W24" s="7">
        <f t="shared" si="42"/>
        <v>0.13943322279167925</v>
      </c>
      <c r="X24" s="7">
        <f t="shared" si="42"/>
        <v>7.8251091414208274E-2</v>
      </c>
      <c r="Y24" s="7">
        <f t="shared" si="42"/>
        <v>0.18698239371817671</v>
      </c>
      <c r="Z24" s="7">
        <f t="shared" si="42"/>
        <v>9.1839371543749104E-2</v>
      </c>
      <c r="AA24" s="7">
        <f t="shared" si="29"/>
        <v>8.0000000000000071E-2</v>
      </c>
      <c r="AB24" s="7">
        <f t="shared" si="30"/>
        <v>5.0000000000000044E-2</v>
      </c>
      <c r="AC24" s="7">
        <f t="shared" si="31"/>
        <v>4.0000000000000036E-2</v>
      </c>
      <c r="AD24" s="7">
        <f t="shared" si="32"/>
        <v>3.0000000000000027E-2</v>
      </c>
      <c r="AE24" s="7">
        <f t="shared" si="33"/>
        <v>3.0000000000000027E-2</v>
      </c>
      <c r="AF24" s="7">
        <f t="shared" si="34"/>
        <v>3.0000000000000027E-2</v>
      </c>
      <c r="AG24" s="7">
        <f t="shared" si="35"/>
        <v>3.0000000000000027E-2</v>
      </c>
      <c r="AH24" s="7">
        <f t="shared" si="36"/>
        <v>3.0000000000000027E-2</v>
      </c>
      <c r="AI24" s="7">
        <f t="shared" si="37"/>
        <v>3.0000000000000027E-2</v>
      </c>
      <c r="AJ24" s="7">
        <f t="shared" si="38"/>
        <v>3.0000000000000027E-2</v>
      </c>
      <c r="AK24" s="7">
        <f t="shared" si="39"/>
        <v>3.0000000000000027E-2</v>
      </c>
    </row>
    <row r="25" spans="2:135" s="4" customFormat="1" x14ac:dyDescent="0.3">
      <c r="B25" s="4" t="s">
        <v>41</v>
      </c>
      <c r="C25" s="7"/>
      <c r="D25" s="7"/>
      <c r="E25" s="7"/>
      <c r="F25" s="7"/>
      <c r="G25" s="7"/>
      <c r="H25" s="7" t="e">
        <f t="shared" ref="H25:K25" si="43">H11/#REF!-1</f>
        <v>#REF!</v>
      </c>
      <c r="I25" s="7" t="e">
        <f t="shared" si="43"/>
        <v>#REF!</v>
      </c>
      <c r="J25" s="7" t="e">
        <f t="shared" si="43"/>
        <v>#REF!</v>
      </c>
      <c r="K25" s="7" t="e">
        <f t="shared" si="43"/>
        <v>#REF!</v>
      </c>
      <c r="L25" s="7">
        <f t="shared" si="41"/>
        <v>7.6767676767676818E-2</v>
      </c>
      <c r="U25" s="7"/>
      <c r="V25" s="7">
        <f t="shared" si="42"/>
        <v>0.24781141811285812</v>
      </c>
      <c r="W25" s="7">
        <f t="shared" si="42"/>
        <v>0.1378585187410537</v>
      </c>
      <c r="X25" s="7">
        <f t="shared" si="42"/>
        <v>4.1715847673479578E-2</v>
      </c>
      <c r="Y25" s="7">
        <f t="shared" si="42"/>
        <v>2.7521841548140857E-2</v>
      </c>
      <c r="Z25" s="7">
        <f t="shared" si="42"/>
        <v>0.17147417295414979</v>
      </c>
      <c r="AA25" s="7">
        <f t="shared" si="29"/>
        <v>7.2616611756546101E-2</v>
      </c>
      <c r="AB25" s="7">
        <f t="shared" si="30"/>
        <v>5.0000000000000044E-2</v>
      </c>
      <c r="AC25" s="7">
        <f t="shared" si="31"/>
        <v>3.2634623281138309E-2</v>
      </c>
      <c r="AD25" s="7">
        <f t="shared" si="32"/>
        <v>2.2653415013025313E-2</v>
      </c>
      <c r="AE25" s="7">
        <f t="shared" si="33"/>
        <v>1.5344953477481438E-2</v>
      </c>
      <c r="AF25" s="7">
        <f t="shared" si="34"/>
        <v>1.5422100206388567E-2</v>
      </c>
      <c r="AG25" s="7">
        <f t="shared" si="35"/>
        <v>1.5499942547483547E-2</v>
      </c>
      <c r="AH25" s="7">
        <f t="shared" si="36"/>
        <v>1.5578474785234109E-2</v>
      </c>
      <c r="AI25" s="7">
        <f t="shared" si="37"/>
        <v>1.5657690834779192E-2</v>
      </c>
      <c r="AJ25" s="7">
        <f t="shared" si="38"/>
        <v>1.573758423965943E-2</v>
      </c>
      <c r="AK25" s="7">
        <f t="shared" si="39"/>
        <v>1.5818148169906676E-2</v>
      </c>
      <c r="AN25" s="1" t="s">
        <v>55</v>
      </c>
      <c r="AO25" s="7">
        <v>-0.01</v>
      </c>
    </row>
    <row r="26" spans="2:135" x14ac:dyDescent="0.3">
      <c r="B26" s="1" t="s">
        <v>44</v>
      </c>
      <c r="C26" s="7" t="e">
        <f t="shared" ref="C26:K26" si="44">(C3-C6)/C3</f>
        <v>#DIV/0!</v>
      </c>
      <c r="D26" s="7" t="e">
        <f t="shared" si="44"/>
        <v>#DIV/0!</v>
      </c>
      <c r="E26" s="7" t="e">
        <f t="shared" si="44"/>
        <v>#DIV/0!</v>
      </c>
      <c r="F26" s="7" t="e">
        <f t="shared" si="44"/>
        <v>#DIV/0!</v>
      </c>
      <c r="G26" s="7" t="e">
        <f t="shared" si="44"/>
        <v>#DIV/0!</v>
      </c>
      <c r="H26" s="7">
        <f t="shared" si="44"/>
        <v>0.17314145104764744</v>
      </c>
      <c r="I26" s="7">
        <f t="shared" si="44"/>
        <v>-7.8235635519442834E-2</v>
      </c>
      <c r="J26" s="7" t="e">
        <f t="shared" si="44"/>
        <v>#DIV/0!</v>
      </c>
      <c r="K26" s="7">
        <f t="shared" si="44"/>
        <v>0.14591344473187443</v>
      </c>
      <c r="L26" s="7">
        <f>(L3-L6)/L3</f>
        <v>0.13301744265897542</v>
      </c>
      <c r="U26" s="7">
        <f>(U3-U6)/U3</f>
        <v>0.18449603006242801</v>
      </c>
      <c r="V26" s="7">
        <f>(V3-V6)/V3</f>
        <v>0.11962418338373462</v>
      </c>
      <c r="W26" s="7">
        <f t="shared" ref="W26:Z26" si="45">(W3-W6)/W3</f>
        <v>0.16592246803328597</v>
      </c>
      <c r="X26" s="7">
        <f t="shared" si="45"/>
        <v>0.17422645894471472</v>
      </c>
      <c r="Y26" s="7">
        <f t="shared" si="45"/>
        <v>0.1239837808396038</v>
      </c>
      <c r="Z26" s="7">
        <f t="shared" si="45"/>
        <v>0.14835939072669932</v>
      </c>
      <c r="AA26" s="7">
        <f t="shared" ref="AA26:AK26" si="46">(AA3-AA6)/AA3</f>
        <v>0.15000000000000002</v>
      </c>
      <c r="AB26" s="7">
        <f t="shared" si="46"/>
        <v>0.15</v>
      </c>
      <c r="AC26" s="7">
        <f t="shared" si="46"/>
        <v>0.15000000000000002</v>
      </c>
      <c r="AD26" s="7">
        <f t="shared" si="46"/>
        <v>0.14999999999999997</v>
      </c>
      <c r="AE26" s="7">
        <f t="shared" si="46"/>
        <v>0.15</v>
      </c>
      <c r="AF26" s="7">
        <f t="shared" si="46"/>
        <v>0.15000000000000002</v>
      </c>
      <c r="AG26" s="7">
        <f t="shared" si="46"/>
        <v>0.15000000000000002</v>
      </c>
      <c r="AH26" s="7">
        <f t="shared" si="46"/>
        <v>0.15000000000000002</v>
      </c>
      <c r="AI26" s="7">
        <f t="shared" si="46"/>
        <v>0.15000000000000002</v>
      </c>
      <c r="AJ26" s="7">
        <f t="shared" si="46"/>
        <v>0.15000000000000002</v>
      </c>
      <c r="AK26" s="7">
        <f t="shared" si="46"/>
        <v>0.15</v>
      </c>
      <c r="AN26" s="1" t="s">
        <v>56</v>
      </c>
      <c r="AO26" s="7">
        <v>0.06</v>
      </c>
    </row>
    <row r="27" spans="2:135" x14ac:dyDescent="0.3">
      <c r="B27" s="1" t="s">
        <v>45</v>
      </c>
      <c r="C27" s="7" t="e">
        <f t="shared" ref="C27:K27" si="47">(C4-C7)/C4</f>
        <v>#DIV/0!</v>
      </c>
      <c r="D27" s="7" t="e">
        <f t="shared" si="47"/>
        <v>#DIV/0!</v>
      </c>
      <c r="E27" s="7" t="e">
        <f t="shared" si="47"/>
        <v>#DIV/0!</v>
      </c>
      <c r="F27" s="7" t="e">
        <f t="shared" si="47"/>
        <v>#DIV/0!</v>
      </c>
      <c r="G27" s="7" t="e">
        <f t="shared" si="47"/>
        <v>#DIV/0!</v>
      </c>
      <c r="H27" s="7">
        <f t="shared" si="47"/>
        <v>0.30077487765089722</v>
      </c>
      <c r="I27" s="7">
        <f t="shared" si="47"/>
        <v>0.28624458651268303</v>
      </c>
      <c r="J27" s="7" t="e">
        <f t="shared" si="47"/>
        <v>#DIV/0!</v>
      </c>
      <c r="K27" s="7">
        <f t="shared" si="47"/>
        <v>0.29468212714914033</v>
      </c>
      <c r="L27" s="7">
        <f>(L4-L7)/L4</f>
        <v>0.3184725722039155</v>
      </c>
      <c r="U27" s="7">
        <f>(U4-U7)/U4</f>
        <v>0.37754028013926</v>
      </c>
      <c r="V27" s="7">
        <f>(V4-V7)/V4</f>
        <v>0.25241181790774797</v>
      </c>
      <c r="W27" s="7">
        <f t="shared" ref="W27:Z27" si="48">(W4-W7)/W4</f>
        <v>0.28548749834634213</v>
      </c>
      <c r="X27" s="7">
        <f t="shared" si="48"/>
        <v>0.29581007300165635</v>
      </c>
      <c r="Y27" s="7">
        <f t="shared" si="48"/>
        <v>0.30714765620962325</v>
      </c>
      <c r="Z27" s="7">
        <f t="shared" si="48"/>
        <v>0.3108018555334659</v>
      </c>
      <c r="AA27" s="7">
        <f t="shared" ref="AA27:AK27" si="49">(AA4-AA7)/AA4</f>
        <v>0.31000000000000005</v>
      </c>
      <c r="AB27" s="7">
        <f t="shared" si="49"/>
        <v>0.31</v>
      </c>
      <c r="AC27" s="7">
        <f t="shared" si="49"/>
        <v>0.31000000000000011</v>
      </c>
      <c r="AD27" s="7">
        <f t="shared" si="49"/>
        <v>0.31000000000000005</v>
      </c>
      <c r="AE27" s="7">
        <f t="shared" si="49"/>
        <v>0.31000000000000011</v>
      </c>
      <c r="AF27" s="7">
        <f t="shared" si="49"/>
        <v>0.31</v>
      </c>
      <c r="AG27" s="7">
        <f t="shared" si="49"/>
        <v>0.31000000000000005</v>
      </c>
      <c r="AH27" s="7">
        <f t="shared" si="49"/>
        <v>0.31</v>
      </c>
      <c r="AI27" s="7">
        <f t="shared" si="49"/>
        <v>0.31000000000000005</v>
      </c>
      <c r="AJ27" s="7">
        <f t="shared" si="49"/>
        <v>0.31000000000000005</v>
      </c>
      <c r="AK27" s="7">
        <f t="shared" si="49"/>
        <v>0.31</v>
      </c>
      <c r="AN27" s="1" t="s">
        <v>57</v>
      </c>
      <c r="AO27" s="3">
        <f>NPV(AO26,AA19:EE19)</f>
        <v>114608.19006879516</v>
      </c>
    </row>
    <row r="28" spans="2:135" x14ac:dyDescent="0.3">
      <c r="B28" s="1" t="s">
        <v>46</v>
      </c>
      <c r="C28" s="7" t="e">
        <f t="shared" ref="C28:K28" si="50">C9/C5</f>
        <v>#DIV/0!</v>
      </c>
      <c r="D28" s="7" t="e">
        <f t="shared" si="50"/>
        <v>#DIV/0!</v>
      </c>
      <c r="E28" s="7" t="e">
        <f t="shared" si="50"/>
        <v>#DIV/0!</v>
      </c>
      <c r="F28" s="7" t="e">
        <f t="shared" si="50"/>
        <v>#DIV/0!</v>
      </c>
      <c r="G28" s="7" t="e">
        <f t="shared" si="50"/>
        <v>#DIV/0!</v>
      </c>
      <c r="H28" s="7">
        <f t="shared" si="50"/>
        <v>0.20731640731640733</v>
      </c>
      <c r="I28" s="7">
        <f t="shared" si="50"/>
        <v>5.3030303030303032E-2</v>
      </c>
      <c r="J28" s="7" t="e">
        <f t="shared" si="50"/>
        <v>#DIV/0!</v>
      </c>
      <c r="K28" s="7">
        <f t="shared" si="50"/>
        <v>0.18445998445998446</v>
      </c>
      <c r="L28" s="7">
        <f>L9/L5</f>
        <v>0.18153237665432786</v>
      </c>
      <c r="U28" s="7">
        <f>U9/U5</f>
        <v>0.23707248230390968</v>
      </c>
      <c r="V28" s="7">
        <f>V9/V5</f>
        <v>0.15075900825277891</v>
      </c>
      <c r="W28" s="7">
        <f t="shared" ref="W28:Z28" si="51">W9/W5</f>
        <v>0.19399577561036219</v>
      </c>
      <c r="X28" s="7">
        <f t="shared" si="51"/>
        <v>0.20377493514625639</v>
      </c>
      <c r="Y28" s="7">
        <f t="shared" si="51"/>
        <v>0.17540626813697041</v>
      </c>
      <c r="Z28" s="7">
        <f t="shared" si="51"/>
        <v>0.19086427704426664</v>
      </c>
      <c r="AA28" s="7">
        <f t="shared" ref="AA28:AK28" si="52">AA9/AA5</f>
        <v>0.19215397249821378</v>
      </c>
      <c r="AB28" s="7">
        <f t="shared" si="52"/>
        <v>0.19215397249821375</v>
      </c>
      <c r="AC28" s="7">
        <f t="shared" si="52"/>
        <v>0.19245464020840466</v>
      </c>
      <c r="AD28" s="7">
        <f t="shared" si="52"/>
        <v>0.19275962781985115</v>
      </c>
      <c r="AE28" s="7">
        <f t="shared" si="52"/>
        <v>0.19337680165110857</v>
      </c>
      <c r="AF28" s="7">
        <f t="shared" si="52"/>
        <v>0.19399954037986841</v>
      </c>
      <c r="AG28" s="7">
        <f t="shared" si="52"/>
        <v>0.19462779828187485</v>
      </c>
      <c r="AH28" s="7">
        <f t="shared" si="52"/>
        <v>0.19526152667823291</v>
      </c>
      <c r="AI28" s="7">
        <f t="shared" si="52"/>
        <v>0.19590067391727528</v>
      </c>
      <c r="AJ28" s="7">
        <f t="shared" si="52"/>
        <v>0.19654518535925172</v>
      </c>
      <c r="AK28" s="7">
        <f t="shared" si="52"/>
        <v>0.19719500336393919</v>
      </c>
      <c r="AN28" s="1" t="s">
        <v>58</v>
      </c>
      <c r="AO28" s="3">
        <f>Main!D8</f>
        <v>-36143</v>
      </c>
    </row>
    <row r="29" spans="2:135" x14ac:dyDescent="0.3">
      <c r="B29" s="1" t="s">
        <v>47</v>
      </c>
      <c r="C29" s="7"/>
      <c r="D29" s="7"/>
      <c r="E29" s="7"/>
      <c r="F29" s="7"/>
      <c r="G29" s="7"/>
      <c r="H29" s="7" t="e">
        <f t="shared" ref="H29:K29" si="53">H10/D10-1</f>
        <v>#DIV/0!</v>
      </c>
      <c r="I29" s="7" t="e">
        <f t="shared" si="53"/>
        <v>#DIV/0!</v>
      </c>
      <c r="J29" s="7" t="e">
        <f t="shared" si="53"/>
        <v>#DIV/0!</v>
      </c>
      <c r="K29" s="7" t="e">
        <f t="shared" si="53"/>
        <v>#DIV/0!</v>
      </c>
      <c r="L29" s="7">
        <f>L10/H10-1</f>
        <v>-3.1550068587105629E-2</v>
      </c>
      <c r="U29" s="7"/>
      <c r="V29" s="7">
        <f>V10/U10-1</f>
        <v>5.3017944535073358E-2</v>
      </c>
      <c r="W29" s="7">
        <f t="shared" ref="W29:Z29" si="54">W10/V10-1</f>
        <v>5.8094500387296577E-2</v>
      </c>
      <c r="X29" s="7">
        <f t="shared" si="54"/>
        <v>-7.6866764275256294E-3</v>
      </c>
      <c r="Y29" s="7">
        <f t="shared" si="54"/>
        <v>3.4673552194762092E-2</v>
      </c>
      <c r="Z29" s="7">
        <f t="shared" si="54"/>
        <v>4.5989304812834142E-2</v>
      </c>
      <c r="AA29" s="7">
        <f t="shared" ref="AA29" si="55">AA10/Z10-1</f>
        <v>2.0000000000000018E-2</v>
      </c>
      <c r="AB29" s="7">
        <f t="shared" ref="AB29" si="56">AB10/AA10-1</f>
        <v>2.0000000000000018E-2</v>
      </c>
      <c r="AC29" s="7">
        <f t="shared" ref="AC29" si="57">AC10/AB10-1</f>
        <v>2.0000000000000018E-2</v>
      </c>
      <c r="AD29" s="7">
        <f t="shared" ref="AD29" si="58">AD10/AC10-1</f>
        <v>2.0000000000000018E-2</v>
      </c>
      <c r="AE29" s="7">
        <f t="shared" ref="AE29" si="59">AE10/AD10-1</f>
        <v>2.0000000000000018E-2</v>
      </c>
      <c r="AF29" s="7">
        <f t="shared" ref="AF29" si="60">AF10/AE10-1</f>
        <v>1.0000000000000009E-2</v>
      </c>
      <c r="AG29" s="7">
        <f t="shared" ref="AG29" si="61">AG10/AF10-1</f>
        <v>1.0000000000000009E-2</v>
      </c>
      <c r="AH29" s="7">
        <f t="shared" ref="AH29" si="62">AH10/AG10-1</f>
        <v>1.0000000000000009E-2</v>
      </c>
      <c r="AI29" s="7">
        <f t="shared" ref="AI29" si="63">AI10/AH10-1</f>
        <v>1.0000000000000009E-2</v>
      </c>
      <c r="AJ29" s="7">
        <f t="shared" ref="AJ29" si="64">AJ10/AI10-1</f>
        <v>1.0000000000000009E-2</v>
      </c>
      <c r="AK29" s="7">
        <f t="shared" ref="AK29" si="65">AK10/AJ10-1</f>
        <v>1.0000000000000009E-2</v>
      </c>
      <c r="AN29" s="1" t="s">
        <v>59</v>
      </c>
      <c r="AO29" s="3">
        <f>AO27+AO28</f>
        <v>78465.190068795157</v>
      </c>
    </row>
    <row r="30" spans="2:135" x14ac:dyDescent="0.3">
      <c r="B30" s="1" t="s">
        <v>48</v>
      </c>
      <c r="C30" s="7" t="e">
        <f t="shared" ref="C30:K30" si="66">C11/C5</f>
        <v>#DIV/0!</v>
      </c>
      <c r="D30" s="7" t="e">
        <f t="shared" si="66"/>
        <v>#DIV/0!</v>
      </c>
      <c r="E30" s="7" t="e">
        <f t="shared" si="66"/>
        <v>#DIV/0!</v>
      </c>
      <c r="F30" s="7" t="e">
        <f t="shared" si="66"/>
        <v>#DIV/0!</v>
      </c>
      <c r="G30" s="7" t="e">
        <f t="shared" si="66"/>
        <v>#DIV/0!</v>
      </c>
      <c r="H30" s="7">
        <f t="shared" si="66"/>
        <v>8.7360087360087366E-2</v>
      </c>
      <c r="I30" s="7">
        <f t="shared" si="66"/>
        <v>0.10405525846702317</v>
      </c>
      <c r="J30" s="7" t="e">
        <f t="shared" si="66"/>
        <v>#DIV/0!</v>
      </c>
      <c r="K30" s="7">
        <f t="shared" si="66"/>
        <v>7.2209272209272216E-2</v>
      </c>
      <c r="L30" s="7">
        <f>L11/L5</f>
        <v>7.3474975914000304E-2</v>
      </c>
      <c r="U30" s="7">
        <f>U11/U5</f>
        <v>8.1832013936360234E-2</v>
      </c>
      <c r="V30" s="7">
        <f>V11/V5</f>
        <v>9.7902345061586585E-2</v>
      </c>
      <c r="W30" s="7">
        <f t="shared" ref="W30:Z30" si="67">W11/W5</f>
        <v>8.1133130396968373E-2</v>
      </c>
      <c r="X30" s="7">
        <f t="shared" si="67"/>
        <v>8.308733637475027E-2</v>
      </c>
      <c r="Y30" s="7">
        <f t="shared" si="67"/>
        <v>8.4286128845037722E-2</v>
      </c>
      <c r="Z30" s="7">
        <f t="shared" si="67"/>
        <v>7.1911615348410909E-2</v>
      </c>
      <c r="AA30" s="7">
        <f t="shared" ref="AA30:AK30" si="68">AA11/AA5</f>
        <v>7.0000000000000007E-2</v>
      </c>
      <c r="AB30" s="7">
        <f t="shared" si="68"/>
        <v>7.0000000000000007E-2</v>
      </c>
      <c r="AC30" s="7">
        <f t="shared" si="68"/>
        <v>7.0000000000000007E-2</v>
      </c>
      <c r="AD30" s="7">
        <f t="shared" si="68"/>
        <v>7.0000000000000007E-2</v>
      </c>
      <c r="AE30" s="7">
        <f t="shared" si="68"/>
        <v>7.0000000000000007E-2</v>
      </c>
      <c r="AF30" s="7">
        <f t="shared" si="68"/>
        <v>7.0000000000000007E-2</v>
      </c>
      <c r="AG30" s="7">
        <f t="shared" si="68"/>
        <v>7.0000000000000007E-2</v>
      </c>
      <c r="AH30" s="7">
        <f t="shared" si="68"/>
        <v>7.0000000000000007E-2</v>
      </c>
      <c r="AI30" s="7">
        <f t="shared" si="68"/>
        <v>7.0000000000000007E-2</v>
      </c>
      <c r="AJ30" s="7">
        <f t="shared" si="68"/>
        <v>7.0000000000000007E-2</v>
      </c>
      <c r="AK30" s="7">
        <f t="shared" si="68"/>
        <v>7.0000000000000007E-2</v>
      </c>
      <c r="AN30" s="1" t="s">
        <v>60</v>
      </c>
      <c r="AO30" s="9">
        <f>AO29/AK20</f>
        <v>58.903378176409554</v>
      </c>
    </row>
    <row r="31" spans="2:135" x14ac:dyDescent="0.3">
      <c r="B31" s="1" t="s">
        <v>49</v>
      </c>
      <c r="C31" s="7" t="e">
        <f t="shared" ref="C31:K31" si="69">C12/C5</f>
        <v>#DIV/0!</v>
      </c>
      <c r="D31" s="7" t="e">
        <f t="shared" si="69"/>
        <v>#DIV/0!</v>
      </c>
      <c r="E31" s="7" t="e">
        <f t="shared" si="69"/>
        <v>#DIV/0!</v>
      </c>
      <c r="F31" s="7" t="e">
        <f t="shared" si="69"/>
        <v>#DIV/0!</v>
      </c>
      <c r="G31" s="7" t="e">
        <f t="shared" si="69"/>
        <v>#DIV/0!</v>
      </c>
      <c r="H31" s="7">
        <f t="shared" si="69"/>
        <v>8.0152880152880149E-2</v>
      </c>
      <c r="I31" s="7">
        <f t="shared" si="69"/>
        <v>-0.10390671420083185</v>
      </c>
      <c r="J31" s="7" t="e">
        <f t="shared" si="69"/>
        <v>#DIV/0!</v>
      </c>
      <c r="K31" s="7">
        <f t="shared" si="69"/>
        <v>7.75964775964776E-2</v>
      </c>
      <c r="L31" s="7">
        <f>L12/L5</f>
        <v>7.2257999087267377E-2</v>
      </c>
      <c r="U31" s="7">
        <f>U12/U5</f>
        <v>0.10117091887362456</v>
      </c>
      <c r="V31" s="7">
        <f>V12/V5</f>
        <v>7.2278085072543163E-3</v>
      </c>
      <c r="W31" s="7">
        <f t="shared" ref="W31:Z31" si="70">W12/W5</f>
        <v>7.043237870410636E-2</v>
      </c>
      <c r="X31" s="7">
        <f t="shared" si="70"/>
        <v>8.0269553030980711E-2</v>
      </c>
      <c r="Y31" s="7">
        <f t="shared" si="70"/>
        <v>5.0420777713290774E-2</v>
      </c>
      <c r="Z31" s="7">
        <f t="shared" si="70"/>
        <v>8.2612896034085559E-2</v>
      </c>
      <c r="AA31" s="7">
        <f t="shared" ref="AA31:AK31" si="71">AA12/AA5</f>
        <v>8.7596833844259536E-2</v>
      </c>
      <c r="AB31" s="7">
        <f t="shared" si="71"/>
        <v>8.8584180662943907E-2</v>
      </c>
      <c r="AC31" s="7">
        <f t="shared" si="71"/>
        <v>8.9295585785867687E-2</v>
      </c>
      <c r="AD31" s="7">
        <f t="shared" si="71"/>
        <v>8.9686609127045139E-2</v>
      </c>
      <c r="AE31" s="7">
        <f t="shared" si="71"/>
        <v>9.0152153268188012E-2</v>
      </c>
      <c r="AF31" s="7">
        <f t="shared" si="71"/>
        <v>9.0952303314682209E-2</v>
      </c>
      <c r="AG31" s="7">
        <f t="shared" si="71"/>
        <v>9.1759544885319524E-2</v>
      </c>
      <c r="AH31" s="7">
        <f t="shared" si="71"/>
        <v>9.2573815433130868E-2</v>
      </c>
      <c r="AI31" s="7">
        <f t="shared" si="71"/>
        <v>9.3395048591464899E-2</v>
      </c>
      <c r="AJ31" s="7">
        <f t="shared" si="71"/>
        <v>9.4223174154316178E-2</v>
      </c>
      <c r="AK31" s="7">
        <f t="shared" si="71"/>
        <v>9.5058118060404859E-2</v>
      </c>
      <c r="AN31" s="1" t="s">
        <v>61</v>
      </c>
      <c r="AO31" s="9">
        <f>Main!D3</f>
        <v>119.35</v>
      </c>
    </row>
    <row r="32" spans="2:135" x14ac:dyDescent="0.3">
      <c r="B32" s="1" t="s">
        <v>37</v>
      </c>
      <c r="C32" s="7" t="e">
        <f t="shared" ref="C32:K32" si="72">C17/C16</f>
        <v>#DIV/0!</v>
      </c>
      <c r="D32" s="7" t="e">
        <f t="shared" si="72"/>
        <v>#DIV/0!</v>
      </c>
      <c r="E32" s="7" t="e">
        <f t="shared" si="72"/>
        <v>#DIV/0!</v>
      </c>
      <c r="F32" s="7" t="e">
        <f t="shared" si="72"/>
        <v>#DIV/0!</v>
      </c>
      <c r="G32" s="7" t="e">
        <f t="shared" si="72"/>
        <v>#DIV/0!</v>
      </c>
      <c r="H32" s="7">
        <f t="shared" si="72"/>
        <v>0.15432482887367766</v>
      </c>
      <c r="I32" s="7">
        <f t="shared" si="72"/>
        <v>0.29425113464447805</v>
      </c>
      <c r="J32" s="7" t="e">
        <f t="shared" si="72"/>
        <v>#DIV/0!</v>
      </c>
      <c r="K32" s="7">
        <f t="shared" si="72"/>
        <v>5.834683954619125E-2</v>
      </c>
      <c r="L32" s="7">
        <f>L17/L16</f>
        <v>0.59112149532710279</v>
      </c>
      <c r="U32" s="7">
        <f>U17/U16</f>
        <v>0.10139691714836223</v>
      </c>
      <c r="V32" s="7">
        <f>V17/V16</f>
        <v>-0.24436889077773055</v>
      </c>
      <c r="W32" s="7">
        <f t="shared" ref="W32:Z32" si="73">W17/W16</f>
        <v>0.15939971608193065</v>
      </c>
      <c r="X32" s="7">
        <f t="shared" si="73"/>
        <v>0.12914827529834885</v>
      </c>
      <c r="Y32" s="7">
        <f t="shared" si="73"/>
        <v>0.11887382690302398</v>
      </c>
      <c r="Z32" s="7">
        <f t="shared" si="73"/>
        <v>0.19066838876331935</v>
      </c>
      <c r="AA32" s="7">
        <f t="shared" ref="AA32:AK32" si="74">AA17/AA16</f>
        <v>0.15</v>
      </c>
      <c r="AB32" s="7">
        <f t="shared" si="74"/>
        <v>0.15</v>
      </c>
      <c r="AC32" s="7">
        <f t="shared" si="74"/>
        <v>0.15</v>
      </c>
      <c r="AD32" s="7">
        <f t="shared" si="74"/>
        <v>0.15</v>
      </c>
      <c r="AE32" s="7">
        <f t="shared" si="74"/>
        <v>0.15</v>
      </c>
      <c r="AF32" s="7">
        <f t="shared" si="74"/>
        <v>0.15</v>
      </c>
      <c r="AG32" s="7">
        <f t="shared" si="74"/>
        <v>0.15</v>
      </c>
      <c r="AH32" s="7">
        <f t="shared" si="74"/>
        <v>0.15</v>
      </c>
      <c r="AI32" s="7">
        <f t="shared" si="74"/>
        <v>0.15</v>
      </c>
      <c r="AJ32" s="7">
        <f t="shared" si="74"/>
        <v>0.15</v>
      </c>
      <c r="AK32" s="7">
        <f t="shared" si="74"/>
        <v>0.15</v>
      </c>
      <c r="AN32" s="4" t="s">
        <v>62</v>
      </c>
      <c r="AO32" s="12">
        <f>AO30/AO31-1</f>
        <v>-0.50646520170582687</v>
      </c>
    </row>
    <row r="33" spans="2:41" x14ac:dyDescent="0.3">
      <c r="B33" s="1" t="s">
        <v>38</v>
      </c>
      <c r="C33" s="7" t="e">
        <f t="shared" ref="C33:K33" si="75">C18/C5</f>
        <v>#DIV/0!</v>
      </c>
      <c r="D33" s="7" t="e">
        <f t="shared" si="75"/>
        <v>#DIV/0!</v>
      </c>
      <c r="E33" s="7" t="e">
        <f t="shared" si="75"/>
        <v>#DIV/0!</v>
      </c>
      <c r="F33" s="7" t="e">
        <f t="shared" si="75"/>
        <v>#DIV/0!</v>
      </c>
      <c r="G33" s="7" t="e">
        <f t="shared" si="75"/>
        <v>#DIV/0!</v>
      </c>
      <c r="H33" s="7">
        <f t="shared" si="75"/>
        <v>1.7472017472017472E-3</v>
      </c>
      <c r="I33" s="7">
        <f t="shared" si="75"/>
        <v>3.787878787878788E-3</v>
      </c>
      <c r="J33" s="7" t="e">
        <f t="shared" si="75"/>
        <v>#DIV/0!</v>
      </c>
      <c r="K33" s="7">
        <f t="shared" si="75"/>
        <v>1.7612017612017611E-3</v>
      </c>
      <c r="L33" s="7">
        <f>L18/L5</f>
        <v>3.2452715379544649E-3</v>
      </c>
      <c r="U33" s="7">
        <f t="shared" ref="U33:Z33" si="76">U18/U16</f>
        <v>5.3227360308285163E-2</v>
      </c>
      <c r="V33" s="7">
        <f t="shared" si="76"/>
        <v>-7.6923076923076927E-2</v>
      </c>
      <c r="W33" s="7">
        <f t="shared" si="76"/>
        <v>5.0294058000405595E-2</v>
      </c>
      <c r="X33" s="7">
        <f t="shared" si="76"/>
        <v>1.8146150073565473E-2</v>
      </c>
      <c r="Y33" s="7">
        <f t="shared" si="76"/>
        <v>4.8227320125130341E-2</v>
      </c>
      <c r="Z33" s="7">
        <f>Z18/Z16</f>
        <v>3.8585728123990956E-2</v>
      </c>
      <c r="AA33" s="7">
        <f t="shared" ref="AA33:AK33" si="77">AA18/AA16</f>
        <v>0.03</v>
      </c>
      <c r="AB33" s="7">
        <f t="shared" si="77"/>
        <v>0.03</v>
      </c>
      <c r="AC33" s="7">
        <f t="shared" si="77"/>
        <v>0.03</v>
      </c>
      <c r="AD33" s="7">
        <f t="shared" si="77"/>
        <v>0.03</v>
      </c>
      <c r="AE33" s="7">
        <f t="shared" si="77"/>
        <v>0.03</v>
      </c>
      <c r="AF33" s="7">
        <f t="shared" si="77"/>
        <v>0.03</v>
      </c>
      <c r="AG33" s="7">
        <f t="shared" si="77"/>
        <v>3.0000000000000002E-2</v>
      </c>
      <c r="AH33" s="7">
        <f t="shared" si="77"/>
        <v>0.03</v>
      </c>
      <c r="AI33" s="7">
        <f t="shared" si="77"/>
        <v>0.03</v>
      </c>
      <c r="AJ33" s="7">
        <f t="shared" si="77"/>
        <v>0.03</v>
      </c>
      <c r="AK33" s="7">
        <f t="shared" si="77"/>
        <v>0.03</v>
      </c>
      <c r="AN33" s="1" t="s">
        <v>63</v>
      </c>
      <c r="AO33" s="2" t="s">
        <v>64</v>
      </c>
    </row>
    <row r="34" spans="2:41" x14ac:dyDescent="0.3">
      <c r="B34" s="1" t="s">
        <v>50</v>
      </c>
      <c r="C34" s="7" t="e">
        <f t="shared" ref="C34:K34" si="78">C19/C5</f>
        <v>#DIV/0!</v>
      </c>
      <c r="D34" s="7" t="e">
        <f t="shared" si="78"/>
        <v>#DIV/0!</v>
      </c>
      <c r="E34" s="7" t="e">
        <f t="shared" si="78"/>
        <v>#DIV/0!</v>
      </c>
      <c r="F34" s="7" t="e">
        <f t="shared" si="78"/>
        <v>#DIV/0!</v>
      </c>
      <c r="G34" s="7" t="e">
        <f t="shared" si="78"/>
        <v>#DIV/0!</v>
      </c>
      <c r="H34" s="7">
        <f t="shared" si="78"/>
        <v>7.2454272454272453E-2</v>
      </c>
      <c r="I34" s="7">
        <f t="shared" si="78"/>
        <v>-7.3083778966131913E-2</v>
      </c>
      <c r="J34" s="7" t="e">
        <f t="shared" si="78"/>
        <v>#DIV/0!</v>
      </c>
      <c r="K34" s="7">
        <f t="shared" si="78"/>
        <v>8.8526288526288521E-2</v>
      </c>
      <c r="L34" s="7">
        <f>L19/L5</f>
        <v>5.6285178236397749E-3</v>
      </c>
      <c r="U34" s="7">
        <f>U19/U5</f>
        <v>7.7399722154843545E-2</v>
      </c>
      <c r="V34" s="7">
        <f>V19/V5</f>
        <v>-5.4941947797197237E-2</v>
      </c>
      <c r="W34" s="7">
        <f t="shared" ref="W34:Z34" si="79">W19/W5</f>
        <v>6.0523700068335712E-2</v>
      </c>
      <c r="X34" s="7">
        <f t="shared" si="79"/>
        <v>7.7764856725407755E-2</v>
      </c>
      <c r="Y34" s="7">
        <f t="shared" si="79"/>
        <v>4.6358096343586765E-2</v>
      </c>
      <c r="Z34" s="7">
        <f t="shared" si="79"/>
        <v>5.9129530084966186E-2</v>
      </c>
      <c r="AA34" s="7">
        <f t="shared" ref="AA34:AK34" si="80">AA19/AA5</f>
        <v>6.8539591126745653E-2</v>
      </c>
      <c r="AB34" s="7">
        <f t="shared" si="80"/>
        <v>6.9474541713325788E-2</v>
      </c>
      <c r="AC34" s="7">
        <f t="shared" si="80"/>
        <v>7.0127257226773265E-2</v>
      </c>
      <c r="AD34" s="7">
        <f t="shared" si="80"/>
        <v>7.0486192701102318E-2</v>
      </c>
      <c r="AE34" s="7">
        <f t="shared" si="80"/>
        <v>7.0884030567840831E-2</v>
      </c>
      <c r="AF34" s="7">
        <f t="shared" si="80"/>
        <v>7.1556390371420961E-2</v>
      </c>
      <c r="AG34" s="7">
        <f t="shared" si="80"/>
        <v>7.2234709127076149E-2</v>
      </c>
      <c r="AH34" s="7">
        <f t="shared" si="80"/>
        <v>7.2918934277079295E-2</v>
      </c>
      <c r="AI34" s="7">
        <f t="shared" si="80"/>
        <v>7.3609010054054139E-2</v>
      </c>
      <c r="AJ34" s="7">
        <f t="shared" si="80"/>
        <v>7.430487746444539E-2</v>
      </c>
      <c r="AK34" s="7">
        <f t="shared" si="80"/>
        <v>7.5006474275140914E-2</v>
      </c>
    </row>
  </sheetData>
  <phoneticPr fontId="1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2025-05-27T17:50:42Z</dcterms:modified>
</cp:coreProperties>
</file>