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5C256E6-1362-403C-89B4-DA773B7A150D}" xr6:coauthVersionLast="47" xr6:coauthVersionMax="47" xr10:uidLastSave="{00000000-0000-0000-0000-000000000000}"/>
  <bookViews>
    <workbookView xWindow="-108" yWindow="-108" windowWidth="23256" windowHeight="12576" xr2:uid="{4DC2FBA0-6E3D-459B-9C6A-21AC42B1058B}"/>
  </bookViews>
  <sheets>
    <sheet name="Main" sheetId="1" r:id="rId1"/>
    <sheet name="Model" sheetId="2" r:id="rId2"/>
    <sheet name="Charts" sheetId="3" r:id="rId3"/>
    <sheet name="Products" sheetId="4" r:id="rId4"/>
    <sheet name="PivotTable" sheetId="5" r:id="rId5"/>
  </sheets>
  <calcPr calcId="191029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1" i="2" l="1"/>
  <c r="AE70" i="2"/>
  <c r="AE68" i="2"/>
  <c r="R71" i="2"/>
  <c r="R70" i="2"/>
  <c r="R68" i="2"/>
  <c r="AK32" i="2"/>
  <c r="AH32" i="2"/>
  <c r="AG32" i="2"/>
  <c r="AF32" i="2"/>
  <c r="AF35" i="2"/>
  <c r="AE35" i="2"/>
  <c r="AE32" i="2"/>
  <c r="R52" i="2"/>
  <c r="R51" i="2"/>
  <c r="R50" i="2"/>
  <c r="N28" i="2"/>
  <c r="R32" i="2"/>
  <c r="D7" i="1"/>
  <c r="D6" i="1"/>
  <c r="R28" i="2"/>
  <c r="AO47" i="2"/>
  <c r="AN47" i="2"/>
  <c r="AM47" i="2"/>
  <c r="AL47" i="2"/>
  <c r="AK47" i="2"/>
  <c r="AJ47" i="2"/>
  <c r="AI47" i="2"/>
  <c r="AH47" i="2"/>
  <c r="AG47" i="2"/>
  <c r="AF47" i="2"/>
  <c r="AE47" i="2"/>
  <c r="R47" i="2"/>
  <c r="D4" i="1"/>
  <c r="D5" i="1" s="1"/>
  <c r="AE16" i="2"/>
  <c r="AE19" i="2" s="1"/>
  <c r="AE15" i="2"/>
  <c r="AE18" i="2" s="1"/>
  <c r="AE14" i="2"/>
  <c r="AE17" i="2" s="1"/>
  <c r="AE11" i="2"/>
  <c r="AE10" i="2"/>
  <c r="AE12" i="2" s="1"/>
  <c r="AD12" i="2"/>
  <c r="AC12" i="2"/>
  <c r="P12" i="2"/>
  <c r="Q12" i="2"/>
  <c r="O12" i="2"/>
  <c r="N12" i="2"/>
  <c r="Q55" i="2"/>
  <c r="M28" i="2"/>
  <c r="Q28" i="2"/>
  <c r="Q52" i="2"/>
  <c r="Q51" i="2"/>
  <c r="Q50" i="2"/>
  <c r="Q47" i="2"/>
  <c r="AC20" i="2"/>
  <c r="AC19" i="2" s="1"/>
  <c r="AD20" i="2"/>
  <c r="AE22" i="2" s="1"/>
  <c r="AB28" i="2"/>
  <c r="AC28" i="2"/>
  <c r="AD28" i="2"/>
  <c r="AE40" i="2"/>
  <c r="Q60" i="2"/>
  <c r="F45" i="2"/>
  <c r="F44" i="2"/>
  <c r="F42" i="2"/>
  <c r="F41" i="2"/>
  <c r="F40" i="2"/>
  <c r="F38" i="2"/>
  <c r="F37" i="2"/>
  <c r="F34" i="2"/>
  <c r="F33" i="2"/>
  <c r="F31" i="2"/>
  <c r="F30" i="2"/>
  <c r="J45" i="2"/>
  <c r="J44" i="2"/>
  <c r="J42" i="2"/>
  <c r="J41" i="2"/>
  <c r="J40" i="2"/>
  <c r="J38" i="2"/>
  <c r="J37" i="2"/>
  <c r="J34" i="2"/>
  <c r="J33" i="2"/>
  <c r="J31" i="2"/>
  <c r="J30" i="2"/>
  <c r="N45" i="2"/>
  <c r="N44" i="2"/>
  <c r="N42" i="2"/>
  <c r="N41" i="2"/>
  <c r="N40" i="2"/>
  <c r="N38" i="2"/>
  <c r="N37" i="2"/>
  <c r="N34" i="2"/>
  <c r="N33" i="2"/>
  <c r="N31" i="2"/>
  <c r="N30" i="2"/>
  <c r="C58" i="2"/>
  <c r="C57" i="2"/>
  <c r="D58" i="2"/>
  <c r="D57" i="2"/>
  <c r="E58" i="2"/>
  <c r="E57" i="2"/>
  <c r="G60" i="2"/>
  <c r="G58" i="2"/>
  <c r="G57" i="2"/>
  <c r="G55" i="2"/>
  <c r="G54" i="2"/>
  <c r="H60" i="2"/>
  <c r="H58" i="2"/>
  <c r="H57" i="2"/>
  <c r="H55" i="2"/>
  <c r="H54" i="2"/>
  <c r="I60" i="2"/>
  <c r="I58" i="2"/>
  <c r="I57" i="2"/>
  <c r="I55" i="2"/>
  <c r="K60" i="2"/>
  <c r="K58" i="2"/>
  <c r="K57" i="2"/>
  <c r="K55" i="2"/>
  <c r="K54" i="2"/>
  <c r="L60" i="2"/>
  <c r="L58" i="2"/>
  <c r="L57" i="2"/>
  <c r="L55" i="2"/>
  <c r="L54" i="2"/>
  <c r="M60" i="2"/>
  <c r="M58" i="2"/>
  <c r="M57" i="2"/>
  <c r="M55" i="2"/>
  <c r="O60" i="2"/>
  <c r="O58" i="2"/>
  <c r="O57" i="2"/>
  <c r="O55" i="2"/>
  <c r="O54" i="2"/>
  <c r="D35" i="2"/>
  <c r="D32" i="2"/>
  <c r="D61" i="2" s="1"/>
  <c r="E35" i="2"/>
  <c r="E32" i="2"/>
  <c r="E61" i="2" s="1"/>
  <c r="C35" i="2"/>
  <c r="C32" i="2"/>
  <c r="C61" i="2" s="1"/>
  <c r="G35" i="2"/>
  <c r="G32" i="2"/>
  <c r="P60" i="2"/>
  <c r="P58" i="2"/>
  <c r="P57" i="2"/>
  <c r="P55" i="2"/>
  <c r="P54" i="2"/>
  <c r="P47" i="2"/>
  <c r="P35" i="2"/>
  <c r="P32" i="2"/>
  <c r="AS62" i="2"/>
  <c r="I35" i="2"/>
  <c r="I32" i="2"/>
  <c r="I61" i="2" s="1"/>
  <c r="M35" i="2"/>
  <c r="M32" i="2"/>
  <c r="K35" i="2"/>
  <c r="K32" i="2"/>
  <c r="O35" i="2"/>
  <c r="O32" i="2"/>
  <c r="O61" i="2" s="1"/>
  <c r="Y58" i="2"/>
  <c r="Y57" i="2"/>
  <c r="AD60" i="2"/>
  <c r="AC60" i="2"/>
  <c r="AB60" i="2"/>
  <c r="AA60" i="2"/>
  <c r="AD58" i="2"/>
  <c r="AC58" i="2"/>
  <c r="AB58" i="2"/>
  <c r="AA58" i="2"/>
  <c r="AD57" i="2"/>
  <c r="AC57" i="2"/>
  <c r="AB57" i="2"/>
  <c r="AA57" i="2"/>
  <c r="AD55" i="2"/>
  <c r="AC55" i="2"/>
  <c r="AB55" i="2"/>
  <c r="AA55" i="2"/>
  <c r="AD54" i="2"/>
  <c r="AC54" i="2"/>
  <c r="AB54" i="2"/>
  <c r="AA54" i="2"/>
  <c r="Z60" i="2"/>
  <c r="Z55" i="2"/>
  <c r="Z54" i="2"/>
  <c r="Z58" i="2"/>
  <c r="Z57" i="2"/>
  <c r="Y47" i="2"/>
  <c r="Y35" i="2"/>
  <c r="Y32" i="2"/>
  <c r="Z40" i="2"/>
  <c r="Z47" i="2"/>
  <c r="Z35" i="2"/>
  <c r="Z32" i="2"/>
  <c r="AA42" i="2"/>
  <c r="AA47" i="2"/>
  <c r="AA35" i="2"/>
  <c r="AA32" i="2"/>
  <c r="AB47" i="2"/>
  <c r="AB35" i="2"/>
  <c r="AB32" i="2"/>
  <c r="AB6" i="2" s="1"/>
  <c r="AC47" i="2"/>
  <c r="AC35" i="2"/>
  <c r="AC32" i="2"/>
  <c r="AC6" i="2" s="1"/>
  <c r="AD47" i="2"/>
  <c r="AD35" i="2"/>
  <c r="AD32" i="2"/>
  <c r="AD61" i="2" s="1"/>
  <c r="H35" i="2"/>
  <c r="H32" i="2"/>
  <c r="L35" i="2"/>
  <c r="L32" i="2"/>
  <c r="L61" i="2" s="1"/>
  <c r="F3" i="1"/>
  <c r="AH35" i="2" l="1"/>
  <c r="AC17" i="2"/>
  <c r="AD19" i="2"/>
  <c r="AC18" i="2"/>
  <c r="AD17" i="2"/>
  <c r="AD18" i="2"/>
  <c r="J54" i="2"/>
  <c r="AD6" i="2"/>
  <c r="AC4" i="2"/>
  <c r="AD4" i="2"/>
  <c r="AB4" i="2"/>
  <c r="F58" i="2"/>
  <c r="J60" i="2"/>
  <c r="J55" i="2"/>
  <c r="M56" i="2"/>
  <c r="N35" i="2"/>
  <c r="H56" i="2"/>
  <c r="AE42" i="2"/>
  <c r="AF42" i="2" s="1"/>
  <c r="AG42" i="2" s="1"/>
  <c r="AH42" i="2" s="1"/>
  <c r="AI42" i="2" s="1"/>
  <c r="AJ42" i="2" s="1"/>
  <c r="AK42" i="2" s="1"/>
  <c r="AL42" i="2" s="1"/>
  <c r="AM42" i="2" s="1"/>
  <c r="AN42" i="2" s="1"/>
  <c r="AO42" i="2" s="1"/>
  <c r="G36" i="2"/>
  <c r="G59" i="2" s="1"/>
  <c r="N32" i="2"/>
  <c r="N61" i="2" s="1"/>
  <c r="K56" i="2"/>
  <c r="AE41" i="2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P36" i="2"/>
  <c r="P39" i="2" s="1"/>
  <c r="P43" i="2" s="1"/>
  <c r="P46" i="2" s="1"/>
  <c r="P65" i="2" s="1"/>
  <c r="I56" i="2"/>
  <c r="F57" i="2"/>
  <c r="H61" i="2"/>
  <c r="R55" i="2"/>
  <c r="R58" i="2"/>
  <c r="AE37" i="2"/>
  <c r="R60" i="2"/>
  <c r="P56" i="2"/>
  <c r="L56" i="2"/>
  <c r="K61" i="2"/>
  <c r="Q58" i="2"/>
  <c r="Q57" i="2"/>
  <c r="O56" i="2"/>
  <c r="N54" i="2"/>
  <c r="M61" i="2"/>
  <c r="G61" i="2"/>
  <c r="AF30" i="2"/>
  <c r="AG30" i="2" s="1"/>
  <c r="AH30" i="2" s="1"/>
  <c r="AI30" i="2" s="1"/>
  <c r="Q54" i="2"/>
  <c r="P61" i="2"/>
  <c r="E36" i="2"/>
  <c r="E59" i="2" s="1"/>
  <c r="N57" i="2"/>
  <c r="J35" i="2"/>
  <c r="J32" i="2"/>
  <c r="J61" i="2" s="1"/>
  <c r="G56" i="2"/>
  <c r="F32" i="2"/>
  <c r="F61" i="2" s="1"/>
  <c r="F35" i="2"/>
  <c r="J57" i="2"/>
  <c r="N60" i="2"/>
  <c r="N58" i="2"/>
  <c r="N55" i="2"/>
  <c r="J58" i="2"/>
  <c r="D36" i="2"/>
  <c r="D59" i="2" s="1"/>
  <c r="C36" i="2"/>
  <c r="C59" i="2" s="1"/>
  <c r="I36" i="2"/>
  <c r="I59" i="2" s="1"/>
  <c r="M36" i="2"/>
  <c r="K36" i="2"/>
  <c r="K59" i="2" s="1"/>
  <c r="O36" i="2"/>
  <c r="L36" i="2"/>
  <c r="AA61" i="2"/>
  <c r="AD56" i="2"/>
  <c r="Y61" i="2"/>
  <c r="AB61" i="2"/>
  <c r="Z56" i="2"/>
  <c r="AC61" i="2"/>
  <c r="Z61" i="2"/>
  <c r="AA56" i="2"/>
  <c r="AB56" i="2"/>
  <c r="AC56" i="2"/>
  <c r="D8" i="1"/>
  <c r="AS59" i="2" s="1"/>
  <c r="Y36" i="2"/>
  <c r="Z36" i="2"/>
  <c r="AA36" i="2"/>
  <c r="AB36" i="2"/>
  <c r="AC36" i="2"/>
  <c r="AD36" i="2"/>
  <c r="H36" i="2"/>
  <c r="H59" i="2" s="1"/>
  <c r="AI32" i="2" l="1"/>
  <c r="AJ32" i="2" s="1"/>
  <c r="AG35" i="2"/>
  <c r="N36" i="2"/>
  <c r="N59" i="2" s="1"/>
  <c r="P48" i="2"/>
  <c r="P62" i="2"/>
  <c r="P64" i="2"/>
  <c r="G39" i="2"/>
  <c r="G62" i="2" s="1"/>
  <c r="J36" i="2"/>
  <c r="J39" i="2" s="1"/>
  <c r="N56" i="2"/>
  <c r="P59" i="2"/>
  <c r="P63" i="2"/>
  <c r="O39" i="2"/>
  <c r="O59" i="2"/>
  <c r="AE54" i="2"/>
  <c r="E39" i="2"/>
  <c r="E62" i="2" s="1"/>
  <c r="AE55" i="2"/>
  <c r="AF31" i="2"/>
  <c r="Q36" i="2"/>
  <c r="AE58" i="2"/>
  <c r="AF37" i="2"/>
  <c r="AE60" i="2"/>
  <c r="L39" i="2"/>
  <c r="L59" i="2"/>
  <c r="M39" i="2"/>
  <c r="M59" i="2"/>
  <c r="Q56" i="2"/>
  <c r="R54" i="2"/>
  <c r="J56" i="2"/>
  <c r="F36" i="2"/>
  <c r="F59" i="2" s="1"/>
  <c r="D39" i="2"/>
  <c r="D62" i="2" s="1"/>
  <c r="C39" i="2"/>
  <c r="C62" i="2" s="1"/>
  <c r="D9" i="1"/>
  <c r="I39" i="2"/>
  <c r="I62" i="2" s="1"/>
  <c r="K39" i="2"/>
  <c r="H39" i="2"/>
  <c r="H62" i="2" s="1"/>
  <c r="AD39" i="2"/>
  <c r="AD59" i="2"/>
  <c r="Y39" i="2"/>
  <c r="Y59" i="2"/>
  <c r="AC39" i="2"/>
  <c r="AC59" i="2"/>
  <c r="AB39" i="2"/>
  <c r="AB59" i="2"/>
  <c r="AA39" i="2"/>
  <c r="AA59" i="2"/>
  <c r="Z39" i="2"/>
  <c r="Z59" i="2"/>
  <c r="AI35" i="2" l="1"/>
  <c r="AJ35" i="2"/>
  <c r="N39" i="2"/>
  <c r="N43" i="2" s="1"/>
  <c r="N64" i="2" s="1"/>
  <c r="J59" i="2"/>
  <c r="G43" i="2"/>
  <c r="G64" i="2" s="1"/>
  <c r="E43" i="2"/>
  <c r="E46" i="2" s="1"/>
  <c r="E65" i="2" s="1"/>
  <c r="Q61" i="2"/>
  <c r="AG31" i="2"/>
  <c r="AF34" i="2"/>
  <c r="AF58" i="2" s="1"/>
  <c r="AF55" i="2"/>
  <c r="R36" i="2"/>
  <c r="K43" i="2"/>
  <c r="K46" i="2" s="1"/>
  <c r="K65" i="2" s="1"/>
  <c r="K62" i="2"/>
  <c r="L43" i="2"/>
  <c r="L62" i="2"/>
  <c r="Q39" i="2"/>
  <c r="Q59" i="2"/>
  <c r="R61" i="2"/>
  <c r="R56" i="2"/>
  <c r="R57" i="2"/>
  <c r="AG37" i="2"/>
  <c r="AF60" i="2"/>
  <c r="AF33" i="2"/>
  <c r="AF57" i="2" s="1"/>
  <c r="AF54" i="2"/>
  <c r="O43" i="2"/>
  <c r="O62" i="2"/>
  <c r="M43" i="2"/>
  <c r="M62" i="2"/>
  <c r="AE56" i="2"/>
  <c r="F39" i="2"/>
  <c r="F43" i="2" s="1"/>
  <c r="F64" i="2" s="1"/>
  <c r="J62" i="2"/>
  <c r="J43" i="2"/>
  <c r="J64" i="2" s="1"/>
  <c r="D43" i="2"/>
  <c r="C43" i="2"/>
  <c r="I43" i="2"/>
  <c r="AC43" i="2"/>
  <c r="AC64" i="2" s="1"/>
  <c r="AC62" i="2"/>
  <c r="Z43" i="2"/>
  <c r="Z64" i="2" s="1"/>
  <c r="Z62" i="2"/>
  <c r="Y43" i="2"/>
  <c r="Y64" i="2" s="1"/>
  <c r="Y62" i="2"/>
  <c r="AA43" i="2"/>
  <c r="AA64" i="2" s="1"/>
  <c r="AA62" i="2"/>
  <c r="AD43" i="2"/>
  <c r="AD64" i="2" s="1"/>
  <c r="AD62" i="2"/>
  <c r="AB43" i="2"/>
  <c r="AB64" i="2" s="1"/>
  <c r="AB62" i="2"/>
  <c r="H43" i="2"/>
  <c r="AL32" i="2" l="1"/>
  <c r="AK35" i="2"/>
  <c r="N62" i="2"/>
  <c r="E64" i="2"/>
  <c r="E63" i="2"/>
  <c r="AE38" i="2"/>
  <c r="AE61" i="2" s="1"/>
  <c r="G63" i="2"/>
  <c r="G46" i="2"/>
  <c r="G65" i="2" s="1"/>
  <c r="D63" i="2"/>
  <c r="D64" i="2"/>
  <c r="AF56" i="2"/>
  <c r="AF38" i="2"/>
  <c r="AF61" i="2" s="1"/>
  <c r="M46" i="2"/>
  <c r="M63" i="2"/>
  <c r="M64" i="2"/>
  <c r="AG33" i="2"/>
  <c r="AG57" i="2" s="1"/>
  <c r="AG54" i="2"/>
  <c r="Q43" i="2"/>
  <c r="Q62" i="2"/>
  <c r="O46" i="2"/>
  <c r="O64" i="2"/>
  <c r="O63" i="2"/>
  <c r="R59" i="2"/>
  <c r="R39" i="2"/>
  <c r="C64" i="2"/>
  <c r="C63" i="2"/>
  <c r="AH37" i="2"/>
  <c r="AG60" i="2"/>
  <c r="L46" i="2"/>
  <c r="L64" i="2"/>
  <c r="L63" i="2"/>
  <c r="AF36" i="2"/>
  <c r="K63" i="2"/>
  <c r="K64" i="2"/>
  <c r="I63" i="2"/>
  <c r="I64" i="2"/>
  <c r="AE36" i="2"/>
  <c r="AE57" i="2"/>
  <c r="H63" i="2"/>
  <c r="H64" i="2"/>
  <c r="AH31" i="2"/>
  <c r="AG34" i="2"/>
  <c r="AG55" i="2"/>
  <c r="F62" i="2"/>
  <c r="F46" i="2"/>
  <c r="F63" i="2"/>
  <c r="N46" i="2"/>
  <c r="N63" i="2"/>
  <c r="J46" i="2"/>
  <c r="J63" i="2"/>
  <c r="D46" i="2"/>
  <c r="D65" i="2" s="1"/>
  <c r="E48" i="2"/>
  <c r="C46" i="2"/>
  <c r="C65" i="2" s="1"/>
  <c r="I46" i="2"/>
  <c r="I65" i="2" s="1"/>
  <c r="K48" i="2"/>
  <c r="H46" i="2"/>
  <c r="H65" i="2" s="1"/>
  <c r="AA46" i="2"/>
  <c r="AA63" i="2"/>
  <c r="AB46" i="2"/>
  <c r="AB63" i="2"/>
  <c r="Z46" i="2"/>
  <c r="Z63" i="2"/>
  <c r="Y46" i="2"/>
  <c r="Y63" i="2"/>
  <c r="AD46" i="2"/>
  <c r="AD63" i="2"/>
  <c r="AC46" i="2"/>
  <c r="AC63" i="2"/>
  <c r="AM32" i="2" l="1"/>
  <c r="AL35" i="2"/>
  <c r="G48" i="2"/>
  <c r="AF59" i="2"/>
  <c r="AF39" i="2"/>
  <c r="AE59" i="2"/>
  <c r="AE39" i="2"/>
  <c r="L48" i="2"/>
  <c r="L65" i="2"/>
  <c r="AH33" i="2"/>
  <c r="AH57" i="2" s="1"/>
  <c r="AH54" i="2"/>
  <c r="O48" i="2"/>
  <c r="O65" i="2"/>
  <c r="AG36" i="2"/>
  <c r="AG58" i="2"/>
  <c r="M48" i="2"/>
  <c r="M65" i="2"/>
  <c r="AI31" i="2"/>
  <c r="AH34" i="2"/>
  <c r="AH55" i="2"/>
  <c r="AG56" i="2"/>
  <c r="AG38" i="2"/>
  <c r="AG61" i="2" s="1"/>
  <c r="AI37" i="2"/>
  <c r="AH60" i="2"/>
  <c r="R43" i="2"/>
  <c r="R62" i="2"/>
  <c r="F65" i="2"/>
  <c r="F48" i="2"/>
  <c r="N48" i="2"/>
  <c r="N65" i="2"/>
  <c r="J48" i="2"/>
  <c r="J65" i="2"/>
  <c r="D48" i="2"/>
  <c r="C48" i="2"/>
  <c r="I48" i="2"/>
  <c r="Z48" i="2"/>
  <c r="Z65" i="2"/>
  <c r="AB48" i="2"/>
  <c r="AB65" i="2"/>
  <c r="AA48" i="2"/>
  <c r="AA65" i="2"/>
  <c r="Y48" i="2"/>
  <c r="Y65" i="2"/>
  <c r="AC48" i="2"/>
  <c r="AC65" i="2"/>
  <c r="AD48" i="2"/>
  <c r="AD65" i="2"/>
  <c r="H48" i="2"/>
  <c r="AN32" i="2" l="1"/>
  <c r="AM35" i="2"/>
  <c r="AG59" i="2"/>
  <c r="AG39" i="2"/>
  <c r="Q63" i="2"/>
  <c r="Q64" i="2"/>
  <c r="AH36" i="2"/>
  <c r="AH58" i="2"/>
  <c r="R64" i="2"/>
  <c r="R63" i="2"/>
  <c r="AJ31" i="2"/>
  <c r="AI34" i="2"/>
  <c r="AI55" i="2"/>
  <c r="AE43" i="2"/>
  <c r="AE62" i="2"/>
  <c r="AJ30" i="2"/>
  <c r="AI33" i="2"/>
  <c r="AI57" i="2" s="1"/>
  <c r="AI54" i="2"/>
  <c r="AI60" i="2"/>
  <c r="AJ37" i="2"/>
  <c r="AH56" i="2"/>
  <c r="AH38" i="2"/>
  <c r="AH61" i="2" s="1"/>
  <c r="Q46" i="2"/>
  <c r="AF43" i="2"/>
  <c r="AF62" i="2"/>
  <c r="AO32" i="2" l="1"/>
  <c r="AO35" i="2" s="1"/>
  <c r="AN35" i="2"/>
  <c r="AE44" i="2"/>
  <c r="AE63" i="2" s="1"/>
  <c r="AK30" i="2"/>
  <c r="AJ33" i="2"/>
  <c r="AJ57" i="2" s="1"/>
  <c r="AJ54" i="2"/>
  <c r="AJ60" i="2"/>
  <c r="AK37" i="2"/>
  <c r="AI56" i="2"/>
  <c r="AI38" i="2"/>
  <c r="AI61" i="2" s="1"/>
  <c r="AI36" i="2"/>
  <c r="AI58" i="2"/>
  <c r="AE45" i="2"/>
  <c r="AE64" i="2" s="1"/>
  <c r="AF44" i="2"/>
  <c r="AF63" i="2" s="1"/>
  <c r="AF45" i="2"/>
  <c r="AF64" i="2" s="1"/>
  <c r="AJ55" i="2"/>
  <c r="AK31" i="2"/>
  <c r="AJ34" i="2"/>
  <c r="Q48" i="2"/>
  <c r="Q65" i="2"/>
  <c r="AH59" i="2"/>
  <c r="AH39" i="2"/>
  <c r="R46" i="2"/>
  <c r="AG43" i="2"/>
  <c r="AG62" i="2"/>
  <c r="AI59" i="2" l="1"/>
  <c r="AI39" i="2"/>
  <c r="AH43" i="2"/>
  <c r="AH62" i="2"/>
  <c r="AE46" i="2"/>
  <c r="AK33" i="2"/>
  <c r="AK54" i="2"/>
  <c r="AK57" i="2"/>
  <c r="AL30" i="2"/>
  <c r="AK60" i="2"/>
  <c r="AL37" i="2"/>
  <c r="AJ56" i="2"/>
  <c r="AJ38" i="2"/>
  <c r="AJ61" i="2" s="1"/>
  <c r="AF46" i="2"/>
  <c r="AJ36" i="2"/>
  <c r="AJ58" i="2"/>
  <c r="R48" i="2"/>
  <c r="R65" i="2"/>
  <c r="AG44" i="2"/>
  <c r="AG45" i="2"/>
  <c r="AG64" i="2" s="1"/>
  <c r="AK55" i="2"/>
  <c r="AL31" i="2"/>
  <c r="AK34" i="2"/>
  <c r="AJ59" i="2" l="1"/>
  <c r="AJ39" i="2"/>
  <c r="AF48" i="2"/>
  <c r="AF65" i="2"/>
  <c r="AG63" i="2"/>
  <c r="AG46" i="2"/>
  <c r="AE65" i="2"/>
  <c r="AE48" i="2"/>
  <c r="AM37" i="2"/>
  <c r="AL60" i="2"/>
  <c r="AH44" i="2"/>
  <c r="AH45" i="2"/>
  <c r="AH64" i="2" s="1"/>
  <c r="AK56" i="2"/>
  <c r="AK38" i="2"/>
  <c r="AK61" i="2" s="1"/>
  <c r="AI43" i="2"/>
  <c r="AI62" i="2"/>
  <c r="AM31" i="2"/>
  <c r="AL55" i="2"/>
  <c r="AL34" i="2"/>
  <c r="AK36" i="2"/>
  <c r="AK58" i="2"/>
  <c r="AM30" i="2"/>
  <c r="AL33" i="2"/>
  <c r="AL57" i="2" s="1"/>
  <c r="AL54" i="2"/>
  <c r="AL36" i="2" l="1"/>
  <c r="AK59" i="2"/>
  <c r="AK39" i="2"/>
  <c r="AG48" i="2"/>
  <c r="AG65" i="2"/>
  <c r="AN30" i="2"/>
  <c r="AM33" i="2"/>
  <c r="AM57" i="2" s="1"/>
  <c r="AM54" i="2"/>
  <c r="AH63" i="2"/>
  <c r="AH46" i="2"/>
  <c r="AN31" i="2"/>
  <c r="AM34" i="2"/>
  <c r="AM55" i="2"/>
  <c r="AL58" i="2"/>
  <c r="AL56" i="2"/>
  <c r="AL38" i="2"/>
  <c r="AL61" i="2" s="1"/>
  <c r="AM60" i="2"/>
  <c r="AN37" i="2"/>
  <c r="AJ62" i="2"/>
  <c r="AJ43" i="2"/>
  <c r="AI45" i="2"/>
  <c r="AI64" i="2" s="1"/>
  <c r="AI44" i="2"/>
  <c r="AJ45" i="2" l="1"/>
  <c r="AJ64" i="2" s="1"/>
  <c r="AJ44" i="2"/>
  <c r="AJ63" i="2" s="1"/>
  <c r="AL59" i="2"/>
  <c r="AL39" i="2"/>
  <c r="AM36" i="2"/>
  <c r="AM58" i="2"/>
  <c r="AN55" i="2"/>
  <c r="AN34" i="2"/>
  <c r="AO31" i="2"/>
  <c r="AH65" i="2"/>
  <c r="AH48" i="2"/>
  <c r="AI46" i="2"/>
  <c r="AI63" i="2"/>
  <c r="AO30" i="2"/>
  <c r="AN33" i="2"/>
  <c r="AN57" i="2" s="1"/>
  <c r="AN54" i="2"/>
  <c r="AO37" i="2"/>
  <c r="AO60" i="2" s="1"/>
  <c r="AN60" i="2"/>
  <c r="AK43" i="2"/>
  <c r="AK62" i="2"/>
  <c r="AM38" i="2"/>
  <c r="AM61" i="2" s="1"/>
  <c r="AM56" i="2"/>
  <c r="AM59" i="2" l="1"/>
  <c r="AM39" i="2"/>
  <c r="AN36" i="2"/>
  <c r="AN58" i="2"/>
  <c r="AJ46" i="2"/>
  <c r="AO33" i="2"/>
  <c r="AO57" i="2" s="1"/>
  <c r="AO54" i="2"/>
  <c r="AI65" i="2"/>
  <c r="AI48" i="2"/>
  <c r="AL43" i="2"/>
  <c r="AL62" i="2"/>
  <c r="AK45" i="2"/>
  <c r="AK64" i="2" s="1"/>
  <c r="AK44" i="2"/>
  <c r="AK63" i="2" s="1"/>
  <c r="AN38" i="2"/>
  <c r="AN61" i="2" s="1"/>
  <c r="AN56" i="2"/>
  <c r="AO34" i="2"/>
  <c r="AO55" i="2"/>
  <c r="AK46" i="2" l="1"/>
  <c r="AK48" i="2" s="1"/>
  <c r="AO36" i="2"/>
  <c r="AO58" i="2"/>
  <c r="AJ48" i="2"/>
  <c r="AJ65" i="2"/>
  <c r="AN59" i="2"/>
  <c r="AN39" i="2"/>
  <c r="AO56" i="2"/>
  <c r="AO38" i="2"/>
  <c r="AO61" i="2" s="1"/>
  <c r="AL45" i="2"/>
  <c r="AL64" i="2" s="1"/>
  <c r="AL44" i="2"/>
  <c r="AL63" i="2" s="1"/>
  <c r="AM62" i="2"/>
  <c r="AM43" i="2"/>
  <c r="AK65" i="2" l="1"/>
  <c r="AM45" i="2"/>
  <c r="AM64" i="2" s="1"/>
  <c r="AM44" i="2"/>
  <c r="AM63" i="2" s="1"/>
  <c r="AO59" i="2"/>
  <c r="AO39" i="2"/>
  <c r="AN62" i="2"/>
  <c r="AN43" i="2"/>
  <c r="AL46" i="2"/>
  <c r="AO43" i="2" l="1"/>
  <c r="AO62" i="2"/>
  <c r="AN44" i="2"/>
  <c r="AN63" i="2" s="1"/>
  <c r="AN45" i="2"/>
  <c r="AN64" i="2" s="1"/>
  <c r="AL65" i="2"/>
  <c r="AL48" i="2"/>
  <c r="AM46" i="2"/>
  <c r="AN46" i="2" l="1"/>
  <c r="AN48" i="2" s="1"/>
  <c r="AM48" i="2"/>
  <c r="AM65" i="2"/>
  <c r="AO44" i="2"/>
  <c r="AO45" i="2"/>
  <c r="AO64" i="2" s="1"/>
  <c r="AN65" i="2" l="1"/>
  <c r="AO63" i="2"/>
  <c r="AO46" i="2"/>
  <c r="AO48" i="2" l="1"/>
  <c r="AP46" i="2"/>
  <c r="AQ46" i="2" s="1"/>
  <c r="AR46" i="2" s="1"/>
  <c r="AS46" i="2" s="1"/>
  <c r="AT46" i="2" s="1"/>
  <c r="AU46" i="2" s="1"/>
  <c r="AV46" i="2" s="1"/>
  <c r="AW46" i="2" s="1"/>
  <c r="AX46" i="2" s="1"/>
  <c r="AY46" i="2" s="1"/>
  <c r="AZ46" i="2" s="1"/>
  <c r="BA46" i="2" s="1"/>
  <c r="BB46" i="2" s="1"/>
  <c r="BC46" i="2" s="1"/>
  <c r="BD46" i="2" s="1"/>
  <c r="BE46" i="2" s="1"/>
  <c r="BF46" i="2" s="1"/>
  <c r="BG46" i="2" s="1"/>
  <c r="BH46" i="2" s="1"/>
  <c r="BI46" i="2" s="1"/>
  <c r="BJ46" i="2" s="1"/>
  <c r="BK46" i="2" s="1"/>
  <c r="BL46" i="2" s="1"/>
  <c r="BM46" i="2" s="1"/>
  <c r="BN46" i="2" s="1"/>
  <c r="BO46" i="2" s="1"/>
  <c r="BP46" i="2" s="1"/>
  <c r="BQ46" i="2" s="1"/>
  <c r="BR46" i="2" s="1"/>
  <c r="BS46" i="2" s="1"/>
  <c r="BT46" i="2" s="1"/>
  <c r="BU46" i="2" s="1"/>
  <c r="BV46" i="2" s="1"/>
  <c r="BW46" i="2" s="1"/>
  <c r="BX46" i="2" s="1"/>
  <c r="BY46" i="2" s="1"/>
  <c r="BZ46" i="2" s="1"/>
  <c r="CA46" i="2" s="1"/>
  <c r="CB46" i="2" s="1"/>
  <c r="CC46" i="2" s="1"/>
  <c r="CD46" i="2" s="1"/>
  <c r="CE46" i="2" s="1"/>
  <c r="CF46" i="2" s="1"/>
  <c r="CG46" i="2" s="1"/>
  <c r="CH46" i="2" s="1"/>
  <c r="CI46" i="2" s="1"/>
  <c r="CJ46" i="2" s="1"/>
  <c r="CK46" i="2" s="1"/>
  <c r="CL46" i="2" s="1"/>
  <c r="CM46" i="2" s="1"/>
  <c r="CN46" i="2" s="1"/>
  <c r="CO46" i="2" s="1"/>
  <c r="CP46" i="2" s="1"/>
  <c r="CQ46" i="2" s="1"/>
  <c r="CR46" i="2" s="1"/>
  <c r="CS46" i="2" s="1"/>
  <c r="CT46" i="2" s="1"/>
  <c r="CU46" i="2" s="1"/>
  <c r="CV46" i="2" s="1"/>
  <c r="CW46" i="2" s="1"/>
  <c r="CX46" i="2" s="1"/>
  <c r="CY46" i="2" s="1"/>
  <c r="CZ46" i="2" s="1"/>
  <c r="DA46" i="2" s="1"/>
  <c r="DB46" i="2" s="1"/>
  <c r="DC46" i="2" s="1"/>
  <c r="DD46" i="2" s="1"/>
  <c r="DE46" i="2" s="1"/>
  <c r="DF46" i="2" s="1"/>
  <c r="DG46" i="2" s="1"/>
  <c r="DH46" i="2" s="1"/>
  <c r="DI46" i="2" s="1"/>
  <c r="DJ46" i="2" s="1"/>
  <c r="DK46" i="2" s="1"/>
  <c r="DL46" i="2" s="1"/>
  <c r="DM46" i="2" s="1"/>
  <c r="DN46" i="2" s="1"/>
  <c r="DO46" i="2" s="1"/>
  <c r="DP46" i="2" s="1"/>
  <c r="DQ46" i="2" s="1"/>
  <c r="DR46" i="2" s="1"/>
  <c r="DS46" i="2" s="1"/>
  <c r="DT46" i="2" s="1"/>
  <c r="DU46" i="2" s="1"/>
  <c r="DV46" i="2" s="1"/>
  <c r="DW46" i="2" s="1"/>
  <c r="DX46" i="2" s="1"/>
  <c r="DY46" i="2" s="1"/>
  <c r="DZ46" i="2" s="1"/>
  <c r="EA46" i="2" s="1"/>
  <c r="EB46" i="2" s="1"/>
  <c r="EC46" i="2" s="1"/>
  <c r="ED46" i="2" s="1"/>
  <c r="EE46" i="2" s="1"/>
  <c r="EF46" i="2" s="1"/>
  <c r="EG46" i="2" s="1"/>
  <c r="EH46" i="2" s="1"/>
  <c r="EI46" i="2" s="1"/>
  <c r="AS58" i="2" s="1"/>
  <c r="AS60" i="2" s="1"/>
  <c r="AS61" i="2" s="1"/>
  <c r="AS63" i="2" s="1"/>
  <c r="AO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Z40" authorId="0" shapeId="0" xr:uid="{E96EA7C2-9517-4C2A-93C8-3EFDE14F942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goodwill</t>
        </r>
      </text>
    </comment>
    <comment ref="AA42" authorId="0" shapeId="0" xr:uid="{937DA12A-65A9-4053-ABBD-DC872F223AF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+debt extinguishment</t>
        </r>
      </text>
    </comment>
  </commentList>
</comments>
</file>

<file path=xl/sharedStrings.xml><?xml version="1.0" encoding="utf-8"?>
<sst xmlns="http://schemas.openxmlformats.org/spreadsheetml/2006/main" count="212" uniqueCount="192">
  <si>
    <t>RTX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</si>
  <si>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</si>
  <si>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</si>
  <si>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</si>
  <si>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</si>
  <si>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</si>
  <si>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</si>
  <si>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</si>
  <si>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</si>
  <si>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</si>
  <si>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</si>
  <si>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</si>
  <si>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</si>
  <si>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</si>
  <si>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</si>
  <si>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</si>
  <si>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</si>
  <si>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</si>
  <si>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</si>
  <si>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</si>
  <si>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</si>
  <si>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</si>
  <si>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</si>
  <si>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</si>
  <si>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</si>
  <si>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</si>
  <si>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</si>
  <si>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</si>
  <si>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</si>
  <si>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</si>
  <si>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</si>
  <si>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SG&amp;A</t>
  </si>
  <si>
    <t>Operating profit</t>
  </si>
  <si>
    <t>Other income</t>
  </si>
  <si>
    <t>Pension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</si>
  <si>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</si>
  <si>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</si>
  <si>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</si>
  <si>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</si>
  <si>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</si>
  <si>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</si>
  <si>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</si>
  <si>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Product revenue y/y</t>
  </si>
  <si>
    <t>Service revenue y/y</t>
  </si>
  <si>
    <t>Product Margin</t>
  </si>
  <si>
    <t>Service Margin</t>
  </si>
  <si>
    <t>Gross Margin</t>
  </si>
  <si>
    <t>R&amp;D y/y</t>
  </si>
  <si>
    <t>SG&amp;A Margin</t>
  </si>
  <si>
    <t>Operating Margin</t>
  </si>
  <si>
    <t>Net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</si>
  <si>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</si>
  <si>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</si>
  <si>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</si>
  <si>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</si>
  <si>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</si>
  <si>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</si>
  <si>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</si>
  <si>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</si>
  <si>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</si>
  <si>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</si>
  <si>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</si>
  <si>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</si>
  <si>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</si>
  <si>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</si>
  <si>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</si>
  <si>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</si>
  <si>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Business segments: Collins Aerospace (Collins), Pratt &amp; Whitney, Raytheon</t>
  </si>
  <si>
    <t>Collins Aerospace</t>
  </si>
  <si>
    <r>
      <t>Collins Aerospace</t>
    </r>
    <r>
      <rPr>
        <sz val="11"/>
        <color theme="0"/>
        <rFont val="Calibri"/>
        <family val="2"/>
        <scheme val="minor"/>
      </rPr>
      <t xml:space="preserve"> - Global provider of aerospace &amp; defence products</t>
    </r>
  </si>
  <si>
    <t>Pratt &amp; Whitney</t>
  </si>
  <si>
    <r>
      <t xml:space="preserve">Pratt &amp; Whitney </t>
    </r>
    <r>
      <rPr>
        <sz val="11"/>
        <color theme="0"/>
        <rFont val="Calibri"/>
        <family val="2"/>
        <scheme val="minor"/>
      </rPr>
      <t>- Supplier of aircraft engines</t>
    </r>
  </si>
  <si>
    <r>
      <t>Avionics and flight control systems</t>
    </r>
    <r>
      <rPr>
        <sz val="11"/>
        <color theme="0"/>
        <rFont val="Calibri"/>
        <family val="2"/>
        <scheme val="minor"/>
      </rPr>
      <t xml:space="preserve"> – integrated avionics suites, flight management systems, cockpit displays, sensors, and actuation systems used across F-35, B-21, KC-46, C-130J, and FLRAA.</t>
    </r>
  </si>
  <si>
    <r>
      <t>Power generation and environmental control systems</t>
    </r>
    <r>
      <rPr>
        <sz val="11"/>
        <color theme="0"/>
        <rFont val="Calibri"/>
        <family val="2"/>
        <scheme val="minor"/>
      </rPr>
      <t xml:space="preserve"> – electric power generation, distribution, cooling, and environmental control units for aircraft and space vehicles.</t>
    </r>
  </si>
  <si>
    <r>
      <t>Mechanical and structural systems</t>
    </r>
    <r>
      <rPr>
        <sz val="11"/>
        <color theme="0"/>
        <rFont val="Calibri"/>
        <family val="2"/>
        <scheme val="minor"/>
      </rPr>
      <t xml:space="preserve"> – engine nacelles, thrust reversers, pylons, landing gear, brakes, propeller systems, and control actuation assemblies.</t>
    </r>
  </si>
  <si>
    <r>
      <t>Communication, navigation, and surveillance systems</t>
    </r>
    <r>
      <rPr>
        <sz val="11"/>
        <color theme="0"/>
        <rFont val="Calibri"/>
        <family val="2"/>
        <scheme val="minor"/>
      </rPr>
      <t xml:space="preserve"> – CNS/ATM avionics, tactical data links, and connected-battlespace technologies for both commercial and defence aircraft.</t>
    </r>
  </si>
  <si>
    <r>
      <t>Aftermarket and sustainment services</t>
    </r>
    <r>
      <rPr>
        <sz val="11"/>
        <color theme="0"/>
        <rFont val="Calibri"/>
        <family val="2"/>
        <scheme val="minor"/>
      </rPr>
      <t xml:space="preserve"> – global MRO, spares, engineering support, fleet management, and technical training for civil and military operators.</t>
    </r>
  </si>
  <si>
    <r>
      <t>Digital and connected aviation solutions</t>
    </r>
    <r>
      <rPr>
        <sz val="11"/>
        <color theme="0"/>
        <rFont val="Calibri"/>
        <family val="2"/>
        <scheme val="minor"/>
      </rPr>
      <t xml:space="preserve"> – air traffic management software, data connectivity, airport systems, and JADC2-aligned communication networks.</t>
    </r>
  </si>
  <si>
    <r>
      <t>Crew systems and safety equipment</t>
    </r>
    <r>
      <rPr>
        <sz val="11"/>
        <color theme="0"/>
        <rFont val="Calibri"/>
        <family val="2"/>
        <scheme val="minor"/>
      </rPr>
      <t xml:space="preserve"> – crew escape systems, oxygen systems, evacuation systems, and fire and ice protection hardware.</t>
    </r>
  </si>
  <si>
    <r>
      <t>Cabin and interior systems</t>
    </r>
    <r>
      <rPr>
        <sz val="11"/>
        <color theme="0"/>
        <rFont val="Calibri"/>
        <family val="2"/>
        <scheme val="minor"/>
      </rPr>
      <t xml:space="preserve"> – seating, galleys, lavatories, oxygen delivery, lighting, and other interior components for transport and VIP aircraft.</t>
    </r>
  </si>
  <si>
    <r>
      <t>Space and extravehicular systems</t>
    </r>
    <r>
      <rPr>
        <sz val="11"/>
        <color theme="0"/>
        <rFont val="Calibri"/>
        <family val="2"/>
        <scheme val="minor"/>
      </rPr>
      <t xml:space="preserve"> – environmental control and power systems for spacecraft, plus extravehicular (EVA) suits for human spaceflight.</t>
    </r>
  </si>
  <si>
    <r>
      <t>Sustainability and advanced materials technologies</t>
    </r>
    <r>
      <rPr>
        <sz val="11"/>
        <color theme="0"/>
        <rFont val="Calibri"/>
        <family val="2"/>
        <scheme val="minor"/>
      </rPr>
      <t xml:space="preserve"> – thermoplastics, lightweight composites, and hybrid-electric or alternative-energy architectures for next-generation platforms.</t>
    </r>
  </si>
  <si>
    <r>
      <t>F135 engine family</t>
    </r>
    <r>
      <rPr>
        <sz val="11"/>
        <color theme="0"/>
        <rFont val="Calibri"/>
        <family val="2"/>
        <scheme val="minor"/>
      </rPr>
      <t xml:space="preserve"> – powers all F-35 variants; includes the new Engine Core Upgrade (ECU).</t>
    </r>
  </si>
  <si>
    <r>
      <t>F100 engine</t>
    </r>
    <r>
      <rPr>
        <sz val="11"/>
        <color theme="0"/>
        <rFont val="Calibri"/>
        <family val="2"/>
        <scheme val="minor"/>
      </rPr>
      <t xml:space="preserve"> – legacy fighter engine for F-15 and F-16 fleets worldwide.</t>
    </r>
  </si>
  <si>
    <r>
      <t>Next Generation Adaptive Propulsion (NGAP)</t>
    </r>
    <r>
      <rPr>
        <sz val="11"/>
        <color theme="0"/>
        <rFont val="Calibri"/>
        <family val="2"/>
        <scheme val="minor"/>
      </rPr>
      <t xml:space="preserve"> – under development for future sixth-gen fighters (e.g. NGAD).</t>
    </r>
  </si>
  <si>
    <r>
      <t>B-21 Raider engines</t>
    </r>
    <r>
      <rPr>
        <sz val="11"/>
        <color theme="0"/>
        <rFont val="Calibri"/>
        <family val="2"/>
        <scheme val="minor"/>
      </rPr>
      <t xml:space="preserve"> – classified derivative believed to be a P&amp;W design (likely the F130 series derivative).</t>
    </r>
  </si>
  <si>
    <r>
      <t>Auxiliary power units (APUs)</t>
    </r>
    <r>
      <rPr>
        <sz val="11"/>
        <color theme="0"/>
        <rFont val="Calibri"/>
        <family val="2"/>
        <scheme val="minor"/>
      </rPr>
      <t xml:space="preserve"> – military and commercial, including for bombers, tankers, and transports.</t>
    </r>
  </si>
  <si>
    <r>
      <t>PW1000G Geared Turbofan (GTF) family</t>
    </r>
    <r>
      <rPr>
        <sz val="11"/>
        <color theme="0"/>
        <rFont val="Calibri"/>
        <family val="2"/>
        <scheme val="minor"/>
      </rPr>
      <t xml:space="preserve"> – commercial core product powering A320neo, A220, E2 jets; partially dual-use tech base.</t>
    </r>
  </si>
  <si>
    <r>
      <t>Pratt &amp; Whitney Canada small engines</t>
    </r>
    <r>
      <rPr>
        <sz val="11"/>
        <color theme="0"/>
        <rFont val="Calibri"/>
        <family val="2"/>
        <scheme val="minor"/>
      </rPr>
      <t xml:space="preserve"> – regional, business, and helicopter engines (PW200, PW500, PW800 series).</t>
    </r>
  </si>
  <si>
    <r>
      <t>Hybrid-Electric Flight Demonstrator systems</t>
    </r>
    <r>
      <rPr>
        <sz val="11"/>
        <color theme="0"/>
        <rFont val="Calibri"/>
        <family val="2"/>
        <scheme val="minor"/>
      </rPr>
      <t xml:space="preserve"> – GTF hybrid-electric project, mobile charging unit (MCU).</t>
    </r>
  </si>
  <si>
    <r>
      <t>Fleet management, MRO, and aftermarket services</t>
    </r>
    <r>
      <rPr>
        <sz val="11"/>
        <color theme="0"/>
        <rFont val="Calibri"/>
        <family val="2"/>
        <scheme val="minor"/>
      </rPr>
      <t xml:space="preserve"> – maintenance, repair, overhaul, and technical support for all engine types.</t>
    </r>
  </si>
  <si>
    <r>
      <t>Collaborative engine programmes</t>
    </r>
    <r>
      <rPr>
        <sz val="11"/>
        <color theme="0"/>
        <rFont val="Calibri"/>
        <family val="2"/>
        <scheme val="minor"/>
      </rPr>
      <t xml:space="preserve"> – cost- and revenue-sharing ventures across multiple new-engine developments.</t>
    </r>
  </si>
  <si>
    <r>
      <t>Raytheon</t>
    </r>
    <r>
      <rPr>
        <sz val="11"/>
        <color theme="0"/>
        <rFont val="Calibri"/>
        <family val="2"/>
        <scheme val="minor"/>
      </rPr>
      <t xml:space="preserve"> - Provider of threat detection, tracking and mitigation</t>
    </r>
  </si>
  <si>
    <r>
      <t>Integrated Air and Missile Defense Systems</t>
    </r>
    <r>
      <rPr>
        <sz val="11"/>
        <color theme="0"/>
        <rFont val="Calibri"/>
        <family val="2"/>
        <scheme val="minor"/>
      </rPr>
      <t xml:space="preserve"> – Patriot (PAC-3/GEM-T), NASAMS, LTAMDS, and other layered land-based defence architectures.</t>
    </r>
  </si>
  <si>
    <r>
      <t>Naval missile and sensor systems</t>
    </r>
    <r>
      <rPr>
        <sz val="11"/>
        <color theme="0"/>
        <rFont val="Calibri"/>
        <family val="2"/>
        <scheme val="minor"/>
      </rPr>
      <t xml:space="preserve"> – Standard Missile series (SM-2, SM-3, SM-6), Tomahawk cruise missile, Evolved SeaSparrow (ESSM), shipboard fire-control and SPY-6 radars.</t>
    </r>
  </si>
  <si>
    <r>
      <t>Air-to-air and air-to-ground weapons</t>
    </r>
    <r>
      <rPr>
        <sz val="11"/>
        <color theme="0"/>
        <rFont val="Calibri"/>
        <family val="2"/>
        <scheme val="minor"/>
      </rPr>
      <t xml:space="preserve"> – AMRAAM, AIM-9X Sidewinder, StormBreaker, Javelin, Excalibur, Stinger, and related precision-guided munitions.</t>
    </r>
  </si>
  <si>
    <r>
      <t>Command, Control, Communications, and Sensor Integration</t>
    </r>
    <r>
      <rPr>
        <sz val="11"/>
        <color theme="0"/>
        <rFont val="Calibri"/>
        <family val="2"/>
        <scheme val="minor"/>
      </rPr>
      <t xml:space="preserve"> – early-warning and fire-control radars (e.g. AN/TPY-2), battlefield C2 systems, and integrated multi-domain sensor networks.</t>
    </r>
  </si>
  <si>
    <r>
      <t>Electronic Warfare and Countermeasures</t>
    </r>
    <r>
      <rPr>
        <sz val="11"/>
        <color theme="0"/>
        <rFont val="Calibri"/>
        <family val="2"/>
        <scheme val="minor"/>
      </rPr>
      <t xml:space="preserve"> – Next Generation Jammer (Mid-Band / Low-Band) and other airborne EW suites for the Navy and allied forces.</t>
    </r>
  </si>
  <si>
    <r>
      <t>Space and Exo-atmospheric Systems</t>
    </r>
    <r>
      <rPr>
        <sz val="11"/>
        <color theme="0"/>
        <rFont val="Calibri"/>
        <family val="2"/>
        <scheme val="minor"/>
      </rPr>
      <t xml:space="preserve"> – missile-tracking sensors, interceptors (SM-3 exo-atmospheric), satellite control and mission-orchestration software.</t>
    </r>
  </si>
  <si>
    <r>
      <t>Hypersonic and Counter-Hypersonic Technologies</t>
    </r>
    <r>
      <rPr>
        <sz val="11"/>
        <color theme="0"/>
        <rFont val="Calibri"/>
        <family val="2"/>
        <scheme val="minor"/>
      </rPr>
      <t xml:space="preserve"> – development of hypersonic glide and defence interceptors, next-generation seekers, and advanced materials.</t>
    </r>
  </si>
  <si>
    <r>
      <t>Advanced Radars and EO/IR Sensors</t>
    </r>
    <r>
      <rPr>
        <sz val="11"/>
        <color theme="0"/>
        <rFont val="Calibri"/>
        <family val="2"/>
        <scheme val="minor"/>
      </rPr>
      <t xml:space="preserve"> – multi-band surveillance radars, electro-optical and infrared systems, and space-qualified components.</t>
    </r>
  </si>
  <si>
    <r>
      <t>Unmanned and Autonomous Systems</t>
    </r>
    <r>
      <rPr>
        <sz val="11"/>
        <color theme="0"/>
        <rFont val="Calibri"/>
        <family val="2"/>
        <scheme val="minor"/>
      </rPr>
      <t xml:space="preserve"> – Coyote expendable UAS and autonomous swarm systems for reconnaissance and interception roles.</t>
    </r>
  </si>
  <si>
    <r>
      <t>Classified and Advanced Development Programs</t>
    </r>
    <r>
      <rPr>
        <sz val="11"/>
        <color theme="0"/>
        <rFont val="Calibri"/>
        <family val="2"/>
        <scheme val="minor"/>
      </rPr>
      <t xml:space="preserve"> – next-generation radar, sensor experimentation, and undisclosed strategic systems across air, sea, and space domains.</t>
    </r>
  </si>
  <si>
    <t>Of the total RPO as of December 31, 2024, we expect approximately 25% will be recognized as revenue over the next 12 months.</t>
  </si>
  <si>
    <t>RPO rec guidance</t>
  </si>
  <si>
    <t>Expected RPO rec</t>
  </si>
  <si>
    <t>U.S. govt sales</t>
  </si>
  <si>
    <t>International sales</t>
  </si>
  <si>
    <t>U.S. govt %</t>
  </si>
  <si>
    <t>International %</t>
  </si>
  <si>
    <t>Employees</t>
  </si>
  <si>
    <t>Raytheon</t>
  </si>
  <si>
    <t>Eliminations</t>
  </si>
  <si>
    <t>Total</t>
  </si>
  <si>
    <t>P&amp;W Backlog</t>
  </si>
  <si>
    <t>Collins Backlog</t>
  </si>
  <si>
    <t>Raytheon Backlog</t>
  </si>
  <si>
    <t>Total RPO</t>
  </si>
  <si>
    <t>Defence backlog</t>
  </si>
  <si>
    <t>Commercial backlog</t>
  </si>
  <si>
    <t>CEO: Christopher Callo</t>
  </si>
  <si>
    <t>Product</t>
  </si>
  <si>
    <t>AMRAAM</t>
  </si>
  <si>
    <t>2024 Budget</t>
  </si>
  <si>
    <t>Contractor</t>
  </si>
  <si>
    <t>2025 Budget</t>
  </si>
  <si>
    <t>2026 Budget</t>
  </si>
  <si>
    <t>2024 Quantity</t>
  </si>
  <si>
    <t>2025 Quantity</t>
  </si>
  <si>
    <t>2026 Quantity</t>
  </si>
  <si>
    <t>2024 Unit Cost</t>
  </si>
  <si>
    <t>2025 Unit Cost</t>
  </si>
  <si>
    <t>2026 Unit Cost</t>
  </si>
  <si>
    <t>F-35</t>
  </si>
  <si>
    <t>F-15</t>
  </si>
  <si>
    <t>PATRIOT</t>
  </si>
  <si>
    <t>MWMT</t>
  </si>
  <si>
    <t>SM-6</t>
  </si>
  <si>
    <t>LRSO</t>
  </si>
  <si>
    <t>Hypersonics</t>
  </si>
  <si>
    <t>Sum of Adj_Value_USD_M</t>
  </si>
  <si>
    <t>Column Labels</t>
  </si>
  <si>
    <t>Row Labels</t>
  </si>
  <si>
    <t>Grand Total</t>
  </si>
  <si>
    <t>LMT</t>
  </si>
  <si>
    <t>F-22</t>
  </si>
  <si>
    <t>IFPC</t>
  </si>
  <si>
    <t>Aegis BMD</t>
  </si>
  <si>
    <t>NOC</t>
  </si>
  <si>
    <t>MQ-1C</t>
  </si>
  <si>
    <t>MQ-9</t>
  </si>
  <si>
    <t>B-21</t>
  </si>
  <si>
    <t>SATCOM</t>
  </si>
  <si>
    <t>HACM</t>
  </si>
  <si>
    <t>F-47</t>
  </si>
  <si>
    <t>FLRAA</t>
  </si>
  <si>
    <t>AMMO</t>
  </si>
  <si>
    <t>TLAM</t>
  </si>
  <si>
    <t>KC-46</t>
  </si>
  <si>
    <t>HMS</t>
  </si>
  <si>
    <t>BA</t>
  </si>
  <si>
    <t>GD</t>
  </si>
  <si>
    <t>BAE</t>
  </si>
  <si>
    <t>TXT</t>
  </si>
  <si>
    <t>LHX</t>
  </si>
  <si>
    <t>NAMMO</t>
  </si>
  <si>
    <t>NPK</t>
  </si>
  <si>
    <t>GAI</t>
  </si>
  <si>
    <t>GE</t>
  </si>
  <si>
    <t>ULA</t>
  </si>
  <si>
    <t>SPAC</t>
  </si>
  <si>
    <t>RR</t>
  </si>
  <si>
    <t>LDOS</t>
  </si>
  <si>
    <t>ADUI</t>
  </si>
  <si>
    <t>RHM</t>
  </si>
  <si>
    <t>Blue Origin</t>
  </si>
  <si>
    <t>RKLB</t>
  </si>
  <si>
    <t>HO</t>
  </si>
  <si>
    <t>Stoke Space</t>
  </si>
  <si>
    <t>OSK</t>
  </si>
  <si>
    <t>LDO</t>
  </si>
  <si>
    <t>HON</t>
  </si>
  <si>
    <t>GKN</t>
  </si>
  <si>
    <t>Collins Aerospace y/y</t>
  </si>
  <si>
    <t>Pratt &amp; Whitney y/y</t>
  </si>
  <si>
    <t>Raytheon y/y</t>
  </si>
  <si>
    <t>Backlog</t>
  </si>
  <si>
    <t>Collins Backlog %</t>
  </si>
  <si>
    <t>P&amp;W Backlog %</t>
  </si>
  <si>
    <t>Raytheon Backlog %</t>
  </si>
  <si>
    <t>Q425 8K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</si>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</sst>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0.0\x"/>
    <numFmt numFmtId="166" formatCode="#,##0.0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2" fontId="5" fillId="2" borderId="1" xfId="0" applyNumberFormat="1" applyFont="1" applyFill="1" applyBorder="1"/>
    <xf numFmtId="9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64" fontId="5" fillId="2" borderId="1" xfId="0" applyNumberFormat="1" applyFont="1" applyFill="1" applyBorder="1"/>
    <xf numFmtId="14" fontId="6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9" fontId="4" fillId="2" borderId="1" xfId="0" applyNumberFormat="1" applyFont="1" applyFill="1" applyBorder="1"/>
    <xf numFmtId="0" fontId="5" fillId="2" borderId="2" xfId="0" applyFont="1" applyFill="1" applyBorder="1"/>
    <xf numFmtId="0" fontId="7" fillId="2" borderId="1" xfId="0" applyFont="1" applyFill="1" applyBorder="1"/>
    <xf numFmtId="165" fontId="5" fillId="2" borderId="1" xfId="0" applyNumberFormat="1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5" fillId="2" borderId="5" xfId="0" applyFont="1" applyFill="1" applyBorder="1"/>
    <xf numFmtId="0" fontId="5" fillId="2" borderId="2" xfId="0" applyFont="1" applyFill="1" applyBorder="1" applyAlignment="1">
      <alignment horizontal="left" vertical="center" indent="1"/>
    </xf>
    <xf numFmtId="0" fontId="4" fillId="2" borderId="2" xfId="0" applyFont="1" applyFill="1" applyBorder="1"/>
    <xf numFmtId="0" fontId="7" fillId="2" borderId="2" xfId="0" applyFont="1" applyFill="1" applyBorder="1"/>
    <xf numFmtId="0" fontId="4" fillId="2" borderId="1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left" indent="1"/>
    </xf>
    <xf numFmtId="0" fontId="5" fillId="2" borderId="2" xfId="0" applyFont="1" applyFill="1" applyBorder="1" applyAlignment="1">
      <alignment horizontal="left" indent="2"/>
    </xf>
    <xf numFmtId="3" fontId="5" fillId="2" borderId="1" xfId="0" applyNumberFormat="1" applyFont="1" applyFill="1" applyBorder="1" applyAlignment="1">
      <alignment horizontal="right"/>
    </xf>
    <xf numFmtId="3" fontId="4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/>
    <xf numFmtId="9" fontId="6" fillId="2" borderId="1" xfId="0" applyNumberFormat="1" applyFont="1" applyFill="1" applyBorder="1"/>
    <xf numFmtId="3" fontId="8" fillId="2" borderId="1" xfId="0" applyNumberFormat="1" applyFont="1" applyFill="1" applyBorder="1"/>
    <xf numFmtId="3" fontId="8" fillId="2" borderId="1" xfId="0" applyNumberFormat="1" applyFont="1" applyFill="1" applyBorder="1" applyAlignment="1">
      <alignment horizontal="right"/>
    </xf>
    <xf numFmtId="3" fontId="7" fillId="2" borderId="1" xfId="0" applyNumberFormat="1" applyFont="1" applyFill="1" applyBorder="1"/>
  </cellXfs>
  <cellStyles count="1">
    <cellStyle name="Normal" xfId="0" builtinId="0"/>
  </cellStyles>
  <dxfs count="3">
    <dxf>
      <font>
        <color theme="0"/>
      </font>
    </dxf>
    <dxf>
      <fill>
        <patternFill patternType="solid">
          <bgColor theme="1"/>
        </patternFill>
      </fill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Revenue line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Model!$B$54</c:f>
              <c:strCache>
                <c:ptCount val="1"/>
                <c:pt idx="0">
                  <c:v>Product revenue y/y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Model!$C$54:$P$54</c:f>
              <c:numCache>
                <c:formatCode>0%</c:formatCode>
                <c:ptCount val="14"/>
                <c:pt idx="4">
                  <c:v>7.7980104535491535E-2</c:v>
                </c:pt>
                <c:pt idx="5">
                  <c:v>9.4061021373796683E-2</c:v>
                </c:pt>
                <c:pt idx="7">
                  <c:v>6.1955817802403335E-2</c:v>
                </c:pt>
                <c:pt idx="8">
                  <c:v>0.11855791037772745</c:v>
                </c:pt>
                <c:pt idx="9">
                  <c:v>8.5825068973230945E-2</c:v>
                </c:pt>
                <c:pt idx="11">
                  <c:v>8.6800379455210797E-2</c:v>
                </c:pt>
                <c:pt idx="12">
                  <c:v>2.0135635880584424E-2</c:v>
                </c:pt>
                <c:pt idx="13">
                  <c:v>6.7916494986952403E-2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913-BFC3-209BA1DBF00F}"/>
            </c:ext>
          </c:extLst>
        </c:ser>
        <c:ser>
          <c:idx val="1"/>
          <c:order val="1"/>
          <c:tx>
            <c:strRef>
              <c:f>Model!$B$55</c:f>
              <c:strCache>
                <c:ptCount val="1"/>
                <c:pt idx="0">
                  <c:v>Service revenue y/y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Model!$C$55:$P$55</c:f>
              <c:numCache>
                <c:formatCode>0%</c:formatCode>
                <c:ptCount val="14"/>
                <c:pt idx="4">
                  <c:v>0.14867669953295271</c:v>
                </c:pt>
                <c:pt idx="5">
                  <c:v>0.20907297830374749</c:v>
                </c:pt>
                <c:pt idx="6">
                  <c:v>0.15589988081048878</c:v>
                </c:pt>
                <c:pt idx="7">
                  <c:v>0.23188751191611057</c:v>
                </c:pt>
                <c:pt idx="8">
                  <c:v>0.12988479783148854</c:v>
                </c:pt>
                <c:pt idx="9">
                  <c:v>5.1998368678629614E-2</c:v>
                </c:pt>
                <c:pt idx="10">
                  <c:v>0.10971334295731072</c:v>
                </c:pt>
                <c:pt idx="11">
                  <c:v>8.0286322306055258E-2</c:v>
                </c:pt>
                <c:pt idx="12">
                  <c:v>0.14254298280687716</c:v>
                </c:pt>
                <c:pt idx="13">
                  <c:v>0.16883116883116878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EF-4913-BFC3-209BA1DBF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8473432"/>
        <c:axId val="638472352"/>
      </c:lineChart>
      <c:catAx>
        <c:axId val="638473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2352"/>
        <c:crosses val="autoZero"/>
        <c:auto val="1"/>
        <c:lblAlgn val="ctr"/>
        <c:lblOffset val="100"/>
        <c:noMultiLvlLbl val="0"/>
      </c:catAx>
      <c:valAx>
        <c:axId val="6384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Model!$B$30</c:f>
              <c:strCache>
                <c:ptCount val="1"/>
                <c:pt idx="0">
                  <c:v>Product revenue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Model!$C$30:$P$30</c:f>
              <c:numCache>
                <c:formatCode>#,##0</c:formatCode>
                <c:ptCount val="14"/>
                <c:pt idx="0">
                  <c:v>11862</c:v>
                </c:pt>
                <c:pt idx="1">
                  <c:v>12258</c:v>
                </c:pt>
                <c:pt idx="2">
                  <c:v>12756</c:v>
                </c:pt>
                <c:pt idx="3">
                  <c:v>13897</c:v>
                </c:pt>
                <c:pt idx="4">
                  <c:v>12787</c:v>
                </c:pt>
                <c:pt idx="5">
                  <c:v>13411</c:v>
                </c:pt>
                <c:pt idx="6">
                  <c:v>8615</c:v>
                </c:pt>
                <c:pt idx="7">
                  <c:v>14758</c:v>
                </c:pt>
                <c:pt idx="8">
                  <c:v>14303</c:v>
                </c:pt>
                <c:pt idx="9">
                  <c:v>14562</c:v>
                </c:pt>
                <c:pt idx="10">
                  <c:v>14708</c:v>
                </c:pt>
                <c:pt idx="11">
                  <c:v>16039</c:v>
                </c:pt>
                <c:pt idx="12">
                  <c:v>14591</c:v>
                </c:pt>
                <c:pt idx="13">
                  <c:v>15551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7-44D2-AD22-42E6A0AC66C5}"/>
            </c:ext>
          </c:extLst>
        </c:ser>
        <c:ser>
          <c:idx val="1"/>
          <c:order val="1"/>
          <c:tx>
            <c:strRef>
              <c:f>Model!$B$31</c:f>
              <c:strCache>
                <c:ptCount val="1"/>
                <c:pt idx="0">
                  <c:v>Service revenue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Model!$C$31:$P$31</c:f>
              <c:numCache>
                <c:formatCode>#,##0</c:formatCode>
                <c:ptCount val="14"/>
                <c:pt idx="0">
                  <c:v>3854</c:v>
                </c:pt>
                <c:pt idx="1">
                  <c:v>4056</c:v>
                </c:pt>
                <c:pt idx="2">
                  <c:v>4195</c:v>
                </c:pt>
                <c:pt idx="3">
                  <c:v>4196</c:v>
                </c:pt>
                <c:pt idx="4">
                  <c:v>4427</c:v>
                </c:pt>
                <c:pt idx="5">
                  <c:v>4904</c:v>
                </c:pt>
                <c:pt idx="6">
                  <c:v>4849</c:v>
                </c:pt>
                <c:pt idx="7">
                  <c:v>5169</c:v>
                </c:pt>
                <c:pt idx="8">
                  <c:v>5002</c:v>
                </c:pt>
                <c:pt idx="9">
                  <c:v>5159</c:v>
                </c:pt>
                <c:pt idx="10">
                  <c:v>5381</c:v>
                </c:pt>
                <c:pt idx="11">
                  <c:v>5584</c:v>
                </c:pt>
                <c:pt idx="12">
                  <c:v>5715</c:v>
                </c:pt>
                <c:pt idx="13">
                  <c:v>6030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7-44D2-AD22-42E6A0AC6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957384"/>
        <c:axId val="687960264"/>
      </c:scatterChart>
      <c:valAx>
        <c:axId val="687957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60264"/>
        <c:crosses val="autoZero"/>
        <c:crossBetween val="midCat"/>
      </c:valAx>
      <c:valAx>
        <c:axId val="68796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57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30480</xdr:colOff>
      <xdr:row>0</xdr:row>
      <xdr:rowOff>7620</xdr:rowOff>
    </xdr:from>
    <xdr:to>
      <xdr:col>31</xdr:col>
      <xdr:colOff>30480</xdr:colOff>
      <xdr:row>73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D0E2B36-EF00-58AB-7C77-B8CA6EFE834D}"/>
            </a:ext>
          </a:extLst>
        </xdr:cNvPr>
        <xdr:cNvCxnSpPr/>
      </xdr:nvCxnSpPr>
      <xdr:spPr>
        <a:xfrm>
          <a:off x="19629120" y="7620"/>
          <a:ext cx="0" cy="134493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0</xdr:rowOff>
    </xdr:from>
    <xdr:to>
      <xdr:col>18</xdr:col>
      <xdr:colOff>30480</xdr:colOff>
      <xdr:row>70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4627786-B208-475E-9F15-8069E324F0E0}"/>
            </a:ext>
          </a:extLst>
        </xdr:cNvPr>
        <xdr:cNvCxnSpPr/>
      </xdr:nvCxnSpPr>
      <xdr:spPr>
        <a:xfrm>
          <a:off x="11704320" y="0"/>
          <a:ext cx="0" cy="129082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114300</xdr:rowOff>
    </xdr:from>
    <xdr:to>
      <xdr:col>13</xdr:col>
      <xdr:colOff>312420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CB6465-E1DA-4EEF-9D96-F3842D508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281940</xdr:colOff>
      <xdr:row>3</xdr:row>
      <xdr:rowOff>45720</xdr:rowOff>
    </xdr:from>
    <xdr:to>
      <xdr:col>21</xdr:col>
      <xdr:colOff>586740</xdr:colOff>
      <xdr:row>18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491106-A963-4B6E-A46D-2649FB539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Models%20(Defence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 Mniszek" refreshedDate="45946.741133564814" createdVersion="8" refreshedVersion="8" minRefreshableVersion="3" recordCount="759" xr:uid="{7AD62436-8994-4431-A5BD-73527EBFC98F}">
  <cacheSource type="worksheet">
    <worksheetSource name="RawData" r:id="rId2"/>
  </cacheSource>
  <cacheFields count="18">
    <cacheField name="Program" numFmtId="0">
      <sharedItems count="49">
        <s v="AMRAAM"/>
        <s v="F-35"/>
        <s v="V-22"/>
        <s v="C-130J"/>
        <s v="MQ-1C"/>
        <s v="MQ-9"/>
        <s v="B-21"/>
        <s v="F-47"/>
        <s v="PATRIOT"/>
        <s v="CCA"/>
        <s v="F-15"/>
        <s v="F-22"/>
        <s v="KC-46"/>
        <s v="B-1, B-2, B-52"/>
        <s v="CH-53K"/>
        <s v="FLRAA"/>
        <s v="MQ-25"/>
        <s v="F/A-18"/>
        <s v="E-2"/>
        <s v="HMS"/>
        <s v="M1"/>
        <s v="AMPV"/>
        <s v="PIM"/>
        <s v="XM30"/>
        <s v="ACV"/>
        <s v="GMD"/>
        <s v="THAAD"/>
        <s v="Aegis BMD"/>
        <s v="MSE"/>
        <s v="IFPC"/>
        <s v="JASSM"/>
        <s v="LRASM"/>
        <s v="AMMO"/>
        <s v="GMLRS"/>
        <s v="PrSM"/>
        <s v="UGM-133"/>
        <s v="SM-6"/>
        <s v="TLAM"/>
        <s v="LGM-35"/>
        <s v="LRSO"/>
        <s v="NSSL/RSLP"/>
        <s v="MWMT"/>
        <s v="SATCOM"/>
        <s v="Hypersonics"/>
        <s v="LRHW"/>
        <s v="HACM"/>
        <s v="AJAX"/>
        <s v="AH-64"/>
        <s v="Challenger 3"/>
      </sharedItems>
    </cacheField>
    <cacheField name="FY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Customer" numFmtId="0">
      <sharedItems containsBlank="1"/>
    </cacheField>
    <cacheField name="Country" numFmtId="0">
      <sharedItems/>
    </cacheField>
    <cacheField name="Type" numFmtId="0">
      <sharedItems/>
    </cacheField>
    <cacheField name="Company" numFmtId="0">
      <sharedItems containsBlank="1" count="28">
        <s v="RTX"/>
        <s v="LMT"/>
        <s v="TXT"/>
        <s v="BA"/>
        <s v="RR"/>
        <s v="GE"/>
        <s v="NOC"/>
        <s v="HON"/>
        <s v="GAI"/>
        <s v="LHX"/>
        <s v="ADUI"/>
        <s v="HO"/>
        <s v="GD"/>
        <s v="BAE"/>
        <s v="RHM"/>
        <s v="LDOS"/>
        <s v="NPK"/>
        <s v="NAMMO"/>
        <s v="ULA"/>
        <s v="SPAC"/>
        <s v="Blue Origin"/>
        <s v="RKLB"/>
        <s v="Stoke Space"/>
        <s v="OSK"/>
        <s v="GKN"/>
        <s v="LDO"/>
        <m u="1"/>
        <s v="RHX" u="1"/>
      </sharedItems>
    </cacheField>
    <cacheField name="Segment" numFmtId="0">
      <sharedItems containsBlank="1" count="27">
        <s v="Raytheon"/>
        <s v="Aeronautics"/>
        <s v="Pratt &amp; Whitney"/>
        <s v="Bell"/>
        <s v="Defense"/>
        <s v="Defence"/>
        <s v="Dowty"/>
        <s v="Mission Systems"/>
        <s v="Avionics"/>
        <s v="Aeronautical Systems"/>
        <m/>
        <s v="Collins Aerospace"/>
        <s v="Missiles &amp; Fire Control"/>
        <s v="Sikorsky"/>
        <s v="Military Engines"/>
        <s v="Ground Systems"/>
        <s v="Platforms &amp; Services"/>
        <s v="Rotary &amp; Mission Systems"/>
        <s v="Defense Solutions"/>
        <s v="Ordnance &amp; Tactical Systems"/>
        <s v="AMTEC"/>
        <s v="Space"/>
        <s v="Dynetics"/>
        <s v="GD UK"/>
        <s v="Thales UK"/>
        <s v="Vehicle Systems"/>
        <s v="Weapon &amp; Ammunition"/>
      </sharedItems>
    </cacheField>
    <cacheField name="Component" numFmtId="0">
      <sharedItems containsBlank="1"/>
    </cacheField>
    <cacheField name="Role" numFmtId="0">
      <sharedItems containsBlank="1"/>
    </cacheField>
    <cacheField name="Qty" numFmtId="0">
      <sharedItems containsString="0" containsBlank="1" containsNumber="1" containsInteger="1" minValue="0" maxValue="13189"/>
    </cacheField>
    <cacheField name="Value_Other" numFmtId="0">
      <sharedItems containsString="0" containsBlank="1" containsNumber="1" containsInteger="1" minValue="604" maxValue="1644"/>
    </cacheField>
    <cacheField name="Value_USD_M" numFmtId="0">
      <sharedItems containsSemiMixedTypes="0" containsString="0" containsNumber="1" minValue="0" maxValue="12958.8"/>
    </cacheField>
    <cacheField name="Confidence/Status" numFmtId="0">
      <sharedItems containsBlank="1"/>
    </cacheField>
    <cacheField name="Share_Est" numFmtId="0">
      <sharedItems containsSemiMixedTypes="0" containsString="0" containsNumber="1" minValue="0.03" maxValue="1"/>
    </cacheField>
    <cacheField name="Adj_Value_USD_M" numFmtId="166">
      <sharedItems containsSemiMixedTypes="0" containsString="0" containsNumber="1" minValue="0" maxValue="7127.34"/>
    </cacheField>
    <cacheField name="Source" numFmtId="0">
      <sharedItems containsBlank="1"/>
    </cacheField>
    <cacheField name="Data_Source_Detail" numFmtId="0">
      <sharedItems containsNonDate="0" containsString="0"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9">
  <r>
    <x v="0"/>
    <x v="0"/>
    <s v="USAF"/>
    <s v="US"/>
    <s v="Procurement"/>
    <x v="0"/>
    <x v="0"/>
    <m/>
    <s v="Prime"/>
    <n v="457"/>
    <m/>
    <n v="544"/>
    <s v="H"/>
    <n v="1"/>
    <n v="544"/>
    <s v="DoD FY2026 Budget"/>
    <m/>
    <s v="add SRM suppliers later"/>
  </r>
  <r>
    <x v="0"/>
    <x v="0"/>
    <s v="USN"/>
    <s v="US"/>
    <s v="Procurement"/>
    <x v="0"/>
    <x v="0"/>
    <m/>
    <s v="Prime"/>
    <n v="300"/>
    <m/>
    <n v="385.7"/>
    <s v="H"/>
    <n v="1"/>
    <n v="385.7"/>
    <s v="DoD FY2026 Budget"/>
    <m/>
    <m/>
  </r>
  <r>
    <x v="0"/>
    <x v="1"/>
    <s v="USAF"/>
    <s v="US"/>
    <s v="Procurement"/>
    <x v="0"/>
    <x v="0"/>
    <m/>
    <s v="Prime"/>
    <n v="290"/>
    <m/>
    <n v="392.8"/>
    <s v="H"/>
    <n v="1"/>
    <n v="392.8"/>
    <s v="DoD FY2026 Budget"/>
    <m/>
    <m/>
  </r>
  <r>
    <x v="0"/>
    <x v="1"/>
    <s v="USN"/>
    <s v="US"/>
    <s v="Procurement"/>
    <x v="0"/>
    <x v="0"/>
    <m/>
    <s v="Prime"/>
    <n v="181"/>
    <m/>
    <n v="191.5"/>
    <s v="H"/>
    <n v="1"/>
    <n v="191.5"/>
    <s v="DoD FY2026 Budget"/>
    <m/>
    <m/>
  </r>
  <r>
    <x v="0"/>
    <x v="2"/>
    <s v="USAF"/>
    <s v="US"/>
    <s v="Procurement"/>
    <x v="0"/>
    <x v="0"/>
    <m/>
    <s v="Prime"/>
    <n v="483"/>
    <m/>
    <n v="668.5"/>
    <s v="H"/>
    <n v="1"/>
    <n v="668.5"/>
    <s v="DoD FY2026 Budget"/>
    <m/>
    <m/>
  </r>
  <r>
    <x v="0"/>
    <x v="2"/>
    <s v="USN"/>
    <s v="US"/>
    <s v="Procurement"/>
    <x v="0"/>
    <x v="0"/>
    <m/>
    <s v="Prime"/>
    <n v="51"/>
    <m/>
    <n v="69.900000000000006"/>
    <s v="H"/>
    <n v="1"/>
    <n v="69.900000000000006"/>
    <s v="DoD FY2026 Budget"/>
    <m/>
    <m/>
  </r>
  <r>
    <x v="0"/>
    <x v="0"/>
    <s v="USAF"/>
    <s v="US"/>
    <s v="RDT&amp;E"/>
    <x v="0"/>
    <x v="0"/>
    <m/>
    <s v="Prime"/>
    <m/>
    <m/>
    <n v="52"/>
    <s v="H"/>
    <n v="1"/>
    <n v="52"/>
    <s v="DoD FY2026 Budget"/>
    <m/>
    <m/>
  </r>
  <r>
    <x v="0"/>
    <x v="0"/>
    <s v="USN"/>
    <s v="US"/>
    <s v="RDT&amp;E"/>
    <x v="0"/>
    <x v="0"/>
    <m/>
    <s v="Prime"/>
    <m/>
    <m/>
    <n v="28.8"/>
    <s v="H"/>
    <n v="1"/>
    <n v="28.8"/>
    <s v="DoD FY2026 Budget"/>
    <m/>
    <m/>
  </r>
  <r>
    <x v="0"/>
    <x v="1"/>
    <s v="USAF"/>
    <s v="US"/>
    <s v="RDT&amp;E"/>
    <x v="0"/>
    <x v="0"/>
    <m/>
    <s v="Prime"/>
    <m/>
    <m/>
    <n v="53.6"/>
    <s v="H"/>
    <n v="1"/>
    <n v="53.6"/>
    <s v="DoD FY2026 Budget"/>
    <m/>
    <m/>
  </r>
  <r>
    <x v="0"/>
    <x v="1"/>
    <s v="USN"/>
    <s v="US"/>
    <s v="RDT&amp;E"/>
    <x v="0"/>
    <x v="0"/>
    <m/>
    <s v="Prime"/>
    <m/>
    <m/>
    <n v="29.6"/>
    <s v="H"/>
    <n v="1"/>
    <n v="29.6"/>
    <s v="DoD FY2026 Budget"/>
    <m/>
    <m/>
  </r>
  <r>
    <x v="0"/>
    <x v="2"/>
    <s v="USAF"/>
    <s v="US"/>
    <s v="RDT&amp;E"/>
    <x v="0"/>
    <x v="0"/>
    <m/>
    <s v="Prime"/>
    <m/>
    <m/>
    <n v="51.2"/>
    <s v="H"/>
    <n v="1"/>
    <n v="51.2"/>
    <s v="DoD FY2026 Budget"/>
    <m/>
    <m/>
  </r>
  <r>
    <x v="0"/>
    <x v="2"/>
    <s v="USN"/>
    <s v="US"/>
    <s v="RDT&amp;E"/>
    <x v="0"/>
    <x v="0"/>
    <m/>
    <s v="Prime"/>
    <m/>
    <m/>
    <n v="26.3"/>
    <s v="H"/>
    <n v="1"/>
    <n v="26.3"/>
    <s v="DoD FY2026 Budget"/>
    <m/>
    <m/>
  </r>
  <r>
    <x v="1"/>
    <x v="0"/>
    <s v="USN/USMC"/>
    <s v="US"/>
    <s v="RDT&amp;E"/>
    <x v="1"/>
    <x v="1"/>
    <s v="Airframe"/>
    <s v="Prime"/>
    <m/>
    <m/>
    <n v="945"/>
    <s v="H"/>
    <n v="0.9"/>
    <n v="850.5"/>
    <s v="DoD FY2026 Budget"/>
    <m/>
    <m/>
  </r>
  <r>
    <x v="1"/>
    <x v="0"/>
    <s v="USAF"/>
    <s v="US"/>
    <s v="RDT&amp;E"/>
    <x v="1"/>
    <x v="1"/>
    <s v="Airframe"/>
    <s v="Prime"/>
    <m/>
    <m/>
    <n v="1325.7"/>
    <s v="H"/>
    <n v="0.9"/>
    <n v="1193.1300000000001"/>
    <s v="DoD FY2026 Budget"/>
    <m/>
    <m/>
  </r>
  <r>
    <x v="1"/>
    <x v="1"/>
    <s v="USN/USMC"/>
    <s v="US"/>
    <s v="RDT&amp;E"/>
    <x v="1"/>
    <x v="1"/>
    <s v="Airframe"/>
    <s v="Prime"/>
    <m/>
    <m/>
    <n v="946.9"/>
    <s v="H"/>
    <n v="0.9"/>
    <n v="852.21"/>
    <s v="DoD FY2026 Budget"/>
    <m/>
    <m/>
  </r>
  <r>
    <x v="1"/>
    <x v="1"/>
    <s v="USAF"/>
    <s v="US"/>
    <s v="RDT&amp;E"/>
    <x v="1"/>
    <x v="1"/>
    <s v="Airframe"/>
    <s v="Prime"/>
    <m/>
    <m/>
    <n v="1230.5"/>
    <s v="H"/>
    <n v="0.9"/>
    <n v="1107.45"/>
    <s v="DoD FY2026 Budget"/>
    <m/>
    <m/>
  </r>
  <r>
    <x v="1"/>
    <x v="2"/>
    <s v="USN/USMC"/>
    <s v="US"/>
    <s v="RDT&amp;E"/>
    <x v="1"/>
    <x v="1"/>
    <s v="Airframe"/>
    <s v="Prime"/>
    <m/>
    <m/>
    <n v="969.7"/>
    <s v="H"/>
    <n v="0.9"/>
    <n v="872.73"/>
    <s v="DoD FY2026 Budget"/>
    <m/>
    <m/>
  </r>
  <r>
    <x v="1"/>
    <x v="2"/>
    <s v="USAF"/>
    <s v="US"/>
    <s v="RDT&amp;E"/>
    <x v="1"/>
    <x v="1"/>
    <s v="Airframe"/>
    <s v="Prime"/>
    <m/>
    <m/>
    <n v="1230.5"/>
    <s v="H"/>
    <n v="0.9"/>
    <n v="1107.45"/>
    <s v="DoD FY2026 Budget"/>
    <m/>
    <m/>
  </r>
  <r>
    <x v="1"/>
    <x v="0"/>
    <s v="USN/USMC"/>
    <s v="US"/>
    <s v="RDT&amp;E"/>
    <x v="0"/>
    <x v="2"/>
    <s v="Engine"/>
    <s v="Prime"/>
    <m/>
    <m/>
    <n v="945"/>
    <s v="H"/>
    <n v="0.1"/>
    <n v="94.5"/>
    <s v="DoD FY2026 Budget"/>
    <m/>
    <m/>
  </r>
  <r>
    <x v="1"/>
    <x v="0"/>
    <s v="USAF"/>
    <s v="US"/>
    <s v="RDT&amp;E"/>
    <x v="0"/>
    <x v="2"/>
    <s v="Engine"/>
    <s v="Prime"/>
    <m/>
    <m/>
    <n v="1325.7"/>
    <s v="H"/>
    <n v="0.1"/>
    <n v="132.57000000000002"/>
    <s v="DoD FY2026 Budget"/>
    <m/>
    <m/>
  </r>
  <r>
    <x v="1"/>
    <x v="1"/>
    <s v="USN/USMC"/>
    <s v="US"/>
    <s v="RDT&amp;E"/>
    <x v="0"/>
    <x v="2"/>
    <s v="Engine"/>
    <s v="Prime"/>
    <m/>
    <m/>
    <n v="946.9"/>
    <s v="H"/>
    <n v="0.1"/>
    <n v="94.69"/>
    <s v="DoD FY2026 Budget"/>
    <m/>
    <m/>
  </r>
  <r>
    <x v="1"/>
    <x v="1"/>
    <s v="USAF"/>
    <s v="US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2"/>
    <s v="USN/USMC"/>
    <s v="US"/>
    <s v="RDT&amp;E"/>
    <x v="0"/>
    <x v="2"/>
    <s v="Engine"/>
    <s v="Prime"/>
    <m/>
    <m/>
    <n v="969.7"/>
    <s v="H"/>
    <n v="0.1"/>
    <n v="96.970000000000013"/>
    <s v="DoD FY2026 Budget"/>
    <m/>
    <m/>
  </r>
  <r>
    <x v="1"/>
    <x v="2"/>
    <s v="USAF"/>
    <s v="US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0"/>
    <s v="USN/USMC"/>
    <s v="US"/>
    <s v="Procurement"/>
    <x v="1"/>
    <x v="1"/>
    <s v="Airframe"/>
    <s v="Prime"/>
    <n v="35"/>
    <m/>
    <n v="5623.6"/>
    <s v="H"/>
    <n v="0.8"/>
    <n v="4498.88"/>
    <s v="DoD FY2026 Budget"/>
    <m/>
    <m/>
  </r>
  <r>
    <x v="1"/>
    <x v="0"/>
    <s v="USAF"/>
    <s v="US"/>
    <s v="Procurement"/>
    <x v="1"/>
    <x v="1"/>
    <s v="Airframe"/>
    <s v="Prime"/>
    <n v="51"/>
    <m/>
    <n v="6377"/>
    <s v="H"/>
    <n v="0.8"/>
    <n v="5101.6000000000004"/>
    <s v="DoD FY2026 Budget"/>
    <m/>
    <m/>
  </r>
  <r>
    <x v="1"/>
    <x v="1"/>
    <s v="USN/USMC"/>
    <s v="US"/>
    <s v="Procurement"/>
    <x v="1"/>
    <x v="1"/>
    <s v="Airframe"/>
    <s v="Prime"/>
    <n v="30"/>
    <m/>
    <n v="5353"/>
    <s v="H"/>
    <n v="0.8"/>
    <n v="4282.4000000000005"/>
    <s v="DoD FY2026 Budget"/>
    <m/>
    <m/>
  </r>
  <r>
    <x v="1"/>
    <x v="1"/>
    <s v="USAF"/>
    <s v="US"/>
    <s v="Procurement"/>
    <x v="1"/>
    <x v="1"/>
    <s v="Airframe"/>
    <s v="Prime"/>
    <n v="44"/>
    <m/>
    <n v="5852.1"/>
    <s v="H"/>
    <n v="0.8"/>
    <n v="4681.68"/>
    <s v="DoD FY2026 Budget"/>
    <m/>
    <m/>
  </r>
  <r>
    <x v="1"/>
    <x v="2"/>
    <s v="USN/USMC"/>
    <s v="US"/>
    <s v="Procurement"/>
    <x v="1"/>
    <x v="1"/>
    <s v="Airframe"/>
    <s v="Prime"/>
    <n v="23"/>
    <m/>
    <n v="5116.8"/>
    <s v="H"/>
    <n v="0.8"/>
    <n v="4093.4400000000005"/>
    <s v="DoD FY2026 Budget"/>
    <m/>
    <m/>
  </r>
  <r>
    <x v="1"/>
    <x v="2"/>
    <s v="USAF"/>
    <s v="US"/>
    <s v="Procurement"/>
    <x v="1"/>
    <x v="1"/>
    <s v="Airframe"/>
    <s v="Prime"/>
    <n v="24"/>
    <m/>
    <n v="5803.7"/>
    <s v="H"/>
    <n v="0.8"/>
    <n v="4642.96"/>
    <s v="DoD FY2026 Budget"/>
    <m/>
    <m/>
  </r>
  <r>
    <x v="1"/>
    <x v="0"/>
    <s v="USN/USMC"/>
    <s v="US"/>
    <s v="Procurement"/>
    <x v="0"/>
    <x v="2"/>
    <s v="Engine"/>
    <s v="Prime"/>
    <n v="35"/>
    <m/>
    <n v="5623.6"/>
    <s v="H"/>
    <n v="0.2"/>
    <n v="1124.72"/>
    <s v="DoD FY2026 Budget"/>
    <m/>
    <m/>
  </r>
  <r>
    <x v="1"/>
    <x v="0"/>
    <s v="USAF"/>
    <s v="US"/>
    <s v="Procurement"/>
    <x v="0"/>
    <x v="2"/>
    <s v="Engine"/>
    <s v="Prime"/>
    <n v="51"/>
    <m/>
    <n v="6377"/>
    <s v="H"/>
    <n v="0.2"/>
    <n v="1275.4000000000001"/>
    <s v="DoD FY2026 Budget"/>
    <m/>
    <m/>
  </r>
  <r>
    <x v="1"/>
    <x v="1"/>
    <s v="USN/USMC"/>
    <s v="US"/>
    <s v="Procurement"/>
    <x v="0"/>
    <x v="2"/>
    <s v="Engine"/>
    <s v="Prime"/>
    <n v="30"/>
    <m/>
    <n v="5353"/>
    <s v="H"/>
    <n v="0.2"/>
    <n v="1070.6000000000001"/>
    <s v="DoD FY2026 Budget"/>
    <m/>
    <m/>
  </r>
  <r>
    <x v="1"/>
    <x v="1"/>
    <s v="USAF"/>
    <s v="US"/>
    <s v="Procurement"/>
    <x v="0"/>
    <x v="2"/>
    <s v="Engine"/>
    <s v="Prime"/>
    <n v="44"/>
    <m/>
    <n v="5852.1"/>
    <s v="H"/>
    <n v="0.2"/>
    <n v="1170.42"/>
    <s v="DoD FY2026 Budget"/>
    <m/>
    <m/>
  </r>
  <r>
    <x v="1"/>
    <x v="2"/>
    <s v="USN/USMC"/>
    <s v="US"/>
    <s v="Procurement"/>
    <x v="0"/>
    <x v="2"/>
    <s v="Engine"/>
    <s v="Prime"/>
    <n v="23"/>
    <m/>
    <n v="5116.8"/>
    <s v="H"/>
    <n v="0.2"/>
    <n v="1023.3600000000001"/>
    <s v="DoD FY2026 Budget"/>
    <m/>
    <m/>
  </r>
  <r>
    <x v="1"/>
    <x v="2"/>
    <s v="USAF"/>
    <s v="US"/>
    <s v="Procurement"/>
    <x v="0"/>
    <x v="2"/>
    <s v="Engine"/>
    <s v="Prime"/>
    <n v="24"/>
    <m/>
    <n v="5803.7"/>
    <s v="H"/>
    <n v="0.2"/>
    <n v="1160.74"/>
    <s v="DoD FY2026 Budget"/>
    <m/>
    <m/>
  </r>
  <r>
    <x v="2"/>
    <x v="0"/>
    <s v="USN"/>
    <s v="US"/>
    <s v="RDT&amp;E"/>
    <x v="2"/>
    <x v="3"/>
    <m/>
    <m/>
    <m/>
    <m/>
    <n v="144.69999999999999"/>
    <s v="H"/>
    <n v="0.5"/>
    <n v="72.349999999999994"/>
    <s v="DoD FY2026 Budget"/>
    <m/>
    <m/>
  </r>
  <r>
    <x v="2"/>
    <x v="0"/>
    <s v="USAF"/>
    <s v="US"/>
    <s v="RDT&amp;E"/>
    <x v="2"/>
    <x v="3"/>
    <m/>
    <m/>
    <m/>
    <m/>
    <n v="16.600000000000001"/>
    <s v="H"/>
    <n v="0.5"/>
    <n v="8.3000000000000007"/>
    <s v="DoD FY2026 Budget"/>
    <m/>
    <m/>
  </r>
  <r>
    <x v="2"/>
    <x v="0"/>
    <s v="SOCOM"/>
    <s v="US"/>
    <s v="RDT&amp;E"/>
    <x v="2"/>
    <x v="3"/>
    <m/>
    <m/>
    <m/>
    <m/>
    <n v="19.8"/>
    <s v="H"/>
    <n v="0.5"/>
    <n v="9.9"/>
    <s v="DoD FY2026 Budget"/>
    <m/>
    <m/>
  </r>
  <r>
    <x v="2"/>
    <x v="1"/>
    <s v="USN"/>
    <s v="US"/>
    <s v="RDT&amp;E"/>
    <x v="2"/>
    <x v="3"/>
    <m/>
    <m/>
    <m/>
    <m/>
    <n v="108.2"/>
    <s v="H"/>
    <n v="0.5"/>
    <n v="54.1"/>
    <s v="DoD FY2026 Budget"/>
    <m/>
    <m/>
  </r>
  <r>
    <x v="2"/>
    <x v="1"/>
    <s v="USAF"/>
    <s v="US"/>
    <s v="RDT&amp;E"/>
    <x v="2"/>
    <x v="3"/>
    <m/>
    <m/>
    <m/>
    <m/>
    <n v="26.2"/>
    <s v="H"/>
    <n v="0.5"/>
    <n v="13.1"/>
    <s v="DoD FY2026 Budget"/>
    <m/>
    <m/>
  </r>
  <r>
    <x v="2"/>
    <x v="1"/>
    <s v="SOCOM"/>
    <s v="US"/>
    <s v="RDT&amp;E"/>
    <x v="2"/>
    <x v="3"/>
    <m/>
    <m/>
    <m/>
    <m/>
    <n v="15.7"/>
    <s v="H"/>
    <n v="0.5"/>
    <n v="7.85"/>
    <s v="DoD FY2026 Budget"/>
    <m/>
    <m/>
  </r>
  <r>
    <x v="2"/>
    <x v="2"/>
    <s v="USN"/>
    <s v="US"/>
    <s v="RDT&amp;E"/>
    <x v="2"/>
    <x v="3"/>
    <m/>
    <m/>
    <m/>
    <m/>
    <n v="125"/>
    <s v="H"/>
    <n v="0.5"/>
    <n v="62.5"/>
    <s v="DoD FY2026 Budget"/>
    <m/>
    <m/>
  </r>
  <r>
    <x v="2"/>
    <x v="2"/>
    <s v="USAF"/>
    <s v="US"/>
    <s v="RDT&amp;E"/>
    <x v="2"/>
    <x v="3"/>
    <m/>
    <m/>
    <m/>
    <m/>
    <n v="31.5"/>
    <s v="H"/>
    <n v="0.5"/>
    <n v="15.75"/>
    <s v="DoD FY2026 Budget"/>
    <m/>
    <m/>
  </r>
  <r>
    <x v="2"/>
    <x v="2"/>
    <s v="SOCOM"/>
    <s v="US"/>
    <s v="RDT&amp;E"/>
    <x v="2"/>
    <x v="3"/>
    <m/>
    <m/>
    <m/>
    <m/>
    <n v="4.5"/>
    <s v="H"/>
    <n v="0.5"/>
    <n v="2.25"/>
    <s v="DoD FY2026 Budget"/>
    <m/>
    <m/>
  </r>
  <r>
    <x v="2"/>
    <x v="0"/>
    <s v="USN"/>
    <s v="US"/>
    <s v="RDT&amp;E"/>
    <x v="3"/>
    <x v="4"/>
    <m/>
    <m/>
    <m/>
    <m/>
    <n v="144.69999999999999"/>
    <s v="H"/>
    <n v="0.4"/>
    <n v="57.879999999999995"/>
    <s v="DoD FY2026 Budget"/>
    <m/>
    <m/>
  </r>
  <r>
    <x v="2"/>
    <x v="0"/>
    <s v="USAF"/>
    <s v="US"/>
    <s v="RDT&amp;E"/>
    <x v="3"/>
    <x v="4"/>
    <m/>
    <m/>
    <m/>
    <m/>
    <n v="16.600000000000001"/>
    <s v="H"/>
    <n v="0.4"/>
    <n v="6.6400000000000006"/>
    <s v="DoD FY2026 Budget"/>
    <m/>
    <m/>
  </r>
  <r>
    <x v="2"/>
    <x v="0"/>
    <s v="SOCOM"/>
    <s v="US"/>
    <s v="RDT&amp;E"/>
    <x v="3"/>
    <x v="4"/>
    <m/>
    <m/>
    <m/>
    <m/>
    <n v="19.8"/>
    <s v="H"/>
    <n v="0.4"/>
    <n v="7.9200000000000008"/>
    <s v="DoD FY2026 Budget"/>
    <m/>
    <m/>
  </r>
  <r>
    <x v="2"/>
    <x v="1"/>
    <s v="USN"/>
    <s v="US"/>
    <s v="RDT&amp;E"/>
    <x v="3"/>
    <x v="4"/>
    <m/>
    <m/>
    <m/>
    <m/>
    <n v="108.2"/>
    <s v="H"/>
    <n v="0.4"/>
    <n v="43.28"/>
    <s v="DoD FY2026 Budget"/>
    <m/>
    <m/>
  </r>
  <r>
    <x v="2"/>
    <x v="1"/>
    <s v="USAF"/>
    <s v="US"/>
    <s v="RDT&amp;E"/>
    <x v="3"/>
    <x v="4"/>
    <m/>
    <m/>
    <m/>
    <m/>
    <n v="26.2"/>
    <s v="H"/>
    <n v="0.4"/>
    <n v="10.48"/>
    <s v="DoD FY2026 Budget"/>
    <m/>
    <m/>
  </r>
  <r>
    <x v="2"/>
    <x v="1"/>
    <s v="SOCOM"/>
    <s v="US"/>
    <s v="RDT&amp;E"/>
    <x v="3"/>
    <x v="4"/>
    <m/>
    <m/>
    <m/>
    <m/>
    <n v="15.7"/>
    <s v="H"/>
    <n v="0.4"/>
    <n v="6.28"/>
    <s v="DoD FY2026 Budget"/>
    <m/>
    <m/>
  </r>
  <r>
    <x v="2"/>
    <x v="2"/>
    <s v="USN"/>
    <s v="US"/>
    <s v="RDT&amp;E"/>
    <x v="3"/>
    <x v="4"/>
    <m/>
    <m/>
    <m/>
    <m/>
    <n v="125"/>
    <s v="H"/>
    <n v="0.4"/>
    <n v="50"/>
    <s v="DoD FY2026 Budget"/>
    <m/>
    <m/>
  </r>
  <r>
    <x v="2"/>
    <x v="2"/>
    <s v="USAF"/>
    <s v="US"/>
    <s v="RDT&amp;E"/>
    <x v="3"/>
    <x v="4"/>
    <m/>
    <m/>
    <m/>
    <m/>
    <n v="31.5"/>
    <s v="H"/>
    <n v="0.4"/>
    <n v="12.600000000000001"/>
    <s v="DoD FY2026 Budget"/>
    <m/>
    <m/>
  </r>
  <r>
    <x v="2"/>
    <x v="2"/>
    <s v="SOCOM"/>
    <s v="US"/>
    <s v="RDT&amp;E"/>
    <x v="3"/>
    <x v="4"/>
    <m/>
    <m/>
    <m/>
    <m/>
    <n v="4.5"/>
    <s v="H"/>
    <n v="0.4"/>
    <n v="1.8"/>
    <s v="DoD FY2026 Budget"/>
    <m/>
    <m/>
  </r>
  <r>
    <x v="2"/>
    <x v="0"/>
    <s v="USN"/>
    <s v="US"/>
    <s v="RDT&amp;E"/>
    <x v="4"/>
    <x v="5"/>
    <m/>
    <m/>
    <m/>
    <m/>
    <n v="144.69999999999999"/>
    <s v="H"/>
    <n v="0.1"/>
    <n v="14.469999999999999"/>
    <s v="DoD FY2026 Budget"/>
    <m/>
    <m/>
  </r>
  <r>
    <x v="2"/>
    <x v="0"/>
    <s v="USAF"/>
    <s v="US"/>
    <s v="RDT&amp;E"/>
    <x v="4"/>
    <x v="5"/>
    <m/>
    <m/>
    <m/>
    <m/>
    <n v="16.600000000000001"/>
    <s v="H"/>
    <n v="0.1"/>
    <n v="1.6600000000000001"/>
    <s v="DoD FY2026 Budget"/>
    <m/>
    <m/>
  </r>
  <r>
    <x v="2"/>
    <x v="0"/>
    <s v="SOCOM"/>
    <s v="US"/>
    <s v="RDT&amp;E"/>
    <x v="4"/>
    <x v="5"/>
    <m/>
    <m/>
    <m/>
    <m/>
    <n v="19.8"/>
    <s v="H"/>
    <n v="0.1"/>
    <n v="1.9800000000000002"/>
    <s v="DoD FY2026 Budget"/>
    <m/>
    <m/>
  </r>
  <r>
    <x v="2"/>
    <x v="1"/>
    <s v="USN"/>
    <s v="US"/>
    <s v="RDT&amp;E"/>
    <x v="4"/>
    <x v="5"/>
    <m/>
    <m/>
    <m/>
    <m/>
    <n v="108.2"/>
    <s v="H"/>
    <n v="0.1"/>
    <n v="10.82"/>
    <s v="DoD FY2026 Budget"/>
    <m/>
    <m/>
  </r>
  <r>
    <x v="2"/>
    <x v="1"/>
    <s v="USAF"/>
    <s v="US"/>
    <s v="RDT&amp;E"/>
    <x v="4"/>
    <x v="5"/>
    <m/>
    <m/>
    <m/>
    <m/>
    <n v="26.2"/>
    <s v="H"/>
    <n v="0.1"/>
    <n v="2.62"/>
    <s v="DoD FY2026 Budget"/>
    <m/>
    <m/>
  </r>
  <r>
    <x v="2"/>
    <x v="1"/>
    <s v="SOCOM"/>
    <s v="US"/>
    <s v="RDT&amp;E"/>
    <x v="4"/>
    <x v="5"/>
    <m/>
    <m/>
    <m/>
    <m/>
    <n v="15.7"/>
    <s v="H"/>
    <n v="0.1"/>
    <n v="1.57"/>
    <s v="DoD FY2026 Budget"/>
    <m/>
    <m/>
  </r>
  <r>
    <x v="2"/>
    <x v="2"/>
    <s v="USN"/>
    <s v="US"/>
    <s v="RDT&amp;E"/>
    <x v="4"/>
    <x v="5"/>
    <m/>
    <m/>
    <m/>
    <m/>
    <n v="125"/>
    <s v="H"/>
    <n v="0.1"/>
    <n v="12.5"/>
    <s v="DoD FY2026 Budget"/>
    <m/>
    <m/>
  </r>
  <r>
    <x v="2"/>
    <x v="2"/>
    <s v="USAF"/>
    <s v="US"/>
    <s v="RDT&amp;E"/>
    <x v="4"/>
    <x v="5"/>
    <m/>
    <m/>
    <m/>
    <m/>
    <n v="31.5"/>
    <s v="H"/>
    <n v="0.1"/>
    <n v="3.1500000000000004"/>
    <s v="DoD FY2026 Budget"/>
    <m/>
    <m/>
  </r>
  <r>
    <x v="2"/>
    <x v="2"/>
    <s v="SOCOM"/>
    <s v="US"/>
    <s v="RDT&amp;E"/>
    <x v="4"/>
    <x v="5"/>
    <m/>
    <m/>
    <m/>
    <m/>
    <n v="4.5"/>
    <s v="H"/>
    <n v="0.1"/>
    <n v="0.45"/>
    <s v="DoD FY2026 Budget"/>
    <m/>
    <m/>
  </r>
  <r>
    <x v="2"/>
    <x v="0"/>
    <s v="USN"/>
    <s v="US"/>
    <s v="Procurement"/>
    <x v="2"/>
    <x v="3"/>
    <m/>
    <m/>
    <n v="5"/>
    <m/>
    <n v="1028.8"/>
    <s v="H"/>
    <n v="0.46"/>
    <n v="473.24799999999999"/>
    <s v="DoD FY2026 Budget"/>
    <m/>
    <m/>
  </r>
  <r>
    <x v="2"/>
    <x v="0"/>
    <s v="USAF"/>
    <s v="US"/>
    <s v="Procurement"/>
    <x v="2"/>
    <x v="3"/>
    <m/>
    <m/>
    <n v="5"/>
    <m/>
    <n v="157"/>
    <s v="H"/>
    <n v="0.46"/>
    <n v="72.22"/>
    <s v="DoD FY2026 Budget"/>
    <m/>
    <m/>
  </r>
  <r>
    <x v="2"/>
    <x v="0"/>
    <s v="SOCOM"/>
    <s v="US"/>
    <s v="Procurement"/>
    <x v="2"/>
    <x v="3"/>
    <m/>
    <m/>
    <n v="5"/>
    <m/>
    <n v="76"/>
    <s v="H"/>
    <n v="0.46"/>
    <n v="34.96"/>
    <s v="DoD FY2026 Budget"/>
    <m/>
    <m/>
  </r>
  <r>
    <x v="2"/>
    <x v="1"/>
    <s v="USN"/>
    <s v="US"/>
    <s v="Procurement"/>
    <x v="2"/>
    <x v="3"/>
    <m/>
    <m/>
    <n v="0"/>
    <m/>
    <n v="395.4"/>
    <s v="H"/>
    <n v="0.46"/>
    <n v="181.88399999999999"/>
    <s v="DoD FY2026 Budget"/>
    <m/>
    <m/>
  </r>
  <r>
    <x v="2"/>
    <x v="1"/>
    <s v="USAF"/>
    <s v="US"/>
    <s v="Procurement"/>
    <x v="2"/>
    <x v="3"/>
    <m/>
    <m/>
    <n v="0"/>
    <m/>
    <n v="58.6"/>
    <s v="H"/>
    <n v="0.46"/>
    <n v="26.956000000000003"/>
    <s v="DoD FY2026 Budget"/>
    <m/>
    <m/>
  </r>
  <r>
    <x v="2"/>
    <x v="1"/>
    <s v="SOCOM"/>
    <s v="US"/>
    <s v="Procurement"/>
    <x v="2"/>
    <x v="3"/>
    <m/>
    <m/>
    <n v="0"/>
    <m/>
    <n v="40.799999999999997"/>
    <s v="H"/>
    <n v="0.46"/>
    <n v="18.768000000000001"/>
    <s v="DoD FY2026 Budget"/>
    <m/>
    <m/>
  </r>
  <r>
    <x v="2"/>
    <x v="2"/>
    <s v="USN"/>
    <s v="US"/>
    <s v="Procurement"/>
    <x v="2"/>
    <x v="3"/>
    <m/>
    <m/>
    <n v="0"/>
    <m/>
    <n v="453.3"/>
    <s v="H"/>
    <n v="0.46"/>
    <n v="208.518"/>
    <s v="DoD FY2026 Budget"/>
    <m/>
    <m/>
  </r>
  <r>
    <x v="2"/>
    <x v="2"/>
    <s v="USAF"/>
    <s v="US"/>
    <s v="Procurement"/>
    <x v="2"/>
    <x v="3"/>
    <m/>
    <m/>
    <n v="0"/>
    <m/>
    <n v="193.5"/>
    <s v="H"/>
    <n v="0.46"/>
    <n v="89.01"/>
    <s v="DoD FY2026 Budget"/>
    <m/>
    <m/>
  </r>
  <r>
    <x v="2"/>
    <x v="2"/>
    <s v="SOCOM"/>
    <s v="US"/>
    <s v="Procurement"/>
    <x v="2"/>
    <x v="3"/>
    <m/>
    <m/>
    <n v="0"/>
    <m/>
    <n v="19.7"/>
    <s v="H"/>
    <n v="0.46"/>
    <n v="9.0619999999999994"/>
    <s v="DoD FY2026 Budget"/>
    <m/>
    <m/>
  </r>
  <r>
    <x v="2"/>
    <x v="0"/>
    <s v="USN"/>
    <s v="US"/>
    <s v="Procurement"/>
    <x v="3"/>
    <x v="4"/>
    <m/>
    <m/>
    <n v="5"/>
    <m/>
    <n v="1028.8"/>
    <s v="H"/>
    <n v="0.39"/>
    <n v="401.23199999999997"/>
    <s v="DoD FY2026 Budget"/>
    <m/>
    <m/>
  </r>
  <r>
    <x v="2"/>
    <x v="0"/>
    <s v="USAF"/>
    <s v="US"/>
    <s v="Procurement"/>
    <x v="3"/>
    <x v="4"/>
    <m/>
    <m/>
    <n v="5"/>
    <m/>
    <n v="157"/>
    <s v="H"/>
    <n v="0.39"/>
    <n v="61.230000000000004"/>
    <s v="DoD FY2026 Budget"/>
    <m/>
    <m/>
  </r>
  <r>
    <x v="2"/>
    <x v="0"/>
    <s v="SOCOM"/>
    <s v="US"/>
    <s v="Procurement"/>
    <x v="3"/>
    <x v="4"/>
    <m/>
    <m/>
    <n v="5"/>
    <m/>
    <n v="76"/>
    <s v="H"/>
    <n v="0.39"/>
    <n v="29.64"/>
    <s v="DoD FY2026 Budget"/>
    <m/>
    <m/>
  </r>
  <r>
    <x v="2"/>
    <x v="1"/>
    <s v="USN"/>
    <s v="US"/>
    <s v="Procurement"/>
    <x v="3"/>
    <x v="4"/>
    <m/>
    <m/>
    <n v="0"/>
    <m/>
    <n v="395.4"/>
    <s v="H"/>
    <n v="0.39"/>
    <n v="154.20599999999999"/>
    <s v="DoD FY2026 Budget"/>
    <m/>
    <m/>
  </r>
  <r>
    <x v="2"/>
    <x v="1"/>
    <s v="USAF"/>
    <s v="US"/>
    <s v="Procurement"/>
    <x v="3"/>
    <x v="4"/>
    <m/>
    <m/>
    <n v="0"/>
    <m/>
    <n v="58.6"/>
    <s v="H"/>
    <n v="0.39"/>
    <n v="22.854000000000003"/>
    <s v="DoD FY2026 Budget"/>
    <m/>
    <m/>
  </r>
  <r>
    <x v="2"/>
    <x v="1"/>
    <s v="SOCOM"/>
    <s v="US"/>
    <s v="Procurement"/>
    <x v="3"/>
    <x v="4"/>
    <m/>
    <m/>
    <n v="0"/>
    <m/>
    <n v="40.799999999999997"/>
    <s v="H"/>
    <n v="0.39"/>
    <n v="15.911999999999999"/>
    <s v="DoD FY2026 Budget"/>
    <m/>
    <m/>
  </r>
  <r>
    <x v="2"/>
    <x v="2"/>
    <s v="USN"/>
    <s v="US"/>
    <s v="Procurement"/>
    <x v="3"/>
    <x v="4"/>
    <m/>
    <m/>
    <n v="0"/>
    <m/>
    <n v="453.3"/>
    <s v="H"/>
    <n v="0.39"/>
    <n v="176.78700000000001"/>
    <s v="DoD FY2026 Budget"/>
    <m/>
    <m/>
  </r>
  <r>
    <x v="2"/>
    <x v="2"/>
    <s v="USAF"/>
    <s v="US"/>
    <s v="Procurement"/>
    <x v="3"/>
    <x v="4"/>
    <m/>
    <m/>
    <n v="0"/>
    <m/>
    <n v="193.5"/>
    <s v="H"/>
    <n v="0.39"/>
    <n v="75.465000000000003"/>
    <s v="DoD FY2026 Budget"/>
    <m/>
    <m/>
  </r>
  <r>
    <x v="2"/>
    <x v="2"/>
    <s v="SOCOM"/>
    <s v="US"/>
    <s v="Procurement"/>
    <x v="3"/>
    <x v="4"/>
    <m/>
    <m/>
    <n v="0"/>
    <m/>
    <n v="19.7"/>
    <s v="H"/>
    <n v="0.39"/>
    <n v="7.6829999999999998"/>
    <s v="DoD FY2026 Budget"/>
    <m/>
    <m/>
  </r>
  <r>
    <x v="2"/>
    <x v="0"/>
    <s v="USN"/>
    <s v="US"/>
    <s v="Procurement"/>
    <x v="4"/>
    <x v="5"/>
    <m/>
    <m/>
    <n v="5"/>
    <m/>
    <n v="1028.8"/>
    <s v="H"/>
    <n v="0.15"/>
    <n v="154.32"/>
    <s v="DoD FY2026 Budget"/>
    <m/>
    <m/>
  </r>
  <r>
    <x v="2"/>
    <x v="0"/>
    <s v="USAF"/>
    <s v="US"/>
    <s v="Procurement"/>
    <x v="4"/>
    <x v="5"/>
    <m/>
    <m/>
    <n v="5"/>
    <m/>
    <n v="157"/>
    <s v="H"/>
    <n v="0.15"/>
    <n v="23.55"/>
    <s v="DoD FY2026 Budget"/>
    <m/>
    <m/>
  </r>
  <r>
    <x v="2"/>
    <x v="0"/>
    <s v="SOCOM"/>
    <s v="US"/>
    <s v="Procurement"/>
    <x v="4"/>
    <x v="5"/>
    <m/>
    <m/>
    <n v="5"/>
    <m/>
    <n v="76"/>
    <s v="H"/>
    <n v="0.15"/>
    <n v="11.4"/>
    <s v="DoD FY2026 Budget"/>
    <m/>
    <m/>
  </r>
  <r>
    <x v="2"/>
    <x v="1"/>
    <s v="USN"/>
    <s v="US"/>
    <s v="Procurement"/>
    <x v="4"/>
    <x v="5"/>
    <m/>
    <m/>
    <n v="0"/>
    <m/>
    <n v="395.4"/>
    <s v="H"/>
    <n v="0.15"/>
    <n v="59.309999999999995"/>
    <s v="DoD FY2026 Budget"/>
    <m/>
    <m/>
  </r>
  <r>
    <x v="2"/>
    <x v="1"/>
    <s v="USAF"/>
    <s v="US"/>
    <s v="Procurement"/>
    <x v="4"/>
    <x v="5"/>
    <m/>
    <m/>
    <n v="0"/>
    <m/>
    <n v="58.6"/>
    <s v="H"/>
    <n v="0.15"/>
    <n v="8.7899999999999991"/>
    <s v="DoD FY2026 Budget"/>
    <m/>
    <m/>
  </r>
  <r>
    <x v="2"/>
    <x v="1"/>
    <s v="SOCOM"/>
    <s v="US"/>
    <s v="Procurement"/>
    <x v="4"/>
    <x v="5"/>
    <m/>
    <m/>
    <n v="0"/>
    <m/>
    <n v="40.799999999999997"/>
    <s v="H"/>
    <n v="0.15"/>
    <n v="6.1199999999999992"/>
    <s v="DoD FY2026 Budget"/>
    <m/>
    <m/>
  </r>
  <r>
    <x v="2"/>
    <x v="2"/>
    <s v="USN"/>
    <s v="US"/>
    <s v="Procurement"/>
    <x v="4"/>
    <x v="5"/>
    <m/>
    <m/>
    <n v="0"/>
    <m/>
    <n v="453.3"/>
    <s v="H"/>
    <n v="0.15"/>
    <n v="67.995000000000005"/>
    <s v="DoD FY2026 Budget"/>
    <m/>
    <m/>
  </r>
  <r>
    <x v="2"/>
    <x v="2"/>
    <s v="USAF"/>
    <s v="US"/>
    <s v="Procurement"/>
    <x v="4"/>
    <x v="5"/>
    <m/>
    <m/>
    <n v="0"/>
    <m/>
    <n v="193.5"/>
    <s v="H"/>
    <n v="0.15"/>
    <n v="29.024999999999999"/>
    <s v="DoD FY2026 Budget"/>
    <m/>
    <m/>
  </r>
  <r>
    <x v="2"/>
    <x v="2"/>
    <s v="SOCOM"/>
    <s v="US"/>
    <s v="Procurement"/>
    <x v="4"/>
    <x v="5"/>
    <m/>
    <m/>
    <n v="0"/>
    <m/>
    <n v="19.7"/>
    <s v="H"/>
    <n v="0.15"/>
    <n v="2.9549999999999996"/>
    <s v="DoD FY2026 Budget"/>
    <m/>
    <m/>
  </r>
  <r>
    <x v="3"/>
    <x v="0"/>
    <s v="Joint Service"/>
    <s v="US"/>
    <s v="RDT&amp;E"/>
    <x v="1"/>
    <x v="1"/>
    <m/>
    <m/>
    <m/>
    <m/>
    <n v="34.700000000000003"/>
    <s v="H"/>
    <n v="0.85"/>
    <n v="29.495000000000001"/>
    <s v="DoD FY2026 Budget"/>
    <m/>
    <m/>
  </r>
  <r>
    <x v="3"/>
    <x v="1"/>
    <s v="Joint Service"/>
    <s v="US"/>
    <s v="RDT&amp;E"/>
    <x v="1"/>
    <x v="1"/>
    <m/>
    <m/>
    <m/>
    <m/>
    <n v="79.599999999999994"/>
    <s v="H"/>
    <n v="0.85"/>
    <n v="67.66"/>
    <s v="DoD FY2026 Budget"/>
    <m/>
    <m/>
  </r>
  <r>
    <x v="3"/>
    <x v="2"/>
    <s v="Joint Service"/>
    <s v="US"/>
    <s v="RDT&amp;E"/>
    <x v="1"/>
    <x v="1"/>
    <m/>
    <m/>
    <m/>
    <m/>
    <n v="82.2"/>
    <s v="H"/>
    <n v="0.85"/>
    <n v="69.87"/>
    <s v="DoD FY2026 Budget"/>
    <m/>
    <m/>
  </r>
  <r>
    <x v="3"/>
    <x v="0"/>
    <s v="Joint Service"/>
    <s v="US"/>
    <s v="RDT&amp;E"/>
    <x v="4"/>
    <x v="5"/>
    <m/>
    <m/>
    <m/>
    <m/>
    <n v="34.700000000000003"/>
    <s v="H"/>
    <n v="0.1"/>
    <n v="3.4700000000000006"/>
    <s v="DoD FY2026 Budget"/>
    <m/>
    <m/>
  </r>
  <r>
    <x v="3"/>
    <x v="1"/>
    <s v="Joint Service"/>
    <s v="US"/>
    <s v="RDT&amp;E"/>
    <x v="4"/>
    <x v="5"/>
    <m/>
    <m/>
    <m/>
    <m/>
    <n v="79.599999999999994"/>
    <s v="H"/>
    <n v="0.1"/>
    <n v="7.96"/>
    <s v="DoD FY2026 Budget"/>
    <m/>
    <m/>
  </r>
  <r>
    <x v="3"/>
    <x v="2"/>
    <s v="Joint Service"/>
    <s v="US"/>
    <s v="RDT&amp;E"/>
    <x v="4"/>
    <x v="5"/>
    <m/>
    <m/>
    <m/>
    <m/>
    <n v="82.2"/>
    <s v="H"/>
    <n v="0.1"/>
    <n v="8.2200000000000006"/>
    <s v="DoD FY2026 Budget"/>
    <m/>
    <m/>
  </r>
  <r>
    <x v="3"/>
    <x v="0"/>
    <s v="Joint Service"/>
    <s v="US"/>
    <s v="RDT&amp;E"/>
    <x v="5"/>
    <x v="6"/>
    <m/>
    <m/>
    <m/>
    <m/>
    <n v="34.700000000000003"/>
    <s v="H"/>
    <n v="0.05"/>
    <n v="1.7350000000000003"/>
    <s v="DoD FY2026 Budget"/>
    <m/>
    <m/>
  </r>
  <r>
    <x v="3"/>
    <x v="1"/>
    <s v="Joint Service"/>
    <s v="US"/>
    <s v="RDT&amp;E"/>
    <x v="5"/>
    <x v="6"/>
    <m/>
    <m/>
    <m/>
    <m/>
    <n v="79.599999999999994"/>
    <s v="H"/>
    <n v="0.05"/>
    <n v="3.98"/>
    <s v="DoD FY2026 Budget"/>
    <m/>
    <m/>
  </r>
  <r>
    <x v="3"/>
    <x v="2"/>
    <s v="Joint Service"/>
    <s v="US"/>
    <s v="RDT&amp;E"/>
    <x v="5"/>
    <x v="6"/>
    <m/>
    <m/>
    <m/>
    <m/>
    <n v="82.2"/>
    <s v="H"/>
    <n v="0.05"/>
    <n v="4.1100000000000003"/>
    <s v="DoD FY2026 Budget"/>
    <m/>
    <m/>
  </r>
  <r>
    <x v="3"/>
    <x v="0"/>
    <s v="Joint Service"/>
    <s v="US"/>
    <s v="Procurement"/>
    <x v="1"/>
    <x v="1"/>
    <m/>
    <m/>
    <n v="11"/>
    <m/>
    <n v="1992.1"/>
    <s v="H"/>
    <n v="0.749"/>
    <n v="1492.0828999999999"/>
    <s v="DoD FY2026 Budget"/>
    <m/>
    <m/>
  </r>
  <r>
    <x v="3"/>
    <x v="1"/>
    <s v="Joint Service"/>
    <s v="US"/>
    <s v="Procurement"/>
    <x v="1"/>
    <x v="1"/>
    <m/>
    <m/>
    <n v="3"/>
    <m/>
    <n v="1311.9"/>
    <s v="H"/>
    <n v="0.749"/>
    <n v="982.61310000000003"/>
    <s v="DoD FY2026 Budget"/>
    <m/>
    <m/>
  </r>
  <r>
    <x v="3"/>
    <x v="2"/>
    <s v="Joint Service"/>
    <s v="US"/>
    <s v="Procurement"/>
    <x v="1"/>
    <x v="1"/>
    <m/>
    <m/>
    <n v="0"/>
    <m/>
    <n v="917"/>
    <s v="H"/>
    <n v="0.749"/>
    <n v="686.83299999999997"/>
    <s v="DoD FY2026 Budget"/>
    <m/>
    <m/>
  </r>
  <r>
    <x v="3"/>
    <x v="0"/>
    <s v="Joint Service"/>
    <s v="US"/>
    <s v="Procurement"/>
    <x v="4"/>
    <x v="5"/>
    <m/>
    <m/>
    <n v="11"/>
    <m/>
    <n v="1992.1"/>
    <s v="H"/>
    <n v="0.121"/>
    <n v="241.04409999999999"/>
    <s v="DoD FY2026 Budget"/>
    <m/>
    <m/>
  </r>
  <r>
    <x v="3"/>
    <x v="1"/>
    <s v="Joint Service"/>
    <s v="US"/>
    <s v="Procurement"/>
    <x v="4"/>
    <x v="5"/>
    <m/>
    <m/>
    <n v="3"/>
    <m/>
    <n v="1311.9"/>
    <s v="H"/>
    <n v="0.121"/>
    <n v="158.73990000000001"/>
    <s v="DoD FY2026 Budget"/>
    <m/>
    <m/>
  </r>
  <r>
    <x v="3"/>
    <x v="2"/>
    <s v="Joint Service"/>
    <s v="US"/>
    <s v="Procurement"/>
    <x v="4"/>
    <x v="5"/>
    <m/>
    <m/>
    <n v="0"/>
    <m/>
    <n v="917"/>
    <s v="H"/>
    <n v="0.121"/>
    <n v="110.95699999999999"/>
    <s v="DoD FY2026 Budget"/>
    <m/>
    <m/>
  </r>
  <r>
    <x v="3"/>
    <x v="0"/>
    <s v="Joint Service"/>
    <s v="US"/>
    <s v="Procurement"/>
    <x v="5"/>
    <x v="6"/>
    <m/>
    <m/>
    <n v="11"/>
    <m/>
    <n v="1992.1"/>
    <s v="H"/>
    <n v="4.7E-2"/>
    <n v="93.628699999999995"/>
    <s v="DoD FY2026 Budget"/>
    <m/>
    <m/>
  </r>
  <r>
    <x v="3"/>
    <x v="1"/>
    <s v="Joint Service"/>
    <s v="US"/>
    <s v="Procurement"/>
    <x v="5"/>
    <x v="6"/>
    <m/>
    <m/>
    <n v="3"/>
    <m/>
    <n v="1311.9"/>
    <s v="H"/>
    <n v="4.7E-2"/>
    <n v="61.659300000000002"/>
    <s v="DoD FY2026 Budget"/>
    <m/>
    <m/>
  </r>
  <r>
    <x v="3"/>
    <x v="2"/>
    <s v="Joint Service"/>
    <s v="US"/>
    <s v="Procurement"/>
    <x v="5"/>
    <x v="6"/>
    <m/>
    <m/>
    <n v="0"/>
    <m/>
    <n v="917"/>
    <s v="H"/>
    <n v="4.7E-2"/>
    <n v="43.098999999999997"/>
    <s v="DoD FY2026 Budget"/>
    <m/>
    <m/>
  </r>
  <r>
    <x v="3"/>
    <x v="0"/>
    <s v="Joint Service"/>
    <s v="US"/>
    <s v="Procurement"/>
    <x v="6"/>
    <x v="7"/>
    <m/>
    <m/>
    <n v="11"/>
    <m/>
    <n v="1992.1"/>
    <s v="H"/>
    <n v="3.6999999999999998E-2"/>
    <n v="73.707699999999988"/>
    <s v="DoD FY2026 Budget"/>
    <m/>
    <m/>
  </r>
  <r>
    <x v="3"/>
    <x v="1"/>
    <s v="Joint Service"/>
    <s v="US"/>
    <s v="Procurement"/>
    <x v="6"/>
    <x v="7"/>
    <m/>
    <m/>
    <n v="3"/>
    <m/>
    <n v="1311.9"/>
    <s v="H"/>
    <n v="3.6999999999999998E-2"/>
    <n v="48.540300000000002"/>
    <s v="DoD FY2026 Budget"/>
    <m/>
    <m/>
  </r>
  <r>
    <x v="3"/>
    <x v="2"/>
    <s v="Joint Service"/>
    <s v="US"/>
    <s v="Procurement"/>
    <x v="6"/>
    <x v="7"/>
    <m/>
    <m/>
    <n v="0"/>
    <m/>
    <n v="917"/>
    <s v="H"/>
    <n v="3.6999999999999998E-2"/>
    <n v="33.928999999999995"/>
    <s v="DoD FY2026 Budget"/>
    <m/>
    <m/>
  </r>
  <r>
    <x v="3"/>
    <x v="0"/>
    <s v="Joint Service"/>
    <s v="US"/>
    <s v="Procurement"/>
    <x v="7"/>
    <x v="8"/>
    <m/>
    <m/>
    <n v="11"/>
    <m/>
    <n v="1992.1"/>
    <s v="H"/>
    <n v="4.5999999999999999E-2"/>
    <n v="91.636599999999987"/>
    <s v="DoD FY2026 Budget"/>
    <m/>
    <m/>
  </r>
  <r>
    <x v="3"/>
    <x v="1"/>
    <s v="Joint Service"/>
    <s v="US"/>
    <s v="Procurement"/>
    <x v="7"/>
    <x v="8"/>
    <m/>
    <m/>
    <n v="3"/>
    <m/>
    <n v="1311.9"/>
    <s v="H"/>
    <n v="4.5999999999999999E-2"/>
    <n v="60.3474"/>
    <s v="DoD FY2026 Budget"/>
    <m/>
    <m/>
  </r>
  <r>
    <x v="3"/>
    <x v="2"/>
    <s v="Joint Service"/>
    <s v="US"/>
    <s v="Procurement"/>
    <x v="7"/>
    <x v="8"/>
    <m/>
    <m/>
    <n v="0"/>
    <m/>
    <n v="917"/>
    <s v="H"/>
    <n v="4.5999999999999999E-2"/>
    <n v="42.182000000000002"/>
    <s v="DoD FY2026 Budget"/>
    <m/>
    <m/>
  </r>
  <r>
    <x v="4"/>
    <x v="0"/>
    <s v="Joint Service"/>
    <s v="US"/>
    <s v="Procurement"/>
    <x v="8"/>
    <x v="9"/>
    <m/>
    <m/>
    <n v="0"/>
    <m/>
    <n v="6.6"/>
    <s v="H"/>
    <n v="0.82"/>
    <n v="5.411999999999999"/>
    <s v="DoD FY2026 Budget"/>
    <m/>
    <m/>
  </r>
  <r>
    <x v="4"/>
    <x v="1"/>
    <s v="Joint Service"/>
    <s v="US"/>
    <s v="Procurement"/>
    <x v="8"/>
    <x v="9"/>
    <m/>
    <m/>
    <n v="8"/>
    <m/>
    <n v="6.7"/>
    <s v="H"/>
    <n v="0.82"/>
    <n v="5.4939999999999998"/>
    <s v="DoD FY2026 Budget"/>
    <m/>
    <m/>
  </r>
  <r>
    <x v="4"/>
    <x v="2"/>
    <s v="Joint Service"/>
    <s v="US"/>
    <s v="Procurement"/>
    <x v="8"/>
    <x v="9"/>
    <m/>
    <m/>
    <n v="0"/>
    <m/>
    <n v="3.4"/>
    <s v="H"/>
    <n v="0.82"/>
    <n v="2.7879999999999998"/>
    <s v="DoD FY2026 Budget"/>
    <m/>
    <m/>
  </r>
  <r>
    <x v="4"/>
    <x v="0"/>
    <s v="Joint Service"/>
    <s v="US"/>
    <s v="Procurement"/>
    <x v="0"/>
    <x v="2"/>
    <m/>
    <m/>
    <n v="0"/>
    <m/>
    <n v="6.6"/>
    <s v="H"/>
    <n v="0.1"/>
    <n v="0.66"/>
    <s v="DoD FY2026 Budget"/>
    <m/>
    <m/>
  </r>
  <r>
    <x v="4"/>
    <x v="1"/>
    <s v="Joint Service"/>
    <s v="US"/>
    <s v="Procurement"/>
    <x v="0"/>
    <x v="2"/>
    <m/>
    <m/>
    <n v="8"/>
    <m/>
    <n v="6.7"/>
    <s v="H"/>
    <n v="0.1"/>
    <n v="0.67"/>
    <s v="DoD FY2026 Budget"/>
    <m/>
    <m/>
  </r>
  <r>
    <x v="4"/>
    <x v="2"/>
    <s v="Joint Service"/>
    <s v="US"/>
    <s v="Procurement"/>
    <x v="0"/>
    <x v="2"/>
    <m/>
    <m/>
    <n v="0"/>
    <m/>
    <n v="3.4"/>
    <s v="H"/>
    <n v="0.1"/>
    <n v="0.34"/>
    <s v="DoD FY2026 Budget"/>
    <m/>
    <m/>
  </r>
  <r>
    <x v="4"/>
    <x v="0"/>
    <s v="Joint Service"/>
    <s v="US"/>
    <s v="Procurement"/>
    <x v="9"/>
    <x v="10"/>
    <m/>
    <m/>
    <n v="0"/>
    <m/>
    <n v="6.6"/>
    <s v="H"/>
    <n v="0.05"/>
    <n v="0.33"/>
    <s v="DoD FY2026 Budget"/>
    <m/>
    <s v="Communications, and ISR?"/>
  </r>
  <r>
    <x v="4"/>
    <x v="1"/>
    <s v="Joint Service"/>
    <s v="US"/>
    <s v="Procurement"/>
    <x v="9"/>
    <x v="10"/>
    <m/>
    <m/>
    <n v="8"/>
    <m/>
    <n v="6.7"/>
    <s v="H"/>
    <n v="0.05"/>
    <n v="0.33500000000000002"/>
    <s v="DoD FY2026 Budget"/>
    <m/>
    <m/>
  </r>
  <r>
    <x v="4"/>
    <x v="2"/>
    <s v="Joint Service"/>
    <s v="US"/>
    <s v="Procurement"/>
    <x v="9"/>
    <x v="10"/>
    <m/>
    <m/>
    <n v="0"/>
    <m/>
    <n v="3.4"/>
    <s v="H"/>
    <n v="0.05"/>
    <n v="0.17"/>
    <s v="DoD FY2026 Budget"/>
    <m/>
    <m/>
  </r>
  <r>
    <x v="4"/>
    <x v="0"/>
    <s v="Joint Service"/>
    <s v="US"/>
    <s v="Procurement"/>
    <x v="6"/>
    <x v="7"/>
    <m/>
    <m/>
    <n v="0"/>
    <m/>
    <n v="6.6"/>
    <s v="H"/>
    <n v="0.03"/>
    <n v="0.19799999999999998"/>
    <s v="DoD FY2026 Budget"/>
    <m/>
    <m/>
  </r>
  <r>
    <x v="4"/>
    <x v="1"/>
    <s v="Joint Service"/>
    <s v="US"/>
    <s v="Procurement"/>
    <x v="6"/>
    <x v="7"/>
    <m/>
    <m/>
    <n v="8"/>
    <m/>
    <n v="6.7"/>
    <s v="H"/>
    <n v="0.03"/>
    <n v="0.20099999999999998"/>
    <s v="DoD FY2026 Budget"/>
    <m/>
    <m/>
  </r>
  <r>
    <x v="4"/>
    <x v="2"/>
    <s v="Joint Service"/>
    <s v="US"/>
    <s v="Procurement"/>
    <x v="6"/>
    <x v="7"/>
    <m/>
    <m/>
    <n v="0"/>
    <m/>
    <n v="3.4"/>
    <s v="H"/>
    <n v="0.03"/>
    <n v="0.10199999999999999"/>
    <s v="DoD FY2026 Budget"/>
    <m/>
    <m/>
  </r>
  <r>
    <x v="4"/>
    <x v="0"/>
    <s v="Joint Service"/>
    <s v="US"/>
    <s v="RDT&amp;E"/>
    <x v="8"/>
    <x v="9"/>
    <m/>
    <m/>
    <m/>
    <m/>
    <n v="96.6"/>
    <s v="H"/>
    <n v="0.9"/>
    <n v="86.94"/>
    <s v="DoD FY2026 Budget"/>
    <m/>
    <m/>
  </r>
  <r>
    <x v="4"/>
    <x v="1"/>
    <s v="Joint Service"/>
    <s v="US"/>
    <s v="RDT&amp;E"/>
    <x v="8"/>
    <x v="9"/>
    <m/>
    <m/>
    <m/>
    <m/>
    <n v="278"/>
    <s v="H"/>
    <n v="0.9"/>
    <n v="250.20000000000002"/>
    <s v="DoD FY2026 Budget"/>
    <m/>
    <m/>
  </r>
  <r>
    <x v="4"/>
    <x v="2"/>
    <s v="Joint Service"/>
    <s v="US"/>
    <s v="RDT&amp;E"/>
    <x v="8"/>
    <x v="9"/>
    <m/>
    <m/>
    <m/>
    <m/>
    <n v="12.4"/>
    <s v="H"/>
    <n v="0.9"/>
    <n v="11.16"/>
    <s v="DoD FY2026 Budget"/>
    <m/>
    <m/>
  </r>
  <r>
    <x v="4"/>
    <x v="0"/>
    <s v="Joint Service"/>
    <s v="US"/>
    <s v="RDT&amp;E"/>
    <x v="0"/>
    <x v="2"/>
    <m/>
    <m/>
    <m/>
    <m/>
    <n v="96.6"/>
    <s v="H"/>
    <n v="0.05"/>
    <n v="4.83"/>
    <s v="DoD FY2026 Budget"/>
    <m/>
    <m/>
  </r>
  <r>
    <x v="4"/>
    <x v="1"/>
    <s v="Joint Service"/>
    <s v="US"/>
    <s v="RDT&amp;E"/>
    <x v="0"/>
    <x v="2"/>
    <m/>
    <m/>
    <m/>
    <m/>
    <n v="278"/>
    <s v="H"/>
    <n v="0.05"/>
    <n v="13.9"/>
    <s v="DoD FY2026 Budget"/>
    <m/>
    <m/>
  </r>
  <r>
    <x v="4"/>
    <x v="2"/>
    <s v="Joint Service"/>
    <s v="US"/>
    <s v="RDT&amp;E"/>
    <x v="0"/>
    <x v="2"/>
    <m/>
    <m/>
    <m/>
    <m/>
    <n v="12.4"/>
    <s v="H"/>
    <n v="0.05"/>
    <n v="0.62000000000000011"/>
    <s v="DoD FY2026 Budget"/>
    <m/>
    <m/>
  </r>
  <r>
    <x v="4"/>
    <x v="0"/>
    <s v="Joint Service"/>
    <s v="US"/>
    <s v="RDT&amp;E"/>
    <x v="9"/>
    <x v="10"/>
    <m/>
    <m/>
    <m/>
    <m/>
    <n v="96.6"/>
    <s v="H"/>
    <n v="0.05"/>
    <n v="4.83"/>
    <s v="DoD FY2026 Budget"/>
    <m/>
    <m/>
  </r>
  <r>
    <x v="4"/>
    <x v="1"/>
    <s v="Joint Service"/>
    <s v="US"/>
    <s v="RDT&amp;E"/>
    <x v="9"/>
    <x v="10"/>
    <m/>
    <m/>
    <m/>
    <m/>
    <n v="278"/>
    <s v="H"/>
    <n v="0.05"/>
    <n v="13.9"/>
    <s v="DoD FY2026 Budget"/>
    <m/>
    <m/>
  </r>
  <r>
    <x v="4"/>
    <x v="2"/>
    <s v="Joint Service"/>
    <s v="US"/>
    <s v="RDT&amp;E"/>
    <x v="9"/>
    <x v="10"/>
    <m/>
    <m/>
    <m/>
    <m/>
    <n v="12.4"/>
    <s v="H"/>
    <n v="0.05"/>
    <n v="0.62000000000000011"/>
    <s v="DoD FY2026 Budget"/>
    <m/>
    <m/>
  </r>
  <r>
    <x v="5"/>
    <x v="0"/>
    <s v="USAF"/>
    <s v="US"/>
    <s v="RDT&amp;E"/>
    <x v="8"/>
    <x v="9"/>
    <m/>
    <m/>
    <m/>
    <m/>
    <n v="82.4"/>
    <m/>
    <n v="0.85"/>
    <n v="70.040000000000006"/>
    <s v="DoD FY2026 Budget"/>
    <m/>
    <m/>
  </r>
  <r>
    <x v="5"/>
    <x v="0"/>
    <s v="USN/USMC"/>
    <s v="US"/>
    <s v="RDT&amp;E"/>
    <x v="8"/>
    <x v="9"/>
    <m/>
    <m/>
    <m/>
    <m/>
    <n v="98.8"/>
    <m/>
    <n v="0.85"/>
    <n v="83.97999999999999"/>
    <s v="DoD FY2026 Budget"/>
    <m/>
    <m/>
  </r>
  <r>
    <x v="5"/>
    <x v="0"/>
    <s v="SOCOM"/>
    <s v="US"/>
    <s v="RDT&amp;E"/>
    <x v="8"/>
    <x v="9"/>
    <m/>
    <m/>
    <m/>
    <m/>
    <n v="90.8"/>
    <m/>
    <n v="0.85"/>
    <n v="77.179999999999993"/>
    <s v="DoD FY2026 Budget"/>
    <m/>
    <m/>
  </r>
  <r>
    <x v="5"/>
    <x v="0"/>
    <s v="USAF"/>
    <s v="US"/>
    <s v="RDT&amp;E"/>
    <x v="0"/>
    <x v="2"/>
    <m/>
    <m/>
    <m/>
    <m/>
    <n v="82.4"/>
    <m/>
    <n v="0.05"/>
    <n v="4.12"/>
    <s v="DoD FY2026 Budget"/>
    <m/>
    <m/>
  </r>
  <r>
    <x v="5"/>
    <x v="0"/>
    <s v="USN/USMC"/>
    <s v="US"/>
    <s v="RDT&amp;E"/>
    <x v="0"/>
    <x v="2"/>
    <m/>
    <m/>
    <m/>
    <m/>
    <n v="98.8"/>
    <m/>
    <n v="0.05"/>
    <n v="4.9400000000000004"/>
    <s v="DoD FY2026 Budget"/>
    <m/>
    <m/>
  </r>
  <r>
    <x v="5"/>
    <x v="0"/>
    <s v="SOCOM"/>
    <s v="US"/>
    <s v="RDT&amp;E"/>
    <x v="0"/>
    <x v="2"/>
    <m/>
    <m/>
    <m/>
    <m/>
    <n v="90.8"/>
    <m/>
    <n v="0.05"/>
    <n v="4.54"/>
    <s v="DoD FY2026 Budget"/>
    <m/>
    <m/>
  </r>
  <r>
    <x v="5"/>
    <x v="0"/>
    <s v="USAF"/>
    <s v="US"/>
    <s v="RDT&amp;E"/>
    <x v="9"/>
    <x v="10"/>
    <m/>
    <m/>
    <m/>
    <m/>
    <n v="82.4"/>
    <m/>
    <n v="0.05"/>
    <n v="4.12"/>
    <s v="DoD FY2026 Budget"/>
    <m/>
    <m/>
  </r>
  <r>
    <x v="5"/>
    <x v="0"/>
    <s v="USN/USMC"/>
    <s v="US"/>
    <s v="RDT&amp;E"/>
    <x v="9"/>
    <x v="10"/>
    <m/>
    <m/>
    <m/>
    <m/>
    <n v="98.8"/>
    <m/>
    <n v="0.05"/>
    <n v="4.9400000000000004"/>
    <s v="DoD FY2026 Budget"/>
    <m/>
    <m/>
  </r>
  <r>
    <x v="5"/>
    <x v="0"/>
    <s v="SOCOM"/>
    <s v="US"/>
    <s v="RDT&amp;E"/>
    <x v="9"/>
    <x v="10"/>
    <m/>
    <m/>
    <m/>
    <m/>
    <n v="90.8"/>
    <m/>
    <n v="0.05"/>
    <n v="4.54"/>
    <s v="DoD FY2026 Budget"/>
    <m/>
    <m/>
  </r>
  <r>
    <x v="5"/>
    <x v="0"/>
    <s v="USAF"/>
    <s v="US"/>
    <s v="RDT&amp;E"/>
    <x v="6"/>
    <x v="7"/>
    <m/>
    <m/>
    <m/>
    <m/>
    <n v="82.4"/>
    <m/>
    <n v="0.03"/>
    <n v="2.472"/>
    <s v="DoD FY2026 Budget"/>
    <m/>
    <m/>
  </r>
  <r>
    <x v="5"/>
    <x v="0"/>
    <s v="USN/USMC"/>
    <s v="US"/>
    <s v="RDT&amp;E"/>
    <x v="6"/>
    <x v="7"/>
    <m/>
    <m/>
    <m/>
    <m/>
    <n v="98.8"/>
    <m/>
    <n v="0.03"/>
    <n v="2.964"/>
    <s v="DoD FY2026 Budget"/>
    <m/>
    <m/>
  </r>
  <r>
    <x v="5"/>
    <x v="0"/>
    <s v="SOCOM"/>
    <s v="US"/>
    <s v="RDT&amp;E"/>
    <x v="6"/>
    <x v="7"/>
    <m/>
    <m/>
    <m/>
    <m/>
    <n v="90.8"/>
    <m/>
    <n v="0.03"/>
    <n v="2.7239999999999998"/>
    <s v="DoD FY2026 Budget"/>
    <m/>
    <m/>
  </r>
  <r>
    <x v="5"/>
    <x v="1"/>
    <s v="USAF"/>
    <s v="US"/>
    <s v="RDT&amp;E"/>
    <x v="8"/>
    <x v="9"/>
    <m/>
    <m/>
    <m/>
    <m/>
    <n v="7.1"/>
    <m/>
    <n v="0.85"/>
    <n v="6.0349999999999993"/>
    <s v="DoD FY2026 Budget"/>
    <m/>
    <m/>
  </r>
  <r>
    <x v="5"/>
    <x v="1"/>
    <s v="USN/USMC"/>
    <s v="US"/>
    <s v="RDT&amp;E"/>
    <x v="8"/>
    <x v="9"/>
    <m/>
    <m/>
    <m/>
    <m/>
    <n v="78.2"/>
    <m/>
    <n v="0.85"/>
    <n v="66.47"/>
    <s v="DoD FY2026 Budget"/>
    <m/>
    <m/>
  </r>
  <r>
    <x v="5"/>
    <x v="1"/>
    <s v="SOCOM"/>
    <s v="US"/>
    <s v="RDT&amp;E"/>
    <x v="8"/>
    <x v="9"/>
    <m/>
    <m/>
    <m/>
    <m/>
    <n v="34.9"/>
    <m/>
    <n v="0.85"/>
    <n v="29.664999999999999"/>
    <s v="DoD FY2026 Budget"/>
    <m/>
    <m/>
  </r>
  <r>
    <x v="5"/>
    <x v="1"/>
    <s v="USAF"/>
    <s v="US"/>
    <s v="RDT&amp;E"/>
    <x v="0"/>
    <x v="2"/>
    <m/>
    <m/>
    <m/>
    <m/>
    <n v="7.1"/>
    <m/>
    <n v="0.05"/>
    <n v="0.35499999999999998"/>
    <s v="DoD FY2026 Budget"/>
    <m/>
    <m/>
  </r>
  <r>
    <x v="5"/>
    <x v="1"/>
    <s v="USN/USMC"/>
    <s v="US"/>
    <s v="RDT&amp;E"/>
    <x v="0"/>
    <x v="2"/>
    <m/>
    <m/>
    <m/>
    <m/>
    <n v="78.2"/>
    <m/>
    <n v="0.05"/>
    <n v="3.91"/>
    <s v="DoD FY2026 Budget"/>
    <m/>
    <m/>
  </r>
  <r>
    <x v="5"/>
    <x v="1"/>
    <s v="SOCOM"/>
    <s v="US"/>
    <s v="RDT&amp;E"/>
    <x v="0"/>
    <x v="2"/>
    <m/>
    <m/>
    <m/>
    <m/>
    <n v="34.9"/>
    <m/>
    <n v="0.05"/>
    <n v="1.7450000000000001"/>
    <s v="DoD FY2026 Budget"/>
    <m/>
    <m/>
  </r>
  <r>
    <x v="5"/>
    <x v="1"/>
    <s v="USAF"/>
    <s v="US"/>
    <s v="RDT&amp;E"/>
    <x v="9"/>
    <x v="10"/>
    <m/>
    <m/>
    <m/>
    <m/>
    <n v="7.1"/>
    <m/>
    <n v="0.05"/>
    <n v="0.35499999999999998"/>
    <s v="DoD FY2026 Budget"/>
    <m/>
    <m/>
  </r>
  <r>
    <x v="5"/>
    <x v="1"/>
    <s v="USN/USMC"/>
    <s v="US"/>
    <s v="RDT&amp;E"/>
    <x v="9"/>
    <x v="10"/>
    <m/>
    <m/>
    <m/>
    <m/>
    <n v="78.2"/>
    <m/>
    <n v="0.05"/>
    <n v="3.91"/>
    <s v="DoD FY2026 Budget"/>
    <m/>
    <m/>
  </r>
  <r>
    <x v="5"/>
    <x v="1"/>
    <s v="SOCOM"/>
    <s v="US"/>
    <s v="RDT&amp;E"/>
    <x v="9"/>
    <x v="10"/>
    <m/>
    <m/>
    <m/>
    <m/>
    <n v="34.9"/>
    <m/>
    <n v="0.05"/>
    <n v="1.7450000000000001"/>
    <s v="DoD FY2026 Budget"/>
    <m/>
    <m/>
  </r>
  <r>
    <x v="5"/>
    <x v="1"/>
    <s v="USAF"/>
    <s v="US"/>
    <s v="RDT&amp;E"/>
    <x v="6"/>
    <x v="7"/>
    <m/>
    <m/>
    <m/>
    <m/>
    <n v="7.1"/>
    <m/>
    <n v="0.03"/>
    <n v="0.21299999999999999"/>
    <s v="DoD FY2026 Budget"/>
    <m/>
    <m/>
  </r>
  <r>
    <x v="5"/>
    <x v="1"/>
    <s v="USN/USMC"/>
    <s v="US"/>
    <s v="RDT&amp;E"/>
    <x v="6"/>
    <x v="7"/>
    <m/>
    <m/>
    <m/>
    <m/>
    <n v="78.2"/>
    <m/>
    <n v="0.03"/>
    <n v="2.3460000000000001"/>
    <s v="DoD FY2026 Budget"/>
    <m/>
    <m/>
  </r>
  <r>
    <x v="5"/>
    <x v="1"/>
    <s v="SOCOM"/>
    <s v="US"/>
    <s v="RDT&amp;E"/>
    <x v="6"/>
    <x v="7"/>
    <m/>
    <m/>
    <m/>
    <m/>
    <n v="34.9"/>
    <m/>
    <n v="0.03"/>
    <n v="1.0469999999999999"/>
    <s v="DoD FY2026 Budget"/>
    <m/>
    <m/>
  </r>
  <r>
    <x v="5"/>
    <x v="2"/>
    <s v="USAF"/>
    <s v="US"/>
    <s v="RDT&amp;E"/>
    <x v="0"/>
    <x v="2"/>
    <m/>
    <m/>
    <m/>
    <m/>
    <n v="26.7"/>
    <m/>
    <n v="0.85"/>
    <n v="22.695"/>
    <s v="DoD FY2026 Budget"/>
    <m/>
    <m/>
  </r>
  <r>
    <x v="5"/>
    <x v="2"/>
    <s v="USN/USMC"/>
    <s v="US"/>
    <s v="RDT&amp;E"/>
    <x v="0"/>
    <x v="2"/>
    <m/>
    <m/>
    <m/>
    <m/>
    <n v="28.4"/>
    <m/>
    <n v="0.85"/>
    <n v="24.139999999999997"/>
    <s v="DoD FY2026 Budget"/>
    <m/>
    <m/>
  </r>
  <r>
    <x v="5"/>
    <x v="2"/>
    <s v="SOCOM"/>
    <s v="US"/>
    <s v="RDT&amp;E"/>
    <x v="0"/>
    <x v="2"/>
    <m/>
    <m/>
    <m/>
    <m/>
    <n v="0"/>
    <m/>
    <n v="0.85"/>
    <n v="0"/>
    <s v="DoD FY2026 Budget"/>
    <m/>
    <m/>
  </r>
  <r>
    <x v="5"/>
    <x v="2"/>
    <s v="USAF"/>
    <s v="US"/>
    <s v="RDT&amp;E"/>
    <x v="9"/>
    <x v="10"/>
    <m/>
    <m/>
    <m/>
    <m/>
    <n v="26.7"/>
    <m/>
    <n v="0.05"/>
    <n v="1.335"/>
    <s v="DoD FY2026 Budget"/>
    <m/>
    <m/>
  </r>
  <r>
    <x v="5"/>
    <x v="2"/>
    <s v="USN/USMC"/>
    <s v="US"/>
    <s v="RDT&amp;E"/>
    <x v="9"/>
    <x v="10"/>
    <m/>
    <m/>
    <m/>
    <m/>
    <n v="28.4"/>
    <m/>
    <n v="0.05"/>
    <n v="1.42"/>
    <s v="DoD FY2026 Budget"/>
    <m/>
    <m/>
  </r>
  <r>
    <x v="5"/>
    <x v="2"/>
    <s v="SOCOM"/>
    <s v="US"/>
    <s v="RDT&amp;E"/>
    <x v="9"/>
    <x v="10"/>
    <m/>
    <m/>
    <m/>
    <m/>
    <n v="0"/>
    <m/>
    <n v="0.05"/>
    <n v="0"/>
    <s v="DoD FY2026 Budget"/>
    <m/>
    <m/>
  </r>
  <r>
    <x v="5"/>
    <x v="2"/>
    <s v="USAF"/>
    <s v="US"/>
    <s v="RDT&amp;E"/>
    <x v="6"/>
    <x v="7"/>
    <m/>
    <m/>
    <m/>
    <m/>
    <n v="26.7"/>
    <m/>
    <n v="0.05"/>
    <n v="1.335"/>
    <s v="DoD FY2026 Budget"/>
    <m/>
    <m/>
  </r>
  <r>
    <x v="5"/>
    <x v="2"/>
    <s v="USN/USMC"/>
    <s v="US"/>
    <s v="RDT&amp;E"/>
    <x v="6"/>
    <x v="7"/>
    <m/>
    <m/>
    <m/>
    <m/>
    <n v="28.4"/>
    <m/>
    <n v="0.05"/>
    <n v="1.42"/>
    <s v="DoD FY2026 Budget"/>
    <m/>
    <m/>
  </r>
  <r>
    <x v="5"/>
    <x v="2"/>
    <s v="SOCOM"/>
    <s v="US"/>
    <s v="RDT&amp;E"/>
    <x v="6"/>
    <x v="7"/>
    <m/>
    <m/>
    <m/>
    <m/>
    <n v="0"/>
    <m/>
    <n v="0.05"/>
    <n v="0"/>
    <s v="DoD FY2026 Budget"/>
    <m/>
    <m/>
  </r>
  <r>
    <x v="5"/>
    <x v="2"/>
    <s v="USAF"/>
    <s v="US"/>
    <s v="RDT&amp;E"/>
    <x v="0"/>
    <x v="2"/>
    <m/>
    <m/>
    <m/>
    <m/>
    <n v="26.7"/>
    <m/>
    <n v="0.03"/>
    <n v="0.80099999999999993"/>
    <s v="DoD FY2026 Budget"/>
    <m/>
    <m/>
  </r>
  <r>
    <x v="5"/>
    <x v="2"/>
    <s v="USN/USMC"/>
    <s v="US"/>
    <s v="RDT&amp;E"/>
    <x v="0"/>
    <x v="2"/>
    <m/>
    <m/>
    <m/>
    <m/>
    <n v="28.4"/>
    <m/>
    <n v="0.03"/>
    <n v="0.85199999999999998"/>
    <s v="DoD FY2026 Budget"/>
    <m/>
    <m/>
  </r>
  <r>
    <x v="5"/>
    <x v="2"/>
    <s v="SOCOM"/>
    <s v="US"/>
    <s v="RDT&amp;E"/>
    <x v="0"/>
    <x v="2"/>
    <m/>
    <m/>
    <m/>
    <m/>
    <n v="0"/>
    <m/>
    <n v="0.03"/>
    <n v="0"/>
    <s v="DoD FY2026 Budget"/>
    <m/>
    <m/>
  </r>
  <r>
    <x v="5"/>
    <x v="0"/>
    <s v="USAF"/>
    <s v="US"/>
    <s v="Procurement"/>
    <x v="8"/>
    <x v="9"/>
    <m/>
    <m/>
    <n v="0"/>
    <m/>
    <n v="107.6"/>
    <m/>
    <n v="0.78"/>
    <n v="83.927999999999997"/>
    <s v="DoD FY2026 Budget"/>
    <m/>
    <m/>
  </r>
  <r>
    <x v="5"/>
    <x v="0"/>
    <s v="USN/USMC"/>
    <s v="US"/>
    <s v="Procurement"/>
    <x v="8"/>
    <x v="9"/>
    <m/>
    <m/>
    <n v="5"/>
    <m/>
    <n v="179.1"/>
    <m/>
    <n v="0.78"/>
    <n v="139.69800000000001"/>
    <s v="DoD FY2026 Budget"/>
    <m/>
    <m/>
  </r>
  <r>
    <x v="5"/>
    <x v="0"/>
    <s v="SOCOM"/>
    <s v="US"/>
    <s v="Procurement"/>
    <x v="8"/>
    <x v="9"/>
    <m/>
    <m/>
    <n v="0"/>
    <m/>
    <n v="17.7"/>
    <m/>
    <n v="0.78"/>
    <n v="13.805999999999999"/>
    <s v="DoD FY2026 Budget"/>
    <m/>
    <m/>
  </r>
  <r>
    <x v="5"/>
    <x v="0"/>
    <s v="USAF"/>
    <s v="US"/>
    <s v="Procurement"/>
    <x v="0"/>
    <x v="2"/>
    <m/>
    <m/>
    <n v="0"/>
    <m/>
    <n v="107.6"/>
    <m/>
    <n v="0.09"/>
    <n v="9.6839999999999993"/>
    <s v="DoD FY2026 Budget"/>
    <m/>
    <m/>
  </r>
  <r>
    <x v="5"/>
    <x v="0"/>
    <s v="USN/USMC"/>
    <s v="US"/>
    <s v="Procurement"/>
    <x v="0"/>
    <x v="2"/>
    <m/>
    <m/>
    <n v="5"/>
    <m/>
    <n v="179.1"/>
    <m/>
    <n v="0.09"/>
    <n v="16.119"/>
    <s v="DoD FY2026 Budget"/>
    <m/>
    <m/>
  </r>
  <r>
    <x v="5"/>
    <x v="0"/>
    <s v="SOCOM"/>
    <s v="US"/>
    <s v="Procurement"/>
    <x v="0"/>
    <x v="2"/>
    <m/>
    <m/>
    <n v="0"/>
    <m/>
    <n v="17.7"/>
    <m/>
    <n v="0.09"/>
    <n v="1.593"/>
    <s v="DoD FY2026 Budget"/>
    <m/>
    <m/>
  </r>
  <r>
    <x v="5"/>
    <x v="0"/>
    <s v="USAF"/>
    <s v="US"/>
    <s v="Procurement"/>
    <x v="9"/>
    <x v="10"/>
    <m/>
    <m/>
    <n v="0"/>
    <m/>
    <n v="107.6"/>
    <m/>
    <n v="0.05"/>
    <n v="5.38"/>
    <s v="DoD FY2026 Budget"/>
    <m/>
    <m/>
  </r>
  <r>
    <x v="5"/>
    <x v="0"/>
    <s v="USN/USMC"/>
    <s v="US"/>
    <s v="Procurement"/>
    <x v="9"/>
    <x v="10"/>
    <m/>
    <m/>
    <n v="5"/>
    <m/>
    <n v="179.1"/>
    <m/>
    <n v="0.05"/>
    <n v="8.9550000000000001"/>
    <s v="DoD FY2026 Budget"/>
    <m/>
    <m/>
  </r>
  <r>
    <x v="5"/>
    <x v="0"/>
    <s v="SOCOM"/>
    <s v="US"/>
    <s v="Procurement"/>
    <x v="9"/>
    <x v="10"/>
    <m/>
    <m/>
    <n v="0"/>
    <m/>
    <n v="17.7"/>
    <m/>
    <n v="0.05"/>
    <n v="0.88500000000000001"/>
    <s v="DoD FY2026 Budget"/>
    <m/>
    <m/>
  </r>
  <r>
    <x v="5"/>
    <x v="0"/>
    <s v="USAF"/>
    <s v="US"/>
    <s v="Procurement"/>
    <x v="6"/>
    <x v="7"/>
    <m/>
    <m/>
    <n v="0"/>
    <m/>
    <n v="107.6"/>
    <m/>
    <n v="0.05"/>
    <n v="5.38"/>
    <s v="DoD FY2026 Budget"/>
    <m/>
    <m/>
  </r>
  <r>
    <x v="5"/>
    <x v="0"/>
    <s v="USN/USMC"/>
    <s v="US"/>
    <s v="Procurement"/>
    <x v="6"/>
    <x v="7"/>
    <m/>
    <m/>
    <n v="5"/>
    <m/>
    <n v="179.1"/>
    <m/>
    <n v="0.05"/>
    <n v="8.9550000000000001"/>
    <s v="DoD FY2026 Budget"/>
    <m/>
    <m/>
  </r>
  <r>
    <x v="5"/>
    <x v="0"/>
    <s v="SOCOM"/>
    <s v="US"/>
    <s v="Procurement"/>
    <x v="6"/>
    <x v="7"/>
    <m/>
    <m/>
    <n v="0"/>
    <m/>
    <n v="17.7"/>
    <m/>
    <n v="0.05"/>
    <n v="0.88500000000000001"/>
    <s v="DoD FY2026 Budget"/>
    <m/>
    <m/>
  </r>
  <r>
    <x v="5"/>
    <x v="0"/>
    <s v="USAF"/>
    <s v="US"/>
    <s v="Procurement"/>
    <x v="0"/>
    <x v="0"/>
    <m/>
    <m/>
    <n v="0"/>
    <m/>
    <n v="107.6"/>
    <m/>
    <n v="0.03"/>
    <n v="3.2279999999999998"/>
    <s v="DoD FY2026 Budget"/>
    <m/>
    <m/>
  </r>
  <r>
    <x v="5"/>
    <x v="0"/>
    <s v="USN/USMC"/>
    <s v="US"/>
    <s v="Procurement"/>
    <x v="0"/>
    <x v="0"/>
    <m/>
    <m/>
    <n v="5"/>
    <m/>
    <n v="179.1"/>
    <m/>
    <n v="0.03"/>
    <n v="5.3729999999999993"/>
    <s v="DoD FY2026 Budget"/>
    <m/>
    <m/>
  </r>
  <r>
    <x v="5"/>
    <x v="0"/>
    <s v="SOCOM"/>
    <s v="US"/>
    <s v="Procurement"/>
    <x v="0"/>
    <x v="0"/>
    <m/>
    <m/>
    <n v="0"/>
    <m/>
    <n v="17.7"/>
    <m/>
    <n v="0.03"/>
    <n v="0.53099999999999992"/>
    <s v="DoD FY2026 Budget"/>
    <m/>
    <m/>
  </r>
  <r>
    <x v="5"/>
    <x v="1"/>
    <s v="USAF"/>
    <s v="US"/>
    <s v="Procurement"/>
    <x v="8"/>
    <x v="9"/>
    <m/>
    <m/>
    <n v="0"/>
    <m/>
    <n v="12.4"/>
    <m/>
    <n v="0.78"/>
    <n v="9.6720000000000006"/>
    <s v="DoD FY2026 Budget"/>
    <m/>
    <m/>
  </r>
  <r>
    <x v="5"/>
    <x v="1"/>
    <s v="USN/USMC"/>
    <s v="US"/>
    <s v="Procurement"/>
    <x v="8"/>
    <x v="9"/>
    <m/>
    <m/>
    <n v="0"/>
    <m/>
    <n v="131.80000000000001"/>
    <m/>
    <n v="0.78"/>
    <n v="102.80400000000002"/>
    <s v="DoD FY2026 Budget"/>
    <m/>
    <m/>
  </r>
  <r>
    <x v="5"/>
    <x v="1"/>
    <s v="SOCOM"/>
    <s v="US"/>
    <s v="Procurement"/>
    <x v="8"/>
    <x v="9"/>
    <m/>
    <m/>
    <n v="0"/>
    <m/>
    <n v="13.5"/>
    <m/>
    <n v="0.78"/>
    <n v="10.530000000000001"/>
    <s v="DoD FY2026 Budget"/>
    <m/>
    <m/>
  </r>
  <r>
    <x v="5"/>
    <x v="1"/>
    <s v="USAF"/>
    <s v="US"/>
    <s v="Procurement"/>
    <x v="0"/>
    <x v="2"/>
    <m/>
    <m/>
    <n v="0"/>
    <m/>
    <n v="12.4"/>
    <m/>
    <n v="0.09"/>
    <n v="1.1159999999999999"/>
    <s v="DoD FY2026 Budget"/>
    <m/>
    <m/>
  </r>
  <r>
    <x v="5"/>
    <x v="1"/>
    <s v="USN/USMC"/>
    <s v="US"/>
    <s v="Procurement"/>
    <x v="0"/>
    <x v="2"/>
    <m/>
    <m/>
    <n v="0"/>
    <m/>
    <n v="131.80000000000001"/>
    <m/>
    <n v="0.09"/>
    <n v="11.862"/>
    <s v="DoD FY2026 Budget"/>
    <m/>
    <m/>
  </r>
  <r>
    <x v="5"/>
    <x v="1"/>
    <s v="SOCOM"/>
    <s v="US"/>
    <s v="Procurement"/>
    <x v="0"/>
    <x v="2"/>
    <m/>
    <m/>
    <n v="0"/>
    <m/>
    <n v="13.5"/>
    <m/>
    <n v="0.09"/>
    <n v="1.2149999999999999"/>
    <s v="DoD FY2026 Budget"/>
    <m/>
    <m/>
  </r>
  <r>
    <x v="5"/>
    <x v="1"/>
    <s v="USAF"/>
    <s v="US"/>
    <s v="Procurement"/>
    <x v="9"/>
    <x v="10"/>
    <m/>
    <m/>
    <n v="0"/>
    <m/>
    <n v="12.4"/>
    <m/>
    <n v="0.05"/>
    <n v="0.62000000000000011"/>
    <s v="DoD FY2026 Budget"/>
    <m/>
    <m/>
  </r>
  <r>
    <x v="5"/>
    <x v="1"/>
    <s v="USN/USMC"/>
    <s v="US"/>
    <s v="Procurement"/>
    <x v="9"/>
    <x v="10"/>
    <m/>
    <m/>
    <n v="0"/>
    <m/>
    <n v="131.80000000000001"/>
    <m/>
    <n v="0.05"/>
    <n v="6.5900000000000007"/>
    <s v="DoD FY2026 Budget"/>
    <m/>
    <m/>
  </r>
  <r>
    <x v="5"/>
    <x v="1"/>
    <s v="SOCOM"/>
    <s v="US"/>
    <s v="Procurement"/>
    <x v="9"/>
    <x v="10"/>
    <m/>
    <m/>
    <n v="0"/>
    <m/>
    <n v="13.5"/>
    <m/>
    <n v="0.05"/>
    <n v="0.67500000000000004"/>
    <s v="DoD FY2026 Budget"/>
    <m/>
    <m/>
  </r>
  <r>
    <x v="5"/>
    <x v="1"/>
    <s v="USAF"/>
    <s v="US"/>
    <s v="Procurement"/>
    <x v="6"/>
    <x v="7"/>
    <m/>
    <m/>
    <n v="0"/>
    <m/>
    <n v="12.4"/>
    <m/>
    <n v="0.05"/>
    <n v="0.62000000000000011"/>
    <s v="DoD FY2026 Budget"/>
    <m/>
    <m/>
  </r>
  <r>
    <x v="5"/>
    <x v="1"/>
    <s v="USN/USMC"/>
    <s v="US"/>
    <s v="Procurement"/>
    <x v="6"/>
    <x v="7"/>
    <m/>
    <m/>
    <n v="0"/>
    <m/>
    <n v="131.80000000000001"/>
    <m/>
    <n v="0.05"/>
    <n v="6.5900000000000007"/>
    <s v="DoD FY2026 Budget"/>
    <m/>
    <m/>
  </r>
  <r>
    <x v="5"/>
    <x v="1"/>
    <s v="SOCOM"/>
    <s v="US"/>
    <s v="Procurement"/>
    <x v="6"/>
    <x v="7"/>
    <m/>
    <m/>
    <n v="0"/>
    <m/>
    <n v="13.5"/>
    <m/>
    <n v="0.05"/>
    <n v="0.67500000000000004"/>
    <s v="DoD FY2026 Budget"/>
    <m/>
    <m/>
  </r>
  <r>
    <x v="5"/>
    <x v="1"/>
    <s v="USAF"/>
    <s v="US"/>
    <s v="Procurement"/>
    <x v="0"/>
    <x v="0"/>
    <m/>
    <m/>
    <n v="0"/>
    <m/>
    <n v="12.4"/>
    <m/>
    <n v="0.03"/>
    <n v="0.372"/>
    <s v="DoD FY2026 Budget"/>
    <m/>
    <m/>
  </r>
  <r>
    <x v="5"/>
    <x v="1"/>
    <s v="USN/USMC"/>
    <s v="US"/>
    <s v="Procurement"/>
    <x v="0"/>
    <x v="0"/>
    <m/>
    <m/>
    <n v="0"/>
    <m/>
    <n v="131.80000000000001"/>
    <m/>
    <n v="0.03"/>
    <n v="3.9540000000000002"/>
    <s v="DoD FY2026 Budget"/>
    <m/>
    <m/>
  </r>
  <r>
    <x v="5"/>
    <x v="1"/>
    <s v="SOCOM"/>
    <s v="US"/>
    <s v="Procurement"/>
    <x v="0"/>
    <x v="0"/>
    <m/>
    <m/>
    <n v="0"/>
    <m/>
    <n v="13.5"/>
    <m/>
    <n v="0.03"/>
    <n v="0.40499999999999997"/>
    <s v="DoD FY2026 Budget"/>
    <m/>
    <m/>
  </r>
  <r>
    <x v="5"/>
    <x v="2"/>
    <s v="USAF"/>
    <s v="US"/>
    <s v="Procurement"/>
    <x v="8"/>
    <x v="9"/>
    <m/>
    <m/>
    <n v="0"/>
    <m/>
    <n v="100.9"/>
    <m/>
    <n v="0.78"/>
    <n v="78.702000000000012"/>
    <s v="DoD FY2026 Budget"/>
    <m/>
    <m/>
  </r>
  <r>
    <x v="5"/>
    <x v="2"/>
    <s v="USN/USMC"/>
    <s v="US"/>
    <s v="Procurement"/>
    <x v="8"/>
    <x v="9"/>
    <m/>
    <m/>
    <n v="0"/>
    <m/>
    <n v="158.9"/>
    <m/>
    <n v="0.78"/>
    <n v="123.94200000000001"/>
    <s v="DoD FY2026 Budget"/>
    <m/>
    <m/>
  </r>
  <r>
    <x v="5"/>
    <x v="2"/>
    <s v="SOCOM"/>
    <s v="US"/>
    <s v="Procurement"/>
    <x v="8"/>
    <x v="9"/>
    <m/>
    <m/>
    <n v="0"/>
    <m/>
    <n v="24.9"/>
    <m/>
    <n v="0.78"/>
    <n v="19.422000000000001"/>
    <s v="DoD FY2026 Budget"/>
    <m/>
    <m/>
  </r>
  <r>
    <x v="5"/>
    <x v="2"/>
    <s v="USAF"/>
    <s v="US"/>
    <s v="Procurement"/>
    <x v="0"/>
    <x v="2"/>
    <m/>
    <m/>
    <n v="0"/>
    <m/>
    <n v="100.9"/>
    <m/>
    <n v="0.09"/>
    <n v="9.0809999999999995"/>
    <s v="DoD FY2026 Budget"/>
    <m/>
    <m/>
  </r>
  <r>
    <x v="5"/>
    <x v="2"/>
    <s v="USN/USMC"/>
    <s v="US"/>
    <s v="Procurement"/>
    <x v="0"/>
    <x v="2"/>
    <m/>
    <m/>
    <n v="0"/>
    <m/>
    <n v="158.9"/>
    <m/>
    <n v="0.09"/>
    <n v="14.301"/>
    <s v="DoD FY2026 Budget"/>
    <m/>
    <m/>
  </r>
  <r>
    <x v="5"/>
    <x v="2"/>
    <s v="SOCOM"/>
    <s v="US"/>
    <s v="Procurement"/>
    <x v="0"/>
    <x v="2"/>
    <m/>
    <m/>
    <n v="0"/>
    <m/>
    <n v="24.9"/>
    <m/>
    <n v="0.09"/>
    <n v="2.2409999999999997"/>
    <s v="DoD FY2026 Budget"/>
    <m/>
    <m/>
  </r>
  <r>
    <x v="5"/>
    <x v="2"/>
    <s v="USAF"/>
    <s v="US"/>
    <s v="Procurement"/>
    <x v="9"/>
    <x v="10"/>
    <m/>
    <m/>
    <n v="0"/>
    <m/>
    <n v="100.9"/>
    <m/>
    <n v="0.05"/>
    <n v="5.0450000000000008"/>
    <s v="DoD FY2026 Budget"/>
    <m/>
    <m/>
  </r>
  <r>
    <x v="5"/>
    <x v="2"/>
    <s v="USN/USMC"/>
    <s v="US"/>
    <s v="Procurement"/>
    <x v="9"/>
    <x v="10"/>
    <m/>
    <m/>
    <n v="0"/>
    <m/>
    <n v="158.9"/>
    <m/>
    <n v="0.05"/>
    <n v="7.9450000000000003"/>
    <s v="DoD FY2026 Budget"/>
    <m/>
    <m/>
  </r>
  <r>
    <x v="5"/>
    <x v="2"/>
    <s v="SOCOM"/>
    <s v="US"/>
    <s v="Procurement"/>
    <x v="9"/>
    <x v="10"/>
    <m/>
    <m/>
    <n v="0"/>
    <m/>
    <n v="24.9"/>
    <m/>
    <n v="0.05"/>
    <n v="1.2450000000000001"/>
    <s v="DoD FY2026 Budget"/>
    <m/>
    <m/>
  </r>
  <r>
    <x v="5"/>
    <x v="2"/>
    <s v="USAF"/>
    <s v="US"/>
    <s v="Procurement"/>
    <x v="6"/>
    <x v="7"/>
    <m/>
    <m/>
    <n v="0"/>
    <m/>
    <n v="100.9"/>
    <m/>
    <n v="0.05"/>
    <n v="5.0450000000000008"/>
    <s v="DoD FY2026 Budget"/>
    <m/>
    <m/>
  </r>
  <r>
    <x v="5"/>
    <x v="2"/>
    <s v="USN/USMC"/>
    <s v="US"/>
    <s v="Procurement"/>
    <x v="6"/>
    <x v="7"/>
    <m/>
    <m/>
    <n v="0"/>
    <m/>
    <n v="158.9"/>
    <m/>
    <n v="0.05"/>
    <n v="7.9450000000000003"/>
    <s v="DoD FY2026 Budget"/>
    <m/>
    <m/>
  </r>
  <r>
    <x v="5"/>
    <x v="2"/>
    <s v="SOCOM"/>
    <s v="US"/>
    <s v="Procurement"/>
    <x v="6"/>
    <x v="7"/>
    <m/>
    <m/>
    <n v="0"/>
    <m/>
    <n v="24.9"/>
    <m/>
    <n v="0.05"/>
    <n v="1.2450000000000001"/>
    <s v="DoD FY2026 Budget"/>
    <m/>
    <m/>
  </r>
  <r>
    <x v="5"/>
    <x v="2"/>
    <s v="USAF"/>
    <s v="US"/>
    <s v="Procurement"/>
    <x v="0"/>
    <x v="0"/>
    <m/>
    <m/>
    <n v="0"/>
    <m/>
    <n v="100.9"/>
    <m/>
    <n v="0.03"/>
    <n v="3.0270000000000001"/>
    <s v="DoD FY2026 Budget"/>
    <m/>
    <m/>
  </r>
  <r>
    <x v="5"/>
    <x v="2"/>
    <s v="USN/USMC"/>
    <s v="US"/>
    <s v="Procurement"/>
    <x v="0"/>
    <x v="0"/>
    <m/>
    <m/>
    <n v="0"/>
    <m/>
    <n v="158.9"/>
    <m/>
    <n v="0.03"/>
    <n v="4.7670000000000003"/>
    <s v="DoD FY2026 Budget"/>
    <m/>
    <m/>
  </r>
  <r>
    <x v="5"/>
    <x v="2"/>
    <s v="SOCOM"/>
    <s v="US"/>
    <s v="Procurement"/>
    <x v="0"/>
    <x v="0"/>
    <m/>
    <m/>
    <n v="0"/>
    <m/>
    <n v="24.9"/>
    <m/>
    <n v="0.03"/>
    <n v="0.74699999999999989"/>
    <s v="DoD FY2026 Budget"/>
    <m/>
    <m/>
  </r>
  <r>
    <x v="6"/>
    <x v="0"/>
    <s v="USAF"/>
    <s v="US"/>
    <s v="RDT&amp;E"/>
    <x v="6"/>
    <x v="9"/>
    <m/>
    <m/>
    <m/>
    <m/>
    <n v="2877.8"/>
    <s v="M"/>
    <n v="0.9"/>
    <n v="2590.0200000000004"/>
    <s v="DoD FY2026 Budget"/>
    <m/>
    <m/>
  </r>
  <r>
    <x v="6"/>
    <x v="0"/>
    <s v="USAF"/>
    <s v="US"/>
    <s v="RDT&amp;E"/>
    <x v="0"/>
    <x v="2"/>
    <m/>
    <m/>
    <m/>
    <m/>
    <n v="2877.8"/>
    <s v="M"/>
    <n v="7.0000000000000007E-2"/>
    <n v="201.44600000000003"/>
    <s v="DoD FY2026 Budget"/>
    <m/>
    <m/>
  </r>
  <r>
    <x v="6"/>
    <x v="0"/>
    <s v="USAF"/>
    <s v="US"/>
    <s v="RDT&amp;E"/>
    <x v="0"/>
    <x v="11"/>
    <m/>
    <m/>
    <m/>
    <m/>
    <n v="2877.8"/>
    <s v="M"/>
    <n v="0.03"/>
    <n v="86.334000000000003"/>
    <s v="DoD FY2026 Budget"/>
    <m/>
    <m/>
  </r>
  <r>
    <x v="6"/>
    <x v="0"/>
    <s v="USAF"/>
    <s v="US"/>
    <s v="Procurement"/>
    <x v="6"/>
    <x v="9"/>
    <m/>
    <m/>
    <n v="0"/>
    <m/>
    <n v="2270.6999999999998"/>
    <s v="M"/>
    <n v="0.85"/>
    <n v="1930.0949999999998"/>
    <s v="DoD FY2026 Budget"/>
    <m/>
    <m/>
  </r>
  <r>
    <x v="6"/>
    <x v="0"/>
    <s v="USAF"/>
    <s v="US"/>
    <s v="Procurement"/>
    <x v="0"/>
    <x v="2"/>
    <m/>
    <m/>
    <n v="0"/>
    <m/>
    <n v="2270.6999999999998"/>
    <s v="M"/>
    <n v="0.1"/>
    <n v="227.07"/>
    <s v="DoD FY2026 Budget"/>
    <m/>
    <m/>
  </r>
  <r>
    <x v="6"/>
    <x v="0"/>
    <s v="USAF"/>
    <s v="US"/>
    <s v="Procurement"/>
    <x v="0"/>
    <x v="11"/>
    <m/>
    <m/>
    <n v="0"/>
    <m/>
    <n v="2270.6999999999998"/>
    <s v="M"/>
    <n v="0.05"/>
    <n v="113.535"/>
    <s v="DoD FY2026 Budget"/>
    <m/>
    <m/>
  </r>
  <r>
    <x v="6"/>
    <x v="1"/>
    <s v="USAF"/>
    <s v="US"/>
    <s v="RDT&amp;E"/>
    <x v="6"/>
    <x v="9"/>
    <m/>
    <m/>
    <m/>
    <m/>
    <n v="2654.1"/>
    <s v="M"/>
    <n v="0.9"/>
    <n v="2388.69"/>
    <s v="DoD FY2026 Budget"/>
    <m/>
    <m/>
  </r>
  <r>
    <x v="6"/>
    <x v="1"/>
    <s v="USAF"/>
    <s v="US"/>
    <s v="RDT&amp;E"/>
    <x v="0"/>
    <x v="2"/>
    <m/>
    <m/>
    <m/>
    <m/>
    <n v="2654.1"/>
    <s v="M"/>
    <n v="7.0000000000000007E-2"/>
    <n v="185.78700000000001"/>
    <s v="DoD FY2026 Budget"/>
    <m/>
    <m/>
  </r>
  <r>
    <x v="6"/>
    <x v="1"/>
    <s v="USAF"/>
    <s v="US"/>
    <s v="RDT&amp;E"/>
    <x v="0"/>
    <x v="11"/>
    <m/>
    <m/>
    <m/>
    <m/>
    <n v="2654.1"/>
    <s v="M"/>
    <n v="0.03"/>
    <n v="79.62299999999999"/>
    <s v="DoD FY2026 Budget"/>
    <m/>
    <m/>
  </r>
  <r>
    <x v="6"/>
    <x v="1"/>
    <s v="USAF"/>
    <s v="US"/>
    <s v="Procurement"/>
    <x v="6"/>
    <x v="9"/>
    <m/>
    <m/>
    <n v="0"/>
    <m/>
    <n v="2600.5"/>
    <s v="M"/>
    <n v="0.85"/>
    <n v="2210.4249999999997"/>
    <s v="DoD FY2026 Budget"/>
    <m/>
    <m/>
  </r>
  <r>
    <x v="6"/>
    <x v="1"/>
    <s v="USAF"/>
    <s v="US"/>
    <s v="Procurement"/>
    <x v="0"/>
    <x v="2"/>
    <m/>
    <m/>
    <n v="0"/>
    <m/>
    <n v="2600.5"/>
    <s v="M"/>
    <n v="0.1"/>
    <n v="260.05"/>
    <s v="DoD FY2026 Budget"/>
    <m/>
    <m/>
  </r>
  <r>
    <x v="6"/>
    <x v="1"/>
    <s v="USAF"/>
    <s v="US"/>
    <s v="Procurement"/>
    <x v="0"/>
    <x v="11"/>
    <m/>
    <m/>
    <n v="0"/>
    <m/>
    <n v="2600.5"/>
    <s v="M"/>
    <n v="0.05"/>
    <n v="130.02500000000001"/>
    <s v="DoD FY2026 Budget"/>
    <m/>
    <m/>
  </r>
  <r>
    <x v="6"/>
    <x v="2"/>
    <s v="USAF"/>
    <s v="US"/>
    <s v="RDT&amp;E"/>
    <x v="6"/>
    <x v="9"/>
    <m/>
    <m/>
    <m/>
    <m/>
    <n v="4739.1000000000004"/>
    <s v="M"/>
    <n v="0.9"/>
    <n v="4265.1900000000005"/>
    <s v="DoD FY2026 Budget"/>
    <m/>
    <m/>
  </r>
  <r>
    <x v="6"/>
    <x v="2"/>
    <s v="USAF"/>
    <s v="US"/>
    <s v="RDT&amp;E"/>
    <x v="0"/>
    <x v="2"/>
    <m/>
    <m/>
    <m/>
    <m/>
    <n v="4739.1000000000004"/>
    <s v="M"/>
    <n v="7.0000000000000007E-2"/>
    <n v="331.73700000000008"/>
    <s v="DoD FY2026 Budget"/>
    <m/>
    <m/>
  </r>
  <r>
    <x v="6"/>
    <x v="2"/>
    <s v="USAF"/>
    <s v="US"/>
    <s v="RDT&amp;E"/>
    <x v="0"/>
    <x v="11"/>
    <m/>
    <m/>
    <m/>
    <m/>
    <n v="4739.1000000000004"/>
    <s v="M"/>
    <n v="0.03"/>
    <n v="142.173"/>
    <s v="DoD FY2026 Budget"/>
    <m/>
    <m/>
  </r>
  <r>
    <x v="6"/>
    <x v="2"/>
    <s v="USAF"/>
    <s v="US"/>
    <s v="Procurement"/>
    <x v="6"/>
    <x v="9"/>
    <m/>
    <m/>
    <n v="0"/>
    <m/>
    <n v="5551.2"/>
    <s v="M"/>
    <n v="0.85"/>
    <n v="4718.5199999999995"/>
    <s v="DoD FY2026 Budget"/>
    <m/>
    <m/>
  </r>
  <r>
    <x v="6"/>
    <x v="2"/>
    <s v="USAF"/>
    <s v="US"/>
    <s v="Procurement"/>
    <x v="0"/>
    <x v="2"/>
    <m/>
    <m/>
    <n v="0"/>
    <m/>
    <n v="5551.2"/>
    <s v="M"/>
    <n v="0.1"/>
    <n v="555.12"/>
    <s v="DoD FY2026 Budget"/>
    <m/>
    <m/>
  </r>
  <r>
    <x v="6"/>
    <x v="2"/>
    <s v="USAF"/>
    <s v="US"/>
    <s v="Procurement"/>
    <x v="0"/>
    <x v="11"/>
    <m/>
    <m/>
    <n v="0"/>
    <m/>
    <n v="5551.2"/>
    <s v="M"/>
    <n v="0.05"/>
    <n v="277.56"/>
    <s v="DoD FY2026 Budget"/>
    <m/>
    <m/>
  </r>
  <r>
    <x v="7"/>
    <x v="0"/>
    <s v="USAF"/>
    <s v="US"/>
    <s v="RDT&amp;E"/>
    <x v="3"/>
    <x v="4"/>
    <m/>
    <m/>
    <m/>
    <m/>
    <n v="1954.7"/>
    <s v="M"/>
    <n v="0.85"/>
    <n v="1661.4949999999999"/>
    <s v="DoD FY2026 Budget"/>
    <m/>
    <m/>
  </r>
  <r>
    <x v="7"/>
    <x v="0"/>
    <s v="USAF"/>
    <s v="US"/>
    <s v="RDT&amp;E"/>
    <x v="0"/>
    <x v="2"/>
    <m/>
    <m/>
    <m/>
    <m/>
    <n v="1954.7"/>
    <s v="M"/>
    <n v="0.1"/>
    <n v="195.47000000000003"/>
    <s v="DoD FY2026 Budget"/>
    <m/>
    <m/>
  </r>
  <r>
    <x v="7"/>
    <x v="0"/>
    <s v="USAF"/>
    <s v="US"/>
    <s v="RDT&amp;E"/>
    <x v="0"/>
    <x v="0"/>
    <m/>
    <m/>
    <m/>
    <m/>
    <n v="1954.7"/>
    <s v="M"/>
    <n v="0.05"/>
    <n v="97.735000000000014"/>
    <s v="DoD FY2026 Budget"/>
    <m/>
    <m/>
  </r>
  <r>
    <x v="7"/>
    <x v="1"/>
    <s v="USAF"/>
    <s v="US"/>
    <s v="RDT&amp;E"/>
    <x v="3"/>
    <x v="4"/>
    <m/>
    <m/>
    <m/>
    <m/>
    <n v="2424.1999999999998"/>
    <s v="M"/>
    <n v="0.85"/>
    <n v="2060.5699999999997"/>
    <s v="DoD FY2026 Budget"/>
    <m/>
    <m/>
  </r>
  <r>
    <x v="7"/>
    <x v="1"/>
    <s v="USAF"/>
    <s v="US"/>
    <s v="RDT&amp;E"/>
    <x v="0"/>
    <x v="2"/>
    <m/>
    <m/>
    <m/>
    <m/>
    <n v="2424.1999999999998"/>
    <s v="M"/>
    <n v="0.1"/>
    <n v="242.42"/>
    <s v="DoD FY2026 Budget"/>
    <m/>
    <m/>
  </r>
  <r>
    <x v="7"/>
    <x v="1"/>
    <s v="USAF"/>
    <s v="US"/>
    <s v="RDT&amp;E"/>
    <x v="0"/>
    <x v="0"/>
    <m/>
    <m/>
    <m/>
    <m/>
    <n v="2424.1999999999998"/>
    <s v="M"/>
    <n v="0.05"/>
    <n v="121.21"/>
    <s v="DoD FY2026 Budget"/>
    <m/>
    <m/>
  </r>
  <r>
    <x v="7"/>
    <x v="2"/>
    <s v="USAF"/>
    <s v="US"/>
    <s v="RDT&amp;E"/>
    <x v="3"/>
    <x v="4"/>
    <m/>
    <m/>
    <m/>
    <m/>
    <n v="3479.4"/>
    <s v="M"/>
    <n v="0.85"/>
    <n v="2957.49"/>
    <s v="DoD FY2026 Budget"/>
    <m/>
    <m/>
  </r>
  <r>
    <x v="7"/>
    <x v="2"/>
    <s v="USAF"/>
    <s v="US"/>
    <s v="RDT&amp;E"/>
    <x v="0"/>
    <x v="2"/>
    <m/>
    <m/>
    <m/>
    <m/>
    <n v="3479.4"/>
    <s v="M"/>
    <n v="0.1"/>
    <n v="347.94000000000005"/>
    <s v="DoD FY2026 Budget"/>
    <m/>
    <m/>
  </r>
  <r>
    <x v="7"/>
    <x v="2"/>
    <s v="USAF"/>
    <s v="US"/>
    <s v="RDT&amp;E"/>
    <x v="0"/>
    <x v="0"/>
    <m/>
    <m/>
    <m/>
    <m/>
    <n v="3479.4"/>
    <m/>
    <n v="0.05"/>
    <n v="173.97000000000003"/>
    <s v="DoD FY2026 Budget"/>
    <m/>
    <m/>
  </r>
  <r>
    <x v="8"/>
    <x v="0"/>
    <s v="US Army"/>
    <s v="US"/>
    <s v="RDT&amp;E"/>
    <x v="0"/>
    <x v="0"/>
    <m/>
    <m/>
    <m/>
    <m/>
    <n v="760.1"/>
    <m/>
    <n v="0.55000000000000004"/>
    <n v="418.05500000000006"/>
    <s v="DoD FY2026 Budget"/>
    <m/>
    <m/>
  </r>
  <r>
    <x v="8"/>
    <x v="0"/>
    <s v="US Army"/>
    <s v="US"/>
    <s v="RDT&amp;E"/>
    <x v="1"/>
    <x v="12"/>
    <m/>
    <m/>
    <m/>
    <m/>
    <n v="760.1"/>
    <m/>
    <n v="0.45"/>
    <n v="342.04500000000002"/>
    <s v="DoD FY2026 Budget"/>
    <m/>
    <m/>
  </r>
  <r>
    <x v="8"/>
    <x v="0"/>
    <s v="US Army"/>
    <s v="US"/>
    <s v="Procurement"/>
    <x v="0"/>
    <x v="0"/>
    <m/>
    <m/>
    <n v="0"/>
    <m/>
    <n v="418.6"/>
    <m/>
    <n v="0.6"/>
    <n v="251.16"/>
    <s v="DoD FY2026 Budget"/>
    <m/>
    <m/>
  </r>
  <r>
    <x v="8"/>
    <x v="0"/>
    <s v="US Army"/>
    <s v="US"/>
    <s v="Procurement"/>
    <x v="1"/>
    <x v="12"/>
    <m/>
    <m/>
    <n v="0"/>
    <m/>
    <n v="418.6"/>
    <m/>
    <n v="0.4"/>
    <n v="167.44000000000003"/>
    <s v="DoD FY2026 Budget"/>
    <m/>
    <m/>
  </r>
  <r>
    <x v="8"/>
    <x v="1"/>
    <s v="US Army"/>
    <s v="US"/>
    <s v="RDT&amp;E"/>
    <x v="0"/>
    <x v="0"/>
    <m/>
    <m/>
    <m/>
    <m/>
    <n v="337.5"/>
    <m/>
    <n v="0.55000000000000004"/>
    <n v="185.62500000000003"/>
    <s v="DoD FY2026 Budget"/>
    <m/>
    <m/>
  </r>
  <r>
    <x v="8"/>
    <x v="1"/>
    <s v="US Army"/>
    <s v="US"/>
    <s v="RDT&amp;E"/>
    <x v="1"/>
    <x v="12"/>
    <m/>
    <m/>
    <m/>
    <m/>
    <n v="337.5"/>
    <m/>
    <n v="0.45"/>
    <n v="151.875"/>
    <s v="DoD FY2026 Budget"/>
    <m/>
    <m/>
  </r>
  <r>
    <x v="8"/>
    <x v="1"/>
    <s v="US Army"/>
    <s v="US"/>
    <s v="Procurement"/>
    <x v="0"/>
    <x v="0"/>
    <m/>
    <m/>
    <n v="0"/>
    <m/>
    <n v="566.29999999999995"/>
    <m/>
    <n v="0.6"/>
    <n v="339.78"/>
    <s v="DoD FY2026 Budget"/>
    <m/>
    <m/>
  </r>
  <r>
    <x v="8"/>
    <x v="1"/>
    <s v="US Army"/>
    <s v="US"/>
    <s v="Procurement"/>
    <x v="1"/>
    <x v="12"/>
    <m/>
    <m/>
    <n v="0"/>
    <m/>
    <n v="566.29999999999995"/>
    <m/>
    <n v="0.4"/>
    <n v="226.51999999999998"/>
    <s v="DoD FY2026 Budget"/>
    <m/>
    <m/>
  </r>
  <r>
    <x v="8"/>
    <x v="2"/>
    <s v="US Army"/>
    <s v="US"/>
    <s v="RDT&amp;E"/>
    <x v="0"/>
    <x v="0"/>
    <m/>
    <m/>
    <m/>
    <m/>
    <n v="480.4"/>
    <m/>
    <n v="0.55000000000000004"/>
    <n v="264.22000000000003"/>
    <s v="DoD FY2026 Budget"/>
    <m/>
    <m/>
  </r>
  <r>
    <x v="8"/>
    <x v="2"/>
    <s v="US Army"/>
    <s v="US"/>
    <s v="RDT&amp;E"/>
    <x v="1"/>
    <x v="12"/>
    <m/>
    <m/>
    <m/>
    <m/>
    <n v="480.4"/>
    <m/>
    <n v="0.45"/>
    <n v="216.18"/>
    <s v="DoD FY2026 Budget"/>
    <m/>
    <m/>
  </r>
  <r>
    <x v="8"/>
    <x v="2"/>
    <s v="US Army"/>
    <s v="US"/>
    <s v="Procurement"/>
    <x v="0"/>
    <x v="0"/>
    <m/>
    <m/>
    <n v="0"/>
    <m/>
    <n v="2019.9"/>
    <m/>
    <n v="0.6"/>
    <n v="1211.94"/>
    <s v="DoD FY2026 Budget"/>
    <m/>
    <m/>
  </r>
  <r>
    <x v="8"/>
    <x v="2"/>
    <s v="US Army"/>
    <s v="US"/>
    <s v="Procurement"/>
    <x v="1"/>
    <x v="12"/>
    <m/>
    <m/>
    <n v="0"/>
    <m/>
    <n v="2019.9"/>
    <m/>
    <n v="0.4"/>
    <n v="807.96"/>
    <s v="DoD FY2026 Budget"/>
    <m/>
    <m/>
  </r>
  <r>
    <x v="9"/>
    <x v="0"/>
    <s v="USAF"/>
    <s v="US"/>
    <s v="RDT&amp;E"/>
    <x v="8"/>
    <x v="9"/>
    <m/>
    <m/>
    <m/>
    <m/>
    <n v="392"/>
    <s v="M"/>
    <n v="0.6"/>
    <n v="235.2"/>
    <s v="DoD FY2026 Budget"/>
    <m/>
    <m/>
  </r>
  <r>
    <x v="9"/>
    <x v="0"/>
    <s v="USAF"/>
    <s v="US"/>
    <s v="RDT&amp;E"/>
    <x v="10"/>
    <x v="10"/>
    <m/>
    <m/>
    <m/>
    <m/>
    <n v="392"/>
    <s v="M"/>
    <n v="0.4"/>
    <n v="156.80000000000001"/>
    <s v="DoD FY2026 Budget"/>
    <m/>
    <m/>
  </r>
  <r>
    <x v="9"/>
    <x v="1"/>
    <s v="USAF"/>
    <s v="US"/>
    <s v="RDT&amp;E"/>
    <x v="8"/>
    <x v="9"/>
    <m/>
    <m/>
    <m/>
    <m/>
    <n v="711.7"/>
    <s v="M"/>
    <n v="0.6"/>
    <n v="427.02000000000004"/>
    <s v="DoD FY2026 Budget"/>
    <m/>
    <m/>
  </r>
  <r>
    <x v="9"/>
    <x v="1"/>
    <s v="USAF"/>
    <s v="US"/>
    <s v="RDT&amp;E"/>
    <x v="10"/>
    <x v="10"/>
    <m/>
    <m/>
    <m/>
    <m/>
    <n v="711.7"/>
    <s v="M"/>
    <n v="0.4"/>
    <n v="284.68"/>
    <s v="DoD FY2026 Budget"/>
    <m/>
    <m/>
  </r>
  <r>
    <x v="9"/>
    <x v="2"/>
    <s v="USAF"/>
    <s v="US"/>
    <s v="RDT&amp;E"/>
    <x v="8"/>
    <x v="9"/>
    <m/>
    <m/>
    <m/>
    <m/>
    <n v="678"/>
    <s v="M"/>
    <n v="0.6"/>
    <n v="406.8"/>
    <s v="DoD FY2026 Budget"/>
    <m/>
    <m/>
  </r>
  <r>
    <x v="9"/>
    <x v="2"/>
    <s v="USAF"/>
    <s v="US"/>
    <s v="RDT&amp;E"/>
    <x v="10"/>
    <x v="10"/>
    <m/>
    <m/>
    <m/>
    <m/>
    <n v="678"/>
    <s v="M"/>
    <n v="0.4"/>
    <n v="271.2"/>
    <s v="DoD FY2026 Budget"/>
    <m/>
    <m/>
  </r>
  <r>
    <x v="9"/>
    <x v="2"/>
    <s v="USAF"/>
    <s v="US"/>
    <s v="Procurement"/>
    <x v="8"/>
    <x v="9"/>
    <m/>
    <m/>
    <n v="0"/>
    <m/>
    <n v="15"/>
    <s v="M"/>
    <n v="0.65"/>
    <n v="9.75"/>
    <s v="DoD FY2026 Budget"/>
    <m/>
    <m/>
  </r>
  <r>
    <x v="9"/>
    <x v="2"/>
    <s v="USAF"/>
    <s v="US"/>
    <s v="Procurement"/>
    <x v="10"/>
    <x v="10"/>
    <m/>
    <m/>
    <n v="0"/>
    <m/>
    <n v="15"/>
    <s v="M"/>
    <n v="0.35"/>
    <n v="5.25"/>
    <s v="DoD FY2026 Budget"/>
    <m/>
    <m/>
  </r>
  <r>
    <x v="10"/>
    <x v="0"/>
    <s v="USAF"/>
    <s v="US"/>
    <s v="RDT&amp;E"/>
    <x v="3"/>
    <x v="4"/>
    <m/>
    <m/>
    <m/>
    <m/>
    <n v="155.30000000000001"/>
    <m/>
    <n v="0.73"/>
    <n v="113.369"/>
    <s v="DoD FY2026 Budget"/>
    <m/>
    <m/>
  </r>
  <r>
    <x v="10"/>
    <x v="0"/>
    <s v="USAF"/>
    <s v="US"/>
    <s v="RDT&amp;E"/>
    <x v="0"/>
    <x v="11"/>
    <m/>
    <m/>
    <m/>
    <m/>
    <n v="155.30000000000001"/>
    <m/>
    <n v="0.27"/>
    <n v="41.931000000000004"/>
    <s v="DoD FY2026 Budget"/>
    <m/>
    <m/>
  </r>
  <r>
    <x v="10"/>
    <x v="1"/>
    <s v="USAF"/>
    <s v="US"/>
    <s v="RDT&amp;E"/>
    <x v="3"/>
    <x v="4"/>
    <m/>
    <m/>
    <m/>
    <m/>
    <n v="214.8"/>
    <m/>
    <n v="0.73"/>
    <n v="156.804"/>
    <s v="DoD FY2026 Budget"/>
    <m/>
    <m/>
  </r>
  <r>
    <x v="10"/>
    <x v="1"/>
    <s v="USAF"/>
    <s v="US"/>
    <s v="RDT&amp;E"/>
    <x v="0"/>
    <x v="11"/>
    <m/>
    <m/>
    <m/>
    <m/>
    <n v="214.8"/>
    <m/>
    <n v="0.27"/>
    <n v="57.996000000000009"/>
    <s v="DoD FY2026 Budget"/>
    <m/>
    <m/>
  </r>
  <r>
    <x v="10"/>
    <x v="2"/>
    <s v="USAF"/>
    <s v="US"/>
    <s v="RDT&amp;E"/>
    <x v="3"/>
    <x v="4"/>
    <m/>
    <m/>
    <m/>
    <m/>
    <n v="313.39999999999998"/>
    <m/>
    <n v="0.73"/>
    <n v="228.78199999999998"/>
    <s v="DoD FY2026 Budget"/>
    <m/>
    <m/>
  </r>
  <r>
    <x v="10"/>
    <x v="2"/>
    <s v="USAF"/>
    <s v="US"/>
    <s v="RDT&amp;E"/>
    <x v="0"/>
    <x v="11"/>
    <m/>
    <m/>
    <m/>
    <m/>
    <n v="313.39999999999998"/>
    <m/>
    <n v="0.27"/>
    <n v="84.617999999999995"/>
    <s v="DoD FY2026 Budget"/>
    <m/>
    <m/>
  </r>
  <r>
    <x v="10"/>
    <x v="0"/>
    <s v="USAF"/>
    <s v="US"/>
    <s v="Procurement"/>
    <x v="3"/>
    <x v="4"/>
    <m/>
    <m/>
    <m/>
    <m/>
    <n v="3051.5"/>
    <m/>
    <n v="0.69"/>
    <n v="2105.5349999999999"/>
    <s v="DoD FY2026 Budget"/>
    <m/>
    <m/>
  </r>
  <r>
    <x v="10"/>
    <x v="0"/>
    <s v="USAF"/>
    <s v="US"/>
    <s v="Procurement"/>
    <x v="0"/>
    <x v="11"/>
    <m/>
    <m/>
    <m/>
    <m/>
    <n v="3051.5"/>
    <m/>
    <n v="0.31"/>
    <n v="945.96500000000003"/>
    <s v="DoD FY2026 Budget"/>
    <m/>
    <m/>
  </r>
  <r>
    <x v="10"/>
    <x v="1"/>
    <s v="USAF"/>
    <s v="US"/>
    <s v="Procurement"/>
    <x v="3"/>
    <x v="4"/>
    <m/>
    <m/>
    <m/>
    <m/>
    <n v="2155.4"/>
    <m/>
    <n v="0.69"/>
    <n v="1487.2259999999999"/>
    <s v="DoD FY2026 Budget"/>
    <m/>
    <m/>
  </r>
  <r>
    <x v="10"/>
    <x v="1"/>
    <s v="USAF"/>
    <s v="US"/>
    <s v="Procurement"/>
    <x v="0"/>
    <x v="11"/>
    <m/>
    <m/>
    <m/>
    <m/>
    <n v="2155.4"/>
    <m/>
    <n v="0.31"/>
    <n v="668.17399999999998"/>
    <s v="DoD FY2026 Budget"/>
    <m/>
    <m/>
  </r>
  <r>
    <x v="10"/>
    <x v="2"/>
    <s v="USAF"/>
    <s v="US"/>
    <s v="Procurement"/>
    <x v="3"/>
    <x v="4"/>
    <m/>
    <m/>
    <m/>
    <m/>
    <n v="3486.7"/>
    <m/>
    <n v="0.69"/>
    <n v="2405.8229999999999"/>
    <s v="DoD FY2026 Budget"/>
    <m/>
    <m/>
  </r>
  <r>
    <x v="10"/>
    <x v="2"/>
    <s v="USAF"/>
    <s v="US"/>
    <s v="Procurement"/>
    <x v="0"/>
    <x v="11"/>
    <m/>
    <m/>
    <m/>
    <m/>
    <n v="3486.7"/>
    <m/>
    <n v="0.31"/>
    <n v="1080.877"/>
    <s v="DoD FY2026 Budget"/>
    <m/>
    <m/>
  </r>
  <r>
    <x v="11"/>
    <x v="0"/>
    <s v="USAF"/>
    <s v="US"/>
    <s v="RDT&amp;E"/>
    <x v="1"/>
    <x v="1"/>
    <m/>
    <m/>
    <m/>
    <m/>
    <n v="640.1"/>
    <m/>
    <n v="0.7"/>
    <n v="448.07"/>
    <s v="DoD FY2026 Budget"/>
    <m/>
    <m/>
  </r>
  <r>
    <x v="11"/>
    <x v="0"/>
    <s v="USAF"/>
    <s v="US"/>
    <s v="RDT&amp;E"/>
    <x v="0"/>
    <x v="2"/>
    <m/>
    <m/>
    <m/>
    <m/>
    <n v="640.1"/>
    <m/>
    <n v="0.3"/>
    <n v="192.03"/>
    <s v="DoD FY2026 Budget"/>
    <m/>
    <m/>
  </r>
  <r>
    <x v="11"/>
    <x v="1"/>
    <s v="USAF"/>
    <s v="US"/>
    <s v="RDT&amp;E"/>
    <x v="1"/>
    <x v="1"/>
    <m/>
    <m/>
    <m/>
    <m/>
    <n v="758.8"/>
    <m/>
    <n v="0.7"/>
    <n v="531.16"/>
    <s v="DoD FY2026 Budget"/>
    <m/>
    <m/>
  </r>
  <r>
    <x v="11"/>
    <x v="1"/>
    <s v="USAF"/>
    <s v="US"/>
    <s v="RDT&amp;E"/>
    <x v="0"/>
    <x v="2"/>
    <m/>
    <m/>
    <m/>
    <m/>
    <n v="758.8"/>
    <m/>
    <n v="0.3"/>
    <n v="227.64"/>
    <s v="DoD FY2026 Budget"/>
    <m/>
    <m/>
  </r>
  <r>
    <x v="11"/>
    <x v="2"/>
    <s v="USAF"/>
    <s v="US"/>
    <s v="RDT&amp;E"/>
    <x v="1"/>
    <x v="1"/>
    <m/>
    <m/>
    <m/>
    <m/>
    <n v="852.3"/>
    <m/>
    <n v="0.7"/>
    <n v="596.6099999999999"/>
    <s v="DoD FY2026 Budget"/>
    <m/>
    <m/>
  </r>
  <r>
    <x v="11"/>
    <x v="2"/>
    <s v="USAF"/>
    <s v="US"/>
    <s v="RDT&amp;E"/>
    <x v="0"/>
    <x v="2"/>
    <m/>
    <m/>
    <m/>
    <m/>
    <n v="852.3"/>
    <m/>
    <n v="0.3"/>
    <n v="255.68999999999997"/>
    <s v="DoD FY2026 Budget"/>
    <m/>
    <m/>
  </r>
  <r>
    <x v="11"/>
    <x v="0"/>
    <s v="USAF"/>
    <s v="US"/>
    <s v="Procurement"/>
    <x v="1"/>
    <x v="1"/>
    <m/>
    <m/>
    <n v="0"/>
    <m/>
    <n v="414.1"/>
    <m/>
    <n v="0.65"/>
    <n v="269.16500000000002"/>
    <s v="DoD FY2026 Budget"/>
    <m/>
    <m/>
  </r>
  <r>
    <x v="11"/>
    <x v="0"/>
    <s v="USAF"/>
    <s v="US"/>
    <s v="Procurement"/>
    <x v="0"/>
    <x v="2"/>
    <m/>
    <m/>
    <n v="0"/>
    <m/>
    <n v="414.1"/>
    <m/>
    <n v="0.35"/>
    <n v="144.935"/>
    <s v="DoD FY2026 Budget"/>
    <m/>
    <m/>
  </r>
  <r>
    <x v="11"/>
    <x v="1"/>
    <s v="USAF"/>
    <s v="US"/>
    <s v="Procurement"/>
    <x v="1"/>
    <x v="1"/>
    <m/>
    <m/>
    <n v="0"/>
    <m/>
    <n v="891.6"/>
    <m/>
    <n v="0.65"/>
    <n v="579.54000000000008"/>
    <s v="DoD FY2026 Budget"/>
    <m/>
    <m/>
  </r>
  <r>
    <x v="11"/>
    <x v="1"/>
    <s v="USAF"/>
    <s v="US"/>
    <s v="Procurement"/>
    <x v="0"/>
    <x v="2"/>
    <m/>
    <m/>
    <n v="0"/>
    <m/>
    <n v="891.6"/>
    <m/>
    <n v="0.35"/>
    <n v="312.06"/>
    <s v="DoD FY2026 Budget"/>
    <m/>
    <m/>
  </r>
  <r>
    <x v="11"/>
    <x v="2"/>
    <s v="USAF"/>
    <s v="US"/>
    <s v="Procurement"/>
    <x v="1"/>
    <x v="1"/>
    <m/>
    <m/>
    <n v="0"/>
    <m/>
    <n v="1161.8"/>
    <m/>
    <n v="0.65"/>
    <n v="755.17"/>
    <s v="DoD FY2026 Budget"/>
    <m/>
    <m/>
  </r>
  <r>
    <x v="11"/>
    <x v="2"/>
    <s v="USAF"/>
    <s v="US"/>
    <s v="Procurement"/>
    <x v="0"/>
    <x v="2"/>
    <m/>
    <m/>
    <n v="0"/>
    <m/>
    <n v="1161.8"/>
    <m/>
    <n v="0.35"/>
    <n v="406.62999999999994"/>
    <s v="DoD FY2026 Budget"/>
    <m/>
    <m/>
  </r>
  <r>
    <x v="12"/>
    <x v="0"/>
    <s v="USAF"/>
    <s v="US"/>
    <s v="RDT&amp;E"/>
    <x v="3"/>
    <x v="4"/>
    <m/>
    <m/>
    <m/>
    <m/>
    <n v="78.7"/>
    <m/>
    <n v="0.9"/>
    <n v="70.83"/>
    <m/>
    <m/>
    <m/>
  </r>
  <r>
    <x v="12"/>
    <x v="0"/>
    <s v="USAF"/>
    <s v="US"/>
    <s v="RDT&amp;E"/>
    <x v="0"/>
    <x v="11"/>
    <m/>
    <m/>
    <m/>
    <m/>
    <n v="78.7"/>
    <m/>
    <n v="0.1"/>
    <n v="7.870000000000001"/>
    <m/>
    <m/>
    <m/>
  </r>
  <r>
    <x v="12"/>
    <x v="1"/>
    <s v="USAF"/>
    <s v="US"/>
    <s v="RDT&amp;E"/>
    <x v="3"/>
    <x v="4"/>
    <m/>
    <m/>
    <m/>
    <m/>
    <n v="77.8"/>
    <m/>
    <n v="0.9"/>
    <n v="70.02"/>
    <m/>
    <m/>
    <m/>
  </r>
  <r>
    <x v="12"/>
    <x v="1"/>
    <s v="USAF"/>
    <s v="US"/>
    <s v="RDT&amp;E"/>
    <x v="0"/>
    <x v="11"/>
    <m/>
    <m/>
    <m/>
    <m/>
    <n v="77.8"/>
    <m/>
    <n v="0.1"/>
    <n v="7.78"/>
    <m/>
    <m/>
    <m/>
  </r>
  <r>
    <x v="12"/>
    <x v="2"/>
    <s v="USAF"/>
    <s v="US"/>
    <s v="RDT&amp;E"/>
    <x v="3"/>
    <x v="4"/>
    <m/>
    <m/>
    <m/>
    <m/>
    <n v="121.6"/>
    <m/>
    <n v="0.9"/>
    <n v="109.44"/>
    <m/>
    <m/>
    <m/>
  </r>
  <r>
    <x v="12"/>
    <x v="2"/>
    <s v="USAF"/>
    <s v="US"/>
    <s v="RDT&amp;E"/>
    <x v="0"/>
    <x v="11"/>
    <m/>
    <m/>
    <m/>
    <m/>
    <n v="121.6"/>
    <m/>
    <n v="0.1"/>
    <n v="12.16"/>
    <m/>
    <m/>
    <m/>
  </r>
  <r>
    <x v="12"/>
    <x v="0"/>
    <s v="USAF"/>
    <s v="US"/>
    <s v="Procurement"/>
    <x v="3"/>
    <x v="4"/>
    <m/>
    <m/>
    <n v="15"/>
    <m/>
    <n v="2943"/>
    <m/>
    <n v="0.85"/>
    <n v="2501.5499999999997"/>
    <m/>
    <m/>
    <m/>
  </r>
  <r>
    <x v="12"/>
    <x v="0"/>
    <s v="USAF"/>
    <s v="US"/>
    <s v="Procurement"/>
    <x v="0"/>
    <x v="11"/>
    <m/>
    <m/>
    <n v="15"/>
    <m/>
    <n v="2943"/>
    <m/>
    <n v="0.15"/>
    <n v="441.45"/>
    <m/>
    <m/>
    <m/>
  </r>
  <r>
    <x v="12"/>
    <x v="1"/>
    <s v="USAF"/>
    <s v="US"/>
    <s v="Procurement"/>
    <x v="3"/>
    <x v="4"/>
    <m/>
    <m/>
    <n v="15"/>
    <m/>
    <n v="2986.4"/>
    <m/>
    <n v="0.85"/>
    <n v="2538.44"/>
    <m/>
    <m/>
    <m/>
  </r>
  <r>
    <x v="12"/>
    <x v="1"/>
    <s v="USAF"/>
    <s v="US"/>
    <s v="Procurement"/>
    <x v="0"/>
    <x v="11"/>
    <m/>
    <m/>
    <n v="15"/>
    <m/>
    <n v="2986.4"/>
    <m/>
    <n v="0.15"/>
    <n v="447.96"/>
    <m/>
    <m/>
    <m/>
  </r>
  <r>
    <x v="12"/>
    <x v="2"/>
    <s v="USAF"/>
    <s v="US"/>
    <s v="Procurement"/>
    <x v="3"/>
    <x v="4"/>
    <m/>
    <m/>
    <n v="15"/>
    <m/>
    <n v="3143.1"/>
    <m/>
    <n v="0.85"/>
    <n v="2671.6349999999998"/>
    <m/>
    <m/>
    <m/>
  </r>
  <r>
    <x v="12"/>
    <x v="2"/>
    <s v="USAF"/>
    <s v="US"/>
    <s v="Procurement"/>
    <x v="0"/>
    <x v="11"/>
    <m/>
    <m/>
    <n v="15"/>
    <m/>
    <n v="3143.1"/>
    <m/>
    <n v="0.15"/>
    <n v="471.46499999999997"/>
    <m/>
    <m/>
    <m/>
  </r>
  <r>
    <x v="13"/>
    <x v="0"/>
    <s v="USAF"/>
    <s v="US"/>
    <s v="RDT&amp;E"/>
    <x v="6"/>
    <x v="9"/>
    <m/>
    <m/>
    <m/>
    <m/>
    <n v="975.6"/>
    <m/>
    <n v="0.6"/>
    <n v="585.36"/>
    <m/>
    <m/>
    <m/>
  </r>
  <r>
    <x v="13"/>
    <x v="0"/>
    <s v="USAF"/>
    <s v="US"/>
    <s v="RDT&amp;E"/>
    <x v="3"/>
    <x v="4"/>
    <m/>
    <m/>
    <m/>
    <m/>
    <n v="975.6"/>
    <m/>
    <n v="0.4"/>
    <n v="390.24"/>
    <m/>
    <m/>
    <m/>
  </r>
  <r>
    <x v="13"/>
    <x v="1"/>
    <s v="USAF"/>
    <s v="US"/>
    <s v="RDT&amp;E"/>
    <x v="6"/>
    <x v="9"/>
    <m/>
    <m/>
    <m/>
    <m/>
    <n v="1106.9000000000001"/>
    <m/>
    <n v="0.6"/>
    <n v="664.14"/>
    <m/>
    <m/>
    <m/>
  </r>
  <r>
    <x v="13"/>
    <x v="1"/>
    <s v="USAF"/>
    <s v="US"/>
    <s v="RDT&amp;E"/>
    <x v="3"/>
    <x v="4"/>
    <m/>
    <m/>
    <m/>
    <m/>
    <n v="1106.9000000000001"/>
    <m/>
    <n v="0.4"/>
    <n v="442.76000000000005"/>
    <m/>
    <m/>
    <m/>
  </r>
  <r>
    <x v="13"/>
    <x v="2"/>
    <s v="USAF"/>
    <s v="US"/>
    <s v="RDT&amp;E"/>
    <x v="6"/>
    <x v="9"/>
    <m/>
    <m/>
    <m/>
    <m/>
    <n v="1037.5"/>
    <m/>
    <n v="0.6"/>
    <n v="622.5"/>
    <m/>
    <m/>
    <m/>
  </r>
  <r>
    <x v="13"/>
    <x v="2"/>
    <s v="USAF"/>
    <s v="US"/>
    <s v="RDT&amp;E"/>
    <x v="3"/>
    <x v="4"/>
    <m/>
    <m/>
    <m/>
    <m/>
    <n v="1037.5"/>
    <m/>
    <n v="0.4"/>
    <n v="415"/>
    <m/>
    <m/>
    <m/>
  </r>
  <r>
    <x v="13"/>
    <x v="0"/>
    <s v="USAF"/>
    <s v="US"/>
    <s v="Procurement"/>
    <x v="6"/>
    <x v="9"/>
    <m/>
    <m/>
    <m/>
    <m/>
    <n v="174.2"/>
    <m/>
    <n v="0.5"/>
    <n v="87.1"/>
    <m/>
    <m/>
    <m/>
  </r>
  <r>
    <x v="13"/>
    <x v="0"/>
    <s v="USAF"/>
    <s v="US"/>
    <s v="Procurement"/>
    <x v="3"/>
    <x v="4"/>
    <m/>
    <m/>
    <m/>
    <m/>
    <n v="174.2"/>
    <m/>
    <n v="0.5"/>
    <n v="87.1"/>
    <m/>
    <m/>
    <m/>
  </r>
  <r>
    <x v="13"/>
    <x v="1"/>
    <s v="USAF"/>
    <s v="US"/>
    <s v="Procurement"/>
    <x v="6"/>
    <x v="9"/>
    <m/>
    <m/>
    <m/>
    <m/>
    <n v="208.1"/>
    <m/>
    <n v="0.5"/>
    <n v="104.05"/>
    <m/>
    <m/>
    <m/>
  </r>
  <r>
    <x v="13"/>
    <x v="1"/>
    <s v="USAF"/>
    <s v="US"/>
    <s v="Procurement"/>
    <x v="3"/>
    <x v="4"/>
    <m/>
    <m/>
    <m/>
    <m/>
    <n v="208.1"/>
    <m/>
    <n v="0.5"/>
    <n v="104.05"/>
    <m/>
    <m/>
    <m/>
  </r>
  <r>
    <x v="13"/>
    <x v="2"/>
    <s v="USAF"/>
    <s v="US"/>
    <s v="Procurement"/>
    <x v="6"/>
    <x v="9"/>
    <m/>
    <m/>
    <m/>
    <m/>
    <n v="437.5"/>
    <m/>
    <n v="0.5"/>
    <n v="218.75"/>
    <m/>
    <m/>
    <m/>
  </r>
  <r>
    <x v="13"/>
    <x v="2"/>
    <s v="USAF"/>
    <s v="US"/>
    <s v="Procurement"/>
    <x v="3"/>
    <x v="4"/>
    <m/>
    <m/>
    <m/>
    <m/>
    <n v="437.5"/>
    <m/>
    <n v="0.5"/>
    <n v="218.75"/>
    <m/>
    <m/>
    <m/>
  </r>
  <r>
    <x v="14"/>
    <x v="0"/>
    <s v="USMC"/>
    <s v="US"/>
    <s v="RDT&amp;E"/>
    <x v="1"/>
    <x v="13"/>
    <m/>
    <m/>
    <m/>
    <m/>
    <n v="154.1"/>
    <m/>
    <n v="0.9"/>
    <n v="138.69"/>
    <m/>
    <m/>
    <m/>
  </r>
  <r>
    <x v="14"/>
    <x v="0"/>
    <s v="USMC"/>
    <s v="US"/>
    <s v="RDT&amp;E"/>
    <x v="5"/>
    <x v="6"/>
    <m/>
    <m/>
    <m/>
    <m/>
    <n v="154.1"/>
    <m/>
    <n v="0.1"/>
    <n v="15.41"/>
    <m/>
    <m/>
    <m/>
  </r>
  <r>
    <x v="14"/>
    <x v="1"/>
    <s v="USMC"/>
    <s v="US"/>
    <s v="RDT&amp;E"/>
    <x v="1"/>
    <x v="13"/>
    <m/>
    <m/>
    <m/>
    <m/>
    <n v="71.400000000000006"/>
    <m/>
    <n v="0.9"/>
    <n v="64.260000000000005"/>
    <m/>
    <m/>
    <m/>
  </r>
  <r>
    <x v="14"/>
    <x v="1"/>
    <s v="USMC"/>
    <s v="US"/>
    <s v="RDT&amp;E"/>
    <x v="5"/>
    <x v="6"/>
    <m/>
    <m/>
    <m/>
    <m/>
    <n v="71.400000000000006"/>
    <m/>
    <n v="0.1"/>
    <n v="7.1400000000000006"/>
    <m/>
    <m/>
    <m/>
  </r>
  <r>
    <x v="14"/>
    <x v="2"/>
    <s v="USMC"/>
    <s v="US"/>
    <s v="RDT&amp;E"/>
    <x v="1"/>
    <x v="13"/>
    <m/>
    <m/>
    <m/>
    <m/>
    <n v="135.4"/>
    <m/>
    <n v="0.9"/>
    <n v="121.86000000000001"/>
    <m/>
    <m/>
    <m/>
  </r>
  <r>
    <x v="14"/>
    <x v="2"/>
    <s v="USMC"/>
    <s v="US"/>
    <s v="RDT&amp;E"/>
    <x v="5"/>
    <x v="6"/>
    <m/>
    <m/>
    <m/>
    <m/>
    <n v="135.4"/>
    <m/>
    <n v="0.1"/>
    <n v="13.540000000000001"/>
    <m/>
    <m/>
    <m/>
  </r>
  <r>
    <x v="14"/>
    <x v="0"/>
    <s v="USMC"/>
    <s v="US"/>
    <s v="Procurement"/>
    <x v="1"/>
    <x v="13"/>
    <m/>
    <m/>
    <n v="15"/>
    <m/>
    <n v="2352.1"/>
    <m/>
    <n v="0.85"/>
    <n v="1999.2849999999999"/>
    <m/>
    <m/>
    <m/>
  </r>
  <r>
    <x v="14"/>
    <x v="0"/>
    <s v="USMC"/>
    <s v="US"/>
    <s v="Procurement"/>
    <x v="5"/>
    <x v="6"/>
    <m/>
    <m/>
    <n v="15"/>
    <m/>
    <n v="2352.1"/>
    <m/>
    <n v="0.15"/>
    <n v="352.815"/>
    <m/>
    <m/>
    <m/>
  </r>
  <r>
    <x v="14"/>
    <x v="1"/>
    <s v="USMC"/>
    <s v="US"/>
    <s v="Procurement"/>
    <x v="1"/>
    <x v="13"/>
    <m/>
    <m/>
    <n v="20"/>
    <m/>
    <n v="2911.6"/>
    <m/>
    <n v="0.85"/>
    <n v="2474.8599999999997"/>
    <m/>
    <m/>
    <m/>
  </r>
  <r>
    <x v="14"/>
    <x v="1"/>
    <s v="USMC"/>
    <s v="US"/>
    <s v="Procurement"/>
    <x v="5"/>
    <x v="6"/>
    <m/>
    <m/>
    <n v="20"/>
    <m/>
    <n v="2911.6"/>
    <m/>
    <n v="0.15"/>
    <n v="436.73999999999995"/>
    <m/>
    <m/>
    <m/>
  </r>
  <r>
    <x v="14"/>
    <x v="2"/>
    <s v="USMC"/>
    <s v="US"/>
    <s v="Procurement"/>
    <x v="1"/>
    <x v="13"/>
    <m/>
    <m/>
    <n v="12"/>
    <m/>
    <n v="2342.1999999999998"/>
    <m/>
    <n v="0.85"/>
    <n v="1990.87"/>
    <m/>
    <m/>
    <m/>
  </r>
  <r>
    <x v="14"/>
    <x v="2"/>
    <s v="USMC"/>
    <s v="US"/>
    <s v="Procurement"/>
    <x v="5"/>
    <x v="6"/>
    <m/>
    <m/>
    <n v="12"/>
    <m/>
    <n v="2342.1999999999998"/>
    <m/>
    <n v="0.15"/>
    <n v="351.33"/>
    <m/>
    <m/>
    <m/>
  </r>
  <r>
    <x v="15"/>
    <x v="0"/>
    <s v="Joint Service"/>
    <s v="US"/>
    <s v="RDT&amp;E"/>
    <x v="2"/>
    <x v="3"/>
    <m/>
    <m/>
    <m/>
    <m/>
    <n v="1006"/>
    <m/>
    <n v="0.9"/>
    <n v="905.4"/>
    <m/>
    <m/>
    <m/>
  </r>
  <r>
    <x v="15"/>
    <x v="0"/>
    <s v="Joint Service"/>
    <s v="US"/>
    <s v="RDT&amp;E"/>
    <x v="0"/>
    <x v="2"/>
    <m/>
    <m/>
    <m/>
    <m/>
    <n v="1006"/>
    <m/>
    <n v="0.1"/>
    <n v="100.60000000000001"/>
    <m/>
    <m/>
    <m/>
  </r>
  <r>
    <x v="15"/>
    <x v="1"/>
    <s v="Joint Service"/>
    <s v="US"/>
    <s v="RDT&amp;E"/>
    <x v="2"/>
    <x v="3"/>
    <m/>
    <m/>
    <m/>
    <m/>
    <n v="1258.5999999999999"/>
    <m/>
    <n v="0.9"/>
    <n v="1132.74"/>
    <m/>
    <m/>
    <m/>
  </r>
  <r>
    <x v="15"/>
    <x v="1"/>
    <s v="Joint Service"/>
    <s v="US"/>
    <s v="RDT&amp;E"/>
    <x v="0"/>
    <x v="2"/>
    <m/>
    <m/>
    <m/>
    <m/>
    <n v="1258.5999999999999"/>
    <m/>
    <n v="0.1"/>
    <n v="125.86"/>
    <m/>
    <m/>
    <m/>
  </r>
  <r>
    <x v="15"/>
    <x v="2"/>
    <s v="Joint Service"/>
    <s v="US"/>
    <s v="RDT&amp;E"/>
    <x v="2"/>
    <x v="3"/>
    <m/>
    <m/>
    <m/>
    <m/>
    <n v="1248.5"/>
    <m/>
    <n v="0.9"/>
    <n v="1123.6500000000001"/>
    <m/>
    <m/>
    <m/>
  </r>
  <r>
    <x v="15"/>
    <x v="2"/>
    <s v="Joint Service"/>
    <s v="US"/>
    <s v="RDT&amp;E"/>
    <x v="0"/>
    <x v="2"/>
    <m/>
    <m/>
    <m/>
    <m/>
    <n v="1248.5"/>
    <m/>
    <n v="0.1"/>
    <n v="124.85000000000001"/>
    <m/>
    <m/>
    <m/>
  </r>
  <r>
    <x v="16"/>
    <x v="0"/>
    <s v="USN"/>
    <s v="US"/>
    <s v="RDT&amp;E"/>
    <x v="3"/>
    <x v="1"/>
    <m/>
    <m/>
    <m/>
    <m/>
    <n v="275.3"/>
    <m/>
    <n v="0.8"/>
    <n v="220.24"/>
    <m/>
    <m/>
    <m/>
  </r>
  <r>
    <x v="16"/>
    <x v="0"/>
    <s v="USN"/>
    <s v="US"/>
    <s v="RDT&amp;E"/>
    <x v="1"/>
    <x v="7"/>
    <m/>
    <m/>
    <m/>
    <m/>
    <n v="275.3"/>
    <m/>
    <n v="0.2"/>
    <n v="55.06"/>
    <m/>
    <m/>
    <m/>
  </r>
  <r>
    <x v="16"/>
    <x v="1"/>
    <s v="USN"/>
    <s v="US"/>
    <s v="RDT&amp;E"/>
    <x v="3"/>
    <x v="1"/>
    <m/>
    <m/>
    <m/>
    <m/>
    <n v="255"/>
    <m/>
    <n v="0.8"/>
    <n v="204"/>
    <m/>
    <m/>
    <m/>
  </r>
  <r>
    <x v="16"/>
    <x v="1"/>
    <s v="USN"/>
    <s v="US"/>
    <s v="RDT&amp;E"/>
    <x v="1"/>
    <x v="7"/>
    <m/>
    <m/>
    <m/>
    <m/>
    <n v="255"/>
    <m/>
    <n v="0.2"/>
    <n v="51"/>
    <m/>
    <m/>
    <m/>
  </r>
  <r>
    <x v="16"/>
    <x v="2"/>
    <s v="USN"/>
    <s v="US"/>
    <s v="RDT&amp;E"/>
    <x v="3"/>
    <x v="1"/>
    <m/>
    <m/>
    <m/>
    <m/>
    <n v="305.5"/>
    <m/>
    <n v="0.8"/>
    <n v="244.4"/>
    <m/>
    <m/>
    <m/>
  </r>
  <r>
    <x v="16"/>
    <x v="2"/>
    <s v="USN"/>
    <s v="US"/>
    <s v="RDT&amp;E"/>
    <x v="1"/>
    <x v="7"/>
    <m/>
    <m/>
    <m/>
    <m/>
    <n v="305.5"/>
    <m/>
    <n v="0.2"/>
    <n v="61.1"/>
    <m/>
    <m/>
    <m/>
  </r>
  <r>
    <x v="16"/>
    <x v="0"/>
    <s v="USN"/>
    <s v="US"/>
    <s v="Procurement"/>
    <x v="3"/>
    <x v="1"/>
    <m/>
    <m/>
    <n v="0"/>
    <m/>
    <n v="286.29999999999995"/>
    <m/>
    <n v="0.75"/>
    <n v="214.72499999999997"/>
    <m/>
    <m/>
    <m/>
  </r>
  <r>
    <x v="16"/>
    <x v="0"/>
    <s v="USN"/>
    <s v="US"/>
    <s v="Procurement"/>
    <x v="1"/>
    <x v="7"/>
    <m/>
    <m/>
    <n v="0"/>
    <m/>
    <n v="286.29999999999995"/>
    <m/>
    <n v="0.25"/>
    <n v="71.574999999999989"/>
    <m/>
    <m/>
    <m/>
  </r>
  <r>
    <x v="16"/>
    <x v="1"/>
    <s v="USN"/>
    <s v="US"/>
    <s v="Procurement"/>
    <x v="3"/>
    <x v="1"/>
    <m/>
    <m/>
    <n v="0"/>
    <m/>
    <n v="170"/>
    <m/>
    <n v="0.75"/>
    <n v="127.5"/>
    <m/>
    <m/>
    <m/>
  </r>
  <r>
    <x v="16"/>
    <x v="1"/>
    <s v="USN"/>
    <s v="US"/>
    <s v="Procurement"/>
    <x v="1"/>
    <x v="7"/>
    <m/>
    <m/>
    <n v="0"/>
    <m/>
    <n v="170"/>
    <m/>
    <n v="0.25"/>
    <n v="42.5"/>
    <m/>
    <m/>
    <m/>
  </r>
  <r>
    <x v="16"/>
    <x v="2"/>
    <s v="USN"/>
    <s v="US"/>
    <s v="Procurement"/>
    <x v="3"/>
    <x v="1"/>
    <m/>
    <m/>
    <n v="3"/>
    <m/>
    <n v="836.5"/>
    <m/>
    <n v="0.75"/>
    <n v="627.375"/>
    <m/>
    <m/>
    <m/>
  </r>
  <r>
    <x v="16"/>
    <x v="2"/>
    <s v="USN"/>
    <s v="US"/>
    <s v="Procurement"/>
    <x v="1"/>
    <x v="7"/>
    <m/>
    <m/>
    <n v="3"/>
    <m/>
    <n v="836.5"/>
    <m/>
    <n v="0.25"/>
    <n v="209.125"/>
    <m/>
    <m/>
    <m/>
  </r>
  <r>
    <x v="17"/>
    <x v="0"/>
    <s v="USN"/>
    <s v="US"/>
    <s v="RDT&amp;E"/>
    <x v="3"/>
    <x v="1"/>
    <s v="Airframe"/>
    <m/>
    <m/>
    <m/>
    <n v="310.8"/>
    <m/>
    <n v="0.85"/>
    <n v="264.18"/>
    <m/>
    <m/>
    <m/>
  </r>
  <r>
    <x v="17"/>
    <x v="0"/>
    <s v="USN"/>
    <s v="US"/>
    <s v="RDT&amp;E"/>
    <x v="5"/>
    <x v="14"/>
    <s v="Engine"/>
    <m/>
    <m/>
    <m/>
    <n v="310.8"/>
    <m/>
    <n v="0.15"/>
    <n v="46.62"/>
    <m/>
    <m/>
    <m/>
  </r>
  <r>
    <x v="17"/>
    <x v="1"/>
    <s v="USN"/>
    <s v="US"/>
    <s v="RDT&amp;E"/>
    <x v="3"/>
    <x v="1"/>
    <s v="Airframe"/>
    <m/>
    <m/>
    <m/>
    <n v="356.9"/>
    <m/>
    <n v="0.85"/>
    <n v="303.36499999999995"/>
    <m/>
    <m/>
    <m/>
  </r>
  <r>
    <x v="17"/>
    <x v="1"/>
    <s v="USN"/>
    <s v="US"/>
    <s v="RDT&amp;E"/>
    <x v="5"/>
    <x v="14"/>
    <s v="Engine"/>
    <m/>
    <m/>
    <m/>
    <n v="356.9"/>
    <m/>
    <n v="0.15"/>
    <n v="53.534999999999997"/>
    <m/>
    <m/>
    <m/>
  </r>
  <r>
    <x v="17"/>
    <x v="2"/>
    <s v="USN"/>
    <s v="US"/>
    <s v="RDT&amp;E"/>
    <x v="3"/>
    <x v="1"/>
    <s v="Airframe"/>
    <m/>
    <m/>
    <m/>
    <n v="369.9"/>
    <m/>
    <n v="0.85"/>
    <n v="314.41499999999996"/>
    <m/>
    <m/>
    <m/>
  </r>
  <r>
    <x v="17"/>
    <x v="2"/>
    <s v="USN"/>
    <s v="US"/>
    <s v="RDT&amp;E"/>
    <x v="5"/>
    <x v="14"/>
    <s v="Engine"/>
    <m/>
    <m/>
    <m/>
    <n v="369.9"/>
    <m/>
    <n v="0.15"/>
    <n v="55.484999999999992"/>
    <m/>
    <m/>
    <m/>
  </r>
  <r>
    <x v="17"/>
    <x v="0"/>
    <s v="USN"/>
    <s v="US"/>
    <s v="Procurement"/>
    <x v="3"/>
    <x v="1"/>
    <s v="Airframe"/>
    <m/>
    <m/>
    <m/>
    <n v="1488.2"/>
    <m/>
    <n v="0.85"/>
    <n v="1264.97"/>
    <m/>
    <m/>
    <m/>
  </r>
  <r>
    <x v="17"/>
    <x v="0"/>
    <s v="USN"/>
    <s v="US"/>
    <s v="Procurement"/>
    <x v="5"/>
    <x v="14"/>
    <s v="Engine"/>
    <m/>
    <m/>
    <m/>
    <n v="1488.2"/>
    <m/>
    <n v="0.15"/>
    <n v="223.23"/>
    <m/>
    <m/>
    <m/>
  </r>
  <r>
    <x v="17"/>
    <x v="1"/>
    <s v="USN"/>
    <s v="US"/>
    <s v="Procurement"/>
    <x v="3"/>
    <x v="1"/>
    <s v="Airframe"/>
    <m/>
    <m/>
    <m/>
    <n v="1303.2"/>
    <m/>
    <n v="0.85"/>
    <n v="1107.72"/>
    <m/>
    <m/>
    <m/>
  </r>
  <r>
    <x v="17"/>
    <x v="1"/>
    <s v="USN"/>
    <s v="US"/>
    <s v="Procurement"/>
    <x v="5"/>
    <x v="14"/>
    <s v="Engine"/>
    <m/>
    <m/>
    <m/>
    <n v="1303.2"/>
    <m/>
    <n v="0.15"/>
    <n v="195.48"/>
    <m/>
    <m/>
    <m/>
  </r>
  <r>
    <x v="17"/>
    <x v="2"/>
    <s v="USN"/>
    <s v="US"/>
    <s v="Procurement"/>
    <x v="3"/>
    <x v="1"/>
    <s v="Airframe"/>
    <m/>
    <m/>
    <m/>
    <n v="1612.4"/>
    <m/>
    <n v="0.85"/>
    <n v="1370.54"/>
    <m/>
    <m/>
    <m/>
  </r>
  <r>
    <x v="17"/>
    <x v="2"/>
    <s v="USN"/>
    <s v="US"/>
    <s v="Procurement"/>
    <x v="5"/>
    <x v="14"/>
    <s v="Engine"/>
    <m/>
    <m/>
    <m/>
    <n v="1612.4"/>
    <m/>
    <n v="0.15"/>
    <n v="241.86"/>
    <m/>
    <m/>
    <m/>
  </r>
  <r>
    <x v="18"/>
    <x v="0"/>
    <s v="USN"/>
    <s v="US"/>
    <s v="RDT&amp;E"/>
    <x v="6"/>
    <x v="9"/>
    <m/>
    <m/>
    <m/>
    <m/>
    <n v="365.2"/>
    <m/>
    <n v="0.7"/>
    <n v="255.64"/>
    <m/>
    <m/>
    <m/>
  </r>
  <r>
    <x v="18"/>
    <x v="0"/>
    <s v="USN"/>
    <s v="US"/>
    <s v="RDT&amp;E"/>
    <x v="4"/>
    <x v="5"/>
    <m/>
    <m/>
    <m/>
    <m/>
    <n v="365.2"/>
    <m/>
    <n v="0.15"/>
    <n v="54.779999999999994"/>
    <m/>
    <m/>
    <m/>
  </r>
  <r>
    <x v="18"/>
    <x v="0"/>
    <s v="USN"/>
    <s v="US"/>
    <s v="RDT&amp;E"/>
    <x v="1"/>
    <x v="7"/>
    <m/>
    <m/>
    <m/>
    <m/>
    <n v="365.2"/>
    <m/>
    <n v="0.15"/>
    <n v="54.779999999999994"/>
    <m/>
    <m/>
    <m/>
  </r>
  <r>
    <x v="18"/>
    <x v="1"/>
    <s v="USN"/>
    <s v="US"/>
    <s v="RDT&amp;E"/>
    <x v="6"/>
    <x v="9"/>
    <m/>
    <m/>
    <m/>
    <m/>
    <n v="288.3"/>
    <m/>
    <n v="0.7"/>
    <n v="201.81"/>
    <m/>
    <m/>
    <m/>
  </r>
  <r>
    <x v="18"/>
    <x v="1"/>
    <s v="USN"/>
    <s v="US"/>
    <s v="RDT&amp;E"/>
    <x v="4"/>
    <x v="5"/>
    <m/>
    <m/>
    <m/>
    <m/>
    <n v="288.3"/>
    <m/>
    <n v="0.15"/>
    <n v="43.244999999999997"/>
    <m/>
    <m/>
    <m/>
  </r>
  <r>
    <x v="18"/>
    <x v="1"/>
    <s v="USN"/>
    <s v="US"/>
    <s v="RDT&amp;E"/>
    <x v="1"/>
    <x v="7"/>
    <m/>
    <m/>
    <m/>
    <m/>
    <n v="288.3"/>
    <m/>
    <n v="0.15"/>
    <n v="43.244999999999997"/>
    <m/>
    <m/>
    <m/>
  </r>
  <r>
    <x v="18"/>
    <x v="2"/>
    <s v="USN"/>
    <s v="US"/>
    <s v="RDT&amp;E"/>
    <x v="6"/>
    <x v="9"/>
    <m/>
    <m/>
    <m/>
    <m/>
    <n v="350.3"/>
    <m/>
    <n v="0.7"/>
    <n v="245.20999999999998"/>
    <m/>
    <m/>
    <m/>
  </r>
  <r>
    <x v="18"/>
    <x v="2"/>
    <s v="USN"/>
    <s v="US"/>
    <s v="RDT&amp;E"/>
    <x v="4"/>
    <x v="5"/>
    <m/>
    <m/>
    <m/>
    <m/>
    <n v="350.3"/>
    <m/>
    <n v="0.15"/>
    <n v="52.545000000000002"/>
    <m/>
    <m/>
    <m/>
  </r>
  <r>
    <x v="18"/>
    <x v="2"/>
    <s v="USN"/>
    <s v="US"/>
    <s v="RDT&amp;E"/>
    <x v="1"/>
    <x v="7"/>
    <m/>
    <m/>
    <m/>
    <m/>
    <n v="350.3"/>
    <m/>
    <n v="0.15"/>
    <n v="52.545000000000002"/>
    <m/>
    <m/>
    <m/>
  </r>
  <r>
    <x v="18"/>
    <x v="0"/>
    <s v="USN"/>
    <s v="US"/>
    <s v="Procurement"/>
    <x v="6"/>
    <x v="9"/>
    <m/>
    <m/>
    <n v="2"/>
    <m/>
    <n v="840.4"/>
    <m/>
    <n v="0.7"/>
    <n v="588.28"/>
    <m/>
    <m/>
    <m/>
  </r>
  <r>
    <x v="18"/>
    <x v="0"/>
    <s v="USN"/>
    <s v="US"/>
    <s v="Procurement"/>
    <x v="4"/>
    <x v="5"/>
    <m/>
    <m/>
    <n v="2"/>
    <m/>
    <n v="840.4"/>
    <m/>
    <n v="0.15"/>
    <n v="126.05999999999999"/>
    <m/>
    <m/>
    <m/>
  </r>
  <r>
    <x v="18"/>
    <x v="0"/>
    <s v="USN"/>
    <s v="US"/>
    <s v="Procurement"/>
    <x v="1"/>
    <x v="7"/>
    <m/>
    <m/>
    <n v="2"/>
    <m/>
    <n v="840.4"/>
    <m/>
    <n v="0.15"/>
    <n v="126.05999999999999"/>
    <m/>
    <m/>
    <m/>
  </r>
  <r>
    <x v="18"/>
    <x v="1"/>
    <s v="USN"/>
    <s v="US"/>
    <s v="Procurement"/>
    <x v="6"/>
    <x v="9"/>
    <m/>
    <m/>
    <n v="4"/>
    <m/>
    <n v="295.7"/>
    <m/>
    <n v="0.7"/>
    <n v="206.98999999999998"/>
    <m/>
    <m/>
    <m/>
  </r>
  <r>
    <x v="18"/>
    <x v="1"/>
    <s v="USN"/>
    <s v="US"/>
    <s v="Procurement"/>
    <x v="4"/>
    <x v="5"/>
    <m/>
    <m/>
    <n v="4"/>
    <m/>
    <n v="295.7"/>
    <m/>
    <n v="0.15"/>
    <n v="44.354999999999997"/>
    <m/>
    <m/>
    <m/>
  </r>
  <r>
    <x v="18"/>
    <x v="1"/>
    <s v="USN"/>
    <s v="US"/>
    <s v="Procurement"/>
    <x v="1"/>
    <x v="7"/>
    <m/>
    <m/>
    <n v="4"/>
    <m/>
    <n v="295.7"/>
    <m/>
    <n v="0.15"/>
    <n v="44.354999999999997"/>
    <m/>
    <m/>
    <m/>
  </r>
  <r>
    <x v="18"/>
    <x v="2"/>
    <s v="USN"/>
    <s v="US"/>
    <s v="Procurement"/>
    <x v="6"/>
    <x v="9"/>
    <m/>
    <m/>
    <n v="4"/>
    <m/>
    <n v="1773.8"/>
    <m/>
    <n v="0.7"/>
    <n v="1241.6599999999999"/>
    <m/>
    <m/>
    <m/>
  </r>
  <r>
    <x v="18"/>
    <x v="2"/>
    <s v="USN"/>
    <s v="US"/>
    <s v="Procurement"/>
    <x v="4"/>
    <x v="5"/>
    <m/>
    <m/>
    <n v="4"/>
    <m/>
    <n v="1773.8"/>
    <m/>
    <n v="0.15"/>
    <n v="266.07"/>
    <m/>
    <m/>
    <m/>
  </r>
  <r>
    <x v="18"/>
    <x v="2"/>
    <s v="USN"/>
    <s v="US"/>
    <s v="Procurement"/>
    <x v="1"/>
    <x v="7"/>
    <m/>
    <m/>
    <n v="4"/>
    <m/>
    <n v="1773.8"/>
    <m/>
    <n v="0.15"/>
    <n v="266.07"/>
    <m/>
    <m/>
    <m/>
  </r>
  <r>
    <x v="19"/>
    <x v="0"/>
    <s v="Joint Service"/>
    <s v="US"/>
    <s v="Procurement"/>
    <x v="9"/>
    <x v="10"/>
    <m/>
    <m/>
    <n v="13189"/>
    <m/>
    <n v="721.4"/>
    <m/>
    <n v="0.35"/>
    <n v="252.48999999999998"/>
    <m/>
    <m/>
    <m/>
  </r>
  <r>
    <x v="19"/>
    <x v="0"/>
    <s v="Joint Service"/>
    <s v="US"/>
    <s v="Procurement"/>
    <x v="0"/>
    <x v="11"/>
    <m/>
    <m/>
    <n v="13189"/>
    <m/>
    <n v="721.4"/>
    <m/>
    <n v="0.25"/>
    <n v="180.35"/>
    <m/>
    <m/>
    <m/>
  </r>
  <r>
    <x v="19"/>
    <x v="0"/>
    <s v="Joint Service"/>
    <s v="US"/>
    <s v="Procurement"/>
    <x v="11"/>
    <x v="10"/>
    <m/>
    <m/>
    <n v="13189"/>
    <m/>
    <n v="721.4"/>
    <m/>
    <n v="0.25"/>
    <n v="180.35"/>
    <m/>
    <m/>
    <m/>
  </r>
  <r>
    <x v="19"/>
    <x v="0"/>
    <s v="Joint Service"/>
    <s v="US"/>
    <s v="Procurement"/>
    <x v="10"/>
    <x v="10"/>
    <m/>
    <m/>
    <n v="13189"/>
    <m/>
    <n v="721.4"/>
    <m/>
    <n v="0.15"/>
    <n v="108.21"/>
    <m/>
    <m/>
    <m/>
  </r>
  <r>
    <x v="19"/>
    <x v="1"/>
    <s v="Joint Service"/>
    <s v="US"/>
    <s v="Procurement"/>
    <x v="9"/>
    <x v="10"/>
    <m/>
    <m/>
    <n v="10206"/>
    <m/>
    <n v="649.20000000000005"/>
    <m/>
    <n v="0.35"/>
    <n v="227.22"/>
    <m/>
    <m/>
    <m/>
  </r>
  <r>
    <x v="19"/>
    <x v="1"/>
    <s v="Joint Service"/>
    <s v="US"/>
    <s v="Procurement"/>
    <x v="0"/>
    <x v="11"/>
    <m/>
    <m/>
    <n v="10206"/>
    <m/>
    <n v="649.20000000000005"/>
    <m/>
    <n v="0.25"/>
    <n v="162.30000000000001"/>
    <m/>
    <m/>
    <m/>
  </r>
  <r>
    <x v="19"/>
    <x v="1"/>
    <s v="Joint Service"/>
    <s v="US"/>
    <s v="Procurement"/>
    <x v="11"/>
    <x v="10"/>
    <m/>
    <m/>
    <n v="10206"/>
    <m/>
    <n v="649.20000000000005"/>
    <m/>
    <n v="0.25"/>
    <n v="162.30000000000001"/>
    <m/>
    <m/>
    <m/>
  </r>
  <r>
    <x v="19"/>
    <x v="1"/>
    <s v="Joint Service"/>
    <s v="US"/>
    <s v="Procurement"/>
    <x v="10"/>
    <x v="10"/>
    <m/>
    <m/>
    <n v="10206"/>
    <m/>
    <n v="649.20000000000005"/>
    <m/>
    <n v="0.15"/>
    <n v="97.38000000000001"/>
    <m/>
    <m/>
    <m/>
  </r>
  <r>
    <x v="19"/>
    <x v="2"/>
    <s v="Joint Service"/>
    <s v="US"/>
    <s v="Procurement"/>
    <x v="9"/>
    <x v="10"/>
    <m/>
    <m/>
    <n v="7966"/>
    <m/>
    <n v="478.4"/>
    <m/>
    <n v="0.35"/>
    <n v="167.43999999999997"/>
    <m/>
    <m/>
    <m/>
  </r>
  <r>
    <x v="19"/>
    <x v="2"/>
    <s v="Joint Service"/>
    <s v="US"/>
    <s v="Procurement"/>
    <x v="0"/>
    <x v="11"/>
    <m/>
    <m/>
    <n v="7966"/>
    <m/>
    <n v="478.4"/>
    <m/>
    <n v="0.25"/>
    <n v="119.6"/>
    <m/>
    <m/>
    <m/>
  </r>
  <r>
    <x v="19"/>
    <x v="2"/>
    <s v="Joint Service"/>
    <s v="US"/>
    <s v="Procurement"/>
    <x v="11"/>
    <x v="10"/>
    <m/>
    <m/>
    <n v="7966"/>
    <m/>
    <n v="478.4"/>
    <m/>
    <n v="0.25"/>
    <n v="119.6"/>
    <m/>
    <m/>
    <m/>
  </r>
  <r>
    <x v="19"/>
    <x v="2"/>
    <s v="Joint Service"/>
    <s v="US"/>
    <s v="Procurement"/>
    <x v="10"/>
    <x v="10"/>
    <m/>
    <m/>
    <n v="7966"/>
    <m/>
    <n v="478.4"/>
    <m/>
    <n v="0.15"/>
    <n v="71.759999999999991"/>
    <m/>
    <m/>
    <m/>
  </r>
  <r>
    <x v="20"/>
    <x v="0"/>
    <s v="US Army"/>
    <s v="US"/>
    <s v="RDT&amp;E"/>
    <x v="12"/>
    <x v="15"/>
    <m/>
    <m/>
    <m/>
    <m/>
    <n v="181"/>
    <m/>
    <n v="1"/>
    <n v="181"/>
    <m/>
    <m/>
    <m/>
  </r>
  <r>
    <x v="20"/>
    <x v="1"/>
    <s v="US Army"/>
    <s v="US"/>
    <s v="RDT&amp;E"/>
    <x v="12"/>
    <x v="15"/>
    <m/>
    <m/>
    <m/>
    <m/>
    <n v="251.7"/>
    <m/>
    <n v="1"/>
    <n v="251.7"/>
    <m/>
    <m/>
    <m/>
  </r>
  <r>
    <x v="20"/>
    <x v="2"/>
    <s v="US Army"/>
    <s v="US"/>
    <s v="RDT&amp;E"/>
    <x v="12"/>
    <x v="15"/>
    <m/>
    <m/>
    <m/>
    <m/>
    <n v="723.5"/>
    <m/>
    <n v="1"/>
    <n v="723.5"/>
    <m/>
    <m/>
    <m/>
  </r>
  <r>
    <x v="20"/>
    <x v="0"/>
    <s v="US Army"/>
    <s v="US"/>
    <s v="Procurement"/>
    <x v="12"/>
    <x v="15"/>
    <m/>
    <m/>
    <n v="100"/>
    <m/>
    <n v="1240.3"/>
    <m/>
    <n v="1"/>
    <n v="1240.3"/>
    <m/>
    <m/>
    <m/>
  </r>
  <r>
    <x v="20"/>
    <x v="1"/>
    <s v="US Army"/>
    <s v="US"/>
    <s v="Procurement"/>
    <x v="12"/>
    <x v="15"/>
    <m/>
    <m/>
    <n v="30"/>
    <m/>
    <n v="799.7"/>
    <m/>
    <n v="1"/>
    <n v="799.7"/>
    <m/>
    <m/>
    <m/>
  </r>
  <r>
    <x v="20"/>
    <x v="2"/>
    <s v="US Army"/>
    <s v="US"/>
    <s v="Procurement"/>
    <x v="12"/>
    <x v="15"/>
    <m/>
    <m/>
    <n v="30"/>
    <m/>
    <n v="740.5"/>
    <m/>
    <n v="1"/>
    <n v="740.5"/>
    <m/>
    <m/>
    <m/>
  </r>
  <r>
    <x v="21"/>
    <x v="0"/>
    <s v="US Army"/>
    <s v="US"/>
    <s v="RDT&amp;E"/>
    <x v="13"/>
    <x v="16"/>
    <m/>
    <m/>
    <m/>
    <m/>
    <n v="11.9"/>
    <m/>
    <n v="1"/>
    <n v="11.9"/>
    <m/>
    <m/>
    <m/>
  </r>
  <r>
    <x v="21"/>
    <x v="1"/>
    <s v="US Army"/>
    <s v="US"/>
    <s v="RDT&amp;E"/>
    <x v="13"/>
    <x v="16"/>
    <m/>
    <m/>
    <m/>
    <m/>
    <n v="12.3"/>
    <m/>
    <n v="1"/>
    <n v="12.3"/>
    <m/>
    <m/>
    <m/>
  </r>
  <r>
    <x v="21"/>
    <x v="2"/>
    <s v="US Army"/>
    <s v="US"/>
    <s v="RDT&amp;E"/>
    <x v="13"/>
    <x v="16"/>
    <m/>
    <m/>
    <m/>
    <m/>
    <n v="10.8"/>
    <m/>
    <n v="1"/>
    <n v="10.8"/>
    <m/>
    <m/>
    <m/>
  </r>
  <r>
    <x v="21"/>
    <x v="0"/>
    <s v="US Army"/>
    <s v="US"/>
    <s v="Procurement"/>
    <x v="13"/>
    <x v="16"/>
    <m/>
    <m/>
    <n v="57"/>
    <m/>
    <n v="592"/>
    <m/>
    <n v="1"/>
    <n v="592"/>
    <m/>
    <m/>
    <m/>
  </r>
  <r>
    <x v="21"/>
    <x v="1"/>
    <s v="US Army"/>
    <s v="US"/>
    <s v="Procurement"/>
    <x v="13"/>
    <x v="16"/>
    <m/>
    <m/>
    <n v="56"/>
    <m/>
    <n v="381.5"/>
    <m/>
    <n v="1"/>
    <n v="381.5"/>
    <m/>
    <m/>
    <m/>
  </r>
  <r>
    <x v="21"/>
    <x v="2"/>
    <s v="US Army"/>
    <s v="US"/>
    <s v="Procurement"/>
    <x v="13"/>
    <x v="16"/>
    <m/>
    <m/>
    <n v="86"/>
    <m/>
    <n v="554.6"/>
    <m/>
    <n v="1"/>
    <n v="554.6"/>
    <m/>
    <m/>
    <m/>
  </r>
  <r>
    <x v="22"/>
    <x v="0"/>
    <s v="US Army"/>
    <s v="US"/>
    <s v="RDT&amp;E"/>
    <x v="13"/>
    <x v="16"/>
    <m/>
    <m/>
    <m/>
    <m/>
    <n v="40.9"/>
    <m/>
    <n v="1"/>
    <n v="40.9"/>
    <m/>
    <m/>
    <m/>
  </r>
  <r>
    <x v="22"/>
    <x v="1"/>
    <s v="US Army"/>
    <s v="US"/>
    <s v="RDT&amp;E"/>
    <x v="13"/>
    <x v="16"/>
    <m/>
    <m/>
    <m/>
    <m/>
    <n v="42.5"/>
    <m/>
    <n v="1"/>
    <n v="42.5"/>
    <m/>
    <m/>
    <m/>
  </r>
  <r>
    <x v="22"/>
    <x v="2"/>
    <s v="US Army"/>
    <s v="US"/>
    <s v="RDT&amp;E"/>
    <x v="13"/>
    <x v="16"/>
    <m/>
    <m/>
    <m/>
    <m/>
    <n v="12.5"/>
    <m/>
    <n v="1"/>
    <n v="12.5"/>
    <m/>
    <m/>
    <m/>
  </r>
  <r>
    <x v="22"/>
    <x v="0"/>
    <s v="US Army"/>
    <s v="US"/>
    <s v="Procurement"/>
    <x v="13"/>
    <x v="16"/>
    <m/>
    <m/>
    <n v="57"/>
    <m/>
    <n v="742.3"/>
    <m/>
    <n v="1"/>
    <n v="742.3"/>
    <m/>
    <m/>
    <m/>
  </r>
  <r>
    <x v="22"/>
    <x v="1"/>
    <s v="US Army"/>
    <s v="US"/>
    <s v="Procurement"/>
    <x v="13"/>
    <x v="16"/>
    <m/>
    <m/>
    <n v="20"/>
    <m/>
    <n v="568.6"/>
    <m/>
    <n v="1"/>
    <n v="568.6"/>
    <m/>
    <m/>
    <m/>
  </r>
  <r>
    <x v="22"/>
    <x v="2"/>
    <s v="US Army"/>
    <s v="US"/>
    <s v="Procurement"/>
    <x v="13"/>
    <x v="16"/>
    <m/>
    <m/>
    <n v="10"/>
    <m/>
    <n v="250.2"/>
    <m/>
    <n v="1"/>
    <n v="250.2"/>
    <m/>
    <m/>
    <m/>
  </r>
  <r>
    <x v="23"/>
    <x v="0"/>
    <s v="US Army"/>
    <s v="US"/>
    <s v="RDT&amp;E"/>
    <x v="12"/>
    <x v="15"/>
    <m/>
    <m/>
    <m/>
    <m/>
    <n v="565"/>
    <m/>
    <n v="0.5"/>
    <n v="282.5"/>
    <m/>
    <m/>
    <m/>
  </r>
  <r>
    <x v="23"/>
    <x v="0"/>
    <s v="US Army"/>
    <s v="US"/>
    <s v="RDT&amp;E"/>
    <x v="14"/>
    <x v="15"/>
    <m/>
    <m/>
    <m/>
    <m/>
    <n v="565"/>
    <m/>
    <n v="0.5"/>
    <n v="282.5"/>
    <m/>
    <m/>
    <m/>
  </r>
  <r>
    <x v="23"/>
    <x v="1"/>
    <s v="US Army"/>
    <s v="US"/>
    <s v="RDT&amp;E"/>
    <x v="12"/>
    <x v="15"/>
    <m/>
    <m/>
    <m/>
    <m/>
    <n v="499.5"/>
    <m/>
    <n v="0.5"/>
    <n v="249.75"/>
    <m/>
    <m/>
    <m/>
  </r>
  <r>
    <x v="23"/>
    <x v="1"/>
    <s v="US Army"/>
    <s v="US"/>
    <s v="RDT&amp;E"/>
    <x v="14"/>
    <x v="15"/>
    <m/>
    <m/>
    <m/>
    <m/>
    <n v="499.5"/>
    <m/>
    <n v="0.5"/>
    <n v="249.75"/>
    <m/>
    <m/>
    <m/>
  </r>
  <r>
    <x v="23"/>
    <x v="2"/>
    <s v="US Army"/>
    <s v="US"/>
    <s v="RDT&amp;E"/>
    <x v="12"/>
    <x v="15"/>
    <m/>
    <m/>
    <m/>
    <m/>
    <n v="386.4"/>
    <m/>
    <n v="0.5"/>
    <n v="193.2"/>
    <m/>
    <m/>
    <m/>
  </r>
  <r>
    <x v="23"/>
    <x v="2"/>
    <s v="US Army"/>
    <s v="US"/>
    <s v="RDT&amp;E"/>
    <x v="14"/>
    <x v="15"/>
    <m/>
    <m/>
    <m/>
    <m/>
    <n v="386.4"/>
    <m/>
    <n v="0.5"/>
    <n v="193.2"/>
    <m/>
    <m/>
    <m/>
  </r>
  <r>
    <x v="24"/>
    <x v="0"/>
    <s v="USMC"/>
    <s v="US"/>
    <s v="RDT&amp;E"/>
    <x v="13"/>
    <x v="15"/>
    <m/>
    <m/>
    <m/>
    <m/>
    <n v="87.7"/>
    <m/>
    <n v="1"/>
    <n v="87.7"/>
    <m/>
    <m/>
    <m/>
  </r>
  <r>
    <x v="24"/>
    <x v="1"/>
    <s v="USMC"/>
    <s v="US"/>
    <s v="RDT&amp;E"/>
    <x v="13"/>
    <x v="15"/>
    <m/>
    <m/>
    <m/>
    <m/>
    <n v="46.7"/>
    <m/>
    <n v="1"/>
    <n v="46.7"/>
    <m/>
    <m/>
    <m/>
  </r>
  <r>
    <x v="24"/>
    <x v="2"/>
    <s v="USMC"/>
    <s v="US"/>
    <s v="RDT&amp;E"/>
    <x v="13"/>
    <x v="15"/>
    <m/>
    <m/>
    <m/>
    <m/>
    <n v="44.6"/>
    <m/>
    <n v="1"/>
    <n v="44.6"/>
    <m/>
    <m/>
    <m/>
  </r>
  <r>
    <x v="24"/>
    <x v="0"/>
    <s v="USMC"/>
    <s v="US"/>
    <s v="Procurement"/>
    <x v="13"/>
    <x v="15"/>
    <m/>
    <m/>
    <m/>
    <m/>
    <n v="545.1"/>
    <m/>
    <n v="1"/>
    <n v="545.1"/>
    <m/>
    <m/>
    <m/>
  </r>
  <r>
    <x v="24"/>
    <x v="1"/>
    <s v="USMC"/>
    <s v="US"/>
    <s v="Procurement"/>
    <x v="13"/>
    <x v="15"/>
    <m/>
    <m/>
    <m/>
    <m/>
    <n v="810.3"/>
    <m/>
    <n v="1"/>
    <n v="810.3"/>
    <m/>
    <m/>
    <m/>
  </r>
  <r>
    <x v="24"/>
    <x v="2"/>
    <s v="USMC"/>
    <s v="US"/>
    <s v="Procurement"/>
    <x v="13"/>
    <x v="15"/>
    <m/>
    <m/>
    <m/>
    <m/>
    <n v="790.8"/>
    <m/>
    <n v="1"/>
    <n v="790.8"/>
    <m/>
    <m/>
    <m/>
  </r>
  <r>
    <x v="25"/>
    <x v="0"/>
    <s v="MDA"/>
    <s v="US"/>
    <s v="RDT&amp;E"/>
    <x v="6"/>
    <x v="7"/>
    <m/>
    <m/>
    <m/>
    <m/>
    <n v="2973.7"/>
    <m/>
    <n v="0.5"/>
    <n v="1486.85"/>
    <m/>
    <m/>
    <m/>
  </r>
  <r>
    <x v="25"/>
    <x v="0"/>
    <s v="MDA"/>
    <s v="US"/>
    <s v="RDT&amp;E"/>
    <x v="1"/>
    <x v="12"/>
    <m/>
    <m/>
    <m/>
    <m/>
    <n v="2973.7"/>
    <m/>
    <n v="0.5"/>
    <n v="1486.85"/>
    <m/>
    <m/>
    <m/>
  </r>
  <r>
    <x v="25"/>
    <x v="1"/>
    <s v="MDA"/>
    <s v="US"/>
    <s v="RDT&amp;E"/>
    <x v="6"/>
    <x v="7"/>
    <m/>
    <m/>
    <m/>
    <m/>
    <n v="2462.1999999999998"/>
    <m/>
    <n v="0.5"/>
    <n v="1231.0999999999999"/>
    <m/>
    <m/>
    <m/>
  </r>
  <r>
    <x v="25"/>
    <x v="1"/>
    <s v="MDA"/>
    <s v="US"/>
    <s v="RDT&amp;E"/>
    <x v="1"/>
    <x v="12"/>
    <m/>
    <m/>
    <m/>
    <m/>
    <n v="2462.1999999999998"/>
    <m/>
    <n v="0.5"/>
    <n v="1231.0999999999999"/>
    <m/>
    <m/>
    <m/>
  </r>
  <r>
    <x v="25"/>
    <x v="2"/>
    <s v="MDA"/>
    <s v="US"/>
    <s v="RDT&amp;E"/>
    <x v="6"/>
    <x v="7"/>
    <m/>
    <m/>
    <m/>
    <m/>
    <n v="2501.6999999999998"/>
    <m/>
    <n v="0.5"/>
    <n v="1250.8499999999999"/>
    <m/>
    <m/>
    <m/>
  </r>
  <r>
    <x v="25"/>
    <x v="2"/>
    <s v="MDA"/>
    <s v="US"/>
    <s v="RDT&amp;E"/>
    <x v="1"/>
    <x v="12"/>
    <m/>
    <m/>
    <m/>
    <m/>
    <n v="2501.6999999999998"/>
    <m/>
    <n v="0.5"/>
    <n v="1250.8499999999999"/>
    <m/>
    <m/>
    <m/>
  </r>
  <r>
    <x v="26"/>
    <x v="0"/>
    <s v="MDA"/>
    <s v="US"/>
    <s v="RDT&amp;E"/>
    <x v="1"/>
    <x v="12"/>
    <m/>
    <m/>
    <m/>
    <m/>
    <n v="241.2"/>
    <m/>
    <n v="1"/>
    <n v="241.2"/>
    <m/>
    <m/>
    <m/>
  </r>
  <r>
    <x v="26"/>
    <x v="1"/>
    <s v="MDA"/>
    <s v="US"/>
    <s v="RDT&amp;E"/>
    <x v="1"/>
    <x v="12"/>
    <m/>
    <m/>
    <m/>
    <m/>
    <n v="311"/>
    <m/>
    <n v="1"/>
    <n v="311"/>
    <m/>
    <m/>
    <m/>
  </r>
  <r>
    <x v="26"/>
    <x v="2"/>
    <s v="MDA"/>
    <s v="US"/>
    <s v="RDT&amp;E"/>
    <x v="1"/>
    <x v="12"/>
    <m/>
    <m/>
    <m/>
    <m/>
    <n v="684.7"/>
    <m/>
    <n v="1"/>
    <n v="684.7"/>
    <m/>
    <m/>
    <m/>
  </r>
  <r>
    <x v="26"/>
    <x v="0"/>
    <s v="MDA"/>
    <s v="US"/>
    <s v="Procurement"/>
    <x v="1"/>
    <x v="12"/>
    <m/>
    <m/>
    <n v="11"/>
    <m/>
    <n v="216.8"/>
    <m/>
    <n v="1"/>
    <n v="216.8"/>
    <m/>
    <m/>
    <m/>
  </r>
  <r>
    <x v="26"/>
    <x v="1"/>
    <s v="MDA"/>
    <s v="US"/>
    <s v="Procurement"/>
    <x v="1"/>
    <x v="12"/>
    <m/>
    <m/>
    <n v="12"/>
    <m/>
    <n v="247"/>
    <m/>
    <n v="1"/>
    <n v="247"/>
    <m/>
    <m/>
    <m/>
  </r>
  <r>
    <x v="26"/>
    <x v="2"/>
    <s v="MDA"/>
    <s v="US"/>
    <s v="Procurement"/>
    <x v="1"/>
    <x v="12"/>
    <m/>
    <m/>
    <n v="12"/>
    <m/>
    <n v="840.1"/>
    <m/>
    <n v="1"/>
    <n v="840.1"/>
    <m/>
    <m/>
    <m/>
  </r>
  <r>
    <x v="27"/>
    <x v="0"/>
    <s v="MDA"/>
    <s v="US"/>
    <s v="RDT&amp;E"/>
    <x v="1"/>
    <x v="17"/>
    <m/>
    <m/>
    <m/>
    <m/>
    <n v="983.5"/>
    <m/>
    <n v="0.55000000000000004"/>
    <n v="540.92500000000007"/>
    <m/>
    <m/>
    <m/>
  </r>
  <r>
    <x v="27"/>
    <x v="0"/>
    <s v="MDA"/>
    <s v="US"/>
    <s v="RDT&amp;E"/>
    <x v="0"/>
    <x v="0"/>
    <m/>
    <m/>
    <m/>
    <m/>
    <n v="983.5"/>
    <m/>
    <n v="0.45"/>
    <n v="442.57499999999999"/>
    <m/>
    <m/>
    <m/>
  </r>
  <r>
    <x v="27"/>
    <x v="1"/>
    <s v="MDA"/>
    <s v="US"/>
    <s v="RDT&amp;E"/>
    <x v="1"/>
    <x v="17"/>
    <m/>
    <m/>
    <m/>
    <m/>
    <n v="984.4"/>
    <m/>
    <n v="0.55000000000000004"/>
    <n v="541.42000000000007"/>
    <m/>
    <m/>
    <m/>
  </r>
  <r>
    <x v="27"/>
    <x v="1"/>
    <s v="MDA"/>
    <s v="US"/>
    <s v="RDT&amp;E"/>
    <x v="0"/>
    <x v="0"/>
    <m/>
    <m/>
    <m/>
    <m/>
    <n v="984.4"/>
    <m/>
    <n v="0.45"/>
    <n v="442.98"/>
    <m/>
    <m/>
    <m/>
  </r>
  <r>
    <x v="27"/>
    <x v="2"/>
    <s v="MDA"/>
    <s v="US"/>
    <s v="RDT&amp;E"/>
    <x v="1"/>
    <x v="17"/>
    <m/>
    <m/>
    <m/>
    <m/>
    <n v="1339.4"/>
    <m/>
    <n v="0.55000000000000004"/>
    <n v="736.67000000000007"/>
    <m/>
    <m/>
    <m/>
  </r>
  <r>
    <x v="27"/>
    <x v="2"/>
    <s v="MDA"/>
    <s v="US"/>
    <s v="RDT&amp;E"/>
    <x v="0"/>
    <x v="0"/>
    <m/>
    <m/>
    <m/>
    <m/>
    <n v="1339.4"/>
    <m/>
    <n v="0.45"/>
    <n v="602.73"/>
    <m/>
    <m/>
    <m/>
  </r>
  <r>
    <x v="27"/>
    <x v="0"/>
    <s v="MDA"/>
    <s v="US"/>
    <s v="Procurement"/>
    <x v="1"/>
    <x v="17"/>
    <m/>
    <m/>
    <n v="48"/>
    <m/>
    <n v="1072.6000000000001"/>
    <m/>
    <n v="0.55000000000000004"/>
    <n v="589.93000000000018"/>
    <m/>
    <m/>
    <m/>
  </r>
  <r>
    <x v="27"/>
    <x v="0"/>
    <s v="MDA"/>
    <s v="US"/>
    <s v="Procurement"/>
    <x v="0"/>
    <x v="0"/>
    <m/>
    <m/>
    <n v="48"/>
    <m/>
    <n v="1072.6000000000001"/>
    <m/>
    <n v="0.45"/>
    <n v="482.67000000000007"/>
    <m/>
    <m/>
    <m/>
  </r>
  <r>
    <x v="27"/>
    <x v="1"/>
    <s v="MDA"/>
    <s v="US"/>
    <s v="Procurement"/>
    <x v="1"/>
    <x v="17"/>
    <m/>
    <m/>
    <n v="18"/>
    <m/>
    <n v="633.4"/>
    <m/>
    <n v="0.55000000000000004"/>
    <n v="348.37"/>
    <m/>
    <m/>
    <m/>
  </r>
  <r>
    <x v="27"/>
    <x v="1"/>
    <s v="MDA"/>
    <s v="US"/>
    <s v="Procurement"/>
    <x v="0"/>
    <x v="0"/>
    <m/>
    <m/>
    <n v="18"/>
    <m/>
    <n v="633.4"/>
    <m/>
    <n v="0.45"/>
    <n v="285.02999999999997"/>
    <m/>
    <m/>
    <m/>
  </r>
  <r>
    <x v="27"/>
    <x v="2"/>
    <s v="MDA"/>
    <s v="US"/>
    <s v="Procurement"/>
    <x v="1"/>
    <x v="17"/>
    <m/>
    <m/>
    <n v="12"/>
    <m/>
    <n v="462"/>
    <m/>
    <n v="0.55000000000000004"/>
    <n v="254.10000000000002"/>
    <m/>
    <m/>
    <m/>
  </r>
  <r>
    <x v="27"/>
    <x v="2"/>
    <s v="MDA"/>
    <s v="US"/>
    <s v="Procurement"/>
    <x v="0"/>
    <x v="0"/>
    <m/>
    <m/>
    <n v="12"/>
    <m/>
    <n v="462"/>
    <m/>
    <n v="0.45"/>
    <n v="207.9"/>
    <m/>
    <m/>
    <m/>
  </r>
  <r>
    <x v="28"/>
    <x v="0"/>
    <s v="US Army"/>
    <s v="US"/>
    <s v="Procurement"/>
    <x v="1"/>
    <x v="12"/>
    <m/>
    <m/>
    <n v="230"/>
    <m/>
    <n v="2814.9"/>
    <m/>
    <n v="1"/>
    <n v="2814.9"/>
    <m/>
    <m/>
    <s v="PAC-3"/>
  </r>
  <r>
    <x v="28"/>
    <x v="1"/>
    <s v="US Army"/>
    <s v="US"/>
    <s v="Procurement"/>
    <x v="1"/>
    <x v="12"/>
    <m/>
    <m/>
    <n v="214"/>
    <m/>
    <n v="905.1"/>
    <m/>
    <n v="1"/>
    <n v="905.1"/>
    <m/>
    <m/>
    <m/>
  </r>
  <r>
    <x v="28"/>
    <x v="2"/>
    <s v="US Army"/>
    <s v="US"/>
    <s v="Procurement"/>
    <x v="1"/>
    <x v="12"/>
    <m/>
    <m/>
    <n v="245"/>
    <m/>
    <n v="1358.9"/>
    <m/>
    <n v="1"/>
    <n v="1358.9"/>
    <m/>
    <m/>
    <m/>
  </r>
  <r>
    <x v="29"/>
    <x v="0"/>
    <s v="US Army"/>
    <s v="US"/>
    <s v="RDT&amp;E"/>
    <x v="15"/>
    <x v="18"/>
    <m/>
    <m/>
    <m/>
    <m/>
    <n v="172.7"/>
    <m/>
    <n v="0.25"/>
    <n v="43.174999999999997"/>
    <m/>
    <m/>
    <m/>
  </r>
  <r>
    <x v="29"/>
    <x v="0"/>
    <s v="US Army"/>
    <s v="US"/>
    <s v="RDT&amp;E"/>
    <x v="0"/>
    <x v="0"/>
    <m/>
    <m/>
    <m/>
    <m/>
    <n v="172.7"/>
    <m/>
    <n v="0.25"/>
    <n v="43.174999999999997"/>
    <m/>
    <m/>
    <m/>
  </r>
  <r>
    <x v="29"/>
    <x v="0"/>
    <s v="US Army"/>
    <s v="US"/>
    <s v="RDT&amp;E"/>
    <x v="1"/>
    <x v="12"/>
    <m/>
    <m/>
    <m/>
    <m/>
    <n v="172.7"/>
    <m/>
    <n v="0.2"/>
    <n v="34.54"/>
    <m/>
    <m/>
    <m/>
  </r>
  <r>
    <x v="29"/>
    <x v="0"/>
    <s v="US Army"/>
    <s v="US"/>
    <s v="RDT&amp;E"/>
    <x v="10"/>
    <x v="10"/>
    <m/>
    <m/>
    <m/>
    <m/>
    <n v="172.7"/>
    <m/>
    <n v="0.15"/>
    <n v="25.904999999999998"/>
    <m/>
    <m/>
    <m/>
  </r>
  <r>
    <x v="29"/>
    <x v="0"/>
    <s v="US Army"/>
    <s v="US"/>
    <s v="RDT&amp;E"/>
    <x v="9"/>
    <x v="10"/>
    <m/>
    <m/>
    <m/>
    <m/>
    <n v="172.7"/>
    <m/>
    <n v="0.15"/>
    <n v="25.904999999999998"/>
    <m/>
    <m/>
    <m/>
  </r>
  <r>
    <x v="29"/>
    <x v="1"/>
    <s v="US Army"/>
    <s v="US"/>
    <s v="RDT&amp;E"/>
    <x v="15"/>
    <x v="18"/>
    <m/>
    <m/>
    <m/>
    <m/>
    <n v="140.9"/>
    <m/>
    <n v="0.25"/>
    <n v="35.225000000000001"/>
    <m/>
    <m/>
    <m/>
  </r>
  <r>
    <x v="29"/>
    <x v="1"/>
    <s v="US Army"/>
    <s v="US"/>
    <s v="RDT&amp;E"/>
    <x v="0"/>
    <x v="0"/>
    <m/>
    <m/>
    <m/>
    <m/>
    <n v="140.9"/>
    <m/>
    <n v="0.25"/>
    <n v="35.225000000000001"/>
    <m/>
    <m/>
    <m/>
  </r>
  <r>
    <x v="29"/>
    <x v="1"/>
    <s v="US Army"/>
    <s v="US"/>
    <s v="RDT&amp;E"/>
    <x v="1"/>
    <x v="12"/>
    <m/>
    <m/>
    <m/>
    <m/>
    <n v="140.9"/>
    <m/>
    <n v="0.2"/>
    <n v="28.180000000000003"/>
    <m/>
    <m/>
    <m/>
  </r>
  <r>
    <x v="29"/>
    <x v="1"/>
    <s v="US Army"/>
    <s v="US"/>
    <s v="RDT&amp;E"/>
    <x v="10"/>
    <x v="10"/>
    <m/>
    <m/>
    <m/>
    <m/>
    <n v="140.9"/>
    <m/>
    <n v="0.15"/>
    <n v="21.135000000000002"/>
    <m/>
    <m/>
    <m/>
  </r>
  <r>
    <x v="29"/>
    <x v="1"/>
    <s v="US Army"/>
    <s v="US"/>
    <s v="RDT&amp;E"/>
    <x v="9"/>
    <x v="10"/>
    <m/>
    <m/>
    <m/>
    <m/>
    <n v="140.9"/>
    <m/>
    <n v="0.15"/>
    <n v="21.135000000000002"/>
    <m/>
    <m/>
    <m/>
  </r>
  <r>
    <x v="29"/>
    <x v="2"/>
    <s v="US Army"/>
    <s v="US"/>
    <s v="RDT&amp;E"/>
    <x v="15"/>
    <x v="18"/>
    <m/>
    <m/>
    <m/>
    <m/>
    <n v="248.7"/>
    <m/>
    <n v="0.25"/>
    <n v="62.174999999999997"/>
    <m/>
    <m/>
    <m/>
  </r>
  <r>
    <x v="29"/>
    <x v="2"/>
    <s v="US Army"/>
    <s v="US"/>
    <s v="RDT&amp;E"/>
    <x v="0"/>
    <x v="0"/>
    <m/>
    <m/>
    <m/>
    <m/>
    <n v="248.7"/>
    <m/>
    <n v="0.25"/>
    <n v="62.174999999999997"/>
    <m/>
    <m/>
    <m/>
  </r>
  <r>
    <x v="29"/>
    <x v="2"/>
    <s v="US Army"/>
    <s v="US"/>
    <s v="RDT&amp;E"/>
    <x v="1"/>
    <x v="12"/>
    <m/>
    <m/>
    <m/>
    <m/>
    <n v="248.7"/>
    <m/>
    <n v="0.2"/>
    <n v="49.74"/>
    <m/>
    <m/>
    <m/>
  </r>
  <r>
    <x v="29"/>
    <x v="2"/>
    <s v="US Army"/>
    <s v="US"/>
    <s v="RDT&amp;E"/>
    <x v="10"/>
    <x v="10"/>
    <m/>
    <m/>
    <m/>
    <m/>
    <n v="248.7"/>
    <m/>
    <n v="0.15"/>
    <n v="37.305"/>
    <m/>
    <m/>
    <m/>
  </r>
  <r>
    <x v="29"/>
    <x v="2"/>
    <s v="US Army"/>
    <s v="US"/>
    <s v="RDT&amp;E"/>
    <x v="9"/>
    <x v="10"/>
    <m/>
    <m/>
    <m/>
    <m/>
    <n v="248.7"/>
    <m/>
    <n v="0.15"/>
    <n v="37.305"/>
    <m/>
    <m/>
    <m/>
  </r>
  <r>
    <x v="29"/>
    <x v="0"/>
    <s v="US Army"/>
    <s v="US"/>
    <s v="Procurement"/>
    <x v="15"/>
    <x v="18"/>
    <m/>
    <m/>
    <m/>
    <m/>
    <n v="256.8"/>
    <m/>
    <n v="0.25"/>
    <n v="64.2"/>
    <m/>
    <m/>
    <m/>
  </r>
  <r>
    <x v="29"/>
    <x v="0"/>
    <s v="US Army"/>
    <s v="US"/>
    <s v="Procurement"/>
    <x v="0"/>
    <x v="0"/>
    <m/>
    <m/>
    <m/>
    <m/>
    <n v="256.8"/>
    <m/>
    <n v="0.25"/>
    <n v="64.2"/>
    <m/>
    <m/>
    <m/>
  </r>
  <r>
    <x v="29"/>
    <x v="0"/>
    <s v="US Army"/>
    <s v="US"/>
    <s v="Procurement"/>
    <x v="1"/>
    <x v="12"/>
    <m/>
    <m/>
    <m/>
    <m/>
    <n v="256.8"/>
    <m/>
    <n v="0.2"/>
    <n v="51.360000000000007"/>
    <m/>
    <m/>
    <m/>
  </r>
  <r>
    <x v="29"/>
    <x v="0"/>
    <s v="US Army"/>
    <s v="US"/>
    <s v="Procurement"/>
    <x v="10"/>
    <x v="10"/>
    <m/>
    <m/>
    <m/>
    <m/>
    <n v="256.8"/>
    <m/>
    <n v="0.15"/>
    <n v="38.520000000000003"/>
    <m/>
    <m/>
    <m/>
  </r>
  <r>
    <x v="29"/>
    <x v="0"/>
    <s v="US Army"/>
    <s v="US"/>
    <s v="Procurement"/>
    <x v="9"/>
    <x v="10"/>
    <m/>
    <m/>
    <m/>
    <m/>
    <n v="256.8"/>
    <m/>
    <n v="0.15"/>
    <n v="38.520000000000003"/>
    <m/>
    <m/>
    <m/>
  </r>
  <r>
    <x v="29"/>
    <x v="1"/>
    <s v="US Army"/>
    <s v="US"/>
    <s v="Procurement"/>
    <x v="15"/>
    <x v="18"/>
    <m/>
    <m/>
    <m/>
    <m/>
    <n v="552.4"/>
    <m/>
    <n v="0.25"/>
    <n v="138.1"/>
    <m/>
    <m/>
    <m/>
  </r>
  <r>
    <x v="29"/>
    <x v="1"/>
    <s v="US Army"/>
    <s v="US"/>
    <s v="Procurement"/>
    <x v="0"/>
    <x v="0"/>
    <m/>
    <m/>
    <m/>
    <m/>
    <n v="552.4"/>
    <m/>
    <n v="0.25"/>
    <n v="138.1"/>
    <m/>
    <m/>
    <m/>
  </r>
  <r>
    <x v="29"/>
    <x v="1"/>
    <s v="US Army"/>
    <s v="US"/>
    <s v="Procurement"/>
    <x v="1"/>
    <x v="12"/>
    <m/>
    <m/>
    <m/>
    <m/>
    <n v="552.4"/>
    <m/>
    <n v="0.2"/>
    <n v="110.48"/>
    <m/>
    <m/>
    <m/>
  </r>
  <r>
    <x v="29"/>
    <x v="1"/>
    <s v="US Army"/>
    <s v="US"/>
    <s v="Procurement"/>
    <x v="10"/>
    <x v="10"/>
    <m/>
    <m/>
    <m/>
    <m/>
    <n v="552.4"/>
    <m/>
    <n v="0.15"/>
    <n v="82.86"/>
    <m/>
    <m/>
    <m/>
  </r>
  <r>
    <x v="29"/>
    <x v="1"/>
    <s v="US Army"/>
    <s v="US"/>
    <s v="Procurement"/>
    <x v="9"/>
    <x v="10"/>
    <m/>
    <m/>
    <m/>
    <m/>
    <n v="552.4"/>
    <m/>
    <n v="0.15"/>
    <n v="82.86"/>
    <m/>
    <m/>
    <m/>
  </r>
  <r>
    <x v="29"/>
    <x v="2"/>
    <s v="US Army"/>
    <s v="US"/>
    <s v="Procurement"/>
    <x v="15"/>
    <x v="18"/>
    <m/>
    <m/>
    <m/>
    <m/>
    <n v="1018.6"/>
    <m/>
    <n v="0.25"/>
    <n v="254.65"/>
    <m/>
    <m/>
    <m/>
  </r>
  <r>
    <x v="29"/>
    <x v="2"/>
    <s v="US Army"/>
    <s v="US"/>
    <s v="Procurement"/>
    <x v="0"/>
    <x v="0"/>
    <m/>
    <m/>
    <m/>
    <m/>
    <n v="1018.6"/>
    <m/>
    <n v="0.25"/>
    <n v="254.65"/>
    <m/>
    <m/>
    <m/>
  </r>
  <r>
    <x v="29"/>
    <x v="2"/>
    <s v="US Army"/>
    <s v="US"/>
    <s v="Procurement"/>
    <x v="1"/>
    <x v="12"/>
    <m/>
    <m/>
    <m/>
    <m/>
    <n v="1018.6"/>
    <m/>
    <n v="0.2"/>
    <n v="203.72000000000003"/>
    <m/>
    <m/>
    <m/>
  </r>
  <r>
    <x v="29"/>
    <x v="2"/>
    <s v="US Army"/>
    <s v="US"/>
    <s v="Procurement"/>
    <x v="10"/>
    <x v="10"/>
    <m/>
    <m/>
    <m/>
    <m/>
    <n v="1018.6"/>
    <m/>
    <n v="0.15"/>
    <n v="152.79"/>
    <m/>
    <m/>
    <m/>
  </r>
  <r>
    <x v="29"/>
    <x v="2"/>
    <s v="US Army"/>
    <s v="US"/>
    <s v="Procurement"/>
    <x v="9"/>
    <x v="10"/>
    <m/>
    <m/>
    <m/>
    <m/>
    <n v="1018.6"/>
    <m/>
    <n v="0.15"/>
    <n v="152.79"/>
    <m/>
    <m/>
    <m/>
  </r>
  <r>
    <x v="30"/>
    <x v="0"/>
    <s v="USAF"/>
    <s v="US"/>
    <s v="RDT&amp;E"/>
    <x v="1"/>
    <x v="12"/>
    <m/>
    <m/>
    <m/>
    <m/>
    <n v="129.30000000000001"/>
    <m/>
    <n v="1"/>
    <n v="129.30000000000001"/>
    <m/>
    <m/>
    <m/>
  </r>
  <r>
    <x v="30"/>
    <x v="1"/>
    <s v="USAF"/>
    <s v="US"/>
    <s v="RDT&amp;E"/>
    <x v="1"/>
    <x v="12"/>
    <m/>
    <m/>
    <m/>
    <m/>
    <n v="181.7"/>
    <m/>
    <n v="1"/>
    <n v="181.7"/>
    <m/>
    <m/>
    <m/>
  </r>
  <r>
    <x v="30"/>
    <x v="2"/>
    <s v="USAF"/>
    <s v="US"/>
    <s v="RDT&amp;E"/>
    <x v="1"/>
    <x v="12"/>
    <m/>
    <m/>
    <m/>
    <m/>
    <n v="232.3"/>
    <m/>
    <n v="1"/>
    <n v="232.3"/>
    <m/>
    <m/>
    <m/>
  </r>
  <r>
    <x v="30"/>
    <x v="0"/>
    <s v="USAF"/>
    <s v="US"/>
    <s v="Procurement"/>
    <x v="1"/>
    <x v="12"/>
    <m/>
    <m/>
    <n v="1140"/>
    <m/>
    <n v="2730.3"/>
    <m/>
    <n v="1"/>
    <n v="2730.3"/>
    <m/>
    <m/>
    <m/>
  </r>
  <r>
    <x v="30"/>
    <x v="1"/>
    <s v="USAF"/>
    <s v="US"/>
    <s v="Procurement"/>
    <x v="1"/>
    <x v="12"/>
    <m/>
    <m/>
    <n v="450"/>
    <m/>
    <n v="821.1"/>
    <m/>
    <n v="1"/>
    <n v="821.1"/>
    <m/>
    <m/>
    <m/>
  </r>
  <r>
    <x v="30"/>
    <x v="2"/>
    <s v="USAF"/>
    <s v="US"/>
    <s v="Procurement"/>
    <x v="1"/>
    <x v="12"/>
    <m/>
    <m/>
    <n v="389"/>
    <m/>
    <n v="819.1"/>
    <m/>
    <n v="1"/>
    <n v="819.1"/>
    <m/>
    <m/>
    <m/>
  </r>
  <r>
    <x v="31"/>
    <x v="0"/>
    <s v="Joint Service"/>
    <s v="US"/>
    <s v="RDT&amp;E"/>
    <x v="1"/>
    <x v="12"/>
    <m/>
    <m/>
    <m/>
    <m/>
    <n v="253.1"/>
    <m/>
    <n v="1"/>
    <n v="253.1"/>
    <m/>
    <m/>
    <m/>
  </r>
  <r>
    <x v="31"/>
    <x v="1"/>
    <s v="Joint Service"/>
    <s v="US"/>
    <s v="RDT&amp;E"/>
    <x v="1"/>
    <x v="12"/>
    <m/>
    <m/>
    <m/>
    <m/>
    <n v="286.39999999999998"/>
    <m/>
    <n v="1"/>
    <n v="286.39999999999998"/>
    <m/>
    <m/>
    <m/>
  </r>
  <r>
    <x v="31"/>
    <x v="2"/>
    <s v="Joint Service"/>
    <s v="US"/>
    <s v="RDT&amp;E"/>
    <x v="1"/>
    <x v="12"/>
    <m/>
    <m/>
    <m/>
    <m/>
    <n v="225.8"/>
    <m/>
    <n v="1"/>
    <n v="225.8"/>
    <m/>
    <m/>
    <m/>
  </r>
  <r>
    <x v="31"/>
    <x v="0"/>
    <s v="USN"/>
    <s v="US"/>
    <s v="Procurement"/>
    <x v="1"/>
    <x v="12"/>
    <m/>
    <m/>
    <n v="91"/>
    <m/>
    <n v="599.6"/>
    <m/>
    <n v="1"/>
    <n v="599.6"/>
    <m/>
    <m/>
    <m/>
  </r>
  <r>
    <x v="31"/>
    <x v="1"/>
    <s v="USN"/>
    <s v="US"/>
    <s v="Procurement"/>
    <x v="1"/>
    <x v="12"/>
    <m/>
    <m/>
    <n v="90"/>
    <m/>
    <n v="326.39999999999998"/>
    <m/>
    <n v="1"/>
    <n v="326.39999999999998"/>
    <m/>
    <m/>
    <m/>
  </r>
  <r>
    <x v="31"/>
    <x v="2"/>
    <s v="USN"/>
    <s v="US"/>
    <s v="Procurement"/>
    <x v="1"/>
    <x v="12"/>
    <m/>
    <m/>
    <n v="120"/>
    <m/>
    <n v="535.5"/>
    <m/>
    <n v="1"/>
    <n v="535.5"/>
    <m/>
    <m/>
    <m/>
  </r>
  <r>
    <x v="31"/>
    <x v="0"/>
    <s v="USAF"/>
    <s v="US"/>
    <s v="Procurement"/>
    <x v="1"/>
    <x v="12"/>
    <m/>
    <m/>
    <n v="118"/>
    <m/>
    <n v="514.9"/>
    <m/>
    <n v="1"/>
    <n v="514.9"/>
    <m/>
    <m/>
    <m/>
  </r>
  <r>
    <x v="31"/>
    <x v="1"/>
    <s v="USAF"/>
    <s v="US"/>
    <s v="Procurement"/>
    <x v="1"/>
    <x v="12"/>
    <m/>
    <m/>
    <n v="115"/>
    <m/>
    <n v="354.1"/>
    <m/>
    <n v="1"/>
    <n v="354.1"/>
    <m/>
    <m/>
    <m/>
  </r>
  <r>
    <x v="31"/>
    <x v="2"/>
    <s v="USAF"/>
    <s v="US"/>
    <s v="Procurement"/>
    <x v="1"/>
    <x v="12"/>
    <m/>
    <m/>
    <n v="118"/>
    <m/>
    <n v="406.6"/>
    <m/>
    <n v="1"/>
    <n v="406.6"/>
    <m/>
    <m/>
    <m/>
  </r>
  <r>
    <x v="32"/>
    <x v="0"/>
    <s v="US Army"/>
    <s v="US"/>
    <s v="Procurement"/>
    <x v="12"/>
    <x v="19"/>
    <m/>
    <m/>
    <m/>
    <m/>
    <n v="10653.5"/>
    <m/>
    <n v="0.35"/>
    <n v="3728.7249999999999"/>
    <m/>
    <m/>
    <s v="FY 2026 includes XM1128/XM1113/C-DAEM rounds; produced primarily at GD-OTS and BAE-operated GOCO facilities under the Joint DoD Ammunition Program"/>
  </r>
  <r>
    <x v="32"/>
    <x v="0"/>
    <s v="US Army"/>
    <s v="US"/>
    <s v="Procurement"/>
    <x v="13"/>
    <x v="16"/>
    <m/>
    <m/>
    <m/>
    <m/>
    <n v="10653.5"/>
    <m/>
    <n v="0.3"/>
    <n v="3196.0499999999997"/>
    <m/>
    <m/>
    <m/>
  </r>
  <r>
    <x v="32"/>
    <x v="0"/>
    <s v="US Army"/>
    <s v="US"/>
    <s v="Procurement"/>
    <x v="0"/>
    <x v="0"/>
    <m/>
    <m/>
    <m/>
    <m/>
    <n v="10653.5"/>
    <m/>
    <n v="0.15"/>
    <n v="1598.0249999999999"/>
    <m/>
    <m/>
    <m/>
  </r>
  <r>
    <x v="32"/>
    <x v="0"/>
    <s v="US Army"/>
    <s v="US"/>
    <s v="Procurement"/>
    <x v="16"/>
    <x v="20"/>
    <m/>
    <m/>
    <m/>
    <m/>
    <n v="10653.5"/>
    <m/>
    <n v="0.1"/>
    <n v="1065.3500000000001"/>
    <m/>
    <m/>
    <m/>
  </r>
  <r>
    <x v="32"/>
    <x v="0"/>
    <s v="US Army"/>
    <s v="US"/>
    <s v="Procurement"/>
    <x v="17"/>
    <x v="10"/>
    <m/>
    <m/>
    <m/>
    <m/>
    <n v="10653.5"/>
    <m/>
    <n v="0.1"/>
    <n v="1065.3500000000001"/>
    <m/>
    <m/>
    <m/>
  </r>
  <r>
    <x v="32"/>
    <x v="1"/>
    <s v="US Army"/>
    <s v="US"/>
    <s v="Procurement"/>
    <x v="12"/>
    <x v="19"/>
    <m/>
    <m/>
    <m/>
    <m/>
    <n v="3535.5"/>
    <m/>
    <n v="0.35"/>
    <n v="1237.425"/>
    <m/>
    <m/>
    <m/>
  </r>
  <r>
    <x v="32"/>
    <x v="1"/>
    <s v="US Army"/>
    <s v="US"/>
    <s v="Procurement"/>
    <x v="13"/>
    <x v="16"/>
    <m/>
    <m/>
    <m/>
    <m/>
    <n v="3535.5"/>
    <m/>
    <n v="0.3"/>
    <n v="1060.6499999999999"/>
    <m/>
    <m/>
    <m/>
  </r>
  <r>
    <x v="32"/>
    <x v="1"/>
    <s v="US Army"/>
    <s v="US"/>
    <s v="Procurement"/>
    <x v="0"/>
    <x v="0"/>
    <m/>
    <m/>
    <m/>
    <m/>
    <n v="3535.5"/>
    <m/>
    <n v="0.15"/>
    <n v="530.32499999999993"/>
    <m/>
    <m/>
    <m/>
  </r>
  <r>
    <x v="32"/>
    <x v="1"/>
    <s v="US Army"/>
    <s v="US"/>
    <s v="Procurement"/>
    <x v="16"/>
    <x v="20"/>
    <m/>
    <m/>
    <m/>
    <m/>
    <n v="3535.5"/>
    <m/>
    <n v="0.1"/>
    <n v="353.55"/>
    <m/>
    <m/>
    <m/>
  </r>
  <r>
    <x v="32"/>
    <x v="1"/>
    <s v="US Army"/>
    <s v="US"/>
    <s v="Procurement"/>
    <x v="17"/>
    <x v="10"/>
    <m/>
    <m/>
    <m/>
    <m/>
    <n v="3535.5"/>
    <m/>
    <n v="0.1"/>
    <n v="353.55"/>
    <m/>
    <m/>
    <m/>
  </r>
  <r>
    <x v="32"/>
    <x v="2"/>
    <s v="US Army"/>
    <s v="US"/>
    <s v="Procurement"/>
    <x v="12"/>
    <x v="19"/>
    <m/>
    <m/>
    <m/>
    <m/>
    <n v="4201.1000000000004"/>
    <m/>
    <n v="0.35"/>
    <n v="1470.385"/>
    <m/>
    <m/>
    <m/>
  </r>
  <r>
    <x v="32"/>
    <x v="2"/>
    <s v="US Army"/>
    <s v="US"/>
    <s v="Procurement"/>
    <x v="13"/>
    <x v="16"/>
    <m/>
    <m/>
    <m/>
    <m/>
    <n v="4201.1000000000004"/>
    <m/>
    <n v="0.3"/>
    <n v="1260.3300000000002"/>
    <m/>
    <m/>
    <m/>
  </r>
  <r>
    <x v="32"/>
    <x v="2"/>
    <s v="US Army"/>
    <s v="US"/>
    <s v="Procurement"/>
    <x v="0"/>
    <x v="0"/>
    <m/>
    <m/>
    <m/>
    <m/>
    <n v="4201.1000000000004"/>
    <m/>
    <n v="0.15"/>
    <n v="630.16500000000008"/>
    <m/>
    <m/>
    <m/>
  </r>
  <r>
    <x v="32"/>
    <x v="2"/>
    <s v="US Army"/>
    <s v="US"/>
    <s v="Procurement"/>
    <x v="16"/>
    <x v="20"/>
    <m/>
    <m/>
    <m/>
    <m/>
    <n v="4201.1000000000004"/>
    <m/>
    <n v="0.1"/>
    <n v="420.11000000000007"/>
    <m/>
    <m/>
    <m/>
  </r>
  <r>
    <x v="32"/>
    <x v="2"/>
    <s v="US Army"/>
    <s v="US"/>
    <s v="Procurement"/>
    <x v="17"/>
    <x v="10"/>
    <m/>
    <m/>
    <m/>
    <m/>
    <n v="4201.1000000000004"/>
    <m/>
    <n v="0.1"/>
    <n v="420.11000000000007"/>
    <m/>
    <m/>
    <m/>
  </r>
  <r>
    <x v="32"/>
    <x v="0"/>
    <s v="USN"/>
    <s v="US"/>
    <s v="Procurement"/>
    <x v="12"/>
    <x v="19"/>
    <m/>
    <m/>
    <m/>
    <m/>
    <n v="2170.9"/>
    <m/>
    <n v="0.35"/>
    <n v="759.81499999999994"/>
    <m/>
    <m/>
    <m/>
  </r>
  <r>
    <x v="32"/>
    <x v="0"/>
    <s v="USN"/>
    <s v="US"/>
    <s v="Procurement"/>
    <x v="13"/>
    <x v="16"/>
    <m/>
    <m/>
    <m/>
    <m/>
    <n v="2170.9"/>
    <m/>
    <n v="0.3"/>
    <n v="651.27"/>
    <m/>
    <m/>
    <m/>
  </r>
  <r>
    <x v="32"/>
    <x v="0"/>
    <s v="USN"/>
    <s v="US"/>
    <s v="Procurement"/>
    <x v="0"/>
    <x v="0"/>
    <m/>
    <m/>
    <m/>
    <m/>
    <n v="2170.9"/>
    <m/>
    <n v="0.15"/>
    <n v="325.63499999999999"/>
    <m/>
    <m/>
    <m/>
  </r>
  <r>
    <x v="32"/>
    <x v="0"/>
    <s v="USN"/>
    <s v="US"/>
    <s v="Procurement"/>
    <x v="16"/>
    <x v="20"/>
    <m/>
    <m/>
    <m/>
    <m/>
    <n v="2170.9"/>
    <m/>
    <n v="0.1"/>
    <n v="217.09000000000003"/>
    <m/>
    <m/>
    <m/>
  </r>
  <r>
    <x v="32"/>
    <x v="0"/>
    <s v="USN"/>
    <s v="US"/>
    <s v="Procurement"/>
    <x v="17"/>
    <x v="10"/>
    <m/>
    <m/>
    <m/>
    <m/>
    <n v="2170.9"/>
    <m/>
    <n v="0.1"/>
    <n v="217.09000000000003"/>
    <m/>
    <m/>
    <m/>
  </r>
  <r>
    <x v="32"/>
    <x v="1"/>
    <s v="USN"/>
    <s v="US"/>
    <s v="Procurement"/>
    <x v="12"/>
    <x v="19"/>
    <m/>
    <m/>
    <m/>
    <m/>
    <n v="1753.9"/>
    <m/>
    <n v="0.35"/>
    <n v="613.86500000000001"/>
    <m/>
    <m/>
    <m/>
  </r>
  <r>
    <x v="32"/>
    <x v="1"/>
    <s v="USN"/>
    <s v="US"/>
    <s v="Procurement"/>
    <x v="13"/>
    <x v="16"/>
    <m/>
    <m/>
    <m/>
    <m/>
    <n v="1753.9"/>
    <m/>
    <n v="0.3"/>
    <n v="526.16999999999996"/>
    <m/>
    <m/>
    <m/>
  </r>
  <r>
    <x v="32"/>
    <x v="1"/>
    <s v="USN"/>
    <s v="US"/>
    <s v="Procurement"/>
    <x v="0"/>
    <x v="0"/>
    <m/>
    <m/>
    <m/>
    <m/>
    <n v="1753.9"/>
    <m/>
    <n v="0.15"/>
    <n v="263.08499999999998"/>
    <m/>
    <m/>
    <m/>
  </r>
  <r>
    <x v="32"/>
    <x v="1"/>
    <s v="USN"/>
    <s v="US"/>
    <s v="Procurement"/>
    <x v="16"/>
    <x v="20"/>
    <m/>
    <m/>
    <m/>
    <m/>
    <n v="1753.9"/>
    <m/>
    <n v="0.1"/>
    <n v="175.39000000000001"/>
    <m/>
    <m/>
    <m/>
  </r>
  <r>
    <x v="32"/>
    <x v="1"/>
    <s v="USN"/>
    <s v="US"/>
    <s v="Procurement"/>
    <x v="17"/>
    <x v="10"/>
    <m/>
    <m/>
    <m/>
    <m/>
    <n v="1753.9"/>
    <m/>
    <n v="0.1"/>
    <n v="175.39000000000001"/>
    <m/>
    <m/>
    <m/>
  </r>
  <r>
    <x v="32"/>
    <x v="2"/>
    <s v="USN"/>
    <s v="US"/>
    <s v="Procurement"/>
    <x v="12"/>
    <x v="19"/>
    <m/>
    <m/>
    <m/>
    <m/>
    <n v="1359.3"/>
    <m/>
    <n v="0.35"/>
    <n v="475.75499999999994"/>
    <m/>
    <m/>
    <m/>
  </r>
  <r>
    <x v="32"/>
    <x v="2"/>
    <s v="USN"/>
    <s v="US"/>
    <s v="Procurement"/>
    <x v="13"/>
    <x v="16"/>
    <m/>
    <m/>
    <m/>
    <m/>
    <n v="1359.3"/>
    <m/>
    <n v="0.3"/>
    <n v="407.78999999999996"/>
    <m/>
    <m/>
    <m/>
  </r>
  <r>
    <x v="32"/>
    <x v="2"/>
    <s v="USN"/>
    <s v="US"/>
    <s v="Procurement"/>
    <x v="0"/>
    <x v="0"/>
    <m/>
    <m/>
    <m/>
    <m/>
    <n v="1359.3"/>
    <m/>
    <n v="0.15"/>
    <n v="203.89499999999998"/>
    <m/>
    <m/>
    <m/>
  </r>
  <r>
    <x v="32"/>
    <x v="2"/>
    <s v="USN"/>
    <s v="US"/>
    <s v="Procurement"/>
    <x v="16"/>
    <x v="20"/>
    <m/>
    <m/>
    <m/>
    <m/>
    <n v="1359.3"/>
    <m/>
    <n v="0.1"/>
    <n v="135.93"/>
    <m/>
    <m/>
    <m/>
  </r>
  <r>
    <x v="32"/>
    <x v="2"/>
    <s v="USN"/>
    <s v="US"/>
    <s v="Procurement"/>
    <x v="17"/>
    <x v="10"/>
    <m/>
    <m/>
    <m/>
    <m/>
    <n v="1359.3"/>
    <m/>
    <n v="0.1"/>
    <n v="135.93"/>
    <m/>
    <m/>
    <m/>
  </r>
  <r>
    <x v="32"/>
    <x v="0"/>
    <s v="USAF"/>
    <s v="US"/>
    <s v="Procurement"/>
    <x v="12"/>
    <x v="19"/>
    <m/>
    <m/>
    <m/>
    <m/>
    <n v="490.7"/>
    <m/>
    <n v="0.35"/>
    <n v="171.74499999999998"/>
    <m/>
    <m/>
    <m/>
  </r>
  <r>
    <x v="32"/>
    <x v="0"/>
    <s v="USAF"/>
    <s v="US"/>
    <s v="Procurement"/>
    <x v="13"/>
    <x v="16"/>
    <m/>
    <m/>
    <m/>
    <m/>
    <n v="490.7"/>
    <m/>
    <n v="0.3"/>
    <n v="147.20999999999998"/>
    <m/>
    <m/>
    <m/>
  </r>
  <r>
    <x v="32"/>
    <x v="0"/>
    <s v="USAF"/>
    <s v="US"/>
    <s v="Procurement"/>
    <x v="0"/>
    <x v="0"/>
    <m/>
    <m/>
    <m/>
    <m/>
    <n v="490.7"/>
    <m/>
    <n v="0.15"/>
    <n v="73.60499999999999"/>
    <m/>
    <m/>
    <m/>
  </r>
  <r>
    <x v="32"/>
    <x v="0"/>
    <s v="USAF"/>
    <s v="US"/>
    <s v="Procurement"/>
    <x v="16"/>
    <x v="20"/>
    <m/>
    <m/>
    <m/>
    <m/>
    <n v="490.7"/>
    <m/>
    <n v="0.1"/>
    <n v="49.07"/>
    <m/>
    <m/>
    <m/>
  </r>
  <r>
    <x v="32"/>
    <x v="0"/>
    <s v="USAF"/>
    <s v="US"/>
    <s v="Procurement"/>
    <x v="17"/>
    <x v="10"/>
    <m/>
    <m/>
    <m/>
    <m/>
    <n v="490.7"/>
    <m/>
    <n v="0.1"/>
    <n v="49.07"/>
    <m/>
    <m/>
    <m/>
  </r>
  <r>
    <x v="32"/>
    <x v="1"/>
    <s v="USAF"/>
    <s v="US"/>
    <s v="Procurement"/>
    <x v="12"/>
    <x v="19"/>
    <m/>
    <m/>
    <m/>
    <m/>
    <n v="426.4"/>
    <m/>
    <n v="0.35"/>
    <n v="149.23999999999998"/>
    <m/>
    <m/>
    <m/>
  </r>
  <r>
    <x v="32"/>
    <x v="1"/>
    <s v="USAF"/>
    <s v="US"/>
    <s v="Procurement"/>
    <x v="13"/>
    <x v="16"/>
    <m/>
    <m/>
    <m/>
    <m/>
    <n v="426.4"/>
    <m/>
    <n v="0.3"/>
    <n v="127.91999999999999"/>
    <m/>
    <m/>
    <m/>
  </r>
  <r>
    <x v="32"/>
    <x v="1"/>
    <s v="USAF"/>
    <s v="US"/>
    <s v="Procurement"/>
    <x v="0"/>
    <x v="0"/>
    <m/>
    <m/>
    <m/>
    <m/>
    <n v="426.4"/>
    <m/>
    <n v="0.15"/>
    <n v="63.959999999999994"/>
    <m/>
    <m/>
    <m/>
  </r>
  <r>
    <x v="32"/>
    <x v="1"/>
    <s v="USAF"/>
    <s v="US"/>
    <s v="Procurement"/>
    <x v="16"/>
    <x v="20"/>
    <m/>
    <m/>
    <m/>
    <m/>
    <n v="426.4"/>
    <m/>
    <n v="0.1"/>
    <n v="42.64"/>
    <m/>
    <m/>
    <m/>
  </r>
  <r>
    <x v="32"/>
    <x v="1"/>
    <s v="USAF"/>
    <s v="US"/>
    <s v="Procurement"/>
    <x v="17"/>
    <x v="10"/>
    <m/>
    <m/>
    <m/>
    <m/>
    <n v="426.4"/>
    <m/>
    <n v="0.1"/>
    <n v="42.64"/>
    <m/>
    <m/>
    <m/>
  </r>
  <r>
    <x v="32"/>
    <x v="2"/>
    <s v="USAF"/>
    <s v="US"/>
    <s v="Procurement"/>
    <x v="12"/>
    <x v="19"/>
    <m/>
    <m/>
    <m/>
    <m/>
    <n v="653.29999999999995"/>
    <m/>
    <n v="0.35"/>
    <n v="228.65499999999997"/>
    <m/>
    <m/>
    <m/>
  </r>
  <r>
    <x v="32"/>
    <x v="2"/>
    <s v="USAF"/>
    <s v="US"/>
    <s v="Procurement"/>
    <x v="13"/>
    <x v="16"/>
    <m/>
    <m/>
    <m/>
    <m/>
    <n v="653.29999999999995"/>
    <m/>
    <n v="0.3"/>
    <n v="195.98999999999998"/>
    <m/>
    <m/>
    <m/>
  </r>
  <r>
    <x v="32"/>
    <x v="2"/>
    <s v="USAF"/>
    <s v="US"/>
    <s v="Procurement"/>
    <x v="0"/>
    <x v="0"/>
    <m/>
    <m/>
    <m/>
    <m/>
    <n v="653.29999999999995"/>
    <m/>
    <n v="0.15"/>
    <n v="97.99499999999999"/>
    <m/>
    <m/>
    <m/>
  </r>
  <r>
    <x v="32"/>
    <x v="2"/>
    <s v="USAF"/>
    <s v="US"/>
    <s v="Procurement"/>
    <x v="16"/>
    <x v="20"/>
    <m/>
    <m/>
    <m/>
    <m/>
    <n v="653.29999999999995"/>
    <m/>
    <n v="0.1"/>
    <n v="65.33"/>
    <m/>
    <m/>
    <m/>
  </r>
  <r>
    <x v="32"/>
    <x v="2"/>
    <s v="USAF"/>
    <s v="US"/>
    <s v="Procurement"/>
    <x v="17"/>
    <x v="10"/>
    <m/>
    <m/>
    <m/>
    <m/>
    <n v="653.29999999999995"/>
    <m/>
    <n v="0.1"/>
    <n v="65.33"/>
    <m/>
    <m/>
    <m/>
  </r>
  <r>
    <x v="32"/>
    <x v="0"/>
    <s v="SOCOM"/>
    <s v="US"/>
    <s v="Procurement"/>
    <x v="12"/>
    <x v="19"/>
    <m/>
    <m/>
    <m/>
    <m/>
    <n v="147"/>
    <m/>
    <n v="0.35"/>
    <n v="51.449999999999996"/>
    <m/>
    <m/>
    <m/>
  </r>
  <r>
    <x v="32"/>
    <x v="0"/>
    <s v="SOCOM"/>
    <s v="US"/>
    <s v="Procurement"/>
    <x v="13"/>
    <x v="16"/>
    <m/>
    <m/>
    <m/>
    <m/>
    <n v="147"/>
    <m/>
    <n v="0.3"/>
    <n v="44.1"/>
    <m/>
    <m/>
    <m/>
  </r>
  <r>
    <x v="32"/>
    <x v="0"/>
    <s v="SOCOM"/>
    <s v="US"/>
    <s v="Procurement"/>
    <x v="0"/>
    <x v="0"/>
    <m/>
    <m/>
    <m/>
    <m/>
    <n v="147"/>
    <m/>
    <n v="0.15"/>
    <n v="22.05"/>
    <m/>
    <m/>
    <m/>
  </r>
  <r>
    <x v="32"/>
    <x v="0"/>
    <s v="SOCOM"/>
    <s v="US"/>
    <s v="Procurement"/>
    <x v="16"/>
    <x v="20"/>
    <m/>
    <m/>
    <m/>
    <m/>
    <n v="147"/>
    <m/>
    <n v="0.1"/>
    <n v="14.700000000000001"/>
    <m/>
    <m/>
    <m/>
  </r>
  <r>
    <x v="32"/>
    <x v="0"/>
    <s v="SOCOM"/>
    <s v="US"/>
    <s v="Procurement"/>
    <x v="17"/>
    <x v="10"/>
    <m/>
    <m/>
    <m/>
    <m/>
    <n v="147"/>
    <m/>
    <n v="0.1"/>
    <n v="14.700000000000001"/>
    <m/>
    <m/>
    <m/>
  </r>
  <r>
    <x v="32"/>
    <x v="1"/>
    <s v="SOCOM"/>
    <s v="US"/>
    <s v="Procurement"/>
    <x v="12"/>
    <x v="19"/>
    <m/>
    <m/>
    <m/>
    <m/>
    <n v="130.69999999999999"/>
    <m/>
    <n v="0.35"/>
    <n v="45.74499999999999"/>
    <m/>
    <m/>
    <m/>
  </r>
  <r>
    <x v="32"/>
    <x v="1"/>
    <s v="SOCOM"/>
    <s v="US"/>
    <s v="Procurement"/>
    <x v="13"/>
    <x v="16"/>
    <m/>
    <m/>
    <m/>
    <m/>
    <n v="130.69999999999999"/>
    <m/>
    <n v="0.3"/>
    <n v="39.209999999999994"/>
    <m/>
    <m/>
    <m/>
  </r>
  <r>
    <x v="32"/>
    <x v="1"/>
    <s v="SOCOM"/>
    <s v="US"/>
    <s v="Procurement"/>
    <x v="0"/>
    <x v="0"/>
    <m/>
    <m/>
    <m/>
    <m/>
    <n v="130.69999999999999"/>
    <m/>
    <n v="0.15"/>
    <n v="19.604999999999997"/>
    <m/>
    <m/>
    <m/>
  </r>
  <r>
    <x v="32"/>
    <x v="1"/>
    <s v="SOCOM"/>
    <s v="US"/>
    <s v="Procurement"/>
    <x v="16"/>
    <x v="20"/>
    <m/>
    <m/>
    <m/>
    <m/>
    <n v="130.69999999999999"/>
    <m/>
    <n v="0.1"/>
    <n v="13.07"/>
    <m/>
    <m/>
    <m/>
  </r>
  <r>
    <x v="32"/>
    <x v="1"/>
    <s v="SOCOM"/>
    <s v="US"/>
    <s v="Procurement"/>
    <x v="17"/>
    <x v="10"/>
    <m/>
    <m/>
    <m/>
    <m/>
    <n v="130.69999999999999"/>
    <m/>
    <n v="0.1"/>
    <n v="13.07"/>
    <m/>
    <m/>
    <m/>
  </r>
  <r>
    <x v="32"/>
    <x v="2"/>
    <s v="SOCOM"/>
    <s v="US"/>
    <s v="Procurement"/>
    <x v="12"/>
    <x v="19"/>
    <m/>
    <m/>
    <m/>
    <m/>
    <n v="117"/>
    <m/>
    <n v="0.35"/>
    <n v="40.949999999999996"/>
    <m/>
    <m/>
    <m/>
  </r>
  <r>
    <x v="32"/>
    <x v="2"/>
    <s v="SOCOM"/>
    <s v="US"/>
    <s v="Procurement"/>
    <x v="13"/>
    <x v="16"/>
    <m/>
    <m/>
    <m/>
    <m/>
    <n v="117"/>
    <m/>
    <n v="0.3"/>
    <n v="35.1"/>
    <m/>
    <m/>
    <m/>
  </r>
  <r>
    <x v="32"/>
    <x v="2"/>
    <s v="SOCOM"/>
    <s v="US"/>
    <s v="Procurement"/>
    <x v="0"/>
    <x v="0"/>
    <m/>
    <m/>
    <m/>
    <m/>
    <n v="117"/>
    <m/>
    <n v="0.15"/>
    <n v="17.55"/>
    <m/>
    <m/>
    <m/>
  </r>
  <r>
    <x v="32"/>
    <x v="2"/>
    <s v="SOCOM"/>
    <s v="US"/>
    <s v="Procurement"/>
    <x v="16"/>
    <x v="20"/>
    <m/>
    <m/>
    <m/>
    <m/>
    <n v="117"/>
    <m/>
    <n v="0.1"/>
    <n v="11.700000000000001"/>
    <m/>
    <m/>
    <m/>
  </r>
  <r>
    <x v="32"/>
    <x v="2"/>
    <s v="SOCOM"/>
    <s v="US"/>
    <s v="Procurement"/>
    <x v="17"/>
    <x v="10"/>
    <m/>
    <m/>
    <m/>
    <m/>
    <n v="117"/>
    <m/>
    <n v="0.1"/>
    <n v="11.700000000000001"/>
    <m/>
    <m/>
    <m/>
  </r>
  <r>
    <x v="33"/>
    <x v="0"/>
    <s v="Joint Service"/>
    <s v="US"/>
    <s v="RDT&amp;E"/>
    <x v="1"/>
    <x v="12"/>
    <m/>
    <m/>
    <m/>
    <m/>
    <n v="70.8"/>
    <m/>
    <n v="1"/>
    <n v="70.8"/>
    <m/>
    <m/>
    <m/>
  </r>
  <r>
    <x v="33"/>
    <x v="1"/>
    <s v="Joint Service"/>
    <s v="US"/>
    <s v="RDT&amp;E"/>
    <x v="1"/>
    <x v="12"/>
    <m/>
    <m/>
    <m/>
    <m/>
    <n v="20.6"/>
    <m/>
    <n v="1"/>
    <n v="20.6"/>
    <m/>
    <m/>
    <m/>
  </r>
  <r>
    <x v="33"/>
    <x v="2"/>
    <s v="Joint Service"/>
    <s v="US"/>
    <s v="RDT&amp;E"/>
    <x v="1"/>
    <x v="12"/>
    <m/>
    <m/>
    <m/>
    <m/>
    <n v="33.299999999999997"/>
    <m/>
    <n v="1"/>
    <n v="33.299999999999997"/>
    <m/>
    <m/>
    <m/>
  </r>
  <r>
    <x v="33"/>
    <x v="0"/>
    <s v="US Army"/>
    <s v="US"/>
    <s v="Procurement"/>
    <x v="1"/>
    <x v="12"/>
    <m/>
    <m/>
    <m/>
    <m/>
    <n v="1398.1"/>
    <m/>
    <n v="1"/>
    <n v="1398.1"/>
    <m/>
    <m/>
    <m/>
  </r>
  <r>
    <x v="33"/>
    <x v="1"/>
    <s v="US Army"/>
    <s v="US"/>
    <s v="Procurement"/>
    <x v="1"/>
    <x v="12"/>
    <m/>
    <m/>
    <m/>
    <m/>
    <n v="1198.3"/>
    <m/>
    <n v="1"/>
    <n v="1198.3"/>
    <m/>
    <m/>
    <m/>
  </r>
  <r>
    <x v="33"/>
    <x v="2"/>
    <s v="US Army"/>
    <s v="US"/>
    <s v="Procurement"/>
    <x v="1"/>
    <x v="12"/>
    <m/>
    <m/>
    <m/>
    <m/>
    <n v="1168.3"/>
    <m/>
    <n v="1"/>
    <n v="1168.3"/>
    <m/>
    <m/>
    <m/>
  </r>
  <r>
    <x v="33"/>
    <x v="0"/>
    <s v="USN"/>
    <s v="US"/>
    <s v="Procurement"/>
    <x v="1"/>
    <x v="12"/>
    <m/>
    <m/>
    <m/>
    <m/>
    <n v="200"/>
    <m/>
    <n v="1"/>
    <n v="200"/>
    <m/>
    <m/>
    <m/>
  </r>
  <r>
    <x v="33"/>
    <x v="1"/>
    <s v="USN"/>
    <s v="US"/>
    <s v="Procurement"/>
    <x v="1"/>
    <x v="12"/>
    <m/>
    <m/>
    <m/>
    <m/>
    <n v="1.6"/>
    <m/>
    <n v="1"/>
    <n v="1.6"/>
    <m/>
    <m/>
    <m/>
  </r>
  <r>
    <x v="33"/>
    <x v="2"/>
    <s v="USN"/>
    <s v="US"/>
    <s v="Procurement"/>
    <x v="1"/>
    <x v="12"/>
    <m/>
    <m/>
    <m/>
    <m/>
    <n v="61.5"/>
    <m/>
    <n v="1"/>
    <n v="61.5"/>
    <m/>
    <m/>
    <m/>
  </r>
  <r>
    <x v="34"/>
    <x v="0"/>
    <s v="US Army"/>
    <s v="US"/>
    <s v="RDT&amp;E"/>
    <x v="1"/>
    <x v="12"/>
    <m/>
    <m/>
    <m/>
    <m/>
    <n v="262.8"/>
    <m/>
    <n v="1"/>
    <n v="262.8"/>
    <m/>
    <m/>
    <s v="While the U.S. Navy is exploring a future surface-launch variant, FY2026 funding is entirely Army-managed — Navy participation remains exploratory at this stage."/>
  </r>
  <r>
    <x v="34"/>
    <x v="1"/>
    <s v="US Army"/>
    <s v="US"/>
    <s v="RDT&amp;E"/>
    <x v="1"/>
    <x v="12"/>
    <m/>
    <m/>
    <m/>
    <m/>
    <n v="184"/>
    <m/>
    <n v="1"/>
    <n v="184"/>
    <m/>
    <m/>
    <m/>
  </r>
  <r>
    <x v="34"/>
    <x v="2"/>
    <s v="US Army"/>
    <s v="US"/>
    <s v="RDT&amp;E"/>
    <x v="1"/>
    <x v="12"/>
    <m/>
    <m/>
    <m/>
    <m/>
    <n v="197.2"/>
    <m/>
    <n v="1"/>
    <n v="197.2"/>
    <m/>
    <m/>
    <m/>
  </r>
  <r>
    <x v="34"/>
    <x v="0"/>
    <s v="US Army"/>
    <s v="US"/>
    <s v="Procurement"/>
    <x v="1"/>
    <x v="12"/>
    <m/>
    <m/>
    <n v="98"/>
    <m/>
    <n v="1048.5"/>
    <m/>
    <n v="1"/>
    <n v="1048.5"/>
    <m/>
    <m/>
    <m/>
  </r>
  <r>
    <x v="34"/>
    <x v="1"/>
    <s v="US Army"/>
    <s v="US"/>
    <s v="Procurement"/>
    <x v="1"/>
    <x v="12"/>
    <m/>
    <m/>
    <n v="230"/>
    <m/>
    <n v="457.5"/>
    <m/>
    <n v="1"/>
    <n v="457.5"/>
    <m/>
    <m/>
    <m/>
  </r>
  <r>
    <x v="34"/>
    <x v="2"/>
    <s v="US Army"/>
    <s v="US"/>
    <s v="Procurement"/>
    <x v="1"/>
    <x v="12"/>
    <m/>
    <m/>
    <n v="152"/>
    <m/>
    <n v="363.7"/>
    <m/>
    <n v="1"/>
    <n v="363.7"/>
    <m/>
    <m/>
    <m/>
  </r>
  <r>
    <x v="35"/>
    <x v="0"/>
    <s v="USN"/>
    <s v="US"/>
    <s v="RDT&amp;E"/>
    <x v="1"/>
    <x v="21"/>
    <m/>
    <m/>
    <m/>
    <m/>
    <n v="326.3"/>
    <m/>
    <n v="1"/>
    <n v="326.3"/>
    <m/>
    <m/>
    <s v="Trident"/>
  </r>
  <r>
    <x v="35"/>
    <x v="1"/>
    <s v="USN"/>
    <s v="US"/>
    <s v="RDT&amp;E"/>
    <x v="1"/>
    <x v="21"/>
    <m/>
    <m/>
    <m/>
    <m/>
    <n v="335.3"/>
    <m/>
    <n v="1"/>
    <n v="335.3"/>
    <m/>
    <m/>
    <m/>
  </r>
  <r>
    <x v="35"/>
    <x v="2"/>
    <s v="USN"/>
    <s v="US"/>
    <s v="RDT&amp;E"/>
    <x v="1"/>
    <x v="21"/>
    <m/>
    <m/>
    <m/>
    <m/>
    <n v="807.1"/>
    <m/>
    <n v="1"/>
    <n v="807.1"/>
    <m/>
    <m/>
    <m/>
  </r>
  <r>
    <x v="35"/>
    <x v="0"/>
    <s v="USN"/>
    <s v="US"/>
    <s v="Procurement"/>
    <x v="1"/>
    <x v="21"/>
    <m/>
    <m/>
    <m/>
    <m/>
    <n v="1545.8"/>
    <m/>
    <n v="1"/>
    <n v="1545.8"/>
    <m/>
    <m/>
    <m/>
  </r>
  <r>
    <x v="35"/>
    <x v="1"/>
    <s v="USN"/>
    <s v="US"/>
    <s v="Procurement"/>
    <x v="1"/>
    <x v="21"/>
    <m/>
    <m/>
    <m/>
    <m/>
    <n v="2057.8000000000002"/>
    <m/>
    <n v="1"/>
    <n v="2057.8000000000002"/>
    <m/>
    <m/>
    <m/>
  </r>
  <r>
    <x v="35"/>
    <x v="2"/>
    <s v="USN"/>
    <s v="US"/>
    <s v="Procurement"/>
    <x v="1"/>
    <x v="21"/>
    <m/>
    <m/>
    <m/>
    <m/>
    <n v="2934.9"/>
    <m/>
    <n v="1"/>
    <n v="2934.9"/>
    <m/>
    <m/>
    <m/>
  </r>
  <r>
    <x v="36"/>
    <x v="0"/>
    <s v="USN"/>
    <s v="US"/>
    <s v="RDT&amp;E"/>
    <x v="0"/>
    <x v="0"/>
    <m/>
    <m/>
    <m/>
    <m/>
    <n v="366.2"/>
    <m/>
    <n v="1"/>
    <n v="366.2"/>
    <m/>
    <m/>
    <m/>
  </r>
  <r>
    <x v="36"/>
    <x v="1"/>
    <s v="USN"/>
    <s v="US"/>
    <s v="RDT&amp;E"/>
    <x v="0"/>
    <x v="0"/>
    <m/>
    <m/>
    <m/>
    <m/>
    <n v="288.3"/>
    <m/>
    <n v="1"/>
    <n v="288.3"/>
    <m/>
    <m/>
    <m/>
  </r>
  <r>
    <x v="36"/>
    <x v="2"/>
    <s v="USN"/>
    <s v="US"/>
    <s v="RDT&amp;E"/>
    <x v="0"/>
    <x v="0"/>
    <m/>
    <m/>
    <m/>
    <m/>
    <n v="413"/>
    <m/>
    <n v="1"/>
    <n v="413"/>
    <m/>
    <m/>
    <m/>
  </r>
  <r>
    <x v="36"/>
    <x v="0"/>
    <s v="USN"/>
    <s v="US"/>
    <s v="Procurement"/>
    <x v="0"/>
    <x v="0"/>
    <m/>
    <m/>
    <n v="97"/>
    <m/>
    <n v="1137.5"/>
    <m/>
    <n v="1"/>
    <n v="1137.5"/>
    <m/>
    <m/>
    <m/>
  </r>
  <r>
    <x v="36"/>
    <x v="1"/>
    <s v="USN"/>
    <s v="US"/>
    <s v="Procurement"/>
    <x v="0"/>
    <x v="0"/>
    <m/>
    <m/>
    <n v="78"/>
    <m/>
    <n v="694.4"/>
    <m/>
    <n v="1"/>
    <n v="694.4"/>
    <m/>
    <m/>
    <m/>
  </r>
  <r>
    <x v="36"/>
    <x v="2"/>
    <s v="USN"/>
    <s v="US"/>
    <s v="Procurement"/>
    <x v="0"/>
    <x v="0"/>
    <m/>
    <m/>
    <n v="139"/>
    <m/>
    <n v="849.5"/>
    <m/>
    <n v="1"/>
    <n v="849.5"/>
    <m/>
    <m/>
    <m/>
  </r>
  <r>
    <x v="37"/>
    <x v="0"/>
    <s v="Joint Service"/>
    <s v="US"/>
    <s v="RDT&amp;E"/>
    <x v="0"/>
    <x v="0"/>
    <m/>
    <m/>
    <m/>
    <m/>
    <n v="119.5"/>
    <m/>
    <n v="1"/>
    <n v="119.5"/>
    <m/>
    <m/>
    <s v="Tomahawk"/>
  </r>
  <r>
    <x v="37"/>
    <x v="1"/>
    <s v="Joint Service"/>
    <s v="US"/>
    <s v="RDT&amp;E"/>
    <x v="0"/>
    <x v="0"/>
    <m/>
    <m/>
    <m/>
    <m/>
    <n v="166.2"/>
    <m/>
    <n v="1"/>
    <n v="166.2"/>
    <m/>
    <m/>
    <m/>
  </r>
  <r>
    <x v="37"/>
    <x v="2"/>
    <s v="Joint Service"/>
    <s v="US"/>
    <s v="RDT&amp;E"/>
    <x v="0"/>
    <x v="0"/>
    <m/>
    <m/>
    <m/>
    <m/>
    <n v="151.19999999999999"/>
    <m/>
    <n v="1"/>
    <n v="151.19999999999999"/>
    <m/>
    <m/>
    <m/>
  </r>
  <r>
    <x v="37"/>
    <x v="0"/>
    <s v="US Army"/>
    <s v="US"/>
    <s v="Procurement"/>
    <x v="0"/>
    <x v="0"/>
    <m/>
    <m/>
    <m/>
    <m/>
    <n v="5"/>
    <m/>
    <n v="1"/>
    <n v="5"/>
    <m/>
    <m/>
    <m/>
  </r>
  <r>
    <x v="37"/>
    <x v="0"/>
    <s v="USN"/>
    <s v="US"/>
    <s v="Procurement"/>
    <x v="0"/>
    <x v="0"/>
    <m/>
    <m/>
    <m/>
    <m/>
    <n v="665.6"/>
    <m/>
    <n v="1"/>
    <n v="665.6"/>
    <m/>
    <m/>
    <m/>
  </r>
  <r>
    <x v="37"/>
    <x v="1"/>
    <s v="USN"/>
    <s v="US"/>
    <s v="Procurement"/>
    <x v="0"/>
    <x v="0"/>
    <m/>
    <m/>
    <m/>
    <m/>
    <n v="429"/>
    <m/>
    <n v="1"/>
    <n v="429"/>
    <m/>
    <m/>
    <m/>
  </r>
  <r>
    <x v="37"/>
    <x v="2"/>
    <s v="USN"/>
    <s v="US"/>
    <s v="Procurement"/>
    <x v="0"/>
    <x v="0"/>
    <m/>
    <m/>
    <n v="57"/>
    <m/>
    <n v="795"/>
    <m/>
    <n v="1"/>
    <n v="795"/>
    <m/>
    <m/>
    <m/>
  </r>
  <r>
    <x v="37"/>
    <x v="0"/>
    <s v="USMC"/>
    <s v="US"/>
    <s v="Procurement"/>
    <x v="0"/>
    <x v="0"/>
    <m/>
    <m/>
    <n v="30"/>
    <m/>
    <n v="93.6"/>
    <m/>
    <n v="1"/>
    <n v="93.6"/>
    <m/>
    <m/>
    <m/>
  </r>
  <r>
    <x v="37"/>
    <x v="1"/>
    <s v="USMC"/>
    <s v="US"/>
    <s v="Procurement"/>
    <x v="0"/>
    <x v="0"/>
    <m/>
    <m/>
    <n v="22"/>
    <m/>
    <n v="112.5"/>
    <m/>
    <n v="1"/>
    <n v="112.5"/>
    <m/>
    <m/>
    <m/>
  </r>
  <r>
    <x v="38"/>
    <x v="0"/>
    <s v="USAF"/>
    <s v="US"/>
    <s v="RDT&amp;E"/>
    <x v="6"/>
    <x v="9"/>
    <m/>
    <m/>
    <m/>
    <m/>
    <n v="4237.3"/>
    <m/>
    <n v="1"/>
    <n v="4237.3"/>
    <m/>
    <m/>
    <m/>
  </r>
  <r>
    <x v="38"/>
    <x v="1"/>
    <s v="USAF"/>
    <s v="US"/>
    <s v="RDT&amp;E"/>
    <x v="6"/>
    <x v="9"/>
    <m/>
    <m/>
    <m/>
    <m/>
    <n v="2011"/>
    <m/>
    <n v="1"/>
    <n v="2011"/>
    <m/>
    <m/>
    <m/>
  </r>
  <r>
    <x v="38"/>
    <x v="2"/>
    <s v="USAF"/>
    <s v="US"/>
    <s v="RDT&amp;E"/>
    <x v="6"/>
    <x v="9"/>
    <m/>
    <m/>
    <m/>
    <m/>
    <n v="4147.6000000000004"/>
    <m/>
    <n v="1"/>
    <n v="4147.6000000000004"/>
    <m/>
    <m/>
    <m/>
  </r>
  <r>
    <x v="39"/>
    <x v="0"/>
    <s v="USAF"/>
    <s v="US"/>
    <s v="RDT&amp;E"/>
    <x v="0"/>
    <x v="0"/>
    <m/>
    <m/>
    <m/>
    <m/>
    <n v="856.9"/>
    <m/>
    <n v="1"/>
    <n v="856.9"/>
    <m/>
    <m/>
    <m/>
  </r>
  <r>
    <x v="39"/>
    <x v="1"/>
    <s v="USAF"/>
    <s v="US"/>
    <s v="RDT&amp;E"/>
    <x v="0"/>
    <x v="0"/>
    <m/>
    <m/>
    <m/>
    <m/>
    <n v="593.9"/>
    <m/>
    <n v="1"/>
    <n v="593.9"/>
    <m/>
    <m/>
    <m/>
  </r>
  <r>
    <x v="39"/>
    <x v="2"/>
    <s v="USAF"/>
    <s v="US"/>
    <s v="RDT&amp;E"/>
    <x v="0"/>
    <x v="0"/>
    <m/>
    <m/>
    <m/>
    <m/>
    <n v="607"/>
    <m/>
    <n v="1"/>
    <n v="607"/>
    <m/>
    <m/>
    <m/>
  </r>
  <r>
    <x v="39"/>
    <x v="0"/>
    <s v="USAF"/>
    <s v="US"/>
    <s v="Procurement"/>
    <x v="0"/>
    <x v="0"/>
    <m/>
    <m/>
    <m/>
    <m/>
    <n v="66.8"/>
    <m/>
    <n v="1"/>
    <n v="66.8"/>
    <m/>
    <m/>
    <m/>
  </r>
  <r>
    <x v="39"/>
    <x v="1"/>
    <s v="USAF"/>
    <s v="US"/>
    <s v="Procurement"/>
    <x v="0"/>
    <x v="0"/>
    <m/>
    <m/>
    <m/>
    <m/>
    <n v="210.3"/>
    <m/>
    <n v="1"/>
    <n v="210.3"/>
    <m/>
    <m/>
    <m/>
  </r>
  <r>
    <x v="39"/>
    <x v="2"/>
    <s v="USAF"/>
    <s v="US"/>
    <s v="Procurement"/>
    <x v="0"/>
    <x v="0"/>
    <m/>
    <m/>
    <m/>
    <m/>
    <n v="443.7"/>
    <m/>
    <n v="1"/>
    <n v="443.7"/>
    <m/>
    <m/>
    <m/>
  </r>
  <r>
    <x v="40"/>
    <x v="0"/>
    <s v="USSF"/>
    <s v="US"/>
    <s v="RDT&amp;E"/>
    <x v="6"/>
    <x v="21"/>
    <m/>
    <m/>
    <m/>
    <m/>
    <n v="258.60000000000002"/>
    <m/>
    <n v="0.2"/>
    <n v="51.720000000000006"/>
    <m/>
    <m/>
    <s v="Space Force Launch Enterprise"/>
  </r>
  <r>
    <x v="40"/>
    <x v="0"/>
    <s v="USSF"/>
    <s v="US"/>
    <s v="RDT&amp;E"/>
    <x v="18"/>
    <x v="10"/>
    <m/>
    <m/>
    <m/>
    <m/>
    <n v="258.60000000000002"/>
    <m/>
    <n v="0.25"/>
    <n v="64.650000000000006"/>
    <m/>
    <m/>
    <m/>
  </r>
  <r>
    <x v="40"/>
    <x v="0"/>
    <s v="USSF"/>
    <s v="US"/>
    <s v="RDT&amp;E"/>
    <x v="19"/>
    <x v="10"/>
    <m/>
    <m/>
    <m/>
    <m/>
    <n v="258.60000000000002"/>
    <m/>
    <n v="0.25"/>
    <n v="64.650000000000006"/>
    <m/>
    <m/>
    <m/>
  </r>
  <r>
    <x v="40"/>
    <x v="0"/>
    <s v="USSF"/>
    <s v="US"/>
    <s v="RDT&amp;E"/>
    <x v="20"/>
    <x v="10"/>
    <m/>
    <m/>
    <m/>
    <m/>
    <n v="258.60000000000002"/>
    <m/>
    <n v="0.15"/>
    <n v="38.79"/>
    <m/>
    <m/>
    <m/>
  </r>
  <r>
    <x v="40"/>
    <x v="0"/>
    <s v="USSF"/>
    <s v="US"/>
    <s v="RDT&amp;E"/>
    <x v="21"/>
    <x v="10"/>
    <m/>
    <m/>
    <m/>
    <m/>
    <n v="258.60000000000002"/>
    <m/>
    <n v="0.1"/>
    <n v="25.860000000000003"/>
    <m/>
    <m/>
    <m/>
  </r>
  <r>
    <x v="40"/>
    <x v="0"/>
    <s v="USSF"/>
    <s v="US"/>
    <s v="RDT&amp;E"/>
    <x v="22"/>
    <x v="10"/>
    <m/>
    <m/>
    <m/>
    <m/>
    <n v="258.60000000000002"/>
    <m/>
    <n v="0.05"/>
    <n v="12.930000000000001"/>
    <m/>
    <m/>
    <m/>
  </r>
  <r>
    <x v="40"/>
    <x v="1"/>
    <s v="USSF"/>
    <s v="US"/>
    <s v="RDT&amp;E"/>
    <x v="6"/>
    <x v="21"/>
    <m/>
    <m/>
    <m/>
    <m/>
    <n v="248.1"/>
    <m/>
    <n v="0.2"/>
    <n v="49.620000000000005"/>
    <m/>
    <m/>
    <m/>
  </r>
  <r>
    <x v="40"/>
    <x v="1"/>
    <s v="USSF"/>
    <s v="US"/>
    <s v="RDT&amp;E"/>
    <x v="18"/>
    <x v="10"/>
    <m/>
    <m/>
    <m/>
    <m/>
    <n v="248.1"/>
    <m/>
    <n v="0.25"/>
    <n v="62.024999999999999"/>
    <m/>
    <m/>
    <m/>
  </r>
  <r>
    <x v="40"/>
    <x v="1"/>
    <s v="USSF"/>
    <s v="US"/>
    <s v="RDT&amp;E"/>
    <x v="19"/>
    <x v="10"/>
    <m/>
    <m/>
    <m/>
    <m/>
    <n v="248.1"/>
    <m/>
    <n v="0.25"/>
    <n v="62.024999999999999"/>
    <m/>
    <m/>
    <m/>
  </r>
  <r>
    <x v="40"/>
    <x v="1"/>
    <s v="USSF"/>
    <s v="US"/>
    <s v="RDT&amp;E"/>
    <x v="20"/>
    <x v="10"/>
    <m/>
    <m/>
    <m/>
    <m/>
    <n v="248.1"/>
    <m/>
    <n v="0.15"/>
    <n v="37.214999999999996"/>
    <m/>
    <m/>
    <m/>
  </r>
  <r>
    <x v="40"/>
    <x v="1"/>
    <s v="USSF"/>
    <s v="US"/>
    <s v="RDT&amp;E"/>
    <x v="21"/>
    <x v="10"/>
    <m/>
    <m/>
    <m/>
    <m/>
    <n v="248.1"/>
    <m/>
    <n v="0.1"/>
    <n v="24.810000000000002"/>
    <m/>
    <m/>
    <m/>
  </r>
  <r>
    <x v="40"/>
    <x v="1"/>
    <s v="USSF"/>
    <s v="US"/>
    <s v="RDT&amp;E"/>
    <x v="22"/>
    <x v="10"/>
    <m/>
    <m/>
    <m/>
    <m/>
    <n v="248.1"/>
    <m/>
    <n v="0.05"/>
    <n v="12.405000000000001"/>
    <m/>
    <m/>
    <m/>
  </r>
  <r>
    <x v="40"/>
    <x v="2"/>
    <s v="USSF"/>
    <s v="US"/>
    <s v="RDT&amp;E"/>
    <x v="6"/>
    <x v="21"/>
    <m/>
    <m/>
    <m/>
    <m/>
    <n v="264.2"/>
    <m/>
    <n v="0.2"/>
    <n v="52.84"/>
    <m/>
    <m/>
    <m/>
  </r>
  <r>
    <x v="40"/>
    <x v="2"/>
    <s v="USSF"/>
    <s v="US"/>
    <s v="RDT&amp;E"/>
    <x v="18"/>
    <x v="10"/>
    <m/>
    <m/>
    <m/>
    <m/>
    <n v="264.2"/>
    <m/>
    <n v="0.25"/>
    <n v="66.05"/>
    <m/>
    <m/>
    <m/>
  </r>
  <r>
    <x v="40"/>
    <x v="2"/>
    <s v="USSF"/>
    <s v="US"/>
    <s v="RDT&amp;E"/>
    <x v="19"/>
    <x v="10"/>
    <m/>
    <m/>
    <m/>
    <m/>
    <n v="264.2"/>
    <m/>
    <n v="0.25"/>
    <n v="66.05"/>
    <m/>
    <m/>
    <m/>
  </r>
  <r>
    <x v="40"/>
    <x v="2"/>
    <s v="USSF"/>
    <s v="US"/>
    <s v="RDT&amp;E"/>
    <x v="20"/>
    <x v="10"/>
    <m/>
    <m/>
    <m/>
    <m/>
    <n v="264.2"/>
    <m/>
    <n v="0.15"/>
    <n v="39.629999999999995"/>
    <m/>
    <m/>
    <m/>
  </r>
  <r>
    <x v="40"/>
    <x v="2"/>
    <s v="USSF"/>
    <s v="US"/>
    <s v="RDT&amp;E"/>
    <x v="21"/>
    <x v="10"/>
    <m/>
    <m/>
    <m/>
    <m/>
    <n v="264.2"/>
    <m/>
    <n v="0.1"/>
    <n v="26.42"/>
    <m/>
    <m/>
    <m/>
  </r>
  <r>
    <x v="40"/>
    <x v="2"/>
    <s v="USSF"/>
    <s v="US"/>
    <s v="RDT&amp;E"/>
    <x v="22"/>
    <x v="10"/>
    <m/>
    <m/>
    <m/>
    <m/>
    <n v="264.2"/>
    <m/>
    <n v="0.05"/>
    <n v="13.21"/>
    <m/>
    <m/>
    <m/>
  </r>
  <r>
    <x v="40"/>
    <x v="0"/>
    <s v="USSF"/>
    <s v="US"/>
    <s v="Procurement"/>
    <x v="6"/>
    <x v="21"/>
    <m/>
    <m/>
    <m/>
    <m/>
    <n v="2812.7"/>
    <m/>
    <n v="0.2"/>
    <n v="562.54"/>
    <m/>
    <m/>
    <m/>
  </r>
  <r>
    <x v="40"/>
    <x v="0"/>
    <s v="USSF"/>
    <s v="US"/>
    <s v="Procurement"/>
    <x v="18"/>
    <x v="10"/>
    <m/>
    <m/>
    <m/>
    <m/>
    <n v="2812.7"/>
    <m/>
    <n v="0.25"/>
    <n v="703.17499999999995"/>
    <m/>
    <m/>
    <m/>
  </r>
  <r>
    <x v="40"/>
    <x v="0"/>
    <s v="USSF"/>
    <s v="US"/>
    <s v="Procurement"/>
    <x v="19"/>
    <x v="10"/>
    <m/>
    <m/>
    <m/>
    <m/>
    <n v="2812.7"/>
    <m/>
    <n v="0.25"/>
    <n v="703.17499999999995"/>
    <m/>
    <m/>
    <m/>
  </r>
  <r>
    <x v="40"/>
    <x v="0"/>
    <s v="USSF"/>
    <s v="US"/>
    <s v="Procurement"/>
    <x v="20"/>
    <x v="10"/>
    <m/>
    <m/>
    <m/>
    <m/>
    <n v="2812.7"/>
    <m/>
    <n v="0.15"/>
    <n v="421.90499999999997"/>
    <m/>
    <m/>
    <m/>
  </r>
  <r>
    <x v="40"/>
    <x v="0"/>
    <s v="USSF"/>
    <s v="US"/>
    <s v="Procurement"/>
    <x v="21"/>
    <x v="10"/>
    <m/>
    <m/>
    <m/>
    <m/>
    <n v="2812.7"/>
    <m/>
    <n v="0.1"/>
    <n v="281.27"/>
    <m/>
    <m/>
    <m/>
  </r>
  <r>
    <x v="40"/>
    <x v="0"/>
    <s v="USSF"/>
    <s v="US"/>
    <s v="Procurement"/>
    <x v="22"/>
    <x v="10"/>
    <m/>
    <m/>
    <m/>
    <m/>
    <n v="2812.7"/>
    <m/>
    <n v="0.05"/>
    <n v="140.63499999999999"/>
    <m/>
    <m/>
    <m/>
  </r>
  <r>
    <x v="40"/>
    <x v="1"/>
    <s v="USSF"/>
    <s v="US"/>
    <s v="Procurement"/>
    <x v="6"/>
    <x v="21"/>
    <m/>
    <m/>
    <m/>
    <m/>
    <n v="2190.5"/>
    <m/>
    <n v="0.2"/>
    <n v="438.1"/>
    <m/>
    <m/>
    <m/>
  </r>
  <r>
    <x v="40"/>
    <x v="1"/>
    <s v="USSF"/>
    <s v="US"/>
    <s v="Procurement"/>
    <x v="18"/>
    <x v="10"/>
    <m/>
    <m/>
    <m/>
    <m/>
    <n v="2190.5"/>
    <m/>
    <n v="0.25"/>
    <n v="547.625"/>
    <m/>
    <m/>
    <m/>
  </r>
  <r>
    <x v="40"/>
    <x v="1"/>
    <s v="USSF"/>
    <s v="US"/>
    <s v="Procurement"/>
    <x v="19"/>
    <x v="10"/>
    <m/>
    <m/>
    <m/>
    <m/>
    <n v="2190.5"/>
    <m/>
    <n v="0.25"/>
    <n v="547.625"/>
    <m/>
    <m/>
    <m/>
  </r>
  <r>
    <x v="40"/>
    <x v="1"/>
    <s v="USSF"/>
    <s v="US"/>
    <s v="Procurement"/>
    <x v="20"/>
    <x v="10"/>
    <m/>
    <m/>
    <m/>
    <m/>
    <n v="2190.5"/>
    <m/>
    <n v="0.15"/>
    <n v="328.57499999999999"/>
    <m/>
    <m/>
    <m/>
  </r>
  <r>
    <x v="40"/>
    <x v="1"/>
    <s v="USSF"/>
    <s v="US"/>
    <s v="Procurement"/>
    <x v="21"/>
    <x v="10"/>
    <m/>
    <m/>
    <m/>
    <m/>
    <n v="2190.5"/>
    <m/>
    <n v="0.1"/>
    <n v="219.05"/>
    <m/>
    <m/>
    <m/>
  </r>
  <r>
    <x v="40"/>
    <x v="1"/>
    <s v="USSF"/>
    <s v="US"/>
    <s v="Procurement"/>
    <x v="22"/>
    <x v="10"/>
    <m/>
    <m/>
    <m/>
    <m/>
    <n v="2190.5"/>
    <m/>
    <n v="0.05"/>
    <n v="109.52500000000001"/>
    <m/>
    <m/>
    <m/>
  </r>
  <r>
    <x v="40"/>
    <x v="2"/>
    <s v="USSF"/>
    <s v="US"/>
    <s v="Procurement"/>
    <x v="6"/>
    <x v="21"/>
    <m/>
    <m/>
    <m/>
    <m/>
    <n v="2185.6999999999998"/>
    <m/>
    <n v="0.2"/>
    <n v="437.14"/>
    <m/>
    <m/>
    <m/>
  </r>
  <r>
    <x v="40"/>
    <x v="2"/>
    <s v="USSF"/>
    <s v="US"/>
    <s v="Procurement"/>
    <x v="18"/>
    <x v="10"/>
    <m/>
    <m/>
    <m/>
    <m/>
    <n v="2185.6999999999998"/>
    <m/>
    <n v="0.25"/>
    <n v="546.42499999999995"/>
    <m/>
    <m/>
    <m/>
  </r>
  <r>
    <x v="40"/>
    <x v="2"/>
    <s v="USSF"/>
    <s v="US"/>
    <s v="Procurement"/>
    <x v="19"/>
    <x v="10"/>
    <m/>
    <m/>
    <m/>
    <m/>
    <n v="2185.6999999999998"/>
    <m/>
    <n v="0.25"/>
    <n v="546.42499999999995"/>
    <m/>
    <m/>
    <m/>
  </r>
  <r>
    <x v="40"/>
    <x v="2"/>
    <s v="USSF"/>
    <s v="US"/>
    <s v="Procurement"/>
    <x v="20"/>
    <x v="10"/>
    <m/>
    <m/>
    <m/>
    <m/>
    <n v="2185.6999999999998"/>
    <m/>
    <n v="0.15"/>
    <n v="327.85499999999996"/>
    <m/>
    <m/>
    <m/>
  </r>
  <r>
    <x v="40"/>
    <x v="2"/>
    <s v="USSF"/>
    <s v="US"/>
    <s v="Procurement"/>
    <x v="21"/>
    <x v="10"/>
    <m/>
    <m/>
    <m/>
    <m/>
    <n v="2185.6999999999998"/>
    <m/>
    <n v="0.1"/>
    <n v="218.57"/>
    <m/>
    <m/>
    <m/>
  </r>
  <r>
    <x v="40"/>
    <x v="2"/>
    <s v="USSF"/>
    <s v="US"/>
    <s v="Procurement"/>
    <x v="22"/>
    <x v="10"/>
    <m/>
    <m/>
    <m/>
    <m/>
    <n v="2185.6999999999998"/>
    <m/>
    <n v="0.05"/>
    <n v="109.285"/>
    <m/>
    <m/>
    <m/>
  </r>
  <r>
    <x v="41"/>
    <x v="0"/>
    <s v="USSF"/>
    <s v="US"/>
    <s v="RDT&amp;E"/>
    <x v="1"/>
    <x v="21"/>
    <m/>
    <m/>
    <m/>
    <m/>
    <n v="4756.1000000000004"/>
    <m/>
    <n v="0.55000000000000004"/>
    <n v="2615.8550000000005"/>
    <m/>
    <m/>
    <m/>
  </r>
  <r>
    <x v="41"/>
    <x v="0"/>
    <s v="USSF"/>
    <s v="US"/>
    <s v="RDT&amp;E"/>
    <x v="6"/>
    <x v="21"/>
    <m/>
    <m/>
    <m/>
    <m/>
    <n v="4756.1000000000004"/>
    <m/>
    <n v="0.3"/>
    <n v="1426.8300000000002"/>
    <m/>
    <m/>
    <m/>
  </r>
  <r>
    <x v="41"/>
    <x v="0"/>
    <s v="USSF"/>
    <s v="US"/>
    <s v="RDT&amp;E"/>
    <x v="0"/>
    <x v="0"/>
    <m/>
    <m/>
    <m/>
    <m/>
    <n v="4756.1000000000004"/>
    <m/>
    <n v="0.1"/>
    <n v="475.61000000000007"/>
    <m/>
    <m/>
    <m/>
  </r>
  <r>
    <x v="41"/>
    <x v="0"/>
    <s v="USSF"/>
    <s v="US"/>
    <s v="RDT&amp;E"/>
    <x v="9"/>
    <x v="7"/>
    <m/>
    <m/>
    <m/>
    <m/>
    <n v="4756.1000000000004"/>
    <m/>
    <n v="0.05"/>
    <n v="237.80500000000004"/>
    <m/>
    <m/>
    <m/>
  </r>
  <r>
    <x v="41"/>
    <x v="1"/>
    <s v="USSF"/>
    <s v="US"/>
    <s v="RDT&amp;E"/>
    <x v="1"/>
    <x v="21"/>
    <m/>
    <m/>
    <m/>
    <m/>
    <n v="4701.3"/>
    <m/>
    <n v="0.55000000000000004"/>
    <n v="2585.7150000000001"/>
    <m/>
    <m/>
    <m/>
  </r>
  <r>
    <x v="41"/>
    <x v="1"/>
    <s v="USSF"/>
    <s v="US"/>
    <s v="RDT&amp;E"/>
    <x v="6"/>
    <x v="21"/>
    <m/>
    <m/>
    <m/>
    <m/>
    <n v="4701.3"/>
    <m/>
    <n v="0.3"/>
    <n v="1410.39"/>
    <m/>
    <m/>
    <m/>
  </r>
  <r>
    <x v="41"/>
    <x v="1"/>
    <s v="USSF"/>
    <s v="US"/>
    <s v="RDT&amp;E"/>
    <x v="0"/>
    <x v="0"/>
    <m/>
    <m/>
    <m/>
    <m/>
    <n v="4701.3"/>
    <m/>
    <n v="0.1"/>
    <n v="470.13000000000005"/>
    <m/>
    <m/>
    <m/>
  </r>
  <r>
    <x v="41"/>
    <x v="1"/>
    <s v="USSF"/>
    <s v="US"/>
    <s v="RDT&amp;E"/>
    <x v="9"/>
    <x v="7"/>
    <m/>
    <m/>
    <m/>
    <m/>
    <n v="4701.3"/>
    <m/>
    <n v="0.05"/>
    <n v="235.06500000000003"/>
    <m/>
    <m/>
    <m/>
  </r>
  <r>
    <x v="41"/>
    <x v="2"/>
    <s v="USSF"/>
    <s v="US"/>
    <s v="RDT&amp;E"/>
    <x v="1"/>
    <x v="21"/>
    <m/>
    <m/>
    <m/>
    <m/>
    <n v="12958.8"/>
    <m/>
    <n v="0.55000000000000004"/>
    <n v="7127.34"/>
    <m/>
    <m/>
    <m/>
  </r>
  <r>
    <x v="41"/>
    <x v="2"/>
    <s v="USSF"/>
    <s v="US"/>
    <s v="RDT&amp;E"/>
    <x v="6"/>
    <x v="21"/>
    <m/>
    <m/>
    <m/>
    <m/>
    <n v="12958.8"/>
    <m/>
    <n v="0.3"/>
    <n v="3887.6399999999994"/>
    <m/>
    <m/>
    <m/>
  </r>
  <r>
    <x v="41"/>
    <x v="2"/>
    <s v="USSF"/>
    <s v="US"/>
    <s v="RDT&amp;E"/>
    <x v="0"/>
    <x v="0"/>
    <m/>
    <m/>
    <m/>
    <m/>
    <n v="12958.8"/>
    <m/>
    <n v="0.1"/>
    <n v="1295.8800000000001"/>
    <m/>
    <m/>
    <m/>
  </r>
  <r>
    <x v="41"/>
    <x v="2"/>
    <s v="USSF"/>
    <s v="US"/>
    <s v="RDT&amp;E"/>
    <x v="9"/>
    <x v="7"/>
    <m/>
    <m/>
    <m/>
    <m/>
    <n v="12958.8"/>
    <m/>
    <n v="0.05"/>
    <n v="647.94000000000005"/>
    <m/>
    <m/>
    <m/>
  </r>
  <r>
    <x v="41"/>
    <x v="0"/>
    <s v="USSF"/>
    <s v="US"/>
    <s v="Procurement"/>
    <x v="1"/>
    <x v="21"/>
    <m/>
    <m/>
    <m/>
    <m/>
    <n v="124.6"/>
    <m/>
    <n v="0.55000000000000004"/>
    <n v="68.53"/>
    <m/>
    <m/>
    <m/>
  </r>
  <r>
    <x v="41"/>
    <x v="0"/>
    <s v="USSF"/>
    <s v="US"/>
    <s v="Procurement"/>
    <x v="6"/>
    <x v="21"/>
    <m/>
    <m/>
    <m/>
    <m/>
    <n v="124.6"/>
    <m/>
    <n v="0.3"/>
    <n v="37.379999999999995"/>
    <m/>
    <m/>
    <m/>
  </r>
  <r>
    <x v="41"/>
    <x v="0"/>
    <s v="USSF"/>
    <s v="US"/>
    <s v="Procurement"/>
    <x v="0"/>
    <x v="0"/>
    <m/>
    <m/>
    <m/>
    <m/>
    <n v="124.6"/>
    <m/>
    <n v="0.1"/>
    <n v="12.46"/>
    <m/>
    <m/>
    <m/>
  </r>
  <r>
    <x v="41"/>
    <x v="0"/>
    <s v="USSF"/>
    <s v="US"/>
    <s v="Procurement"/>
    <x v="9"/>
    <x v="7"/>
    <m/>
    <m/>
    <m/>
    <m/>
    <n v="124.6"/>
    <m/>
    <n v="0.05"/>
    <n v="6.23"/>
    <m/>
    <m/>
    <m/>
  </r>
  <r>
    <x v="41"/>
    <x v="2"/>
    <s v="USSF"/>
    <s v="US"/>
    <s v="Procurement"/>
    <x v="1"/>
    <x v="21"/>
    <m/>
    <m/>
    <m/>
    <m/>
    <n v="8"/>
    <m/>
    <n v="0.55000000000000004"/>
    <n v="4.4000000000000004"/>
    <m/>
    <m/>
    <m/>
  </r>
  <r>
    <x v="41"/>
    <x v="2"/>
    <s v="USSF"/>
    <s v="US"/>
    <s v="Procurement"/>
    <x v="6"/>
    <x v="21"/>
    <m/>
    <m/>
    <m/>
    <m/>
    <n v="8"/>
    <m/>
    <n v="0.3"/>
    <n v="2.4"/>
    <m/>
    <m/>
    <m/>
  </r>
  <r>
    <x v="41"/>
    <x v="2"/>
    <s v="USSF"/>
    <s v="US"/>
    <s v="Procurement"/>
    <x v="0"/>
    <x v="0"/>
    <m/>
    <m/>
    <m/>
    <m/>
    <n v="8"/>
    <m/>
    <n v="0.1"/>
    <n v="0.8"/>
    <m/>
    <m/>
    <m/>
  </r>
  <r>
    <x v="41"/>
    <x v="2"/>
    <s v="USSF"/>
    <s v="US"/>
    <s v="Procurement"/>
    <x v="9"/>
    <x v="7"/>
    <m/>
    <m/>
    <m/>
    <m/>
    <n v="8"/>
    <m/>
    <n v="0.05"/>
    <n v="0.4"/>
    <m/>
    <m/>
    <m/>
  </r>
  <r>
    <x v="42"/>
    <x v="0"/>
    <s v="USSF"/>
    <s v="US"/>
    <s v="RDT&amp;E"/>
    <x v="3"/>
    <x v="1"/>
    <m/>
    <m/>
    <m/>
    <m/>
    <n v="3569.7"/>
    <m/>
    <n v="0.35"/>
    <n v="1249.3949999999998"/>
    <m/>
    <m/>
    <m/>
  </r>
  <r>
    <x v="42"/>
    <x v="0"/>
    <s v="USSF"/>
    <s v="US"/>
    <s v="RDT&amp;E"/>
    <x v="6"/>
    <x v="21"/>
    <m/>
    <m/>
    <m/>
    <m/>
    <n v="3569.7"/>
    <m/>
    <n v="0.35"/>
    <n v="1249.3949999999998"/>
    <m/>
    <m/>
    <m/>
  </r>
  <r>
    <x v="42"/>
    <x v="0"/>
    <s v="USSF"/>
    <s v="US"/>
    <s v="RDT&amp;E"/>
    <x v="12"/>
    <x v="10"/>
    <m/>
    <m/>
    <m/>
    <m/>
    <n v="3569.7"/>
    <m/>
    <n v="0.15"/>
    <n v="535.45499999999993"/>
    <m/>
    <m/>
    <m/>
  </r>
  <r>
    <x v="42"/>
    <x v="0"/>
    <s v="USSF"/>
    <s v="US"/>
    <s v="RDT&amp;E"/>
    <x v="0"/>
    <x v="0"/>
    <m/>
    <m/>
    <m/>
    <m/>
    <n v="3569.7"/>
    <m/>
    <n v="0.15"/>
    <n v="535.45499999999993"/>
    <m/>
    <m/>
    <m/>
  </r>
  <r>
    <x v="42"/>
    <x v="1"/>
    <s v="USSF"/>
    <s v="US"/>
    <s v="RDT&amp;E"/>
    <x v="3"/>
    <x v="1"/>
    <m/>
    <m/>
    <m/>
    <m/>
    <n v="4116.5"/>
    <m/>
    <n v="0.35"/>
    <n v="1440.7749999999999"/>
    <m/>
    <m/>
    <m/>
  </r>
  <r>
    <x v="42"/>
    <x v="1"/>
    <s v="USSF"/>
    <s v="US"/>
    <s v="RDT&amp;E"/>
    <x v="6"/>
    <x v="21"/>
    <m/>
    <m/>
    <m/>
    <m/>
    <n v="4116.5"/>
    <m/>
    <n v="0.35"/>
    <n v="1440.7749999999999"/>
    <m/>
    <m/>
    <m/>
  </r>
  <r>
    <x v="42"/>
    <x v="1"/>
    <s v="USSF"/>
    <s v="US"/>
    <s v="RDT&amp;E"/>
    <x v="12"/>
    <x v="10"/>
    <m/>
    <m/>
    <m/>
    <m/>
    <n v="4116.5"/>
    <m/>
    <n v="0.15"/>
    <n v="617.47500000000002"/>
    <m/>
    <m/>
    <m/>
  </r>
  <r>
    <x v="42"/>
    <x v="1"/>
    <s v="USSF"/>
    <s v="US"/>
    <s v="RDT&amp;E"/>
    <x v="0"/>
    <x v="0"/>
    <m/>
    <m/>
    <m/>
    <m/>
    <n v="4116.5"/>
    <m/>
    <n v="0.15"/>
    <n v="617.47500000000002"/>
    <m/>
    <m/>
    <m/>
  </r>
  <r>
    <x v="42"/>
    <x v="2"/>
    <s v="USSF"/>
    <s v="US"/>
    <s v="RDT&amp;E"/>
    <x v="3"/>
    <x v="1"/>
    <m/>
    <m/>
    <m/>
    <m/>
    <n v="5735.6"/>
    <m/>
    <n v="0.35"/>
    <n v="2007.46"/>
    <m/>
    <m/>
    <m/>
  </r>
  <r>
    <x v="42"/>
    <x v="2"/>
    <s v="USSF"/>
    <s v="US"/>
    <s v="RDT&amp;E"/>
    <x v="6"/>
    <x v="21"/>
    <m/>
    <m/>
    <m/>
    <m/>
    <n v="5735.6"/>
    <m/>
    <n v="0.35"/>
    <n v="2007.46"/>
    <m/>
    <m/>
    <m/>
  </r>
  <r>
    <x v="42"/>
    <x v="2"/>
    <s v="USSF"/>
    <s v="US"/>
    <s v="RDT&amp;E"/>
    <x v="12"/>
    <x v="10"/>
    <m/>
    <m/>
    <m/>
    <m/>
    <n v="5735.6"/>
    <m/>
    <n v="0.15"/>
    <n v="860.34"/>
    <m/>
    <m/>
    <m/>
  </r>
  <r>
    <x v="42"/>
    <x v="2"/>
    <s v="USSF"/>
    <s v="US"/>
    <s v="RDT&amp;E"/>
    <x v="0"/>
    <x v="0"/>
    <m/>
    <m/>
    <m/>
    <m/>
    <n v="5735.6"/>
    <m/>
    <n v="0.15"/>
    <n v="860.34"/>
    <m/>
    <m/>
    <m/>
  </r>
  <r>
    <x v="42"/>
    <x v="0"/>
    <s v="USSF"/>
    <s v="US"/>
    <s v="Procurement"/>
    <x v="3"/>
    <x v="1"/>
    <m/>
    <m/>
    <m/>
    <m/>
    <n v="334.8"/>
    <m/>
    <n v="0.35"/>
    <n v="117.17999999999999"/>
    <m/>
    <m/>
    <m/>
  </r>
  <r>
    <x v="42"/>
    <x v="0"/>
    <s v="USSF"/>
    <s v="US"/>
    <s v="Procurement"/>
    <x v="6"/>
    <x v="21"/>
    <m/>
    <m/>
    <m/>
    <m/>
    <n v="334.8"/>
    <m/>
    <n v="0.35"/>
    <n v="117.17999999999999"/>
    <m/>
    <m/>
    <m/>
  </r>
  <r>
    <x v="42"/>
    <x v="0"/>
    <s v="USSF"/>
    <s v="US"/>
    <s v="Procurement"/>
    <x v="12"/>
    <x v="10"/>
    <m/>
    <m/>
    <m/>
    <m/>
    <n v="334.8"/>
    <m/>
    <n v="0.15"/>
    <n v="50.22"/>
    <m/>
    <m/>
    <m/>
  </r>
  <r>
    <x v="42"/>
    <x v="0"/>
    <s v="USSF"/>
    <s v="US"/>
    <s v="Procurement"/>
    <x v="0"/>
    <x v="0"/>
    <m/>
    <m/>
    <m/>
    <m/>
    <n v="334.8"/>
    <m/>
    <n v="0.15"/>
    <n v="50.22"/>
    <m/>
    <m/>
    <m/>
  </r>
  <r>
    <x v="42"/>
    <x v="1"/>
    <s v="USSF"/>
    <s v="US"/>
    <s v="Procurement"/>
    <x v="3"/>
    <x v="1"/>
    <m/>
    <m/>
    <m/>
    <m/>
    <n v="398.2"/>
    <m/>
    <n v="0.35"/>
    <n v="139.36999999999998"/>
    <m/>
    <m/>
    <m/>
  </r>
  <r>
    <x v="42"/>
    <x v="1"/>
    <s v="USSF"/>
    <s v="US"/>
    <s v="Procurement"/>
    <x v="6"/>
    <x v="21"/>
    <m/>
    <m/>
    <m/>
    <m/>
    <n v="398.2"/>
    <m/>
    <n v="0.35"/>
    <n v="139.36999999999998"/>
    <m/>
    <m/>
    <m/>
  </r>
  <r>
    <x v="42"/>
    <x v="1"/>
    <s v="USSF"/>
    <s v="US"/>
    <s v="Procurement"/>
    <x v="12"/>
    <x v="10"/>
    <m/>
    <m/>
    <m/>
    <m/>
    <n v="398.2"/>
    <m/>
    <n v="0.15"/>
    <n v="59.73"/>
    <m/>
    <m/>
    <m/>
  </r>
  <r>
    <x v="42"/>
    <x v="1"/>
    <s v="USSF"/>
    <s v="US"/>
    <s v="Procurement"/>
    <x v="0"/>
    <x v="0"/>
    <m/>
    <m/>
    <m/>
    <m/>
    <n v="398.2"/>
    <m/>
    <n v="0.15"/>
    <n v="59.73"/>
    <m/>
    <m/>
    <m/>
  </r>
  <r>
    <x v="42"/>
    <x v="2"/>
    <s v="USSF"/>
    <s v="US"/>
    <s v="Procurement"/>
    <x v="3"/>
    <x v="1"/>
    <m/>
    <m/>
    <m/>
    <m/>
    <n v="195.8"/>
    <m/>
    <n v="0.35"/>
    <n v="68.53"/>
    <m/>
    <m/>
    <m/>
  </r>
  <r>
    <x v="42"/>
    <x v="2"/>
    <s v="USSF"/>
    <s v="US"/>
    <s v="Procurement"/>
    <x v="6"/>
    <x v="21"/>
    <m/>
    <m/>
    <m/>
    <m/>
    <n v="195.8"/>
    <m/>
    <n v="0.35"/>
    <n v="68.53"/>
    <m/>
    <m/>
    <m/>
  </r>
  <r>
    <x v="42"/>
    <x v="2"/>
    <s v="USSF"/>
    <s v="US"/>
    <s v="Procurement"/>
    <x v="12"/>
    <x v="10"/>
    <m/>
    <m/>
    <m/>
    <m/>
    <n v="195.8"/>
    <m/>
    <n v="0.15"/>
    <n v="29.37"/>
    <m/>
    <m/>
    <m/>
  </r>
  <r>
    <x v="42"/>
    <x v="2"/>
    <s v="USSF"/>
    <s v="US"/>
    <s v="Procurement"/>
    <x v="0"/>
    <x v="0"/>
    <m/>
    <m/>
    <m/>
    <m/>
    <n v="195.8"/>
    <m/>
    <n v="0.15"/>
    <n v="29.37"/>
    <m/>
    <m/>
    <m/>
  </r>
  <r>
    <x v="43"/>
    <x v="0"/>
    <s v="US Army"/>
    <s v="US"/>
    <s v="RDT&amp;E"/>
    <x v="0"/>
    <x v="0"/>
    <m/>
    <m/>
    <m/>
    <m/>
    <n v="3.9"/>
    <m/>
    <n v="0.35"/>
    <n v="1.365"/>
    <m/>
    <m/>
    <m/>
  </r>
  <r>
    <x v="43"/>
    <x v="0"/>
    <s v="US Army"/>
    <s v="US"/>
    <s v="RDT&amp;E"/>
    <x v="9"/>
    <x v="7"/>
    <m/>
    <m/>
    <m/>
    <m/>
    <n v="3.9"/>
    <m/>
    <n v="0.15"/>
    <n v="0.58499999999999996"/>
    <m/>
    <m/>
    <m/>
  </r>
  <r>
    <x v="43"/>
    <x v="0"/>
    <s v="US Army"/>
    <s v="US"/>
    <s v="RDT&amp;E"/>
    <x v="6"/>
    <x v="21"/>
    <m/>
    <m/>
    <m/>
    <m/>
    <n v="3.9"/>
    <m/>
    <n v="0.25"/>
    <n v="0.97499999999999998"/>
    <m/>
    <m/>
    <m/>
  </r>
  <r>
    <x v="43"/>
    <x v="0"/>
    <s v="US Army"/>
    <s v="US"/>
    <s v="RDT&amp;E"/>
    <x v="1"/>
    <x v="12"/>
    <m/>
    <m/>
    <m/>
    <m/>
    <n v="3.9"/>
    <m/>
    <n v="0.25"/>
    <n v="0.97499999999999998"/>
    <m/>
    <m/>
    <m/>
  </r>
  <r>
    <x v="43"/>
    <x v="1"/>
    <s v="US Army"/>
    <s v="US"/>
    <s v="RDT&amp;E"/>
    <x v="0"/>
    <x v="0"/>
    <m/>
    <m/>
    <m/>
    <m/>
    <n v="38.1"/>
    <m/>
    <n v="0.35"/>
    <n v="13.334999999999999"/>
    <m/>
    <m/>
    <m/>
  </r>
  <r>
    <x v="43"/>
    <x v="1"/>
    <s v="US Army"/>
    <s v="US"/>
    <s v="RDT&amp;E"/>
    <x v="9"/>
    <x v="7"/>
    <m/>
    <m/>
    <m/>
    <m/>
    <n v="38.1"/>
    <m/>
    <n v="0.15"/>
    <n v="5.7149999999999999"/>
    <m/>
    <m/>
    <m/>
  </r>
  <r>
    <x v="43"/>
    <x v="1"/>
    <s v="US Army"/>
    <s v="US"/>
    <s v="RDT&amp;E"/>
    <x v="6"/>
    <x v="21"/>
    <m/>
    <m/>
    <m/>
    <m/>
    <n v="38.1"/>
    <m/>
    <n v="0.25"/>
    <n v="9.5250000000000004"/>
    <m/>
    <m/>
    <m/>
  </r>
  <r>
    <x v="43"/>
    <x v="1"/>
    <s v="US Army"/>
    <s v="US"/>
    <s v="RDT&amp;E"/>
    <x v="1"/>
    <x v="12"/>
    <m/>
    <m/>
    <m/>
    <m/>
    <n v="38.1"/>
    <m/>
    <n v="0.25"/>
    <n v="9.5250000000000004"/>
    <m/>
    <m/>
    <m/>
  </r>
  <r>
    <x v="43"/>
    <x v="2"/>
    <s v="US Army"/>
    <s v="US"/>
    <s v="RDT&amp;E"/>
    <x v="0"/>
    <x v="0"/>
    <m/>
    <m/>
    <m/>
    <m/>
    <n v="350"/>
    <m/>
    <n v="0.35"/>
    <n v="122.49999999999999"/>
    <m/>
    <m/>
    <m/>
  </r>
  <r>
    <x v="43"/>
    <x v="2"/>
    <s v="US Army"/>
    <s v="US"/>
    <s v="RDT&amp;E"/>
    <x v="9"/>
    <x v="7"/>
    <m/>
    <m/>
    <m/>
    <m/>
    <n v="350"/>
    <m/>
    <n v="0.15"/>
    <n v="52.5"/>
    <m/>
    <m/>
    <m/>
  </r>
  <r>
    <x v="43"/>
    <x v="2"/>
    <s v="US Army"/>
    <s v="US"/>
    <s v="RDT&amp;E"/>
    <x v="6"/>
    <x v="21"/>
    <m/>
    <m/>
    <m/>
    <m/>
    <n v="350"/>
    <m/>
    <n v="0.25"/>
    <n v="87.5"/>
    <m/>
    <m/>
    <m/>
  </r>
  <r>
    <x v="43"/>
    <x v="2"/>
    <s v="US Army"/>
    <s v="US"/>
    <s v="RDT&amp;E"/>
    <x v="1"/>
    <x v="12"/>
    <m/>
    <m/>
    <m/>
    <m/>
    <n v="350"/>
    <m/>
    <n v="0.25"/>
    <n v="87.5"/>
    <m/>
    <m/>
    <m/>
  </r>
  <r>
    <x v="43"/>
    <x v="0"/>
    <s v="USN"/>
    <s v="US"/>
    <s v="RDT&amp;E"/>
    <x v="0"/>
    <x v="0"/>
    <m/>
    <m/>
    <m/>
    <m/>
    <n v="366.2"/>
    <m/>
    <n v="0.35"/>
    <n v="128.16999999999999"/>
    <m/>
    <m/>
    <m/>
  </r>
  <r>
    <x v="43"/>
    <x v="0"/>
    <s v="USN"/>
    <s v="US"/>
    <s v="RDT&amp;E"/>
    <x v="9"/>
    <x v="7"/>
    <m/>
    <m/>
    <m/>
    <m/>
    <n v="366.2"/>
    <m/>
    <n v="0.15"/>
    <n v="54.93"/>
    <m/>
    <m/>
    <m/>
  </r>
  <r>
    <x v="43"/>
    <x v="0"/>
    <s v="USN"/>
    <s v="US"/>
    <s v="RDT&amp;E"/>
    <x v="6"/>
    <x v="21"/>
    <m/>
    <m/>
    <m/>
    <m/>
    <n v="366.2"/>
    <m/>
    <n v="0.25"/>
    <n v="91.55"/>
    <m/>
    <m/>
    <m/>
  </r>
  <r>
    <x v="43"/>
    <x v="0"/>
    <s v="USN"/>
    <s v="US"/>
    <s v="RDT&amp;E"/>
    <x v="1"/>
    <x v="12"/>
    <m/>
    <m/>
    <m/>
    <m/>
    <n v="366.2"/>
    <m/>
    <n v="0.25"/>
    <n v="91.55"/>
    <m/>
    <m/>
    <m/>
  </r>
  <r>
    <x v="43"/>
    <x v="1"/>
    <s v="USN"/>
    <s v="US"/>
    <s v="RDT&amp;E"/>
    <x v="0"/>
    <x v="0"/>
    <m/>
    <m/>
    <m/>
    <m/>
    <n v="288.3"/>
    <m/>
    <n v="0.35"/>
    <n v="100.905"/>
    <m/>
    <m/>
    <m/>
  </r>
  <r>
    <x v="43"/>
    <x v="1"/>
    <s v="USN"/>
    <s v="US"/>
    <s v="RDT&amp;E"/>
    <x v="9"/>
    <x v="7"/>
    <m/>
    <m/>
    <m/>
    <m/>
    <n v="288.3"/>
    <m/>
    <n v="0.15"/>
    <n v="43.244999999999997"/>
    <m/>
    <m/>
    <m/>
  </r>
  <r>
    <x v="43"/>
    <x v="1"/>
    <s v="USN"/>
    <s v="US"/>
    <s v="RDT&amp;E"/>
    <x v="6"/>
    <x v="21"/>
    <m/>
    <m/>
    <m/>
    <m/>
    <n v="288.3"/>
    <m/>
    <n v="0.25"/>
    <n v="72.075000000000003"/>
    <m/>
    <m/>
    <m/>
  </r>
  <r>
    <x v="43"/>
    <x v="1"/>
    <s v="USN"/>
    <s v="US"/>
    <s v="RDT&amp;E"/>
    <x v="1"/>
    <x v="12"/>
    <m/>
    <m/>
    <m/>
    <m/>
    <n v="288.3"/>
    <m/>
    <n v="0.25"/>
    <n v="72.075000000000003"/>
    <m/>
    <m/>
    <m/>
  </r>
  <r>
    <x v="43"/>
    <x v="2"/>
    <s v="USN"/>
    <s v="US"/>
    <s v="RDT&amp;E"/>
    <x v="0"/>
    <x v="0"/>
    <m/>
    <m/>
    <m/>
    <m/>
    <n v="413"/>
    <m/>
    <n v="0.35"/>
    <n v="144.54999999999998"/>
    <m/>
    <m/>
    <m/>
  </r>
  <r>
    <x v="43"/>
    <x v="2"/>
    <s v="USN"/>
    <s v="US"/>
    <s v="RDT&amp;E"/>
    <x v="9"/>
    <x v="7"/>
    <m/>
    <m/>
    <m/>
    <m/>
    <n v="413"/>
    <m/>
    <n v="0.15"/>
    <n v="61.949999999999996"/>
    <m/>
    <m/>
    <m/>
  </r>
  <r>
    <x v="43"/>
    <x v="2"/>
    <s v="USN"/>
    <s v="US"/>
    <s v="RDT&amp;E"/>
    <x v="6"/>
    <x v="21"/>
    <m/>
    <m/>
    <m/>
    <m/>
    <n v="413"/>
    <m/>
    <n v="0.25"/>
    <n v="103.25"/>
    <m/>
    <m/>
    <m/>
  </r>
  <r>
    <x v="43"/>
    <x v="2"/>
    <s v="USN"/>
    <s v="US"/>
    <s v="RDT&amp;E"/>
    <x v="1"/>
    <x v="12"/>
    <m/>
    <m/>
    <m/>
    <m/>
    <n v="413"/>
    <m/>
    <n v="0.25"/>
    <n v="103.25"/>
    <m/>
    <m/>
    <m/>
  </r>
  <r>
    <x v="43"/>
    <x v="0"/>
    <s v="MDA"/>
    <s v="US"/>
    <s v="RDT&amp;E"/>
    <x v="0"/>
    <x v="0"/>
    <m/>
    <m/>
    <m/>
    <m/>
    <n v="417"/>
    <m/>
    <n v="0.35"/>
    <n v="145.94999999999999"/>
    <m/>
    <m/>
    <m/>
  </r>
  <r>
    <x v="43"/>
    <x v="0"/>
    <s v="MDA"/>
    <s v="US"/>
    <s v="RDT&amp;E"/>
    <x v="9"/>
    <x v="7"/>
    <m/>
    <m/>
    <m/>
    <m/>
    <n v="417"/>
    <m/>
    <n v="0.15"/>
    <n v="62.55"/>
    <m/>
    <m/>
    <m/>
  </r>
  <r>
    <x v="43"/>
    <x v="0"/>
    <s v="MDA"/>
    <s v="US"/>
    <s v="RDT&amp;E"/>
    <x v="6"/>
    <x v="21"/>
    <m/>
    <m/>
    <m/>
    <m/>
    <n v="417"/>
    <m/>
    <n v="0.25"/>
    <n v="104.25"/>
    <m/>
    <m/>
    <m/>
  </r>
  <r>
    <x v="43"/>
    <x v="0"/>
    <s v="MDA"/>
    <s v="US"/>
    <s v="RDT&amp;E"/>
    <x v="1"/>
    <x v="12"/>
    <m/>
    <m/>
    <m/>
    <m/>
    <n v="417"/>
    <m/>
    <n v="0.25"/>
    <n v="104.25"/>
    <m/>
    <m/>
    <m/>
  </r>
  <r>
    <x v="43"/>
    <x v="1"/>
    <s v="MDA"/>
    <s v="US"/>
    <s v="RDT&amp;E"/>
    <x v="0"/>
    <x v="0"/>
    <m/>
    <m/>
    <m/>
    <m/>
    <n v="353"/>
    <m/>
    <n v="0.35"/>
    <n v="123.55"/>
    <m/>
    <m/>
    <m/>
  </r>
  <r>
    <x v="43"/>
    <x v="1"/>
    <s v="MDA"/>
    <s v="US"/>
    <s v="RDT&amp;E"/>
    <x v="9"/>
    <x v="7"/>
    <m/>
    <m/>
    <m/>
    <m/>
    <n v="353"/>
    <m/>
    <n v="0.15"/>
    <n v="52.949999999999996"/>
    <m/>
    <m/>
    <m/>
  </r>
  <r>
    <x v="43"/>
    <x v="1"/>
    <s v="MDA"/>
    <s v="US"/>
    <s v="RDT&amp;E"/>
    <x v="6"/>
    <x v="21"/>
    <m/>
    <m/>
    <m/>
    <m/>
    <n v="353"/>
    <m/>
    <n v="0.25"/>
    <n v="88.25"/>
    <m/>
    <m/>
    <m/>
  </r>
  <r>
    <x v="43"/>
    <x v="1"/>
    <s v="MDA"/>
    <s v="US"/>
    <s v="RDT&amp;E"/>
    <x v="1"/>
    <x v="12"/>
    <m/>
    <m/>
    <m/>
    <m/>
    <n v="353"/>
    <m/>
    <n v="0.25"/>
    <n v="88.25"/>
    <m/>
    <m/>
    <m/>
  </r>
  <r>
    <x v="43"/>
    <x v="2"/>
    <s v="MDA"/>
    <s v="US"/>
    <s v="RDT&amp;E"/>
    <x v="0"/>
    <x v="0"/>
    <m/>
    <m/>
    <m/>
    <m/>
    <n v="612.1"/>
    <m/>
    <n v="0.35"/>
    <n v="214.23499999999999"/>
    <m/>
    <m/>
    <m/>
  </r>
  <r>
    <x v="43"/>
    <x v="2"/>
    <s v="MDA"/>
    <s v="US"/>
    <s v="RDT&amp;E"/>
    <x v="9"/>
    <x v="7"/>
    <m/>
    <m/>
    <m/>
    <m/>
    <n v="612.1"/>
    <m/>
    <n v="0.15"/>
    <n v="91.814999999999998"/>
    <m/>
    <m/>
    <m/>
  </r>
  <r>
    <x v="43"/>
    <x v="2"/>
    <s v="MDA"/>
    <s v="US"/>
    <s v="RDT&amp;E"/>
    <x v="6"/>
    <x v="21"/>
    <m/>
    <m/>
    <m/>
    <m/>
    <n v="612.1"/>
    <m/>
    <n v="0.25"/>
    <n v="153.02500000000001"/>
    <m/>
    <m/>
    <m/>
  </r>
  <r>
    <x v="43"/>
    <x v="2"/>
    <s v="MDA"/>
    <s v="US"/>
    <s v="RDT&amp;E"/>
    <x v="1"/>
    <x v="12"/>
    <m/>
    <m/>
    <m/>
    <m/>
    <n v="612.1"/>
    <m/>
    <n v="0.25"/>
    <n v="153.02500000000001"/>
    <m/>
    <m/>
    <m/>
  </r>
  <r>
    <x v="43"/>
    <x v="0"/>
    <s v="US Army"/>
    <s v="US"/>
    <s v="Procurement"/>
    <x v="0"/>
    <x v="0"/>
    <m/>
    <m/>
    <m/>
    <m/>
    <n v="2814.9"/>
    <m/>
    <n v="0.4"/>
    <n v="1125.96"/>
    <m/>
    <m/>
    <m/>
  </r>
  <r>
    <x v="43"/>
    <x v="0"/>
    <s v="US Army"/>
    <s v="US"/>
    <s v="Procurement"/>
    <x v="9"/>
    <x v="7"/>
    <m/>
    <m/>
    <m/>
    <m/>
    <n v="2814.9"/>
    <m/>
    <n v="0.1"/>
    <n v="281.49"/>
    <m/>
    <m/>
    <m/>
  </r>
  <r>
    <x v="43"/>
    <x v="0"/>
    <s v="US Army"/>
    <s v="US"/>
    <s v="Procurement"/>
    <x v="6"/>
    <x v="21"/>
    <m/>
    <m/>
    <m/>
    <m/>
    <n v="2814.9"/>
    <m/>
    <n v="0.2"/>
    <n v="562.98"/>
    <m/>
    <m/>
    <m/>
  </r>
  <r>
    <x v="43"/>
    <x v="0"/>
    <s v="US Army"/>
    <s v="US"/>
    <s v="Procurement"/>
    <x v="1"/>
    <x v="12"/>
    <m/>
    <m/>
    <m/>
    <m/>
    <n v="2814.9"/>
    <m/>
    <n v="0.3"/>
    <n v="844.47"/>
    <m/>
    <m/>
    <m/>
  </r>
  <r>
    <x v="43"/>
    <x v="1"/>
    <s v="US Army"/>
    <s v="US"/>
    <s v="Procurement"/>
    <x v="0"/>
    <x v="0"/>
    <m/>
    <m/>
    <m/>
    <m/>
    <n v="905.1"/>
    <m/>
    <n v="0.4"/>
    <n v="362.04"/>
    <m/>
    <m/>
    <m/>
  </r>
  <r>
    <x v="43"/>
    <x v="1"/>
    <s v="US Army"/>
    <s v="US"/>
    <s v="Procurement"/>
    <x v="9"/>
    <x v="7"/>
    <m/>
    <m/>
    <m/>
    <m/>
    <n v="905.1"/>
    <m/>
    <n v="0.1"/>
    <n v="90.51"/>
    <m/>
    <m/>
    <m/>
  </r>
  <r>
    <x v="43"/>
    <x v="1"/>
    <s v="US Army"/>
    <s v="US"/>
    <s v="Procurement"/>
    <x v="6"/>
    <x v="21"/>
    <m/>
    <m/>
    <m/>
    <m/>
    <n v="905.1"/>
    <m/>
    <n v="0.2"/>
    <n v="181.02"/>
    <m/>
    <m/>
    <m/>
  </r>
  <r>
    <x v="43"/>
    <x v="1"/>
    <s v="US Army"/>
    <s v="US"/>
    <s v="Procurement"/>
    <x v="1"/>
    <x v="12"/>
    <m/>
    <m/>
    <m/>
    <m/>
    <n v="905.1"/>
    <m/>
    <n v="0.3"/>
    <n v="271.52999999999997"/>
    <m/>
    <m/>
    <m/>
  </r>
  <r>
    <x v="43"/>
    <x v="2"/>
    <s v="US Army"/>
    <s v="US"/>
    <s v="Procurement"/>
    <x v="0"/>
    <x v="0"/>
    <m/>
    <m/>
    <m/>
    <m/>
    <n v="1311.9"/>
    <m/>
    <n v="0.4"/>
    <n v="524.7600000000001"/>
    <m/>
    <m/>
    <m/>
  </r>
  <r>
    <x v="43"/>
    <x v="2"/>
    <s v="US Army"/>
    <s v="US"/>
    <s v="Procurement"/>
    <x v="9"/>
    <x v="7"/>
    <m/>
    <m/>
    <m/>
    <m/>
    <n v="1311.9"/>
    <m/>
    <n v="0.1"/>
    <n v="131.19000000000003"/>
    <m/>
    <m/>
    <m/>
  </r>
  <r>
    <x v="43"/>
    <x v="2"/>
    <s v="US Army"/>
    <s v="US"/>
    <s v="Procurement"/>
    <x v="6"/>
    <x v="21"/>
    <m/>
    <m/>
    <m/>
    <m/>
    <n v="1311.9"/>
    <m/>
    <n v="0.2"/>
    <n v="262.38000000000005"/>
    <m/>
    <m/>
    <m/>
  </r>
  <r>
    <x v="43"/>
    <x v="2"/>
    <s v="US Army"/>
    <s v="US"/>
    <s v="Procurement"/>
    <x v="1"/>
    <x v="12"/>
    <m/>
    <m/>
    <m/>
    <m/>
    <n v="1311.9"/>
    <m/>
    <n v="0.3"/>
    <n v="393.57"/>
    <m/>
    <m/>
    <m/>
  </r>
  <r>
    <x v="44"/>
    <x v="0"/>
    <s v="US Army"/>
    <s v="US"/>
    <s v="RDT&amp;E"/>
    <x v="1"/>
    <x v="12"/>
    <m/>
    <m/>
    <m/>
    <m/>
    <n v="973.4"/>
    <m/>
    <n v="0.4"/>
    <n v="389.36"/>
    <m/>
    <m/>
    <m/>
  </r>
  <r>
    <x v="44"/>
    <x v="0"/>
    <s v="US Army"/>
    <s v="US"/>
    <s v="RDT&amp;E"/>
    <x v="6"/>
    <x v="21"/>
    <m/>
    <m/>
    <m/>
    <m/>
    <n v="973.4"/>
    <m/>
    <n v="0.25"/>
    <n v="243.35"/>
    <m/>
    <m/>
    <m/>
  </r>
  <r>
    <x v="44"/>
    <x v="0"/>
    <s v="US Army"/>
    <s v="US"/>
    <s v="RDT&amp;E"/>
    <x v="15"/>
    <x v="22"/>
    <m/>
    <m/>
    <m/>
    <m/>
    <n v="973.4"/>
    <m/>
    <n v="0.25"/>
    <n v="243.35"/>
    <m/>
    <m/>
    <m/>
  </r>
  <r>
    <x v="44"/>
    <x v="0"/>
    <s v="US Army"/>
    <s v="US"/>
    <s v="RDT&amp;E"/>
    <x v="23"/>
    <x v="10"/>
    <m/>
    <m/>
    <m/>
    <m/>
    <n v="973.4"/>
    <m/>
    <n v="0.1"/>
    <n v="97.34"/>
    <m/>
    <m/>
    <m/>
  </r>
  <r>
    <x v="44"/>
    <x v="1"/>
    <s v="US Army"/>
    <s v="US"/>
    <s v="RDT&amp;E"/>
    <x v="1"/>
    <x v="12"/>
    <m/>
    <m/>
    <m/>
    <m/>
    <n v="469.8"/>
    <m/>
    <n v="0.4"/>
    <n v="187.92000000000002"/>
    <m/>
    <m/>
    <m/>
  </r>
  <r>
    <x v="44"/>
    <x v="1"/>
    <s v="US Army"/>
    <s v="US"/>
    <s v="RDT&amp;E"/>
    <x v="6"/>
    <x v="21"/>
    <m/>
    <m/>
    <m/>
    <m/>
    <n v="469.8"/>
    <m/>
    <n v="0.25"/>
    <n v="117.45"/>
    <m/>
    <m/>
    <m/>
  </r>
  <r>
    <x v="44"/>
    <x v="1"/>
    <s v="US Army"/>
    <s v="US"/>
    <s v="RDT&amp;E"/>
    <x v="15"/>
    <x v="22"/>
    <m/>
    <m/>
    <m/>
    <m/>
    <n v="469.8"/>
    <m/>
    <n v="0.25"/>
    <n v="117.45"/>
    <m/>
    <m/>
    <m/>
  </r>
  <r>
    <x v="44"/>
    <x v="1"/>
    <s v="US Army"/>
    <s v="US"/>
    <s v="RDT&amp;E"/>
    <x v="23"/>
    <x v="10"/>
    <m/>
    <m/>
    <m/>
    <m/>
    <n v="469.8"/>
    <m/>
    <n v="0.1"/>
    <n v="46.980000000000004"/>
    <m/>
    <m/>
    <m/>
  </r>
  <r>
    <x v="44"/>
    <x v="2"/>
    <s v="US Army"/>
    <s v="US"/>
    <s v="RDT&amp;E"/>
    <x v="1"/>
    <x v="12"/>
    <m/>
    <m/>
    <m/>
    <m/>
    <n v="538"/>
    <m/>
    <n v="0.4"/>
    <n v="215.20000000000002"/>
    <m/>
    <m/>
    <m/>
  </r>
  <r>
    <x v="44"/>
    <x v="2"/>
    <s v="US Army"/>
    <s v="US"/>
    <s v="RDT&amp;E"/>
    <x v="6"/>
    <x v="21"/>
    <m/>
    <m/>
    <m/>
    <m/>
    <n v="538"/>
    <m/>
    <n v="0.25"/>
    <n v="134.5"/>
    <m/>
    <m/>
    <m/>
  </r>
  <r>
    <x v="44"/>
    <x v="2"/>
    <s v="US Army"/>
    <s v="US"/>
    <s v="RDT&amp;E"/>
    <x v="15"/>
    <x v="22"/>
    <m/>
    <m/>
    <m/>
    <m/>
    <n v="538"/>
    <m/>
    <n v="0.25"/>
    <n v="134.5"/>
    <m/>
    <m/>
    <m/>
  </r>
  <r>
    <x v="44"/>
    <x v="2"/>
    <s v="US Army"/>
    <s v="US"/>
    <s v="RDT&amp;E"/>
    <x v="23"/>
    <x v="10"/>
    <m/>
    <m/>
    <m/>
    <m/>
    <n v="538"/>
    <m/>
    <n v="0.1"/>
    <n v="53.800000000000004"/>
    <m/>
    <m/>
    <m/>
  </r>
  <r>
    <x v="44"/>
    <x v="0"/>
    <s v="US Army"/>
    <s v="US"/>
    <s v="Procurement"/>
    <x v="1"/>
    <x v="12"/>
    <m/>
    <m/>
    <m/>
    <m/>
    <n v="62.8"/>
    <m/>
    <n v="0.4"/>
    <n v="25.12"/>
    <m/>
    <m/>
    <m/>
  </r>
  <r>
    <x v="44"/>
    <x v="0"/>
    <s v="US Army"/>
    <s v="US"/>
    <s v="Procurement"/>
    <x v="6"/>
    <x v="21"/>
    <m/>
    <m/>
    <m/>
    <m/>
    <n v="62.8"/>
    <m/>
    <n v="0.25"/>
    <n v="15.7"/>
    <m/>
    <m/>
    <m/>
  </r>
  <r>
    <x v="44"/>
    <x v="0"/>
    <s v="US Army"/>
    <s v="US"/>
    <s v="Procurement"/>
    <x v="15"/>
    <x v="22"/>
    <m/>
    <m/>
    <m/>
    <m/>
    <n v="62.8"/>
    <m/>
    <n v="0.25"/>
    <n v="15.7"/>
    <m/>
    <m/>
    <m/>
  </r>
  <r>
    <x v="44"/>
    <x v="0"/>
    <s v="US Army"/>
    <s v="US"/>
    <s v="Procurement"/>
    <x v="23"/>
    <x v="10"/>
    <m/>
    <m/>
    <m/>
    <m/>
    <n v="62.8"/>
    <m/>
    <n v="0.1"/>
    <n v="6.28"/>
    <m/>
    <m/>
    <m/>
  </r>
  <r>
    <x v="44"/>
    <x v="1"/>
    <s v="US Army"/>
    <s v="US"/>
    <s v="Procurement"/>
    <x v="1"/>
    <x v="12"/>
    <m/>
    <m/>
    <m/>
    <m/>
    <n v="669.2"/>
    <m/>
    <n v="0.4"/>
    <n v="267.68"/>
    <m/>
    <m/>
    <m/>
  </r>
  <r>
    <x v="44"/>
    <x v="1"/>
    <s v="US Army"/>
    <s v="US"/>
    <s v="Procurement"/>
    <x v="6"/>
    <x v="21"/>
    <m/>
    <m/>
    <m/>
    <m/>
    <n v="669.2"/>
    <m/>
    <n v="0.25"/>
    <n v="167.3"/>
    <m/>
    <m/>
    <m/>
  </r>
  <r>
    <x v="44"/>
    <x v="1"/>
    <s v="US Army"/>
    <s v="US"/>
    <s v="Procurement"/>
    <x v="15"/>
    <x v="22"/>
    <m/>
    <m/>
    <m/>
    <m/>
    <n v="669.2"/>
    <m/>
    <n v="0.25"/>
    <n v="167.3"/>
    <m/>
    <m/>
    <m/>
  </r>
  <r>
    <x v="44"/>
    <x v="1"/>
    <s v="US Army"/>
    <s v="US"/>
    <s v="Procurement"/>
    <x v="23"/>
    <x v="10"/>
    <m/>
    <m/>
    <m/>
    <m/>
    <n v="669.2"/>
    <m/>
    <n v="0.1"/>
    <n v="66.92"/>
    <m/>
    <m/>
    <m/>
  </r>
  <r>
    <x v="44"/>
    <x v="2"/>
    <s v="US Army"/>
    <s v="US"/>
    <s v="Procurement"/>
    <x v="1"/>
    <x v="12"/>
    <m/>
    <m/>
    <m/>
    <m/>
    <n v="438.4"/>
    <m/>
    <n v="0.4"/>
    <n v="175.36"/>
    <m/>
    <m/>
    <m/>
  </r>
  <r>
    <x v="44"/>
    <x v="2"/>
    <s v="US Army"/>
    <s v="US"/>
    <s v="Procurement"/>
    <x v="6"/>
    <x v="21"/>
    <m/>
    <m/>
    <m/>
    <m/>
    <n v="438.4"/>
    <m/>
    <n v="0.25"/>
    <n v="109.6"/>
    <m/>
    <m/>
    <m/>
  </r>
  <r>
    <x v="44"/>
    <x v="2"/>
    <s v="US Army"/>
    <s v="US"/>
    <s v="Procurement"/>
    <x v="15"/>
    <x v="22"/>
    <m/>
    <m/>
    <m/>
    <m/>
    <n v="438.4"/>
    <m/>
    <n v="0.25"/>
    <n v="109.6"/>
    <m/>
    <m/>
    <m/>
  </r>
  <r>
    <x v="44"/>
    <x v="2"/>
    <s v="US Army"/>
    <s v="US"/>
    <s v="Procurement"/>
    <x v="23"/>
    <x v="10"/>
    <m/>
    <m/>
    <m/>
    <m/>
    <n v="438.4"/>
    <m/>
    <n v="0.1"/>
    <n v="43.84"/>
    <m/>
    <m/>
    <m/>
  </r>
  <r>
    <x v="45"/>
    <x v="0"/>
    <s v="USAF"/>
    <s v="US"/>
    <s v="RDT&amp;E"/>
    <x v="0"/>
    <x v="0"/>
    <m/>
    <m/>
    <m/>
    <m/>
    <n v="333.3"/>
    <m/>
    <n v="0.65"/>
    <n v="216.64500000000001"/>
    <m/>
    <m/>
    <m/>
  </r>
  <r>
    <x v="45"/>
    <x v="1"/>
    <s v="USAF"/>
    <s v="US"/>
    <s v="RDT&amp;E"/>
    <x v="6"/>
    <x v="21"/>
    <m/>
    <m/>
    <m/>
    <m/>
    <n v="333.3"/>
    <m/>
    <n v="0.35"/>
    <n v="116.655"/>
    <m/>
    <m/>
    <m/>
  </r>
  <r>
    <x v="45"/>
    <x v="2"/>
    <s v="USAF"/>
    <s v="US"/>
    <s v="RDT&amp;E"/>
    <x v="0"/>
    <x v="0"/>
    <m/>
    <m/>
    <m/>
    <m/>
    <n v="466.7"/>
    <m/>
    <n v="0.65"/>
    <n v="303.35500000000002"/>
    <m/>
    <m/>
    <m/>
  </r>
  <r>
    <x v="45"/>
    <x v="0"/>
    <s v="USAF"/>
    <s v="US"/>
    <s v="RDT&amp;E"/>
    <x v="6"/>
    <x v="21"/>
    <m/>
    <m/>
    <m/>
    <m/>
    <n v="466.7"/>
    <m/>
    <n v="0.35"/>
    <n v="163.345"/>
    <m/>
    <m/>
    <m/>
  </r>
  <r>
    <x v="45"/>
    <x v="1"/>
    <s v="USAF"/>
    <s v="US"/>
    <s v="RDT&amp;E"/>
    <x v="0"/>
    <x v="0"/>
    <m/>
    <m/>
    <m/>
    <m/>
    <n v="802.8"/>
    <m/>
    <n v="0.65"/>
    <n v="521.81999999999994"/>
    <m/>
    <m/>
    <m/>
  </r>
  <r>
    <x v="45"/>
    <x v="2"/>
    <s v="USAF"/>
    <s v="US"/>
    <s v="RDT&amp;E"/>
    <x v="6"/>
    <x v="21"/>
    <m/>
    <m/>
    <m/>
    <m/>
    <n v="802.8"/>
    <m/>
    <n v="0.35"/>
    <n v="280.97999999999996"/>
    <m/>
    <m/>
    <m/>
  </r>
  <r>
    <x v="46"/>
    <x v="2"/>
    <m/>
    <s v="UK"/>
    <s v="Procurement"/>
    <x v="12"/>
    <x v="23"/>
    <m/>
    <m/>
    <m/>
    <n v="1644"/>
    <n v="2202.96"/>
    <m/>
    <n v="0.7"/>
    <n v="1542.0719999999999"/>
    <m/>
    <m/>
    <m/>
  </r>
  <r>
    <x v="46"/>
    <x v="2"/>
    <m/>
    <s v="UK"/>
    <s v="Procurement"/>
    <x v="1"/>
    <x v="7"/>
    <m/>
    <m/>
    <m/>
    <n v="1644"/>
    <n v="2202.96"/>
    <m/>
    <n v="0.15"/>
    <n v="330.44400000000002"/>
    <m/>
    <m/>
    <m/>
  </r>
  <r>
    <x v="46"/>
    <x v="2"/>
    <m/>
    <s v="UK"/>
    <s v="Procurement"/>
    <x v="11"/>
    <x v="24"/>
    <m/>
    <m/>
    <m/>
    <n v="1644"/>
    <n v="2202.96"/>
    <m/>
    <n v="0.1"/>
    <n v="220.29600000000002"/>
    <m/>
    <m/>
    <m/>
  </r>
  <r>
    <x v="46"/>
    <x v="2"/>
    <m/>
    <s v="UK"/>
    <s v="Procurement"/>
    <x v="24"/>
    <x v="10"/>
    <m/>
    <m/>
    <m/>
    <n v="1644"/>
    <n v="2202.96"/>
    <m/>
    <n v="0.05"/>
    <n v="110.14800000000001"/>
    <m/>
    <m/>
    <m/>
  </r>
  <r>
    <x v="47"/>
    <x v="2"/>
    <m/>
    <s v="UK"/>
    <s v="Procurement"/>
    <x v="3"/>
    <x v="10"/>
    <m/>
    <m/>
    <m/>
    <n v="604"/>
    <n v="809.36"/>
    <m/>
    <n v="0.8"/>
    <n v="647.48800000000006"/>
    <m/>
    <m/>
    <m/>
  </r>
  <r>
    <x v="47"/>
    <x v="2"/>
    <m/>
    <s v="UK"/>
    <s v="Procurement"/>
    <x v="25"/>
    <x v="10"/>
    <m/>
    <m/>
    <m/>
    <n v="604"/>
    <n v="809.36"/>
    <m/>
    <n v="0.2"/>
    <n v="161.87200000000001"/>
    <m/>
    <m/>
    <m/>
  </r>
  <r>
    <x v="48"/>
    <x v="2"/>
    <m/>
    <s v="UK"/>
    <s v="RDT&amp;E"/>
    <x v="14"/>
    <x v="25"/>
    <m/>
    <m/>
    <m/>
    <n v="654"/>
    <n v="876.36"/>
    <m/>
    <n v="0.38500000000000001"/>
    <n v="337.39859999999999"/>
    <m/>
    <m/>
    <m/>
  </r>
  <r>
    <x v="48"/>
    <x v="2"/>
    <m/>
    <s v="UK"/>
    <s v="RDT&amp;E"/>
    <x v="13"/>
    <x v="10"/>
    <m/>
    <m/>
    <m/>
    <n v="654"/>
    <n v="876.36"/>
    <m/>
    <n v="0.315"/>
    <n v="276.05340000000001"/>
    <m/>
    <m/>
    <m/>
  </r>
  <r>
    <x v="48"/>
    <x v="2"/>
    <m/>
    <s v="UK"/>
    <s v="RDT&amp;E"/>
    <x v="14"/>
    <x v="26"/>
    <m/>
    <m/>
    <m/>
    <n v="654"/>
    <n v="876.36"/>
    <m/>
    <n v="0.15"/>
    <n v="131.45400000000001"/>
    <m/>
    <m/>
    <m/>
  </r>
  <r>
    <x v="48"/>
    <x v="2"/>
    <m/>
    <s v="UK"/>
    <s v="RDT&amp;E"/>
    <x v="25"/>
    <x v="10"/>
    <m/>
    <m/>
    <m/>
    <n v="654"/>
    <n v="876.36"/>
    <m/>
    <n v="0.1"/>
    <n v="87.63600000000001"/>
    <m/>
    <m/>
    <m/>
  </r>
  <r>
    <x v="48"/>
    <x v="2"/>
    <m/>
    <s v="UK"/>
    <s v="RDT&amp;E"/>
    <x v="11"/>
    <x v="10"/>
    <m/>
    <m/>
    <m/>
    <n v="654"/>
    <n v="876.36"/>
    <m/>
    <n v="0.05"/>
    <n v="43.818000000000005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D8AC4-127D-4D88-A9CD-05B4B0D2644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59" firstHeaderRow="1" firstDataRow="2" firstDataCol="1"/>
  <pivotFields count="18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Row" showAll="0" sortType="descending">
      <items count="29">
        <item sd="0" x="1"/>
        <item x="0"/>
        <item sd="0" m="1" x="26"/>
        <item sd="0" x="2"/>
        <item sd="0" x="3"/>
        <item sd="0" x="4"/>
        <item sd="0" x="5"/>
        <item sd="0" x="6"/>
        <item sd="0" x="7"/>
        <item sd="0" x="8"/>
        <item sd="0" x="9"/>
        <item sd="0" m="1" x="27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8">
        <item x="1"/>
        <item x="2"/>
        <item x="0"/>
        <item x="10"/>
        <item x="3"/>
        <item x="4"/>
        <item x="5"/>
        <item x="6"/>
        <item x="7"/>
        <item x="8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66" showAll="0"/>
    <pivotField showAll="0"/>
    <pivotField showAll="0"/>
    <pivotField showAll="0"/>
  </pivotFields>
  <rowFields count="3">
    <field x="5"/>
    <field x="6"/>
    <field x="0"/>
  </rowFields>
  <rowItems count="55">
    <i>
      <x/>
    </i>
    <i>
      <x v="7"/>
    </i>
    <i>
      <x v="1"/>
    </i>
    <i r="1">
      <x v="1"/>
    </i>
    <i r="2">
      <x v="1"/>
    </i>
    <i r="2">
      <x v="4"/>
    </i>
    <i r="2">
      <x v="5"/>
    </i>
    <i r="2">
      <x v="6"/>
    </i>
    <i r="2">
      <x v="7"/>
    </i>
    <i r="2">
      <x v="11"/>
    </i>
    <i r="2">
      <x v="15"/>
    </i>
    <i r="1">
      <x v="2"/>
    </i>
    <i r="2">
      <x/>
    </i>
    <i r="2">
      <x v="5"/>
    </i>
    <i r="2">
      <x v="7"/>
    </i>
    <i r="2">
      <x v="8"/>
    </i>
    <i r="2">
      <x v="27"/>
    </i>
    <i r="2">
      <x v="29"/>
    </i>
    <i r="2">
      <x v="32"/>
    </i>
    <i r="2">
      <x v="36"/>
    </i>
    <i r="2">
      <x v="37"/>
    </i>
    <i r="2">
      <x v="39"/>
    </i>
    <i r="2">
      <x v="41"/>
    </i>
    <i r="2">
      <x v="42"/>
    </i>
    <i r="2">
      <x v="43"/>
    </i>
    <i r="2">
      <x v="45"/>
    </i>
    <i r="1">
      <x v="11"/>
    </i>
    <i r="2">
      <x v="6"/>
    </i>
    <i r="2">
      <x v="10"/>
    </i>
    <i r="2">
      <x v="12"/>
    </i>
    <i r="2">
      <x v="19"/>
    </i>
    <i>
      <x v="4"/>
    </i>
    <i>
      <x v="14"/>
    </i>
    <i>
      <x v="15"/>
    </i>
    <i>
      <x v="3"/>
    </i>
    <i>
      <x v="10"/>
    </i>
    <i>
      <x v="19"/>
    </i>
    <i>
      <x v="18"/>
    </i>
    <i>
      <x v="9"/>
    </i>
    <i>
      <x v="6"/>
    </i>
    <i>
      <x v="20"/>
    </i>
    <i>
      <x v="21"/>
    </i>
    <i>
      <x v="5"/>
    </i>
    <i>
      <x v="17"/>
    </i>
    <i>
      <x v="12"/>
    </i>
    <i>
      <x v="16"/>
    </i>
    <i>
      <x v="22"/>
    </i>
    <i>
      <x v="23"/>
    </i>
    <i>
      <x v="13"/>
    </i>
    <i>
      <x v="24"/>
    </i>
    <i>
      <x v="25"/>
    </i>
    <i>
      <x v="27"/>
    </i>
    <i>
      <x v="8"/>
    </i>
    <i>
      <x v="26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dj_Value_USD_M" fld="14" baseField="0" baseItem="0" numFmtId="166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C179-4CC4-4BFB-BB5F-20A759FB583E}">
  <dimension ref="B1:J52"/>
  <sheetViews>
    <sheetView tabSelected="1" workbookViewId="0">
      <selection activeCell="D4" sqref="D4"/>
    </sheetView>
  </sheetViews>
  <sheetFormatPr defaultColWidth="8.88671875" defaultRowHeight="14.4" x14ac:dyDescent="0.3"/>
  <cols>
    <col min="1" max="4" width="8.88671875" style="1"/>
    <col min="5" max="7" width="12.6640625" style="8" customWidth="1"/>
    <col min="8" max="8" width="8.88671875" style="16" customWidth="1"/>
    <col min="9" max="9" width="8.88671875" style="13"/>
    <col min="10" max="10" width="8.88671875" style="17"/>
    <col min="11" max="16384" width="8.88671875" style="1"/>
  </cols>
  <sheetData>
    <row r="1" spans="2:10" x14ac:dyDescent="0.3">
      <c r="H1" s="1"/>
      <c r="I1" s="1"/>
      <c r="J1" s="1"/>
    </row>
    <row r="2" spans="2:10" x14ac:dyDescent="0.3">
      <c r="E2" s="8" t="s">
        <v>8</v>
      </c>
      <c r="F2" s="8" t="s">
        <v>9</v>
      </c>
      <c r="G2" s="8" t="s">
        <v>10</v>
      </c>
      <c r="H2" s="1"/>
      <c r="I2" s="1"/>
      <c r="J2" s="1"/>
    </row>
    <row r="3" spans="2:10" x14ac:dyDescent="0.3">
      <c r="B3" s="4" t="s">
        <v>0</v>
      </c>
      <c r="C3" s="1" t="s">
        <v>1</v>
      </c>
      <c r="D3" s="9">
        <v>200.93</v>
      </c>
      <c r="E3" s="10">
        <v>46053</v>
      </c>
      <c r="F3" s="10">
        <f ca="1">TODAY()</f>
        <v>46053</v>
      </c>
      <c r="G3" s="10">
        <v>46140</v>
      </c>
      <c r="H3" s="1"/>
      <c r="I3" s="1" t="s">
        <v>120</v>
      </c>
      <c r="J3" s="1"/>
    </row>
    <row r="4" spans="2:10" x14ac:dyDescent="0.3">
      <c r="C4" s="1" t="s">
        <v>2</v>
      </c>
      <c r="D4" s="3">
        <f>1344.9</f>
        <v>1344.9</v>
      </c>
      <c r="E4" s="11" t="s">
        <v>190</v>
      </c>
      <c r="H4" s="1"/>
      <c r="I4" s="18"/>
      <c r="J4" s="1"/>
    </row>
    <row r="5" spans="2:10" x14ac:dyDescent="0.3">
      <c r="C5" s="1" t="s">
        <v>3</v>
      </c>
      <c r="D5" s="3">
        <f>D3*D4</f>
        <v>270230.75700000004</v>
      </c>
      <c r="E5" s="11"/>
      <c r="I5" s="13" t="s">
        <v>103</v>
      </c>
    </row>
    <row r="6" spans="2:10" x14ac:dyDescent="0.3">
      <c r="C6" s="1" t="s">
        <v>4</v>
      </c>
      <c r="D6" s="3">
        <f>7435</f>
        <v>7435</v>
      </c>
      <c r="E6" s="11" t="s">
        <v>54</v>
      </c>
      <c r="H6" s="1"/>
      <c r="J6" s="1"/>
    </row>
    <row r="7" spans="2:10" x14ac:dyDescent="0.3">
      <c r="C7" s="1" t="s">
        <v>5</v>
      </c>
      <c r="D7" s="3">
        <f>204+3412+34288</f>
        <v>37904</v>
      </c>
      <c r="E7" s="11" t="s">
        <v>54</v>
      </c>
      <c r="H7" s="1"/>
      <c r="J7" s="1"/>
    </row>
    <row r="8" spans="2:10" x14ac:dyDescent="0.3">
      <c r="C8" s="1" t="s">
        <v>6</v>
      </c>
      <c r="D8" s="3">
        <f>D6-D7</f>
        <v>-30469</v>
      </c>
      <c r="E8" s="11"/>
      <c r="H8" s="1"/>
      <c r="J8" s="1"/>
    </row>
    <row r="9" spans="2:10" x14ac:dyDescent="0.3">
      <c r="C9" s="1" t="s">
        <v>7</v>
      </c>
      <c r="D9" s="3">
        <f>D5-D8</f>
        <v>300699.75700000004</v>
      </c>
      <c r="E9" s="11"/>
    </row>
    <row r="13" spans="2:10" x14ac:dyDescent="0.3">
      <c r="B13" s="1" t="s">
        <v>67</v>
      </c>
    </row>
    <row r="15" spans="2:10" x14ac:dyDescent="0.3">
      <c r="B15" s="14" t="s">
        <v>69</v>
      </c>
    </row>
    <row r="16" spans="2:10" x14ac:dyDescent="0.3">
      <c r="B16" s="13"/>
    </row>
    <row r="17" spans="2:2" x14ac:dyDescent="0.3">
      <c r="B17" s="20" t="s">
        <v>72</v>
      </c>
    </row>
    <row r="18" spans="2:2" x14ac:dyDescent="0.3">
      <c r="B18" s="20" t="s">
        <v>73</v>
      </c>
    </row>
    <row r="19" spans="2:2" x14ac:dyDescent="0.3">
      <c r="B19" s="20" t="s">
        <v>74</v>
      </c>
    </row>
    <row r="20" spans="2:2" x14ac:dyDescent="0.3">
      <c r="B20" s="20" t="s">
        <v>75</v>
      </c>
    </row>
    <row r="21" spans="2:2" x14ac:dyDescent="0.3">
      <c r="B21" s="20" t="s">
        <v>76</v>
      </c>
    </row>
    <row r="22" spans="2:2" x14ac:dyDescent="0.3">
      <c r="B22" s="20" t="s">
        <v>77</v>
      </c>
    </row>
    <row r="23" spans="2:2" x14ac:dyDescent="0.3">
      <c r="B23" s="20" t="s">
        <v>78</v>
      </c>
    </row>
    <row r="24" spans="2:2" x14ac:dyDescent="0.3">
      <c r="B24" s="20" t="s">
        <v>79</v>
      </c>
    </row>
    <row r="25" spans="2:2" x14ac:dyDescent="0.3">
      <c r="B25" s="20" t="s">
        <v>80</v>
      </c>
    </row>
    <row r="26" spans="2:2" x14ac:dyDescent="0.3">
      <c r="B26" s="20" t="s">
        <v>81</v>
      </c>
    </row>
    <row r="27" spans="2:2" x14ac:dyDescent="0.3">
      <c r="B27" s="13"/>
    </row>
    <row r="28" spans="2:2" x14ac:dyDescent="0.3">
      <c r="B28" s="14" t="s">
        <v>71</v>
      </c>
    </row>
    <row r="29" spans="2:2" x14ac:dyDescent="0.3">
      <c r="B29" s="19"/>
    </row>
    <row r="30" spans="2:2" x14ac:dyDescent="0.3">
      <c r="B30" s="20" t="s">
        <v>82</v>
      </c>
    </row>
    <row r="31" spans="2:2" x14ac:dyDescent="0.3">
      <c r="B31" s="20" t="s">
        <v>83</v>
      </c>
    </row>
    <row r="32" spans="2:2" x14ac:dyDescent="0.3">
      <c r="B32" s="20" t="s">
        <v>84</v>
      </c>
    </row>
    <row r="33" spans="2:2" x14ac:dyDescent="0.3">
      <c r="B33" s="20" t="s">
        <v>85</v>
      </c>
    </row>
    <row r="34" spans="2:2" x14ac:dyDescent="0.3">
      <c r="B34" s="20" t="s">
        <v>86</v>
      </c>
    </row>
    <row r="35" spans="2:2" x14ac:dyDescent="0.3">
      <c r="B35" s="20" t="s">
        <v>87</v>
      </c>
    </row>
    <row r="36" spans="2:2" x14ac:dyDescent="0.3">
      <c r="B36" s="20" t="s">
        <v>88</v>
      </c>
    </row>
    <row r="37" spans="2:2" x14ac:dyDescent="0.3">
      <c r="B37" s="20" t="s">
        <v>89</v>
      </c>
    </row>
    <row r="38" spans="2:2" x14ac:dyDescent="0.3">
      <c r="B38" s="20" t="s">
        <v>90</v>
      </c>
    </row>
    <row r="39" spans="2:2" x14ac:dyDescent="0.3">
      <c r="B39" s="20" t="s">
        <v>91</v>
      </c>
    </row>
    <row r="40" spans="2:2" x14ac:dyDescent="0.3">
      <c r="B40" s="19"/>
    </row>
    <row r="41" spans="2:2" x14ac:dyDescent="0.3">
      <c r="B41" s="21" t="s">
        <v>92</v>
      </c>
    </row>
    <row r="42" spans="2:2" x14ac:dyDescent="0.3">
      <c r="B42" s="21"/>
    </row>
    <row r="43" spans="2:2" x14ac:dyDescent="0.3">
      <c r="B43" s="20" t="s">
        <v>93</v>
      </c>
    </row>
    <row r="44" spans="2:2" x14ac:dyDescent="0.3">
      <c r="B44" s="20" t="s">
        <v>94</v>
      </c>
    </row>
    <row r="45" spans="2:2" x14ac:dyDescent="0.3">
      <c r="B45" s="20" t="s">
        <v>95</v>
      </c>
    </row>
    <row r="46" spans="2:2" x14ac:dyDescent="0.3">
      <c r="B46" s="20" t="s">
        <v>96</v>
      </c>
    </row>
    <row r="47" spans="2:2" x14ac:dyDescent="0.3">
      <c r="B47" s="20" t="s">
        <v>97</v>
      </c>
    </row>
    <row r="48" spans="2:2" x14ac:dyDescent="0.3">
      <c r="B48" s="20" t="s">
        <v>98</v>
      </c>
    </row>
    <row r="49" spans="2:2" x14ac:dyDescent="0.3">
      <c r="B49" s="20" t="s">
        <v>99</v>
      </c>
    </row>
    <row r="50" spans="2:2" x14ac:dyDescent="0.3">
      <c r="B50" s="20" t="s">
        <v>100</v>
      </c>
    </row>
    <row r="51" spans="2:2" x14ac:dyDescent="0.3">
      <c r="B51" s="20" t="s">
        <v>101</v>
      </c>
    </row>
    <row r="52" spans="2:2" x14ac:dyDescent="0.3">
      <c r="B52" s="20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CFEA-4609-4B74-A80E-9BDBF53DBD8A}">
  <dimension ref="B2:EI72"/>
  <sheetViews>
    <sheetView workbookViewId="0">
      <pane xSplit="2" ySplit="2" topLeftCell="N54" activePane="bottomRight" state="frozen"/>
      <selection pane="topRight" activeCell="C1" sqref="C1"/>
      <selection pane="bottomLeft" activeCell="A3" sqref="A3"/>
      <selection pane="bottomRight" activeCell="N70" sqref="N70"/>
    </sheetView>
  </sheetViews>
  <sheetFormatPr defaultColWidth="8.88671875" defaultRowHeight="14.4" x14ac:dyDescent="0.3"/>
  <cols>
    <col min="1" max="1" width="8.88671875" style="1"/>
    <col min="2" max="2" width="19.109375" style="1" customWidth="1"/>
    <col min="3" max="43" width="8.88671875" style="1"/>
    <col min="44" max="44" width="11.88671875" style="1" bestFit="1" customWidth="1"/>
    <col min="45" max="45" width="17.109375" style="1" customWidth="1"/>
    <col min="46" max="16384" width="8.88671875" style="1"/>
  </cols>
  <sheetData>
    <row r="2" spans="2:41" x14ac:dyDescent="0.3"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11</v>
      </c>
      <c r="M2" s="2" t="s">
        <v>21</v>
      </c>
      <c r="N2" s="2" t="s">
        <v>22</v>
      </c>
      <c r="O2" s="2" t="s">
        <v>51</v>
      </c>
      <c r="P2" s="2" t="s">
        <v>52</v>
      </c>
      <c r="Q2" s="2" t="s">
        <v>53</v>
      </c>
      <c r="R2" s="2" t="s">
        <v>54</v>
      </c>
      <c r="S2" s="2"/>
      <c r="T2" s="2"/>
      <c r="U2" s="2"/>
      <c r="V2" s="2"/>
      <c r="Y2" s="1">
        <v>2019</v>
      </c>
      <c r="Z2" s="1">
        <v>2020</v>
      </c>
      <c r="AA2" s="1">
        <v>2021</v>
      </c>
      <c r="AB2" s="1">
        <v>2022</v>
      </c>
      <c r="AC2" s="1">
        <v>2023</v>
      </c>
      <c r="AD2" s="1">
        <v>2024</v>
      </c>
      <c r="AE2" s="1">
        <v>2025</v>
      </c>
      <c r="AF2" s="1">
        <v>2026</v>
      </c>
      <c r="AG2" s="1">
        <v>2027</v>
      </c>
      <c r="AH2" s="1">
        <v>2028</v>
      </c>
      <c r="AI2" s="1">
        <v>2029</v>
      </c>
      <c r="AJ2" s="1">
        <v>2030</v>
      </c>
      <c r="AK2" s="1">
        <v>2031</v>
      </c>
      <c r="AL2" s="1">
        <v>2032</v>
      </c>
      <c r="AM2" s="1">
        <v>2033</v>
      </c>
      <c r="AN2" s="1">
        <v>2034</v>
      </c>
      <c r="AO2" s="1">
        <v>2035</v>
      </c>
    </row>
    <row r="3" spans="2:41" x14ac:dyDescent="0.3">
      <c r="B3" s="1" t="s">
        <v>106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B3" s="3">
        <v>30317</v>
      </c>
      <c r="AC3" s="3">
        <v>31628</v>
      </c>
      <c r="AD3" s="3">
        <v>32246</v>
      </c>
    </row>
    <row r="4" spans="2:41" x14ac:dyDescent="0.3">
      <c r="B4" s="1" t="s">
        <v>108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AB4" s="7">
        <f>AB3/AB32</f>
        <v>0.45199332080985183</v>
      </c>
      <c r="AC4" s="7">
        <f>AC3/AC32</f>
        <v>0.45890887986070805</v>
      </c>
      <c r="AD4" s="7">
        <f>AD3/AD32</f>
        <v>0.39939062151651017</v>
      </c>
    </row>
    <row r="5" spans="2:41" x14ac:dyDescent="0.3">
      <c r="B5" s="1" t="s">
        <v>107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AB5" s="3">
        <v>25884</v>
      </c>
      <c r="AC5" s="3">
        <v>29440</v>
      </c>
      <c r="AD5" s="3">
        <v>34651</v>
      </c>
    </row>
    <row r="6" spans="2:41" x14ac:dyDescent="0.3">
      <c r="B6" s="1" t="s">
        <v>109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AB6" s="7">
        <f>AB5/AB32</f>
        <v>0.38590213793720368</v>
      </c>
      <c r="AC6" s="7">
        <f>AC5/AC32</f>
        <v>0.42716192687173532</v>
      </c>
      <c r="AD6" s="7">
        <f>AD5/AD32</f>
        <v>0.42917832990661153</v>
      </c>
    </row>
    <row r="7" spans="2:41" x14ac:dyDescent="0.3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AB7" s="7"/>
      <c r="AC7" s="7"/>
      <c r="AD7" s="7"/>
    </row>
    <row r="8" spans="2:41" x14ac:dyDescent="0.3">
      <c r="B8" s="1" t="s">
        <v>110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AB8" s="7"/>
      <c r="AC8" s="7"/>
      <c r="AD8" s="3">
        <v>186000</v>
      </c>
    </row>
    <row r="9" spans="2:41" x14ac:dyDescent="0.3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2:41" x14ac:dyDescent="0.3">
      <c r="B10" s="1" t="s">
        <v>118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9">
        <v>93000</v>
      </c>
      <c r="O10" s="29">
        <v>92000</v>
      </c>
      <c r="P10" s="29">
        <v>92000</v>
      </c>
      <c r="Q10" s="29">
        <v>103000</v>
      </c>
      <c r="R10" s="2"/>
      <c r="S10" s="2"/>
      <c r="T10" s="2"/>
      <c r="U10" s="2"/>
      <c r="V10" s="2"/>
      <c r="AC10" s="3">
        <v>78000</v>
      </c>
      <c r="AD10" s="3">
        <v>93000</v>
      </c>
      <c r="AE10" s="31">
        <f>Q10</f>
        <v>103000</v>
      </c>
    </row>
    <row r="11" spans="2:41" x14ac:dyDescent="0.3">
      <c r="B11" s="1" t="s">
        <v>119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9">
        <v>125000</v>
      </c>
      <c r="O11" s="29">
        <v>125000</v>
      </c>
      <c r="P11" s="29">
        <v>144000</v>
      </c>
      <c r="Q11" s="29">
        <v>148000</v>
      </c>
      <c r="R11" s="2"/>
      <c r="S11" s="2"/>
      <c r="T11" s="2"/>
      <c r="U11" s="2"/>
      <c r="V11" s="2"/>
      <c r="AC11" s="3">
        <v>118000</v>
      </c>
      <c r="AD11" s="3">
        <v>125000</v>
      </c>
      <c r="AE11" s="31">
        <f>Q11</f>
        <v>148000</v>
      </c>
    </row>
    <row r="12" spans="2:41" s="4" customFormat="1" x14ac:dyDescent="0.3">
      <c r="B12" s="4" t="s">
        <v>186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30">
        <f>SUM(N10:N11)</f>
        <v>218000</v>
      </c>
      <c r="O12" s="30">
        <f>SUM(O10:O11)</f>
        <v>217000</v>
      </c>
      <c r="P12" s="30">
        <f>SUM(P10:P11)</f>
        <v>236000</v>
      </c>
      <c r="Q12" s="30">
        <f>SUM(Q10:Q11)</f>
        <v>251000</v>
      </c>
      <c r="R12" s="22"/>
      <c r="S12" s="22"/>
      <c r="T12" s="22"/>
      <c r="U12" s="22"/>
      <c r="V12" s="22"/>
      <c r="AC12" s="5">
        <f>SUM(AC10:AC11)</f>
        <v>196000</v>
      </c>
      <c r="AD12" s="5">
        <f>SUM(AD10:AD11)</f>
        <v>218000</v>
      </c>
      <c r="AE12" s="33">
        <f>SUM(AE10:AE11)</f>
        <v>251000</v>
      </c>
    </row>
    <row r="13" spans="2:41" x14ac:dyDescent="0.3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AC13" s="3"/>
      <c r="AD13" s="3"/>
    </row>
    <row r="14" spans="2:41" x14ac:dyDescent="0.3">
      <c r="B14" s="1" t="s">
        <v>115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9"/>
      <c r="R14" s="2"/>
      <c r="S14" s="2"/>
      <c r="T14" s="2"/>
      <c r="U14" s="2"/>
      <c r="V14" s="2"/>
      <c r="AA14" s="7"/>
      <c r="AB14" s="7"/>
      <c r="AC14" s="3">
        <v>30000</v>
      </c>
      <c r="AD14" s="3">
        <v>36000</v>
      </c>
      <c r="AE14" s="31">
        <f>AE20*0.16</f>
        <v>40160</v>
      </c>
    </row>
    <row r="15" spans="2:41" x14ac:dyDescent="0.3">
      <c r="B15" s="1" t="s">
        <v>114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AA15" s="7"/>
      <c r="AB15" s="7"/>
      <c r="AC15" s="3">
        <v>114000</v>
      </c>
      <c r="AD15" s="3">
        <v>119000</v>
      </c>
      <c r="AE15" s="31">
        <f>AE20*0.56</f>
        <v>140560</v>
      </c>
    </row>
    <row r="16" spans="2:41" x14ac:dyDescent="0.3">
      <c r="B16" s="1" t="s">
        <v>116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AA16" s="7"/>
      <c r="AB16" s="7"/>
      <c r="AC16" s="3">
        <v>52000</v>
      </c>
      <c r="AD16" s="3">
        <v>63000</v>
      </c>
      <c r="AE16" s="31">
        <f>AE20*0.28</f>
        <v>70280</v>
      </c>
    </row>
    <row r="17" spans="2:41" x14ac:dyDescent="0.3">
      <c r="B17" s="1" t="s">
        <v>187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AA17" s="7"/>
      <c r="AB17" s="7"/>
      <c r="AC17" s="7">
        <f>AC14/AC$20</f>
        <v>0.15306122448979592</v>
      </c>
      <c r="AD17" s="7">
        <f t="shared" ref="AD17:AE19" si="0">AD14/AD$20</f>
        <v>0.16513761467889909</v>
      </c>
      <c r="AE17" s="32">
        <f t="shared" si="0"/>
        <v>0.16</v>
      </c>
    </row>
    <row r="18" spans="2:41" x14ac:dyDescent="0.3">
      <c r="B18" s="1" t="s">
        <v>188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AA18" s="7"/>
      <c r="AB18" s="7"/>
      <c r="AC18" s="7">
        <f t="shared" ref="AC18:AC19" si="1">AC15/AC$20</f>
        <v>0.58163265306122447</v>
      </c>
      <c r="AD18" s="7">
        <f t="shared" si="0"/>
        <v>0.54587155963302747</v>
      </c>
      <c r="AE18" s="32">
        <f t="shared" si="0"/>
        <v>0.56000000000000005</v>
      </c>
    </row>
    <row r="19" spans="2:41" x14ac:dyDescent="0.3">
      <c r="B19" s="1" t="s">
        <v>189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AA19" s="7"/>
      <c r="AB19" s="7"/>
      <c r="AC19" s="7">
        <f t="shared" si="1"/>
        <v>0.26530612244897961</v>
      </c>
      <c r="AD19" s="7">
        <f t="shared" si="0"/>
        <v>0.28899082568807338</v>
      </c>
      <c r="AE19" s="32">
        <f t="shared" si="0"/>
        <v>0.28000000000000003</v>
      </c>
    </row>
    <row r="20" spans="2:41" s="4" customFormat="1" x14ac:dyDescent="0.3">
      <c r="B20" s="4" t="s">
        <v>117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30">
        <v>217000</v>
      </c>
      <c r="P20" s="30">
        <v>217000</v>
      </c>
      <c r="Q20" s="30">
        <v>251000</v>
      </c>
      <c r="R20" s="22"/>
      <c r="S20" s="22"/>
      <c r="T20" s="22"/>
      <c r="U20" s="22"/>
      <c r="V20" s="22"/>
      <c r="AC20" s="5">
        <f>SUM(AC14:AC16)</f>
        <v>196000</v>
      </c>
      <c r="AD20" s="5">
        <f>SUM(AD14:AD16)</f>
        <v>218000</v>
      </c>
      <c r="AE20" s="34">
        <v>251000</v>
      </c>
    </row>
    <row r="21" spans="2:41" x14ac:dyDescent="0.3">
      <c r="B21" s="1" t="s">
        <v>104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D21" s="7"/>
      <c r="AE21" s="32">
        <v>0.25</v>
      </c>
    </row>
    <row r="22" spans="2:41" x14ac:dyDescent="0.3">
      <c r="B22" s="1" t="s">
        <v>105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AD22" s="3"/>
      <c r="AE22" s="31">
        <f>AD20*AE21</f>
        <v>54500</v>
      </c>
      <c r="AF22" s="3"/>
    </row>
    <row r="23" spans="2:41" x14ac:dyDescent="0.3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2:41" x14ac:dyDescent="0.3">
      <c r="B24" s="1" t="s">
        <v>68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9">
        <v>7075</v>
      </c>
      <c r="N24" s="29">
        <v>7537</v>
      </c>
      <c r="O24" s="29"/>
      <c r="P24" s="29"/>
      <c r="Q24" s="29">
        <v>7621</v>
      </c>
      <c r="R24" s="29">
        <v>7736</v>
      </c>
      <c r="S24" s="2"/>
      <c r="T24" s="2"/>
      <c r="U24" s="2"/>
      <c r="V24" s="2"/>
      <c r="AB24" s="3">
        <v>23052</v>
      </c>
      <c r="AC24" s="3">
        <v>26253</v>
      </c>
      <c r="AD24" s="3">
        <v>28284</v>
      </c>
    </row>
    <row r="25" spans="2:41" x14ac:dyDescent="0.3">
      <c r="B25" s="1" t="s">
        <v>70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9">
        <v>7239</v>
      </c>
      <c r="N25" s="29">
        <v>7569</v>
      </c>
      <c r="O25" s="29"/>
      <c r="P25" s="29"/>
      <c r="Q25" s="29">
        <v>8423</v>
      </c>
      <c r="R25" s="29">
        <v>9496</v>
      </c>
      <c r="S25" s="2"/>
      <c r="T25" s="2"/>
      <c r="U25" s="2"/>
      <c r="V25" s="2"/>
      <c r="AB25" s="3">
        <v>20530</v>
      </c>
      <c r="AC25" s="3">
        <v>18296</v>
      </c>
      <c r="AD25" s="3">
        <v>28066</v>
      </c>
    </row>
    <row r="26" spans="2:41" x14ac:dyDescent="0.3">
      <c r="B26" s="1" t="s">
        <v>111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9">
        <v>6386</v>
      </c>
      <c r="N26" s="29">
        <v>7157</v>
      </c>
      <c r="O26" s="29"/>
      <c r="P26" s="29"/>
      <c r="Q26" s="29">
        <v>7045</v>
      </c>
      <c r="R26" s="29">
        <v>7657</v>
      </c>
      <c r="S26" s="2"/>
      <c r="T26" s="2"/>
      <c r="U26" s="2"/>
      <c r="V26" s="2"/>
      <c r="AB26" s="3">
        <v>25176</v>
      </c>
      <c r="AC26" s="3">
        <v>26350</v>
      </c>
      <c r="AD26" s="3">
        <v>26713</v>
      </c>
    </row>
    <row r="27" spans="2:41" x14ac:dyDescent="0.3">
      <c r="B27" s="1" t="s">
        <v>112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9">
        <v>-611</v>
      </c>
      <c r="N27" s="29">
        <v>-640</v>
      </c>
      <c r="O27" s="29"/>
      <c r="P27" s="29"/>
      <c r="Q27" s="29">
        <v>-611</v>
      </c>
      <c r="R27" s="29">
        <v>-651</v>
      </c>
      <c r="S27" s="2"/>
      <c r="T27" s="2"/>
      <c r="U27" s="2"/>
      <c r="V27" s="2"/>
      <c r="AB27" s="3">
        <v>-1684</v>
      </c>
      <c r="AC27" s="3">
        <v>-1979</v>
      </c>
      <c r="AD27" s="3">
        <v>-2325</v>
      </c>
    </row>
    <row r="28" spans="2:41" s="4" customFormat="1" x14ac:dyDescent="0.3">
      <c r="B28" s="4" t="s">
        <v>113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30">
        <f>SUM(M24:M27)</f>
        <v>20089</v>
      </c>
      <c r="N28" s="30">
        <f>SUM(N24:N27)</f>
        <v>21623</v>
      </c>
      <c r="O28" s="22"/>
      <c r="P28" s="22"/>
      <c r="Q28" s="30">
        <f>SUM(Q24:Q27)</f>
        <v>22478</v>
      </c>
      <c r="R28" s="30">
        <f>SUM(R24:R27)</f>
        <v>24238</v>
      </c>
      <c r="S28" s="22"/>
      <c r="T28" s="22"/>
      <c r="U28" s="22"/>
      <c r="V28" s="22"/>
      <c r="AB28" s="5">
        <f>SUM(AB24:AB27)</f>
        <v>67074</v>
      </c>
      <c r="AC28" s="5">
        <f>SUM(AC24:AC27)</f>
        <v>68920</v>
      </c>
      <c r="AD28" s="5">
        <f>SUM(AD24:AD27)</f>
        <v>80738</v>
      </c>
    </row>
    <row r="29" spans="2:41" x14ac:dyDescent="0.3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2:41" x14ac:dyDescent="0.3">
      <c r="B30" s="1" t="s">
        <v>23</v>
      </c>
      <c r="C30" s="3">
        <v>11862</v>
      </c>
      <c r="D30" s="3">
        <v>12258</v>
      </c>
      <c r="E30" s="3">
        <v>12756</v>
      </c>
      <c r="F30" s="3">
        <f>AB30-E30-D30-C30</f>
        <v>13897</v>
      </c>
      <c r="G30" s="3">
        <v>12787</v>
      </c>
      <c r="H30" s="3">
        <v>13411</v>
      </c>
      <c r="I30" s="3">
        <v>8615</v>
      </c>
      <c r="J30" s="3">
        <f>AC30-I30-H30-G30</f>
        <v>14758</v>
      </c>
      <c r="K30" s="3">
        <v>14303</v>
      </c>
      <c r="L30" s="3">
        <v>14562</v>
      </c>
      <c r="M30" s="3">
        <v>14708</v>
      </c>
      <c r="N30" s="3">
        <f>AD30-M30-L30-K30</f>
        <v>16039</v>
      </c>
      <c r="O30" s="3">
        <v>14591</v>
      </c>
      <c r="P30" s="3">
        <v>15551</v>
      </c>
      <c r="Q30" s="3">
        <v>16264</v>
      </c>
      <c r="R30" s="3"/>
      <c r="S30" s="3"/>
      <c r="T30" s="3"/>
      <c r="U30" s="3"/>
      <c r="V30" s="3"/>
      <c r="Y30" s="3">
        <v>32998</v>
      </c>
      <c r="Z30" s="3">
        <v>43319</v>
      </c>
      <c r="AA30" s="3">
        <v>49270</v>
      </c>
      <c r="AB30" s="3">
        <v>50773</v>
      </c>
      <c r="AC30" s="3">
        <v>49571</v>
      </c>
      <c r="AD30" s="3">
        <v>59612</v>
      </c>
      <c r="AE30" s="3"/>
      <c r="AF30" s="3">
        <f>AE30*1.08</f>
        <v>0</v>
      </c>
      <c r="AG30" s="3">
        <f>AF30*1.05</f>
        <v>0</v>
      </c>
      <c r="AH30" s="3">
        <f>AG30*1.04</f>
        <v>0</v>
      </c>
      <c r="AI30" s="3">
        <f>AH30*1.03</f>
        <v>0</v>
      </c>
      <c r="AJ30" s="3">
        <f t="shared" ref="AJ30:AO30" si="2">AI30*1.02</f>
        <v>0</v>
      </c>
      <c r="AK30" s="3">
        <f t="shared" si="2"/>
        <v>0</v>
      </c>
      <c r="AL30" s="3">
        <f t="shared" si="2"/>
        <v>0</v>
      </c>
      <c r="AM30" s="3">
        <f t="shared" si="2"/>
        <v>0</v>
      </c>
      <c r="AN30" s="3">
        <f t="shared" si="2"/>
        <v>0</v>
      </c>
      <c r="AO30" s="3">
        <f t="shared" si="2"/>
        <v>0</v>
      </c>
    </row>
    <row r="31" spans="2:41" x14ac:dyDescent="0.3">
      <c r="B31" s="1" t="s">
        <v>24</v>
      </c>
      <c r="C31" s="3">
        <v>3854</v>
      </c>
      <c r="D31" s="3">
        <v>4056</v>
      </c>
      <c r="E31" s="3">
        <v>4195</v>
      </c>
      <c r="F31" s="3">
        <f>AB31-E31-D31-C31</f>
        <v>4196</v>
      </c>
      <c r="G31" s="3">
        <v>4427</v>
      </c>
      <c r="H31" s="3">
        <v>4904</v>
      </c>
      <c r="I31" s="3">
        <v>4849</v>
      </c>
      <c r="J31" s="3">
        <f>AC31-I31-H31-G31</f>
        <v>5169</v>
      </c>
      <c r="K31" s="3">
        <v>5002</v>
      </c>
      <c r="L31" s="3">
        <v>5159</v>
      </c>
      <c r="M31" s="3">
        <v>5381</v>
      </c>
      <c r="N31" s="3">
        <f>AD31-M31-L31-K31</f>
        <v>5584</v>
      </c>
      <c r="O31" s="3">
        <v>5715</v>
      </c>
      <c r="P31" s="3">
        <v>6030</v>
      </c>
      <c r="Q31" s="3">
        <v>6214</v>
      </c>
      <c r="R31" s="3"/>
      <c r="S31" s="3"/>
      <c r="T31" s="3"/>
      <c r="U31" s="3"/>
      <c r="V31" s="3"/>
      <c r="Y31" s="3">
        <v>12351</v>
      </c>
      <c r="Z31" s="3">
        <v>13268</v>
      </c>
      <c r="AA31" s="3">
        <v>15118</v>
      </c>
      <c r="AB31" s="3">
        <v>16301</v>
      </c>
      <c r="AC31" s="3">
        <v>19349</v>
      </c>
      <c r="AD31" s="3">
        <v>21126</v>
      </c>
      <c r="AE31" s="3"/>
      <c r="AF31" s="3">
        <f>AE31*1.13</f>
        <v>0</v>
      </c>
      <c r="AG31" s="3">
        <f>AF31*1.09</f>
        <v>0</v>
      </c>
      <c r="AH31" s="3">
        <f>AG31*1.05</f>
        <v>0</v>
      </c>
      <c r="AI31" s="3">
        <f>AH31*1.04</f>
        <v>0</v>
      </c>
      <c r="AJ31" s="3">
        <f>AI31*1.03</f>
        <v>0</v>
      </c>
      <c r="AK31" s="3">
        <f t="shared" ref="AK31:AO31" si="3">AJ31*1.03</f>
        <v>0</v>
      </c>
      <c r="AL31" s="3">
        <f t="shared" si="3"/>
        <v>0</v>
      </c>
      <c r="AM31" s="3">
        <f t="shared" si="3"/>
        <v>0</v>
      </c>
      <c r="AN31" s="3">
        <f t="shared" si="3"/>
        <v>0</v>
      </c>
      <c r="AO31" s="3">
        <f t="shared" si="3"/>
        <v>0</v>
      </c>
    </row>
    <row r="32" spans="2:41" s="4" customFormat="1" x14ac:dyDescent="0.3">
      <c r="B32" s="4" t="s">
        <v>25</v>
      </c>
      <c r="C32" s="5">
        <f t="shared" ref="C32:P32" si="4">C30+C31</f>
        <v>15716</v>
      </c>
      <c r="D32" s="5">
        <f t="shared" si="4"/>
        <v>16314</v>
      </c>
      <c r="E32" s="5">
        <f t="shared" si="4"/>
        <v>16951</v>
      </c>
      <c r="F32" s="5">
        <f t="shared" si="4"/>
        <v>18093</v>
      </c>
      <c r="G32" s="5">
        <f t="shared" si="4"/>
        <v>17214</v>
      </c>
      <c r="H32" s="5">
        <f t="shared" si="4"/>
        <v>18315</v>
      </c>
      <c r="I32" s="5">
        <f t="shared" si="4"/>
        <v>13464</v>
      </c>
      <c r="J32" s="5">
        <f t="shared" si="4"/>
        <v>19927</v>
      </c>
      <c r="K32" s="5">
        <f t="shared" si="4"/>
        <v>19305</v>
      </c>
      <c r="L32" s="5">
        <f t="shared" si="4"/>
        <v>19721</v>
      </c>
      <c r="M32" s="5">
        <f t="shared" si="4"/>
        <v>20089</v>
      </c>
      <c r="N32" s="5">
        <f t="shared" si="4"/>
        <v>21623</v>
      </c>
      <c r="O32" s="5">
        <f t="shared" si="4"/>
        <v>20306</v>
      </c>
      <c r="P32" s="5">
        <f t="shared" si="4"/>
        <v>21581</v>
      </c>
      <c r="Q32" s="5">
        <v>22478</v>
      </c>
      <c r="R32" s="5">
        <f>R28</f>
        <v>24238</v>
      </c>
      <c r="S32" s="5"/>
      <c r="T32" s="5"/>
      <c r="U32" s="5"/>
      <c r="V32" s="5"/>
      <c r="Y32" s="5">
        <f t="shared" ref="Y32:AO32" si="5">Y30+Y31</f>
        <v>45349</v>
      </c>
      <c r="Z32" s="5">
        <f t="shared" si="5"/>
        <v>56587</v>
      </c>
      <c r="AA32" s="5">
        <f t="shared" si="5"/>
        <v>64388</v>
      </c>
      <c r="AB32" s="5">
        <f t="shared" si="5"/>
        <v>67074</v>
      </c>
      <c r="AC32" s="5">
        <f t="shared" si="5"/>
        <v>68920</v>
      </c>
      <c r="AD32" s="5">
        <f t="shared" si="5"/>
        <v>80738</v>
      </c>
      <c r="AE32" s="5">
        <f>SUM(O32:R32)</f>
        <v>88603</v>
      </c>
      <c r="AF32" s="5">
        <f>AE32*1.06</f>
        <v>93919.180000000008</v>
      </c>
      <c r="AG32" s="5">
        <f>AF32*1.05</f>
        <v>98615.13900000001</v>
      </c>
      <c r="AH32" s="5">
        <f>AG32*1.04</f>
        <v>102559.74456000002</v>
      </c>
      <c r="AI32" s="5">
        <f>AH32*1.04</f>
        <v>106662.13434240002</v>
      </c>
      <c r="AJ32" s="5">
        <f>AI32*1.03</f>
        <v>109861.99837267202</v>
      </c>
      <c r="AK32" s="5">
        <f>AJ32*1.03</f>
        <v>113157.85832385218</v>
      </c>
      <c r="AL32" s="5">
        <f t="shared" ref="AL32:AO32" si="6">AK32*1.02</f>
        <v>115421.01549032923</v>
      </c>
      <c r="AM32" s="5">
        <f t="shared" si="6"/>
        <v>117729.43580013582</v>
      </c>
      <c r="AN32" s="5">
        <f t="shared" si="6"/>
        <v>120084.02451613854</v>
      </c>
      <c r="AO32" s="5">
        <f t="shared" si="6"/>
        <v>122485.70500646131</v>
      </c>
    </row>
    <row r="33" spans="2:139" x14ac:dyDescent="0.3">
      <c r="B33" s="1" t="s">
        <v>26</v>
      </c>
      <c r="C33" s="3">
        <v>9820</v>
      </c>
      <c r="D33" s="3">
        <v>10040</v>
      </c>
      <c r="E33" s="3">
        <v>10493</v>
      </c>
      <c r="F33" s="3">
        <f t="shared" ref="F33:F34" si="7">AB33-E33-D33-C33</f>
        <v>11574</v>
      </c>
      <c r="G33" s="3">
        <v>10700</v>
      </c>
      <c r="H33" s="3">
        <v>11089</v>
      </c>
      <c r="I33" s="3">
        <v>9289</v>
      </c>
      <c r="J33" s="3">
        <f t="shared" ref="J33:J34" si="8">AC33-I33-H33-G33</f>
        <v>12347</v>
      </c>
      <c r="K33" s="3">
        <v>12216</v>
      </c>
      <c r="L33" s="3">
        <v>12625</v>
      </c>
      <c r="M33" s="3">
        <v>12336</v>
      </c>
      <c r="N33" s="3">
        <f t="shared" ref="N33:N34" si="9">AD33-M33-L33-K33</f>
        <v>13591</v>
      </c>
      <c r="O33" s="3">
        <v>12283</v>
      </c>
      <c r="P33" s="3">
        <v>12989</v>
      </c>
      <c r="Q33" s="3">
        <v>13593</v>
      </c>
      <c r="R33" s="3"/>
      <c r="S33" s="3"/>
      <c r="T33" s="3"/>
      <c r="U33" s="3"/>
      <c r="V33" s="3"/>
      <c r="Y33" s="3">
        <v>26910</v>
      </c>
      <c r="Z33" s="3">
        <v>38137</v>
      </c>
      <c r="AA33" s="3">
        <v>41095</v>
      </c>
      <c r="AB33" s="3">
        <v>41927</v>
      </c>
      <c r="AC33" s="3">
        <v>43425</v>
      </c>
      <c r="AD33" s="3">
        <v>50768</v>
      </c>
      <c r="AE33" s="3"/>
      <c r="AF33" s="3">
        <f>AF30*0.84</f>
        <v>0</v>
      </c>
      <c r="AG33" s="3">
        <f t="shared" ref="AG33:AO33" si="10">AG30*0.84</f>
        <v>0</v>
      </c>
      <c r="AH33" s="3">
        <f t="shared" si="10"/>
        <v>0</v>
      </c>
      <c r="AI33" s="3">
        <f t="shared" si="10"/>
        <v>0</v>
      </c>
      <c r="AJ33" s="3">
        <f t="shared" si="10"/>
        <v>0</v>
      </c>
      <c r="AK33" s="3">
        <f t="shared" si="10"/>
        <v>0</v>
      </c>
      <c r="AL33" s="3">
        <f t="shared" si="10"/>
        <v>0</v>
      </c>
      <c r="AM33" s="3">
        <f t="shared" si="10"/>
        <v>0</v>
      </c>
      <c r="AN33" s="3">
        <f t="shared" si="10"/>
        <v>0</v>
      </c>
      <c r="AO33" s="3">
        <f t="shared" si="10"/>
        <v>0</v>
      </c>
    </row>
    <row r="34" spans="2:139" x14ac:dyDescent="0.3">
      <c r="B34" s="1" t="s">
        <v>27</v>
      </c>
      <c r="C34" s="3">
        <v>2740</v>
      </c>
      <c r="D34" s="3">
        <v>2816</v>
      </c>
      <c r="E34" s="3">
        <v>2971</v>
      </c>
      <c r="F34" s="3">
        <f t="shared" si="7"/>
        <v>2952</v>
      </c>
      <c r="G34" s="3">
        <v>2945</v>
      </c>
      <c r="H34" s="3">
        <v>3429</v>
      </c>
      <c r="I34" s="3">
        <v>3461</v>
      </c>
      <c r="J34" s="3">
        <f t="shared" si="8"/>
        <v>3571</v>
      </c>
      <c r="K34" s="3">
        <v>3528</v>
      </c>
      <c r="L34" s="3">
        <v>3516</v>
      </c>
      <c r="M34" s="3">
        <v>3719</v>
      </c>
      <c r="N34" s="3">
        <f t="shared" si="9"/>
        <v>3797</v>
      </c>
      <c r="O34" s="3">
        <v>3907</v>
      </c>
      <c r="P34" s="3">
        <v>4216</v>
      </c>
      <c r="Q34" s="3">
        <v>4305</v>
      </c>
      <c r="R34" s="3"/>
      <c r="S34" s="3"/>
      <c r="T34" s="3"/>
      <c r="U34" s="3"/>
      <c r="V34" s="3"/>
      <c r="Y34" s="3">
        <v>7688</v>
      </c>
      <c r="Z34" s="3">
        <v>9919</v>
      </c>
      <c r="AA34" s="3">
        <v>10802</v>
      </c>
      <c r="AB34" s="3">
        <v>11479</v>
      </c>
      <c r="AC34" s="3">
        <v>13406</v>
      </c>
      <c r="AD34" s="3">
        <v>14560</v>
      </c>
      <c r="AE34" s="3"/>
      <c r="AF34" s="3">
        <f t="shared" ref="AF34:AO34" si="11">AF31*0.69</f>
        <v>0</v>
      </c>
      <c r="AG34" s="3">
        <f t="shared" si="11"/>
        <v>0</v>
      </c>
      <c r="AH34" s="3">
        <f t="shared" si="11"/>
        <v>0</v>
      </c>
      <c r="AI34" s="3">
        <f t="shared" si="11"/>
        <v>0</v>
      </c>
      <c r="AJ34" s="3">
        <f t="shared" si="11"/>
        <v>0</v>
      </c>
      <c r="AK34" s="3">
        <f t="shared" si="11"/>
        <v>0</v>
      </c>
      <c r="AL34" s="3">
        <f t="shared" si="11"/>
        <v>0</v>
      </c>
      <c r="AM34" s="3">
        <f t="shared" si="11"/>
        <v>0</v>
      </c>
      <c r="AN34" s="3">
        <f t="shared" si="11"/>
        <v>0</v>
      </c>
      <c r="AO34" s="3">
        <f t="shared" si="11"/>
        <v>0</v>
      </c>
    </row>
    <row r="35" spans="2:139" x14ac:dyDescent="0.3">
      <c r="B35" s="1" t="s">
        <v>28</v>
      </c>
      <c r="C35" s="3">
        <f t="shared" ref="C35:P35" si="12">C33+C34</f>
        <v>12560</v>
      </c>
      <c r="D35" s="3">
        <f t="shared" si="12"/>
        <v>12856</v>
      </c>
      <c r="E35" s="3">
        <f t="shared" si="12"/>
        <v>13464</v>
      </c>
      <c r="F35" s="3">
        <f t="shared" si="12"/>
        <v>14526</v>
      </c>
      <c r="G35" s="3">
        <f t="shared" si="12"/>
        <v>13645</v>
      </c>
      <c r="H35" s="3">
        <f t="shared" si="12"/>
        <v>14518</v>
      </c>
      <c r="I35" s="3">
        <f t="shared" si="12"/>
        <v>12750</v>
      </c>
      <c r="J35" s="3">
        <f t="shared" si="12"/>
        <v>15918</v>
      </c>
      <c r="K35" s="3">
        <f t="shared" si="12"/>
        <v>15744</v>
      </c>
      <c r="L35" s="3">
        <f t="shared" si="12"/>
        <v>16141</v>
      </c>
      <c r="M35" s="3">
        <f t="shared" si="12"/>
        <v>16055</v>
      </c>
      <c r="N35" s="3">
        <f t="shared" si="12"/>
        <v>17388</v>
      </c>
      <c r="O35" s="3">
        <f t="shared" si="12"/>
        <v>16190</v>
      </c>
      <c r="P35" s="3">
        <f t="shared" si="12"/>
        <v>17205</v>
      </c>
      <c r="Q35" s="3">
        <v>17898</v>
      </c>
      <c r="R35" s="3">
        <v>19521</v>
      </c>
      <c r="S35" s="3"/>
      <c r="T35" s="3"/>
      <c r="U35" s="3"/>
      <c r="V35" s="3"/>
      <c r="Y35" s="3">
        <f t="shared" ref="Y35:AD35" si="13">Y33+Y34</f>
        <v>34598</v>
      </c>
      <c r="Z35" s="3">
        <f t="shared" si="13"/>
        <v>48056</v>
      </c>
      <c r="AA35" s="3">
        <f t="shared" si="13"/>
        <v>51897</v>
      </c>
      <c r="AB35" s="3">
        <f t="shared" si="13"/>
        <v>53406</v>
      </c>
      <c r="AC35" s="3">
        <f t="shared" si="13"/>
        <v>56831</v>
      </c>
      <c r="AD35" s="3">
        <f t="shared" si="13"/>
        <v>65328</v>
      </c>
      <c r="AE35" s="3">
        <f>AE32*0.81</f>
        <v>71768.430000000008</v>
      </c>
      <c r="AF35" s="3">
        <f t="shared" ref="AF35:AO35" si="14">AF32*0.81</f>
        <v>76074.535800000012</v>
      </c>
      <c r="AG35" s="3">
        <f t="shared" si="14"/>
        <v>79878.262590000013</v>
      </c>
      <c r="AH35" s="3">
        <f t="shared" si="14"/>
        <v>83073.393093600025</v>
      </c>
      <c r="AI35" s="3">
        <f t="shared" si="14"/>
        <v>86396.328817344023</v>
      </c>
      <c r="AJ35" s="3">
        <f t="shared" si="14"/>
        <v>88988.218681864339</v>
      </c>
      <c r="AK35" s="3">
        <f t="shared" si="14"/>
        <v>91657.865242320273</v>
      </c>
      <c r="AL35" s="3">
        <f t="shared" si="14"/>
        <v>93491.022547166678</v>
      </c>
      <c r="AM35" s="3">
        <f t="shared" si="14"/>
        <v>95360.84299811002</v>
      </c>
      <c r="AN35" s="3">
        <f t="shared" si="14"/>
        <v>97268.059858072229</v>
      </c>
      <c r="AO35" s="3">
        <f t="shared" si="14"/>
        <v>99213.421055233674</v>
      </c>
    </row>
    <row r="36" spans="2:139" s="4" customFormat="1" x14ac:dyDescent="0.3">
      <c r="B36" s="4" t="s">
        <v>29</v>
      </c>
      <c r="C36" s="5">
        <f t="shared" ref="C36:P36" si="15">C32-C35</f>
        <v>3156</v>
      </c>
      <c r="D36" s="5">
        <f t="shared" si="15"/>
        <v>3458</v>
      </c>
      <c r="E36" s="5">
        <f t="shared" si="15"/>
        <v>3487</v>
      </c>
      <c r="F36" s="5">
        <f t="shared" si="15"/>
        <v>3567</v>
      </c>
      <c r="G36" s="5">
        <f t="shared" si="15"/>
        <v>3569</v>
      </c>
      <c r="H36" s="5">
        <f t="shared" si="15"/>
        <v>3797</v>
      </c>
      <c r="I36" s="5">
        <f t="shared" si="15"/>
        <v>714</v>
      </c>
      <c r="J36" s="5">
        <f t="shared" si="15"/>
        <v>4009</v>
      </c>
      <c r="K36" s="5">
        <f t="shared" si="15"/>
        <v>3561</v>
      </c>
      <c r="L36" s="5">
        <f t="shared" si="15"/>
        <v>3580</v>
      </c>
      <c r="M36" s="5">
        <f t="shared" si="15"/>
        <v>4034</v>
      </c>
      <c r="N36" s="5">
        <f t="shared" si="15"/>
        <v>4235</v>
      </c>
      <c r="O36" s="5">
        <f t="shared" si="15"/>
        <v>4116</v>
      </c>
      <c r="P36" s="5">
        <f t="shared" si="15"/>
        <v>4376</v>
      </c>
      <c r="Q36" s="5">
        <f t="shared" ref="Q36:R36" si="16">Q32-Q35</f>
        <v>4580</v>
      </c>
      <c r="R36" s="5">
        <f t="shared" si="16"/>
        <v>4717</v>
      </c>
      <c r="S36" s="5"/>
      <c r="T36" s="5"/>
      <c r="U36" s="5"/>
      <c r="V36" s="5"/>
      <c r="Y36" s="5">
        <f t="shared" ref="Y36:AD36" si="17">Y32-Y35</f>
        <v>10751</v>
      </c>
      <c r="Z36" s="5">
        <f t="shared" si="17"/>
        <v>8531</v>
      </c>
      <c r="AA36" s="5">
        <f t="shared" si="17"/>
        <v>12491</v>
      </c>
      <c r="AB36" s="5">
        <f t="shared" si="17"/>
        <v>13668</v>
      </c>
      <c r="AC36" s="5">
        <f t="shared" si="17"/>
        <v>12089</v>
      </c>
      <c r="AD36" s="5">
        <f t="shared" si="17"/>
        <v>15410</v>
      </c>
      <c r="AE36" s="5">
        <f t="shared" ref="AE36:AO36" si="18">AE32-AE35</f>
        <v>16834.569999999992</v>
      </c>
      <c r="AF36" s="5">
        <f t="shared" si="18"/>
        <v>17844.644199999995</v>
      </c>
      <c r="AG36" s="5">
        <f t="shared" si="18"/>
        <v>18736.876409999997</v>
      </c>
      <c r="AH36" s="5">
        <f t="shared" si="18"/>
        <v>19486.351466399996</v>
      </c>
      <c r="AI36" s="5">
        <f t="shared" si="18"/>
        <v>20265.805525055999</v>
      </c>
      <c r="AJ36" s="5">
        <f t="shared" si="18"/>
        <v>20873.779690807685</v>
      </c>
      <c r="AK36" s="5">
        <f t="shared" si="18"/>
        <v>21499.993081531909</v>
      </c>
      <c r="AL36" s="5">
        <f t="shared" si="18"/>
        <v>21929.99294316255</v>
      </c>
      <c r="AM36" s="5">
        <f t="shared" si="18"/>
        <v>22368.5928020258</v>
      </c>
      <c r="AN36" s="5">
        <f t="shared" si="18"/>
        <v>22815.96465806631</v>
      </c>
      <c r="AO36" s="5">
        <f t="shared" si="18"/>
        <v>23272.283951227641</v>
      </c>
    </row>
    <row r="37" spans="2:139" x14ac:dyDescent="0.3">
      <c r="B37" s="1" t="s">
        <v>30</v>
      </c>
      <c r="C37" s="3">
        <v>635</v>
      </c>
      <c r="D37" s="3">
        <v>698</v>
      </c>
      <c r="E37" s="3">
        <v>662</v>
      </c>
      <c r="F37" s="3">
        <f t="shared" ref="F37:F38" si="19">AB37-E37-D37-C37</f>
        <v>716</v>
      </c>
      <c r="G37" s="3">
        <v>607</v>
      </c>
      <c r="H37" s="3">
        <v>729</v>
      </c>
      <c r="I37" s="3">
        <v>712</v>
      </c>
      <c r="J37" s="3">
        <f t="shared" ref="J37:J38" si="20">AC37-I37-H37-G37</f>
        <v>757</v>
      </c>
      <c r="K37" s="3">
        <v>669</v>
      </c>
      <c r="L37" s="3">
        <v>706</v>
      </c>
      <c r="M37" s="3">
        <v>751</v>
      </c>
      <c r="N37" s="3">
        <f t="shared" ref="N37:N38" si="21">AD37-M37-L37-K37</f>
        <v>808</v>
      </c>
      <c r="O37" s="3">
        <v>637</v>
      </c>
      <c r="P37" s="3">
        <v>697</v>
      </c>
      <c r="Q37" s="3">
        <v>684</v>
      </c>
      <c r="R37" s="3">
        <v>789</v>
      </c>
      <c r="S37" s="3"/>
      <c r="T37" s="3"/>
      <c r="U37" s="3"/>
      <c r="V37" s="3"/>
      <c r="Y37" s="3">
        <v>2452</v>
      </c>
      <c r="Z37" s="3">
        <v>2582</v>
      </c>
      <c r="AA37" s="3">
        <v>2732</v>
      </c>
      <c r="AB37" s="3">
        <v>2711</v>
      </c>
      <c r="AC37" s="3">
        <v>2805</v>
      </c>
      <c r="AD37" s="3">
        <v>2934</v>
      </c>
      <c r="AE37" s="3">
        <f t="shared" ref="AE37:AE38" si="22">SUM(O37:R37)</f>
        <v>2807</v>
      </c>
      <c r="AF37" s="3">
        <f>AE37*1.01</f>
        <v>2835.07</v>
      </c>
      <c r="AG37" s="3">
        <f t="shared" ref="AG37:AI37" si="23">AF37*1.02</f>
        <v>2891.7714000000001</v>
      </c>
      <c r="AH37" s="3">
        <f t="shared" si="23"/>
        <v>2949.606828</v>
      </c>
      <c r="AI37" s="3">
        <f t="shared" si="23"/>
        <v>3008.5989645599998</v>
      </c>
      <c r="AJ37" s="3">
        <f>AI37*1.01</f>
        <v>3038.6849542055998</v>
      </c>
      <c r="AK37" s="3">
        <f t="shared" ref="AK37:AO37" si="24">AJ37*1.01</f>
        <v>3069.0718037476558</v>
      </c>
      <c r="AL37" s="3">
        <f t="shared" si="24"/>
        <v>3099.7625217851323</v>
      </c>
      <c r="AM37" s="3">
        <f t="shared" si="24"/>
        <v>3130.7601470029836</v>
      </c>
      <c r="AN37" s="3">
        <f t="shared" si="24"/>
        <v>3162.0677484730136</v>
      </c>
      <c r="AO37" s="3">
        <f t="shared" si="24"/>
        <v>3193.6884259577437</v>
      </c>
    </row>
    <row r="38" spans="2:139" x14ac:dyDescent="0.3">
      <c r="B38" s="1" t="s">
        <v>31</v>
      </c>
      <c r="C38" s="3">
        <v>1469</v>
      </c>
      <c r="D38" s="3">
        <v>1424</v>
      </c>
      <c r="E38" s="3">
        <v>1351</v>
      </c>
      <c r="F38" s="3">
        <f t="shared" si="19"/>
        <v>1329</v>
      </c>
      <c r="G38" s="3">
        <v>1398</v>
      </c>
      <c r="H38" s="3">
        <v>1600</v>
      </c>
      <c r="I38" s="3">
        <v>1401</v>
      </c>
      <c r="J38" s="3">
        <f t="shared" si="20"/>
        <v>1410</v>
      </c>
      <c r="K38" s="3">
        <v>1394</v>
      </c>
      <c r="L38" s="3">
        <v>1449</v>
      </c>
      <c r="M38" s="3">
        <v>1389</v>
      </c>
      <c r="N38" s="3">
        <f t="shared" si="21"/>
        <v>1574</v>
      </c>
      <c r="O38" s="3">
        <v>1448</v>
      </c>
      <c r="P38" s="3">
        <v>1573</v>
      </c>
      <c r="Q38" s="3">
        <v>1436</v>
      </c>
      <c r="R38" s="3">
        <v>1638</v>
      </c>
      <c r="S38" s="3"/>
      <c r="T38" s="3"/>
      <c r="U38" s="3"/>
      <c r="V38" s="3"/>
      <c r="Y38" s="3">
        <v>3711</v>
      </c>
      <c r="Z38" s="3">
        <v>5540</v>
      </c>
      <c r="AA38" s="3">
        <v>5224</v>
      </c>
      <c r="AB38" s="3">
        <v>5573</v>
      </c>
      <c r="AC38" s="3">
        <v>5809</v>
      </c>
      <c r="AD38" s="3">
        <v>5806</v>
      </c>
      <c r="AE38" s="3">
        <f t="shared" si="22"/>
        <v>6095</v>
      </c>
      <c r="AF38" s="3">
        <f t="shared" ref="AF38:AO38" si="25">AF32*0.07</f>
        <v>6574.3426000000009</v>
      </c>
      <c r="AG38" s="3">
        <f t="shared" si="25"/>
        <v>6903.0597300000018</v>
      </c>
      <c r="AH38" s="3">
        <f t="shared" si="25"/>
        <v>7179.1821192000025</v>
      </c>
      <c r="AI38" s="3">
        <f t="shared" si="25"/>
        <v>7466.3494039680027</v>
      </c>
      <c r="AJ38" s="3">
        <f t="shared" si="25"/>
        <v>7690.339886087042</v>
      </c>
      <c r="AK38" s="3">
        <f t="shared" si="25"/>
        <v>7921.0500826696534</v>
      </c>
      <c r="AL38" s="3">
        <f t="shared" si="25"/>
        <v>8079.4710843230469</v>
      </c>
      <c r="AM38" s="3">
        <f t="shared" si="25"/>
        <v>8241.0605060095077</v>
      </c>
      <c r="AN38" s="3">
        <f t="shared" si="25"/>
        <v>8405.8817161296993</v>
      </c>
      <c r="AO38" s="3">
        <f t="shared" si="25"/>
        <v>8573.9993504522936</v>
      </c>
    </row>
    <row r="39" spans="2:139" s="4" customFormat="1" x14ac:dyDescent="0.3">
      <c r="B39" s="4" t="s">
        <v>32</v>
      </c>
      <c r="C39" s="5">
        <f t="shared" ref="C39:P39" si="26">C36-C37-C38</f>
        <v>1052</v>
      </c>
      <c r="D39" s="5">
        <f t="shared" si="26"/>
        <v>1336</v>
      </c>
      <c r="E39" s="5">
        <f t="shared" si="26"/>
        <v>1474</v>
      </c>
      <c r="F39" s="5">
        <f t="shared" si="26"/>
        <v>1522</v>
      </c>
      <c r="G39" s="5">
        <f t="shared" si="26"/>
        <v>1564</v>
      </c>
      <c r="H39" s="5">
        <f t="shared" si="26"/>
        <v>1468</v>
      </c>
      <c r="I39" s="5">
        <f t="shared" si="26"/>
        <v>-1399</v>
      </c>
      <c r="J39" s="5">
        <f t="shared" si="26"/>
        <v>1842</v>
      </c>
      <c r="K39" s="5">
        <f t="shared" si="26"/>
        <v>1498</v>
      </c>
      <c r="L39" s="5">
        <f t="shared" si="26"/>
        <v>1425</v>
      </c>
      <c r="M39" s="5">
        <f t="shared" si="26"/>
        <v>1894</v>
      </c>
      <c r="N39" s="5">
        <f t="shared" si="26"/>
        <v>1853</v>
      </c>
      <c r="O39" s="5">
        <f t="shared" si="26"/>
        <v>2031</v>
      </c>
      <c r="P39" s="5">
        <f t="shared" si="26"/>
        <v>2106</v>
      </c>
      <c r="Q39" s="5">
        <f t="shared" ref="Q39:R39" si="27">Q36-Q37-Q38</f>
        <v>2460</v>
      </c>
      <c r="R39" s="5">
        <f t="shared" si="27"/>
        <v>2290</v>
      </c>
      <c r="S39" s="5"/>
      <c r="T39" s="5"/>
      <c r="U39" s="5"/>
      <c r="V39" s="5"/>
      <c r="Y39" s="5">
        <f t="shared" ref="Y39:AE39" si="28">Y36-Y37-Y38</f>
        <v>4588</v>
      </c>
      <c r="Z39" s="5">
        <f t="shared" si="28"/>
        <v>409</v>
      </c>
      <c r="AA39" s="5">
        <f t="shared" si="28"/>
        <v>4535</v>
      </c>
      <c r="AB39" s="5">
        <f t="shared" si="28"/>
        <v>5384</v>
      </c>
      <c r="AC39" s="5">
        <f t="shared" si="28"/>
        <v>3475</v>
      </c>
      <c r="AD39" s="5">
        <f t="shared" si="28"/>
        <v>6670</v>
      </c>
      <c r="AE39" s="5">
        <f t="shared" si="28"/>
        <v>7932.5699999999924</v>
      </c>
      <c r="AF39" s="5">
        <f t="shared" ref="AF39:AO39" si="29">AF36-AF37-AF38</f>
        <v>8435.2315999999955</v>
      </c>
      <c r="AG39" s="5">
        <f t="shared" si="29"/>
        <v>8942.0452799999948</v>
      </c>
      <c r="AH39" s="5">
        <f t="shared" si="29"/>
        <v>9357.5625191999934</v>
      </c>
      <c r="AI39" s="5">
        <f t="shared" si="29"/>
        <v>9790.8571565279981</v>
      </c>
      <c r="AJ39" s="5">
        <f t="shared" si="29"/>
        <v>10144.754850515043</v>
      </c>
      <c r="AK39" s="5">
        <f t="shared" si="29"/>
        <v>10509.871195114602</v>
      </c>
      <c r="AL39" s="5">
        <f t="shared" si="29"/>
        <v>10750.759337054373</v>
      </c>
      <c r="AM39" s="5">
        <f t="shared" si="29"/>
        <v>10996.772149013308</v>
      </c>
      <c r="AN39" s="5">
        <f t="shared" si="29"/>
        <v>11248.015193463596</v>
      </c>
      <c r="AO39" s="5">
        <f t="shared" si="29"/>
        <v>11504.596174817605</v>
      </c>
    </row>
    <row r="40" spans="2:139" x14ac:dyDescent="0.3">
      <c r="B40" s="1" t="s">
        <v>33</v>
      </c>
      <c r="C40" s="3">
        <v>-28</v>
      </c>
      <c r="D40" s="3">
        <v>-17</v>
      </c>
      <c r="E40" s="3">
        <v>-46</v>
      </c>
      <c r="F40" s="3">
        <f t="shared" ref="F40:F42" si="30">AB40-E40-D40-C40</f>
        <v>-29</v>
      </c>
      <c r="G40" s="3">
        <v>-88</v>
      </c>
      <c r="H40" s="3">
        <v>-25</v>
      </c>
      <c r="I40" s="3">
        <v>-3</v>
      </c>
      <c r="J40" s="3">
        <f t="shared" ref="J40:J42" si="31">AC40-I40-H40-G40</f>
        <v>30</v>
      </c>
      <c r="K40" s="3">
        <v>-372</v>
      </c>
      <c r="L40" s="3">
        <v>896</v>
      </c>
      <c r="M40" s="3">
        <v>-134</v>
      </c>
      <c r="N40" s="3">
        <f t="shared" ref="N40:N42" si="32">AD40-M40-L40-K40</f>
        <v>-258</v>
      </c>
      <c r="O40" s="3">
        <v>-4</v>
      </c>
      <c r="P40" s="3">
        <v>-40</v>
      </c>
      <c r="Q40" s="3">
        <v>-63</v>
      </c>
      <c r="R40" s="3">
        <v>-306</v>
      </c>
      <c r="S40" s="3"/>
      <c r="T40" s="3"/>
      <c r="U40" s="3"/>
      <c r="V40" s="3"/>
      <c r="Y40" s="3">
        <v>-326</v>
      </c>
      <c r="Z40" s="3">
        <f>3183-885</f>
        <v>2298</v>
      </c>
      <c r="AA40" s="3">
        <v>-423</v>
      </c>
      <c r="AB40" s="3">
        <v>-120</v>
      </c>
      <c r="AC40" s="3">
        <v>-86</v>
      </c>
      <c r="AD40" s="3">
        <v>132</v>
      </c>
      <c r="AE40" s="3">
        <f t="shared" ref="AE40:AE42" si="33">SUM(O40:R40)</f>
        <v>-413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</row>
    <row r="41" spans="2:139" x14ac:dyDescent="0.3">
      <c r="B41" s="1" t="s">
        <v>34</v>
      </c>
      <c r="C41" s="3">
        <v>-480</v>
      </c>
      <c r="D41" s="3">
        <v>-474</v>
      </c>
      <c r="E41" s="3">
        <v>-468</v>
      </c>
      <c r="F41" s="3">
        <f t="shared" si="30"/>
        <v>-467</v>
      </c>
      <c r="G41" s="3">
        <v>-444</v>
      </c>
      <c r="H41" s="3">
        <v>-447</v>
      </c>
      <c r="I41" s="3">
        <v>-443</v>
      </c>
      <c r="J41" s="3">
        <f t="shared" si="31"/>
        <v>-446</v>
      </c>
      <c r="K41" s="3">
        <v>-386</v>
      </c>
      <c r="L41" s="3">
        <v>-374</v>
      </c>
      <c r="M41" s="3">
        <v>-374</v>
      </c>
      <c r="N41" s="3">
        <f t="shared" si="32"/>
        <v>-384</v>
      </c>
      <c r="O41" s="3">
        <v>-366</v>
      </c>
      <c r="P41" s="3">
        <v>-351</v>
      </c>
      <c r="Q41" s="3">
        <v>-364</v>
      </c>
      <c r="R41" s="3">
        <v>-101</v>
      </c>
      <c r="S41" s="3"/>
      <c r="T41" s="3"/>
      <c r="U41" s="3"/>
      <c r="V41" s="3"/>
      <c r="Y41" s="3">
        <v>-829</v>
      </c>
      <c r="Z41" s="3">
        <v>-902</v>
      </c>
      <c r="AA41" s="3">
        <v>-1944</v>
      </c>
      <c r="AB41" s="3">
        <v>-1889</v>
      </c>
      <c r="AC41" s="3">
        <v>-1780</v>
      </c>
      <c r="AD41" s="3">
        <v>-1518</v>
      </c>
      <c r="AE41" s="3">
        <f t="shared" si="33"/>
        <v>-1182</v>
      </c>
      <c r="AF41" s="3">
        <f t="shared" ref="AF41:AO41" si="34">AE41*1.01</f>
        <v>-1193.82</v>
      </c>
      <c r="AG41" s="3">
        <f t="shared" si="34"/>
        <v>-1205.7582</v>
      </c>
      <c r="AH41" s="3">
        <f t="shared" si="34"/>
        <v>-1217.8157819999999</v>
      </c>
      <c r="AI41" s="3">
        <f t="shared" si="34"/>
        <v>-1229.9939398199999</v>
      </c>
      <c r="AJ41" s="3">
        <f t="shared" si="34"/>
        <v>-1242.2938792181999</v>
      </c>
      <c r="AK41" s="3">
        <f t="shared" si="34"/>
        <v>-1254.716818010382</v>
      </c>
      <c r="AL41" s="3">
        <f t="shared" si="34"/>
        <v>-1267.2639861904859</v>
      </c>
      <c r="AM41" s="3">
        <f t="shared" si="34"/>
        <v>-1279.9366260523907</v>
      </c>
      <c r="AN41" s="3">
        <f t="shared" si="34"/>
        <v>-1292.7359923129145</v>
      </c>
      <c r="AO41" s="3">
        <f t="shared" si="34"/>
        <v>-1305.6633522360437</v>
      </c>
    </row>
    <row r="42" spans="2:139" x14ac:dyDescent="0.3">
      <c r="B42" s="1" t="s">
        <v>35</v>
      </c>
      <c r="C42" s="3">
        <v>318</v>
      </c>
      <c r="D42" s="3">
        <v>329</v>
      </c>
      <c r="E42" s="3">
        <v>311</v>
      </c>
      <c r="F42" s="3">
        <f t="shared" si="30"/>
        <v>318</v>
      </c>
      <c r="G42" s="3">
        <v>315</v>
      </c>
      <c r="H42" s="3">
        <v>333</v>
      </c>
      <c r="I42" s="3">
        <v>369</v>
      </c>
      <c r="J42" s="3">
        <f t="shared" si="31"/>
        <v>488</v>
      </c>
      <c r="K42" s="3">
        <v>405</v>
      </c>
      <c r="L42" s="3">
        <v>475</v>
      </c>
      <c r="M42" s="3">
        <v>496</v>
      </c>
      <c r="N42" s="3">
        <f t="shared" si="32"/>
        <v>486</v>
      </c>
      <c r="O42" s="3">
        <v>443</v>
      </c>
      <c r="P42" s="3">
        <v>457</v>
      </c>
      <c r="Q42" s="3">
        <v>449</v>
      </c>
      <c r="R42" s="3">
        <v>400</v>
      </c>
      <c r="S42" s="3"/>
      <c r="T42" s="3"/>
      <c r="U42" s="3"/>
      <c r="V42" s="3"/>
      <c r="Y42" s="3">
        <v>1591</v>
      </c>
      <c r="Z42" s="3">
        <v>1366</v>
      </c>
      <c r="AA42" s="3">
        <f>1322+649</f>
        <v>1971</v>
      </c>
      <c r="AB42" s="3">
        <v>1276</v>
      </c>
      <c r="AC42" s="3">
        <v>1505</v>
      </c>
      <c r="AD42" s="3">
        <v>1862</v>
      </c>
      <c r="AE42" s="3">
        <f t="shared" si="33"/>
        <v>1749</v>
      </c>
      <c r="AF42" s="3">
        <f t="shared" ref="AF42:AO42" si="35">AE42*1.01</f>
        <v>1766.49</v>
      </c>
      <c r="AG42" s="3">
        <f t="shared" si="35"/>
        <v>1784.1549</v>
      </c>
      <c r="AH42" s="3">
        <f t="shared" si="35"/>
        <v>1801.996449</v>
      </c>
      <c r="AI42" s="3">
        <f t="shared" si="35"/>
        <v>1820.0164134900001</v>
      </c>
      <c r="AJ42" s="3">
        <f t="shared" si="35"/>
        <v>1838.2165776249001</v>
      </c>
      <c r="AK42" s="3">
        <f t="shared" si="35"/>
        <v>1856.598743401149</v>
      </c>
      <c r="AL42" s="3">
        <f t="shared" si="35"/>
        <v>1875.1647308351605</v>
      </c>
      <c r="AM42" s="3">
        <f t="shared" si="35"/>
        <v>1893.9163781435122</v>
      </c>
      <c r="AN42" s="3">
        <f t="shared" si="35"/>
        <v>1912.8555419249474</v>
      </c>
      <c r="AO42" s="3">
        <f t="shared" si="35"/>
        <v>1931.9840973441969</v>
      </c>
    </row>
    <row r="43" spans="2:139" s="4" customFormat="1" x14ac:dyDescent="0.3">
      <c r="B43" s="4" t="s">
        <v>36</v>
      </c>
      <c r="C43" s="5">
        <f t="shared" ref="C43:P43" si="36">C39-C40-C41-C42</f>
        <v>1242</v>
      </c>
      <c r="D43" s="5">
        <f t="shared" si="36"/>
        <v>1498</v>
      </c>
      <c r="E43" s="5">
        <f t="shared" si="36"/>
        <v>1677</v>
      </c>
      <c r="F43" s="5">
        <f t="shared" si="36"/>
        <v>1700</v>
      </c>
      <c r="G43" s="5">
        <f t="shared" si="36"/>
        <v>1781</v>
      </c>
      <c r="H43" s="5">
        <f t="shared" si="36"/>
        <v>1607</v>
      </c>
      <c r="I43" s="5">
        <f t="shared" si="36"/>
        <v>-1322</v>
      </c>
      <c r="J43" s="5">
        <f t="shared" si="36"/>
        <v>1770</v>
      </c>
      <c r="K43" s="5">
        <f t="shared" si="36"/>
        <v>1851</v>
      </c>
      <c r="L43" s="5">
        <f t="shared" si="36"/>
        <v>428</v>
      </c>
      <c r="M43" s="5">
        <f t="shared" si="36"/>
        <v>1906</v>
      </c>
      <c r="N43" s="5">
        <f t="shared" si="36"/>
        <v>2009</v>
      </c>
      <c r="O43" s="5">
        <f t="shared" si="36"/>
        <v>1958</v>
      </c>
      <c r="P43" s="5">
        <f t="shared" si="36"/>
        <v>2040</v>
      </c>
      <c r="Q43" s="5">
        <f t="shared" ref="Q43:R43" si="37">Q39-Q40-Q41-Q42</f>
        <v>2438</v>
      </c>
      <c r="R43" s="5">
        <f t="shared" si="37"/>
        <v>2297</v>
      </c>
      <c r="S43" s="5"/>
      <c r="T43" s="5"/>
      <c r="U43" s="5"/>
      <c r="V43" s="5"/>
      <c r="Y43" s="5">
        <f t="shared" ref="Y43:AE43" si="38">Y39-Y40-Y41-Y42</f>
        <v>4152</v>
      </c>
      <c r="Z43" s="5">
        <f t="shared" si="38"/>
        <v>-2353</v>
      </c>
      <c r="AA43" s="5">
        <f t="shared" si="38"/>
        <v>4931</v>
      </c>
      <c r="AB43" s="5">
        <f t="shared" si="38"/>
        <v>6117</v>
      </c>
      <c r="AC43" s="5">
        <f t="shared" si="38"/>
        <v>3836</v>
      </c>
      <c r="AD43" s="5">
        <f t="shared" si="38"/>
        <v>6194</v>
      </c>
      <c r="AE43" s="5">
        <f t="shared" si="38"/>
        <v>7778.5699999999924</v>
      </c>
      <c r="AF43" s="5">
        <f t="shared" ref="AF43:AO43" si="39">AF39-AF40-AF41-AF42</f>
        <v>7862.5615999999955</v>
      </c>
      <c r="AG43" s="5">
        <f t="shared" si="39"/>
        <v>8363.6485799999955</v>
      </c>
      <c r="AH43" s="5">
        <f t="shared" si="39"/>
        <v>8773.3818521999929</v>
      </c>
      <c r="AI43" s="5">
        <f t="shared" si="39"/>
        <v>9200.8346828579979</v>
      </c>
      <c r="AJ43" s="5">
        <f t="shared" si="39"/>
        <v>9548.8321521083417</v>
      </c>
      <c r="AK43" s="5">
        <f t="shared" si="39"/>
        <v>9907.9892697238338</v>
      </c>
      <c r="AL43" s="5">
        <f t="shared" si="39"/>
        <v>10142.858592409699</v>
      </c>
      <c r="AM43" s="5">
        <f t="shared" si="39"/>
        <v>10382.792396922187</v>
      </c>
      <c r="AN43" s="5">
        <f t="shared" si="39"/>
        <v>10627.895643851563</v>
      </c>
      <c r="AO43" s="5">
        <f t="shared" si="39"/>
        <v>10878.275429709453</v>
      </c>
    </row>
    <row r="44" spans="2:139" x14ac:dyDescent="0.3">
      <c r="B44" s="1" t="s">
        <v>37</v>
      </c>
      <c r="C44" s="3">
        <v>116</v>
      </c>
      <c r="D44" s="3">
        <v>160</v>
      </c>
      <c r="E44" s="3">
        <v>282</v>
      </c>
      <c r="F44" s="3">
        <f t="shared" ref="F44:F45" si="40">AB44-E44-D44-C44</f>
        <v>232</v>
      </c>
      <c r="G44" s="3">
        <v>300</v>
      </c>
      <c r="H44" s="3">
        <v>248</v>
      </c>
      <c r="I44" s="3">
        <v>-389</v>
      </c>
      <c r="J44" s="3">
        <f t="shared" ref="J44:J45" si="41">AC44-I44-H44-G44</f>
        <v>297</v>
      </c>
      <c r="K44" s="3">
        <v>108</v>
      </c>
      <c r="L44" s="3">
        <v>253</v>
      </c>
      <c r="M44" s="3">
        <v>371</v>
      </c>
      <c r="N44" s="3">
        <f t="shared" ref="N44:N45" si="42">AD44-M44-L44-K44</f>
        <v>449</v>
      </c>
      <c r="O44" s="3">
        <v>333</v>
      </c>
      <c r="P44" s="3">
        <v>315</v>
      </c>
      <c r="Q44" s="3">
        <v>432</v>
      </c>
      <c r="R44" s="3">
        <v>584</v>
      </c>
      <c r="S44" s="3"/>
      <c r="T44" s="3"/>
      <c r="U44" s="3"/>
      <c r="V44" s="3"/>
      <c r="Y44" s="3">
        <v>421</v>
      </c>
      <c r="Z44" s="3">
        <v>575</v>
      </c>
      <c r="AA44" s="3">
        <v>786</v>
      </c>
      <c r="AB44" s="3">
        <v>790</v>
      </c>
      <c r="AC44" s="3">
        <v>456</v>
      </c>
      <c r="AD44" s="3">
        <v>1181</v>
      </c>
      <c r="AE44" s="3">
        <f t="shared" ref="AE44:AE45" si="43">SUM(O44:R44)</f>
        <v>1664</v>
      </c>
      <c r="AF44" s="3">
        <f t="shared" ref="AF44:AO44" si="44">AF43*0.15</f>
        <v>1179.3842399999992</v>
      </c>
      <c r="AG44" s="3">
        <f t="shared" si="44"/>
        <v>1254.5472869999992</v>
      </c>
      <c r="AH44" s="3">
        <f t="shared" si="44"/>
        <v>1316.0072778299989</v>
      </c>
      <c r="AI44" s="3">
        <f t="shared" si="44"/>
        <v>1380.1252024286996</v>
      </c>
      <c r="AJ44" s="3">
        <f t="shared" si="44"/>
        <v>1432.3248228162513</v>
      </c>
      <c r="AK44" s="3">
        <f t="shared" si="44"/>
        <v>1486.198390458575</v>
      </c>
      <c r="AL44" s="3">
        <f t="shared" si="44"/>
        <v>1521.4287888614547</v>
      </c>
      <c r="AM44" s="3">
        <f t="shared" si="44"/>
        <v>1557.418859538328</v>
      </c>
      <c r="AN44" s="3">
        <f t="shared" si="44"/>
        <v>1594.1843465777345</v>
      </c>
      <c r="AO44" s="3">
        <f t="shared" si="44"/>
        <v>1631.7413144564177</v>
      </c>
    </row>
    <row r="45" spans="2:139" x14ac:dyDescent="0.3">
      <c r="B45" s="1" t="s">
        <v>38</v>
      </c>
      <c r="C45" s="3">
        <v>23</v>
      </c>
      <c r="D45" s="3">
        <v>34</v>
      </c>
      <c r="E45" s="3">
        <v>8</v>
      </c>
      <c r="F45" s="3">
        <f t="shared" si="40"/>
        <v>46</v>
      </c>
      <c r="G45" s="3">
        <v>55</v>
      </c>
      <c r="H45" s="3">
        <v>32</v>
      </c>
      <c r="I45" s="3">
        <v>51</v>
      </c>
      <c r="J45" s="3">
        <f t="shared" si="41"/>
        <v>47</v>
      </c>
      <c r="K45" s="3">
        <v>34</v>
      </c>
      <c r="L45" s="3">
        <v>64</v>
      </c>
      <c r="M45" s="3">
        <v>63</v>
      </c>
      <c r="N45" s="3">
        <f t="shared" si="42"/>
        <v>78</v>
      </c>
      <c r="O45" s="3">
        <v>90</v>
      </c>
      <c r="P45" s="3">
        <v>68</v>
      </c>
      <c r="Q45" s="3">
        <v>88</v>
      </c>
      <c r="R45" s="3">
        <v>91</v>
      </c>
      <c r="S45" s="3"/>
      <c r="T45" s="3"/>
      <c r="U45" s="3"/>
      <c r="V45" s="3"/>
      <c r="Y45" s="3">
        <v>221</v>
      </c>
      <c r="Z45" s="3">
        <v>181</v>
      </c>
      <c r="AA45" s="3">
        <v>248</v>
      </c>
      <c r="AB45" s="3">
        <v>111</v>
      </c>
      <c r="AC45" s="3">
        <v>185</v>
      </c>
      <c r="AD45" s="3">
        <v>239</v>
      </c>
      <c r="AE45" s="3">
        <f t="shared" si="43"/>
        <v>337</v>
      </c>
      <c r="AF45" s="3">
        <f t="shared" ref="AF45:AO45" si="45">AF43*0.03</f>
        <v>235.87684799999985</v>
      </c>
      <c r="AG45" s="3">
        <f t="shared" si="45"/>
        <v>250.90945739999987</v>
      </c>
      <c r="AH45" s="3">
        <f t="shared" si="45"/>
        <v>263.20145556599977</v>
      </c>
      <c r="AI45" s="3">
        <f t="shared" si="45"/>
        <v>276.02504048573991</v>
      </c>
      <c r="AJ45" s="3">
        <f t="shared" si="45"/>
        <v>286.46496456325025</v>
      </c>
      <c r="AK45" s="3">
        <f t="shared" si="45"/>
        <v>297.23967809171501</v>
      </c>
      <c r="AL45" s="3">
        <f t="shared" si="45"/>
        <v>304.28575777229094</v>
      </c>
      <c r="AM45" s="3">
        <f t="shared" si="45"/>
        <v>311.48377190766558</v>
      </c>
      <c r="AN45" s="3">
        <f t="shared" si="45"/>
        <v>318.83686931554689</v>
      </c>
      <c r="AO45" s="3">
        <f t="shared" si="45"/>
        <v>326.34826289128358</v>
      </c>
    </row>
    <row r="46" spans="2:139" s="4" customFormat="1" x14ac:dyDescent="0.3">
      <c r="B46" s="4" t="s">
        <v>39</v>
      </c>
      <c r="C46" s="5">
        <f t="shared" ref="C46:P46" si="46">C43-C44-C45</f>
        <v>1103</v>
      </c>
      <c r="D46" s="5">
        <f t="shared" si="46"/>
        <v>1304</v>
      </c>
      <c r="E46" s="5">
        <f t="shared" si="46"/>
        <v>1387</v>
      </c>
      <c r="F46" s="5">
        <f t="shared" si="46"/>
        <v>1422</v>
      </c>
      <c r="G46" s="5">
        <f t="shared" si="46"/>
        <v>1426</v>
      </c>
      <c r="H46" s="5">
        <f t="shared" si="46"/>
        <v>1327</v>
      </c>
      <c r="I46" s="5">
        <f t="shared" si="46"/>
        <v>-984</v>
      </c>
      <c r="J46" s="5">
        <f t="shared" si="46"/>
        <v>1426</v>
      </c>
      <c r="K46" s="5">
        <f t="shared" si="46"/>
        <v>1709</v>
      </c>
      <c r="L46" s="5">
        <f t="shared" si="46"/>
        <v>111</v>
      </c>
      <c r="M46" s="5">
        <f t="shared" si="46"/>
        <v>1472</v>
      </c>
      <c r="N46" s="5">
        <f t="shared" si="46"/>
        <v>1482</v>
      </c>
      <c r="O46" s="5">
        <f t="shared" si="46"/>
        <v>1535</v>
      </c>
      <c r="P46" s="5">
        <f t="shared" si="46"/>
        <v>1657</v>
      </c>
      <c r="Q46" s="5">
        <f t="shared" ref="Q46:R46" si="47">Q43-Q44-Q45</f>
        <v>1918</v>
      </c>
      <c r="R46" s="5">
        <f t="shared" si="47"/>
        <v>1622</v>
      </c>
      <c r="S46" s="5"/>
      <c r="T46" s="5"/>
      <c r="U46" s="5"/>
      <c r="V46" s="5"/>
      <c r="Y46" s="5">
        <f t="shared" ref="Y46:AD46" si="48">Y43-Y44-Y45</f>
        <v>3510</v>
      </c>
      <c r="Z46" s="5">
        <f t="shared" si="48"/>
        <v>-3109</v>
      </c>
      <c r="AA46" s="5">
        <f t="shared" si="48"/>
        <v>3897</v>
      </c>
      <c r="AB46" s="5">
        <f t="shared" si="48"/>
        <v>5216</v>
      </c>
      <c r="AC46" s="5">
        <f t="shared" si="48"/>
        <v>3195</v>
      </c>
      <c r="AD46" s="5">
        <f t="shared" si="48"/>
        <v>4774</v>
      </c>
      <c r="AE46" s="5">
        <f t="shared" ref="AE46:AO46" si="49">AE43-AE44-AE45</f>
        <v>5777.5699999999924</v>
      </c>
      <c r="AF46" s="5">
        <f t="shared" si="49"/>
        <v>6447.3005119999962</v>
      </c>
      <c r="AG46" s="5">
        <f t="shared" si="49"/>
        <v>6858.191835599996</v>
      </c>
      <c r="AH46" s="5">
        <f t="shared" si="49"/>
        <v>7194.1731188039939</v>
      </c>
      <c r="AI46" s="5">
        <f t="shared" si="49"/>
        <v>7544.6844399435586</v>
      </c>
      <c r="AJ46" s="5">
        <f t="shared" si="49"/>
        <v>7830.0423647288408</v>
      </c>
      <c r="AK46" s="5">
        <f t="shared" si="49"/>
        <v>8124.5512011735445</v>
      </c>
      <c r="AL46" s="5">
        <f t="shared" si="49"/>
        <v>8317.1440457759527</v>
      </c>
      <c r="AM46" s="5">
        <f t="shared" si="49"/>
        <v>8513.8897654761931</v>
      </c>
      <c r="AN46" s="5">
        <f t="shared" si="49"/>
        <v>8714.8744279582825</v>
      </c>
      <c r="AO46" s="5">
        <f t="shared" si="49"/>
        <v>8920.1858523617502</v>
      </c>
      <c r="AP46" s="4">
        <f>AO46*(1+$AS$56)</f>
        <v>8830.9839938381319</v>
      </c>
      <c r="AQ46" s="4">
        <f t="shared" ref="AQ46:DB46" si="50">AP46*(1+$AS$56)</f>
        <v>8742.6741538997503</v>
      </c>
      <c r="AR46" s="4">
        <f t="shared" si="50"/>
        <v>8655.2474123607535</v>
      </c>
      <c r="AS46" s="4">
        <f t="shared" si="50"/>
        <v>8568.6949382371458</v>
      </c>
      <c r="AT46" s="4">
        <f t="shared" si="50"/>
        <v>8483.0079888547734</v>
      </c>
      <c r="AU46" s="4">
        <f t="shared" si="50"/>
        <v>8398.177908966225</v>
      </c>
      <c r="AV46" s="4">
        <f t="shared" si="50"/>
        <v>8314.1961298765618</v>
      </c>
      <c r="AW46" s="4">
        <f t="shared" si="50"/>
        <v>8231.0541685777953</v>
      </c>
      <c r="AX46" s="4">
        <f t="shared" si="50"/>
        <v>8148.7436268920173</v>
      </c>
      <c r="AY46" s="4">
        <f t="shared" si="50"/>
        <v>8067.2561906230967</v>
      </c>
      <c r="AZ46" s="4">
        <f t="shared" si="50"/>
        <v>7986.5836287168659</v>
      </c>
      <c r="BA46" s="4">
        <f t="shared" si="50"/>
        <v>7906.7177924296975</v>
      </c>
      <c r="BB46" s="4">
        <f t="shared" si="50"/>
        <v>7827.6506145054009</v>
      </c>
      <c r="BC46" s="4">
        <f t="shared" si="50"/>
        <v>7749.3741083603472</v>
      </c>
      <c r="BD46" s="4">
        <f t="shared" si="50"/>
        <v>7671.8803672767435</v>
      </c>
      <c r="BE46" s="4">
        <f t="shared" si="50"/>
        <v>7595.161563603976</v>
      </c>
      <c r="BF46" s="4">
        <f t="shared" si="50"/>
        <v>7519.2099479679364</v>
      </c>
      <c r="BG46" s="4">
        <f t="shared" si="50"/>
        <v>7444.0178484882572</v>
      </c>
      <c r="BH46" s="4">
        <f t="shared" si="50"/>
        <v>7369.5776700033748</v>
      </c>
      <c r="BI46" s="4">
        <f t="shared" si="50"/>
        <v>7295.8818933033408</v>
      </c>
      <c r="BJ46" s="4">
        <f t="shared" si="50"/>
        <v>7222.9230743703074</v>
      </c>
      <c r="BK46" s="4">
        <f t="shared" si="50"/>
        <v>7150.6938436266046</v>
      </c>
      <c r="BL46" s="4">
        <f t="shared" si="50"/>
        <v>7079.1869051903386</v>
      </c>
      <c r="BM46" s="4">
        <f t="shared" si="50"/>
        <v>7008.395036138435</v>
      </c>
      <c r="BN46" s="4">
        <f t="shared" si="50"/>
        <v>6938.3110857770507</v>
      </c>
      <c r="BO46" s="4">
        <f t="shared" si="50"/>
        <v>6868.9279749192801</v>
      </c>
      <c r="BP46" s="4">
        <f t="shared" si="50"/>
        <v>6800.2386951700873</v>
      </c>
      <c r="BQ46" s="4">
        <f t="shared" si="50"/>
        <v>6732.2363082183865</v>
      </c>
      <c r="BR46" s="4">
        <f t="shared" si="50"/>
        <v>6664.9139451362025</v>
      </c>
      <c r="BS46" s="4">
        <f t="shared" si="50"/>
        <v>6598.2648056848402</v>
      </c>
      <c r="BT46" s="4">
        <f t="shared" si="50"/>
        <v>6532.2821576279921</v>
      </c>
      <c r="BU46" s="4">
        <f t="shared" si="50"/>
        <v>6466.9593360517119</v>
      </c>
      <c r="BV46" s="4">
        <f t="shared" si="50"/>
        <v>6402.289742691195</v>
      </c>
      <c r="BW46" s="4">
        <f t="shared" si="50"/>
        <v>6338.2668452642829</v>
      </c>
      <c r="BX46" s="4">
        <f t="shared" si="50"/>
        <v>6274.8841768116399</v>
      </c>
      <c r="BY46" s="4">
        <f t="shared" si="50"/>
        <v>6212.1353350435238</v>
      </c>
      <c r="BZ46" s="4">
        <f t="shared" si="50"/>
        <v>6150.0139816930887</v>
      </c>
      <c r="CA46" s="4">
        <f t="shared" si="50"/>
        <v>6088.513841876158</v>
      </c>
      <c r="CB46" s="4">
        <f t="shared" si="50"/>
        <v>6027.6287034573961</v>
      </c>
      <c r="CC46" s="4">
        <f t="shared" si="50"/>
        <v>5967.352416422822</v>
      </c>
      <c r="CD46" s="4">
        <f t="shared" si="50"/>
        <v>5907.6788922585938</v>
      </c>
      <c r="CE46" s="4">
        <f t="shared" si="50"/>
        <v>5848.6021033360075</v>
      </c>
      <c r="CF46" s="4">
        <f t="shared" si="50"/>
        <v>5790.1160823026476</v>
      </c>
      <c r="CG46" s="4">
        <f t="shared" si="50"/>
        <v>5732.2149214796209</v>
      </c>
      <c r="CH46" s="4">
        <f t="shared" si="50"/>
        <v>5674.892772264825</v>
      </c>
      <c r="CI46" s="4">
        <f t="shared" si="50"/>
        <v>5618.1438445421763</v>
      </c>
      <c r="CJ46" s="4">
        <f t="shared" si="50"/>
        <v>5561.9624060967544</v>
      </c>
      <c r="CK46" s="4">
        <f t="shared" si="50"/>
        <v>5506.3427820357865</v>
      </c>
      <c r="CL46" s="4">
        <f t="shared" si="50"/>
        <v>5451.2793542154286</v>
      </c>
      <c r="CM46" s="4">
        <f t="shared" si="50"/>
        <v>5396.7665606732744</v>
      </c>
      <c r="CN46" s="4">
        <f t="shared" si="50"/>
        <v>5342.7988950665413</v>
      </c>
      <c r="CO46" s="4">
        <f t="shared" si="50"/>
        <v>5289.3709061158761</v>
      </c>
      <c r="CP46" s="4">
        <f t="shared" si="50"/>
        <v>5236.4771970547172</v>
      </c>
      <c r="CQ46" s="4">
        <f t="shared" si="50"/>
        <v>5184.1124250841704</v>
      </c>
      <c r="CR46" s="4">
        <f t="shared" si="50"/>
        <v>5132.2713008333285</v>
      </c>
      <c r="CS46" s="4">
        <f t="shared" si="50"/>
        <v>5080.9485878249952</v>
      </c>
      <c r="CT46" s="4">
        <f t="shared" si="50"/>
        <v>5030.1391019467455</v>
      </c>
      <c r="CU46" s="4">
        <f t="shared" si="50"/>
        <v>4979.8377109272778</v>
      </c>
      <c r="CV46" s="4">
        <f t="shared" si="50"/>
        <v>4930.0393338180047</v>
      </c>
      <c r="CW46" s="4">
        <f t="shared" si="50"/>
        <v>4880.738940479825</v>
      </c>
      <c r="CX46" s="4">
        <f t="shared" si="50"/>
        <v>4831.9315510750266</v>
      </c>
      <c r="CY46" s="4">
        <f t="shared" si="50"/>
        <v>4783.6122355642765</v>
      </c>
      <c r="CZ46" s="4">
        <f t="shared" si="50"/>
        <v>4735.7761132086334</v>
      </c>
      <c r="DA46" s="4">
        <f t="shared" si="50"/>
        <v>4688.4183520765473</v>
      </c>
      <c r="DB46" s="4">
        <f t="shared" si="50"/>
        <v>4641.5341685557814</v>
      </c>
      <c r="DC46" s="4">
        <f t="shared" ref="DC46:EI46" si="51">DB46*(1+$AS$56)</f>
        <v>4595.1188268702235</v>
      </c>
      <c r="DD46" s="4">
        <f t="shared" si="51"/>
        <v>4549.1676386015215</v>
      </c>
      <c r="DE46" s="4">
        <f t="shared" si="51"/>
        <v>4503.6759622155059</v>
      </c>
      <c r="DF46" s="4">
        <f t="shared" si="51"/>
        <v>4458.639202593351</v>
      </c>
      <c r="DG46" s="4">
        <f t="shared" si="51"/>
        <v>4414.0528105674175</v>
      </c>
      <c r="DH46" s="4">
        <f t="shared" si="51"/>
        <v>4369.9122824617434</v>
      </c>
      <c r="DI46" s="4">
        <f t="shared" si="51"/>
        <v>4326.2131596371255</v>
      </c>
      <c r="DJ46" s="4">
        <f t="shared" si="51"/>
        <v>4282.951028040754</v>
      </c>
      <c r="DK46" s="4">
        <f t="shared" si="51"/>
        <v>4240.1215177603463</v>
      </c>
      <c r="DL46" s="4">
        <f t="shared" si="51"/>
        <v>4197.720302582743</v>
      </c>
      <c r="DM46" s="4">
        <f t="shared" si="51"/>
        <v>4155.7430995569157</v>
      </c>
      <c r="DN46" s="4">
        <f t="shared" si="51"/>
        <v>4114.1856685613466</v>
      </c>
      <c r="DO46" s="4">
        <f t="shared" si="51"/>
        <v>4073.0438118757329</v>
      </c>
      <c r="DP46" s="4">
        <f t="shared" si="51"/>
        <v>4032.3133737569756</v>
      </c>
      <c r="DQ46" s="4">
        <f t="shared" si="51"/>
        <v>3991.990240019406</v>
      </c>
      <c r="DR46" s="4">
        <f t="shared" si="51"/>
        <v>3952.0703376192118</v>
      </c>
      <c r="DS46" s="4">
        <f t="shared" si="51"/>
        <v>3912.5496342430197</v>
      </c>
      <c r="DT46" s="4">
        <f t="shared" si="51"/>
        <v>3873.4241379005894</v>
      </c>
      <c r="DU46" s="4">
        <f t="shared" si="51"/>
        <v>3834.6898965215833</v>
      </c>
      <c r="DV46" s="4">
        <f t="shared" si="51"/>
        <v>3796.3429975563672</v>
      </c>
      <c r="DW46" s="4">
        <f t="shared" si="51"/>
        <v>3758.3795675808037</v>
      </c>
      <c r="DX46" s="4">
        <f t="shared" si="51"/>
        <v>3720.7957719049955</v>
      </c>
      <c r="DY46" s="4">
        <f t="shared" si="51"/>
        <v>3683.5878141859457</v>
      </c>
      <c r="DZ46" s="4">
        <f t="shared" si="51"/>
        <v>3646.7519360440861</v>
      </c>
      <c r="EA46" s="4">
        <f t="shared" si="51"/>
        <v>3610.2844166836453</v>
      </c>
      <c r="EB46" s="4">
        <f t="shared" si="51"/>
        <v>3574.181572516809</v>
      </c>
      <c r="EC46" s="4">
        <f t="shared" si="51"/>
        <v>3538.4397567916408</v>
      </c>
      <c r="ED46" s="4">
        <f t="shared" si="51"/>
        <v>3503.0553592237243</v>
      </c>
      <c r="EE46" s="4">
        <f t="shared" si="51"/>
        <v>3468.0248056314872</v>
      </c>
      <c r="EF46" s="4">
        <f t="shared" si="51"/>
        <v>3433.3445575751721</v>
      </c>
      <c r="EG46" s="4">
        <f t="shared" si="51"/>
        <v>3399.0111119994203</v>
      </c>
      <c r="EH46" s="4">
        <f t="shared" si="51"/>
        <v>3365.0210008794261</v>
      </c>
      <c r="EI46" s="4">
        <f t="shared" si="51"/>
        <v>3331.3707908706319</v>
      </c>
    </row>
    <row r="47" spans="2:139" x14ac:dyDescent="0.3">
      <c r="B47" s="1" t="s">
        <v>2</v>
      </c>
      <c r="C47" s="3">
        <v>1330</v>
      </c>
      <c r="D47" s="3">
        <v>1330</v>
      </c>
      <c r="E47" s="3">
        <v>1330</v>
      </c>
      <c r="F47" s="3">
        <v>1330</v>
      </c>
      <c r="G47" s="3">
        <v>1330</v>
      </c>
      <c r="H47" s="3">
        <v>1330</v>
      </c>
      <c r="I47" s="3">
        <v>1330</v>
      </c>
      <c r="J47" s="3">
        <v>1330</v>
      </c>
      <c r="K47" s="3">
        <v>1330</v>
      </c>
      <c r="L47" s="3">
        <v>1330</v>
      </c>
      <c r="M47" s="3">
        <v>1330</v>
      </c>
      <c r="N47" s="3">
        <v>1330</v>
      </c>
      <c r="O47" s="3">
        <v>1330</v>
      </c>
      <c r="P47" s="3">
        <f>1338.5</f>
        <v>1338.5</v>
      </c>
      <c r="Q47" s="3">
        <f>1343.1</f>
        <v>1343.1</v>
      </c>
      <c r="R47" s="3">
        <f>1344.9</f>
        <v>1344.9</v>
      </c>
      <c r="S47" s="3"/>
      <c r="T47" s="3"/>
      <c r="U47" s="3"/>
      <c r="V47" s="3"/>
      <c r="Y47" s="3">
        <f t="shared" ref="Y47:AD47" si="52">1332.1</f>
        <v>1332.1</v>
      </c>
      <c r="Z47" s="3">
        <f t="shared" si="52"/>
        <v>1332.1</v>
      </c>
      <c r="AA47" s="3">
        <f t="shared" si="52"/>
        <v>1332.1</v>
      </c>
      <c r="AB47" s="3">
        <f t="shared" si="52"/>
        <v>1332.1</v>
      </c>
      <c r="AC47" s="3">
        <f t="shared" si="52"/>
        <v>1332.1</v>
      </c>
      <c r="AD47" s="3">
        <f t="shared" si="52"/>
        <v>1332.1</v>
      </c>
      <c r="AE47" s="3">
        <f>1344.9</f>
        <v>1344.9</v>
      </c>
      <c r="AF47" s="3">
        <f>1344.9</f>
        <v>1344.9</v>
      </c>
      <c r="AG47" s="3">
        <f>1344.9</f>
        <v>1344.9</v>
      </c>
      <c r="AH47" s="3">
        <f>1344.9</f>
        <v>1344.9</v>
      </c>
      <c r="AI47" s="3">
        <f>1344.9</f>
        <v>1344.9</v>
      </c>
      <c r="AJ47" s="3">
        <f>1344.9</f>
        <v>1344.9</v>
      </c>
      <c r="AK47" s="3">
        <f>1344.9</f>
        <v>1344.9</v>
      </c>
      <c r="AL47" s="3">
        <f>1344.9</f>
        <v>1344.9</v>
      </c>
      <c r="AM47" s="3">
        <f>1344.9</f>
        <v>1344.9</v>
      </c>
      <c r="AN47" s="3">
        <f>1344.9</f>
        <v>1344.9</v>
      </c>
      <c r="AO47" s="3">
        <f>1344.9</f>
        <v>1344.9</v>
      </c>
    </row>
    <row r="48" spans="2:139" x14ac:dyDescent="0.3">
      <c r="B48" s="1" t="s">
        <v>40</v>
      </c>
      <c r="C48" s="6">
        <f t="shared" ref="C48:P48" si="53">C46/C47</f>
        <v>0.82932330827067668</v>
      </c>
      <c r="D48" s="6">
        <f t="shared" si="53"/>
        <v>0.98045112781954891</v>
      </c>
      <c r="E48" s="6">
        <f t="shared" si="53"/>
        <v>1.0428571428571429</v>
      </c>
      <c r="F48" s="6">
        <f t="shared" si="53"/>
        <v>1.069172932330827</v>
      </c>
      <c r="G48" s="6">
        <f t="shared" si="53"/>
        <v>1.0721804511278195</v>
      </c>
      <c r="H48" s="6">
        <f t="shared" si="53"/>
        <v>0.9977443609022556</v>
      </c>
      <c r="I48" s="6">
        <f t="shared" si="53"/>
        <v>-0.73984962406015042</v>
      </c>
      <c r="J48" s="6">
        <f t="shared" si="53"/>
        <v>1.0721804511278195</v>
      </c>
      <c r="K48" s="6">
        <f t="shared" si="53"/>
        <v>1.2849624060150375</v>
      </c>
      <c r="L48" s="6">
        <f t="shared" si="53"/>
        <v>8.3458646616541357E-2</v>
      </c>
      <c r="M48" s="6">
        <f t="shared" si="53"/>
        <v>1.1067669172932331</v>
      </c>
      <c r="N48" s="6">
        <f t="shared" si="53"/>
        <v>1.1142857142857143</v>
      </c>
      <c r="O48" s="6">
        <f t="shared" si="53"/>
        <v>1.1541353383458646</v>
      </c>
      <c r="P48" s="6">
        <f t="shared" si="53"/>
        <v>1.2379529323870004</v>
      </c>
      <c r="Q48" s="6">
        <f t="shared" ref="Q48:R48" si="54">Q46/Q47</f>
        <v>1.4280396098577919</v>
      </c>
      <c r="R48" s="6">
        <f t="shared" si="54"/>
        <v>1.2060376236151387</v>
      </c>
      <c r="S48" s="6"/>
      <c r="T48" s="6"/>
      <c r="U48" s="6"/>
      <c r="V48" s="6"/>
      <c r="Y48" s="6">
        <f t="shared" ref="Y48:AD48" si="55">Y46/Y47</f>
        <v>2.6349373170182422</v>
      </c>
      <c r="Z48" s="6">
        <f t="shared" si="55"/>
        <v>-2.3339088657007734</v>
      </c>
      <c r="AA48" s="6">
        <f t="shared" si="55"/>
        <v>2.9254560468433302</v>
      </c>
      <c r="AB48" s="6">
        <f t="shared" si="55"/>
        <v>3.9156219503040317</v>
      </c>
      <c r="AC48" s="6">
        <f t="shared" si="55"/>
        <v>2.3984685834396817</v>
      </c>
      <c r="AD48" s="6">
        <f t="shared" si="55"/>
        <v>3.5838150289017343</v>
      </c>
      <c r="AE48" s="6">
        <f t="shared" ref="AE48:AO48" si="56">AE46/AE47</f>
        <v>4.2959104766153562</v>
      </c>
      <c r="AF48" s="6">
        <f t="shared" si="56"/>
        <v>4.7938884021116781</v>
      </c>
      <c r="AG48" s="6">
        <f t="shared" si="56"/>
        <v>5.0994065250947989</v>
      </c>
      <c r="AH48" s="6">
        <f t="shared" si="56"/>
        <v>5.349225309542712</v>
      </c>
      <c r="AI48" s="6">
        <f t="shared" si="56"/>
        <v>5.609847899430112</v>
      </c>
      <c r="AJ48" s="6">
        <f t="shared" si="56"/>
        <v>5.8220257005939775</v>
      </c>
      <c r="AK48" s="6">
        <f t="shared" si="56"/>
        <v>6.0410076594345634</v>
      </c>
      <c r="AL48" s="6">
        <f t="shared" si="56"/>
        <v>6.1842100124737547</v>
      </c>
      <c r="AM48" s="6">
        <f t="shared" si="56"/>
        <v>6.3305002345722299</v>
      </c>
      <c r="AN48" s="6">
        <f t="shared" si="56"/>
        <v>6.4799423213311638</v>
      </c>
      <c r="AO48" s="6">
        <f t="shared" si="56"/>
        <v>6.6326015706459582</v>
      </c>
    </row>
    <row r="50" spans="2:45" x14ac:dyDescent="0.3">
      <c r="B50" s="1" t="s">
        <v>183</v>
      </c>
      <c r="Q50" s="7">
        <f>Q24/M24-1</f>
        <v>7.7173144876325095E-2</v>
      </c>
      <c r="R50" s="7">
        <f>R24/N24-1</f>
        <v>2.6403078147804182E-2</v>
      </c>
    </row>
    <row r="51" spans="2:45" x14ac:dyDescent="0.3">
      <c r="B51" s="1" t="s">
        <v>184</v>
      </c>
      <c r="Q51" s="7">
        <f t="shared" ref="Q51:R52" si="57">Q25/M25-1</f>
        <v>0.16355850255560167</v>
      </c>
      <c r="R51" s="7">
        <f t="shared" si="57"/>
        <v>0.25459109525696921</v>
      </c>
    </row>
    <row r="52" spans="2:45" x14ac:dyDescent="0.3">
      <c r="B52" s="1" t="s">
        <v>185</v>
      </c>
      <c r="Q52" s="7">
        <f t="shared" si="57"/>
        <v>0.10319448794237385</v>
      </c>
      <c r="R52" s="7">
        <f t="shared" si="57"/>
        <v>6.9861673885706299E-2</v>
      </c>
    </row>
    <row r="54" spans="2:45" x14ac:dyDescent="0.3">
      <c r="B54" s="1" t="s">
        <v>42</v>
      </c>
      <c r="C54" s="7"/>
      <c r="D54" s="7"/>
      <c r="E54" s="7"/>
      <c r="F54" s="7"/>
      <c r="G54" s="7">
        <f t="shared" ref="G54:P56" si="58">G30/C30-1</f>
        <v>7.7980104535491535E-2</v>
      </c>
      <c r="H54" s="7">
        <f t="shared" si="58"/>
        <v>9.4061021373796683E-2</v>
      </c>
      <c r="I54" s="7"/>
      <c r="J54" s="7">
        <f t="shared" si="58"/>
        <v>6.1955817802403335E-2</v>
      </c>
      <c r="K54" s="7">
        <f t="shared" si="58"/>
        <v>0.11855791037772745</v>
      </c>
      <c r="L54" s="7">
        <f t="shared" si="58"/>
        <v>8.5825068973230945E-2</v>
      </c>
      <c r="M54" s="7"/>
      <c r="N54" s="7">
        <f t="shared" si="58"/>
        <v>8.6800379455210797E-2</v>
      </c>
      <c r="O54" s="7">
        <f t="shared" si="58"/>
        <v>2.0135635880584424E-2</v>
      </c>
      <c r="P54" s="7">
        <f t="shared" si="58"/>
        <v>6.7916494986952403E-2</v>
      </c>
      <c r="Q54" s="7">
        <f t="shared" ref="Q54:Q56" si="59">Q30/M30-1</f>
        <v>0.10579276584171882</v>
      </c>
      <c r="R54" s="7">
        <f t="shared" ref="R54:R56" si="60">R30/N30-1</f>
        <v>-1</v>
      </c>
      <c r="S54" s="7"/>
      <c r="T54" s="7"/>
      <c r="U54" s="7"/>
      <c r="V54" s="7"/>
      <c r="Y54" s="7"/>
      <c r="Z54" s="7">
        <f>Z30/Y30-1</f>
        <v>0.31277653191102495</v>
      </c>
      <c r="AA54" s="7">
        <f t="shared" ref="AA54:AD54" si="61">AA30/Z30-1</f>
        <v>0.13737620905376402</v>
      </c>
      <c r="AB54" s="7">
        <f t="shared" si="61"/>
        <v>3.0505378526486604E-2</v>
      </c>
      <c r="AC54" s="7">
        <f t="shared" si="61"/>
        <v>-2.3673999960609038E-2</v>
      </c>
      <c r="AD54" s="7">
        <f t="shared" si="61"/>
        <v>0.20255794718686326</v>
      </c>
      <c r="AE54" s="7">
        <f t="shared" ref="AE54:AE56" si="62">AE30/AD30-1</f>
        <v>-1</v>
      </c>
      <c r="AF54" s="7" t="e">
        <f t="shared" ref="AF54:AF56" si="63">AF30/AE30-1</f>
        <v>#DIV/0!</v>
      </c>
      <c r="AG54" s="7" t="e">
        <f t="shared" ref="AG54:AG56" si="64">AG30/AF30-1</f>
        <v>#DIV/0!</v>
      </c>
      <c r="AH54" s="7" t="e">
        <f t="shared" ref="AH54:AH56" si="65">AH30/AG30-1</f>
        <v>#DIV/0!</v>
      </c>
      <c r="AI54" s="7" t="e">
        <f t="shared" ref="AI54:AI56" si="66">AI30/AH30-1</f>
        <v>#DIV/0!</v>
      </c>
      <c r="AJ54" s="7" t="e">
        <f t="shared" ref="AJ54:AJ56" si="67">AJ30/AI30-1</f>
        <v>#DIV/0!</v>
      </c>
      <c r="AK54" s="7" t="e">
        <f t="shared" ref="AK54:AK56" si="68">AK30/AJ30-1</f>
        <v>#DIV/0!</v>
      </c>
      <c r="AL54" s="7" t="e">
        <f t="shared" ref="AL54:AL56" si="69">AL30/AK30-1</f>
        <v>#DIV/0!</v>
      </c>
      <c r="AM54" s="7" t="e">
        <f t="shared" ref="AM54:AM56" si="70">AM30/AL30-1</f>
        <v>#DIV/0!</v>
      </c>
      <c r="AN54" s="7" t="e">
        <f t="shared" ref="AN54:AN56" si="71">AN30/AM30-1</f>
        <v>#DIV/0!</v>
      </c>
      <c r="AO54" s="7" t="e">
        <f t="shared" ref="AO54:AO56" si="72">AO30/AN30-1</f>
        <v>#DIV/0!</v>
      </c>
    </row>
    <row r="55" spans="2:45" x14ac:dyDescent="0.3">
      <c r="B55" s="1" t="s">
        <v>43</v>
      </c>
      <c r="C55" s="7"/>
      <c r="D55" s="7"/>
      <c r="E55" s="7"/>
      <c r="F55" s="7"/>
      <c r="G55" s="7">
        <f t="shared" si="58"/>
        <v>0.14867669953295271</v>
      </c>
      <c r="H55" s="7">
        <f t="shared" si="58"/>
        <v>0.20907297830374749</v>
      </c>
      <c r="I55" s="7">
        <f t="shared" si="58"/>
        <v>0.15589988081048878</v>
      </c>
      <c r="J55" s="7">
        <f t="shared" si="58"/>
        <v>0.23188751191611057</v>
      </c>
      <c r="K55" s="7">
        <f t="shared" si="58"/>
        <v>0.12988479783148854</v>
      </c>
      <c r="L55" s="7">
        <f t="shared" si="58"/>
        <v>5.1998368678629614E-2</v>
      </c>
      <c r="M55" s="7">
        <f t="shared" si="58"/>
        <v>0.10971334295731072</v>
      </c>
      <c r="N55" s="7">
        <f t="shared" si="58"/>
        <v>8.0286322306055258E-2</v>
      </c>
      <c r="O55" s="7">
        <f t="shared" si="58"/>
        <v>0.14254298280687716</v>
      </c>
      <c r="P55" s="7">
        <f t="shared" si="58"/>
        <v>0.16883116883116878</v>
      </c>
      <c r="Q55" s="7">
        <f t="shared" si="59"/>
        <v>0.15480393978814355</v>
      </c>
      <c r="R55" s="7">
        <f t="shared" si="60"/>
        <v>-1</v>
      </c>
      <c r="S55" s="7"/>
      <c r="T55" s="7"/>
      <c r="U55" s="7"/>
      <c r="V55" s="7"/>
      <c r="Y55" s="7"/>
      <c r="Z55" s="7">
        <f t="shared" ref="Z55:AD56" si="73">Z31/Y31-1</f>
        <v>7.4245000404825623E-2</v>
      </c>
      <c r="AA55" s="7">
        <f t="shared" si="73"/>
        <v>0.13943322279167925</v>
      </c>
      <c r="AB55" s="7">
        <f t="shared" si="73"/>
        <v>7.8251091414208274E-2</v>
      </c>
      <c r="AC55" s="7">
        <f t="shared" si="73"/>
        <v>0.18698239371817671</v>
      </c>
      <c r="AD55" s="7">
        <f t="shared" si="73"/>
        <v>9.1839371543749104E-2</v>
      </c>
      <c r="AE55" s="7">
        <f t="shared" si="62"/>
        <v>-1</v>
      </c>
      <c r="AF55" s="7" t="e">
        <f t="shared" si="63"/>
        <v>#DIV/0!</v>
      </c>
      <c r="AG55" s="7" t="e">
        <f t="shared" si="64"/>
        <v>#DIV/0!</v>
      </c>
      <c r="AH55" s="7" t="e">
        <f t="shared" si="65"/>
        <v>#DIV/0!</v>
      </c>
      <c r="AI55" s="7" t="e">
        <f t="shared" si="66"/>
        <v>#DIV/0!</v>
      </c>
      <c r="AJ55" s="7" t="e">
        <f t="shared" si="67"/>
        <v>#DIV/0!</v>
      </c>
      <c r="AK55" s="7" t="e">
        <f t="shared" si="68"/>
        <v>#DIV/0!</v>
      </c>
      <c r="AL55" s="7" t="e">
        <f t="shared" si="69"/>
        <v>#DIV/0!</v>
      </c>
      <c r="AM55" s="7" t="e">
        <f t="shared" si="70"/>
        <v>#DIV/0!</v>
      </c>
      <c r="AN55" s="7" t="e">
        <f t="shared" si="71"/>
        <v>#DIV/0!</v>
      </c>
      <c r="AO55" s="7" t="e">
        <f t="shared" si="72"/>
        <v>#DIV/0!</v>
      </c>
    </row>
    <row r="56" spans="2:45" s="4" customFormat="1" x14ac:dyDescent="0.3">
      <c r="B56" s="4" t="s">
        <v>41</v>
      </c>
      <c r="C56" s="7"/>
      <c r="D56" s="7"/>
      <c r="E56" s="7"/>
      <c r="F56" s="7"/>
      <c r="G56" s="7">
        <f t="shared" si="58"/>
        <v>9.531687452277926E-2</v>
      </c>
      <c r="H56" s="7">
        <f t="shared" si="58"/>
        <v>0.12265538801029785</v>
      </c>
      <c r="I56" s="7">
        <f t="shared" si="58"/>
        <v>-0.20571057754704736</v>
      </c>
      <c r="J56" s="7">
        <f t="shared" si="58"/>
        <v>0.10136516884983138</v>
      </c>
      <c r="K56" s="7">
        <f t="shared" si="58"/>
        <v>0.12147089578250259</v>
      </c>
      <c r="L56" s="7">
        <f t="shared" si="58"/>
        <v>7.6767676767676818E-2</v>
      </c>
      <c r="M56" s="7">
        <f t="shared" si="58"/>
        <v>0.49205288175876416</v>
      </c>
      <c r="N56" s="7">
        <f t="shared" si="58"/>
        <v>8.5110653886686372E-2</v>
      </c>
      <c r="O56" s="7">
        <f t="shared" si="58"/>
        <v>5.1851851851851816E-2</v>
      </c>
      <c r="P56" s="7">
        <f t="shared" si="58"/>
        <v>9.4315704071801676E-2</v>
      </c>
      <c r="Q56" s="7">
        <f t="shared" si="59"/>
        <v>0.11892080242919012</v>
      </c>
      <c r="R56" s="7">
        <f t="shared" si="60"/>
        <v>0.12093604032742911</v>
      </c>
      <c r="S56" s="7"/>
      <c r="T56" s="7"/>
      <c r="U56" s="7"/>
      <c r="V56" s="7"/>
      <c r="Y56" s="7"/>
      <c r="Z56" s="7">
        <f t="shared" si="73"/>
        <v>0.24781141811285812</v>
      </c>
      <c r="AA56" s="7">
        <f t="shared" si="73"/>
        <v>0.1378585187410537</v>
      </c>
      <c r="AB56" s="7">
        <f t="shared" si="73"/>
        <v>4.1715847673479578E-2</v>
      </c>
      <c r="AC56" s="7">
        <f t="shared" si="73"/>
        <v>2.7521841548140857E-2</v>
      </c>
      <c r="AD56" s="7">
        <f t="shared" si="73"/>
        <v>0.17147417295414979</v>
      </c>
      <c r="AE56" s="7">
        <f t="shared" si="62"/>
        <v>9.7413857167628626E-2</v>
      </c>
      <c r="AF56" s="7">
        <f t="shared" si="63"/>
        <v>6.0000000000000053E-2</v>
      </c>
      <c r="AG56" s="7">
        <f t="shared" si="64"/>
        <v>5.0000000000000044E-2</v>
      </c>
      <c r="AH56" s="7">
        <f t="shared" si="65"/>
        <v>4.0000000000000036E-2</v>
      </c>
      <c r="AI56" s="7">
        <f t="shared" si="66"/>
        <v>4.0000000000000036E-2</v>
      </c>
      <c r="AJ56" s="7">
        <f t="shared" si="67"/>
        <v>3.0000000000000027E-2</v>
      </c>
      <c r="AK56" s="7">
        <f t="shared" si="68"/>
        <v>3.0000000000000027E-2</v>
      </c>
      <c r="AL56" s="7">
        <f t="shared" si="69"/>
        <v>2.0000000000000018E-2</v>
      </c>
      <c r="AM56" s="7">
        <f t="shared" si="70"/>
        <v>2.0000000000000018E-2</v>
      </c>
      <c r="AN56" s="7">
        <f t="shared" si="71"/>
        <v>2.0000000000000018E-2</v>
      </c>
      <c r="AO56" s="7">
        <f t="shared" si="72"/>
        <v>2.0000000000000018E-2</v>
      </c>
      <c r="AR56" s="1" t="s">
        <v>55</v>
      </c>
      <c r="AS56" s="7">
        <v>-0.01</v>
      </c>
    </row>
    <row r="57" spans="2:45" x14ac:dyDescent="0.3">
      <c r="B57" s="1" t="s">
        <v>44</v>
      </c>
      <c r="C57" s="7">
        <f t="shared" ref="C57" si="74">(C30-C33)/C30</f>
        <v>0.17214634968807957</v>
      </c>
      <c r="D57" s="7">
        <f t="shared" ref="D57:N57" si="75">(D30-D33)/D30</f>
        <v>0.18094305759503998</v>
      </c>
      <c r="E57" s="7">
        <f t="shared" si="75"/>
        <v>0.17740671056757604</v>
      </c>
      <c r="F57" s="7">
        <f t="shared" si="75"/>
        <v>0.16715837950636828</v>
      </c>
      <c r="G57" s="7">
        <f t="shared" si="75"/>
        <v>0.16321263783530149</v>
      </c>
      <c r="H57" s="7">
        <f t="shared" si="75"/>
        <v>0.17314145104764744</v>
      </c>
      <c r="I57" s="7">
        <f t="shared" si="75"/>
        <v>-7.8235635519442834E-2</v>
      </c>
      <c r="J57" s="7">
        <f t="shared" si="75"/>
        <v>0.16336902019243799</v>
      </c>
      <c r="K57" s="7">
        <f t="shared" si="75"/>
        <v>0.14591344473187443</v>
      </c>
      <c r="L57" s="7">
        <f t="shared" si="75"/>
        <v>0.13301744265897542</v>
      </c>
      <c r="M57" s="7">
        <f t="shared" si="75"/>
        <v>0.16127277672015231</v>
      </c>
      <c r="N57" s="7">
        <f t="shared" si="75"/>
        <v>0.15262796932477088</v>
      </c>
      <c r="O57" s="7">
        <f t="shared" ref="O57" si="76">(O30-O33)/O30</f>
        <v>0.15817969981495442</v>
      </c>
      <c r="P57" s="7">
        <f t="shared" ref="P57" si="77">(P30-P33)/P30</f>
        <v>0.16474824770111246</v>
      </c>
      <c r="Q57" s="7">
        <f t="shared" ref="Q57:R57" si="78">(Q30-Q33)/Q30</f>
        <v>0.16422774225282832</v>
      </c>
      <c r="R57" s="7" t="e">
        <f t="shared" si="78"/>
        <v>#DIV/0!</v>
      </c>
      <c r="S57" s="7"/>
      <c r="T57" s="7"/>
      <c r="U57" s="7"/>
      <c r="V57" s="7"/>
      <c r="Y57" s="7">
        <f>(Y30-Y33)/Y30</f>
        <v>0.18449603006242801</v>
      </c>
      <c r="Z57" s="7">
        <f>(Z30-Z33)/Z30</f>
        <v>0.11962418338373462</v>
      </c>
      <c r="AA57" s="7">
        <f t="shared" ref="AA57:AD57" si="79">(AA30-AA33)/AA30</f>
        <v>0.16592246803328597</v>
      </c>
      <c r="AB57" s="7">
        <f t="shared" si="79"/>
        <v>0.17422645894471472</v>
      </c>
      <c r="AC57" s="7">
        <f t="shared" si="79"/>
        <v>0.1239837808396038</v>
      </c>
      <c r="AD57" s="7">
        <f t="shared" si="79"/>
        <v>0.14835939072669932</v>
      </c>
      <c r="AE57" s="7" t="e">
        <f t="shared" ref="AE57:AO57" si="80">(AE30-AE33)/AE30</f>
        <v>#DIV/0!</v>
      </c>
      <c r="AF57" s="7" t="e">
        <f t="shared" si="80"/>
        <v>#DIV/0!</v>
      </c>
      <c r="AG57" s="7" t="e">
        <f t="shared" si="80"/>
        <v>#DIV/0!</v>
      </c>
      <c r="AH57" s="7" t="e">
        <f t="shared" si="80"/>
        <v>#DIV/0!</v>
      </c>
      <c r="AI57" s="7" t="e">
        <f t="shared" si="80"/>
        <v>#DIV/0!</v>
      </c>
      <c r="AJ57" s="7" t="e">
        <f t="shared" si="80"/>
        <v>#DIV/0!</v>
      </c>
      <c r="AK57" s="7" t="e">
        <f t="shared" si="80"/>
        <v>#DIV/0!</v>
      </c>
      <c r="AL57" s="7" t="e">
        <f t="shared" si="80"/>
        <v>#DIV/0!</v>
      </c>
      <c r="AM57" s="7" t="e">
        <f t="shared" si="80"/>
        <v>#DIV/0!</v>
      </c>
      <c r="AN57" s="7" t="e">
        <f t="shared" si="80"/>
        <v>#DIV/0!</v>
      </c>
      <c r="AO57" s="7" t="e">
        <f t="shared" si="80"/>
        <v>#DIV/0!</v>
      </c>
      <c r="AR57" s="1" t="s">
        <v>56</v>
      </c>
      <c r="AS57" s="7">
        <v>0.06</v>
      </c>
    </row>
    <row r="58" spans="2:45" x14ac:dyDescent="0.3">
      <c r="B58" s="1" t="s">
        <v>45</v>
      </c>
      <c r="C58" s="7">
        <f t="shared" ref="C58" si="81">(C31-C34)/C31</f>
        <v>0.28905033731188373</v>
      </c>
      <c r="D58" s="7">
        <f t="shared" ref="D58:N58" si="82">(D31-D34)/D31</f>
        <v>0.3057199211045365</v>
      </c>
      <c r="E58" s="7">
        <f t="shared" si="82"/>
        <v>0.29177592371871275</v>
      </c>
      <c r="F58" s="7">
        <f t="shared" si="82"/>
        <v>0.29647283126787416</v>
      </c>
      <c r="G58" s="7">
        <f t="shared" si="82"/>
        <v>0.33476394849785407</v>
      </c>
      <c r="H58" s="7">
        <f t="shared" si="82"/>
        <v>0.30077487765089722</v>
      </c>
      <c r="I58" s="7">
        <f t="shared" si="82"/>
        <v>0.28624458651268303</v>
      </c>
      <c r="J58" s="7">
        <f t="shared" si="82"/>
        <v>0.30915070613271428</v>
      </c>
      <c r="K58" s="7">
        <f t="shared" si="82"/>
        <v>0.29468212714914033</v>
      </c>
      <c r="L58" s="7">
        <f t="shared" si="82"/>
        <v>0.3184725722039155</v>
      </c>
      <c r="M58" s="7">
        <f t="shared" si="82"/>
        <v>0.30886452332280245</v>
      </c>
      <c r="N58" s="7">
        <f t="shared" si="82"/>
        <v>0.32002148997134672</v>
      </c>
      <c r="O58" s="7">
        <f t="shared" ref="O58" si="83">(O31-O34)/O31</f>
        <v>0.31636045494313209</v>
      </c>
      <c r="P58" s="7">
        <f t="shared" ref="P58" si="84">(P31-P34)/P31</f>
        <v>0.30082918739635156</v>
      </c>
      <c r="Q58" s="7">
        <f t="shared" ref="Q58:R58" si="85">(Q31-Q34)/Q31</f>
        <v>0.30720952687479886</v>
      </c>
      <c r="R58" s="7" t="e">
        <f t="shared" si="85"/>
        <v>#DIV/0!</v>
      </c>
      <c r="S58" s="7"/>
      <c r="T58" s="7"/>
      <c r="U58" s="7"/>
      <c r="V58" s="7"/>
      <c r="Y58" s="7">
        <f>(Y31-Y34)/Y31</f>
        <v>0.37754028013926</v>
      </c>
      <c r="Z58" s="7">
        <f>(Z31-Z34)/Z31</f>
        <v>0.25241181790774797</v>
      </c>
      <c r="AA58" s="7">
        <f t="shared" ref="AA58:AD58" si="86">(AA31-AA34)/AA31</f>
        <v>0.28548749834634213</v>
      </c>
      <c r="AB58" s="7">
        <f t="shared" si="86"/>
        <v>0.29581007300165635</v>
      </c>
      <c r="AC58" s="7">
        <f t="shared" si="86"/>
        <v>0.30714765620962325</v>
      </c>
      <c r="AD58" s="7">
        <f t="shared" si="86"/>
        <v>0.3108018555334659</v>
      </c>
      <c r="AE58" s="7" t="e">
        <f t="shared" ref="AE58:AO58" si="87">(AE31-AE34)/AE31</f>
        <v>#DIV/0!</v>
      </c>
      <c r="AF58" s="7" t="e">
        <f t="shared" si="87"/>
        <v>#DIV/0!</v>
      </c>
      <c r="AG58" s="7" t="e">
        <f t="shared" si="87"/>
        <v>#DIV/0!</v>
      </c>
      <c r="AH58" s="7" t="e">
        <f t="shared" si="87"/>
        <v>#DIV/0!</v>
      </c>
      <c r="AI58" s="7" t="e">
        <f t="shared" si="87"/>
        <v>#DIV/0!</v>
      </c>
      <c r="AJ58" s="7" t="e">
        <f t="shared" si="87"/>
        <v>#DIV/0!</v>
      </c>
      <c r="AK58" s="7" t="e">
        <f t="shared" si="87"/>
        <v>#DIV/0!</v>
      </c>
      <c r="AL58" s="7" t="e">
        <f t="shared" si="87"/>
        <v>#DIV/0!</v>
      </c>
      <c r="AM58" s="7" t="e">
        <f t="shared" si="87"/>
        <v>#DIV/0!</v>
      </c>
      <c r="AN58" s="7" t="e">
        <f t="shared" si="87"/>
        <v>#DIV/0!</v>
      </c>
      <c r="AO58" s="7" t="e">
        <f t="shared" si="87"/>
        <v>#DIV/0!</v>
      </c>
      <c r="AR58" s="1" t="s">
        <v>57</v>
      </c>
      <c r="AS58" s="3">
        <f>NPV(AS57,AE46:EI46)</f>
        <v>125405.04849548574</v>
      </c>
    </row>
    <row r="59" spans="2:45" x14ac:dyDescent="0.3">
      <c r="B59" s="1" t="s">
        <v>46</v>
      </c>
      <c r="C59" s="7">
        <f t="shared" ref="C59" si="88">C36/C32</f>
        <v>0.20081445660473402</v>
      </c>
      <c r="D59" s="7">
        <f t="shared" ref="D59:N59" si="89">D36/D32</f>
        <v>0.21196518327816599</v>
      </c>
      <c r="E59" s="7">
        <f t="shared" si="89"/>
        <v>0.20571057754704739</v>
      </c>
      <c r="F59" s="7">
        <f t="shared" si="89"/>
        <v>0.19714806831371248</v>
      </c>
      <c r="G59" s="7">
        <f t="shared" si="89"/>
        <v>0.20733124201231556</v>
      </c>
      <c r="H59" s="7">
        <f t="shared" si="89"/>
        <v>0.20731640731640733</v>
      </c>
      <c r="I59" s="7">
        <f t="shared" si="89"/>
        <v>5.3030303030303032E-2</v>
      </c>
      <c r="J59" s="7">
        <f t="shared" si="89"/>
        <v>0.20118432277814022</v>
      </c>
      <c r="K59" s="7">
        <f t="shared" si="89"/>
        <v>0.18445998445998446</v>
      </c>
      <c r="L59" s="7">
        <f t="shared" si="89"/>
        <v>0.18153237665432786</v>
      </c>
      <c r="M59" s="7">
        <f t="shared" si="89"/>
        <v>0.20080641146896311</v>
      </c>
      <c r="N59" s="7">
        <f t="shared" si="89"/>
        <v>0.1958562641631596</v>
      </c>
      <c r="O59" s="7">
        <f t="shared" ref="O59" si="90">O36/O32</f>
        <v>0.20269870974096327</v>
      </c>
      <c r="P59" s="7">
        <f t="shared" ref="P59" si="91">P36/P32</f>
        <v>0.20277095593345998</v>
      </c>
      <c r="Q59" s="7">
        <f t="shared" ref="Q59:R59" si="92">Q36/Q32</f>
        <v>0.20375478245395498</v>
      </c>
      <c r="R59" s="7">
        <f t="shared" si="92"/>
        <v>0.19461176664741314</v>
      </c>
      <c r="S59" s="7"/>
      <c r="T59" s="7"/>
      <c r="U59" s="7"/>
      <c r="V59" s="7"/>
      <c r="Y59" s="7">
        <f>Y36/Y32</f>
        <v>0.23707248230390968</v>
      </c>
      <c r="Z59" s="7">
        <f>Z36/Z32</f>
        <v>0.15075900825277891</v>
      </c>
      <c r="AA59" s="7">
        <f t="shared" ref="AA59:AD59" si="93">AA36/AA32</f>
        <v>0.19399577561036219</v>
      </c>
      <c r="AB59" s="7">
        <f t="shared" si="93"/>
        <v>0.20377493514625639</v>
      </c>
      <c r="AC59" s="7">
        <f t="shared" si="93"/>
        <v>0.17540626813697041</v>
      </c>
      <c r="AD59" s="7">
        <f t="shared" si="93"/>
        <v>0.19086427704426664</v>
      </c>
      <c r="AE59" s="7">
        <f t="shared" ref="AE59:AO59" si="94">AE36/AE32</f>
        <v>0.18999999999999992</v>
      </c>
      <c r="AF59" s="7">
        <f t="shared" si="94"/>
        <v>0.18999999999999995</v>
      </c>
      <c r="AG59" s="7">
        <f t="shared" si="94"/>
        <v>0.18999999999999995</v>
      </c>
      <c r="AH59" s="7">
        <f t="shared" si="94"/>
        <v>0.18999999999999992</v>
      </c>
      <c r="AI59" s="7">
        <f t="shared" si="94"/>
        <v>0.18999999999999995</v>
      </c>
      <c r="AJ59" s="7">
        <f t="shared" si="94"/>
        <v>0.19</v>
      </c>
      <c r="AK59" s="7">
        <f t="shared" si="94"/>
        <v>0.18999999999999995</v>
      </c>
      <c r="AL59" s="7">
        <f t="shared" si="94"/>
        <v>0.18999999999999997</v>
      </c>
      <c r="AM59" s="7">
        <f t="shared" si="94"/>
        <v>0.18999999999999995</v>
      </c>
      <c r="AN59" s="7">
        <f t="shared" si="94"/>
        <v>0.18999999999999989</v>
      </c>
      <c r="AO59" s="7">
        <f t="shared" si="94"/>
        <v>0.18999999999999992</v>
      </c>
      <c r="AR59" s="1" t="s">
        <v>58</v>
      </c>
      <c r="AS59" s="3">
        <f>Main!D8</f>
        <v>-30469</v>
      </c>
    </row>
    <row r="60" spans="2:45" x14ac:dyDescent="0.3">
      <c r="B60" s="1" t="s">
        <v>47</v>
      </c>
      <c r="C60" s="7"/>
      <c r="D60" s="7"/>
      <c r="E60" s="7"/>
      <c r="F60" s="7"/>
      <c r="G60" s="7">
        <f t="shared" ref="G60:P60" si="95">G37/C37-1</f>
        <v>-4.4094488188976433E-2</v>
      </c>
      <c r="H60" s="7">
        <f t="shared" si="95"/>
        <v>4.4412607449856756E-2</v>
      </c>
      <c r="I60" s="7">
        <f t="shared" si="95"/>
        <v>7.5528700906344337E-2</v>
      </c>
      <c r="J60" s="7">
        <f t="shared" si="95"/>
        <v>5.7262569832402299E-2</v>
      </c>
      <c r="K60" s="7">
        <f t="shared" si="95"/>
        <v>0.10214168039538718</v>
      </c>
      <c r="L60" s="7">
        <f t="shared" si="95"/>
        <v>-3.1550068587105629E-2</v>
      </c>
      <c r="M60" s="7">
        <f t="shared" si="95"/>
        <v>5.47752808988764E-2</v>
      </c>
      <c r="N60" s="7">
        <f t="shared" si="95"/>
        <v>6.7371202113606365E-2</v>
      </c>
      <c r="O60" s="7">
        <f t="shared" si="95"/>
        <v>-4.783258594917783E-2</v>
      </c>
      <c r="P60" s="7">
        <f t="shared" si="95"/>
        <v>-1.2747875354107596E-2</v>
      </c>
      <c r="Q60" s="7">
        <f t="shared" ref="Q60" si="96">Q37/M37-1</f>
        <v>-8.9214380825565875E-2</v>
      </c>
      <c r="R60" s="7">
        <f t="shared" ref="R60" si="97">R37/N37-1</f>
        <v>-2.3514851485148536E-2</v>
      </c>
      <c r="S60" s="7"/>
      <c r="T60" s="7"/>
      <c r="U60" s="7"/>
      <c r="V60" s="7"/>
      <c r="Y60" s="7"/>
      <c r="Z60" s="7">
        <f>Z37/Y37-1</f>
        <v>5.3017944535073358E-2</v>
      </c>
      <c r="AA60" s="7">
        <f t="shared" ref="AA60:AD60" si="98">AA37/Z37-1</f>
        <v>5.8094500387296577E-2</v>
      </c>
      <c r="AB60" s="7">
        <f t="shared" si="98"/>
        <v>-7.6866764275256294E-3</v>
      </c>
      <c r="AC60" s="7">
        <f t="shared" si="98"/>
        <v>3.4673552194762092E-2</v>
      </c>
      <c r="AD60" s="7">
        <f t="shared" si="98"/>
        <v>4.5989304812834142E-2</v>
      </c>
      <c r="AE60" s="7">
        <f t="shared" ref="AE60" si="99">AE37/AD37-1</f>
        <v>-4.3285616905248792E-2</v>
      </c>
      <c r="AF60" s="7">
        <f t="shared" ref="AF60" si="100">AF37/AE37-1</f>
        <v>1.0000000000000009E-2</v>
      </c>
      <c r="AG60" s="7">
        <f t="shared" ref="AG60" si="101">AG37/AF37-1</f>
        <v>2.0000000000000018E-2</v>
      </c>
      <c r="AH60" s="7">
        <f t="shared" ref="AH60" si="102">AH37/AG37-1</f>
        <v>2.0000000000000018E-2</v>
      </c>
      <c r="AI60" s="7">
        <f t="shared" ref="AI60" si="103">AI37/AH37-1</f>
        <v>2.0000000000000018E-2</v>
      </c>
      <c r="AJ60" s="7">
        <f t="shared" ref="AJ60" si="104">AJ37/AI37-1</f>
        <v>1.0000000000000009E-2</v>
      </c>
      <c r="AK60" s="7">
        <f t="shared" ref="AK60" si="105">AK37/AJ37-1</f>
        <v>1.0000000000000009E-2</v>
      </c>
      <c r="AL60" s="7">
        <f t="shared" ref="AL60" si="106">AL37/AK37-1</f>
        <v>1.0000000000000009E-2</v>
      </c>
      <c r="AM60" s="7">
        <f t="shared" ref="AM60" si="107">AM37/AL37-1</f>
        <v>1.0000000000000009E-2</v>
      </c>
      <c r="AN60" s="7">
        <f t="shared" ref="AN60" si="108">AN37/AM37-1</f>
        <v>1.0000000000000009E-2</v>
      </c>
      <c r="AO60" s="7">
        <f t="shared" ref="AO60" si="109">AO37/AN37-1</f>
        <v>1.0000000000000009E-2</v>
      </c>
      <c r="AR60" s="1" t="s">
        <v>59</v>
      </c>
      <c r="AS60" s="3">
        <f>AS58+AS59</f>
        <v>94936.048495485738</v>
      </c>
    </row>
    <row r="61" spans="2:45" x14ac:dyDescent="0.3">
      <c r="B61" s="1" t="s">
        <v>48</v>
      </c>
      <c r="C61" s="7">
        <f t="shared" ref="C61" si="110">C38/C32</f>
        <v>9.3471621277678801E-2</v>
      </c>
      <c r="D61" s="7">
        <f t="shared" ref="D61:N61" si="111">D38/D32</f>
        <v>8.7286992766948637E-2</v>
      </c>
      <c r="E61" s="7">
        <f t="shared" si="111"/>
        <v>7.9700312665919412E-2</v>
      </c>
      <c r="F61" s="7">
        <f t="shared" si="111"/>
        <v>7.3453821920079584E-2</v>
      </c>
      <c r="G61" s="7">
        <f t="shared" si="111"/>
        <v>8.121296619031021E-2</v>
      </c>
      <c r="H61" s="7">
        <f t="shared" si="111"/>
        <v>8.7360087360087366E-2</v>
      </c>
      <c r="I61" s="7">
        <f t="shared" si="111"/>
        <v>0.10405525846702317</v>
      </c>
      <c r="J61" s="7">
        <f t="shared" si="111"/>
        <v>7.0758267677021133E-2</v>
      </c>
      <c r="K61" s="7">
        <f t="shared" si="111"/>
        <v>7.2209272209272216E-2</v>
      </c>
      <c r="L61" s="7">
        <f t="shared" si="111"/>
        <v>7.3474975914000304E-2</v>
      </c>
      <c r="M61" s="7">
        <f t="shared" si="111"/>
        <v>6.9142316690726263E-2</v>
      </c>
      <c r="N61" s="7">
        <f t="shared" si="111"/>
        <v>7.2792859455209732E-2</v>
      </c>
      <c r="O61" s="7">
        <f t="shared" ref="O61" si="112">O38/O32</f>
        <v>7.1308972717423424E-2</v>
      </c>
      <c r="P61" s="7">
        <f t="shared" ref="P61" si="113">P38/P32</f>
        <v>7.2888188684490984E-2</v>
      </c>
      <c r="Q61" s="7">
        <f t="shared" ref="Q61:R61" si="114">Q38/Q32</f>
        <v>6.3884687249755323E-2</v>
      </c>
      <c r="R61" s="7">
        <f t="shared" si="114"/>
        <v>6.7579833319580826E-2</v>
      </c>
      <c r="S61" s="7"/>
      <c r="T61" s="7"/>
      <c r="U61" s="7"/>
      <c r="V61" s="7"/>
      <c r="Y61" s="7">
        <f>Y38/Y32</f>
        <v>8.1832013936360234E-2</v>
      </c>
      <c r="Z61" s="7">
        <f>Z38/Z32</f>
        <v>9.7902345061586585E-2</v>
      </c>
      <c r="AA61" s="7">
        <f t="shared" ref="AA61:AD61" si="115">AA38/AA32</f>
        <v>8.1133130396968373E-2</v>
      </c>
      <c r="AB61" s="7">
        <f t="shared" si="115"/>
        <v>8.308733637475027E-2</v>
      </c>
      <c r="AC61" s="7">
        <f t="shared" si="115"/>
        <v>8.4286128845037722E-2</v>
      </c>
      <c r="AD61" s="7">
        <f t="shared" si="115"/>
        <v>7.1911615348410909E-2</v>
      </c>
      <c r="AE61" s="7">
        <f t="shared" ref="AE61:AO61" si="116">AE38/AE32</f>
        <v>6.8789995824069167E-2</v>
      </c>
      <c r="AF61" s="7">
        <f t="shared" si="116"/>
        <v>7.0000000000000007E-2</v>
      </c>
      <c r="AG61" s="7">
        <f t="shared" si="116"/>
        <v>7.0000000000000007E-2</v>
      </c>
      <c r="AH61" s="7">
        <f t="shared" si="116"/>
        <v>7.0000000000000007E-2</v>
      </c>
      <c r="AI61" s="7">
        <f t="shared" si="116"/>
        <v>7.0000000000000007E-2</v>
      </c>
      <c r="AJ61" s="7">
        <f t="shared" si="116"/>
        <v>7.0000000000000007E-2</v>
      </c>
      <c r="AK61" s="7">
        <f t="shared" si="116"/>
        <v>7.0000000000000007E-2</v>
      </c>
      <c r="AL61" s="7">
        <f t="shared" si="116"/>
        <v>7.0000000000000007E-2</v>
      </c>
      <c r="AM61" s="7">
        <f t="shared" si="116"/>
        <v>7.0000000000000007E-2</v>
      </c>
      <c r="AN61" s="7">
        <f t="shared" si="116"/>
        <v>7.0000000000000007E-2</v>
      </c>
      <c r="AO61" s="7">
        <f t="shared" si="116"/>
        <v>7.0000000000000007E-2</v>
      </c>
      <c r="AR61" s="1" t="s">
        <v>60</v>
      </c>
      <c r="AS61" s="9">
        <f>AS60/AO47</f>
        <v>70.589670975898386</v>
      </c>
    </row>
    <row r="62" spans="2:45" x14ac:dyDescent="0.3">
      <c r="B62" s="1" t="s">
        <v>49</v>
      </c>
      <c r="C62" s="7">
        <f t="shared" ref="C62" si="117">C39/C32</f>
        <v>6.6938152201578005E-2</v>
      </c>
      <c r="D62" s="7">
        <f t="shared" ref="D62:N62" si="118">D39/D32</f>
        <v>8.1892852764496746E-2</v>
      </c>
      <c r="E62" s="7">
        <f t="shared" si="118"/>
        <v>8.6956521739130432E-2</v>
      </c>
      <c r="F62" s="7">
        <f t="shared" si="118"/>
        <v>8.4120930746697617E-2</v>
      </c>
      <c r="G62" s="7">
        <f t="shared" si="118"/>
        <v>9.0856279772278378E-2</v>
      </c>
      <c r="H62" s="7">
        <f t="shared" si="118"/>
        <v>8.0152880152880149E-2</v>
      </c>
      <c r="I62" s="7">
        <f t="shared" si="118"/>
        <v>-0.10390671420083185</v>
      </c>
      <c r="J62" s="7">
        <f t="shared" si="118"/>
        <v>9.243739649721483E-2</v>
      </c>
      <c r="K62" s="7">
        <f t="shared" si="118"/>
        <v>7.75964775964776E-2</v>
      </c>
      <c r="L62" s="7">
        <f t="shared" si="118"/>
        <v>7.2257999087267377E-2</v>
      </c>
      <c r="M62" s="7">
        <f t="shared" si="118"/>
        <v>9.428045198865051E-2</v>
      </c>
      <c r="N62" s="7">
        <f t="shared" si="118"/>
        <v>8.5695786893585535E-2</v>
      </c>
      <c r="O62" s="7">
        <f t="shared" ref="O62" si="119">O39/O32</f>
        <v>0.1000196986112479</v>
      </c>
      <c r="P62" s="7">
        <f t="shared" ref="P62" si="120">P39/P32</f>
        <v>9.758583939576479E-2</v>
      </c>
      <c r="Q62" s="7">
        <f t="shared" ref="Q62:R62" si="121">Q39/Q32</f>
        <v>0.10944034166740814</v>
      </c>
      <c r="R62" s="7">
        <f t="shared" si="121"/>
        <v>9.447974255301593E-2</v>
      </c>
      <c r="S62" s="7"/>
      <c r="T62" s="7"/>
      <c r="U62" s="7"/>
      <c r="V62" s="7"/>
      <c r="Y62" s="7">
        <f>Y39/Y32</f>
        <v>0.10117091887362456</v>
      </c>
      <c r="Z62" s="7">
        <f>Z39/Z32</f>
        <v>7.2278085072543163E-3</v>
      </c>
      <c r="AA62" s="7">
        <f t="shared" ref="AA62:AD62" si="122">AA39/AA32</f>
        <v>7.043237870410636E-2</v>
      </c>
      <c r="AB62" s="7">
        <f t="shared" si="122"/>
        <v>8.0269553030980711E-2</v>
      </c>
      <c r="AC62" s="7">
        <f t="shared" si="122"/>
        <v>5.0420777713290774E-2</v>
      </c>
      <c r="AD62" s="7">
        <f t="shared" si="122"/>
        <v>8.2612896034085559E-2</v>
      </c>
      <c r="AE62" s="7">
        <f t="shared" ref="AE62:AO62" si="123">AE39/AE32</f>
        <v>8.9529361308307756E-2</v>
      </c>
      <c r="AF62" s="7">
        <f t="shared" si="123"/>
        <v>8.9813727078962943E-2</v>
      </c>
      <c r="AG62" s="7">
        <f t="shared" si="123"/>
        <v>9.0676192019563992E-2</v>
      </c>
      <c r="AH62" s="7">
        <f t="shared" si="123"/>
        <v>9.1240111403803129E-2</v>
      </c>
      <c r="AI62" s="7">
        <f t="shared" si="123"/>
        <v>9.1793186184499262E-2</v>
      </c>
      <c r="AJ62" s="7">
        <f t="shared" si="123"/>
        <v>9.2340891307130385E-2</v>
      </c>
      <c r="AK62" s="7">
        <f t="shared" si="123"/>
        <v>9.2877961378836554E-2</v>
      </c>
      <c r="AL62" s="7">
        <f t="shared" si="123"/>
        <v>9.3143863718259751E-2</v>
      </c>
      <c r="AM62" s="7">
        <f t="shared" si="123"/>
        <v>9.3407159172002263E-2</v>
      </c>
      <c r="AN62" s="7">
        <f t="shared" si="123"/>
        <v>9.3667873297766879E-2</v>
      </c>
      <c r="AO62" s="7">
        <f t="shared" si="123"/>
        <v>9.3926031402690777E-2</v>
      </c>
      <c r="AR62" s="1" t="s">
        <v>61</v>
      </c>
      <c r="AS62" s="9">
        <f>Main!D3</f>
        <v>200.93</v>
      </c>
    </row>
    <row r="63" spans="2:45" x14ac:dyDescent="0.3">
      <c r="B63" s="1" t="s">
        <v>37</v>
      </c>
      <c r="C63" s="7">
        <f t="shared" ref="C63" si="124">C44/C43</f>
        <v>9.3397745571658614E-2</v>
      </c>
      <c r="D63" s="7">
        <f t="shared" ref="D63:N63" si="125">D44/D43</f>
        <v>0.1068090787716956</v>
      </c>
      <c r="E63" s="7">
        <f t="shared" si="125"/>
        <v>0.16815742397137745</v>
      </c>
      <c r="F63" s="7">
        <f t="shared" si="125"/>
        <v>0.13647058823529412</v>
      </c>
      <c r="G63" s="7">
        <f t="shared" si="125"/>
        <v>0.16844469399213924</v>
      </c>
      <c r="H63" s="7">
        <f t="shared" si="125"/>
        <v>0.15432482887367766</v>
      </c>
      <c r="I63" s="7">
        <f t="shared" si="125"/>
        <v>0.29425113464447805</v>
      </c>
      <c r="J63" s="7">
        <f t="shared" si="125"/>
        <v>0.16779661016949152</v>
      </c>
      <c r="K63" s="7">
        <f t="shared" si="125"/>
        <v>5.834683954619125E-2</v>
      </c>
      <c r="L63" s="7">
        <f t="shared" si="125"/>
        <v>0.59112149532710279</v>
      </c>
      <c r="M63" s="7">
        <f t="shared" si="125"/>
        <v>0.19464847848898217</v>
      </c>
      <c r="N63" s="7">
        <f t="shared" si="125"/>
        <v>0.22349427575908412</v>
      </c>
      <c r="O63" s="7">
        <f t="shared" ref="O63" si="126">O44/O43</f>
        <v>0.17007150153217568</v>
      </c>
      <c r="P63" s="7">
        <f t="shared" ref="P63" si="127">P44/P43</f>
        <v>0.15441176470588236</v>
      </c>
      <c r="Q63" s="7">
        <f t="shared" ref="Q63:R63" si="128">Q44/Q43</f>
        <v>0.17719442165709598</v>
      </c>
      <c r="R63" s="7">
        <f t="shared" si="128"/>
        <v>0.25424466695690029</v>
      </c>
      <c r="S63" s="7"/>
      <c r="T63" s="7"/>
      <c r="U63" s="7"/>
      <c r="V63" s="7"/>
      <c r="Y63" s="7">
        <f>Y44/Y43</f>
        <v>0.10139691714836223</v>
      </c>
      <c r="Z63" s="7">
        <f>Z44/Z43</f>
        <v>-0.24436889077773055</v>
      </c>
      <c r="AA63" s="7">
        <f t="shared" ref="AA63:AD63" si="129">AA44/AA43</f>
        <v>0.15939971608193065</v>
      </c>
      <c r="AB63" s="7">
        <f t="shared" si="129"/>
        <v>0.12914827529834885</v>
      </c>
      <c r="AC63" s="7">
        <f t="shared" si="129"/>
        <v>0.11887382690302398</v>
      </c>
      <c r="AD63" s="7">
        <f t="shared" si="129"/>
        <v>0.19066838876331935</v>
      </c>
      <c r="AE63" s="7">
        <f t="shared" ref="AE63:AO63" si="130">AE44/AE43</f>
        <v>0.21392106775409897</v>
      </c>
      <c r="AF63" s="7">
        <f t="shared" si="130"/>
        <v>0.15</v>
      </c>
      <c r="AG63" s="7">
        <f t="shared" si="130"/>
        <v>0.15</v>
      </c>
      <c r="AH63" s="7">
        <f t="shared" si="130"/>
        <v>0.15</v>
      </c>
      <c r="AI63" s="7">
        <f t="shared" si="130"/>
        <v>0.15</v>
      </c>
      <c r="AJ63" s="7">
        <f t="shared" si="130"/>
        <v>0.15</v>
      </c>
      <c r="AK63" s="7">
        <f t="shared" si="130"/>
        <v>0.15</v>
      </c>
      <c r="AL63" s="7">
        <f t="shared" si="130"/>
        <v>0.15</v>
      </c>
      <c r="AM63" s="7">
        <f t="shared" si="130"/>
        <v>0.15</v>
      </c>
      <c r="AN63" s="7">
        <f t="shared" si="130"/>
        <v>0.15</v>
      </c>
      <c r="AO63" s="7">
        <f t="shared" si="130"/>
        <v>0.15</v>
      </c>
      <c r="AR63" s="4" t="s">
        <v>62</v>
      </c>
      <c r="AS63" s="12">
        <f>AS61/AS62-1</f>
        <v>-0.64868525866770321</v>
      </c>
    </row>
    <row r="64" spans="2:45" x14ac:dyDescent="0.3">
      <c r="B64" s="1" t="s">
        <v>38</v>
      </c>
      <c r="C64" s="7">
        <f t="shared" ref="C64:O64" si="131">C45/C43</f>
        <v>1.8518518518518517E-2</v>
      </c>
      <c r="D64" s="7">
        <f t="shared" si="131"/>
        <v>2.2696929238985315E-2</v>
      </c>
      <c r="E64" s="7">
        <f t="shared" si="131"/>
        <v>4.7704233750745376E-3</v>
      </c>
      <c r="F64" s="7">
        <f t="shared" si="131"/>
        <v>2.7058823529411764E-2</v>
      </c>
      <c r="G64" s="7">
        <f t="shared" si="131"/>
        <v>3.0881527231892195E-2</v>
      </c>
      <c r="H64" s="7">
        <f t="shared" si="131"/>
        <v>1.9912881144990666E-2</v>
      </c>
      <c r="I64" s="7">
        <f t="shared" si="131"/>
        <v>-3.8577912254160365E-2</v>
      </c>
      <c r="J64" s="7">
        <f t="shared" si="131"/>
        <v>2.655367231638418E-2</v>
      </c>
      <c r="K64" s="7">
        <f t="shared" si="131"/>
        <v>1.8368449486763912E-2</v>
      </c>
      <c r="L64" s="7">
        <f t="shared" si="131"/>
        <v>0.14953271028037382</v>
      </c>
      <c r="M64" s="7">
        <f t="shared" si="131"/>
        <v>3.3053515215110178E-2</v>
      </c>
      <c r="N64" s="7">
        <f t="shared" si="131"/>
        <v>3.8825286212045791E-2</v>
      </c>
      <c r="O64" s="7">
        <f t="shared" si="131"/>
        <v>4.5965270684371805E-2</v>
      </c>
      <c r="P64" s="7">
        <f>P45/P43</f>
        <v>3.3333333333333333E-2</v>
      </c>
      <c r="Q64" s="7">
        <f t="shared" ref="Q64:R64" si="132">Q45/Q43</f>
        <v>3.6095159967186222E-2</v>
      </c>
      <c r="R64" s="7">
        <f t="shared" si="132"/>
        <v>3.9616891597736174E-2</v>
      </c>
      <c r="S64" s="7"/>
      <c r="T64" s="7"/>
      <c r="U64" s="7"/>
      <c r="V64" s="7"/>
      <c r="Y64" s="7">
        <f t="shared" ref="Y64:AC64" si="133">Y45/Y43</f>
        <v>5.3227360308285163E-2</v>
      </c>
      <c r="Z64" s="7">
        <f t="shared" si="133"/>
        <v>-7.6923076923076927E-2</v>
      </c>
      <c r="AA64" s="7">
        <f t="shared" si="133"/>
        <v>5.0294058000405595E-2</v>
      </c>
      <c r="AB64" s="7">
        <f t="shared" si="133"/>
        <v>1.8146150073565473E-2</v>
      </c>
      <c r="AC64" s="7">
        <f t="shared" si="133"/>
        <v>4.8227320125130341E-2</v>
      </c>
      <c r="AD64" s="7">
        <f>AD45/AD43</f>
        <v>3.8585728123990956E-2</v>
      </c>
      <c r="AE64" s="7">
        <f t="shared" ref="AE64:AO64" si="134">AE45/AE43</f>
        <v>4.3324158553564515E-2</v>
      </c>
      <c r="AF64" s="7">
        <f t="shared" si="134"/>
        <v>0.03</v>
      </c>
      <c r="AG64" s="7">
        <f t="shared" si="134"/>
        <v>0.03</v>
      </c>
      <c r="AH64" s="7">
        <f t="shared" si="134"/>
        <v>0.03</v>
      </c>
      <c r="AI64" s="7">
        <f t="shared" si="134"/>
        <v>2.9999999999999995E-2</v>
      </c>
      <c r="AJ64" s="7">
        <f t="shared" si="134"/>
        <v>0.03</v>
      </c>
      <c r="AK64" s="7">
        <f t="shared" si="134"/>
        <v>0.03</v>
      </c>
      <c r="AL64" s="7">
        <f t="shared" si="134"/>
        <v>0.03</v>
      </c>
      <c r="AM64" s="7">
        <f t="shared" si="134"/>
        <v>0.03</v>
      </c>
      <c r="AN64" s="7">
        <f t="shared" si="134"/>
        <v>0.03</v>
      </c>
      <c r="AO64" s="7">
        <f t="shared" si="134"/>
        <v>3.0000000000000002E-2</v>
      </c>
      <c r="AR64" s="1" t="s">
        <v>63</v>
      </c>
      <c r="AS64" s="2" t="s">
        <v>191</v>
      </c>
    </row>
    <row r="65" spans="2:41" x14ac:dyDescent="0.3">
      <c r="B65" s="1" t="s">
        <v>50</v>
      </c>
      <c r="C65" s="7">
        <f t="shared" ref="C65" si="135">C46/C32</f>
        <v>7.0183252736065155E-2</v>
      </c>
      <c r="D65" s="7">
        <f t="shared" ref="D65:N65" si="136">D46/D32</f>
        <v>7.9931347309059708E-2</v>
      </c>
      <c r="E65" s="7">
        <f t="shared" si="136"/>
        <v>8.1824081175151914E-2</v>
      </c>
      <c r="F65" s="7">
        <f t="shared" si="136"/>
        <v>7.8593931354667551E-2</v>
      </c>
      <c r="G65" s="7">
        <f t="shared" si="136"/>
        <v>8.2839549204136165E-2</v>
      </c>
      <c r="H65" s="7">
        <f t="shared" si="136"/>
        <v>7.2454272454272453E-2</v>
      </c>
      <c r="I65" s="7">
        <f t="shared" si="136"/>
        <v>-7.3083778966131913E-2</v>
      </c>
      <c r="J65" s="7">
        <f t="shared" si="136"/>
        <v>7.1561198374065341E-2</v>
      </c>
      <c r="K65" s="7">
        <f t="shared" si="136"/>
        <v>8.8526288526288521E-2</v>
      </c>
      <c r="L65" s="7">
        <f t="shared" si="136"/>
        <v>5.6285178236397749E-3</v>
      </c>
      <c r="M65" s="7">
        <f t="shared" si="136"/>
        <v>7.3273931007018761E-2</v>
      </c>
      <c r="N65" s="7">
        <f t="shared" si="136"/>
        <v>6.8538130694168253E-2</v>
      </c>
      <c r="O65" s="7">
        <f t="shared" ref="O65" si="137">O46/O32</f>
        <v>7.5593420663843197E-2</v>
      </c>
      <c r="P65" s="7">
        <f t="shared" ref="P65" si="138">P46/P32</f>
        <v>7.6780501366943144E-2</v>
      </c>
      <c r="Q65" s="7">
        <f t="shared" ref="Q65:R65" si="139">Q46/Q32</f>
        <v>8.5327876145564557E-2</v>
      </c>
      <c r="R65" s="7">
        <f t="shared" si="139"/>
        <v>6.6919712847594681E-2</v>
      </c>
      <c r="S65" s="7"/>
      <c r="T65" s="7"/>
      <c r="U65" s="7"/>
      <c r="V65" s="7"/>
      <c r="Y65" s="7">
        <f>Y46/Y32</f>
        <v>7.7399722154843545E-2</v>
      </c>
      <c r="Z65" s="7">
        <f>Z46/Z32</f>
        <v>-5.4941947797197237E-2</v>
      </c>
      <c r="AA65" s="7">
        <f t="shared" ref="AA65:AD65" si="140">AA46/AA32</f>
        <v>6.0523700068335712E-2</v>
      </c>
      <c r="AB65" s="7">
        <f t="shared" si="140"/>
        <v>7.7764856725407755E-2</v>
      </c>
      <c r="AC65" s="7">
        <f t="shared" si="140"/>
        <v>4.6358096343586765E-2</v>
      </c>
      <c r="AD65" s="7">
        <f t="shared" si="140"/>
        <v>5.9129530084966186E-2</v>
      </c>
      <c r="AE65" s="7">
        <f t="shared" ref="AE65:AO65" si="141">AE46/AE32</f>
        <v>6.5207385754432606E-2</v>
      </c>
      <c r="AF65" s="7">
        <f t="shared" si="141"/>
        <v>6.864732541319031E-2</v>
      </c>
      <c r="AG65" s="7">
        <f t="shared" si="141"/>
        <v>6.9545020218447343E-2</v>
      </c>
      <c r="AH65" s="7">
        <f t="shared" si="141"/>
        <v>7.0146168456915597E-2</v>
      </c>
      <c r="AI65" s="7">
        <f t="shared" si="141"/>
        <v>7.0734422168265365E-2</v>
      </c>
      <c r="AJ65" s="7">
        <f t="shared" si="141"/>
        <v>7.12716178543185E-2</v>
      </c>
      <c r="AK65" s="7">
        <f t="shared" si="141"/>
        <v>7.1798382556176363E-2</v>
      </c>
      <c r="AL65" s="7">
        <f t="shared" si="141"/>
        <v>7.2059182727194263E-2</v>
      </c>
      <c r="AM65" s="7">
        <f t="shared" si="141"/>
        <v>7.2317426033790363E-2</v>
      </c>
      <c r="AN65" s="7">
        <f t="shared" si="141"/>
        <v>7.2573137543262944E-2</v>
      </c>
      <c r="AO65" s="7">
        <f t="shared" si="141"/>
        <v>7.2826342077152564E-2</v>
      </c>
    </row>
    <row r="68" spans="2:41" s="14" customFormat="1" x14ac:dyDescent="0.3">
      <c r="B68" s="14" t="s">
        <v>64</v>
      </c>
      <c r="N68" s="14">
        <v>162861</v>
      </c>
      <c r="P68" s="35">
        <v>167139</v>
      </c>
      <c r="Q68" s="35">
        <v>168672</v>
      </c>
      <c r="R68" s="35">
        <f>171079</f>
        <v>171079</v>
      </c>
      <c r="AE68" s="35">
        <f>171079</f>
        <v>171079</v>
      </c>
      <c r="AF68" s="35"/>
    </row>
    <row r="70" spans="2:41" x14ac:dyDescent="0.3">
      <c r="B70" s="1" t="s">
        <v>65</v>
      </c>
      <c r="P70" s="15"/>
      <c r="Q70" s="15"/>
      <c r="R70" s="15">
        <f>Main!$D$9/Model!R68</f>
        <v>1.7576660899350596</v>
      </c>
      <c r="AE70" s="15">
        <f>Main!$D$9/Model!AE68</f>
        <v>1.7576660899350596</v>
      </c>
      <c r="AF70" s="15"/>
    </row>
    <row r="71" spans="2:41" x14ac:dyDescent="0.3">
      <c r="B71" s="1" t="s">
        <v>66</v>
      </c>
      <c r="P71" s="7"/>
      <c r="Q71" s="7"/>
      <c r="R71" s="7">
        <f>R68/Main!$D$9-1</f>
        <v>-0.43106372380606883</v>
      </c>
      <c r="AE71" s="7">
        <f>AE68/Main!$D$9-1</f>
        <v>-0.43106372380606883</v>
      </c>
      <c r="AF71" s="7"/>
    </row>
    <row r="72" spans="2:41" x14ac:dyDescent="0.3">
      <c r="P72" s="7"/>
    </row>
  </sheetData>
  <phoneticPr fontId="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7B37D-5C25-469B-9D0C-C2E6A30B3F3A}">
  <dimension ref="A1"/>
  <sheetViews>
    <sheetView workbookViewId="0">
      <selection activeCell="R22" sqref="R22"/>
    </sheetView>
  </sheetViews>
  <sheetFormatPr defaultColWidth="8.88671875" defaultRowHeight="14.4" x14ac:dyDescent="0.3"/>
  <cols>
    <col min="1" max="16384" width="8.88671875" style="13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4505-608F-421A-97B1-56F07D46F9CD}">
  <dimension ref="B2:L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8.88671875" defaultRowHeight="14.4" x14ac:dyDescent="0.3"/>
  <cols>
    <col min="1" max="1" width="8.88671875" style="13"/>
    <col min="2" max="2" width="10.77734375" style="23" bestFit="1" customWidth="1"/>
    <col min="3" max="3" width="9.88671875" style="23" bestFit="1" customWidth="1"/>
    <col min="4" max="6" width="12.44140625" style="23" bestFit="1" customWidth="1"/>
    <col min="7" max="9" width="11.109375" style="23" bestFit="1" customWidth="1"/>
    <col min="10" max="12" width="13.109375" style="23" bestFit="1" customWidth="1"/>
    <col min="13" max="16384" width="8.88671875" style="13"/>
  </cols>
  <sheetData>
    <row r="2" spans="2:12" x14ac:dyDescent="0.3">
      <c r="B2" s="24" t="s">
        <v>121</v>
      </c>
      <c r="C2" s="23" t="s">
        <v>124</v>
      </c>
      <c r="D2" s="23" t="s">
        <v>127</v>
      </c>
      <c r="E2" s="23" t="s">
        <v>128</v>
      </c>
      <c r="F2" s="23" t="s">
        <v>129</v>
      </c>
      <c r="G2" s="23" t="s">
        <v>123</v>
      </c>
      <c r="H2" s="23" t="s">
        <v>125</v>
      </c>
      <c r="I2" s="23" t="s">
        <v>126</v>
      </c>
      <c r="J2" s="23" t="s">
        <v>130</v>
      </c>
      <c r="K2" s="23" t="s">
        <v>131</v>
      </c>
      <c r="L2" s="23" t="s">
        <v>132</v>
      </c>
    </row>
    <row r="3" spans="2:12" x14ac:dyDescent="0.3">
      <c r="B3" s="23" t="s">
        <v>133</v>
      </c>
    </row>
    <row r="4" spans="2:12" x14ac:dyDescent="0.3">
      <c r="B4" s="23" t="s">
        <v>134</v>
      </c>
    </row>
    <row r="5" spans="2:12" x14ac:dyDescent="0.3">
      <c r="B5" s="23" t="s">
        <v>135</v>
      </c>
    </row>
    <row r="6" spans="2:12" x14ac:dyDescent="0.3">
      <c r="B6" s="23" t="s">
        <v>136</v>
      </c>
    </row>
    <row r="7" spans="2:12" x14ac:dyDescent="0.3">
      <c r="B7" s="23" t="s">
        <v>137</v>
      </c>
    </row>
    <row r="8" spans="2:12" x14ac:dyDescent="0.3">
      <c r="B8" s="23" t="s">
        <v>138</v>
      </c>
    </row>
    <row r="9" spans="2:12" x14ac:dyDescent="0.3">
      <c r="B9" s="23" t="s">
        <v>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A9873-A383-4395-9D61-A91E52DD2221}">
  <dimension ref="B3:F198"/>
  <sheetViews>
    <sheetView workbookViewId="0">
      <selection activeCell="D8" sqref="D8"/>
    </sheetView>
  </sheetViews>
  <sheetFormatPr defaultColWidth="8.88671875" defaultRowHeight="14.4" x14ac:dyDescent="0.3"/>
  <cols>
    <col min="1" max="1" width="8.88671875" style="13"/>
    <col min="2" max="2" width="23.77734375" style="13" bestFit="1" customWidth="1"/>
    <col min="3" max="3" width="15.5546875" style="13" bestFit="1" customWidth="1"/>
    <col min="4" max="4" width="8.109375" style="13" bestFit="1" customWidth="1"/>
    <col min="5" max="5" width="9.109375" style="13" bestFit="1" customWidth="1"/>
    <col min="6" max="6" width="10.77734375" style="13" bestFit="1" customWidth="1"/>
    <col min="7" max="16384" width="8.88671875" style="13"/>
  </cols>
  <sheetData>
    <row r="3" spans="2:6" x14ac:dyDescent="0.3">
      <c r="B3" s="13" t="s">
        <v>140</v>
      </c>
      <c r="C3" s="13" t="s">
        <v>141</v>
      </c>
    </row>
    <row r="4" spans="2:6" x14ac:dyDescent="0.3">
      <c r="B4" s="13" t="s">
        <v>142</v>
      </c>
      <c r="C4" s="13">
        <v>2024</v>
      </c>
      <c r="D4" s="13">
        <v>2025</v>
      </c>
      <c r="E4" s="13">
        <v>2026</v>
      </c>
      <c r="F4" s="13" t="s">
        <v>143</v>
      </c>
    </row>
    <row r="5" spans="2:6" x14ac:dyDescent="0.3">
      <c r="B5" s="25" t="s">
        <v>144</v>
      </c>
      <c r="C5" s="26">
        <v>36033.972900000008</v>
      </c>
      <c r="D5" s="26">
        <v>29613.473099999996</v>
      </c>
      <c r="E5" s="26">
        <v>38304.942000000003</v>
      </c>
      <c r="F5" s="26">
        <v>103952.38800000001</v>
      </c>
    </row>
    <row r="6" spans="2:6" x14ac:dyDescent="0.3">
      <c r="B6" s="25" t="s">
        <v>148</v>
      </c>
      <c r="C6" s="26">
        <v>16485.125700000001</v>
      </c>
      <c r="D6" s="26">
        <v>13308.967300000002</v>
      </c>
      <c r="E6" s="26">
        <v>24348.545999999998</v>
      </c>
      <c r="F6" s="26">
        <v>54142.638999999996</v>
      </c>
    </row>
    <row r="7" spans="2:6" x14ac:dyDescent="0.3">
      <c r="B7" s="25" t="s">
        <v>0</v>
      </c>
      <c r="C7" s="26">
        <v>16394.114000000001</v>
      </c>
      <c r="D7" s="26">
        <v>13261.948999999997</v>
      </c>
      <c r="E7" s="26">
        <v>17996.432000000001</v>
      </c>
      <c r="F7" s="26">
        <v>47652.494999999995</v>
      </c>
    </row>
    <row r="8" spans="2:6" x14ac:dyDescent="0.3">
      <c r="B8" s="27" t="s">
        <v>70</v>
      </c>
      <c r="C8" s="26">
        <v>3735.2270000000003</v>
      </c>
      <c r="D8" s="26">
        <v>3847.3500000000008</v>
      </c>
      <c r="E8" s="26">
        <v>4501.1580000000004</v>
      </c>
      <c r="F8" s="26">
        <v>12083.735000000001</v>
      </c>
    </row>
    <row r="9" spans="2:6" x14ac:dyDescent="0.3">
      <c r="B9" s="28" t="s">
        <v>133</v>
      </c>
      <c r="C9" s="26">
        <v>2627.19</v>
      </c>
      <c r="D9" s="26">
        <v>2458.7600000000002</v>
      </c>
      <c r="E9" s="26">
        <v>2404.12</v>
      </c>
      <c r="F9" s="26">
        <v>7490.0700000000006</v>
      </c>
    </row>
    <row r="10" spans="2:6" x14ac:dyDescent="0.3">
      <c r="B10" s="28" t="s">
        <v>149</v>
      </c>
      <c r="C10" s="26">
        <v>5.49</v>
      </c>
      <c r="D10" s="26">
        <v>14.57</v>
      </c>
      <c r="E10" s="26">
        <v>0.96000000000000019</v>
      </c>
      <c r="F10" s="26">
        <v>21.020000000000003</v>
      </c>
    </row>
    <row r="11" spans="2:6" x14ac:dyDescent="0.3">
      <c r="B11" s="28" t="s">
        <v>150</v>
      </c>
      <c r="C11" s="26">
        <v>40.995999999999995</v>
      </c>
      <c r="D11" s="26">
        <v>20.202999999999999</v>
      </c>
      <c r="E11" s="26">
        <v>74.11099999999999</v>
      </c>
      <c r="F11" s="26">
        <v>135.31</v>
      </c>
    </row>
    <row r="12" spans="2:6" x14ac:dyDescent="0.3">
      <c r="B12" s="28" t="s">
        <v>151</v>
      </c>
      <c r="C12" s="26">
        <v>428.51600000000002</v>
      </c>
      <c r="D12" s="26">
        <v>445.83699999999999</v>
      </c>
      <c r="E12" s="26">
        <v>886.85700000000008</v>
      </c>
      <c r="F12" s="26">
        <v>1761.21</v>
      </c>
    </row>
    <row r="13" spans="2:6" x14ac:dyDescent="0.3">
      <c r="B13" s="28" t="s">
        <v>154</v>
      </c>
      <c r="C13" s="26">
        <v>195.47000000000003</v>
      </c>
      <c r="D13" s="26">
        <v>242.42</v>
      </c>
      <c r="E13" s="26">
        <v>347.94000000000005</v>
      </c>
      <c r="F13" s="26">
        <v>785.83</v>
      </c>
    </row>
    <row r="14" spans="2:6" x14ac:dyDescent="0.3">
      <c r="B14" s="28" t="s">
        <v>145</v>
      </c>
      <c r="C14" s="26">
        <v>336.96500000000003</v>
      </c>
      <c r="D14" s="26">
        <v>539.70000000000005</v>
      </c>
      <c r="E14" s="26">
        <v>662.31999999999994</v>
      </c>
      <c r="F14" s="26">
        <v>1538.9850000000001</v>
      </c>
    </row>
    <row r="15" spans="2:6" x14ac:dyDescent="0.3">
      <c r="B15" s="28" t="s">
        <v>155</v>
      </c>
      <c r="C15" s="26">
        <v>100.60000000000001</v>
      </c>
      <c r="D15" s="26">
        <v>125.86</v>
      </c>
      <c r="E15" s="26">
        <v>124.85000000000001</v>
      </c>
      <c r="F15" s="26">
        <v>351.31</v>
      </c>
    </row>
    <row r="16" spans="2:6" x14ac:dyDescent="0.3">
      <c r="B16" s="27" t="s">
        <v>111</v>
      </c>
      <c r="C16" s="26">
        <v>10841.451999999999</v>
      </c>
      <c r="D16" s="26">
        <v>7860.7409999999991</v>
      </c>
      <c r="E16" s="26">
        <v>11306.820999999998</v>
      </c>
      <c r="F16" s="26">
        <v>30009.014000000003</v>
      </c>
    </row>
    <row r="17" spans="2:6" x14ac:dyDescent="0.3">
      <c r="B17" s="28" t="s">
        <v>122</v>
      </c>
      <c r="C17" s="26">
        <v>1010.5</v>
      </c>
      <c r="D17" s="26">
        <v>667.5</v>
      </c>
      <c r="E17" s="26">
        <v>815.9</v>
      </c>
      <c r="F17" s="26">
        <v>2493.9</v>
      </c>
    </row>
    <row r="18" spans="2:6" x14ac:dyDescent="0.3">
      <c r="B18" s="28" t="s">
        <v>150</v>
      </c>
      <c r="C18" s="26">
        <v>9.1319999999999997</v>
      </c>
      <c r="D18" s="26">
        <v>4.7310000000000008</v>
      </c>
      <c r="E18" s="26">
        <v>8.5410000000000004</v>
      </c>
      <c r="F18" s="26">
        <v>22.404</v>
      </c>
    </row>
    <row r="19" spans="2:6" x14ac:dyDescent="0.3">
      <c r="B19" s="28" t="s">
        <v>154</v>
      </c>
      <c r="C19" s="26">
        <v>97.735000000000014</v>
      </c>
      <c r="D19" s="26">
        <v>121.21</v>
      </c>
      <c r="E19" s="26">
        <v>173.97000000000003</v>
      </c>
      <c r="F19" s="26">
        <v>392.91500000000002</v>
      </c>
    </row>
    <row r="20" spans="2:6" x14ac:dyDescent="0.3">
      <c r="B20" s="28" t="s">
        <v>135</v>
      </c>
      <c r="C20" s="26">
        <v>669.21500000000003</v>
      </c>
      <c r="D20" s="26">
        <v>525.40499999999997</v>
      </c>
      <c r="E20" s="26">
        <v>1476.16</v>
      </c>
      <c r="F20" s="26">
        <v>2670.7799999999997</v>
      </c>
    </row>
    <row r="21" spans="2:6" x14ac:dyDescent="0.3">
      <c r="B21" s="28" t="s">
        <v>147</v>
      </c>
      <c r="C21" s="26">
        <v>925.24500000000012</v>
      </c>
      <c r="D21" s="26">
        <v>728.01</v>
      </c>
      <c r="E21" s="26">
        <v>810.63</v>
      </c>
      <c r="F21" s="26">
        <v>2463.8850000000002</v>
      </c>
    </row>
    <row r="22" spans="2:6" x14ac:dyDescent="0.3">
      <c r="B22" s="28" t="s">
        <v>146</v>
      </c>
      <c r="C22" s="26">
        <v>107.375</v>
      </c>
      <c r="D22" s="26">
        <v>173.32499999999999</v>
      </c>
      <c r="E22" s="26">
        <v>316.82499999999999</v>
      </c>
      <c r="F22" s="26">
        <v>597.52499999999998</v>
      </c>
    </row>
    <row r="23" spans="2:6" x14ac:dyDescent="0.3">
      <c r="B23" s="28" t="s">
        <v>156</v>
      </c>
      <c r="C23" s="26">
        <v>2019.3149999999998</v>
      </c>
      <c r="D23" s="26">
        <v>876.97499999999991</v>
      </c>
      <c r="E23" s="26">
        <v>949.60500000000002</v>
      </c>
      <c r="F23" s="26">
        <v>3845.895</v>
      </c>
    </row>
    <row r="24" spans="2:6" x14ac:dyDescent="0.3">
      <c r="B24" s="28" t="s">
        <v>137</v>
      </c>
      <c r="C24" s="26">
        <v>1503.7</v>
      </c>
      <c r="D24" s="26">
        <v>982.7</v>
      </c>
      <c r="E24" s="26">
        <v>1262.5</v>
      </c>
      <c r="F24" s="26">
        <v>3748.9</v>
      </c>
    </row>
    <row r="25" spans="2:6" x14ac:dyDescent="0.3">
      <c r="B25" s="28" t="s">
        <v>157</v>
      </c>
      <c r="C25" s="26">
        <v>883.7</v>
      </c>
      <c r="D25" s="26">
        <v>707.7</v>
      </c>
      <c r="E25" s="26">
        <v>946.2</v>
      </c>
      <c r="F25" s="26">
        <v>2537.6000000000004</v>
      </c>
    </row>
    <row r="26" spans="2:6" x14ac:dyDescent="0.3">
      <c r="B26" s="28" t="s">
        <v>138</v>
      </c>
      <c r="C26" s="26">
        <v>923.69999999999993</v>
      </c>
      <c r="D26" s="26">
        <v>804.2</v>
      </c>
      <c r="E26" s="26">
        <v>1050.7</v>
      </c>
      <c r="F26" s="26">
        <v>2778.6000000000004</v>
      </c>
    </row>
    <row r="27" spans="2:6" x14ac:dyDescent="0.3">
      <c r="B27" s="28" t="s">
        <v>136</v>
      </c>
      <c r="C27" s="26">
        <v>488.07000000000005</v>
      </c>
      <c r="D27" s="26">
        <v>470.13000000000005</v>
      </c>
      <c r="E27" s="26">
        <v>1296.68</v>
      </c>
      <c r="F27" s="26">
        <v>2254.88</v>
      </c>
    </row>
    <row r="28" spans="2:6" x14ac:dyDescent="0.3">
      <c r="B28" s="28" t="s">
        <v>152</v>
      </c>
      <c r="C28" s="26">
        <v>585.67499999999995</v>
      </c>
      <c r="D28" s="26">
        <v>677.20500000000004</v>
      </c>
      <c r="E28" s="26">
        <v>889.71</v>
      </c>
      <c r="F28" s="26">
        <v>2152.59</v>
      </c>
    </row>
    <row r="29" spans="2:6" x14ac:dyDescent="0.3">
      <c r="B29" s="28" t="s">
        <v>139</v>
      </c>
      <c r="C29" s="26">
        <v>1401.4450000000002</v>
      </c>
      <c r="D29" s="26">
        <v>599.83000000000004</v>
      </c>
      <c r="E29" s="26">
        <v>1006.0450000000001</v>
      </c>
      <c r="F29" s="26">
        <v>3007.32</v>
      </c>
    </row>
    <row r="30" spans="2:6" x14ac:dyDescent="0.3">
      <c r="B30" s="28" t="s">
        <v>153</v>
      </c>
      <c r="C30" s="26">
        <v>216.64500000000001</v>
      </c>
      <c r="D30" s="26">
        <v>521.81999999999994</v>
      </c>
      <c r="E30" s="26">
        <v>303.35500000000002</v>
      </c>
      <c r="F30" s="26">
        <v>1041.82</v>
      </c>
    </row>
    <row r="31" spans="2:6" x14ac:dyDescent="0.3">
      <c r="B31" s="27" t="s">
        <v>68</v>
      </c>
      <c r="C31" s="26">
        <v>1817.4349999999999</v>
      </c>
      <c r="D31" s="26">
        <v>1553.8579999999999</v>
      </c>
      <c r="E31" s="26">
        <v>2188.453</v>
      </c>
      <c r="F31" s="26">
        <v>5559.7459999999992</v>
      </c>
    </row>
    <row r="32" spans="2:6" x14ac:dyDescent="0.3">
      <c r="B32" s="28" t="s">
        <v>151</v>
      </c>
      <c r="C32" s="26">
        <v>199.869</v>
      </c>
      <c r="D32" s="26">
        <v>209.648</v>
      </c>
      <c r="E32" s="26">
        <v>419.733</v>
      </c>
      <c r="F32" s="26">
        <v>829.25</v>
      </c>
    </row>
    <row r="33" spans="2:6" x14ac:dyDescent="0.3">
      <c r="B33" s="28" t="s">
        <v>134</v>
      </c>
      <c r="C33" s="26">
        <v>987.89600000000007</v>
      </c>
      <c r="D33" s="26">
        <v>726.17</v>
      </c>
      <c r="E33" s="26">
        <v>1165.4949999999999</v>
      </c>
      <c r="F33" s="26">
        <v>2879.5609999999997</v>
      </c>
    </row>
    <row r="34" spans="2:6" x14ac:dyDescent="0.3">
      <c r="B34" s="28" t="s">
        <v>158</v>
      </c>
      <c r="C34" s="26">
        <v>449.32</v>
      </c>
      <c r="D34" s="26">
        <v>455.73999999999995</v>
      </c>
      <c r="E34" s="26">
        <v>483.625</v>
      </c>
      <c r="F34" s="26">
        <v>1388.6849999999999</v>
      </c>
    </row>
    <row r="35" spans="2:6" x14ac:dyDescent="0.3">
      <c r="B35" s="28" t="s">
        <v>159</v>
      </c>
      <c r="C35" s="26">
        <v>180.35</v>
      </c>
      <c r="D35" s="26">
        <v>162.30000000000001</v>
      </c>
      <c r="E35" s="26">
        <v>119.6</v>
      </c>
      <c r="F35" s="26">
        <v>462.25</v>
      </c>
    </row>
    <row r="36" spans="2:6" x14ac:dyDescent="0.3">
      <c r="B36" s="25" t="s">
        <v>160</v>
      </c>
      <c r="C36" s="26">
        <v>10825.351000000001</v>
      </c>
      <c r="D36" s="26">
        <v>10435.612000000001</v>
      </c>
      <c r="E36" s="26">
        <v>14611.463</v>
      </c>
      <c r="F36" s="26">
        <v>35872.426000000007</v>
      </c>
    </row>
    <row r="37" spans="2:6" x14ac:dyDescent="0.3">
      <c r="B37" s="25" t="s">
        <v>161</v>
      </c>
      <c r="C37" s="26">
        <v>7001.2099999999991</v>
      </c>
      <c r="D37" s="26">
        <v>4024.6299999999992</v>
      </c>
      <c r="E37" s="26">
        <v>6304.7269999999999</v>
      </c>
      <c r="F37" s="26">
        <v>17330.566999999999</v>
      </c>
    </row>
    <row r="38" spans="2:6" x14ac:dyDescent="0.3">
      <c r="B38" s="25" t="s">
        <v>162</v>
      </c>
      <c r="C38" s="26">
        <v>6058.53</v>
      </c>
      <c r="D38" s="26">
        <v>3615.8500000000004</v>
      </c>
      <c r="E38" s="26">
        <v>3838.7633999999998</v>
      </c>
      <c r="F38" s="26">
        <v>13513.143400000001</v>
      </c>
    </row>
    <row r="39" spans="2:6" x14ac:dyDescent="0.3">
      <c r="B39" s="25" t="s">
        <v>163</v>
      </c>
      <c r="C39" s="26">
        <v>1576.3780000000002</v>
      </c>
      <c r="D39" s="26">
        <v>1435.3980000000001</v>
      </c>
      <c r="E39" s="26">
        <v>1510.7400000000002</v>
      </c>
      <c r="F39" s="26">
        <v>4522.5160000000005</v>
      </c>
    </row>
    <row r="40" spans="2:6" x14ac:dyDescent="0.3">
      <c r="B40" s="25" t="s">
        <v>164</v>
      </c>
      <c r="C40" s="26">
        <v>994.4849999999999</v>
      </c>
      <c r="D40" s="26">
        <v>786.83000000000015</v>
      </c>
      <c r="E40" s="26">
        <v>1361.1100000000001</v>
      </c>
      <c r="F40" s="26">
        <v>3142.4250000000002</v>
      </c>
    </row>
    <row r="41" spans="2:6" x14ac:dyDescent="0.3">
      <c r="B41" s="25" t="s">
        <v>165</v>
      </c>
      <c r="C41" s="26">
        <v>1346.21</v>
      </c>
      <c r="D41" s="26">
        <v>584.65000000000009</v>
      </c>
      <c r="E41" s="26">
        <v>633.07000000000016</v>
      </c>
      <c r="F41" s="26">
        <v>2563.9300000000003</v>
      </c>
    </row>
    <row r="42" spans="2:6" x14ac:dyDescent="0.3">
      <c r="B42" s="25" t="s">
        <v>166</v>
      </c>
      <c r="C42" s="26">
        <v>1346.21</v>
      </c>
      <c r="D42" s="26">
        <v>584.65000000000009</v>
      </c>
      <c r="E42" s="26">
        <v>633.07000000000016</v>
      </c>
      <c r="F42" s="26">
        <v>2563.9300000000003</v>
      </c>
    </row>
    <row r="43" spans="2:6" x14ac:dyDescent="0.3">
      <c r="B43" s="25" t="s">
        <v>167</v>
      </c>
      <c r="C43" s="26">
        <v>796.18399999999997</v>
      </c>
      <c r="D43" s="26">
        <v>907.8900000000001</v>
      </c>
      <c r="E43" s="26">
        <v>652.56400000000008</v>
      </c>
      <c r="F43" s="26">
        <v>2356.6379999999999</v>
      </c>
    </row>
    <row r="44" spans="2:6" x14ac:dyDescent="0.3">
      <c r="B44" s="25" t="s">
        <v>168</v>
      </c>
      <c r="C44" s="26">
        <v>733.43870000000004</v>
      </c>
      <c r="D44" s="26">
        <v>758.53429999999992</v>
      </c>
      <c r="E44" s="26">
        <v>709.42399999999998</v>
      </c>
      <c r="F44" s="26">
        <v>2201.3969999999999</v>
      </c>
    </row>
    <row r="45" spans="2:6" x14ac:dyDescent="0.3">
      <c r="B45" s="25" t="s">
        <v>169</v>
      </c>
      <c r="C45" s="26">
        <v>767.82499999999993</v>
      </c>
      <c r="D45" s="26">
        <v>609.65</v>
      </c>
      <c r="E45" s="26">
        <v>612.47499999999991</v>
      </c>
      <c r="F45" s="26">
        <v>1989.9499999999998</v>
      </c>
    </row>
    <row r="46" spans="2:6" x14ac:dyDescent="0.3">
      <c r="B46" s="25" t="s">
        <v>170</v>
      </c>
      <c r="C46" s="26">
        <v>767.82499999999993</v>
      </c>
      <c r="D46" s="26">
        <v>609.65</v>
      </c>
      <c r="E46" s="26">
        <v>612.47499999999991</v>
      </c>
      <c r="F46" s="26">
        <v>1989.9499999999998</v>
      </c>
    </row>
    <row r="47" spans="2:6" x14ac:dyDescent="0.3">
      <c r="B47" s="25" t="s">
        <v>171</v>
      </c>
      <c r="C47" s="26">
        <v>632.7340999999999</v>
      </c>
      <c r="D47" s="26">
        <v>343.5299</v>
      </c>
      <c r="E47" s="26">
        <v>553.86699999999996</v>
      </c>
      <c r="F47" s="26">
        <v>1530.1309999999999</v>
      </c>
    </row>
    <row r="48" spans="2:6" x14ac:dyDescent="0.3">
      <c r="B48" s="25" t="s">
        <v>172</v>
      </c>
      <c r="C48" s="26">
        <v>366.42500000000001</v>
      </c>
      <c r="D48" s="26">
        <v>458.07499999999999</v>
      </c>
      <c r="E48" s="26">
        <v>560.92499999999995</v>
      </c>
      <c r="F48" s="26">
        <v>1385.425</v>
      </c>
    </row>
    <row r="49" spans="2:6" x14ac:dyDescent="0.3">
      <c r="B49" s="25" t="s">
        <v>173</v>
      </c>
      <c r="C49" s="26">
        <v>329.43499999999995</v>
      </c>
      <c r="D49" s="26">
        <v>486.05500000000001</v>
      </c>
      <c r="E49" s="26">
        <v>538.30499999999995</v>
      </c>
      <c r="F49" s="26">
        <v>1353.7950000000001</v>
      </c>
    </row>
    <row r="50" spans="2:6" x14ac:dyDescent="0.3">
      <c r="B50" s="25" t="s">
        <v>174</v>
      </c>
      <c r="C50" s="26">
        <v>282.5</v>
      </c>
      <c r="D50" s="26">
        <v>249.75</v>
      </c>
      <c r="E50" s="26">
        <v>662.05259999999998</v>
      </c>
      <c r="F50" s="26">
        <v>1194.3026</v>
      </c>
    </row>
    <row r="51" spans="2:6" x14ac:dyDescent="0.3">
      <c r="B51" s="25" t="s">
        <v>175</v>
      </c>
      <c r="C51" s="26">
        <v>460.69499999999999</v>
      </c>
      <c r="D51" s="26">
        <v>365.78999999999996</v>
      </c>
      <c r="E51" s="26">
        <v>367.48499999999996</v>
      </c>
      <c r="F51" s="26">
        <v>1193.9699999999998</v>
      </c>
    </row>
    <row r="52" spans="2:6" x14ac:dyDescent="0.3">
      <c r="B52" s="25" t="s">
        <v>176</v>
      </c>
      <c r="C52" s="26">
        <v>307.13</v>
      </c>
      <c r="D52" s="26">
        <v>243.86</v>
      </c>
      <c r="E52" s="26">
        <v>244.99</v>
      </c>
      <c r="F52" s="26">
        <v>795.98</v>
      </c>
    </row>
    <row r="53" spans="2:6" x14ac:dyDescent="0.3">
      <c r="B53" s="25" t="s">
        <v>177</v>
      </c>
      <c r="C53" s="26">
        <v>180.35</v>
      </c>
      <c r="D53" s="26">
        <v>162.30000000000001</v>
      </c>
      <c r="E53" s="26">
        <v>383.714</v>
      </c>
      <c r="F53" s="26">
        <v>726.36400000000003</v>
      </c>
    </row>
    <row r="54" spans="2:6" x14ac:dyDescent="0.3">
      <c r="B54" s="25" t="s">
        <v>178</v>
      </c>
      <c r="C54" s="26">
        <v>153.565</v>
      </c>
      <c r="D54" s="26">
        <v>121.93</v>
      </c>
      <c r="E54" s="26">
        <v>122.495</v>
      </c>
      <c r="F54" s="26">
        <v>397.99</v>
      </c>
    </row>
    <row r="55" spans="2:6" x14ac:dyDescent="0.3">
      <c r="B55" s="25" t="s">
        <v>179</v>
      </c>
      <c r="C55" s="26">
        <v>103.62</v>
      </c>
      <c r="D55" s="26">
        <v>113.9</v>
      </c>
      <c r="E55" s="26">
        <v>97.640000000000015</v>
      </c>
      <c r="F55" s="26">
        <v>315.16000000000003</v>
      </c>
    </row>
    <row r="56" spans="2:6" x14ac:dyDescent="0.3">
      <c r="B56" s="25" t="s">
        <v>180</v>
      </c>
      <c r="C56" s="26"/>
      <c r="D56" s="26"/>
      <c r="E56" s="26">
        <v>249.50800000000004</v>
      </c>
      <c r="F56" s="26">
        <v>249.50800000000004</v>
      </c>
    </row>
    <row r="57" spans="2:6" x14ac:dyDescent="0.3">
      <c r="B57" s="25" t="s">
        <v>181</v>
      </c>
      <c r="C57" s="26">
        <v>91.636599999999987</v>
      </c>
      <c r="D57" s="26">
        <v>60.3474</v>
      </c>
      <c r="E57" s="26">
        <v>42.182000000000002</v>
      </c>
      <c r="F57" s="26">
        <v>194.166</v>
      </c>
    </row>
    <row r="58" spans="2:6" x14ac:dyDescent="0.3">
      <c r="B58" s="25" t="s">
        <v>182</v>
      </c>
      <c r="C58" s="26"/>
      <c r="D58" s="26"/>
      <c r="E58" s="26">
        <v>110.14800000000001</v>
      </c>
      <c r="F58" s="26">
        <v>110.14800000000001</v>
      </c>
    </row>
    <row r="59" spans="2:6" x14ac:dyDescent="0.3">
      <c r="B59" s="25" t="s">
        <v>143</v>
      </c>
      <c r="C59" s="26">
        <v>104034.95000000003</v>
      </c>
      <c r="D59" s="26">
        <v>83143.27099999995</v>
      </c>
      <c r="E59" s="26">
        <v>116063.11300000003</v>
      </c>
      <c r="F59" s="26">
        <v>303241.33399999986</v>
      </c>
    </row>
    <row r="60" spans="2:6" x14ac:dyDescent="0.3">
      <c r="B60"/>
      <c r="C60"/>
      <c r="D60"/>
      <c r="E60"/>
      <c r="F60"/>
    </row>
    <row r="61" spans="2:6" x14ac:dyDescent="0.3">
      <c r="B61"/>
      <c r="C61"/>
      <c r="D61"/>
      <c r="E61"/>
      <c r="F61"/>
    </row>
    <row r="62" spans="2:6" x14ac:dyDescent="0.3">
      <c r="B62"/>
      <c r="C62"/>
      <c r="D62"/>
      <c r="E62"/>
      <c r="F62"/>
    </row>
    <row r="63" spans="2:6" x14ac:dyDescent="0.3">
      <c r="B63"/>
      <c r="C63"/>
      <c r="D63"/>
      <c r="E63"/>
      <c r="F63"/>
    </row>
    <row r="64" spans="2:6" x14ac:dyDescent="0.3">
      <c r="B64"/>
      <c r="C64"/>
      <c r="D64"/>
      <c r="E64"/>
      <c r="F64"/>
    </row>
    <row r="65" spans="2:6" x14ac:dyDescent="0.3">
      <c r="B65"/>
      <c r="C65"/>
      <c r="D65"/>
      <c r="E65"/>
      <c r="F65"/>
    </row>
    <row r="66" spans="2:6" x14ac:dyDescent="0.3">
      <c r="B66"/>
      <c r="C66"/>
      <c r="D66"/>
      <c r="E66"/>
      <c r="F66"/>
    </row>
    <row r="67" spans="2:6" x14ac:dyDescent="0.3">
      <c r="B67"/>
      <c r="C67"/>
      <c r="D67"/>
      <c r="E67"/>
      <c r="F67"/>
    </row>
    <row r="68" spans="2:6" x14ac:dyDescent="0.3">
      <c r="B68"/>
      <c r="C68"/>
      <c r="D68"/>
      <c r="E68"/>
      <c r="F68"/>
    </row>
    <row r="69" spans="2:6" x14ac:dyDescent="0.3">
      <c r="B69"/>
      <c r="C69"/>
      <c r="D69"/>
      <c r="E69"/>
      <c r="F69"/>
    </row>
    <row r="70" spans="2:6" x14ac:dyDescent="0.3">
      <c r="B70"/>
      <c r="C70"/>
      <c r="D70"/>
      <c r="E70"/>
      <c r="F70"/>
    </row>
    <row r="71" spans="2:6" x14ac:dyDescent="0.3">
      <c r="B71"/>
      <c r="C71"/>
      <c r="D71"/>
      <c r="E71"/>
      <c r="F71"/>
    </row>
    <row r="72" spans="2:6" x14ac:dyDescent="0.3">
      <c r="B72"/>
      <c r="C72"/>
      <c r="D72"/>
      <c r="E72"/>
      <c r="F72"/>
    </row>
    <row r="73" spans="2:6" x14ac:dyDescent="0.3">
      <c r="B73"/>
      <c r="C73"/>
      <c r="D73"/>
      <c r="E73"/>
      <c r="F73"/>
    </row>
    <row r="74" spans="2:6" x14ac:dyDescent="0.3">
      <c r="B74"/>
      <c r="C74"/>
      <c r="D74"/>
      <c r="E74"/>
      <c r="F74"/>
    </row>
    <row r="75" spans="2:6" x14ac:dyDescent="0.3">
      <c r="B75"/>
      <c r="C75"/>
      <c r="D75"/>
      <c r="E75"/>
      <c r="F75"/>
    </row>
    <row r="76" spans="2:6" x14ac:dyDescent="0.3">
      <c r="B76"/>
      <c r="C76"/>
      <c r="D76"/>
      <c r="E76"/>
      <c r="F76"/>
    </row>
    <row r="77" spans="2:6" x14ac:dyDescent="0.3">
      <c r="B77"/>
      <c r="C77"/>
      <c r="D77"/>
      <c r="E77"/>
      <c r="F77"/>
    </row>
    <row r="78" spans="2:6" x14ac:dyDescent="0.3">
      <c r="B78"/>
      <c r="C78"/>
      <c r="D78"/>
      <c r="E78"/>
      <c r="F78"/>
    </row>
    <row r="79" spans="2:6" x14ac:dyDescent="0.3">
      <c r="B79"/>
      <c r="C79"/>
      <c r="D79"/>
      <c r="E79"/>
      <c r="F79"/>
    </row>
    <row r="80" spans="2:6" x14ac:dyDescent="0.3">
      <c r="B80"/>
      <c r="C80"/>
      <c r="D80"/>
      <c r="E80"/>
      <c r="F80"/>
    </row>
    <row r="81" spans="2:6" x14ac:dyDescent="0.3">
      <c r="B81"/>
      <c r="C81"/>
      <c r="D81"/>
      <c r="E81"/>
      <c r="F81"/>
    </row>
    <row r="82" spans="2:6" x14ac:dyDescent="0.3">
      <c r="B82"/>
      <c r="C82"/>
      <c r="D82"/>
      <c r="E82"/>
      <c r="F82"/>
    </row>
    <row r="83" spans="2:6" x14ac:dyDescent="0.3">
      <c r="B83"/>
      <c r="C83"/>
      <c r="D83"/>
      <c r="E83"/>
      <c r="F83"/>
    </row>
    <row r="84" spans="2:6" x14ac:dyDescent="0.3">
      <c r="B84"/>
      <c r="C84"/>
      <c r="D84"/>
      <c r="E84"/>
      <c r="F84"/>
    </row>
    <row r="85" spans="2:6" x14ac:dyDescent="0.3">
      <c r="B85"/>
      <c r="C85"/>
      <c r="D85"/>
      <c r="E85"/>
      <c r="F85"/>
    </row>
    <row r="86" spans="2:6" x14ac:dyDescent="0.3">
      <c r="B86"/>
      <c r="C86"/>
      <c r="D86"/>
      <c r="E86"/>
      <c r="F86"/>
    </row>
    <row r="87" spans="2:6" x14ac:dyDescent="0.3">
      <c r="B87"/>
      <c r="C87"/>
      <c r="D87"/>
      <c r="E87"/>
      <c r="F87"/>
    </row>
    <row r="88" spans="2:6" x14ac:dyDescent="0.3">
      <c r="B88"/>
      <c r="C88"/>
      <c r="D88"/>
      <c r="E88"/>
      <c r="F88"/>
    </row>
    <row r="89" spans="2:6" x14ac:dyDescent="0.3">
      <c r="B89"/>
      <c r="C89"/>
      <c r="D89"/>
      <c r="E89"/>
      <c r="F89"/>
    </row>
    <row r="90" spans="2:6" x14ac:dyDescent="0.3">
      <c r="B90"/>
      <c r="C90"/>
      <c r="D90"/>
      <c r="E90"/>
      <c r="F90"/>
    </row>
    <row r="91" spans="2:6" x14ac:dyDescent="0.3">
      <c r="B91"/>
      <c r="C91"/>
      <c r="D91"/>
      <c r="E91"/>
      <c r="F91"/>
    </row>
    <row r="92" spans="2:6" x14ac:dyDescent="0.3">
      <c r="B92"/>
      <c r="C92"/>
      <c r="D92"/>
      <c r="E92"/>
      <c r="F92"/>
    </row>
    <row r="93" spans="2:6" x14ac:dyDescent="0.3">
      <c r="B93"/>
      <c r="C93"/>
      <c r="D93"/>
      <c r="E93"/>
      <c r="F93"/>
    </row>
    <row r="94" spans="2:6" x14ac:dyDescent="0.3">
      <c r="B94"/>
      <c r="C94"/>
      <c r="D94"/>
      <c r="E94"/>
      <c r="F94"/>
    </row>
    <row r="95" spans="2:6" x14ac:dyDescent="0.3">
      <c r="B95"/>
      <c r="C95"/>
      <c r="D95"/>
      <c r="E95"/>
      <c r="F95"/>
    </row>
    <row r="96" spans="2:6" x14ac:dyDescent="0.3">
      <c r="B96"/>
      <c r="C96"/>
      <c r="D96"/>
      <c r="E96"/>
      <c r="F96"/>
    </row>
    <row r="97" spans="2:6" x14ac:dyDescent="0.3">
      <c r="B97"/>
      <c r="C97"/>
      <c r="D97"/>
      <c r="E97"/>
      <c r="F97"/>
    </row>
    <row r="98" spans="2:6" x14ac:dyDescent="0.3">
      <c r="B98"/>
      <c r="C98"/>
      <c r="D98"/>
      <c r="E98"/>
      <c r="F98"/>
    </row>
    <row r="99" spans="2:6" x14ac:dyDescent="0.3">
      <c r="B99"/>
      <c r="C99"/>
      <c r="D99"/>
      <c r="E99"/>
      <c r="F99"/>
    </row>
    <row r="100" spans="2:6" x14ac:dyDescent="0.3">
      <c r="B100"/>
      <c r="C100"/>
      <c r="D100"/>
      <c r="E100"/>
      <c r="F100"/>
    </row>
    <row r="101" spans="2:6" x14ac:dyDescent="0.3">
      <c r="B101"/>
      <c r="C101"/>
      <c r="D101"/>
      <c r="E101"/>
      <c r="F101"/>
    </row>
    <row r="102" spans="2:6" x14ac:dyDescent="0.3">
      <c r="B102"/>
      <c r="C102"/>
      <c r="D102"/>
      <c r="E102"/>
      <c r="F102"/>
    </row>
    <row r="103" spans="2:6" x14ac:dyDescent="0.3">
      <c r="B103"/>
      <c r="C103"/>
      <c r="D103"/>
      <c r="E103"/>
      <c r="F103"/>
    </row>
    <row r="104" spans="2:6" x14ac:dyDescent="0.3">
      <c r="B104"/>
      <c r="C104"/>
      <c r="D104"/>
      <c r="E104"/>
      <c r="F104"/>
    </row>
    <row r="105" spans="2:6" x14ac:dyDescent="0.3">
      <c r="B105"/>
      <c r="C105"/>
      <c r="D105"/>
      <c r="E105"/>
      <c r="F105"/>
    </row>
    <row r="106" spans="2:6" x14ac:dyDescent="0.3">
      <c r="B106"/>
      <c r="C106"/>
      <c r="D106"/>
      <c r="E106"/>
      <c r="F106"/>
    </row>
    <row r="107" spans="2:6" x14ac:dyDescent="0.3">
      <c r="B107"/>
      <c r="C107"/>
      <c r="D107"/>
      <c r="E107"/>
      <c r="F107"/>
    </row>
    <row r="108" spans="2:6" x14ac:dyDescent="0.3">
      <c r="B108"/>
      <c r="C108"/>
      <c r="D108"/>
      <c r="E108"/>
      <c r="F108"/>
    </row>
    <row r="109" spans="2:6" x14ac:dyDescent="0.3">
      <c r="B109"/>
      <c r="C109"/>
      <c r="D109"/>
      <c r="E109"/>
      <c r="F109"/>
    </row>
    <row r="110" spans="2:6" x14ac:dyDescent="0.3">
      <c r="B110"/>
      <c r="C110"/>
      <c r="D110"/>
      <c r="E110"/>
      <c r="F110"/>
    </row>
    <row r="111" spans="2:6" x14ac:dyDescent="0.3">
      <c r="B111"/>
      <c r="C111"/>
      <c r="D111"/>
      <c r="E111"/>
      <c r="F111"/>
    </row>
    <row r="112" spans="2:6" x14ac:dyDescent="0.3">
      <c r="B112"/>
      <c r="C112"/>
      <c r="D112"/>
      <c r="E112"/>
      <c r="F112"/>
    </row>
    <row r="113" spans="2:6" x14ac:dyDescent="0.3">
      <c r="B113"/>
      <c r="C113"/>
      <c r="D113"/>
      <c r="E113"/>
      <c r="F113"/>
    </row>
    <row r="114" spans="2:6" x14ac:dyDescent="0.3">
      <c r="B114"/>
      <c r="C114"/>
      <c r="D114"/>
      <c r="E114"/>
      <c r="F114"/>
    </row>
    <row r="115" spans="2:6" x14ac:dyDescent="0.3">
      <c r="B115"/>
      <c r="C115"/>
      <c r="D115"/>
      <c r="E115"/>
      <c r="F115"/>
    </row>
    <row r="116" spans="2:6" x14ac:dyDescent="0.3">
      <c r="B116"/>
      <c r="C116"/>
      <c r="D116"/>
      <c r="E116"/>
      <c r="F116"/>
    </row>
    <row r="117" spans="2:6" x14ac:dyDescent="0.3">
      <c r="B117"/>
      <c r="C117"/>
      <c r="D117"/>
      <c r="E117"/>
      <c r="F117"/>
    </row>
    <row r="118" spans="2:6" x14ac:dyDescent="0.3">
      <c r="B118"/>
      <c r="C118"/>
      <c r="D118"/>
      <c r="E118"/>
      <c r="F118"/>
    </row>
    <row r="119" spans="2:6" x14ac:dyDescent="0.3">
      <c r="B119"/>
      <c r="C119"/>
      <c r="D119"/>
      <c r="E119"/>
      <c r="F119"/>
    </row>
    <row r="120" spans="2:6" x14ac:dyDescent="0.3">
      <c r="B120"/>
      <c r="C120"/>
      <c r="D120"/>
      <c r="E120"/>
      <c r="F120"/>
    </row>
    <row r="121" spans="2:6" x14ac:dyDescent="0.3">
      <c r="B121"/>
      <c r="C121"/>
      <c r="D121"/>
      <c r="E121"/>
      <c r="F121"/>
    </row>
    <row r="122" spans="2:6" x14ac:dyDescent="0.3">
      <c r="B122"/>
      <c r="C122"/>
      <c r="D122"/>
      <c r="E122"/>
      <c r="F122"/>
    </row>
    <row r="123" spans="2:6" x14ac:dyDescent="0.3">
      <c r="B123"/>
      <c r="C123"/>
      <c r="D123"/>
      <c r="E123"/>
      <c r="F123"/>
    </row>
    <row r="124" spans="2:6" x14ac:dyDescent="0.3">
      <c r="B124"/>
      <c r="C124"/>
      <c r="D124"/>
      <c r="E124"/>
      <c r="F124"/>
    </row>
    <row r="125" spans="2:6" x14ac:dyDescent="0.3">
      <c r="B125"/>
      <c r="C125"/>
      <c r="D125"/>
      <c r="E125"/>
      <c r="F125"/>
    </row>
    <row r="126" spans="2:6" x14ac:dyDescent="0.3">
      <c r="B126"/>
      <c r="C126"/>
      <c r="D126"/>
      <c r="E126"/>
      <c r="F126"/>
    </row>
    <row r="127" spans="2:6" x14ac:dyDescent="0.3">
      <c r="B127"/>
      <c r="C127"/>
      <c r="D127"/>
      <c r="E127"/>
      <c r="F127"/>
    </row>
    <row r="128" spans="2:6" x14ac:dyDescent="0.3">
      <c r="B128"/>
      <c r="C128"/>
      <c r="D128"/>
      <c r="E128"/>
      <c r="F128"/>
    </row>
    <row r="129" spans="2:6" x14ac:dyDescent="0.3">
      <c r="B129"/>
      <c r="C129"/>
      <c r="D129"/>
      <c r="E129"/>
      <c r="F129"/>
    </row>
    <row r="130" spans="2:6" x14ac:dyDescent="0.3">
      <c r="B130"/>
      <c r="C130"/>
      <c r="D130"/>
      <c r="E130"/>
      <c r="F130"/>
    </row>
    <row r="131" spans="2:6" x14ac:dyDescent="0.3">
      <c r="B131"/>
      <c r="C131"/>
      <c r="D131"/>
      <c r="E131"/>
      <c r="F131"/>
    </row>
    <row r="132" spans="2:6" x14ac:dyDescent="0.3">
      <c r="B132"/>
      <c r="C132"/>
      <c r="D132"/>
      <c r="E132"/>
      <c r="F132"/>
    </row>
    <row r="133" spans="2:6" x14ac:dyDescent="0.3">
      <c r="B133"/>
      <c r="C133"/>
      <c r="D133"/>
      <c r="E133"/>
      <c r="F133"/>
    </row>
    <row r="134" spans="2:6" x14ac:dyDescent="0.3">
      <c r="B134"/>
      <c r="C134"/>
      <c r="D134"/>
      <c r="E134"/>
      <c r="F134"/>
    </row>
    <row r="135" spans="2:6" x14ac:dyDescent="0.3">
      <c r="B135"/>
      <c r="C135"/>
      <c r="D135"/>
      <c r="E135"/>
      <c r="F135"/>
    </row>
    <row r="136" spans="2:6" x14ac:dyDescent="0.3">
      <c r="B136"/>
      <c r="C136"/>
      <c r="D136"/>
      <c r="E136"/>
      <c r="F136"/>
    </row>
    <row r="137" spans="2:6" x14ac:dyDescent="0.3">
      <c r="B137"/>
      <c r="C137"/>
      <c r="D137"/>
      <c r="E137"/>
      <c r="F137"/>
    </row>
    <row r="138" spans="2:6" x14ac:dyDescent="0.3">
      <c r="B138"/>
      <c r="C138"/>
      <c r="D138"/>
      <c r="E138"/>
      <c r="F138"/>
    </row>
    <row r="139" spans="2:6" x14ac:dyDescent="0.3">
      <c r="B139"/>
      <c r="C139"/>
      <c r="D139"/>
      <c r="E139"/>
      <c r="F139"/>
    </row>
    <row r="140" spans="2:6" x14ac:dyDescent="0.3">
      <c r="B140"/>
      <c r="C140"/>
      <c r="D140"/>
      <c r="E140"/>
      <c r="F140"/>
    </row>
    <row r="141" spans="2:6" x14ac:dyDescent="0.3">
      <c r="B141"/>
      <c r="C141"/>
      <c r="D141"/>
      <c r="E141"/>
      <c r="F141"/>
    </row>
    <row r="142" spans="2:6" x14ac:dyDescent="0.3">
      <c r="B142"/>
      <c r="C142"/>
      <c r="D142"/>
      <c r="E142"/>
      <c r="F142"/>
    </row>
    <row r="143" spans="2:6" x14ac:dyDescent="0.3">
      <c r="B143"/>
      <c r="C143"/>
      <c r="D143"/>
      <c r="E143"/>
      <c r="F143"/>
    </row>
    <row r="144" spans="2:6" x14ac:dyDescent="0.3">
      <c r="B144"/>
      <c r="C144"/>
      <c r="D144"/>
      <c r="E144"/>
      <c r="F144"/>
    </row>
    <row r="145" spans="2:6" x14ac:dyDescent="0.3">
      <c r="B145"/>
      <c r="C145"/>
      <c r="D145"/>
      <c r="E145"/>
      <c r="F145"/>
    </row>
    <row r="146" spans="2:6" x14ac:dyDescent="0.3">
      <c r="B146"/>
      <c r="C146"/>
      <c r="D146"/>
      <c r="E146"/>
      <c r="F146"/>
    </row>
    <row r="147" spans="2:6" x14ac:dyDescent="0.3">
      <c r="B147"/>
      <c r="C147"/>
      <c r="D147"/>
      <c r="E147"/>
      <c r="F147"/>
    </row>
    <row r="148" spans="2:6" x14ac:dyDescent="0.3">
      <c r="B148"/>
      <c r="C148"/>
      <c r="D148"/>
      <c r="E148"/>
      <c r="F148"/>
    </row>
    <row r="149" spans="2:6" x14ac:dyDescent="0.3">
      <c r="B149"/>
      <c r="C149"/>
      <c r="D149"/>
      <c r="E149"/>
      <c r="F149"/>
    </row>
    <row r="150" spans="2:6" x14ac:dyDescent="0.3">
      <c r="B150"/>
      <c r="C150"/>
      <c r="D150"/>
      <c r="E150"/>
      <c r="F150"/>
    </row>
    <row r="151" spans="2:6" x14ac:dyDescent="0.3">
      <c r="B151"/>
      <c r="C151"/>
      <c r="D151"/>
      <c r="E151"/>
      <c r="F151"/>
    </row>
    <row r="152" spans="2:6" x14ac:dyDescent="0.3">
      <c r="B152"/>
      <c r="C152"/>
      <c r="D152"/>
      <c r="E152"/>
      <c r="F152"/>
    </row>
    <row r="153" spans="2:6" x14ac:dyDescent="0.3">
      <c r="B153"/>
      <c r="C153"/>
      <c r="D153"/>
      <c r="E153"/>
      <c r="F153"/>
    </row>
    <row r="154" spans="2:6" x14ac:dyDescent="0.3">
      <c r="B154"/>
      <c r="C154"/>
      <c r="D154"/>
      <c r="E154"/>
      <c r="F154"/>
    </row>
    <row r="155" spans="2:6" x14ac:dyDescent="0.3">
      <c r="B155"/>
      <c r="C155"/>
      <c r="D155"/>
      <c r="E155"/>
      <c r="F155"/>
    </row>
    <row r="156" spans="2:6" x14ac:dyDescent="0.3">
      <c r="B156"/>
      <c r="C156"/>
      <c r="D156"/>
      <c r="E156"/>
      <c r="F156"/>
    </row>
    <row r="157" spans="2:6" x14ac:dyDescent="0.3">
      <c r="B157"/>
      <c r="C157"/>
      <c r="D157"/>
      <c r="E157"/>
      <c r="F157"/>
    </row>
    <row r="158" spans="2:6" x14ac:dyDescent="0.3">
      <c r="B158"/>
      <c r="C158"/>
      <c r="D158"/>
      <c r="E158"/>
      <c r="F158"/>
    </row>
    <row r="159" spans="2:6" x14ac:dyDescent="0.3">
      <c r="B159"/>
      <c r="C159"/>
      <c r="D159"/>
      <c r="E159"/>
      <c r="F159"/>
    </row>
    <row r="160" spans="2:6" x14ac:dyDescent="0.3">
      <c r="B160"/>
      <c r="C160"/>
      <c r="D160"/>
      <c r="E160"/>
      <c r="F160"/>
    </row>
    <row r="161" spans="2:6" x14ac:dyDescent="0.3">
      <c r="B161"/>
      <c r="C161"/>
      <c r="D161"/>
      <c r="E161"/>
      <c r="F161"/>
    </row>
    <row r="162" spans="2:6" x14ac:dyDescent="0.3">
      <c r="B162"/>
      <c r="C162"/>
      <c r="D162"/>
      <c r="E162"/>
      <c r="F162"/>
    </row>
    <row r="163" spans="2:6" x14ac:dyDescent="0.3">
      <c r="B163"/>
      <c r="C163"/>
      <c r="D163"/>
      <c r="E163"/>
      <c r="F163"/>
    </row>
    <row r="164" spans="2:6" x14ac:dyDescent="0.3">
      <c r="B164"/>
      <c r="C164"/>
      <c r="D164"/>
      <c r="E164"/>
      <c r="F164"/>
    </row>
    <row r="165" spans="2:6" x14ac:dyDescent="0.3">
      <c r="B165"/>
      <c r="C165"/>
      <c r="D165"/>
      <c r="E165"/>
      <c r="F165"/>
    </row>
    <row r="166" spans="2:6" x14ac:dyDescent="0.3">
      <c r="B166"/>
      <c r="C166"/>
      <c r="D166"/>
      <c r="E166"/>
      <c r="F166"/>
    </row>
    <row r="167" spans="2:6" x14ac:dyDescent="0.3">
      <c r="B167"/>
      <c r="C167"/>
      <c r="D167"/>
      <c r="E167"/>
      <c r="F167"/>
    </row>
    <row r="168" spans="2:6" x14ac:dyDescent="0.3">
      <c r="B168"/>
      <c r="C168"/>
      <c r="D168"/>
      <c r="E168"/>
      <c r="F168"/>
    </row>
    <row r="169" spans="2:6" x14ac:dyDescent="0.3">
      <c r="B169"/>
      <c r="C169"/>
      <c r="D169"/>
      <c r="E169"/>
      <c r="F169"/>
    </row>
    <row r="170" spans="2:6" x14ac:dyDescent="0.3">
      <c r="B170"/>
      <c r="C170"/>
      <c r="D170"/>
      <c r="E170"/>
      <c r="F170"/>
    </row>
    <row r="171" spans="2:6" x14ac:dyDescent="0.3">
      <c r="B171"/>
      <c r="C171"/>
      <c r="D171"/>
      <c r="E171"/>
      <c r="F171"/>
    </row>
    <row r="172" spans="2:6" x14ac:dyDescent="0.3">
      <c r="B172"/>
      <c r="C172"/>
      <c r="D172"/>
      <c r="E172"/>
      <c r="F172"/>
    </row>
    <row r="173" spans="2:6" x14ac:dyDescent="0.3">
      <c r="B173"/>
      <c r="C173"/>
      <c r="D173"/>
      <c r="E173"/>
      <c r="F173"/>
    </row>
    <row r="174" spans="2:6" x14ac:dyDescent="0.3">
      <c r="B174"/>
      <c r="C174"/>
      <c r="D174"/>
      <c r="E174"/>
      <c r="F174"/>
    </row>
    <row r="175" spans="2:6" x14ac:dyDescent="0.3">
      <c r="B175"/>
      <c r="C175"/>
      <c r="D175"/>
      <c r="E175"/>
      <c r="F175"/>
    </row>
    <row r="176" spans="2:6" x14ac:dyDescent="0.3">
      <c r="B176"/>
      <c r="C176"/>
      <c r="D176"/>
      <c r="E176"/>
      <c r="F176"/>
    </row>
    <row r="177" spans="2:6" x14ac:dyDescent="0.3">
      <c r="B177"/>
      <c r="C177"/>
      <c r="D177"/>
      <c r="E177"/>
      <c r="F177"/>
    </row>
    <row r="178" spans="2:6" x14ac:dyDescent="0.3">
      <c r="B178"/>
      <c r="C178"/>
      <c r="D178"/>
      <c r="E178"/>
      <c r="F178"/>
    </row>
    <row r="179" spans="2:6" x14ac:dyDescent="0.3">
      <c r="B179"/>
      <c r="C179"/>
      <c r="D179"/>
      <c r="E179"/>
      <c r="F179"/>
    </row>
    <row r="180" spans="2:6" x14ac:dyDescent="0.3">
      <c r="B180"/>
      <c r="C180"/>
      <c r="D180"/>
      <c r="E180"/>
      <c r="F180"/>
    </row>
    <row r="181" spans="2:6" x14ac:dyDescent="0.3">
      <c r="B181"/>
      <c r="C181"/>
      <c r="D181"/>
      <c r="E181"/>
      <c r="F181"/>
    </row>
    <row r="182" spans="2:6" x14ac:dyDescent="0.3">
      <c r="B182"/>
      <c r="C182"/>
      <c r="D182"/>
      <c r="E182"/>
      <c r="F182"/>
    </row>
    <row r="183" spans="2:6" x14ac:dyDescent="0.3">
      <c r="B183"/>
      <c r="C183"/>
      <c r="D183"/>
      <c r="E183"/>
      <c r="F183"/>
    </row>
    <row r="184" spans="2:6" x14ac:dyDescent="0.3">
      <c r="B184"/>
      <c r="C184"/>
      <c r="D184"/>
      <c r="E184"/>
      <c r="F184"/>
    </row>
    <row r="185" spans="2:6" x14ac:dyDescent="0.3">
      <c r="B185"/>
      <c r="C185"/>
      <c r="D185"/>
      <c r="E185"/>
      <c r="F185"/>
    </row>
    <row r="186" spans="2:6" x14ac:dyDescent="0.3">
      <c r="B186"/>
      <c r="C186"/>
      <c r="D186"/>
      <c r="E186"/>
      <c r="F186"/>
    </row>
    <row r="187" spans="2:6" x14ac:dyDescent="0.3">
      <c r="B187"/>
      <c r="C187"/>
      <c r="D187"/>
      <c r="E187"/>
      <c r="F187"/>
    </row>
    <row r="188" spans="2:6" x14ac:dyDescent="0.3">
      <c r="B188"/>
      <c r="C188"/>
      <c r="D188"/>
      <c r="E188"/>
      <c r="F188"/>
    </row>
    <row r="189" spans="2:6" x14ac:dyDescent="0.3">
      <c r="B189"/>
      <c r="C189"/>
      <c r="D189"/>
      <c r="E189"/>
      <c r="F189"/>
    </row>
    <row r="190" spans="2:6" x14ac:dyDescent="0.3">
      <c r="B190"/>
      <c r="C190"/>
      <c r="D190"/>
      <c r="E190"/>
      <c r="F190"/>
    </row>
    <row r="191" spans="2:6" x14ac:dyDescent="0.3">
      <c r="B191"/>
      <c r="C191"/>
      <c r="D191"/>
      <c r="E191"/>
      <c r="F191"/>
    </row>
    <row r="192" spans="2:6" x14ac:dyDescent="0.3">
      <c r="B192"/>
      <c r="C192"/>
      <c r="D192"/>
      <c r="E192"/>
      <c r="F192"/>
    </row>
    <row r="193" spans="2:6" x14ac:dyDescent="0.3">
      <c r="B193"/>
      <c r="C193"/>
      <c r="D193"/>
      <c r="E193"/>
      <c r="F193"/>
    </row>
    <row r="194" spans="2:6" x14ac:dyDescent="0.3">
      <c r="B194"/>
      <c r="C194"/>
      <c r="D194"/>
      <c r="E194"/>
      <c r="F194"/>
    </row>
    <row r="195" spans="2:6" x14ac:dyDescent="0.3">
      <c r="B195"/>
      <c r="C195"/>
      <c r="D195"/>
      <c r="E195"/>
      <c r="F195"/>
    </row>
    <row r="196" spans="2:6" x14ac:dyDescent="0.3">
      <c r="B196"/>
      <c r="C196"/>
      <c r="D196"/>
      <c r="E196"/>
      <c r="F196"/>
    </row>
    <row r="197" spans="2:6" x14ac:dyDescent="0.3">
      <c r="B197"/>
      <c r="C197"/>
      <c r="D197"/>
      <c r="E197"/>
      <c r="F197"/>
    </row>
    <row r="198" spans="2:6" x14ac:dyDescent="0.3">
      <c r="B198"/>
      <c r="C198"/>
      <c r="D198"/>
      <c r="E198"/>
      <c r="F19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Charts</vt:lpstr>
      <vt:lpstr>Products</vt:lpstr>
      <vt:lpstr>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2024-09-29T13:29:43Z</dcterms:created>
  <dcterms:modified xsi:type="dcterms:W3CDTF">2026-01-31T12:36:08Z</dcterms:modified>
</cp:coreProperties>
</file>