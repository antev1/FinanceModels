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4455DDB6-80A9-4E5C-9025-17FEB4188569}" xr6:coauthVersionLast="47" xr6:coauthVersionMax="47" xr10:uidLastSave="{00000000-0000-0000-0000-000000000000}"/>
  <bookViews>
    <workbookView xWindow="-108" yWindow="-108" windowWidth="23256" windowHeight="12576" xr2:uid="{4DC2FBA0-6E3D-459B-9C6A-21AC42B1058B}"/>
  </bookViews>
  <sheets>
    <sheet name="Main" sheetId="1" r:id="rId1"/>
    <sheet name="Model" sheetId="2" r:id="rId2"/>
    <sheet name="Chart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6" i="2" l="1"/>
  <c r="AJ6" i="2"/>
  <c r="AI6" i="2"/>
  <c r="AH6" i="2"/>
  <c r="AG6" i="2"/>
  <c r="AF6" i="2"/>
  <c r="AE6" i="2"/>
  <c r="AD6" i="2"/>
  <c r="AC6" i="2"/>
  <c r="AB6" i="2"/>
  <c r="AE3" i="2"/>
  <c r="AF3" i="2" s="1"/>
  <c r="AG3" i="2" s="1"/>
  <c r="AB3" i="2"/>
  <c r="AF4" i="2"/>
  <c r="AE4" i="2"/>
  <c r="AD4" i="2"/>
  <c r="AC4" i="2"/>
  <c r="AB4" i="2"/>
  <c r="AA18" i="2"/>
  <c r="AA17" i="2"/>
  <c r="AA15" i="2"/>
  <c r="AA14" i="2"/>
  <c r="AA13" i="2"/>
  <c r="AA11" i="2"/>
  <c r="AA10" i="2"/>
  <c r="AA7" i="2"/>
  <c r="AA6" i="2"/>
  <c r="AA4" i="2"/>
  <c r="AA24" i="2" s="1"/>
  <c r="AA3" i="2"/>
  <c r="R34" i="2"/>
  <c r="Q34" i="2"/>
  <c r="R33" i="2"/>
  <c r="Q33" i="2"/>
  <c r="R32" i="2"/>
  <c r="Q32" i="2"/>
  <c r="R31" i="2"/>
  <c r="Q31" i="2"/>
  <c r="R30" i="2"/>
  <c r="Q30" i="2"/>
  <c r="R29" i="2"/>
  <c r="Q29" i="2"/>
  <c r="R28" i="2"/>
  <c r="Q28" i="2"/>
  <c r="R27" i="2"/>
  <c r="Q27" i="2"/>
  <c r="R26" i="2"/>
  <c r="Q26" i="2"/>
  <c r="R25" i="2"/>
  <c r="Q25" i="2"/>
  <c r="R24" i="2"/>
  <c r="Q24" i="2"/>
  <c r="R23" i="2"/>
  <c r="Q23" i="2"/>
  <c r="R20" i="2"/>
  <c r="Q20" i="2"/>
  <c r="R19" i="2"/>
  <c r="R21" i="2" s="1"/>
  <c r="Q19" i="2"/>
  <c r="Q21" i="2" s="1"/>
  <c r="R18" i="2"/>
  <c r="Q18" i="2"/>
  <c r="U33" i="2"/>
  <c r="V33" i="2"/>
  <c r="W33" i="2"/>
  <c r="X33" i="2"/>
  <c r="Y33" i="2"/>
  <c r="Z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P33" i="2"/>
  <c r="R17" i="2"/>
  <c r="Q17" i="2"/>
  <c r="R16" i="2"/>
  <c r="Q16" i="2"/>
  <c r="R15" i="2"/>
  <c r="Q15" i="2"/>
  <c r="R14" i="2"/>
  <c r="Q14" i="2"/>
  <c r="R12" i="2"/>
  <c r="Q12" i="2"/>
  <c r="R11" i="2"/>
  <c r="Q11" i="2"/>
  <c r="R10" i="2"/>
  <c r="Q10" i="2"/>
  <c r="R7" i="2"/>
  <c r="Q7" i="2"/>
  <c r="Q8" i="2" s="1"/>
  <c r="Q9" i="2" s="1"/>
  <c r="R8" i="2"/>
  <c r="R9" i="2" s="1"/>
  <c r="R6" i="2"/>
  <c r="Q6" i="2"/>
  <c r="R5" i="2"/>
  <c r="Q5" i="2"/>
  <c r="R3" i="2"/>
  <c r="Q3" i="2"/>
  <c r="Q4" i="2"/>
  <c r="R4" i="2"/>
  <c r="F18" i="2"/>
  <c r="F17" i="2"/>
  <c r="F15" i="2"/>
  <c r="F14" i="2"/>
  <c r="F13" i="2"/>
  <c r="F11" i="2"/>
  <c r="F10" i="2"/>
  <c r="F7" i="2"/>
  <c r="F6" i="2"/>
  <c r="F26" i="2" s="1"/>
  <c r="F4" i="2"/>
  <c r="F3" i="2"/>
  <c r="J18" i="2"/>
  <c r="J17" i="2"/>
  <c r="J15" i="2"/>
  <c r="J14" i="2"/>
  <c r="J13" i="2"/>
  <c r="J11" i="2"/>
  <c r="J10" i="2"/>
  <c r="J7" i="2"/>
  <c r="J6" i="2"/>
  <c r="J8" i="2" s="1"/>
  <c r="J4" i="2"/>
  <c r="J3" i="2"/>
  <c r="N18" i="2"/>
  <c r="N17" i="2"/>
  <c r="N15" i="2"/>
  <c r="N14" i="2"/>
  <c r="N13" i="2"/>
  <c r="N11" i="2"/>
  <c r="N10" i="2"/>
  <c r="N7" i="2"/>
  <c r="N6" i="2"/>
  <c r="N4" i="2"/>
  <c r="N3" i="2"/>
  <c r="J24" i="2"/>
  <c r="J5" i="2"/>
  <c r="C34" i="2"/>
  <c r="C32" i="2"/>
  <c r="C31" i="2"/>
  <c r="C30" i="2"/>
  <c r="C28" i="2"/>
  <c r="C27" i="2"/>
  <c r="C26" i="2"/>
  <c r="D34" i="2"/>
  <c r="D32" i="2"/>
  <c r="D31" i="2"/>
  <c r="D30" i="2"/>
  <c r="D28" i="2"/>
  <c r="D27" i="2"/>
  <c r="D26" i="2"/>
  <c r="E34" i="2"/>
  <c r="E32" i="2"/>
  <c r="E31" i="2"/>
  <c r="E30" i="2"/>
  <c r="E28" i="2"/>
  <c r="E27" i="2"/>
  <c r="E26" i="2"/>
  <c r="F27" i="2"/>
  <c r="G34" i="2"/>
  <c r="G32" i="2"/>
  <c r="G31" i="2"/>
  <c r="G30" i="2"/>
  <c r="G29" i="2"/>
  <c r="G28" i="2"/>
  <c r="G27" i="2"/>
  <c r="G26" i="2"/>
  <c r="G25" i="2"/>
  <c r="G24" i="2"/>
  <c r="G23" i="2"/>
  <c r="H34" i="2"/>
  <c r="H32" i="2"/>
  <c r="H31" i="2"/>
  <c r="H30" i="2"/>
  <c r="H29" i="2"/>
  <c r="H28" i="2"/>
  <c r="H27" i="2"/>
  <c r="H26" i="2"/>
  <c r="H25" i="2"/>
  <c r="H24" i="2"/>
  <c r="H23" i="2"/>
  <c r="I34" i="2"/>
  <c r="I32" i="2"/>
  <c r="I31" i="2"/>
  <c r="I30" i="2"/>
  <c r="I29" i="2"/>
  <c r="I28" i="2"/>
  <c r="I27" i="2"/>
  <c r="I26" i="2"/>
  <c r="I25" i="2"/>
  <c r="I24" i="2"/>
  <c r="J29" i="2"/>
  <c r="J23" i="2"/>
  <c r="K34" i="2"/>
  <c r="K32" i="2"/>
  <c r="K31" i="2"/>
  <c r="K30" i="2"/>
  <c r="K29" i="2"/>
  <c r="K28" i="2"/>
  <c r="K27" i="2"/>
  <c r="K26" i="2"/>
  <c r="K25" i="2"/>
  <c r="K24" i="2"/>
  <c r="K23" i="2"/>
  <c r="L34" i="2"/>
  <c r="L32" i="2"/>
  <c r="L31" i="2"/>
  <c r="L30" i="2"/>
  <c r="L29" i="2"/>
  <c r="L28" i="2"/>
  <c r="L27" i="2"/>
  <c r="L26" i="2"/>
  <c r="L25" i="2"/>
  <c r="L24" i="2"/>
  <c r="L23" i="2"/>
  <c r="M34" i="2"/>
  <c r="M32" i="2"/>
  <c r="M31" i="2"/>
  <c r="M30" i="2"/>
  <c r="M29" i="2"/>
  <c r="M28" i="2"/>
  <c r="M27" i="2"/>
  <c r="M26" i="2"/>
  <c r="M25" i="2"/>
  <c r="M24" i="2"/>
  <c r="N26" i="2"/>
  <c r="N23" i="2"/>
  <c r="O34" i="2"/>
  <c r="O32" i="2"/>
  <c r="O31" i="2"/>
  <c r="O30" i="2"/>
  <c r="O29" i="2"/>
  <c r="O28" i="2"/>
  <c r="O27" i="2"/>
  <c r="O26" i="2"/>
  <c r="O25" i="2"/>
  <c r="O24" i="2"/>
  <c r="O23" i="2"/>
  <c r="D8" i="2"/>
  <c r="D5" i="2"/>
  <c r="E8" i="2"/>
  <c r="E5" i="2"/>
  <c r="E9" i="2" s="1"/>
  <c r="C8" i="2"/>
  <c r="C5" i="2"/>
  <c r="G8" i="2"/>
  <c r="G5" i="2"/>
  <c r="G9" i="2" s="1"/>
  <c r="N8" i="2"/>
  <c r="N5" i="2"/>
  <c r="AB10" i="2"/>
  <c r="AC10" i="2" s="1"/>
  <c r="AD10" i="2" s="1"/>
  <c r="AE10" i="2" s="1"/>
  <c r="AE29" i="2" s="1"/>
  <c r="P30" i="2"/>
  <c r="P29" i="2"/>
  <c r="P27" i="2"/>
  <c r="P26" i="2"/>
  <c r="P25" i="2"/>
  <c r="P24" i="2"/>
  <c r="P23" i="2"/>
  <c r="AK20" i="2"/>
  <c r="AJ20" i="2"/>
  <c r="AI20" i="2"/>
  <c r="AH20" i="2"/>
  <c r="AG20" i="2"/>
  <c r="AF20" i="2"/>
  <c r="AE20" i="2"/>
  <c r="AD20" i="2"/>
  <c r="AC20" i="2"/>
  <c r="AB20" i="2"/>
  <c r="AA20" i="2"/>
  <c r="P20" i="2"/>
  <c r="P8" i="2"/>
  <c r="P5" i="2"/>
  <c r="P9" i="2" s="1"/>
  <c r="P12" i="2" s="1"/>
  <c r="P16" i="2" s="1"/>
  <c r="P19" i="2" s="1"/>
  <c r="P34" i="2" s="1"/>
  <c r="D7" i="1"/>
  <c r="D6" i="1"/>
  <c r="D4" i="1"/>
  <c r="AO31" i="2"/>
  <c r="AA29" i="2"/>
  <c r="AA23" i="2"/>
  <c r="AB15" i="2"/>
  <c r="AC15" i="2" s="1"/>
  <c r="AD15" i="2" s="1"/>
  <c r="AE15" i="2" s="1"/>
  <c r="AF15" i="2" s="1"/>
  <c r="AG15" i="2" s="1"/>
  <c r="AH15" i="2" s="1"/>
  <c r="AI15" i="2" s="1"/>
  <c r="AJ15" i="2" s="1"/>
  <c r="AK15" i="2" s="1"/>
  <c r="AB14" i="2"/>
  <c r="AC14" i="2" s="1"/>
  <c r="AD14" i="2" s="1"/>
  <c r="AE14" i="2" s="1"/>
  <c r="AF14" i="2" s="1"/>
  <c r="AG14" i="2" s="1"/>
  <c r="AH14" i="2" s="1"/>
  <c r="AI14" i="2" s="1"/>
  <c r="AJ14" i="2" s="1"/>
  <c r="AK14" i="2" s="1"/>
  <c r="AA26" i="2"/>
  <c r="AA5" i="2"/>
  <c r="AA30" i="2" s="1"/>
  <c r="AC3" i="2"/>
  <c r="AD3" i="2" s="1"/>
  <c r="I8" i="2"/>
  <c r="I5" i="2"/>
  <c r="M8" i="2"/>
  <c r="M5" i="2"/>
  <c r="K8" i="2"/>
  <c r="K5" i="2"/>
  <c r="O8" i="2"/>
  <c r="O5" i="2"/>
  <c r="U27" i="2"/>
  <c r="U26" i="2"/>
  <c r="Z29" i="2"/>
  <c r="Y29" i="2"/>
  <c r="X29" i="2"/>
  <c r="W29" i="2"/>
  <c r="Z27" i="2"/>
  <c r="Y27" i="2"/>
  <c r="X27" i="2"/>
  <c r="W27" i="2"/>
  <c r="Z26" i="2"/>
  <c r="Y26" i="2"/>
  <c r="X26" i="2"/>
  <c r="W26" i="2"/>
  <c r="Z24" i="2"/>
  <c r="Y24" i="2"/>
  <c r="X24" i="2"/>
  <c r="W24" i="2"/>
  <c r="Z23" i="2"/>
  <c r="Y23" i="2"/>
  <c r="X23" i="2"/>
  <c r="W23" i="2"/>
  <c r="V29" i="2"/>
  <c r="V24" i="2"/>
  <c r="V23" i="2"/>
  <c r="V27" i="2"/>
  <c r="V26" i="2"/>
  <c r="U20" i="2"/>
  <c r="U8" i="2"/>
  <c r="U5" i="2"/>
  <c r="V13" i="2"/>
  <c r="V20" i="2"/>
  <c r="V8" i="2"/>
  <c r="V5" i="2"/>
  <c r="W15" i="2"/>
  <c r="W20" i="2"/>
  <c r="W8" i="2"/>
  <c r="W5" i="2"/>
  <c r="X20" i="2"/>
  <c r="X8" i="2"/>
  <c r="X5" i="2"/>
  <c r="Y20" i="2"/>
  <c r="Y8" i="2"/>
  <c r="Y5" i="2"/>
  <c r="Z20" i="2"/>
  <c r="Z8" i="2"/>
  <c r="Z5" i="2"/>
  <c r="Z30" i="2" s="1"/>
  <c r="D5" i="1"/>
  <c r="H8" i="2"/>
  <c r="H5" i="2"/>
  <c r="L8" i="2"/>
  <c r="L5" i="2"/>
  <c r="F3" i="1"/>
  <c r="AH3" i="2" l="1"/>
  <c r="AI3" i="2" s="1"/>
  <c r="AJ3" i="2" s="1"/>
  <c r="AK3" i="2" s="1"/>
  <c r="AK26" i="2" s="1"/>
  <c r="AE26" i="2"/>
  <c r="AG23" i="2"/>
  <c r="AA27" i="2"/>
  <c r="AB23" i="2"/>
  <c r="AC23" i="2"/>
  <c r="AG26" i="2"/>
  <c r="AD23" i="2"/>
  <c r="AC26" i="2"/>
  <c r="AE23" i="2"/>
  <c r="AD26" i="2"/>
  <c r="AF23" i="2"/>
  <c r="AB26" i="2"/>
  <c r="AF26" i="2"/>
  <c r="P32" i="2"/>
  <c r="P28" i="2"/>
  <c r="P31" i="2"/>
  <c r="F5" i="2"/>
  <c r="F30" i="2" s="1"/>
  <c r="F8" i="2"/>
  <c r="J26" i="2"/>
  <c r="N29" i="2"/>
  <c r="N30" i="2"/>
  <c r="N27" i="2"/>
  <c r="N24" i="2"/>
  <c r="J27" i="2"/>
  <c r="J30" i="2"/>
  <c r="N25" i="2"/>
  <c r="J9" i="2"/>
  <c r="D9" i="2"/>
  <c r="E12" i="2"/>
  <c r="C9" i="2"/>
  <c r="G12" i="2"/>
  <c r="N9" i="2"/>
  <c r="AF10" i="2"/>
  <c r="AF29" i="2" s="1"/>
  <c r="AG10" i="2"/>
  <c r="AB29" i="2"/>
  <c r="AC29" i="2"/>
  <c r="AD29" i="2"/>
  <c r="AA8" i="2"/>
  <c r="AA9" i="2" s="1"/>
  <c r="AA25" i="2"/>
  <c r="AB5" i="2"/>
  <c r="AB24" i="2"/>
  <c r="AB7" i="2"/>
  <c r="AB8" i="2" s="1"/>
  <c r="P21" i="2"/>
  <c r="I9" i="2"/>
  <c r="M9" i="2"/>
  <c r="M12" i="2" s="1"/>
  <c r="M16" i="2" s="1"/>
  <c r="M19" i="2" s="1"/>
  <c r="M21" i="2" s="1"/>
  <c r="K9" i="2"/>
  <c r="O9" i="2"/>
  <c r="O12" i="2" s="1"/>
  <c r="O16" i="2" s="1"/>
  <c r="O19" i="2" s="1"/>
  <c r="O21" i="2" s="1"/>
  <c r="L9" i="2"/>
  <c r="L12" i="2" s="1"/>
  <c r="L16" i="2" s="1"/>
  <c r="L19" i="2" s="1"/>
  <c r="L21" i="2" s="1"/>
  <c r="W30" i="2"/>
  <c r="Z25" i="2"/>
  <c r="U30" i="2"/>
  <c r="X30" i="2"/>
  <c r="V25" i="2"/>
  <c r="Y30" i="2"/>
  <c r="V30" i="2"/>
  <c r="W25" i="2"/>
  <c r="X25" i="2"/>
  <c r="Y25" i="2"/>
  <c r="D8" i="1"/>
  <c r="AO28" i="2" s="1"/>
  <c r="U9" i="2"/>
  <c r="V9" i="2"/>
  <c r="W9" i="2"/>
  <c r="X9" i="2"/>
  <c r="Y9" i="2"/>
  <c r="Z9" i="2"/>
  <c r="H9" i="2"/>
  <c r="AJ26" i="2" l="1"/>
  <c r="AH26" i="2"/>
  <c r="AI23" i="2"/>
  <c r="AK23" i="2"/>
  <c r="AI26" i="2"/>
  <c r="AH23" i="2"/>
  <c r="AJ23" i="2"/>
  <c r="AB9" i="2"/>
  <c r="AB28" i="2" s="1"/>
  <c r="J25" i="2"/>
  <c r="F9" i="2"/>
  <c r="F28" i="2" s="1"/>
  <c r="N12" i="2"/>
  <c r="N28" i="2"/>
  <c r="J12" i="2"/>
  <c r="J28" i="2"/>
  <c r="D12" i="2"/>
  <c r="E16" i="2"/>
  <c r="C12" i="2"/>
  <c r="G16" i="2"/>
  <c r="AH10" i="2"/>
  <c r="AG29" i="2"/>
  <c r="AB27" i="2"/>
  <c r="AC24" i="2"/>
  <c r="AC5" i="2"/>
  <c r="AC7" i="2"/>
  <c r="AC8" i="2" s="1"/>
  <c r="AB25" i="2"/>
  <c r="AB11" i="2"/>
  <c r="AB30" i="2" s="1"/>
  <c r="AA12" i="2"/>
  <c r="AA28" i="2"/>
  <c r="D9" i="1"/>
  <c r="I12" i="2"/>
  <c r="K12" i="2"/>
  <c r="K16" i="2" s="1"/>
  <c r="H12" i="2"/>
  <c r="Z12" i="2"/>
  <c r="Z28" i="2"/>
  <c r="U12" i="2"/>
  <c r="U28" i="2"/>
  <c r="Y12" i="2"/>
  <c r="Y28" i="2"/>
  <c r="X12" i="2"/>
  <c r="X28" i="2"/>
  <c r="W12" i="2"/>
  <c r="W28" i="2"/>
  <c r="V12" i="2"/>
  <c r="V28" i="2"/>
  <c r="AC9" i="2" l="1"/>
  <c r="AC28" i="2" s="1"/>
  <c r="F12" i="2"/>
  <c r="F16" i="2" s="1"/>
  <c r="N16" i="2"/>
  <c r="N31" i="2"/>
  <c r="J31" i="2"/>
  <c r="J16" i="2"/>
  <c r="D16" i="2"/>
  <c r="E19" i="2"/>
  <c r="C16" i="2"/>
  <c r="G19" i="2"/>
  <c r="AI10" i="2"/>
  <c r="AH29" i="2"/>
  <c r="AD5" i="2"/>
  <c r="AD7" i="2"/>
  <c r="AD8" i="2" s="1"/>
  <c r="AD24" i="2"/>
  <c r="AA16" i="2"/>
  <c r="AA31" i="2"/>
  <c r="AC27" i="2"/>
  <c r="AC11" i="2"/>
  <c r="AC30" i="2" s="1"/>
  <c r="AC25" i="2"/>
  <c r="AB12" i="2"/>
  <c r="I16" i="2"/>
  <c r="K19" i="2"/>
  <c r="Y16" i="2"/>
  <c r="Y31" i="2"/>
  <c r="V16" i="2"/>
  <c r="V31" i="2"/>
  <c r="U16" i="2"/>
  <c r="U31" i="2"/>
  <c r="W16" i="2"/>
  <c r="W31" i="2"/>
  <c r="Z16" i="2"/>
  <c r="Z31" i="2"/>
  <c r="X16" i="2"/>
  <c r="X31" i="2"/>
  <c r="H16" i="2"/>
  <c r="F31" i="2" l="1"/>
  <c r="F19" i="2"/>
  <c r="F32" i="2"/>
  <c r="N19" i="2"/>
  <c r="N32" i="2"/>
  <c r="J19" i="2"/>
  <c r="J32" i="2"/>
  <c r="D19" i="2"/>
  <c r="E21" i="2"/>
  <c r="C19" i="2"/>
  <c r="G21" i="2"/>
  <c r="AJ10" i="2"/>
  <c r="AI29" i="2"/>
  <c r="AD27" i="2"/>
  <c r="AE7" i="2"/>
  <c r="AE8" i="2" s="1"/>
  <c r="AE24" i="2"/>
  <c r="AE5" i="2"/>
  <c r="AA32" i="2"/>
  <c r="AA33" i="2"/>
  <c r="AD11" i="2"/>
  <c r="AD30" i="2" s="1"/>
  <c r="AD25" i="2"/>
  <c r="AC12" i="2"/>
  <c r="AB16" i="2"/>
  <c r="AB31" i="2"/>
  <c r="AD9" i="2"/>
  <c r="I19" i="2"/>
  <c r="K21" i="2"/>
  <c r="H19" i="2"/>
  <c r="W19" i="2"/>
  <c r="W32" i="2"/>
  <c r="X19" i="2"/>
  <c r="X32" i="2"/>
  <c r="V19" i="2"/>
  <c r="V32" i="2"/>
  <c r="U19" i="2"/>
  <c r="U32" i="2"/>
  <c r="Z19" i="2"/>
  <c r="Z32" i="2"/>
  <c r="Y19" i="2"/>
  <c r="Y32" i="2"/>
  <c r="F34" i="2" l="1"/>
  <c r="F21" i="2"/>
  <c r="N21" i="2"/>
  <c r="N34" i="2"/>
  <c r="J21" i="2"/>
  <c r="J34" i="2"/>
  <c r="D21" i="2"/>
  <c r="C21" i="2"/>
  <c r="AK10" i="2"/>
  <c r="AK29" i="2" s="1"/>
  <c r="AJ29" i="2"/>
  <c r="AE9" i="2"/>
  <c r="AE28" i="2" s="1"/>
  <c r="AC16" i="2"/>
  <c r="AC31" i="2"/>
  <c r="AE27" i="2"/>
  <c r="AA19" i="2"/>
  <c r="AD28" i="2"/>
  <c r="AD12" i="2"/>
  <c r="AE11" i="2"/>
  <c r="AE30" i="2" s="1"/>
  <c r="AE25" i="2"/>
  <c r="AB17" i="2"/>
  <c r="AB18" i="2"/>
  <c r="AB33" i="2" s="1"/>
  <c r="AF24" i="2"/>
  <c r="AF7" i="2"/>
  <c r="AF8" i="2" s="1"/>
  <c r="AG4" i="2"/>
  <c r="AF5" i="2"/>
  <c r="I21" i="2"/>
  <c r="V21" i="2"/>
  <c r="V34" i="2"/>
  <c r="X21" i="2"/>
  <c r="X34" i="2"/>
  <c r="W21" i="2"/>
  <c r="W34" i="2"/>
  <c r="U21" i="2"/>
  <c r="U34" i="2"/>
  <c r="Y21" i="2"/>
  <c r="Y34" i="2"/>
  <c r="Z21" i="2"/>
  <c r="Z34" i="2"/>
  <c r="H21" i="2"/>
  <c r="AD16" i="2" l="1"/>
  <c r="AD31" i="2"/>
  <c r="AF25" i="2"/>
  <c r="AF11" i="2"/>
  <c r="AF30" i="2" s="1"/>
  <c r="AG7" i="2"/>
  <c r="AG8" i="2" s="1"/>
  <c r="AG24" i="2"/>
  <c r="AG5" i="2"/>
  <c r="AH4" i="2"/>
  <c r="AE12" i="2"/>
  <c r="AF9" i="2"/>
  <c r="AF27" i="2"/>
  <c r="AA21" i="2"/>
  <c r="AA34" i="2"/>
  <c r="AB19" i="2"/>
  <c r="AB32" i="2"/>
  <c r="AC17" i="2"/>
  <c r="AC32" i="2" s="1"/>
  <c r="AC18" i="2"/>
  <c r="AC33" i="2" s="1"/>
  <c r="AG25" i="2" l="1"/>
  <c r="AG11" i="2"/>
  <c r="AG30" i="2" s="1"/>
  <c r="AG9" i="2"/>
  <c r="AF28" i="2"/>
  <c r="AF12" i="2"/>
  <c r="AG27" i="2"/>
  <c r="AB21" i="2"/>
  <c r="AB34" i="2"/>
  <c r="AC19" i="2"/>
  <c r="AE16" i="2"/>
  <c r="AE31" i="2"/>
  <c r="AH7" i="2"/>
  <c r="AH8" i="2" s="1"/>
  <c r="AH24" i="2"/>
  <c r="AH5" i="2"/>
  <c r="AI4" i="2"/>
  <c r="AD17" i="2"/>
  <c r="AD32" i="2" s="1"/>
  <c r="AD18" i="2"/>
  <c r="AD33" i="2" s="1"/>
  <c r="AH25" i="2" l="1"/>
  <c r="AH11" i="2"/>
  <c r="AH30" i="2" s="1"/>
  <c r="AH27" i="2"/>
  <c r="AF16" i="2"/>
  <c r="AF31" i="2"/>
  <c r="AE18" i="2"/>
  <c r="AE33" i="2" s="1"/>
  <c r="AE17" i="2"/>
  <c r="AH9" i="2"/>
  <c r="AD19" i="2"/>
  <c r="AG28" i="2"/>
  <c r="AG12" i="2"/>
  <c r="AI24" i="2"/>
  <c r="AI7" i="2"/>
  <c r="AI8" i="2" s="1"/>
  <c r="AJ4" i="2"/>
  <c r="AI5" i="2"/>
  <c r="AC21" i="2"/>
  <c r="AC34" i="2"/>
  <c r="AI9" i="2" l="1"/>
  <c r="AI28" i="2" s="1"/>
  <c r="AF18" i="2"/>
  <c r="AF33" i="2" s="1"/>
  <c r="AF17" i="2"/>
  <c r="AF32" i="2" s="1"/>
  <c r="AI27" i="2"/>
  <c r="AG16" i="2"/>
  <c r="AG31" i="2"/>
  <c r="AJ7" i="2"/>
  <c r="AJ8" i="2" s="1"/>
  <c r="AJ24" i="2"/>
  <c r="AJ5" i="2"/>
  <c r="AK4" i="2"/>
  <c r="AH28" i="2"/>
  <c r="AH12" i="2"/>
  <c r="AE19" i="2"/>
  <c r="AE32" i="2"/>
  <c r="AI11" i="2"/>
  <c r="AI30" i="2" s="1"/>
  <c r="AI25" i="2"/>
  <c r="AD21" i="2"/>
  <c r="AD34" i="2"/>
  <c r="AI12" i="2" l="1"/>
  <c r="AI31" i="2" s="1"/>
  <c r="AF19" i="2"/>
  <c r="AF21" i="2" s="1"/>
  <c r="AE21" i="2"/>
  <c r="AE34" i="2"/>
  <c r="AJ11" i="2"/>
  <c r="AJ30" i="2" s="1"/>
  <c r="AJ25" i="2"/>
  <c r="AH16" i="2"/>
  <c r="AH31" i="2"/>
  <c r="AJ9" i="2"/>
  <c r="AG18" i="2"/>
  <c r="AG33" i="2" s="1"/>
  <c r="AG17" i="2"/>
  <c r="AK5" i="2"/>
  <c r="AK24" i="2"/>
  <c r="AK7" i="2"/>
  <c r="AK8" i="2" s="1"/>
  <c r="AJ27" i="2"/>
  <c r="AF34" i="2" l="1"/>
  <c r="AI16" i="2"/>
  <c r="AI18" i="2" s="1"/>
  <c r="AI33" i="2" s="1"/>
  <c r="AH18" i="2"/>
  <c r="AH33" i="2" s="1"/>
  <c r="AH17" i="2"/>
  <c r="AH32" i="2" s="1"/>
  <c r="AJ28" i="2"/>
  <c r="AJ12" i="2"/>
  <c r="AK11" i="2"/>
  <c r="AK30" i="2" s="1"/>
  <c r="AK25" i="2"/>
  <c r="AG19" i="2"/>
  <c r="AG32" i="2"/>
  <c r="AK9" i="2"/>
  <c r="AK27" i="2"/>
  <c r="AI17" i="2" l="1"/>
  <c r="AI32" i="2" s="1"/>
  <c r="AK28" i="2"/>
  <c r="AK12" i="2"/>
  <c r="AJ16" i="2"/>
  <c r="AJ31" i="2"/>
  <c r="AH19" i="2"/>
  <c r="AG21" i="2"/>
  <c r="AG34" i="2"/>
  <c r="AI19" i="2" l="1"/>
  <c r="AH21" i="2"/>
  <c r="AH34" i="2"/>
  <c r="AK16" i="2"/>
  <c r="AK31" i="2"/>
  <c r="AJ17" i="2"/>
  <c r="AJ18" i="2"/>
  <c r="AJ33" i="2" s="1"/>
  <c r="AI21" i="2" l="1"/>
  <c r="AI34" i="2"/>
  <c r="AJ19" i="2"/>
  <c r="AJ32" i="2"/>
  <c r="AK18" i="2"/>
  <c r="AK33" i="2" s="1"/>
  <c r="AK17" i="2"/>
  <c r="AK32" i="2" s="1"/>
  <c r="AJ21" i="2" l="1"/>
  <c r="AJ34" i="2"/>
  <c r="AK19" i="2"/>
  <c r="AK21" i="2" l="1"/>
  <c r="AL19" i="2"/>
  <c r="AM19" i="2" s="1"/>
  <c r="AN19" i="2" s="1"/>
  <c r="AO19" i="2" s="1"/>
  <c r="AP19" i="2" s="1"/>
  <c r="AQ19" i="2" s="1"/>
  <c r="AR19" i="2" s="1"/>
  <c r="AS19" i="2" s="1"/>
  <c r="AT19" i="2" s="1"/>
  <c r="AU19" i="2" s="1"/>
  <c r="AV19" i="2" s="1"/>
  <c r="AW19" i="2" s="1"/>
  <c r="AX19" i="2" s="1"/>
  <c r="AY19" i="2" s="1"/>
  <c r="AZ19" i="2" s="1"/>
  <c r="BA19" i="2" s="1"/>
  <c r="BB19" i="2" s="1"/>
  <c r="BC19" i="2" s="1"/>
  <c r="BD19" i="2" s="1"/>
  <c r="BE19" i="2" s="1"/>
  <c r="BF19" i="2" s="1"/>
  <c r="BG19" i="2" s="1"/>
  <c r="BH19" i="2" s="1"/>
  <c r="BI19" i="2" s="1"/>
  <c r="BJ19" i="2" s="1"/>
  <c r="BK19" i="2" s="1"/>
  <c r="BL19" i="2" s="1"/>
  <c r="BM19" i="2" s="1"/>
  <c r="BN19" i="2" s="1"/>
  <c r="BO19" i="2" s="1"/>
  <c r="BP19" i="2" s="1"/>
  <c r="BQ19" i="2" s="1"/>
  <c r="BR19" i="2" s="1"/>
  <c r="BS19" i="2" s="1"/>
  <c r="BT19" i="2" s="1"/>
  <c r="BU19" i="2" s="1"/>
  <c r="BV19" i="2" s="1"/>
  <c r="BW19" i="2" s="1"/>
  <c r="BX19" i="2" s="1"/>
  <c r="BY19" i="2" s="1"/>
  <c r="BZ19" i="2" s="1"/>
  <c r="CA19" i="2" s="1"/>
  <c r="CB19" i="2" s="1"/>
  <c r="CC19" i="2" s="1"/>
  <c r="CD19" i="2" s="1"/>
  <c r="CE19" i="2" s="1"/>
  <c r="CF19" i="2" s="1"/>
  <c r="CG19" i="2" s="1"/>
  <c r="CH19" i="2" s="1"/>
  <c r="CI19" i="2" s="1"/>
  <c r="CJ19" i="2" s="1"/>
  <c r="CK19" i="2" s="1"/>
  <c r="CL19" i="2" s="1"/>
  <c r="CM19" i="2" s="1"/>
  <c r="CN19" i="2" s="1"/>
  <c r="CO19" i="2" s="1"/>
  <c r="CP19" i="2" s="1"/>
  <c r="CQ19" i="2" s="1"/>
  <c r="CR19" i="2" s="1"/>
  <c r="CS19" i="2" s="1"/>
  <c r="CT19" i="2" s="1"/>
  <c r="CU19" i="2" s="1"/>
  <c r="CV19" i="2" s="1"/>
  <c r="CW19" i="2" s="1"/>
  <c r="CX19" i="2" s="1"/>
  <c r="CY19" i="2" s="1"/>
  <c r="CZ19" i="2" s="1"/>
  <c r="DA19" i="2" s="1"/>
  <c r="DB19" i="2" s="1"/>
  <c r="DC19" i="2" s="1"/>
  <c r="DD19" i="2" s="1"/>
  <c r="DE19" i="2" s="1"/>
  <c r="DF19" i="2" s="1"/>
  <c r="DG19" i="2" s="1"/>
  <c r="DH19" i="2" s="1"/>
  <c r="DI19" i="2" s="1"/>
  <c r="DJ19" i="2" s="1"/>
  <c r="DK19" i="2" s="1"/>
  <c r="DL19" i="2" s="1"/>
  <c r="DM19" i="2" s="1"/>
  <c r="DN19" i="2" s="1"/>
  <c r="DO19" i="2" s="1"/>
  <c r="DP19" i="2" s="1"/>
  <c r="DQ19" i="2" s="1"/>
  <c r="DR19" i="2" s="1"/>
  <c r="DS19" i="2" s="1"/>
  <c r="DT19" i="2" s="1"/>
  <c r="DU19" i="2" s="1"/>
  <c r="DV19" i="2" s="1"/>
  <c r="DW19" i="2" s="1"/>
  <c r="DX19" i="2" s="1"/>
  <c r="DY19" i="2" s="1"/>
  <c r="DZ19" i="2" s="1"/>
  <c r="EA19" i="2" s="1"/>
  <c r="EB19" i="2" s="1"/>
  <c r="EC19" i="2" s="1"/>
  <c r="ED19" i="2" s="1"/>
  <c r="EE19" i="2" s="1"/>
  <c r="AO27" i="2" s="1"/>
  <c r="AO29" i="2" s="1"/>
  <c r="AO30" i="2" s="1"/>
  <c r="AO32" i="2" s="1"/>
  <c r="AK3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 Mniszek</author>
  </authors>
  <commentList>
    <comment ref="V13" authorId="0" shapeId="0" xr:uid="{E96EA7C2-9517-4C2A-93C8-3EFDE14F9423}">
      <text>
        <r>
          <rPr>
            <b/>
            <sz val="9"/>
            <color indexed="81"/>
            <rFont val="Tahoma"/>
            <family val="2"/>
          </rPr>
          <t>Anton Mniszek:</t>
        </r>
        <r>
          <rPr>
            <sz val="9"/>
            <color indexed="81"/>
            <rFont val="Tahoma"/>
            <family val="2"/>
          </rPr>
          <t xml:space="preserve">
goodwill</t>
        </r>
      </text>
    </comment>
    <comment ref="W15" authorId="0" shapeId="0" xr:uid="{937DA12A-65A9-4053-ABBD-DC872F223AF8}">
      <text>
        <r>
          <rPr>
            <b/>
            <sz val="9"/>
            <color indexed="81"/>
            <rFont val="Tahoma"/>
            <family val="2"/>
          </rPr>
          <t>Anton Mniszek:</t>
        </r>
        <r>
          <rPr>
            <sz val="9"/>
            <color indexed="81"/>
            <rFont val="Tahoma"/>
            <family val="2"/>
          </rPr>
          <t xml:space="preserve">
+debt extinguishment</t>
        </r>
      </text>
    </comment>
  </commentList>
</comments>
</file>

<file path=xl/sharedStrings.xml><?xml version="1.0" encoding="utf-8"?>
<sst xmlns="http://schemas.openxmlformats.org/spreadsheetml/2006/main" count="71" uniqueCount="65">
  <si>
    <t>RTX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</si>
  <si>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</si>
  <si>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</si>
  <si>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</si>
  <si>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</si>
  <si>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</si>
  <si>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</si>
  <si>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</si>
  <si>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</si>
  <si>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</si>
  <si>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</si>
  <si>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Q224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</si>
  <si>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</si>
  <si>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</si>
  <si>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</si>
  <si>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</si>
  <si>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</si>
  <si>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</si>
  <si>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</si>
  <si>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</si>
  <si>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</si>
  <si>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Q324</t>
  </si>
  <si>
    <t>Q424</t>
  </si>
  <si>
    <t>Product revenue</t>
  </si>
  <si>
    <t>Service revenue</t>
  </si>
  <si>
    <t>Total revenue</t>
  </si>
  <si>
    <t>Product cost</t>
  </si>
  <si>
    <t>Service cost</t>
  </si>
  <si>
    <t>Total cost of sales</t>
  </si>
  <si>
    <t>Gross profit</t>
  </si>
  <si>
    <t>R&amp;D</t>
  </si>
  <si>
    <t>SG&amp;A</t>
  </si>
  <si>
    <t>Operating profit</t>
  </si>
  <si>
    <t>Other income</t>
  </si>
  <si>
    <t>Pension income</t>
  </si>
  <si>
    <t>Interest expense</t>
  </si>
  <si>
    <t>Pretax profit</t>
  </si>
  <si>
    <t>Taxes</t>
  </si>
  <si>
    <t>MI</t>
  </si>
  <si>
    <t>Net profit</t>
  </si>
  <si>
    <t>EPS</t>
  </si>
  <si>
    <t>Revenue y/y</t>
  </si>
  <si>
    <t>Product revenue y/y</t>
  </si>
  <si>
    <t>Service revenue y/y</t>
  </si>
  <si>
    <t>Product Margin</t>
  </si>
  <si>
    <t>Service Margin</t>
  </si>
  <si>
    <t>Gross Margin</t>
  </si>
  <si>
    <t>R&amp;D y/y</t>
  </si>
  <si>
    <t>SG&amp;A Margin</t>
  </si>
  <si>
    <t>Operating Margin</t>
  </si>
  <si>
    <t>Net Margin</t>
  </si>
  <si>
    <t>Q125</t>
  </si>
  <si>
    <t>Q225</t>
  </si>
  <si>
    <t>Q325</t>
  </si>
  <si>
    <t>Q425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</si>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</sst>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2" borderId="1" xfId="0" applyFont="1" applyFill="1" applyBorder="1"/>
    <xf numFmtId="0" fontId="5" fillId="2" borderId="1" xfId="0" applyFont="1" applyFill="1" applyBorder="1" applyAlignment="1">
      <alignment horizontal="right"/>
    </xf>
    <xf numFmtId="3" fontId="5" fillId="2" borderId="1" xfId="0" applyNumberFormat="1" applyFont="1" applyFill="1" applyBorder="1"/>
    <xf numFmtId="0" fontId="4" fillId="2" borderId="1" xfId="0" applyFont="1" applyFill="1" applyBorder="1"/>
    <xf numFmtId="3" fontId="4" fillId="2" borderId="1" xfId="0" applyNumberFormat="1" applyFont="1" applyFill="1" applyBorder="1"/>
    <xf numFmtId="2" fontId="5" fillId="2" borderId="1" xfId="0" applyNumberFormat="1" applyFont="1" applyFill="1" applyBorder="1"/>
    <xf numFmtId="9" fontId="5" fillId="2" borderId="1" xfId="0" applyNumberFormat="1" applyFont="1" applyFill="1" applyBorder="1"/>
    <xf numFmtId="0" fontId="6" fillId="2" borderId="1" xfId="0" applyFont="1" applyFill="1" applyBorder="1" applyAlignment="1">
      <alignment horizontal="right"/>
    </xf>
    <xf numFmtId="164" fontId="5" fillId="2" borderId="1" xfId="0" applyNumberFormat="1" applyFont="1" applyFill="1" applyBorder="1"/>
    <xf numFmtId="14" fontId="6" fillId="2" borderId="1" xfId="0" applyNumberFormat="1" applyFont="1" applyFill="1" applyBorder="1" applyAlignment="1">
      <alignment horizontal="right"/>
    </xf>
    <xf numFmtId="3" fontId="6" fillId="2" borderId="1" xfId="0" applyNumberFormat="1" applyFont="1" applyFill="1" applyBorder="1" applyAlignment="1">
      <alignment horizontal="right"/>
    </xf>
    <xf numFmtId="9" fontId="4" fillId="2" borderId="1" xfId="0" applyNumberFormat="1" applyFont="1" applyFill="1" applyBorder="1"/>
    <xf numFmtId="0" fontId="5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Revenue line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Model!$B$23</c:f>
              <c:strCache>
                <c:ptCount val="1"/>
                <c:pt idx="0">
                  <c:v>Product revenue y/y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Model!$B$2:$P$2</c:f>
              <c:strCache>
                <c:ptCount val="15"/>
                <c:pt idx="1">
                  <c:v>Q122</c:v>
                </c:pt>
                <c:pt idx="2">
                  <c:v>Q222</c:v>
                </c:pt>
                <c:pt idx="3">
                  <c:v>Q322</c:v>
                </c:pt>
                <c:pt idx="4">
                  <c:v>Q422</c:v>
                </c:pt>
                <c:pt idx="5">
                  <c:v>Q123</c:v>
                </c:pt>
                <c:pt idx="6">
                  <c:v>Q223</c:v>
                </c:pt>
                <c:pt idx="7">
                  <c:v>Q323</c:v>
                </c:pt>
                <c:pt idx="8">
                  <c:v>Q423</c:v>
                </c:pt>
                <c:pt idx="9">
                  <c:v>Q124</c:v>
                </c:pt>
                <c:pt idx="10">
                  <c:v>Q224</c:v>
                </c:pt>
                <c:pt idx="11">
                  <c:v>Q324</c:v>
                </c:pt>
                <c:pt idx="12">
                  <c:v>Q424</c:v>
                </c:pt>
                <c:pt idx="13">
                  <c:v>Q125</c:v>
                </c:pt>
                <c:pt idx="14">
                  <c:v>Q225</c:v>
                </c:pt>
              </c:strCache>
            </c:strRef>
          </c:cat>
          <c:val>
            <c:numRef>
              <c:f>Model!$C$23:$P$23</c:f>
              <c:numCache>
                <c:formatCode>0%</c:formatCode>
                <c:ptCount val="14"/>
                <c:pt idx="4">
                  <c:v>7.7980104535491535E-2</c:v>
                </c:pt>
                <c:pt idx="5">
                  <c:v>9.4061021373796683E-2</c:v>
                </c:pt>
                <c:pt idx="7">
                  <c:v>6.1955817802403335E-2</c:v>
                </c:pt>
                <c:pt idx="8">
                  <c:v>0.11855791037772745</c:v>
                </c:pt>
                <c:pt idx="9">
                  <c:v>8.5825068973230945E-2</c:v>
                </c:pt>
                <c:pt idx="11">
                  <c:v>8.6800379455210797E-2</c:v>
                </c:pt>
                <c:pt idx="12">
                  <c:v>2.0135635880584424E-2</c:v>
                </c:pt>
                <c:pt idx="13">
                  <c:v>6.7916494986952403E-2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EF-4913-BFC3-209BA1DBF00F}"/>
            </c:ext>
          </c:extLst>
        </c:ser>
        <c:ser>
          <c:idx val="1"/>
          <c:order val="1"/>
          <c:tx>
            <c:strRef>
              <c:f>Model!$B$24</c:f>
              <c:strCache>
                <c:ptCount val="1"/>
                <c:pt idx="0">
                  <c:v>Service revenue y/y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Model!$B$2:$P$2</c:f>
              <c:strCache>
                <c:ptCount val="15"/>
                <c:pt idx="1">
                  <c:v>Q122</c:v>
                </c:pt>
                <c:pt idx="2">
                  <c:v>Q222</c:v>
                </c:pt>
                <c:pt idx="3">
                  <c:v>Q322</c:v>
                </c:pt>
                <c:pt idx="4">
                  <c:v>Q422</c:v>
                </c:pt>
                <c:pt idx="5">
                  <c:v>Q123</c:v>
                </c:pt>
                <c:pt idx="6">
                  <c:v>Q223</c:v>
                </c:pt>
                <c:pt idx="7">
                  <c:v>Q323</c:v>
                </c:pt>
                <c:pt idx="8">
                  <c:v>Q423</c:v>
                </c:pt>
                <c:pt idx="9">
                  <c:v>Q124</c:v>
                </c:pt>
                <c:pt idx="10">
                  <c:v>Q224</c:v>
                </c:pt>
                <c:pt idx="11">
                  <c:v>Q324</c:v>
                </c:pt>
                <c:pt idx="12">
                  <c:v>Q424</c:v>
                </c:pt>
                <c:pt idx="13">
                  <c:v>Q125</c:v>
                </c:pt>
                <c:pt idx="14">
                  <c:v>Q225</c:v>
                </c:pt>
              </c:strCache>
            </c:strRef>
          </c:cat>
          <c:val>
            <c:numRef>
              <c:f>Model!$C$24:$P$24</c:f>
              <c:numCache>
                <c:formatCode>0%</c:formatCode>
                <c:ptCount val="14"/>
                <c:pt idx="4">
                  <c:v>0.14867669953295271</c:v>
                </c:pt>
                <c:pt idx="5">
                  <c:v>0.20907297830374749</c:v>
                </c:pt>
                <c:pt idx="6">
                  <c:v>0.15589988081048878</c:v>
                </c:pt>
                <c:pt idx="7">
                  <c:v>0.23188751191611057</c:v>
                </c:pt>
                <c:pt idx="8">
                  <c:v>0.12988479783148854</c:v>
                </c:pt>
                <c:pt idx="9">
                  <c:v>5.1998368678629614E-2</c:v>
                </c:pt>
                <c:pt idx="10">
                  <c:v>0.10971334295731072</c:v>
                </c:pt>
                <c:pt idx="11">
                  <c:v>8.0286322306055258E-2</c:v>
                </c:pt>
                <c:pt idx="12">
                  <c:v>0.14254298280687716</c:v>
                </c:pt>
                <c:pt idx="13">
                  <c:v>0.16883116883116878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EF-4913-BFC3-209BA1DBF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8473432"/>
        <c:axId val="638472352"/>
      </c:lineChart>
      <c:catAx>
        <c:axId val="638473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472352"/>
        <c:crosses val="autoZero"/>
        <c:auto val="1"/>
        <c:lblAlgn val="ctr"/>
        <c:lblOffset val="100"/>
        <c:noMultiLvlLbl val="0"/>
      </c:catAx>
      <c:valAx>
        <c:axId val="63847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473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Model!$B$3</c:f>
              <c:strCache>
                <c:ptCount val="1"/>
                <c:pt idx="0">
                  <c:v>Product revenue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Model!$C$2:$P$2</c:f>
              <c:strCache>
                <c:ptCount val="14"/>
                <c:pt idx="0">
                  <c:v>Q122</c:v>
                </c:pt>
                <c:pt idx="1">
                  <c:v>Q222</c:v>
                </c:pt>
                <c:pt idx="2">
                  <c:v>Q322</c:v>
                </c:pt>
                <c:pt idx="3">
                  <c:v>Q422</c:v>
                </c:pt>
                <c:pt idx="4">
                  <c:v>Q123</c:v>
                </c:pt>
                <c:pt idx="5">
                  <c:v>Q223</c:v>
                </c:pt>
                <c:pt idx="6">
                  <c:v>Q323</c:v>
                </c:pt>
                <c:pt idx="7">
                  <c:v>Q423</c:v>
                </c:pt>
                <c:pt idx="8">
                  <c:v>Q124</c:v>
                </c:pt>
                <c:pt idx="9">
                  <c:v>Q224</c:v>
                </c:pt>
                <c:pt idx="10">
                  <c:v>Q324</c:v>
                </c:pt>
                <c:pt idx="11">
                  <c:v>Q424</c:v>
                </c:pt>
                <c:pt idx="12">
                  <c:v>Q125</c:v>
                </c:pt>
                <c:pt idx="13">
                  <c:v>Q225</c:v>
                </c:pt>
              </c:strCache>
            </c:strRef>
          </c:xVal>
          <c:yVal>
            <c:numRef>
              <c:f>Model!$C$3:$P$3</c:f>
              <c:numCache>
                <c:formatCode>#,##0</c:formatCode>
                <c:ptCount val="14"/>
                <c:pt idx="0">
                  <c:v>11862</c:v>
                </c:pt>
                <c:pt idx="1">
                  <c:v>12258</c:v>
                </c:pt>
                <c:pt idx="2">
                  <c:v>12756</c:v>
                </c:pt>
                <c:pt idx="3">
                  <c:v>13897</c:v>
                </c:pt>
                <c:pt idx="4">
                  <c:v>12787</c:v>
                </c:pt>
                <c:pt idx="5">
                  <c:v>13411</c:v>
                </c:pt>
                <c:pt idx="6">
                  <c:v>8615</c:v>
                </c:pt>
                <c:pt idx="7">
                  <c:v>14758</c:v>
                </c:pt>
                <c:pt idx="8">
                  <c:v>14303</c:v>
                </c:pt>
                <c:pt idx="9">
                  <c:v>14562</c:v>
                </c:pt>
                <c:pt idx="10">
                  <c:v>14708</c:v>
                </c:pt>
                <c:pt idx="11">
                  <c:v>16039</c:v>
                </c:pt>
                <c:pt idx="12">
                  <c:v>14591</c:v>
                </c:pt>
                <c:pt idx="13">
                  <c:v>15551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07-44D2-AD22-42E6A0AC66C5}"/>
            </c:ext>
          </c:extLst>
        </c:ser>
        <c:ser>
          <c:idx val="1"/>
          <c:order val="1"/>
          <c:tx>
            <c:strRef>
              <c:f>Model!$B$4</c:f>
              <c:strCache>
                <c:ptCount val="1"/>
                <c:pt idx="0">
                  <c:v>Service revenue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Model!$C$2:$P$2</c:f>
              <c:strCache>
                <c:ptCount val="14"/>
                <c:pt idx="0">
                  <c:v>Q122</c:v>
                </c:pt>
                <c:pt idx="1">
                  <c:v>Q222</c:v>
                </c:pt>
                <c:pt idx="2">
                  <c:v>Q322</c:v>
                </c:pt>
                <c:pt idx="3">
                  <c:v>Q422</c:v>
                </c:pt>
                <c:pt idx="4">
                  <c:v>Q123</c:v>
                </c:pt>
                <c:pt idx="5">
                  <c:v>Q223</c:v>
                </c:pt>
                <c:pt idx="6">
                  <c:v>Q323</c:v>
                </c:pt>
                <c:pt idx="7">
                  <c:v>Q423</c:v>
                </c:pt>
                <c:pt idx="8">
                  <c:v>Q124</c:v>
                </c:pt>
                <c:pt idx="9">
                  <c:v>Q224</c:v>
                </c:pt>
                <c:pt idx="10">
                  <c:v>Q324</c:v>
                </c:pt>
                <c:pt idx="11">
                  <c:v>Q424</c:v>
                </c:pt>
                <c:pt idx="12">
                  <c:v>Q125</c:v>
                </c:pt>
                <c:pt idx="13">
                  <c:v>Q225</c:v>
                </c:pt>
              </c:strCache>
            </c:strRef>
          </c:xVal>
          <c:yVal>
            <c:numRef>
              <c:f>Model!$C$4:$P$4</c:f>
              <c:numCache>
                <c:formatCode>#,##0</c:formatCode>
                <c:ptCount val="14"/>
                <c:pt idx="0">
                  <c:v>3854</c:v>
                </c:pt>
                <c:pt idx="1">
                  <c:v>4056</c:v>
                </c:pt>
                <c:pt idx="2">
                  <c:v>4195</c:v>
                </c:pt>
                <c:pt idx="3">
                  <c:v>4196</c:v>
                </c:pt>
                <c:pt idx="4">
                  <c:v>4427</c:v>
                </c:pt>
                <c:pt idx="5">
                  <c:v>4904</c:v>
                </c:pt>
                <c:pt idx="6">
                  <c:v>4849</c:v>
                </c:pt>
                <c:pt idx="7">
                  <c:v>5169</c:v>
                </c:pt>
                <c:pt idx="8">
                  <c:v>5002</c:v>
                </c:pt>
                <c:pt idx="9">
                  <c:v>5159</c:v>
                </c:pt>
                <c:pt idx="10">
                  <c:v>5381</c:v>
                </c:pt>
                <c:pt idx="11">
                  <c:v>5584</c:v>
                </c:pt>
                <c:pt idx="12">
                  <c:v>5715</c:v>
                </c:pt>
                <c:pt idx="13">
                  <c:v>6030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B07-44D2-AD22-42E6A0AC6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7957384"/>
        <c:axId val="687960264"/>
      </c:scatterChart>
      <c:valAx>
        <c:axId val="687957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960264"/>
        <c:crosses val="autoZero"/>
        <c:crossBetween val="midCat"/>
      </c:valAx>
      <c:valAx>
        <c:axId val="687960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957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30480</xdr:colOff>
      <xdr:row>0</xdr:row>
      <xdr:rowOff>7620</xdr:rowOff>
    </xdr:from>
    <xdr:to>
      <xdr:col>26</xdr:col>
      <xdr:colOff>30480</xdr:colOff>
      <xdr:row>42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D0E2B36-EF00-58AB-7C77-B8CA6EFE834D}"/>
            </a:ext>
          </a:extLst>
        </xdr:cNvPr>
        <xdr:cNvCxnSpPr/>
      </xdr:nvCxnSpPr>
      <xdr:spPr>
        <a:xfrm>
          <a:off x="16581120" y="7620"/>
          <a:ext cx="0" cy="77800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15240</xdr:colOff>
      <xdr:row>0</xdr:row>
      <xdr:rowOff>0</xdr:rowOff>
    </xdr:from>
    <xdr:to>
      <xdr:col>16</xdr:col>
      <xdr:colOff>15240</xdr:colOff>
      <xdr:row>39</xdr:row>
      <xdr:rowOff>106680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4627786-B208-475E-9F15-8069E324F0E0}"/>
            </a:ext>
          </a:extLst>
        </xdr:cNvPr>
        <xdr:cNvCxnSpPr/>
      </xdr:nvCxnSpPr>
      <xdr:spPr>
        <a:xfrm>
          <a:off x="10469880" y="0"/>
          <a:ext cx="0" cy="7239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114300</xdr:rowOff>
    </xdr:from>
    <xdr:to>
      <xdr:col>13</xdr:col>
      <xdr:colOff>312420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CB6465-E1DA-4EEF-9D96-F3842D508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281940</xdr:colOff>
      <xdr:row>3</xdr:row>
      <xdr:rowOff>45720</xdr:rowOff>
    </xdr:from>
    <xdr:to>
      <xdr:col>21</xdr:col>
      <xdr:colOff>586740</xdr:colOff>
      <xdr:row>18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491106-A963-4B6E-A46D-2649FB5399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AC179-4CC4-4BFB-BB5F-20A759FB583E}">
  <dimension ref="B2:G9"/>
  <sheetViews>
    <sheetView tabSelected="1" workbookViewId="0">
      <selection activeCell="E4" sqref="E4"/>
    </sheetView>
  </sheetViews>
  <sheetFormatPr defaultRowHeight="14.4" x14ac:dyDescent="0.3"/>
  <cols>
    <col min="1" max="4" width="8.88671875" style="1"/>
    <col min="5" max="7" width="12.6640625" style="8" customWidth="1"/>
    <col min="8" max="8" width="8.88671875" style="1" customWidth="1"/>
    <col min="9" max="16384" width="8.88671875" style="1"/>
  </cols>
  <sheetData>
    <row r="2" spans="2:7" x14ac:dyDescent="0.3">
      <c r="E2" s="8" t="s">
        <v>8</v>
      </c>
      <c r="F2" s="8" t="s">
        <v>9</v>
      </c>
      <c r="G2" s="8" t="s">
        <v>10</v>
      </c>
    </row>
    <row r="3" spans="2:7" x14ac:dyDescent="0.3">
      <c r="B3" s="4" t="s">
        <v>0</v>
      </c>
      <c r="C3" s="1" t="s">
        <v>1</v>
      </c>
      <c r="D3" s="9">
        <v>157.52000000000001</v>
      </c>
      <c r="E3" s="10">
        <v>45906</v>
      </c>
      <c r="F3" s="10">
        <f ca="1">TODAY()</f>
        <v>45906</v>
      </c>
      <c r="G3" s="10">
        <v>45958</v>
      </c>
    </row>
    <row r="4" spans="2:7" x14ac:dyDescent="0.3">
      <c r="C4" s="1" t="s">
        <v>2</v>
      </c>
      <c r="D4" s="3">
        <f>1338.5</f>
        <v>1338.5</v>
      </c>
      <c r="E4" s="11" t="s">
        <v>52</v>
      </c>
    </row>
    <row r="5" spans="2:7" x14ac:dyDescent="0.3">
      <c r="C5" s="1" t="s">
        <v>3</v>
      </c>
      <c r="D5" s="3">
        <f>D3*D4</f>
        <v>210840.52000000002</v>
      </c>
      <c r="E5" s="11"/>
    </row>
    <row r="6" spans="2:7" x14ac:dyDescent="0.3">
      <c r="C6" s="1" t="s">
        <v>4</v>
      </c>
      <c r="D6" s="3">
        <f>4782</f>
        <v>4782</v>
      </c>
      <c r="E6" s="11" t="s">
        <v>52</v>
      </c>
    </row>
    <row r="7" spans="2:7" x14ac:dyDescent="0.3">
      <c r="C7" s="1" t="s">
        <v>5</v>
      </c>
      <c r="D7" s="3">
        <f>1635+2084+38259</f>
        <v>41978</v>
      </c>
      <c r="E7" s="11" t="s">
        <v>52</v>
      </c>
    </row>
    <row r="8" spans="2:7" x14ac:dyDescent="0.3">
      <c r="C8" s="1" t="s">
        <v>6</v>
      </c>
      <c r="D8" s="3">
        <f>D6-D7</f>
        <v>-37196</v>
      </c>
      <c r="E8" s="11"/>
    </row>
    <row r="9" spans="2:7" x14ac:dyDescent="0.3">
      <c r="C9" s="1" t="s">
        <v>7</v>
      </c>
      <c r="D9" s="3">
        <f>D5-D8</f>
        <v>248036.52000000002</v>
      </c>
      <c r="E9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CCFEA-4609-4B74-A80E-9BDBF53DBD8A}">
  <dimension ref="B2:EE34"/>
  <sheetViews>
    <sheetView workbookViewId="0">
      <pane xSplit="2" ySplit="2" topLeftCell="X6" activePane="bottomRight" state="frozen"/>
      <selection pane="topRight" activeCell="C1" sqref="C1"/>
      <selection pane="bottomLeft" activeCell="A3" sqref="A3"/>
      <selection pane="bottomRight" activeCell="AB34" sqref="AB34"/>
    </sheetView>
  </sheetViews>
  <sheetFormatPr defaultRowHeight="14.4" x14ac:dyDescent="0.3"/>
  <cols>
    <col min="1" max="1" width="8.88671875" style="1"/>
    <col min="2" max="2" width="19.109375" style="1" customWidth="1"/>
    <col min="3" max="39" width="8.88671875" style="1"/>
    <col min="40" max="40" width="11.88671875" style="1" bestFit="1" customWidth="1"/>
    <col min="41" max="41" width="17.109375" style="1" customWidth="1"/>
    <col min="42" max="16384" width="8.88671875" style="1"/>
  </cols>
  <sheetData>
    <row r="2" spans="2:37" x14ac:dyDescent="0.3"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11</v>
      </c>
      <c r="M2" s="2" t="s">
        <v>21</v>
      </c>
      <c r="N2" s="2" t="s">
        <v>22</v>
      </c>
      <c r="O2" s="2" t="s">
        <v>51</v>
      </c>
      <c r="P2" s="2" t="s">
        <v>52</v>
      </c>
      <c r="Q2" s="2" t="s">
        <v>53</v>
      </c>
      <c r="R2" s="2" t="s">
        <v>54</v>
      </c>
      <c r="U2" s="1">
        <v>2019</v>
      </c>
      <c r="V2" s="1">
        <v>2020</v>
      </c>
      <c r="W2" s="1">
        <v>2021</v>
      </c>
      <c r="X2" s="1">
        <v>2022</v>
      </c>
      <c r="Y2" s="1">
        <v>2023</v>
      </c>
      <c r="Z2" s="1">
        <v>2024</v>
      </c>
      <c r="AA2" s="1">
        <v>2025</v>
      </c>
      <c r="AB2" s="1">
        <v>2026</v>
      </c>
      <c r="AC2" s="1">
        <v>2027</v>
      </c>
      <c r="AD2" s="1">
        <v>2028</v>
      </c>
      <c r="AE2" s="1">
        <v>2029</v>
      </c>
      <c r="AF2" s="1">
        <v>2030</v>
      </c>
      <c r="AG2" s="1">
        <v>2031</v>
      </c>
      <c r="AH2" s="1">
        <v>2032</v>
      </c>
      <c r="AI2" s="1">
        <v>2033</v>
      </c>
      <c r="AJ2" s="1">
        <v>2034</v>
      </c>
      <c r="AK2" s="1">
        <v>2035</v>
      </c>
    </row>
    <row r="3" spans="2:37" x14ac:dyDescent="0.3">
      <c r="B3" s="1" t="s">
        <v>23</v>
      </c>
      <c r="C3" s="3">
        <v>11862</v>
      </c>
      <c r="D3" s="3">
        <v>12258</v>
      </c>
      <c r="E3" s="3">
        <v>12756</v>
      </c>
      <c r="F3" s="3">
        <f>X3-E3-D3-C3</f>
        <v>13897</v>
      </c>
      <c r="G3" s="3">
        <v>12787</v>
      </c>
      <c r="H3" s="3">
        <v>13411</v>
      </c>
      <c r="I3" s="3">
        <v>8615</v>
      </c>
      <c r="J3" s="3">
        <f>Y3-I3-H3-G3</f>
        <v>14758</v>
      </c>
      <c r="K3" s="3">
        <v>14303</v>
      </c>
      <c r="L3" s="3">
        <v>14562</v>
      </c>
      <c r="M3" s="3">
        <v>14708</v>
      </c>
      <c r="N3" s="3">
        <f>Z3-M3-L3-K3</f>
        <v>16039</v>
      </c>
      <c r="O3" s="3">
        <v>14591</v>
      </c>
      <c r="P3" s="3">
        <v>15551</v>
      </c>
      <c r="Q3" s="3">
        <f>M3*1.06</f>
        <v>15590.480000000001</v>
      </c>
      <c r="R3" s="3">
        <f>N3*1.05</f>
        <v>16840.95</v>
      </c>
      <c r="U3" s="3">
        <v>32998</v>
      </c>
      <c r="V3" s="3">
        <v>43319</v>
      </c>
      <c r="W3" s="3">
        <v>49270</v>
      </c>
      <c r="X3" s="3">
        <v>50773</v>
      </c>
      <c r="Y3" s="3">
        <v>49571</v>
      </c>
      <c r="Z3" s="3">
        <v>59612</v>
      </c>
      <c r="AA3" s="3">
        <f>SUM(O3:R3)</f>
        <v>62573.430000000008</v>
      </c>
      <c r="AB3" s="3">
        <f>AA3*1.04</f>
        <v>65076.367200000008</v>
      </c>
      <c r="AC3" s="3">
        <f>AB3*1.03</f>
        <v>67028.658216000011</v>
      </c>
      <c r="AD3" s="3">
        <f>AC3*1.02</f>
        <v>68369.231380320009</v>
      </c>
      <c r="AE3" s="3">
        <f t="shared" ref="AE3:AK3" si="0">AD3*1.02</f>
        <v>69736.616007926408</v>
      </c>
      <c r="AF3" s="3">
        <f t="shared" si="0"/>
        <v>71131.348328084932</v>
      </c>
      <c r="AG3" s="3">
        <f t="shared" si="0"/>
        <v>72553.975294646632</v>
      </c>
      <c r="AH3" s="3">
        <f t="shared" si="0"/>
        <v>74005.054800539569</v>
      </c>
      <c r="AI3" s="3">
        <f t="shared" si="0"/>
        <v>75485.155896550365</v>
      </c>
      <c r="AJ3" s="3">
        <f t="shared" si="0"/>
        <v>76994.859014481379</v>
      </c>
      <c r="AK3" s="3">
        <f t="shared" si="0"/>
        <v>78534.756194771006</v>
      </c>
    </row>
    <row r="4" spans="2:37" x14ac:dyDescent="0.3">
      <c r="B4" s="1" t="s">
        <v>24</v>
      </c>
      <c r="C4" s="3">
        <v>3854</v>
      </c>
      <c r="D4" s="3">
        <v>4056</v>
      </c>
      <c r="E4" s="3">
        <v>4195</v>
      </c>
      <c r="F4" s="3">
        <f>X4-E4-D4-C4</f>
        <v>4196</v>
      </c>
      <c r="G4" s="3">
        <v>4427</v>
      </c>
      <c r="H4" s="3">
        <v>4904</v>
      </c>
      <c r="I4" s="3">
        <v>4849</v>
      </c>
      <c r="J4" s="3">
        <f>Y4-I4-H4-G4</f>
        <v>5169</v>
      </c>
      <c r="K4" s="3">
        <v>5002</v>
      </c>
      <c r="L4" s="3">
        <v>5159</v>
      </c>
      <c r="M4" s="3">
        <v>5381</v>
      </c>
      <c r="N4" s="3">
        <f>Z4-M4-L4-K4</f>
        <v>5584</v>
      </c>
      <c r="O4" s="3">
        <v>5715</v>
      </c>
      <c r="P4" s="3">
        <v>6030</v>
      </c>
      <c r="Q4" s="3">
        <f>M4*1.17</f>
        <v>6295.7699999999995</v>
      </c>
      <c r="R4" s="3">
        <f>N4*1.18</f>
        <v>6589.12</v>
      </c>
      <c r="U4" s="3">
        <v>12351</v>
      </c>
      <c r="V4" s="3">
        <v>13268</v>
      </c>
      <c r="W4" s="3">
        <v>15118</v>
      </c>
      <c r="X4" s="3">
        <v>16301</v>
      </c>
      <c r="Y4" s="3">
        <v>19349</v>
      </c>
      <c r="Z4" s="3">
        <v>21126</v>
      </c>
      <c r="AA4" s="3">
        <f>SUM(O4:R4)</f>
        <v>24629.89</v>
      </c>
      <c r="AB4" s="3">
        <f>AA4*1.13</f>
        <v>27831.775699999998</v>
      </c>
      <c r="AC4" s="3">
        <f>AB4*1.09</f>
        <v>30336.635513000001</v>
      </c>
      <c r="AD4" s="3">
        <f>AC4*1.05</f>
        <v>31853.467288650001</v>
      </c>
      <c r="AE4" s="3">
        <f>AD4*1.04</f>
        <v>33127.605980196</v>
      </c>
      <c r="AF4" s="3">
        <f>AE4*1.03</f>
        <v>34121.434159601878</v>
      </c>
      <c r="AG4" s="3">
        <f t="shared" ref="AG4:AK4" si="1">AF4*1.03</f>
        <v>35145.077184389935</v>
      </c>
      <c r="AH4" s="3">
        <f t="shared" si="1"/>
        <v>36199.429499921636</v>
      </c>
      <c r="AI4" s="3">
        <f t="shared" si="1"/>
        <v>37285.412384919284</v>
      </c>
      <c r="AJ4" s="3">
        <f t="shared" si="1"/>
        <v>38403.974756466865</v>
      </c>
      <c r="AK4" s="3">
        <f t="shared" si="1"/>
        <v>39556.093999160876</v>
      </c>
    </row>
    <row r="5" spans="2:37" s="4" customFormat="1" x14ac:dyDescent="0.3">
      <c r="B5" s="4" t="s">
        <v>25</v>
      </c>
      <c r="C5" s="5">
        <f t="shared" ref="C5:P5" si="2">C3+C4</f>
        <v>15716</v>
      </c>
      <c r="D5" s="5">
        <f t="shared" si="2"/>
        <v>16314</v>
      </c>
      <c r="E5" s="5">
        <f t="shared" si="2"/>
        <v>16951</v>
      </c>
      <c r="F5" s="5">
        <f t="shared" si="2"/>
        <v>18093</v>
      </c>
      <c r="G5" s="5">
        <f t="shared" si="2"/>
        <v>17214</v>
      </c>
      <c r="H5" s="5">
        <f t="shared" si="2"/>
        <v>18315</v>
      </c>
      <c r="I5" s="5">
        <f t="shared" si="2"/>
        <v>13464</v>
      </c>
      <c r="J5" s="5">
        <f t="shared" si="2"/>
        <v>19927</v>
      </c>
      <c r="K5" s="5">
        <f t="shared" si="2"/>
        <v>19305</v>
      </c>
      <c r="L5" s="5">
        <f t="shared" si="2"/>
        <v>19721</v>
      </c>
      <c r="M5" s="5">
        <f t="shared" si="2"/>
        <v>20089</v>
      </c>
      <c r="N5" s="5">
        <f t="shared" si="2"/>
        <v>21623</v>
      </c>
      <c r="O5" s="5">
        <f t="shared" si="2"/>
        <v>20306</v>
      </c>
      <c r="P5" s="5">
        <f t="shared" si="2"/>
        <v>21581</v>
      </c>
      <c r="Q5" s="5">
        <f t="shared" ref="Q5:R5" si="3">Q3+Q4</f>
        <v>21886.25</v>
      </c>
      <c r="R5" s="5">
        <f t="shared" si="3"/>
        <v>23430.07</v>
      </c>
      <c r="U5" s="5">
        <f t="shared" ref="U5:AK5" si="4">U3+U4</f>
        <v>45349</v>
      </c>
      <c r="V5" s="5">
        <f t="shared" si="4"/>
        <v>56587</v>
      </c>
      <c r="W5" s="5">
        <f t="shared" si="4"/>
        <v>64388</v>
      </c>
      <c r="X5" s="5">
        <f t="shared" si="4"/>
        <v>67074</v>
      </c>
      <c r="Y5" s="5">
        <f t="shared" si="4"/>
        <v>68920</v>
      </c>
      <c r="Z5" s="5">
        <f t="shared" si="4"/>
        <v>80738</v>
      </c>
      <c r="AA5" s="5">
        <f t="shared" si="4"/>
        <v>87203.32</v>
      </c>
      <c r="AB5" s="5">
        <f t="shared" si="4"/>
        <v>92908.142900000006</v>
      </c>
      <c r="AC5" s="5">
        <f t="shared" si="4"/>
        <v>97365.293729000012</v>
      </c>
      <c r="AD5" s="5">
        <f t="shared" si="4"/>
        <v>100222.69866897001</v>
      </c>
      <c r="AE5" s="5">
        <f t="shared" si="4"/>
        <v>102864.22198812242</v>
      </c>
      <c r="AF5" s="5">
        <f t="shared" si="4"/>
        <v>105252.78248768681</v>
      </c>
      <c r="AG5" s="5">
        <f t="shared" si="4"/>
        <v>107699.05247903656</v>
      </c>
      <c r="AH5" s="5">
        <f t="shared" si="4"/>
        <v>110204.4843004612</v>
      </c>
      <c r="AI5" s="5">
        <f t="shared" si="4"/>
        <v>112770.56828146965</v>
      </c>
      <c r="AJ5" s="5">
        <f t="shared" si="4"/>
        <v>115398.83377094824</v>
      </c>
      <c r="AK5" s="5">
        <f t="shared" si="4"/>
        <v>118090.85019393188</v>
      </c>
    </row>
    <row r="6" spans="2:37" x14ac:dyDescent="0.3">
      <c r="B6" s="1" t="s">
        <v>26</v>
      </c>
      <c r="C6" s="3">
        <v>9820</v>
      </c>
      <c r="D6" s="3">
        <v>10040</v>
      </c>
      <c r="E6" s="3">
        <v>10493</v>
      </c>
      <c r="F6" s="3">
        <f t="shared" ref="F6:F7" si="5">X6-E6-D6-C6</f>
        <v>11574</v>
      </c>
      <c r="G6" s="3">
        <v>10700</v>
      </c>
      <c r="H6" s="3">
        <v>11089</v>
      </c>
      <c r="I6" s="3">
        <v>9289</v>
      </c>
      <c r="J6" s="3">
        <f t="shared" ref="J6:J7" si="6">Y6-I6-H6-G6</f>
        <v>12347</v>
      </c>
      <c r="K6" s="3">
        <v>12216</v>
      </c>
      <c r="L6" s="3">
        <v>12625</v>
      </c>
      <c r="M6" s="3">
        <v>12336</v>
      </c>
      <c r="N6" s="3">
        <f t="shared" ref="N6:N7" si="7">Z6-M6-L6-K6</f>
        <v>13591</v>
      </c>
      <c r="O6" s="3">
        <v>12283</v>
      </c>
      <c r="P6" s="3">
        <v>12989</v>
      </c>
      <c r="Q6" s="3">
        <f>Q3*0.84</f>
        <v>13096.003200000001</v>
      </c>
      <c r="R6" s="3">
        <f>R3*0.84</f>
        <v>14146.397999999999</v>
      </c>
      <c r="U6" s="3">
        <v>26910</v>
      </c>
      <c r="V6" s="3">
        <v>38137</v>
      </c>
      <c r="W6" s="3">
        <v>41095</v>
      </c>
      <c r="X6" s="3">
        <v>41927</v>
      </c>
      <c r="Y6" s="3">
        <v>43425</v>
      </c>
      <c r="Z6" s="3">
        <v>50768</v>
      </c>
      <c r="AA6" s="3">
        <f t="shared" ref="AA6:AA7" si="8">SUM(O6:R6)</f>
        <v>52514.4012</v>
      </c>
      <c r="AB6" s="3">
        <f>AB3*0.84</f>
        <v>54664.148448000007</v>
      </c>
      <c r="AC6" s="3">
        <f t="shared" ref="AC6:AK6" si="9">AC3*0.84</f>
        <v>56304.072901440006</v>
      </c>
      <c r="AD6" s="3">
        <f t="shared" si="9"/>
        <v>57430.154359468805</v>
      </c>
      <c r="AE6" s="3">
        <f t="shared" si="9"/>
        <v>58578.757446658179</v>
      </c>
      <c r="AF6" s="3">
        <f t="shared" si="9"/>
        <v>59750.332595591339</v>
      </c>
      <c r="AG6" s="3">
        <f t="shared" si="9"/>
        <v>60945.339247503172</v>
      </c>
      <c r="AH6" s="3">
        <f t="shared" si="9"/>
        <v>62164.246032453237</v>
      </c>
      <c r="AI6" s="3">
        <f t="shared" si="9"/>
        <v>63407.530953102301</v>
      </c>
      <c r="AJ6" s="3">
        <f t="shared" si="9"/>
        <v>64675.681572164358</v>
      </c>
      <c r="AK6" s="3">
        <f t="shared" si="9"/>
        <v>65969.19520360764</v>
      </c>
    </row>
    <row r="7" spans="2:37" x14ac:dyDescent="0.3">
      <c r="B7" s="1" t="s">
        <v>27</v>
      </c>
      <c r="C7" s="3">
        <v>2740</v>
      </c>
      <c r="D7" s="3">
        <v>2816</v>
      </c>
      <c r="E7" s="3">
        <v>2971</v>
      </c>
      <c r="F7" s="3">
        <f t="shared" si="5"/>
        <v>2952</v>
      </c>
      <c r="G7" s="3">
        <v>2945</v>
      </c>
      <c r="H7" s="3">
        <v>3429</v>
      </c>
      <c r="I7" s="3">
        <v>3461</v>
      </c>
      <c r="J7" s="3">
        <f t="shared" si="6"/>
        <v>3571</v>
      </c>
      <c r="K7" s="3">
        <v>3528</v>
      </c>
      <c r="L7" s="3">
        <v>3516</v>
      </c>
      <c r="M7" s="3">
        <v>3719</v>
      </c>
      <c r="N7" s="3">
        <f t="shared" si="7"/>
        <v>3797</v>
      </c>
      <c r="O7" s="3">
        <v>3907</v>
      </c>
      <c r="P7" s="3">
        <v>4216</v>
      </c>
      <c r="Q7" s="3">
        <f>Q4*0.69</f>
        <v>4344.0812999999989</v>
      </c>
      <c r="R7" s="3">
        <f>R4*0.69</f>
        <v>4546.4928</v>
      </c>
      <c r="U7" s="3">
        <v>7688</v>
      </c>
      <c r="V7" s="3">
        <v>9919</v>
      </c>
      <c r="W7" s="3">
        <v>10802</v>
      </c>
      <c r="X7" s="3">
        <v>11479</v>
      </c>
      <c r="Y7" s="3">
        <v>13406</v>
      </c>
      <c r="Z7" s="3">
        <v>14560</v>
      </c>
      <c r="AA7" s="3">
        <f t="shared" si="8"/>
        <v>17013.574099999998</v>
      </c>
      <c r="AB7" s="3">
        <f t="shared" ref="AB7:AK7" si="10">AB4*0.69</f>
        <v>19203.925232999998</v>
      </c>
      <c r="AC7" s="3">
        <f t="shared" si="10"/>
        <v>20932.278503969999</v>
      </c>
      <c r="AD7" s="3">
        <f t="shared" si="10"/>
        <v>21978.8924291685</v>
      </c>
      <c r="AE7" s="3">
        <f t="shared" si="10"/>
        <v>22858.048126335238</v>
      </c>
      <c r="AF7" s="3">
        <f t="shared" si="10"/>
        <v>23543.789570125293</v>
      </c>
      <c r="AG7" s="3">
        <f t="shared" si="10"/>
        <v>24250.103257229053</v>
      </c>
      <c r="AH7" s="3">
        <f t="shared" si="10"/>
        <v>24977.606354945929</v>
      </c>
      <c r="AI7" s="3">
        <f t="shared" si="10"/>
        <v>25726.934545594304</v>
      </c>
      <c r="AJ7" s="3">
        <f t="shared" si="10"/>
        <v>26498.742581962135</v>
      </c>
      <c r="AK7" s="3">
        <f t="shared" si="10"/>
        <v>27293.704859421003</v>
      </c>
    </row>
    <row r="8" spans="2:37" x14ac:dyDescent="0.3">
      <c r="B8" s="1" t="s">
        <v>28</v>
      </c>
      <c r="C8" s="3">
        <f t="shared" ref="C8:P8" si="11">C6+C7</f>
        <v>12560</v>
      </c>
      <c r="D8" s="3">
        <f t="shared" si="11"/>
        <v>12856</v>
      </c>
      <c r="E8" s="3">
        <f t="shared" si="11"/>
        <v>13464</v>
      </c>
      <c r="F8" s="3">
        <f t="shared" si="11"/>
        <v>14526</v>
      </c>
      <c r="G8" s="3">
        <f t="shared" si="11"/>
        <v>13645</v>
      </c>
      <c r="H8" s="3">
        <f t="shared" si="11"/>
        <v>14518</v>
      </c>
      <c r="I8" s="3">
        <f t="shared" si="11"/>
        <v>12750</v>
      </c>
      <c r="J8" s="3">
        <f t="shared" si="11"/>
        <v>15918</v>
      </c>
      <c r="K8" s="3">
        <f t="shared" si="11"/>
        <v>15744</v>
      </c>
      <c r="L8" s="3">
        <f t="shared" si="11"/>
        <v>16141</v>
      </c>
      <c r="M8" s="3">
        <f t="shared" si="11"/>
        <v>16055</v>
      </c>
      <c r="N8" s="3">
        <f t="shared" si="11"/>
        <v>17388</v>
      </c>
      <c r="O8" s="3">
        <f t="shared" si="11"/>
        <v>16190</v>
      </c>
      <c r="P8" s="3">
        <f t="shared" si="11"/>
        <v>17205</v>
      </c>
      <c r="Q8" s="3">
        <f t="shared" ref="Q8:R8" si="12">Q6+Q7</f>
        <v>17440.084500000001</v>
      </c>
      <c r="R8" s="3">
        <f t="shared" si="12"/>
        <v>18692.890800000001</v>
      </c>
      <c r="U8" s="3">
        <f t="shared" ref="U8:Z8" si="13">U6+U7</f>
        <v>34598</v>
      </c>
      <c r="V8" s="3">
        <f t="shared" si="13"/>
        <v>48056</v>
      </c>
      <c r="W8" s="3">
        <f t="shared" si="13"/>
        <v>51897</v>
      </c>
      <c r="X8" s="3">
        <f t="shared" si="13"/>
        <v>53406</v>
      </c>
      <c r="Y8" s="3">
        <f t="shared" si="13"/>
        <v>56831</v>
      </c>
      <c r="Z8" s="3">
        <f t="shared" si="13"/>
        <v>65328</v>
      </c>
      <c r="AA8" s="3">
        <f t="shared" ref="AA8:AK8" si="14">AA6+AA7</f>
        <v>69527.975299999991</v>
      </c>
      <c r="AB8" s="3">
        <f t="shared" si="14"/>
        <v>73868.073681000009</v>
      </c>
      <c r="AC8" s="3">
        <f t="shared" si="14"/>
        <v>77236.351405410009</v>
      </c>
      <c r="AD8" s="3">
        <f t="shared" si="14"/>
        <v>79409.046788637308</v>
      </c>
      <c r="AE8" s="3">
        <f t="shared" si="14"/>
        <v>81436.805572993413</v>
      </c>
      <c r="AF8" s="3">
        <f t="shared" si="14"/>
        <v>83294.122165716632</v>
      </c>
      <c r="AG8" s="3">
        <f t="shared" si="14"/>
        <v>85195.442504732229</v>
      </c>
      <c r="AH8" s="3">
        <f t="shared" si="14"/>
        <v>87141.852387399165</v>
      </c>
      <c r="AI8" s="3">
        <f t="shared" si="14"/>
        <v>89134.465498696605</v>
      </c>
      <c r="AJ8" s="3">
        <f t="shared" si="14"/>
        <v>91174.424154126493</v>
      </c>
      <c r="AK8" s="3">
        <f t="shared" si="14"/>
        <v>93262.900063028646</v>
      </c>
    </row>
    <row r="9" spans="2:37" s="4" customFormat="1" x14ac:dyDescent="0.3">
      <c r="B9" s="4" t="s">
        <v>29</v>
      </c>
      <c r="C9" s="5">
        <f t="shared" ref="C9:P9" si="15">C5-C8</f>
        <v>3156</v>
      </c>
      <c r="D9" s="5">
        <f t="shared" si="15"/>
        <v>3458</v>
      </c>
      <c r="E9" s="5">
        <f t="shared" si="15"/>
        <v>3487</v>
      </c>
      <c r="F9" s="5">
        <f t="shared" si="15"/>
        <v>3567</v>
      </c>
      <c r="G9" s="5">
        <f t="shared" si="15"/>
        <v>3569</v>
      </c>
      <c r="H9" s="5">
        <f t="shared" si="15"/>
        <v>3797</v>
      </c>
      <c r="I9" s="5">
        <f t="shared" si="15"/>
        <v>714</v>
      </c>
      <c r="J9" s="5">
        <f t="shared" si="15"/>
        <v>4009</v>
      </c>
      <c r="K9" s="5">
        <f t="shared" si="15"/>
        <v>3561</v>
      </c>
      <c r="L9" s="5">
        <f t="shared" si="15"/>
        <v>3580</v>
      </c>
      <c r="M9" s="5">
        <f t="shared" si="15"/>
        <v>4034</v>
      </c>
      <c r="N9" s="5">
        <f t="shared" si="15"/>
        <v>4235</v>
      </c>
      <c r="O9" s="5">
        <f t="shared" si="15"/>
        <v>4116</v>
      </c>
      <c r="P9" s="5">
        <f t="shared" si="15"/>
        <v>4376</v>
      </c>
      <c r="Q9" s="5">
        <f t="shared" ref="Q9:R9" si="16">Q5-Q8</f>
        <v>4446.1654999999992</v>
      </c>
      <c r="R9" s="5">
        <f t="shared" si="16"/>
        <v>4737.1791999999987</v>
      </c>
      <c r="U9" s="5">
        <f t="shared" ref="U9:Z9" si="17">U5-U8</f>
        <v>10751</v>
      </c>
      <c r="V9" s="5">
        <f t="shared" si="17"/>
        <v>8531</v>
      </c>
      <c r="W9" s="5">
        <f t="shared" si="17"/>
        <v>12491</v>
      </c>
      <c r="X9" s="5">
        <f t="shared" si="17"/>
        <v>13668</v>
      </c>
      <c r="Y9" s="5">
        <f t="shared" si="17"/>
        <v>12089</v>
      </c>
      <c r="Z9" s="5">
        <f t="shared" si="17"/>
        <v>15410</v>
      </c>
      <c r="AA9" s="5">
        <f t="shared" ref="AA9:AK9" si="18">AA5-AA8</f>
        <v>17675.344700000016</v>
      </c>
      <c r="AB9" s="5">
        <f t="shared" si="18"/>
        <v>19040.069218999997</v>
      </c>
      <c r="AC9" s="5">
        <f t="shared" si="18"/>
        <v>20128.942323590003</v>
      </c>
      <c r="AD9" s="5">
        <f t="shared" si="18"/>
        <v>20813.651880332705</v>
      </c>
      <c r="AE9" s="5">
        <f t="shared" si="18"/>
        <v>21427.416415129002</v>
      </c>
      <c r="AF9" s="5">
        <f t="shared" si="18"/>
        <v>21958.660321970179</v>
      </c>
      <c r="AG9" s="5">
        <f t="shared" si="18"/>
        <v>22503.609974304331</v>
      </c>
      <c r="AH9" s="5">
        <f t="shared" si="18"/>
        <v>23062.63191306204</v>
      </c>
      <c r="AI9" s="5">
        <f t="shared" si="18"/>
        <v>23636.102782773043</v>
      </c>
      <c r="AJ9" s="5">
        <f t="shared" si="18"/>
        <v>24224.409616821751</v>
      </c>
      <c r="AK9" s="5">
        <f t="shared" si="18"/>
        <v>24827.950130903235</v>
      </c>
    </row>
    <row r="10" spans="2:37" x14ac:dyDescent="0.3">
      <c r="B10" s="1" t="s">
        <v>30</v>
      </c>
      <c r="C10" s="3">
        <v>635</v>
      </c>
      <c r="D10" s="3">
        <v>698</v>
      </c>
      <c r="E10" s="3">
        <v>662</v>
      </c>
      <c r="F10" s="3">
        <f t="shared" ref="F10:F11" si="19">X10-E10-D10-C10</f>
        <v>716</v>
      </c>
      <c r="G10" s="3">
        <v>607</v>
      </c>
      <c r="H10" s="3">
        <v>729</v>
      </c>
      <c r="I10" s="3">
        <v>712</v>
      </c>
      <c r="J10" s="3">
        <f t="shared" ref="J10:J11" si="20">Y10-I10-H10-G10</f>
        <v>757</v>
      </c>
      <c r="K10" s="3">
        <v>669</v>
      </c>
      <c r="L10" s="3">
        <v>706</v>
      </c>
      <c r="M10" s="3">
        <v>751</v>
      </c>
      <c r="N10" s="3">
        <f t="shared" ref="N10:N11" si="21">Z10-M10-L10-K10</f>
        <v>808</v>
      </c>
      <c r="O10" s="3">
        <v>637</v>
      </c>
      <c r="P10" s="3">
        <v>697</v>
      </c>
      <c r="Q10" s="3">
        <f>M10*0.98</f>
        <v>735.98</v>
      </c>
      <c r="R10" s="3">
        <f>N10*0.98</f>
        <v>791.84</v>
      </c>
      <c r="U10" s="3">
        <v>2452</v>
      </c>
      <c r="V10" s="3">
        <v>2582</v>
      </c>
      <c r="W10" s="3">
        <v>2732</v>
      </c>
      <c r="X10" s="3">
        <v>2711</v>
      </c>
      <c r="Y10" s="3">
        <v>2805</v>
      </c>
      <c r="Z10" s="3">
        <v>2934</v>
      </c>
      <c r="AA10" s="3">
        <f t="shared" ref="AA10:AA11" si="22">SUM(O10:R10)</f>
        <v>2861.82</v>
      </c>
      <c r="AB10" s="3">
        <f>AA10*1.01</f>
        <v>2890.4382000000001</v>
      </c>
      <c r="AC10" s="3">
        <f t="shared" ref="AC10:AE10" si="23">AB10*1.02</f>
        <v>2948.2469639999999</v>
      </c>
      <c r="AD10" s="3">
        <f t="shared" si="23"/>
        <v>3007.2119032800001</v>
      </c>
      <c r="AE10" s="3">
        <f t="shared" si="23"/>
        <v>3067.3561413456</v>
      </c>
      <c r="AF10" s="3">
        <f>AE10*1.01</f>
        <v>3098.0297027590559</v>
      </c>
      <c r="AG10" s="3">
        <f t="shared" ref="AG10:AK10" si="24">AF10*1.01</f>
        <v>3129.0099997866464</v>
      </c>
      <c r="AH10" s="3">
        <f t="shared" si="24"/>
        <v>3160.3000997845129</v>
      </c>
      <c r="AI10" s="3">
        <f t="shared" si="24"/>
        <v>3191.9031007823583</v>
      </c>
      <c r="AJ10" s="3">
        <f t="shared" si="24"/>
        <v>3223.8221317901821</v>
      </c>
      <c r="AK10" s="3">
        <f t="shared" si="24"/>
        <v>3256.0603531080837</v>
      </c>
    </row>
    <row r="11" spans="2:37" x14ac:dyDescent="0.3">
      <c r="B11" s="1" t="s">
        <v>31</v>
      </c>
      <c r="C11" s="3">
        <v>1469</v>
      </c>
      <c r="D11" s="3">
        <v>1424</v>
      </c>
      <c r="E11" s="3">
        <v>1351</v>
      </c>
      <c r="F11" s="3">
        <f t="shared" si="19"/>
        <v>1329</v>
      </c>
      <c r="G11" s="3">
        <v>1398</v>
      </c>
      <c r="H11" s="3">
        <v>1600</v>
      </c>
      <c r="I11" s="3">
        <v>1401</v>
      </c>
      <c r="J11" s="3">
        <f t="shared" si="20"/>
        <v>1410</v>
      </c>
      <c r="K11" s="3">
        <v>1394</v>
      </c>
      <c r="L11" s="3">
        <v>1449</v>
      </c>
      <c r="M11" s="3">
        <v>1389</v>
      </c>
      <c r="N11" s="3">
        <f t="shared" si="21"/>
        <v>1574</v>
      </c>
      <c r="O11" s="3">
        <v>1448</v>
      </c>
      <c r="P11" s="3">
        <v>1573</v>
      </c>
      <c r="Q11" s="3">
        <f>Q5*0.07</f>
        <v>1532.0375000000001</v>
      </c>
      <c r="R11" s="3">
        <f>R5*0.07</f>
        <v>1640.1049</v>
      </c>
      <c r="U11" s="3">
        <v>3711</v>
      </c>
      <c r="V11" s="3">
        <v>5540</v>
      </c>
      <c r="W11" s="3">
        <v>5224</v>
      </c>
      <c r="X11" s="3">
        <v>5573</v>
      </c>
      <c r="Y11" s="3">
        <v>5809</v>
      </c>
      <c r="Z11" s="3">
        <v>5806</v>
      </c>
      <c r="AA11" s="3">
        <f t="shared" si="22"/>
        <v>6193.1424000000006</v>
      </c>
      <c r="AB11" s="3">
        <f t="shared" ref="AB11:AK11" si="25">AB5*0.07</f>
        <v>6503.5700030000007</v>
      </c>
      <c r="AC11" s="3">
        <f t="shared" si="25"/>
        <v>6815.570561030001</v>
      </c>
      <c r="AD11" s="3">
        <f t="shared" si="25"/>
        <v>7015.5889068279012</v>
      </c>
      <c r="AE11" s="3">
        <f t="shared" si="25"/>
        <v>7200.4955391685698</v>
      </c>
      <c r="AF11" s="3">
        <f t="shared" si="25"/>
        <v>7367.6947741380773</v>
      </c>
      <c r="AG11" s="3">
        <f t="shared" si="25"/>
        <v>7538.9336735325596</v>
      </c>
      <c r="AH11" s="3">
        <f t="shared" si="25"/>
        <v>7714.3139010322848</v>
      </c>
      <c r="AI11" s="3">
        <f t="shared" si="25"/>
        <v>7893.939779702876</v>
      </c>
      <c r="AJ11" s="3">
        <f t="shared" si="25"/>
        <v>8077.9183639663779</v>
      </c>
      <c r="AK11" s="3">
        <f t="shared" si="25"/>
        <v>8266.359513575233</v>
      </c>
    </row>
    <row r="12" spans="2:37" s="4" customFormat="1" x14ac:dyDescent="0.3">
      <c r="B12" s="4" t="s">
        <v>32</v>
      </c>
      <c r="C12" s="5">
        <f t="shared" ref="C12:P12" si="26">C9-C10-C11</f>
        <v>1052</v>
      </c>
      <c r="D12" s="5">
        <f t="shared" si="26"/>
        <v>1336</v>
      </c>
      <c r="E12" s="5">
        <f t="shared" si="26"/>
        <v>1474</v>
      </c>
      <c r="F12" s="5">
        <f t="shared" si="26"/>
        <v>1522</v>
      </c>
      <c r="G12" s="5">
        <f t="shared" si="26"/>
        <v>1564</v>
      </c>
      <c r="H12" s="5">
        <f t="shared" si="26"/>
        <v>1468</v>
      </c>
      <c r="I12" s="5">
        <f t="shared" si="26"/>
        <v>-1399</v>
      </c>
      <c r="J12" s="5">
        <f t="shared" si="26"/>
        <v>1842</v>
      </c>
      <c r="K12" s="5">
        <f t="shared" si="26"/>
        <v>1498</v>
      </c>
      <c r="L12" s="5">
        <f t="shared" si="26"/>
        <v>1425</v>
      </c>
      <c r="M12" s="5">
        <f t="shared" si="26"/>
        <v>1894</v>
      </c>
      <c r="N12" s="5">
        <f t="shared" si="26"/>
        <v>1853</v>
      </c>
      <c r="O12" s="5">
        <f t="shared" si="26"/>
        <v>2031</v>
      </c>
      <c r="P12" s="5">
        <f t="shared" si="26"/>
        <v>2106</v>
      </c>
      <c r="Q12" s="5">
        <f t="shared" ref="Q12:R12" si="27">Q9-Q10-Q11</f>
        <v>2178.1479999999992</v>
      </c>
      <c r="R12" s="5">
        <f t="shared" si="27"/>
        <v>2305.2342999999983</v>
      </c>
      <c r="U12" s="5">
        <f t="shared" ref="U12:AA12" si="28">U9-U10-U11</f>
        <v>4588</v>
      </c>
      <c r="V12" s="5">
        <f t="shared" si="28"/>
        <v>409</v>
      </c>
      <c r="W12" s="5">
        <f t="shared" si="28"/>
        <v>4535</v>
      </c>
      <c r="X12" s="5">
        <f t="shared" si="28"/>
        <v>5384</v>
      </c>
      <c r="Y12" s="5">
        <f t="shared" si="28"/>
        <v>3475</v>
      </c>
      <c r="Z12" s="5">
        <f t="shared" si="28"/>
        <v>6670</v>
      </c>
      <c r="AA12" s="5">
        <f t="shared" si="28"/>
        <v>8620.3823000000157</v>
      </c>
      <c r="AB12" s="5">
        <f t="shared" ref="AB12:AK12" si="29">AB9-AB10-AB11</f>
        <v>9646.061015999996</v>
      </c>
      <c r="AC12" s="5">
        <f t="shared" si="29"/>
        <v>10365.124798560004</v>
      </c>
      <c r="AD12" s="5">
        <f t="shared" si="29"/>
        <v>10790.851070224804</v>
      </c>
      <c r="AE12" s="5">
        <f t="shared" si="29"/>
        <v>11159.564734614833</v>
      </c>
      <c r="AF12" s="5">
        <f t="shared" si="29"/>
        <v>11492.935845073045</v>
      </c>
      <c r="AG12" s="5">
        <f t="shared" si="29"/>
        <v>11835.666300985125</v>
      </c>
      <c r="AH12" s="5">
        <f t="shared" si="29"/>
        <v>12188.017912245243</v>
      </c>
      <c r="AI12" s="5">
        <f t="shared" si="29"/>
        <v>12550.259902287809</v>
      </c>
      <c r="AJ12" s="5">
        <f t="shared" si="29"/>
        <v>12922.669121065192</v>
      </c>
      <c r="AK12" s="5">
        <f t="shared" si="29"/>
        <v>13305.530264219917</v>
      </c>
    </row>
    <row r="13" spans="2:37" x14ac:dyDescent="0.3">
      <c r="B13" s="1" t="s">
        <v>33</v>
      </c>
      <c r="C13" s="3">
        <v>-28</v>
      </c>
      <c r="D13" s="3">
        <v>-17</v>
      </c>
      <c r="E13" s="3">
        <v>-46</v>
      </c>
      <c r="F13" s="3">
        <f t="shared" ref="F13:F15" si="30">X13-E13-D13-C13</f>
        <v>-29</v>
      </c>
      <c r="G13" s="3">
        <v>-88</v>
      </c>
      <c r="H13" s="3">
        <v>-25</v>
      </c>
      <c r="I13" s="3">
        <v>-3</v>
      </c>
      <c r="J13" s="3">
        <f t="shared" ref="J13:J15" si="31">Y13-I13-H13-G13</f>
        <v>30</v>
      </c>
      <c r="K13" s="3">
        <v>-372</v>
      </c>
      <c r="L13" s="3">
        <v>896</v>
      </c>
      <c r="M13" s="3">
        <v>-134</v>
      </c>
      <c r="N13" s="3">
        <f t="shared" ref="N13:N15" si="32">Z13-M13-L13-K13</f>
        <v>-258</v>
      </c>
      <c r="O13" s="3">
        <v>-4</v>
      </c>
      <c r="P13" s="3">
        <v>-40</v>
      </c>
      <c r="Q13" s="3">
        <v>0</v>
      </c>
      <c r="R13" s="3">
        <v>0</v>
      </c>
      <c r="U13" s="3">
        <v>-326</v>
      </c>
      <c r="V13" s="3">
        <f>3183-885</f>
        <v>2298</v>
      </c>
      <c r="W13" s="3">
        <v>-423</v>
      </c>
      <c r="X13" s="3">
        <v>-120</v>
      </c>
      <c r="Y13" s="3">
        <v>-86</v>
      </c>
      <c r="Z13" s="3">
        <v>132</v>
      </c>
      <c r="AA13" s="3">
        <f t="shared" ref="AA13:AA15" si="33">SUM(O13:R13)</f>
        <v>-44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2:37" x14ac:dyDescent="0.3">
      <c r="B14" s="1" t="s">
        <v>34</v>
      </c>
      <c r="C14" s="3">
        <v>-480</v>
      </c>
      <c r="D14" s="3">
        <v>-474</v>
      </c>
      <c r="E14" s="3">
        <v>-468</v>
      </c>
      <c r="F14" s="3">
        <f t="shared" si="30"/>
        <v>-467</v>
      </c>
      <c r="G14" s="3">
        <v>-444</v>
      </c>
      <c r="H14" s="3">
        <v>-447</v>
      </c>
      <c r="I14" s="3">
        <v>-443</v>
      </c>
      <c r="J14" s="3">
        <f t="shared" si="31"/>
        <v>-446</v>
      </c>
      <c r="K14" s="3">
        <v>-386</v>
      </c>
      <c r="L14" s="3">
        <v>-374</v>
      </c>
      <c r="M14" s="3">
        <v>-374</v>
      </c>
      <c r="N14" s="3">
        <f t="shared" si="32"/>
        <v>-384</v>
      </c>
      <c r="O14" s="3">
        <v>-366</v>
      </c>
      <c r="P14" s="3">
        <v>-351</v>
      </c>
      <c r="Q14" s="3">
        <f>M14*1.01</f>
        <v>-377.74</v>
      </c>
      <c r="R14" s="3">
        <f>N14*1.01</f>
        <v>-387.84000000000003</v>
      </c>
      <c r="U14" s="3">
        <v>-829</v>
      </c>
      <c r="V14" s="3">
        <v>-902</v>
      </c>
      <c r="W14" s="3">
        <v>-1944</v>
      </c>
      <c r="X14" s="3">
        <v>-1889</v>
      </c>
      <c r="Y14" s="3">
        <v>-1780</v>
      </c>
      <c r="Z14" s="3">
        <v>-1518</v>
      </c>
      <c r="AA14" s="3">
        <f t="shared" si="33"/>
        <v>-1482.58</v>
      </c>
      <c r="AB14" s="3">
        <f t="shared" ref="AB14:AK14" si="34">AA14*1.01</f>
        <v>-1497.4058</v>
      </c>
      <c r="AC14" s="3">
        <f t="shared" si="34"/>
        <v>-1512.379858</v>
      </c>
      <c r="AD14" s="3">
        <f t="shared" si="34"/>
        <v>-1527.5036565800001</v>
      </c>
      <c r="AE14" s="3">
        <f t="shared" si="34"/>
        <v>-1542.7786931458002</v>
      </c>
      <c r="AF14" s="3">
        <f t="shared" si="34"/>
        <v>-1558.2064800772582</v>
      </c>
      <c r="AG14" s="3">
        <f t="shared" si="34"/>
        <v>-1573.7885448780307</v>
      </c>
      <c r="AH14" s="3">
        <f t="shared" si="34"/>
        <v>-1589.5264303268111</v>
      </c>
      <c r="AI14" s="3">
        <f t="shared" si="34"/>
        <v>-1605.4216946300792</v>
      </c>
      <c r="AJ14" s="3">
        <f t="shared" si="34"/>
        <v>-1621.47591157638</v>
      </c>
      <c r="AK14" s="3">
        <f t="shared" si="34"/>
        <v>-1637.6906706921438</v>
      </c>
    </row>
    <row r="15" spans="2:37" x14ac:dyDescent="0.3">
      <c r="B15" s="1" t="s">
        <v>35</v>
      </c>
      <c r="C15" s="3">
        <v>318</v>
      </c>
      <c r="D15" s="3">
        <v>329</v>
      </c>
      <c r="E15" s="3">
        <v>311</v>
      </c>
      <c r="F15" s="3">
        <f t="shared" si="30"/>
        <v>318</v>
      </c>
      <c r="G15" s="3">
        <v>315</v>
      </c>
      <c r="H15" s="3">
        <v>333</v>
      </c>
      <c r="I15" s="3">
        <v>369</v>
      </c>
      <c r="J15" s="3">
        <f t="shared" si="31"/>
        <v>488</v>
      </c>
      <c r="K15" s="3">
        <v>405</v>
      </c>
      <c r="L15" s="3">
        <v>475</v>
      </c>
      <c r="M15" s="3">
        <v>496</v>
      </c>
      <c r="N15" s="3">
        <f t="shared" si="32"/>
        <v>486</v>
      </c>
      <c r="O15" s="3">
        <v>443</v>
      </c>
      <c r="P15" s="3">
        <v>457</v>
      </c>
      <c r="Q15" s="3">
        <f t="shared" ref="Q15:R15" si="35">M15*1.01</f>
        <v>500.96</v>
      </c>
      <c r="R15" s="3">
        <f t="shared" si="35"/>
        <v>490.86</v>
      </c>
      <c r="U15" s="3">
        <v>1591</v>
      </c>
      <c r="V15" s="3">
        <v>1366</v>
      </c>
      <c r="W15" s="3">
        <f>1322+649</f>
        <v>1971</v>
      </c>
      <c r="X15" s="3">
        <v>1276</v>
      </c>
      <c r="Y15" s="3">
        <v>1505</v>
      </c>
      <c r="Z15" s="3">
        <v>1862</v>
      </c>
      <c r="AA15" s="3">
        <f t="shared" si="33"/>
        <v>1891.8200000000002</v>
      </c>
      <c r="AB15" s="3">
        <f t="shared" ref="AB15:AK15" si="36">AA15*1.01</f>
        <v>1910.7382000000002</v>
      </c>
      <c r="AC15" s="3">
        <f t="shared" si="36"/>
        <v>1929.8455820000001</v>
      </c>
      <c r="AD15" s="3">
        <f t="shared" si="36"/>
        <v>1949.1440378200002</v>
      </c>
      <c r="AE15" s="3">
        <f t="shared" si="36"/>
        <v>1968.6354781982002</v>
      </c>
      <c r="AF15" s="3">
        <f t="shared" si="36"/>
        <v>1988.3218329801823</v>
      </c>
      <c r="AG15" s="3">
        <f t="shared" si="36"/>
        <v>2008.2050513099841</v>
      </c>
      <c r="AH15" s="3">
        <f t="shared" si="36"/>
        <v>2028.287101823084</v>
      </c>
      <c r="AI15" s="3">
        <f t="shared" si="36"/>
        <v>2048.5699728413147</v>
      </c>
      <c r="AJ15" s="3">
        <f t="shared" si="36"/>
        <v>2069.0556725697279</v>
      </c>
      <c r="AK15" s="3">
        <f t="shared" si="36"/>
        <v>2089.7462292954251</v>
      </c>
    </row>
    <row r="16" spans="2:37" s="4" customFormat="1" x14ac:dyDescent="0.3">
      <c r="B16" s="4" t="s">
        <v>36</v>
      </c>
      <c r="C16" s="5">
        <f t="shared" ref="C16:P16" si="37">C12-C13-C14-C15</f>
        <v>1242</v>
      </c>
      <c r="D16" s="5">
        <f t="shared" si="37"/>
        <v>1498</v>
      </c>
      <c r="E16" s="5">
        <f t="shared" si="37"/>
        <v>1677</v>
      </c>
      <c r="F16" s="5">
        <f t="shared" si="37"/>
        <v>1700</v>
      </c>
      <c r="G16" s="5">
        <f t="shared" si="37"/>
        <v>1781</v>
      </c>
      <c r="H16" s="5">
        <f t="shared" si="37"/>
        <v>1607</v>
      </c>
      <c r="I16" s="5">
        <f t="shared" si="37"/>
        <v>-1322</v>
      </c>
      <c r="J16" s="5">
        <f t="shared" si="37"/>
        <v>1770</v>
      </c>
      <c r="K16" s="5">
        <f t="shared" si="37"/>
        <v>1851</v>
      </c>
      <c r="L16" s="5">
        <f t="shared" si="37"/>
        <v>428</v>
      </c>
      <c r="M16" s="5">
        <f t="shared" si="37"/>
        <v>1906</v>
      </c>
      <c r="N16" s="5">
        <f t="shared" si="37"/>
        <v>2009</v>
      </c>
      <c r="O16" s="5">
        <f t="shared" si="37"/>
        <v>1958</v>
      </c>
      <c r="P16" s="5">
        <f t="shared" si="37"/>
        <v>2040</v>
      </c>
      <c r="Q16" s="5">
        <f t="shared" ref="Q16:R16" si="38">Q12-Q13-Q14-Q15</f>
        <v>2054.927999999999</v>
      </c>
      <c r="R16" s="5">
        <f t="shared" si="38"/>
        <v>2202.2142999999983</v>
      </c>
      <c r="U16" s="5">
        <f t="shared" ref="U16:AA16" si="39">U12-U13-U14-U15</f>
        <v>4152</v>
      </c>
      <c r="V16" s="5">
        <f t="shared" si="39"/>
        <v>-2353</v>
      </c>
      <c r="W16" s="5">
        <f t="shared" si="39"/>
        <v>4931</v>
      </c>
      <c r="X16" s="5">
        <f t="shared" si="39"/>
        <v>6117</v>
      </c>
      <c r="Y16" s="5">
        <f t="shared" si="39"/>
        <v>3836</v>
      </c>
      <c r="Z16" s="5">
        <f t="shared" si="39"/>
        <v>6194</v>
      </c>
      <c r="AA16" s="5">
        <f t="shared" si="39"/>
        <v>8255.1423000000159</v>
      </c>
      <c r="AB16" s="5">
        <f t="shared" ref="AB16:AK16" si="40">AB12-AB13-AB14-AB15</f>
        <v>9232.7286159999967</v>
      </c>
      <c r="AC16" s="5">
        <f t="shared" si="40"/>
        <v>9947.6590745600042</v>
      </c>
      <c r="AD16" s="5">
        <f t="shared" si="40"/>
        <v>10369.210688984804</v>
      </c>
      <c r="AE16" s="5">
        <f t="shared" si="40"/>
        <v>10733.707949562431</v>
      </c>
      <c r="AF16" s="5">
        <f t="shared" si="40"/>
        <v>11062.820492170122</v>
      </c>
      <c r="AG16" s="5">
        <f t="shared" si="40"/>
        <v>11401.249794553172</v>
      </c>
      <c r="AH16" s="5">
        <f t="shared" si="40"/>
        <v>11749.25724074897</v>
      </c>
      <c r="AI16" s="5">
        <f t="shared" si="40"/>
        <v>12107.111624076573</v>
      </c>
      <c r="AJ16" s="5">
        <f t="shared" si="40"/>
        <v>12475.089360071845</v>
      </c>
      <c r="AK16" s="5">
        <f t="shared" si="40"/>
        <v>12853.474705616634</v>
      </c>
    </row>
    <row r="17" spans="2:135" x14ac:dyDescent="0.3">
      <c r="B17" s="1" t="s">
        <v>37</v>
      </c>
      <c r="C17" s="3">
        <v>116</v>
      </c>
      <c r="D17" s="3">
        <v>160</v>
      </c>
      <c r="E17" s="3">
        <v>282</v>
      </c>
      <c r="F17" s="3">
        <f t="shared" ref="F17:F18" si="41">X17-E17-D17-C17</f>
        <v>232</v>
      </c>
      <c r="G17" s="3">
        <v>300</v>
      </c>
      <c r="H17" s="3">
        <v>248</v>
      </c>
      <c r="I17" s="3">
        <v>-389</v>
      </c>
      <c r="J17" s="3">
        <f t="shared" ref="J17:J18" si="42">Y17-I17-H17-G17</f>
        <v>297</v>
      </c>
      <c r="K17" s="3">
        <v>108</v>
      </c>
      <c r="L17" s="3">
        <v>253</v>
      </c>
      <c r="M17" s="3">
        <v>371</v>
      </c>
      <c r="N17" s="3">
        <f t="shared" ref="N17:N18" si="43">Z17-M17-L17-K17</f>
        <v>449</v>
      </c>
      <c r="O17" s="3">
        <v>333</v>
      </c>
      <c r="P17" s="3">
        <v>315</v>
      </c>
      <c r="Q17" s="3">
        <f>Q16*0.17</f>
        <v>349.33775999999983</v>
      </c>
      <c r="R17" s="3">
        <f>R16*0.17</f>
        <v>374.37643099999974</v>
      </c>
      <c r="U17" s="3">
        <v>421</v>
      </c>
      <c r="V17" s="3">
        <v>575</v>
      </c>
      <c r="W17" s="3">
        <v>786</v>
      </c>
      <c r="X17" s="3">
        <v>790</v>
      </c>
      <c r="Y17" s="3">
        <v>456</v>
      </c>
      <c r="Z17" s="3">
        <v>1181</v>
      </c>
      <c r="AA17" s="3">
        <f t="shared" ref="AA17:AA18" si="44">SUM(O17:R17)</f>
        <v>1371.7141909999996</v>
      </c>
      <c r="AB17" s="3">
        <f t="shared" ref="AB17:AK17" si="45">AB16*0.15</f>
        <v>1384.9092923999995</v>
      </c>
      <c r="AC17" s="3">
        <f t="shared" si="45"/>
        <v>1492.1488611840007</v>
      </c>
      <c r="AD17" s="3">
        <f t="shared" si="45"/>
        <v>1555.3816033477206</v>
      </c>
      <c r="AE17" s="3">
        <f t="shared" si="45"/>
        <v>1610.0561924343647</v>
      </c>
      <c r="AF17" s="3">
        <f t="shared" si="45"/>
        <v>1659.4230738255183</v>
      </c>
      <c r="AG17" s="3">
        <f t="shared" si="45"/>
        <v>1710.1874691829757</v>
      </c>
      <c r="AH17" s="3">
        <f t="shared" si="45"/>
        <v>1762.3885861123454</v>
      </c>
      <c r="AI17" s="3">
        <f t="shared" si="45"/>
        <v>1816.0667436114859</v>
      </c>
      <c r="AJ17" s="3">
        <f t="shared" si="45"/>
        <v>1871.2634040107766</v>
      </c>
      <c r="AK17" s="3">
        <f t="shared" si="45"/>
        <v>1928.021205842495</v>
      </c>
    </row>
    <row r="18" spans="2:135" x14ac:dyDescent="0.3">
      <c r="B18" s="1" t="s">
        <v>38</v>
      </c>
      <c r="C18" s="3">
        <v>23</v>
      </c>
      <c r="D18" s="3">
        <v>34</v>
      </c>
      <c r="E18" s="3">
        <v>8</v>
      </c>
      <c r="F18" s="3">
        <f t="shared" si="41"/>
        <v>46</v>
      </c>
      <c r="G18" s="3">
        <v>55</v>
      </c>
      <c r="H18" s="3">
        <v>32</v>
      </c>
      <c r="I18" s="3">
        <v>51</v>
      </c>
      <c r="J18" s="3">
        <f t="shared" si="42"/>
        <v>47</v>
      </c>
      <c r="K18" s="3">
        <v>34</v>
      </c>
      <c r="L18" s="3">
        <v>64</v>
      </c>
      <c r="M18" s="3">
        <v>63</v>
      </c>
      <c r="N18" s="3">
        <f t="shared" si="43"/>
        <v>78</v>
      </c>
      <c r="O18" s="3">
        <v>90</v>
      </c>
      <c r="P18" s="3">
        <v>68</v>
      </c>
      <c r="Q18" s="3">
        <f>Q16*0.03</f>
        <v>61.647839999999967</v>
      </c>
      <c r="R18" s="3">
        <f>R16*0.03</f>
        <v>66.066428999999943</v>
      </c>
      <c r="U18" s="3">
        <v>221</v>
      </c>
      <c r="V18" s="3">
        <v>181</v>
      </c>
      <c r="W18" s="3">
        <v>248</v>
      </c>
      <c r="X18" s="3">
        <v>111</v>
      </c>
      <c r="Y18" s="3">
        <v>185</v>
      </c>
      <c r="Z18" s="3">
        <v>239</v>
      </c>
      <c r="AA18" s="3">
        <f t="shared" si="44"/>
        <v>285.71426899999994</v>
      </c>
      <c r="AB18" s="3">
        <f t="shared" ref="AB18:AK18" si="46">AB16*0.03</f>
        <v>276.98185847999991</v>
      </c>
      <c r="AC18" s="3">
        <f t="shared" si="46"/>
        <v>298.42977223680009</v>
      </c>
      <c r="AD18" s="3">
        <f t="shared" si="46"/>
        <v>311.07632066954409</v>
      </c>
      <c r="AE18" s="3">
        <f t="shared" si="46"/>
        <v>322.01123848687291</v>
      </c>
      <c r="AF18" s="3">
        <f t="shared" si="46"/>
        <v>331.88461476510366</v>
      </c>
      <c r="AG18" s="3">
        <f t="shared" si="46"/>
        <v>342.03749383659516</v>
      </c>
      <c r="AH18" s="3">
        <f t="shared" si="46"/>
        <v>352.4777172224691</v>
      </c>
      <c r="AI18" s="3">
        <f t="shared" si="46"/>
        <v>363.21334872229716</v>
      </c>
      <c r="AJ18" s="3">
        <f t="shared" si="46"/>
        <v>374.25268080215534</v>
      </c>
      <c r="AK18" s="3">
        <f t="shared" si="46"/>
        <v>385.60424116849902</v>
      </c>
    </row>
    <row r="19" spans="2:135" s="4" customFormat="1" x14ac:dyDescent="0.3">
      <c r="B19" s="4" t="s">
        <v>39</v>
      </c>
      <c r="C19" s="5">
        <f t="shared" ref="C19:P19" si="47">C16-C17-C18</f>
        <v>1103</v>
      </c>
      <c r="D19" s="5">
        <f t="shared" si="47"/>
        <v>1304</v>
      </c>
      <c r="E19" s="5">
        <f t="shared" si="47"/>
        <v>1387</v>
      </c>
      <c r="F19" s="5">
        <f t="shared" si="47"/>
        <v>1422</v>
      </c>
      <c r="G19" s="5">
        <f t="shared" si="47"/>
        <v>1426</v>
      </c>
      <c r="H19" s="5">
        <f t="shared" si="47"/>
        <v>1327</v>
      </c>
      <c r="I19" s="5">
        <f t="shared" si="47"/>
        <v>-984</v>
      </c>
      <c r="J19" s="5">
        <f t="shared" si="47"/>
        <v>1426</v>
      </c>
      <c r="K19" s="5">
        <f t="shared" si="47"/>
        <v>1709</v>
      </c>
      <c r="L19" s="5">
        <f t="shared" si="47"/>
        <v>111</v>
      </c>
      <c r="M19" s="5">
        <f t="shared" si="47"/>
        <v>1472</v>
      </c>
      <c r="N19" s="5">
        <f t="shared" si="47"/>
        <v>1482</v>
      </c>
      <c r="O19" s="5">
        <f t="shared" si="47"/>
        <v>1535</v>
      </c>
      <c r="P19" s="5">
        <f t="shared" si="47"/>
        <v>1657</v>
      </c>
      <c r="Q19" s="5">
        <f t="shared" ref="Q19:R19" si="48">Q16-Q17-Q18</f>
        <v>1643.9423999999992</v>
      </c>
      <c r="R19" s="5">
        <f t="shared" si="48"/>
        <v>1761.7714399999986</v>
      </c>
      <c r="U19" s="5">
        <f t="shared" ref="U19:Z19" si="49">U16-U17-U18</f>
        <v>3510</v>
      </c>
      <c r="V19" s="5">
        <f t="shared" si="49"/>
        <v>-3109</v>
      </c>
      <c r="W19" s="5">
        <f t="shared" si="49"/>
        <v>3897</v>
      </c>
      <c r="X19" s="5">
        <f t="shared" si="49"/>
        <v>5216</v>
      </c>
      <c r="Y19" s="5">
        <f t="shared" si="49"/>
        <v>3195</v>
      </c>
      <c r="Z19" s="5">
        <f t="shared" si="49"/>
        <v>4774</v>
      </c>
      <c r="AA19" s="5">
        <f t="shared" ref="AA19:AK19" si="50">AA16-AA17-AA18</f>
        <v>6597.7138400000167</v>
      </c>
      <c r="AB19" s="5">
        <f t="shared" si="50"/>
        <v>7570.8374651199974</v>
      </c>
      <c r="AC19" s="5">
        <f t="shared" si="50"/>
        <v>8157.0804411392028</v>
      </c>
      <c r="AD19" s="5">
        <f t="shared" si="50"/>
        <v>8502.7527649675394</v>
      </c>
      <c r="AE19" s="5">
        <f t="shared" si="50"/>
        <v>8801.6405186411939</v>
      </c>
      <c r="AF19" s="5">
        <f t="shared" si="50"/>
        <v>9071.5128035795005</v>
      </c>
      <c r="AG19" s="5">
        <f t="shared" si="50"/>
        <v>9349.0248315336012</v>
      </c>
      <c r="AH19" s="5">
        <f t="shared" si="50"/>
        <v>9634.3909374141549</v>
      </c>
      <c r="AI19" s="5">
        <f t="shared" si="50"/>
        <v>9927.8315317427914</v>
      </c>
      <c r="AJ19" s="5">
        <f t="shared" si="50"/>
        <v>10229.573275258912</v>
      </c>
      <c r="AK19" s="5">
        <f t="shared" si="50"/>
        <v>10539.84925860564</v>
      </c>
      <c r="AL19" s="4">
        <f>AK19*(1+$AO$25)</f>
        <v>10434.450766019583</v>
      </c>
      <c r="AM19" s="4">
        <f t="shared" ref="AM19:CX19" si="51">AL19*(1+$AO$25)</f>
        <v>10330.106258359387</v>
      </c>
      <c r="AN19" s="4">
        <f t="shared" si="51"/>
        <v>10226.805195775793</v>
      </c>
      <c r="AO19" s="4">
        <f t="shared" si="51"/>
        <v>10124.537143818034</v>
      </c>
      <c r="AP19" s="4">
        <f t="shared" si="51"/>
        <v>10023.291772379853</v>
      </c>
      <c r="AQ19" s="4">
        <f t="shared" si="51"/>
        <v>9923.0588546560539</v>
      </c>
      <c r="AR19" s="4">
        <f t="shared" si="51"/>
        <v>9823.8282661094927</v>
      </c>
      <c r="AS19" s="4">
        <f t="shared" si="51"/>
        <v>9725.5899834483971</v>
      </c>
      <c r="AT19" s="4">
        <f t="shared" si="51"/>
        <v>9628.3340836139123</v>
      </c>
      <c r="AU19" s="4">
        <f t="shared" si="51"/>
        <v>9532.0507427777738</v>
      </c>
      <c r="AV19" s="4">
        <f t="shared" si="51"/>
        <v>9436.7302353499963</v>
      </c>
      <c r="AW19" s="4">
        <f t="shared" si="51"/>
        <v>9342.362932996497</v>
      </c>
      <c r="AX19" s="4">
        <f t="shared" si="51"/>
        <v>9248.9393036665315</v>
      </c>
      <c r="AY19" s="4">
        <f t="shared" si="51"/>
        <v>9156.4499106298663</v>
      </c>
      <c r="AZ19" s="4">
        <f t="shared" si="51"/>
        <v>9064.8854115235681</v>
      </c>
      <c r="BA19" s="4">
        <f t="shared" si="51"/>
        <v>8974.2365574083324</v>
      </c>
      <c r="BB19" s="4">
        <f t="shared" si="51"/>
        <v>8884.4941918342483</v>
      </c>
      <c r="BC19" s="4">
        <f t="shared" si="51"/>
        <v>8795.6492499159049</v>
      </c>
      <c r="BD19" s="4">
        <f t="shared" si="51"/>
        <v>8707.6927574167457</v>
      </c>
      <c r="BE19" s="4">
        <f t="shared" si="51"/>
        <v>8620.615829842578</v>
      </c>
      <c r="BF19" s="4">
        <f t="shared" si="51"/>
        <v>8534.4096715441519</v>
      </c>
      <c r="BG19" s="4">
        <f t="shared" si="51"/>
        <v>8449.0655748287099</v>
      </c>
      <c r="BH19" s="4">
        <f t="shared" si="51"/>
        <v>8364.5749190804236</v>
      </c>
      <c r="BI19" s="4">
        <f t="shared" si="51"/>
        <v>8280.9291698896195</v>
      </c>
      <c r="BJ19" s="4">
        <f t="shared" si="51"/>
        <v>8198.1198781907224</v>
      </c>
      <c r="BK19" s="4">
        <f t="shared" si="51"/>
        <v>8116.1386794088148</v>
      </c>
      <c r="BL19" s="4">
        <f t="shared" si="51"/>
        <v>8034.977292614727</v>
      </c>
      <c r="BM19" s="4">
        <f t="shared" si="51"/>
        <v>7954.6275196885799</v>
      </c>
      <c r="BN19" s="4">
        <f t="shared" si="51"/>
        <v>7875.0812444916937</v>
      </c>
      <c r="BO19" s="4">
        <f t="shared" si="51"/>
        <v>7796.3304320467769</v>
      </c>
      <c r="BP19" s="4">
        <f t="shared" si="51"/>
        <v>7718.3671277263093</v>
      </c>
      <c r="BQ19" s="4">
        <f t="shared" si="51"/>
        <v>7641.1834564490464</v>
      </c>
      <c r="BR19" s="4">
        <f t="shared" si="51"/>
        <v>7564.7716218845562</v>
      </c>
      <c r="BS19" s="4">
        <f t="shared" si="51"/>
        <v>7489.1239056657105</v>
      </c>
      <c r="BT19" s="4">
        <f t="shared" si="51"/>
        <v>7414.232666609053</v>
      </c>
      <c r="BU19" s="4">
        <f t="shared" si="51"/>
        <v>7340.0903399429626</v>
      </c>
      <c r="BV19" s="4">
        <f t="shared" si="51"/>
        <v>7266.6894365435328</v>
      </c>
      <c r="BW19" s="4">
        <f t="shared" si="51"/>
        <v>7194.022542178097</v>
      </c>
      <c r="BX19" s="4">
        <f t="shared" si="51"/>
        <v>7122.0823167563158</v>
      </c>
      <c r="BY19" s="4">
        <f t="shared" si="51"/>
        <v>7050.8614935887526</v>
      </c>
      <c r="BZ19" s="4">
        <f t="shared" si="51"/>
        <v>6980.352878652865</v>
      </c>
      <c r="CA19" s="4">
        <f t="shared" si="51"/>
        <v>6910.5493498663363</v>
      </c>
      <c r="CB19" s="4">
        <f t="shared" si="51"/>
        <v>6841.4438563676731</v>
      </c>
      <c r="CC19" s="4">
        <f t="shared" si="51"/>
        <v>6773.0294178039967</v>
      </c>
      <c r="CD19" s="4">
        <f t="shared" si="51"/>
        <v>6705.2991236259568</v>
      </c>
      <c r="CE19" s="4">
        <f t="shared" si="51"/>
        <v>6638.2461323896969</v>
      </c>
      <c r="CF19" s="4">
        <f t="shared" si="51"/>
        <v>6571.8636710658002</v>
      </c>
      <c r="CG19" s="4">
        <f t="shared" si="51"/>
        <v>6506.1450343551423</v>
      </c>
      <c r="CH19" s="4">
        <f t="shared" si="51"/>
        <v>6441.0835840115906</v>
      </c>
      <c r="CI19" s="4">
        <f t="shared" si="51"/>
        <v>6376.6727481714743</v>
      </c>
      <c r="CJ19" s="4">
        <f t="shared" si="51"/>
        <v>6312.9060206897593</v>
      </c>
      <c r="CK19" s="4">
        <f t="shared" si="51"/>
        <v>6249.7769604828618</v>
      </c>
      <c r="CL19" s="4">
        <f t="shared" si="51"/>
        <v>6187.2791908780328</v>
      </c>
      <c r="CM19" s="4">
        <f t="shared" si="51"/>
        <v>6125.4063989692522</v>
      </c>
      <c r="CN19" s="4">
        <f t="shared" si="51"/>
        <v>6064.1523349795598</v>
      </c>
      <c r="CO19" s="4">
        <f t="shared" si="51"/>
        <v>6003.5108116297642</v>
      </c>
      <c r="CP19" s="4">
        <f t="shared" si="51"/>
        <v>5943.4757035134662</v>
      </c>
      <c r="CQ19" s="4">
        <f t="shared" si="51"/>
        <v>5884.0409464783315</v>
      </c>
      <c r="CR19" s="4">
        <f t="shared" si="51"/>
        <v>5825.2005370135485</v>
      </c>
      <c r="CS19" s="4">
        <f t="shared" si="51"/>
        <v>5766.9485316434129</v>
      </c>
      <c r="CT19" s="4">
        <f t="shared" si="51"/>
        <v>5709.2790463269785</v>
      </c>
      <c r="CU19" s="4">
        <f t="shared" si="51"/>
        <v>5652.1862558637085</v>
      </c>
      <c r="CV19" s="4">
        <f t="shared" si="51"/>
        <v>5595.6643933050718</v>
      </c>
      <c r="CW19" s="4">
        <f t="shared" si="51"/>
        <v>5539.7077493720208</v>
      </c>
      <c r="CX19" s="4">
        <f t="shared" si="51"/>
        <v>5484.3106718783001</v>
      </c>
      <c r="CY19" s="4">
        <f t="shared" ref="CY19:EE19" si="52">CX19*(1+$AO$25)</f>
        <v>5429.4675651595171</v>
      </c>
      <c r="CZ19" s="4">
        <f t="shared" si="52"/>
        <v>5375.1728895079223</v>
      </c>
      <c r="DA19" s="4">
        <f t="shared" si="52"/>
        <v>5321.4211606128429</v>
      </c>
      <c r="DB19" s="4">
        <f t="shared" si="52"/>
        <v>5268.2069490067142</v>
      </c>
      <c r="DC19" s="4">
        <f t="shared" si="52"/>
        <v>5215.5248795166472</v>
      </c>
      <c r="DD19" s="4">
        <f t="shared" si="52"/>
        <v>5163.3696307214805</v>
      </c>
      <c r="DE19" s="4">
        <f t="shared" si="52"/>
        <v>5111.735934414266</v>
      </c>
      <c r="DF19" s="4">
        <f t="shared" si="52"/>
        <v>5060.6185750701234</v>
      </c>
      <c r="DG19" s="4">
        <f t="shared" si="52"/>
        <v>5010.0123893194223</v>
      </c>
      <c r="DH19" s="4">
        <f t="shared" si="52"/>
        <v>4959.9122654262283</v>
      </c>
      <c r="DI19" s="4">
        <f t="shared" si="52"/>
        <v>4910.3131427719663</v>
      </c>
      <c r="DJ19" s="4">
        <f t="shared" si="52"/>
        <v>4861.2100113442466</v>
      </c>
      <c r="DK19" s="4">
        <f t="shared" si="52"/>
        <v>4812.5979112308041</v>
      </c>
      <c r="DL19" s="4">
        <f t="shared" si="52"/>
        <v>4764.4719321184957</v>
      </c>
      <c r="DM19" s="4">
        <f t="shared" si="52"/>
        <v>4716.8272127973105</v>
      </c>
      <c r="DN19" s="4">
        <f t="shared" si="52"/>
        <v>4669.6589406693374</v>
      </c>
      <c r="DO19" s="4">
        <f t="shared" si="52"/>
        <v>4622.962351262644</v>
      </c>
      <c r="DP19" s="4">
        <f t="shared" si="52"/>
        <v>4576.7327277500171</v>
      </c>
      <c r="DQ19" s="4">
        <f t="shared" si="52"/>
        <v>4530.9654004725171</v>
      </c>
      <c r="DR19" s="4">
        <f t="shared" si="52"/>
        <v>4485.6557464677917</v>
      </c>
      <c r="DS19" s="4">
        <f t="shared" si="52"/>
        <v>4440.7991890031135</v>
      </c>
      <c r="DT19" s="4">
        <f t="shared" si="52"/>
        <v>4396.3911971130819</v>
      </c>
      <c r="DU19" s="4">
        <f t="shared" si="52"/>
        <v>4352.427285141951</v>
      </c>
      <c r="DV19" s="4">
        <f t="shared" si="52"/>
        <v>4308.9030122905315</v>
      </c>
      <c r="DW19" s="4">
        <f t="shared" si="52"/>
        <v>4265.8139821676259</v>
      </c>
      <c r="DX19" s="4">
        <f t="shared" si="52"/>
        <v>4223.1558423459492</v>
      </c>
      <c r="DY19" s="4">
        <f t="shared" si="52"/>
        <v>4180.9242839224898</v>
      </c>
      <c r="DZ19" s="4">
        <f t="shared" si="52"/>
        <v>4139.1150410832652</v>
      </c>
      <c r="EA19" s="4">
        <f t="shared" si="52"/>
        <v>4097.7238906724324</v>
      </c>
      <c r="EB19" s="4">
        <f t="shared" si="52"/>
        <v>4056.7466517657081</v>
      </c>
      <c r="EC19" s="4">
        <f t="shared" si="52"/>
        <v>4016.179185248051</v>
      </c>
      <c r="ED19" s="4">
        <f t="shared" si="52"/>
        <v>3976.0173933955703</v>
      </c>
      <c r="EE19" s="4">
        <f t="shared" si="52"/>
        <v>3936.2572194616146</v>
      </c>
    </row>
    <row r="20" spans="2:135" x14ac:dyDescent="0.3">
      <c r="B20" s="1" t="s">
        <v>2</v>
      </c>
      <c r="C20" s="3">
        <v>1330</v>
      </c>
      <c r="D20" s="3">
        <v>1330</v>
      </c>
      <c r="E20" s="3">
        <v>1330</v>
      </c>
      <c r="F20" s="3">
        <v>1330</v>
      </c>
      <c r="G20" s="3">
        <v>1330</v>
      </c>
      <c r="H20" s="3">
        <v>1330</v>
      </c>
      <c r="I20" s="3">
        <v>1330</v>
      </c>
      <c r="J20" s="3">
        <v>1330</v>
      </c>
      <c r="K20" s="3">
        <v>1330</v>
      </c>
      <c r="L20" s="3">
        <v>1330</v>
      </c>
      <c r="M20" s="3">
        <v>1330</v>
      </c>
      <c r="N20" s="3">
        <v>1330</v>
      </c>
      <c r="O20" s="3">
        <v>1330</v>
      </c>
      <c r="P20" s="3">
        <f>1338.5</f>
        <v>1338.5</v>
      </c>
      <c r="Q20" s="3">
        <f t="shared" ref="Q20:R20" si="53">1338.5</f>
        <v>1338.5</v>
      </c>
      <c r="R20" s="3">
        <f t="shared" si="53"/>
        <v>1338.5</v>
      </c>
      <c r="U20" s="3">
        <f t="shared" ref="U20:Z20" si="54">1332.1</f>
        <v>1332.1</v>
      </c>
      <c r="V20" s="3">
        <f t="shared" si="54"/>
        <v>1332.1</v>
      </c>
      <c r="W20" s="3">
        <f t="shared" si="54"/>
        <v>1332.1</v>
      </c>
      <c r="X20" s="3">
        <f t="shared" si="54"/>
        <v>1332.1</v>
      </c>
      <c r="Y20" s="3">
        <f t="shared" si="54"/>
        <v>1332.1</v>
      </c>
      <c r="Z20" s="3">
        <f t="shared" si="54"/>
        <v>1332.1</v>
      </c>
      <c r="AA20" s="3">
        <f t="shared" ref="AA20:AK20" si="55">1338.5</f>
        <v>1338.5</v>
      </c>
      <c r="AB20" s="3">
        <f t="shared" si="55"/>
        <v>1338.5</v>
      </c>
      <c r="AC20" s="3">
        <f t="shared" si="55"/>
        <v>1338.5</v>
      </c>
      <c r="AD20" s="3">
        <f t="shared" si="55"/>
        <v>1338.5</v>
      </c>
      <c r="AE20" s="3">
        <f t="shared" si="55"/>
        <v>1338.5</v>
      </c>
      <c r="AF20" s="3">
        <f t="shared" si="55"/>
        <v>1338.5</v>
      </c>
      <c r="AG20" s="3">
        <f t="shared" si="55"/>
        <v>1338.5</v>
      </c>
      <c r="AH20" s="3">
        <f t="shared" si="55"/>
        <v>1338.5</v>
      </c>
      <c r="AI20" s="3">
        <f t="shared" si="55"/>
        <v>1338.5</v>
      </c>
      <c r="AJ20" s="3">
        <f t="shared" si="55"/>
        <v>1338.5</v>
      </c>
      <c r="AK20" s="3">
        <f t="shared" si="55"/>
        <v>1338.5</v>
      </c>
    </row>
    <row r="21" spans="2:135" x14ac:dyDescent="0.3">
      <c r="B21" s="1" t="s">
        <v>40</v>
      </c>
      <c r="C21" s="6">
        <f t="shared" ref="C21:P21" si="56">C19/C20</f>
        <v>0.82932330827067668</v>
      </c>
      <c r="D21" s="6">
        <f t="shared" si="56"/>
        <v>0.98045112781954891</v>
      </c>
      <c r="E21" s="6">
        <f t="shared" si="56"/>
        <v>1.0428571428571429</v>
      </c>
      <c r="F21" s="6">
        <f t="shared" si="56"/>
        <v>1.069172932330827</v>
      </c>
      <c r="G21" s="6">
        <f t="shared" si="56"/>
        <v>1.0721804511278195</v>
      </c>
      <c r="H21" s="6">
        <f t="shared" si="56"/>
        <v>0.9977443609022556</v>
      </c>
      <c r="I21" s="6">
        <f t="shared" si="56"/>
        <v>-0.73984962406015042</v>
      </c>
      <c r="J21" s="6">
        <f t="shared" si="56"/>
        <v>1.0721804511278195</v>
      </c>
      <c r="K21" s="6">
        <f t="shared" si="56"/>
        <v>1.2849624060150375</v>
      </c>
      <c r="L21" s="6">
        <f t="shared" si="56"/>
        <v>8.3458646616541357E-2</v>
      </c>
      <c r="M21" s="6">
        <f t="shared" si="56"/>
        <v>1.1067669172932331</v>
      </c>
      <c r="N21" s="6">
        <f t="shared" si="56"/>
        <v>1.1142857142857143</v>
      </c>
      <c r="O21" s="6">
        <f t="shared" si="56"/>
        <v>1.1541353383458646</v>
      </c>
      <c r="P21" s="6">
        <f t="shared" si="56"/>
        <v>1.2379529323870004</v>
      </c>
      <c r="Q21" s="6">
        <f t="shared" ref="Q21:R21" si="57">Q19/Q20</f>
        <v>1.2281975345536043</v>
      </c>
      <c r="R21" s="6">
        <f t="shared" si="57"/>
        <v>1.3162281957415007</v>
      </c>
      <c r="U21" s="6">
        <f t="shared" ref="U21:Z21" si="58">U19/U20</f>
        <v>2.6349373170182422</v>
      </c>
      <c r="V21" s="6">
        <f t="shared" si="58"/>
        <v>-2.3339088657007734</v>
      </c>
      <c r="W21" s="6">
        <f t="shared" si="58"/>
        <v>2.9254560468433302</v>
      </c>
      <c r="X21" s="6">
        <f t="shared" si="58"/>
        <v>3.9156219503040317</v>
      </c>
      <c r="Y21" s="6">
        <f t="shared" si="58"/>
        <v>2.3984685834396817</v>
      </c>
      <c r="Z21" s="6">
        <f t="shared" si="58"/>
        <v>3.5838150289017343</v>
      </c>
      <c r="AA21" s="6">
        <f t="shared" ref="AA21:AK21" si="59">AA19/AA20</f>
        <v>4.9291847889428588</v>
      </c>
      <c r="AB21" s="6">
        <f t="shared" si="59"/>
        <v>5.6562102839895383</v>
      </c>
      <c r="AC21" s="6">
        <f t="shared" si="59"/>
        <v>6.0941953239740032</v>
      </c>
      <c r="AD21" s="6">
        <f t="shared" si="59"/>
        <v>6.352448834491998</v>
      </c>
      <c r="AE21" s="6">
        <f t="shared" si="59"/>
        <v>6.5757493602100814</v>
      </c>
      <c r="AF21" s="6">
        <f t="shared" si="59"/>
        <v>6.7773722850799407</v>
      </c>
      <c r="AG21" s="6">
        <f t="shared" si="59"/>
        <v>6.9847028999130378</v>
      </c>
      <c r="AH21" s="6">
        <f t="shared" si="59"/>
        <v>7.1979013353859953</v>
      </c>
      <c r="AI21" s="6">
        <f t="shared" si="59"/>
        <v>7.4171322612945767</v>
      </c>
      <c r="AJ21" s="6">
        <f t="shared" si="59"/>
        <v>7.6425650170032959</v>
      </c>
      <c r="AK21" s="6">
        <f t="shared" si="59"/>
        <v>7.8743737456896827</v>
      </c>
    </row>
    <row r="23" spans="2:135" x14ac:dyDescent="0.3">
      <c r="B23" s="1" t="s">
        <v>42</v>
      </c>
      <c r="C23" s="7"/>
      <c r="D23" s="7"/>
      <c r="E23" s="7"/>
      <c r="F23" s="7"/>
      <c r="G23" s="7">
        <f t="shared" ref="G23:P25" si="60">G3/C3-1</f>
        <v>7.7980104535491535E-2</v>
      </c>
      <c r="H23" s="7">
        <f t="shared" si="60"/>
        <v>9.4061021373796683E-2</v>
      </c>
      <c r="I23" s="7"/>
      <c r="J23" s="7">
        <f t="shared" si="60"/>
        <v>6.1955817802403335E-2</v>
      </c>
      <c r="K23" s="7">
        <f t="shared" si="60"/>
        <v>0.11855791037772745</v>
      </c>
      <c r="L23" s="7">
        <f t="shared" si="60"/>
        <v>8.5825068973230945E-2</v>
      </c>
      <c r="M23" s="7"/>
      <c r="N23" s="7">
        <f t="shared" si="60"/>
        <v>8.6800379455210797E-2</v>
      </c>
      <c r="O23" s="7">
        <f t="shared" si="60"/>
        <v>2.0135635880584424E-2</v>
      </c>
      <c r="P23" s="7">
        <f t="shared" si="60"/>
        <v>6.7916494986952403E-2</v>
      </c>
      <c r="Q23" s="7">
        <f t="shared" ref="Q23:Q25" si="61">Q3/M3-1</f>
        <v>6.0000000000000053E-2</v>
      </c>
      <c r="R23" s="7">
        <f t="shared" ref="R23:R25" si="62">R3/N3-1</f>
        <v>5.0000000000000044E-2</v>
      </c>
      <c r="U23" s="7"/>
      <c r="V23" s="7">
        <f>V3/U3-1</f>
        <v>0.31277653191102495</v>
      </c>
      <c r="W23" s="7">
        <f t="shared" ref="W23:Z23" si="63">W3/V3-1</f>
        <v>0.13737620905376402</v>
      </c>
      <c r="X23" s="7">
        <f t="shared" si="63"/>
        <v>3.0505378526486604E-2</v>
      </c>
      <c r="Y23" s="7">
        <f t="shared" si="63"/>
        <v>-2.3673999960609038E-2</v>
      </c>
      <c r="Z23" s="7">
        <f t="shared" si="63"/>
        <v>0.20255794718686326</v>
      </c>
      <c r="AA23" s="7">
        <f t="shared" ref="AA23:AA25" si="64">AA3/Z3-1</f>
        <v>4.967842045225801E-2</v>
      </c>
      <c r="AB23" s="7">
        <f t="shared" ref="AB23:AB25" si="65">AB3/AA3-1</f>
        <v>4.0000000000000036E-2</v>
      </c>
      <c r="AC23" s="7">
        <f t="shared" ref="AC23:AC25" si="66">AC3/AB3-1</f>
        <v>3.0000000000000027E-2</v>
      </c>
      <c r="AD23" s="7">
        <f t="shared" ref="AD23:AD25" si="67">AD3/AC3-1</f>
        <v>2.0000000000000018E-2</v>
      </c>
      <c r="AE23" s="7">
        <f t="shared" ref="AE23:AE25" si="68">AE3/AD3-1</f>
        <v>2.0000000000000018E-2</v>
      </c>
      <c r="AF23" s="7">
        <f t="shared" ref="AF23:AF25" si="69">AF3/AE3-1</f>
        <v>2.0000000000000018E-2</v>
      </c>
      <c r="AG23" s="7">
        <f t="shared" ref="AG23:AG25" si="70">AG3/AF3-1</f>
        <v>2.0000000000000018E-2</v>
      </c>
      <c r="AH23" s="7">
        <f t="shared" ref="AH23:AH25" si="71">AH3/AG3-1</f>
        <v>2.0000000000000018E-2</v>
      </c>
      <c r="AI23" s="7">
        <f t="shared" ref="AI23:AI25" si="72">AI3/AH3-1</f>
        <v>2.0000000000000018E-2</v>
      </c>
      <c r="AJ23" s="7">
        <f t="shared" ref="AJ23:AJ25" si="73">AJ3/AI3-1</f>
        <v>2.0000000000000018E-2</v>
      </c>
      <c r="AK23" s="7">
        <f t="shared" ref="AK23:AK25" si="74">AK3/AJ3-1</f>
        <v>2.0000000000000018E-2</v>
      </c>
    </row>
    <row r="24" spans="2:135" x14ac:dyDescent="0.3">
      <c r="B24" s="1" t="s">
        <v>43</v>
      </c>
      <c r="C24" s="7"/>
      <c r="D24" s="7"/>
      <c r="E24" s="7"/>
      <c r="F24" s="7"/>
      <c r="G24" s="7">
        <f t="shared" si="60"/>
        <v>0.14867669953295271</v>
      </c>
      <c r="H24" s="7">
        <f t="shared" si="60"/>
        <v>0.20907297830374749</v>
      </c>
      <c r="I24" s="7">
        <f t="shared" si="60"/>
        <v>0.15589988081048878</v>
      </c>
      <c r="J24" s="7">
        <f t="shared" si="60"/>
        <v>0.23188751191611057</v>
      </c>
      <c r="K24" s="7">
        <f t="shared" si="60"/>
        <v>0.12988479783148854</v>
      </c>
      <c r="L24" s="7">
        <f t="shared" si="60"/>
        <v>5.1998368678629614E-2</v>
      </c>
      <c r="M24" s="7">
        <f t="shared" si="60"/>
        <v>0.10971334295731072</v>
      </c>
      <c r="N24" s="7">
        <f t="shared" si="60"/>
        <v>8.0286322306055258E-2</v>
      </c>
      <c r="O24" s="7">
        <f t="shared" si="60"/>
        <v>0.14254298280687716</v>
      </c>
      <c r="P24" s="7">
        <f t="shared" si="60"/>
        <v>0.16883116883116878</v>
      </c>
      <c r="Q24" s="7">
        <f t="shared" si="61"/>
        <v>0.16999999999999993</v>
      </c>
      <c r="R24" s="7">
        <f t="shared" si="62"/>
        <v>0.17999999999999994</v>
      </c>
      <c r="U24" s="7"/>
      <c r="V24" s="7">
        <f t="shared" ref="V24:Z25" si="75">V4/U4-1</f>
        <v>7.4245000404825623E-2</v>
      </c>
      <c r="W24" s="7">
        <f t="shared" si="75"/>
        <v>0.13943322279167925</v>
      </c>
      <c r="X24" s="7">
        <f t="shared" si="75"/>
        <v>7.8251091414208274E-2</v>
      </c>
      <c r="Y24" s="7">
        <f t="shared" si="75"/>
        <v>0.18698239371817671</v>
      </c>
      <c r="Z24" s="7">
        <f t="shared" si="75"/>
        <v>9.1839371543749104E-2</v>
      </c>
      <c r="AA24" s="7">
        <f t="shared" si="64"/>
        <v>0.16585676417684359</v>
      </c>
      <c r="AB24" s="7">
        <f t="shared" si="65"/>
        <v>0.12999999999999989</v>
      </c>
      <c r="AC24" s="7">
        <f t="shared" si="66"/>
        <v>9.000000000000008E-2</v>
      </c>
      <c r="AD24" s="7">
        <f t="shared" si="67"/>
        <v>5.0000000000000044E-2</v>
      </c>
      <c r="AE24" s="7">
        <f t="shared" si="68"/>
        <v>4.0000000000000036E-2</v>
      </c>
      <c r="AF24" s="7">
        <f t="shared" si="69"/>
        <v>3.0000000000000027E-2</v>
      </c>
      <c r="AG24" s="7">
        <f t="shared" si="70"/>
        <v>3.0000000000000027E-2</v>
      </c>
      <c r="AH24" s="7">
        <f t="shared" si="71"/>
        <v>3.0000000000000027E-2</v>
      </c>
      <c r="AI24" s="7">
        <f t="shared" si="72"/>
        <v>3.0000000000000027E-2</v>
      </c>
      <c r="AJ24" s="7">
        <f t="shared" si="73"/>
        <v>3.0000000000000027E-2</v>
      </c>
      <c r="AK24" s="7">
        <f t="shared" si="74"/>
        <v>3.0000000000000027E-2</v>
      </c>
    </row>
    <row r="25" spans="2:135" s="4" customFormat="1" x14ac:dyDescent="0.3">
      <c r="B25" s="4" t="s">
        <v>41</v>
      </c>
      <c r="C25" s="7"/>
      <c r="D25" s="7"/>
      <c r="E25" s="7"/>
      <c r="F25" s="7"/>
      <c r="G25" s="7">
        <f t="shared" si="60"/>
        <v>9.531687452277926E-2</v>
      </c>
      <c r="H25" s="7">
        <f t="shared" si="60"/>
        <v>0.12265538801029785</v>
      </c>
      <c r="I25" s="7">
        <f t="shared" si="60"/>
        <v>-0.20571057754704736</v>
      </c>
      <c r="J25" s="7">
        <f t="shared" si="60"/>
        <v>0.10136516884983138</v>
      </c>
      <c r="K25" s="7">
        <f t="shared" si="60"/>
        <v>0.12147089578250259</v>
      </c>
      <c r="L25" s="7">
        <f t="shared" si="60"/>
        <v>7.6767676767676818E-2</v>
      </c>
      <c r="M25" s="7">
        <f t="shared" si="60"/>
        <v>0.49205288175876416</v>
      </c>
      <c r="N25" s="7">
        <f t="shared" si="60"/>
        <v>8.5110653886686372E-2</v>
      </c>
      <c r="O25" s="7">
        <f t="shared" si="60"/>
        <v>5.1851851851851816E-2</v>
      </c>
      <c r="P25" s="7">
        <f t="shared" si="60"/>
        <v>9.4315704071801676E-2</v>
      </c>
      <c r="Q25" s="7">
        <f t="shared" si="61"/>
        <v>8.9464383493454092E-2</v>
      </c>
      <c r="R25" s="7">
        <f t="shared" si="62"/>
        <v>8.3571659806687348E-2</v>
      </c>
      <c r="U25" s="7"/>
      <c r="V25" s="7">
        <f t="shared" si="75"/>
        <v>0.24781141811285812</v>
      </c>
      <c r="W25" s="7">
        <f t="shared" si="75"/>
        <v>0.1378585187410537</v>
      </c>
      <c r="X25" s="7">
        <f t="shared" si="75"/>
        <v>4.1715847673479578E-2</v>
      </c>
      <c r="Y25" s="7">
        <f t="shared" si="75"/>
        <v>2.7521841548140857E-2</v>
      </c>
      <c r="Z25" s="7">
        <f t="shared" si="75"/>
        <v>0.17147417295414979</v>
      </c>
      <c r="AA25" s="7">
        <f t="shared" si="64"/>
        <v>8.0077782456835722E-2</v>
      </c>
      <c r="AB25" s="7">
        <f t="shared" si="65"/>
        <v>6.5419790209822359E-2</v>
      </c>
      <c r="AC25" s="7">
        <f t="shared" si="66"/>
        <v>4.7973737176055575E-2</v>
      </c>
      <c r="AD25" s="7">
        <f t="shared" si="67"/>
        <v>2.9347263593977546E-2</v>
      </c>
      <c r="AE25" s="7">
        <f t="shared" si="68"/>
        <v>2.6356537533250846E-2</v>
      </c>
      <c r="AF25" s="7">
        <f t="shared" si="69"/>
        <v>2.3220517818529851E-2</v>
      </c>
      <c r="AG25" s="7">
        <f t="shared" si="70"/>
        <v>2.3241855783108889E-2</v>
      </c>
      <c r="AH25" s="7">
        <f t="shared" si="71"/>
        <v>2.326326707388926E-2</v>
      </c>
      <c r="AI25" s="7">
        <f t="shared" si="72"/>
        <v>2.3284751045268504E-2</v>
      </c>
      <c r="AJ25" s="7">
        <f t="shared" si="73"/>
        <v>2.3306307040313667E-2</v>
      </c>
      <c r="AK25" s="7">
        <f t="shared" si="74"/>
        <v>2.3327934390801053E-2</v>
      </c>
      <c r="AN25" s="1" t="s">
        <v>55</v>
      </c>
      <c r="AO25" s="7">
        <v>-0.01</v>
      </c>
    </row>
    <row r="26" spans="2:135" x14ac:dyDescent="0.3">
      <c r="B26" s="1" t="s">
        <v>44</v>
      </c>
      <c r="C26" s="7">
        <f t="shared" ref="C26" si="76">(C3-C6)/C3</f>
        <v>0.17214634968807957</v>
      </c>
      <c r="D26" s="7">
        <f t="shared" ref="D26:N26" si="77">(D3-D6)/D3</f>
        <v>0.18094305759503998</v>
      </c>
      <c r="E26" s="7">
        <f t="shared" si="77"/>
        <v>0.17740671056757604</v>
      </c>
      <c r="F26" s="7">
        <f t="shared" si="77"/>
        <v>0.16715837950636828</v>
      </c>
      <c r="G26" s="7">
        <f t="shared" si="77"/>
        <v>0.16321263783530149</v>
      </c>
      <c r="H26" s="7">
        <f t="shared" si="77"/>
        <v>0.17314145104764744</v>
      </c>
      <c r="I26" s="7">
        <f t="shared" si="77"/>
        <v>-7.8235635519442834E-2</v>
      </c>
      <c r="J26" s="7">
        <f t="shared" si="77"/>
        <v>0.16336902019243799</v>
      </c>
      <c r="K26" s="7">
        <f t="shared" si="77"/>
        <v>0.14591344473187443</v>
      </c>
      <c r="L26" s="7">
        <f t="shared" si="77"/>
        <v>0.13301744265897542</v>
      </c>
      <c r="M26" s="7">
        <f t="shared" si="77"/>
        <v>0.16127277672015231</v>
      </c>
      <c r="N26" s="7">
        <f t="shared" si="77"/>
        <v>0.15262796932477088</v>
      </c>
      <c r="O26" s="7">
        <f t="shared" ref="O26" si="78">(O3-O6)/O3</f>
        <v>0.15817969981495442</v>
      </c>
      <c r="P26" s="7">
        <f t="shared" ref="P26" si="79">(P3-P6)/P3</f>
        <v>0.16474824770111246</v>
      </c>
      <c r="Q26" s="7">
        <f t="shared" ref="Q26:R26" si="80">(Q3-Q6)/Q3</f>
        <v>0.16</v>
      </c>
      <c r="R26" s="7">
        <f t="shared" si="80"/>
        <v>0.16000000000000009</v>
      </c>
      <c r="U26" s="7">
        <f>(U3-U6)/U3</f>
        <v>0.18449603006242801</v>
      </c>
      <c r="V26" s="7">
        <f>(V3-V6)/V3</f>
        <v>0.11962418338373462</v>
      </c>
      <c r="W26" s="7">
        <f t="shared" ref="W26:Z26" si="81">(W3-W6)/W3</f>
        <v>0.16592246803328597</v>
      </c>
      <c r="X26" s="7">
        <f t="shared" si="81"/>
        <v>0.17422645894471472</v>
      </c>
      <c r="Y26" s="7">
        <f t="shared" si="81"/>
        <v>0.1239837808396038</v>
      </c>
      <c r="Z26" s="7">
        <f t="shared" si="81"/>
        <v>0.14835939072669932</v>
      </c>
      <c r="AA26" s="7">
        <f t="shared" ref="AA26:AK26" si="82">(AA3-AA6)/AA3</f>
        <v>0.16075559226975422</v>
      </c>
      <c r="AB26" s="7">
        <f t="shared" si="82"/>
        <v>0.16</v>
      </c>
      <c r="AC26" s="7">
        <f t="shared" si="82"/>
        <v>0.16000000000000006</v>
      </c>
      <c r="AD26" s="7">
        <f t="shared" si="82"/>
        <v>0.16000000000000003</v>
      </c>
      <c r="AE26" s="7">
        <f t="shared" si="82"/>
        <v>0.16000000000000006</v>
      </c>
      <c r="AF26" s="7">
        <f t="shared" si="82"/>
        <v>0.16000000000000006</v>
      </c>
      <c r="AG26" s="7">
        <f t="shared" si="82"/>
        <v>0.15999999999999998</v>
      </c>
      <c r="AH26" s="7">
        <f t="shared" si="82"/>
        <v>0.16</v>
      </c>
      <c r="AI26" s="7">
        <f t="shared" si="82"/>
        <v>0.16000000000000006</v>
      </c>
      <c r="AJ26" s="7">
        <f t="shared" si="82"/>
        <v>0.16</v>
      </c>
      <c r="AK26" s="7">
        <f t="shared" si="82"/>
        <v>0.16000000000000006</v>
      </c>
      <c r="AN26" s="1" t="s">
        <v>56</v>
      </c>
      <c r="AO26" s="7">
        <v>0.06</v>
      </c>
    </row>
    <row r="27" spans="2:135" x14ac:dyDescent="0.3">
      <c r="B27" s="1" t="s">
        <v>45</v>
      </c>
      <c r="C27" s="7">
        <f t="shared" ref="C27" si="83">(C4-C7)/C4</f>
        <v>0.28905033731188373</v>
      </c>
      <c r="D27" s="7">
        <f t="shared" ref="D27:N27" si="84">(D4-D7)/D4</f>
        <v>0.3057199211045365</v>
      </c>
      <c r="E27" s="7">
        <f t="shared" si="84"/>
        <v>0.29177592371871275</v>
      </c>
      <c r="F27" s="7">
        <f t="shared" si="84"/>
        <v>0.29647283126787416</v>
      </c>
      <c r="G27" s="7">
        <f t="shared" si="84"/>
        <v>0.33476394849785407</v>
      </c>
      <c r="H27" s="7">
        <f t="shared" si="84"/>
        <v>0.30077487765089722</v>
      </c>
      <c r="I27" s="7">
        <f t="shared" si="84"/>
        <v>0.28624458651268303</v>
      </c>
      <c r="J27" s="7">
        <f t="shared" si="84"/>
        <v>0.30915070613271428</v>
      </c>
      <c r="K27" s="7">
        <f t="shared" si="84"/>
        <v>0.29468212714914033</v>
      </c>
      <c r="L27" s="7">
        <f t="shared" si="84"/>
        <v>0.3184725722039155</v>
      </c>
      <c r="M27" s="7">
        <f t="shared" si="84"/>
        <v>0.30886452332280245</v>
      </c>
      <c r="N27" s="7">
        <f t="shared" si="84"/>
        <v>0.32002148997134672</v>
      </c>
      <c r="O27" s="7">
        <f t="shared" ref="O27" si="85">(O4-O7)/O4</f>
        <v>0.31636045494313209</v>
      </c>
      <c r="P27" s="7">
        <f t="shared" ref="P27" si="86">(P4-P7)/P4</f>
        <v>0.30082918739635156</v>
      </c>
      <c r="Q27" s="7">
        <f t="shared" ref="Q27:R27" si="87">(Q4-Q7)/Q4</f>
        <v>0.31000000000000011</v>
      </c>
      <c r="R27" s="7">
        <f t="shared" si="87"/>
        <v>0.31</v>
      </c>
      <c r="U27" s="7">
        <f>(U4-U7)/U4</f>
        <v>0.37754028013926</v>
      </c>
      <c r="V27" s="7">
        <f>(V4-V7)/V4</f>
        <v>0.25241181790774797</v>
      </c>
      <c r="W27" s="7">
        <f t="shared" ref="W27:Z27" si="88">(W4-W7)/W4</f>
        <v>0.28548749834634213</v>
      </c>
      <c r="X27" s="7">
        <f t="shared" si="88"/>
        <v>0.29581007300165635</v>
      </c>
      <c r="Y27" s="7">
        <f t="shared" si="88"/>
        <v>0.30714765620962325</v>
      </c>
      <c r="Z27" s="7">
        <f t="shared" si="88"/>
        <v>0.3108018555334659</v>
      </c>
      <c r="AA27" s="7">
        <f t="shared" ref="AA27:AK27" si="89">(AA4-AA7)/AA4</f>
        <v>0.30923060963731475</v>
      </c>
      <c r="AB27" s="7">
        <f t="shared" si="89"/>
        <v>0.31000000000000005</v>
      </c>
      <c r="AC27" s="7">
        <f t="shared" si="89"/>
        <v>0.31000000000000005</v>
      </c>
      <c r="AD27" s="7">
        <f t="shared" si="89"/>
        <v>0.31000000000000005</v>
      </c>
      <c r="AE27" s="7">
        <f t="shared" si="89"/>
        <v>0.31000000000000005</v>
      </c>
      <c r="AF27" s="7">
        <f t="shared" si="89"/>
        <v>0.31000000000000011</v>
      </c>
      <c r="AG27" s="7">
        <f t="shared" si="89"/>
        <v>0.31000000000000005</v>
      </c>
      <c r="AH27" s="7">
        <f t="shared" si="89"/>
        <v>0.31</v>
      </c>
      <c r="AI27" s="7">
        <f t="shared" si="89"/>
        <v>0.31000000000000005</v>
      </c>
      <c r="AJ27" s="7">
        <f t="shared" si="89"/>
        <v>0.31000000000000005</v>
      </c>
      <c r="AK27" s="7">
        <f t="shared" si="89"/>
        <v>0.31000000000000005</v>
      </c>
      <c r="AN27" s="1" t="s">
        <v>57</v>
      </c>
      <c r="AO27" s="3">
        <f>NPV(AO26,AA19:EE19)</f>
        <v>147349.01469148142</v>
      </c>
    </row>
    <row r="28" spans="2:135" x14ac:dyDescent="0.3">
      <c r="B28" s="1" t="s">
        <v>46</v>
      </c>
      <c r="C28" s="7">
        <f t="shared" ref="C28" si="90">C9/C5</f>
        <v>0.20081445660473402</v>
      </c>
      <c r="D28" s="7">
        <f t="shared" ref="D28:N28" si="91">D9/D5</f>
        <v>0.21196518327816599</v>
      </c>
      <c r="E28" s="7">
        <f t="shared" si="91"/>
        <v>0.20571057754704739</v>
      </c>
      <c r="F28" s="7">
        <f t="shared" si="91"/>
        <v>0.19714806831371248</v>
      </c>
      <c r="G28" s="7">
        <f t="shared" si="91"/>
        <v>0.20733124201231556</v>
      </c>
      <c r="H28" s="7">
        <f t="shared" si="91"/>
        <v>0.20731640731640733</v>
      </c>
      <c r="I28" s="7">
        <f t="shared" si="91"/>
        <v>5.3030303030303032E-2</v>
      </c>
      <c r="J28" s="7">
        <f t="shared" si="91"/>
        <v>0.20118432277814022</v>
      </c>
      <c r="K28" s="7">
        <f t="shared" si="91"/>
        <v>0.18445998445998446</v>
      </c>
      <c r="L28" s="7">
        <f t="shared" si="91"/>
        <v>0.18153237665432786</v>
      </c>
      <c r="M28" s="7">
        <f t="shared" si="91"/>
        <v>0.20080641146896311</v>
      </c>
      <c r="N28" s="7">
        <f t="shared" si="91"/>
        <v>0.1958562641631596</v>
      </c>
      <c r="O28" s="7">
        <f t="shared" ref="O28" si="92">O9/O5</f>
        <v>0.20269870974096327</v>
      </c>
      <c r="P28" s="7">
        <f t="shared" ref="P28" si="93">P9/P5</f>
        <v>0.20277095593345998</v>
      </c>
      <c r="Q28" s="7">
        <f t="shared" ref="Q28:R28" si="94">Q9/Q5</f>
        <v>0.20314880347249981</v>
      </c>
      <c r="R28" s="7">
        <f t="shared" si="94"/>
        <v>0.20218374080828605</v>
      </c>
      <c r="U28" s="7">
        <f>U9/U5</f>
        <v>0.23707248230390968</v>
      </c>
      <c r="V28" s="7">
        <f>V9/V5</f>
        <v>0.15075900825277891</v>
      </c>
      <c r="W28" s="7">
        <f t="shared" ref="W28:Z28" si="95">W9/W5</f>
        <v>0.19399577561036219</v>
      </c>
      <c r="X28" s="7">
        <f t="shared" si="95"/>
        <v>0.20377493514625639</v>
      </c>
      <c r="Y28" s="7">
        <f t="shared" si="95"/>
        <v>0.17540626813697041</v>
      </c>
      <c r="Z28" s="7">
        <f t="shared" si="95"/>
        <v>0.19086427704426664</v>
      </c>
      <c r="AA28" s="7">
        <f t="shared" ref="AA28:AK28" si="96">AA9/AA5</f>
        <v>0.2026911899684555</v>
      </c>
      <c r="AB28" s="7">
        <f t="shared" si="96"/>
        <v>0.20493434294013851</v>
      </c>
      <c r="AC28" s="7">
        <f t="shared" si="96"/>
        <v>0.20673631796988712</v>
      </c>
      <c r="AD28" s="7">
        <f t="shared" si="96"/>
        <v>0.20767403149938157</v>
      </c>
      <c r="AE28" s="7">
        <f t="shared" si="96"/>
        <v>0.20830776727794817</v>
      </c>
      <c r="AF28" s="7">
        <f t="shared" si="96"/>
        <v>0.20862783674663474</v>
      </c>
      <c r="AG28" s="7">
        <f t="shared" si="96"/>
        <v>0.20894900610833711</v>
      </c>
      <c r="AH28" s="7">
        <f t="shared" si="96"/>
        <v>0.20927126567902757</v>
      </c>
      <c r="AI28" s="7">
        <f t="shared" si="96"/>
        <v>0.20959460560470461</v>
      </c>
      <c r="AJ28" s="7">
        <f t="shared" si="96"/>
        <v>0.20991901586201531</v>
      </c>
      <c r="AK28" s="7">
        <f t="shared" si="96"/>
        <v>0.210244486258928</v>
      </c>
      <c r="AN28" s="1" t="s">
        <v>58</v>
      </c>
      <c r="AO28" s="3">
        <f>Main!D8</f>
        <v>-37196</v>
      </c>
    </row>
    <row r="29" spans="2:135" x14ac:dyDescent="0.3">
      <c r="B29" s="1" t="s">
        <v>47</v>
      </c>
      <c r="C29" s="7"/>
      <c r="D29" s="7"/>
      <c r="E29" s="7"/>
      <c r="F29" s="7"/>
      <c r="G29" s="7">
        <f t="shared" ref="G29:P29" si="97">G10/C10-1</f>
        <v>-4.4094488188976433E-2</v>
      </c>
      <c r="H29" s="7">
        <f t="shared" si="97"/>
        <v>4.4412607449856756E-2</v>
      </c>
      <c r="I29" s="7">
        <f t="shared" si="97"/>
        <v>7.5528700906344337E-2</v>
      </c>
      <c r="J29" s="7">
        <f t="shared" si="97"/>
        <v>5.7262569832402299E-2</v>
      </c>
      <c r="K29" s="7">
        <f t="shared" si="97"/>
        <v>0.10214168039538718</v>
      </c>
      <c r="L29" s="7">
        <f t="shared" si="97"/>
        <v>-3.1550068587105629E-2</v>
      </c>
      <c r="M29" s="7">
        <f t="shared" si="97"/>
        <v>5.47752808988764E-2</v>
      </c>
      <c r="N29" s="7">
        <f t="shared" si="97"/>
        <v>6.7371202113606365E-2</v>
      </c>
      <c r="O29" s="7">
        <f t="shared" si="97"/>
        <v>-4.783258594917783E-2</v>
      </c>
      <c r="P29" s="7">
        <f t="shared" si="97"/>
        <v>-1.2747875354107596E-2</v>
      </c>
      <c r="Q29" s="7">
        <f t="shared" ref="Q29" si="98">Q10/M10-1</f>
        <v>-2.0000000000000018E-2</v>
      </c>
      <c r="R29" s="7">
        <f t="shared" ref="R29" si="99">R10/N10-1</f>
        <v>-1.9999999999999907E-2</v>
      </c>
      <c r="U29" s="7"/>
      <c r="V29" s="7">
        <f>V10/U10-1</f>
        <v>5.3017944535073358E-2</v>
      </c>
      <c r="W29" s="7">
        <f t="shared" ref="W29:Z29" si="100">W10/V10-1</f>
        <v>5.8094500387296577E-2</v>
      </c>
      <c r="X29" s="7">
        <f t="shared" si="100"/>
        <v>-7.6866764275256294E-3</v>
      </c>
      <c r="Y29" s="7">
        <f t="shared" si="100"/>
        <v>3.4673552194762092E-2</v>
      </c>
      <c r="Z29" s="7">
        <f t="shared" si="100"/>
        <v>4.5989304812834142E-2</v>
      </c>
      <c r="AA29" s="7">
        <f t="shared" ref="AA29" si="101">AA10/Z10-1</f>
        <v>-2.4601226993865022E-2</v>
      </c>
      <c r="AB29" s="7">
        <f t="shared" ref="AB29" si="102">AB10/AA10-1</f>
        <v>1.0000000000000009E-2</v>
      </c>
      <c r="AC29" s="7">
        <f t="shared" ref="AC29" si="103">AC10/AB10-1</f>
        <v>2.0000000000000018E-2</v>
      </c>
      <c r="AD29" s="7">
        <f t="shared" ref="AD29" si="104">AD10/AC10-1</f>
        <v>2.0000000000000018E-2</v>
      </c>
      <c r="AE29" s="7">
        <f t="shared" ref="AE29" si="105">AE10/AD10-1</f>
        <v>2.0000000000000018E-2</v>
      </c>
      <c r="AF29" s="7">
        <f t="shared" ref="AF29" si="106">AF10/AE10-1</f>
        <v>1.0000000000000009E-2</v>
      </c>
      <c r="AG29" s="7">
        <f t="shared" ref="AG29" si="107">AG10/AF10-1</f>
        <v>1.0000000000000009E-2</v>
      </c>
      <c r="AH29" s="7">
        <f t="shared" ref="AH29" si="108">AH10/AG10-1</f>
        <v>1.0000000000000009E-2</v>
      </c>
      <c r="AI29" s="7">
        <f t="shared" ref="AI29" si="109">AI10/AH10-1</f>
        <v>1.0000000000000009E-2</v>
      </c>
      <c r="AJ29" s="7">
        <f t="shared" ref="AJ29" si="110">AJ10/AI10-1</f>
        <v>1.0000000000000009E-2</v>
      </c>
      <c r="AK29" s="7">
        <f t="shared" ref="AK29" si="111">AK10/AJ10-1</f>
        <v>1.0000000000000009E-2</v>
      </c>
      <c r="AN29" s="1" t="s">
        <v>59</v>
      </c>
      <c r="AO29" s="3">
        <f>AO27+AO28</f>
        <v>110153.01469148142</v>
      </c>
    </row>
    <row r="30" spans="2:135" x14ac:dyDescent="0.3">
      <c r="B30" s="1" t="s">
        <v>48</v>
      </c>
      <c r="C30" s="7">
        <f t="shared" ref="C30" si="112">C11/C5</f>
        <v>9.3471621277678801E-2</v>
      </c>
      <c r="D30" s="7">
        <f t="shared" ref="D30:N30" si="113">D11/D5</f>
        <v>8.7286992766948637E-2</v>
      </c>
      <c r="E30" s="7">
        <f t="shared" si="113"/>
        <v>7.9700312665919412E-2</v>
      </c>
      <c r="F30" s="7">
        <f t="shared" si="113"/>
        <v>7.3453821920079584E-2</v>
      </c>
      <c r="G30" s="7">
        <f t="shared" si="113"/>
        <v>8.121296619031021E-2</v>
      </c>
      <c r="H30" s="7">
        <f t="shared" si="113"/>
        <v>8.7360087360087366E-2</v>
      </c>
      <c r="I30" s="7">
        <f t="shared" si="113"/>
        <v>0.10405525846702317</v>
      </c>
      <c r="J30" s="7">
        <f t="shared" si="113"/>
        <v>7.0758267677021133E-2</v>
      </c>
      <c r="K30" s="7">
        <f t="shared" si="113"/>
        <v>7.2209272209272216E-2</v>
      </c>
      <c r="L30" s="7">
        <f t="shared" si="113"/>
        <v>7.3474975914000304E-2</v>
      </c>
      <c r="M30" s="7">
        <f t="shared" si="113"/>
        <v>6.9142316690726263E-2</v>
      </c>
      <c r="N30" s="7">
        <f t="shared" si="113"/>
        <v>7.2792859455209732E-2</v>
      </c>
      <c r="O30" s="7">
        <f t="shared" ref="O30" si="114">O11/O5</f>
        <v>7.1308972717423424E-2</v>
      </c>
      <c r="P30" s="7">
        <f t="shared" ref="P30" si="115">P11/P5</f>
        <v>7.2888188684490984E-2</v>
      </c>
      <c r="Q30" s="7">
        <f t="shared" ref="Q30:R30" si="116">Q11/Q5</f>
        <v>7.0000000000000007E-2</v>
      </c>
      <c r="R30" s="7">
        <f t="shared" si="116"/>
        <v>7.0000000000000007E-2</v>
      </c>
      <c r="U30" s="7">
        <f>U11/U5</f>
        <v>8.1832013936360234E-2</v>
      </c>
      <c r="V30" s="7">
        <f>V11/V5</f>
        <v>9.7902345061586585E-2</v>
      </c>
      <c r="W30" s="7">
        <f t="shared" ref="W30:Z30" si="117">W11/W5</f>
        <v>8.1133130396968373E-2</v>
      </c>
      <c r="X30" s="7">
        <f t="shared" si="117"/>
        <v>8.308733637475027E-2</v>
      </c>
      <c r="Y30" s="7">
        <f t="shared" si="117"/>
        <v>8.4286128845037722E-2</v>
      </c>
      <c r="Z30" s="7">
        <f t="shared" si="117"/>
        <v>7.1911615348410909E-2</v>
      </c>
      <c r="AA30" s="7">
        <f t="shared" ref="AA30:AK30" si="118">AA11/AA5</f>
        <v>7.1019571273203824E-2</v>
      </c>
      <c r="AB30" s="7">
        <f t="shared" si="118"/>
        <v>7.0000000000000007E-2</v>
      </c>
      <c r="AC30" s="7">
        <f t="shared" si="118"/>
        <v>7.0000000000000007E-2</v>
      </c>
      <c r="AD30" s="7">
        <f t="shared" si="118"/>
        <v>7.0000000000000007E-2</v>
      </c>
      <c r="AE30" s="7">
        <f t="shared" si="118"/>
        <v>7.0000000000000007E-2</v>
      </c>
      <c r="AF30" s="7">
        <f t="shared" si="118"/>
        <v>7.0000000000000007E-2</v>
      </c>
      <c r="AG30" s="7">
        <f t="shared" si="118"/>
        <v>7.0000000000000007E-2</v>
      </c>
      <c r="AH30" s="7">
        <f t="shared" si="118"/>
        <v>7.0000000000000007E-2</v>
      </c>
      <c r="AI30" s="7">
        <f t="shared" si="118"/>
        <v>7.0000000000000007E-2</v>
      </c>
      <c r="AJ30" s="7">
        <f t="shared" si="118"/>
        <v>7.0000000000000007E-2</v>
      </c>
      <c r="AK30" s="7">
        <f t="shared" si="118"/>
        <v>7.0000000000000007E-2</v>
      </c>
      <c r="AN30" s="1" t="s">
        <v>60</v>
      </c>
      <c r="AO30" s="9">
        <f>AO29/AK20</f>
        <v>82.29586454350499</v>
      </c>
    </row>
    <row r="31" spans="2:135" x14ac:dyDescent="0.3">
      <c r="B31" s="1" t="s">
        <v>49</v>
      </c>
      <c r="C31" s="7">
        <f t="shared" ref="C31" si="119">C12/C5</f>
        <v>6.6938152201578005E-2</v>
      </c>
      <c r="D31" s="7">
        <f t="shared" ref="D31:N31" si="120">D12/D5</f>
        <v>8.1892852764496746E-2</v>
      </c>
      <c r="E31" s="7">
        <f t="shared" si="120"/>
        <v>8.6956521739130432E-2</v>
      </c>
      <c r="F31" s="7">
        <f t="shared" si="120"/>
        <v>8.4120930746697617E-2</v>
      </c>
      <c r="G31" s="7">
        <f t="shared" si="120"/>
        <v>9.0856279772278378E-2</v>
      </c>
      <c r="H31" s="7">
        <f t="shared" si="120"/>
        <v>8.0152880152880149E-2</v>
      </c>
      <c r="I31" s="7">
        <f t="shared" si="120"/>
        <v>-0.10390671420083185</v>
      </c>
      <c r="J31" s="7">
        <f t="shared" si="120"/>
        <v>9.243739649721483E-2</v>
      </c>
      <c r="K31" s="7">
        <f t="shared" si="120"/>
        <v>7.75964775964776E-2</v>
      </c>
      <c r="L31" s="7">
        <f t="shared" si="120"/>
        <v>7.2257999087267377E-2</v>
      </c>
      <c r="M31" s="7">
        <f t="shared" si="120"/>
        <v>9.428045198865051E-2</v>
      </c>
      <c r="N31" s="7">
        <f t="shared" si="120"/>
        <v>8.5695786893585535E-2</v>
      </c>
      <c r="O31" s="7">
        <f t="shared" ref="O31" si="121">O12/O5</f>
        <v>0.1000196986112479</v>
      </c>
      <c r="P31" s="7">
        <f t="shared" ref="P31" si="122">P12/P5</f>
        <v>9.758583939576479E-2</v>
      </c>
      <c r="Q31" s="7">
        <f t="shared" ref="Q31:R31" si="123">Q12/Q5</f>
        <v>9.9521297618367657E-2</v>
      </c>
      <c r="R31" s="7">
        <f t="shared" si="123"/>
        <v>9.8387853728136465E-2</v>
      </c>
      <c r="U31" s="7">
        <f>U12/U5</f>
        <v>0.10117091887362456</v>
      </c>
      <c r="V31" s="7">
        <f>V12/V5</f>
        <v>7.2278085072543163E-3</v>
      </c>
      <c r="W31" s="7">
        <f t="shared" ref="W31:Z31" si="124">W12/W5</f>
        <v>7.043237870410636E-2</v>
      </c>
      <c r="X31" s="7">
        <f t="shared" si="124"/>
        <v>8.0269553030980711E-2</v>
      </c>
      <c r="Y31" s="7">
        <f t="shared" si="124"/>
        <v>5.0420777713290774E-2</v>
      </c>
      <c r="Z31" s="7">
        <f t="shared" si="124"/>
        <v>8.2612896034085559E-2</v>
      </c>
      <c r="AA31" s="7">
        <f t="shared" ref="AA31:AK31" si="125">AA12/AA5</f>
        <v>9.8853831482562993E-2</v>
      </c>
      <c r="AB31" s="7">
        <f t="shared" si="125"/>
        <v>0.10382363391314751</v>
      </c>
      <c r="AC31" s="7">
        <f t="shared" si="125"/>
        <v>0.10645605227063344</v>
      </c>
      <c r="AD31" s="7">
        <f t="shared" si="125"/>
        <v>0.10766873386503374</v>
      </c>
      <c r="AE31" s="7">
        <f t="shared" si="125"/>
        <v>0.10848830155837286</v>
      </c>
      <c r="AF31" s="7">
        <f t="shared" si="125"/>
        <v>0.10919365334990139</v>
      </c>
      <c r="AG31" s="7">
        <f t="shared" si="125"/>
        <v>0.10989573286439933</v>
      </c>
      <c r="AH31" s="7">
        <f t="shared" si="125"/>
        <v>0.11059457325725389</v>
      </c>
      <c r="AI31" s="7">
        <f t="shared" si="125"/>
        <v>0.11129020713066723</v>
      </c>
      <c r="AJ31" s="7">
        <f t="shared" si="125"/>
        <v>0.11198266653816466</v>
      </c>
      <c r="AK31" s="7">
        <f t="shared" si="125"/>
        <v>0.11267198298910734</v>
      </c>
      <c r="AN31" s="1" t="s">
        <v>61</v>
      </c>
      <c r="AO31" s="9">
        <f>Main!D3</f>
        <v>157.52000000000001</v>
      </c>
    </row>
    <row r="32" spans="2:135" x14ac:dyDescent="0.3">
      <c r="B32" s="1" t="s">
        <v>37</v>
      </c>
      <c r="C32" s="7">
        <f t="shared" ref="C32" si="126">C17/C16</f>
        <v>9.3397745571658614E-2</v>
      </c>
      <c r="D32" s="7">
        <f t="shared" ref="D32:N32" si="127">D17/D16</f>
        <v>0.1068090787716956</v>
      </c>
      <c r="E32" s="7">
        <f t="shared" si="127"/>
        <v>0.16815742397137745</v>
      </c>
      <c r="F32" s="7">
        <f t="shared" si="127"/>
        <v>0.13647058823529412</v>
      </c>
      <c r="G32" s="7">
        <f t="shared" si="127"/>
        <v>0.16844469399213924</v>
      </c>
      <c r="H32" s="7">
        <f t="shared" si="127"/>
        <v>0.15432482887367766</v>
      </c>
      <c r="I32" s="7">
        <f t="shared" si="127"/>
        <v>0.29425113464447805</v>
      </c>
      <c r="J32" s="7">
        <f t="shared" si="127"/>
        <v>0.16779661016949152</v>
      </c>
      <c r="K32" s="7">
        <f t="shared" si="127"/>
        <v>5.834683954619125E-2</v>
      </c>
      <c r="L32" s="7">
        <f t="shared" si="127"/>
        <v>0.59112149532710279</v>
      </c>
      <c r="M32" s="7">
        <f t="shared" si="127"/>
        <v>0.19464847848898217</v>
      </c>
      <c r="N32" s="7">
        <f t="shared" si="127"/>
        <v>0.22349427575908412</v>
      </c>
      <c r="O32" s="7">
        <f t="shared" ref="O32" si="128">O17/O16</f>
        <v>0.17007150153217568</v>
      </c>
      <c r="P32" s="7">
        <f t="shared" ref="P32" si="129">P17/P16</f>
        <v>0.15441176470588236</v>
      </c>
      <c r="Q32" s="7">
        <f t="shared" ref="Q32:R32" si="130">Q17/Q16</f>
        <v>0.17</v>
      </c>
      <c r="R32" s="7">
        <f t="shared" si="130"/>
        <v>0.17</v>
      </c>
      <c r="U32" s="7">
        <f>U17/U16</f>
        <v>0.10139691714836223</v>
      </c>
      <c r="V32" s="7">
        <f>V17/V16</f>
        <v>-0.24436889077773055</v>
      </c>
      <c r="W32" s="7">
        <f t="shared" ref="W32:Z32" si="131">W17/W16</f>
        <v>0.15939971608193065</v>
      </c>
      <c r="X32" s="7">
        <f t="shared" si="131"/>
        <v>0.12914827529834885</v>
      </c>
      <c r="Y32" s="7">
        <f t="shared" si="131"/>
        <v>0.11887382690302398</v>
      </c>
      <c r="Z32" s="7">
        <f t="shared" si="131"/>
        <v>0.19066838876331935</v>
      </c>
      <c r="AA32" s="7">
        <f t="shared" ref="AA32:AK32" si="132">AA17/AA16</f>
        <v>0.16616481474825659</v>
      </c>
      <c r="AB32" s="7">
        <f t="shared" si="132"/>
        <v>0.15</v>
      </c>
      <c r="AC32" s="7">
        <f t="shared" si="132"/>
        <v>0.15</v>
      </c>
      <c r="AD32" s="7">
        <f t="shared" si="132"/>
        <v>0.15</v>
      </c>
      <c r="AE32" s="7">
        <f t="shared" si="132"/>
        <v>0.15</v>
      </c>
      <c r="AF32" s="7">
        <f t="shared" si="132"/>
        <v>0.15</v>
      </c>
      <c r="AG32" s="7">
        <f t="shared" si="132"/>
        <v>0.15</v>
      </c>
      <c r="AH32" s="7">
        <f t="shared" si="132"/>
        <v>0.15</v>
      </c>
      <c r="AI32" s="7">
        <f t="shared" si="132"/>
        <v>0.15</v>
      </c>
      <c r="AJ32" s="7">
        <f t="shared" si="132"/>
        <v>0.15</v>
      </c>
      <c r="AK32" s="7">
        <f t="shared" si="132"/>
        <v>0.15</v>
      </c>
      <c r="AN32" s="4" t="s">
        <v>62</v>
      </c>
      <c r="AO32" s="12">
        <f>AO30/AO31-1</f>
        <v>-0.47755291681370626</v>
      </c>
    </row>
    <row r="33" spans="2:41" x14ac:dyDescent="0.3">
      <c r="B33" s="1" t="s">
        <v>38</v>
      </c>
      <c r="C33" s="7">
        <f t="shared" ref="C33:O33" si="133">C18/C16</f>
        <v>1.8518518518518517E-2</v>
      </c>
      <c r="D33" s="7">
        <f t="shared" si="133"/>
        <v>2.2696929238985315E-2</v>
      </c>
      <c r="E33" s="7">
        <f t="shared" si="133"/>
        <v>4.7704233750745376E-3</v>
      </c>
      <c r="F33" s="7">
        <f t="shared" si="133"/>
        <v>2.7058823529411764E-2</v>
      </c>
      <c r="G33" s="7">
        <f t="shared" si="133"/>
        <v>3.0881527231892195E-2</v>
      </c>
      <c r="H33" s="7">
        <f t="shared" si="133"/>
        <v>1.9912881144990666E-2</v>
      </c>
      <c r="I33" s="7">
        <f t="shared" si="133"/>
        <v>-3.8577912254160365E-2</v>
      </c>
      <c r="J33" s="7">
        <f t="shared" si="133"/>
        <v>2.655367231638418E-2</v>
      </c>
      <c r="K33" s="7">
        <f t="shared" si="133"/>
        <v>1.8368449486763912E-2</v>
      </c>
      <c r="L33" s="7">
        <f t="shared" si="133"/>
        <v>0.14953271028037382</v>
      </c>
      <c r="M33" s="7">
        <f t="shared" si="133"/>
        <v>3.3053515215110178E-2</v>
      </c>
      <c r="N33" s="7">
        <f t="shared" si="133"/>
        <v>3.8825286212045791E-2</v>
      </c>
      <c r="O33" s="7">
        <f t="shared" si="133"/>
        <v>4.5965270684371805E-2</v>
      </c>
      <c r="P33" s="7">
        <f>P18/P16</f>
        <v>3.3333333333333333E-2</v>
      </c>
      <c r="Q33" s="7">
        <f t="shared" ref="Q33:R33" si="134">Q18/Q16</f>
        <v>0.03</v>
      </c>
      <c r="R33" s="7">
        <f t="shared" si="134"/>
        <v>0.03</v>
      </c>
      <c r="U33" s="7">
        <f t="shared" ref="U33:Y33" si="135">U18/U16</f>
        <v>5.3227360308285163E-2</v>
      </c>
      <c r="V33" s="7">
        <f t="shared" si="135"/>
        <v>-7.6923076923076927E-2</v>
      </c>
      <c r="W33" s="7">
        <f t="shared" si="135"/>
        <v>5.0294058000405595E-2</v>
      </c>
      <c r="X33" s="7">
        <f t="shared" si="135"/>
        <v>1.8146150073565473E-2</v>
      </c>
      <c r="Y33" s="7">
        <f t="shared" si="135"/>
        <v>4.8227320125130341E-2</v>
      </c>
      <c r="Z33" s="7">
        <f>Z18/Z16</f>
        <v>3.8585728123990956E-2</v>
      </c>
      <c r="AA33" s="7">
        <f t="shared" ref="AA33:AK33" si="136">AA18/AA16</f>
        <v>3.4610459591956327E-2</v>
      </c>
      <c r="AB33" s="7">
        <f t="shared" si="136"/>
        <v>3.0000000000000002E-2</v>
      </c>
      <c r="AC33" s="7">
        <f t="shared" si="136"/>
        <v>2.9999999999999995E-2</v>
      </c>
      <c r="AD33" s="7">
        <f t="shared" si="136"/>
        <v>0.03</v>
      </c>
      <c r="AE33" s="7">
        <f t="shared" si="136"/>
        <v>0.03</v>
      </c>
      <c r="AF33" s="7">
        <f t="shared" si="136"/>
        <v>3.0000000000000002E-2</v>
      </c>
      <c r="AG33" s="7">
        <f t="shared" si="136"/>
        <v>0.03</v>
      </c>
      <c r="AH33" s="7">
        <f t="shared" si="136"/>
        <v>0.03</v>
      </c>
      <c r="AI33" s="7">
        <f t="shared" si="136"/>
        <v>2.9999999999999995E-2</v>
      </c>
      <c r="AJ33" s="7">
        <f t="shared" si="136"/>
        <v>0.03</v>
      </c>
      <c r="AK33" s="7">
        <f t="shared" si="136"/>
        <v>0.03</v>
      </c>
      <c r="AN33" s="1" t="s">
        <v>63</v>
      </c>
      <c r="AO33" s="2" t="s">
        <v>64</v>
      </c>
    </row>
    <row r="34" spans="2:41" x14ac:dyDescent="0.3">
      <c r="B34" s="1" t="s">
        <v>50</v>
      </c>
      <c r="C34" s="7">
        <f t="shared" ref="C34" si="137">C19/C5</f>
        <v>7.0183252736065155E-2</v>
      </c>
      <c r="D34" s="7">
        <f t="shared" ref="D34:N34" si="138">D19/D5</f>
        <v>7.9931347309059708E-2</v>
      </c>
      <c r="E34" s="7">
        <f t="shared" si="138"/>
        <v>8.1824081175151914E-2</v>
      </c>
      <c r="F34" s="7">
        <f t="shared" si="138"/>
        <v>7.8593931354667551E-2</v>
      </c>
      <c r="G34" s="7">
        <f t="shared" si="138"/>
        <v>8.2839549204136165E-2</v>
      </c>
      <c r="H34" s="7">
        <f t="shared" si="138"/>
        <v>7.2454272454272453E-2</v>
      </c>
      <c r="I34" s="7">
        <f t="shared" si="138"/>
        <v>-7.3083778966131913E-2</v>
      </c>
      <c r="J34" s="7">
        <f t="shared" si="138"/>
        <v>7.1561198374065341E-2</v>
      </c>
      <c r="K34" s="7">
        <f t="shared" si="138"/>
        <v>8.8526288526288521E-2</v>
      </c>
      <c r="L34" s="7">
        <f t="shared" si="138"/>
        <v>5.6285178236397749E-3</v>
      </c>
      <c r="M34" s="7">
        <f t="shared" si="138"/>
        <v>7.3273931007018761E-2</v>
      </c>
      <c r="N34" s="7">
        <f t="shared" si="138"/>
        <v>6.8538130694168253E-2</v>
      </c>
      <c r="O34" s="7">
        <f t="shared" ref="O34" si="139">O19/O5</f>
        <v>7.5593420663843197E-2</v>
      </c>
      <c r="P34" s="7">
        <f t="shared" ref="P34" si="140">P19/P5</f>
        <v>7.6780501366943144E-2</v>
      </c>
      <c r="Q34" s="7">
        <f t="shared" ref="Q34:R34" si="141">Q19/Q5</f>
        <v>7.5113023016734212E-2</v>
      </c>
      <c r="R34" s="7">
        <f t="shared" si="141"/>
        <v>7.5192751878248712E-2</v>
      </c>
      <c r="U34" s="7">
        <f>U19/U5</f>
        <v>7.7399722154843545E-2</v>
      </c>
      <c r="V34" s="7">
        <f>V19/V5</f>
        <v>-5.4941947797197237E-2</v>
      </c>
      <c r="W34" s="7">
        <f t="shared" ref="W34:Z34" si="142">W19/W5</f>
        <v>6.0523700068335712E-2</v>
      </c>
      <c r="X34" s="7">
        <f t="shared" si="142"/>
        <v>7.7764856725407755E-2</v>
      </c>
      <c r="Y34" s="7">
        <f t="shared" si="142"/>
        <v>4.6358096343586765E-2</v>
      </c>
      <c r="Z34" s="7">
        <f t="shared" si="142"/>
        <v>5.9129530084966186E-2</v>
      </c>
      <c r="AA34" s="7">
        <f t="shared" ref="AA34:AK34" si="143">AA19/AA5</f>
        <v>7.5658975369286591E-2</v>
      </c>
      <c r="AB34" s="7">
        <f t="shared" si="143"/>
        <v>8.1487340385963059E-2</v>
      </c>
      <c r="AC34" s="7">
        <f t="shared" si="143"/>
        <v>8.3778111570669833E-2</v>
      </c>
      <c r="AD34" s="7">
        <f t="shared" si="143"/>
        <v>8.4838593231775353E-2</v>
      </c>
      <c r="AE34" s="7">
        <f t="shared" si="143"/>
        <v>8.5565615998704644E-2</v>
      </c>
      <c r="AF34" s="7">
        <f t="shared" si="143"/>
        <v>8.6187866858918896E-2</v>
      </c>
      <c r="AG34" s="7">
        <f t="shared" si="143"/>
        <v>8.6806936703118842E-2</v>
      </c>
      <c r="AH34" s="7">
        <f t="shared" si="143"/>
        <v>8.7422857595766956E-2</v>
      </c>
      <c r="AI34" s="7">
        <f t="shared" si="143"/>
        <v>8.803566110408724E-2</v>
      </c>
      <c r="AJ34" s="7">
        <f t="shared" si="143"/>
        <v>8.8645378302204439E-2</v>
      </c>
      <c r="AK34" s="7">
        <f t="shared" si="143"/>
        <v>8.9252039775281691E-2</v>
      </c>
    </row>
  </sheetData>
  <phoneticPr fontId="1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7B37D-5C25-469B-9D0C-C2E6A30B3F3A}">
  <dimension ref="A1"/>
  <sheetViews>
    <sheetView workbookViewId="0">
      <selection activeCell="R22" sqref="R22"/>
    </sheetView>
  </sheetViews>
  <sheetFormatPr defaultRowHeight="14.4" x14ac:dyDescent="0.3"/>
  <cols>
    <col min="1" max="16384" width="8.88671875" style="13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2024-09-29T13:29:43Z</dcterms:created>
  <dcterms:modified xsi:type="dcterms:W3CDTF">2025-09-06T08:20:38Z</dcterms:modified>
</cp:coreProperties>
</file>