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69A6883-79E0-449A-93CC-E8BF3FD99779}" xr6:coauthVersionLast="47" xr6:coauthVersionMax="47" xr10:uidLastSave="{00000000-0000-0000-0000-000000000000}"/>
  <bookViews>
    <workbookView xWindow="-108" yWindow="-108" windowWidth="23256" windowHeight="12576" activeTab="1" xr2:uid="{739ADCDA-92AA-4302-8B1F-47F1B6FD860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03" i="2" l="1"/>
  <c r="AW103" i="2"/>
  <c r="AV103" i="2"/>
  <c r="AU103" i="2"/>
  <c r="AT103" i="2"/>
  <c r="AS103" i="2"/>
  <c r="AR103" i="2"/>
  <c r="AQ103" i="2"/>
  <c r="AP103" i="2"/>
  <c r="AO103" i="2"/>
  <c r="AM117" i="2"/>
  <c r="AL117" i="2"/>
  <c r="AK117" i="2"/>
  <c r="AJ117" i="2"/>
  <c r="AM116" i="2"/>
  <c r="AL116" i="2"/>
  <c r="AK116" i="2"/>
  <c r="AJ116" i="2"/>
  <c r="AN117" i="2"/>
  <c r="AN116" i="2"/>
  <c r="AN112" i="2"/>
  <c r="AN111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D117" i="2"/>
  <c r="AD116" i="2"/>
  <c r="AD109" i="2"/>
  <c r="AD113" i="2"/>
  <c r="AD80" i="2"/>
  <c r="AD110" i="2" s="1"/>
  <c r="AC117" i="2"/>
  <c r="AB117" i="2"/>
  <c r="AC116" i="2"/>
  <c r="AB116" i="2"/>
  <c r="AB113" i="2"/>
  <c r="AC107" i="2"/>
  <c r="AC102" i="2"/>
  <c r="AC99" i="2"/>
  <c r="AC94" i="2"/>
  <c r="AC91" i="2"/>
  <c r="AC86" i="2"/>
  <c r="AC84" i="2"/>
  <c r="AB110" i="2"/>
  <c r="AC112" i="2"/>
  <c r="AC111" i="2"/>
  <c r="AC109" i="2"/>
  <c r="AC108" i="2"/>
  <c r="AC106" i="2"/>
  <c r="AC105" i="2"/>
  <c r="AC104" i="2"/>
  <c r="AC103" i="2"/>
  <c r="AC101" i="2"/>
  <c r="AC100" i="2"/>
  <c r="AC98" i="2"/>
  <c r="AC97" i="2"/>
  <c r="AC96" i="2"/>
  <c r="AC95" i="2"/>
  <c r="AC93" i="2"/>
  <c r="AC92" i="2"/>
  <c r="AC90" i="2"/>
  <c r="AC89" i="2"/>
  <c r="AC88" i="2"/>
  <c r="AC87" i="2"/>
  <c r="AC85" i="2"/>
  <c r="AC82" i="2"/>
  <c r="AC81" i="2"/>
  <c r="AD11" i="2"/>
  <c r="AD5" i="2"/>
  <c r="AD3" i="2"/>
  <c r="AC16" i="2"/>
  <c r="AC11" i="2"/>
  <c r="D7" i="1"/>
  <c r="D6" i="1"/>
  <c r="AX19" i="2"/>
  <c r="AW19" i="2"/>
  <c r="AV19" i="2"/>
  <c r="AU19" i="2"/>
  <c r="AT19" i="2"/>
  <c r="AS19" i="2"/>
  <c r="AR19" i="2"/>
  <c r="AQ19" i="2"/>
  <c r="AP19" i="2"/>
  <c r="AO19" i="2"/>
  <c r="AN19" i="2"/>
  <c r="AD19" i="2"/>
  <c r="AC19" i="2"/>
  <c r="D4" i="1"/>
  <c r="AD114" i="2" l="1"/>
  <c r="AC113" i="2"/>
  <c r="AB114" i="2"/>
  <c r="AC83" i="2"/>
  <c r="AN11" i="2"/>
  <c r="AO11" i="2" s="1"/>
  <c r="AD22" i="2"/>
  <c r="AC22" i="2"/>
  <c r="AD24" i="2"/>
  <c r="AB17" i="2"/>
  <c r="AN17" i="2" s="1"/>
  <c r="AB16" i="2"/>
  <c r="AB12" i="2"/>
  <c r="AB19" i="2"/>
  <c r="AO86" i="2"/>
  <c r="AP86" i="2" s="1"/>
  <c r="AQ86" i="2" s="1"/>
  <c r="AR86" i="2" s="1"/>
  <c r="AS86" i="2" s="1"/>
  <c r="AT86" i="2" s="1"/>
  <c r="AU86" i="2" s="1"/>
  <c r="AV86" i="2" s="1"/>
  <c r="AW86" i="2" s="1"/>
  <c r="AX86" i="2" s="1"/>
  <c r="AA117" i="2"/>
  <c r="AA116" i="2"/>
  <c r="AA113" i="2"/>
  <c r="AA16" i="2"/>
  <c r="AA12" i="2"/>
  <c r="AA19" i="2"/>
  <c r="Z76" i="2"/>
  <c r="Z67" i="2"/>
  <c r="Z78" i="2" s="1"/>
  <c r="Z56" i="2"/>
  <c r="Z44" i="2"/>
  <c r="Z57" i="2" s="1"/>
  <c r="Z34" i="2"/>
  <c r="AM76" i="2"/>
  <c r="AM67" i="2"/>
  <c r="AM56" i="2"/>
  <c r="AM44" i="2"/>
  <c r="AM34" i="2"/>
  <c r="AN14" i="2"/>
  <c r="AD29" i="2"/>
  <c r="AB29" i="2"/>
  <c r="AA29" i="2"/>
  <c r="AA24" i="2"/>
  <c r="AD23" i="2"/>
  <c r="AC23" i="2"/>
  <c r="AB23" i="2"/>
  <c r="AA23" i="2"/>
  <c r="AB22" i="2"/>
  <c r="AA22" i="2"/>
  <c r="Z14" i="2"/>
  <c r="AN4" i="2"/>
  <c r="AA6" i="2"/>
  <c r="AA8" i="2" s="1"/>
  <c r="AM89" i="2"/>
  <c r="W117" i="2"/>
  <c r="W116" i="2"/>
  <c r="Z12" i="2"/>
  <c r="AO4" i="2" l="1"/>
  <c r="AP4" i="2" s="1"/>
  <c r="AQ4" i="2" s="1"/>
  <c r="AR4" i="2" s="1"/>
  <c r="AS4" i="2" s="1"/>
  <c r="AT4" i="2" s="1"/>
  <c r="AU4" i="2" s="1"/>
  <c r="AV4" i="2" s="1"/>
  <c r="AW4" i="2" s="1"/>
  <c r="AX4" i="2" s="1"/>
  <c r="AN12" i="2"/>
  <c r="AC29" i="2"/>
  <c r="AN5" i="2"/>
  <c r="AO5" i="2" s="1"/>
  <c r="AC24" i="2"/>
  <c r="AB24" i="2"/>
  <c r="AB6" i="2"/>
  <c r="AN3" i="2"/>
  <c r="AO3" i="2" s="1"/>
  <c r="AD6" i="2"/>
  <c r="AC6" i="2"/>
  <c r="AC8" i="2" s="1"/>
  <c r="AA27" i="2"/>
  <c r="AA28" i="2"/>
  <c r="AM78" i="2"/>
  <c r="AM57" i="2"/>
  <c r="AI113" i="2"/>
  <c r="AJ113" i="2"/>
  <c r="AK113" i="2"/>
  <c r="Z113" i="2"/>
  <c r="W113" i="2"/>
  <c r="S113" i="2"/>
  <c r="AK102" i="2"/>
  <c r="BA123" i="2"/>
  <c r="AL76" i="2"/>
  <c r="AL67" i="2"/>
  <c r="AL56" i="2"/>
  <c r="AL44" i="2"/>
  <c r="AL34" i="2"/>
  <c r="AK76" i="2"/>
  <c r="AK67" i="2"/>
  <c r="AK56" i="2"/>
  <c r="AK44" i="2"/>
  <c r="AK34" i="2"/>
  <c r="X112" i="2"/>
  <c r="X111" i="2"/>
  <c r="R76" i="2"/>
  <c r="R67" i="2"/>
  <c r="R56" i="2"/>
  <c r="R44" i="2"/>
  <c r="R34" i="2"/>
  <c r="W76" i="2"/>
  <c r="W67" i="2"/>
  <c r="W56" i="2"/>
  <c r="W44" i="2"/>
  <c r="W34" i="2"/>
  <c r="T112" i="2"/>
  <c r="U112" i="2" s="1"/>
  <c r="V112" i="2" s="1"/>
  <c r="Z117" i="2" s="1"/>
  <c r="T111" i="2"/>
  <c r="U111" i="2" s="1"/>
  <c r="V111" i="2" s="1"/>
  <c r="T109" i="2"/>
  <c r="U109" i="2" s="1"/>
  <c r="V109" i="2" s="1"/>
  <c r="T108" i="2"/>
  <c r="U108" i="2" s="1"/>
  <c r="V108" i="2" s="1"/>
  <c r="T107" i="2"/>
  <c r="U107" i="2" s="1"/>
  <c r="V107" i="2" s="1"/>
  <c r="AL107" i="2" s="1"/>
  <c r="T106" i="2"/>
  <c r="U106" i="2" s="1"/>
  <c r="V106" i="2" s="1"/>
  <c r="AL106" i="2" s="1"/>
  <c r="T105" i="2"/>
  <c r="U105" i="2" s="1"/>
  <c r="V105" i="2" s="1"/>
  <c r="T104" i="2"/>
  <c r="U104" i="2" s="1"/>
  <c r="V104" i="2" s="1"/>
  <c r="T103" i="2"/>
  <c r="U103" i="2" s="1"/>
  <c r="V103" i="2" s="1"/>
  <c r="T102" i="2"/>
  <c r="U102" i="2" s="1"/>
  <c r="V102" i="2" s="1"/>
  <c r="T101" i="2"/>
  <c r="U101" i="2" s="1"/>
  <c r="V101" i="2" s="1"/>
  <c r="T100" i="2"/>
  <c r="U100" i="2" s="1"/>
  <c r="V100" i="2" s="1"/>
  <c r="T99" i="2"/>
  <c r="U99" i="2" s="1"/>
  <c r="V99" i="2" s="1"/>
  <c r="AL99" i="2" s="1"/>
  <c r="T98" i="2"/>
  <c r="U98" i="2" s="1"/>
  <c r="V98" i="2" s="1"/>
  <c r="AL98" i="2" s="1"/>
  <c r="T97" i="2"/>
  <c r="U97" i="2" s="1"/>
  <c r="V97" i="2" s="1"/>
  <c r="T96" i="2"/>
  <c r="U96" i="2" s="1"/>
  <c r="V96" i="2" s="1"/>
  <c r="T95" i="2"/>
  <c r="U95" i="2" s="1"/>
  <c r="V95" i="2" s="1"/>
  <c r="T94" i="2"/>
  <c r="U94" i="2" s="1"/>
  <c r="V94" i="2" s="1"/>
  <c r="T93" i="2"/>
  <c r="U93" i="2" s="1"/>
  <c r="V93" i="2" s="1"/>
  <c r="T92" i="2"/>
  <c r="U92" i="2" s="1"/>
  <c r="V92" i="2" s="1"/>
  <c r="T91" i="2"/>
  <c r="U91" i="2" s="1"/>
  <c r="V91" i="2" s="1"/>
  <c r="AL91" i="2" s="1"/>
  <c r="T90" i="2"/>
  <c r="U90" i="2" s="1"/>
  <c r="V90" i="2" s="1"/>
  <c r="AL90" i="2" s="1"/>
  <c r="T88" i="2"/>
  <c r="U88" i="2" s="1"/>
  <c r="V88" i="2" s="1"/>
  <c r="T87" i="2"/>
  <c r="U87" i="2" s="1"/>
  <c r="V87" i="2" s="1"/>
  <c r="T86" i="2"/>
  <c r="U86" i="2" s="1"/>
  <c r="V86" i="2" s="1"/>
  <c r="T85" i="2"/>
  <c r="U85" i="2" s="1"/>
  <c r="V85" i="2" s="1"/>
  <c r="T84" i="2"/>
  <c r="U84" i="2" s="1"/>
  <c r="V84" i="2" s="1"/>
  <c r="T83" i="2"/>
  <c r="T82" i="2"/>
  <c r="U82" i="2" s="1"/>
  <c r="V82" i="2" s="1"/>
  <c r="AL82" i="2" s="1"/>
  <c r="T81" i="2"/>
  <c r="U81" i="2" s="1"/>
  <c r="V81" i="2" s="1"/>
  <c r="AL81" i="2" s="1"/>
  <c r="X34" i="2"/>
  <c r="X76" i="2"/>
  <c r="X67" i="2"/>
  <c r="X56" i="2"/>
  <c r="X44" i="2"/>
  <c r="X109" i="2"/>
  <c r="Y109" i="2" s="1"/>
  <c r="X108" i="2"/>
  <c r="Y108" i="2" s="1"/>
  <c r="X107" i="2"/>
  <c r="Y107" i="2" s="1"/>
  <c r="X106" i="2"/>
  <c r="Y106" i="2" s="1"/>
  <c r="X105" i="2"/>
  <c r="Y105" i="2" s="1"/>
  <c r="X104" i="2"/>
  <c r="Y104" i="2" s="1"/>
  <c r="X103" i="2"/>
  <c r="Y103" i="2" s="1"/>
  <c r="X102" i="2"/>
  <c r="Y102" i="2" s="1"/>
  <c r="X101" i="2"/>
  <c r="Y101" i="2" s="1"/>
  <c r="X100" i="2"/>
  <c r="Y100" i="2" s="1"/>
  <c r="X99" i="2"/>
  <c r="Y99" i="2" s="1"/>
  <c r="X98" i="2"/>
  <c r="Y98" i="2" s="1"/>
  <c r="X97" i="2"/>
  <c r="Y97" i="2" s="1"/>
  <c r="X96" i="2"/>
  <c r="Y96" i="2" s="1"/>
  <c r="X95" i="2"/>
  <c r="X94" i="2"/>
  <c r="Y94" i="2" s="1"/>
  <c r="X93" i="2"/>
  <c r="Y93" i="2" s="1"/>
  <c r="X92" i="2"/>
  <c r="Y92" i="2" s="1"/>
  <c r="X91" i="2"/>
  <c r="Y91" i="2" s="1"/>
  <c r="X90" i="2"/>
  <c r="Y90" i="2" s="1"/>
  <c r="X88" i="2"/>
  <c r="Y88" i="2" s="1"/>
  <c r="X87" i="2"/>
  <c r="Y87" i="2" s="1"/>
  <c r="X86" i="2"/>
  <c r="Y86" i="2" s="1"/>
  <c r="X85" i="2"/>
  <c r="X84" i="2"/>
  <c r="Y84" i="2" s="1"/>
  <c r="X83" i="2"/>
  <c r="Y83" i="2" s="1"/>
  <c r="X82" i="2"/>
  <c r="Y82" i="2" s="1"/>
  <c r="X81" i="2"/>
  <c r="Y34" i="2"/>
  <c r="V34" i="2"/>
  <c r="V76" i="2"/>
  <c r="V67" i="2"/>
  <c r="V56" i="2"/>
  <c r="V44" i="2"/>
  <c r="Y77" i="2"/>
  <c r="Y76" i="2"/>
  <c r="Y67" i="2"/>
  <c r="Y56" i="2"/>
  <c r="Y44" i="2"/>
  <c r="AD9" i="2" l="1"/>
  <c r="AD8" i="2"/>
  <c r="Y111" i="2"/>
  <c r="Y116" i="2" s="1"/>
  <c r="X116" i="2"/>
  <c r="Y112" i="2"/>
  <c r="Y117" i="2" s="1"/>
  <c r="X117" i="2"/>
  <c r="AL78" i="2"/>
  <c r="V113" i="2"/>
  <c r="Z116" i="2"/>
  <c r="AC28" i="2"/>
  <c r="AC27" i="2"/>
  <c r="AB27" i="2"/>
  <c r="AB8" i="2"/>
  <c r="AB28" i="2"/>
  <c r="AB26" i="2"/>
  <c r="AD27" i="2"/>
  <c r="AD10" i="2"/>
  <c r="AA26" i="2"/>
  <c r="AA13" i="2"/>
  <c r="T113" i="2"/>
  <c r="U113" i="2"/>
  <c r="X113" i="2"/>
  <c r="Y57" i="2"/>
  <c r="AM99" i="2"/>
  <c r="AM100" i="2"/>
  <c r="AM107" i="2"/>
  <c r="AK57" i="2"/>
  <c r="AM108" i="2"/>
  <c r="AM82" i="2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M83" i="2"/>
  <c r="W78" i="2"/>
  <c r="AK78" i="2"/>
  <c r="AM91" i="2"/>
  <c r="AM92" i="2"/>
  <c r="AL95" i="2"/>
  <c r="AL96" i="2"/>
  <c r="AL97" i="2"/>
  <c r="Y85" i="2"/>
  <c r="AM85" i="2" s="1"/>
  <c r="AO85" i="2" s="1"/>
  <c r="AP85" i="2" s="1"/>
  <c r="AQ85" i="2" s="1"/>
  <c r="AR85" i="2" s="1"/>
  <c r="AS85" i="2" s="1"/>
  <c r="AT85" i="2" s="1"/>
  <c r="AU85" i="2" s="1"/>
  <c r="AV85" i="2" s="1"/>
  <c r="AW85" i="2" s="1"/>
  <c r="AX85" i="2" s="1"/>
  <c r="AL57" i="2"/>
  <c r="AL92" i="2"/>
  <c r="AL100" i="2"/>
  <c r="AL108" i="2"/>
  <c r="AM84" i="2"/>
  <c r="AM93" i="2"/>
  <c r="AM101" i="2"/>
  <c r="AM109" i="2"/>
  <c r="AO109" i="2" s="1"/>
  <c r="AP109" i="2" s="1"/>
  <c r="AQ109" i="2" s="1"/>
  <c r="AR109" i="2" s="1"/>
  <c r="AS109" i="2" s="1"/>
  <c r="AT109" i="2" s="1"/>
  <c r="AU109" i="2" s="1"/>
  <c r="AV109" i="2" s="1"/>
  <c r="AW109" i="2" s="1"/>
  <c r="AX109" i="2" s="1"/>
  <c r="AL84" i="2"/>
  <c r="AL93" i="2"/>
  <c r="AL101" i="2"/>
  <c r="AL109" i="2"/>
  <c r="AM94" i="2"/>
  <c r="AM102" i="2"/>
  <c r="Y95" i="2"/>
  <c r="AM95" i="2" s="1"/>
  <c r="AL85" i="2"/>
  <c r="AL94" i="2"/>
  <c r="AL102" i="2"/>
  <c r="AL111" i="2"/>
  <c r="AM86" i="2"/>
  <c r="AM103" i="2"/>
  <c r="AM112" i="2"/>
  <c r="AO112" i="2" s="1"/>
  <c r="AP112" i="2" s="1"/>
  <c r="AQ112" i="2" s="1"/>
  <c r="AR112" i="2" s="1"/>
  <c r="AS112" i="2" s="1"/>
  <c r="AT112" i="2" s="1"/>
  <c r="AU112" i="2" s="1"/>
  <c r="AV112" i="2" s="1"/>
  <c r="AW112" i="2" s="1"/>
  <c r="AX112" i="2" s="1"/>
  <c r="Y78" i="2"/>
  <c r="AL86" i="2"/>
  <c r="AL103" i="2"/>
  <c r="AL112" i="2"/>
  <c r="AM87" i="2"/>
  <c r="AO87" i="2" s="1"/>
  <c r="AP87" i="2" s="1"/>
  <c r="AQ87" i="2" s="1"/>
  <c r="AR87" i="2" s="1"/>
  <c r="AS87" i="2" s="1"/>
  <c r="AT87" i="2" s="1"/>
  <c r="AU87" i="2" s="1"/>
  <c r="AV87" i="2" s="1"/>
  <c r="AW87" i="2" s="1"/>
  <c r="AX87" i="2" s="1"/>
  <c r="AM96" i="2"/>
  <c r="AM104" i="2"/>
  <c r="AL87" i="2"/>
  <c r="AL104" i="2"/>
  <c r="AM88" i="2"/>
  <c r="AM97" i="2"/>
  <c r="AM105" i="2"/>
  <c r="AL88" i="2"/>
  <c r="AL105" i="2"/>
  <c r="AM90" i="2"/>
  <c r="AM98" i="2"/>
  <c r="AM106" i="2"/>
  <c r="R78" i="2"/>
  <c r="R57" i="2"/>
  <c r="W57" i="2"/>
  <c r="U83" i="2"/>
  <c r="X78" i="2"/>
  <c r="X57" i="2"/>
  <c r="Y81" i="2"/>
  <c r="V78" i="2"/>
  <c r="V57" i="2"/>
  <c r="Y113" i="2" l="1"/>
  <c r="AM111" i="2"/>
  <c r="AC26" i="2"/>
  <c r="AB13" i="2"/>
  <c r="AB30" i="2" s="1"/>
  <c r="AC13" i="2"/>
  <c r="AC15" i="2" s="1"/>
  <c r="AN9" i="2"/>
  <c r="AD7" i="2"/>
  <c r="AN7" i="2" s="1"/>
  <c r="AD26" i="2"/>
  <c r="AD13" i="2"/>
  <c r="AD28" i="2"/>
  <c r="AN10" i="2"/>
  <c r="AA15" i="2"/>
  <c r="AA30" i="2"/>
  <c r="AL113" i="2"/>
  <c r="V83" i="2"/>
  <c r="AL83" i="2" s="1"/>
  <c r="AM81" i="2"/>
  <c r="AO81" i="2" s="1"/>
  <c r="AP81" i="2" s="1"/>
  <c r="AQ81" i="2" s="1"/>
  <c r="AR81" i="2" s="1"/>
  <c r="AS81" i="2" s="1"/>
  <c r="AT81" i="2" s="1"/>
  <c r="AU81" i="2" s="1"/>
  <c r="AV81" i="2" s="1"/>
  <c r="AW81" i="2" s="1"/>
  <c r="AX81" i="2" s="1"/>
  <c r="Z29" i="2"/>
  <c r="Y16" i="2"/>
  <c r="Y12" i="2"/>
  <c r="Y29" i="2"/>
  <c r="AJ29" i="2"/>
  <c r="AI29" i="2"/>
  <c r="X29" i="2"/>
  <c r="W29" i="2"/>
  <c r="V29" i="2"/>
  <c r="U29" i="2"/>
  <c r="T29" i="2"/>
  <c r="S29" i="2"/>
  <c r="O29" i="2"/>
  <c r="AM113" i="2" l="1"/>
  <c r="AB15" i="2"/>
  <c r="AB31" i="2" s="1"/>
  <c r="AC30" i="2"/>
  <c r="AD15" i="2"/>
  <c r="AD16" i="2" s="1"/>
  <c r="AD30" i="2"/>
  <c r="AC31" i="2"/>
  <c r="AA18" i="2"/>
  <c r="AA80" i="2" s="1"/>
  <c r="AA110" i="2" s="1"/>
  <c r="AA114" i="2" s="1"/>
  <c r="AO111" i="2"/>
  <c r="AP111" i="2" s="1"/>
  <c r="AQ111" i="2" s="1"/>
  <c r="AR111" i="2" s="1"/>
  <c r="AS111" i="2" s="1"/>
  <c r="AT111" i="2" s="1"/>
  <c r="AU111" i="2" s="1"/>
  <c r="AV111" i="2" s="1"/>
  <c r="AW111" i="2" s="1"/>
  <c r="AX111" i="2" s="1"/>
  <c r="AN113" i="2"/>
  <c r="X16" i="2"/>
  <c r="X12" i="2"/>
  <c r="AB18" i="2" l="1"/>
  <c r="AD31" i="2"/>
  <c r="AC18" i="2"/>
  <c r="AC80" i="2" s="1"/>
  <c r="AA20" i="2"/>
  <c r="AA32" i="2"/>
  <c r="AA31" i="2"/>
  <c r="AO113" i="2"/>
  <c r="BC30" i="2"/>
  <c r="AB32" i="2" l="1"/>
  <c r="AB80" i="2"/>
  <c r="AC120" i="2" s="1"/>
  <c r="AC150" i="2" s="1"/>
  <c r="AC110" i="2" s="1"/>
  <c r="AC114" i="2" s="1"/>
  <c r="AB20" i="2"/>
  <c r="AD18" i="2"/>
  <c r="AD32" i="2" s="1"/>
  <c r="AN16" i="2"/>
  <c r="AC32" i="2"/>
  <c r="AC20" i="2"/>
  <c r="AP113" i="2"/>
  <c r="AM11" i="2"/>
  <c r="AJ24" i="2"/>
  <c r="AI24" i="2"/>
  <c r="AJ23" i="2"/>
  <c r="AI23" i="2"/>
  <c r="AJ22" i="2"/>
  <c r="AI22" i="2"/>
  <c r="AH16" i="2"/>
  <c r="AH12" i="2"/>
  <c r="AH6" i="2"/>
  <c r="AH8" i="2" s="1"/>
  <c r="AH26" i="2" s="1"/>
  <c r="AI16" i="2"/>
  <c r="AI12" i="2"/>
  <c r="AI6" i="2"/>
  <c r="AI8" i="2" s="1"/>
  <c r="AI26" i="2" s="1"/>
  <c r="AJ16" i="2"/>
  <c r="AJ12" i="2"/>
  <c r="AJ6" i="2"/>
  <c r="AJ8" i="2" s="1"/>
  <c r="AJ26" i="2" s="1"/>
  <c r="AK17" i="2"/>
  <c r="AK16" i="2"/>
  <c r="AK14" i="2"/>
  <c r="AK11" i="2"/>
  <c r="AK29" i="2" s="1"/>
  <c r="AK10" i="2"/>
  <c r="AK9" i="2"/>
  <c r="AK7" i="2"/>
  <c r="AK5" i="2"/>
  <c r="AK24" i="2" s="1"/>
  <c r="AK4" i="2"/>
  <c r="AK23" i="2" s="1"/>
  <c r="AK3" i="2"/>
  <c r="AK22" i="2" s="1"/>
  <c r="AL17" i="2"/>
  <c r="AL14" i="2"/>
  <c r="AL11" i="2"/>
  <c r="AL10" i="2"/>
  <c r="AL9" i="2"/>
  <c r="AL5" i="2"/>
  <c r="AL4" i="2"/>
  <c r="AL3" i="2"/>
  <c r="AM14" i="2"/>
  <c r="Y22" i="2"/>
  <c r="X22" i="2"/>
  <c r="Z24" i="2"/>
  <c r="Y24" i="2"/>
  <c r="X24" i="2"/>
  <c r="Z23" i="2"/>
  <c r="X23" i="2"/>
  <c r="W24" i="2"/>
  <c r="V24" i="2"/>
  <c r="U24" i="2"/>
  <c r="T24" i="2"/>
  <c r="S24" i="2"/>
  <c r="O24" i="2"/>
  <c r="Y23" i="2"/>
  <c r="W23" i="2"/>
  <c r="V23" i="2"/>
  <c r="U23" i="2"/>
  <c r="T23" i="2"/>
  <c r="S23" i="2"/>
  <c r="O23" i="2"/>
  <c r="W22" i="2"/>
  <c r="V22" i="2"/>
  <c r="U22" i="2"/>
  <c r="T22" i="2"/>
  <c r="S22" i="2"/>
  <c r="O22" i="2"/>
  <c r="K12" i="2"/>
  <c r="K6" i="2"/>
  <c r="K8" i="2" s="1"/>
  <c r="K26" i="2" s="1"/>
  <c r="O12" i="2"/>
  <c r="O6" i="2"/>
  <c r="O8" i="2" s="1"/>
  <c r="O26" i="2" s="1"/>
  <c r="P12" i="2"/>
  <c r="P6" i="2"/>
  <c r="P8" i="2" s="1"/>
  <c r="P26" i="2" s="1"/>
  <c r="T12" i="2"/>
  <c r="T6" i="2"/>
  <c r="T8" i="2" s="1"/>
  <c r="Q12" i="2"/>
  <c r="Q6" i="2"/>
  <c r="Q8" i="2" s="1"/>
  <c r="Q26" i="2" s="1"/>
  <c r="U12" i="2"/>
  <c r="U6" i="2"/>
  <c r="U8" i="2" s="1"/>
  <c r="U26" i="2" s="1"/>
  <c r="R12" i="2"/>
  <c r="R6" i="2"/>
  <c r="R8" i="2" s="1"/>
  <c r="R26" i="2" s="1"/>
  <c r="V12" i="2"/>
  <c r="V7" i="2"/>
  <c r="AL7" i="2" s="1"/>
  <c r="V6" i="2"/>
  <c r="V27" i="2" s="1"/>
  <c r="S16" i="2"/>
  <c r="S12" i="2"/>
  <c r="S6" i="2"/>
  <c r="S8" i="2" s="1"/>
  <c r="S26" i="2" s="1"/>
  <c r="W16" i="2"/>
  <c r="W12" i="2"/>
  <c r="W6" i="2"/>
  <c r="F3" i="1"/>
  <c r="D9" i="1"/>
  <c r="D8" i="1"/>
  <c r="W8" i="2" l="1"/>
  <c r="AA25" i="2"/>
  <c r="AD20" i="2"/>
  <c r="AL23" i="2"/>
  <c r="AL22" i="2"/>
  <c r="AQ113" i="2"/>
  <c r="AL29" i="2"/>
  <c r="AL12" i="2"/>
  <c r="Q28" i="2"/>
  <c r="AM29" i="2"/>
  <c r="AK12" i="2"/>
  <c r="K28" i="2"/>
  <c r="O28" i="2"/>
  <c r="T28" i="2"/>
  <c r="AH28" i="2"/>
  <c r="W13" i="2"/>
  <c r="W15" i="2" s="1"/>
  <c r="W31" i="2" s="1"/>
  <c r="D10" i="1"/>
  <c r="BC27" i="2" s="1"/>
  <c r="T27" i="2"/>
  <c r="P27" i="2"/>
  <c r="AM4" i="2"/>
  <c r="AI25" i="2"/>
  <c r="AJ28" i="2"/>
  <c r="V28" i="2"/>
  <c r="T25" i="2"/>
  <c r="U27" i="2"/>
  <c r="Q27" i="2"/>
  <c r="X6" i="2"/>
  <c r="AM5" i="2"/>
  <c r="AP5" i="2" s="1"/>
  <c r="AQ5" i="2" s="1"/>
  <c r="AR5" i="2" s="1"/>
  <c r="AJ25" i="2"/>
  <c r="AH27" i="2"/>
  <c r="W25" i="2"/>
  <c r="R27" i="2"/>
  <c r="Y6" i="2"/>
  <c r="AI27" i="2"/>
  <c r="K27" i="2"/>
  <c r="S28" i="2"/>
  <c r="P28" i="2"/>
  <c r="AJ27" i="2"/>
  <c r="T13" i="2"/>
  <c r="T26" i="2"/>
  <c r="O27" i="2"/>
  <c r="U28" i="2"/>
  <c r="R28" i="2"/>
  <c r="Z6" i="2"/>
  <c r="AL16" i="2"/>
  <c r="S27" i="2"/>
  <c r="AM3" i="2"/>
  <c r="AP3" i="2" s="1"/>
  <c r="AQ3" i="2" s="1"/>
  <c r="AR3" i="2" s="1"/>
  <c r="AS3" i="2" s="1"/>
  <c r="AT3" i="2" s="1"/>
  <c r="AU3" i="2" s="1"/>
  <c r="AV3" i="2" s="1"/>
  <c r="AW3" i="2" s="1"/>
  <c r="AX3" i="2" s="1"/>
  <c r="AL24" i="2"/>
  <c r="AI28" i="2"/>
  <c r="AM12" i="2"/>
  <c r="AO12" i="2" s="1"/>
  <c r="AP12" i="2" s="1"/>
  <c r="AQ12" i="2" s="1"/>
  <c r="AR12" i="2" s="1"/>
  <c r="AS12" i="2" s="1"/>
  <c r="AT12" i="2" s="1"/>
  <c r="AU12" i="2" s="1"/>
  <c r="AV12" i="2" s="1"/>
  <c r="AW12" i="2" s="1"/>
  <c r="AX12" i="2" s="1"/>
  <c r="AH13" i="2"/>
  <c r="AI13" i="2"/>
  <c r="AJ13" i="2"/>
  <c r="AK6" i="2"/>
  <c r="AK28" i="2" s="1"/>
  <c r="AL6" i="2"/>
  <c r="Z22" i="2"/>
  <c r="W27" i="2"/>
  <c r="W28" i="2"/>
  <c r="W26" i="2"/>
  <c r="V25" i="2"/>
  <c r="U25" i="2"/>
  <c r="O25" i="2"/>
  <c r="S25" i="2"/>
  <c r="Q13" i="2"/>
  <c r="K13" i="2"/>
  <c r="P13" i="2"/>
  <c r="U13" i="2"/>
  <c r="O13" i="2"/>
  <c r="R13" i="2"/>
  <c r="V8" i="2"/>
  <c r="S13" i="2"/>
  <c r="X25" i="2" l="1"/>
  <c r="AB25" i="2"/>
  <c r="Z8" i="2"/>
  <c r="AD25" i="2"/>
  <c r="Y8" i="2"/>
  <c r="AC25" i="2"/>
  <c r="AR113" i="2"/>
  <c r="BA120" i="2"/>
  <c r="W30" i="2"/>
  <c r="Z28" i="2"/>
  <c r="W18" i="2"/>
  <c r="W80" i="2" s="1"/>
  <c r="W110" i="2" s="1"/>
  <c r="W114" i="2" s="1"/>
  <c r="AN29" i="2"/>
  <c r="AL25" i="2"/>
  <c r="Z27" i="2"/>
  <c r="AM23" i="2"/>
  <c r="Z25" i="2"/>
  <c r="Y27" i="2"/>
  <c r="Y25" i="2"/>
  <c r="AM6" i="2"/>
  <c r="T15" i="2"/>
  <c r="T30" i="2"/>
  <c r="P15" i="2"/>
  <c r="P30" i="2"/>
  <c r="AN24" i="2"/>
  <c r="AN23" i="2"/>
  <c r="K15" i="2"/>
  <c r="K30" i="2"/>
  <c r="Q15" i="2"/>
  <c r="Q30" i="2"/>
  <c r="AK8" i="2"/>
  <c r="AK25" i="2"/>
  <c r="X28" i="2"/>
  <c r="O15" i="2"/>
  <c r="O30" i="2"/>
  <c r="AJ15" i="2"/>
  <c r="AJ30" i="2"/>
  <c r="AK27" i="2"/>
  <c r="U15" i="2"/>
  <c r="U30" i="2"/>
  <c r="AM24" i="2"/>
  <c r="Y28" i="2"/>
  <c r="AL28" i="2"/>
  <c r="S15" i="2"/>
  <c r="S30" i="2"/>
  <c r="V13" i="2"/>
  <c r="V26" i="2"/>
  <c r="AI15" i="2"/>
  <c r="AI30" i="2"/>
  <c r="R15" i="2"/>
  <c r="R30" i="2"/>
  <c r="AH15" i="2"/>
  <c r="AH30" i="2"/>
  <c r="AM22" i="2"/>
  <c r="AL27" i="2"/>
  <c r="AL8" i="2"/>
  <c r="AS113" i="2" l="1"/>
  <c r="AM25" i="2"/>
  <c r="W120" i="2"/>
  <c r="W32" i="2"/>
  <c r="W20" i="2"/>
  <c r="AP11" i="2"/>
  <c r="AO29" i="2"/>
  <c r="AO23" i="2"/>
  <c r="U18" i="2"/>
  <c r="U80" i="2" s="1"/>
  <c r="U31" i="2"/>
  <c r="AK13" i="2"/>
  <c r="AK26" i="2"/>
  <c r="AO24" i="2"/>
  <c r="AL13" i="2"/>
  <c r="AL26" i="2"/>
  <c r="R18" i="2"/>
  <c r="R80" i="2" s="1"/>
  <c r="R31" i="2"/>
  <c r="O18" i="2"/>
  <c r="O80" i="2" s="1"/>
  <c r="O31" i="2"/>
  <c r="Q18" i="2"/>
  <c r="Q80" i="2" s="1"/>
  <c r="Q31" i="2"/>
  <c r="P18" i="2"/>
  <c r="P80" i="2" s="1"/>
  <c r="P31" i="2"/>
  <c r="AI18" i="2"/>
  <c r="AI80" i="2" s="1"/>
  <c r="AI110" i="2" s="1"/>
  <c r="AI114" i="2" s="1"/>
  <c r="AI31" i="2"/>
  <c r="AJ18" i="2"/>
  <c r="AJ80" i="2" s="1"/>
  <c r="AJ110" i="2" s="1"/>
  <c r="AJ114" i="2" s="1"/>
  <c r="AJ31" i="2"/>
  <c r="X27" i="2"/>
  <c r="AM9" i="2"/>
  <c r="AM27" i="2" s="1"/>
  <c r="AH18" i="2"/>
  <c r="AH31" i="2"/>
  <c r="AM10" i="2"/>
  <c r="AM28" i="2" s="1"/>
  <c r="K18" i="2"/>
  <c r="K31" i="2"/>
  <c r="S18" i="2"/>
  <c r="S80" i="2" s="1"/>
  <c r="S31" i="2"/>
  <c r="AN6" i="2"/>
  <c r="AN8" i="2" s="1"/>
  <c r="AN22" i="2"/>
  <c r="V15" i="2"/>
  <c r="V30" i="2"/>
  <c r="T18" i="2"/>
  <c r="T80" i="2" s="1"/>
  <c r="T31" i="2"/>
  <c r="AP23" i="2"/>
  <c r="D5" i="1"/>
  <c r="D11" i="1" s="1"/>
  <c r="AT113" i="2" l="1"/>
  <c r="Q120" i="2"/>
  <c r="Q150" i="2" s="1"/>
  <c r="Q110" i="2"/>
  <c r="Q114" i="2" s="1"/>
  <c r="P120" i="2"/>
  <c r="P150" i="2" s="1"/>
  <c r="P110" i="2"/>
  <c r="P114" i="2" s="1"/>
  <c r="S120" i="2"/>
  <c r="S110" i="2"/>
  <c r="S114" i="2" s="1"/>
  <c r="O120" i="2"/>
  <c r="O110" i="2"/>
  <c r="O114" i="2" s="1"/>
  <c r="T120" i="2"/>
  <c r="T150" i="2" s="1"/>
  <c r="T110" i="2"/>
  <c r="T114" i="2" s="1"/>
  <c r="U120" i="2"/>
  <c r="U150" i="2" s="1"/>
  <c r="U110" i="2"/>
  <c r="U114" i="2" s="1"/>
  <c r="R120" i="2"/>
  <c r="R150" i="2" s="1"/>
  <c r="R110" i="2"/>
  <c r="R114" i="2" s="1"/>
  <c r="AQ11" i="2"/>
  <c r="AR11" i="2" s="1"/>
  <c r="AP29" i="2"/>
  <c r="P20" i="2"/>
  <c r="P32" i="2"/>
  <c r="AH20" i="2"/>
  <c r="AH32" i="2"/>
  <c r="AJ20" i="2"/>
  <c r="AJ32" i="2"/>
  <c r="Q20" i="2"/>
  <c r="Q32" i="2"/>
  <c r="S20" i="2"/>
  <c r="S32" i="2"/>
  <c r="O20" i="2"/>
  <c r="O32" i="2"/>
  <c r="T20" i="2"/>
  <c r="T32" i="2"/>
  <c r="K20" i="2"/>
  <c r="K32" i="2"/>
  <c r="AI20" i="2"/>
  <c r="AI32" i="2"/>
  <c r="R20" i="2"/>
  <c r="R32" i="2"/>
  <c r="U20" i="2"/>
  <c r="U32" i="2"/>
  <c r="AN28" i="2"/>
  <c r="AN27" i="2"/>
  <c r="AP24" i="2"/>
  <c r="AO6" i="2"/>
  <c r="AO9" i="2" s="1"/>
  <c r="AO22" i="2"/>
  <c r="AK15" i="2"/>
  <c r="AK30" i="2"/>
  <c r="V18" i="2"/>
  <c r="V80" i="2" s="1"/>
  <c r="V31" i="2"/>
  <c r="AN25" i="2"/>
  <c r="AL15" i="2"/>
  <c r="AL30" i="2"/>
  <c r="AQ23" i="2"/>
  <c r="AO10" i="2" l="1"/>
  <c r="AO28" i="2" s="1"/>
  <c r="AO8" i="2"/>
  <c r="AO7" i="2" s="1"/>
  <c r="AU113" i="2"/>
  <c r="V120" i="2"/>
  <c r="V150" i="2" s="1"/>
  <c r="V110" i="2"/>
  <c r="V114" i="2" s="1"/>
  <c r="AS11" i="2"/>
  <c r="AT11" i="2" s="1"/>
  <c r="AU11" i="2" s="1"/>
  <c r="AV11" i="2" s="1"/>
  <c r="AW11" i="2" s="1"/>
  <c r="AX11" i="2" s="1"/>
  <c r="AQ29" i="2"/>
  <c r="V20" i="2"/>
  <c r="V32" i="2"/>
  <c r="AO27" i="2"/>
  <c r="AO25" i="2"/>
  <c r="AQ24" i="2"/>
  <c r="AN26" i="2"/>
  <c r="AN13" i="2"/>
  <c r="AK18" i="2"/>
  <c r="AK80" i="2" s="1"/>
  <c r="AK110" i="2" s="1"/>
  <c r="AK114" i="2" s="1"/>
  <c r="AK31" i="2"/>
  <c r="AL18" i="2"/>
  <c r="AL80" i="2" s="1"/>
  <c r="AL110" i="2" s="1"/>
  <c r="AL114" i="2" s="1"/>
  <c r="AL31" i="2"/>
  <c r="AP22" i="2"/>
  <c r="AP6" i="2"/>
  <c r="AP9" i="2" s="1"/>
  <c r="AR23" i="2"/>
  <c r="AP8" i="2" l="1"/>
  <c r="AP7" i="2" s="1"/>
  <c r="AP27" i="2"/>
  <c r="AV113" i="2"/>
  <c r="AP10" i="2"/>
  <c r="AP28" i="2" s="1"/>
  <c r="AR29" i="2"/>
  <c r="AL20" i="2"/>
  <c r="AL32" i="2"/>
  <c r="AK20" i="2"/>
  <c r="AK32" i="2"/>
  <c r="AN30" i="2"/>
  <c r="AN15" i="2"/>
  <c r="AO13" i="2"/>
  <c r="AO26" i="2"/>
  <c r="AQ6" i="2"/>
  <c r="AQ9" i="2" s="1"/>
  <c r="AQ22" i="2"/>
  <c r="AP25" i="2"/>
  <c r="AS5" i="2"/>
  <c r="AR24" i="2"/>
  <c r="AS23" i="2"/>
  <c r="AQ8" i="2" l="1"/>
  <c r="AQ27" i="2"/>
  <c r="AX113" i="2"/>
  <c r="AW113" i="2"/>
  <c r="AQ10" i="2"/>
  <c r="AQ28" i="2" s="1"/>
  <c r="AS29" i="2"/>
  <c r="AP13" i="2"/>
  <c r="AP26" i="2"/>
  <c r="AN31" i="2"/>
  <c r="AR6" i="2"/>
  <c r="AR9" i="2" s="1"/>
  <c r="AR22" i="2"/>
  <c r="AO30" i="2"/>
  <c r="AO15" i="2"/>
  <c r="AO16" i="2" s="1"/>
  <c r="AT5" i="2"/>
  <c r="AS24" i="2"/>
  <c r="AQ25" i="2"/>
  <c r="AT23" i="2"/>
  <c r="AR8" i="2" l="1"/>
  <c r="AR27" i="2"/>
  <c r="AR10" i="2"/>
  <c r="AR28" i="2" s="1"/>
  <c r="AT29" i="2"/>
  <c r="AN18" i="2"/>
  <c r="AQ7" i="2"/>
  <c r="AQ13" i="2"/>
  <c r="AQ26" i="2"/>
  <c r="AU5" i="2"/>
  <c r="AT24" i="2"/>
  <c r="AS6" i="2"/>
  <c r="AS9" i="2" s="1"/>
  <c r="AS22" i="2"/>
  <c r="AO31" i="2"/>
  <c r="AO17" i="2"/>
  <c r="AP30" i="2"/>
  <c r="AP15" i="2"/>
  <c r="AP16" i="2" s="1"/>
  <c r="AR25" i="2"/>
  <c r="AU23" i="2"/>
  <c r="AS8" i="2" l="1"/>
  <c r="AS7" i="2" s="1"/>
  <c r="AS27" i="2"/>
  <c r="AN80" i="2"/>
  <c r="AN110" i="2" s="1"/>
  <c r="AN114" i="2" s="1"/>
  <c r="AS10" i="2"/>
  <c r="AS28" i="2" s="1"/>
  <c r="AU29" i="2"/>
  <c r="AN20" i="2"/>
  <c r="AN32" i="2"/>
  <c r="AS25" i="2"/>
  <c r="AT6" i="2"/>
  <c r="AT9" i="2" s="1"/>
  <c r="AT22" i="2"/>
  <c r="AP31" i="2"/>
  <c r="AP17" i="2"/>
  <c r="AV5" i="2"/>
  <c r="AU24" i="2"/>
  <c r="AO18" i="2"/>
  <c r="AQ15" i="2"/>
  <c r="AQ16" i="2" s="1"/>
  <c r="AQ30" i="2"/>
  <c r="AR7" i="2"/>
  <c r="AR13" i="2"/>
  <c r="AR26" i="2"/>
  <c r="AV23" i="2"/>
  <c r="AT8" i="2" l="1"/>
  <c r="AT7" i="2" s="1"/>
  <c r="AT27" i="2"/>
  <c r="AO80" i="2"/>
  <c r="AO110" i="2" s="1"/>
  <c r="AO114" i="2" s="1"/>
  <c r="AT10" i="2"/>
  <c r="AT28" i="2" s="1"/>
  <c r="AV29" i="2"/>
  <c r="AO32" i="2"/>
  <c r="AU6" i="2"/>
  <c r="AU9" i="2" s="1"/>
  <c r="AU22" i="2"/>
  <c r="AO20" i="2"/>
  <c r="AQ17" i="2"/>
  <c r="AQ31" i="2"/>
  <c r="AS13" i="2"/>
  <c r="AS26" i="2"/>
  <c r="AT25" i="2"/>
  <c r="AW5" i="2"/>
  <c r="AV24" i="2"/>
  <c r="AR15" i="2"/>
  <c r="AR16" i="2" s="1"/>
  <c r="AR30" i="2"/>
  <c r="AP18" i="2"/>
  <c r="AW23" i="2"/>
  <c r="AX23" i="2"/>
  <c r="AU8" i="2" l="1"/>
  <c r="AU7" i="2" s="1"/>
  <c r="AP80" i="2"/>
  <c r="AP110" i="2" s="1"/>
  <c r="AP114" i="2" s="1"/>
  <c r="AU27" i="2"/>
  <c r="AU10" i="2"/>
  <c r="AU28" i="2" s="1"/>
  <c r="AX29" i="2"/>
  <c r="AW29" i="2"/>
  <c r="AP32" i="2"/>
  <c r="AP20" i="2"/>
  <c r="AX5" i="2"/>
  <c r="AX24" i="2" s="1"/>
  <c r="AW24" i="2"/>
  <c r="AQ18" i="2"/>
  <c r="AU25" i="2"/>
  <c r="AT13" i="2"/>
  <c r="AT26" i="2"/>
  <c r="AR31" i="2"/>
  <c r="AR17" i="2"/>
  <c r="AS15" i="2"/>
  <c r="AS16" i="2" s="1"/>
  <c r="AS30" i="2"/>
  <c r="AV6" i="2"/>
  <c r="AV9" i="2" s="1"/>
  <c r="AV22" i="2"/>
  <c r="AV8" i="2" l="1"/>
  <c r="AV27" i="2"/>
  <c r="AQ80" i="2"/>
  <c r="AQ110" i="2" s="1"/>
  <c r="AQ114" i="2" s="1"/>
  <c r="AV10" i="2"/>
  <c r="AV28" i="2" s="1"/>
  <c r="AQ32" i="2"/>
  <c r="AR18" i="2"/>
  <c r="AR80" i="2" s="1"/>
  <c r="AR110" i="2" s="1"/>
  <c r="AR114" i="2" s="1"/>
  <c r="AV25" i="2"/>
  <c r="AS17" i="2"/>
  <c r="AS31" i="2"/>
  <c r="AU13" i="2"/>
  <c r="AU26" i="2"/>
  <c r="AQ20" i="2"/>
  <c r="AW6" i="2"/>
  <c r="AW9" i="2" s="1"/>
  <c r="AW22" i="2"/>
  <c r="AT15" i="2"/>
  <c r="AT16" i="2" s="1"/>
  <c r="AT30" i="2"/>
  <c r="AW8" i="2" l="1"/>
  <c r="AW7" i="2" s="1"/>
  <c r="AW27" i="2"/>
  <c r="AW10" i="2"/>
  <c r="AW28" i="2" s="1"/>
  <c r="AR20" i="2"/>
  <c r="AR32" i="2"/>
  <c r="AS18" i="2"/>
  <c r="AS80" i="2" s="1"/>
  <c r="AS110" i="2" s="1"/>
  <c r="AS114" i="2" s="1"/>
  <c r="AT17" i="2"/>
  <c r="AT31" i="2"/>
  <c r="AX6" i="2"/>
  <c r="AX9" i="2" s="1"/>
  <c r="AX22" i="2"/>
  <c r="AW25" i="2"/>
  <c r="AV13" i="2"/>
  <c r="AV26" i="2"/>
  <c r="AV7" i="2"/>
  <c r="AU30" i="2"/>
  <c r="AU15" i="2"/>
  <c r="AU16" i="2" s="1"/>
  <c r="AX8" i="2" l="1"/>
  <c r="AX27" i="2"/>
  <c r="AX10" i="2"/>
  <c r="AX28" i="2" s="1"/>
  <c r="AS20" i="2"/>
  <c r="AS32" i="2"/>
  <c r="AU31" i="2"/>
  <c r="AU17" i="2"/>
  <c r="AV15" i="2"/>
  <c r="AV16" i="2" s="1"/>
  <c r="AV30" i="2"/>
  <c r="AX25" i="2"/>
  <c r="AT18" i="2"/>
  <c r="AW13" i="2"/>
  <c r="AW26" i="2"/>
  <c r="AT32" i="2" l="1"/>
  <c r="AT80" i="2"/>
  <c r="AT110" i="2" s="1"/>
  <c r="AT114" i="2" s="1"/>
  <c r="AU18" i="2"/>
  <c r="AU80" i="2" s="1"/>
  <c r="AU110" i="2" s="1"/>
  <c r="AU114" i="2" s="1"/>
  <c r="AT20" i="2"/>
  <c r="AX13" i="2"/>
  <c r="AX26" i="2"/>
  <c r="AW15" i="2"/>
  <c r="AW16" i="2" s="1"/>
  <c r="AW30" i="2"/>
  <c r="AV31" i="2"/>
  <c r="AV17" i="2"/>
  <c r="AX7" i="2"/>
  <c r="AU20" i="2" l="1"/>
  <c r="AU32" i="2"/>
  <c r="AW31" i="2"/>
  <c r="AW17" i="2"/>
  <c r="AX15" i="2"/>
  <c r="AX16" i="2" s="1"/>
  <c r="AX30" i="2"/>
  <c r="AV18" i="2"/>
  <c r="AV80" i="2" s="1"/>
  <c r="AV110" i="2" s="1"/>
  <c r="AV114" i="2" s="1"/>
  <c r="AV20" i="2" l="1"/>
  <c r="AV32" i="2"/>
  <c r="AX31" i="2"/>
  <c r="AX17" i="2"/>
  <c r="AW18" i="2"/>
  <c r="AW80" i="2" s="1"/>
  <c r="AW110" i="2" s="1"/>
  <c r="AW114" i="2" s="1"/>
  <c r="AW20" i="2" l="1"/>
  <c r="AW32" i="2"/>
  <c r="AX18" i="2"/>
  <c r="AX80" i="2" l="1"/>
  <c r="AX110" i="2" s="1"/>
  <c r="AX114" i="2" s="1"/>
  <c r="AY114" i="2" s="1"/>
  <c r="AY18" i="2"/>
  <c r="AX32" i="2"/>
  <c r="AX20" i="2"/>
  <c r="X8" i="2"/>
  <c r="X26" i="2" s="1"/>
  <c r="AZ18" i="2" l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BC25" i="2" s="1"/>
  <c r="AZ114" i="2"/>
  <c r="BA114" i="2" s="1"/>
  <c r="BB114" i="2" s="1"/>
  <c r="BC114" i="2" s="1"/>
  <c r="BD114" i="2" s="1"/>
  <c r="BE114" i="2" s="1"/>
  <c r="BF114" i="2" s="1"/>
  <c r="BG114" i="2" s="1"/>
  <c r="BH114" i="2" s="1"/>
  <c r="BI114" i="2" s="1"/>
  <c r="BJ114" i="2" s="1"/>
  <c r="BK114" i="2" s="1"/>
  <c r="BL114" i="2" s="1"/>
  <c r="BM114" i="2" s="1"/>
  <c r="BN114" i="2" s="1"/>
  <c r="BO114" i="2" s="1"/>
  <c r="BP114" i="2" s="1"/>
  <c r="BQ114" i="2" s="1"/>
  <c r="BR114" i="2" s="1"/>
  <c r="BS114" i="2" s="1"/>
  <c r="BT114" i="2" s="1"/>
  <c r="BU114" i="2" s="1"/>
  <c r="BV114" i="2" s="1"/>
  <c r="BW114" i="2" s="1"/>
  <c r="BX114" i="2" s="1"/>
  <c r="BY114" i="2" s="1"/>
  <c r="BZ114" i="2" s="1"/>
  <c r="CA114" i="2" s="1"/>
  <c r="CB114" i="2" s="1"/>
  <c r="CC114" i="2" s="1"/>
  <c r="CD114" i="2" s="1"/>
  <c r="CE114" i="2" s="1"/>
  <c r="CF114" i="2" s="1"/>
  <c r="CG114" i="2" s="1"/>
  <c r="CH114" i="2" s="1"/>
  <c r="CI114" i="2" s="1"/>
  <c r="CJ114" i="2" s="1"/>
  <c r="CK114" i="2" s="1"/>
  <c r="CL114" i="2" s="1"/>
  <c r="CM114" i="2" s="1"/>
  <c r="CN114" i="2" s="1"/>
  <c r="CO114" i="2" s="1"/>
  <c r="CP114" i="2" s="1"/>
  <c r="CQ114" i="2" s="1"/>
  <c r="CR114" i="2" s="1"/>
  <c r="CS114" i="2" s="1"/>
  <c r="CT114" i="2" s="1"/>
  <c r="CU114" i="2" s="1"/>
  <c r="CV114" i="2" s="1"/>
  <c r="CW114" i="2" s="1"/>
  <c r="CX114" i="2" s="1"/>
  <c r="CY114" i="2" s="1"/>
  <c r="CZ114" i="2" s="1"/>
  <c r="DA114" i="2" s="1"/>
  <c r="DB114" i="2" s="1"/>
  <c r="DC114" i="2" s="1"/>
  <c r="DD114" i="2" s="1"/>
  <c r="DE114" i="2" s="1"/>
  <c r="DF114" i="2" s="1"/>
  <c r="DG114" i="2" s="1"/>
  <c r="DH114" i="2" s="1"/>
  <c r="DI114" i="2" s="1"/>
  <c r="DJ114" i="2" s="1"/>
  <c r="DK114" i="2" s="1"/>
  <c r="DL114" i="2" s="1"/>
  <c r="DM114" i="2" s="1"/>
  <c r="DN114" i="2" s="1"/>
  <c r="DO114" i="2" s="1"/>
  <c r="DP114" i="2" s="1"/>
  <c r="DQ114" i="2" s="1"/>
  <c r="DR114" i="2" s="1"/>
  <c r="DS114" i="2" s="1"/>
  <c r="DT114" i="2" s="1"/>
  <c r="DU114" i="2" s="1"/>
  <c r="DV114" i="2" s="1"/>
  <c r="DW114" i="2" s="1"/>
  <c r="DX114" i="2" s="1"/>
  <c r="DY114" i="2" s="1"/>
  <c r="DZ114" i="2" s="1"/>
  <c r="EA114" i="2" s="1"/>
  <c r="EB114" i="2" s="1"/>
  <c r="EC114" i="2" s="1"/>
  <c r="ED114" i="2" s="1"/>
  <c r="EE114" i="2" s="1"/>
  <c r="EF114" i="2" s="1"/>
  <c r="EG114" i="2" s="1"/>
  <c r="EH114" i="2" s="1"/>
  <c r="EI114" i="2" s="1"/>
  <c r="EJ114" i="2" s="1"/>
  <c r="EK114" i="2" s="1"/>
  <c r="EL114" i="2" s="1"/>
  <c r="EM114" i="2" s="1"/>
  <c r="EN114" i="2" s="1"/>
  <c r="EO114" i="2" s="1"/>
  <c r="EP114" i="2" s="1"/>
  <c r="EQ114" i="2" s="1"/>
  <c r="ER114" i="2" s="1"/>
  <c r="BA118" i="2" s="1"/>
  <c r="BA119" i="2" s="1"/>
  <c r="X13" i="2"/>
  <c r="X30" i="2" s="1"/>
  <c r="BC26" i="2" l="1"/>
  <c r="BC28" i="2" s="1"/>
  <c r="X15" i="2"/>
  <c r="X18" i="2" s="1"/>
  <c r="X80" i="2" s="1"/>
  <c r="Z13" i="2"/>
  <c r="Z15" i="2" s="1"/>
  <c r="Y13" i="2"/>
  <c r="Y30" i="2" s="1"/>
  <c r="Z26" i="2"/>
  <c r="Y26" i="2"/>
  <c r="X120" i="2" l="1"/>
  <c r="X150" i="2" s="1"/>
  <c r="X110" i="2"/>
  <c r="X114" i="2" s="1"/>
  <c r="X31" i="2"/>
  <c r="X20" i="2"/>
  <c r="X32" i="2"/>
  <c r="AM7" i="2"/>
  <c r="AM8" i="2" s="1"/>
  <c r="AM13" i="2" s="1"/>
  <c r="Z30" i="2"/>
  <c r="Y15" i="2"/>
  <c r="Z31" i="2"/>
  <c r="AM26" i="2" l="1"/>
  <c r="AM17" i="2"/>
  <c r="AM16" i="2"/>
  <c r="AM15" i="2"/>
  <c r="AM30" i="2"/>
  <c r="Z18" i="2"/>
  <c r="Z80" i="2" s="1"/>
  <c r="Z110" i="2" l="1"/>
  <c r="Z114" i="2" s="1"/>
  <c r="Y31" i="2"/>
  <c r="Y18" i="2"/>
  <c r="Z20" i="2"/>
  <c r="Z32" i="2"/>
  <c r="AM18" i="2"/>
  <c r="AM31" i="2"/>
  <c r="AM80" i="2" l="1"/>
  <c r="AM110" i="2" s="1"/>
  <c r="AM114" i="2" s="1"/>
  <c r="BA121" i="2" s="1"/>
  <c r="Y20" i="2"/>
  <c r="Y80" i="2"/>
  <c r="Y110" i="2" s="1"/>
  <c r="Y114" i="2" s="1"/>
  <c r="Y32" i="2"/>
  <c r="BC29" i="2"/>
  <c r="BC31" i="2" s="1"/>
  <c r="AM32" i="2"/>
  <c r="AM20" i="2"/>
  <c r="BA122" i="2" l="1"/>
  <c r="BA124" i="2" s="1"/>
  <c r="Y120" i="2"/>
  <c r="Y150" i="2" s="1"/>
  <c r="Z1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B2" authorId="0" shapeId="0" xr:uid="{DFA0DBB1-5BB8-4E27-A794-D1E3AEE68554}">
      <text>
        <r>
          <rPr>
            <b/>
            <sz val="9"/>
            <color indexed="81"/>
            <rFont val="Tahoma"/>
            <charset val="1"/>
          </rPr>
          <t>Anton Mniszek:</t>
        </r>
        <r>
          <rPr>
            <sz val="9"/>
            <color indexed="81"/>
            <rFont val="Tahoma"/>
            <charset val="1"/>
          </rPr>
          <t xml:space="preserve">
sold Linx</t>
        </r>
      </text>
    </comment>
  </commentList>
</comments>
</file>

<file path=xl/sharedStrings.xml><?xml version="1.0" encoding="utf-8"?>
<sst xmlns="http://schemas.openxmlformats.org/spreadsheetml/2006/main" count="209" uniqueCount="132">
  <si>
    <t>Price</t>
  </si>
  <si>
    <t>Shares</t>
  </si>
  <si>
    <t>MC</t>
  </si>
  <si>
    <t>Net Cash</t>
  </si>
  <si>
    <t>EV</t>
  </si>
  <si>
    <t>Cash R$</t>
  </si>
  <si>
    <t>Debt R$</t>
  </si>
  <si>
    <t>Cash USD</t>
  </si>
  <si>
    <t>Debt USD</t>
  </si>
  <si>
    <t>USD/BRL</t>
  </si>
  <si>
    <t>Last checked</t>
  </si>
  <si>
    <t>Today</t>
  </si>
  <si>
    <t>Earnings</t>
  </si>
  <si>
    <t>Q124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</si>
  <si>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</si>
  <si>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</si>
  <si>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</si>
  <si>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</si>
  <si>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</si>
  <si>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</si>
  <si>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</si>
  <si>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</si>
  <si>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</si>
  <si>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</si>
  <si>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</si>
  <si>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</si>
  <si>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</si>
  <si>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</si>
  <si>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</si>
  <si>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</si>
  <si>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</si>
  <si>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</si>
  <si>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</si>
  <si>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</si>
  <si>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</si>
  <si>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</si>
  <si>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</si>
  <si>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Cost of sales</t>
  </si>
  <si>
    <t>Transaction revenue</t>
  </si>
  <si>
    <t>Subscription revenue</t>
  </si>
  <si>
    <t>Financial revenue</t>
  </si>
  <si>
    <t>Total revenue</t>
  </si>
  <si>
    <t>Administrative expenses</t>
  </si>
  <si>
    <t>Selling expenses</t>
  </si>
  <si>
    <t>Net financial income</t>
  </si>
  <si>
    <t>Other income</t>
  </si>
  <si>
    <t>Gross profit</t>
  </si>
  <si>
    <t>Operating profit</t>
  </si>
  <si>
    <t>Investment in associates</t>
  </si>
  <si>
    <t>Pretax income</t>
  </si>
  <si>
    <t>Taxes</t>
  </si>
  <si>
    <t>MI</t>
  </si>
  <si>
    <t>Net income</t>
  </si>
  <si>
    <t>EPS</t>
  </si>
  <si>
    <t>Revenue y/y</t>
  </si>
  <si>
    <t>Gross Margin</t>
  </si>
  <si>
    <t>Operating Margin</t>
  </si>
  <si>
    <t>Transaction y/y</t>
  </si>
  <si>
    <t>Subscription y/y</t>
  </si>
  <si>
    <t>Financial y/y</t>
  </si>
  <si>
    <t>Selling Margin</t>
  </si>
  <si>
    <t>Admin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</si>
  <si>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</si>
  <si>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</si>
  <si>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</si>
  <si>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</si>
  <si>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</si>
  <si>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</si>
  <si>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</si>
  <si>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</si>
  <si>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NPV USD</t>
  </si>
  <si>
    <t>Consensus</t>
  </si>
  <si>
    <t>Net Margin</t>
  </si>
  <si>
    <t>Cash</t>
  </si>
  <si>
    <t>Investments</t>
  </si>
  <si>
    <t>Financial assets</t>
  </si>
  <si>
    <t>A/R</t>
  </si>
  <si>
    <t>Financial expense y/y</t>
  </si>
  <si>
    <t>detail net financial income</t>
  </si>
  <si>
    <t>T/R</t>
  </si>
  <si>
    <t>L/R</t>
  </si>
  <si>
    <t>D/T</t>
  </si>
  <si>
    <t>Prepaids</t>
  </si>
  <si>
    <t>Derivatives</t>
  </si>
  <si>
    <t>OCA</t>
  </si>
  <si>
    <t>O/R</t>
  </si>
  <si>
    <t>ONCA</t>
  </si>
  <si>
    <t>Other investments</t>
  </si>
  <si>
    <t>PP&amp;E</t>
  </si>
  <si>
    <t>Intangibles</t>
  </si>
  <si>
    <t>Deposits</t>
  </si>
  <si>
    <t>A/P</t>
  </si>
  <si>
    <t>T/P</t>
  </si>
  <si>
    <t>Debt</t>
  </si>
  <si>
    <t>Other debt</t>
  </si>
  <si>
    <t>O/P</t>
  </si>
  <si>
    <t>OCL</t>
  </si>
  <si>
    <t>Provisions</t>
  </si>
  <si>
    <t>ONCL</t>
  </si>
  <si>
    <t>S/E</t>
  </si>
  <si>
    <t>L+S/E</t>
  </si>
  <si>
    <t>Current assets</t>
  </si>
  <si>
    <t>Non-current assets</t>
  </si>
  <si>
    <t>Current liabilties</t>
  </si>
  <si>
    <t>Non-current liabilties</t>
  </si>
  <si>
    <t>Total assets</t>
  </si>
  <si>
    <t>Net profit</t>
  </si>
  <si>
    <t>D&amp;A</t>
  </si>
  <si>
    <t>Net financial expense</t>
  </si>
  <si>
    <t>SBC</t>
  </si>
  <si>
    <t>Credit provisions</t>
  </si>
  <si>
    <t>Financial adjustments</t>
  </si>
  <si>
    <t>Loss on subsidiary</t>
  </si>
  <si>
    <t>Financial instruments</t>
  </si>
  <si>
    <t>Subsidiaries</t>
  </si>
  <si>
    <t>Other</t>
  </si>
  <si>
    <t>Interest expense</t>
  </si>
  <si>
    <t>Interest income</t>
  </si>
  <si>
    <t>CFFO</t>
  </si>
  <si>
    <t>FCF</t>
  </si>
  <si>
    <t>Cumulative</t>
  </si>
  <si>
    <t>Cumulative CFFO</t>
  </si>
  <si>
    <t>NPV (FCF)</t>
  </si>
  <si>
    <t>Q125</t>
  </si>
  <si>
    <t>Q225</t>
  </si>
  <si>
    <t>Q325</t>
  </si>
  <si>
    <t>Q425</t>
  </si>
  <si>
    <t>Total CapEx</t>
  </si>
  <si>
    <t>Impairment</t>
  </si>
  <si>
    <t>Overvalued</t>
  </si>
  <si>
    <t>PP&amp;E y/y</t>
  </si>
  <si>
    <t>Intangibles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</si>
</sst>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[$R$-416]\ #,##0.00"/>
    <numFmt numFmtId="166" formatCode="#,##0;[Red]#,##0"/>
    <numFmt numFmtId="167" formatCode="#,##0_ ;[Red]\-#,##0\ 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/>
    <xf numFmtId="0" fontId="1" fillId="0" borderId="0" xfId="0" applyFont="1"/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6" fontId="0" fillId="0" borderId="0" xfId="0" applyNumberFormat="1"/>
    <xf numFmtId="3" fontId="4" fillId="0" borderId="0" xfId="0" applyNumberFormat="1" applyFont="1"/>
    <xf numFmtId="167" fontId="0" fillId="0" borderId="0" xfId="0" applyNumberFormat="1"/>
    <xf numFmtId="3" fontId="0" fillId="2" borderId="0" xfId="0" applyNumberFormat="1" applyFill="1"/>
    <xf numFmtId="3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15240</xdr:colOff>
      <xdr:row>0</xdr:row>
      <xdr:rowOff>7620</xdr:rowOff>
    </xdr:from>
    <xdr:to>
      <xdr:col>29</xdr:col>
      <xdr:colOff>15240</xdr:colOff>
      <xdr:row>122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9E00F1B-051B-6D91-2454-8CB5CA524708}"/>
            </a:ext>
          </a:extLst>
        </xdr:cNvPr>
        <xdr:cNvCxnSpPr/>
      </xdr:nvCxnSpPr>
      <xdr:spPr>
        <a:xfrm>
          <a:off x="18531840" y="7620"/>
          <a:ext cx="0" cy="224104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22860</xdr:colOff>
      <xdr:row>0</xdr:row>
      <xdr:rowOff>0</xdr:rowOff>
    </xdr:from>
    <xdr:to>
      <xdr:col>39</xdr:col>
      <xdr:colOff>22860</xdr:colOff>
      <xdr:row>121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F930833-0127-5178-A0C4-F744FA57E328}"/>
            </a:ext>
          </a:extLst>
        </xdr:cNvPr>
        <xdr:cNvCxnSpPr/>
      </xdr:nvCxnSpPr>
      <xdr:spPr>
        <a:xfrm>
          <a:off x="24635460" y="0"/>
          <a:ext cx="0" cy="2223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17482-E91B-405B-BBED-BE6D3A1C596F}">
  <dimension ref="C2:I13"/>
  <sheetViews>
    <sheetView workbookViewId="0">
      <selection activeCell="D2" sqref="D2"/>
    </sheetView>
  </sheetViews>
  <sheetFormatPr defaultRowHeight="14.4" x14ac:dyDescent="0.3"/>
  <cols>
    <col min="5" max="7" width="13.44140625" customWidth="1"/>
    <col min="8" max="8" width="8.88671875" customWidth="1"/>
  </cols>
  <sheetData>
    <row r="2" spans="3:9" x14ac:dyDescent="0.3">
      <c r="E2" s="5" t="s">
        <v>10</v>
      </c>
      <c r="F2" s="5" t="s">
        <v>11</v>
      </c>
      <c r="G2" s="5" t="s">
        <v>12</v>
      </c>
    </row>
    <row r="3" spans="3:9" x14ac:dyDescent="0.3">
      <c r="C3" t="s">
        <v>0</v>
      </c>
      <c r="D3" s="2">
        <v>15.93</v>
      </c>
      <c r="E3" s="6">
        <v>45989</v>
      </c>
      <c r="F3" s="6">
        <f ca="1">TODAY()</f>
        <v>45989</v>
      </c>
      <c r="G3" s="6">
        <v>46092</v>
      </c>
    </row>
    <row r="4" spans="3:9" x14ac:dyDescent="0.3">
      <c r="C4" t="s">
        <v>1</v>
      </c>
      <c r="D4" s="1">
        <f>271.1</f>
        <v>271.10000000000002</v>
      </c>
      <c r="E4" s="5" t="s">
        <v>125</v>
      </c>
    </row>
    <row r="5" spans="3:9" x14ac:dyDescent="0.3">
      <c r="C5" t="s">
        <v>2</v>
      </c>
      <c r="D5" s="1">
        <f>D3*D4</f>
        <v>4318.6230000000005</v>
      </c>
    </row>
    <row r="6" spans="3:9" x14ac:dyDescent="0.3">
      <c r="C6" t="s">
        <v>5</v>
      </c>
      <c r="D6" s="1">
        <f>5554.3+344+37.1+72.7</f>
        <v>6008.1</v>
      </c>
      <c r="E6" s="5" t="s">
        <v>125</v>
      </c>
    </row>
    <row r="7" spans="3:9" x14ac:dyDescent="0.3">
      <c r="C7" t="s">
        <v>6</v>
      </c>
      <c r="D7" s="1">
        <f>4573.8+3058.2+5686+2837.5</f>
        <v>16155.5</v>
      </c>
      <c r="E7" s="5" t="s">
        <v>125</v>
      </c>
    </row>
    <row r="8" spans="3:9" x14ac:dyDescent="0.3">
      <c r="C8" t="s">
        <v>7</v>
      </c>
      <c r="D8" s="1">
        <f>D6/D13</f>
        <v>1120.9141791044776</v>
      </c>
      <c r="E8" s="5" t="s">
        <v>125</v>
      </c>
      <c r="I8" t="s">
        <v>78</v>
      </c>
    </row>
    <row r="9" spans="3:9" x14ac:dyDescent="0.3">
      <c r="C9" t="s">
        <v>8</v>
      </c>
      <c r="D9" s="1">
        <f>D7/D13</f>
        <v>3014.0858208955224</v>
      </c>
      <c r="E9" s="5" t="s">
        <v>125</v>
      </c>
    </row>
    <row r="10" spans="3:9" x14ac:dyDescent="0.3">
      <c r="C10" t="s">
        <v>3</v>
      </c>
      <c r="D10" s="1">
        <f>D8-D9</f>
        <v>-1893.1716417910447</v>
      </c>
      <c r="E10" s="5"/>
    </row>
    <row r="11" spans="3:9" x14ac:dyDescent="0.3">
      <c r="C11" t="s">
        <v>4</v>
      </c>
      <c r="D11" s="1">
        <f>D5-D10</f>
        <v>6211.7946417910453</v>
      </c>
    </row>
    <row r="13" spans="3:9" x14ac:dyDescent="0.3">
      <c r="C13" t="s">
        <v>9</v>
      </c>
      <c r="D13" s="3">
        <v>5.36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E6C2-86A3-4082-9B40-CDF31EC12934}">
  <dimension ref="B2:ER152"/>
  <sheetViews>
    <sheetView tabSelected="1" showRuler="0" zoomScaleNormal="100" workbookViewId="0">
      <pane xSplit="2" ySplit="2" topLeftCell="AM9" activePane="bottomRight" state="frozen"/>
      <selection pane="topRight" activeCell="C1" sqref="C1"/>
      <selection pane="bottomLeft" activeCell="A3" sqref="A3"/>
      <selection pane="bottomRight" activeCell="BC32" sqref="BC32"/>
    </sheetView>
  </sheetViews>
  <sheetFormatPr defaultRowHeight="14.4" x14ac:dyDescent="0.3"/>
  <cols>
    <col min="2" max="2" width="21.109375" bestFit="1" customWidth="1"/>
    <col min="53" max="53" width="10" bestFit="1" customWidth="1"/>
    <col min="54" max="54" width="11.88671875" bestFit="1" customWidth="1"/>
    <col min="55" max="55" width="17.5546875" bestFit="1" customWidth="1"/>
  </cols>
  <sheetData>
    <row r="2" spans="2:51" x14ac:dyDescent="0.3"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4" t="s">
        <v>27</v>
      </c>
      <c r="Q2" s="4" t="s">
        <v>28</v>
      </c>
      <c r="R2" s="4" t="s">
        <v>29</v>
      </c>
      <c r="S2" s="4" t="s">
        <v>30</v>
      </c>
      <c r="T2" s="4" t="s">
        <v>31</v>
      </c>
      <c r="U2" s="4" t="s">
        <v>32</v>
      </c>
      <c r="V2" s="4" t="s">
        <v>33</v>
      </c>
      <c r="W2" s="4" t="s">
        <v>13</v>
      </c>
      <c r="X2" s="4" t="s">
        <v>34</v>
      </c>
      <c r="Y2" s="4" t="s">
        <v>35</v>
      </c>
      <c r="Z2" s="4" t="s">
        <v>36</v>
      </c>
      <c r="AA2" s="4" t="s">
        <v>123</v>
      </c>
      <c r="AB2" s="4" t="s">
        <v>124</v>
      </c>
      <c r="AC2" s="4" t="s">
        <v>125</v>
      </c>
      <c r="AD2" s="4" t="s">
        <v>126</v>
      </c>
      <c r="AG2">
        <v>2018</v>
      </c>
      <c r="AH2">
        <v>2019</v>
      </c>
      <c r="AI2">
        <v>2020</v>
      </c>
      <c r="AJ2">
        <v>2021</v>
      </c>
      <c r="AK2">
        <v>2022</v>
      </c>
      <c r="AL2">
        <v>2023</v>
      </c>
      <c r="AM2">
        <v>2024</v>
      </c>
      <c r="AN2">
        <v>2025</v>
      </c>
      <c r="AO2">
        <v>2026</v>
      </c>
      <c r="AP2">
        <v>2027</v>
      </c>
      <c r="AQ2">
        <v>2028</v>
      </c>
      <c r="AR2">
        <v>2029</v>
      </c>
      <c r="AS2">
        <v>2030</v>
      </c>
      <c r="AT2">
        <v>2031</v>
      </c>
      <c r="AU2">
        <v>2032</v>
      </c>
      <c r="AV2">
        <v>2033</v>
      </c>
      <c r="AW2">
        <v>2034</v>
      </c>
      <c r="AX2">
        <v>2035</v>
      </c>
    </row>
    <row r="3" spans="2:51" x14ac:dyDescent="0.3">
      <c r="B3" t="s">
        <v>38</v>
      </c>
      <c r="K3" s="1">
        <v>318.3</v>
      </c>
      <c r="O3" s="1">
        <v>554.9</v>
      </c>
      <c r="P3" s="1">
        <v>606.9</v>
      </c>
      <c r="Q3" s="1">
        <v>677.8</v>
      </c>
      <c r="R3" s="1">
        <v>777.8</v>
      </c>
      <c r="S3" s="1">
        <v>733.1</v>
      </c>
      <c r="T3" s="1">
        <v>840.1</v>
      </c>
      <c r="U3" s="1">
        <v>868.5</v>
      </c>
      <c r="V3" s="1">
        <v>868.1</v>
      </c>
      <c r="W3" s="1">
        <v>749.8</v>
      </c>
      <c r="X3" s="1">
        <v>807.5</v>
      </c>
      <c r="Y3" s="1">
        <v>828.9</v>
      </c>
      <c r="Z3" s="1">
        <v>829.8</v>
      </c>
      <c r="AA3" s="1">
        <v>684.4</v>
      </c>
      <c r="AB3" s="1">
        <v>658.1</v>
      </c>
      <c r="AC3" s="1">
        <v>626</v>
      </c>
      <c r="AD3" s="1">
        <f>Z3*0.8</f>
        <v>663.84</v>
      </c>
      <c r="AH3" s="1">
        <v>770.3</v>
      </c>
      <c r="AI3" s="1">
        <v>1144.0999999999999</v>
      </c>
      <c r="AJ3" s="1">
        <v>1626.9</v>
      </c>
      <c r="AK3" s="1">
        <f>SUM(O3:R3)</f>
        <v>2617.3999999999996</v>
      </c>
      <c r="AL3" s="1">
        <f>SUM(S3:V3)</f>
        <v>3309.7999999999997</v>
      </c>
      <c r="AM3" s="1">
        <f>SUM(W3:Z3)</f>
        <v>3216</v>
      </c>
      <c r="AN3" s="1">
        <f>SUM(AA3:AD3)</f>
        <v>2632.34</v>
      </c>
      <c r="AO3" s="1">
        <f>AN3*0.95</f>
        <v>2500.723</v>
      </c>
      <c r="AP3" s="1">
        <f t="shared" ref="AP3:AX3" si="0">AO3*1.01</f>
        <v>2525.7302300000001</v>
      </c>
      <c r="AQ3" s="1">
        <f t="shared" si="0"/>
        <v>2550.9875323000001</v>
      </c>
      <c r="AR3" s="1">
        <f t="shared" si="0"/>
        <v>2576.4974076230001</v>
      </c>
      <c r="AS3" s="1">
        <f t="shared" si="0"/>
        <v>2602.26238169923</v>
      </c>
      <c r="AT3" s="1">
        <f t="shared" si="0"/>
        <v>2628.2850055162221</v>
      </c>
      <c r="AU3" s="1">
        <f t="shared" si="0"/>
        <v>2654.5678555713844</v>
      </c>
      <c r="AV3" s="1">
        <f t="shared" si="0"/>
        <v>2681.1135341270983</v>
      </c>
      <c r="AW3" s="1">
        <f t="shared" si="0"/>
        <v>2707.9246694683693</v>
      </c>
      <c r="AX3" s="1">
        <f t="shared" si="0"/>
        <v>2735.003916163053</v>
      </c>
    </row>
    <row r="4" spans="2:51" x14ac:dyDescent="0.3">
      <c r="B4" t="s">
        <v>39</v>
      </c>
      <c r="K4" s="1">
        <v>139.9</v>
      </c>
      <c r="O4" s="1">
        <v>432.2</v>
      </c>
      <c r="P4" s="1">
        <v>437.8</v>
      </c>
      <c r="Q4" s="1">
        <v>426.4</v>
      </c>
      <c r="R4" s="1">
        <v>464.6</v>
      </c>
      <c r="S4" s="1">
        <v>445.1</v>
      </c>
      <c r="T4" s="1">
        <v>457.3</v>
      </c>
      <c r="U4" s="1">
        <v>463.4</v>
      </c>
      <c r="V4" s="1">
        <v>459.1</v>
      </c>
      <c r="W4" s="1">
        <v>456.7</v>
      </c>
      <c r="X4" s="1">
        <v>453.3</v>
      </c>
      <c r="Y4" s="1">
        <v>465.6</v>
      </c>
      <c r="Z4" s="1">
        <v>471.3</v>
      </c>
      <c r="AA4" s="1">
        <v>493.2</v>
      </c>
      <c r="AB4" s="1">
        <v>218.9</v>
      </c>
      <c r="AC4" s="1">
        <v>224.1</v>
      </c>
      <c r="AD4" s="1">
        <v>240</v>
      </c>
      <c r="AH4" s="1">
        <v>331.6</v>
      </c>
      <c r="AI4" s="1">
        <v>388</v>
      </c>
      <c r="AJ4" s="1">
        <v>1071.9000000000001</v>
      </c>
      <c r="AK4" s="1">
        <f>SUM(O4:R4)</f>
        <v>1761</v>
      </c>
      <c r="AL4" s="1">
        <f>SUM(S4:V4)</f>
        <v>1824.9</v>
      </c>
      <c r="AM4" s="1">
        <f>SUM(W4:Z4)</f>
        <v>1846.8999999999999</v>
      </c>
      <c r="AN4" s="1">
        <f t="shared" ref="AN4:AN17" si="1">SUM(AA4:AD4)</f>
        <v>1176.2</v>
      </c>
      <c r="AO4" s="1">
        <f>AN4*0.8</f>
        <v>940.96</v>
      </c>
      <c r="AP4" s="1">
        <f>AO4*1.15</f>
        <v>1082.104</v>
      </c>
      <c r="AQ4" s="1">
        <f>AP4*1.09</f>
        <v>1179.4933600000002</v>
      </c>
      <c r="AR4" s="1">
        <f>AQ4*1.06</f>
        <v>1250.2629616000002</v>
      </c>
      <c r="AS4" s="1">
        <f>AR4*1.05</f>
        <v>1312.7761096800002</v>
      </c>
      <c r="AT4" s="1">
        <f t="shared" ref="AT4:AX4" si="2">AS4*1.05</f>
        <v>1378.4149151640004</v>
      </c>
      <c r="AU4" s="1">
        <f t="shared" si="2"/>
        <v>1447.3356609222005</v>
      </c>
      <c r="AV4" s="1">
        <f t="shared" si="2"/>
        <v>1519.7024439683107</v>
      </c>
      <c r="AW4" s="1">
        <f t="shared" si="2"/>
        <v>1595.6875661667264</v>
      </c>
      <c r="AX4" s="1">
        <f t="shared" si="2"/>
        <v>1675.4719444750629</v>
      </c>
    </row>
    <row r="5" spans="2:51" x14ac:dyDescent="0.3">
      <c r="B5" t="s">
        <v>40</v>
      </c>
      <c r="K5" s="1">
        <v>368.8</v>
      </c>
      <c r="O5" s="1">
        <v>949.8</v>
      </c>
      <c r="P5" s="1">
        <v>1105</v>
      </c>
      <c r="Q5" s="1">
        <v>1251.5999999999999</v>
      </c>
      <c r="R5" s="1">
        <v>1331.6</v>
      </c>
      <c r="S5" s="1">
        <v>1375</v>
      </c>
      <c r="T5" s="1">
        <v>1462.6</v>
      </c>
      <c r="U5" s="1">
        <v>1620.9</v>
      </c>
      <c r="V5" s="1">
        <v>1770.8</v>
      </c>
      <c r="W5" s="1">
        <v>1741.1</v>
      </c>
      <c r="X5" s="1">
        <v>1826.7</v>
      </c>
      <c r="Y5" s="1">
        <v>1918.9</v>
      </c>
      <c r="Z5" s="1">
        <v>2189.6</v>
      </c>
      <c r="AA5" s="1">
        <v>2303.1</v>
      </c>
      <c r="AB5" s="1">
        <v>2409.1999999999998</v>
      </c>
      <c r="AC5" s="1">
        <v>2544</v>
      </c>
      <c r="AD5" s="1">
        <f>Z5*1.23</f>
        <v>2693.2079999999996</v>
      </c>
      <c r="AH5" s="1">
        <v>1287.8</v>
      </c>
      <c r="AI5" s="1">
        <v>1647</v>
      </c>
      <c r="AJ5" s="1">
        <v>1877.7</v>
      </c>
      <c r="AK5" s="1">
        <f>SUM(O5:R5)</f>
        <v>4638</v>
      </c>
      <c r="AL5" s="1">
        <f>SUM(S5:V5)</f>
        <v>6229.3</v>
      </c>
      <c r="AM5" s="1">
        <f>SUM(W5:Z5)</f>
        <v>7676.3000000000011</v>
      </c>
      <c r="AN5" s="1">
        <f t="shared" si="1"/>
        <v>9949.507999999998</v>
      </c>
      <c r="AO5" s="1">
        <f>AN5*1.16</f>
        <v>11541.429279999997</v>
      </c>
      <c r="AP5" s="1">
        <f>AO5*1.08</f>
        <v>12464.743622399998</v>
      </c>
      <c r="AQ5" s="1">
        <f>AP5*1.06</f>
        <v>13212.628239743997</v>
      </c>
      <c r="AR5" s="1">
        <f>AQ5*1.04</f>
        <v>13741.133369333758</v>
      </c>
      <c r="AS5" s="1">
        <f>AR5*1.03</f>
        <v>14153.367370413771</v>
      </c>
      <c r="AT5" s="1">
        <f>AS5*1.02</f>
        <v>14436.434717822047</v>
      </c>
      <c r="AU5" s="1">
        <f>AT5*1.01</f>
        <v>14580.799065000267</v>
      </c>
      <c r="AV5" s="1">
        <f t="shared" ref="AV5:AX5" si="3">AU5*1.01</f>
        <v>14726.607055650269</v>
      </c>
      <c r="AW5" s="1">
        <f t="shared" si="3"/>
        <v>14873.873126206772</v>
      </c>
      <c r="AX5" s="1">
        <f t="shared" si="3"/>
        <v>15022.611857468841</v>
      </c>
    </row>
    <row r="6" spans="2:51" x14ac:dyDescent="0.3">
      <c r="B6" s="7" t="s">
        <v>41</v>
      </c>
      <c r="C6" s="7"/>
      <c r="D6" s="7"/>
      <c r="E6" s="7"/>
      <c r="F6" s="7"/>
      <c r="G6" s="7"/>
      <c r="H6" s="7"/>
      <c r="I6" s="7"/>
      <c r="J6" s="7"/>
      <c r="K6" s="9">
        <f>SUM(K3:K5)</f>
        <v>827</v>
      </c>
      <c r="L6" s="7"/>
      <c r="M6" s="7"/>
      <c r="N6" s="7"/>
      <c r="O6" s="9">
        <f t="shared" ref="O6:W6" si="4">SUM(O3:O5)</f>
        <v>1936.8999999999999</v>
      </c>
      <c r="P6" s="9">
        <f t="shared" si="4"/>
        <v>2149.6999999999998</v>
      </c>
      <c r="Q6" s="9">
        <f t="shared" si="4"/>
        <v>2355.7999999999997</v>
      </c>
      <c r="R6" s="9">
        <f t="shared" si="4"/>
        <v>2574</v>
      </c>
      <c r="S6" s="9">
        <f t="shared" si="4"/>
        <v>2553.1999999999998</v>
      </c>
      <c r="T6" s="9">
        <f t="shared" si="4"/>
        <v>2760</v>
      </c>
      <c r="U6" s="9">
        <f t="shared" si="4"/>
        <v>2952.8</v>
      </c>
      <c r="V6" s="9">
        <f t="shared" si="4"/>
        <v>3098</v>
      </c>
      <c r="W6" s="9">
        <f t="shared" si="4"/>
        <v>2947.6</v>
      </c>
      <c r="X6" s="9">
        <f t="shared" ref="X6" si="5">SUM(X3:X5)</f>
        <v>3087.5</v>
      </c>
      <c r="Y6" s="9">
        <f t="shared" ref="Y6" si="6">SUM(Y3:Y5)</f>
        <v>3213.4</v>
      </c>
      <c r="Z6" s="9">
        <f t="shared" ref="Z6:AD6" si="7">SUM(Z3:Z5)</f>
        <v>3490.7</v>
      </c>
      <c r="AA6" s="9">
        <f t="shared" si="7"/>
        <v>3480.7</v>
      </c>
      <c r="AB6" s="9">
        <f t="shared" si="7"/>
        <v>3286.2</v>
      </c>
      <c r="AC6" s="9">
        <f t="shared" si="7"/>
        <v>3394.1</v>
      </c>
      <c r="AD6" s="9">
        <f t="shared" si="7"/>
        <v>3597.0479999999998</v>
      </c>
      <c r="AH6" s="9">
        <f t="shared" ref="AH6:AM6" si="8">SUM(AH3:AH5)</f>
        <v>2389.6999999999998</v>
      </c>
      <c r="AI6" s="9">
        <f t="shared" si="8"/>
        <v>3179.1</v>
      </c>
      <c r="AJ6" s="9">
        <f t="shared" si="8"/>
        <v>4576.5</v>
      </c>
      <c r="AK6" s="9">
        <f t="shared" si="8"/>
        <v>9016.4</v>
      </c>
      <c r="AL6" s="9">
        <f t="shared" si="8"/>
        <v>11364</v>
      </c>
      <c r="AM6" s="9">
        <f t="shared" si="8"/>
        <v>12739.2</v>
      </c>
      <c r="AN6" s="9">
        <f t="shared" ref="AN6" si="9">SUM(AN3:AN5)</f>
        <v>13758.047999999999</v>
      </c>
      <c r="AO6" s="9">
        <f t="shared" ref="AO6" si="10">SUM(AO3:AO5)</f>
        <v>14983.112279999998</v>
      </c>
      <c r="AP6" s="9">
        <f t="shared" ref="AP6" si="11">SUM(AP3:AP5)</f>
        <v>16072.577852399998</v>
      </c>
      <c r="AQ6" s="9">
        <f t="shared" ref="AQ6" si="12">SUM(AQ3:AQ5)</f>
        <v>16943.109132043995</v>
      </c>
      <c r="AR6" s="9">
        <f t="shared" ref="AR6" si="13">SUM(AR3:AR5)</f>
        <v>17567.893738556759</v>
      </c>
      <c r="AS6" s="9">
        <f t="shared" ref="AS6" si="14">SUM(AS3:AS5)</f>
        <v>18068.405861793002</v>
      </c>
      <c r="AT6" s="9">
        <f t="shared" ref="AT6" si="15">SUM(AT3:AT5)</f>
        <v>18443.13463850227</v>
      </c>
      <c r="AU6" s="9">
        <f t="shared" ref="AU6" si="16">SUM(AU3:AU5)</f>
        <v>18682.702581493853</v>
      </c>
      <c r="AV6" s="9">
        <f t="shared" ref="AV6" si="17">SUM(AV3:AV5)</f>
        <v>18927.423033745679</v>
      </c>
      <c r="AW6" s="9">
        <f t="shared" ref="AW6" si="18">SUM(AW3:AW5)</f>
        <v>19177.485361841867</v>
      </c>
      <c r="AX6" s="9">
        <f t="shared" ref="AX6" si="19">SUM(AX3:AX5)</f>
        <v>19433.087718106955</v>
      </c>
      <c r="AY6" s="9"/>
    </row>
    <row r="7" spans="2:51" x14ac:dyDescent="0.3">
      <c r="B7" t="s">
        <v>37</v>
      </c>
      <c r="K7" s="1">
        <v>239.7</v>
      </c>
      <c r="O7" s="1">
        <v>674.4</v>
      </c>
      <c r="P7" s="1">
        <v>626.20000000000005</v>
      </c>
      <c r="Q7" s="1">
        <v>671.3</v>
      </c>
      <c r="R7" s="1">
        <v>698</v>
      </c>
      <c r="S7" s="1">
        <v>721.3</v>
      </c>
      <c r="T7" s="1">
        <v>685.3</v>
      </c>
      <c r="U7" s="1">
        <v>773.5</v>
      </c>
      <c r="V7" s="1">
        <f>802.7</f>
        <v>802.7</v>
      </c>
      <c r="W7" s="1">
        <v>809.9</v>
      </c>
      <c r="X7" s="1">
        <v>841.4</v>
      </c>
      <c r="Y7" s="1">
        <v>859</v>
      </c>
      <c r="Z7" s="1">
        <v>878.8</v>
      </c>
      <c r="AA7" s="1">
        <v>933.9</v>
      </c>
      <c r="AB7" s="1">
        <v>850.4</v>
      </c>
      <c r="AC7" s="1">
        <v>817.8</v>
      </c>
      <c r="AD7" s="1">
        <f t="shared" ref="AD7" si="20">AD6-AD8</f>
        <v>827.32103999999981</v>
      </c>
      <c r="AH7" s="1">
        <v>426.9</v>
      </c>
      <c r="AI7" s="1">
        <v>769.9</v>
      </c>
      <c r="AJ7" s="1">
        <v>1713.8</v>
      </c>
      <c r="AK7" s="1">
        <f>SUM(O7:R7)</f>
        <v>2669.8999999999996</v>
      </c>
      <c r="AL7" s="1">
        <f>SUM(S7:V7)</f>
        <v>2982.8</v>
      </c>
      <c r="AM7" s="1">
        <f>SUM(W7:Z7)</f>
        <v>3389.1000000000004</v>
      </c>
      <c r="AN7" s="1">
        <f t="shared" si="1"/>
        <v>3429.4210399999997</v>
      </c>
      <c r="AO7" s="1">
        <f t="shared" ref="AO7:AX7" si="21">AO6-AO8</f>
        <v>3895.6091927999987</v>
      </c>
      <c r="AP7" s="1">
        <f t="shared" si="21"/>
        <v>4178.8702416239994</v>
      </c>
      <c r="AQ7" s="1">
        <f t="shared" si="21"/>
        <v>4405.2083743314397</v>
      </c>
      <c r="AR7" s="1">
        <f t="shared" si="21"/>
        <v>4567.6523720247569</v>
      </c>
      <c r="AS7" s="1">
        <f t="shared" si="21"/>
        <v>4697.7855240661811</v>
      </c>
      <c r="AT7" s="1">
        <f t="shared" si="21"/>
        <v>4795.2150060105905</v>
      </c>
      <c r="AU7" s="1">
        <f t="shared" si="21"/>
        <v>4857.502671188402</v>
      </c>
      <c r="AV7" s="1">
        <f t="shared" si="21"/>
        <v>4921.1299887738769</v>
      </c>
      <c r="AW7" s="1">
        <f t="shared" si="21"/>
        <v>4986.1461940788849</v>
      </c>
      <c r="AX7" s="1">
        <f t="shared" si="21"/>
        <v>5052.6028067078078</v>
      </c>
    </row>
    <row r="8" spans="2:51" x14ac:dyDescent="0.3">
      <c r="B8" s="7" t="s">
        <v>46</v>
      </c>
      <c r="C8" s="7"/>
      <c r="D8" s="7"/>
      <c r="E8" s="7"/>
      <c r="F8" s="7"/>
      <c r="G8" s="7"/>
      <c r="H8" s="7"/>
      <c r="I8" s="7"/>
      <c r="J8" s="7"/>
      <c r="K8" s="9">
        <f>K6-K7</f>
        <v>587.29999999999995</v>
      </c>
      <c r="L8" s="7"/>
      <c r="M8" s="7"/>
      <c r="N8" s="7"/>
      <c r="O8" s="9">
        <f t="shared" ref="O8:AC8" si="22">O6-O7</f>
        <v>1262.5</v>
      </c>
      <c r="P8" s="9">
        <f t="shared" si="22"/>
        <v>1523.4999999999998</v>
      </c>
      <c r="Q8" s="9">
        <f t="shared" si="22"/>
        <v>1684.4999999999998</v>
      </c>
      <c r="R8" s="9">
        <f t="shared" si="22"/>
        <v>1876</v>
      </c>
      <c r="S8" s="9">
        <f t="shared" si="22"/>
        <v>1831.8999999999999</v>
      </c>
      <c r="T8" s="9">
        <f t="shared" si="22"/>
        <v>2074.6999999999998</v>
      </c>
      <c r="U8" s="9">
        <f t="shared" si="22"/>
        <v>2179.3000000000002</v>
      </c>
      <c r="V8" s="9">
        <f t="shared" si="22"/>
        <v>2295.3000000000002</v>
      </c>
      <c r="W8" s="9">
        <f t="shared" si="22"/>
        <v>2137.6999999999998</v>
      </c>
      <c r="X8" s="9">
        <f t="shared" si="22"/>
        <v>2246.1</v>
      </c>
      <c r="Y8" s="9">
        <f t="shared" si="22"/>
        <v>2354.4</v>
      </c>
      <c r="Z8" s="9">
        <f t="shared" si="22"/>
        <v>2611.8999999999996</v>
      </c>
      <c r="AA8" s="9">
        <f t="shared" si="22"/>
        <v>2546.7999999999997</v>
      </c>
      <c r="AB8" s="9">
        <f t="shared" si="22"/>
        <v>2435.7999999999997</v>
      </c>
      <c r="AC8" s="9">
        <f t="shared" si="22"/>
        <v>2576.3000000000002</v>
      </c>
      <c r="AD8" s="9">
        <f>AD6*0.77</f>
        <v>2769.72696</v>
      </c>
      <c r="AH8" s="9">
        <f t="shared" ref="AH8:AN8" si="23">AH6-AH7</f>
        <v>1962.7999999999997</v>
      </c>
      <c r="AI8" s="9">
        <f t="shared" si="23"/>
        <v>2409.1999999999998</v>
      </c>
      <c r="AJ8" s="9">
        <f t="shared" si="23"/>
        <v>2862.7</v>
      </c>
      <c r="AK8" s="9">
        <f t="shared" si="23"/>
        <v>6346.5</v>
      </c>
      <c r="AL8" s="9">
        <f t="shared" si="23"/>
        <v>8381.2000000000007</v>
      </c>
      <c r="AM8" s="9">
        <f t="shared" si="23"/>
        <v>9350.1</v>
      </c>
      <c r="AN8" s="9">
        <f t="shared" si="23"/>
        <v>10328.62696</v>
      </c>
      <c r="AO8" s="9">
        <f t="shared" ref="AO8:AX8" si="24">AO6*0.74</f>
        <v>11087.503087199999</v>
      </c>
      <c r="AP8" s="9">
        <f t="shared" si="24"/>
        <v>11893.707610775999</v>
      </c>
      <c r="AQ8" s="9">
        <f t="shared" si="24"/>
        <v>12537.900757712556</v>
      </c>
      <c r="AR8" s="9">
        <f t="shared" si="24"/>
        <v>13000.241366532002</v>
      </c>
      <c r="AS8" s="9">
        <f t="shared" si="24"/>
        <v>13370.620337726821</v>
      </c>
      <c r="AT8" s="9">
        <f t="shared" si="24"/>
        <v>13647.919632491679</v>
      </c>
      <c r="AU8" s="9">
        <f t="shared" si="24"/>
        <v>13825.199910305451</v>
      </c>
      <c r="AV8" s="9">
        <f t="shared" si="24"/>
        <v>14006.293044971802</v>
      </c>
      <c r="AW8" s="9">
        <f t="shared" si="24"/>
        <v>14191.339167762982</v>
      </c>
      <c r="AX8" s="9">
        <f t="shared" si="24"/>
        <v>14380.484911399148</v>
      </c>
      <c r="AY8" s="9"/>
    </row>
    <row r="9" spans="2:51" x14ac:dyDescent="0.3">
      <c r="B9" t="s">
        <v>42</v>
      </c>
      <c r="K9" s="1">
        <v>117.6</v>
      </c>
      <c r="O9" s="1">
        <v>238.2</v>
      </c>
      <c r="P9" s="1">
        <v>272</v>
      </c>
      <c r="Q9" s="1">
        <v>283.89999999999998</v>
      </c>
      <c r="R9" s="1">
        <v>327.2</v>
      </c>
      <c r="S9" s="1">
        <v>298</v>
      </c>
      <c r="T9" s="1">
        <v>303.89999999999998</v>
      </c>
      <c r="U9" s="1">
        <v>278.3</v>
      </c>
      <c r="V9" s="1">
        <v>308.60000000000002</v>
      </c>
      <c r="W9" s="1">
        <v>257</v>
      </c>
      <c r="X9" s="1">
        <v>255.5</v>
      </c>
      <c r="Y9" s="1">
        <v>314.7</v>
      </c>
      <c r="Z9" s="1">
        <v>303.3</v>
      </c>
      <c r="AA9" s="1">
        <v>277.89999999999998</v>
      </c>
      <c r="AB9" s="1">
        <v>225.1</v>
      </c>
      <c r="AC9" s="1">
        <v>233.7</v>
      </c>
      <c r="AD9" s="1">
        <f>AD6*0.07</f>
        <v>251.79336000000001</v>
      </c>
      <c r="AH9" s="1">
        <v>285.8</v>
      </c>
      <c r="AI9" s="1">
        <v>392.5</v>
      </c>
      <c r="AJ9" s="1">
        <v>813.3</v>
      </c>
      <c r="AK9" s="1">
        <f>SUM(O9:R9)</f>
        <v>1121.3</v>
      </c>
      <c r="AL9" s="1">
        <f>SUM(S9:V9)</f>
        <v>1188.8000000000002</v>
      </c>
      <c r="AM9" s="1">
        <f>SUM(W9:Z9)</f>
        <v>1130.5</v>
      </c>
      <c r="AN9" s="1">
        <f t="shared" si="1"/>
        <v>988.49336000000005</v>
      </c>
      <c r="AO9" s="1">
        <f>AO6*0.07</f>
        <v>1048.8178596</v>
      </c>
      <c r="AP9" s="1">
        <f t="shared" ref="AP9:AX9" si="25">AP6*0.07</f>
        <v>1125.080449668</v>
      </c>
      <c r="AQ9" s="1">
        <f t="shared" si="25"/>
        <v>1186.0176392430799</v>
      </c>
      <c r="AR9" s="1">
        <f t="shared" si="25"/>
        <v>1229.7525616989733</v>
      </c>
      <c r="AS9" s="1">
        <f t="shared" si="25"/>
        <v>1264.7884103255103</v>
      </c>
      <c r="AT9" s="1">
        <f t="shared" si="25"/>
        <v>1291.0194246951589</v>
      </c>
      <c r="AU9" s="1">
        <f t="shared" si="25"/>
        <v>1307.7891807045698</v>
      </c>
      <c r="AV9" s="1">
        <f t="shared" si="25"/>
        <v>1324.9196123621978</v>
      </c>
      <c r="AW9" s="1">
        <f t="shared" si="25"/>
        <v>1342.4239753289307</v>
      </c>
      <c r="AX9" s="1">
        <f t="shared" si="25"/>
        <v>1360.3161402674871</v>
      </c>
    </row>
    <row r="10" spans="2:51" x14ac:dyDescent="0.3">
      <c r="B10" t="s">
        <v>43</v>
      </c>
      <c r="K10" s="1">
        <v>162.80000000000001</v>
      </c>
      <c r="O10" s="1">
        <v>383.7</v>
      </c>
      <c r="P10" s="1">
        <v>335.9</v>
      </c>
      <c r="Q10" s="1">
        <v>385.4</v>
      </c>
      <c r="R10" s="1">
        <v>406.1</v>
      </c>
      <c r="S10" s="1">
        <v>389.9</v>
      </c>
      <c r="T10" s="1">
        <v>411.9</v>
      </c>
      <c r="U10" s="1">
        <v>442.4</v>
      </c>
      <c r="V10" s="1">
        <v>454</v>
      </c>
      <c r="W10" s="1">
        <v>529.70000000000005</v>
      </c>
      <c r="X10" s="1">
        <v>524.9</v>
      </c>
      <c r="Y10" s="1">
        <v>501.8</v>
      </c>
      <c r="Z10" s="1">
        <v>549.1</v>
      </c>
      <c r="AA10" s="1">
        <v>593.1</v>
      </c>
      <c r="AB10" s="1">
        <v>531</v>
      </c>
      <c r="AC10" s="1">
        <v>527.20000000000005</v>
      </c>
      <c r="AD10" s="1">
        <f>AD6*0.15</f>
        <v>539.55719999999997</v>
      </c>
      <c r="AH10" s="1">
        <v>360.6</v>
      </c>
      <c r="AI10" s="1">
        <v>505.9</v>
      </c>
      <c r="AJ10" s="1">
        <v>1012.5</v>
      </c>
      <c r="AK10" s="1">
        <f>SUM(O10:R10)</f>
        <v>1511.1</v>
      </c>
      <c r="AL10" s="1">
        <f>SUM(S10:V10)</f>
        <v>1698.1999999999998</v>
      </c>
      <c r="AM10" s="1">
        <f>SUM(W10:Z10)</f>
        <v>2105.5</v>
      </c>
      <c r="AN10" s="1">
        <f t="shared" si="1"/>
        <v>2190.8571999999999</v>
      </c>
      <c r="AO10" s="1">
        <f>AO6*0.15</f>
        <v>2247.4668419999994</v>
      </c>
      <c r="AP10" s="1">
        <f t="shared" ref="AP10:AX10" si="26">AP6*0.15</f>
        <v>2410.8866778599995</v>
      </c>
      <c r="AQ10" s="1">
        <f t="shared" si="26"/>
        <v>2541.4663698065992</v>
      </c>
      <c r="AR10" s="1">
        <f t="shared" si="26"/>
        <v>2635.1840607835138</v>
      </c>
      <c r="AS10" s="1">
        <f t="shared" si="26"/>
        <v>2710.2608792689502</v>
      </c>
      <c r="AT10" s="1">
        <f t="shared" si="26"/>
        <v>2766.4701957753405</v>
      </c>
      <c r="AU10" s="1">
        <f t="shared" si="26"/>
        <v>2802.4053872240779</v>
      </c>
      <c r="AV10" s="1">
        <f t="shared" si="26"/>
        <v>2839.1134550618517</v>
      </c>
      <c r="AW10" s="1">
        <f t="shared" si="26"/>
        <v>2876.62280427628</v>
      </c>
      <c r="AX10" s="1">
        <f t="shared" si="26"/>
        <v>2914.963157716043</v>
      </c>
    </row>
    <row r="11" spans="2:51" x14ac:dyDescent="0.3">
      <c r="B11" t="s">
        <v>44</v>
      </c>
      <c r="K11" s="1">
        <v>92.5</v>
      </c>
      <c r="O11" s="1">
        <v>708.2</v>
      </c>
      <c r="P11" s="1">
        <v>954.7</v>
      </c>
      <c r="Q11" s="1">
        <v>940.3</v>
      </c>
      <c r="R11" s="1">
        <v>911.5</v>
      </c>
      <c r="S11" s="1">
        <v>923.6</v>
      </c>
      <c r="T11" s="1">
        <v>1073.8</v>
      </c>
      <c r="U11" s="1">
        <v>1058.9000000000001</v>
      </c>
      <c r="V11" s="1">
        <v>943.1</v>
      </c>
      <c r="W11" s="1">
        <v>896.6</v>
      </c>
      <c r="X11" s="1">
        <v>851.1</v>
      </c>
      <c r="Y11" s="1">
        <v>910.5</v>
      </c>
      <c r="Z11" s="1">
        <v>1035.5</v>
      </c>
      <c r="AA11" s="1">
        <v>1096.7</v>
      </c>
      <c r="AB11" s="1">
        <v>1091.8</v>
      </c>
      <c r="AC11" s="1">
        <f>-172.7+1147.1</f>
        <v>974.39999999999986</v>
      </c>
      <c r="AD11" s="1">
        <f>Z11*1.01</f>
        <v>1045.855</v>
      </c>
      <c r="AH11" s="1">
        <v>353.5</v>
      </c>
      <c r="AI11" s="1">
        <v>339.8</v>
      </c>
      <c r="AJ11" s="1">
        <v>1269.0999999999999</v>
      </c>
      <c r="AK11" s="1">
        <f>SUM(O11:R11)</f>
        <v>3514.7</v>
      </c>
      <c r="AL11" s="1">
        <f>SUM(S11:V11)</f>
        <v>3999.4</v>
      </c>
      <c r="AM11" s="1">
        <f>SUM(W11:Z11)</f>
        <v>3693.7</v>
      </c>
      <c r="AN11" s="1">
        <f t="shared" si="1"/>
        <v>4208.7549999999992</v>
      </c>
      <c r="AO11" s="1">
        <f>AN11*0.98</f>
        <v>4124.5798999999988</v>
      </c>
      <c r="AP11" s="1">
        <f t="shared" ref="AP11:AQ11" si="27">AO11*1.03</f>
        <v>4248.3172969999987</v>
      </c>
      <c r="AQ11" s="1">
        <f t="shared" si="27"/>
        <v>4375.7668159099985</v>
      </c>
      <c r="AR11" s="1">
        <f>AQ11*1.02</f>
        <v>4463.2821522281984</v>
      </c>
      <c r="AS11" s="1">
        <f>AR11*1.02</f>
        <v>4552.5477952727624</v>
      </c>
      <c r="AT11" s="1">
        <f>AS11*1.01</f>
        <v>4598.0732732254901</v>
      </c>
      <c r="AU11" s="1">
        <f t="shared" ref="AU11:AX11" si="28">AT11*1.01</f>
        <v>4644.0540059577452</v>
      </c>
      <c r="AV11" s="1">
        <f t="shared" si="28"/>
        <v>4690.494546017323</v>
      </c>
      <c r="AW11" s="1">
        <f t="shared" si="28"/>
        <v>4737.3994914774967</v>
      </c>
      <c r="AX11" s="1">
        <f t="shared" si="28"/>
        <v>4784.7734863922715</v>
      </c>
    </row>
    <row r="12" spans="2:51" x14ac:dyDescent="0.3">
      <c r="B12" t="s">
        <v>45</v>
      </c>
      <c r="K12" s="1">
        <f>41.5-40.6</f>
        <v>0.89999999999999858</v>
      </c>
      <c r="O12" s="1">
        <f>323+31.8-133.4</f>
        <v>221.4</v>
      </c>
      <c r="P12" s="1">
        <f>527.1+70.3-154.4</f>
        <v>443</v>
      </c>
      <c r="Q12" s="1">
        <f>-111.5+91.3-152.7</f>
        <v>-172.89999999999998</v>
      </c>
      <c r="R12" s="1">
        <f>114.5+109-132.1</f>
        <v>91.4</v>
      </c>
      <c r="S12" s="1">
        <f>-30.5+101.5-158.4</f>
        <v>-87.4</v>
      </c>
      <c r="T12" s="1">
        <f>56.7-194.8</f>
        <v>-138.10000000000002</v>
      </c>
      <c r="U12" s="1">
        <f>82.6-187</f>
        <v>-104.4</v>
      </c>
      <c r="V12" s="1">
        <f>0.3-150.7</f>
        <v>-150.39999999999998</v>
      </c>
      <c r="W12" s="1">
        <f>108.1-137.3</f>
        <v>-29.200000000000017</v>
      </c>
      <c r="X12" s="1">
        <f>80.9-118.4</f>
        <v>-37.5</v>
      </c>
      <c r="Y12" s="1">
        <f>101.6-143.9</f>
        <v>-42.300000000000011</v>
      </c>
      <c r="Z12" s="1">
        <f>-118.7+108.1</f>
        <v>-10.600000000000009</v>
      </c>
      <c r="AA12" s="1">
        <f>131.1-189.3</f>
        <v>-58.200000000000017</v>
      </c>
      <c r="AB12" s="1">
        <f>-214.7+110.8</f>
        <v>-103.89999999999999</v>
      </c>
      <c r="AC12" s="1">
        <v>39</v>
      </c>
      <c r="AD12" s="1">
        <v>0</v>
      </c>
      <c r="AH12" s="1">
        <f>57.7-186.4</f>
        <v>-128.69999999999999</v>
      </c>
      <c r="AI12" s="1">
        <f>177.1-140.7</f>
        <v>36.400000000000006</v>
      </c>
      <c r="AJ12" s="1">
        <f>1264.2+185.9-247.3</f>
        <v>1202.8000000000002</v>
      </c>
      <c r="AK12" s="1">
        <f>SUM(O12:R12)</f>
        <v>582.9</v>
      </c>
      <c r="AL12" s="1">
        <f>SUM(S12:V12)</f>
        <v>-480.3</v>
      </c>
      <c r="AM12" s="1">
        <f>SUM(W12:Z12)</f>
        <v>-119.60000000000004</v>
      </c>
      <c r="AN12" s="1">
        <f t="shared" si="1"/>
        <v>-123.10000000000002</v>
      </c>
      <c r="AO12" s="1">
        <f t="shared" ref="AO12:AX12" si="29">AN12*1.03</f>
        <v>-126.79300000000002</v>
      </c>
      <c r="AP12" s="1">
        <f t="shared" si="29"/>
        <v>-130.59679000000003</v>
      </c>
      <c r="AQ12" s="1">
        <f t="shared" si="29"/>
        <v>-134.51469370000004</v>
      </c>
      <c r="AR12" s="1">
        <f t="shared" si="29"/>
        <v>-138.55013451100004</v>
      </c>
      <c r="AS12" s="1">
        <f t="shared" si="29"/>
        <v>-142.70663854633005</v>
      </c>
      <c r="AT12" s="1">
        <f t="shared" si="29"/>
        <v>-146.98783770271996</v>
      </c>
      <c r="AU12" s="1">
        <f t="shared" si="29"/>
        <v>-151.39747283380157</v>
      </c>
      <c r="AV12" s="1">
        <f t="shared" si="29"/>
        <v>-155.93939701881561</v>
      </c>
      <c r="AW12" s="1">
        <f t="shared" si="29"/>
        <v>-160.61757892938007</v>
      </c>
      <c r="AX12" s="1">
        <f t="shared" si="29"/>
        <v>-165.43610629726149</v>
      </c>
    </row>
    <row r="13" spans="2:51" x14ac:dyDescent="0.3">
      <c r="B13" s="7" t="s">
        <v>47</v>
      </c>
      <c r="C13" s="7"/>
      <c r="D13" s="7"/>
      <c r="E13" s="7"/>
      <c r="F13" s="7"/>
      <c r="G13" s="7"/>
      <c r="H13" s="7"/>
      <c r="I13" s="7"/>
      <c r="J13" s="7"/>
      <c r="K13" s="9">
        <f>K8-SUM(K9:K12)</f>
        <v>213.5</v>
      </c>
      <c r="L13" s="7"/>
      <c r="M13" s="7"/>
      <c r="N13" s="7"/>
      <c r="O13" s="9">
        <f t="shared" ref="O13:W13" si="30">O8-SUM(O9:O12)</f>
        <v>-289</v>
      </c>
      <c r="P13" s="9">
        <f t="shared" si="30"/>
        <v>-482.10000000000014</v>
      </c>
      <c r="Q13" s="9">
        <f t="shared" si="30"/>
        <v>247.79999999999995</v>
      </c>
      <c r="R13" s="9">
        <f t="shared" si="30"/>
        <v>139.79999999999995</v>
      </c>
      <c r="S13" s="9">
        <f t="shared" si="30"/>
        <v>307.79999999999995</v>
      </c>
      <c r="T13" s="9">
        <f t="shared" si="30"/>
        <v>423.19999999999982</v>
      </c>
      <c r="U13" s="9">
        <f t="shared" si="30"/>
        <v>504.10000000000014</v>
      </c>
      <c r="V13" s="9">
        <f t="shared" si="30"/>
        <v>740</v>
      </c>
      <c r="W13" s="9">
        <f t="shared" si="30"/>
        <v>483.59999999999968</v>
      </c>
      <c r="X13" s="9">
        <f t="shared" ref="X13" si="31">X8-SUM(X9:X12)</f>
        <v>652.09999999999991</v>
      </c>
      <c r="Y13" s="9">
        <f t="shared" ref="Y13" si="32">Y8-SUM(Y9:Y12)</f>
        <v>669.7</v>
      </c>
      <c r="Z13" s="9">
        <f t="shared" ref="Z13:AD13" si="33">Z8-SUM(Z9:Z12)</f>
        <v>734.59999999999945</v>
      </c>
      <c r="AA13" s="9">
        <f t="shared" si="33"/>
        <v>637.29999999999973</v>
      </c>
      <c r="AB13" s="9">
        <f t="shared" si="33"/>
        <v>691.79999999999973</v>
      </c>
      <c r="AC13" s="9">
        <f t="shared" si="33"/>
        <v>802.00000000000023</v>
      </c>
      <c r="AD13" s="9">
        <f t="shared" si="33"/>
        <v>932.52140000000009</v>
      </c>
      <c r="AH13" s="9">
        <f t="shared" ref="AH13:AM13" si="34">AH8-SUM(AH9:AH12)</f>
        <v>1091.5999999999997</v>
      </c>
      <c r="AI13" s="9">
        <f t="shared" si="34"/>
        <v>1134.5999999999997</v>
      </c>
      <c r="AJ13" s="9">
        <f t="shared" si="34"/>
        <v>-1435</v>
      </c>
      <c r="AK13" s="9">
        <f t="shared" si="34"/>
        <v>-383.49999999999909</v>
      </c>
      <c r="AL13" s="9">
        <f t="shared" si="34"/>
        <v>1975.1000000000013</v>
      </c>
      <c r="AM13" s="9">
        <f t="shared" si="34"/>
        <v>2540.0000000000009</v>
      </c>
      <c r="AN13" s="9">
        <f t="shared" ref="AN13" si="35">AN8-SUM(AN9:AN12)</f>
        <v>3063.6214000000009</v>
      </c>
      <c r="AO13" s="9">
        <f t="shared" ref="AO13" si="36">AO8-SUM(AO9:AO12)</f>
        <v>3793.4314856000001</v>
      </c>
      <c r="AP13" s="9">
        <f t="shared" ref="AP13" si="37">AP8-SUM(AP9:AP12)</f>
        <v>4240.0199762479997</v>
      </c>
      <c r="AQ13" s="9">
        <f t="shared" ref="AQ13" si="38">AQ8-SUM(AQ9:AQ12)</f>
        <v>4569.1646264528781</v>
      </c>
      <c r="AR13" s="9">
        <f t="shared" ref="AR13" si="39">AR8-SUM(AR9:AR12)</f>
        <v>4810.5727263323161</v>
      </c>
      <c r="AS13" s="9">
        <f t="shared" ref="AS13" si="40">AS8-SUM(AS9:AS12)</f>
        <v>4985.7298914059284</v>
      </c>
      <c r="AT13" s="9">
        <f t="shared" ref="AT13" si="41">AT8-SUM(AT9:AT12)</f>
        <v>5139.3445764984099</v>
      </c>
      <c r="AU13" s="9">
        <f t="shared" ref="AU13" si="42">AU8-SUM(AU9:AU12)</f>
        <v>5222.3488092528605</v>
      </c>
      <c r="AV13" s="9">
        <f t="shared" ref="AV13" si="43">AV8-SUM(AV9:AV12)</f>
        <v>5307.7048285492456</v>
      </c>
      <c r="AW13" s="9">
        <f t="shared" ref="AW13" si="44">AW8-SUM(AW9:AW12)</f>
        <v>5395.5104756096553</v>
      </c>
      <c r="AX13" s="9">
        <f t="shared" ref="AX13" si="45">AX8-SUM(AX9:AX12)</f>
        <v>5485.868233320607</v>
      </c>
    </row>
    <row r="14" spans="2:51" x14ac:dyDescent="0.3">
      <c r="B14" t="s">
        <v>48</v>
      </c>
      <c r="K14" s="1">
        <v>3.6</v>
      </c>
      <c r="O14" s="1">
        <v>0.7</v>
      </c>
      <c r="P14" s="1">
        <v>1.3</v>
      </c>
      <c r="Q14" s="1">
        <v>1.2</v>
      </c>
      <c r="R14" s="1">
        <v>0.3</v>
      </c>
      <c r="S14" s="1">
        <v>1</v>
      </c>
      <c r="T14" s="1">
        <v>0.8</v>
      </c>
      <c r="U14" s="1">
        <v>0.6</v>
      </c>
      <c r="V14" s="1">
        <v>1.7</v>
      </c>
      <c r="W14" s="1">
        <v>-0.3</v>
      </c>
      <c r="X14" s="1">
        <v>0.4</v>
      </c>
      <c r="Y14" s="1">
        <v>-0.4</v>
      </c>
      <c r="Z14" s="1">
        <f>-0.1+3558</f>
        <v>3557.9</v>
      </c>
      <c r="AA14" s="1">
        <v>-0.4</v>
      </c>
      <c r="AB14" s="1">
        <v>0.5</v>
      </c>
      <c r="AC14" s="1">
        <v>1.2</v>
      </c>
      <c r="AD14" s="1">
        <v>2</v>
      </c>
      <c r="AH14" s="1">
        <v>0.8</v>
      </c>
      <c r="AI14" s="1">
        <v>6.9</v>
      </c>
      <c r="AJ14" s="1">
        <v>10.4</v>
      </c>
      <c r="AK14" s="1">
        <f>SUM(O14:R14)</f>
        <v>3.5</v>
      </c>
      <c r="AL14" s="1">
        <f>SUM(S14:V14)</f>
        <v>4.0999999999999996</v>
      </c>
      <c r="AM14" s="1">
        <f>SUM(W14:Z14)</f>
        <v>3557.6</v>
      </c>
      <c r="AN14" s="1">
        <f t="shared" si="1"/>
        <v>3.3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</row>
    <row r="15" spans="2:51" x14ac:dyDescent="0.3">
      <c r="B15" s="7" t="s">
        <v>49</v>
      </c>
      <c r="C15" s="7"/>
      <c r="D15" s="7"/>
      <c r="E15" s="7"/>
      <c r="F15" s="7"/>
      <c r="G15" s="7"/>
      <c r="H15" s="7"/>
      <c r="I15" s="7"/>
      <c r="J15" s="7"/>
      <c r="K15" s="9">
        <f>K13-K14</f>
        <v>209.9</v>
      </c>
      <c r="L15" s="7"/>
      <c r="M15" s="7"/>
      <c r="N15" s="7"/>
      <c r="O15" s="9">
        <f t="shared" ref="O15:W15" si="46">O13-O14</f>
        <v>-289.7</v>
      </c>
      <c r="P15" s="9">
        <f t="shared" si="46"/>
        <v>-483.40000000000015</v>
      </c>
      <c r="Q15" s="9">
        <f t="shared" si="46"/>
        <v>246.59999999999997</v>
      </c>
      <c r="R15" s="9">
        <f t="shared" si="46"/>
        <v>139.49999999999994</v>
      </c>
      <c r="S15" s="9">
        <f t="shared" si="46"/>
        <v>306.79999999999995</v>
      </c>
      <c r="T15" s="9">
        <f t="shared" si="46"/>
        <v>422.39999999999981</v>
      </c>
      <c r="U15" s="9">
        <f t="shared" si="46"/>
        <v>503.50000000000011</v>
      </c>
      <c r="V15" s="9">
        <f t="shared" si="46"/>
        <v>738.3</v>
      </c>
      <c r="W15" s="9">
        <f t="shared" si="46"/>
        <v>483.89999999999969</v>
      </c>
      <c r="X15" s="9">
        <f t="shared" ref="X15" si="47">X13-X14</f>
        <v>651.69999999999993</v>
      </c>
      <c r="Y15" s="9">
        <f t="shared" ref="Y15" si="48">Y13-Y14</f>
        <v>670.1</v>
      </c>
      <c r="Z15" s="9">
        <f t="shared" ref="Z15:AD15" si="49">Z13-Z14</f>
        <v>-2823.3000000000006</v>
      </c>
      <c r="AA15" s="9">
        <f t="shared" si="49"/>
        <v>637.6999999999997</v>
      </c>
      <c r="AB15" s="9">
        <f t="shared" si="49"/>
        <v>691.29999999999973</v>
      </c>
      <c r="AC15" s="9">
        <f t="shared" si="49"/>
        <v>800.80000000000018</v>
      </c>
      <c r="AD15" s="9">
        <f t="shared" si="49"/>
        <v>930.52140000000009</v>
      </c>
      <c r="AH15" s="9">
        <f t="shared" ref="AH15:AN15" si="50">AH13-AH14</f>
        <v>1090.7999999999997</v>
      </c>
      <c r="AI15" s="9">
        <f t="shared" si="50"/>
        <v>1127.6999999999996</v>
      </c>
      <c r="AJ15" s="9">
        <f t="shared" si="50"/>
        <v>-1445.4</v>
      </c>
      <c r="AK15" s="9">
        <f t="shared" si="50"/>
        <v>-386.99999999999909</v>
      </c>
      <c r="AL15" s="9">
        <f t="shared" si="50"/>
        <v>1971.0000000000014</v>
      </c>
      <c r="AM15" s="9">
        <f t="shared" si="50"/>
        <v>-1017.599999999999</v>
      </c>
      <c r="AN15" s="9">
        <f t="shared" si="50"/>
        <v>3060.3214000000007</v>
      </c>
      <c r="AO15" s="9">
        <f t="shared" ref="AO15" si="51">AO13-AO14</f>
        <v>3793.4314856000001</v>
      </c>
      <c r="AP15" s="9">
        <f t="shared" ref="AP15" si="52">AP13-AP14</f>
        <v>4240.0199762479997</v>
      </c>
      <c r="AQ15" s="9">
        <f t="shared" ref="AQ15" si="53">AQ13-AQ14</f>
        <v>4569.1646264528781</v>
      </c>
      <c r="AR15" s="9">
        <f t="shared" ref="AR15" si="54">AR13-AR14</f>
        <v>4810.5727263323161</v>
      </c>
      <c r="AS15" s="9">
        <f t="shared" ref="AS15" si="55">AS13-AS14</f>
        <v>4985.7298914059284</v>
      </c>
      <c r="AT15" s="9">
        <f t="shared" ref="AT15" si="56">AT13-AT14</f>
        <v>5139.3445764984099</v>
      </c>
      <c r="AU15" s="9">
        <f t="shared" ref="AU15" si="57">AU13-AU14</f>
        <v>5222.3488092528605</v>
      </c>
      <c r="AV15" s="9">
        <f t="shared" ref="AV15" si="58">AV13-AV14</f>
        <v>5307.7048285492456</v>
      </c>
      <c r="AW15" s="9">
        <f t="shared" ref="AW15" si="59">AW13-AW14</f>
        <v>5395.5104756096553</v>
      </c>
      <c r="AX15" s="9">
        <f t="shared" ref="AX15" si="60">AX13-AX14</f>
        <v>5485.868233320607</v>
      </c>
    </row>
    <row r="16" spans="2:51" x14ac:dyDescent="0.3">
      <c r="B16" t="s">
        <v>50</v>
      </c>
      <c r="K16" s="1">
        <v>51.7</v>
      </c>
      <c r="O16" s="1">
        <v>23.2</v>
      </c>
      <c r="P16" s="1">
        <v>5.9</v>
      </c>
      <c r="Q16" s="1">
        <v>49.4</v>
      </c>
      <c r="R16" s="1">
        <v>60.6</v>
      </c>
      <c r="S16" s="1">
        <f>43.6+37.6</f>
        <v>81.2</v>
      </c>
      <c r="T16" s="1">
        <v>115.1</v>
      </c>
      <c r="U16" s="1">
        <v>92.2</v>
      </c>
      <c r="V16" s="1">
        <v>82</v>
      </c>
      <c r="W16" s="1">
        <f>105.9+4.6</f>
        <v>110.5</v>
      </c>
      <c r="X16" s="1">
        <f>151.4+2</f>
        <v>153.4</v>
      </c>
      <c r="Y16" s="1">
        <f>112.7+14.4</f>
        <v>127.10000000000001</v>
      </c>
      <c r="Z16" s="1">
        <v>98.6</v>
      </c>
      <c r="AA16" s="1">
        <f>133-12.2</f>
        <v>120.8</v>
      </c>
      <c r="AB16" s="1">
        <f>175.3-71.2</f>
        <v>104.10000000000001</v>
      </c>
      <c r="AC16" s="1">
        <f>155-22.3</f>
        <v>132.69999999999999</v>
      </c>
      <c r="AD16" s="1">
        <f>AD15*0.19</f>
        <v>176.79906600000001</v>
      </c>
      <c r="AH16" s="1">
        <f>217.2+69.2</f>
        <v>286.39999999999998</v>
      </c>
      <c r="AI16" s="1">
        <f>216.9+73.3</f>
        <v>290.2</v>
      </c>
      <c r="AJ16" s="1">
        <f>171.6-239.8</f>
        <v>-68.200000000000017</v>
      </c>
      <c r="AK16" s="1">
        <f>SUM(O16:R16)</f>
        <v>139.1</v>
      </c>
      <c r="AL16" s="1">
        <f>SUM(S16:V16)</f>
        <v>370.5</v>
      </c>
      <c r="AM16" s="1">
        <f>SUM(W16:Z16)</f>
        <v>489.6</v>
      </c>
      <c r="AN16" s="1">
        <f t="shared" si="1"/>
        <v>534.39906600000006</v>
      </c>
      <c r="AO16" s="1">
        <f>AO15*0.18</f>
        <v>682.81766740800003</v>
      </c>
      <c r="AP16" s="1">
        <f t="shared" ref="AP16:AX16" si="61">AP15*0.18</f>
        <v>763.20359572463997</v>
      </c>
      <c r="AQ16" s="1">
        <f t="shared" si="61"/>
        <v>822.44963276151805</v>
      </c>
      <c r="AR16" s="1">
        <f t="shared" si="61"/>
        <v>865.90309073981689</v>
      </c>
      <c r="AS16" s="1">
        <f t="shared" si="61"/>
        <v>897.43138045306705</v>
      </c>
      <c r="AT16" s="1">
        <f t="shared" si="61"/>
        <v>925.08202376971371</v>
      </c>
      <c r="AU16" s="1">
        <f t="shared" si="61"/>
        <v>940.0227856655149</v>
      </c>
      <c r="AV16" s="1">
        <f t="shared" si="61"/>
        <v>955.3868691388642</v>
      </c>
      <c r="AW16" s="1">
        <f t="shared" si="61"/>
        <v>971.19188560973794</v>
      </c>
      <c r="AX16" s="1">
        <f t="shared" si="61"/>
        <v>987.4562819977092</v>
      </c>
    </row>
    <row r="17" spans="2:148" x14ac:dyDescent="0.3">
      <c r="B17" t="s">
        <v>51</v>
      </c>
      <c r="K17" s="1">
        <v>0</v>
      </c>
      <c r="O17" s="1">
        <v>0.2</v>
      </c>
      <c r="P17" s="1">
        <v>-1.9</v>
      </c>
      <c r="Q17" s="1">
        <v>-5.3</v>
      </c>
      <c r="R17" s="1">
        <v>0</v>
      </c>
      <c r="S17" s="1">
        <v>-0.1</v>
      </c>
      <c r="T17" s="1">
        <v>1.8</v>
      </c>
      <c r="U17" s="1">
        <v>2.6</v>
      </c>
      <c r="V17" s="1">
        <v>0</v>
      </c>
      <c r="W17" s="1">
        <v>0.6</v>
      </c>
      <c r="X17" s="1">
        <v>2.2000000000000002</v>
      </c>
      <c r="Y17" s="1">
        <v>3.2</v>
      </c>
      <c r="Z17" s="15">
        <v>0</v>
      </c>
      <c r="AA17" s="1">
        <v>2.2999999999999998</v>
      </c>
      <c r="AB17" s="1">
        <f>-15.8+3.2</f>
        <v>-12.600000000000001</v>
      </c>
      <c r="AC17" s="1">
        <v>-47.1</v>
      </c>
      <c r="AD17" s="1">
        <v>0</v>
      </c>
      <c r="AH17" s="1">
        <v>1</v>
      </c>
      <c r="AI17" s="1">
        <v>-16.600000000000001</v>
      </c>
      <c r="AJ17" s="1">
        <v>-18.5</v>
      </c>
      <c r="AK17" s="1">
        <f>SUM(O17:R17)</f>
        <v>-7</v>
      </c>
      <c r="AL17" s="1">
        <f>SUM(S17:V17)</f>
        <v>4.3</v>
      </c>
      <c r="AM17" s="1">
        <f>SUM(W17:Z17)</f>
        <v>6</v>
      </c>
      <c r="AN17" s="1">
        <f t="shared" si="1"/>
        <v>-57.400000000000006</v>
      </c>
      <c r="AO17" s="1">
        <f t="shared" ref="AO17:AX17" si="62">AO15*0.002</f>
        <v>7.5868629712000004</v>
      </c>
      <c r="AP17" s="1">
        <f t="shared" si="62"/>
        <v>8.480039952496</v>
      </c>
      <c r="AQ17" s="1">
        <f t="shared" si="62"/>
        <v>9.1383292529057556</v>
      </c>
      <c r="AR17" s="1">
        <f t="shared" si="62"/>
        <v>9.6211454526646332</v>
      </c>
      <c r="AS17" s="1">
        <f t="shared" si="62"/>
        <v>9.9714597828118574</v>
      </c>
      <c r="AT17" s="1">
        <f t="shared" si="62"/>
        <v>10.278689152996821</v>
      </c>
      <c r="AU17" s="1">
        <f t="shared" si="62"/>
        <v>10.444697618505721</v>
      </c>
      <c r="AV17" s="1">
        <f t="shared" si="62"/>
        <v>10.615409657098491</v>
      </c>
      <c r="AW17" s="1">
        <f t="shared" si="62"/>
        <v>10.791020951219311</v>
      </c>
      <c r="AX17" s="1">
        <f t="shared" si="62"/>
        <v>10.971736466641214</v>
      </c>
    </row>
    <row r="18" spans="2:148" x14ac:dyDescent="0.3">
      <c r="B18" s="7" t="s">
        <v>52</v>
      </c>
      <c r="C18" s="7"/>
      <c r="D18" s="7"/>
      <c r="E18" s="7"/>
      <c r="F18" s="7"/>
      <c r="G18" s="7"/>
      <c r="H18" s="7"/>
      <c r="I18" s="7"/>
      <c r="J18" s="7"/>
      <c r="K18" s="9">
        <f>K15-K16-K17</f>
        <v>158.19999999999999</v>
      </c>
      <c r="L18" s="7"/>
      <c r="M18" s="7"/>
      <c r="N18" s="7"/>
      <c r="O18" s="9">
        <f t="shared" ref="O18:W18" si="63">O15-O16-O17</f>
        <v>-313.09999999999997</v>
      </c>
      <c r="P18" s="9">
        <f t="shared" si="63"/>
        <v>-487.40000000000015</v>
      </c>
      <c r="Q18" s="9">
        <f t="shared" si="63"/>
        <v>202.49999999999997</v>
      </c>
      <c r="R18" s="9">
        <f t="shared" si="63"/>
        <v>78.899999999999949</v>
      </c>
      <c r="S18" s="9">
        <f t="shared" si="63"/>
        <v>225.69999999999996</v>
      </c>
      <c r="T18" s="9">
        <f t="shared" si="63"/>
        <v>305.49999999999983</v>
      </c>
      <c r="U18" s="9">
        <f t="shared" si="63"/>
        <v>408.7000000000001</v>
      </c>
      <c r="V18" s="9">
        <f t="shared" si="63"/>
        <v>656.3</v>
      </c>
      <c r="W18" s="9">
        <f t="shared" si="63"/>
        <v>372.79999999999967</v>
      </c>
      <c r="X18" s="9">
        <f t="shared" ref="X18" si="64">X15-X16-X17</f>
        <v>496.09999999999997</v>
      </c>
      <c r="Y18" s="9">
        <f t="shared" ref="Y18" si="65">Y15-Y16-Y17</f>
        <v>539.79999999999995</v>
      </c>
      <c r="Z18" s="9">
        <f t="shared" ref="Z18:AD18" si="66">Z15-Z16-Z17</f>
        <v>-2921.9000000000005</v>
      </c>
      <c r="AA18" s="9">
        <f t="shared" si="66"/>
        <v>514.5999999999998</v>
      </c>
      <c r="AB18" s="9">
        <f t="shared" si="66"/>
        <v>599.79999999999973</v>
      </c>
      <c r="AC18" s="9">
        <f t="shared" si="66"/>
        <v>715.20000000000016</v>
      </c>
      <c r="AD18" s="9">
        <f t="shared" si="66"/>
        <v>753.72233400000005</v>
      </c>
      <c r="AH18" s="9">
        <f t="shared" ref="AH18:AN18" si="67">AH15-AH16-AH17</f>
        <v>803.39999999999975</v>
      </c>
      <c r="AI18" s="9">
        <f t="shared" si="67"/>
        <v>854.09999999999957</v>
      </c>
      <c r="AJ18" s="9">
        <f t="shared" si="67"/>
        <v>-1358.7</v>
      </c>
      <c r="AK18" s="9">
        <f t="shared" si="67"/>
        <v>-519.09999999999911</v>
      </c>
      <c r="AL18" s="9">
        <f t="shared" si="67"/>
        <v>1596.2000000000014</v>
      </c>
      <c r="AM18" s="9">
        <f t="shared" si="67"/>
        <v>-1513.1999999999989</v>
      </c>
      <c r="AN18" s="9">
        <f t="shared" si="67"/>
        <v>2583.3223340000009</v>
      </c>
      <c r="AO18" s="9">
        <f t="shared" ref="AO18" si="68">AO15-AO16-AO17</f>
        <v>3103.0269552208001</v>
      </c>
      <c r="AP18" s="9">
        <f t="shared" ref="AP18" si="69">AP15-AP16-AP17</f>
        <v>3468.3363405708637</v>
      </c>
      <c r="AQ18" s="9">
        <f t="shared" ref="AQ18" si="70">AQ15-AQ16-AQ17</f>
        <v>3737.5766644384544</v>
      </c>
      <c r="AR18" s="9">
        <f t="shared" ref="AR18" si="71">AR15-AR16-AR17</f>
        <v>3935.0484901398345</v>
      </c>
      <c r="AS18" s="9">
        <f t="shared" ref="AS18" si="72">AS15-AS16-AS17</f>
        <v>4078.3270511700493</v>
      </c>
      <c r="AT18" s="9">
        <f t="shared" ref="AT18" si="73">AT15-AT16-AT17</f>
        <v>4203.9838635756996</v>
      </c>
      <c r="AU18" s="9">
        <f t="shared" ref="AU18" si="74">AU15-AU16-AU17</f>
        <v>4271.8813259688404</v>
      </c>
      <c r="AV18" s="9">
        <f t="shared" ref="AV18" si="75">AV15-AV16-AV17</f>
        <v>4341.7025497532832</v>
      </c>
      <c r="AW18" s="9">
        <f t="shared" ref="AW18" si="76">AW15-AW16-AW17</f>
        <v>4413.5275690486978</v>
      </c>
      <c r="AX18" s="9">
        <f t="shared" ref="AX18" si="77">AX15-AX16-AX17</f>
        <v>4487.4402148562567</v>
      </c>
      <c r="AY18" s="9">
        <f>AX18*(1+$BC$23)</f>
        <v>4442.565812707694</v>
      </c>
      <c r="AZ18" s="9">
        <f t="shared" ref="AZ18:DK18" si="78">AY18*(1+$BC$23)</f>
        <v>4398.1401545806175</v>
      </c>
      <c r="BA18" s="9">
        <f t="shared" si="78"/>
        <v>4354.1587530348115</v>
      </c>
      <c r="BB18" s="9">
        <f t="shared" si="78"/>
        <v>4310.6171655044636</v>
      </c>
      <c r="BC18" s="9">
        <f t="shared" si="78"/>
        <v>4267.5109938494188</v>
      </c>
      <c r="BD18" s="9">
        <f t="shared" si="78"/>
        <v>4224.8358839109242</v>
      </c>
      <c r="BE18" s="9">
        <f t="shared" si="78"/>
        <v>4182.5875250718145</v>
      </c>
      <c r="BF18" s="9">
        <f t="shared" si="78"/>
        <v>4140.7616498210964</v>
      </c>
      <c r="BG18" s="9">
        <f t="shared" si="78"/>
        <v>4099.3540333228857</v>
      </c>
      <c r="BH18" s="9">
        <f t="shared" si="78"/>
        <v>4058.3604929896569</v>
      </c>
      <c r="BI18" s="9">
        <f t="shared" si="78"/>
        <v>4017.7768880597605</v>
      </c>
      <c r="BJ18" s="9">
        <f t="shared" si="78"/>
        <v>3977.5991191791627</v>
      </c>
      <c r="BK18" s="9">
        <f t="shared" si="78"/>
        <v>3937.8231279873712</v>
      </c>
      <c r="BL18" s="9">
        <f t="shared" si="78"/>
        <v>3898.4448967074973</v>
      </c>
      <c r="BM18" s="9">
        <f t="shared" si="78"/>
        <v>3859.4604477404223</v>
      </c>
      <c r="BN18" s="9">
        <f t="shared" si="78"/>
        <v>3820.8658432630182</v>
      </c>
      <c r="BO18" s="9">
        <f t="shared" si="78"/>
        <v>3782.6571848303879</v>
      </c>
      <c r="BP18" s="9">
        <f t="shared" si="78"/>
        <v>3744.8306129820839</v>
      </c>
      <c r="BQ18" s="9">
        <f t="shared" si="78"/>
        <v>3707.3823068522629</v>
      </c>
      <c r="BR18" s="9">
        <f t="shared" si="78"/>
        <v>3670.30848378374</v>
      </c>
      <c r="BS18" s="9">
        <f t="shared" si="78"/>
        <v>3633.6053989459024</v>
      </c>
      <c r="BT18" s="9">
        <f t="shared" si="78"/>
        <v>3597.2693449564435</v>
      </c>
      <c r="BU18" s="9">
        <f t="shared" si="78"/>
        <v>3561.2966515068792</v>
      </c>
      <c r="BV18" s="9">
        <f t="shared" si="78"/>
        <v>3525.6836849918104</v>
      </c>
      <c r="BW18" s="9">
        <f t="shared" si="78"/>
        <v>3490.4268481418922</v>
      </c>
      <c r="BX18" s="9">
        <f t="shared" si="78"/>
        <v>3455.5225796604732</v>
      </c>
      <c r="BY18" s="9">
        <f t="shared" si="78"/>
        <v>3420.9673538638685</v>
      </c>
      <c r="BZ18" s="9">
        <f t="shared" si="78"/>
        <v>3386.75768032523</v>
      </c>
      <c r="CA18" s="9">
        <f t="shared" si="78"/>
        <v>3352.8901035219778</v>
      </c>
      <c r="CB18" s="9">
        <f t="shared" si="78"/>
        <v>3319.361202486758</v>
      </c>
      <c r="CC18" s="9">
        <f t="shared" si="78"/>
        <v>3286.1675904618905</v>
      </c>
      <c r="CD18" s="9">
        <f t="shared" si="78"/>
        <v>3253.3059145572715</v>
      </c>
      <c r="CE18" s="9">
        <f t="shared" si="78"/>
        <v>3220.7728554116989</v>
      </c>
      <c r="CF18" s="9">
        <f t="shared" si="78"/>
        <v>3188.5651268575816</v>
      </c>
      <c r="CG18" s="9">
        <f t="shared" si="78"/>
        <v>3156.679475589006</v>
      </c>
      <c r="CH18" s="9">
        <f t="shared" si="78"/>
        <v>3125.112680833116</v>
      </c>
      <c r="CI18" s="9">
        <f t="shared" si="78"/>
        <v>3093.8615540247847</v>
      </c>
      <c r="CJ18" s="9">
        <f t="shared" si="78"/>
        <v>3062.9229384845366</v>
      </c>
      <c r="CK18" s="9">
        <f t="shared" si="78"/>
        <v>3032.2937090996911</v>
      </c>
      <c r="CL18" s="9">
        <f t="shared" si="78"/>
        <v>3001.970772008694</v>
      </c>
      <c r="CM18" s="9">
        <f t="shared" si="78"/>
        <v>2971.9510642886071</v>
      </c>
      <c r="CN18" s="9">
        <f t="shared" si="78"/>
        <v>2942.2315536457209</v>
      </c>
      <c r="CO18" s="9">
        <f t="shared" si="78"/>
        <v>2912.8092381092638</v>
      </c>
      <c r="CP18" s="9">
        <f t="shared" si="78"/>
        <v>2883.681145728171</v>
      </c>
      <c r="CQ18" s="9">
        <f t="shared" si="78"/>
        <v>2854.8443342708892</v>
      </c>
      <c r="CR18" s="9">
        <f t="shared" si="78"/>
        <v>2826.2958909281801</v>
      </c>
      <c r="CS18" s="9">
        <f t="shared" si="78"/>
        <v>2798.0329320188985</v>
      </c>
      <c r="CT18" s="9">
        <f t="shared" si="78"/>
        <v>2770.0526026987095</v>
      </c>
      <c r="CU18" s="9">
        <f t="shared" si="78"/>
        <v>2742.3520766717224</v>
      </c>
      <c r="CV18" s="9">
        <f t="shared" si="78"/>
        <v>2714.9285559050054</v>
      </c>
      <c r="CW18" s="9">
        <f t="shared" si="78"/>
        <v>2687.7792703459554</v>
      </c>
      <c r="CX18" s="9">
        <f t="shared" si="78"/>
        <v>2660.901477642496</v>
      </c>
      <c r="CY18" s="9">
        <f t="shared" si="78"/>
        <v>2634.2924628660712</v>
      </c>
      <c r="CZ18" s="9">
        <f t="shared" si="78"/>
        <v>2607.9495382374107</v>
      </c>
      <c r="DA18" s="9">
        <f t="shared" si="78"/>
        <v>2581.8700428550364</v>
      </c>
      <c r="DB18" s="9">
        <f t="shared" si="78"/>
        <v>2556.0513424264859</v>
      </c>
      <c r="DC18" s="9">
        <f t="shared" si="78"/>
        <v>2530.4908290022208</v>
      </c>
      <c r="DD18" s="9">
        <f t="shared" si="78"/>
        <v>2505.1859207121988</v>
      </c>
      <c r="DE18" s="9">
        <f t="shared" si="78"/>
        <v>2480.1340615050767</v>
      </c>
      <c r="DF18" s="9">
        <f t="shared" si="78"/>
        <v>2455.3327208900259</v>
      </c>
      <c r="DG18" s="9">
        <f t="shared" si="78"/>
        <v>2430.7793936811258</v>
      </c>
      <c r="DH18" s="9">
        <f t="shared" si="78"/>
        <v>2406.4715997443145</v>
      </c>
      <c r="DI18" s="9">
        <f t="shared" si="78"/>
        <v>2382.4068837468712</v>
      </c>
      <c r="DJ18" s="9">
        <f t="shared" si="78"/>
        <v>2358.5828149094027</v>
      </c>
      <c r="DK18" s="9">
        <f t="shared" si="78"/>
        <v>2334.9969867603086</v>
      </c>
      <c r="DL18" s="9">
        <f t="shared" ref="DL18:ER18" si="79">DK18*(1+$BC$23)</f>
        <v>2311.6470168927053</v>
      </c>
      <c r="DM18" s="9">
        <f t="shared" si="79"/>
        <v>2288.5305467237781</v>
      </c>
      <c r="DN18" s="9">
        <f t="shared" si="79"/>
        <v>2265.6452412565404</v>
      </c>
      <c r="DO18" s="9">
        <f t="shared" si="79"/>
        <v>2242.9887888439748</v>
      </c>
      <c r="DP18" s="9">
        <f t="shared" si="79"/>
        <v>2220.5589009555351</v>
      </c>
      <c r="DQ18" s="9">
        <f t="shared" si="79"/>
        <v>2198.3533119459798</v>
      </c>
      <c r="DR18" s="9">
        <f t="shared" si="79"/>
        <v>2176.3697788265199</v>
      </c>
      <c r="DS18" s="9">
        <f t="shared" si="79"/>
        <v>2154.6060810382546</v>
      </c>
      <c r="DT18" s="9">
        <f t="shared" si="79"/>
        <v>2133.060020227872</v>
      </c>
      <c r="DU18" s="9">
        <f t="shared" si="79"/>
        <v>2111.7294200255933</v>
      </c>
      <c r="DV18" s="9">
        <f t="shared" si="79"/>
        <v>2090.6121258253374</v>
      </c>
      <c r="DW18" s="9">
        <f t="shared" si="79"/>
        <v>2069.7060045670842</v>
      </c>
      <c r="DX18" s="9">
        <f t="shared" si="79"/>
        <v>2049.0089445214135</v>
      </c>
      <c r="DY18" s="9">
        <f t="shared" si="79"/>
        <v>2028.5188550761993</v>
      </c>
      <c r="DZ18" s="9">
        <f t="shared" si="79"/>
        <v>2008.2336665254372</v>
      </c>
      <c r="EA18" s="9">
        <f t="shared" si="79"/>
        <v>1988.1513298601828</v>
      </c>
      <c r="EB18" s="9">
        <f t="shared" si="79"/>
        <v>1968.2698165615809</v>
      </c>
      <c r="EC18" s="9">
        <f t="shared" si="79"/>
        <v>1948.587118395965</v>
      </c>
      <c r="ED18" s="9">
        <f t="shared" si="79"/>
        <v>1929.1012472120053</v>
      </c>
      <c r="EE18" s="9">
        <f t="shared" si="79"/>
        <v>1909.8102347398853</v>
      </c>
      <c r="EF18" s="9">
        <f t="shared" si="79"/>
        <v>1890.7121323924864</v>
      </c>
      <c r="EG18" s="9">
        <f t="shared" si="79"/>
        <v>1871.8050110685615</v>
      </c>
      <c r="EH18" s="9">
        <f t="shared" si="79"/>
        <v>1853.0869609578758</v>
      </c>
      <c r="EI18" s="9">
        <f t="shared" si="79"/>
        <v>1834.5560913482971</v>
      </c>
      <c r="EJ18" s="9">
        <f t="shared" si="79"/>
        <v>1816.210530434814</v>
      </c>
      <c r="EK18" s="9">
        <f t="shared" si="79"/>
        <v>1798.0484251304658</v>
      </c>
      <c r="EL18" s="9">
        <f t="shared" si="79"/>
        <v>1780.0679408791611</v>
      </c>
      <c r="EM18" s="9">
        <f t="shared" si="79"/>
        <v>1762.2672614703695</v>
      </c>
      <c r="EN18" s="9">
        <f t="shared" si="79"/>
        <v>1744.6445888556657</v>
      </c>
      <c r="EO18" s="9">
        <f t="shared" si="79"/>
        <v>1727.1981429671091</v>
      </c>
      <c r="EP18" s="9">
        <f t="shared" si="79"/>
        <v>1709.926161537438</v>
      </c>
      <c r="EQ18" s="9">
        <f t="shared" si="79"/>
        <v>1692.8268999220636</v>
      </c>
      <c r="ER18" s="9">
        <f t="shared" si="79"/>
        <v>1675.898630922843</v>
      </c>
    </row>
    <row r="19" spans="2:148" x14ac:dyDescent="0.3">
      <c r="B19" t="s">
        <v>1</v>
      </c>
      <c r="K19" s="1">
        <v>309</v>
      </c>
      <c r="O19" s="1">
        <v>309</v>
      </c>
      <c r="P19" s="1">
        <v>309</v>
      </c>
      <c r="Q19" s="1">
        <v>309</v>
      </c>
      <c r="R19" s="1">
        <v>309</v>
      </c>
      <c r="S19" s="1">
        <v>309</v>
      </c>
      <c r="T19" s="1">
        <v>309</v>
      </c>
      <c r="U19" s="1">
        <v>309</v>
      </c>
      <c r="V19" s="1">
        <v>309</v>
      </c>
      <c r="W19" s="1">
        <v>309</v>
      </c>
      <c r="X19" s="1">
        <v>307.5</v>
      </c>
      <c r="Y19" s="1">
        <v>297</v>
      </c>
      <c r="Z19" s="1">
        <v>293.10000000000002</v>
      </c>
      <c r="AA19" s="1">
        <f>279.8</f>
        <v>279.8</v>
      </c>
      <c r="AB19" s="1">
        <f>274.2</f>
        <v>274.2</v>
      </c>
      <c r="AC19" s="1">
        <f>271.1</f>
        <v>271.10000000000002</v>
      </c>
      <c r="AD19" s="1">
        <f>271.1</f>
        <v>271.10000000000002</v>
      </c>
      <c r="AH19" s="1">
        <v>309</v>
      </c>
      <c r="AI19" s="1">
        <v>309</v>
      </c>
      <c r="AJ19" s="1">
        <v>309</v>
      </c>
      <c r="AK19" s="1">
        <v>309</v>
      </c>
      <c r="AL19" s="1">
        <v>309</v>
      </c>
      <c r="AM19" s="1">
        <v>293.10000000000002</v>
      </c>
      <c r="AN19" s="1">
        <f>271.1</f>
        <v>271.10000000000002</v>
      </c>
      <c r="AO19" s="1">
        <f>271.1</f>
        <v>271.10000000000002</v>
      </c>
      <c r="AP19" s="1">
        <f>271.1</f>
        <v>271.10000000000002</v>
      </c>
      <c r="AQ19" s="1">
        <f>271.1</f>
        <v>271.10000000000002</v>
      </c>
      <c r="AR19" s="1">
        <f>271.1</f>
        <v>271.10000000000002</v>
      </c>
      <c r="AS19" s="1">
        <f>271.1</f>
        <v>271.10000000000002</v>
      </c>
      <c r="AT19" s="1">
        <f>271.1</f>
        <v>271.10000000000002</v>
      </c>
      <c r="AU19" s="1">
        <f>271.1</f>
        <v>271.10000000000002</v>
      </c>
      <c r="AV19" s="1">
        <f>271.1</f>
        <v>271.10000000000002</v>
      </c>
      <c r="AW19" s="1">
        <f>271.1</f>
        <v>271.10000000000002</v>
      </c>
      <c r="AX19" s="1">
        <f>271.1</f>
        <v>271.10000000000002</v>
      </c>
    </row>
    <row r="20" spans="2:148" x14ac:dyDescent="0.3">
      <c r="B20" t="s">
        <v>53</v>
      </c>
      <c r="K20" s="8">
        <f>K18/K19</f>
        <v>0.51197411003236237</v>
      </c>
      <c r="O20" s="8">
        <f t="shared" ref="O20:W20" si="80">O18/O19</f>
        <v>-1.0132686084142393</v>
      </c>
      <c r="P20" s="8">
        <f t="shared" si="80"/>
        <v>-1.5773462783171526</v>
      </c>
      <c r="Q20" s="8">
        <f t="shared" si="80"/>
        <v>0.65533980582524265</v>
      </c>
      <c r="R20" s="8">
        <f t="shared" si="80"/>
        <v>0.25533980582524257</v>
      </c>
      <c r="S20" s="8">
        <f t="shared" si="80"/>
        <v>0.73042071197410985</v>
      </c>
      <c r="T20" s="8">
        <f t="shared" si="80"/>
        <v>0.98867313915857546</v>
      </c>
      <c r="U20" s="8">
        <f t="shared" si="80"/>
        <v>1.3226537216828482</v>
      </c>
      <c r="V20" s="8">
        <f t="shared" si="80"/>
        <v>2.1239482200647246</v>
      </c>
      <c r="W20" s="8">
        <f t="shared" si="80"/>
        <v>1.2064724919093841</v>
      </c>
      <c r="X20" s="8">
        <f t="shared" ref="X20" si="81">X18/X19</f>
        <v>1.6133333333333333</v>
      </c>
      <c r="Y20" s="8">
        <f t="shared" ref="Y20" si="82">Y18/Y19</f>
        <v>1.8175084175084173</v>
      </c>
      <c r="Z20" s="8">
        <f t="shared" ref="Z20:AD20" si="83">Z18/Z19</f>
        <v>-9.9689525759126596</v>
      </c>
      <c r="AA20" s="8">
        <f t="shared" si="83"/>
        <v>1.8391708363116503</v>
      </c>
      <c r="AB20" s="8">
        <f t="shared" si="83"/>
        <v>2.1874544128373441</v>
      </c>
      <c r="AC20" s="8">
        <f t="shared" si="83"/>
        <v>2.6381409074142388</v>
      </c>
      <c r="AD20" s="8">
        <f t="shared" si="83"/>
        <v>2.7802373072666913</v>
      </c>
      <c r="AH20" s="8">
        <f t="shared" ref="AH20:AN20" si="84">AH18/AH19</f>
        <v>2.5999999999999992</v>
      </c>
      <c r="AI20" s="8">
        <f t="shared" si="84"/>
        <v>2.7640776699029113</v>
      </c>
      <c r="AJ20" s="8">
        <f t="shared" si="84"/>
        <v>-4.3970873786407765</v>
      </c>
      <c r="AK20" s="8">
        <f t="shared" si="84"/>
        <v>-1.6799352750809033</v>
      </c>
      <c r="AL20" s="8">
        <f t="shared" si="84"/>
        <v>5.1656957928802631</v>
      </c>
      <c r="AM20" s="8">
        <f t="shared" si="84"/>
        <v>-5.1627430910951855</v>
      </c>
      <c r="AN20" s="8">
        <f t="shared" si="84"/>
        <v>9.5290384876429393</v>
      </c>
      <c r="AO20" s="8">
        <f t="shared" ref="AO20" si="85">AO18/AO19</f>
        <v>11.446060329106603</v>
      </c>
      <c r="AP20" s="8">
        <f t="shared" ref="AP20" si="86">AP18/AP19</f>
        <v>12.793568205720632</v>
      </c>
      <c r="AQ20" s="8">
        <f t="shared" ref="AQ20" si="87">AQ18/AQ19</f>
        <v>13.786708463439521</v>
      </c>
      <c r="AR20" s="8">
        <f t="shared" ref="AR20" si="88">AR18/AR19</f>
        <v>14.515118001253539</v>
      </c>
      <c r="AS20" s="8">
        <f t="shared" ref="AS20" si="89">AS18/AS19</f>
        <v>15.043626157027107</v>
      </c>
      <c r="AT20" s="8">
        <f t="shared" ref="AT20" si="90">AT18/AT19</f>
        <v>15.507133395705273</v>
      </c>
      <c r="AU20" s="8">
        <f t="shared" ref="AU20" si="91">AU18/AU19</f>
        <v>15.757585119767024</v>
      </c>
      <c r="AV20" s="8">
        <f t="shared" ref="AV20" si="92">AV18/AV19</f>
        <v>16.015132975851284</v>
      </c>
      <c r="AW20" s="8">
        <f t="shared" ref="AW20" si="93">AW18/AW19</f>
        <v>16.280072183875681</v>
      </c>
      <c r="AX20" s="8">
        <f t="shared" ref="AX20" si="94">AX18/AX19</f>
        <v>16.552711969222635</v>
      </c>
    </row>
    <row r="22" spans="2:148" x14ac:dyDescent="0.3">
      <c r="B22" t="s">
        <v>57</v>
      </c>
      <c r="O22" s="10">
        <f>O3/K3-1</f>
        <v>0.74332390826264527</v>
      </c>
      <c r="P22" s="10"/>
      <c r="Q22" s="10"/>
      <c r="R22" s="10"/>
      <c r="S22" s="10">
        <f t="shared" ref="S22:Z22" si="95">S3/O3-1</f>
        <v>0.32113894395386566</v>
      </c>
      <c r="T22" s="10">
        <f t="shared" si="95"/>
        <v>0.3842478167737684</v>
      </c>
      <c r="U22" s="10">
        <f t="shared" si="95"/>
        <v>0.28135143110061978</v>
      </c>
      <c r="V22" s="10">
        <f t="shared" si="95"/>
        <v>0.11609668295191566</v>
      </c>
      <c r="W22" s="10">
        <f t="shared" si="95"/>
        <v>2.2779975446733047E-2</v>
      </c>
      <c r="X22" s="10">
        <f t="shared" si="95"/>
        <v>-3.8804904178074029E-2</v>
      </c>
      <c r="Y22" s="10">
        <f t="shared" si="95"/>
        <v>-4.5595854922279799E-2</v>
      </c>
      <c r="Z22" s="10">
        <f t="shared" si="95"/>
        <v>-4.4119341089736253E-2</v>
      </c>
      <c r="AA22" s="10">
        <f t="shared" ref="AA22:AA25" si="96">AA3/W3-1</f>
        <v>-8.7223259535876174E-2</v>
      </c>
      <c r="AB22" s="10">
        <f t="shared" ref="AB22:AB25" si="97">AB3/X3-1</f>
        <v>-0.18501547987616096</v>
      </c>
      <c r="AC22" s="10">
        <f t="shared" ref="AC22:AC25" si="98">AC3/Y3-1</f>
        <v>-0.24478224152491257</v>
      </c>
      <c r="AD22" s="10">
        <f t="shared" ref="AD22:AD25" si="99">AD3/Z3-1</f>
        <v>-0.19999999999999996</v>
      </c>
      <c r="AH22" s="10"/>
      <c r="AI22" s="10">
        <f t="shared" ref="AI22:AL25" si="100">AI3/AH3-1</f>
        <v>0.48526548098143585</v>
      </c>
      <c r="AJ22" s="10">
        <f t="shared" si="100"/>
        <v>0.42199108469539404</v>
      </c>
      <c r="AK22" s="10">
        <f t="shared" si="100"/>
        <v>0.60882660274140976</v>
      </c>
      <c r="AL22" s="10">
        <f t="shared" si="100"/>
        <v>0.26453732711851452</v>
      </c>
      <c r="AM22" s="10">
        <f>AM3/AL3-1</f>
        <v>-2.8340080971659853E-2</v>
      </c>
      <c r="AN22" s="10">
        <f t="shared" ref="AN22:AX22" si="101">AN3/AM3-1</f>
        <v>-0.18148631840796015</v>
      </c>
      <c r="AO22" s="10">
        <f t="shared" si="101"/>
        <v>-5.0000000000000044E-2</v>
      </c>
      <c r="AP22" s="10">
        <f t="shared" si="101"/>
        <v>1.0000000000000009E-2</v>
      </c>
      <c r="AQ22" s="10">
        <f t="shared" si="101"/>
        <v>1.0000000000000009E-2</v>
      </c>
      <c r="AR22" s="10">
        <f t="shared" si="101"/>
        <v>1.0000000000000009E-2</v>
      </c>
      <c r="AS22" s="10">
        <f t="shared" si="101"/>
        <v>1.0000000000000009E-2</v>
      </c>
      <c r="AT22" s="10">
        <f t="shared" si="101"/>
        <v>1.0000000000000009E-2</v>
      </c>
      <c r="AU22" s="10">
        <f t="shared" si="101"/>
        <v>1.0000000000000009E-2</v>
      </c>
      <c r="AV22" s="10">
        <f t="shared" si="101"/>
        <v>1.0000000000000009E-2</v>
      </c>
      <c r="AW22" s="10">
        <f t="shared" si="101"/>
        <v>1.0000000000000009E-2</v>
      </c>
      <c r="AX22" s="10">
        <f t="shared" si="101"/>
        <v>1.0000000000000009E-2</v>
      </c>
    </row>
    <row r="23" spans="2:148" x14ac:dyDescent="0.3">
      <c r="B23" t="s">
        <v>58</v>
      </c>
      <c r="O23" s="10">
        <f t="shared" ref="O23:Z23" si="102">O4/K4-1</f>
        <v>2.0893495353824156</v>
      </c>
      <c r="P23" s="10"/>
      <c r="Q23" s="10"/>
      <c r="R23" s="10"/>
      <c r="S23" s="10">
        <f t="shared" si="102"/>
        <v>2.9847292919944479E-2</v>
      </c>
      <c r="T23" s="10">
        <f t="shared" si="102"/>
        <v>4.4540886249428979E-2</v>
      </c>
      <c r="U23" s="10">
        <f t="shared" si="102"/>
        <v>8.6772983114446589E-2</v>
      </c>
      <c r="V23" s="10">
        <f t="shared" si="102"/>
        <v>-1.1838140335772684E-2</v>
      </c>
      <c r="W23" s="10">
        <f t="shared" si="102"/>
        <v>2.6061559200179607E-2</v>
      </c>
      <c r="X23" s="10">
        <f t="shared" si="102"/>
        <v>-8.7469932210803014E-3</v>
      </c>
      <c r="Y23" s="10">
        <f t="shared" si="102"/>
        <v>4.747518342684609E-3</v>
      </c>
      <c r="Z23" s="10">
        <f t="shared" si="102"/>
        <v>2.6573731213243246E-2</v>
      </c>
      <c r="AA23" s="10">
        <f t="shared" si="96"/>
        <v>7.9921173636960718E-2</v>
      </c>
      <c r="AB23" s="10">
        <f t="shared" si="97"/>
        <v>-0.5170968453562762</v>
      </c>
      <c r="AC23" s="10">
        <f t="shared" si="98"/>
        <v>-0.51868556701030932</v>
      </c>
      <c r="AD23" s="10">
        <f t="shared" si="99"/>
        <v>-0.49077021005728838</v>
      </c>
      <c r="AH23" s="10"/>
      <c r="AI23" s="10">
        <f t="shared" si="100"/>
        <v>0.17008443908323279</v>
      </c>
      <c r="AJ23" s="10">
        <f t="shared" si="100"/>
        <v>1.7626288659793818</v>
      </c>
      <c r="AK23" s="10">
        <f t="shared" si="100"/>
        <v>0.6428771340610131</v>
      </c>
      <c r="AL23" s="10">
        <f t="shared" si="100"/>
        <v>3.6286201022146525E-2</v>
      </c>
      <c r="AM23" s="10">
        <f t="shared" ref="AM23:AX25" si="103">AM4/AL4-1</f>
        <v>1.2055455093429757E-2</v>
      </c>
      <c r="AN23" s="10">
        <f t="shared" si="103"/>
        <v>-0.36314906058801222</v>
      </c>
      <c r="AO23" s="10">
        <f t="shared" si="103"/>
        <v>-0.19999999999999996</v>
      </c>
      <c r="AP23" s="10">
        <f t="shared" si="103"/>
        <v>0.14999999999999991</v>
      </c>
      <c r="AQ23" s="10">
        <f t="shared" si="103"/>
        <v>9.000000000000008E-2</v>
      </c>
      <c r="AR23" s="10">
        <f t="shared" si="103"/>
        <v>6.0000000000000053E-2</v>
      </c>
      <c r="AS23" s="10">
        <f t="shared" si="103"/>
        <v>5.0000000000000044E-2</v>
      </c>
      <c r="AT23" s="10">
        <f t="shared" si="103"/>
        <v>5.0000000000000044E-2</v>
      </c>
      <c r="AU23" s="10">
        <f t="shared" si="103"/>
        <v>5.0000000000000044E-2</v>
      </c>
      <c r="AV23" s="10">
        <f t="shared" si="103"/>
        <v>5.0000000000000044E-2</v>
      </c>
      <c r="AW23" s="10">
        <f t="shared" si="103"/>
        <v>5.0000000000000044E-2</v>
      </c>
      <c r="AX23" s="10">
        <f t="shared" si="103"/>
        <v>5.0000000000000044E-2</v>
      </c>
      <c r="BB23" t="s">
        <v>62</v>
      </c>
      <c r="BC23" s="10">
        <v>-0.01</v>
      </c>
    </row>
    <row r="24" spans="2:148" x14ac:dyDescent="0.3">
      <c r="B24" t="s">
        <v>59</v>
      </c>
      <c r="O24" s="10">
        <f t="shared" ref="O24:Z24" si="104">O5/K5-1</f>
        <v>1.5753796095444685</v>
      </c>
      <c r="P24" s="10"/>
      <c r="Q24" s="10"/>
      <c r="R24" s="10"/>
      <c r="S24" s="10">
        <f t="shared" si="104"/>
        <v>0.44767319435670672</v>
      </c>
      <c r="T24" s="10">
        <f t="shared" si="104"/>
        <v>0.32361990950226227</v>
      </c>
      <c r="U24" s="10">
        <f t="shared" si="104"/>
        <v>0.2950623202301057</v>
      </c>
      <c r="V24" s="10">
        <f t="shared" si="104"/>
        <v>0.32982877741063388</v>
      </c>
      <c r="W24" s="10">
        <f t="shared" si="104"/>
        <v>0.2662545454545453</v>
      </c>
      <c r="X24" s="10">
        <f t="shared" si="104"/>
        <v>0.24894024340216059</v>
      </c>
      <c r="Y24" s="10">
        <f t="shared" si="104"/>
        <v>0.18384847923992842</v>
      </c>
      <c r="Z24" s="10">
        <f t="shared" si="104"/>
        <v>0.23650327535577143</v>
      </c>
      <c r="AA24" s="10">
        <f t="shared" si="96"/>
        <v>0.32278444661420935</v>
      </c>
      <c r="AB24" s="10">
        <f t="shared" si="97"/>
        <v>0.31888104231674586</v>
      </c>
      <c r="AC24" s="10">
        <f t="shared" si="98"/>
        <v>0.32575954974203958</v>
      </c>
      <c r="AD24" s="10">
        <f t="shared" si="99"/>
        <v>0.22999999999999998</v>
      </c>
      <c r="AH24" s="10"/>
      <c r="AI24" s="10">
        <f t="shared" si="100"/>
        <v>0.27892529895946572</v>
      </c>
      <c r="AJ24" s="10">
        <f t="shared" si="100"/>
        <v>0.14007285974499095</v>
      </c>
      <c r="AK24" s="10">
        <f t="shared" si="100"/>
        <v>1.4700431378814507</v>
      </c>
      <c r="AL24" s="10">
        <f t="shared" si="100"/>
        <v>0.34310047434238911</v>
      </c>
      <c r="AM24" s="10">
        <f t="shared" si="103"/>
        <v>0.23228934230170339</v>
      </c>
      <c r="AN24" s="10">
        <f t="shared" si="103"/>
        <v>0.29613329338353078</v>
      </c>
      <c r="AO24" s="10">
        <f t="shared" si="103"/>
        <v>0.15999999999999992</v>
      </c>
      <c r="AP24" s="10">
        <f t="shared" si="103"/>
        <v>8.0000000000000071E-2</v>
      </c>
      <c r="AQ24" s="10">
        <f t="shared" si="103"/>
        <v>6.0000000000000053E-2</v>
      </c>
      <c r="AR24" s="10">
        <f t="shared" si="103"/>
        <v>4.0000000000000036E-2</v>
      </c>
      <c r="AS24" s="10">
        <f t="shared" si="103"/>
        <v>3.0000000000000027E-2</v>
      </c>
      <c r="AT24" s="10">
        <f t="shared" si="103"/>
        <v>2.0000000000000018E-2</v>
      </c>
      <c r="AU24" s="10">
        <f t="shared" si="103"/>
        <v>1.0000000000000009E-2</v>
      </c>
      <c r="AV24" s="10">
        <f t="shared" si="103"/>
        <v>1.0000000000000009E-2</v>
      </c>
      <c r="AW24" s="10">
        <f t="shared" si="103"/>
        <v>1.0000000000000009E-2</v>
      </c>
      <c r="AX24" s="10">
        <f t="shared" si="103"/>
        <v>1.0000000000000009E-2</v>
      </c>
      <c r="BB24" t="s">
        <v>63</v>
      </c>
      <c r="BC24" s="10">
        <v>0.15</v>
      </c>
    </row>
    <row r="25" spans="2:148" x14ac:dyDescent="0.3">
      <c r="B25" s="7" t="s">
        <v>54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1">
        <f t="shared" ref="O25:Z25" si="105">O6/K6-1</f>
        <v>1.3420798065296249</v>
      </c>
      <c r="P25" s="11"/>
      <c r="Q25" s="11"/>
      <c r="R25" s="11"/>
      <c r="S25" s="11">
        <f t="shared" si="105"/>
        <v>0.31818885848520839</v>
      </c>
      <c r="T25" s="11">
        <f t="shared" si="105"/>
        <v>0.28390007908080217</v>
      </c>
      <c r="U25" s="11">
        <f t="shared" si="105"/>
        <v>0.25341709822565606</v>
      </c>
      <c r="V25" s="11">
        <f t="shared" si="105"/>
        <v>0.20357420357420364</v>
      </c>
      <c r="W25" s="11">
        <f t="shared" si="105"/>
        <v>0.15447281842393856</v>
      </c>
      <c r="X25" s="11">
        <f t="shared" si="105"/>
        <v>0.11865942028985499</v>
      </c>
      <c r="Y25" s="11">
        <f t="shared" si="105"/>
        <v>8.8255215388783448E-2</v>
      </c>
      <c r="Z25" s="11">
        <f t="shared" si="105"/>
        <v>0.12675919948353775</v>
      </c>
      <c r="AA25" s="11">
        <f t="shared" si="96"/>
        <v>0.18085900393540499</v>
      </c>
      <c r="AB25" s="11">
        <f t="shared" si="97"/>
        <v>6.435627530364374E-2</v>
      </c>
      <c r="AC25" s="11">
        <f t="shared" si="98"/>
        <v>5.6233273168606379E-2</v>
      </c>
      <c r="AD25" s="11">
        <f t="shared" si="99"/>
        <v>3.0466095625519163E-2</v>
      </c>
      <c r="AH25" s="10"/>
      <c r="AI25" s="11">
        <f t="shared" si="100"/>
        <v>0.33033435159225011</v>
      </c>
      <c r="AJ25" s="11">
        <f t="shared" si="100"/>
        <v>0.43955836557516292</v>
      </c>
      <c r="AK25" s="11">
        <f t="shared" si="100"/>
        <v>0.97015186277723142</v>
      </c>
      <c r="AL25" s="11">
        <f t="shared" si="100"/>
        <v>0.26036999245818726</v>
      </c>
      <c r="AM25" s="11">
        <f t="shared" si="103"/>
        <v>0.12101372756071815</v>
      </c>
      <c r="AN25" s="11">
        <f t="shared" si="103"/>
        <v>7.9977392614920761E-2</v>
      </c>
      <c r="AO25" s="11">
        <f t="shared" si="103"/>
        <v>8.904346604983493E-2</v>
      </c>
      <c r="AP25" s="11">
        <f t="shared" si="103"/>
        <v>7.271290183510537E-2</v>
      </c>
      <c r="AQ25" s="11">
        <f t="shared" si="103"/>
        <v>5.4162517527579279E-2</v>
      </c>
      <c r="AR25" s="11">
        <f t="shared" si="103"/>
        <v>3.6875440135785142E-2</v>
      </c>
      <c r="AS25" s="11">
        <f t="shared" si="103"/>
        <v>2.8490161124879565E-2</v>
      </c>
      <c r="AT25" s="11">
        <f t="shared" si="103"/>
        <v>2.0739448713716246E-2</v>
      </c>
      <c r="AU25" s="11">
        <f t="shared" si="103"/>
        <v>1.2989545849297013E-2</v>
      </c>
      <c r="AV25" s="11">
        <f t="shared" si="103"/>
        <v>1.309877150719263E-2</v>
      </c>
      <c r="AW25" s="11">
        <f t="shared" si="103"/>
        <v>1.3211641524065509E-2</v>
      </c>
      <c r="AX25" s="11">
        <f t="shared" si="103"/>
        <v>1.3328251928882651E-2</v>
      </c>
      <c r="BB25" t="s">
        <v>64</v>
      </c>
      <c r="BC25" s="12">
        <f>NPV(BC24,AN18:ER18)</f>
        <v>24964.470220527448</v>
      </c>
    </row>
    <row r="26" spans="2:148" x14ac:dyDescent="0.3">
      <c r="B26" t="s">
        <v>55</v>
      </c>
      <c r="K26" s="10">
        <f>K8/K6</f>
        <v>0.71015719467956462</v>
      </c>
      <c r="O26" s="10">
        <f>O8/O6</f>
        <v>0.6518147555371987</v>
      </c>
      <c r="P26" s="10">
        <f t="shared" ref="P26:R26" si="106">P8/P6</f>
        <v>0.70870354002884117</v>
      </c>
      <c r="Q26" s="10">
        <f t="shared" si="106"/>
        <v>0.71504372187791831</v>
      </c>
      <c r="R26" s="10">
        <f t="shared" si="106"/>
        <v>0.72882672882672883</v>
      </c>
      <c r="S26" s="10">
        <f t="shared" ref="S26:Z26" si="107">S8/S6</f>
        <v>0.71749177502741657</v>
      </c>
      <c r="T26" s="10">
        <f t="shared" si="107"/>
        <v>0.75170289855072459</v>
      </c>
      <c r="U26" s="10">
        <f t="shared" si="107"/>
        <v>0.73804524519100512</v>
      </c>
      <c r="V26" s="10">
        <f t="shared" si="107"/>
        <v>0.74089735313105232</v>
      </c>
      <c r="W26" s="10">
        <f t="shared" si="107"/>
        <v>0.72523408875016959</v>
      </c>
      <c r="X26" s="10">
        <f t="shared" si="107"/>
        <v>0.7274817813765182</v>
      </c>
      <c r="Y26" s="10">
        <f t="shared" si="107"/>
        <v>0.73268189456650279</v>
      </c>
      <c r="Z26" s="10">
        <f t="shared" si="107"/>
        <v>0.74824533761136724</v>
      </c>
      <c r="AA26" s="10">
        <f t="shared" ref="AA26:AD26" si="108">AA8/AA6</f>
        <v>0.73169190105438553</v>
      </c>
      <c r="AB26" s="10">
        <f t="shared" si="108"/>
        <v>0.74122086300286039</v>
      </c>
      <c r="AC26" s="10">
        <f t="shared" si="108"/>
        <v>0.75905247340974047</v>
      </c>
      <c r="AD26" s="10">
        <f t="shared" si="108"/>
        <v>0.77</v>
      </c>
      <c r="AH26" s="10">
        <f t="shared" ref="AH26:AL26" si="109">AH8/AH6</f>
        <v>0.82135832949742638</v>
      </c>
      <c r="AI26" s="10">
        <f t="shared" si="109"/>
        <v>0.75782454153691292</v>
      </c>
      <c r="AJ26" s="10">
        <f t="shared" si="109"/>
        <v>0.62552168687861898</v>
      </c>
      <c r="AK26" s="10">
        <f t="shared" si="109"/>
        <v>0.70388403353888473</v>
      </c>
      <c r="AL26" s="10">
        <f t="shared" si="109"/>
        <v>0.73752199929602258</v>
      </c>
      <c r="AM26" s="10">
        <f t="shared" ref="AM26:AX26" si="110">AM8/AM6</f>
        <v>0.73396288620949512</v>
      </c>
      <c r="AN26" s="10">
        <f t="shared" si="110"/>
        <v>0.75073345869995511</v>
      </c>
      <c r="AO26" s="10">
        <f t="shared" si="110"/>
        <v>0.74</v>
      </c>
      <c r="AP26" s="10">
        <f t="shared" si="110"/>
        <v>0.74</v>
      </c>
      <c r="AQ26" s="10">
        <f t="shared" si="110"/>
        <v>0.74</v>
      </c>
      <c r="AR26" s="10">
        <f t="shared" si="110"/>
        <v>0.74</v>
      </c>
      <c r="AS26" s="10">
        <f t="shared" si="110"/>
        <v>0.74</v>
      </c>
      <c r="AT26" s="10">
        <f t="shared" si="110"/>
        <v>0.74</v>
      </c>
      <c r="AU26" s="10">
        <f t="shared" si="110"/>
        <v>0.74</v>
      </c>
      <c r="AV26" s="10">
        <f t="shared" si="110"/>
        <v>0.74</v>
      </c>
      <c r="AW26" s="10">
        <f t="shared" si="110"/>
        <v>0.74</v>
      </c>
      <c r="AX26" s="10">
        <f t="shared" si="110"/>
        <v>0.74</v>
      </c>
      <c r="BB26" t="s">
        <v>70</v>
      </c>
      <c r="BC26" s="12">
        <f>BC25/Main!D13</f>
        <v>4657.5504142775089</v>
      </c>
    </row>
    <row r="27" spans="2:148" x14ac:dyDescent="0.3">
      <c r="B27" t="s">
        <v>61</v>
      </c>
      <c r="K27" s="10">
        <f>K9/K6</f>
        <v>0.14220072551390567</v>
      </c>
      <c r="O27" s="10">
        <f>O9/O6</f>
        <v>0.12298001961897878</v>
      </c>
      <c r="P27" s="10">
        <f t="shared" ref="P27:R27" si="111">P9/P6</f>
        <v>0.12652928315578918</v>
      </c>
      <c r="Q27" s="10">
        <f t="shared" si="111"/>
        <v>0.12051107903896766</v>
      </c>
      <c r="R27" s="10">
        <f t="shared" si="111"/>
        <v>0.12711732711732712</v>
      </c>
      <c r="S27" s="10">
        <f t="shared" ref="S27:Z27" si="112">S9/S6</f>
        <v>0.11671627761240796</v>
      </c>
      <c r="T27" s="10">
        <f t="shared" si="112"/>
        <v>0.1101086956521739</v>
      </c>
      <c r="U27" s="10">
        <f t="shared" si="112"/>
        <v>9.424952587374695E-2</v>
      </c>
      <c r="V27" s="10">
        <f t="shared" si="112"/>
        <v>9.9612653324725631E-2</v>
      </c>
      <c r="W27" s="10">
        <f t="shared" si="112"/>
        <v>8.7189577961731587E-2</v>
      </c>
      <c r="X27" s="10">
        <f t="shared" si="112"/>
        <v>8.2753036437246963E-2</v>
      </c>
      <c r="Y27" s="10">
        <f t="shared" si="112"/>
        <v>9.7933652828779486E-2</v>
      </c>
      <c r="Z27" s="10">
        <f t="shared" si="112"/>
        <v>8.6888016730168743E-2</v>
      </c>
      <c r="AA27" s="10">
        <f t="shared" ref="AA27:AD27" si="113">AA9/AA6</f>
        <v>7.9840262016261099E-2</v>
      </c>
      <c r="AB27" s="10">
        <f t="shared" si="113"/>
        <v>6.8498569776641718E-2</v>
      </c>
      <c r="AC27" s="10">
        <f t="shared" si="113"/>
        <v>6.8854777407854811E-2</v>
      </c>
      <c r="AD27" s="10">
        <f t="shared" si="113"/>
        <v>7.0000000000000007E-2</v>
      </c>
      <c r="AH27" s="10">
        <f t="shared" ref="AH27:AL27" si="114">AH9/AH6</f>
        <v>0.1195966020839436</v>
      </c>
      <c r="AI27" s="10">
        <f t="shared" si="114"/>
        <v>0.12346261520556133</v>
      </c>
      <c r="AJ27" s="10">
        <f t="shared" si="114"/>
        <v>0.17771222549983612</v>
      </c>
      <c r="AK27" s="10">
        <f t="shared" si="114"/>
        <v>0.12436227319107404</v>
      </c>
      <c r="AL27" s="10">
        <f t="shared" si="114"/>
        <v>0.10461105244632174</v>
      </c>
      <c r="AM27" s="10">
        <f t="shared" ref="AM27:AX27" si="115">AM9/AM6</f>
        <v>8.8741836222054754E-2</v>
      </c>
      <c r="AN27" s="10">
        <f t="shared" si="115"/>
        <v>7.1848372676123831E-2</v>
      </c>
      <c r="AO27" s="10">
        <f t="shared" si="115"/>
        <v>7.0000000000000007E-2</v>
      </c>
      <c r="AP27" s="10">
        <f t="shared" si="115"/>
        <v>7.0000000000000007E-2</v>
      </c>
      <c r="AQ27" s="10">
        <f t="shared" si="115"/>
        <v>7.0000000000000007E-2</v>
      </c>
      <c r="AR27" s="10">
        <f t="shared" si="115"/>
        <v>7.0000000000000007E-2</v>
      </c>
      <c r="AS27" s="10">
        <f t="shared" si="115"/>
        <v>7.0000000000000007E-2</v>
      </c>
      <c r="AT27" s="10">
        <f t="shared" si="115"/>
        <v>7.0000000000000007E-2</v>
      </c>
      <c r="AU27" s="10">
        <f t="shared" si="115"/>
        <v>7.0000000000000007E-2</v>
      </c>
      <c r="AV27" s="10">
        <f t="shared" si="115"/>
        <v>7.0000000000000007E-2</v>
      </c>
      <c r="AW27" s="10">
        <f t="shared" si="115"/>
        <v>7.0000000000000007E-2</v>
      </c>
      <c r="AX27" s="10">
        <f t="shared" si="115"/>
        <v>7.0000000000000007E-2</v>
      </c>
      <c r="BB27" t="s">
        <v>65</v>
      </c>
      <c r="BC27" s="1">
        <f>Main!D10</f>
        <v>-1893.1716417910447</v>
      </c>
    </row>
    <row r="28" spans="2:148" x14ac:dyDescent="0.3">
      <c r="B28" t="s">
        <v>60</v>
      </c>
      <c r="K28" s="10">
        <f>K10/K6</f>
        <v>0.19685610640870618</v>
      </c>
      <c r="O28" s="10">
        <f>O10/O6</f>
        <v>0.19810005679178069</v>
      </c>
      <c r="P28" s="10">
        <f t="shared" ref="P28:R28" si="116">P10/P6</f>
        <v>0.15625436107363819</v>
      </c>
      <c r="Q28" s="10">
        <f t="shared" si="116"/>
        <v>0.16359623057984549</v>
      </c>
      <c r="R28" s="10">
        <f t="shared" si="116"/>
        <v>0.15777000777000777</v>
      </c>
      <c r="S28" s="10">
        <f t="shared" ref="S28:Z28" si="117">S10/S6</f>
        <v>0.15271032429891901</v>
      </c>
      <c r="T28" s="10">
        <f t="shared" si="117"/>
        <v>0.1492391304347826</v>
      </c>
      <c r="U28" s="10">
        <f t="shared" si="117"/>
        <v>0.1498238959631536</v>
      </c>
      <c r="V28" s="10">
        <f t="shared" si="117"/>
        <v>0.14654615881213687</v>
      </c>
      <c r="W28" s="10">
        <f t="shared" si="117"/>
        <v>0.17970552313746779</v>
      </c>
      <c r="X28" s="10">
        <f t="shared" si="117"/>
        <v>0.17000809716599188</v>
      </c>
      <c r="Y28" s="10">
        <f t="shared" si="117"/>
        <v>0.1561585859214539</v>
      </c>
      <c r="Z28" s="10">
        <f t="shared" si="117"/>
        <v>0.15730369266909217</v>
      </c>
      <c r="AA28" s="10">
        <f t="shared" ref="AA28:AD28" si="118">AA10/AA6</f>
        <v>0.17039675927256012</v>
      </c>
      <c r="AB28" s="10">
        <f t="shared" si="118"/>
        <v>0.16158480920211796</v>
      </c>
      <c r="AC28" s="10">
        <f t="shared" si="118"/>
        <v>0.15532836392563568</v>
      </c>
      <c r="AD28" s="10">
        <f t="shared" si="118"/>
        <v>0.15</v>
      </c>
      <c r="AH28" s="10">
        <f t="shared" ref="AH28:AL28" si="119">AH10/AH6</f>
        <v>0.1508976022094824</v>
      </c>
      <c r="AI28" s="10">
        <f t="shared" si="119"/>
        <v>0.15913308798087508</v>
      </c>
      <c r="AJ28" s="10">
        <f t="shared" si="119"/>
        <v>0.22123893805309736</v>
      </c>
      <c r="AK28" s="10">
        <f t="shared" si="119"/>
        <v>0.16759460538574153</v>
      </c>
      <c r="AL28" s="10">
        <f t="shared" si="119"/>
        <v>0.14943681802182329</v>
      </c>
      <c r="AM28" s="10">
        <f t="shared" ref="AM28:AX28" si="120">AM10/AM6</f>
        <v>0.16527725445867872</v>
      </c>
      <c r="AN28" s="10">
        <f t="shared" si="120"/>
        <v>0.15924186338061913</v>
      </c>
      <c r="AO28" s="10">
        <f t="shared" si="120"/>
        <v>0.15</v>
      </c>
      <c r="AP28" s="10">
        <f t="shared" si="120"/>
        <v>0.15</v>
      </c>
      <c r="AQ28" s="10">
        <f t="shared" si="120"/>
        <v>0.15</v>
      </c>
      <c r="AR28" s="10">
        <f t="shared" si="120"/>
        <v>0.15</v>
      </c>
      <c r="AS28" s="10">
        <f t="shared" si="120"/>
        <v>0.15</v>
      </c>
      <c r="AT28" s="10">
        <f t="shared" si="120"/>
        <v>0.15</v>
      </c>
      <c r="AU28" s="10">
        <f t="shared" si="120"/>
        <v>0.15</v>
      </c>
      <c r="AV28" s="10">
        <f t="shared" si="120"/>
        <v>0.15</v>
      </c>
      <c r="AW28" s="10">
        <f t="shared" si="120"/>
        <v>0.15</v>
      </c>
      <c r="AX28" s="10">
        <f t="shared" si="120"/>
        <v>0.15</v>
      </c>
      <c r="BB28" t="s">
        <v>66</v>
      </c>
      <c r="BC28" s="12">
        <f>BC26+BC27</f>
        <v>2764.3787724864642</v>
      </c>
    </row>
    <row r="29" spans="2:148" x14ac:dyDescent="0.3">
      <c r="B29" t="s">
        <v>77</v>
      </c>
      <c r="K29" s="10"/>
      <c r="O29" s="10">
        <f>O11/K11-1</f>
        <v>6.6562162162162171</v>
      </c>
      <c r="P29" s="10"/>
      <c r="Q29" s="10"/>
      <c r="R29" s="10"/>
      <c r="S29" s="10">
        <f t="shared" ref="S29:Z29" si="121">S11/O11-1</f>
        <v>0.30415136966958478</v>
      </c>
      <c r="T29" s="10">
        <f t="shared" si="121"/>
        <v>0.124751230753116</v>
      </c>
      <c r="U29" s="10">
        <f t="shared" si="121"/>
        <v>0.12612995852387554</v>
      </c>
      <c r="V29" s="10">
        <f t="shared" si="121"/>
        <v>3.466812945693909E-2</v>
      </c>
      <c r="W29" s="10">
        <f t="shared" si="121"/>
        <v>-2.9233434387180623E-2</v>
      </c>
      <c r="X29" s="10">
        <f t="shared" si="121"/>
        <v>-0.20739430061463959</v>
      </c>
      <c r="Y29" s="10">
        <f t="shared" si="121"/>
        <v>-0.14014543394088208</v>
      </c>
      <c r="Z29" s="10">
        <f t="shared" si="121"/>
        <v>9.7974764075919873E-2</v>
      </c>
      <c r="AA29" s="10">
        <f t="shared" ref="AA29" si="122">AA11/W11-1</f>
        <v>0.22317644434530459</v>
      </c>
      <c r="AB29" s="10">
        <f t="shared" ref="AB29" si="123">AB11/X11-1</f>
        <v>0.28281048055457636</v>
      </c>
      <c r="AC29" s="10">
        <f t="shared" ref="AC29" si="124">AC11/Y11-1</f>
        <v>7.0181219110378779E-2</v>
      </c>
      <c r="AD29" s="10">
        <f t="shared" ref="AD29" si="125">AD11/Z11-1</f>
        <v>1.0000000000000009E-2</v>
      </c>
      <c r="AH29" s="10"/>
      <c r="AI29" s="10">
        <f>AI11/AH11-1</f>
        <v>-3.8755304101838695E-2</v>
      </c>
      <c r="AJ29" s="10">
        <f t="shared" ref="AJ29:AX29" si="126">AJ11/AI11-1</f>
        <v>2.7348440258975866</v>
      </c>
      <c r="AK29" s="10">
        <f t="shared" si="126"/>
        <v>1.7694429123000552</v>
      </c>
      <c r="AL29" s="10">
        <f t="shared" si="126"/>
        <v>0.13790650695649709</v>
      </c>
      <c r="AM29" s="10">
        <f t="shared" si="126"/>
        <v>-7.6436465469820525E-2</v>
      </c>
      <c r="AN29" s="10">
        <f t="shared" si="126"/>
        <v>0.13944148144137292</v>
      </c>
      <c r="AO29" s="10">
        <f t="shared" si="126"/>
        <v>-2.0000000000000129E-2</v>
      </c>
      <c r="AP29" s="10">
        <f t="shared" si="126"/>
        <v>3.0000000000000027E-2</v>
      </c>
      <c r="AQ29" s="10">
        <f t="shared" si="126"/>
        <v>3.0000000000000027E-2</v>
      </c>
      <c r="AR29" s="10">
        <f t="shared" si="126"/>
        <v>2.0000000000000018E-2</v>
      </c>
      <c r="AS29" s="10">
        <f t="shared" si="126"/>
        <v>2.0000000000000018E-2</v>
      </c>
      <c r="AT29" s="10">
        <f t="shared" si="126"/>
        <v>1.0000000000000009E-2</v>
      </c>
      <c r="AU29" s="10">
        <f t="shared" si="126"/>
        <v>1.0000000000000009E-2</v>
      </c>
      <c r="AV29" s="10">
        <f t="shared" si="126"/>
        <v>1.0000000000000009E-2</v>
      </c>
      <c r="AW29" s="10">
        <f t="shared" si="126"/>
        <v>1.0000000000000009E-2</v>
      </c>
      <c r="AX29" s="10">
        <f t="shared" si="126"/>
        <v>1.0000000000000009E-2</v>
      </c>
      <c r="BB29" t="s">
        <v>67</v>
      </c>
      <c r="BC29" s="2">
        <f>BC28/AX19</f>
        <v>10.196896984457632</v>
      </c>
    </row>
    <row r="30" spans="2:148" x14ac:dyDescent="0.3">
      <c r="B30" t="s">
        <v>56</v>
      </c>
      <c r="K30" s="10">
        <f>K13/K6</f>
        <v>0.2581620314389359</v>
      </c>
      <c r="L30" s="10"/>
      <c r="M30" s="10"/>
      <c r="N30" s="10"/>
      <c r="O30" s="10">
        <f t="shared" ref="O30:Z30" si="127">O13/O6</f>
        <v>-0.14920749651504983</v>
      </c>
      <c r="P30" s="10">
        <f t="shared" si="127"/>
        <v>-0.22426385076987496</v>
      </c>
      <c r="Q30" s="10">
        <f t="shared" si="127"/>
        <v>0.1051871975549707</v>
      </c>
      <c r="R30" s="10">
        <f t="shared" si="127"/>
        <v>5.4312354312354295E-2</v>
      </c>
      <c r="S30" s="10">
        <f t="shared" si="127"/>
        <v>0.12055459815133948</v>
      </c>
      <c r="T30" s="10">
        <f t="shared" si="127"/>
        <v>0.15333333333333327</v>
      </c>
      <c r="U30" s="10">
        <f t="shared" si="127"/>
        <v>0.17071931725819564</v>
      </c>
      <c r="V30" s="10">
        <f t="shared" si="127"/>
        <v>0.23886378308586184</v>
      </c>
      <c r="W30" s="10">
        <f t="shared" si="127"/>
        <v>0.16406568055367068</v>
      </c>
      <c r="X30" s="10">
        <f t="shared" si="127"/>
        <v>0.2112064777327935</v>
      </c>
      <c r="Y30" s="10">
        <f t="shared" si="127"/>
        <v>0.20840853924192446</v>
      </c>
      <c r="Z30" s="10">
        <f t="shared" si="127"/>
        <v>0.21044489643910949</v>
      </c>
      <c r="AA30" s="10">
        <f t="shared" ref="AA30:AD30" si="128">AA13/AA6</f>
        <v>0.18309535438273902</v>
      </c>
      <c r="AB30" s="10">
        <f t="shared" si="128"/>
        <v>0.21051670622603608</v>
      </c>
      <c r="AC30" s="10">
        <f t="shared" si="128"/>
        <v>0.23629238973512867</v>
      </c>
      <c r="AD30" s="10">
        <f t="shared" si="128"/>
        <v>0.25924630419165945</v>
      </c>
      <c r="AH30" s="10">
        <f t="shared" ref="AH30:AL30" si="129">AH13/AH6</f>
        <v>0.45679373979997479</v>
      </c>
      <c r="AI30" s="10">
        <f t="shared" si="129"/>
        <v>0.35689346041332443</v>
      </c>
      <c r="AJ30" s="10">
        <f t="shared" si="129"/>
        <v>-0.31355839615426634</v>
      </c>
      <c r="AK30" s="10">
        <f t="shared" si="129"/>
        <v>-4.2533605430105044E-2</v>
      </c>
      <c r="AL30" s="10">
        <f t="shared" si="129"/>
        <v>0.17380323829637462</v>
      </c>
      <c r="AM30" s="10">
        <f t="shared" ref="AM30:AX30" si="130">AM13/AM6</f>
        <v>0.19938457673951274</v>
      </c>
      <c r="AN30" s="10">
        <f t="shared" si="130"/>
        <v>0.22267849334440476</v>
      </c>
      <c r="AO30" s="10">
        <f t="shared" si="130"/>
        <v>0.25318047510486924</v>
      </c>
      <c r="AP30" s="10">
        <f t="shared" si="130"/>
        <v>0.26380460030653197</v>
      </c>
      <c r="AQ30" s="10">
        <f t="shared" si="130"/>
        <v>0.26967686927137557</v>
      </c>
      <c r="AR30" s="10">
        <f t="shared" si="130"/>
        <v>0.27382751728366928</v>
      </c>
      <c r="AS30" s="10">
        <f t="shared" si="130"/>
        <v>0.27593634599212913</v>
      </c>
      <c r="AT30" s="10">
        <f t="shared" si="130"/>
        <v>0.27865895235452048</v>
      </c>
      <c r="AU30" s="10">
        <f t="shared" si="130"/>
        <v>0.27952855249249953</v>
      </c>
      <c r="AV30" s="10">
        <f t="shared" si="130"/>
        <v>0.28042406085002408</v>
      </c>
      <c r="AW30" s="10">
        <f t="shared" si="130"/>
        <v>0.28134608755041973</v>
      </c>
      <c r="AX30" s="10">
        <f t="shared" si="130"/>
        <v>0.28229524370484366</v>
      </c>
      <c r="BB30" t="s">
        <v>68</v>
      </c>
      <c r="BC30" s="2">
        <f>Main!D3</f>
        <v>15.93</v>
      </c>
    </row>
    <row r="31" spans="2:148" x14ac:dyDescent="0.3">
      <c r="B31" t="s">
        <v>50</v>
      </c>
      <c r="K31" s="10">
        <f>K16/K15</f>
        <v>0.24630776560266796</v>
      </c>
      <c r="L31" s="10"/>
      <c r="M31" s="10"/>
      <c r="N31" s="10"/>
      <c r="O31" s="10">
        <f t="shared" ref="O31:Z31" si="131">O16/O15</f>
        <v>-8.0082844321712116E-2</v>
      </c>
      <c r="P31" s="10">
        <f t="shared" si="131"/>
        <v>-1.2205213074058748E-2</v>
      </c>
      <c r="Q31" s="10">
        <f t="shared" si="131"/>
        <v>0.20032441200324413</v>
      </c>
      <c r="R31" s="10">
        <f t="shared" si="131"/>
        <v>0.43440860215053784</v>
      </c>
      <c r="S31" s="10">
        <f t="shared" si="131"/>
        <v>0.26466753585397657</v>
      </c>
      <c r="T31" s="10">
        <f t="shared" si="131"/>
        <v>0.27249053030303039</v>
      </c>
      <c r="U31" s="10">
        <f t="shared" si="131"/>
        <v>0.18311817279046669</v>
      </c>
      <c r="V31" s="10">
        <f t="shared" si="131"/>
        <v>0.11106596234592984</v>
      </c>
      <c r="W31" s="10">
        <f t="shared" si="131"/>
        <v>0.22835296548873749</v>
      </c>
      <c r="X31" s="10">
        <f t="shared" si="131"/>
        <v>0.23538437931563605</v>
      </c>
      <c r="Y31" s="10">
        <f t="shared" si="131"/>
        <v>0.18967318310699896</v>
      </c>
      <c r="Z31" s="10">
        <f t="shared" si="131"/>
        <v>-3.4923670881592456E-2</v>
      </c>
      <c r="AA31" s="10">
        <f t="shared" ref="AA31:AD31" si="132">AA16/AA15</f>
        <v>0.18943076681825319</v>
      </c>
      <c r="AB31" s="10">
        <f t="shared" si="132"/>
        <v>0.15058585274121228</v>
      </c>
      <c r="AC31" s="10">
        <f t="shared" si="132"/>
        <v>0.16570929070929066</v>
      </c>
      <c r="AD31" s="10">
        <f t="shared" si="132"/>
        <v>0.19</v>
      </c>
      <c r="AH31" s="10">
        <f t="shared" ref="AH31:AL31" si="133">AH16/AH15</f>
        <v>0.26255958929226259</v>
      </c>
      <c r="AI31" s="10">
        <f t="shared" si="133"/>
        <v>0.25733794448878256</v>
      </c>
      <c r="AJ31" s="10">
        <f t="shared" si="133"/>
        <v>4.7184170471841716E-2</v>
      </c>
      <c r="AK31" s="10">
        <f t="shared" si="133"/>
        <v>-0.35943152454780447</v>
      </c>
      <c r="AL31" s="10">
        <f t="shared" si="133"/>
        <v>0.18797564687975635</v>
      </c>
      <c r="AM31" s="10">
        <f t="shared" ref="AM31:AX31" si="134">AM16/AM15</f>
        <v>-0.48113207547169862</v>
      </c>
      <c r="AN31" s="10">
        <f t="shared" si="134"/>
        <v>0.17462187664341397</v>
      </c>
      <c r="AO31" s="10">
        <f t="shared" si="134"/>
        <v>0.18</v>
      </c>
      <c r="AP31" s="10">
        <f t="shared" si="134"/>
        <v>0.18</v>
      </c>
      <c r="AQ31" s="10">
        <f t="shared" si="134"/>
        <v>0.18</v>
      </c>
      <c r="AR31" s="10">
        <f t="shared" si="134"/>
        <v>0.18</v>
      </c>
      <c r="AS31" s="10">
        <f t="shared" si="134"/>
        <v>0.18</v>
      </c>
      <c r="AT31" s="10">
        <f t="shared" si="134"/>
        <v>0.18</v>
      </c>
      <c r="AU31" s="10">
        <f t="shared" si="134"/>
        <v>0.18</v>
      </c>
      <c r="AV31" s="10">
        <f t="shared" si="134"/>
        <v>0.18</v>
      </c>
      <c r="AW31" s="10">
        <f t="shared" si="134"/>
        <v>0.18</v>
      </c>
      <c r="AX31" s="10">
        <f t="shared" si="134"/>
        <v>0.18</v>
      </c>
      <c r="BB31" s="7" t="s">
        <v>69</v>
      </c>
      <c r="BC31" s="11">
        <f>BC29/BC30-1</f>
        <v>-0.35989347241320568</v>
      </c>
    </row>
    <row r="32" spans="2:148" x14ac:dyDescent="0.3">
      <c r="B32" t="s">
        <v>72</v>
      </c>
      <c r="K32" s="10">
        <f>K18/K6</f>
        <v>0.19129383313180168</v>
      </c>
      <c r="L32" s="10"/>
      <c r="M32" s="10"/>
      <c r="N32" s="10"/>
      <c r="O32" s="10">
        <f t="shared" ref="O32:Z32" si="135">O18/O6</f>
        <v>-0.16165005937322524</v>
      </c>
      <c r="P32" s="10">
        <f t="shared" si="135"/>
        <v>-0.22672931106666055</v>
      </c>
      <c r="Q32" s="10">
        <f t="shared" si="135"/>
        <v>8.5958060955938539E-2</v>
      </c>
      <c r="R32" s="10">
        <f t="shared" si="135"/>
        <v>3.0652680652680633E-2</v>
      </c>
      <c r="S32" s="10">
        <f t="shared" si="135"/>
        <v>8.8398872003759982E-2</v>
      </c>
      <c r="T32" s="10">
        <f t="shared" si="135"/>
        <v>0.11068840579710139</v>
      </c>
      <c r="U32" s="10">
        <f t="shared" si="135"/>
        <v>0.13841099972907073</v>
      </c>
      <c r="V32" s="10">
        <f t="shared" si="135"/>
        <v>0.21184635248547448</v>
      </c>
      <c r="W32" s="10">
        <f t="shared" si="135"/>
        <v>0.12647577690324321</v>
      </c>
      <c r="X32" s="10">
        <f t="shared" si="135"/>
        <v>0.16068016194331983</v>
      </c>
      <c r="Y32" s="10">
        <f t="shared" si="135"/>
        <v>0.16798406672060745</v>
      </c>
      <c r="Z32" s="10">
        <f t="shared" si="135"/>
        <v>-0.8370527401380814</v>
      </c>
      <c r="AA32" s="10">
        <f t="shared" ref="AA32:AD32" si="136">AA18/AA6</f>
        <v>0.14784382451805667</v>
      </c>
      <c r="AB32" s="10">
        <f t="shared" si="136"/>
        <v>0.18252084474468985</v>
      </c>
      <c r="AC32" s="10">
        <f t="shared" si="136"/>
        <v>0.21071859992339653</v>
      </c>
      <c r="AD32" s="10">
        <f t="shared" si="136"/>
        <v>0.20953913709241581</v>
      </c>
      <c r="AH32" s="10">
        <f t="shared" ref="AH32:AX32" si="137">AH18/AH6</f>
        <v>0.33619282755157542</v>
      </c>
      <c r="AI32" s="10">
        <f t="shared" si="137"/>
        <v>0.26866094177597422</v>
      </c>
      <c r="AJ32" s="10">
        <f t="shared" si="137"/>
        <v>-0.29688626679777125</v>
      </c>
      <c r="AK32" s="10">
        <f t="shared" si="137"/>
        <v>-5.7572867219732836E-2</v>
      </c>
      <c r="AL32" s="10">
        <f t="shared" si="137"/>
        <v>0.14046110524463229</v>
      </c>
      <c r="AM32" s="10">
        <f t="shared" si="137"/>
        <v>-0.11878296910324029</v>
      </c>
      <c r="AN32" s="10">
        <f t="shared" si="137"/>
        <v>0.18776808555981206</v>
      </c>
      <c r="AO32" s="10">
        <f t="shared" si="137"/>
        <v>0.20710162863578305</v>
      </c>
      <c r="AP32" s="10">
        <f t="shared" si="137"/>
        <v>0.21579216305074317</v>
      </c>
      <c r="AQ32" s="10">
        <f t="shared" si="137"/>
        <v>0.22059567906398522</v>
      </c>
      <c r="AR32" s="10">
        <f t="shared" si="137"/>
        <v>0.22399090913804146</v>
      </c>
      <c r="AS32" s="10">
        <f t="shared" si="137"/>
        <v>0.22571593102156165</v>
      </c>
      <c r="AT32" s="10">
        <f t="shared" si="137"/>
        <v>0.22794302302599775</v>
      </c>
      <c r="AU32" s="10">
        <f t="shared" si="137"/>
        <v>0.22865435593886463</v>
      </c>
      <c r="AV32" s="10">
        <f t="shared" si="137"/>
        <v>0.22938688177531971</v>
      </c>
      <c r="AW32" s="10">
        <f t="shared" si="137"/>
        <v>0.23014109961624335</v>
      </c>
      <c r="AX32" s="10">
        <f t="shared" si="137"/>
        <v>0.23091750935056213</v>
      </c>
      <c r="BB32" t="s">
        <v>71</v>
      </c>
      <c r="BC32" s="4" t="s">
        <v>129</v>
      </c>
    </row>
    <row r="34" spans="2:39" s="7" customFormat="1" x14ac:dyDescent="0.3">
      <c r="B34" s="7" t="s">
        <v>65</v>
      </c>
      <c r="R34" s="9">
        <f>R35+R36+R45+R53-R61-R62-R69-R70</f>
        <v>-260.10000000000036</v>
      </c>
      <c r="V34" s="9">
        <f>V35+V36+V45+V53-V61-V62-V69-V70</f>
        <v>267.29999999999927</v>
      </c>
      <c r="W34" s="9">
        <f>W35+W36+W45+W53-W61-W62-W69-W70</f>
        <v>-2701.2999999999997</v>
      </c>
      <c r="X34" s="9">
        <f>X35+X36+X45+X53-X61-X62-X69-X70</f>
        <v>-4305.2000000000007</v>
      </c>
      <c r="Y34" s="9">
        <f>Y35+Y36+Y45+Y53-Y61-Y62-Y69-Y70</f>
        <v>-5536.8999999999987</v>
      </c>
      <c r="Z34" s="9">
        <f>Z35+Z36+Z45+Z53-Z61-Z62-Z69-Z70</f>
        <v>-7041.5</v>
      </c>
      <c r="AK34" s="9">
        <f>AK35+AK36+AK45+AK53-AK61-AK62-AK69-AK70</f>
        <v>-260.10000000000036</v>
      </c>
      <c r="AL34" s="9">
        <f>AL35+AL36+AL45+AL53-AL61-AL62-AL69-AL70</f>
        <v>267.29999999999927</v>
      </c>
      <c r="AM34" s="9">
        <f>AM35+AM36+AM45+AM53-AM61-AM62-AM69-AM70</f>
        <v>-7041.5</v>
      </c>
    </row>
    <row r="35" spans="2:39" x14ac:dyDescent="0.3">
      <c r="B35" t="s">
        <v>73</v>
      </c>
      <c r="R35" s="1">
        <v>1512.6</v>
      </c>
      <c r="V35" s="1">
        <v>2176.4</v>
      </c>
      <c r="W35" s="1">
        <v>4988.3</v>
      </c>
      <c r="X35" s="1">
        <v>4743.2</v>
      </c>
      <c r="Y35" s="1">
        <v>4013.3</v>
      </c>
      <c r="Z35" s="1">
        <v>5227.7</v>
      </c>
      <c r="AK35" s="1">
        <v>1512.6</v>
      </c>
      <c r="AL35" s="1">
        <v>2176.4</v>
      </c>
      <c r="AM35" s="1">
        <v>5227.7</v>
      </c>
    </row>
    <row r="36" spans="2:39" x14ac:dyDescent="0.3">
      <c r="B36" t="s">
        <v>74</v>
      </c>
      <c r="R36" s="1">
        <v>3453.8</v>
      </c>
      <c r="V36" s="1">
        <v>3481.5</v>
      </c>
      <c r="W36" s="1">
        <v>463.7</v>
      </c>
      <c r="X36" s="1">
        <v>106.6</v>
      </c>
      <c r="Y36" s="1">
        <v>373.7</v>
      </c>
      <c r="Z36" s="1">
        <v>517.9</v>
      </c>
      <c r="AK36" s="1">
        <v>3453.8</v>
      </c>
      <c r="AL36" s="1">
        <v>3481.5</v>
      </c>
      <c r="AM36" s="1">
        <v>517.9</v>
      </c>
    </row>
    <row r="37" spans="2:39" x14ac:dyDescent="0.3">
      <c r="B37" t="s">
        <v>75</v>
      </c>
      <c r="R37" s="1">
        <v>3960.9</v>
      </c>
      <c r="V37" s="1">
        <v>6397.9</v>
      </c>
      <c r="W37" s="1">
        <v>6620.3</v>
      </c>
      <c r="X37" s="1">
        <v>6967.8</v>
      </c>
      <c r="Y37" s="1">
        <v>7558.5</v>
      </c>
      <c r="Z37" s="1">
        <v>8805.9</v>
      </c>
      <c r="AK37" s="1">
        <v>3960.9</v>
      </c>
      <c r="AL37" s="1">
        <v>6397.9</v>
      </c>
      <c r="AM37" s="1">
        <v>8805.9</v>
      </c>
    </row>
    <row r="38" spans="2:39" x14ac:dyDescent="0.3">
      <c r="B38" t="s">
        <v>76</v>
      </c>
      <c r="R38" s="1">
        <v>20694.5</v>
      </c>
      <c r="V38" s="1">
        <v>23895.5</v>
      </c>
      <c r="W38" s="1">
        <v>26470.5</v>
      </c>
      <c r="X38" s="1">
        <v>27472</v>
      </c>
      <c r="Y38" s="1">
        <v>26207.9</v>
      </c>
      <c r="Z38" s="1">
        <v>29231.8</v>
      </c>
      <c r="AK38" s="1">
        <v>20694.5</v>
      </c>
      <c r="AL38" s="1">
        <v>23895.5</v>
      </c>
      <c r="AM38" s="1">
        <v>29231.8</v>
      </c>
    </row>
    <row r="39" spans="2:39" x14ac:dyDescent="0.3">
      <c r="B39" t="s">
        <v>79</v>
      </c>
      <c r="R39" s="1">
        <v>484.7</v>
      </c>
      <c r="V39" s="1">
        <v>459.9</v>
      </c>
      <c r="W39" s="1">
        <v>448.9</v>
      </c>
      <c r="X39" s="1">
        <v>438.3</v>
      </c>
      <c r="Y39" s="1">
        <v>381.4</v>
      </c>
      <c r="Z39" s="1">
        <v>390.6</v>
      </c>
      <c r="AK39" s="1">
        <v>484.7</v>
      </c>
      <c r="AL39" s="1">
        <v>459.9</v>
      </c>
      <c r="AM39" s="1">
        <v>390.6</v>
      </c>
    </row>
    <row r="40" spans="2:39" x14ac:dyDescent="0.3">
      <c r="B40" t="s">
        <v>80</v>
      </c>
      <c r="R40" s="1">
        <v>0</v>
      </c>
      <c r="V40" s="1">
        <v>210</v>
      </c>
      <c r="W40" s="1">
        <v>342.4</v>
      </c>
      <c r="X40" s="1">
        <v>474.2</v>
      </c>
      <c r="Y40" s="1">
        <v>653.70000000000005</v>
      </c>
      <c r="Z40" s="1">
        <v>891.7</v>
      </c>
      <c r="AK40" s="1">
        <v>0</v>
      </c>
      <c r="AL40" s="1">
        <v>210</v>
      </c>
      <c r="AM40" s="1">
        <v>891.7</v>
      </c>
    </row>
    <row r="41" spans="2:39" x14ac:dyDescent="0.3">
      <c r="B41" t="s">
        <v>50</v>
      </c>
      <c r="R41" s="1">
        <v>151</v>
      </c>
      <c r="V41" s="1">
        <v>146.30000000000001</v>
      </c>
      <c r="W41" s="1">
        <v>216.1</v>
      </c>
      <c r="X41" s="1">
        <v>182.7</v>
      </c>
      <c r="Y41" s="1">
        <v>376</v>
      </c>
      <c r="Z41" s="1">
        <v>372.4</v>
      </c>
      <c r="AK41" s="1">
        <v>151</v>
      </c>
      <c r="AL41" s="1">
        <v>146.30000000000001</v>
      </c>
      <c r="AM41" s="1">
        <v>372.4</v>
      </c>
    </row>
    <row r="42" spans="2:39" x14ac:dyDescent="0.3">
      <c r="B42" t="s">
        <v>83</v>
      </c>
      <c r="R42" s="1">
        <v>36.4</v>
      </c>
      <c r="V42" s="1">
        <v>4.2</v>
      </c>
      <c r="W42" s="1">
        <v>3.3</v>
      </c>
      <c r="X42" s="1">
        <v>71.3</v>
      </c>
      <c r="Y42" s="1">
        <v>51.8</v>
      </c>
      <c r="Z42" s="1">
        <v>156.80000000000001</v>
      </c>
      <c r="AK42" s="1">
        <v>36.4</v>
      </c>
      <c r="AL42" s="1">
        <v>4.2</v>
      </c>
      <c r="AM42" s="1">
        <v>156.80000000000001</v>
      </c>
    </row>
    <row r="43" spans="2:39" x14ac:dyDescent="0.3">
      <c r="B43" t="s">
        <v>84</v>
      </c>
      <c r="R43" s="1">
        <v>363.4</v>
      </c>
      <c r="V43" s="1">
        <v>380.9</v>
      </c>
      <c r="W43" s="1">
        <v>384.2</v>
      </c>
      <c r="X43" s="1">
        <v>390.5</v>
      </c>
      <c r="Y43" s="1">
        <v>373.9</v>
      </c>
      <c r="Z43" s="1">
        <v>370.3</v>
      </c>
      <c r="AK43" s="1">
        <v>363.4</v>
      </c>
      <c r="AL43" s="1">
        <v>380.9</v>
      </c>
      <c r="AM43" s="1">
        <v>370.3</v>
      </c>
    </row>
    <row r="44" spans="2:39" s="7" customFormat="1" x14ac:dyDescent="0.3">
      <c r="B44" s="7" t="s">
        <v>101</v>
      </c>
      <c r="R44" s="9">
        <f>SUM(R35:R43)</f>
        <v>30657.300000000003</v>
      </c>
      <c r="V44" s="9">
        <f>SUM(V35:V43)</f>
        <v>37152.600000000006</v>
      </c>
      <c r="W44" s="9">
        <f>SUM(W35:W43)</f>
        <v>39937.700000000004</v>
      </c>
      <c r="X44" s="9">
        <f>SUM(X35:X43)</f>
        <v>40846.6</v>
      </c>
      <c r="Y44" s="9">
        <f>SUM(Y35:Y43)</f>
        <v>39990.200000000004</v>
      </c>
      <c r="Z44" s="9">
        <f>SUM(Z35:Z43)</f>
        <v>45965.100000000006</v>
      </c>
      <c r="AK44" s="9">
        <f>SUM(AK35:AK43)</f>
        <v>30657.300000000003</v>
      </c>
      <c r="AL44" s="9">
        <f>SUM(AL35:AL43)</f>
        <v>37152.600000000006</v>
      </c>
      <c r="AM44" s="9">
        <f>SUM(AM35:AM43)</f>
        <v>45965.100000000006</v>
      </c>
    </row>
    <row r="45" spans="2:39" x14ac:dyDescent="0.3">
      <c r="B45" t="s">
        <v>74</v>
      </c>
      <c r="R45" s="1">
        <v>214.8</v>
      </c>
      <c r="V45" s="1">
        <v>45.7</v>
      </c>
      <c r="W45" s="1">
        <v>46.3</v>
      </c>
      <c r="X45" s="1">
        <v>32.4</v>
      </c>
      <c r="Y45" s="1">
        <v>32.6</v>
      </c>
      <c r="Z45" s="1">
        <v>33</v>
      </c>
      <c r="AK45" s="1">
        <v>214.8</v>
      </c>
      <c r="AL45" s="1">
        <v>45.7</v>
      </c>
      <c r="AM45" s="1">
        <v>33</v>
      </c>
    </row>
    <row r="46" spans="2:39" x14ac:dyDescent="0.3">
      <c r="B46" t="s">
        <v>76</v>
      </c>
      <c r="R46" s="1">
        <v>54.3</v>
      </c>
      <c r="V46" s="1">
        <v>81.599999999999994</v>
      </c>
      <c r="W46" s="1">
        <v>81.7</v>
      </c>
      <c r="X46" s="1">
        <v>84.3</v>
      </c>
      <c r="Y46" s="1">
        <v>102.3</v>
      </c>
      <c r="Z46" s="1">
        <v>116.2</v>
      </c>
      <c r="AK46" s="1">
        <v>54.3</v>
      </c>
      <c r="AL46" s="1">
        <v>81.599999999999994</v>
      </c>
      <c r="AM46" s="1">
        <v>116.2</v>
      </c>
    </row>
    <row r="47" spans="2:39" x14ac:dyDescent="0.3">
      <c r="B47" t="s">
        <v>79</v>
      </c>
      <c r="R47" s="1">
        <v>37.299999999999997</v>
      </c>
      <c r="V47" s="1">
        <v>28.5</v>
      </c>
      <c r="W47" s="1">
        <v>25.5</v>
      </c>
      <c r="X47" s="1">
        <v>22</v>
      </c>
      <c r="Y47" s="1">
        <v>26</v>
      </c>
      <c r="Z47" s="1">
        <v>25.5</v>
      </c>
      <c r="AK47" s="1">
        <v>37.299999999999997</v>
      </c>
      <c r="AL47" s="1">
        <v>28.5</v>
      </c>
      <c r="AM47" s="1">
        <v>25.5</v>
      </c>
    </row>
    <row r="48" spans="2:39" x14ac:dyDescent="0.3">
      <c r="B48" t="s">
        <v>80</v>
      </c>
      <c r="R48" s="1">
        <v>0</v>
      </c>
      <c r="V48" s="1">
        <v>40.799999999999997</v>
      </c>
      <c r="W48" s="1">
        <v>90.3</v>
      </c>
      <c r="X48" s="1">
        <v>112.6</v>
      </c>
      <c r="Y48" s="1">
        <v>144.1</v>
      </c>
      <c r="Z48" s="1">
        <v>171.4</v>
      </c>
      <c r="AK48" s="1">
        <v>0</v>
      </c>
      <c r="AL48" s="1">
        <v>40.799999999999997</v>
      </c>
      <c r="AM48" s="1">
        <v>171.4</v>
      </c>
    </row>
    <row r="49" spans="2:39" x14ac:dyDescent="0.3">
      <c r="B49" t="s">
        <v>83</v>
      </c>
      <c r="R49" s="1"/>
      <c r="V49" s="1">
        <v>0</v>
      </c>
      <c r="W49" s="1"/>
      <c r="X49" s="1">
        <v>0</v>
      </c>
      <c r="Y49" s="1">
        <v>0.3</v>
      </c>
      <c r="Z49" s="1">
        <v>0.6</v>
      </c>
      <c r="AK49" s="1"/>
      <c r="AL49" s="1">
        <v>0</v>
      </c>
      <c r="AM49" s="1">
        <v>0.6</v>
      </c>
    </row>
    <row r="50" spans="2:39" x14ac:dyDescent="0.3">
      <c r="B50" t="s">
        <v>85</v>
      </c>
      <c r="R50" s="1">
        <v>10.1</v>
      </c>
      <c r="V50" s="1">
        <v>2.5</v>
      </c>
      <c r="W50" s="1">
        <v>2.2000000000000002</v>
      </c>
      <c r="X50" s="1">
        <v>0.7</v>
      </c>
      <c r="Y50" s="1">
        <v>0.6</v>
      </c>
      <c r="Z50" s="1">
        <v>871.6</v>
      </c>
      <c r="AK50" s="1">
        <v>10.1</v>
      </c>
      <c r="AL50" s="1">
        <v>2.5</v>
      </c>
      <c r="AM50" s="1">
        <v>871.6</v>
      </c>
    </row>
    <row r="51" spans="2:39" x14ac:dyDescent="0.3">
      <c r="B51" t="s">
        <v>81</v>
      </c>
      <c r="R51" s="1">
        <v>680</v>
      </c>
      <c r="V51" s="1">
        <v>664.5</v>
      </c>
      <c r="W51" s="1">
        <v>681.3</v>
      </c>
      <c r="X51" s="1">
        <v>755.6</v>
      </c>
      <c r="Y51" s="1">
        <v>692.8</v>
      </c>
      <c r="Z51" s="1">
        <v>103.4</v>
      </c>
      <c r="AK51" s="1">
        <v>680</v>
      </c>
      <c r="AL51" s="1">
        <v>664.5</v>
      </c>
      <c r="AM51" s="1">
        <v>103.4</v>
      </c>
    </row>
    <row r="52" spans="2:39" x14ac:dyDescent="0.3">
      <c r="B52" t="s">
        <v>86</v>
      </c>
      <c r="R52" s="1">
        <v>206.5</v>
      </c>
      <c r="V52" s="1">
        <v>137.5</v>
      </c>
      <c r="W52" s="1">
        <v>171.4</v>
      </c>
      <c r="X52" s="1">
        <v>133.30000000000001</v>
      </c>
      <c r="Y52" s="1">
        <v>145</v>
      </c>
      <c r="Z52" s="1">
        <v>159.19999999999999</v>
      </c>
      <c r="AK52" s="1">
        <v>206.5</v>
      </c>
      <c r="AL52" s="1">
        <v>137.5</v>
      </c>
      <c r="AM52" s="1">
        <v>159.19999999999999</v>
      </c>
    </row>
    <row r="53" spans="2:39" x14ac:dyDescent="0.3">
      <c r="B53" t="s">
        <v>87</v>
      </c>
      <c r="R53" s="1">
        <v>109.8</v>
      </c>
      <c r="V53" s="1">
        <v>83</v>
      </c>
      <c r="W53" s="1">
        <v>86.4</v>
      </c>
      <c r="X53" s="1">
        <v>79.2</v>
      </c>
      <c r="Y53" s="1">
        <v>79.099999999999994</v>
      </c>
      <c r="Z53" s="1">
        <v>75.8</v>
      </c>
      <c r="AK53" s="1">
        <v>109.8</v>
      </c>
      <c r="AL53" s="1">
        <v>83</v>
      </c>
      <c r="AM53" s="1">
        <v>75.8</v>
      </c>
    </row>
    <row r="54" spans="2:39" x14ac:dyDescent="0.3">
      <c r="B54" t="s">
        <v>88</v>
      </c>
      <c r="R54" s="1">
        <v>1641.2</v>
      </c>
      <c r="V54" s="1">
        <v>1661.9</v>
      </c>
      <c r="W54" s="1">
        <v>1698.4</v>
      </c>
      <c r="X54" s="1">
        <v>1728.2</v>
      </c>
      <c r="Y54" s="1">
        <v>1760.4</v>
      </c>
      <c r="Z54" s="1">
        <v>1834</v>
      </c>
      <c r="AK54" s="1">
        <v>1641.2</v>
      </c>
      <c r="AL54" s="1">
        <v>1661.9</v>
      </c>
      <c r="AM54" s="1">
        <v>1834</v>
      </c>
    </row>
    <row r="55" spans="2:39" x14ac:dyDescent="0.3">
      <c r="B55" t="s">
        <v>89</v>
      </c>
      <c r="R55" s="1">
        <v>8632.2999999999993</v>
      </c>
      <c r="V55" s="1">
        <v>8794.9</v>
      </c>
      <c r="W55" s="1">
        <v>8791.2000000000007</v>
      </c>
      <c r="X55" s="1">
        <v>8905</v>
      </c>
      <c r="Y55" s="1">
        <v>8952.1</v>
      </c>
      <c r="Z55" s="1">
        <v>5458.1</v>
      </c>
      <c r="AK55" s="1">
        <v>8632.2999999999993</v>
      </c>
      <c r="AL55" s="1">
        <v>8794.9</v>
      </c>
      <c r="AM55" s="1">
        <v>5458.1</v>
      </c>
    </row>
    <row r="56" spans="2:39" s="7" customFormat="1" x14ac:dyDescent="0.3">
      <c r="B56" s="7" t="s">
        <v>102</v>
      </c>
      <c r="R56" s="9">
        <f>SUM(R45:R55)</f>
        <v>11586.3</v>
      </c>
      <c r="V56" s="9">
        <f>SUM(V45:V55)</f>
        <v>11540.9</v>
      </c>
      <c r="W56" s="9">
        <f>SUM(W45:W55)</f>
        <v>11674.7</v>
      </c>
      <c r="X56" s="9">
        <f>SUM(X45:X55)</f>
        <v>11853.3</v>
      </c>
      <c r="Y56" s="9">
        <f>SUM(Y45:Y55)</f>
        <v>11935.3</v>
      </c>
      <c r="Z56" s="9">
        <f>SUM(Z45:Z55)</f>
        <v>8848.8000000000011</v>
      </c>
      <c r="AK56" s="9">
        <f>SUM(AK45:AK55)</f>
        <v>11586.3</v>
      </c>
      <c r="AL56" s="9">
        <f>SUM(AL45:AL55)</f>
        <v>11540.9</v>
      </c>
      <c r="AM56" s="9">
        <f>SUM(AM45:AM55)</f>
        <v>8848.8000000000011</v>
      </c>
    </row>
    <row r="57" spans="2:39" s="7" customFormat="1" x14ac:dyDescent="0.3">
      <c r="B57" s="7" t="s">
        <v>105</v>
      </c>
      <c r="R57" s="13">
        <f>R44+R56</f>
        <v>42243.600000000006</v>
      </c>
      <c r="V57" s="13">
        <f>V44+V56</f>
        <v>48693.500000000007</v>
      </c>
      <c r="W57" s="13">
        <f>W44+W56</f>
        <v>51612.400000000009</v>
      </c>
      <c r="X57" s="13">
        <f>X44+X56</f>
        <v>52699.899999999994</v>
      </c>
      <c r="Y57" s="13">
        <f>Y44+Y56</f>
        <v>51925.5</v>
      </c>
      <c r="Z57" s="13">
        <f>Z44+Z56</f>
        <v>54813.900000000009</v>
      </c>
      <c r="AK57" s="13">
        <f>AK44+AK56</f>
        <v>42243.600000000006</v>
      </c>
      <c r="AL57" s="13">
        <f>AL44+AL56</f>
        <v>48693.500000000007</v>
      </c>
      <c r="AM57" s="13">
        <f>AM44+AM56</f>
        <v>54813.900000000009</v>
      </c>
    </row>
    <row r="58" spans="2:39" x14ac:dyDescent="0.3">
      <c r="B58" t="s">
        <v>90</v>
      </c>
      <c r="R58" s="1">
        <v>4023.7</v>
      </c>
      <c r="V58" s="1">
        <v>6119.5</v>
      </c>
      <c r="W58" s="1">
        <v>5985</v>
      </c>
      <c r="X58" s="1">
        <v>6472</v>
      </c>
      <c r="Y58" s="1">
        <v>6816.8</v>
      </c>
      <c r="Z58" s="1">
        <v>8704.7999999999993</v>
      </c>
      <c r="AK58" s="1">
        <v>4023.7</v>
      </c>
      <c r="AL58" s="1">
        <v>6119.5</v>
      </c>
      <c r="AM58" s="1">
        <v>8704.7999999999993</v>
      </c>
    </row>
    <row r="59" spans="2:39" x14ac:dyDescent="0.3">
      <c r="B59" t="s">
        <v>91</v>
      </c>
      <c r="R59" s="1">
        <v>16578.7</v>
      </c>
      <c r="V59" s="1">
        <v>19163.7</v>
      </c>
      <c r="W59" s="1">
        <v>19009</v>
      </c>
      <c r="X59" s="1">
        <v>18472.900000000001</v>
      </c>
      <c r="Y59" s="1">
        <v>16550.099999999999</v>
      </c>
      <c r="Z59" s="1">
        <v>17756.7</v>
      </c>
      <c r="AK59" s="1">
        <v>16578.7</v>
      </c>
      <c r="AL59" s="1">
        <v>19163.7</v>
      </c>
      <c r="AM59" s="1">
        <v>17756.7</v>
      </c>
    </row>
    <row r="60" spans="2:39" x14ac:dyDescent="0.3">
      <c r="B60" t="s">
        <v>92</v>
      </c>
      <c r="R60" s="1">
        <v>596</v>
      </c>
      <c r="V60" s="1">
        <v>513.9</v>
      </c>
      <c r="W60" s="1">
        <v>510.4</v>
      </c>
      <c r="X60" s="1">
        <v>525.70000000000005</v>
      </c>
      <c r="Y60" s="1">
        <v>564.29999999999995</v>
      </c>
      <c r="Z60" s="1">
        <v>672.2</v>
      </c>
      <c r="AK60" s="1">
        <v>596</v>
      </c>
      <c r="AL60" s="1">
        <v>513.9</v>
      </c>
      <c r="AM60" s="1">
        <v>672.2</v>
      </c>
    </row>
    <row r="61" spans="2:39" x14ac:dyDescent="0.3">
      <c r="B61" t="s">
        <v>93</v>
      </c>
      <c r="R61" s="1">
        <v>1847.4</v>
      </c>
      <c r="V61" s="1">
        <v>475.3</v>
      </c>
      <c r="W61" s="1">
        <v>1663.5</v>
      </c>
      <c r="X61" s="1">
        <v>1443.9</v>
      </c>
      <c r="Y61" s="1">
        <v>1763.5</v>
      </c>
      <c r="Z61" s="1">
        <v>3066</v>
      </c>
      <c r="AK61" s="1">
        <v>1847.4</v>
      </c>
      <c r="AL61" s="1">
        <v>475.3</v>
      </c>
      <c r="AM61" s="1">
        <v>3066</v>
      </c>
    </row>
    <row r="62" spans="2:39" x14ac:dyDescent="0.3">
      <c r="B62" t="s">
        <v>94</v>
      </c>
      <c r="R62" s="1">
        <v>975.2</v>
      </c>
      <c r="V62" s="1">
        <v>1404.7</v>
      </c>
      <c r="W62" s="1">
        <v>567.70000000000005</v>
      </c>
      <c r="X62" s="1">
        <v>1594</v>
      </c>
      <c r="Y62" s="1">
        <v>1053.5</v>
      </c>
      <c r="Z62" s="1">
        <v>1903.8</v>
      </c>
      <c r="AK62" s="1">
        <v>975.2</v>
      </c>
      <c r="AL62" s="1">
        <v>1404.7</v>
      </c>
      <c r="AM62" s="1">
        <v>1903.8</v>
      </c>
    </row>
    <row r="63" spans="2:39" x14ac:dyDescent="0.3">
      <c r="B63" t="s">
        <v>95</v>
      </c>
      <c r="R63" s="1">
        <v>468.6</v>
      </c>
      <c r="V63" s="1">
        <v>515.70000000000005</v>
      </c>
      <c r="W63" s="1">
        <v>397</v>
      </c>
      <c r="X63" s="1">
        <v>504</v>
      </c>
      <c r="Y63" s="1">
        <v>603.20000000000005</v>
      </c>
      <c r="Z63" s="1">
        <v>578.29999999999995</v>
      </c>
      <c r="AK63" s="1">
        <v>468.6</v>
      </c>
      <c r="AL63" s="1">
        <v>515.70000000000005</v>
      </c>
      <c r="AM63" s="1">
        <v>578.29999999999995</v>
      </c>
    </row>
    <row r="64" spans="2:39" x14ac:dyDescent="0.3">
      <c r="B64" t="s">
        <v>50</v>
      </c>
      <c r="R64" s="1">
        <v>329.1</v>
      </c>
      <c r="V64" s="1">
        <v>514.29999999999995</v>
      </c>
      <c r="W64" s="1">
        <v>612</v>
      </c>
      <c r="X64" s="1">
        <v>676.3</v>
      </c>
      <c r="Y64" s="1">
        <v>431.5</v>
      </c>
      <c r="Z64" s="1">
        <v>560.29999999999995</v>
      </c>
      <c r="AK64" s="1">
        <v>329.1</v>
      </c>
      <c r="AL64" s="1">
        <v>514.29999999999995</v>
      </c>
      <c r="AM64" s="1">
        <v>560.29999999999995</v>
      </c>
    </row>
    <row r="65" spans="2:50" x14ac:dyDescent="0.3">
      <c r="B65" t="s">
        <v>83</v>
      </c>
      <c r="R65" s="1">
        <v>209.7</v>
      </c>
      <c r="V65" s="1">
        <v>4.5999999999999996</v>
      </c>
      <c r="W65" s="1">
        <v>350.5</v>
      </c>
      <c r="X65" s="1">
        <v>112.2</v>
      </c>
      <c r="Y65" s="1">
        <v>1.5</v>
      </c>
      <c r="Z65" s="1">
        <v>10.6</v>
      </c>
      <c r="AK65" s="1">
        <v>209.7</v>
      </c>
      <c r="AL65" s="1">
        <v>4.5999999999999996</v>
      </c>
      <c r="AM65" s="1">
        <v>10.6</v>
      </c>
    </row>
    <row r="66" spans="2:50" x14ac:dyDescent="0.3">
      <c r="B66" t="s">
        <v>96</v>
      </c>
      <c r="R66" s="1">
        <v>145.6</v>
      </c>
      <c r="V66" s="1">
        <v>119.5</v>
      </c>
      <c r="W66" s="1">
        <v>187.3</v>
      </c>
      <c r="X66" s="1">
        <v>247.2</v>
      </c>
      <c r="Y66" s="1">
        <v>288.39999999999998</v>
      </c>
      <c r="Z66" s="1">
        <v>281.10000000000002</v>
      </c>
      <c r="AK66" s="1">
        <v>145.6</v>
      </c>
      <c r="AL66" s="1">
        <v>119.5</v>
      </c>
      <c r="AM66" s="1">
        <v>281.10000000000002</v>
      </c>
    </row>
    <row r="67" spans="2:50" s="7" customFormat="1" x14ac:dyDescent="0.3">
      <c r="B67" s="7" t="s">
        <v>103</v>
      </c>
      <c r="R67" s="9">
        <f>SUM(R58:R66)</f>
        <v>25174</v>
      </c>
      <c r="V67" s="9">
        <f>SUM(V58:V66)</f>
        <v>28831.200000000001</v>
      </c>
      <c r="W67" s="9">
        <f>SUM(W58:W66)</f>
        <v>29282.400000000001</v>
      </c>
      <c r="X67" s="9">
        <f>SUM(X58:X66)</f>
        <v>30048.200000000004</v>
      </c>
      <c r="Y67" s="9">
        <f>SUM(Y58:Y66)</f>
        <v>28072.799999999999</v>
      </c>
      <c r="Z67" s="9">
        <f>SUM(Z58:Z66)</f>
        <v>33533.799999999996</v>
      </c>
      <c r="AK67" s="9">
        <f>SUM(AK58:AK66)</f>
        <v>25174</v>
      </c>
      <c r="AL67" s="9">
        <f>SUM(AL58:AL66)</f>
        <v>28831.200000000001</v>
      </c>
      <c r="AM67" s="9">
        <f>SUM(AM58:AM66)</f>
        <v>33533.799999999996</v>
      </c>
    </row>
    <row r="68" spans="2:50" x14ac:dyDescent="0.3">
      <c r="B68" t="s">
        <v>91</v>
      </c>
      <c r="R68" s="1">
        <v>35.799999999999997</v>
      </c>
      <c r="V68" s="1">
        <v>35.5</v>
      </c>
      <c r="W68" s="1">
        <v>35.4</v>
      </c>
      <c r="X68" s="1">
        <v>40</v>
      </c>
      <c r="Y68" s="1">
        <v>53.3</v>
      </c>
      <c r="Z68" s="1">
        <v>50.7</v>
      </c>
      <c r="AK68" s="1">
        <v>35.799999999999997</v>
      </c>
      <c r="AL68" s="1">
        <v>35.5</v>
      </c>
      <c r="AM68" s="1">
        <v>50.7</v>
      </c>
    </row>
    <row r="69" spans="2:50" x14ac:dyDescent="0.3">
      <c r="B69" t="s">
        <v>93</v>
      </c>
      <c r="R69" s="1">
        <v>2728.5</v>
      </c>
      <c r="V69" s="1">
        <v>3495.8</v>
      </c>
      <c r="W69" s="1">
        <v>3720.7</v>
      </c>
      <c r="X69" s="1">
        <v>3858</v>
      </c>
      <c r="Y69" s="1">
        <v>4940.8999999999996</v>
      </c>
      <c r="Z69" s="1">
        <v>5430</v>
      </c>
      <c r="AK69" s="1">
        <v>2728.5</v>
      </c>
      <c r="AL69" s="1">
        <v>3495.8</v>
      </c>
      <c r="AM69" s="1">
        <v>5430</v>
      </c>
    </row>
    <row r="70" spans="2:50" x14ac:dyDescent="0.3">
      <c r="B70" t="s">
        <v>94</v>
      </c>
      <c r="R70" s="1"/>
      <c r="V70" s="1">
        <v>143.5</v>
      </c>
      <c r="W70" s="1">
        <v>2334.1</v>
      </c>
      <c r="X70" s="1">
        <v>2370.6999999999998</v>
      </c>
      <c r="Y70" s="1">
        <v>2277.6999999999998</v>
      </c>
      <c r="Z70" s="1">
        <v>2496.1</v>
      </c>
      <c r="AK70" s="1"/>
      <c r="AL70" s="1">
        <v>143.5</v>
      </c>
      <c r="AM70" s="1">
        <v>2496.1</v>
      </c>
    </row>
    <row r="71" spans="2:50" x14ac:dyDescent="0.3">
      <c r="B71" t="s">
        <v>83</v>
      </c>
      <c r="R71" s="1"/>
      <c r="V71" s="1">
        <v>311.60000000000002</v>
      </c>
      <c r="W71" s="1"/>
      <c r="X71" s="1"/>
      <c r="Y71" s="1">
        <v>83.8</v>
      </c>
      <c r="Z71" s="1">
        <v>281.2</v>
      </c>
      <c r="AK71" s="1"/>
      <c r="AL71" s="1">
        <v>311.60000000000002</v>
      </c>
      <c r="AM71" s="1">
        <v>281.2</v>
      </c>
    </row>
    <row r="72" spans="2:50" x14ac:dyDescent="0.3">
      <c r="B72" t="s">
        <v>81</v>
      </c>
      <c r="R72" s="1">
        <v>500.2</v>
      </c>
      <c r="V72" s="1">
        <v>546.5</v>
      </c>
      <c r="W72" s="1">
        <v>559.4</v>
      </c>
      <c r="X72" s="1">
        <v>613.79999999999995</v>
      </c>
      <c r="Y72" s="1">
        <v>600.4</v>
      </c>
      <c r="Z72" s="1">
        <v>680.7</v>
      </c>
      <c r="AK72" s="1">
        <v>500.2</v>
      </c>
      <c r="AL72" s="1">
        <v>546.5</v>
      </c>
      <c r="AM72" s="1">
        <v>680.7</v>
      </c>
    </row>
    <row r="73" spans="2:50" x14ac:dyDescent="0.3">
      <c r="B73" t="s">
        <v>97</v>
      </c>
      <c r="R73" s="1">
        <v>210.4</v>
      </c>
      <c r="V73" s="1">
        <v>208.9</v>
      </c>
      <c r="W73" s="1">
        <v>225.8</v>
      </c>
      <c r="X73" s="1">
        <v>233.2</v>
      </c>
      <c r="Y73" s="1">
        <v>247.6</v>
      </c>
      <c r="Z73" s="1">
        <v>237.4</v>
      </c>
      <c r="AK73" s="1">
        <v>210.4</v>
      </c>
      <c r="AL73" s="1">
        <v>208.9</v>
      </c>
      <c r="AM73" s="1">
        <v>237.4</v>
      </c>
    </row>
    <row r="74" spans="2:50" x14ac:dyDescent="0.3">
      <c r="B74" t="s">
        <v>95</v>
      </c>
      <c r="R74" s="1">
        <v>35.799999999999997</v>
      </c>
      <c r="V74" s="1">
        <v>34.299999999999997</v>
      </c>
      <c r="W74" s="1">
        <v>39</v>
      </c>
      <c r="X74" s="1">
        <v>30.7</v>
      </c>
      <c r="Y74" s="1">
        <v>33.299999999999997</v>
      </c>
      <c r="Z74" s="1">
        <v>39.5</v>
      </c>
      <c r="AK74" s="1">
        <v>35.799999999999997</v>
      </c>
      <c r="AL74" s="1">
        <v>34.299999999999997</v>
      </c>
      <c r="AM74" s="1">
        <v>39.5</v>
      </c>
    </row>
    <row r="75" spans="2:50" x14ac:dyDescent="0.3">
      <c r="B75" t="s">
        <v>98</v>
      </c>
      <c r="R75" s="1">
        <v>610.6</v>
      </c>
      <c r="V75" s="1">
        <v>410.5</v>
      </c>
      <c r="W75" s="1">
        <v>411</v>
      </c>
      <c r="X75" s="1">
        <v>286.3</v>
      </c>
      <c r="Y75" s="1">
        <v>287</v>
      </c>
      <c r="Z75" s="1">
        <v>236.8</v>
      </c>
      <c r="AK75" s="1">
        <v>610.6</v>
      </c>
      <c r="AL75" s="1">
        <v>410.5</v>
      </c>
      <c r="AM75" s="1">
        <v>236.8</v>
      </c>
    </row>
    <row r="76" spans="2:50" s="7" customFormat="1" x14ac:dyDescent="0.3">
      <c r="B76" s="7" t="s">
        <v>104</v>
      </c>
      <c r="R76" s="9">
        <f>SUM(R68:R75)</f>
        <v>4121.3</v>
      </c>
      <c r="V76" s="9">
        <f>SUM(V68:V75)</f>
        <v>5186.5999999999995</v>
      </c>
      <c r="W76" s="9">
        <f>SUM(W68:W75)</f>
        <v>7325.4</v>
      </c>
      <c r="X76" s="9">
        <f>SUM(X68:X75)</f>
        <v>7432.7</v>
      </c>
      <c r="Y76" s="9">
        <f>SUM(Y68:Y75)</f>
        <v>8523.9999999999982</v>
      </c>
      <c r="Z76" s="9">
        <f>SUM(Z68:Z75)</f>
        <v>9452.4</v>
      </c>
      <c r="AK76" s="9">
        <f>SUM(AK68:AK75)</f>
        <v>4121.3</v>
      </c>
      <c r="AL76" s="9">
        <f>SUM(AL68:AL75)</f>
        <v>5186.5999999999995</v>
      </c>
      <c r="AM76" s="9">
        <f>SUM(AM68:AM75)</f>
        <v>9452.4</v>
      </c>
      <c r="AN76" s="9"/>
    </row>
    <row r="77" spans="2:50" s="7" customFormat="1" x14ac:dyDescent="0.3">
      <c r="B77" s="7" t="s">
        <v>99</v>
      </c>
      <c r="R77" s="9">
        <v>14676</v>
      </c>
      <c r="V77" s="9">
        <v>14676</v>
      </c>
      <c r="W77" s="9">
        <v>15004.6</v>
      </c>
      <c r="X77" s="9">
        <v>15218.8</v>
      </c>
      <c r="Y77" s="9">
        <f>15329</f>
        <v>15329</v>
      </c>
      <c r="Z77" s="9">
        <v>11827.3</v>
      </c>
      <c r="AK77" s="16">
        <v>14676</v>
      </c>
      <c r="AL77" s="9">
        <v>14676</v>
      </c>
      <c r="AM77" s="9">
        <v>11827.3</v>
      </c>
    </row>
    <row r="78" spans="2:50" s="7" customFormat="1" x14ac:dyDescent="0.3">
      <c r="B78" s="7" t="s">
        <v>100</v>
      </c>
      <c r="R78" s="13">
        <f>R67+R76+R77</f>
        <v>43971.3</v>
      </c>
      <c r="V78" s="13">
        <f>V67+V76+V77</f>
        <v>48693.8</v>
      </c>
      <c r="W78" s="13">
        <f>W67+W76+W77</f>
        <v>51612.4</v>
      </c>
      <c r="X78" s="13">
        <f>X67+X76+X77</f>
        <v>52699.7</v>
      </c>
      <c r="Y78" s="13">
        <f>Y67+Y76+Y77</f>
        <v>51925.799999999996</v>
      </c>
      <c r="Z78" s="13">
        <f>Z67+Z76+Z77</f>
        <v>54813.5</v>
      </c>
      <c r="AK78" s="13">
        <f>AK67+AK76+AK77</f>
        <v>43971.3</v>
      </c>
      <c r="AL78" s="13">
        <f>AL67+AL76+AL77</f>
        <v>48693.8</v>
      </c>
      <c r="AM78" s="13">
        <f>AM67+AM76+AM77</f>
        <v>54813.5</v>
      </c>
    </row>
    <row r="79" spans="2:50" x14ac:dyDescent="0.3">
      <c r="Y79" s="1"/>
    </row>
    <row r="80" spans="2:50" s="7" customFormat="1" x14ac:dyDescent="0.3">
      <c r="B80" s="7" t="s">
        <v>106</v>
      </c>
      <c r="O80" s="9">
        <f t="shared" ref="O80:R80" si="138">O18</f>
        <v>-313.09999999999997</v>
      </c>
      <c r="P80" s="9">
        <f t="shared" si="138"/>
        <v>-487.40000000000015</v>
      </c>
      <c r="Q80" s="9">
        <f t="shared" si="138"/>
        <v>202.49999999999997</v>
      </c>
      <c r="R80" s="9">
        <f t="shared" si="138"/>
        <v>78.899999999999949</v>
      </c>
      <c r="S80" s="9">
        <f t="shared" ref="S80:T80" si="139">S18</f>
        <v>225.69999999999996</v>
      </c>
      <c r="T80" s="9">
        <f t="shared" si="139"/>
        <v>305.49999999999983</v>
      </c>
      <c r="U80" s="9">
        <f>U18</f>
        <v>408.7000000000001</v>
      </c>
      <c r="V80" s="9">
        <f t="shared" ref="V80:X80" si="140">V18</f>
        <v>656.3</v>
      </c>
      <c r="W80" s="9">
        <f t="shared" si="140"/>
        <v>372.79999999999967</v>
      </c>
      <c r="X80" s="9">
        <f t="shared" si="140"/>
        <v>496.09999999999997</v>
      </c>
      <c r="Y80" s="9">
        <f>Y18</f>
        <v>539.79999999999995</v>
      </c>
      <c r="Z80" s="9">
        <f>Z18</f>
        <v>-2921.9000000000005</v>
      </c>
      <c r="AA80" s="9">
        <f>AA18</f>
        <v>514.5999999999998</v>
      </c>
      <c r="AB80" s="9">
        <f>AB18</f>
        <v>599.79999999999973</v>
      </c>
      <c r="AC80" s="9">
        <f>AC18</f>
        <v>715.20000000000016</v>
      </c>
      <c r="AD80" s="9">
        <f>AD18</f>
        <v>753.72233400000005</v>
      </c>
      <c r="AI80" s="9">
        <f>AI18</f>
        <v>854.09999999999957</v>
      </c>
      <c r="AJ80" s="9">
        <f>AJ18</f>
        <v>-1358.7</v>
      </c>
      <c r="AK80" s="9">
        <f>AK18</f>
        <v>-519.09999999999911</v>
      </c>
      <c r="AL80" s="9">
        <f>AL18</f>
        <v>1596.2000000000014</v>
      </c>
      <c r="AM80" s="9">
        <f>AM18</f>
        <v>-1513.1999999999989</v>
      </c>
      <c r="AN80" s="9">
        <f t="shared" ref="AN80:AX80" si="141">AN18</f>
        <v>2583.3223340000009</v>
      </c>
      <c r="AO80" s="9">
        <f t="shared" si="141"/>
        <v>3103.0269552208001</v>
      </c>
      <c r="AP80" s="9">
        <f t="shared" si="141"/>
        <v>3468.3363405708637</v>
      </c>
      <c r="AQ80" s="9">
        <f t="shared" si="141"/>
        <v>3737.5766644384544</v>
      </c>
      <c r="AR80" s="9">
        <f t="shared" si="141"/>
        <v>3935.0484901398345</v>
      </c>
      <c r="AS80" s="9">
        <f t="shared" si="141"/>
        <v>4078.3270511700493</v>
      </c>
      <c r="AT80" s="9">
        <f t="shared" si="141"/>
        <v>4203.9838635756996</v>
      </c>
      <c r="AU80" s="9">
        <f t="shared" si="141"/>
        <v>4271.8813259688404</v>
      </c>
      <c r="AV80" s="9">
        <f t="shared" si="141"/>
        <v>4341.7025497532832</v>
      </c>
      <c r="AW80" s="9">
        <f t="shared" si="141"/>
        <v>4413.5275690486978</v>
      </c>
      <c r="AX80" s="9">
        <f t="shared" si="141"/>
        <v>4487.4402148562567</v>
      </c>
    </row>
    <row r="81" spans="2:50" x14ac:dyDescent="0.3">
      <c r="B81" t="s">
        <v>107</v>
      </c>
      <c r="S81" s="1">
        <v>212.5</v>
      </c>
      <c r="T81" s="1">
        <f t="shared" ref="T81:T88" si="142">T121-S81</f>
        <v>221.7</v>
      </c>
      <c r="U81" s="1">
        <f t="shared" ref="U81:U88" si="143">U121-T81-S81</f>
        <v>222.90000000000003</v>
      </c>
      <c r="V81" s="1">
        <f t="shared" ref="V81:V88" si="144">V121-U81-T81-S81</f>
        <v>221.09999999999997</v>
      </c>
      <c r="W81" s="1">
        <v>217.3</v>
      </c>
      <c r="X81" s="1">
        <f t="shared" ref="X81:X88" si="145">X121-W81</f>
        <v>224.3</v>
      </c>
      <c r="Y81" s="1">
        <f t="shared" ref="Y81:Y88" si="146">Y121-X81-W81</f>
        <v>263.79999999999995</v>
      </c>
      <c r="Z81" s="1">
        <v>244</v>
      </c>
      <c r="AA81" s="1">
        <v>258.39999999999998</v>
      </c>
      <c r="AB81" s="1">
        <v>270.89999999999998</v>
      </c>
      <c r="AC81" s="1">
        <f>AC121-AB81-AA81</f>
        <v>232</v>
      </c>
      <c r="AD81" s="1">
        <v>250</v>
      </c>
      <c r="AI81" s="1">
        <v>256.3</v>
      </c>
      <c r="AJ81" s="1">
        <v>507.4</v>
      </c>
      <c r="AK81" s="1">
        <v>800.3</v>
      </c>
      <c r="AL81" s="1">
        <f>SUM(S81:V81)</f>
        <v>878.2</v>
      </c>
      <c r="AM81" s="1">
        <f>SUM(W81:Z81)</f>
        <v>949.4</v>
      </c>
      <c r="AN81" s="1">
        <f>SUM(AA81:AD81)</f>
        <v>1011.3</v>
      </c>
      <c r="AO81" s="1">
        <f>AN81*1.01</f>
        <v>1021.413</v>
      </c>
      <c r="AP81" s="1">
        <f t="shared" ref="AP81:AX81" si="147">AO81*1.01</f>
        <v>1031.6271300000001</v>
      </c>
      <c r="AQ81" s="1">
        <f t="shared" si="147"/>
        <v>1041.9434013</v>
      </c>
      <c r="AR81" s="1">
        <f t="shared" si="147"/>
        <v>1052.362835313</v>
      </c>
      <c r="AS81" s="1">
        <f t="shared" si="147"/>
        <v>1062.8864636661301</v>
      </c>
      <c r="AT81" s="1">
        <f t="shared" si="147"/>
        <v>1073.5153283027914</v>
      </c>
      <c r="AU81" s="1">
        <f t="shared" si="147"/>
        <v>1084.2504815858194</v>
      </c>
      <c r="AV81" s="1">
        <f t="shared" si="147"/>
        <v>1095.0929864016775</v>
      </c>
      <c r="AW81" s="1">
        <f t="shared" si="147"/>
        <v>1106.0439162656944</v>
      </c>
      <c r="AX81" s="1">
        <f t="shared" si="147"/>
        <v>1117.1043554283513</v>
      </c>
    </row>
    <row r="82" spans="2:50" x14ac:dyDescent="0.3">
      <c r="B82" t="s">
        <v>81</v>
      </c>
      <c r="S82" s="1">
        <v>37.6</v>
      </c>
      <c r="T82" s="1">
        <f t="shared" si="142"/>
        <v>40.800000000000004</v>
      </c>
      <c r="U82" s="1">
        <f t="shared" si="143"/>
        <v>-43.000000000000007</v>
      </c>
      <c r="V82" s="1">
        <f t="shared" si="144"/>
        <v>-10.799999999999997</v>
      </c>
      <c r="W82" s="1">
        <v>4.5999999999999996</v>
      </c>
      <c r="X82" s="1">
        <f t="shared" si="145"/>
        <v>2</v>
      </c>
      <c r="Y82" s="1">
        <f t="shared" si="146"/>
        <v>14.4</v>
      </c>
      <c r="Z82" s="1">
        <v>-59.5</v>
      </c>
      <c r="AA82" s="1">
        <v>-12.2</v>
      </c>
      <c r="AB82" s="1">
        <v>-72</v>
      </c>
      <c r="AC82" s="1">
        <f t="shared" ref="AB82:AD112" si="148">AC122-AB82-AA82</f>
        <v>-23.899999999999995</v>
      </c>
      <c r="AD82" s="1">
        <v>-30</v>
      </c>
      <c r="AI82" s="1">
        <v>73.3</v>
      </c>
      <c r="AJ82" s="1">
        <v>-239.8</v>
      </c>
      <c r="AK82" s="1">
        <v>-153.1</v>
      </c>
      <c r="AL82" s="1">
        <f t="shared" ref="AL82:AL109" si="149">SUM(S82:V82)</f>
        <v>24.6</v>
      </c>
      <c r="AM82" s="1">
        <f t="shared" ref="AM82:AM109" si="150">SUM(W82:Z82)</f>
        <v>-38.5</v>
      </c>
      <c r="AN82" s="1">
        <f t="shared" ref="AN82:AN109" si="151">SUM(AA82:AD82)</f>
        <v>-138.1</v>
      </c>
      <c r="AO82" s="1">
        <f t="shared" ref="AO82:AX82" si="152">AN82*1.02</f>
        <v>-140.86199999999999</v>
      </c>
      <c r="AP82" s="1">
        <f t="shared" si="152"/>
        <v>-143.67923999999999</v>
      </c>
      <c r="AQ82" s="1">
        <f t="shared" si="152"/>
        <v>-146.5528248</v>
      </c>
      <c r="AR82" s="1">
        <f t="shared" si="152"/>
        <v>-149.48388129599999</v>
      </c>
      <c r="AS82" s="1">
        <f t="shared" si="152"/>
        <v>-152.47355892191999</v>
      </c>
      <c r="AT82" s="1">
        <f t="shared" si="152"/>
        <v>-155.5230301003584</v>
      </c>
      <c r="AU82" s="1">
        <f t="shared" si="152"/>
        <v>-158.63349070236558</v>
      </c>
      <c r="AV82" s="1">
        <f t="shared" si="152"/>
        <v>-161.80616051641289</v>
      </c>
      <c r="AW82" s="1">
        <f t="shared" si="152"/>
        <v>-165.04228372674115</v>
      </c>
      <c r="AX82" s="1">
        <f t="shared" si="152"/>
        <v>-168.34312940127597</v>
      </c>
    </row>
    <row r="83" spans="2:50" x14ac:dyDescent="0.3">
      <c r="B83" t="s">
        <v>74</v>
      </c>
      <c r="S83" s="1">
        <v>1</v>
      </c>
      <c r="T83" s="1">
        <f t="shared" si="142"/>
        <v>0.8</v>
      </c>
      <c r="U83" s="1">
        <f t="shared" si="143"/>
        <v>0.59999999999999987</v>
      </c>
      <c r="V83" s="1">
        <f t="shared" si="144"/>
        <v>1.8000000000000007</v>
      </c>
      <c r="W83" s="1">
        <v>-0.3</v>
      </c>
      <c r="X83" s="1">
        <f t="shared" si="145"/>
        <v>0.4</v>
      </c>
      <c r="Y83" s="1">
        <f t="shared" si="146"/>
        <v>-0.39999999999999997</v>
      </c>
      <c r="Z83" s="1">
        <v>-0.1</v>
      </c>
      <c r="AA83" s="1">
        <v>-0.4</v>
      </c>
      <c r="AB83" s="1">
        <v>0.5</v>
      </c>
      <c r="AC83" s="1">
        <f t="shared" si="148"/>
        <v>1.2000000000000002</v>
      </c>
      <c r="AD83" s="1">
        <v>1</v>
      </c>
      <c r="AI83" s="1">
        <v>6.9</v>
      </c>
      <c r="AJ83" s="1">
        <v>10.4</v>
      </c>
      <c r="AK83" s="1">
        <v>3.6</v>
      </c>
      <c r="AL83" s="1">
        <f t="shared" si="149"/>
        <v>4.2000000000000011</v>
      </c>
      <c r="AM83" s="1">
        <f t="shared" si="150"/>
        <v>-0.39999999999999991</v>
      </c>
      <c r="AN83" s="1">
        <f t="shared" si="151"/>
        <v>2.3000000000000003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</row>
    <row r="84" spans="2:50" x14ac:dyDescent="0.3">
      <c r="B84" t="s">
        <v>108</v>
      </c>
      <c r="S84" s="1">
        <v>-131.6</v>
      </c>
      <c r="T84" s="1">
        <f t="shared" si="142"/>
        <v>-44.200000000000017</v>
      </c>
      <c r="U84" s="1">
        <f t="shared" si="143"/>
        <v>-31.399999999999977</v>
      </c>
      <c r="V84" s="1">
        <f t="shared" si="144"/>
        <v>11.799999999999983</v>
      </c>
      <c r="W84" s="1">
        <v>11.4</v>
      </c>
      <c r="X84" s="1">
        <f t="shared" si="145"/>
        <v>59.199999999999996</v>
      </c>
      <c r="Y84" s="1">
        <f t="shared" si="146"/>
        <v>26.600000000000009</v>
      </c>
      <c r="Z84" s="1">
        <v>76.900000000000006</v>
      </c>
      <c r="AA84" s="1">
        <v>174.3</v>
      </c>
      <c r="AB84" s="1">
        <v>303.8</v>
      </c>
      <c r="AC84" s="1">
        <f t="shared" si="148"/>
        <v>420.2999999999999</v>
      </c>
      <c r="AD84" s="1">
        <v>450</v>
      </c>
      <c r="AI84" s="1">
        <v>-283.89999999999998</v>
      </c>
      <c r="AJ84" s="1">
        <v>-735.1</v>
      </c>
      <c r="AK84" s="1">
        <v>-382.7</v>
      </c>
      <c r="AL84" s="1">
        <f t="shared" si="149"/>
        <v>-195.4</v>
      </c>
      <c r="AM84" s="1">
        <f t="shared" si="150"/>
        <v>174.10000000000002</v>
      </c>
      <c r="AN84" s="1">
        <f t="shared" si="151"/>
        <v>1348.3999999999999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</row>
    <row r="85" spans="2:50" x14ac:dyDescent="0.3">
      <c r="B85" t="s">
        <v>97</v>
      </c>
      <c r="S85" s="1">
        <v>-2.4</v>
      </c>
      <c r="T85" s="1">
        <f t="shared" si="142"/>
        <v>7.5</v>
      </c>
      <c r="U85" s="1">
        <f t="shared" si="143"/>
        <v>21.4</v>
      </c>
      <c r="V85" s="1">
        <f t="shared" si="144"/>
        <v>-20.7</v>
      </c>
      <c r="W85" s="1">
        <v>16.100000000000001</v>
      </c>
      <c r="X85" s="1">
        <f t="shared" si="145"/>
        <v>23.9</v>
      </c>
      <c r="Y85" s="1">
        <f t="shared" si="146"/>
        <v>24.5</v>
      </c>
      <c r="Z85" s="1">
        <v>-3.3</v>
      </c>
      <c r="AA85" s="1">
        <v>24.4</v>
      </c>
      <c r="AB85" s="1">
        <v>37.5</v>
      </c>
      <c r="AC85" s="1">
        <f t="shared" si="148"/>
        <v>47.199999999999996</v>
      </c>
      <c r="AD85" s="1">
        <v>50</v>
      </c>
      <c r="AI85" s="1">
        <v>2.2999999999999998</v>
      </c>
      <c r="AJ85" s="1">
        <v>4.3</v>
      </c>
      <c r="AK85" s="1">
        <v>18.8</v>
      </c>
      <c r="AL85" s="1">
        <f t="shared" si="149"/>
        <v>5.8000000000000007</v>
      </c>
      <c r="AM85" s="1">
        <f t="shared" si="150"/>
        <v>61.2</v>
      </c>
      <c r="AN85" s="1">
        <f t="shared" si="151"/>
        <v>159.1</v>
      </c>
      <c r="AO85" s="1">
        <f t="shared" ref="AO85:AX85" si="153">AN85*1.01</f>
        <v>160.691</v>
      </c>
      <c r="AP85" s="1">
        <f t="shared" si="153"/>
        <v>162.29791</v>
      </c>
      <c r="AQ85" s="1">
        <f t="shared" si="153"/>
        <v>163.92088910000001</v>
      </c>
      <c r="AR85" s="1">
        <f t="shared" si="153"/>
        <v>165.56009799100002</v>
      </c>
      <c r="AS85" s="1">
        <f t="shared" si="153"/>
        <v>167.21569897091001</v>
      </c>
      <c r="AT85" s="1">
        <f t="shared" si="153"/>
        <v>168.88785596061911</v>
      </c>
      <c r="AU85" s="1">
        <f t="shared" si="153"/>
        <v>170.5767345202253</v>
      </c>
      <c r="AV85" s="1">
        <f t="shared" si="153"/>
        <v>172.28250186542755</v>
      </c>
      <c r="AW85" s="1">
        <f t="shared" si="153"/>
        <v>174.00532688408182</v>
      </c>
      <c r="AX85" s="1">
        <f t="shared" si="153"/>
        <v>175.74538015292265</v>
      </c>
    </row>
    <row r="86" spans="2:50" x14ac:dyDescent="0.3">
      <c r="B86" t="s">
        <v>109</v>
      </c>
      <c r="S86" s="1">
        <v>70.099999999999994</v>
      </c>
      <c r="T86" s="1">
        <f t="shared" si="142"/>
        <v>50.400000000000006</v>
      </c>
      <c r="U86" s="1">
        <f t="shared" si="143"/>
        <v>61.099999999999994</v>
      </c>
      <c r="V86" s="1">
        <f t="shared" si="144"/>
        <v>69.599999999999994</v>
      </c>
      <c r="W86" s="1">
        <v>25.8</v>
      </c>
      <c r="X86" s="1">
        <f t="shared" si="145"/>
        <v>64.400000000000006</v>
      </c>
      <c r="Y86" s="1">
        <f t="shared" si="146"/>
        <v>68.2</v>
      </c>
      <c r="Z86" s="1">
        <v>74.3</v>
      </c>
      <c r="AA86" s="1">
        <v>87.1</v>
      </c>
      <c r="AB86" s="1">
        <v>96.9</v>
      </c>
      <c r="AC86" s="1">
        <f t="shared" si="148"/>
        <v>70.099999999999994</v>
      </c>
      <c r="AD86" s="1">
        <v>80</v>
      </c>
      <c r="AI86" s="1">
        <v>31.5</v>
      </c>
      <c r="AJ86" s="1">
        <v>133.19999999999999</v>
      </c>
      <c r="AK86" s="1">
        <v>189.1</v>
      </c>
      <c r="AL86" s="1">
        <f t="shared" si="149"/>
        <v>251.2</v>
      </c>
      <c r="AM86" s="1">
        <f t="shared" si="150"/>
        <v>232.7</v>
      </c>
      <c r="AN86" s="1">
        <f t="shared" si="151"/>
        <v>334.1</v>
      </c>
      <c r="AO86" s="1">
        <f>AN86*0.95</f>
        <v>317.39499999999998</v>
      </c>
      <c r="AP86" s="1">
        <f t="shared" ref="AP86:AX86" si="154">AO86*0.95</f>
        <v>301.52524999999997</v>
      </c>
      <c r="AQ86" s="1">
        <f t="shared" si="154"/>
        <v>286.44898749999999</v>
      </c>
      <c r="AR86" s="1">
        <f t="shared" si="154"/>
        <v>272.12653812499997</v>
      </c>
      <c r="AS86" s="1">
        <f t="shared" si="154"/>
        <v>258.52021121874998</v>
      </c>
      <c r="AT86" s="1">
        <f t="shared" si="154"/>
        <v>245.59420065781248</v>
      </c>
      <c r="AU86" s="1">
        <f t="shared" si="154"/>
        <v>233.31449062492183</v>
      </c>
      <c r="AV86" s="1">
        <f t="shared" si="154"/>
        <v>221.64876609367573</v>
      </c>
      <c r="AW86" s="1">
        <f t="shared" si="154"/>
        <v>210.56632778899194</v>
      </c>
      <c r="AX86" s="1">
        <f t="shared" si="154"/>
        <v>200.03801139954234</v>
      </c>
    </row>
    <row r="87" spans="2:50" x14ac:dyDescent="0.3">
      <c r="B87" t="s">
        <v>110</v>
      </c>
      <c r="S87" s="1">
        <v>10.9</v>
      </c>
      <c r="T87" s="1">
        <f t="shared" si="142"/>
        <v>21.6</v>
      </c>
      <c r="U87" s="1">
        <f t="shared" si="143"/>
        <v>67.099999999999994</v>
      </c>
      <c r="V87" s="1">
        <f t="shared" si="144"/>
        <v>60.6</v>
      </c>
      <c r="W87" s="1">
        <v>54.2</v>
      </c>
      <c r="X87" s="1">
        <f t="shared" si="145"/>
        <v>48.3</v>
      </c>
      <c r="Y87" s="1">
        <f t="shared" si="146"/>
        <v>16.5</v>
      </c>
      <c r="Z87" s="1">
        <v>24.5</v>
      </c>
      <c r="AA87" s="1">
        <v>45.4</v>
      </c>
      <c r="AB87" s="1">
        <v>101.8</v>
      </c>
      <c r="AC87" s="1">
        <f t="shared" si="148"/>
        <v>95.799999999999983</v>
      </c>
      <c r="AD87" s="1">
        <v>80</v>
      </c>
      <c r="AI87" s="1">
        <v>35.6</v>
      </c>
      <c r="AJ87" s="1">
        <v>72</v>
      </c>
      <c r="AK87" s="1">
        <v>88.6</v>
      </c>
      <c r="AL87" s="1">
        <f t="shared" si="149"/>
        <v>160.19999999999999</v>
      </c>
      <c r="AM87" s="1">
        <f t="shared" si="150"/>
        <v>143.5</v>
      </c>
      <c r="AN87" s="1">
        <f t="shared" si="151"/>
        <v>323</v>
      </c>
      <c r="AO87" s="1">
        <f>AN87*1.01</f>
        <v>326.23</v>
      </c>
      <c r="AP87" s="1">
        <f t="shared" ref="AP87:AX87" si="155">AO87*1.01</f>
        <v>329.4923</v>
      </c>
      <c r="AQ87" s="1">
        <f t="shared" si="155"/>
        <v>332.78722299999998</v>
      </c>
      <c r="AR87" s="1">
        <f t="shared" si="155"/>
        <v>336.11509523000001</v>
      </c>
      <c r="AS87" s="1">
        <f t="shared" si="155"/>
        <v>339.47624618230003</v>
      </c>
      <c r="AT87" s="1">
        <f t="shared" si="155"/>
        <v>342.87100864412304</v>
      </c>
      <c r="AU87" s="1">
        <f t="shared" si="155"/>
        <v>346.29971873056428</v>
      </c>
      <c r="AV87" s="1">
        <f t="shared" si="155"/>
        <v>349.76271591786991</v>
      </c>
      <c r="AW87" s="1">
        <f t="shared" si="155"/>
        <v>353.26034307704862</v>
      </c>
      <c r="AX87" s="1">
        <f t="shared" si="155"/>
        <v>356.79294650781912</v>
      </c>
    </row>
    <row r="88" spans="2:50" x14ac:dyDescent="0.3">
      <c r="B88" t="s">
        <v>88</v>
      </c>
      <c r="S88" s="1">
        <v>14.9</v>
      </c>
      <c r="T88" s="1">
        <f t="shared" si="142"/>
        <v>30.200000000000003</v>
      </c>
      <c r="U88" s="1">
        <f t="shared" si="143"/>
        <v>8.1</v>
      </c>
      <c r="V88" s="1">
        <f t="shared" si="144"/>
        <v>12.999999999999998</v>
      </c>
      <c r="W88" s="1">
        <v>6.1</v>
      </c>
      <c r="X88" s="1">
        <f t="shared" si="145"/>
        <v>8.2000000000000011</v>
      </c>
      <c r="Y88" s="1">
        <f t="shared" si="146"/>
        <v>-8.5</v>
      </c>
      <c r="Z88" s="1">
        <v>23.6</v>
      </c>
      <c r="AA88" s="1">
        <v>-4.2</v>
      </c>
      <c r="AB88" s="1">
        <v>-31.1</v>
      </c>
      <c r="AC88" s="1">
        <f t="shared" si="148"/>
        <v>-0.90000000000000124</v>
      </c>
      <c r="AD88" s="1">
        <v>0</v>
      </c>
      <c r="AI88" s="1">
        <v>52.7</v>
      </c>
      <c r="AJ88" s="1">
        <v>136.1</v>
      </c>
      <c r="AK88" s="1">
        <v>25.3</v>
      </c>
      <c r="AL88" s="1">
        <f t="shared" si="149"/>
        <v>66.2</v>
      </c>
      <c r="AM88" s="1">
        <f t="shared" si="150"/>
        <v>29.400000000000002</v>
      </c>
      <c r="AN88" s="1">
        <f t="shared" si="151"/>
        <v>-36.200000000000003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</row>
    <row r="89" spans="2:50" x14ac:dyDescent="0.3">
      <c r="B89" t="s">
        <v>128</v>
      </c>
      <c r="S89" s="1"/>
      <c r="T89" s="1"/>
      <c r="U89" s="1"/>
      <c r="V89" s="1"/>
      <c r="W89" s="1"/>
      <c r="X89" s="1"/>
      <c r="Y89" s="1"/>
      <c r="Z89" s="1">
        <v>3558</v>
      </c>
      <c r="AA89" s="1">
        <v>0</v>
      </c>
      <c r="AB89" s="1">
        <v>0</v>
      </c>
      <c r="AC89" s="1">
        <f t="shared" si="148"/>
        <v>0</v>
      </c>
      <c r="AD89" s="1">
        <v>0</v>
      </c>
      <c r="AI89" s="1"/>
      <c r="AJ89" s="1"/>
      <c r="AK89" s="1"/>
      <c r="AL89" s="1"/>
      <c r="AM89" s="1">
        <f t="shared" si="150"/>
        <v>3558</v>
      </c>
      <c r="AN89" s="1">
        <f t="shared" si="151"/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</row>
    <row r="90" spans="2:50" x14ac:dyDescent="0.3">
      <c r="B90" t="s">
        <v>111</v>
      </c>
      <c r="S90" s="1">
        <v>1.2</v>
      </c>
      <c r="T90" s="1">
        <f>T130-S90</f>
        <v>0</v>
      </c>
      <c r="U90" s="1">
        <f>U130-T90-S90</f>
        <v>1.2</v>
      </c>
      <c r="V90" s="1">
        <f>V130-U90-T90-S90</f>
        <v>1.3</v>
      </c>
      <c r="W90" s="1">
        <v>1.3</v>
      </c>
      <c r="X90" s="1">
        <f>X130-W90</f>
        <v>1.4999999999999998</v>
      </c>
      <c r="Y90" s="1">
        <f>Y130-X90-W90</f>
        <v>0.99999999999999978</v>
      </c>
      <c r="Z90" s="1">
        <v>-4</v>
      </c>
      <c r="AA90" s="1">
        <v>7</v>
      </c>
      <c r="AB90" s="1">
        <v>0.5</v>
      </c>
      <c r="AC90" s="1">
        <f t="shared" si="148"/>
        <v>0.59999999999999964</v>
      </c>
      <c r="AD90" s="1">
        <v>0</v>
      </c>
      <c r="AI90" s="1">
        <v>0</v>
      </c>
      <c r="AJ90" s="1">
        <v>2</v>
      </c>
      <c r="AK90" s="1">
        <v>3.9</v>
      </c>
      <c r="AL90" s="1">
        <f t="shared" si="149"/>
        <v>3.7</v>
      </c>
      <c r="AM90" s="1">
        <f t="shared" si="150"/>
        <v>-0.20000000000000018</v>
      </c>
      <c r="AN90" s="1">
        <f t="shared" si="151"/>
        <v>8.1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</row>
    <row r="91" spans="2:50" x14ac:dyDescent="0.3">
      <c r="B91" t="s">
        <v>112</v>
      </c>
      <c r="S91" s="1">
        <v>0</v>
      </c>
      <c r="T91" s="1">
        <f>T131-S91</f>
        <v>0</v>
      </c>
      <c r="U91" s="1">
        <f>U131-T91-S91</f>
        <v>0</v>
      </c>
      <c r="V91" s="1">
        <f>V131-U91-T91-S91</f>
        <v>10.9</v>
      </c>
      <c r="W91" s="1">
        <v>53</v>
      </c>
      <c r="X91" s="1">
        <f>X131-W91</f>
        <v>0</v>
      </c>
      <c r="Y91" s="1">
        <f>Y131-X91-W91</f>
        <v>0</v>
      </c>
      <c r="Z91" s="1">
        <v>5.3</v>
      </c>
      <c r="AA91" s="1">
        <v>0</v>
      </c>
      <c r="AB91" s="1">
        <v>0</v>
      </c>
      <c r="AC91" s="1">
        <f t="shared" si="148"/>
        <v>-56.6</v>
      </c>
      <c r="AD91" s="1">
        <v>0</v>
      </c>
      <c r="AI91" s="1">
        <v>0</v>
      </c>
      <c r="AJ91" s="1">
        <v>12.7</v>
      </c>
      <c r="AK91" s="1">
        <v>20.3</v>
      </c>
      <c r="AL91" s="1">
        <f t="shared" si="149"/>
        <v>10.9</v>
      </c>
      <c r="AM91" s="1">
        <f t="shared" si="150"/>
        <v>58.3</v>
      </c>
      <c r="AN91" s="1">
        <f t="shared" si="151"/>
        <v>-56.6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</row>
    <row r="92" spans="2:50" x14ac:dyDescent="0.3">
      <c r="B92" t="s">
        <v>113</v>
      </c>
      <c r="S92" s="1">
        <v>85.8</v>
      </c>
      <c r="T92" s="1">
        <f>T132-S92</f>
        <v>8.2000000000000028</v>
      </c>
      <c r="U92" s="1">
        <f>U132-T92-S92</f>
        <v>2.5999999999999943</v>
      </c>
      <c r="V92" s="1">
        <f>V132-U92-T92-S92</f>
        <v>0</v>
      </c>
      <c r="W92" s="1">
        <v>-16.8</v>
      </c>
      <c r="X92" s="1">
        <f>X132-W92</f>
        <v>-189.79999999999998</v>
      </c>
      <c r="Y92" s="1">
        <f>Y132-X92-W92</f>
        <v>-4.300000000000022</v>
      </c>
      <c r="Z92" s="1">
        <v>-230.6</v>
      </c>
      <c r="AA92" s="1">
        <v>69.7</v>
      </c>
      <c r="AB92" s="1">
        <v>126.6</v>
      </c>
      <c r="AC92" s="1">
        <f t="shared" si="148"/>
        <v>-5.1000000000000085</v>
      </c>
      <c r="AD92" s="1">
        <v>0</v>
      </c>
      <c r="AI92" s="1">
        <v>-12.5</v>
      </c>
      <c r="AJ92" s="1">
        <v>2570.4</v>
      </c>
      <c r="AK92" s="1">
        <v>1179.5</v>
      </c>
      <c r="AL92" s="1">
        <f t="shared" si="149"/>
        <v>96.6</v>
      </c>
      <c r="AM92" s="1">
        <f t="shared" si="150"/>
        <v>-441.5</v>
      </c>
      <c r="AN92" s="1">
        <f t="shared" si="151"/>
        <v>191.2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</row>
    <row r="93" spans="2:50" x14ac:dyDescent="0.3">
      <c r="B93" t="s">
        <v>83</v>
      </c>
      <c r="S93" s="1">
        <v>4.5999999999999996</v>
      </c>
      <c r="T93" s="1">
        <f>T133-S93</f>
        <v>4</v>
      </c>
      <c r="U93" s="1">
        <f>U133-T93-S93</f>
        <v>4.5</v>
      </c>
      <c r="V93" s="1">
        <f>V133-U93-T93-S93</f>
        <v>7.2000000000000011</v>
      </c>
      <c r="W93" s="1">
        <v>10.6</v>
      </c>
      <c r="X93" s="1">
        <f>X133-W93</f>
        <v>-3.3999999999999995</v>
      </c>
      <c r="Y93" s="1">
        <f>Y133-X93-W93</f>
        <v>245.4</v>
      </c>
      <c r="Z93" s="1">
        <v>233.4</v>
      </c>
      <c r="AA93" s="1">
        <v>-73.2</v>
      </c>
      <c r="AB93" s="1">
        <v>-127.9</v>
      </c>
      <c r="AC93" s="1">
        <f t="shared" si="148"/>
        <v>3.6000000000000085</v>
      </c>
      <c r="AD93" s="1">
        <v>0</v>
      </c>
      <c r="AI93" s="1">
        <v>-5.8</v>
      </c>
      <c r="AJ93" s="1">
        <v>105</v>
      </c>
      <c r="AK93" s="1">
        <v>90.8</v>
      </c>
      <c r="AL93" s="1">
        <f t="shared" si="149"/>
        <v>20.3</v>
      </c>
      <c r="AM93" s="1">
        <f t="shared" si="150"/>
        <v>486</v>
      </c>
      <c r="AN93" s="1">
        <f t="shared" si="151"/>
        <v>-197.5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</row>
    <row r="94" spans="2:50" x14ac:dyDescent="0.3">
      <c r="B94" t="s">
        <v>114</v>
      </c>
      <c r="S94" s="1"/>
      <c r="T94" s="1">
        <f>T134-S94</f>
        <v>0</v>
      </c>
      <c r="U94" s="1">
        <f>U134-T94-S94</f>
        <v>0</v>
      </c>
      <c r="V94" s="1">
        <f>V134-U94-T94-S94</f>
        <v>0</v>
      </c>
      <c r="W94" s="1"/>
      <c r="X94" s="1">
        <f>X134-W94</f>
        <v>-5.7</v>
      </c>
      <c r="Y94" s="1">
        <f>Y134-X94-W94</f>
        <v>-1.7999999999999998</v>
      </c>
      <c r="Z94" s="1">
        <v>0.1</v>
      </c>
      <c r="AA94" s="1">
        <v>0</v>
      </c>
      <c r="AB94" s="1">
        <v>-2</v>
      </c>
      <c r="AC94" s="1">
        <f t="shared" si="148"/>
        <v>0</v>
      </c>
      <c r="AD94" s="1">
        <v>0</v>
      </c>
      <c r="AI94" s="1">
        <v>-3</v>
      </c>
      <c r="AJ94" s="1">
        <v>-15.8</v>
      </c>
      <c r="AK94" s="1">
        <v>0</v>
      </c>
      <c r="AL94" s="1">
        <f t="shared" si="149"/>
        <v>0</v>
      </c>
      <c r="AM94" s="1">
        <f t="shared" si="150"/>
        <v>-7.4</v>
      </c>
      <c r="AN94" s="1">
        <f t="shared" si="151"/>
        <v>-2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</row>
    <row r="95" spans="2:50" x14ac:dyDescent="0.3">
      <c r="B95" t="s">
        <v>115</v>
      </c>
      <c r="S95" s="1"/>
      <c r="T95" s="1">
        <f>T135-S95</f>
        <v>1.2</v>
      </c>
      <c r="U95" s="1">
        <f>U135-T95-S95</f>
        <v>0</v>
      </c>
      <c r="V95" s="1">
        <f>V135-U95-T95-S95</f>
        <v>0</v>
      </c>
      <c r="W95" s="1"/>
      <c r="X95" s="1">
        <f>X135-W95</f>
        <v>0</v>
      </c>
      <c r="Y95" s="1">
        <f>Y135-X95-W95</f>
        <v>0</v>
      </c>
      <c r="Z95" s="1">
        <v>0</v>
      </c>
      <c r="AA95" s="1">
        <v>0</v>
      </c>
      <c r="AB95" s="1">
        <v>0</v>
      </c>
      <c r="AC95" s="1">
        <f t="shared" si="148"/>
        <v>0</v>
      </c>
      <c r="AD95" s="1">
        <v>0</v>
      </c>
      <c r="AI95" s="1"/>
      <c r="AJ95" s="1"/>
      <c r="AK95" s="1"/>
      <c r="AL95" s="1">
        <f t="shared" si="149"/>
        <v>1.2</v>
      </c>
      <c r="AM95" s="1">
        <f t="shared" si="150"/>
        <v>0</v>
      </c>
      <c r="AN95" s="1">
        <f t="shared" si="151"/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</row>
    <row r="96" spans="2:50" x14ac:dyDescent="0.3">
      <c r="B96" t="s">
        <v>76</v>
      </c>
      <c r="S96" s="1">
        <v>2616</v>
      </c>
      <c r="T96" s="1">
        <f>T136-S96</f>
        <v>1284.8000000000002</v>
      </c>
      <c r="U96" s="1">
        <f>U136-T96-S96</f>
        <v>-1713.7000000000003</v>
      </c>
      <c r="V96" s="1">
        <f>V136-U96-T96-S96</f>
        <v>-2154.8000000000002</v>
      </c>
      <c r="W96" s="1">
        <v>-1963</v>
      </c>
      <c r="X96" s="1">
        <f>X136-W96</f>
        <v>-395.90000000000009</v>
      </c>
      <c r="Y96" s="1">
        <f>Y136-X96-W96</f>
        <v>1853.5</v>
      </c>
      <c r="Z96" s="1">
        <v>-2476.4</v>
      </c>
      <c r="AA96" s="1">
        <v>-4851.3</v>
      </c>
      <c r="AB96" s="1">
        <v>-934.8</v>
      </c>
      <c r="AC96" s="1">
        <f t="shared" si="148"/>
        <v>-2211.1999999999998</v>
      </c>
      <c r="AD96" s="1">
        <v>0</v>
      </c>
      <c r="AE96" s="1"/>
      <c r="AI96" s="1">
        <v>-2081.9</v>
      </c>
      <c r="AJ96" s="1">
        <v>-2993.4</v>
      </c>
      <c r="AK96" s="1">
        <v>740.2</v>
      </c>
      <c r="AL96" s="1">
        <f t="shared" si="149"/>
        <v>32.299999999999727</v>
      </c>
      <c r="AM96" s="1">
        <f t="shared" si="150"/>
        <v>-2981.8</v>
      </c>
      <c r="AN96" s="1">
        <f t="shared" si="151"/>
        <v>-7997.3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</row>
    <row r="97" spans="2:50" x14ac:dyDescent="0.3">
      <c r="B97" t="s">
        <v>85</v>
      </c>
      <c r="S97" s="1">
        <v>2</v>
      </c>
      <c r="T97" s="1">
        <f>T137-S97</f>
        <v>9.6</v>
      </c>
      <c r="U97" s="1">
        <f>U137-T97-S97</f>
        <v>0.40000000000000036</v>
      </c>
      <c r="V97" s="1">
        <f>V137-U97-T97-S97</f>
        <v>8.2999999999999989</v>
      </c>
      <c r="W97" s="1">
        <v>10.3</v>
      </c>
      <c r="X97" s="1">
        <f>X137-W97</f>
        <v>-2.6000000000000005</v>
      </c>
      <c r="Y97" s="1">
        <f>Y137-X97-W97</f>
        <v>15.8</v>
      </c>
      <c r="Z97" s="1">
        <v>4.5</v>
      </c>
      <c r="AA97" s="1">
        <v>0.2</v>
      </c>
      <c r="AB97" s="1">
        <v>0.2</v>
      </c>
      <c r="AC97" s="1">
        <f t="shared" si="148"/>
        <v>9.9999999999999978E-2</v>
      </c>
      <c r="AD97" s="1">
        <v>0</v>
      </c>
      <c r="AI97" s="1">
        <v>8.6999999999999993</v>
      </c>
      <c r="AJ97" s="1">
        <v>1.1000000000000001</v>
      </c>
      <c r="AK97" s="1">
        <v>12.9</v>
      </c>
      <c r="AL97" s="1">
        <f t="shared" si="149"/>
        <v>20.299999999999997</v>
      </c>
      <c r="AM97" s="1">
        <f t="shared" si="150"/>
        <v>28</v>
      </c>
      <c r="AN97" s="1">
        <f t="shared" si="151"/>
        <v>0.5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</row>
    <row r="98" spans="2:50" x14ac:dyDescent="0.3">
      <c r="B98" t="s">
        <v>50</v>
      </c>
      <c r="S98" s="1">
        <v>-50.7</v>
      </c>
      <c r="T98" s="1">
        <f>T138-S98</f>
        <v>-9.3999999999999986</v>
      </c>
      <c r="U98" s="1">
        <f>U138-T98-S98</f>
        <v>216.60000000000002</v>
      </c>
      <c r="V98" s="1">
        <f>V138-U98-T98-S98</f>
        <v>-17.500000000000014</v>
      </c>
      <c r="W98" s="1">
        <v>-63.4</v>
      </c>
      <c r="X98" s="1">
        <f>X138-W98</f>
        <v>54.599999999999994</v>
      </c>
      <c r="Y98" s="1">
        <f>Y138-X98-W98</f>
        <v>-19.29999999999999</v>
      </c>
      <c r="Z98" s="1">
        <v>27.8</v>
      </c>
      <c r="AA98" s="1">
        <v>-44.4</v>
      </c>
      <c r="AB98" s="1">
        <v>9.9</v>
      </c>
      <c r="AC98" s="1">
        <f t="shared" si="148"/>
        <v>-67.5</v>
      </c>
      <c r="AD98" s="1">
        <v>0</v>
      </c>
      <c r="AI98" s="1">
        <v>-18.600000000000001</v>
      </c>
      <c r="AJ98" s="1">
        <v>-238.1</v>
      </c>
      <c r="AK98" s="1">
        <v>261.89999999999998</v>
      </c>
      <c r="AL98" s="1">
        <f t="shared" si="149"/>
        <v>139</v>
      </c>
      <c r="AM98" s="1">
        <f t="shared" si="150"/>
        <v>-0.29999999999999361</v>
      </c>
      <c r="AN98" s="1">
        <f t="shared" si="151"/>
        <v>-102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</row>
    <row r="99" spans="2:50" x14ac:dyDescent="0.3">
      <c r="B99" t="s">
        <v>82</v>
      </c>
      <c r="S99" s="1">
        <v>26.8</v>
      </c>
      <c r="T99" s="1">
        <f>T139-S99</f>
        <v>19.8</v>
      </c>
      <c r="U99" s="1">
        <f>U139-T99-S99</f>
        <v>20.100000000000005</v>
      </c>
      <c r="V99" s="1">
        <f>V139-U99-T99-S99</f>
        <v>-25.400000000000009</v>
      </c>
      <c r="W99" s="1">
        <v>-14</v>
      </c>
      <c r="X99" s="1">
        <f>X139-W99</f>
        <v>82.4</v>
      </c>
      <c r="Y99" s="1">
        <f>Y139-X99-W99</f>
        <v>19.5</v>
      </c>
      <c r="Z99" s="1">
        <v>-33.4</v>
      </c>
      <c r="AA99" s="1">
        <v>-99.7</v>
      </c>
      <c r="AB99" s="1">
        <v>71.7</v>
      </c>
      <c r="AC99" s="1">
        <f t="shared" si="148"/>
        <v>-8.6000000000000085</v>
      </c>
      <c r="AD99" s="1">
        <v>0</v>
      </c>
      <c r="AI99" s="1">
        <v>-106.4</v>
      </c>
      <c r="AJ99" s="1">
        <v>-260.10000000000002</v>
      </c>
      <c r="AK99" s="1">
        <v>153</v>
      </c>
      <c r="AL99" s="1">
        <f t="shared" si="149"/>
        <v>41.3</v>
      </c>
      <c r="AM99" s="1">
        <f t="shared" si="150"/>
        <v>54.500000000000007</v>
      </c>
      <c r="AN99" s="1">
        <f t="shared" si="151"/>
        <v>-36.600000000000009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</row>
    <row r="100" spans="2:50" x14ac:dyDescent="0.3">
      <c r="B100" t="s">
        <v>79</v>
      </c>
      <c r="S100" s="1">
        <v>-18.399999999999999</v>
      </c>
      <c r="T100" s="1">
        <f>T140-S100</f>
        <v>7.8999999999999986</v>
      </c>
      <c r="U100" s="1">
        <f>U140-T100-S100</f>
        <v>55.3</v>
      </c>
      <c r="V100" s="1">
        <f>V140-U100-T100-S100</f>
        <v>160.30000000000001</v>
      </c>
      <c r="W100" s="1">
        <v>-184.1</v>
      </c>
      <c r="X100" s="1">
        <f>X140-W100</f>
        <v>169.4</v>
      </c>
      <c r="Y100" s="1">
        <f>Y140-X100-W100</f>
        <v>-14.100000000000023</v>
      </c>
      <c r="Z100" s="1">
        <v>839.6</v>
      </c>
      <c r="AA100" s="1">
        <v>6343.2</v>
      </c>
      <c r="AB100" s="1">
        <v>1076.2</v>
      </c>
      <c r="AC100" s="1">
        <f t="shared" si="148"/>
        <v>203.90000000000055</v>
      </c>
      <c r="AD100" s="1">
        <v>0</v>
      </c>
      <c r="AI100" s="1">
        <v>-1362.4</v>
      </c>
      <c r="AJ100" s="1">
        <v>244.2</v>
      </c>
      <c r="AK100" s="1">
        <v>707.5</v>
      </c>
      <c r="AL100" s="1">
        <f t="shared" si="149"/>
        <v>205.10000000000002</v>
      </c>
      <c r="AM100" s="1">
        <f t="shared" si="150"/>
        <v>810.8</v>
      </c>
      <c r="AN100" s="1">
        <f t="shared" si="151"/>
        <v>7623.3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</row>
    <row r="101" spans="2:50" x14ac:dyDescent="0.3">
      <c r="B101" t="s">
        <v>80</v>
      </c>
      <c r="S101" s="1">
        <v>0</v>
      </c>
      <c r="T101" s="1">
        <f>T141-S101</f>
        <v>0</v>
      </c>
      <c r="U101" s="1">
        <f>U141-T101-S101</f>
        <v>0</v>
      </c>
      <c r="V101" s="1">
        <f>V141-U101-T101-S101</f>
        <v>-312.8</v>
      </c>
      <c r="W101" s="1">
        <v>-193.1</v>
      </c>
      <c r="X101" s="1">
        <f>X141-W101</f>
        <v>-121.29999999999998</v>
      </c>
      <c r="Y101" s="1">
        <f>Y141-X101-W101</f>
        <v>-149.20000000000007</v>
      </c>
      <c r="Z101" s="1">
        <v>-207.2</v>
      </c>
      <c r="AA101" s="1">
        <v>-147.4</v>
      </c>
      <c r="AB101" s="1">
        <v>-230.8</v>
      </c>
      <c r="AC101" s="1">
        <f t="shared" si="148"/>
        <v>-321.79999999999995</v>
      </c>
      <c r="AD101" s="1">
        <v>0</v>
      </c>
      <c r="AI101" s="1"/>
      <c r="AJ101" s="1"/>
      <c r="AK101" s="1"/>
      <c r="AL101" s="1">
        <f t="shared" si="149"/>
        <v>-312.8</v>
      </c>
      <c r="AM101" s="1">
        <f t="shared" si="150"/>
        <v>-670.8</v>
      </c>
      <c r="AN101" s="1">
        <f t="shared" si="151"/>
        <v>-700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</row>
    <row r="102" spans="2:50" x14ac:dyDescent="0.3">
      <c r="B102" t="s">
        <v>91</v>
      </c>
      <c r="S102" s="1">
        <v>-2367.4</v>
      </c>
      <c r="T102" s="1">
        <f>T142-S102</f>
        <v>-1427.1</v>
      </c>
      <c r="U102" s="1">
        <f>U142-T102-S102</f>
        <v>153.19999999999982</v>
      </c>
      <c r="V102" s="1">
        <f>V142-U102-T102-S102</f>
        <v>259.20000000000027</v>
      </c>
      <c r="W102" s="1">
        <v>-1778.7</v>
      </c>
      <c r="X102" s="1">
        <f>X142-W102</f>
        <v>-2238</v>
      </c>
      <c r="Y102" s="1">
        <f>Y142-X102-W102</f>
        <v>-3682</v>
      </c>
      <c r="Z102" s="1">
        <v>-808.6</v>
      </c>
      <c r="AA102" s="1">
        <v>-2956</v>
      </c>
      <c r="AB102" s="1">
        <v>-2500.3000000000002</v>
      </c>
      <c r="AC102" s="1">
        <f t="shared" si="148"/>
        <v>-2011.8000000000002</v>
      </c>
      <c r="AD102" s="1">
        <v>0</v>
      </c>
      <c r="AI102" s="1">
        <v>1379.1</v>
      </c>
      <c r="AJ102" s="1">
        <v>4276.3</v>
      </c>
      <c r="AK102" s="1">
        <f>-3633.9</f>
        <v>-3633.9</v>
      </c>
      <c r="AL102" s="1">
        <f t="shared" si="149"/>
        <v>-3382.1</v>
      </c>
      <c r="AM102" s="1">
        <f t="shared" si="150"/>
        <v>-8507.2999999999993</v>
      </c>
      <c r="AN102" s="1">
        <f t="shared" si="151"/>
        <v>-7468.1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</row>
    <row r="103" spans="2:50" x14ac:dyDescent="0.3">
      <c r="B103" t="s">
        <v>50</v>
      </c>
      <c r="S103" s="1">
        <v>74.099999999999994</v>
      </c>
      <c r="T103" s="1">
        <f>T143-S103</f>
        <v>18.5</v>
      </c>
      <c r="U103" s="1">
        <f>U143-T103-S103</f>
        <v>-26.099999999999994</v>
      </c>
      <c r="V103" s="1">
        <f>V143-U103-T103-S103</f>
        <v>103.30000000000001</v>
      </c>
      <c r="W103" s="1">
        <v>156.1</v>
      </c>
      <c r="X103" s="1">
        <f>X143-W103</f>
        <v>54.200000000000017</v>
      </c>
      <c r="Y103" s="1">
        <f>Y143-X103-W103</f>
        <v>-374.8</v>
      </c>
      <c r="Z103" s="1">
        <v>158.19999999999999</v>
      </c>
      <c r="AA103" s="1">
        <v>162.30000000000001</v>
      </c>
      <c r="AB103" s="1">
        <v>114.9</v>
      </c>
      <c r="AC103" s="1">
        <f t="shared" si="148"/>
        <v>272.59999999999997</v>
      </c>
      <c r="AD103" s="1">
        <v>0</v>
      </c>
      <c r="AI103" s="1">
        <v>270</v>
      </c>
      <c r="AJ103" s="1">
        <v>247.4</v>
      </c>
      <c r="AK103" s="1">
        <v>137.80000000000001</v>
      </c>
      <c r="AL103" s="1">
        <f t="shared" si="149"/>
        <v>169.8</v>
      </c>
      <c r="AM103" s="1">
        <f t="shared" si="150"/>
        <v>-6.3000000000000114</v>
      </c>
      <c r="AN103" s="1">
        <f t="shared" si="151"/>
        <v>549.79999999999995</v>
      </c>
      <c r="AO103" s="1">
        <f>AO16</f>
        <v>682.81766740800003</v>
      </c>
      <c r="AP103" s="1">
        <f t="shared" ref="AP103:AX103" si="156">AP16</f>
        <v>763.20359572463997</v>
      </c>
      <c r="AQ103" s="1">
        <f t="shared" si="156"/>
        <v>822.44963276151805</v>
      </c>
      <c r="AR103" s="1">
        <f t="shared" si="156"/>
        <v>865.90309073981689</v>
      </c>
      <c r="AS103" s="1">
        <f t="shared" si="156"/>
        <v>897.43138045306705</v>
      </c>
      <c r="AT103" s="1">
        <f t="shared" si="156"/>
        <v>925.08202376971371</v>
      </c>
      <c r="AU103" s="1">
        <f t="shared" si="156"/>
        <v>940.0227856655149</v>
      </c>
      <c r="AV103" s="1">
        <f t="shared" si="156"/>
        <v>955.3868691388642</v>
      </c>
      <c r="AW103" s="1">
        <f t="shared" si="156"/>
        <v>971.19188560973794</v>
      </c>
      <c r="AX103" s="1">
        <f t="shared" si="156"/>
        <v>987.4562819977092</v>
      </c>
    </row>
    <row r="104" spans="2:50" x14ac:dyDescent="0.3">
      <c r="B104" t="s">
        <v>95</v>
      </c>
      <c r="S104" s="1">
        <v>-74.900000000000006</v>
      </c>
      <c r="T104" s="1">
        <f>T144-S104</f>
        <v>67.300000000000011</v>
      </c>
      <c r="U104" s="1">
        <f>U144-T104-S104</f>
        <v>74.199999999999989</v>
      </c>
      <c r="V104" s="1">
        <f>V144-U104-T104-S104</f>
        <v>-47.3</v>
      </c>
      <c r="W104" s="1">
        <v>-116.1</v>
      </c>
      <c r="X104" s="1">
        <f>X144-W104</f>
        <v>84.6</v>
      </c>
      <c r="Y104" s="1">
        <f>Y144-X104-W104</f>
        <v>88.7</v>
      </c>
      <c r="Z104" s="1">
        <v>-27.2</v>
      </c>
      <c r="AA104" s="1">
        <v>-162.6</v>
      </c>
      <c r="AB104" s="1">
        <v>63.9</v>
      </c>
      <c r="AC104" s="1">
        <f t="shared" si="148"/>
        <v>80.599999999999994</v>
      </c>
      <c r="AD104" s="1">
        <v>0</v>
      </c>
      <c r="AI104" s="1">
        <v>110</v>
      </c>
      <c r="AJ104" s="1">
        <v>-37.4</v>
      </c>
      <c r="AK104" s="1">
        <v>195.3</v>
      </c>
      <c r="AL104" s="1">
        <f t="shared" si="149"/>
        <v>19.299999999999997</v>
      </c>
      <c r="AM104" s="1">
        <f t="shared" si="150"/>
        <v>30.000000000000004</v>
      </c>
      <c r="AN104" s="1">
        <f t="shared" si="151"/>
        <v>-18.099999999999994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</row>
    <row r="105" spans="2:50" x14ac:dyDescent="0.3">
      <c r="B105" t="s">
        <v>97</v>
      </c>
      <c r="S105" s="1">
        <v>-15.6</v>
      </c>
      <c r="T105" s="1">
        <f>T145-S105</f>
        <v>-1.2999999999999989</v>
      </c>
      <c r="U105" s="1">
        <f>U145-T105-S105</f>
        <v>-10.9</v>
      </c>
      <c r="V105" s="1">
        <f>V145-U105-T105-S105</f>
        <v>-6.2000000000000046</v>
      </c>
      <c r="W105" s="1">
        <v>-7.4</v>
      </c>
      <c r="X105" s="1">
        <f>X145-W105</f>
        <v>-22.200000000000003</v>
      </c>
      <c r="Y105" s="1">
        <f>Y145-X105-W105</f>
        <v>-15.299999999999995</v>
      </c>
      <c r="Z105" s="1">
        <v>-14</v>
      </c>
      <c r="AA105" s="1">
        <v>-13.7</v>
      </c>
      <c r="AB105" s="1">
        <v>-28.9</v>
      </c>
      <c r="AC105" s="1">
        <f t="shared" si="148"/>
        <v>-30.100000000000005</v>
      </c>
      <c r="AD105" s="1">
        <v>0</v>
      </c>
      <c r="AI105" s="1">
        <v>-2.2000000000000002</v>
      </c>
      <c r="AJ105" s="1">
        <v>-10.199999999999999</v>
      </c>
      <c r="AK105" s="1">
        <v>-10</v>
      </c>
      <c r="AL105" s="1">
        <f t="shared" si="149"/>
        <v>-34</v>
      </c>
      <c r="AM105" s="1">
        <f t="shared" si="150"/>
        <v>-58.9</v>
      </c>
      <c r="AN105" s="1">
        <f t="shared" si="151"/>
        <v>-72.7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</row>
    <row r="106" spans="2:50" x14ac:dyDescent="0.3">
      <c r="B106" t="s">
        <v>92</v>
      </c>
      <c r="S106" s="1">
        <v>1.2</v>
      </c>
      <c r="T106" s="1">
        <f>T146-S106</f>
        <v>-3.3</v>
      </c>
      <c r="U106" s="1">
        <f>U146-T106-S106</f>
        <v>-32.699999999999996</v>
      </c>
      <c r="V106" s="1">
        <f>V146-U106-T106-S106</f>
        <v>-45.20000000000001</v>
      </c>
      <c r="W106" s="1">
        <v>80.5</v>
      </c>
      <c r="X106" s="1">
        <f>X146-W106</f>
        <v>80.300000000000011</v>
      </c>
      <c r="Y106" s="1">
        <f>Y146-X106-W106</f>
        <v>64.099999999999994</v>
      </c>
      <c r="Z106" s="1">
        <v>136.80000000000001</v>
      </c>
      <c r="AA106" s="1">
        <v>23.6</v>
      </c>
      <c r="AB106" s="1">
        <v>-31.7</v>
      </c>
      <c r="AC106" s="1">
        <f t="shared" si="148"/>
        <v>91.5</v>
      </c>
      <c r="AD106" s="1">
        <v>0</v>
      </c>
      <c r="AI106" s="1">
        <v>31.8</v>
      </c>
      <c r="AJ106" s="1">
        <v>40.799999999999997</v>
      </c>
      <c r="AK106" s="1">
        <v>323.60000000000002</v>
      </c>
      <c r="AL106" s="1">
        <f t="shared" si="149"/>
        <v>-80</v>
      </c>
      <c r="AM106" s="1">
        <f t="shared" si="150"/>
        <v>361.70000000000005</v>
      </c>
      <c r="AN106" s="1">
        <f t="shared" si="151"/>
        <v>83.4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</row>
    <row r="107" spans="2:50" x14ac:dyDescent="0.3">
      <c r="B107" t="s">
        <v>116</v>
      </c>
      <c r="S107" s="1">
        <v>-133.4</v>
      </c>
      <c r="T107" s="1">
        <f>T147-S107</f>
        <v>-303.70000000000005</v>
      </c>
      <c r="U107" s="1">
        <f>U147-T107-S107</f>
        <v>-43.099999999999937</v>
      </c>
      <c r="V107" s="1">
        <f>V147-U107-T107-S107</f>
        <v>-269.20000000000005</v>
      </c>
      <c r="W107" s="1">
        <v>-51.2</v>
      </c>
      <c r="X107" s="1">
        <f>X147-W107</f>
        <v>-262.3</v>
      </c>
      <c r="Y107" s="1">
        <f>Y147-X107-W107</f>
        <v>-266.29999999999995</v>
      </c>
      <c r="Z107" s="1">
        <v>-202.6</v>
      </c>
      <c r="AA107" s="1">
        <v>-143.9</v>
      </c>
      <c r="AB107" s="1">
        <v>-240.1</v>
      </c>
      <c r="AC107" s="1">
        <f t="shared" si="148"/>
        <v>-362.4</v>
      </c>
      <c r="AD107" s="1">
        <v>-450</v>
      </c>
      <c r="AI107" s="1">
        <v>-177.6</v>
      </c>
      <c r="AJ107" s="1">
        <v>-299.7</v>
      </c>
      <c r="AK107" s="1">
        <v>-430.4</v>
      </c>
      <c r="AL107" s="1">
        <f t="shared" si="149"/>
        <v>-749.4</v>
      </c>
      <c r="AM107" s="1">
        <f t="shared" si="150"/>
        <v>-782.4</v>
      </c>
      <c r="AN107" s="1">
        <f t="shared" si="151"/>
        <v>-1196.4000000000001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</row>
    <row r="108" spans="2:50" x14ac:dyDescent="0.3">
      <c r="B108" t="s">
        <v>117</v>
      </c>
      <c r="S108" s="1">
        <v>606.79999999999995</v>
      </c>
      <c r="T108" s="1">
        <f>T148-S108</f>
        <v>538.90000000000009</v>
      </c>
      <c r="U108" s="1">
        <f>U148-T108-S108</f>
        <v>679.3</v>
      </c>
      <c r="V108" s="1">
        <f>V148-U108-T108-S108</f>
        <v>941.90000000000032</v>
      </c>
      <c r="W108" s="1">
        <v>958.2</v>
      </c>
      <c r="X108" s="1">
        <f>X148-W108</f>
        <v>1080.7</v>
      </c>
      <c r="Y108" s="1">
        <f>Y148-X108-W108</f>
        <v>1203.8</v>
      </c>
      <c r="Z108" s="1">
        <v>1335.5</v>
      </c>
      <c r="AA108" s="1">
        <v>1528.9</v>
      </c>
      <c r="AB108" s="1">
        <v>1782.9</v>
      </c>
      <c r="AC108" s="1">
        <f t="shared" si="148"/>
        <v>1950.6999999999998</v>
      </c>
      <c r="AD108" s="1">
        <v>2000</v>
      </c>
      <c r="AI108" s="1">
        <v>1172.8</v>
      </c>
      <c r="AJ108" s="1">
        <v>1578.9</v>
      </c>
      <c r="AK108" s="1">
        <v>2058.6999999999998</v>
      </c>
      <c r="AL108" s="1">
        <f t="shared" si="149"/>
        <v>2766.9000000000005</v>
      </c>
      <c r="AM108" s="1">
        <f t="shared" si="150"/>
        <v>4578.2</v>
      </c>
      <c r="AN108" s="1">
        <f t="shared" si="151"/>
        <v>7262.5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</row>
    <row r="109" spans="2:50" x14ac:dyDescent="0.3">
      <c r="B109" t="s">
        <v>50</v>
      </c>
      <c r="S109" s="1">
        <v>-28.4</v>
      </c>
      <c r="T109" s="1">
        <f>T149-S109</f>
        <v>-18.899999999999999</v>
      </c>
      <c r="U109" s="1">
        <f>U149-T109-S109</f>
        <v>-36.000000000000007</v>
      </c>
      <c r="V109" s="1">
        <f>V149-U109-T109-S109</f>
        <v>-32.799999999999997</v>
      </c>
      <c r="W109" s="1">
        <v>-64.2</v>
      </c>
      <c r="X109" s="1">
        <f>X149-W109</f>
        <v>-11.399999999999991</v>
      </c>
      <c r="Y109" s="1">
        <f>Y149-X109-W109</f>
        <v>-44</v>
      </c>
      <c r="Z109" s="1">
        <v>-54.4</v>
      </c>
      <c r="AA109" s="1">
        <v>-108</v>
      </c>
      <c r="AB109" s="1">
        <v>-74.099999999999994</v>
      </c>
      <c r="AC109" s="1">
        <f t="shared" si="148"/>
        <v>-112.9</v>
      </c>
      <c r="AD109" s="1">
        <f>-AD16</f>
        <v>-176.79906600000001</v>
      </c>
      <c r="AI109" s="1">
        <v>-157.69999999999999</v>
      </c>
      <c r="AJ109" s="1">
        <v>-128.19999999999999</v>
      </c>
      <c r="AK109" s="1">
        <v>-191.1</v>
      </c>
      <c r="AL109" s="1">
        <f t="shared" si="149"/>
        <v>-116.10000000000001</v>
      </c>
      <c r="AM109" s="1">
        <f t="shared" si="150"/>
        <v>-174</v>
      </c>
      <c r="AN109" s="1">
        <f t="shared" si="151"/>
        <v>-471.79906600000004</v>
      </c>
      <c r="AO109" s="1">
        <f t="shared" ref="AO109:AX109" si="157">AN109*1.01</f>
        <v>-476.51705666000004</v>
      </c>
      <c r="AP109" s="1">
        <f t="shared" si="157"/>
        <v>-481.28222722660001</v>
      </c>
      <c r="AQ109" s="1">
        <f t="shared" si="157"/>
        <v>-486.09504949886605</v>
      </c>
      <c r="AR109" s="1">
        <f t="shared" si="157"/>
        <v>-490.95599999385473</v>
      </c>
      <c r="AS109" s="1">
        <f t="shared" si="157"/>
        <v>-495.86555999379328</v>
      </c>
      <c r="AT109" s="1">
        <f t="shared" si="157"/>
        <v>-500.8242155937312</v>
      </c>
      <c r="AU109" s="1">
        <f t="shared" si="157"/>
        <v>-505.83245774966849</v>
      </c>
      <c r="AV109" s="1">
        <f t="shared" si="157"/>
        <v>-510.8907823271652</v>
      </c>
      <c r="AW109" s="1">
        <f t="shared" si="157"/>
        <v>-515.99969015043689</v>
      </c>
      <c r="AX109" s="1">
        <f t="shared" si="157"/>
        <v>-521.15968705194132</v>
      </c>
    </row>
    <row r="110" spans="2:50" s="7" customFormat="1" x14ac:dyDescent="0.3">
      <c r="B110" s="7" t="s">
        <v>118</v>
      </c>
      <c r="O110" s="9">
        <f t="shared" ref="O110:X110" si="158">O80+SUM(O81:O109)</f>
        <v>-313.09999999999997</v>
      </c>
      <c r="P110" s="9">
        <f t="shared" si="158"/>
        <v>-487.40000000000015</v>
      </c>
      <c r="Q110" s="9">
        <f t="shared" si="158"/>
        <v>202.49999999999997</v>
      </c>
      <c r="R110" s="9">
        <f t="shared" si="158"/>
        <v>78.899999999999949</v>
      </c>
      <c r="S110" s="9">
        <f t="shared" si="158"/>
        <v>1168.4000000000001</v>
      </c>
      <c r="T110" s="9">
        <f t="shared" si="158"/>
        <v>830.80000000000018</v>
      </c>
      <c r="U110" s="9">
        <f t="shared" si="158"/>
        <v>60.399999999999352</v>
      </c>
      <c r="V110" s="9">
        <f t="shared" si="158"/>
        <v>-416.09999999999991</v>
      </c>
      <c r="W110" s="9">
        <f t="shared" si="158"/>
        <v>-2473.9999999999995</v>
      </c>
      <c r="X110" s="9">
        <f t="shared" si="158"/>
        <v>-718.10000000000014</v>
      </c>
      <c r="Y110" s="9">
        <f>Y80+SUM(Y81:Y109)</f>
        <v>-134.40000000000009</v>
      </c>
      <c r="Z110" s="9">
        <f>Z80+SUM(Z81:Z109)</f>
        <v>-300.70000000000027</v>
      </c>
      <c r="AA110" s="9">
        <f>AA80+SUM(AA81:AA109)</f>
        <v>622.0999999999998</v>
      </c>
      <c r="AB110" s="9">
        <f>AB80+SUM(AB81:AB109)</f>
        <v>384.29999999999984</v>
      </c>
      <c r="AC110" s="9">
        <f>AC80+SUM(AC81:AC109)</f>
        <v>-1027.3999999999996</v>
      </c>
      <c r="AD110" s="9">
        <f>AD80+SUM(AD81:AD109)</f>
        <v>3007.923268</v>
      </c>
      <c r="AI110" s="9">
        <f t="shared" ref="AI110" si="159">AI80+SUM(AI81:AI109)</f>
        <v>73.099999999999568</v>
      </c>
      <c r="AJ110" s="9">
        <f t="shared" ref="AJ110:AK110" si="160">AJ80+SUM(AJ81:AJ109)</f>
        <v>3625.7000000000007</v>
      </c>
      <c r="AK110" s="9">
        <f t="shared" si="160"/>
        <v>1690.8000000000011</v>
      </c>
      <c r="AL110" s="9">
        <f t="shared" ref="AL110:AN110" si="161">AL80+SUM(AL81:AL109)</f>
        <v>1643.500000000002</v>
      </c>
      <c r="AM110" s="9">
        <f t="shared" si="161"/>
        <v>-3627.199999999998</v>
      </c>
      <c r="AN110" s="9">
        <f t="shared" si="161"/>
        <v>2986.9232679999986</v>
      </c>
      <c r="AO110" s="9">
        <f t="shared" ref="AO110:AX110" si="162">AO80+SUM(AO81:AO109)</f>
        <v>4994.1945659687999</v>
      </c>
      <c r="AP110" s="9">
        <f t="shared" si="162"/>
        <v>5431.5210590689039</v>
      </c>
      <c r="AQ110" s="9">
        <f t="shared" si="162"/>
        <v>5752.4789238011062</v>
      </c>
      <c r="AR110" s="9">
        <f t="shared" si="162"/>
        <v>5986.6762662487963</v>
      </c>
      <c r="AS110" s="9">
        <f t="shared" si="162"/>
        <v>6155.5179327454935</v>
      </c>
      <c r="AT110" s="9">
        <f t="shared" si="162"/>
        <v>6303.5870352166694</v>
      </c>
      <c r="AU110" s="9">
        <f t="shared" si="162"/>
        <v>6381.879588643852</v>
      </c>
      <c r="AV110" s="9">
        <f t="shared" si="162"/>
        <v>6463.1794463272199</v>
      </c>
      <c r="AW110" s="9">
        <f t="shared" si="162"/>
        <v>6547.5533947970744</v>
      </c>
      <c r="AX110" s="9">
        <f t="shared" si="162"/>
        <v>6635.0743738893843</v>
      </c>
    </row>
    <row r="111" spans="2:50" x14ac:dyDescent="0.3">
      <c r="B111" t="s">
        <v>88</v>
      </c>
      <c r="S111" s="1">
        <v>340.3</v>
      </c>
      <c r="T111" s="1">
        <f>T151-S111</f>
        <v>196.2</v>
      </c>
      <c r="U111" s="1">
        <f>U151-T111-S111</f>
        <v>55.299999999999955</v>
      </c>
      <c r="V111" s="1">
        <f>V151-U111-T111-S111</f>
        <v>144.40000000000009</v>
      </c>
      <c r="W111" s="1">
        <v>180.6</v>
      </c>
      <c r="X111" s="1">
        <f>X151-W111</f>
        <v>210.29999999999998</v>
      </c>
      <c r="Y111" s="1">
        <f>Y151-X111-W111</f>
        <v>170.20000000000007</v>
      </c>
      <c r="Z111" s="1">
        <v>203.4</v>
      </c>
      <c r="AA111" s="1">
        <v>180.2</v>
      </c>
      <c r="AB111" s="1">
        <v>211.3</v>
      </c>
      <c r="AC111" s="1">
        <f t="shared" si="148"/>
        <v>154.60000000000002</v>
      </c>
      <c r="AD111" s="1">
        <v>190</v>
      </c>
      <c r="AI111" s="1">
        <v>372.1</v>
      </c>
      <c r="AJ111" s="1">
        <v>1083</v>
      </c>
      <c r="AK111" s="1">
        <v>417.7</v>
      </c>
      <c r="AL111" s="1">
        <f t="shared" ref="AL111:AL112" si="163">SUM(S111:V111)</f>
        <v>736.2</v>
      </c>
      <c r="AM111" s="1">
        <f t="shared" ref="AM111:AM112" si="164">SUM(W111:Z111)</f>
        <v>764.5</v>
      </c>
      <c r="AN111" s="1">
        <f t="shared" ref="AN111:AN112" si="165">SUM(AA111:AD111)</f>
        <v>736.1</v>
      </c>
      <c r="AO111" s="1">
        <f t="shared" ref="AO111:AR112" si="166">AN111*1.02</f>
        <v>750.822</v>
      </c>
      <c r="AP111" s="1">
        <f>AO111*1.01</f>
        <v>758.33022000000005</v>
      </c>
      <c r="AQ111" s="1">
        <f t="shared" ref="AQ111:AX111" si="167">AP111*1.01</f>
        <v>765.9135222000001</v>
      </c>
      <c r="AR111" s="1">
        <f t="shared" si="167"/>
        <v>773.57265742200013</v>
      </c>
      <c r="AS111" s="1">
        <f t="shared" si="167"/>
        <v>781.30838399622019</v>
      </c>
      <c r="AT111" s="1">
        <f t="shared" si="167"/>
        <v>789.12146783618243</v>
      </c>
      <c r="AU111" s="1">
        <f t="shared" si="167"/>
        <v>797.01268251454428</v>
      </c>
      <c r="AV111" s="1">
        <f t="shared" si="167"/>
        <v>804.98280933968977</v>
      </c>
      <c r="AW111" s="1">
        <f t="shared" si="167"/>
        <v>813.03263743308662</v>
      </c>
      <c r="AX111" s="1">
        <f t="shared" si="167"/>
        <v>821.16296380741744</v>
      </c>
    </row>
    <row r="112" spans="2:50" x14ac:dyDescent="0.3">
      <c r="B112" t="s">
        <v>89</v>
      </c>
      <c r="S112" s="1">
        <v>76.099999999999994</v>
      </c>
      <c r="T112" s="1">
        <f>T152-S112</f>
        <v>136</v>
      </c>
      <c r="U112" s="1">
        <f>U152-T112-S112</f>
        <v>121.1</v>
      </c>
      <c r="V112" s="1">
        <f>V152-U112-T112-S112</f>
        <v>140.9</v>
      </c>
      <c r="W112" s="1">
        <v>126</v>
      </c>
      <c r="X112" s="1">
        <f>X152-W112</f>
        <v>134.30000000000001</v>
      </c>
      <c r="Y112" s="1">
        <f>Y152-X112-W112</f>
        <v>127.89999999999998</v>
      </c>
      <c r="Z112" s="1">
        <v>119</v>
      </c>
      <c r="AA112" s="1">
        <v>107.3</v>
      </c>
      <c r="AB112" s="1">
        <v>107.7</v>
      </c>
      <c r="AC112" s="1">
        <f t="shared" si="148"/>
        <v>119.2</v>
      </c>
      <c r="AD112" s="1">
        <v>115</v>
      </c>
      <c r="AI112" s="1">
        <v>83</v>
      </c>
      <c r="AJ112" s="1">
        <v>215.7</v>
      </c>
      <c r="AK112" s="1">
        <v>305.5</v>
      </c>
      <c r="AL112" s="1">
        <f t="shared" si="163"/>
        <v>474.1</v>
      </c>
      <c r="AM112" s="1">
        <f t="shared" si="164"/>
        <v>507.2</v>
      </c>
      <c r="AN112" s="1">
        <f t="shared" si="165"/>
        <v>449.2</v>
      </c>
      <c r="AO112" s="1">
        <f>AN112*1.02</f>
        <v>458.18399999999997</v>
      </c>
      <c r="AP112" s="1">
        <f t="shared" si="166"/>
        <v>467.34767999999997</v>
      </c>
      <c r="AQ112" s="1">
        <f t="shared" si="166"/>
        <v>476.69463359999997</v>
      </c>
      <c r="AR112" s="1">
        <f t="shared" si="166"/>
        <v>486.22852627200001</v>
      </c>
      <c r="AS112" s="1">
        <f>AR112*1.01</f>
        <v>491.09081153471999</v>
      </c>
      <c r="AT112" s="1">
        <f t="shared" ref="AT112:AX112" si="168">AS112*1.01</f>
        <v>496.00171965006717</v>
      </c>
      <c r="AU112" s="1">
        <f t="shared" si="168"/>
        <v>500.96173684656787</v>
      </c>
      <c r="AV112" s="1">
        <f t="shared" si="168"/>
        <v>505.97135421503356</v>
      </c>
      <c r="AW112" s="1">
        <f t="shared" si="168"/>
        <v>511.03106775718391</v>
      </c>
      <c r="AX112" s="1">
        <f t="shared" si="168"/>
        <v>516.14137843475578</v>
      </c>
    </row>
    <row r="113" spans="2:148" x14ac:dyDescent="0.3">
      <c r="B113" t="s">
        <v>127</v>
      </c>
      <c r="S113" s="1">
        <f>S111+S112</f>
        <v>416.4</v>
      </c>
      <c r="T113" s="1">
        <f t="shared" ref="T113:Z113" si="169">T111+T112</f>
        <v>332.2</v>
      </c>
      <c r="U113" s="1">
        <f t="shared" si="169"/>
        <v>176.39999999999995</v>
      </c>
      <c r="V113" s="1">
        <f t="shared" si="169"/>
        <v>285.30000000000007</v>
      </c>
      <c r="W113" s="1">
        <f t="shared" si="169"/>
        <v>306.60000000000002</v>
      </c>
      <c r="X113" s="1">
        <f t="shared" si="169"/>
        <v>344.6</v>
      </c>
      <c r="Y113" s="1">
        <f t="shared" si="169"/>
        <v>298.10000000000002</v>
      </c>
      <c r="Z113" s="1">
        <f t="shared" si="169"/>
        <v>322.39999999999998</v>
      </c>
      <c r="AA113" s="1">
        <f t="shared" ref="AA113:AC113" si="170">AA111+AA112</f>
        <v>287.5</v>
      </c>
      <c r="AB113" s="1">
        <f t="shared" ref="AB113" si="171">AB111+AB112</f>
        <v>319</v>
      </c>
      <c r="AC113" s="1">
        <f t="shared" si="170"/>
        <v>273.8</v>
      </c>
      <c r="AD113" s="1">
        <f t="shared" ref="AD113" si="172">AD111+AD112</f>
        <v>305</v>
      </c>
      <c r="AI113" s="1">
        <f t="shared" ref="AI113:AK113" si="173">AI111+AI112</f>
        <v>455.1</v>
      </c>
      <c r="AJ113" s="1">
        <f t="shared" si="173"/>
        <v>1298.7</v>
      </c>
      <c r="AK113" s="1">
        <f t="shared" si="173"/>
        <v>723.2</v>
      </c>
      <c r="AL113" s="1">
        <f t="shared" ref="AL113" si="174">AL111+AL112</f>
        <v>1210.3000000000002</v>
      </c>
      <c r="AM113" s="1">
        <f t="shared" ref="AM113" si="175">AM111+AM112</f>
        <v>1271.7</v>
      </c>
      <c r="AN113" s="1">
        <f t="shared" ref="AN113" si="176">AN111+AN112</f>
        <v>1185.3</v>
      </c>
      <c r="AO113" s="1">
        <f t="shared" ref="AO113" si="177">AO111+AO112</f>
        <v>1209.0059999999999</v>
      </c>
      <c r="AP113" s="1">
        <f t="shared" ref="AP113" si="178">AP111+AP112</f>
        <v>1225.6779000000001</v>
      </c>
      <c r="AQ113" s="1">
        <f t="shared" ref="AQ113" si="179">AQ111+AQ112</f>
        <v>1242.6081558000001</v>
      </c>
      <c r="AR113" s="1">
        <f t="shared" ref="AR113" si="180">AR111+AR112</f>
        <v>1259.8011836940002</v>
      </c>
      <c r="AS113" s="1">
        <f t="shared" ref="AS113" si="181">AS111+AS112</f>
        <v>1272.3991955309402</v>
      </c>
      <c r="AT113" s="1">
        <f t="shared" ref="AT113" si="182">AT111+AT112</f>
        <v>1285.1231874862497</v>
      </c>
      <c r="AU113" s="1">
        <f t="shared" ref="AU113" si="183">AU111+AU112</f>
        <v>1297.9744193611123</v>
      </c>
      <c r="AV113" s="1">
        <f t="shared" ref="AV113" si="184">AV111+AV112</f>
        <v>1310.9541635547234</v>
      </c>
      <c r="AW113" s="1">
        <f t="shared" ref="AW113" si="185">AW111+AW112</f>
        <v>1324.0637051902704</v>
      </c>
      <c r="AX113" s="1">
        <f t="shared" ref="AX113" si="186">AX111+AX112</f>
        <v>1337.3043422421733</v>
      </c>
    </row>
    <row r="114" spans="2:148" s="7" customFormat="1" x14ac:dyDescent="0.3">
      <c r="B114" s="7" t="s">
        <v>119</v>
      </c>
      <c r="O114" s="9">
        <f t="shared" ref="O114:R114" si="187">O110+O111+O112</f>
        <v>-313.09999999999997</v>
      </c>
      <c r="P114" s="9">
        <f t="shared" si="187"/>
        <v>-487.40000000000015</v>
      </c>
      <c r="Q114" s="9">
        <f t="shared" si="187"/>
        <v>202.49999999999997</v>
      </c>
      <c r="R114" s="9">
        <f t="shared" si="187"/>
        <v>78.899999999999949</v>
      </c>
      <c r="S114" s="9">
        <f>S110-S113</f>
        <v>752.00000000000011</v>
      </c>
      <c r="T114" s="9">
        <f t="shared" ref="T114:Z114" si="188">T110-T113</f>
        <v>498.60000000000019</v>
      </c>
      <c r="U114" s="9">
        <f t="shared" si="188"/>
        <v>-116.0000000000006</v>
      </c>
      <c r="V114" s="9">
        <f t="shared" si="188"/>
        <v>-701.4</v>
      </c>
      <c r="W114" s="9">
        <f t="shared" si="188"/>
        <v>-2780.5999999999995</v>
      </c>
      <c r="X114" s="9">
        <f t="shared" si="188"/>
        <v>-1062.7000000000003</v>
      </c>
      <c r="Y114" s="9">
        <f t="shared" si="188"/>
        <v>-432.50000000000011</v>
      </c>
      <c r="Z114" s="9">
        <f t="shared" si="188"/>
        <v>-623.10000000000025</v>
      </c>
      <c r="AA114" s="9">
        <f t="shared" ref="AA114:AC114" si="189">AA110-AA113</f>
        <v>334.5999999999998</v>
      </c>
      <c r="AB114" s="9">
        <f t="shared" ref="AB114" si="190">AB110-AB113</f>
        <v>65.299999999999841</v>
      </c>
      <c r="AC114" s="9">
        <f t="shared" si="189"/>
        <v>-1301.1999999999996</v>
      </c>
      <c r="AD114" s="9">
        <f t="shared" ref="AD114" si="191">AD110-AD113</f>
        <v>2702.923268</v>
      </c>
      <c r="AI114" s="9">
        <f t="shared" ref="AI114:AK114" si="192">AI110-AI113</f>
        <v>-382.00000000000045</v>
      </c>
      <c r="AJ114" s="9">
        <f t="shared" si="192"/>
        <v>2327.0000000000009</v>
      </c>
      <c r="AK114" s="9">
        <f t="shared" si="192"/>
        <v>967.60000000000105</v>
      </c>
      <c r="AL114" s="9">
        <f t="shared" ref="AL114" si="193">AL110-AL113</f>
        <v>433.20000000000186</v>
      </c>
      <c r="AM114" s="9">
        <f t="shared" ref="AM114" si="194">AM110-AM113</f>
        <v>-4898.8999999999978</v>
      </c>
      <c r="AN114" s="9">
        <f t="shared" ref="AN114" si="195">AN110-AN113</f>
        <v>1801.6232679999987</v>
      </c>
      <c r="AO114" s="9">
        <f t="shared" ref="AO114" si="196">AO110-AO113</f>
        <v>3785.1885659688</v>
      </c>
      <c r="AP114" s="9">
        <f t="shared" ref="AP114" si="197">AP110-AP113</f>
        <v>4205.8431590689033</v>
      </c>
      <c r="AQ114" s="9">
        <f t="shared" ref="AQ114" si="198">AQ110-AQ113</f>
        <v>4509.8707680011066</v>
      </c>
      <c r="AR114" s="9">
        <f t="shared" ref="AR114" si="199">AR110-AR113</f>
        <v>4726.8750825547959</v>
      </c>
      <c r="AS114" s="9">
        <f t="shared" ref="AS114" si="200">AS110-AS113</f>
        <v>4883.1187372145532</v>
      </c>
      <c r="AT114" s="9">
        <f t="shared" ref="AT114" si="201">AT110-AT113</f>
        <v>5018.4638477304197</v>
      </c>
      <c r="AU114" s="9">
        <f t="shared" ref="AU114" si="202">AU110-AU113</f>
        <v>5083.9051692827397</v>
      </c>
      <c r="AV114" s="9">
        <f t="shared" ref="AV114" si="203">AV110-AV113</f>
        <v>5152.2252827724969</v>
      </c>
      <c r="AW114" s="9">
        <f t="shared" ref="AW114" si="204">AW110-AW113</f>
        <v>5223.4896896068039</v>
      </c>
      <c r="AX114" s="9">
        <f t="shared" ref="AX114" si="205">AX110-AX113</f>
        <v>5297.770031647211</v>
      </c>
      <c r="AY114" s="7">
        <f>AX114*(1+$BC$23)</f>
        <v>5244.7923313307392</v>
      </c>
      <c r="AZ114" s="7">
        <f t="shared" ref="AZ114:DK114" si="206">AY114*(1+$BC$23)</f>
        <v>5192.3444080174322</v>
      </c>
      <c r="BA114" s="7">
        <f t="shared" si="206"/>
        <v>5140.4209639372575</v>
      </c>
      <c r="BB114" s="7">
        <f t="shared" si="206"/>
        <v>5089.0167542978852</v>
      </c>
      <c r="BC114" s="7">
        <f t="shared" si="206"/>
        <v>5038.1265867549064</v>
      </c>
      <c r="BD114" s="7">
        <f t="shared" si="206"/>
        <v>4987.7453208873576</v>
      </c>
      <c r="BE114" s="7">
        <f t="shared" si="206"/>
        <v>4937.8678676784839</v>
      </c>
      <c r="BF114" s="7">
        <f t="shared" si="206"/>
        <v>4888.4891890016988</v>
      </c>
      <c r="BG114" s="7">
        <f t="shared" si="206"/>
        <v>4839.6042971116822</v>
      </c>
      <c r="BH114" s="7">
        <f t="shared" si="206"/>
        <v>4791.2082541405653</v>
      </c>
      <c r="BI114" s="7">
        <f t="shared" si="206"/>
        <v>4743.2961715991596</v>
      </c>
      <c r="BJ114" s="7">
        <f t="shared" si="206"/>
        <v>4695.8632098831677</v>
      </c>
      <c r="BK114" s="7">
        <f t="shared" si="206"/>
        <v>4648.9045777843357</v>
      </c>
      <c r="BL114" s="7">
        <f t="shared" si="206"/>
        <v>4602.415532006492</v>
      </c>
      <c r="BM114" s="7">
        <f t="shared" si="206"/>
        <v>4556.3913766864271</v>
      </c>
      <c r="BN114" s="7">
        <f t="shared" si="206"/>
        <v>4510.827462919563</v>
      </c>
      <c r="BO114" s="7">
        <f t="shared" si="206"/>
        <v>4465.7191882903671</v>
      </c>
      <c r="BP114" s="7">
        <f t="shared" si="206"/>
        <v>4421.0619964074631</v>
      </c>
      <c r="BQ114" s="7">
        <f t="shared" si="206"/>
        <v>4376.8513764433883</v>
      </c>
      <c r="BR114" s="7">
        <f t="shared" si="206"/>
        <v>4333.0828626789544</v>
      </c>
      <c r="BS114" s="7">
        <f t="shared" si="206"/>
        <v>4289.7520340521651</v>
      </c>
      <c r="BT114" s="7">
        <f t="shared" si="206"/>
        <v>4246.8545137116434</v>
      </c>
      <c r="BU114" s="7">
        <f t="shared" si="206"/>
        <v>4204.3859685745274</v>
      </c>
      <c r="BV114" s="7">
        <f t="shared" si="206"/>
        <v>4162.3421088887817</v>
      </c>
      <c r="BW114" s="7">
        <f t="shared" si="206"/>
        <v>4120.7186877998938</v>
      </c>
      <c r="BX114" s="7">
        <f t="shared" si="206"/>
        <v>4079.5115009218948</v>
      </c>
      <c r="BY114" s="7">
        <f t="shared" si="206"/>
        <v>4038.7163859126758</v>
      </c>
      <c r="BZ114" s="7">
        <f t="shared" si="206"/>
        <v>3998.3292220535491</v>
      </c>
      <c r="CA114" s="7">
        <f t="shared" si="206"/>
        <v>3958.3459298330135</v>
      </c>
      <c r="CB114" s="7">
        <f t="shared" si="206"/>
        <v>3918.7624705346834</v>
      </c>
      <c r="CC114" s="7">
        <f t="shared" si="206"/>
        <v>3879.5748458293365</v>
      </c>
      <c r="CD114" s="7">
        <f t="shared" si="206"/>
        <v>3840.779097371043</v>
      </c>
      <c r="CE114" s="7">
        <f t="shared" si="206"/>
        <v>3802.3713063973323</v>
      </c>
      <c r="CF114" s="7">
        <f t="shared" si="206"/>
        <v>3764.3475933333589</v>
      </c>
      <c r="CG114" s="7">
        <f t="shared" si="206"/>
        <v>3726.7041174000251</v>
      </c>
      <c r="CH114" s="7">
        <f t="shared" si="206"/>
        <v>3689.4370762260246</v>
      </c>
      <c r="CI114" s="7">
        <f t="shared" si="206"/>
        <v>3652.5427054637644</v>
      </c>
      <c r="CJ114" s="7">
        <f t="shared" si="206"/>
        <v>3616.0172784091269</v>
      </c>
      <c r="CK114" s="7">
        <f t="shared" si="206"/>
        <v>3579.8571056250357</v>
      </c>
      <c r="CL114" s="7">
        <f t="shared" si="206"/>
        <v>3544.0585345687855</v>
      </c>
      <c r="CM114" s="7">
        <f t="shared" si="206"/>
        <v>3508.6179492230976</v>
      </c>
      <c r="CN114" s="7">
        <f t="shared" si="206"/>
        <v>3473.5317697308665</v>
      </c>
      <c r="CO114" s="7">
        <f t="shared" si="206"/>
        <v>3438.7964520335577</v>
      </c>
      <c r="CP114" s="7">
        <f t="shared" si="206"/>
        <v>3404.4084875132221</v>
      </c>
      <c r="CQ114" s="7">
        <f t="shared" si="206"/>
        <v>3370.3644026380898</v>
      </c>
      <c r="CR114" s="7">
        <f t="shared" si="206"/>
        <v>3336.6607586117088</v>
      </c>
      <c r="CS114" s="7">
        <f t="shared" si="206"/>
        <v>3303.2941510255919</v>
      </c>
      <c r="CT114" s="7">
        <f t="shared" si="206"/>
        <v>3270.2612095153358</v>
      </c>
      <c r="CU114" s="7">
        <f t="shared" si="206"/>
        <v>3237.5585974201827</v>
      </c>
      <c r="CV114" s="7">
        <f t="shared" si="206"/>
        <v>3205.1830114459808</v>
      </c>
      <c r="CW114" s="7">
        <f t="shared" si="206"/>
        <v>3173.131181331521</v>
      </c>
      <c r="CX114" s="7">
        <f t="shared" si="206"/>
        <v>3141.3998695182058</v>
      </c>
      <c r="CY114" s="7">
        <f t="shared" si="206"/>
        <v>3109.9858708230236</v>
      </c>
      <c r="CZ114" s="7">
        <f t="shared" si="206"/>
        <v>3078.8860121147932</v>
      </c>
      <c r="DA114" s="7">
        <f t="shared" si="206"/>
        <v>3048.0971519936452</v>
      </c>
      <c r="DB114" s="7">
        <f t="shared" si="206"/>
        <v>3017.6161804737085</v>
      </c>
      <c r="DC114" s="7">
        <f t="shared" si="206"/>
        <v>2987.4400186689713</v>
      </c>
      <c r="DD114" s="7">
        <f t="shared" si="206"/>
        <v>2957.5656184822815</v>
      </c>
      <c r="DE114" s="7">
        <f t="shared" si="206"/>
        <v>2927.9899622974585</v>
      </c>
      <c r="DF114" s="7">
        <f t="shared" si="206"/>
        <v>2898.7100626744841</v>
      </c>
      <c r="DG114" s="7">
        <f t="shared" si="206"/>
        <v>2869.7229620477392</v>
      </c>
      <c r="DH114" s="7">
        <f t="shared" si="206"/>
        <v>2841.0257324272616</v>
      </c>
      <c r="DI114" s="7">
        <f t="shared" si="206"/>
        <v>2812.615475102989</v>
      </c>
      <c r="DJ114" s="7">
        <f t="shared" si="206"/>
        <v>2784.4893203519591</v>
      </c>
      <c r="DK114" s="7">
        <f t="shared" si="206"/>
        <v>2756.6444271484397</v>
      </c>
      <c r="DL114" s="7">
        <f t="shared" ref="DL114:ER114" si="207">DK114*(1+$BC$23)</f>
        <v>2729.0779828769555</v>
      </c>
      <c r="DM114" s="7">
        <f t="shared" si="207"/>
        <v>2701.7872030481858</v>
      </c>
      <c r="DN114" s="7">
        <f t="shared" si="207"/>
        <v>2674.7693310177037</v>
      </c>
      <c r="DO114" s="7">
        <f t="shared" si="207"/>
        <v>2648.0216377075267</v>
      </c>
      <c r="DP114" s="7">
        <f t="shared" si="207"/>
        <v>2621.5414213304516</v>
      </c>
      <c r="DQ114" s="7">
        <f t="shared" si="207"/>
        <v>2595.3260071171471</v>
      </c>
      <c r="DR114" s="7">
        <f t="shared" si="207"/>
        <v>2569.3727470459758</v>
      </c>
      <c r="DS114" s="7">
        <f t="shared" si="207"/>
        <v>2543.6790195755161</v>
      </c>
      <c r="DT114" s="7">
        <f t="shared" si="207"/>
        <v>2518.2422293797608</v>
      </c>
      <c r="DU114" s="7">
        <f t="shared" si="207"/>
        <v>2493.0598070859633</v>
      </c>
      <c r="DV114" s="7">
        <f t="shared" si="207"/>
        <v>2468.1292090151037</v>
      </c>
      <c r="DW114" s="7">
        <f t="shared" si="207"/>
        <v>2443.4479169249526</v>
      </c>
      <c r="DX114" s="7">
        <f t="shared" si="207"/>
        <v>2419.0134377557029</v>
      </c>
      <c r="DY114" s="7">
        <f t="shared" si="207"/>
        <v>2394.8233033781457</v>
      </c>
      <c r="DZ114" s="7">
        <f t="shared" si="207"/>
        <v>2370.8750703443643</v>
      </c>
      <c r="EA114" s="7">
        <f t="shared" si="207"/>
        <v>2347.1663196409208</v>
      </c>
      <c r="EB114" s="7">
        <f t="shared" si="207"/>
        <v>2323.6946564445116</v>
      </c>
      <c r="EC114" s="7">
        <f t="shared" si="207"/>
        <v>2300.4577098800664</v>
      </c>
      <c r="ED114" s="7">
        <f t="shared" si="207"/>
        <v>2277.4531327812656</v>
      </c>
      <c r="EE114" s="7">
        <f t="shared" si="207"/>
        <v>2254.6786014534528</v>
      </c>
      <c r="EF114" s="7">
        <f t="shared" si="207"/>
        <v>2232.1318154389182</v>
      </c>
      <c r="EG114" s="7">
        <f t="shared" si="207"/>
        <v>2209.810497284529</v>
      </c>
      <c r="EH114" s="7">
        <f t="shared" si="207"/>
        <v>2187.7123923116837</v>
      </c>
      <c r="EI114" s="7">
        <f t="shared" si="207"/>
        <v>2165.8352683885669</v>
      </c>
      <c r="EJ114" s="7">
        <f t="shared" si="207"/>
        <v>2144.1769157046811</v>
      </c>
      <c r="EK114" s="7">
        <f t="shared" si="207"/>
        <v>2122.735146547634</v>
      </c>
      <c r="EL114" s="7">
        <f t="shared" si="207"/>
        <v>2101.5077950821578</v>
      </c>
      <c r="EM114" s="7">
        <f t="shared" si="207"/>
        <v>2080.4927171313361</v>
      </c>
      <c r="EN114" s="7">
        <f t="shared" si="207"/>
        <v>2059.6877899600227</v>
      </c>
      <c r="EO114" s="7">
        <f t="shared" si="207"/>
        <v>2039.0909120604224</v>
      </c>
      <c r="EP114" s="7">
        <f t="shared" si="207"/>
        <v>2018.7000029398182</v>
      </c>
      <c r="EQ114" s="7">
        <f t="shared" si="207"/>
        <v>1998.51300291042</v>
      </c>
      <c r="ER114" s="7">
        <f t="shared" si="207"/>
        <v>1978.5278728813157</v>
      </c>
    </row>
    <row r="115" spans="2:148" x14ac:dyDescent="0.3">
      <c r="BA115" s="10"/>
    </row>
    <row r="116" spans="2:148" x14ac:dyDescent="0.3">
      <c r="B116" t="s">
        <v>130</v>
      </c>
      <c r="W116" s="10">
        <f t="shared" ref="W116:Y116" si="208">W111/S111-1</f>
        <v>-0.46929180135174853</v>
      </c>
      <c r="X116" s="10">
        <f t="shared" si="208"/>
        <v>7.1865443425076503E-2</v>
      </c>
      <c r="Y116" s="10">
        <f t="shared" si="208"/>
        <v>2.0777576853526258</v>
      </c>
      <c r="Z116" s="10">
        <f>Z111/V111-1</f>
        <v>0.40858725761772763</v>
      </c>
      <c r="AA116" s="10">
        <f>AA111/W111-1</f>
        <v>-2.2148394241418012E-3</v>
      </c>
      <c r="AB116" s="10">
        <f t="shared" ref="AB116:AD117" si="209">AB111/X111-1</f>
        <v>4.755111745126106E-3</v>
      </c>
      <c r="AC116" s="10">
        <f t="shared" si="209"/>
        <v>-9.1656874265570232E-2</v>
      </c>
      <c r="AD116" s="10">
        <f t="shared" si="209"/>
        <v>-6.5880039331366769E-2</v>
      </c>
      <c r="AJ116" s="10">
        <f t="shared" ref="AJ116:AN116" si="210">AJ111/AI111-1</f>
        <v>1.9105079279763504</v>
      </c>
      <c r="AK116" s="10">
        <f t="shared" si="210"/>
        <v>-0.61431209602954762</v>
      </c>
      <c r="AL116" s="10">
        <f t="shared" si="210"/>
        <v>0.76250897773521675</v>
      </c>
      <c r="AM116" s="10">
        <f t="shared" si="210"/>
        <v>3.8440641130127684E-2</v>
      </c>
      <c r="AN116" s="10">
        <f>AN111/AM111-1</f>
        <v>-3.7148463047743552E-2</v>
      </c>
      <c r="BA116" s="10"/>
    </row>
    <row r="117" spans="2:148" x14ac:dyDescent="0.3">
      <c r="B117" t="s">
        <v>131</v>
      </c>
      <c r="W117" s="10">
        <f t="shared" ref="W117:AA117" si="211">W112/S112-1</f>
        <v>0.65571616294349555</v>
      </c>
      <c r="X117" s="10">
        <f t="shared" si="211"/>
        <v>-1.2499999999999956E-2</v>
      </c>
      <c r="Y117" s="10">
        <f t="shared" si="211"/>
        <v>5.6151940545003942E-2</v>
      </c>
      <c r="Z117" s="10">
        <f t="shared" si="211"/>
        <v>-0.15542938254080907</v>
      </c>
      <c r="AA117" s="10">
        <f t="shared" si="211"/>
        <v>-0.14841269841269844</v>
      </c>
      <c r="AB117" s="10">
        <f t="shared" si="209"/>
        <v>-0.19806403574087872</v>
      </c>
      <c r="AC117" s="10">
        <f t="shared" si="209"/>
        <v>-6.8021892103205417E-2</v>
      </c>
      <c r="AD117" s="10">
        <f t="shared" si="209"/>
        <v>-3.3613445378151252E-2</v>
      </c>
      <c r="AJ117" s="10">
        <f t="shared" ref="AJ117:AN117" si="212">AJ112/AI112-1</f>
        <v>1.5987951807228913</v>
      </c>
      <c r="AK117" s="10">
        <f t="shared" si="212"/>
        <v>0.41631896152063064</v>
      </c>
      <c r="AL117" s="10">
        <f t="shared" si="212"/>
        <v>0.5518821603927988</v>
      </c>
      <c r="AM117" s="10">
        <f t="shared" si="212"/>
        <v>6.9816494410461782E-2</v>
      </c>
      <c r="AN117" s="10">
        <f>AN112/AM112-1</f>
        <v>-0.11435331230283907</v>
      </c>
      <c r="BA117" s="10"/>
    </row>
    <row r="118" spans="2:148" x14ac:dyDescent="0.3">
      <c r="AZ118" t="s">
        <v>122</v>
      </c>
      <c r="BA118" s="14">
        <f>NPV(BC24,AN114:ER114)</f>
        <v>28722.778146068129</v>
      </c>
    </row>
    <row r="119" spans="2:148" x14ac:dyDescent="0.3">
      <c r="AZ119" t="s">
        <v>70</v>
      </c>
      <c r="BA119" s="1">
        <f>BA118/Main!D13</f>
        <v>5358.7272660574863</v>
      </c>
    </row>
    <row r="120" spans="2:148" x14ac:dyDescent="0.3">
      <c r="B120" t="s">
        <v>120</v>
      </c>
      <c r="O120" s="1">
        <f>O80</f>
        <v>-313.09999999999997</v>
      </c>
      <c r="P120" s="1">
        <f>P80+O80</f>
        <v>-800.50000000000011</v>
      </c>
      <c r="Q120" s="1">
        <f>Q80+P80+O80</f>
        <v>-598.00000000000023</v>
      </c>
      <c r="R120" s="1">
        <f>R80+Q80+P80+O80</f>
        <v>-519.10000000000014</v>
      </c>
      <c r="S120" s="1">
        <f>S80</f>
        <v>225.69999999999996</v>
      </c>
      <c r="T120" s="1">
        <f>T80+S80</f>
        <v>531.19999999999982</v>
      </c>
      <c r="U120" s="1">
        <f>U80+T80+S80</f>
        <v>939.89999999999986</v>
      </c>
      <c r="V120" s="1">
        <f>V80+U80+T80+S80</f>
        <v>1596.1999999999998</v>
      </c>
      <c r="W120" s="1">
        <f>W80</f>
        <v>372.79999999999967</v>
      </c>
      <c r="X120" s="1">
        <f>X80+W80</f>
        <v>868.89999999999964</v>
      </c>
      <c r="Y120" s="1">
        <f>Y80+X80+W80</f>
        <v>1408.6999999999996</v>
      </c>
      <c r="Z120" s="1">
        <f>Z80+Y80+X80+W80</f>
        <v>-1513.2000000000007</v>
      </c>
      <c r="AA120" s="1"/>
      <c r="AB120" s="1"/>
      <c r="AC120" s="1">
        <f>AC80+AB80+AA80</f>
        <v>1829.6</v>
      </c>
      <c r="AD120" s="1"/>
      <c r="AZ120" t="s">
        <v>65</v>
      </c>
      <c r="BA120" s="1">
        <f>Main!D10</f>
        <v>-1893.1716417910447</v>
      </c>
    </row>
    <row r="121" spans="2:148" x14ac:dyDescent="0.3">
      <c r="B121" t="s">
        <v>107</v>
      </c>
      <c r="R121">
        <v>800.3</v>
      </c>
      <c r="T121">
        <v>434.2</v>
      </c>
      <c r="U121">
        <v>657.1</v>
      </c>
      <c r="V121">
        <v>878.2</v>
      </c>
      <c r="X121">
        <v>441.6</v>
      </c>
      <c r="Y121">
        <v>705.4</v>
      </c>
      <c r="AC121">
        <v>761.3</v>
      </c>
      <c r="AZ121" t="s">
        <v>66</v>
      </c>
      <c r="BA121" s="1">
        <f>BA119+BA120</f>
        <v>3465.5556242664416</v>
      </c>
    </row>
    <row r="122" spans="2:148" x14ac:dyDescent="0.3">
      <c r="B122" t="s">
        <v>81</v>
      </c>
      <c r="R122">
        <v>-153.1</v>
      </c>
      <c r="T122">
        <v>78.400000000000006</v>
      </c>
      <c r="U122">
        <v>35.4</v>
      </c>
      <c r="V122">
        <v>24.6</v>
      </c>
      <c r="X122">
        <v>6.6</v>
      </c>
      <c r="Y122">
        <v>21</v>
      </c>
      <c r="AC122">
        <v>-108.1</v>
      </c>
      <c r="AZ122" t="s">
        <v>67</v>
      </c>
      <c r="BA122" s="2">
        <f>BA121/AX19</f>
        <v>12.783311044878056</v>
      </c>
    </row>
    <row r="123" spans="2:148" x14ac:dyDescent="0.3">
      <c r="B123" t="s">
        <v>74</v>
      </c>
      <c r="R123">
        <v>3.6</v>
      </c>
      <c r="T123">
        <v>1.8</v>
      </c>
      <c r="U123">
        <v>2.4</v>
      </c>
      <c r="V123">
        <v>4.2</v>
      </c>
      <c r="X123">
        <v>0.1</v>
      </c>
      <c r="Y123">
        <v>-0.3</v>
      </c>
      <c r="AC123">
        <v>1.3</v>
      </c>
      <c r="AZ123" t="s">
        <v>68</v>
      </c>
      <c r="BA123" s="2">
        <f>Main!D3</f>
        <v>15.93</v>
      </c>
    </row>
    <row r="124" spans="2:148" x14ac:dyDescent="0.3">
      <c r="B124" t="s">
        <v>108</v>
      </c>
      <c r="R124">
        <v>-382.7</v>
      </c>
      <c r="T124">
        <v>-175.8</v>
      </c>
      <c r="U124">
        <v>-207.2</v>
      </c>
      <c r="V124">
        <v>-195.4</v>
      </c>
      <c r="X124">
        <v>70.599999999999994</v>
      </c>
      <c r="Y124">
        <v>97.2</v>
      </c>
      <c r="AC124">
        <v>898.4</v>
      </c>
      <c r="AZ124" s="7" t="s">
        <v>69</v>
      </c>
      <c r="BA124" s="11">
        <f>BA122/BA123-1</f>
        <v>-0.19753226334726581</v>
      </c>
    </row>
    <row r="125" spans="2:148" x14ac:dyDescent="0.3">
      <c r="B125" t="s">
        <v>97</v>
      </c>
      <c r="R125">
        <v>18.8</v>
      </c>
      <c r="T125">
        <v>5.0999999999999996</v>
      </c>
      <c r="U125">
        <v>26.5</v>
      </c>
      <c r="V125">
        <v>5.8</v>
      </c>
      <c r="X125">
        <v>40</v>
      </c>
      <c r="Y125">
        <v>64.5</v>
      </c>
      <c r="AC125">
        <v>109.1</v>
      </c>
    </row>
    <row r="126" spans="2:148" x14ac:dyDescent="0.3">
      <c r="B126" t="s">
        <v>109</v>
      </c>
      <c r="R126">
        <v>213.1</v>
      </c>
      <c r="T126">
        <v>120.5</v>
      </c>
      <c r="U126">
        <v>181.6</v>
      </c>
      <c r="V126">
        <v>251.2</v>
      </c>
      <c r="X126">
        <v>90.2</v>
      </c>
      <c r="Y126">
        <v>158.4</v>
      </c>
      <c r="AC126">
        <v>254.1</v>
      </c>
    </row>
    <row r="127" spans="2:148" x14ac:dyDescent="0.3">
      <c r="B127" t="s">
        <v>110</v>
      </c>
      <c r="R127">
        <v>88.6</v>
      </c>
      <c r="T127">
        <v>32.5</v>
      </c>
      <c r="U127">
        <v>99.6</v>
      </c>
      <c r="V127">
        <v>160.19999999999999</v>
      </c>
      <c r="X127">
        <v>102.5</v>
      </c>
      <c r="Y127">
        <v>119</v>
      </c>
      <c r="AC127">
        <v>243</v>
      </c>
    </row>
    <row r="128" spans="2:148" x14ac:dyDescent="0.3">
      <c r="B128" t="s">
        <v>88</v>
      </c>
      <c r="R128">
        <v>25.3</v>
      </c>
      <c r="T128">
        <v>45.1</v>
      </c>
      <c r="U128">
        <v>53.2</v>
      </c>
      <c r="V128">
        <v>66.2</v>
      </c>
      <c r="X128">
        <v>14.3</v>
      </c>
      <c r="Y128">
        <v>5.8</v>
      </c>
      <c r="AC128">
        <v>-36.200000000000003</v>
      </c>
    </row>
    <row r="129" spans="2:29" x14ac:dyDescent="0.3">
      <c r="B129" t="s">
        <v>128</v>
      </c>
    </row>
    <row r="130" spans="2:29" x14ac:dyDescent="0.3">
      <c r="B130" t="s">
        <v>111</v>
      </c>
      <c r="R130">
        <v>3.9</v>
      </c>
      <c r="T130">
        <v>1.2</v>
      </c>
      <c r="U130">
        <v>2.4</v>
      </c>
      <c r="V130">
        <v>3.7</v>
      </c>
      <c r="X130">
        <v>2.8</v>
      </c>
      <c r="Y130">
        <v>3.8</v>
      </c>
      <c r="AC130">
        <v>8.1</v>
      </c>
    </row>
    <row r="131" spans="2:29" x14ac:dyDescent="0.3">
      <c r="B131" t="s">
        <v>112</v>
      </c>
      <c r="R131">
        <v>20.3</v>
      </c>
      <c r="T131">
        <v>0</v>
      </c>
      <c r="U131">
        <v>0</v>
      </c>
      <c r="V131">
        <v>10.9</v>
      </c>
      <c r="X131">
        <v>53</v>
      </c>
      <c r="Y131">
        <v>53</v>
      </c>
      <c r="AC131">
        <v>-56.6</v>
      </c>
    </row>
    <row r="132" spans="2:29" x14ac:dyDescent="0.3">
      <c r="B132" t="s">
        <v>113</v>
      </c>
      <c r="R132">
        <v>1179.5</v>
      </c>
      <c r="T132">
        <v>94</v>
      </c>
      <c r="U132">
        <v>96.6</v>
      </c>
      <c r="V132">
        <v>96.6</v>
      </c>
      <c r="X132">
        <v>-206.6</v>
      </c>
      <c r="Y132">
        <v>-210.9</v>
      </c>
      <c r="AC132">
        <v>191.2</v>
      </c>
    </row>
    <row r="133" spans="2:29" x14ac:dyDescent="0.3">
      <c r="B133" t="s">
        <v>83</v>
      </c>
      <c r="R133">
        <v>90.8</v>
      </c>
      <c r="T133">
        <v>8.6</v>
      </c>
      <c r="U133">
        <v>13.1</v>
      </c>
      <c r="V133">
        <v>20.3</v>
      </c>
      <c r="X133">
        <v>7.2</v>
      </c>
      <c r="Y133">
        <v>252.6</v>
      </c>
      <c r="AC133">
        <v>-197.5</v>
      </c>
    </row>
    <row r="134" spans="2:29" x14ac:dyDescent="0.3">
      <c r="B134" t="s">
        <v>114</v>
      </c>
      <c r="R134">
        <v>0</v>
      </c>
      <c r="T134">
        <v>0</v>
      </c>
      <c r="U134">
        <v>0</v>
      </c>
      <c r="V134">
        <v>0</v>
      </c>
      <c r="X134">
        <v>-5.7</v>
      </c>
      <c r="Y134">
        <v>-7.5</v>
      </c>
      <c r="AC134">
        <v>-2</v>
      </c>
    </row>
    <row r="135" spans="2:29" x14ac:dyDescent="0.3">
      <c r="B135" t="s">
        <v>115</v>
      </c>
      <c r="R135">
        <v>0</v>
      </c>
      <c r="T135">
        <v>1.2</v>
      </c>
      <c r="U135">
        <v>1.2</v>
      </c>
      <c r="V135">
        <v>1.2</v>
      </c>
      <c r="X135">
        <v>0</v>
      </c>
      <c r="Y135">
        <v>0</v>
      </c>
      <c r="AC135">
        <v>0</v>
      </c>
    </row>
    <row r="136" spans="2:29" x14ac:dyDescent="0.3">
      <c r="B136" t="s">
        <v>76</v>
      </c>
      <c r="R136">
        <v>740.2</v>
      </c>
      <c r="T136">
        <v>3900.8</v>
      </c>
      <c r="U136">
        <v>2187.1</v>
      </c>
      <c r="V136">
        <v>32.299999999999997</v>
      </c>
      <c r="X136">
        <v>-2358.9</v>
      </c>
      <c r="Y136">
        <v>-505.4</v>
      </c>
      <c r="AC136">
        <v>-7997.3</v>
      </c>
    </row>
    <row r="137" spans="2:29" x14ac:dyDescent="0.3">
      <c r="B137" t="s">
        <v>85</v>
      </c>
      <c r="R137">
        <v>12.9</v>
      </c>
      <c r="T137">
        <v>11.6</v>
      </c>
      <c r="U137">
        <v>12</v>
      </c>
      <c r="V137">
        <v>20.3</v>
      </c>
      <c r="X137">
        <v>7.7</v>
      </c>
      <c r="Y137">
        <v>23.5</v>
      </c>
      <c r="AC137">
        <v>0.5</v>
      </c>
    </row>
    <row r="138" spans="2:29" x14ac:dyDescent="0.3">
      <c r="B138" t="s">
        <v>50</v>
      </c>
      <c r="R138">
        <v>261.89999999999998</v>
      </c>
      <c r="T138">
        <v>-60.1</v>
      </c>
      <c r="U138">
        <v>156.5</v>
      </c>
      <c r="V138">
        <v>139</v>
      </c>
      <c r="X138">
        <v>-8.8000000000000007</v>
      </c>
      <c r="Y138">
        <v>-28.1</v>
      </c>
      <c r="AC138">
        <v>-102</v>
      </c>
    </row>
    <row r="139" spans="2:29" x14ac:dyDescent="0.3">
      <c r="B139" t="s">
        <v>82</v>
      </c>
      <c r="R139">
        <v>153</v>
      </c>
      <c r="T139">
        <v>46.6</v>
      </c>
      <c r="U139">
        <v>66.7</v>
      </c>
      <c r="V139">
        <v>41.3</v>
      </c>
      <c r="X139">
        <v>68.400000000000006</v>
      </c>
      <c r="Y139">
        <v>87.9</v>
      </c>
      <c r="AC139">
        <v>-36.6</v>
      </c>
    </row>
    <row r="140" spans="2:29" x14ac:dyDescent="0.3">
      <c r="B140" t="s">
        <v>79</v>
      </c>
      <c r="R140">
        <v>707.5</v>
      </c>
      <c r="T140">
        <v>-10.5</v>
      </c>
      <c r="U140">
        <v>44.8</v>
      </c>
      <c r="V140">
        <v>205.1</v>
      </c>
      <c r="X140">
        <v>-14.7</v>
      </c>
      <c r="Y140">
        <v>-28.8</v>
      </c>
      <c r="AC140">
        <v>7623.3</v>
      </c>
    </row>
    <row r="141" spans="2:29" x14ac:dyDescent="0.3">
      <c r="B141" t="s">
        <v>80</v>
      </c>
      <c r="R141">
        <v>0</v>
      </c>
      <c r="T141">
        <v>0</v>
      </c>
      <c r="U141">
        <v>0</v>
      </c>
      <c r="V141">
        <v>-312.8</v>
      </c>
      <c r="X141">
        <v>-314.39999999999998</v>
      </c>
      <c r="Y141">
        <v>-463.6</v>
      </c>
      <c r="AC141">
        <v>-700</v>
      </c>
    </row>
    <row r="142" spans="2:29" x14ac:dyDescent="0.3">
      <c r="B142" t="s">
        <v>91</v>
      </c>
      <c r="R142">
        <v>-3633.9</v>
      </c>
      <c r="T142">
        <v>-3794.5</v>
      </c>
      <c r="U142">
        <v>-3641.3</v>
      </c>
      <c r="V142">
        <v>-3382.1</v>
      </c>
      <c r="X142">
        <v>-4016.7</v>
      </c>
      <c r="Y142">
        <v>-7698.7</v>
      </c>
      <c r="AC142">
        <v>-7468.1</v>
      </c>
    </row>
    <row r="143" spans="2:29" x14ac:dyDescent="0.3">
      <c r="B143" t="s">
        <v>50</v>
      </c>
      <c r="R143">
        <v>137.80000000000001</v>
      </c>
      <c r="T143">
        <v>92.6</v>
      </c>
      <c r="U143">
        <v>66.5</v>
      </c>
      <c r="V143">
        <v>169.8</v>
      </c>
      <c r="X143">
        <v>210.3</v>
      </c>
      <c r="Y143">
        <v>-164.5</v>
      </c>
      <c r="AC143">
        <v>549.79999999999995</v>
      </c>
    </row>
    <row r="144" spans="2:29" x14ac:dyDescent="0.3">
      <c r="B144" t="s">
        <v>95</v>
      </c>
      <c r="R144">
        <v>171.3</v>
      </c>
      <c r="T144">
        <v>-7.6</v>
      </c>
      <c r="U144">
        <v>66.599999999999994</v>
      </c>
      <c r="V144">
        <v>19.3</v>
      </c>
      <c r="X144">
        <v>-31.5</v>
      </c>
      <c r="Y144">
        <v>57.2</v>
      </c>
      <c r="AC144">
        <v>-18.100000000000001</v>
      </c>
    </row>
    <row r="145" spans="2:29" x14ac:dyDescent="0.3">
      <c r="B145" t="s">
        <v>97</v>
      </c>
      <c r="R145">
        <v>-9.8000000000000007</v>
      </c>
      <c r="T145">
        <v>-16.899999999999999</v>
      </c>
      <c r="U145">
        <v>-27.8</v>
      </c>
      <c r="V145">
        <v>-34</v>
      </c>
      <c r="X145">
        <v>-29.6</v>
      </c>
      <c r="Y145">
        <v>-44.9</v>
      </c>
      <c r="AC145">
        <v>-72.7</v>
      </c>
    </row>
    <row r="146" spans="2:29" x14ac:dyDescent="0.3">
      <c r="B146" t="s">
        <v>92</v>
      </c>
      <c r="R146">
        <v>323.60000000000002</v>
      </c>
      <c r="T146">
        <v>-2.1</v>
      </c>
      <c r="U146">
        <v>-34.799999999999997</v>
      </c>
      <c r="V146">
        <v>-80</v>
      </c>
      <c r="X146">
        <v>160.80000000000001</v>
      </c>
      <c r="Y146">
        <v>224.9</v>
      </c>
      <c r="AC146">
        <v>83.4</v>
      </c>
    </row>
    <row r="147" spans="2:29" x14ac:dyDescent="0.3">
      <c r="B147" t="s">
        <v>116</v>
      </c>
      <c r="R147">
        <v>-430.4</v>
      </c>
      <c r="T147">
        <v>-437.1</v>
      </c>
      <c r="U147">
        <v>-480.2</v>
      </c>
      <c r="V147">
        <v>-749.4</v>
      </c>
      <c r="X147">
        <v>-313.5</v>
      </c>
      <c r="Y147">
        <v>-579.79999999999995</v>
      </c>
      <c r="AC147">
        <v>-746.4</v>
      </c>
    </row>
    <row r="148" spans="2:29" x14ac:dyDescent="0.3">
      <c r="B148" t="s">
        <v>117</v>
      </c>
      <c r="R148">
        <v>2058.6999999999998</v>
      </c>
      <c r="T148">
        <v>1145.7</v>
      </c>
      <c r="U148">
        <v>1825</v>
      </c>
      <c r="V148">
        <v>2766.9</v>
      </c>
      <c r="X148">
        <v>2038.9</v>
      </c>
      <c r="Y148">
        <v>3242.7</v>
      </c>
      <c r="AC148">
        <v>5262.5</v>
      </c>
    </row>
    <row r="149" spans="2:29" x14ac:dyDescent="0.3">
      <c r="B149" t="s">
        <v>50</v>
      </c>
      <c r="R149">
        <v>-191.1</v>
      </c>
      <c r="T149">
        <v>-47.3</v>
      </c>
      <c r="U149">
        <v>-83.3</v>
      </c>
      <c r="V149">
        <v>-116.1</v>
      </c>
      <c r="X149">
        <v>-75.599999999999994</v>
      </c>
      <c r="Y149">
        <v>-119.6</v>
      </c>
      <c r="AC149">
        <v>-295</v>
      </c>
    </row>
    <row r="150" spans="2:29" x14ac:dyDescent="0.3">
      <c r="B150" t="s">
        <v>121</v>
      </c>
      <c r="O150" s="1"/>
      <c r="P150" s="1">
        <f t="shared" ref="P150:V150" si="213">P120+SUM(P121:P149)</f>
        <v>-800.50000000000011</v>
      </c>
      <c r="Q150" s="1">
        <f t="shared" si="213"/>
        <v>-598.00000000000023</v>
      </c>
      <c r="R150" s="1">
        <f t="shared" si="213"/>
        <v>1690.9999999999998</v>
      </c>
      <c r="S150" s="1"/>
      <c r="T150" s="1">
        <f t="shared" si="213"/>
        <v>1999.2000000000005</v>
      </c>
      <c r="U150" s="1">
        <f t="shared" si="213"/>
        <v>2059.5999999999995</v>
      </c>
      <c r="V150" s="1">
        <f t="shared" si="213"/>
        <v>1643.5</v>
      </c>
      <c r="W150" s="1"/>
      <c r="X150" s="1">
        <f>X120+SUM(X121:X149)</f>
        <v>-3192.0999999999995</v>
      </c>
      <c r="Y150" s="1">
        <f>Y120+SUM(Y121:Y149)</f>
        <v>-3326.5000000000009</v>
      </c>
      <c r="AC150" s="1">
        <f>AC120+SUM(AC121:AC149)</f>
        <v>-21.000000000001364</v>
      </c>
    </row>
    <row r="151" spans="2:29" x14ac:dyDescent="0.3">
      <c r="B151" t="s">
        <v>88</v>
      </c>
      <c r="R151">
        <v>417.7</v>
      </c>
      <c r="T151">
        <v>536.5</v>
      </c>
      <c r="U151">
        <v>591.79999999999995</v>
      </c>
      <c r="V151">
        <v>736.2</v>
      </c>
      <c r="X151">
        <v>390.9</v>
      </c>
      <c r="Y151">
        <v>561.1</v>
      </c>
      <c r="AC151">
        <v>546.1</v>
      </c>
    </row>
    <row r="152" spans="2:29" x14ac:dyDescent="0.3">
      <c r="B152" t="s">
        <v>89</v>
      </c>
      <c r="R152">
        <v>305.5</v>
      </c>
      <c r="T152">
        <v>212.1</v>
      </c>
      <c r="U152">
        <v>333.2</v>
      </c>
      <c r="V152">
        <v>474.1</v>
      </c>
      <c r="X152">
        <v>260.3</v>
      </c>
      <c r="Y152">
        <v>388.2</v>
      </c>
      <c r="AC152">
        <v>334.2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2024-06-23T09:56:20Z</dcterms:created>
  <dcterms:modified xsi:type="dcterms:W3CDTF">2025-11-28T12:14:22Z</dcterms:modified>
</cp:coreProperties>
</file>