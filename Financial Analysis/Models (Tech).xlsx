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83A3A06-5C69-4430-B45B-D2E692D12BEB}" xr6:coauthVersionLast="47" xr6:coauthVersionMax="47" xr10:uidLastSave="{00000000-0000-0000-0000-000000000000}"/>
  <bookViews>
    <workbookView xWindow="-108" yWindow="-108" windowWidth="23256" windowHeight="12576" xr2:uid="{4E122305-8C8A-4700-8BB3-18DD9512A165}"/>
  </bookViews>
  <sheets>
    <sheet name="Models" sheetId="1" r:id="rId1"/>
    <sheet name="Chart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S10" i="1" l="1"/>
  <c r="Y10" i="1"/>
  <c r="X10" i="1"/>
  <c r="W10" i="1"/>
  <c r="AB10" i="1"/>
  <c r="AA10" i="1"/>
  <c r="Z10" i="1"/>
  <c r="Y51" i="1" l="1"/>
  <c r="X51" i="1"/>
  <c r="W51" i="1"/>
  <c r="S51" i="1"/>
  <c r="AB65" i="1" l="1"/>
  <c r="AA65" i="1"/>
  <c r="S32" i="1" l="1"/>
  <c r="AF8" i="1" l="1"/>
  <c r="AG8" i="1"/>
  <c r="S16" i="1"/>
  <c r="AB27" i="1" l="1"/>
  <c r="AB63" i="1" l="1"/>
  <c r="AA63" i="1"/>
  <c r="Z63" i="1"/>
  <c r="Y22" i="1" l="1"/>
  <c r="Y21" i="1" l="1"/>
  <c r="AB59" i="1" l="1"/>
  <c r="AA59" i="1" l="1"/>
  <c r="S35" i="1" l="1"/>
  <c r="Y35" i="1"/>
  <c r="X35" i="1"/>
  <c r="W35" i="1"/>
  <c r="Y43" i="1" l="1"/>
  <c r="X43" i="1"/>
  <c r="W43" i="1"/>
  <c r="Y52" i="1" l="1"/>
  <c r="X52" i="1"/>
  <c r="W52" i="1"/>
  <c r="S52" i="1"/>
  <c r="Y65" i="1" l="1"/>
  <c r="X65" i="1"/>
  <c r="W65" i="1"/>
  <c r="Z65" i="1"/>
  <c r="Z59" i="1" l="1"/>
  <c r="V59" i="1"/>
  <c r="U59" i="1"/>
  <c r="Y59" i="1"/>
  <c r="X59" i="1"/>
  <c r="W59" i="1"/>
  <c r="S59" i="1"/>
  <c r="L59" i="1"/>
  <c r="K59" i="1"/>
  <c r="J59" i="1"/>
  <c r="I59" i="1"/>
  <c r="H59" i="1"/>
  <c r="Y46" i="1" l="1"/>
  <c r="X46" i="1"/>
  <c r="W46" i="1"/>
  <c r="S46" i="1"/>
  <c r="Y41" i="1" l="1"/>
  <c r="Y55" i="1" l="1"/>
  <c r="X55" i="1"/>
  <c r="W55" i="1"/>
  <c r="S55" i="1"/>
  <c r="AB55" i="1"/>
  <c r="S53" i="1" l="1"/>
  <c r="W53" i="1" l="1"/>
  <c r="X53" i="1" l="1"/>
  <c r="Y53" i="1" l="1"/>
  <c r="Y45" i="1" l="1"/>
  <c r="W45" i="1"/>
  <c r="Y39" i="1" l="1"/>
  <c r="X39" i="1"/>
  <c r="W39" i="1"/>
  <c r="S39" i="1"/>
  <c r="L39" i="1"/>
  <c r="K39" i="1"/>
  <c r="J39" i="1"/>
  <c r="I39" i="1"/>
  <c r="H39" i="1"/>
  <c r="AB39" i="1"/>
  <c r="Y57" i="1" l="1"/>
  <c r="X57" i="1"/>
  <c r="W57" i="1"/>
  <c r="S57" i="1"/>
  <c r="Y4" i="1" l="1"/>
  <c r="Y17" i="1" l="1"/>
  <c r="X17" i="1"/>
  <c r="W17" i="1"/>
  <c r="S17" i="1"/>
  <c r="Y23" i="1" l="1"/>
  <c r="X23" i="1"/>
  <c r="W23" i="1"/>
  <c r="S23" i="1"/>
  <c r="S27" i="1" l="1"/>
  <c r="W27" i="1"/>
  <c r="X27" i="1"/>
  <c r="Y27" i="1"/>
  <c r="S37" i="1" l="1"/>
  <c r="X37" i="1"/>
  <c r="W37" i="1"/>
  <c r="Y37" i="1"/>
  <c r="Y15" i="1" l="1"/>
  <c r="Y14" i="1" l="1"/>
  <c r="X14" i="1"/>
  <c r="W14" i="1"/>
  <c r="S14" i="1"/>
  <c r="Y8" i="1" l="1"/>
  <c r="X8" i="1"/>
  <c r="W8" i="1"/>
  <c r="S8" i="1"/>
  <c r="Y6" i="1" l="1"/>
  <c r="S6" i="1" l="1"/>
  <c r="W6" i="1" l="1"/>
  <c r="X6" i="1" l="1"/>
  <c r="Y33" i="1" l="1"/>
  <c r="X33" i="1"/>
  <c r="W33" i="1"/>
  <c r="S33" i="1"/>
  <c r="Y7" i="1" l="1"/>
  <c r="X7" i="1"/>
  <c r="W7" i="1"/>
  <c r="S7" i="1"/>
  <c r="Y9" i="1" l="1"/>
  <c r="X9" i="1"/>
  <c r="W9" i="1"/>
  <c r="S9" i="1"/>
  <c r="Y5" i="1" l="1"/>
  <c r="X5" i="1"/>
  <c r="W5" i="1"/>
  <c r="S5" i="1"/>
  <c r="Y38" i="1" l="1"/>
  <c r="X38" i="1"/>
  <c r="W38" i="1"/>
  <c r="S38" i="1"/>
  <c r="Y30" i="1" l="1"/>
  <c r="X30" i="1"/>
  <c r="W30" i="1"/>
  <c r="S30" i="1"/>
  <c r="Y34" i="1" l="1"/>
  <c r="X34" i="1"/>
  <c r="W34" i="1"/>
  <c r="S34" i="1"/>
  <c r="Y25" i="1" l="1"/>
  <c r="X25" i="1"/>
  <c r="W25" i="1"/>
  <c r="S25" i="1"/>
  <c r="Y12" i="1" l="1"/>
  <c r="X12" i="1"/>
  <c r="W12" i="1"/>
  <c r="S12" i="1"/>
  <c r="Y60" i="1" l="1"/>
  <c r="X60" i="1"/>
  <c r="W60" i="1"/>
  <c r="Y19" i="1" l="1"/>
  <c r="S19" i="1"/>
  <c r="AG45" i="1" l="1"/>
  <c r="AF45" i="1"/>
  <c r="AB45" i="1"/>
  <c r="Z45" i="1"/>
  <c r="X45" i="1"/>
  <c r="G45" i="1"/>
  <c r="F45" i="1"/>
  <c r="E45" i="1"/>
  <c r="D45" i="1"/>
  <c r="AG56" i="1"/>
  <c r="AF56" i="1"/>
  <c r="AB56" i="1"/>
  <c r="AA56" i="1"/>
  <c r="Z56" i="1"/>
  <c r="X56" i="1"/>
  <c r="W56" i="1"/>
  <c r="V56" i="1"/>
  <c r="U56" i="1"/>
  <c r="S56" i="1"/>
  <c r="L56" i="1"/>
  <c r="K56" i="1"/>
  <c r="J56" i="1"/>
  <c r="I56" i="1"/>
  <c r="H56" i="1"/>
  <c r="G56" i="1"/>
  <c r="F56" i="1"/>
  <c r="E56" i="1"/>
  <c r="D56" i="1"/>
  <c r="O56" i="1" l="1"/>
  <c r="P56" i="1"/>
  <c r="T56" i="1"/>
  <c r="Q56" i="1"/>
  <c r="R56" i="1"/>
  <c r="X15" i="1"/>
  <c r="W15" i="1"/>
  <c r="AF5" i="2" l="1"/>
  <c r="AE5" i="2"/>
  <c r="AA6" i="2"/>
  <c r="Z6" i="2"/>
  <c r="Y6" i="2"/>
  <c r="X6" i="2"/>
  <c r="W6" i="2"/>
  <c r="V6" i="2"/>
  <c r="U6" i="2"/>
  <c r="S6" i="2"/>
  <c r="L6" i="2"/>
  <c r="K6" i="2"/>
  <c r="J6" i="2"/>
  <c r="I6" i="2"/>
  <c r="H6" i="2"/>
  <c r="G6" i="2"/>
  <c r="F6" i="2"/>
  <c r="E6" i="2"/>
  <c r="D6" i="2"/>
  <c r="AF6" i="2"/>
  <c r="AE6" i="2"/>
  <c r="AA5" i="2"/>
  <c r="Z5" i="2"/>
  <c r="Y5" i="2"/>
  <c r="X5" i="2"/>
  <c r="W5" i="2"/>
  <c r="V5" i="2"/>
  <c r="U5" i="2"/>
  <c r="S5" i="2"/>
  <c r="L5" i="2"/>
  <c r="K5" i="2"/>
  <c r="J5" i="2"/>
  <c r="I5" i="2"/>
  <c r="H5" i="2"/>
  <c r="G5" i="2"/>
  <c r="R5" i="2" s="1"/>
  <c r="F5" i="2"/>
  <c r="E5" i="2"/>
  <c r="D5" i="2"/>
  <c r="AF4" i="2"/>
  <c r="AE4" i="2"/>
  <c r="AA3" i="2"/>
  <c r="Z3" i="2"/>
  <c r="Y3" i="2"/>
  <c r="X3" i="2"/>
  <c r="W3" i="2"/>
  <c r="V3" i="2"/>
  <c r="U3" i="2"/>
  <c r="S3" i="2"/>
  <c r="L3" i="2"/>
  <c r="K3" i="2"/>
  <c r="J3" i="2"/>
  <c r="I3" i="2"/>
  <c r="H3" i="2"/>
  <c r="G3" i="2"/>
  <c r="F3" i="2"/>
  <c r="E3" i="2"/>
  <c r="D3" i="2"/>
  <c r="AF3" i="2"/>
  <c r="AE3" i="2"/>
  <c r="AA4" i="2"/>
  <c r="Z4" i="2"/>
  <c r="Y4" i="2"/>
  <c r="X4" i="2"/>
  <c r="W4" i="2"/>
  <c r="V4" i="2"/>
  <c r="U4" i="2"/>
  <c r="S4" i="2"/>
  <c r="L4" i="2"/>
  <c r="K4" i="2"/>
  <c r="J4" i="2"/>
  <c r="I4" i="2"/>
  <c r="H4" i="2"/>
  <c r="G4" i="2"/>
  <c r="R4" i="2" s="1"/>
  <c r="F4" i="2"/>
  <c r="E4" i="2"/>
  <c r="D4" i="2"/>
  <c r="X26" i="1"/>
  <c r="W26" i="1"/>
  <c r="S26" i="1"/>
  <c r="N5" i="2" l="1"/>
  <c r="O5" i="2"/>
  <c r="N3" i="2"/>
  <c r="M6" i="2"/>
  <c r="N6" i="2"/>
  <c r="Q6" i="2"/>
  <c r="R6" i="2"/>
  <c r="T4" i="2"/>
  <c r="O6" i="2"/>
  <c r="T5" i="2"/>
  <c r="Q5" i="2"/>
  <c r="P6" i="2"/>
  <c r="M3" i="2"/>
  <c r="T6" i="2"/>
  <c r="P5" i="2"/>
  <c r="P3" i="2"/>
  <c r="O3" i="2"/>
  <c r="R3" i="2"/>
  <c r="Q3" i="2"/>
  <c r="T3" i="2"/>
  <c r="M4" i="2"/>
  <c r="N4" i="2"/>
  <c r="O4" i="2"/>
  <c r="P4" i="2"/>
  <c r="Q4" i="2"/>
  <c r="AG13" i="1"/>
  <c r="AF13" i="1"/>
  <c r="AB13" i="1"/>
  <c r="AA13" i="1"/>
  <c r="Z13" i="1"/>
  <c r="X13" i="1"/>
  <c r="W13" i="1"/>
  <c r="V13" i="1"/>
  <c r="U13" i="1"/>
  <c r="S13" i="1"/>
  <c r="L13" i="1"/>
  <c r="K13" i="1"/>
  <c r="J13" i="1"/>
  <c r="I13" i="1"/>
  <c r="H13" i="1"/>
  <c r="G13" i="1"/>
  <c r="F13" i="1"/>
  <c r="E13" i="1"/>
  <c r="D13" i="1"/>
  <c r="X63" i="1" l="1"/>
  <c r="W63" i="1"/>
  <c r="S63" i="1"/>
  <c r="L63" i="1" l="1"/>
  <c r="K63" i="1"/>
  <c r="J63" i="1"/>
  <c r="I63" i="1"/>
  <c r="H63" i="1"/>
  <c r="X22" i="1" l="1"/>
  <c r="W22" i="1"/>
  <c r="S22" i="1"/>
  <c r="X21" i="1" l="1"/>
  <c r="W21" i="1"/>
  <c r="S21" i="1"/>
  <c r="X44" i="1" l="1"/>
  <c r="W44" i="1"/>
  <c r="S44" i="1"/>
  <c r="X41" i="1" l="1"/>
  <c r="W41" i="1"/>
  <c r="V41" i="1"/>
  <c r="U41" i="1"/>
  <c r="S41" i="1"/>
  <c r="X42" i="1" l="1"/>
  <c r="W42" i="1"/>
  <c r="S42" i="1"/>
  <c r="AG47" i="1" l="1"/>
  <c r="AF47" i="1"/>
  <c r="AB47" i="1"/>
  <c r="Z47" i="1"/>
  <c r="X47" i="1"/>
  <c r="W47" i="1"/>
  <c r="V47" i="1"/>
  <c r="U47" i="1"/>
  <c r="S47" i="1"/>
  <c r="I47" i="1"/>
  <c r="H47" i="1"/>
  <c r="G47" i="1"/>
  <c r="F47" i="1"/>
  <c r="E47" i="1"/>
  <c r="D47" i="1"/>
  <c r="AG60" i="1"/>
  <c r="AF60" i="1"/>
  <c r="AB60" i="1"/>
  <c r="Z60" i="1"/>
  <c r="V60" i="1"/>
  <c r="U60" i="1"/>
  <c r="S60" i="1" l="1"/>
  <c r="L60" i="1"/>
  <c r="K60" i="1"/>
  <c r="J60" i="1"/>
  <c r="I60" i="1"/>
  <c r="H60" i="1"/>
  <c r="G60" i="1"/>
  <c r="F60" i="1"/>
  <c r="E60" i="1"/>
  <c r="D60" i="1"/>
  <c r="S4" i="1"/>
  <c r="X4" i="1"/>
  <c r="W4" i="1"/>
  <c r="S43" i="1" l="1"/>
  <c r="S65" i="1" l="1"/>
  <c r="S15" i="1" l="1"/>
  <c r="AA27" i="1" l="1"/>
  <c r="AG57" i="1" l="1"/>
  <c r="AF57" i="1"/>
  <c r="AB57" i="1"/>
  <c r="AA57" i="1"/>
  <c r="Z57" i="1"/>
  <c r="V57" i="1"/>
  <c r="U57" i="1"/>
  <c r="L57" i="1"/>
  <c r="K57" i="1"/>
  <c r="J57" i="1"/>
  <c r="I57" i="1"/>
  <c r="H57" i="1"/>
  <c r="G57" i="1"/>
  <c r="F57" i="1"/>
  <c r="E57" i="1"/>
  <c r="D57" i="1"/>
  <c r="AG28" i="1" l="1"/>
  <c r="AF28" i="1"/>
  <c r="AB28" i="1" l="1"/>
  <c r="Z28" i="1"/>
  <c r="X28" i="1"/>
  <c r="W28" i="1"/>
  <c r="V28" i="1"/>
  <c r="U28" i="1"/>
  <c r="S28" i="1"/>
  <c r="L28" i="1"/>
  <c r="K28" i="1"/>
  <c r="J28" i="1"/>
  <c r="H28" i="1"/>
  <c r="G28" i="1"/>
  <c r="F28" i="1"/>
  <c r="E28" i="1"/>
  <c r="D28" i="1"/>
  <c r="AF58" i="1"/>
  <c r="AG58" i="1"/>
  <c r="AB58" i="1" l="1"/>
  <c r="Z58" i="1"/>
  <c r="X58" i="1"/>
  <c r="W58" i="1"/>
  <c r="V58" i="1"/>
  <c r="S58" i="1"/>
  <c r="I58" i="1"/>
  <c r="H58" i="1"/>
  <c r="G58" i="1"/>
  <c r="F58" i="1"/>
  <c r="E58" i="1"/>
  <c r="D58" i="1"/>
  <c r="AF5" i="1"/>
  <c r="AG5" i="1"/>
  <c r="AA60" i="1" l="1"/>
  <c r="X49" i="1"/>
  <c r="W49" i="1"/>
  <c r="X50" i="1" l="1"/>
  <c r="W50" i="1"/>
  <c r="X24" i="1" l="1"/>
  <c r="W24" i="1"/>
  <c r="X31" i="1" l="1"/>
  <c r="W31" i="1"/>
  <c r="X16" i="1" l="1"/>
  <c r="W16" i="1"/>
  <c r="X18" i="1" l="1"/>
  <c r="W18" i="1"/>
  <c r="AA39" i="1" l="1"/>
  <c r="AB48" i="1" l="1"/>
  <c r="Z48" i="1"/>
  <c r="AG23" i="1"/>
  <c r="AF23" i="1"/>
  <c r="AG54" i="1" l="1"/>
  <c r="AF54" i="1"/>
  <c r="AB54" i="1"/>
  <c r="Z54" i="1"/>
  <c r="X54" i="1"/>
  <c r="W54" i="1"/>
  <c r="AA54" i="1" l="1"/>
  <c r="AG48" i="1" l="1"/>
  <c r="AF48" i="1"/>
  <c r="D48" i="1"/>
  <c r="AG25" i="1" l="1"/>
  <c r="AF25" i="1"/>
  <c r="AB25" i="1"/>
  <c r="Z25" i="1"/>
  <c r="V25" i="1"/>
  <c r="U25" i="1"/>
  <c r="L25" i="1"/>
  <c r="K25" i="1"/>
  <c r="J25" i="1"/>
  <c r="I25" i="1"/>
  <c r="H25" i="1"/>
  <c r="G25" i="1"/>
  <c r="F25" i="1"/>
  <c r="E25" i="1"/>
  <c r="D25" i="1"/>
  <c r="L41" i="1"/>
  <c r="K41" i="1"/>
  <c r="J41" i="1"/>
  <c r="I41" i="1"/>
  <c r="H41" i="1"/>
  <c r="AA29" i="1" l="1"/>
  <c r="O25" i="1"/>
  <c r="M25" i="1"/>
  <c r="AA25" i="1"/>
  <c r="P25" i="1"/>
  <c r="R25" i="1"/>
  <c r="AG29" i="1"/>
  <c r="AF29" i="1"/>
  <c r="AB29" i="1"/>
  <c r="Z29" i="1"/>
  <c r="X29" i="1"/>
  <c r="W29" i="1"/>
  <c r="V29" i="1"/>
  <c r="U29" i="1"/>
  <c r="S29" i="1"/>
  <c r="L29" i="1"/>
  <c r="K29" i="1"/>
  <c r="J29" i="1"/>
  <c r="I29" i="1"/>
  <c r="H29" i="1"/>
  <c r="G29" i="1"/>
  <c r="E29" i="1"/>
  <c r="F29" i="1"/>
  <c r="D29" i="1"/>
  <c r="AG40" i="1"/>
  <c r="AF40" i="1"/>
  <c r="AB40" i="1"/>
  <c r="AA40" i="1"/>
  <c r="Z40" i="1"/>
  <c r="X40" i="1"/>
  <c r="W40" i="1"/>
  <c r="V40" i="1"/>
  <c r="S40" i="1"/>
  <c r="L40" i="1"/>
  <c r="K40" i="1"/>
  <c r="J40" i="1"/>
  <c r="I40" i="1"/>
  <c r="H40" i="1"/>
  <c r="G40" i="1"/>
  <c r="T25" i="1" s="1"/>
  <c r="F40" i="1"/>
  <c r="E40" i="1"/>
  <c r="D40" i="1"/>
  <c r="N25" i="1" l="1"/>
  <c r="Q25" i="1"/>
  <c r="R29" i="1"/>
  <c r="T29" i="1"/>
  <c r="R40" i="1"/>
  <c r="T40" i="1"/>
  <c r="M29" i="1"/>
  <c r="N29" i="1"/>
  <c r="O29" i="1"/>
  <c r="Q29" i="1"/>
  <c r="P29" i="1"/>
  <c r="M40" i="1"/>
  <c r="N40" i="1"/>
  <c r="O40" i="1"/>
  <c r="Q40" i="1"/>
  <c r="P40" i="1"/>
  <c r="AB46" i="1" l="1"/>
  <c r="Z46" i="1"/>
  <c r="L46" i="1"/>
  <c r="K46" i="1"/>
  <c r="J46" i="1"/>
  <c r="H46" i="1"/>
  <c r="V46" i="1" l="1"/>
  <c r="U46" i="1"/>
  <c r="AG46" i="1"/>
  <c r="AF46" i="1"/>
  <c r="G46" i="1"/>
  <c r="F46" i="1"/>
  <c r="E46" i="1"/>
  <c r="D46" i="1"/>
  <c r="AG59" i="1" l="1"/>
  <c r="AF59" i="1"/>
  <c r="G59" i="1"/>
  <c r="R59" i="1" s="1"/>
  <c r="F59" i="1"/>
  <c r="E59" i="1"/>
  <c r="D59" i="1"/>
  <c r="V22" i="1"/>
  <c r="U22" i="1"/>
  <c r="L22" i="1"/>
  <c r="K22" i="1"/>
  <c r="J22" i="1"/>
  <c r="I22" i="1"/>
  <c r="H22" i="1"/>
  <c r="T59" i="1" l="1"/>
  <c r="M59" i="1"/>
  <c r="P59" i="1"/>
  <c r="Q59" i="1"/>
  <c r="O59" i="1"/>
  <c r="AB44" i="1"/>
  <c r="AA44" i="1"/>
  <c r="Z44" i="1"/>
  <c r="V44" i="1"/>
  <c r="U44" i="1"/>
  <c r="L44" i="1"/>
  <c r="K44" i="1"/>
  <c r="J44" i="1"/>
  <c r="I44" i="1"/>
  <c r="H44" i="1"/>
  <c r="L55" i="1" l="1"/>
  <c r="K55" i="1"/>
  <c r="J55" i="1"/>
  <c r="I55" i="1"/>
  <c r="H55" i="1"/>
  <c r="V21" i="1" l="1"/>
  <c r="U21" i="1"/>
  <c r="L21" i="1"/>
  <c r="K21" i="1"/>
  <c r="J21" i="1"/>
  <c r="I21" i="1"/>
  <c r="H21" i="1"/>
  <c r="AA26" i="1" l="1"/>
  <c r="Z50" i="1" l="1"/>
  <c r="AB50" i="1"/>
  <c r="AB4" i="1" l="1"/>
  <c r="Z4" i="1"/>
  <c r="V6" i="1"/>
  <c r="V4" i="1"/>
  <c r="V7" i="1"/>
  <c r="V5" i="1"/>
  <c r="V8" i="1"/>
  <c r="V9" i="1"/>
  <c r="V10" i="1"/>
  <c r="V12" i="1"/>
  <c r="V14" i="1"/>
  <c r="V16" i="1"/>
  <c r="V18" i="1"/>
  <c r="V15" i="1"/>
  <c r="V17" i="1"/>
  <c r="V19" i="1"/>
  <c r="V23" i="1"/>
  <c r="V30" i="1"/>
  <c r="V24" i="1"/>
  <c r="V26" i="1"/>
  <c r="V31" i="1"/>
  <c r="V27" i="1"/>
  <c r="V39" i="1"/>
  <c r="V34" i="1"/>
  <c r="V32" i="1"/>
  <c r="V35" i="1"/>
  <c r="V38" i="1"/>
  <c r="V33" i="1"/>
  <c r="V37" i="1"/>
  <c r="V42" i="1"/>
  <c r="V51" i="1"/>
  <c r="V49" i="1"/>
  <c r="V50" i="1"/>
  <c r="V54" i="1"/>
  <c r="V53" i="1"/>
  <c r="V55" i="1"/>
  <c r="V52" i="1"/>
  <c r="V61" i="1"/>
  <c r="V65" i="1"/>
  <c r="V67" i="1"/>
  <c r="V64" i="1"/>
  <c r="V63" i="1"/>
  <c r="V66" i="1"/>
  <c r="U66" i="1"/>
  <c r="U63" i="1"/>
  <c r="U64" i="1"/>
  <c r="U67" i="1"/>
  <c r="U65" i="1"/>
  <c r="U61" i="1"/>
  <c r="U52" i="1"/>
  <c r="U55" i="1"/>
  <c r="U53" i="1"/>
  <c r="U54" i="1"/>
  <c r="U50" i="1"/>
  <c r="U49" i="1"/>
  <c r="U51" i="1"/>
  <c r="U42" i="1"/>
  <c r="U37" i="1"/>
  <c r="U33" i="1"/>
  <c r="U38" i="1"/>
  <c r="U35" i="1"/>
  <c r="U32" i="1"/>
  <c r="U34" i="1"/>
  <c r="U39" i="1"/>
  <c r="U27" i="1"/>
  <c r="U31" i="1"/>
  <c r="U26" i="1"/>
  <c r="U24" i="1"/>
  <c r="U30" i="1"/>
  <c r="U23" i="1"/>
  <c r="U19" i="1"/>
  <c r="U17" i="1"/>
  <c r="U15" i="1"/>
  <c r="U18" i="1"/>
  <c r="U16" i="1"/>
  <c r="U14" i="1"/>
  <c r="U12" i="1"/>
  <c r="U10" i="1"/>
  <c r="U9" i="1"/>
  <c r="U8" i="1"/>
  <c r="U5" i="1"/>
  <c r="U7" i="1"/>
  <c r="U4" i="1"/>
  <c r="U6" i="1"/>
  <c r="S66" i="1"/>
  <c r="S64" i="1"/>
  <c r="S67" i="1"/>
  <c r="S61" i="1"/>
  <c r="S54" i="1"/>
  <c r="S50" i="1"/>
  <c r="S49" i="1"/>
  <c r="S31" i="1"/>
  <c r="S24" i="1"/>
  <c r="S18" i="1"/>
  <c r="H4" i="1"/>
  <c r="I4" i="1" l="1"/>
  <c r="J4" i="1" l="1"/>
  <c r="K4" i="1" l="1"/>
  <c r="L4" i="1"/>
  <c r="AA4" i="1" l="1"/>
  <c r="AB52" i="1" l="1"/>
  <c r="AA52" i="1"/>
  <c r="Z52" i="1"/>
  <c r="L52" i="1"/>
  <c r="K52" i="1"/>
  <c r="J52" i="1"/>
  <c r="I52" i="1"/>
  <c r="H52" i="1"/>
  <c r="L65" i="1" l="1"/>
  <c r="K65" i="1"/>
  <c r="J65" i="1"/>
  <c r="H65" i="1"/>
  <c r="AB36" i="1" l="1"/>
  <c r="Z36" i="1"/>
  <c r="AG49" i="1" l="1"/>
  <c r="AB26" i="1" l="1"/>
  <c r="Z26" i="1"/>
  <c r="AG32" i="1" l="1"/>
  <c r="AF32" i="1"/>
  <c r="AB16" i="1" l="1"/>
  <c r="AA16" i="1"/>
  <c r="Z16" i="1"/>
  <c r="L27" i="1" l="1"/>
  <c r="K27" i="1"/>
  <c r="J27" i="1"/>
  <c r="I27" i="1"/>
  <c r="H27" i="1"/>
  <c r="AG36" i="1" l="1"/>
  <c r="AF36" i="1"/>
  <c r="D36" i="1"/>
  <c r="AB17" i="1" l="1"/>
  <c r="Z17" i="1"/>
  <c r="H17" i="1"/>
  <c r="AG17" i="1"/>
  <c r="AF17" i="1"/>
  <c r="G17" i="1"/>
  <c r="T17" i="1" s="1"/>
  <c r="F17" i="1"/>
  <c r="E17" i="1"/>
  <c r="D17" i="1"/>
  <c r="M17" i="1" l="1"/>
  <c r="AB19" i="1" l="1"/>
  <c r="Z19" i="1"/>
  <c r="L19" i="1" l="1"/>
  <c r="K19" i="1"/>
  <c r="J19" i="1"/>
  <c r="H19" i="1"/>
  <c r="AB32" i="1" l="1"/>
  <c r="Z32" i="1"/>
  <c r="H32" i="1"/>
  <c r="F32" i="1"/>
  <c r="D32" i="1"/>
  <c r="G32" i="1"/>
  <c r="E32" i="1" l="1"/>
  <c r="AF66" i="1" l="1"/>
  <c r="AG66" i="1"/>
  <c r="AB66" i="1"/>
  <c r="AA66" i="1"/>
  <c r="Z66" i="1"/>
  <c r="G66" i="1"/>
  <c r="F66" i="1"/>
  <c r="E66" i="1"/>
  <c r="D66" i="1"/>
  <c r="AG42" i="1" l="1"/>
  <c r="AF42" i="1"/>
  <c r="AB42" i="1"/>
  <c r="Z42" i="1"/>
  <c r="H42" i="1"/>
  <c r="G42" i="1"/>
  <c r="F42" i="1"/>
  <c r="E42" i="1"/>
  <c r="D42" i="1"/>
  <c r="AG19" i="1"/>
  <c r="AF19" i="1"/>
  <c r="G19" i="1"/>
  <c r="F19" i="1"/>
  <c r="E19" i="1"/>
  <c r="D19" i="1"/>
  <c r="R42" i="1" l="1"/>
  <c r="T42" i="1"/>
  <c r="R19" i="1"/>
  <c r="T19" i="1"/>
  <c r="M42" i="1"/>
  <c r="M19" i="1"/>
  <c r="O19" i="1"/>
  <c r="P19" i="1"/>
  <c r="Q19" i="1"/>
  <c r="I32" i="1" l="1"/>
  <c r="L26" i="1"/>
  <c r="K26" i="1"/>
  <c r="J26" i="1"/>
  <c r="I26" i="1"/>
  <c r="H26" i="1"/>
  <c r="J32" i="1" l="1"/>
  <c r="Z55" i="1"/>
  <c r="L32" i="1" l="1"/>
  <c r="K32" i="1"/>
  <c r="AB53" i="1" l="1"/>
  <c r="AA53" i="1"/>
  <c r="Z53" i="1"/>
  <c r="L53" i="1"/>
  <c r="K53" i="1"/>
  <c r="J53" i="1"/>
  <c r="I53" i="1"/>
  <c r="H53" i="1"/>
  <c r="L38" i="1" l="1"/>
  <c r="K38" i="1"/>
  <c r="J38" i="1"/>
  <c r="I38" i="1"/>
  <c r="H38" i="1"/>
  <c r="AG52" i="1" l="1"/>
  <c r="AF52" i="1"/>
  <c r="G52" i="1"/>
  <c r="F52" i="1"/>
  <c r="E52" i="1"/>
  <c r="D52" i="1"/>
  <c r="AG65" i="1"/>
  <c r="AF65" i="1"/>
  <c r="G65" i="1"/>
  <c r="T65" i="1" s="1"/>
  <c r="F65" i="1"/>
  <c r="E65" i="1"/>
  <c r="D65" i="1"/>
  <c r="P60" i="1" l="1"/>
  <c r="O60" i="1"/>
  <c r="T60" i="1"/>
  <c r="Q60" i="1"/>
  <c r="R60" i="1"/>
  <c r="Q65" i="1"/>
  <c r="O65" i="1"/>
  <c r="M65" i="1"/>
  <c r="P65" i="1"/>
  <c r="AA32" i="1" l="1"/>
  <c r="L54" i="1" l="1"/>
  <c r="K54" i="1"/>
  <c r="J54" i="1"/>
  <c r="I54" i="1"/>
  <c r="H54" i="1"/>
  <c r="H24" i="1" l="1"/>
  <c r="AB18" i="1" l="1"/>
  <c r="Z18" i="1"/>
  <c r="L61" i="1"/>
  <c r="K61" i="1"/>
  <c r="J61" i="1"/>
  <c r="I61" i="1"/>
  <c r="H61" i="1"/>
  <c r="AG18" i="1" l="1"/>
  <c r="AF18" i="1"/>
  <c r="D18" i="1"/>
  <c r="G54" i="1"/>
  <c r="F54" i="1"/>
  <c r="E54" i="1"/>
  <c r="D54" i="1"/>
  <c r="R54" i="1" l="1"/>
  <c r="T54" i="1"/>
  <c r="M54" i="1"/>
  <c r="P54" i="1"/>
  <c r="O54" i="1"/>
  <c r="N54" i="1"/>
  <c r="Q54" i="1"/>
  <c r="AF49" i="1"/>
  <c r="AB49" i="1"/>
  <c r="AA49" i="1"/>
  <c r="Z49" i="1"/>
  <c r="L49" i="1"/>
  <c r="K49" i="1"/>
  <c r="J49" i="1"/>
  <c r="I49" i="1"/>
  <c r="H49" i="1"/>
  <c r="G49" i="1"/>
  <c r="F49" i="1"/>
  <c r="E49" i="1"/>
  <c r="D49" i="1"/>
  <c r="L15" i="1"/>
  <c r="K15" i="1"/>
  <c r="J15" i="1"/>
  <c r="I15" i="1"/>
  <c r="R49" i="1" l="1"/>
  <c r="T49" i="1"/>
  <c r="O49" i="1"/>
  <c r="N49" i="1"/>
  <c r="M49" i="1"/>
  <c r="P49" i="1"/>
  <c r="Q49" i="1"/>
  <c r="AG63" i="1" l="1"/>
  <c r="AF63" i="1"/>
  <c r="G63" i="1"/>
  <c r="F63" i="1"/>
  <c r="E63" i="1"/>
  <c r="R63" i="1" s="1"/>
  <c r="D63" i="1"/>
  <c r="AG34" i="1"/>
  <c r="AF34" i="1"/>
  <c r="AB34" i="1"/>
  <c r="AA34" i="1"/>
  <c r="Z34" i="1"/>
  <c r="L34" i="1"/>
  <c r="K34" i="1"/>
  <c r="J34" i="1"/>
  <c r="I34" i="1"/>
  <c r="H34" i="1"/>
  <c r="G34" i="1"/>
  <c r="F34" i="1"/>
  <c r="E34" i="1"/>
  <c r="D34" i="1"/>
  <c r="T46" i="1" l="1"/>
  <c r="O46" i="1"/>
  <c r="R46" i="1"/>
  <c r="P46" i="1"/>
  <c r="M46" i="1"/>
  <c r="Q46" i="1"/>
  <c r="R34" i="1"/>
  <c r="T34" i="1"/>
  <c r="P34" i="1"/>
  <c r="Q34" i="1"/>
  <c r="M34" i="1"/>
  <c r="N34" i="1"/>
  <c r="O34" i="1"/>
  <c r="L35" i="1" l="1"/>
  <c r="K35" i="1"/>
  <c r="J35" i="1"/>
  <c r="I35" i="1"/>
  <c r="H35" i="1"/>
  <c r="AB23" i="1" l="1"/>
  <c r="Z23" i="1"/>
  <c r="L23" i="1"/>
  <c r="K23" i="1"/>
  <c r="J23" i="1"/>
  <c r="H23" i="1"/>
  <c r="E23" i="1"/>
  <c r="F23" i="1"/>
  <c r="D23" i="1"/>
  <c r="G23" i="1" l="1"/>
  <c r="AG33" i="1"/>
  <c r="AF33" i="1"/>
  <c r="AB33" i="1"/>
  <c r="Z33" i="1"/>
  <c r="L33" i="1"/>
  <c r="K33" i="1"/>
  <c r="J33" i="1"/>
  <c r="H33" i="1"/>
  <c r="F33" i="1"/>
  <c r="E33" i="1"/>
  <c r="D33" i="1"/>
  <c r="G33" i="1" l="1"/>
  <c r="L51" i="1"/>
  <c r="J51" i="1"/>
  <c r="I51" i="1"/>
  <c r="H51" i="1"/>
  <c r="AG51" i="1"/>
  <c r="AF51" i="1"/>
  <c r="AB51" i="1"/>
  <c r="Z51" i="1"/>
  <c r="K51" i="1"/>
  <c r="G51" i="1"/>
  <c r="F51" i="1"/>
  <c r="E51" i="1"/>
  <c r="D51" i="1"/>
  <c r="T66" i="1" l="1"/>
  <c r="R66" i="1"/>
  <c r="T33" i="1"/>
  <c r="R33" i="1"/>
  <c r="R51" i="1"/>
  <c r="T51" i="1"/>
  <c r="O33" i="1"/>
  <c r="P33" i="1"/>
  <c r="Q33" i="1"/>
  <c r="Q51" i="1"/>
  <c r="M51" i="1"/>
  <c r="N51" i="1"/>
  <c r="O51" i="1"/>
  <c r="P51" i="1"/>
  <c r="AG14" i="1"/>
  <c r="AF14" i="1"/>
  <c r="AB14" i="1" l="1"/>
  <c r="Z14" i="1"/>
  <c r="L14" i="1"/>
  <c r="K14" i="1"/>
  <c r="J14" i="1"/>
  <c r="G14" i="1"/>
  <c r="F14" i="1"/>
  <c r="E14" i="1"/>
  <c r="D14" i="1"/>
  <c r="T32" i="1" l="1"/>
  <c r="N32" i="1"/>
  <c r="O32" i="1"/>
  <c r="P32" i="1"/>
  <c r="Q32" i="1"/>
  <c r="R32" i="1"/>
  <c r="R14" i="1"/>
  <c r="T14" i="1"/>
  <c r="AA12" i="1"/>
  <c r="Q14" i="1"/>
  <c r="O14" i="1"/>
  <c r="P14" i="1"/>
  <c r="AG12" i="1"/>
  <c r="AF12" i="1"/>
  <c r="AB12" i="1"/>
  <c r="Z12" i="1"/>
  <c r="L12" i="1"/>
  <c r="K12" i="1"/>
  <c r="J12" i="1"/>
  <c r="I12" i="1"/>
  <c r="H12" i="1"/>
  <c r="G12" i="1"/>
  <c r="F12" i="1"/>
  <c r="E12" i="1"/>
  <c r="D12" i="1"/>
  <c r="AG31" i="1"/>
  <c r="AF31" i="1"/>
  <c r="R12" i="1" l="1"/>
  <c r="T12" i="1"/>
  <c r="N12" i="1"/>
  <c r="Q12" i="1"/>
  <c r="O12" i="1"/>
  <c r="P12" i="1"/>
  <c r="M12" i="1"/>
  <c r="AB31" i="1"/>
  <c r="Z31" i="1"/>
  <c r="L31" i="1"/>
  <c r="K31" i="1"/>
  <c r="J31" i="1"/>
  <c r="I31" i="1"/>
  <c r="H31" i="1"/>
  <c r="G31" i="1"/>
  <c r="F31" i="1"/>
  <c r="E31" i="1"/>
  <c r="D31" i="1"/>
  <c r="AB64" i="1"/>
  <c r="AA64" i="1"/>
  <c r="Z64" i="1"/>
  <c r="P13" i="1" l="1"/>
  <c r="M13" i="1"/>
  <c r="R13" i="1"/>
  <c r="N13" i="1"/>
  <c r="O13" i="1"/>
  <c r="Q13" i="1"/>
  <c r="T13" i="1"/>
  <c r="H64" i="1" l="1"/>
  <c r="I64" i="1" l="1"/>
  <c r="J64" i="1" l="1"/>
  <c r="K64" i="1" l="1"/>
  <c r="L64" i="1" l="1"/>
  <c r="AG43" i="1" l="1"/>
  <c r="AF43" i="1"/>
  <c r="AB43" i="1"/>
  <c r="Z43" i="1"/>
  <c r="D43" i="1"/>
  <c r="L67" i="1" l="1"/>
  <c r="K67" i="1"/>
  <c r="J67" i="1"/>
  <c r="I67" i="1"/>
  <c r="H67" i="1"/>
  <c r="I50" i="1" l="1"/>
  <c r="L50" i="1"/>
  <c r="K50" i="1"/>
  <c r="J50" i="1"/>
  <c r="H50" i="1"/>
  <c r="L37" i="1" l="1"/>
  <c r="K37" i="1"/>
  <c r="J37" i="1"/>
  <c r="I37" i="1"/>
  <c r="H37" i="1"/>
  <c r="L30" i="1" l="1"/>
  <c r="K30" i="1"/>
  <c r="J30" i="1"/>
  <c r="H30" i="1"/>
  <c r="K16" i="1" l="1"/>
  <c r="J16" i="1"/>
  <c r="I16" i="1"/>
  <c r="H16" i="1"/>
  <c r="L16" i="1"/>
  <c r="H10" i="1" l="1"/>
  <c r="I10" i="1"/>
  <c r="J10" i="1"/>
  <c r="K10" i="1"/>
  <c r="L10" i="1"/>
  <c r="H9" i="1" l="1"/>
  <c r="I9" i="1"/>
  <c r="J9" i="1"/>
  <c r="K9" i="1"/>
  <c r="L9" i="1"/>
  <c r="H8" i="1" l="1"/>
  <c r="J8" i="1"/>
  <c r="K8" i="1"/>
  <c r="L8" i="1"/>
  <c r="H5" i="1" l="1"/>
  <c r="I5" i="1"/>
  <c r="J5" i="1"/>
  <c r="K5" i="1"/>
  <c r="L5" i="1"/>
  <c r="H7" i="1" l="1"/>
  <c r="I7" i="1"/>
  <c r="J7" i="1"/>
  <c r="K7" i="1"/>
  <c r="L7" i="1"/>
  <c r="H6" i="1" l="1"/>
  <c r="I6" i="1"/>
  <c r="J6" i="1"/>
  <c r="K6" i="1"/>
  <c r="L6" i="1"/>
  <c r="AG30" i="1" l="1"/>
  <c r="AF30" i="1"/>
  <c r="AB30" i="1"/>
  <c r="Z30" i="1"/>
  <c r="F30" i="1"/>
  <c r="D30" i="1"/>
  <c r="Z6" i="1" l="1"/>
  <c r="AG4" i="1" l="1"/>
  <c r="AF4" i="1"/>
  <c r="F4" i="1"/>
  <c r="E4" i="1"/>
  <c r="D4" i="1"/>
  <c r="AG64" i="1"/>
  <c r="AF64" i="1"/>
  <c r="G64" i="1"/>
  <c r="F64" i="1"/>
  <c r="E64" i="1"/>
  <c r="D64" i="1"/>
  <c r="R64" i="1" l="1"/>
  <c r="T64" i="1"/>
  <c r="N64" i="1"/>
  <c r="O64" i="1"/>
  <c r="P64" i="1"/>
  <c r="Q64" i="1"/>
  <c r="G4" i="1"/>
  <c r="AB6" i="1"/>
  <c r="AG50" i="1"/>
  <c r="AF50" i="1"/>
  <c r="G50" i="1"/>
  <c r="F50" i="1"/>
  <c r="E50" i="1"/>
  <c r="D50" i="1"/>
  <c r="T50" i="1" l="1"/>
  <c r="R50" i="1"/>
  <c r="R4" i="1"/>
  <c r="T4" i="1"/>
  <c r="O50" i="1"/>
  <c r="Q50" i="1"/>
  <c r="N50" i="1"/>
  <c r="P50" i="1"/>
  <c r="M50" i="1"/>
  <c r="Q4" i="1"/>
  <c r="O4" i="1"/>
  <c r="M4" i="1"/>
  <c r="P4" i="1"/>
  <c r="N4" i="1"/>
  <c r="AG38" i="1"/>
  <c r="AF38" i="1"/>
  <c r="AB38" i="1"/>
  <c r="Z38" i="1"/>
  <c r="G38" i="1"/>
  <c r="F38" i="1"/>
  <c r="E38" i="1"/>
  <c r="D38" i="1"/>
  <c r="R38" i="1" l="1"/>
  <c r="T38" i="1"/>
  <c r="O38" i="1"/>
  <c r="Q38" i="1"/>
  <c r="P38" i="1"/>
  <c r="N38" i="1"/>
  <c r="M38" i="1"/>
  <c r="AB20" i="1" l="1"/>
  <c r="AG67" i="1" l="1"/>
  <c r="AF67" i="1"/>
  <c r="AB67" i="1"/>
  <c r="AA67" i="1"/>
  <c r="Z67" i="1"/>
  <c r="G67" i="1"/>
  <c r="F67" i="1"/>
  <c r="E67" i="1"/>
  <c r="R67" i="1" s="1"/>
  <c r="D67" i="1"/>
  <c r="AB8" i="1"/>
  <c r="Z8" i="1"/>
  <c r="F8" i="1"/>
  <c r="E8" i="1"/>
  <c r="T67" i="1" l="1"/>
  <c r="T58" i="1"/>
  <c r="P67" i="1"/>
  <c r="O67" i="1"/>
  <c r="N67" i="1"/>
  <c r="M67" i="1"/>
  <c r="Q67" i="1"/>
  <c r="G8" i="1"/>
  <c r="T8" i="1" s="1"/>
  <c r="R8" i="1" l="1"/>
  <c r="D8" i="1"/>
  <c r="AG24" i="1"/>
  <c r="AF24" i="1"/>
  <c r="AB24" i="1"/>
  <c r="Z24" i="1"/>
  <c r="G24" i="1"/>
  <c r="F24" i="1"/>
  <c r="E24" i="1"/>
  <c r="D24" i="1"/>
  <c r="T24" i="1" l="1"/>
  <c r="T47" i="1"/>
  <c r="N47" i="1"/>
  <c r="M24" i="1"/>
  <c r="AG55" i="1" l="1"/>
  <c r="AF55" i="1"/>
  <c r="G55" i="1"/>
  <c r="T55" i="1" s="1"/>
  <c r="F55" i="1"/>
  <c r="E55" i="1"/>
  <c r="D55" i="1"/>
  <c r="R55" i="1" l="1"/>
  <c r="N55" i="1"/>
  <c r="Q55" i="1"/>
  <c r="P55" i="1"/>
  <c r="O55" i="1"/>
  <c r="AG35" i="1"/>
  <c r="AF35" i="1"/>
  <c r="AB35" i="1" l="1"/>
  <c r="Z35" i="1"/>
  <c r="G35" i="1" l="1"/>
  <c r="F35" i="1"/>
  <c r="E35" i="1"/>
  <c r="D35" i="1"/>
  <c r="R35" i="1" l="1"/>
  <c r="T35" i="1"/>
  <c r="Q35" i="1"/>
  <c r="P35" i="1"/>
  <c r="O35" i="1"/>
  <c r="N35" i="1"/>
  <c r="M35" i="1"/>
  <c r="AG26" i="1"/>
  <c r="AF26" i="1"/>
  <c r="G26" i="1"/>
  <c r="F26" i="1"/>
  <c r="E26" i="1"/>
  <c r="D26" i="1"/>
  <c r="AB61" i="1"/>
  <c r="Z61" i="1"/>
  <c r="T31" i="1" l="1"/>
  <c r="O31" i="1"/>
  <c r="P31" i="1"/>
  <c r="Q31" i="1"/>
  <c r="N31" i="1"/>
  <c r="R31" i="1"/>
  <c r="M31" i="1"/>
  <c r="Q26" i="1"/>
  <c r="P26" i="1"/>
  <c r="O26" i="1"/>
  <c r="N26" i="1"/>
  <c r="R26" i="1"/>
  <c r="T26" i="1"/>
  <c r="Z27" i="1"/>
  <c r="AB15" i="1" l="1"/>
  <c r="Z15" i="1"/>
  <c r="AB37" i="1" l="1"/>
  <c r="Z37" i="1"/>
  <c r="AA38" i="1" l="1"/>
  <c r="AG62" i="1"/>
  <c r="AF62" i="1"/>
  <c r="AB62" i="1"/>
  <c r="Z62" i="1"/>
  <c r="G62" i="1"/>
  <c r="F62" i="1"/>
  <c r="E62" i="1"/>
  <c r="D62" i="1"/>
  <c r="AG16" i="1" l="1"/>
  <c r="AG10" i="1" l="1"/>
  <c r="AG27" i="1" l="1"/>
  <c r="AF27" i="1"/>
  <c r="G27" i="1" l="1"/>
  <c r="F27" i="1"/>
  <c r="E27" i="1"/>
  <c r="D27" i="1"/>
  <c r="T27" i="1" l="1"/>
  <c r="T23" i="1"/>
  <c r="R23" i="1"/>
  <c r="P23" i="1"/>
  <c r="Q23" i="1"/>
  <c r="M23" i="1"/>
  <c r="O23" i="1"/>
  <c r="R27" i="1"/>
  <c r="Q27" i="1"/>
  <c r="P27" i="1"/>
  <c r="AG44" i="1" l="1"/>
  <c r="AG61" i="1"/>
  <c r="AG53" i="1"/>
  <c r="AG41" i="1"/>
  <c r="AG37" i="1"/>
  <c r="AG15" i="1"/>
  <c r="AG39" i="1"/>
  <c r="AG20" i="1"/>
  <c r="AG21" i="1"/>
  <c r="AG22" i="1" l="1"/>
  <c r="AG11" i="1"/>
  <c r="AG9" i="1"/>
  <c r="AG7" i="1" l="1"/>
  <c r="AG6" i="1" l="1"/>
  <c r="AF53" i="1" l="1"/>
  <c r="AF37" i="1" l="1"/>
  <c r="AF44" i="1" l="1"/>
  <c r="AF61" i="1"/>
  <c r="AF41" i="1"/>
  <c r="AF39" i="1" l="1"/>
  <c r="AF16" i="1" l="1"/>
  <c r="AF20" i="1" l="1"/>
  <c r="AF21" i="1" l="1"/>
  <c r="AF22" i="1" l="1"/>
  <c r="AF10" i="1" l="1"/>
  <c r="AF11" i="1" l="1"/>
  <c r="AF9" i="1" l="1"/>
  <c r="AF15" i="1" l="1"/>
  <c r="G15" i="1"/>
  <c r="F15" i="1"/>
  <c r="E15" i="1"/>
  <c r="D15" i="1"/>
  <c r="R28" i="1" l="1"/>
  <c r="O28" i="1"/>
  <c r="T28" i="1"/>
  <c r="M28" i="1"/>
  <c r="P28" i="1"/>
  <c r="Q28" i="1"/>
  <c r="R15" i="1"/>
  <c r="T15" i="1"/>
  <c r="O15" i="1"/>
  <c r="N15" i="1"/>
  <c r="Q15" i="1"/>
  <c r="P15" i="1"/>
  <c r="AF7" i="1"/>
  <c r="AF6" i="1"/>
  <c r="G53" i="1" l="1"/>
  <c r="F53" i="1"/>
  <c r="E53" i="1"/>
  <c r="D53" i="1"/>
  <c r="R53" i="1" l="1"/>
  <c r="T53" i="1"/>
  <c r="G37" i="1"/>
  <c r="F37" i="1"/>
  <c r="E37" i="1"/>
  <c r="D37" i="1"/>
  <c r="R37" i="1" l="1"/>
  <c r="T37" i="1"/>
  <c r="Q37" i="1"/>
  <c r="O37" i="1"/>
  <c r="P37" i="1"/>
  <c r="Z39" i="1"/>
  <c r="D39" i="1"/>
  <c r="E10" i="1" l="1"/>
  <c r="D10" i="1"/>
  <c r="AB41" i="1" l="1"/>
  <c r="Z41" i="1"/>
  <c r="G41" i="1"/>
  <c r="T41" i="1" s="1"/>
  <c r="F41" i="1"/>
  <c r="E41" i="1"/>
  <c r="D41" i="1"/>
  <c r="M41" i="1" l="1"/>
  <c r="R41" i="1"/>
  <c r="N41" i="1"/>
  <c r="Q41" i="1"/>
  <c r="O41" i="1"/>
  <c r="P41" i="1"/>
  <c r="G16" i="1"/>
  <c r="F16" i="1"/>
  <c r="E16" i="1"/>
  <c r="D16" i="1"/>
  <c r="R52" i="1" l="1"/>
  <c r="T52" i="1"/>
  <c r="R16" i="1"/>
  <c r="T16" i="1"/>
  <c r="M16" i="1"/>
  <c r="N16" i="1" l="1"/>
  <c r="O16" i="1" l="1"/>
  <c r="G61" i="1" l="1"/>
  <c r="F61" i="1"/>
  <c r="E61" i="1"/>
  <c r="D61" i="1"/>
  <c r="M57" i="1" l="1"/>
  <c r="P57" i="1"/>
  <c r="Q57" i="1"/>
  <c r="R57" i="1"/>
  <c r="T57" i="1"/>
  <c r="O57" i="1"/>
  <c r="N57" i="1"/>
  <c r="G44" i="1"/>
  <c r="T44" i="1" s="1"/>
  <c r="F44" i="1"/>
  <c r="E44" i="1"/>
  <c r="D44" i="1"/>
  <c r="P44" i="1" l="1"/>
  <c r="O44" i="1"/>
  <c r="M44" i="1"/>
  <c r="N44" i="1"/>
  <c r="AB21" i="1"/>
  <c r="Z21" i="1"/>
  <c r="F21" i="1"/>
  <c r="E21" i="1"/>
  <c r="D21" i="1"/>
  <c r="G21" i="1"/>
  <c r="T21" i="1" s="1"/>
  <c r="P21" i="1" l="1"/>
  <c r="O21" i="1"/>
  <c r="M21" i="1"/>
  <c r="N21" i="1"/>
  <c r="R21" i="1"/>
  <c r="Q21" i="1"/>
  <c r="AA22" i="1"/>
  <c r="AB22" i="1"/>
  <c r="Z22" i="1"/>
  <c r="G22" i="1"/>
  <c r="T22" i="1" s="1"/>
  <c r="F22" i="1"/>
  <c r="E22" i="1"/>
  <c r="D22" i="1"/>
  <c r="O22" i="1" l="1"/>
  <c r="M22" i="1"/>
  <c r="N22" i="1"/>
  <c r="R22" i="1"/>
  <c r="Q22" i="1"/>
  <c r="P22" i="1"/>
  <c r="AA20" i="1"/>
  <c r="Z20" i="1"/>
  <c r="AA11" i="1"/>
  <c r="AB11" i="1"/>
  <c r="AB9" i="1" l="1"/>
  <c r="AB5" i="1" l="1"/>
  <c r="AB7" i="1" l="1"/>
  <c r="AB3" i="1" s="1"/>
  <c r="F20" i="1" l="1"/>
  <c r="E20" i="1"/>
  <c r="D20" i="1"/>
  <c r="G20" i="1" l="1"/>
  <c r="F11" i="1" l="1"/>
  <c r="E11" i="1"/>
  <c r="D11" i="1"/>
  <c r="G11" i="1" l="1"/>
  <c r="Z7" i="1"/>
  <c r="Z5" i="1" l="1"/>
  <c r="F5" i="1"/>
  <c r="E5" i="1"/>
  <c r="D5" i="1"/>
  <c r="G5" i="1" l="1"/>
  <c r="T5" i="1" s="1"/>
  <c r="Z9" i="1"/>
  <c r="Z3" i="1" s="1"/>
  <c r="F9" i="1"/>
  <c r="E9" i="1"/>
  <c r="D9" i="1"/>
  <c r="M5" i="1" l="1"/>
  <c r="R5" i="1"/>
  <c r="N5" i="1"/>
  <c r="Q5" i="1"/>
  <c r="P5" i="1"/>
  <c r="G9" i="1"/>
  <c r="T9" i="1" s="1"/>
  <c r="R9" i="1" l="1"/>
  <c r="M9" i="1"/>
  <c r="N9" i="1"/>
  <c r="F7" i="1" l="1"/>
  <c r="E7" i="1" l="1"/>
  <c r="G7" i="1" s="1"/>
  <c r="T7" i="1" s="1"/>
  <c r="D7" i="1"/>
  <c r="N7" i="1" l="1"/>
  <c r="R7" i="1"/>
  <c r="M7" i="1"/>
  <c r="Q7" i="1"/>
  <c r="P7" i="1"/>
  <c r="O7" i="1"/>
  <c r="F6" i="1"/>
  <c r="D6" i="1"/>
  <c r="F10" i="1" l="1"/>
  <c r="G10" i="1"/>
  <c r="M63" i="1" l="1"/>
  <c r="Q63" i="1"/>
  <c r="T63" i="1"/>
  <c r="O63" i="1"/>
  <c r="P63" i="1"/>
  <c r="N63" i="1"/>
  <c r="T10" i="1"/>
  <c r="Q10" i="1"/>
  <c r="O10" i="1"/>
  <c r="M10" i="1"/>
  <c r="N10" i="1"/>
  <c r="P10" i="1"/>
  <c r="AA62" i="1" l="1"/>
  <c r="P16" i="1" l="1"/>
  <c r="Q8" i="1" l="1"/>
  <c r="P8" i="1"/>
  <c r="O8" i="1"/>
  <c r="M8" i="1"/>
  <c r="AA41" i="1" l="1"/>
  <c r="AA6" i="1"/>
  <c r="E6" i="1" l="1"/>
  <c r="G6" i="1" s="1"/>
  <c r="R6" i="1" l="1"/>
  <c r="T6" i="1"/>
  <c r="O6" i="1"/>
  <c r="P6" i="1"/>
  <c r="N6" i="1"/>
  <c r="Q6" i="1"/>
  <c r="M6" i="1"/>
  <c r="O5" i="1" l="1"/>
  <c r="O9" i="1" l="1"/>
  <c r="P9" i="1" l="1"/>
  <c r="Q9" i="1" l="1"/>
  <c r="AA9" i="1" l="1"/>
  <c r="AA7" i="1" l="1"/>
  <c r="AA5" i="1" l="1"/>
  <c r="Q16" i="1" l="1"/>
  <c r="AA37" i="1" l="1"/>
  <c r="AA31" i="1" l="1"/>
  <c r="AA35" i="1" l="1"/>
  <c r="AA61" i="1" l="1"/>
  <c r="AA51" i="1" l="1"/>
  <c r="M52" i="1" l="1"/>
  <c r="H15" i="1" l="1"/>
  <c r="M15" i="1" s="1"/>
  <c r="L42" i="1" l="1"/>
  <c r="Q42" i="1" s="1"/>
  <c r="J42" i="1" l="1"/>
  <c r="O42" i="1" s="1"/>
  <c r="K42" i="1" l="1"/>
  <c r="P42" i="1" s="1"/>
  <c r="I42" i="1" l="1"/>
  <c r="N42" i="1" s="1"/>
  <c r="AA42" i="1"/>
  <c r="I66" i="1" l="1"/>
  <c r="H66" i="1" l="1"/>
  <c r="J66" i="1"/>
  <c r="O66" i="1" s="1"/>
  <c r="K66" i="1" l="1"/>
  <c r="P66" i="1" s="1"/>
  <c r="L66" i="1" l="1"/>
  <c r="Q66" i="1" s="1"/>
  <c r="H14" i="1" l="1"/>
  <c r="M14" i="1" s="1"/>
  <c r="J17" i="1" l="1"/>
  <c r="O17" i="1" s="1"/>
  <c r="K17" i="1" l="1"/>
  <c r="P17" i="1" s="1"/>
  <c r="L17" i="1" l="1"/>
  <c r="Q17" i="1" s="1"/>
  <c r="R17" i="1" l="1"/>
  <c r="F39" i="1" l="1"/>
  <c r="E39" i="1"/>
  <c r="G39" i="1" l="1"/>
  <c r="O39" i="1" l="1"/>
  <c r="M39" i="1"/>
  <c r="R39" i="1"/>
  <c r="Q39" i="1"/>
  <c r="P39" i="1"/>
  <c r="N39" i="1"/>
  <c r="T61" i="1"/>
  <c r="N61" i="1"/>
  <c r="Q61" i="1"/>
  <c r="P61" i="1"/>
  <c r="O61" i="1"/>
  <c r="F18" i="1" l="1"/>
  <c r="G18" i="1" l="1"/>
  <c r="T18" i="1" s="1"/>
  <c r="E18" i="1"/>
  <c r="I18" i="1" l="1"/>
  <c r="N18" i="1" s="1"/>
  <c r="J18" i="1" l="1"/>
  <c r="O18" i="1" s="1"/>
  <c r="K18" i="1" l="1"/>
  <c r="P18" i="1" s="1"/>
  <c r="L18" i="1"/>
  <c r="Q18" i="1" s="1"/>
  <c r="R18" i="1" l="1"/>
  <c r="H18" i="1" l="1"/>
  <c r="M18" i="1" s="1"/>
  <c r="AA18" i="1" l="1"/>
  <c r="AA23" i="1" l="1"/>
  <c r="I23" i="1"/>
  <c r="N23" i="1" s="1"/>
  <c r="F43" i="1" l="1"/>
  <c r="U43" i="1" l="1"/>
  <c r="V43" i="1" l="1"/>
  <c r="E43" i="1"/>
  <c r="G43" i="1" l="1"/>
  <c r="T43" i="1" l="1"/>
  <c r="T39" i="1"/>
  <c r="I43" i="1"/>
  <c r="N43" i="1" s="1"/>
  <c r="J43" i="1" l="1"/>
  <c r="O43" i="1" s="1"/>
  <c r="K43" i="1" l="1"/>
  <c r="P43" i="1" s="1"/>
  <c r="L43" i="1" l="1"/>
  <c r="Q43" i="1" s="1"/>
  <c r="R43" i="1" l="1"/>
  <c r="H43" i="1" l="1"/>
  <c r="M43" i="1" s="1"/>
  <c r="AA43" i="1"/>
  <c r="AA21" i="1" l="1"/>
  <c r="R44" i="1" l="1"/>
  <c r="Q44" i="1" l="1"/>
  <c r="E30" i="1" l="1"/>
  <c r="G30" i="1" l="1"/>
  <c r="T30" i="1" s="1"/>
  <c r="R30" i="1" l="1"/>
  <c r="P30" i="1"/>
  <c r="M30" i="1"/>
  <c r="O30" i="1"/>
  <c r="Q30" i="1"/>
  <c r="I33" i="1" l="1"/>
  <c r="N33" i="1" s="1"/>
  <c r="AA33" i="1"/>
  <c r="AA46" i="1" l="1"/>
  <c r="I46" i="1"/>
  <c r="N46" i="1" s="1"/>
  <c r="I65" i="1" l="1"/>
  <c r="N65" i="1" s="1"/>
  <c r="I24" i="1" l="1"/>
  <c r="N24" i="1" s="1"/>
  <c r="J24" i="1" l="1"/>
  <c r="O24" i="1" s="1"/>
  <c r="K24" i="1" l="1"/>
  <c r="P24" i="1" s="1"/>
  <c r="L24" i="1" l="1"/>
  <c r="Q24" i="1" s="1"/>
  <c r="AA24" i="1" l="1"/>
  <c r="R24" i="1"/>
  <c r="AA50" i="1" l="1"/>
  <c r="AA30" i="1" l="1"/>
  <c r="I30" i="1"/>
  <c r="N30" i="1" s="1"/>
  <c r="L58" i="1" l="1"/>
  <c r="Q58" i="1" s="1"/>
  <c r="K58" i="1"/>
  <c r="P58" i="1" s="1"/>
  <c r="J58" i="1" l="1"/>
  <c r="R58" i="1" l="1"/>
  <c r="AA58" i="1" l="1"/>
  <c r="AA8" i="1" l="1"/>
  <c r="I8" i="1"/>
  <c r="N8" i="1" s="1"/>
  <c r="AA17" i="1" l="1"/>
  <c r="I17" i="1"/>
  <c r="N17" i="1" s="1"/>
  <c r="N59" i="1" l="1"/>
  <c r="AA15" i="1" l="1"/>
  <c r="S45" i="1" l="1"/>
  <c r="T45" i="1" s="1"/>
  <c r="U45" i="1" l="1"/>
  <c r="V45" i="1"/>
  <c r="I45" i="1" l="1"/>
  <c r="H45" i="1" l="1"/>
  <c r="J45" i="1" l="1"/>
  <c r="K45" i="1" l="1"/>
  <c r="L45" i="1"/>
  <c r="R45" i="1" l="1"/>
  <c r="AA45" i="1" l="1"/>
  <c r="W19" i="1" l="1"/>
  <c r="X19" i="1" l="1"/>
  <c r="AA19" i="1" l="1"/>
  <c r="I19" i="1"/>
  <c r="N19" i="1" s="1"/>
  <c r="E48" i="1"/>
  <c r="S48" i="1"/>
  <c r="U48" i="1"/>
  <c r="F48" i="1" l="1"/>
  <c r="V48" i="1"/>
  <c r="G48" i="1"/>
  <c r="T48" i="1" s="1"/>
  <c r="X48" i="1" l="1"/>
  <c r="W48" i="1"/>
  <c r="H48" i="1" l="1"/>
  <c r="M48" i="1" s="1"/>
  <c r="M3" i="1" s="1"/>
  <c r="I48" i="1" l="1"/>
  <c r="N48" i="1" s="1"/>
  <c r="J48" i="1" l="1"/>
  <c r="O48" i="1" s="1"/>
  <c r="K48" i="1" l="1"/>
  <c r="P48" i="1" s="1"/>
  <c r="L48" i="1" l="1"/>
  <c r="Q48" i="1" s="1"/>
  <c r="R48" i="1" l="1"/>
  <c r="AA48" i="1" l="1"/>
  <c r="I14" i="1" l="1"/>
  <c r="N14" i="1" s="1"/>
  <c r="AA14" i="1"/>
  <c r="AA55" i="1" l="1"/>
  <c r="AA28" i="1" l="1"/>
  <c r="I28" i="1"/>
  <c r="N28" i="1" s="1"/>
  <c r="J47" i="1" l="1"/>
  <c r="O47" i="1" s="1"/>
  <c r="O3" i="1" s="1"/>
  <c r="K47" i="1" l="1"/>
  <c r="P47" i="1" s="1"/>
  <c r="P3" i="1" s="1"/>
  <c r="L47" i="1" l="1"/>
  <c r="Q47" i="1" s="1"/>
  <c r="Q3" i="1" s="1"/>
  <c r="R47" i="1" l="1"/>
  <c r="AA47" i="1" l="1"/>
  <c r="E36" i="1" l="1"/>
  <c r="F36" i="1" l="1"/>
  <c r="S36" i="1"/>
  <c r="G36" i="1"/>
  <c r="U36" i="1"/>
  <c r="U3" i="1" s="1"/>
  <c r="V36" i="1"/>
  <c r="V3" i="1" s="1"/>
  <c r="T36" i="1" l="1"/>
  <c r="T3" i="1" s="1"/>
  <c r="H36" i="1" l="1"/>
  <c r="J36" i="1" l="1"/>
  <c r="L36" i="1" l="1"/>
  <c r="K36" i="1"/>
  <c r="R36" i="1" l="1"/>
  <c r="R3" i="1" s="1"/>
  <c r="X36" i="1" l="1"/>
  <c r="X3" i="1" s="1"/>
  <c r="W36" i="1"/>
  <c r="W3" i="1" s="1"/>
  <c r="AA36" i="1" l="1"/>
  <c r="AA3" i="1" s="1"/>
  <c r="Y36" i="1"/>
  <c r="Y3" i="1" s="1"/>
  <c r="I36" i="1"/>
  <c r="N36" i="1" s="1"/>
  <c r="N3" i="1" s="1"/>
</calcChain>
</file>

<file path=xl/sharedStrings.xml><?xml version="1.0" encoding="utf-8"?>
<sst xmlns="http://schemas.openxmlformats.org/spreadsheetml/2006/main" count="308" uniqueCount="214">
  <si>
    <t>Company</t>
  </si>
  <si>
    <t>Ticker</t>
  </si>
  <si>
    <t>Price</t>
  </si>
  <si>
    <t>MC</t>
  </si>
  <si>
    <t>Net Cash</t>
  </si>
  <si>
    <t>EV</t>
  </si>
  <si>
    <t>2024 E</t>
  </si>
  <si>
    <t>2024 EV/E</t>
  </si>
  <si>
    <t>2025 EV/E</t>
  </si>
  <si>
    <t>Discount</t>
  </si>
  <si>
    <t>Segment</t>
  </si>
  <si>
    <t>Industry Average</t>
  </si>
  <si>
    <t>Apple</t>
  </si>
  <si>
    <t>AAPL US</t>
  </si>
  <si>
    <t>Microsoft</t>
  </si>
  <si>
    <t>Alphabet</t>
  </si>
  <si>
    <t>Facebook</t>
  </si>
  <si>
    <t>Tencent</t>
  </si>
  <si>
    <t>Taiwan Semiconductor</t>
  </si>
  <si>
    <t>NVIDIA</t>
  </si>
  <si>
    <t>Samsung</t>
  </si>
  <si>
    <t>Adobe</t>
  </si>
  <si>
    <t>Intel</t>
  </si>
  <si>
    <t>ASML</t>
  </si>
  <si>
    <t>Broadcom</t>
  </si>
  <si>
    <t>Qualcomm</t>
  </si>
  <si>
    <t>MSFT US</t>
  </si>
  <si>
    <t>GOOG US</t>
  </si>
  <si>
    <t>0700 HK</t>
  </si>
  <si>
    <t>TSM US</t>
  </si>
  <si>
    <t>NVDA US</t>
  </si>
  <si>
    <t>005930 KS</t>
  </si>
  <si>
    <t>ADBE US</t>
  </si>
  <si>
    <t>CRM US</t>
  </si>
  <si>
    <t>INTC US</t>
  </si>
  <si>
    <t>ASML NV</t>
  </si>
  <si>
    <t>AVGO US</t>
  </si>
  <si>
    <t>QCOM US</t>
  </si>
  <si>
    <t>Shopify</t>
  </si>
  <si>
    <t>Zoom Video</t>
  </si>
  <si>
    <t>ZM US</t>
  </si>
  <si>
    <t>IBM</t>
  </si>
  <si>
    <t>IBM US</t>
  </si>
  <si>
    <t>AMD</t>
  </si>
  <si>
    <t>AMD US</t>
  </si>
  <si>
    <t>Xiaomi</t>
  </si>
  <si>
    <t>Uber</t>
  </si>
  <si>
    <t>Snowflake</t>
  </si>
  <si>
    <t>SNOW US</t>
  </si>
  <si>
    <t>UBER US</t>
  </si>
  <si>
    <t>1810 HK</t>
  </si>
  <si>
    <t>Founded</t>
  </si>
  <si>
    <t>Consumer Electronics</t>
  </si>
  <si>
    <t>Software</t>
  </si>
  <si>
    <t>Internet</t>
  </si>
  <si>
    <t>Semiconductors</t>
  </si>
  <si>
    <t>2025 E</t>
  </si>
  <si>
    <t>Consensus</t>
  </si>
  <si>
    <t>Variance</t>
  </si>
  <si>
    <t>EPAM</t>
  </si>
  <si>
    <t>EPAM US</t>
  </si>
  <si>
    <t>GameStop</t>
  </si>
  <si>
    <t>GME US</t>
  </si>
  <si>
    <t>Inseego</t>
  </si>
  <si>
    <t>INSG US</t>
  </si>
  <si>
    <t>Hardware/Software</t>
  </si>
  <si>
    <t>Netflix</t>
  </si>
  <si>
    <t>Snap Inc</t>
  </si>
  <si>
    <t>NFLX US</t>
  </si>
  <si>
    <t>SNAP US</t>
  </si>
  <si>
    <t>Sonos</t>
  </si>
  <si>
    <t>Roku</t>
  </si>
  <si>
    <t>ROKU US</t>
  </si>
  <si>
    <t>SONO US</t>
  </si>
  <si>
    <t>Tesla</t>
  </si>
  <si>
    <t>TSLA US</t>
  </si>
  <si>
    <t>EVs</t>
  </si>
  <si>
    <t>Streaming</t>
  </si>
  <si>
    <t>Updated</t>
  </si>
  <si>
    <t>Palantir</t>
  </si>
  <si>
    <t>PLTR US</t>
  </si>
  <si>
    <t>Earnings Call</t>
  </si>
  <si>
    <t>Roblox</t>
  </si>
  <si>
    <t>RBLX US</t>
  </si>
  <si>
    <t>Hardware</t>
  </si>
  <si>
    <t>Electronic Arts</t>
  </si>
  <si>
    <t>EA US</t>
  </si>
  <si>
    <t>Atari</t>
  </si>
  <si>
    <t>ATAR FR</t>
  </si>
  <si>
    <t>Gaming</t>
  </si>
  <si>
    <t>Corsair Gaming</t>
  </si>
  <si>
    <t>CRSR US</t>
  </si>
  <si>
    <t>Coinbase</t>
  </si>
  <si>
    <t>COIN US</t>
  </si>
  <si>
    <t>Finance</t>
  </si>
  <si>
    <t>Amazon</t>
  </si>
  <si>
    <t>AMZN US</t>
  </si>
  <si>
    <t>Multi-segment</t>
  </si>
  <si>
    <t>HPQ US</t>
  </si>
  <si>
    <t>Hewlett-Packard</t>
  </si>
  <si>
    <t>HPE US</t>
  </si>
  <si>
    <t>HP Enterprise</t>
  </si>
  <si>
    <t>Paysafe</t>
  </si>
  <si>
    <t>PSFE US</t>
  </si>
  <si>
    <t>Logitech</t>
  </si>
  <si>
    <t>LOGI US</t>
  </si>
  <si>
    <t>Skillz</t>
  </si>
  <si>
    <t>SKLZ US</t>
  </si>
  <si>
    <t>META US</t>
  </si>
  <si>
    <t>Roadzen</t>
  </si>
  <si>
    <t>RDZN US</t>
  </si>
  <si>
    <t>EVs/Insurance</t>
  </si>
  <si>
    <t>Disney</t>
  </si>
  <si>
    <t>DIS US</t>
  </si>
  <si>
    <t>Visa</t>
  </si>
  <si>
    <t>Mastercard</t>
  </si>
  <si>
    <t>V US</t>
  </si>
  <si>
    <t>MA US</t>
  </si>
  <si>
    <t>Wise</t>
  </si>
  <si>
    <t>WISE UK</t>
  </si>
  <si>
    <t>Paypal</t>
  </si>
  <si>
    <t>PYPL US</t>
  </si>
  <si>
    <t>Reddit</t>
  </si>
  <si>
    <t>2026 E</t>
  </si>
  <si>
    <t>2027 E</t>
  </si>
  <si>
    <t>2028 E</t>
  </si>
  <si>
    <t>2023 RevG</t>
  </si>
  <si>
    <t>2026 EV/E</t>
  </si>
  <si>
    <t>2027 EV/E</t>
  </si>
  <si>
    <t>2028 EV/E</t>
  </si>
  <si>
    <t>StoneCo</t>
  </si>
  <si>
    <t>STNE US</t>
  </si>
  <si>
    <t>Global Payments</t>
  </si>
  <si>
    <t>GPN US</t>
  </si>
  <si>
    <t>RDDT US</t>
  </si>
  <si>
    <t>Spotify</t>
  </si>
  <si>
    <t>SPOT US</t>
  </si>
  <si>
    <t>SoFi</t>
  </si>
  <si>
    <t>SOFI US</t>
  </si>
  <si>
    <t>Pinterest</t>
  </si>
  <si>
    <t>PINS US</t>
  </si>
  <si>
    <t>FuelCell</t>
  </si>
  <si>
    <t>FCEL US</t>
  </si>
  <si>
    <t>Energy</t>
  </si>
  <si>
    <t>Freshworks</t>
  </si>
  <si>
    <t>FRSH US</t>
  </si>
  <si>
    <t>eBay</t>
  </si>
  <si>
    <t>American Express</t>
  </si>
  <si>
    <t>AXP US</t>
  </si>
  <si>
    <t>Opera</t>
  </si>
  <si>
    <t>OPRA US</t>
  </si>
  <si>
    <t>PagSeguro</t>
  </si>
  <si>
    <t>PAGS US</t>
  </si>
  <si>
    <t>Chegg</t>
  </si>
  <si>
    <t>CHGG US</t>
  </si>
  <si>
    <t>PlugPower</t>
  </si>
  <si>
    <t>PLUG US</t>
  </si>
  <si>
    <t>Koss</t>
  </si>
  <si>
    <t>KOSS US</t>
  </si>
  <si>
    <t>EBAY US</t>
  </si>
  <si>
    <t>Duolingo</t>
  </si>
  <si>
    <t>DUOL US</t>
  </si>
  <si>
    <t>Xerox</t>
  </si>
  <si>
    <t>XRX US</t>
  </si>
  <si>
    <t>ARQQ US</t>
  </si>
  <si>
    <t>Arqit Quantum</t>
  </si>
  <si>
    <t>2035 EV/E</t>
  </si>
  <si>
    <t>Novami</t>
  </si>
  <si>
    <t>NVMI US</t>
  </si>
  <si>
    <t>Symbotic</t>
  </si>
  <si>
    <t>SYM US</t>
  </si>
  <si>
    <t>Robotics</t>
  </si>
  <si>
    <t>SHOP US</t>
  </si>
  <si>
    <t>IonQ</t>
  </si>
  <si>
    <t>IONQ US</t>
  </si>
  <si>
    <t>Quantum</t>
  </si>
  <si>
    <t>2024 RevG</t>
  </si>
  <si>
    <t>Alibaba</t>
  </si>
  <si>
    <t>BABA US</t>
  </si>
  <si>
    <t>Salesforce</t>
  </si>
  <si>
    <t>Dell</t>
  </si>
  <si>
    <t>DELL US</t>
  </si>
  <si>
    <t>Gambling.com</t>
  </si>
  <si>
    <t>GAMB US</t>
  </si>
  <si>
    <t>Shift4</t>
  </si>
  <si>
    <t>FOUR US</t>
  </si>
  <si>
    <t>Block</t>
  </si>
  <si>
    <t>XYZ US</t>
  </si>
  <si>
    <t>Fiserv</t>
  </si>
  <si>
    <t>FI US</t>
  </si>
  <si>
    <t>Stride</t>
  </si>
  <si>
    <t>LRN US</t>
  </si>
  <si>
    <t>TakeTwo</t>
  </si>
  <si>
    <t>Ambiq Micro</t>
  </si>
  <si>
    <t>AMBQ US</t>
  </si>
  <si>
    <t>TTWO US</t>
  </si>
  <si>
    <t>Fiverr</t>
  </si>
  <si>
    <t>FVRR US</t>
  </si>
  <si>
    <t>2025 Rev</t>
  </si>
  <si>
    <t>2025 EV/R</t>
  </si>
  <si>
    <t>Coursera</t>
  </si>
  <si>
    <t>COUR US</t>
  </si>
  <si>
    <t>2025 GM%</t>
  </si>
  <si>
    <t>2025 OM%</t>
  </si>
  <si>
    <t>Online Education</t>
  </si>
  <si>
    <t>Life360</t>
  </si>
  <si>
    <t>LIF US</t>
  </si>
  <si>
    <t>Oracle</t>
  </si>
  <si>
    <t>ORCL US</t>
  </si>
  <si>
    <t>Bandwidth</t>
  </si>
  <si>
    <t>BAND US</t>
  </si>
  <si>
    <t>Rigetti</t>
  </si>
  <si>
    <t>RGTI US</t>
  </si>
  <si>
    <t>2025 NM%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</si>
</sst>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\x"/>
    <numFmt numFmtId="165" formatCode="[$$-409]#,##0"/>
    <numFmt numFmtId="166" formatCode="[$$-409]#,##0.00"/>
    <numFmt numFmtId="167" formatCode="[$HKD]\ #,##0.00"/>
    <numFmt numFmtId="168" formatCode="[$₩-412]#,##0.00"/>
    <numFmt numFmtId="169" formatCode="&quot;£&quot;#,##0.00"/>
    <numFmt numFmtId="170" formatCode="#,##0.00\ [$€-1]"/>
    <numFmt numFmtId="171" formatCode="#,##0\ [$€-1]"/>
    <numFmt numFmtId="172" formatCode="&quot;£&quot;#,##0"/>
    <numFmt numFmtId="173" formatCode="[$£-809]#,##0"/>
    <numFmt numFmtId="174" formatCode="[$$-4809]#,##0.00"/>
    <numFmt numFmtId="175" formatCode="0.0\x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9" fontId="3" fillId="0" borderId="0" xfId="0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0" fontId="2" fillId="0" borderId="0" xfId="1" applyFill="1"/>
    <xf numFmtId="0" fontId="2" fillId="2" borderId="0" xfId="1" applyFill="1"/>
    <xf numFmtId="0" fontId="2" fillId="3" borderId="0" xfId="1" applyFill="1"/>
    <xf numFmtId="175" fontId="1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175" fontId="6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61.xml"/><Relationship Id="rId68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71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61" Type="http://schemas.openxmlformats.org/officeDocument/2006/relationships/externalLink" Target="externalLinks/externalLink59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Charts!$S$2</c:f>
              <c:strCache>
                <c:ptCount val="1"/>
                <c:pt idx="0">
                  <c:v>2025 Rev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Charts!$B$3:$B$6</c:f>
              <c:strCache>
                <c:ptCount val="4"/>
                <c:pt idx="0">
                  <c:v>Palantir</c:v>
                </c:pt>
                <c:pt idx="1">
                  <c:v>Oracle</c:v>
                </c:pt>
                <c:pt idx="2">
                  <c:v>Snowflake</c:v>
                </c:pt>
                <c:pt idx="3">
                  <c:v>Salesforce</c:v>
                </c:pt>
              </c:strCache>
            </c:strRef>
          </c:cat>
          <c:val>
            <c:numRef>
              <c:f>Charts!$S$3:$S$6</c:f>
              <c:numCache>
                <c:formatCode>[$$-409]#,##0</c:formatCode>
                <c:ptCount val="4"/>
                <c:pt idx="0">
                  <c:v>4475.5</c:v>
                </c:pt>
                <c:pt idx="1">
                  <c:v>57399</c:v>
                </c:pt>
                <c:pt idx="2">
                  <c:v>4584.16</c:v>
                </c:pt>
                <c:pt idx="3">
                  <c:v>40168.700000000004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A-409D-8F36-E049A382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603672"/>
        <c:axId val="321604752"/>
      </c:barChart>
      <c:catAx>
        <c:axId val="32160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04752"/>
        <c:crosses val="autoZero"/>
        <c:auto val="1"/>
        <c:lblAlgn val="ctr"/>
        <c:lblOffset val="100"/>
        <c:noMultiLvlLbl val="0"/>
      </c:catAx>
      <c:valAx>
        <c:axId val="3216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03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Charts!$T$2</c:f>
              <c:strCache>
                <c:ptCount val="1"/>
                <c:pt idx="0">
                  <c:v>2025 EV/R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Charts!$B$3:$B$6</c:f>
              <c:strCache>
                <c:ptCount val="4"/>
                <c:pt idx="0">
                  <c:v>Palantir</c:v>
                </c:pt>
                <c:pt idx="1">
                  <c:v>Oracle</c:v>
                </c:pt>
                <c:pt idx="2">
                  <c:v>Snowflake</c:v>
                </c:pt>
                <c:pt idx="3">
                  <c:v>Salesforce</c:v>
                </c:pt>
              </c:strCache>
            </c:strRef>
          </c:cat>
          <c:val>
            <c:numRef>
              <c:f>Charts!$T$3:$T$6</c:f>
              <c:numCache>
                <c:formatCode>0.0\x</c:formatCode>
                <c:ptCount val="4"/>
                <c:pt idx="0">
                  <c:v>85.782581610993191</c:v>
                </c:pt>
                <c:pt idx="1">
                  <c:v>9.998286224498683</c:v>
                </c:pt>
                <c:pt idx="2">
                  <c:v>14.357405500680605</c:v>
                </c:pt>
                <c:pt idx="3">
                  <c:v>4.7959719881400193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4-4B88-8B82-8DE34F15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44216"/>
        <c:axId val="599245656"/>
      </c:barChart>
      <c:catAx>
        <c:axId val="59924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45656"/>
        <c:crosses val="autoZero"/>
        <c:auto val="1"/>
        <c:lblAlgn val="ctr"/>
        <c:lblOffset val="100"/>
        <c:noMultiLvlLbl val="0"/>
      </c:catAx>
      <c:valAx>
        <c:axId val="59924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4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8</xdr:row>
      <xdr:rowOff>148590</xdr:rowOff>
    </xdr:from>
    <xdr:to>
      <xdr:col>10</xdr:col>
      <xdr:colOff>510540</xdr:colOff>
      <xdr:row>23</xdr:row>
      <xdr:rowOff>148590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D4890F-ADEE-DEAD-7035-A51EF74CD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281940</xdr:colOff>
      <xdr:row>8</xdr:row>
      <xdr:rowOff>148590</xdr:rowOff>
    </xdr:from>
    <xdr:to>
      <xdr:col>18</xdr:col>
      <xdr:colOff>586740</xdr:colOff>
      <xdr:row>23</xdr:row>
      <xdr:rowOff>148590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3D5AFD8-04B3-56EF-025F-B96F0A42B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NVDA.xlsx" TargetMode="External"/><Relationship Id="rId1" Type="http://schemas.openxmlformats.org/officeDocument/2006/relationships/externalLinkPath" Target="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GOOG.xlsx" TargetMode="External"/><Relationship Id="rId1" Type="http://schemas.openxmlformats.org/officeDocument/2006/relationships/externalLinkPath" Target="GOO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APL.xlsx" TargetMode="External"/><Relationship Id="rId1" Type="http://schemas.openxmlformats.org/officeDocument/2006/relationships/externalLinkPath" Target="AAP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MSFT.xlsx" TargetMode="External"/><Relationship Id="rId1" Type="http://schemas.openxmlformats.org/officeDocument/2006/relationships/externalLinkPath" Target="MSF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MZN.xlsx" TargetMode="External"/><Relationship Id="rId1" Type="http://schemas.openxmlformats.org/officeDocument/2006/relationships/externalLinkPath" Target="AMZ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B.xlsx" TargetMode="External"/><Relationship Id="rId1" Type="http://schemas.openxmlformats.org/officeDocument/2006/relationships/externalLinkPath" Target="FB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TSLA.xlsx" TargetMode="External"/><Relationship Id="rId1" Type="http://schemas.openxmlformats.org/officeDocument/2006/relationships/externalLinkPath" Target="TSL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0700.xlsx" TargetMode="External"/><Relationship Id="rId1" Type="http://schemas.openxmlformats.org/officeDocument/2006/relationships/externalLinkPath" Target="0700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V.xlsx" TargetMode="External"/><Relationship Id="rId1" Type="http://schemas.openxmlformats.org/officeDocument/2006/relationships/externalLinkPath" Target="V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ORCL.xlsx" TargetMode="External"/><Relationship Id="rId1" Type="http://schemas.openxmlformats.org/officeDocument/2006/relationships/externalLinkPath" Target="ORCL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MA.xlsx" TargetMode="External"/><Relationship Id="rId1" Type="http://schemas.openxmlformats.org/officeDocument/2006/relationships/externalLinkPath" Target="M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LTR.xlsx" TargetMode="External"/><Relationship Id="rId1" Type="http://schemas.openxmlformats.org/officeDocument/2006/relationships/externalLinkPath" Target="PLT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NFLX.xlsx" TargetMode="External"/><Relationship Id="rId1" Type="http://schemas.openxmlformats.org/officeDocument/2006/relationships/externalLinkPath" Target="NFLX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MD.xlsx" TargetMode="External"/><Relationship Id="rId1" Type="http://schemas.openxmlformats.org/officeDocument/2006/relationships/externalLinkPath" Target="AM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XP.xlsx" TargetMode="External"/><Relationship Id="rId1" Type="http://schemas.openxmlformats.org/officeDocument/2006/relationships/externalLinkPath" Target="AX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INTC.xlsx" TargetMode="External"/><Relationship Id="rId1" Type="http://schemas.openxmlformats.org/officeDocument/2006/relationships/externalLinkPath" Target="INTC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005930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CRM.xlsx" TargetMode="External"/><Relationship Id="rId1" Type="http://schemas.openxmlformats.org/officeDocument/2006/relationships/externalLinkPath" Target="CRM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DBE.xlsx" TargetMode="External"/><Relationship Id="rId1" Type="http://schemas.openxmlformats.org/officeDocument/2006/relationships/externalLinkPath" Target="ADB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POT.xlsx" TargetMode="External"/><Relationship Id="rId1" Type="http://schemas.openxmlformats.org/officeDocument/2006/relationships/externalLinkPath" Target="SPOT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COIN.xlsx" TargetMode="External"/><Relationship Id="rId1" Type="http://schemas.openxmlformats.org/officeDocument/2006/relationships/externalLinkPath" Target="COI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I.xlsx" TargetMode="External"/><Relationship Id="rId1" Type="http://schemas.openxmlformats.org/officeDocument/2006/relationships/externalLinkPath" Target="FI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NOW.xlsx" TargetMode="External"/><Relationship Id="rId1" Type="http://schemas.openxmlformats.org/officeDocument/2006/relationships/externalLinkPath" Target="SNOW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BLX.xlsx" TargetMode="External"/><Relationship Id="rId1" Type="http://schemas.openxmlformats.org/officeDocument/2006/relationships/externalLinkPath" Target="RBLX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TTWO.xlsx" TargetMode="External"/><Relationship Id="rId1" Type="http://schemas.openxmlformats.org/officeDocument/2006/relationships/externalLinkPath" Target="TTWO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XYZ.xlsx" TargetMode="External"/><Relationship Id="rId1" Type="http://schemas.openxmlformats.org/officeDocument/2006/relationships/externalLinkPath" Target="XYZ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YPL.xlsx" TargetMode="External"/><Relationship Id="rId1" Type="http://schemas.openxmlformats.org/officeDocument/2006/relationships/externalLinkPath" Target="PYPL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GPN.xlsx" TargetMode="External"/><Relationship Id="rId1" Type="http://schemas.openxmlformats.org/officeDocument/2006/relationships/externalLinkPath" Target="GP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YM.xlsx" TargetMode="External"/><Relationship Id="rId1" Type="http://schemas.openxmlformats.org/officeDocument/2006/relationships/externalLinkPath" Target="SYM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DDT.xlsx" TargetMode="External"/><Relationship Id="rId1" Type="http://schemas.openxmlformats.org/officeDocument/2006/relationships/externalLinkPath" Target="RDDT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OFI.xlsx" TargetMode="External"/><Relationship Id="rId1" Type="http://schemas.openxmlformats.org/officeDocument/2006/relationships/externalLinkPath" Target="SOFI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ZM.xlsx" TargetMode="External"/><Relationship Id="rId1" Type="http://schemas.openxmlformats.org/officeDocument/2006/relationships/externalLinkPath" Target="ZM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IONQ.xlsx" TargetMode="External"/><Relationship Id="rId1" Type="http://schemas.openxmlformats.org/officeDocument/2006/relationships/externalLinkPath" Target="IONQ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OKU.xlsx" TargetMode="External"/><Relationship Id="rId1" Type="http://schemas.openxmlformats.org/officeDocument/2006/relationships/externalLinkPath" Target="ROKU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OGI.xlsx" TargetMode="External"/><Relationship Id="rId1" Type="http://schemas.openxmlformats.org/officeDocument/2006/relationships/externalLinkPath" Target="LOGI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NAP.xlsx" TargetMode="External"/><Relationship Id="rId1" Type="http://schemas.openxmlformats.org/officeDocument/2006/relationships/externalLinkPath" Target="SN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OUR.xlsx" TargetMode="External"/><Relationship Id="rId1" Type="http://schemas.openxmlformats.org/officeDocument/2006/relationships/externalLinkPath" Target="FOU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EPAM.xlsx" TargetMode="External"/><Relationship Id="rId1" Type="http://schemas.openxmlformats.org/officeDocument/2006/relationships/externalLinkPath" Target="EPAM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NVMI.xlsx" TargetMode="External"/><Relationship Id="rId1" Type="http://schemas.openxmlformats.org/officeDocument/2006/relationships/externalLinkPath" Target="NVMI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TNE.xlsx" TargetMode="External"/><Relationship Id="rId1" Type="http://schemas.openxmlformats.org/officeDocument/2006/relationships/externalLinkPath" Target="STNE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GME.xlsx" TargetMode="External"/><Relationship Id="rId1" Type="http://schemas.openxmlformats.org/officeDocument/2006/relationships/externalLinkPath" Target="GME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GTI%20(3).xlsx" TargetMode="External"/><Relationship Id="rId1" Type="http://schemas.openxmlformats.org/officeDocument/2006/relationships/externalLinkPath" Target="RGTI%20(3)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DUOL.xlsx" TargetMode="External"/><Relationship Id="rId1" Type="http://schemas.openxmlformats.org/officeDocument/2006/relationships/externalLinkPath" Target="DUOL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IF.xlsx" TargetMode="External"/><Relationship Id="rId1" Type="http://schemas.openxmlformats.org/officeDocument/2006/relationships/externalLinkPath" Target="LIF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RN.xlsx" TargetMode="External"/><Relationship Id="rId1" Type="http://schemas.openxmlformats.org/officeDocument/2006/relationships/externalLinkPath" Target="LRN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AGS.xlsx" TargetMode="External"/><Relationship Id="rId1" Type="http://schemas.openxmlformats.org/officeDocument/2006/relationships/externalLinkPath" Target="PAGS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SFE.xlsx" TargetMode="External"/><Relationship Id="rId1" Type="http://schemas.openxmlformats.org/officeDocument/2006/relationships/externalLinkPath" Target="PSFE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WISE.xlsx" TargetMode="External"/><Relationship Id="rId1" Type="http://schemas.openxmlformats.org/officeDocument/2006/relationships/externalLinkPath" Target="WISE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LUG.xlsx" TargetMode="External"/><Relationship Id="rId1" Type="http://schemas.openxmlformats.org/officeDocument/2006/relationships/externalLinkPath" Target="PLUG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ONO.xlsx" TargetMode="External"/><Relationship Id="rId1" Type="http://schemas.openxmlformats.org/officeDocument/2006/relationships/externalLinkPath" Target="SONO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OPRA.xlsx" TargetMode="External"/><Relationship Id="rId1" Type="http://schemas.openxmlformats.org/officeDocument/2006/relationships/externalLinkPath" Target="OPRA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CRSR.xlsx" TargetMode="External"/><Relationship Id="rId1" Type="http://schemas.openxmlformats.org/officeDocument/2006/relationships/externalLinkPath" Target="CRSR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AND.xlsx" TargetMode="External"/><Relationship Id="rId1" Type="http://schemas.openxmlformats.org/officeDocument/2006/relationships/externalLinkPath" Target="BAND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VRR.xlsx" TargetMode="External"/><Relationship Id="rId1" Type="http://schemas.openxmlformats.org/officeDocument/2006/relationships/externalLinkPath" Target="FVRR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MBQ.xlsx" TargetMode="External"/><Relationship Id="rId1" Type="http://schemas.openxmlformats.org/officeDocument/2006/relationships/externalLinkPath" Target="AMBQ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GAMB.xlsx" TargetMode="External"/><Relationship Id="rId1" Type="http://schemas.openxmlformats.org/officeDocument/2006/relationships/externalLinkPath" Target="GAMB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COUR.xlsx" TargetMode="External"/><Relationship Id="rId1" Type="http://schemas.openxmlformats.org/officeDocument/2006/relationships/externalLinkPath" Target="COUR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INSG.xlsx" TargetMode="External"/><Relationship Id="rId1" Type="http://schemas.openxmlformats.org/officeDocument/2006/relationships/externalLinkPath" Target="INSG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ATAR.xlsx" TargetMode="External"/><Relationship Id="rId1" Type="http://schemas.openxmlformats.org/officeDocument/2006/relationships/externalLinkPath" Target="ATAR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CEL.xlsx" TargetMode="External"/><Relationship Id="rId1" Type="http://schemas.openxmlformats.org/officeDocument/2006/relationships/externalLinkPath" Target="FCEL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RDZN.xlsx" TargetMode="External"/><Relationship Id="rId1" Type="http://schemas.openxmlformats.org/officeDocument/2006/relationships/externalLinkPath" Target="RDZN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CHGG.xlsx" TargetMode="External"/><Relationship Id="rId1" Type="http://schemas.openxmlformats.org/officeDocument/2006/relationships/externalLinkPath" Target="CHGG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KOSS.xlsx" TargetMode="External"/><Relationship Id="rId1" Type="http://schemas.openxmlformats.org/officeDocument/2006/relationships/externalLinkPath" Target="KOSS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KLZ.xlsx" TargetMode="External"/><Relationship Id="rId1" Type="http://schemas.openxmlformats.org/officeDocument/2006/relationships/externalLinkPath" Target="SKL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189.61</v>
          </cell>
          <cell r="E3">
            <v>46052</v>
          </cell>
          <cell r="G3">
            <v>46065</v>
          </cell>
        </row>
        <row r="5">
          <cell r="D5">
            <v>4612642.4700000007</v>
          </cell>
        </row>
        <row r="8">
          <cell r="D8">
            <v>52141</v>
          </cell>
        </row>
      </sheetData>
      <sheetData sheetId="1">
        <row r="3">
          <cell r="Y3">
            <v>212707.15</v>
          </cell>
        </row>
        <row r="14">
          <cell r="X14">
            <v>72880</v>
          </cell>
          <cell r="Y14">
            <v>114112.797815</v>
          </cell>
          <cell r="Z14">
            <v>154952.37660385002</v>
          </cell>
          <cell r="AA14">
            <v>183131.45684854302</v>
          </cell>
          <cell r="AB14">
            <v>199705.82226125192</v>
          </cell>
          <cell r="AE14">
            <v>232301.96027415927</v>
          </cell>
        </row>
        <row r="18">
          <cell r="W18">
            <v>1.2585452658115224</v>
          </cell>
          <cell r="X18">
            <v>1.1420340763599355</v>
          </cell>
        </row>
        <row r="19">
          <cell r="Y19">
            <v>0.71388361886283558</v>
          </cell>
        </row>
        <row r="20">
          <cell r="AL20">
            <v>0.05</v>
          </cell>
        </row>
        <row r="22">
          <cell r="Y22">
            <v>0.60587309147811907</v>
          </cell>
        </row>
        <row r="24">
          <cell r="Y24">
            <v>0.53647842968607307</v>
          </cell>
        </row>
        <row r="26">
          <cell r="AL26">
            <v>-9.1340350589903863E-2</v>
          </cell>
        </row>
        <row r="27">
          <cell r="AL27" t="str">
            <v>Fairly valued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329.3</v>
          </cell>
          <cell r="E3">
            <v>46059</v>
          </cell>
          <cell r="G3">
            <v>46140</v>
          </cell>
        </row>
        <row r="5">
          <cell r="D5">
            <v>3983542.1</v>
          </cell>
        </row>
        <row r="8">
          <cell r="D8">
            <v>148983</v>
          </cell>
        </row>
      </sheetData>
      <sheetData sheetId="1">
        <row r="10">
          <cell r="AZ10">
            <v>402836</v>
          </cell>
        </row>
        <row r="20">
          <cell r="AY20">
            <v>100118</v>
          </cell>
          <cell r="AZ20">
            <v>132170</v>
          </cell>
          <cell r="BA20">
            <v>127488.96644400001</v>
          </cell>
          <cell r="BB20">
            <v>138488.30639616001</v>
          </cell>
          <cell r="BC20">
            <v>147030.18977804639</v>
          </cell>
          <cell r="BJ20">
            <v>174610.37450067658</v>
          </cell>
        </row>
        <row r="30">
          <cell r="AX30">
            <v>8.6827702272695095E-2</v>
          </cell>
          <cell r="AY30">
            <v>0.13866243322901561</v>
          </cell>
        </row>
        <row r="31">
          <cell r="AZ31">
            <v>0.59652315086039975</v>
          </cell>
        </row>
        <row r="32">
          <cell r="AZ32">
            <v>0.32032638592380025</v>
          </cell>
        </row>
        <row r="33">
          <cell r="BM33">
            <v>0.05</v>
          </cell>
        </row>
        <row r="37">
          <cell r="AZ37">
            <v>0.32809877965226542</v>
          </cell>
        </row>
        <row r="39">
          <cell r="BM39">
            <v>-0.2173697345984017</v>
          </cell>
        </row>
        <row r="40">
          <cell r="BM40" t="str">
            <v>Slightly overvalued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256.72000000000003</v>
          </cell>
          <cell r="E3">
            <v>46052</v>
          </cell>
          <cell r="G3">
            <v>46142</v>
          </cell>
        </row>
        <row r="5">
          <cell r="D5">
            <v>3786157.9040000006</v>
          </cell>
        </row>
        <row r="8">
          <cell r="D8">
            <v>54286</v>
          </cell>
        </row>
      </sheetData>
      <sheetData sheetId="1">
        <row r="5">
          <cell r="BH5">
            <v>416161</v>
          </cell>
        </row>
        <row r="17">
          <cell r="BG17">
            <v>93736</v>
          </cell>
          <cell r="BH17">
            <v>112010</v>
          </cell>
          <cell r="BI17">
            <v>115291.89882000003</v>
          </cell>
          <cell r="BJ17">
            <v>120694.74612375603</v>
          </cell>
          <cell r="BK17">
            <v>124982.00602547626</v>
          </cell>
          <cell r="BR17">
            <v>146144.44009729094</v>
          </cell>
        </row>
        <row r="23">
          <cell r="BH23">
            <v>0.46905164107160452</v>
          </cell>
        </row>
        <row r="26">
          <cell r="BH26">
            <v>0.31970799762591884</v>
          </cell>
        </row>
        <row r="27">
          <cell r="BH27">
            <v>0.26915064121818238</v>
          </cell>
        </row>
        <row r="31">
          <cell r="BF31">
            <v>-2.800460530319937E-2</v>
          </cell>
          <cell r="BG31">
            <v>2.021994077514111E-2</v>
          </cell>
          <cell r="BU31">
            <v>0.05</v>
          </cell>
        </row>
        <row r="37">
          <cell r="BU37">
            <v>-0.28936868477099509</v>
          </cell>
        </row>
        <row r="38">
          <cell r="BU38" t="str">
            <v>Slightly overvalued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432.76</v>
          </cell>
          <cell r="E3">
            <v>46052</v>
          </cell>
          <cell r="G3">
            <v>46140</v>
          </cell>
        </row>
        <row r="5">
          <cell r="D5">
            <v>3213502.656</v>
          </cell>
        </row>
        <row r="8">
          <cell r="D8">
            <v>66819</v>
          </cell>
        </row>
      </sheetData>
      <sheetData sheetId="1">
        <row r="5">
          <cell r="BA5">
            <v>281724</v>
          </cell>
        </row>
        <row r="17">
          <cell r="AZ17">
            <v>88488</v>
          </cell>
          <cell r="BA17">
            <v>101832</v>
          </cell>
          <cell r="BB17">
            <v>118361.70408599997</v>
          </cell>
          <cell r="BC17">
            <v>129829.30230383998</v>
          </cell>
          <cell r="BD17">
            <v>137979.54365498642</v>
          </cell>
          <cell r="BK17">
            <v>171067.44621276477</v>
          </cell>
        </row>
        <row r="22">
          <cell r="BN22">
            <v>0.05</v>
          </cell>
        </row>
        <row r="23">
          <cell r="AY23">
            <v>6.8820295556564215E-2</v>
          </cell>
          <cell r="AZ23">
            <v>0.13149611872684797</v>
          </cell>
        </row>
        <row r="26">
          <cell r="BA26">
            <v>0.68823742386165188</v>
          </cell>
        </row>
        <row r="27">
          <cell r="BA27">
            <v>0.45621956240859851</v>
          </cell>
        </row>
        <row r="28">
          <cell r="BN28">
            <v>-8.4478119987007383E-2</v>
          </cell>
        </row>
        <row r="29">
          <cell r="BN29" t="str">
            <v>Fairly valued</v>
          </cell>
        </row>
        <row r="31">
          <cell r="BA31">
            <v>0.17629644009803683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205.61</v>
          </cell>
          <cell r="E3">
            <v>46059</v>
          </cell>
          <cell r="G3">
            <v>46135</v>
          </cell>
        </row>
        <row r="5">
          <cell r="D5">
            <v>2169596.7200000002</v>
          </cell>
        </row>
        <row r="8">
          <cell r="D8">
            <v>57381</v>
          </cell>
        </row>
      </sheetData>
      <sheetData sheetId="1">
        <row r="5">
          <cell r="BC5">
            <v>716924</v>
          </cell>
        </row>
        <row r="21">
          <cell r="BB21">
            <v>59248</v>
          </cell>
          <cell r="BC21">
            <v>77670</v>
          </cell>
          <cell r="BD21">
            <v>80955.05018400008</v>
          </cell>
          <cell r="BE21">
            <v>94085.269172423941</v>
          </cell>
          <cell r="BF21">
            <v>107230.59790818889</v>
          </cell>
          <cell r="BM21">
            <v>124496.6595855085</v>
          </cell>
        </row>
        <row r="27">
          <cell r="BA27">
            <v>0.1182957412988368</v>
          </cell>
          <cell r="BB27">
            <v>0.1099089224666614</v>
          </cell>
        </row>
        <row r="28">
          <cell r="BC28">
            <v>0.50285664868242663</v>
          </cell>
        </row>
        <row r="29">
          <cell r="BC29">
            <v>0.11155296795755199</v>
          </cell>
        </row>
        <row r="30">
          <cell r="BP30">
            <v>0.05</v>
          </cell>
        </row>
        <row r="35">
          <cell r="BC35">
            <v>0.10833784334183261</v>
          </cell>
        </row>
        <row r="36">
          <cell r="BP36">
            <v>-3.8427079488032589E-3</v>
          </cell>
        </row>
        <row r="37">
          <cell r="BP37" t="str">
            <v>Fairly valued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arnings"/>
    </sheetNames>
    <sheetDataSet>
      <sheetData sheetId="0">
        <row r="3">
          <cell r="D3">
            <v>635.1</v>
          </cell>
          <cell r="E3">
            <v>46070</v>
          </cell>
          <cell r="G3">
            <v>46141</v>
          </cell>
        </row>
        <row r="5">
          <cell r="D5">
            <v>1598546.7</v>
          </cell>
        </row>
        <row r="8">
          <cell r="D8">
            <v>50372</v>
          </cell>
        </row>
      </sheetData>
      <sheetData sheetId="1">
        <row r="3">
          <cell r="BG3">
            <v>200965</v>
          </cell>
        </row>
        <row r="13">
          <cell r="BF13">
            <v>60810</v>
          </cell>
          <cell r="BG13">
            <v>76388.299999999988</v>
          </cell>
          <cell r="BH13">
            <v>80797.503959999987</v>
          </cell>
          <cell r="BI13">
            <v>91756.726264895988</v>
          </cell>
          <cell r="BJ13">
            <v>97317.861632726141</v>
          </cell>
          <cell r="BQ13">
            <v>122213.23934427433</v>
          </cell>
        </row>
        <row r="17">
          <cell r="BE17">
            <v>0.15918153830321846</v>
          </cell>
          <cell r="BF17">
            <v>0.21697701430040461</v>
          </cell>
        </row>
        <row r="18">
          <cell r="BG18">
            <v>0.82</v>
          </cell>
        </row>
        <row r="19">
          <cell r="BG19">
            <v>0.41438210633692429</v>
          </cell>
          <cell r="BT19">
            <v>0.05</v>
          </cell>
        </row>
        <row r="24">
          <cell r="BG24">
            <v>0.38010748140223416</v>
          </cell>
        </row>
        <row r="25">
          <cell r="BT25">
            <v>0.31247735652916564</v>
          </cell>
        </row>
        <row r="26">
          <cell r="BT26" t="str">
            <v>Undervalued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426.3</v>
          </cell>
          <cell r="E3">
            <v>46052</v>
          </cell>
          <cell r="G3">
            <v>46140</v>
          </cell>
        </row>
        <row r="5">
          <cell r="D5">
            <v>1417788.54</v>
          </cell>
        </row>
        <row r="8">
          <cell r="D8">
            <v>35683</v>
          </cell>
        </row>
        <row r="9">
          <cell r="D9">
            <v>1382105.54</v>
          </cell>
        </row>
      </sheetData>
      <sheetData sheetId="1">
        <row r="9">
          <cell r="BF9">
            <v>94827</v>
          </cell>
        </row>
        <row r="27">
          <cell r="AZ27">
            <v>-862</v>
          </cell>
          <cell r="BA27">
            <v>719</v>
          </cell>
          <cell r="BB27">
            <v>5519</v>
          </cell>
          <cell r="BC27">
            <v>12556</v>
          </cell>
          <cell r="BD27">
            <v>14997</v>
          </cell>
          <cell r="BP27">
            <v>16921.027572149789</v>
          </cell>
        </row>
        <row r="31">
          <cell r="BS31">
            <v>0.05</v>
          </cell>
        </row>
        <row r="36">
          <cell r="AY36">
            <v>0.82516435758086049</v>
          </cell>
          <cell r="AZ36">
            <v>0.14528823258046342</v>
          </cell>
        </row>
        <row r="37">
          <cell r="BS37">
            <v>-0.79080930510483882</v>
          </cell>
        </row>
        <row r="38">
          <cell r="BS38" t="str">
            <v>Heavily overvalued</v>
          </cell>
        </row>
        <row r="42">
          <cell r="BF42">
            <v>0.18026511436616155</v>
          </cell>
        </row>
        <row r="45">
          <cell r="BF45">
            <v>4.5925738450019508E-2</v>
          </cell>
        </row>
        <row r="48">
          <cell r="BF48">
            <v>4.0009701878157063E-2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urrency"/>
      <sheetName val="Currency2"/>
    </sheetNames>
    <sheetDataSet>
      <sheetData sheetId="0">
        <row r="3">
          <cell r="D3">
            <v>600</v>
          </cell>
          <cell r="E3">
            <v>44323</v>
          </cell>
          <cell r="G3">
            <v>44336</v>
          </cell>
        </row>
        <row r="5">
          <cell r="D5">
            <v>745508.97454445821</v>
          </cell>
        </row>
        <row r="8">
          <cell r="D8">
            <v>74585.688974904275</v>
          </cell>
        </row>
      </sheetData>
      <sheetData sheetId="1">
        <row r="45">
          <cell r="AI45">
            <v>-5.3794479220261815E-2</v>
          </cell>
        </row>
        <row r="46">
          <cell r="AI46" t="str">
            <v>Fairly valued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329.6</v>
          </cell>
          <cell r="E3">
            <v>46057</v>
          </cell>
          <cell r="G3">
            <v>46140</v>
          </cell>
        </row>
        <row r="5">
          <cell r="D5">
            <v>598256.96</v>
          </cell>
        </row>
        <row r="8">
          <cell r="D8">
            <v>-4296</v>
          </cell>
        </row>
        <row r="9">
          <cell r="D9">
            <v>602552.96</v>
          </cell>
        </row>
      </sheetData>
      <sheetData sheetId="1">
        <row r="3">
          <cell r="AD3">
            <v>40000</v>
          </cell>
        </row>
        <row r="18">
          <cell r="AC18">
            <v>19743</v>
          </cell>
          <cell r="AD18">
            <v>20058</v>
          </cell>
          <cell r="AE18">
            <v>25536.784399999997</v>
          </cell>
          <cell r="AF18">
            <v>28038.078615999995</v>
          </cell>
          <cell r="AG18">
            <v>29476.761880519993</v>
          </cell>
          <cell r="AN18">
            <v>35035.747758283222</v>
          </cell>
        </row>
        <row r="22">
          <cell r="AB22">
            <v>0.11405663596042315</v>
          </cell>
          <cell r="AC22">
            <v>0.10023581294214923</v>
          </cell>
        </row>
        <row r="23">
          <cell r="AD23">
            <v>0.82597500000000001</v>
          </cell>
        </row>
        <row r="24">
          <cell r="AR24">
            <v>0.06</v>
          </cell>
        </row>
        <row r="30">
          <cell r="AD30">
            <v>0.59984999999999999</v>
          </cell>
          <cell r="AR30">
            <v>-0.16471862606060605</v>
          </cell>
        </row>
        <row r="31">
          <cell r="AR31" t="str">
            <v>Slightly overvalued</v>
          </cell>
        </row>
        <row r="32">
          <cell r="AD32">
            <v>0.50144999999999995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169.01</v>
          </cell>
          <cell r="E3">
            <v>46052</v>
          </cell>
          <cell r="G3">
            <v>46090</v>
          </cell>
        </row>
        <row r="5">
          <cell r="D5">
            <v>485582.63099999994</v>
          </cell>
        </row>
        <row r="8">
          <cell r="D8">
            <v>-88309</v>
          </cell>
        </row>
        <row r="9">
          <cell r="D9">
            <v>573891.63099999994</v>
          </cell>
        </row>
      </sheetData>
      <sheetData sheetId="1">
        <row r="7">
          <cell r="S7">
            <v>57399</v>
          </cell>
        </row>
        <row r="25">
          <cell r="R25">
            <v>10467</v>
          </cell>
          <cell r="S25">
            <v>12443</v>
          </cell>
          <cell r="T25">
            <v>17211.973943760004</v>
          </cell>
          <cell r="U25">
            <v>20717.451490595209</v>
          </cell>
          <cell r="V25">
            <v>24047.528329881399</v>
          </cell>
          <cell r="AC25">
            <v>33477.570419155229</v>
          </cell>
        </row>
        <row r="33">
          <cell r="R33">
            <v>6.0195379749369504E-2</v>
          </cell>
          <cell r="S33">
            <v>8.3797511376295875E-2</v>
          </cell>
        </row>
        <row r="37">
          <cell r="S37">
            <v>0.70509939197547</v>
          </cell>
        </row>
        <row r="39">
          <cell r="AG39">
            <v>0.06</v>
          </cell>
        </row>
        <row r="41">
          <cell r="S41">
            <v>0.30798445965957594</v>
          </cell>
        </row>
        <row r="45">
          <cell r="AG45">
            <v>-0.23117816349492437</v>
          </cell>
        </row>
        <row r="46">
          <cell r="AG46" t="str">
            <v>Slightly overvalued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550.99</v>
          </cell>
          <cell r="E3">
            <v>46057</v>
          </cell>
          <cell r="G3">
            <v>46135</v>
          </cell>
        </row>
        <row r="5">
          <cell r="D5">
            <v>494238.03</v>
          </cell>
        </row>
        <row r="8">
          <cell r="D8">
            <v>-8102</v>
          </cell>
        </row>
        <row r="9">
          <cell r="D9">
            <v>502340.03</v>
          </cell>
        </row>
      </sheetData>
      <sheetData sheetId="1">
        <row r="3">
          <cell r="AD3">
            <v>32791</v>
          </cell>
        </row>
        <row r="17">
          <cell r="AC17">
            <v>12874</v>
          </cell>
          <cell r="AD17">
            <v>14964</v>
          </cell>
          <cell r="AE17">
            <v>18190.962</v>
          </cell>
          <cell r="AF17">
            <v>20193.951387699999</v>
          </cell>
          <cell r="AG17">
            <v>21629.312711639002</v>
          </cell>
          <cell r="AN17">
            <v>27453.020724274116</v>
          </cell>
        </row>
        <row r="21">
          <cell r="AB21">
            <v>0.1286594414714215</v>
          </cell>
          <cell r="AC21">
            <v>0.12228065981353087</v>
          </cell>
        </row>
        <row r="22">
          <cell r="AD22">
            <v>0.65484431703821167</v>
          </cell>
        </row>
        <row r="24">
          <cell r="AQ24">
            <v>0.06</v>
          </cell>
        </row>
        <row r="26">
          <cell r="AD26">
            <v>0.57628617608490129</v>
          </cell>
        </row>
        <row r="29">
          <cell r="AD29">
            <v>0.45634472873654358</v>
          </cell>
        </row>
        <row r="30">
          <cell r="AQ30">
            <v>-0.2336807054899982</v>
          </cell>
        </row>
        <row r="31">
          <cell r="AQ31" t="str">
            <v>Slightly overvalued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164.52</v>
          </cell>
          <cell r="E3">
            <v>46056</v>
          </cell>
          <cell r="G3">
            <v>46153</v>
          </cell>
        </row>
        <row r="5">
          <cell r="D5">
            <v>391096.94400000002</v>
          </cell>
        </row>
        <row r="8">
          <cell r="D8">
            <v>7177</v>
          </cell>
        </row>
        <row r="9">
          <cell r="D9">
            <v>383919.94400000002</v>
          </cell>
        </row>
      </sheetData>
      <sheetData sheetId="1">
        <row r="3">
          <cell r="AQ3">
            <v>4475.5</v>
          </cell>
        </row>
        <row r="7">
          <cell r="AP7">
            <v>507.9</v>
          </cell>
          <cell r="AQ7">
            <v>557.69999999999993</v>
          </cell>
          <cell r="AR7">
            <v>635.77799999999991</v>
          </cell>
          <cell r="AS7">
            <v>680.2824599999999</v>
          </cell>
          <cell r="AT7">
            <v>707.49375839999993</v>
          </cell>
        </row>
        <row r="18">
          <cell r="AP18">
            <v>464.10000000000019</v>
          </cell>
          <cell r="AQ18">
            <v>1625.2000000000005</v>
          </cell>
          <cell r="AR18">
            <v>2696.4722400000001</v>
          </cell>
          <cell r="AS18">
            <v>4109.9035032000011</v>
          </cell>
          <cell r="AT18">
            <v>5962.5122969280001</v>
          </cell>
          <cell r="BA18">
            <v>17470.859107074364</v>
          </cell>
        </row>
        <row r="22">
          <cell r="AO22">
            <v>0.1674799307413819</v>
          </cell>
          <cell r="AP22">
            <v>0.28776234775965137</v>
          </cell>
        </row>
        <row r="23">
          <cell r="AP23">
            <v>0.80247085921686323</v>
          </cell>
          <cell r="AQ23">
            <v>0.82366216065244113</v>
          </cell>
        </row>
        <row r="24">
          <cell r="AP24">
            <v>0.10829203601591407</v>
          </cell>
          <cell r="AQ24">
            <v>0.31596469668193505</v>
          </cell>
        </row>
        <row r="26">
          <cell r="BD26">
            <v>0.05</v>
          </cell>
        </row>
        <row r="30">
          <cell r="AQ30">
            <v>0.36313261088146587</v>
          </cell>
        </row>
        <row r="32">
          <cell r="BD32">
            <v>-0.34154811125593121</v>
          </cell>
        </row>
        <row r="33">
          <cell r="BD33" t="str">
            <v>Overvalued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82.66</v>
          </cell>
          <cell r="E3">
            <v>45956</v>
          </cell>
          <cell r="G3">
            <v>46133</v>
          </cell>
        </row>
        <row r="5">
          <cell r="D5">
            <v>349007.05199999997</v>
          </cell>
        </row>
        <row r="8">
          <cell r="D8">
            <v>-5400.4999999999982</v>
          </cell>
        </row>
        <row r="9">
          <cell r="D9">
            <v>354407.55199999997</v>
          </cell>
        </row>
      </sheetData>
      <sheetData sheetId="1">
        <row r="26">
          <cell r="BV26">
            <v>45183.100000000006</v>
          </cell>
        </row>
        <row r="37">
          <cell r="BQ37">
            <v>2757.7</v>
          </cell>
          <cell r="BR37">
            <v>5117.0999999999976</v>
          </cell>
          <cell r="BS37">
            <v>4491.7999999999975</v>
          </cell>
          <cell r="BT37">
            <v>5408</v>
          </cell>
          <cell r="BU37">
            <v>8711.3999999999924</v>
          </cell>
          <cell r="CB37">
            <v>18587.670707960435</v>
          </cell>
        </row>
        <row r="41">
          <cell r="BU41">
            <v>0.46056373058057626</v>
          </cell>
        </row>
        <row r="42">
          <cell r="BU42">
            <v>0.26710665651305471</v>
          </cell>
        </row>
        <row r="47">
          <cell r="BP47">
            <v>0.27599656870505318</v>
          </cell>
          <cell r="BQ47">
            <v>0.24005160265952163</v>
          </cell>
          <cell r="CI47">
            <v>0.06</v>
          </cell>
        </row>
        <row r="53">
          <cell r="CI53">
            <v>-0.20355808307648748</v>
          </cell>
        </row>
        <row r="54">
          <cell r="CI54" t="str">
            <v>Slightly overvalued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199.81</v>
          </cell>
          <cell r="E3">
            <v>46059</v>
          </cell>
          <cell r="G3">
            <v>46147</v>
          </cell>
        </row>
        <row r="5">
          <cell r="D5">
            <v>324891.06</v>
          </cell>
        </row>
        <row r="8">
          <cell r="D8">
            <v>7330</v>
          </cell>
        </row>
        <row r="9">
          <cell r="D9">
            <v>317561.06</v>
          </cell>
        </row>
      </sheetData>
      <sheetData sheetId="1">
        <row r="3">
          <cell r="AI3">
            <v>34639</v>
          </cell>
        </row>
        <row r="20">
          <cell r="AH20">
            <v>1641</v>
          </cell>
          <cell r="AI20">
            <v>4269</v>
          </cell>
          <cell r="AJ20">
            <v>8564.1852000000035</v>
          </cell>
          <cell r="AK20">
            <v>11318.888858499995</v>
          </cell>
          <cell r="AL20">
            <v>13373.004290574998</v>
          </cell>
          <cell r="AS20">
            <v>24558.648354900422</v>
          </cell>
        </row>
        <row r="24">
          <cell r="AG24">
            <v>-3.9023770179229644E-2</v>
          </cell>
          <cell r="AH24">
            <v>0.13690476190476186</v>
          </cell>
        </row>
        <row r="26">
          <cell r="AI26">
            <v>0.52492854874563355</v>
          </cell>
          <cell r="AV26">
            <v>0.06</v>
          </cell>
        </row>
        <row r="31">
          <cell r="AI31">
            <v>0.10664280146655504</v>
          </cell>
        </row>
        <row r="32">
          <cell r="AV32">
            <v>-5.0592577103025782E-4</v>
          </cell>
        </row>
        <row r="33">
          <cell r="AI33">
            <v>0.12324258783452179</v>
          </cell>
          <cell r="AV33" t="str">
            <v>Fairly valued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357.56</v>
          </cell>
          <cell r="E3">
            <v>45956</v>
          </cell>
          <cell r="G3">
            <v>46045</v>
          </cell>
        </row>
        <row r="5">
          <cell r="D5">
            <v>246323.084</v>
          </cell>
        </row>
        <row r="8">
          <cell r="D8">
            <v>-3153</v>
          </cell>
        </row>
        <row r="9">
          <cell r="D9">
            <v>249476.084</v>
          </cell>
        </row>
      </sheetData>
      <sheetData sheetId="1">
        <row r="16">
          <cell r="Y16">
            <v>74201</v>
          </cell>
        </row>
        <row r="27">
          <cell r="Y27">
            <v>10129</v>
          </cell>
          <cell r="Z27">
            <v>10726.191449999998</v>
          </cell>
          <cell r="AA27">
            <v>12406.597305600002</v>
          </cell>
          <cell r="AB27">
            <v>13054.935385384004</v>
          </cell>
          <cell r="AC27">
            <v>13583.754450865526</v>
          </cell>
          <cell r="AJ27">
            <v>15929.639577146692</v>
          </cell>
        </row>
        <row r="38">
          <cell r="X38">
            <v>0.21103820224719105</v>
          </cell>
          <cell r="Y38">
            <v>0.10149337925301349</v>
          </cell>
        </row>
        <row r="39">
          <cell r="Y39">
            <v>0.45143596447487233</v>
          </cell>
        </row>
        <row r="40">
          <cell r="AN40">
            <v>0.06</v>
          </cell>
        </row>
        <row r="43">
          <cell r="Y43">
            <v>0.17378471988248137</v>
          </cell>
        </row>
        <row r="46">
          <cell r="AN46">
            <v>-9.2567718085150963E-2</v>
          </cell>
        </row>
        <row r="47">
          <cell r="AN47" t="str">
            <v>Fairly valued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48.81</v>
          </cell>
          <cell r="E3">
            <v>46056</v>
          </cell>
          <cell r="G3">
            <v>46135</v>
          </cell>
        </row>
        <row r="5">
          <cell r="D5">
            <v>220328.34</v>
          </cell>
        </row>
        <row r="8">
          <cell r="D8">
            <v>-6951</v>
          </cell>
        </row>
        <row r="9">
          <cell r="D9">
            <v>227279.34</v>
          </cell>
        </row>
      </sheetData>
      <sheetData sheetId="1">
        <row r="11">
          <cell r="AJ11">
            <v>52853</v>
          </cell>
        </row>
        <row r="24">
          <cell r="AI24">
            <v>-18756</v>
          </cell>
          <cell r="AJ24">
            <v>-267</v>
          </cell>
          <cell r="AK24">
            <v>5787.0813000000035</v>
          </cell>
          <cell r="AL24">
            <v>8082.4102744000011</v>
          </cell>
          <cell r="AM24">
            <v>9061.5465001600023</v>
          </cell>
          <cell r="AT24">
            <v>13553.955315144409</v>
          </cell>
        </row>
        <row r="35">
          <cell r="AH35">
            <v>-0.13997525930155108</v>
          </cell>
          <cell r="AI35">
            <v>-2.0782621523935951E-2</v>
          </cell>
        </row>
        <row r="36">
          <cell r="AJ36">
            <v>0.34766238434904356</v>
          </cell>
        </row>
        <row r="38">
          <cell r="AW38">
            <v>4.4999999999999998E-2</v>
          </cell>
        </row>
        <row r="39">
          <cell r="AJ39">
            <v>-4.1889769738709247E-2</v>
          </cell>
        </row>
        <row r="42">
          <cell r="AJ42">
            <v>-5.0517472991126328E-3</v>
          </cell>
        </row>
        <row r="44">
          <cell r="AW44">
            <v>4.5137958218084417E-2</v>
          </cell>
        </row>
        <row r="45">
          <cell r="AW45" t="str">
            <v>Fairly valued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Currency"/>
    </sheetNames>
    <sheetDataSet>
      <sheetData sheetId="0">
        <row r="3">
          <cell r="D3">
            <v>59500</v>
          </cell>
          <cell r="E3">
            <v>44120</v>
          </cell>
          <cell r="G3" t="str">
            <v>Jan-Feb?</v>
          </cell>
        </row>
        <row r="5">
          <cell r="D5">
            <v>309815.64997801074</v>
          </cell>
        </row>
        <row r="8">
          <cell r="D8">
            <v>84353.398832591876</v>
          </cell>
        </row>
      </sheetData>
      <sheetData sheetId="1">
        <row r="23">
          <cell r="AE23">
            <v>0.05</v>
          </cell>
        </row>
        <row r="29">
          <cell r="AE29">
            <v>-6.9181920876941971E-2</v>
          </cell>
        </row>
        <row r="30">
          <cell r="AE30" t="str">
            <v>Fairly valued</v>
          </cell>
        </row>
      </sheetData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213.02</v>
          </cell>
          <cell r="E3">
            <v>46052</v>
          </cell>
          <cell r="G3">
            <v>46085</v>
          </cell>
        </row>
        <row r="5">
          <cell r="D5">
            <v>201942.96000000002</v>
          </cell>
        </row>
        <row r="8">
          <cell r="D8">
            <v>9295</v>
          </cell>
        </row>
        <row r="9">
          <cell r="D9">
            <v>192647.96000000002</v>
          </cell>
        </row>
      </sheetData>
      <sheetData sheetId="1">
        <row r="5">
          <cell r="AZ5">
            <v>40168.700000000004</v>
          </cell>
        </row>
        <row r="20">
          <cell r="AY20">
            <v>6197</v>
          </cell>
          <cell r="AZ20">
            <v>6481.4007860000038</v>
          </cell>
          <cell r="BA20">
            <v>7627.1760850000028</v>
          </cell>
          <cell r="BB20">
            <v>8399.7565100000047</v>
          </cell>
          <cell r="BC20">
            <v>8700.9570877632032</v>
          </cell>
          <cell r="BJ20">
            <v>10647.411142396735</v>
          </cell>
        </row>
        <row r="26">
          <cell r="AX26">
            <v>0.11179510079101806</v>
          </cell>
          <cell r="AY26">
            <v>8.7156094902028247E-2</v>
          </cell>
        </row>
        <row r="29">
          <cell r="AZ29">
            <v>0.77143473151981523</v>
          </cell>
        </row>
        <row r="30">
          <cell r="AZ30">
            <v>0.19517926395427296</v>
          </cell>
        </row>
        <row r="31">
          <cell r="BM31">
            <v>0.06</v>
          </cell>
        </row>
        <row r="35">
          <cell r="AZ35">
            <v>0.16135450701665732</v>
          </cell>
        </row>
        <row r="37">
          <cell r="BM37">
            <v>-0.21332708142263368</v>
          </cell>
        </row>
        <row r="38">
          <cell r="BM38" t="str">
            <v>Slightly overvalued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261.24</v>
          </cell>
          <cell r="E3">
            <v>46070</v>
          </cell>
          <cell r="G3">
            <v>46093</v>
          </cell>
        </row>
        <row r="5">
          <cell r="D5">
            <v>108937.08</v>
          </cell>
        </row>
        <row r="8">
          <cell r="D8">
            <v>-453</v>
          </cell>
        </row>
        <row r="9">
          <cell r="D9">
            <v>109390.08</v>
          </cell>
        </row>
      </sheetData>
      <sheetData sheetId="1">
        <row r="6">
          <cell r="AQ6">
            <v>24007</v>
          </cell>
        </row>
        <row r="24">
          <cell r="AP24">
            <v>5560</v>
          </cell>
          <cell r="AQ24">
            <v>7088.6760999999988</v>
          </cell>
          <cell r="AR24">
            <v>8246.1395140000004</v>
          </cell>
          <cell r="AS24">
            <v>9365.0563402999996</v>
          </cell>
          <cell r="AT24">
            <v>10079.121808102002</v>
          </cell>
          <cell r="BA24">
            <v>12704.75352250345</v>
          </cell>
        </row>
        <row r="31">
          <cell r="AO31">
            <v>0.10240826990798602</v>
          </cell>
          <cell r="AP31">
            <v>0.10799113813179462</v>
          </cell>
        </row>
        <row r="32">
          <cell r="AQ32">
            <v>0.89</v>
          </cell>
        </row>
        <row r="33">
          <cell r="AQ33">
            <v>0.35875619610946802</v>
          </cell>
          <cell r="BD33">
            <v>7.0000000000000007E-2</v>
          </cell>
        </row>
        <row r="38">
          <cell r="AQ38">
            <v>0.29527538218019739</v>
          </cell>
        </row>
        <row r="39">
          <cell r="BD39">
            <v>0.39064544528182954</v>
          </cell>
        </row>
        <row r="40">
          <cell r="BD40" t="str">
            <v>Undervalued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458.34</v>
          </cell>
          <cell r="E3">
            <v>46067</v>
          </cell>
          <cell r="G3">
            <v>46141</v>
          </cell>
        </row>
        <row r="5">
          <cell r="D5">
            <v>94326.372000000003</v>
          </cell>
        </row>
        <row r="9">
          <cell r="D9">
            <v>11712.643678160919</v>
          </cell>
        </row>
      </sheetData>
      <sheetData sheetId="1">
        <row r="3">
          <cell r="AH3">
            <v>17186</v>
          </cell>
        </row>
        <row r="14">
          <cell r="AG14">
            <v>1138</v>
          </cell>
          <cell r="AH14">
            <v>2212</v>
          </cell>
          <cell r="AI14">
            <v>1985.716875000001</v>
          </cell>
          <cell r="AJ14">
            <v>2300.4969150000006</v>
          </cell>
          <cell r="AK14">
            <v>2463.9123442500008</v>
          </cell>
          <cell r="AR14">
            <v>3259.2850865999199</v>
          </cell>
        </row>
        <row r="18">
          <cell r="AF18">
            <v>0.12961541741280813</v>
          </cell>
          <cell r="AG18">
            <v>0.18313580433305665</v>
          </cell>
        </row>
        <row r="19">
          <cell r="AH19">
            <v>0.31979518212498548</v>
          </cell>
        </row>
        <row r="20">
          <cell r="AU20">
            <v>7.0000000000000007E-2</v>
          </cell>
        </row>
        <row r="23">
          <cell r="AH23">
            <v>0.12789479809146981</v>
          </cell>
        </row>
        <row r="25">
          <cell r="AH25">
            <v>0.12870941463982311</v>
          </cell>
        </row>
        <row r="27">
          <cell r="AU27">
            <v>-0.39953689302268047</v>
          </cell>
        </row>
        <row r="28">
          <cell r="AU28" t="str">
            <v>Overvalued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305.08</v>
          </cell>
          <cell r="E3">
            <v>45909</v>
          </cell>
          <cell r="G3">
            <v>45961</v>
          </cell>
        </row>
        <row r="5">
          <cell r="D5">
            <v>77856.415999999997</v>
          </cell>
        </row>
        <row r="8">
          <cell r="D8">
            <v>5233.0999999999985</v>
          </cell>
        </row>
        <row r="9">
          <cell r="D9">
            <v>72623.315999999992</v>
          </cell>
        </row>
      </sheetData>
      <sheetData sheetId="1">
        <row r="5">
          <cell r="AH5">
            <v>6564</v>
          </cell>
        </row>
        <row r="23">
          <cell r="AH23">
            <v>2498.6</v>
          </cell>
          <cell r="AI23">
            <v>2360.0974399999996</v>
          </cell>
          <cell r="AJ23">
            <v>1930.8189555199995</v>
          </cell>
          <cell r="AK23">
            <v>2302.1455638041593</v>
          </cell>
          <cell r="AL23">
            <v>2616.7584146608333</v>
          </cell>
          <cell r="AS23">
            <v>4474.467563210681</v>
          </cell>
        </row>
        <row r="27">
          <cell r="AG27">
            <v>-2.6862026862026767E-2</v>
          </cell>
          <cell r="AH27">
            <v>1.111765273622237</v>
          </cell>
        </row>
        <row r="28">
          <cell r="AH28">
            <v>0.86323887873248017</v>
          </cell>
        </row>
        <row r="29">
          <cell r="AH29">
            <v>0.33921389396709323</v>
          </cell>
        </row>
        <row r="30">
          <cell r="AV30">
            <v>7.0000000000000007E-2</v>
          </cell>
        </row>
        <row r="36">
          <cell r="AV36">
            <v>-0.31838937044689108</v>
          </cell>
        </row>
        <row r="37">
          <cell r="AV37" t="str">
            <v>Overvalued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70.5</v>
          </cell>
          <cell r="E3">
            <v>45960</v>
          </cell>
          <cell r="G3">
            <v>46063</v>
          </cell>
        </row>
        <row r="5">
          <cell r="D5">
            <v>38196.899999999994</v>
          </cell>
        </row>
        <row r="8">
          <cell r="D8">
            <v>-28588</v>
          </cell>
        </row>
        <row r="9">
          <cell r="D9">
            <v>66784.899999999994</v>
          </cell>
        </row>
      </sheetData>
      <sheetData sheetId="1">
        <row r="5">
          <cell r="Z5">
            <v>21265.02</v>
          </cell>
        </row>
        <row r="20">
          <cell r="Y20">
            <v>3131</v>
          </cell>
          <cell r="Z20">
            <v>3380.6793120000002</v>
          </cell>
          <cell r="AA20">
            <v>3744.6049039999989</v>
          </cell>
          <cell r="AB20">
            <v>3887.9065804800007</v>
          </cell>
          <cell r="AC20">
            <v>4022.1171008895999</v>
          </cell>
          <cell r="AJ20">
            <v>4294.4451374746304</v>
          </cell>
        </row>
        <row r="26">
          <cell r="X26">
            <v>7.6450358008682384E-2</v>
          </cell>
          <cell r="Y26">
            <v>7.1387419473105229E-2</v>
          </cell>
          <cell r="AM26">
            <v>7.0000000000000007E-2</v>
          </cell>
        </row>
        <row r="29">
          <cell r="Z29">
            <v>0.5979708272082509</v>
          </cell>
        </row>
        <row r="31">
          <cell r="Z31">
            <v>0.27721119472260081</v>
          </cell>
        </row>
        <row r="32">
          <cell r="AM32">
            <v>-0.30213445991824484</v>
          </cell>
        </row>
        <row r="33">
          <cell r="Z33">
            <v>0.1589784214639817</v>
          </cell>
          <cell r="AM33" t="str">
            <v>Overvalued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198.52</v>
          </cell>
          <cell r="E3">
            <v>46052</v>
          </cell>
          <cell r="G3">
            <v>46085</v>
          </cell>
        </row>
        <row r="5">
          <cell r="D5">
            <v>67933.543999999994</v>
          </cell>
        </row>
        <row r="8">
          <cell r="D8">
            <v>2116.9000000000005</v>
          </cell>
        </row>
        <row r="9">
          <cell r="D9">
            <v>65816.644</v>
          </cell>
        </row>
      </sheetData>
      <sheetData sheetId="1">
        <row r="3">
          <cell r="AK3">
            <v>4584.16</v>
          </cell>
        </row>
        <row r="16">
          <cell r="AN16">
            <v>344.3668574467186</v>
          </cell>
          <cell r="AO16">
            <v>729.50140084334259</v>
          </cell>
          <cell r="AP16">
            <v>1137.4154733262046</v>
          </cell>
          <cell r="AQ16">
            <v>1417.8651344009502</v>
          </cell>
          <cell r="AR16">
            <v>1494.6450269633535</v>
          </cell>
          <cell r="AY16">
            <v>1893.692975714308</v>
          </cell>
        </row>
        <row r="20">
          <cell r="AM20">
            <v>0.19999999999999996</v>
          </cell>
          <cell r="AN20">
            <v>0.1399999999999999</v>
          </cell>
        </row>
        <row r="21">
          <cell r="AK21">
            <v>0.67229049596872714</v>
          </cell>
        </row>
        <row r="22">
          <cell r="AK22">
            <v>-0.33473159750095988</v>
          </cell>
        </row>
        <row r="23">
          <cell r="AX23">
            <v>7.0000000000000007E-2</v>
          </cell>
        </row>
        <row r="30">
          <cell r="AX30" t="str">
            <v>Heavily overvalued</v>
          </cell>
        </row>
        <row r="92">
          <cell r="AX92">
            <v>-0.50838114171117099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69.8</v>
          </cell>
          <cell r="E3">
            <v>46059</v>
          </cell>
          <cell r="G3">
            <v>46155</v>
          </cell>
        </row>
        <row r="5">
          <cell r="D5">
            <v>49195.039999999994</v>
          </cell>
        </row>
        <row r="6">
          <cell r="D6">
            <v>5547.7</v>
          </cell>
        </row>
        <row r="9">
          <cell r="D9">
            <v>44640.439999999995</v>
          </cell>
        </row>
      </sheetData>
      <sheetData sheetId="1">
        <row r="3">
          <cell r="AV3">
            <v>4890.5</v>
          </cell>
        </row>
        <row r="19">
          <cell r="AU19">
            <v>-935.1</v>
          </cell>
          <cell r="AV19">
            <v>-1065.4000000000003</v>
          </cell>
          <cell r="AW19">
            <v>-404.27689499999991</v>
          </cell>
          <cell r="AX19">
            <v>77.036107500000028</v>
          </cell>
          <cell r="AY19">
            <v>505.61683108199867</v>
          </cell>
          <cell r="BF19">
            <v>2512.7935759448083</v>
          </cell>
        </row>
        <row r="23">
          <cell r="AT23">
            <v>0.25806741573033709</v>
          </cell>
          <cell r="AU23">
            <v>0.28679622749356937</v>
          </cell>
        </row>
        <row r="27">
          <cell r="AV27">
            <v>0.23752172579490849</v>
          </cell>
          <cell r="BI27">
            <v>0.08</v>
          </cell>
        </row>
        <row r="28">
          <cell r="AV28">
            <v>-0.25199877313158164</v>
          </cell>
        </row>
        <row r="33">
          <cell r="AV33">
            <v>-0.21785093548716908</v>
          </cell>
        </row>
        <row r="61">
          <cell r="BI61">
            <v>-0.37412689420775525</v>
          </cell>
        </row>
        <row r="62">
          <cell r="BI62" t="str">
            <v>Overvalued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223.03</v>
          </cell>
          <cell r="E3">
            <v>46057</v>
          </cell>
          <cell r="G3">
            <v>46156</v>
          </cell>
        </row>
        <row r="5">
          <cell r="D5">
            <v>41171.337999999996</v>
          </cell>
        </row>
        <row r="8">
          <cell r="D8">
            <v>-631.59999999999991</v>
          </cell>
        </row>
        <row r="9">
          <cell r="D9">
            <v>41802.937999999995</v>
          </cell>
        </row>
      </sheetData>
      <sheetData sheetId="1">
        <row r="5">
          <cell r="W5">
            <v>5633.6</v>
          </cell>
        </row>
        <row r="21">
          <cell r="W21">
            <v>-4478.8999999999987</v>
          </cell>
          <cell r="X21">
            <v>-355.49379200000084</v>
          </cell>
          <cell r="Y21">
            <v>719.48988819999863</v>
          </cell>
          <cell r="Z21">
            <v>1590.177174429999</v>
          </cell>
          <cell r="AA21">
            <v>1621.9807179185991</v>
          </cell>
          <cell r="AG21">
            <v>1716.1675463171732</v>
          </cell>
        </row>
        <row r="27">
          <cell r="V27">
            <v>-5.6075814501288512E-5</v>
          </cell>
          <cell r="W27">
            <v>5.3088081351876815E-2</v>
          </cell>
        </row>
        <row r="28">
          <cell r="V28">
            <v>0.41905936892477941</v>
          </cell>
        </row>
        <row r="29">
          <cell r="AK29">
            <v>0.08</v>
          </cell>
        </row>
        <row r="32">
          <cell r="V32">
            <v>-0.67119036937341092</v>
          </cell>
        </row>
        <row r="35">
          <cell r="AK35">
            <v>-0.598297849392882</v>
          </cell>
        </row>
        <row r="36">
          <cell r="AK36" t="str">
            <v>Heavily overvalued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68.849999999999994</v>
          </cell>
          <cell r="E3">
            <v>45855</v>
          </cell>
          <cell r="G3">
            <v>45870</v>
          </cell>
        </row>
        <row r="5">
          <cell r="D5">
            <v>42342.75</v>
          </cell>
        </row>
        <row r="8">
          <cell r="D8">
            <v>1980.4000000000005</v>
          </cell>
        </row>
        <row r="9">
          <cell r="D9">
            <v>40362.35</v>
          </cell>
        </row>
      </sheetData>
      <sheetData sheetId="1">
        <row r="7">
          <cell r="Y7">
            <v>24121.1</v>
          </cell>
        </row>
        <row r="30">
          <cell r="Y30">
            <v>2897.1000000000013</v>
          </cell>
          <cell r="Z30">
            <v>378.20919960000106</v>
          </cell>
          <cell r="AA30">
            <v>1211.5398576160012</v>
          </cell>
          <cell r="AB30">
            <v>1915.5502761472021</v>
          </cell>
          <cell r="AC30">
            <v>2239.8032370161568</v>
          </cell>
          <cell r="AJ30">
            <v>3019.6110421165531</v>
          </cell>
        </row>
        <row r="36">
          <cell r="AN36">
            <v>0.08</v>
          </cell>
        </row>
        <row r="38">
          <cell r="X38">
            <v>0.25006274384539928</v>
          </cell>
          <cell r="Y38">
            <v>0.10063607658471585</v>
          </cell>
        </row>
        <row r="42">
          <cell r="AN42">
            <v>-0.27339175189964471</v>
          </cell>
        </row>
        <row r="43">
          <cell r="Y43">
            <v>0.36851967779247219</v>
          </cell>
          <cell r="AN43" t="str">
            <v>Slightly overvalued</v>
          </cell>
        </row>
        <row r="47">
          <cell r="Y47">
            <v>3.6996654381433743E-2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42.32</v>
          </cell>
          <cell r="E3">
            <v>46057</v>
          </cell>
          <cell r="G3">
            <v>46147</v>
          </cell>
        </row>
        <row r="5">
          <cell r="D5">
            <v>38964.024000000005</v>
          </cell>
        </row>
        <row r="8">
          <cell r="D8">
            <v>4765</v>
          </cell>
        </row>
        <row r="9">
          <cell r="D9">
            <v>34199.024000000005</v>
          </cell>
        </row>
      </sheetData>
      <sheetData sheetId="1">
        <row r="3">
          <cell r="AN3">
            <v>33172</v>
          </cell>
        </row>
        <row r="17">
          <cell r="AM17">
            <v>4147</v>
          </cell>
          <cell r="AN17">
            <v>5233</v>
          </cell>
          <cell r="AO17">
            <v>4319.9087999999992</v>
          </cell>
          <cell r="AP17">
            <v>4424.0556159999987</v>
          </cell>
          <cell r="AQ17">
            <v>4556.5269491199979</v>
          </cell>
          <cell r="AX17">
            <v>4985.6501753046659</v>
          </cell>
        </row>
        <row r="21">
          <cell r="AL21">
            <v>8.1873682680427384E-2</v>
          </cell>
          <cell r="AM21">
            <v>6.8052803063383793E-2</v>
          </cell>
        </row>
        <row r="22">
          <cell r="AN22">
            <v>0.41483781502471967</v>
          </cell>
        </row>
        <row r="23">
          <cell r="BB23">
            <v>0.08</v>
          </cell>
        </row>
        <row r="26">
          <cell r="AN26">
            <v>0.1828349210177258</v>
          </cell>
        </row>
        <row r="28">
          <cell r="AN28">
            <v>0.15775352707102375</v>
          </cell>
        </row>
        <row r="29">
          <cell r="BB29">
            <v>0.59500038572816272</v>
          </cell>
        </row>
        <row r="30">
          <cell r="BB30" t="str">
            <v>Heavily undervalued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71.349999999999994</v>
          </cell>
          <cell r="E3">
            <v>46052</v>
          </cell>
          <cell r="G3">
            <v>46071</v>
          </cell>
        </row>
        <row r="5">
          <cell r="D5">
            <v>16888.544999999998</v>
          </cell>
        </row>
        <row r="8">
          <cell r="D8">
            <v>-13596.4</v>
          </cell>
        </row>
        <row r="9">
          <cell r="D9">
            <v>30484.945</v>
          </cell>
        </row>
      </sheetData>
      <sheetData sheetId="1">
        <row r="3">
          <cell r="Y3">
            <v>10106</v>
          </cell>
        </row>
        <row r="15">
          <cell r="Y15">
            <v>1570.3999999999994</v>
          </cell>
          <cell r="Z15">
            <v>792.24295999999947</v>
          </cell>
          <cell r="AA15">
            <v>1260.677655</v>
          </cell>
          <cell r="AB15">
            <v>1383.5822551499998</v>
          </cell>
          <cell r="AC15">
            <v>1425.3677922630002</v>
          </cell>
          <cell r="AJ15">
            <v>1739.3612056998031</v>
          </cell>
        </row>
        <row r="19">
          <cell r="X19">
            <v>7.562725611658272E-2</v>
          </cell>
          <cell r="Y19">
            <v>4.6776599270798913E-2</v>
          </cell>
        </row>
        <row r="20">
          <cell r="Y20">
            <v>0.6279339006530773</v>
          </cell>
        </row>
        <row r="21">
          <cell r="AN21">
            <v>0.08</v>
          </cell>
        </row>
        <row r="22">
          <cell r="Y22">
            <v>0.20389867405501677</v>
          </cell>
        </row>
        <row r="27">
          <cell r="AN27">
            <v>-0.73163466684004341</v>
          </cell>
        </row>
        <row r="28">
          <cell r="AN28" t="str">
            <v>Heavily overvalued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53.78</v>
          </cell>
          <cell r="E3">
            <v>46059</v>
          </cell>
          <cell r="G3">
            <v>46154</v>
          </cell>
        </row>
        <row r="5">
          <cell r="D5">
            <v>32391.694</v>
          </cell>
        </row>
        <row r="8">
          <cell r="D8">
            <v>1962.6</v>
          </cell>
        </row>
        <row r="9">
          <cell r="D9">
            <v>30429.094000000001</v>
          </cell>
        </row>
      </sheetData>
      <sheetData sheetId="1">
        <row r="6">
          <cell r="AC6">
            <v>2246.9999999999995</v>
          </cell>
        </row>
        <row r="21">
          <cell r="AB21">
            <v>-10.799999999999976</v>
          </cell>
          <cell r="AC21">
            <v>-8.7000000000006992</v>
          </cell>
          <cell r="AD21">
            <v>59.682005999999859</v>
          </cell>
          <cell r="AE21">
            <v>210.72357035999954</v>
          </cell>
          <cell r="AF21">
            <v>352.07738558999949</v>
          </cell>
          <cell r="AM21">
            <v>917.06969281923455</v>
          </cell>
        </row>
        <row r="27">
          <cell r="AQ27">
            <v>0.08</v>
          </cell>
        </row>
        <row r="28">
          <cell r="AA28">
            <v>0.98365076689701625</v>
          </cell>
          <cell r="AB28">
            <v>0.52978162970515763</v>
          </cell>
        </row>
        <row r="33">
          <cell r="AQ33">
            <v>-0.69568941333975309</v>
          </cell>
        </row>
        <row r="34">
          <cell r="AQ34" t="str">
            <v>Heavily overvalued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165.1</v>
          </cell>
          <cell r="E3">
            <v>46059</v>
          </cell>
          <cell r="G3">
            <v>46154</v>
          </cell>
        </row>
        <row r="5">
          <cell r="D5">
            <v>31369</v>
          </cell>
        </row>
        <row r="8">
          <cell r="D8">
            <v>2476.8000000000002</v>
          </cell>
        </row>
      </sheetData>
      <sheetData sheetId="1">
        <row r="3">
          <cell r="AA3">
            <v>2202.5</v>
          </cell>
        </row>
        <row r="13">
          <cell r="Z13">
            <v>-484.2000000000001</v>
          </cell>
          <cell r="AA13">
            <v>529.50000000000011</v>
          </cell>
          <cell r="AB13">
            <v>940.75790000000006</v>
          </cell>
          <cell r="AC13">
            <v>1477.3608345</v>
          </cell>
          <cell r="AD13">
            <v>1839.7361427850003</v>
          </cell>
          <cell r="AK13">
            <v>2984.198920549687</v>
          </cell>
        </row>
        <row r="17">
          <cell r="Y17">
            <v>0.2059397030148491</v>
          </cell>
          <cell r="Z17">
            <v>0.61728855721393039</v>
          </cell>
        </row>
        <row r="18">
          <cell r="AA18">
            <v>0.91182746878547105</v>
          </cell>
        </row>
        <row r="19">
          <cell r="AN19">
            <v>0.08</v>
          </cell>
        </row>
        <row r="22">
          <cell r="AA22">
            <v>0.20063564131668563</v>
          </cell>
        </row>
        <row r="24">
          <cell r="AA24">
            <v>0.24040862656072651</v>
          </cell>
        </row>
        <row r="25">
          <cell r="AN25">
            <v>4.7006198858159376E-3</v>
          </cell>
        </row>
        <row r="26">
          <cell r="AN26" t="str">
            <v>Fairly valued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21.76</v>
          </cell>
          <cell r="E3">
            <v>46057</v>
          </cell>
          <cell r="G3">
            <v>46146</v>
          </cell>
        </row>
        <row r="5">
          <cell r="D5">
            <v>26608.128000000001</v>
          </cell>
        </row>
        <row r="8">
          <cell r="D8">
            <v>5689.9000000000005</v>
          </cell>
        </row>
        <row r="9">
          <cell r="D9">
            <v>20918.227999999999</v>
          </cell>
        </row>
      </sheetData>
      <sheetData sheetId="1">
        <row r="7">
          <cell r="AD7">
            <v>4769.6000000000004</v>
          </cell>
        </row>
        <row r="17">
          <cell r="AD17">
            <v>481.5999999999998</v>
          </cell>
          <cell r="AE17">
            <v>731.76397999999961</v>
          </cell>
          <cell r="AF17">
            <v>1047.1452089999996</v>
          </cell>
          <cell r="AG17">
            <v>1324.2737169800002</v>
          </cell>
          <cell r="AH17">
            <v>1481.5878967467988</v>
          </cell>
          <cell r="AN17">
            <v>1915.1066162296263</v>
          </cell>
        </row>
        <row r="23">
          <cell r="AR23">
            <v>0.08</v>
          </cell>
        </row>
        <row r="24">
          <cell r="AB24">
            <v>0.65216157948485232</v>
          </cell>
          <cell r="AC24">
            <v>0.29329349953641692</v>
          </cell>
        </row>
        <row r="25">
          <cell r="AD25">
            <v>0.62992703790674265</v>
          </cell>
        </row>
        <row r="28">
          <cell r="AD28">
            <v>0.12766269708151626</v>
          </cell>
        </row>
        <row r="29">
          <cell r="AR29">
            <v>-5.6000159009118478E-2</v>
          </cell>
        </row>
        <row r="30">
          <cell r="AR30" t="str">
            <v>Fairly valued</v>
          </cell>
        </row>
        <row r="32">
          <cell r="AD32">
            <v>0.10097282791009723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84.96</v>
          </cell>
          <cell r="E3">
            <v>45990</v>
          </cell>
          <cell r="G3">
            <v>46083</v>
          </cell>
        </row>
        <row r="5">
          <cell r="D5">
            <v>25156.655999999999</v>
          </cell>
        </row>
        <row r="8">
          <cell r="D8">
            <v>8995.9</v>
          </cell>
        </row>
        <row r="9">
          <cell r="D9">
            <v>16160.755999999999</v>
          </cell>
        </row>
      </sheetData>
      <sheetData sheetId="1">
        <row r="3">
          <cell r="AQ3">
            <v>4854.2</v>
          </cell>
        </row>
        <row r="14">
          <cell r="AP14">
            <v>1009.8999999999994</v>
          </cell>
          <cell r="AQ14">
            <v>1540.0216</v>
          </cell>
          <cell r="AR14">
            <v>1597.0209684000004</v>
          </cell>
          <cell r="AS14">
            <v>1608.9115617120005</v>
          </cell>
          <cell r="AT14">
            <v>1627.8930240362406</v>
          </cell>
          <cell r="AZ14">
            <v>1816.7380166051544</v>
          </cell>
        </row>
        <row r="18">
          <cell r="AO18">
            <v>3.0571363532893248E-2</v>
          </cell>
          <cell r="AP18">
            <v>3.0481744085878892E-2</v>
          </cell>
        </row>
        <row r="19">
          <cell r="AQ19">
            <v>0.7745148531168885</v>
          </cell>
        </row>
        <row r="20">
          <cell r="AQ20">
            <v>0.24017387005067778</v>
          </cell>
        </row>
        <row r="21">
          <cell r="BC21">
            <v>0.08</v>
          </cell>
        </row>
        <row r="25">
          <cell r="AQ25">
            <v>0.31725549009105519</v>
          </cell>
        </row>
        <row r="27">
          <cell r="BC27">
            <v>0.16847343939271942</v>
          </cell>
        </row>
        <row r="28">
          <cell r="BC28" t="str">
            <v>Slightly undervalued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38.46</v>
          </cell>
          <cell r="E3">
            <v>46079</v>
          </cell>
          <cell r="G3">
            <v>46155</v>
          </cell>
        </row>
        <row r="5">
          <cell r="D5">
            <v>14099.436000000002</v>
          </cell>
        </row>
        <row r="8">
          <cell r="D8">
            <v>3336.7999999999997</v>
          </cell>
        </row>
        <row r="9">
          <cell r="D9">
            <v>10762.636000000002</v>
          </cell>
        </row>
      </sheetData>
      <sheetData sheetId="1">
        <row r="3">
          <cell r="AF3">
            <v>130.1</v>
          </cell>
        </row>
        <row r="18">
          <cell r="AE18">
            <v>-331.7</v>
          </cell>
          <cell r="AF18">
            <v>-512.19999999999982</v>
          </cell>
          <cell r="AG18">
            <v>-600.21709999999996</v>
          </cell>
          <cell r="AH18">
            <v>-588.03544000000011</v>
          </cell>
          <cell r="AI18">
            <v>-542.37045590000014</v>
          </cell>
          <cell r="AP18">
            <v>486.47863266818911</v>
          </cell>
        </row>
        <row r="22">
          <cell r="AD22">
            <v>0.96428571428571441</v>
          </cell>
          <cell r="AE22">
            <v>0.95909090909090877</v>
          </cell>
        </row>
        <row r="23">
          <cell r="AF23">
            <v>0.40430438124519597</v>
          </cell>
        </row>
        <row r="24">
          <cell r="AT24">
            <v>0.08</v>
          </cell>
        </row>
        <row r="28">
          <cell r="AF28">
            <v>-4.8708685626441195</v>
          </cell>
        </row>
        <row r="30">
          <cell r="AF30">
            <v>-3.9369715603382001</v>
          </cell>
          <cell r="AT30">
            <v>-0.74864535243623043</v>
          </cell>
        </row>
        <row r="31">
          <cell r="AT31" t="str">
            <v>Heavily overvalued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94.56</v>
          </cell>
          <cell r="E3">
            <v>45961</v>
          </cell>
          <cell r="G3">
            <v>46065</v>
          </cell>
        </row>
        <row r="5">
          <cell r="D5">
            <v>13947.6</v>
          </cell>
        </row>
        <row r="8">
          <cell r="D8">
            <v>2253.3000000000002</v>
          </cell>
        </row>
        <row r="9">
          <cell r="D9">
            <v>11694.3</v>
          </cell>
        </row>
      </sheetData>
      <sheetData sheetId="1">
        <row r="5">
          <cell r="AQ5">
            <v>4693.7239999999993</v>
          </cell>
        </row>
        <row r="18">
          <cell r="AP18">
            <v>-129.40000000000018</v>
          </cell>
          <cell r="AQ18">
            <v>49.689167999999746</v>
          </cell>
          <cell r="AR18">
            <v>214.67422976000043</v>
          </cell>
          <cell r="AS18">
            <v>400.22347467520018</v>
          </cell>
          <cell r="AT18">
            <v>527.01562929769625</v>
          </cell>
          <cell r="BA18">
            <v>740.24866230651071</v>
          </cell>
        </row>
        <row r="24">
          <cell r="AO24">
            <v>0.11452969584546024</v>
          </cell>
          <cell r="AP24">
            <v>0.18018250688705217</v>
          </cell>
        </row>
        <row r="26">
          <cell r="BD26">
            <v>0.09</v>
          </cell>
        </row>
        <row r="27">
          <cell r="AQ27">
            <v>0.44279883094958289</v>
          </cell>
        </row>
        <row r="28">
          <cell r="AQ28">
            <v>-6.9873175329440507E-3</v>
          </cell>
        </row>
        <row r="32">
          <cell r="BD32">
            <v>-0.44699675376739123</v>
          </cell>
        </row>
        <row r="33">
          <cell r="AQ33">
            <v>1.0586299492684222E-2</v>
          </cell>
          <cell r="BD33" t="str">
            <v>Overvalued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88.17</v>
          </cell>
          <cell r="E3">
            <v>46056</v>
          </cell>
          <cell r="G3">
            <v>46146</v>
          </cell>
        </row>
        <row r="5">
          <cell r="D5">
            <v>12925.722</v>
          </cell>
        </row>
        <row r="8">
          <cell r="D8">
            <v>1817.8</v>
          </cell>
        </row>
        <row r="9">
          <cell r="D9">
            <v>11107.922</v>
          </cell>
        </row>
      </sheetData>
      <sheetData sheetId="1">
        <row r="3">
          <cell r="AW3">
            <v>4826.3240000000005</v>
          </cell>
        </row>
        <row r="18">
          <cell r="AV18">
            <v>631.49999999999989</v>
          </cell>
          <cell r="AW18">
            <v>680.5706707999999</v>
          </cell>
          <cell r="AX18">
            <v>737.82239883600005</v>
          </cell>
          <cell r="AY18">
            <v>759.84491622108033</v>
          </cell>
          <cell r="AZ18">
            <v>775.17897719150164</v>
          </cell>
          <cell r="BF18">
            <v>873.87294928251413</v>
          </cell>
        </row>
        <row r="22">
          <cell r="AU22">
            <v>-5.2964374628214017E-2</v>
          </cell>
          <cell r="AV22">
            <v>5.9648714667907221E-2</v>
          </cell>
        </row>
        <row r="23">
          <cell r="AW23">
            <v>0.42983859351340686</v>
          </cell>
        </row>
        <row r="24">
          <cell r="AW24">
            <v>0.15874581979991392</v>
          </cell>
        </row>
        <row r="25">
          <cell r="BI25">
            <v>0.09</v>
          </cell>
        </row>
        <row r="29">
          <cell r="AW29">
            <v>0.14101222188978607</v>
          </cell>
        </row>
        <row r="31">
          <cell r="BI31">
            <v>-0.18893394730262347</v>
          </cell>
        </row>
        <row r="32">
          <cell r="BI32" t="str">
            <v>Slightly overvalued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5.12</v>
          </cell>
          <cell r="E3">
            <v>46059</v>
          </cell>
          <cell r="G3">
            <v>46128</v>
          </cell>
        </row>
        <row r="5">
          <cell r="D5">
            <v>8757.76</v>
          </cell>
        </row>
        <row r="8">
          <cell r="D8">
            <v>-596.30000000000018</v>
          </cell>
        </row>
        <row r="9">
          <cell r="D9">
            <v>9354.0600000000013</v>
          </cell>
        </row>
      </sheetData>
      <sheetData sheetId="1">
        <row r="3">
          <cell r="AV3">
            <v>5931.4000000000005</v>
          </cell>
        </row>
        <row r="19">
          <cell r="AT19">
            <v>9.561475944195319E-4</v>
          </cell>
          <cell r="AU19">
            <v>0.16395293300334335</v>
          </cell>
        </row>
        <row r="20">
          <cell r="AV20">
            <v>0.54993762012341108</v>
          </cell>
        </row>
        <row r="21">
          <cell r="AV21">
            <v>-8.972586573153038E-2</v>
          </cell>
        </row>
        <row r="22">
          <cell r="BI22">
            <v>0.09</v>
          </cell>
        </row>
        <row r="26">
          <cell r="AV26">
            <v>-7.7620797788043164E-2</v>
          </cell>
        </row>
        <row r="46">
          <cell r="AU46">
            <v>218.80000000000013</v>
          </cell>
          <cell r="AV46">
            <v>437.30000000000041</v>
          </cell>
          <cell r="AW46">
            <v>683.47831200000064</v>
          </cell>
          <cell r="AX46">
            <v>840.78478867200033</v>
          </cell>
          <cell r="AY46">
            <v>889.86147020275246</v>
          </cell>
          <cell r="BF46">
            <v>1070.7454758775575</v>
          </cell>
        </row>
        <row r="54">
          <cell r="BI54">
            <v>0.11702749588207562</v>
          </cell>
        </row>
        <row r="55">
          <cell r="BI55" t="str">
            <v>Slightly undervalued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66.900000000000006</v>
          </cell>
          <cell r="E3">
            <v>46001</v>
          </cell>
          <cell r="G3">
            <v>46084</v>
          </cell>
        </row>
        <row r="5">
          <cell r="D5">
            <v>6067.8300000000008</v>
          </cell>
        </row>
        <row r="8">
          <cell r="D8">
            <v>-3207.7</v>
          </cell>
        </row>
        <row r="9">
          <cell r="D9">
            <v>9275.5300000000007</v>
          </cell>
        </row>
      </sheetData>
      <sheetData sheetId="1">
        <row r="3">
          <cell r="Z3">
            <v>3330.6000000000004</v>
          </cell>
        </row>
        <row r="24">
          <cell r="Z24">
            <v>199.2000000000003</v>
          </cell>
          <cell r="AA24">
            <v>72.26239000000038</v>
          </cell>
          <cell r="AB24">
            <v>422.61548459999995</v>
          </cell>
          <cell r="AC24">
            <v>480.65083388099998</v>
          </cell>
          <cell r="AD24">
            <v>548.64538790430004</v>
          </cell>
          <cell r="AK24">
            <v>736.87490771514388</v>
          </cell>
        </row>
        <row r="28">
          <cell r="Z28">
            <v>0.29858078602620086</v>
          </cell>
        </row>
        <row r="29">
          <cell r="Z29">
            <v>0.29216957905482505</v>
          </cell>
        </row>
        <row r="31">
          <cell r="AO31">
            <v>0.09</v>
          </cell>
        </row>
        <row r="33">
          <cell r="Z33">
            <v>7.4160811865729995E-2</v>
          </cell>
        </row>
        <row r="37">
          <cell r="AO37">
            <v>-0.4883671937771461</v>
          </cell>
        </row>
        <row r="38">
          <cell r="AO38" t="str">
            <v>Overvalued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168</v>
          </cell>
          <cell r="E3">
            <v>45967</v>
          </cell>
          <cell r="G3">
            <v>46065</v>
          </cell>
        </row>
        <row r="5">
          <cell r="D5">
            <v>9340.8000000000011</v>
          </cell>
        </row>
        <row r="8">
          <cell r="D8">
            <v>989.3</v>
          </cell>
        </row>
        <row r="9">
          <cell r="D9">
            <v>8351.5000000000018</v>
          </cell>
        </row>
      </sheetData>
      <sheetData sheetId="1">
        <row r="3">
          <cell r="BA3">
            <v>5435.1130000000003</v>
          </cell>
        </row>
        <row r="13">
          <cell r="AZ13">
            <v>454.49999999999966</v>
          </cell>
          <cell r="BA13">
            <v>387.49204200000065</v>
          </cell>
          <cell r="BB13">
            <v>614.85528780000004</v>
          </cell>
          <cell r="BC13">
            <v>668.63723705999985</v>
          </cell>
          <cell r="BD13">
            <v>704.64354190775975</v>
          </cell>
          <cell r="BK13">
            <v>941.40324213744418</v>
          </cell>
        </row>
        <row r="17">
          <cell r="AY17">
            <v>-2.7815200945136453E-2</v>
          </cell>
          <cell r="AZ17">
            <v>7.9735635859716769E-3</v>
          </cell>
        </row>
        <row r="18">
          <cell r="BA18">
            <v>0.28812352199485097</v>
          </cell>
        </row>
        <row r="19">
          <cell r="BA19">
            <v>9.540848552734793E-2</v>
          </cell>
        </row>
        <row r="20">
          <cell r="BN20">
            <v>0.09</v>
          </cell>
        </row>
        <row r="22">
          <cell r="BA22">
            <v>7.129420161089578E-2</v>
          </cell>
        </row>
        <row r="26">
          <cell r="BN26">
            <v>9.1685329711141961E-3</v>
          </cell>
        </row>
        <row r="27">
          <cell r="BN27" t="str">
            <v>Fairly valued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273.54000000000002</v>
          </cell>
          <cell r="E3">
            <v>45909</v>
          </cell>
          <cell r="G3">
            <v>45960</v>
          </cell>
        </row>
        <row r="5">
          <cell r="D5">
            <v>8042.076</v>
          </cell>
        </row>
        <row r="8">
          <cell r="D8">
            <v>694.3</v>
          </cell>
        </row>
        <row r="9">
          <cell r="D9">
            <v>7347.7759999999998</v>
          </cell>
        </row>
      </sheetData>
      <sheetData sheetId="1">
        <row r="5">
          <cell r="AD5">
            <v>943.53100000000006</v>
          </cell>
        </row>
        <row r="18">
          <cell r="AC18">
            <v>183.79999999999995</v>
          </cell>
          <cell r="AD18">
            <v>292.00170049999997</v>
          </cell>
          <cell r="AE18">
            <v>355.13461635000004</v>
          </cell>
          <cell r="AF18">
            <v>412.26851382449996</v>
          </cell>
          <cell r="AG18">
            <v>458.17865373511</v>
          </cell>
          <cell r="AN18">
            <v>637.35753176533422</v>
          </cell>
        </row>
        <row r="24">
          <cell r="AB24">
            <v>-9.2676944639103032E-2</v>
          </cell>
          <cell r="AC24">
            <v>0.29812705155435415</v>
          </cell>
        </row>
        <row r="25">
          <cell r="AR25">
            <v>0.09</v>
          </cell>
        </row>
        <row r="27">
          <cell r="AD27">
            <v>0.57245883813038467</v>
          </cell>
        </row>
        <row r="31">
          <cell r="AD31">
            <v>0.29994513163849407</v>
          </cell>
          <cell r="AR31">
            <v>-0.20734203790549244</v>
          </cell>
        </row>
        <row r="32">
          <cell r="AR32" t="str">
            <v>Slightly overvalued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15.93</v>
          </cell>
          <cell r="E3">
            <v>45989</v>
          </cell>
          <cell r="G3">
            <v>46092</v>
          </cell>
        </row>
        <row r="5">
          <cell r="D5">
            <v>4318.6230000000005</v>
          </cell>
        </row>
        <row r="10">
          <cell r="D10">
            <v>-1893.1716417910447</v>
          </cell>
        </row>
        <row r="11">
          <cell r="D11">
            <v>6211.7946417910453</v>
          </cell>
        </row>
        <row r="13">
          <cell r="D13">
            <v>5.36</v>
          </cell>
        </row>
      </sheetData>
      <sheetData sheetId="1">
        <row r="6">
          <cell r="AN6">
            <v>13758.047999999999</v>
          </cell>
        </row>
        <row r="18">
          <cell r="AM18">
            <v>-1513.1999999999989</v>
          </cell>
          <cell r="AN18">
            <v>2583.3223340000009</v>
          </cell>
          <cell r="AO18">
            <v>3103.0269552208001</v>
          </cell>
          <cell r="AP18">
            <v>3468.3363405708637</v>
          </cell>
          <cell r="AQ18">
            <v>3737.5766644384544</v>
          </cell>
          <cell r="AX18">
            <v>4487.4402148562567</v>
          </cell>
        </row>
        <row r="24">
          <cell r="BC24">
            <v>0.15</v>
          </cell>
        </row>
        <row r="25">
          <cell r="AL25">
            <v>0.26036999245818726</v>
          </cell>
          <cell r="AM25">
            <v>0.12101372756071815</v>
          </cell>
        </row>
        <row r="26">
          <cell r="AN26">
            <v>0.75073345869995511</v>
          </cell>
        </row>
        <row r="30">
          <cell r="AN30">
            <v>0.22267849334440476</v>
          </cell>
        </row>
        <row r="31">
          <cell r="BC31">
            <v>-0.35989347241320568</v>
          </cell>
        </row>
        <row r="32">
          <cell r="AN32">
            <v>0.18776808555981206</v>
          </cell>
          <cell r="BC32" t="str">
            <v>Overvalued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22.03</v>
          </cell>
          <cell r="E3">
            <v>45964</v>
          </cell>
          <cell r="G3">
            <v>46000</v>
          </cell>
        </row>
        <row r="5">
          <cell r="D5">
            <v>9856.2219999999998</v>
          </cell>
        </row>
        <row r="8">
          <cell r="D8">
            <v>4533.5</v>
          </cell>
        </row>
        <row r="9">
          <cell r="D9">
            <v>5322.7219999999998</v>
          </cell>
        </row>
      </sheetData>
      <sheetData sheetId="1">
        <row r="6">
          <cell r="BP6">
            <v>3946.1359999999995</v>
          </cell>
        </row>
        <row r="16">
          <cell r="BO16">
            <v>131.19999999999953</v>
          </cell>
          <cell r="BP16">
            <v>496.74396559999923</v>
          </cell>
          <cell r="BQ16">
            <v>512.78367447999983</v>
          </cell>
          <cell r="BR16">
            <v>571.3489177332001</v>
          </cell>
          <cell r="BS16">
            <v>590.86033903550401</v>
          </cell>
          <cell r="BV16">
            <v>595.9575330503493</v>
          </cell>
        </row>
        <row r="23">
          <cell r="BN23">
            <v>-0.11034622393197013</v>
          </cell>
          <cell r="BO23">
            <v>-0.27495827643756632</v>
          </cell>
        </row>
        <row r="24">
          <cell r="BP24">
            <v>0.30762810506277516</v>
          </cell>
        </row>
        <row r="25">
          <cell r="BP25">
            <v>6.1617830708318007E-2</v>
          </cell>
        </row>
        <row r="31">
          <cell r="CC31">
            <v>0.08</v>
          </cell>
        </row>
        <row r="37">
          <cell r="CC37">
            <v>0.19218668281510398</v>
          </cell>
        </row>
        <row r="38">
          <cell r="CC38" t="str">
            <v>Slightly undervalued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tes"/>
      <sheetName val="TOPS"/>
      <sheetName val="DNA"/>
    </sheetNames>
    <sheetDataSet>
      <sheetData sheetId="0">
        <row r="3">
          <cell r="L3">
            <v>16.48</v>
          </cell>
          <cell r="M3">
            <v>46078</v>
          </cell>
          <cell r="O3">
            <v>45979</v>
          </cell>
        </row>
        <row r="5">
          <cell r="L5">
            <v>5342.8159999999998</v>
          </cell>
        </row>
        <row r="6">
          <cell r="L6">
            <v>571.70000000000005</v>
          </cell>
        </row>
        <row r="8">
          <cell r="L8">
            <v>4771.116</v>
          </cell>
        </row>
      </sheetData>
      <sheetData sheetId="1">
        <row r="7">
          <cell r="W7">
            <v>8171</v>
          </cell>
        </row>
        <row r="17">
          <cell r="V17">
            <v>-67306</v>
          </cell>
          <cell r="W17">
            <v>-74457.750000000015</v>
          </cell>
          <cell r="X17">
            <v>-76388.10000000002</v>
          </cell>
          <cell r="Y17">
            <v>-74221.710000000021</v>
          </cell>
          <cell r="Z17">
            <v>-65342.736000000048</v>
          </cell>
          <cell r="AG17">
            <v>591102.95018434292</v>
          </cell>
        </row>
        <row r="21">
          <cell r="U21">
            <v>-8.3498702488169707E-2</v>
          </cell>
          <cell r="V21">
            <v>-8.0946035976016018E-2</v>
          </cell>
        </row>
        <row r="23">
          <cell r="W23">
            <v>0.75</v>
          </cell>
        </row>
        <row r="24">
          <cell r="W24">
            <v>-9.1124403377799545</v>
          </cell>
        </row>
        <row r="28">
          <cell r="AD28">
            <v>0.09</v>
          </cell>
        </row>
        <row r="34">
          <cell r="AD34">
            <v>-0.49470602868573876</v>
          </cell>
        </row>
        <row r="35">
          <cell r="AD35" t="str">
            <v>Overvalued</v>
          </cell>
        </row>
      </sheetData>
      <sheetData sheetId="2"/>
      <sheetData sheetId="3"/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90.04</v>
          </cell>
          <cell r="E3">
            <v>46080</v>
          </cell>
          <cell r="G3">
            <v>46155</v>
          </cell>
        </row>
        <row r="5">
          <cell r="D5">
            <v>4195.8640000000005</v>
          </cell>
        </row>
        <row r="8">
          <cell r="D8">
            <v>1140.5</v>
          </cell>
        </row>
        <row r="9">
          <cell r="D9">
            <v>3055.3640000000005</v>
          </cell>
        </row>
      </sheetData>
      <sheetData sheetId="1">
        <row r="17">
          <cell r="AH17">
            <v>1037.5999999999999</v>
          </cell>
        </row>
        <row r="29">
          <cell r="AG29">
            <v>88.599999999999952</v>
          </cell>
          <cell r="AH29">
            <v>413.79999999999984</v>
          </cell>
          <cell r="AI29">
            <v>154.47610999999995</v>
          </cell>
          <cell r="AJ29">
            <v>229.07436249999984</v>
          </cell>
          <cell r="AK29">
            <v>322.09967702499983</v>
          </cell>
        </row>
        <row r="39">
          <cell r="AF39">
            <v>0.43800757985923133</v>
          </cell>
          <cell r="AG39">
            <v>0.4081325301204819</v>
          </cell>
        </row>
        <row r="40">
          <cell r="AH40">
            <v>0.72234001542020043</v>
          </cell>
        </row>
        <row r="42">
          <cell r="AV42">
            <v>0.09</v>
          </cell>
        </row>
        <row r="44">
          <cell r="AH44">
            <v>0.13039707016191196</v>
          </cell>
        </row>
        <row r="46">
          <cell r="AH46">
            <v>0.39880493446414794</v>
          </cell>
        </row>
        <row r="48">
          <cell r="AV48">
            <v>0.59232821248778822</v>
          </cell>
        </row>
        <row r="49">
          <cell r="AV49" t="str">
            <v>Undervalued</v>
          </cell>
        </row>
        <row r="64">
          <cell r="AR64">
            <v>825.21946370756348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47.51</v>
          </cell>
          <cell r="E3">
            <v>46077</v>
          </cell>
          <cell r="G3">
            <v>46079</v>
          </cell>
        </row>
        <row r="5">
          <cell r="D5">
            <v>3724.7840000000001</v>
          </cell>
        </row>
        <row r="8">
          <cell r="D8">
            <v>145.89999999999998</v>
          </cell>
        </row>
        <row r="9">
          <cell r="D9">
            <v>3578.884</v>
          </cell>
        </row>
      </sheetData>
      <sheetData sheetId="1">
        <row r="6">
          <cell r="Y6">
            <v>494.15400000000005</v>
          </cell>
        </row>
        <row r="20">
          <cell r="X20">
            <v>-4.4999999999999432</v>
          </cell>
          <cell r="Y20">
            <v>41.661768000000095</v>
          </cell>
          <cell r="Z20">
            <v>122.16205310799995</v>
          </cell>
          <cell r="AA20">
            <v>217.11237924829001</v>
          </cell>
          <cell r="AB20">
            <v>301.51127285697237</v>
          </cell>
          <cell r="AI20">
            <v>573.06809960890666</v>
          </cell>
        </row>
        <row r="27">
          <cell r="W27">
            <v>0.33377135348226017</v>
          </cell>
          <cell r="X27">
            <v>0.22003284072249607</v>
          </cell>
          <cell r="AL27">
            <v>0.09</v>
          </cell>
        </row>
        <row r="31">
          <cell r="Y31">
            <v>0.7827451361316512</v>
          </cell>
        </row>
        <row r="33">
          <cell r="AL33">
            <v>0.21551473862642112</v>
          </cell>
        </row>
        <row r="34">
          <cell r="AL34" t="str">
            <v>Slightly undervalued</v>
          </cell>
        </row>
        <row r="35">
          <cell r="Y35">
            <v>5.6981264949793158E-2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81.36</v>
          </cell>
          <cell r="E3">
            <v>46052</v>
          </cell>
          <cell r="G3">
            <v>46147</v>
          </cell>
        </row>
        <row r="5">
          <cell r="D5">
            <v>3531.0239999999999</v>
          </cell>
        </row>
        <row r="8">
          <cell r="D8">
            <v>208.50000000000006</v>
          </cell>
        </row>
        <row r="9">
          <cell r="D9">
            <v>3322.5239999999999</v>
          </cell>
        </row>
      </sheetData>
      <sheetData sheetId="1">
        <row r="3">
          <cell r="AD3">
            <v>2405.3000000000002</v>
          </cell>
        </row>
        <row r="14">
          <cell r="AD14">
            <v>287.70000000000027</v>
          </cell>
          <cell r="AE14">
            <v>382.80148799999967</v>
          </cell>
          <cell r="AF14">
            <v>414.04426187199999</v>
          </cell>
          <cell r="AG14">
            <v>434.41526498415982</v>
          </cell>
          <cell r="AH14">
            <v>447.22963566012311</v>
          </cell>
          <cell r="AN14">
            <v>494.03521465539751</v>
          </cell>
        </row>
        <row r="18">
          <cell r="AC18">
            <v>0.1103189289213018</v>
          </cell>
          <cell r="AD18">
            <v>0.17901083280231367</v>
          </cell>
        </row>
        <row r="19">
          <cell r="AD19">
            <v>0.39242506132291199</v>
          </cell>
        </row>
        <row r="20">
          <cell r="AR20">
            <v>0.09</v>
          </cell>
        </row>
        <row r="21">
          <cell r="AD21">
            <v>0.14966947989855747</v>
          </cell>
        </row>
        <row r="26">
          <cell r="AR26">
            <v>0.46966912269728067</v>
          </cell>
        </row>
        <row r="27">
          <cell r="AR27" t="str">
            <v>Undervalued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9.24</v>
          </cell>
          <cell r="F3">
            <v>45937</v>
          </cell>
          <cell r="G3">
            <v>45980</v>
          </cell>
        </row>
        <row r="5">
          <cell r="D5">
            <v>2750.748</v>
          </cell>
        </row>
        <row r="10">
          <cell r="D10">
            <v>-331.968085106383</v>
          </cell>
        </row>
        <row r="11">
          <cell r="D11">
            <v>3082.7160851063832</v>
          </cell>
        </row>
        <row r="13">
          <cell r="D13">
            <v>5.64</v>
          </cell>
        </row>
      </sheetData>
      <sheetData sheetId="1">
        <row r="6">
          <cell r="AD6">
            <v>18809.799999999996</v>
          </cell>
        </row>
        <row r="16">
          <cell r="AD16">
            <v>2190.4999999999959</v>
          </cell>
          <cell r="AE16">
            <v>1991.6098319999994</v>
          </cell>
          <cell r="AF16">
            <v>2115.6085312799996</v>
          </cell>
          <cell r="AG16">
            <v>2478.1304628919997</v>
          </cell>
          <cell r="AH16">
            <v>2657.5931924288006</v>
          </cell>
          <cell r="AO16">
            <v>3155.0998895220564</v>
          </cell>
        </row>
        <row r="22">
          <cell r="AS22">
            <v>0.15</v>
          </cell>
        </row>
        <row r="23">
          <cell r="AC23">
            <v>4.0000260842914193E-2</v>
          </cell>
          <cell r="AD23">
            <v>0.17942351222387298</v>
          </cell>
        </row>
        <row r="24">
          <cell r="AD24">
            <v>0.49264213335601648</v>
          </cell>
        </row>
        <row r="28">
          <cell r="AD28">
            <v>0.14288828164042131</v>
          </cell>
        </row>
        <row r="29">
          <cell r="AS29">
            <v>2.7650307020570253E-2</v>
          </cell>
        </row>
        <row r="30">
          <cell r="AS30" t="str">
            <v>Fairly valued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6.92</v>
          </cell>
          <cell r="E3">
            <v>46052</v>
          </cell>
          <cell r="G3">
            <v>46086</v>
          </cell>
        </row>
        <row r="5">
          <cell r="D5">
            <v>406.89599999999996</v>
          </cell>
        </row>
        <row r="8">
          <cell r="D8">
            <v>-2248.4</v>
          </cell>
        </row>
        <row r="9">
          <cell r="D9">
            <v>2655.2960000000003</v>
          </cell>
        </row>
      </sheetData>
      <sheetData sheetId="1">
        <row r="3">
          <cell r="AD3">
            <v>1426.5</v>
          </cell>
        </row>
        <row r="16">
          <cell r="AD16">
            <v>-126.69999999999992</v>
          </cell>
          <cell r="AE16">
            <v>-110.99999999999984</v>
          </cell>
          <cell r="AF16">
            <v>-1895.4</v>
          </cell>
          <cell r="AG16">
            <v>-20.400000000000027</v>
          </cell>
          <cell r="AH16">
            <v>21.999999999999979</v>
          </cell>
          <cell r="AS16">
            <v>301.93946176740417</v>
          </cell>
        </row>
        <row r="20">
          <cell r="AC20">
            <v>0.24318400981853228</v>
          </cell>
          <cell r="AD20">
            <v>5.9234186587688864E-3</v>
          </cell>
        </row>
        <row r="21">
          <cell r="AH21">
            <v>0.58012670107930553</v>
          </cell>
        </row>
        <row r="22">
          <cell r="AH22">
            <v>7.8132332238385727E-2</v>
          </cell>
          <cell r="AV22">
            <v>9.5000000000000001E-2</v>
          </cell>
        </row>
        <row r="28">
          <cell r="AV28">
            <v>-0.3382024166420583</v>
          </cell>
        </row>
        <row r="29">
          <cell r="AV29" t="str">
            <v>Overvalued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8.3949999999999996</v>
          </cell>
          <cell r="F3">
            <v>45712</v>
          </cell>
          <cell r="H3">
            <v>46203</v>
          </cell>
        </row>
        <row r="5">
          <cell r="D5">
            <v>8621.6649999999991</v>
          </cell>
        </row>
        <row r="8">
          <cell r="D8">
            <v>6226.5</v>
          </cell>
        </row>
        <row r="9">
          <cell r="D9">
            <v>2395.1649999999991</v>
          </cell>
        </row>
      </sheetData>
      <sheetData sheetId="1">
        <row r="12">
          <cell r="U12">
            <v>1945.4520000000002</v>
          </cell>
        </row>
        <row r="25">
          <cell r="T25">
            <v>416.69999999999993</v>
          </cell>
          <cell r="U25">
            <v>364.62822000000006</v>
          </cell>
          <cell r="V25">
            <v>374.39067165000006</v>
          </cell>
          <cell r="W25">
            <v>386.15080878150019</v>
          </cell>
          <cell r="X25">
            <v>398.01803613031518</v>
          </cell>
          <cell r="AD25">
            <v>494.79745600612949</v>
          </cell>
        </row>
        <row r="36">
          <cell r="R36">
            <v>0.76377670077185411</v>
          </cell>
          <cell r="S36">
            <v>0.56442092407897415</v>
          </cell>
          <cell r="AG36">
            <v>0.09</v>
          </cell>
        </row>
        <row r="39">
          <cell r="U39">
            <v>0.73</v>
          </cell>
        </row>
        <row r="41">
          <cell r="U41">
            <v>0.25773699890822288</v>
          </cell>
        </row>
        <row r="42">
          <cell r="AG42">
            <v>0.27281318315041192</v>
          </cell>
        </row>
        <row r="43">
          <cell r="U43">
            <v>0.18742596579098328</v>
          </cell>
          <cell r="AG43" t="str">
            <v>Slightly undervalued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1.87</v>
          </cell>
          <cell r="E3">
            <v>46076</v>
          </cell>
          <cell r="G3">
            <v>46079</v>
          </cell>
        </row>
        <row r="5">
          <cell r="D5">
            <v>2601.9180000000001</v>
          </cell>
        </row>
        <row r="8">
          <cell r="D8">
            <v>215.39999999999998</v>
          </cell>
        </row>
        <row r="9">
          <cell r="D9">
            <v>2386.518</v>
          </cell>
        </row>
      </sheetData>
      <sheetData sheetId="1">
        <row r="8">
          <cell r="AB8">
            <v>722.06</v>
          </cell>
        </row>
        <row r="33">
          <cell r="AA33">
            <v>-2104.9</v>
          </cell>
          <cell r="AB33">
            <v>-1049.8714999999997</v>
          </cell>
          <cell r="AC33">
            <v>-504.67788450000006</v>
          </cell>
          <cell r="AD33">
            <v>-346.54102523999978</v>
          </cell>
          <cell r="AE33">
            <v>-189.44181374939978</v>
          </cell>
          <cell r="AL33">
            <v>209.71647509389175</v>
          </cell>
        </row>
        <row r="39">
          <cell r="AP39">
            <v>0.09</v>
          </cell>
        </row>
        <row r="42">
          <cell r="Z42">
            <v>0.27060165383518697</v>
          </cell>
          <cell r="AA42">
            <v>-0.29443447037701986</v>
          </cell>
        </row>
        <row r="45">
          <cell r="AP45">
            <v>-0.89566878315942533</v>
          </cell>
        </row>
        <row r="46">
          <cell r="AP46" t="str">
            <v>Heavily overvalued</v>
          </cell>
        </row>
        <row r="48">
          <cell r="AB48">
            <v>-0.49127150098329775</v>
          </cell>
        </row>
        <row r="51">
          <cell r="AB51">
            <v>-1.3056691964656677</v>
          </cell>
        </row>
        <row r="53">
          <cell r="AB53">
            <v>-1.4539948203750379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16.41</v>
          </cell>
          <cell r="E3">
            <v>46057</v>
          </cell>
          <cell r="G3">
            <v>46155</v>
          </cell>
        </row>
        <row r="5">
          <cell r="D5">
            <v>1979.0459999999998</v>
          </cell>
        </row>
        <row r="8">
          <cell r="D8">
            <v>363.5</v>
          </cell>
        </row>
        <row r="9">
          <cell r="D9">
            <v>1615.5459999999998</v>
          </cell>
        </row>
      </sheetData>
      <sheetData sheetId="1">
        <row r="6">
          <cell r="AV6">
            <v>1443.4</v>
          </cell>
        </row>
        <row r="17">
          <cell r="AU17">
            <v>-38.09999999999998</v>
          </cell>
          <cell r="AV17">
            <v>-60.899999999999949</v>
          </cell>
          <cell r="AW17">
            <v>21.036952999999944</v>
          </cell>
          <cell r="AX17">
            <v>36.93067034400012</v>
          </cell>
          <cell r="AY17">
            <v>78.243947234752</v>
          </cell>
          <cell r="BF17">
            <v>150.31296400605194</v>
          </cell>
        </row>
        <row r="24">
          <cell r="AT24">
            <v>-5.5409723807349986E-2</v>
          </cell>
          <cell r="AU24">
            <v>-8.2885277593185425E-2</v>
          </cell>
        </row>
        <row r="25">
          <cell r="AV25">
            <v>0.43695441319107664</v>
          </cell>
        </row>
        <row r="26">
          <cell r="AV26">
            <v>-3.48482749064708E-2</v>
          </cell>
        </row>
        <row r="27">
          <cell r="BJ27">
            <v>0.1</v>
          </cell>
        </row>
        <row r="31">
          <cell r="AV31">
            <v>-4.2192046556740991E-2</v>
          </cell>
        </row>
        <row r="33">
          <cell r="BJ33">
            <v>-0.25852890366738079</v>
          </cell>
        </row>
        <row r="34">
          <cell r="BJ34" t="str">
            <v>Overvalued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14.31</v>
          </cell>
          <cell r="E3">
            <v>46079</v>
          </cell>
          <cell r="G3">
            <v>46168</v>
          </cell>
        </row>
        <row r="5">
          <cell r="D5">
            <v>1282.1759999999999</v>
          </cell>
        </row>
        <row r="8">
          <cell r="D8">
            <v>128</v>
          </cell>
        </row>
        <row r="9">
          <cell r="D9">
            <v>1154.1759999999999</v>
          </cell>
        </row>
      </sheetData>
      <sheetData sheetId="1">
        <row r="8">
          <cell r="AE8">
            <v>482.9</v>
          </cell>
        </row>
        <row r="27">
          <cell r="AF27">
            <v>87.800000000000011</v>
          </cell>
          <cell r="AG27">
            <v>102.29229999999995</v>
          </cell>
          <cell r="AH27">
            <v>190.62301511000004</v>
          </cell>
          <cell r="AI27">
            <v>205.13686665470004</v>
          </cell>
          <cell r="AJ27">
            <v>213.66051479842812</v>
          </cell>
          <cell r="AP27">
            <v>255.63830201913365</v>
          </cell>
        </row>
        <row r="34">
          <cell r="AD34">
            <v>0.15774446823697352</v>
          </cell>
          <cell r="AE34">
            <v>0.14796547472256472</v>
          </cell>
        </row>
        <row r="40">
          <cell r="AE40">
            <v>0.7256160695796231</v>
          </cell>
        </row>
        <row r="41">
          <cell r="AS41">
            <v>0.1</v>
          </cell>
        </row>
        <row r="43">
          <cell r="AE43">
            <v>0.19631393663284327</v>
          </cell>
        </row>
        <row r="47">
          <cell r="AS47">
            <v>0.51830194668540885</v>
          </cell>
        </row>
        <row r="48">
          <cell r="AS48" t="str">
            <v>Heavily undervalued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6.79</v>
          </cell>
          <cell r="E3">
            <v>46067</v>
          </cell>
          <cell r="G3">
            <v>46154</v>
          </cell>
        </row>
        <row r="5">
          <cell r="D5">
            <v>723.81399999999996</v>
          </cell>
        </row>
        <row r="8">
          <cell r="D8">
            <v>-22.700000000000003</v>
          </cell>
        </row>
        <row r="9">
          <cell r="D9">
            <v>746.51400000000001</v>
          </cell>
        </row>
      </sheetData>
      <sheetData sheetId="1">
        <row r="5">
          <cell r="AP5">
            <v>1472.6</v>
          </cell>
        </row>
        <row r="22">
          <cell r="AN22">
            <v>6.1668242309650179E-2</v>
          </cell>
          <cell r="AO22">
            <v>-9.8294403726282509E-2</v>
          </cell>
        </row>
        <row r="23">
          <cell r="AP23">
            <v>0.28928425913350536</v>
          </cell>
        </row>
        <row r="24">
          <cell r="AP24">
            <v>1.4939562678255877E-3</v>
          </cell>
        </row>
        <row r="25">
          <cell r="BC25">
            <v>0.11</v>
          </cell>
        </row>
        <row r="28">
          <cell r="AP28">
            <v>-1.0865136493277224E-2</v>
          </cell>
        </row>
        <row r="50">
          <cell r="AO50">
            <v>-71.999999999999844</v>
          </cell>
          <cell r="AP50">
            <v>19.499999999999932</v>
          </cell>
          <cell r="AQ50">
            <v>-18.977062759999995</v>
          </cell>
          <cell r="AR50">
            <v>14.686396735999963</v>
          </cell>
          <cell r="AS50">
            <v>51.924688594000017</v>
          </cell>
          <cell r="AZ50">
            <v>108.64910029871413</v>
          </cell>
        </row>
        <row r="57">
          <cell r="BC57">
            <v>-0.22789853349978817</v>
          </cell>
        </row>
        <row r="58">
          <cell r="BC58" t="str">
            <v>Slightly overvalued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12.96</v>
          </cell>
          <cell r="E3">
            <v>46070</v>
          </cell>
          <cell r="G3">
            <v>46072</v>
          </cell>
        </row>
        <row r="5">
          <cell r="D5">
            <v>396.57600000000002</v>
          </cell>
        </row>
        <row r="8">
          <cell r="D8">
            <v>-174.5</v>
          </cell>
        </row>
        <row r="9">
          <cell r="D9">
            <v>571.07600000000002</v>
          </cell>
        </row>
      </sheetData>
      <sheetData sheetId="1">
        <row r="3">
          <cell r="R3">
            <v>754.1</v>
          </cell>
        </row>
        <row r="17">
          <cell r="Q17">
            <v>-6.4999999999999982</v>
          </cell>
          <cell r="R17">
            <v>-11.824000000000012</v>
          </cell>
          <cell r="S17">
            <v>61.227659999999979</v>
          </cell>
          <cell r="T17">
            <v>67.820372399999911</v>
          </cell>
          <cell r="U17">
            <v>69.289414067999999</v>
          </cell>
          <cell r="AB17">
            <v>88.625819968332976</v>
          </cell>
        </row>
        <row r="21">
          <cell r="P21">
            <v>4.8674110258199565E-2</v>
          </cell>
          <cell r="Q21">
            <v>0.24521710197970381</v>
          </cell>
        </row>
        <row r="22">
          <cell r="R22">
            <v>0.39541307518896696</v>
          </cell>
        </row>
        <row r="23">
          <cell r="AE23">
            <v>0.11</v>
          </cell>
        </row>
        <row r="26">
          <cell r="R26">
            <v>-1.369049197719137E-2</v>
          </cell>
        </row>
        <row r="29">
          <cell r="AE29">
            <v>9.1565921641408421E-2</v>
          </cell>
        </row>
        <row r="30">
          <cell r="AE30" t="str">
            <v>Fairly valued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20.78</v>
          </cell>
          <cell r="E3">
            <v>45967</v>
          </cell>
          <cell r="G3">
            <v>46078</v>
          </cell>
        </row>
        <row r="5">
          <cell r="D5">
            <v>756.39200000000005</v>
          </cell>
        </row>
        <row r="8">
          <cell r="D8">
            <v>256.3</v>
          </cell>
        </row>
        <row r="9">
          <cell r="D9">
            <v>500.09200000000004</v>
          </cell>
        </row>
      </sheetData>
      <sheetData sheetId="1">
        <row r="3">
          <cell r="AE3">
            <v>431.70000000000005</v>
          </cell>
        </row>
        <row r="15">
          <cell r="AD15">
            <v>18.399999999999991</v>
          </cell>
          <cell r="AE15">
            <v>12.330000000000075</v>
          </cell>
          <cell r="AF15">
            <v>21.310401000000056</v>
          </cell>
          <cell r="AG15">
            <v>31.313607300000072</v>
          </cell>
          <cell r="AH15">
            <v>37.776299831400074</v>
          </cell>
          <cell r="AO15">
            <v>63.286981555889824</v>
          </cell>
        </row>
        <row r="19">
          <cell r="AC19">
            <v>7.1449747998814095E-2</v>
          </cell>
          <cell r="AD19">
            <v>8.3287216380741436E-2</v>
          </cell>
        </row>
        <row r="20">
          <cell r="AE20">
            <v>0.81209173036831128</v>
          </cell>
        </row>
        <row r="21">
          <cell r="AR21">
            <v>0.11</v>
          </cell>
        </row>
        <row r="24">
          <cell r="AE24">
            <v>-2.1473245309242352E-2</v>
          </cell>
        </row>
        <row r="26">
          <cell r="AE26">
            <v>2.8561501042390719E-2</v>
          </cell>
        </row>
        <row r="27">
          <cell r="AR27">
            <v>-0.13703365150766034</v>
          </cell>
        </row>
        <row r="28">
          <cell r="AR28" t="str">
            <v>Slightly overvalued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25.87</v>
          </cell>
          <cell r="E3">
            <v>45975</v>
          </cell>
          <cell r="G3">
            <v>46078</v>
          </cell>
        </row>
        <row r="5">
          <cell r="D5">
            <v>473.42100000000005</v>
          </cell>
        </row>
        <row r="8">
          <cell r="D8">
            <v>146.5</v>
          </cell>
        </row>
        <row r="9">
          <cell r="D9">
            <v>326.92100000000005</v>
          </cell>
        </row>
      </sheetData>
      <sheetData sheetId="1">
        <row r="3">
          <cell r="M3">
            <v>76.099999999999994</v>
          </cell>
        </row>
        <row r="14">
          <cell r="M14">
            <v>-42.300000000000011</v>
          </cell>
          <cell r="N14">
            <v>-35.13000000000001</v>
          </cell>
          <cell r="O14">
            <v>-19.677</v>
          </cell>
          <cell r="P14">
            <v>-19.810699999999997</v>
          </cell>
          <cell r="Q14">
            <v>-16.560704999999995</v>
          </cell>
          <cell r="X14">
            <v>23.540717608124208</v>
          </cell>
        </row>
        <row r="18">
          <cell r="M18">
            <v>0.16183206106870229</v>
          </cell>
        </row>
        <row r="19">
          <cell r="M19">
            <v>0.31931668856767409</v>
          </cell>
        </row>
        <row r="20">
          <cell r="AA20">
            <v>0.11</v>
          </cell>
        </row>
        <row r="23">
          <cell r="M23">
            <v>-0.53350854139290427</v>
          </cell>
        </row>
        <row r="26">
          <cell r="AA26">
            <v>-0.64508495994341608</v>
          </cell>
        </row>
        <row r="27">
          <cell r="AA27" t="str">
            <v>Heavily overvalued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5.1100000000000003</v>
          </cell>
          <cell r="E3">
            <v>45974</v>
          </cell>
          <cell r="G3">
            <v>46066</v>
          </cell>
        </row>
        <row r="5">
          <cell r="D5">
            <v>181.91600000000003</v>
          </cell>
        </row>
        <row r="8">
          <cell r="D8">
            <v>-75.699999999999989</v>
          </cell>
        </row>
        <row r="9">
          <cell r="D9">
            <v>257.61599999999999</v>
          </cell>
        </row>
      </sheetData>
      <sheetData sheetId="1">
        <row r="10">
          <cell r="V10">
            <v>163.22499999999999</v>
          </cell>
        </row>
        <row r="25">
          <cell r="U25">
            <v>30.799999999999997</v>
          </cell>
          <cell r="V25">
            <v>3.4624999999999888</v>
          </cell>
          <cell r="W25">
            <v>25.372585000000015</v>
          </cell>
          <cell r="X25">
            <v>27.567155120000027</v>
          </cell>
          <cell r="Y25">
            <v>30.084817896800001</v>
          </cell>
          <cell r="AF25">
            <v>46.055221030424782</v>
          </cell>
        </row>
        <row r="31">
          <cell r="U31">
            <v>0.170193192272309</v>
          </cell>
          <cell r="V31">
            <v>0.28321540880503138</v>
          </cell>
        </row>
        <row r="32">
          <cell r="V32">
            <v>0.92211671006279672</v>
          </cell>
        </row>
        <row r="34">
          <cell r="AI34">
            <v>0.11</v>
          </cell>
        </row>
        <row r="36">
          <cell r="V36">
            <v>0.18846684025118696</v>
          </cell>
        </row>
        <row r="38">
          <cell r="V38">
            <v>2.1213049471588231E-2</v>
          </cell>
        </row>
        <row r="97">
          <cell r="AI97">
            <v>0.69627521759744893</v>
          </cell>
        </row>
        <row r="98">
          <cell r="AI98" t="str">
            <v>Heavily undervalued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5.98</v>
          </cell>
          <cell r="E3">
            <v>46059</v>
          </cell>
          <cell r="G3">
            <v>46135</v>
          </cell>
        </row>
        <row r="5">
          <cell r="D5">
            <v>999.85599999999999</v>
          </cell>
        </row>
        <row r="8">
          <cell r="D8">
            <v>792.6</v>
          </cell>
        </row>
        <row r="9">
          <cell r="D9">
            <v>207.25599999999997</v>
          </cell>
        </row>
      </sheetData>
      <sheetData sheetId="1">
        <row r="5">
          <cell r="AP5">
            <v>757.49999999999989</v>
          </cell>
        </row>
        <row r="18">
          <cell r="AO18">
            <v>-79.499999999999901</v>
          </cell>
          <cell r="AP18">
            <v>-51.000000000000206</v>
          </cell>
          <cell r="AQ18">
            <v>-4.8485249999999889</v>
          </cell>
          <cell r="AR18">
            <v>17.133059249999942</v>
          </cell>
          <cell r="AS18">
            <v>29.023365554999952</v>
          </cell>
          <cell r="AZ18">
            <v>63.472358822504951</v>
          </cell>
        </row>
        <row r="24">
          <cell r="AN24">
            <v>0.21363115693012591</v>
          </cell>
          <cell r="AO24">
            <v>9.2811074406166538E-2</v>
          </cell>
        </row>
        <row r="25">
          <cell r="AP25">
            <v>0.54574257425742567</v>
          </cell>
        </row>
        <row r="26">
          <cell r="BC26">
            <v>0.11</v>
          </cell>
        </row>
        <row r="29">
          <cell r="AP29">
            <v>-0.10217821782178246</v>
          </cell>
        </row>
        <row r="31">
          <cell r="AP31">
            <v>-6.7326732673267609E-2</v>
          </cell>
        </row>
        <row r="32">
          <cell r="BC32">
            <v>0.16615973679599794</v>
          </cell>
        </row>
        <row r="33">
          <cell r="BC33" t="str">
            <v>Slightly undervalued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11.61</v>
          </cell>
          <cell r="E3">
            <v>45975</v>
          </cell>
          <cell r="G3">
            <v>46084</v>
          </cell>
        </row>
        <row r="5">
          <cell r="D5">
            <v>175.31099999999998</v>
          </cell>
        </row>
        <row r="8">
          <cell r="D8">
            <v>-27.1</v>
          </cell>
        </row>
        <row r="9">
          <cell r="D9">
            <v>202.41099999999997</v>
          </cell>
        </row>
      </sheetData>
      <sheetData sheetId="1">
        <row r="7">
          <cell r="AU7">
            <v>206.39999999999998</v>
          </cell>
        </row>
        <row r="23">
          <cell r="AU23">
            <v>3.1999999999999886</v>
          </cell>
          <cell r="AV23">
            <v>0.3009000000000096</v>
          </cell>
          <cell r="AW23">
            <v>7.5771119999999863</v>
          </cell>
          <cell r="AX23">
            <v>10.747554479999993</v>
          </cell>
          <cell r="AY23">
            <v>13.166563108799991</v>
          </cell>
        </row>
        <row r="31">
          <cell r="AT31">
            <v>-0.23368678629690032</v>
          </cell>
          <cell r="AU31">
            <v>9.8456625864821401E-2</v>
          </cell>
        </row>
        <row r="33">
          <cell r="BI33">
            <v>0.12</v>
          </cell>
        </row>
        <row r="39">
          <cell r="BI39">
            <v>-0.50510854576419484</v>
          </cell>
        </row>
        <row r="40">
          <cell r="BI40" t="str">
            <v>Heavily overvalued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0.73199999999999998</v>
          </cell>
          <cell r="E3">
            <v>44279</v>
          </cell>
          <cell r="G3">
            <v>44406</v>
          </cell>
        </row>
        <row r="5">
          <cell r="D5">
            <v>187.61160000000001</v>
          </cell>
        </row>
        <row r="8">
          <cell r="D8">
            <v>0</v>
          </cell>
        </row>
        <row r="9">
          <cell r="D9">
            <v>187.61160000000001</v>
          </cell>
        </row>
      </sheetData>
      <sheetData sheetId="1">
        <row r="24">
          <cell r="AE24">
            <v>0.11</v>
          </cell>
        </row>
        <row r="30">
          <cell r="AE30">
            <v>-0.25169013126318518</v>
          </cell>
        </row>
        <row r="31">
          <cell r="AE31" t="str">
            <v>Slightly overvalued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8.34</v>
          </cell>
          <cell r="E3">
            <v>46012</v>
          </cell>
          <cell r="G3">
            <v>46091</v>
          </cell>
        </row>
        <row r="5">
          <cell r="D5">
            <v>397.81800000000004</v>
          </cell>
        </row>
        <row r="8">
          <cell r="D8">
            <v>210.80000000000007</v>
          </cell>
        </row>
        <row r="9">
          <cell r="D9">
            <v>187.01799999999997</v>
          </cell>
        </row>
      </sheetData>
      <sheetData sheetId="1">
        <row r="13">
          <cell r="AE13">
            <v>69.5</v>
          </cell>
        </row>
        <row r="32">
          <cell r="AD32">
            <v>-79.199999999999989</v>
          </cell>
          <cell r="AE32">
            <v>-101.19999999999999</v>
          </cell>
          <cell r="AF32">
            <v>-142.29999999999998</v>
          </cell>
          <cell r="AG32">
            <v>-108.39999999999996</v>
          </cell>
          <cell r="AH32">
            <v>-129.1</v>
          </cell>
          <cell r="AO32">
            <v>13.804711284936403</v>
          </cell>
        </row>
        <row r="43">
          <cell r="AW43">
            <v>0.12</v>
          </cell>
        </row>
        <row r="44">
          <cell r="AD44">
            <v>0.31632653061224492</v>
          </cell>
          <cell r="AE44">
            <v>-3.8759689922480689E-3</v>
          </cell>
        </row>
        <row r="49">
          <cell r="AW49">
            <v>-9.7741620884485791E-2</v>
          </cell>
        </row>
        <row r="50">
          <cell r="AE50">
            <v>-0.2258992805755394</v>
          </cell>
          <cell r="AW50" t="str">
            <v>Fairly valued</v>
          </cell>
        </row>
        <row r="53">
          <cell r="AE53">
            <v>-0.93525179856115093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1.27</v>
          </cell>
          <cell r="E3">
            <v>45751</v>
          </cell>
          <cell r="G3">
            <v>45845</v>
          </cell>
        </row>
        <row r="5">
          <cell r="D5">
            <v>94.234000000000009</v>
          </cell>
        </row>
        <row r="8">
          <cell r="D8">
            <v>-15.5</v>
          </cell>
        </row>
        <row r="9">
          <cell r="D9">
            <v>109.73400000000001</v>
          </cell>
        </row>
      </sheetData>
      <sheetData sheetId="1">
        <row r="3">
          <cell r="T3">
            <v>46.9</v>
          </cell>
        </row>
        <row r="17">
          <cell r="T17">
            <v>-76.160000000000011</v>
          </cell>
          <cell r="U17">
            <v>2.1120000000000005</v>
          </cell>
          <cell r="V17">
            <v>8.7361250000000013</v>
          </cell>
          <cell r="W17">
            <v>15.032579999999999</v>
          </cell>
          <cell r="X17">
            <v>20.612932799999989</v>
          </cell>
          <cell r="AE17">
            <v>50.431172568710124</v>
          </cell>
        </row>
        <row r="21">
          <cell r="S21">
            <v>2.4338235294117649</v>
          </cell>
          <cell r="T21">
            <v>4.2826552462524869E-3</v>
          </cell>
        </row>
        <row r="24">
          <cell r="AH24">
            <v>0.12</v>
          </cell>
        </row>
        <row r="30">
          <cell r="AH30">
            <v>0.51192284558708812</v>
          </cell>
        </row>
        <row r="31">
          <cell r="AH31" t="str">
            <v>Heavily undervalued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0.7</v>
          </cell>
          <cell r="E3">
            <v>46063</v>
          </cell>
          <cell r="G3">
            <v>46146</v>
          </cell>
        </row>
        <row r="5">
          <cell r="D5">
            <v>76.58</v>
          </cell>
        </row>
        <row r="8">
          <cell r="D8">
            <v>31.40000000000002</v>
          </cell>
        </row>
        <row r="9">
          <cell r="D9">
            <v>45.179999999999978</v>
          </cell>
        </row>
      </sheetData>
      <sheetData sheetId="1">
        <row r="3">
          <cell r="AI3">
            <v>68.599999999999994</v>
          </cell>
        </row>
        <row r="16">
          <cell r="AH16">
            <v>-11.099999999999937</v>
          </cell>
          <cell r="AI16">
            <v>-100.00000000000003</v>
          </cell>
          <cell r="AJ16">
            <v>-92.860300000000024</v>
          </cell>
          <cell r="AK16">
            <v>-62.350560000000037</v>
          </cell>
          <cell r="AL16">
            <v>-58.42446200000002</v>
          </cell>
        </row>
        <row r="20">
          <cell r="AG20">
            <v>0.17454194792671113</v>
          </cell>
          <cell r="AH20">
            <v>-1.5204567078972404</v>
          </cell>
        </row>
        <row r="25">
          <cell r="AI25">
            <v>0.59617935791987264</v>
          </cell>
        </row>
        <row r="26">
          <cell r="AW26">
            <v>0.12</v>
          </cell>
        </row>
        <row r="29">
          <cell r="AI29">
            <v>-0.31016184664367219</v>
          </cell>
        </row>
        <row r="31">
          <cell r="AI31">
            <v>-0.27407800477580269</v>
          </cell>
        </row>
        <row r="67">
          <cell r="AW67">
            <v>3.1218636584335515</v>
          </cell>
        </row>
        <row r="68">
          <cell r="AW68" t="str">
            <v>Heavily undervalued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5.79</v>
          </cell>
          <cell r="E3">
            <v>45817</v>
          </cell>
          <cell r="G3">
            <v>45785</v>
          </cell>
        </row>
        <row r="5">
          <cell r="D5">
            <v>54.426000000000002</v>
          </cell>
        </row>
        <row r="8">
          <cell r="D8">
            <v>20</v>
          </cell>
        </row>
        <row r="9">
          <cell r="D9">
            <v>34.426000000000002</v>
          </cell>
        </row>
      </sheetData>
      <sheetData sheetId="1">
        <row r="3">
          <cell r="AA3">
            <v>12.3</v>
          </cell>
        </row>
        <row r="12">
          <cell r="AC12">
            <v>-0.29201399999999977</v>
          </cell>
          <cell r="AD12">
            <v>-2.4455999999972722E-4</v>
          </cell>
          <cell r="AE12">
            <v>0.24468274320000027</v>
          </cell>
          <cell r="AF12">
            <v>0.43762034426400065</v>
          </cell>
          <cell r="AG12">
            <v>0.63253625788728018</v>
          </cell>
          <cell r="AL12">
            <v>1.638868218616484</v>
          </cell>
        </row>
        <row r="16">
          <cell r="AA16">
            <v>-6.1068702290076216E-2</v>
          </cell>
          <cell r="AB16">
            <v>3.9837398373983701E-2</v>
          </cell>
        </row>
        <row r="18">
          <cell r="AO18">
            <v>0.13</v>
          </cell>
        </row>
        <row r="24">
          <cell r="AO24">
            <v>-0.54344337476902149</v>
          </cell>
        </row>
        <row r="25">
          <cell r="AO25" t="str">
            <v>Heavily overvalued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4.07</v>
          </cell>
          <cell r="E3">
            <v>45751</v>
          </cell>
          <cell r="G3">
            <v>45777</v>
          </cell>
        </row>
        <row r="5">
          <cell r="D5">
            <v>71.632000000000005</v>
          </cell>
        </row>
        <row r="8">
          <cell r="D8">
            <v>239</v>
          </cell>
        </row>
        <row r="9">
          <cell r="D9">
            <v>-167.36799999999999</v>
          </cell>
        </row>
      </sheetData>
      <sheetData sheetId="1">
        <row r="3">
          <cell r="AI3">
            <v>95.5</v>
          </cell>
        </row>
        <row r="14">
          <cell r="AI14">
            <v>-93.9</v>
          </cell>
          <cell r="AJ14">
            <v>-59.968500000000006</v>
          </cell>
          <cell r="AK14">
            <v>-42.065130000000011</v>
          </cell>
          <cell r="AL14">
            <v>-29.314150250000012</v>
          </cell>
          <cell r="AM14">
            <v>-18.632540500000005</v>
          </cell>
          <cell r="AS14">
            <v>0.69729380650535155</v>
          </cell>
        </row>
        <row r="18">
          <cell r="AH18">
            <v>-0.43604004449388212</v>
          </cell>
          <cell r="AI18">
            <v>-0.37212360289283364</v>
          </cell>
        </row>
        <row r="21">
          <cell r="AW21">
            <v>0.12</v>
          </cell>
        </row>
        <row r="27">
          <cell r="AW27">
            <v>-0.52302112324583339</v>
          </cell>
        </row>
        <row r="28">
          <cell r="AW28" t="str">
            <v>Heavily overvalued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SNAP.xlsx" TargetMode="External"/><Relationship Id="rId18" Type="http://schemas.openxmlformats.org/officeDocument/2006/relationships/hyperlink" Target="RBLX.xlsx" TargetMode="External"/><Relationship Id="rId26" Type="http://schemas.openxmlformats.org/officeDocument/2006/relationships/hyperlink" Target="LOGI.xlsx" TargetMode="External"/><Relationship Id="rId39" Type="http://schemas.openxmlformats.org/officeDocument/2006/relationships/hyperlink" Target="FCEL.xlsx" TargetMode="External"/><Relationship Id="rId21" Type="http://schemas.openxmlformats.org/officeDocument/2006/relationships/hyperlink" Target="ZM.xlsx" TargetMode="External"/><Relationship Id="rId34" Type="http://schemas.openxmlformats.org/officeDocument/2006/relationships/hyperlink" Target="WISE.xlsx" TargetMode="External"/><Relationship Id="rId42" Type="http://schemas.openxmlformats.org/officeDocument/2006/relationships/hyperlink" Target="CHGG.xlsx" TargetMode="External"/><Relationship Id="rId47" Type="http://schemas.openxmlformats.org/officeDocument/2006/relationships/hyperlink" Target="KOSS.xlsx" TargetMode="External"/><Relationship Id="rId50" Type="http://schemas.openxmlformats.org/officeDocument/2006/relationships/hyperlink" Target="SYM.xlsx" TargetMode="External"/><Relationship Id="rId55" Type="http://schemas.openxmlformats.org/officeDocument/2006/relationships/hyperlink" Target="FI.xlsx" TargetMode="External"/><Relationship Id="rId63" Type="http://schemas.openxmlformats.org/officeDocument/2006/relationships/hyperlink" Target="lif.xlsx" TargetMode="External"/><Relationship Id="rId7" Type="http://schemas.openxmlformats.org/officeDocument/2006/relationships/hyperlink" Target="ADBE.xlsx" TargetMode="External"/><Relationship Id="rId2" Type="http://schemas.openxmlformats.org/officeDocument/2006/relationships/hyperlink" Target="MSFT.xlsx" TargetMode="External"/><Relationship Id="rId16" Type="http://schemas.openxmlformats.org/officeDocument/2006/relationships/hyperlink" Target="SONO.xlsx" TargetMode="External"/><Relationship Id="rId29" Type="http://schemas.openxmlformats.org/officeDocument/2006/relationships/hyperlink" Target="NVDA.xlsx" TargetMode="External"/><Relationship Id="rId1" Type="http://schemas.openxmlformats.org/officeDocument/2006/relationships/hyperlink" Target="AAPL.xlsx" TargetMode="External"/><Relationship Id="rId6" Type="http://schemas.openxmlformats.org/officeDocument/2006/relationships/hyperlink" Target="005930.xlsx" TargetMode="External"/><Relationship Id="rId11" Type="http://schemas.openxmlformats.org/officeDocument/2006/relationships/hyperlink" Target="INSG.xlsx" TargetMode="External"/><Relationship Id="rId24" Type="http://schemas.openxmlformats.org/officeDocument/2006/relationships/hyperlink" Target="AMZN.xlsx" TargetMode="External"/><Relationship Id="rId32" Type="http://schemas.openxmlformats.org/officeDocument/2006/relationships/hyperlink" Target="V.xlsx" TargetMode="External"/><Relationship Id="rId37" Type="http://schemas.openxmlformats.org/officeDocument/2006/relationships/hyperlink" Target="STNE.xlsx" TargetMode="External"/><Relationship Id="rId40" Type="http://schemas.openxmlformats.org/officeDocument/2006/relationships/hyperlink" Target="AXP.xlsx" TargetMode="External"/><Relationship Id="rId45" Type="http://schemas.openxmlformats.org/officeDocument/2006/relationships/hyperlink" Target="XRX.xlsx" TargetMode="External"/><Relationship Id="rId53" Type="http://schemas.openxmlformats.org/officeDocument/2006/relationships/hyperlink" Target="DUOL.xlsx" TargetMode="External"/><Relationship Id="rId58" Type="http://schemas.openxmlformats.org/officeDocument/2006/relationships/hyperlink" Target="AMBQ.xlsx" TargetMode="External"/><Relationship Id="rId66" Type="http://schemas.openxmlformats.org/officeDocument/2006/relationships/hyperlink" Target="rgti%20(3).xlsx" TargetMode="External"/><Relationship Id="rId5" Type="http://schemas.openxmlformats.org/officeDocument/2006/relationships/hyperlink" Target="0700.xlsx" TargetMode="External"/><Relationship Id="rId15" Type="http://schemas.openxmlformats.org/officeDocument/2006/relationships/hyperlink" Target="ROKU.xlsx" TargetMode="External"/><Relationship Id="rId23" Type="http://schemas.openxmlformats.org/officeDocument/2006/relationships/hyperlink" Target="COIN.xlsx" TargetMode="External"/><Relationship Id="rId28" Type="http://schemas.openxmlformats.org/officeDocument/2006/relationships/hyperlink" Target="RDZN.xlsx" TargetMode="External"/><Relationship Id="rId36" Type="http://schemas.openxmlformats.org/officeDocument/2006/relationships/hyperlink" Target="SPOT.xlsx" TargetMode="External"/><Relationship Id="rId49" Type="http://schemas.openxmlformats.org/officeDocument/2006/relationships/hyperlink" Target="IONQ.xlsx" TargetMode="External"/><Relationship Id="rId57" Type="http://schemas.openxmlformats.org/officeDocument/2006/relationships/hyperlink" Target="FOUR.xlsx" TargetMode="External"/><Relationship Id="rId61" Type="http://schemas.openxmlformats.org/officeDocument/2006/relationships/hyperlink" Target="FVRR.xlsx" TargetMode="External"/><Relationship Id="rId10" Type="http://schemas.openxmlformats.org/officeDocument/2006/relationships/hyperlink" Target="EPAM.xlsx" TargetMode="External"/><Relationship Id="rId19" Type="http://schemas.openxmlformats.org/officeDocument/2006/relationships/hyperlink" Target="ATAR.xlsx" TargetMode="External"/><Relationship Id="rId31" Type="http://schemas.openxmlformats.org/officeDocument/2006/relationships/hyperlink" Target="GPN.xlsx" TargetMode="External"/><Relationship Id="rId44" Type="http://schemas.openxmlformats.org/officeDocument/2006/relationships/hyperlink" Target="PAGS.xlsx" TargetMode="External"/><Relationship Id="rId52" Type="http://schemas.openxmlformats.org/officeDocument/2006/relationships/hyperlink" Target="GAMB.xlsx" TargetMode="External"/><Relationship Id="rId60" Type="http://schemas.openxmlformats.org/officeDocument/2006/relationships/hyperlink" Target="AMD.xlsx" TargetMode="External"/><Relationship Id="rId65" Type="http://schemas.openxmlformats.org/officeDocument/2006/relationships/hyperlink" Target="band.xlsx" TargetMode="External"/><Relationship Id="rId4" Type="http://schemas.openxmlformats.org/officeDocument/2006/relationships/hyperlink" Target="GOOG.xlsx" TargetMode="External"/><Relationship Id="rId9" Type="http://schemas.openxmlformats.org/officeDocument/2006/relationships/hyperlink" Target="GME.xlsx" TargetMode="External"/><Relationship Id="rId14" Type="http://schemas.openxmlformats.org/officeDocument/2006/relationships/hyperlink" Target="TSLA.xlsx" TargetMode="External"/><Relationship Id="rId22" Type="http://schemas.openxmlformats.org/officeDocument/2006/relationships/hyperlink" Target="CRSR.xlsx" TargetMode="External"/><Relationship Id="rId27" Type="http://schemas.openxmlformats.org/officeDocument/2006/relationships/hyperlink" Target="PSFE.xlsx" TargetMode="External"/><Relationship Id="rId30" Type="http://schemas.openxmlformats.org/officeDocument/2006/relationships/hyperlink" Target="PYPL.xlsx" TargetMode="External"/><Relationship Id="rId35" Type="http://schemas.openxmlformats.org/officeDocument/2006/relationships/hyperlink" Target="RDDT.xlsx" TargetMode="External"/><Relationship Id="rId43" Type="http://schemas.openxmlformats.org/officeDocument/2006/relationships/hyperlink" Target="PLUG.xlsx" TargetMode="External"/><Relationship Id="rId48" Type="http://schemas.openxmlformats.org/officeDocument/2006/relationships/hyperlink" Target="INTC.xlsx" TargetMode="External"/><Relationship Id="rId56" Type="http://schemas.openxmlformats.org/officeDocument/2006/relationships/hyperlink" Target="LRN.xlsx" TargetMode="External"/><Relationship Id="rId64" Type="http://schemas.openxmlformats.org/officeDocument/2006/relationships/hyperlink" Target="orcl.xlsx" TargetMode="External"/><Relationship Id="rId8" Type="http://schemas.openxmlformats.org/officeDocument/2006/relationships/hyperlink" Target="CRM.xlsx" TargetMode="External"/><Relationship Id="rId51" Type="http://schemas.openxmlformats.org/officeDocument/2006/relationships/hyperlink" Target="NVMI.xlsx" TargetMode="External"/><Relationship Id="rId3" Type="http://schemas.openxmlformats.org/officeDocument/2006/relationships/hyperlink" Target="FB.xlsx" TargetMode="External"/><Relationship Id="rId12" Type="http://schemas.openxmlformats.org/officeDocument/2006/relationships/hyperlink" Target="NFLX.xlsx" TargetMode="External"/><Relationship Id="rId17" Type="http://schemas.openxmlformats.org/officeDocument/2006/relationships/hyperlink" Target="PLTR.xlsx" TargetMode="External"/><Relationship Id="rId25" Type="http://schemas.openxmlformats.org/officeDocument/2006/relationships/hyperlink" Target="SKLZ.xlsx" TargetMode="External"/><Relationship Id="rId33" Type="http://schemas.openxmlformats.org/officeDocument/2006/relationships/hyperlink" Target="MA.xlsx" TargetMode="External"/><Relationship Id="rId38" Type="http://schemas.openxmlformats.org/officeDocument/2006/relationships/hyperlink" Target="SOFI.xlsx" TargetMode="External"/><Relationship Id="rId46" Type="http://schemas.openxmlformats.org/officeDocument/2006/relationships/hyperlink" Target="ARQQ.xlsx" TargetMode="External"/><Relationship Id="rId59" Type="http://schemas.openxmlformats.org/officeDocument/2006/relationships/hyperlink" Target="ttwo.xlsx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SNOW.xlsx" TargetMode="External"/><Relationship Id="rId41" Type="http://schemas.openxmlformats.org/officeDocument/2006/relationships/hyperlink" Target="OPRA.xlsx" TargetMode="External"/><Relationship Id="rId54" Type="http://schemas.openxmlformats.org/officeDocument/2006/relationships/hyperlink" Target="XYZ.xlsx" TargetMode="External"/><Relationship Id="rId62" Type="http://schemas.openxmlformats.org/officeDocument/2006/relationships/hyperlink" Target="cour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SNOW.xlsx" TargetMode="External"/><Relationship Id="rId2" Type="http://schemas.openxmlformats.org/officeDocument/2006/relationships/hyperlink" Target="PLTR.xlsx" TargetMode="External"/><Relationship Id="rId1" Type="http://schemas.openxmlformats.org/officeDocument/2006/relationships/hyperlink" Target="orcl.xls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CRM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52DE-9CAD-4B68-A904-3CD5A32D5038}">
  <sheetPr codeName="Sheet1"/>
  <dimension ref="B1:AG89"/>
  <sheetViews>
    <sheetView tabSelected="1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U5" sqref="U5"/>
    </sheetView>
  </sheetViews>
  <sheetFormatPr defaultRowHeight="14.4" x14ac:dyDescent="0.3"/>
  <cols>
    <col min="2" max="2" width="19.77734375" bestFit="1" customWidth="1"/>
    <col min="3" max="3" width="9.33203125" style="7" bestFit="1" customWidth="1"/>
    <col min="4" max="4" width="10.77734375" style="12" bestFit="1" customWidth="1"/>
    <col min="5" max="6" width="8.88671875" style="8"/>
    <col min="7" max="7" width="8.88671875" style="8" customWidth="1"/>
    <col min="8" max="18" width="8.88671875" style="7"/>
    <col min="19" max="19" width="9.109375" style="10" bestFit="1" customWidth="1"/>
    <col min="20" max="20" width="8.88671875" style="10"/>
    <col min="21" max="25" width="10" style="7" customWidth="1"/>
    <col min="26" max="27" width="8.88671875" style="7"/>
    <col min="28" max="28" width="18.44140625" style="7" bestFit="1" customWidth="1"/>
    <col min="29" max="29" width="18.77734375" style="7" bestFit="1" customWidth="1"/>
    <col min="30" max="30" width="8.88671875" style="7"/>
    <col min="32" max="32" width="11.77734375" style="7" bestFit="1" customWidth="1"/>
    <col min="33" max="33" width="12.44140625" style="7" bestFit="1" customWidth="1"/>
  </cols>
  <sheetData>
    <row r="1" spans="2:33" x14ac:dyDescent="0.3">
      <c r="D1" s="7"/>
      <c r="AF1"/>
      <c r="AG1"/>
    </row>
    <row r="2" spans="2:33" x14ac:dyDescent="0.3">
      <c r="B2" s="1" t="s">
        <v>0</v>
      </c>
      <c r="C2" s="2" t="s">
        <v>1</v>
      </c>
      <c r="D2" s="2" t="s">
        <v>2</v>
      </c>
      <c r="E2" s="16" t="s">
        <v>3</v>
      </c>
      <c r="F2" s="16" t="s">
        <v>4</v>
      </c>
      <c r="G2" s="16" t="s">
        <v>5</v>
      </c>
      <c r="H2" s="2" t="s">
        <v>6</v>
      </c>
      <c r="I2" s="2" t="s">
        <v>56</v>
      </c>
      <c r="J2" s="2" t="s">
        <v>123</v>
      </c>
      <c r="K2" s="2" t="s">
        <v>124</v>
      </c>
      <c r="L2" s="2" t="s">
        <v>125</v>
      </c>
      <c r="M2" s="2" t="s">
        <v>7</v>
      </c>
      <c r="N2" s="2" t="s">
        <v>8</v>
      </c>
      <c r="O2" s="2" t="s">
        <v>127</v>
      </c>
      <c r="P2" s="2" t="s">
        <v>128</v>
      </c>
      <c r="Q2" s="2" t="s">
        <v>129</v>
      </c>
      <c r="R2" s="2" t="s">
        <v>166</v>
      </c>
      <c r="S2" s="23" t="s">
        <v>198</v>
      </c>
      <c r="T2" s="23" t="s">
        <v>199</v>
      </c>
      <c r="U2" s="2" t="s">
        <v>126</v>
      </c>
      <c r="V2" s="2" t="s">
        <v>176</v>
      </c>
      <c r="W2" s="2" t="s">
        <v>202</v>
      </c>
      <c r="X2" s="2" t="s">
        <v>203</v>
      </c>
      <c r="Y2" s="2" t="s">
        <v>213</v>
      </c>
      <c r="Z2" s="2" t="s">
        <v>9</v>
      </c>
      <c r="AA2" s="2" t="s">
        <v>58</v>
      </c>
      <c r="AB2" s="2" t="s">
        <v>57</v>
      </c>
      <c r="AC2" s="2" t="s">
        <v>10</v>
      </c>
      <c r="AD2" s="2" t="s">
        <v>51</v>
      </c>
      <c r="AE2" s="2"/>
      <c r="AF2" s="2" t="s">
        <v>78</v>
      </c>
      <c r="AG2" s="2" t="s">
        <v>81</v>
      </c>
    </row>
    <row r="3" spans="2:33" x14ac:dyDescent="0.3">
      <c r="B3" s="3" t="s">
        <v>11</v>
      </c>
      <c r="C3" s="2"/>
      <c r="D3" s="2"/>
      <c r="E3" s="16"/>
      <c r="F3" s="16"/>
      <c r="G3" s="16"/>
      <c r="H3" s="2"/>
      <c r="I3" s="2"/>
      <c r="J3" s="2"/>
      <c r="K3" s="2"/>
      <c r="L3" s="2"/>
      <c r="M3" s="4">
        <f t="shared" ref="M3:R3" si="0">TRIMMEAN(M4:M1048576,80%)</f>
        <v>23.960609126122662</v>
      </c>
      <c r="N3" s="4">
        <f t="shared" si="0"/>
        <v>26.488441906764592</v>
      </c>
      <c r="O3" s="4">
        <f t="shared" si="0"/>
        <v>22.205099462953534</v>
      </c>
      <c r="P3" s="4">
        <f t="shared" si="0"/>
        <v>18.578124504519035</v>
      </c>
      <c r="Q3" s="4">
        <f t="shared" si="0"/>
        <v>16.60650484456453</v>
      </c>
      <c r="R3" s="4">
        <f t="shared" si="0"/>
        <v>13.478732307251844</v>
      </c>
      <c r="S3" s="21"/>
      <c r="T3" s="27">
        <f t="shared" ref="T3:AA3" si="1">TRIMMEAN(T4:T1048576,80%)</f>
        <v>3.4743711614160868</v>
      </c>
      <c r="U3" s="5">
        <f t="shared" si="1"/>
        <v>0.11475053700855789</v>
      </c>
      <c r="V3" s="5">
        <f t="shared" si="1"/>
        <v>0.11956676069680722</v>
      </c>
      <c r="W3" s="5">
        <f t="shared" si="1"/>
        <v>0.55469599517398416</v>
      </c>
      <c r="X3" s="5">
        <f t="shared" si="1"/>
        <v>0.13213453123031985</v>
      </c>
      <c r="Y3" s="5">
        <f t="shared" si="1"/>
        <v>0.12796172808651324</v>
      </c>
      <c r="Z3" s="5">
        <f t="shared" si="1"/>
        <v>8.357142857142856E-2</v>
      </c>
      <c r="AA3" s="5">
        <f t="shared" si="1"/>
        <v>-0.170797740993226</v>
      </c>
      <c r="AB3" s="14" t="str">
        <f>INDEX(AB4:AB67,MODE(MATCH(AB4:AB67,AB4:AB67,0)))</f>
        <v>Fairly valued</v>
      </c>
      <c r="AC3" s="2"/>
      <c r="AD3" s="2"/>
    </row>
    <row r="4" spans="2:33" x14ac:dyDescent="0.3">
      <c r="B4" s="24" t="s">
        <v>19</v>
      </c>
      <c r="C4" s="7" t="s">
        <v>30</v>
      </c>
      <c r="D4" s="12">
        <f>[1]Main!$D$3</f>
        <v>189.61</v>
      </c>
      <c r="E4" s="8">
        <f>[1]Main!$D$5</f>
        <v>4612642.4700000007</v>
      </c>
      <c r="F4" s="8">
        <f>[1]Main!$D$8</f>
        <v>52141</v>
      </c>
      <c r="G4" s="8">
        <f t="shared" ref="G4:G9" si="2">E4-F4</f>
        <v>4560501.4700000007</v>
      </c>
      <c r="H4" s="8">
        <f>[1]Model!X$14</f>
        <v>72880</v>
      </c>
      <c r="I4" s="8">
        <f>[1]Model!Y$14</f>
        <v>114112.797815</v>
      </c>
      <c r="J4" s="8">
        <f>[1]Model!Z$14</f>
        <v>154952.37660385002</v>
      </c>
      <c r="K4" s="8">
        <f>[1]Model!AA$14</f>
        <v>183131.45684854302</v>
      </c>
      <c r="L4" s="8">
        <f>[1]Model!AB$14</f>
        <v>199705.82226125192</v>
      </c>
      <c r="M4" s="9">
        <f t="shared" ref="M4:Q10" si="3">$G4/H4</f>
        <v>62.575486690450063</v>
      </c>
      <c r="N4" s="9">
        <f t="shared" si="3"/>
        <v>39.96485545287829</v>
      </c>
      <c r="O4" s="9">
        <f t="shared" si="3"/>
        <v>29.431632931060758</v>
      </c>
      <c r="P4" s="9">
        <f t="shared" si="3"/>
        <v>24.902884236713721</v>
      </c>
      <c r="Q4" s="9">
        <f t="shared" si="3"/>
        <v>22.83609670645469</v>
      </c>
      <c r="R4" s="9">
        <f>G4/[1]Model!$AE$14</f>
        <v>19.631782119349168</v>
      </c>
      <c r="S4" s="10">
        <f>[1]Model!$Y$3</f>
        <v>212707.15</v>
      </c>
      <c r="T4" s="31">
        <f t="shared" ref="T4:T10" si="4">G4/S4</f>
        <v>21.440282895991039</v>
      </c>
      <c r="U4" s="11">
        <f>[1]Model!W$18</f>
        <v>1.2585452658115224</v>
      </c>
      <c r="V4" s="11">
        <f>[1]Model!X$18</f>
        <v>1.1420340763599355</v>
      </c>
      <c r="W4" s="11">
        <f>[1]Model!$Y$19</f>
        <v>0.71388361886283558</v>
      </c>
      <c r="X4" s="11">
        <f>[1]Model!$Y$22</f>
        <v>0.60587309147811907</v>
      </c>
      <c r="Y4" s="11">
        <f>[1]Model!$Y$24</f>
        <v>0.53647842968607307</v>
      </c>
      <c r="Z4" s="11">
        <f>[1]Model!$AL$20</f>
        <v>0.05</v>
      </c>
      <c r="AA4" s="11">
        <f>[1]Model!$AL$26</f>
        <v>-9.1340350589903863E-2</v>
      </c>
      <c r="AB4" s="7" t="str">
        <f>[1]Model!$AL$27</f>
        <v>Fairly valued</v>
      </c>
      <c r="AC4" s="7" t="s">
        <v>65</v>
      </c>
      <c r="AD4" s="7">
        <v>1993</v>
      </c>
      <c r="AF4" s="17">
        <f>[1]Main!$E$3</f>
        <v>46052</v>
      </c>
      <c r="AG4" s="17">
        <f>[1]Main!$G$3</f>
        <v>46065</v>
      </c>
    </row>
    <row r="5" spans="2:33" x14ac:dyDescent="0.3">
      <c r="B5" s="24" t="s">
        <v>15</v>
      </c>
      <c r="C5" s="7" t="s">
        <v>27</v>
      </c>
      <c r="D5" s="12">
        <f>[2]Main!$D$3</f>
        <v>329.3</v>
      </c>
      <c r="E5" s="8">
        <f>[2]Main!$D$5</f>
        <v>3983542.1</v>
      </c>
      <c r="F5" s="8">
        <f>[2]Main!$D$8</f>
        <v>148983</v>
      </c>
      <c r="G5" s="8">
        <f t="shared" si="2"/>
        <v>3834559.1</v>
      </c>
      <c r="H5" s="8">
        <f>[2]Model!AY20</f>
        <v>100118</v>
      </c>
      <c r="I5" s="8">
        <f>[2]Model!AZ20</f>
        <v>132170</v>
      </c>
      <c r="J5" s="8">
        <f>[2]Model!BA20</f>
        <v>127488.96644400001</v>
      </c>
      <c r="K5" s="8">
        <f>[2]Model!BB20</f>
        <v>138488.30639616001</v>
      </c>
      <c r="L5" s="8">
        <f>[2]Model!BC20</f>
        <v>147030.18977804639</v>
      </c>
      <c r="M5" s="9">
        <f t="shared" si="3"/>
        <v>38.30039653209213</v>
      </c>
      <c r="N5" s="9">
        <f t="shared" si="3"/>
        <v>29.012325792539912</v>
      </c>
      <c r="O5" s="9">
        <f t="shared" si="3"/>
        <v>30.077576177420376</v>
      </c>
      <c r="P5" s="9">
        <f t="shared" si="3"/>
        <v>27.688685057862216</v>
      </c>
      <c r="Q5" s="9">
        <f t="shared" si="3"/>
        <v>26.080079919563239</v>
      </c>
      <c r="R5" s="9">
        <f>G5/[2]Model!$BJ$20</f>
        <v>21.960660189667838</v>
      </c>
      <c r="S5" s="10">
        <f>[2]Model!$AZ$10</f>
        <v>402836</v>
      </c>
      <c r="T5" s="31">
        <f t="shared" si="4"/>
        <v>9.5189086874062898</v>
      </c>
      <c r="U5" s="11">
        <f>[2]Model!AX$30</f>
        <v>8.6827702272695095E-2</v>
      </c>
      <c r="V5" s="11">
        <f>[2]Model!AY$30</f>
        <v>0.13866243322901561</v>
      </c>
      <c r="W5" s="11">
        <f>[2]Model!$AZ$31</f>
        <v>0.59652315086039975</v>
      </c>
      <c r="X5" s="11">
        <f>[2]Model!$AZ$32</f>
        <v>0.32032638592380025</v>
      </c>
      <c r="Y5" s="11">
        <f>[2]Model!$AZ$37</f>
        <v>0.32809877965226542</v>
      </c>
      <c r="Z5" s="11">
        <f>[2]Model!$BM$33</f>
        <v>0.05</v>
      </c>
      <c r="AA5" s="11">
        <f>[2]Model!$BM$39</f>
        <v>-0.2173697345984017</v>
      </c>
      <c r="AB5" s="11" t="str">
        <f>[2]Model!$BM$40</f>
        <v>Slightly overvalued</v>
      </c>
      <c r="AC5" s="7" t="s">
        <v>54</v>
      </c>
      <c r="AD5" s="7">
        <v>1998</v>
      </c>
      <c r="AF5" s="17">
        <f>[2]Main!$E$3</f>
        <v>46059</v>
      </c>
      <c r="AG5" s="17">
        <f>[2]Main!$G$3</f>
        <v>46140</v>
      </c>
    </row>
    <row r="6" spans="2:33" x14ac:dyDescent="0.3">
      <c r="B6" s="6" t="s">
        <v>12</v>
      </c>
      <c r="C6" s="7" t="s">
        <v>13</v>
      </c>
      <c r="D6" s="12">
        <f>[3]Main!$D$3</f>
        <v>256.72000000000003</v>
      </c>
      <c r="E6" s="8">
        <f>[3]Main!$D$5</f>
        <v>3786157.9040000006</v>
      </c>
      <c r="F6" s="8">
        <f>[3]Main!$D$8</f>
        <v>54286</v>
      </c>
      <c r="G6" s="8">
        <f t="shared" si="2"/>
        <v>3731871.9040000006</v>
      </c>
      <c r="H6" s="8">
        <f>[3]Model!BG17</f>
        <v>93736</v>
      </c>
      <c r="I6" s="8">
        <f>[3]Model!BH17</f>
        <v>112010</v>
      </c>
      <c r="J6" s="8">
        <f>[3]Model!BI17</f>
        <v>115291.89882000003</v>
      </c>
      <c r="K6" s="8">
        <f>[3]Model!BJ17</f>
        <v>120694.74612375603</v>
      </c>
      <c r="L6" s="8">
        <f>[3]Model!BK17</f>
        <v>124982.00602547626</v>
      </c>
      <c r="M6" s="9">
        <f t="shared" si="3"/>
        <v>39.812578987795519</v>
      </c>
      <c r="N6" s="9">
        <f t="shared" si="3"/>
        <v>33.317310097312742</v>
      </c>
      <c r="O6" s="9">
        <f t="shared" si="3"/>
        <v>32.368899655529148</v>
      </c>
      <c r="P6" s="9">
        <f t="shared" si="3"/>
        <v>30.919920078157119</v>
      </c>
      <c r="Q6" s="9">
        <f t="shared" si="3"/>
        <v>29.859273528057294</v>
      </c>
      <c r="R6" s="9">
        <f>G6/[3]Model!$BR$17</f>
        <v>25.535503790056108</v>
      </c>
      <c r="S6" s="10">
        <f>[3]Model!$BH$5</f>
        <v>416161</v>
      </c>
      <c r="T6" s="31">
        <f t="shared" si="4"/>
        <v>8.9673753763567472</v>
      </c>
      <c r="U6" s="11">
        <f>[3]Model!BF$31</f>
        <v>-2.800460530319937E-2</v>
      </c>
      <c r="V6" s="11">
        <f>[3]Model!BG$31</f>
        <v>2.021994077514111E-2</v>
      </c>
      <c r="W6" s="11">
        <f>[3]Model!$BH$23</f>
        <v>0.46905164107160452</v>
      </c>
      <c r="X6" s="11">
        <f>[3]Model!$BH$26</f>
        <v>0.31970799762591884</v>
      </c>
      <c r="Y6" s="11">
        <f>[3]Model!$BH$27</f>
        <v>0.26915064121818238</v>
      </c>
      <c r="Z6" s="11">
        <f>[3]Model!$BU$31</f>
        <v>0.05</v>
      </c>
      <c r="AA6" s="11">
        <f>[3]Model!$BU$37</f>
        <v>-0.28936868477099509</v>
      </c>
      <c r="AB6" s="11" t="str">
        <f>[3]Model!$BU$38</f>
        <v>Slightly overvalued</v>
      </c>
      <c r="AC6" s="8" t="s">
        <v>52</v>
      </c>
      <c r="AD6" s="7">
        <v>1976</v>
      </c>
      <c r="AF6" s="17">
        <f>[3]Main!$E$3</f>
        <v>46052</v>
      </c>
      <c r="AG6" s="17">
        <f>[3]Main!$G$3</f>
        <v>46142</v>
      </c>
    </row>
    <row r="7" spans="2:33" x14ac:dyDescent="0.3">
      <c r="B7" s="6" t="s">
        <v>14</v>
      </c>
      <c r="C7" s="7" t="s">
        <v>26</v>
      </c>
      <c r="D7" s="12">
        <f>[4]Main!$D$3</f>
        <v>432.76</v>
      </c>
      <c r="E7" s="8">
        <f>[4]Main!$D$5</f>
        <v>3213502.656</v>
      </c>
      <c r="F7" s="8">
        <f>[4]Main!$D$8</f>
        <v>66819</v>
      </c>
      <c r="G7" s="8">
        <f t="shared" si="2"/>
        <v>3146683.656</v>
      </c>
      <c r="H7" s="8">
        <f>[4]Model!AZ17</f>
        <v>88488</v>
      </c>
      <c r="I7" s="8">
        <f>[4]Model!BA17</f>
        <v>101832</v>
      </c>
      <c r="J7" s="8">
        <f>[4]Model!BB17</f>
        <v>118361.70408599997</v>
      </c>
      <c r="K7" s="8">
        <f>[4]Model!BC17</f>
        <v>129829.30230383998</v>
      </c>
      <c r="L7" s="8">
        <f>[4]Model!BD17</f>
        <v>137979.54365498642</v>
      </c>
      <c r="M7" s="9">
        <f t="shared" si="3"/>
        <v>35.56056929753187</v>
      </c>
      <c r="N7" s="9">
        <f t="shared" si="3"/>
        <v>30.900735093094507</v>
      </c>
      <c r="O7" s="9">
        <f t="shared" si="3"/>
        <v>26.585318961897197</v>
      </c>
      <c r="P7" s="9">
        <f t="shared" si="3"/>
        <v>24.237083617963261</v>
      </c>
      <c r="Q7" s="9">
        <f t="shared" si="3"/>
        <v>22.805436028025902</v>
      </c>
      <c r="R7" s="9">
        <f>G7/[4]Model!$BK$17</f>
        <v>18.39440364408269</v>
      </c>
      <c r="S7" s="10">
        <f>[4]Model!$BA$5</f>
        <v>281724</v>
      </c>
      <c r="T7" s="31">
        <f t="shared" si="4"/>
        <v>11.169384418792861</v>
      </c>
      <c r="U7" s="11">
        <f>[4]Model!AY$23</f>
        <v>6.8820295556564215E-2</v>
      </c>
      <c r="V7" s="11">
        <f>[4]Model!AZ$23</f>
        <v>0.13149611872684797</v>
      </c>
      <c r="W7" s="11">
        <f>[4]Model!$BA$26</f>
        <v>0.68823742386165188</v>
      </c>
      <c r="X7" s="11">
        <f>[4]Model!$BA$27</f>
        <v>0.45621956240859851</v>
      </c>
      <c r="Y7" s="11">
        <f>[4]Model!$BA$31</f>
        <v>0.17629644009803683</v>
      </c>
      <c r="Z7" s="11">
        <f>[4]Model!$BN$22</f>
        <v>0.05</v>
      </c>
      <c r="AA7" s="11">
        <f>[4]Model!$BN$28</f>
        <v>-8.4478119987007383E-2</v>
      </c>
      <c r="AB7" s="11" t="str">
        <f>[4]Model!$BN$29</f>
        <v>Fairly valued</v>
      </c>
      <c r="AC7" s="7" t="s">
        <v>53</v>
      </c>
      <c r="AD7" s="7">
        <v>1975</v>
      </c>
      <c r="AF7" s="17">
        <f>[4]Main!$E$3</f>
        <v>46052</v>
      </c>
      <c r="AG7" s="17">
        <f>[4]Main!$G$3</f>
        <v>46140</v>
      </c>
    </row>
    <row r="8" spans="2:33" x14ac:dyDescent="0.3">
      <c r="B8" s="6" t="s">
        <v>95</v>
      </c>
      <c r="C8" s="7" t="s">
        <v>96</v>
      </c>
      <c r="D8" s="12">
        <f>[5]Main!$D$3</f>
        <v>205.61</v>
      </c>
      <c r="E8" s="8">
        <f>[5]Main!$D$5</f>
        <v>2169596.7200000002</v>
      </c>
      <c r="F8" s="8">
        <f>[5]Main!$D$8</f>
        <v>57381</v>
      </c>
      <c r="G8" s="8">
        <f t="shared" si="2"/>
        <v>2112215.7200000002</v>
      </c>
      <c r="H8" s="8">
        <f>[5]Model!BB21</f>
        <v>59248</v>
      </c>
      <c r="I8" s="8">
        <f>[5]Model!BC21</f>
        <v>77670</v>
      </c>
      <c r="J8" s="8">
        <f>[5]Model!BD21</f>
        <v>80955.05018400008</v>
      </c>
      <c r="K8" s="8">
        <f>[5]Model!BE21</f>
        <v>94085.269172423941</v>
      </c>
      <c r="L8" s="8">
        <f>[5]Model!BF21</f>
        <v>107230.59790818889</v>
      </c>
      <c r="M8" s="9">
        <f t="shared" si="3"/>
        <v>35.650413853632195</v>
      </c>
      <c r="N8" s="9">
        <f t="shared" si="3"/>
        <v>27.194743401570751</v>
      </c>
      <c r="O8" s="9">
        <f t="shared" si="3"/>
        <v>26.091216239125469</v>
      </c>
      <c r="P8" s="9">
        <f t="shared" si="3"/>
        <v>22.450015167933252</v>
      </c>
      <c r="Q8" s="9">
        <f t="shared" si="3"/>
        <v>19.697882518649056</v>
      </c>
      <c r="R8" s="9">
        <f>G8/[5]Model!$BM$21</f>
        <v>16.966043322224717</v>
      </c>
      <c r="S8" s="10">
        <f>[5]Model!$BC$5</f>
        <v>716924</v>
      </c>
      <c r="T8" s="31">
        <f t="shared" si="4"/>
        <v>2.9462198503607078</v>
      </c>
      <c r="U8" s="11">
        <f>[5]Model!BA$27</f>
        <v>0.1182957412988368</v>
      </c>
      <c r="V8" s="11">
        <f>[5]Model!BB$27</f>
        <v>0.1099089224666614</v>
      </c>
      <c r="W8" s="11">
        <f>[5]Model!$BC$28</f>
        <v>0.50285664868242663</v>
      </c>
      <c r="X8" s="11">
        <f>[5]Model!$BC$29</f>
        <v>0.11155296795755199</v>
      </c>
      <c r="Y8" s="11">
        <f>[5]Model!$BC$35</f>
        <v>0.10833784334183261</v>
      </c>
      <c r="Z8" s="11">
        <f>[5]Model!$BP$30</f>
        <v>0.05</v>
      </c>
      <c r="AA8" s="11">
        <f>[5]Model!$BP$36</f>
        <v>-3.8427079488032589E-3</v>
      </c>
      <c r="AB8" s="7" t="str">
        <f>[5]Model!$BP$37</f>
        <v>Fairly valued</v>
      </c>
      <c r="AC8" s="7" t="s">
        <v>97</v>
      </c>
      <c r="AD8" s="7">
        <v>1994</v>
      </c>
      <c r="AF8" s="17">
        <f>[5]Main!$E$3</f>
        <v>46059</v>
      </c>
      <c r="AG8" s="17">
        <f>[5]Main!$G$3</f>
        <v>46135</v>
      </c>
    </row>
    <row r="9" spans="2:33" x14ac:dyDescent="0.3">
      <c r="B9" s="6" t="s">
        <v>16</v>
      </c>
      <c r="C9" s="7" t="s">
        <v>108</v>
      </c>
      <c r="D9" s="12">
        <f>[6]Main!$D$3</f>
        <v>635.1</v>
      </c>
      <c r="E9" s="8">
        <f>[6]Main!$D$5</f>
        <v>1598546.7</v>
      </c>
      <c r="F9" s="8">
        <f>[6]Main!$D$8</f>
        <v>50372</v>
      </c>
      <c r="G9" s="8">
        <f t="shared" si="2"/>
        <v>1548174.7</v>
      </c>
      <c r="H9" s="8">
        <f>[6]Model!BF13</f>
        <v>60810</v>
      </c>
      <c r="I9" s="8">
        <f>[6]Model!BG13</f>
        <v>76388.299999999988</v>
      </c>
      <c r="J9" s="8">
        <f>[6]Model!BH13</f>
        <v>80797.503959999987</v>
      </c>
      <c r="K9" s="8">
        <f>[6]Model!BI13</f>
        <v>91756.726264895988</v>
      </c>
      <c r="L9" s="8">
        <f>[6]Model!BJ13</f>
        <v>97317.861632726141</v>
      </c>
      <c r="M9" s="9">
        <f t="shared" si="3"/>
        <v>25.459212300608453</v>
      </c>
      <c r="N9" s="9">
        <f t="shared" si="3"/>
        <v>20.267170496005281</v>
      </c>
      <c r="O9" s="9">
        <f t="shared" si="3"/>
        <v>19.161169889189239</v>
      </c>
      <c r="P9" s="9">
        <f t="shared" si="3"/>
        <v>16.872601748350476</v>
      </c>
      <c r="Q9" s="9">
        <f t="shared" si="3"/>
        <v>15.908433190227212</v>
      </c>
      <c r="R9" s="9">
        <f>G9/[6]Model!$BQ$13</f>
        <v>12.667814946290692</v>
      </c>
      <c r="S9" s="10">
        <f>[6]Model!$BG$3</f>
        <v>200965</v>
      </c>
      <c r="T9" s="31">
        <f t="shared" si="4"/>
        <v>7.7037031323862362</v>
      </c>
      <c r="U9" s="11">
        <f>[6]Model!BE$17</f>
        <v>0.15918153830321846</v>
      </c>
      <c r="V9" s="11">
        <f>[6]Model!BF$17</f>
        <v>0.21697701430040461</v>
      </c>
      <c r="W9" s="11">
        <f>[6]Model!$BG$18</f>
        <v>0.82</v>
      </c>
      <c r="X9" s="11">
        <f>[6]Model!$BG$19</f>
        <v>0.41438210633692429</v>
      </c>
      <c r="Y9" s="11">
        <f>[6]Model!$BG$24</f>
        <v>0.38010748140223416</v>
      </c>
      <c r="Z9" s="11">
        <f>[6]Model!$BT$19</f>
        <v>0.05</v>
      </c>
      <c r="AA9" s="11">
        <f>[6]Model!$BT$25</f>
        <v>0.31247735652916564</v>
      </c>
      <c r="AB9" s="11" t="str">
        <f>[6]Model!$BT$26</f>
        <v>Undervalued</v>
      </c>
      <c r="AC9" s="7" t="s">
        <v>54</v>
      </c>
      <c r="AD9" s="7">
        <v>2004</v>
      </c>
      <c r="AF9" s="17">
        <f>[6]Main!$E$3</f>
        <v>46070</v>
      </c>
      <c r="AG9" s="17">
        <f>[6]Main!$G$3</f>
        <v>46141</v>
      </c>
    </row>
    <row r="10" spans="2:33" x14ac:dyDescent="0.3">
      <c r="B10" s="24" t="s">
        <v>74</v>
      </c>
      <c r="C10" s="7" t="s">
        <v>75</v>
      </c>
      <c r="D10" s="12">
        <f>[7]Main!$D$3</f>
        <v>426.3</v>
      </c>
      <c r="E10" s="8">
        <f>[7]Main!$D$5</f>
        <v>1417788.54</v>
      </c>
      <c r="F10" s="8">
        <f>[7]Main!$D$8</f>
        <v>35683</v>
      </c>
      <c r="G10" s="8">
        <f>[7]Main!$D$9</f>
        <v>1382105.54</v>
      </c>
      <c r="H10" s="8">
        <f>[7]Model!AZ27</f>
        <v>-862</v>
      </c>
      <c r="I10" s="8">
        <f>[7]Model!BA27</f>
        <v>719</v>
      </c>
      <c r="J10" s="8">
        <f>[7]Model!BB27</f>
        <v>5519</v>
      </c>
      <c r="K10" s="8">
        <f>[7]Model!BC27</f>
        <v>12556</v>
      </c>
      <c r="L10" s="8">
        <f>[7]Model!BD27</f>
        <v>14997</v>
      </c>
      <c r="M10" s="9">
        <f t="shared" si="3"/>
        <v>-1603.3706960556844</v>
      </c>
      <c r="N10" s="9">
        <f t="shared" si="3"/>
        <v>1922.2608344923506</v>
      </c>
      <c r="O10" s="9">
        <f t="shared" si="3"/>
        <v>250.42680558072115</v>
      </c>
      <c r="P10" s="9">
        <f t="shared" si="3"/>
        <v>110.07530582988213</v>
      </c>
      <c r="Q10" s="9">
        <f t="shared" si="3"/>
        <v>92.158801093552043</v>
      </c>
      <c r="R10" s="9">
        <f>G10/[7]Model!$BP$27</f>
        <v>81.679764075013907</v>
      </c>
      <c r="S10" s="10">
        <f>[7]Model!$BF$9</f>
        <v>94827</v>
      </c>
      <c r="T10" s="31">
        <f t="shared" si="4"/>
        <v>14.575021249222269</v>
      </c>
      <c r="U10" s="11">
        <f>[7]Model!AY$36</f>
        <v>0.82516435758086049</v>
      </c>
      <c r="V10" s="11">
        <f>[7]Model!AZ$36</f>
        <v>0.14528823258046342</v>
      </c>
      <c r="W10" s="11">
        <f>[7]Model!$BF$42</f>
        <v>0.18026511436616155</v>
      </c>
      <c r="X10" s="11">
        <f>[7]Model!$BF$45</f>
        <v>4.5925738450019508E-2</v>
      </c>
      <c r="Y10" s="11">
        <f>[7]Model!$BF$48</f>
        <v>4.0009701878157063E-2</v>
      </c>
      <c r="Z10" s="11">
        <f>[7]Model!$BS$31</f>
        <v>0.05</v>
      </c>
      <c r="AA10" s="11">
        <f>[7]Model!$BS$37</f>
        <v>-0.79080930510483882</v>
      </c>
      <c r="AB10" s="7" t="str">
        <f>[7]Model!$BS$38</f>
        <v>Heavily overvalued</v>
      </c>
      <c r="AC10" s="7" t="s">
        <v>76</v>
      </c>
      <c r="AD10" s="7">
        <v>2003</v>
      </c>
      <c r="AF10" s="17">
        <f>[7]Main!$E$3</f>
        <v>46052</v>
      </c>
      <c r="AG10" s="17">
        <f>[7]Main!$G$3</f>
        <v>46140</v>
      </c>
    </row>
    <row r="11" spans="2:33" x14ac:dyDescent="0.3">
      <c r="B11" s="26" t="s">
        <v>17</v>
      </c>
      <c r="C11" s="7" t="s">
        <v>28</v>
      </c>
      <c r="D11" s="13">
        <f>[8]Main!$D$3</f>
        <v>600</v>
      </c>
      <c r="E11" s="8">
        <f>[8]Main!$D$5</f>
        <v>745508.97454445821</v>
      </c>
      <c r="F11" s="8">
        <f>[8]Main!$D$8</f>
        <v>74585.688974904275</v>
      </c>
      <c r="G11" s="8">
        <f>E11-F11</f>
        <v>670923.28556955396</v>
      </c>
      <c r="H11" s="8"/>
      <c r="I11" s="8"/>
      <c r="J11" s="8"/>
      <c r="K11" s="8"/>
      <c r="L11" s="8"/>
      <c r="M11" s="9"/>
      <c r="N11" s="9"/>
      <c r="O11" s="9"/>
      <c r="P11" s="9"/>
      <c r="Q11" s="9"/>
      <c r="R11" s="9"/>
      <c r="S11" s="28"/>
      <c r="T11" s="28"/>
      <c r="U11" s="11"/>
      <c r="V11" s="11"/>
      <c r="W11" s="32"/>
      <c r="X11" s="32"/>
      <c r="Y11" s="32"/>
      <c r="Z11" s="11">
        <v>0.05</v>
      </c>
      <c r="AA11" s="11">
        <f>[8]Model!$AI$45</f>
        <v>-5.3794479220261815E-2</v>
      </c>
      <c r="AB11" s="11" t="str">
        <f>[8]Model!$AI$46</f>
        <v>Fairly valued</v>
      </c>
      <c r="AC11" s="7" t="s">
        <v>54</v>
      </c>
      <c r="AD11" s="7">
        <v>1998</v>
      </c>
      <c r="AF11" s="17">
        <f>[8]Main!$E$3</f>
        <v>44323</v>
      </c>
      <c r="AG11" s="17">
        <f>[8]Main!$G$3</f>
        <v>44336</v>
      </c>
    </row>
    <row r="12" spans="2:33" x14ac:dyDescent="0.3">
      <c r="B12" s="6" t="s">
        <v>114</v>
      </c>
      <c r="C12" s="7" t="s">
        <v>116</v>
      </c>
      <c r="D12" s="12">
        <f>[9]Main!$D$3</f>
        <v>329.6</v>
      </c>
      <c r="E12" s="8">
        <f>[9]Main!$D$5</f>
        <v>598256.96</v>
      </c>
      <c r="F12" s="8">
        <f>[9]Main!$D$8</f>
        <v>-4296</v>
      </c>
      <c r="G12" s="8">
        <f>[9]Main!$D$9</f>
        <v>602552.96</v>
      </c>
      <c r="H12" s="8">
        <f>[9]Model!AC18</f>
        <v>19743</v>
      </c>
      <c r="I12" s="8">
        <f>[9]Model!AD18</f>
        <v>20058</v>
      </c>
      <c r="J12" s="8">
        <f>[9]Model!AE18</f>
        <v>25536.784399999997</v>
      </c>
      <c r="K12" s="8">
        <f>[9]Model!AF18</f>
        <v>28038.078615999995</v>
      </c>
      <c r="L12" s="8">
        <f>[9]Model!AG18</f>
        <v>29476.761880519993</v>
      </c>
      <c r="M12" s="9">
        <f t="shared" ref="M12:Q19" si="5">$G12/H12</f>
        <v>30.519827787063768</v>
      </c>
      <c r="N12" s="9">
        <f t="shared" si="5"/>
        <v>30.040530461661181</v>
      </c>
      <c r="O12" s="9">
        <f t="shared" si="5"/>
        <v>23.59549074628206</v>
      </c>
      <c r="P12" s="9">
        <f t="shared" si="5"/>
        <v>21.490522523043062</v>
      </c>
      <c r="Q12" s="9">
        <f t="shared" si="5"/>
        <v>20.441626608864489</v>
      </c>
      <c r="R12" s="9">
        <f>G12/[9]Model!$AN$18</f>
        <v>17.198233191913058</v>
      </c>
      <c r="S12" s="10">
        <f>[9]Model!$AD$3</f>
        <v>40000</v>
      </c>
      <c r="T12" s="31">
        <f t="shared" ref="T12:T19" si="6">G12/S12</f>
        <v>15.063823999999999</v>
      </c>
      <c r="U12" s="11">
        <f>[9]Model!AB$22</f>
        <v>0.11405663596042315</v>
      </c>
      <c r="V12" s="11">
        <f>[9]Model!AC$22</f>
        <v>0.10023581294214923</v>
      </c>
      <c r="W12" s="11">
        <f>[9]Model!$AD$23</f>
        <v>0.82597500000000001</v>
      </c>
      <c r="X12" s="11">
        <f>[9]Model!$AD$30</f>
        <v>0.59984999999999999</v>
      </c>
      <c r="Y12" s="11">
        <f>[9]Model!$AD$32</f>
        <v>0.50144999999999995</v>
      </c>
      <c r="Z12" s="11">
        <f>[9]Model!$AR$24</f>
        <v>0.06</v>
      </c>
      <c r="AA12" s="11">
        <f>[9]Model!$AR$30</f>
        <v>-0.16471862606060605</v>
      </c>
      <c r="AB12" s="7" t="str">
        <f>[9]Model!$AR$31</f>
        <v>Slightly overvalued</v>
      </c>
      <c r="AC12" s="7" t="s">
        <v>94</v>
      </c>
      <c r="AD12" s="7">
        <v>1958</v>
      </c>
      <c r="AF12" s="17">
        <f>[9]Main!$E$3</f>
        <v>46057</v>
      </c>
      <c r="AG12" s="17">
        <f>[9]Main!$G$3</f>
        <v>46140</v>
      </c>
    </row>
    <row r="13" spans="2:33" x14ac:dyDescent="0.3">
      <c r="B13" s="6" t="s">
        <v>207</v>
      </c>
      <c r="C13" s="7" t="s">
        <v>208</v>
      </c>
      <c r="D13" s="12">
        <f>[10]Main!$D$3</f>
        <v>169.01</v>
      </c>
      <c r="E13" s="8">
        <f>[10]Main!$D$5</f>
        <v>485582.63099999994</v>
      </c>
      <c r="F13" s="8">
        <f>[10]Main!$D$8</f>
        <v>-88309</v>
      </c>
      <c r="G13" s="8">
        <f>[10]Main!$D$9</f>
        <v>573891.63099999994</v>
      </c>
      <c r="H13" s="8">
        <f>[10]Model!R$25</f>
        <v>10467</v>
      </c>
      <c r="I13" s="8">
        <f>[10]Model!S$25</f>
        <v>12443</v>
      </c>
      <c r="J13" s="8">
        <f>[10]Model!T$25</f>
        <v>17211.973943760004</v>
      </c>
      <c r="K13" s="8">
        <f>[10]Model!U$25</f>
        <v>20717.451490595209</v>
      </c>
      <c r="L13" s="8">
        <f>[10]Model!V$25</f>
        <v>24047.528329881399</v>
      </c>
      <c r="M13" s="9">
        <f t="shared" si="5"/>
        <v>54.828664469284412</v>
      </c>
      <c r="N13" s="9">
        <f t="shared" si="5"/>
        <v>46.121645182030051</v>
      </c>
      <c r="O13" s="9">
        <f t="shared" si="5"/>
        <v>33.342580744962</v>
      </c>
      <c r="P13" s="9">
        <f t="shared" si="5"/>
        <v>27.700879679169077</v>
      </c>
      <c r="Q13" s="9">
        <f t="shared" si="5"/>
        <v>23.864890525438476</v>
      </c>
      <c r="R13" s="9">
        <f>G13/[10]Model!$AC$25</f>
        <v>17.142571095052645</v>
      </c>
      <c r="S13" s="10">
        <f>[10]Model!$S$7</f>
        <v>57399</v>
      </c>
      <c r="T13" s="31">
        <f t="shared" si="6"/>
        <v>9.998286224498683</v>
      </c>
      <c r="U13" s="11">
        <f>[10]Model!R$33</f>
        <v>6.0195379749369504E-2</v>
      </c>
      <c r="V13" s="11">
        <f>[10]Model!S$33</f>
        <v>8.3797511376295875E-2</v>
      </c>
      <c r="W13" s="11">
        <f>[10]Model!$S$37</f>
        <v>0.70509939197547</v>
      </c>
      <c r="X13" s="11">
        <f>[10]Model!$S$41</f>
        <v>0.30798445965957594</v>
      </c>
      <c r="Y13" s="11"/>
      <c r="Z13" s="11">
        <f>[10]Model!$AG$39</f>
        <v>0.06</v>
      </c>
      <c r="AA13" s="11">
        <f>[10]Model!$AG$45</f>
        <v>-0.23117816349492437</v>
      </c>
      <c r="AB13" s="11" t="str">
        <f>[10]Model!$AG$46</f>
        <v>Slightly overvalued</v>
      </c>
      <c r="AC13" s="7" t="s">
        <v>97</v>
      </c>
      <c r="AD13" s="7">
        <v>1977</v>
      </c>
      <c r="AF13" s="17">
        <f>[10]Main!$E$3</f>
        <v>46052</v>
      </c>
      <c r="AG13" s="17">
        <f>[10]Main!$G$3</f>
        <v>46090</v>
      </c>
    </row>
    <row r="14" spans="2:33" x14ac:dyDescent="0.3">
      <c r="B14" s="6" t="s">
        <v>115</v>
      </c>
      <c r="C14" s="7" t="s">
        <v>117</v>
      </c>
      <c r="D14" s="12">
        <f>[11]Main!$D$3</f>
        <v>550.99</v>
      </c>
      <c r="E14" s="8">
        <f>[11]Main!$D$5</f>
        <v>494238.03</v>
      </c>
      <c r="F14" s="8">
        <f>[11]Main!$D$8</f>
        <v>-8102</v>
      </c>
      <c r="G14" s="8">
        <f>[11]Main!$D$9</f>
        <v>502340.03</v>
      </c>
      <c r="H14" s="8">
        <f>[11]Model!AC17</f>
        <v>12874</v>
      </c>
      <c r="I14" s="8">
        <f>[11]Model!AD17</f>
        <v>14964</v>
      </c>
      <c r="J14" s="8">
        <f>[11]Model!AE17</f>
        <v>18190.962</v>
      </c>
      <c r="K14" s="8">
        <f>[11]Model!AF17</f>
        <v>20193.951387699999</v>
      </c>
      <c r="L14" s="8">
        <f>[11]Model!AG17</f>
        <v>21629.312711639002</v>
      </c>
      <c r="M14" s="9">
        <f t="shared" si="5"/>
        <v>39.019732018020818</v>
      </c>
      <c r="N14" s="9">
        <f t="shared" si="5"/>
        <v>33.569903100775193</v>
      </c>
      <c r="O14" s="9">
        <f t="shared" si="5"/>
        <v>27.614813883949626</v>
      </c>
      <c r="P14" s="9">
        <f t="shared" si="5"/>
        <v>24.875767023286585</v>
      </c>
      <c r="Q14" s="9">
        <f t="shared" si="5"/>
        <v>23.224964967550015</v>
      </c>
      <c r="R14" s="9">
        <f>G14/[11]Model!$AN$17</f>
        <v>18.29816962749852</v>
      </c>
      <c r="S14" s="10">
        <f>[11]Model!$AD$3</f>
        <v>32791</v>
      </c>
      <c r="T14" s="31">
        <f t="shared" si="6"/>
        <v>15.31944832423531</v>
      </c>
      <c r="U14" s="11">
        <f>[11]Model!AB$21</f>
        <v>0.1286594414714215</v>
      </c>
      <c r="V14" s="11">
        <f>[11]Model!AC$21</f>
        <v>0.12228065981353087</v>
      </c>
      <c r="W14" s="11">
        <f>[11]Model!$AD$22</f>
        <v>0.65484431703821167</v>
      </c>
      <c r="X14" s="11">
        <f>[11]Model!$AD$26</f>
        <v>0.57628617608490129</v>
      </c>
      <c r="Y14" s="11">
        <f>[11]Model!$AD$29</f>
        <v>0.45634472873654358</v>
      </c>
      <c r="Z14" s="11">
        <f>[11]Model!$AQ$24</f>
        <v>0.06</v>
      </c>
      <c r="AA14" s="11">
        <f>[11]Model!$AQ$30</f>
        <v>-0.2336807054899982</v>
      </c>
      <c r="AB14" s="7" t="str">
        <f>[11]Model!$AQ$31</f>
        <v>Slightly overvalued</v>
      </c>
      <c r="AC14" s="7" t="s">
        <v>94</v>
      </c>
      <c r="AD14" s="7">
        <v>1966</v>
      </c>
      <c r="AF14" s="17">
        <f>[11]Main!$E$3</f>
        <v>46057</v>
      </c>
      <c r="AG14" s="17">
        <f>[11]Main!$G$3</f>
        <v>46135</v>
      </c>
    </row>
    <row r="15" spans="2:33" x14ac:dyDescent="0.3">
      <c r="B15" s="24" t="s">
        <v>79</v>
      </c>
      <c r="C15" s="7" t="s">
        <v>80</v>
      </c>
      <c r="D15" s="12">
        <f>[12]Main!$D$3</f>
        <v>164.52</v>
      </c>
      <c r="E15" s="8">
        <f>[12]Main!$D$5</f>
        <v>391096.94400000002</v>
      </c>
      <c r="F15" s="8">
        <f>[12]Main!$D$8</f>
        <v>7177</v>
      </c>
      <c r="G15" s="8">
        <f>[12]Main!$D$9</f>
        <v>383919.94400000002</v>
      </c>
      <c r="H15" s="8">
        <f>[12]Model!AP18</f>
        <v>464.10000000000019</v>
      </c>
      <c r="I15" s="8">
        <f>[12]Model!AQ18</f>
        <v>1625.2000000000005</v>
      </c>
      <c r="J15" s="8">
        <f>[12]Model!AR18</f>
        <v>2696.4722400000001</v>
      </c>
      <c r="K15" s="8">
        <f>[12]Model!AS18</f>
        <v>4109.9035032000011</v>
      </c>
      <c r="L15" s="8">
        <f>[12]Model!AT18</f>
        <v>5962.5122969280001</v>
      </c>
      <c r="M15" s="9">
        <f t="shared" si="5"/>
        <v>827.23538892480042</v>
      </c>
      <c r="N15" s="9">
        <f t="shared" si="5"/>
        <v>236.22935269505285</v>
      </c>
      <c r="O15" s="9">
        <f t="shared" si="5"/>
        <v>142.3786005673843</v>
      </c>
      <c r="P15" s="9">
        <f t="shared" si="5"/>
        <v>93.413371798407709</v>
      </c>
      <c r="Q15" s="9">
        <f t="shared" si="5"/>
        <v>64.388956346103114</v>
      </c>
      <c r="R15" s="9">
        <f>G15/[12]Model!$BA$18</f>
        <v>21.9748749415844</v>
      </c>
      <c r="S15" s="10">
        <f>[12]Model!$AQ$3</f>
        <v>4475.5</v>
      </c>
      <c r="T15" s="31">
        <f t="shared" si="6"/>
        <v>85.782581610993191</v>
      </c>
      <c r="U15" s="11">
        <f>[12]Model!AO$22</f>
        <v>0.1674799307413819</v>
      </c>
      <c r="V15" s="11">
        <f>[12]Model!AP$22</f>
        <v>0.28776234775965137</v>
      </c>
      <c r="W15" s="11">
        <f>[12]Model!$AQ$23</f>
        <v>0.82366216065244113</v>
      </c>
      <c r="X15" s="11">
        <f>[12]Model!$AQ$24</f>
        <v>0.31596469668193505</v>
      </c>
      <c r="Y15" s="11">
        <f>[12]Model!$AQ$30</f>
        <v>0.36313261088146587</v>
      </c>
      <c r="Z15" s="11">
        <f>[12]Model!$BD$26</f>
        <v>0.05</v>
      </c>
      <c r="AA15" s="11">
        <f>[12]Model!$BD$32</f>
        <v>-0.34154811125593121</v>
      </c>
      <c r="AB15" s="7" t="str">
        <f>[12]Model!$BD$33</f>
        <v>Overvalued</v>
      </c>
      <c r="AC15" s="7" t="s">
        <v>53</v>
      </c>
      <c r="AD15" s="7">
        <v>2003</v>
      </c>
      <c r="AF15" s="17">
        <f>[12]Main!$E$3</f>
        <v>46056</v>
      </c>
      <c r="AG15" s="17">
        <f>[12]Main!$G$3</f>
        <v>46153</v>
      </c>
    </row>
    <row r="16" spans="2:33" x14ac:dyDescent="0.3">
      <c r="B16" s="6" t="s">
        <v>66</v>
      </c>
      <c r="C16" s="7" t="s">
        <v>68</v>
      </c>
      <c r="D16" s="12">
        <f>[13]Main!$D$3</f>
        <v>82.66</v>
      </c>
      <c r="E16" s="8">
        <f>[13]Main!$D$5</f>
        <v>349007.05199999997</v>
      </c>
      <c r="F16" s="8">
        <f>[13]Main!$D$8</f>
        <v>-5400.4999999999982</v>
      </c>
      <c r="G16" s="8">
        <f>[13]Main!$D$9</f>
        <v>354407.55199999997</v>
      </c>
      <c r="H16" s="8">
        <f>[13]Model!BQ37</f>
        <v>2757.7</v>
      </c>
      <c r="I16" s="8">
        <f>[13]Model!BR37</f>
        <v>5117.0999999999976</v>
      </c>
      <c r="J16" s="8">
        <f>[13]Model!BS37</f>
        <v>4491.7999999999975</v>
      </c>
      <c r="K16" s="8">
        <f>[13]Model!BT37</f>
        <v>5408</v>
      </c>
      <c r="L16" s="8">
        <f>[13]Model!BU37</f>
        <v>8711.3999999999924</v>
      </c>
      <c r="M16" s="9">
        <f t="shared" si="5"/>
        <v>128.51562969140952</v>
      </c>
      <c r="N16" s="9">
        <f t="shared" si="5"/>
        <v>69.2594539876102</v>
      </c>
      <c r="O16" s="9">
        <f t="shared" si="5"/>
        <v>78.901008949641607</v>
      </c>
      <c r="P16" s="9">
        <f t="shared" si="5"/>
        <v>65.533940828402365</v>
      </c>
      <c r="Q16" s="9">
        <f t="shared" si="5"/>
        <v>40.683191220699342</v>
      </c>
      <c r="R16" s="9">
        <f>G16/[13]Model!$CB$37</f>
        <v>19.06680818528918</v>
      </c>
      <c r="S16" s="10">
        <f>[13]Model!$BV$26</f>
        <v>45183.100000000006</v>
      </c>
      <c r="T16" s="31">
        <f t="shared" si="6"/>
        <v>7.8438077953925234</v>
      </c>
      <c r="U16" s="11">
        <f>[13]Model!BP$47</f>
        <v>0.27599656870505318</v>
      </c>
      <c r="V16" s="11">
        <f>[13]Model!BQ$47</f>
        <v>0.24005160265952163</v>
      </c>
      <c r="W16" s="32">
        <f>[13]Model!$BU$41</f>
        <v>0.46056373058057626</v>
      </c>
      <c r="X16" s="32">
        <f>[13]Model!$BU$42</f>
        <v>0.26710665651305471</v>
      </c>
      <c r="Y16" s="32"/>
      <c r="Z16" s="11">
        <f>[13]Model!$CI$47</f>
        <v>0.06</v>
      </c>
      <c r="AA16" s="11">
        <f>[13]Model!$CI$53</f>
        <v>-0.20355808307648748</v>
      </c>
      <c r="AB16" s="7" t="str">
        <f>[13]Model!$CI$54</f>
        <v>Slightly overvalued</v>
      </c>
      <c r="AC16" s="7" t="s">
        <v>77</v>
      </c>
      <c r="AD16" s="7">
        <v>1997</v>
      </c>
      <c r="AF16" s="17">
        <f>[13]Main!$E$3</f>
        <v>45956</v>
      </c>
      <c r="AG16" s="17">
        <f>[13]Main!$G$3</f>
        <v>46133</v>
      </c>
    </row>
    <row r="17" spans="2:33" x14ac:dyDescent="0.3">
      <c r="B17" s="24" t="s">
        <v>43</v>
      </c>
      <c r="C17" s="7" t="s">
        <v>44</v>
      </c>
      <c r="D17" s="12">
        <f>[14]Main!$D$3</f>
        <v>199.81</v>
      </c>
      <c r="E17" s="8">
        <f>[14]Main!$D$5</f>
        <v>324891.06</v>
      </c>
      <c r="F17" s="8">
        <f>[14]Main!$D$8</f>
        <v>7330</v>
      </c>
      <c r="G17" s="8">
        <f>[14]Main!$D$9</f>
        <v>317561.06</v>
      </c>
      <c r="H17" s="8">
        <f>[14]Model!AH$20</f>
        <v>1641</v>
      </c>
      <c r="I17" s="8">
        <f>[14]Model!AI$20</f>
        <v>4269</v>
      </c>
      <c r="J17" s="8">
        <f>[14]Model!AJ$20</f>
        <v>8564.1852000000035</v>
      </c>
      <c r="K17" s="8">
        <f>[14]Model!AK$20</f>
        <v>11318.888858499995</v>
      </c>
      <c r="L17" s="8">
        <f>[14]Model!AL$20</f>
        <v>13373.004290574998</v>
      </c>
      <c r="M17" s="9">
        <f t="shared" si="5"/>
        <v>193.51679463741621</v>
      </c>
      <c r="N17" s="9">
        <f t="shared" si="5"/>
        <v>74.387692668072148</v>
      </c>
      <c r="O17" s="9">
        <f t="shared" si="5"/>
        <v>37.080125263988904</v>
      </c>
      <c r="P17" s="9">
        <f t="shared" si="5"/>
        <v>28.055851061875689</v>
      </c>
      <c r="Q17" s="9">
        <f t="shared" si="5"/>
        <v>23.746426240497815</v>
      </c>
      <c r="R17" s="9">
        <f>G17/[14]Model!$AS$20</f>
        <v>12.930722220982247</v>
      </c>
      <c r="S17" s="10">
        <f>[14]Model!$AI$3</f>
        <v>34639</v>
      </c>
      <c r="T17" s="31">
        <f t="shared" si="6"/>
        <v>9.1677317474522937</v>
      </c>
      <c r="U17" s="11">
        <f>[14]Model!AG$24</f>
        <v>-3.9023770179229644E-2</v>
      </c>
      <c r="V17" s="11">
        <f>[14]Model!AH$24</f>
        <v>0.13690476190476186</v>
      </c>
      <c r="W17" s="11">
        <f>[14]Model!$AI$26</f>
        <v>0.52492854874563355</v>
      </c>
      <c r="X17" s="11">
        <f>[14]Model!$AI$31</f>
        <v>0.10664280146655504</v>
      </c>
      <c r="Y17" s="11">
        <f>[14]Model!$AI$33</f>
        <v>0.12324258783452179</v>
      </c>
      <c r="Z17" s="11">
        <f>[14]Model!$AV$26</f>
        <v>0.06</v>
      </c>
      <c r="AA17" s="11">
        <f>[14]Model!$AV$32</f>
        <v>-5.0592577103025782E-4</v>
      </c>
      <c r="AB17" s="7" t="str">
        <f>[14]Model!$AV$33</f>
        <v>Fairly valued</v>
      </c>
      <c r="AC17" s="7" t="s">
        <v>55</v>
      </c>
      <c r="AD17" s="7">
        <v>1969</v>
      </c>
      <c r="AF17" s="17">
        <f>[14]Main!$E$3</f>
        <v>46059</v>
      </c>
      <c r="AG17" s="17">
        <f>[14]Main!$G$3</f>
        <v>46147</v>
      </c>
    </row>
    <row r="18" spans="2:33" x14ac:dyDescent="0.3">
      <c r="B18" s="6" t="s">
        <v>147</v>
      </c>
      <c r="C18" s="7" t="s">
        <v>148</v>
      </c>
      <c r="D18" s="12">
        <f>[15]Main!$D$3</f>
        <v>357.56</v>
      </c>
      <c r="E18" s="8">
        <f>[15]Main!$D$5</f>
        <v>246323.084</v>
      </c>
      <c r="F18" s="8">
        <f>[15]Main!$D$8</f>
        <v>-3153</v>
      </c>
      <c r="G18" s="8">
        <f>[15]Main!$D$9</f>
        <v>249476.084</v>
      </c>
      <c r="H18" s="8">
        <f>[15]Model!Y27</f>
        <v>10129</v>
      </c>
      <c r="I18" s="8">
        <f>[15]Model!Z27</f>
        <v>10726.191449999998</v>
      </c>
      <c r="J18" s="8">
        <f>[15]Model!AA27</f>
        <v>12406.597305600002</v>
      </c>
      <c r="K18" s="8">
        <f>[15]Model!AB27</f>
        <v>13054.935385384004</v>
      </c>
      <c r="L18" s="8">
        <f>[15]Model!AC27</f>
        <v>13583.754450865526</v>
      </c>
      <c r="M18" s="9">
        <f t="shared" si="5"/>
        <v>24.62988291045513</v>
      </c>
      <c r="N18" s="9">
        <f t="shared" si="5"/>
        <v>23.258589515479891</v>
      </c>
      <c r="O18" s="9">
        <f t="shared" si="5"/>
        <v>20.108340575170701</v>
      </c>
      <c r="P18" s="9">
        <f t="shared" si="5"/>
        <v>19.109714191255783</v>
      </c>
      <c r="Q18" s="9">
        <f t="shared" si="5"/>
        <v>18.3657680873423</v>
      </c>
      <c r="R18" s="9">
        <f>G18/[15]Model!$AJ$27</f>
        <v>15.661125463121495</v>
      </c>
      <c r="S18" s="28">
        <f>[15]Model!$Y$16</f>
        <v>74201</v>
      </c>
      <c r="T18" s="30">
        <f t="shared" si="6"/>
        <v>3.3621660624519887</v>
      </c>
      <c r="U18" s="11">
        <f>[15]Model!X$38</f>
        <v>0.21103820224719105</v>
      </c>
      <c r="V18" s="11">
        <f>[15]Model!Y$38</f>
        <v>0.10149337925301349</v>
      </c>
      <c r="W18" s="32">
        <f>[15]Model!$Y$39</f>
        <v>0.45143596447487233</v>
      </c>
      <c r="X18" s="32">
        <f>[15]Model!$Y$43</f>
        <v>0.17378471988248137</v>
      </c>
      <c r="Y18" s="32"/>
      <c r="Z18" s="11">
        <f>[15]Model!$AN$40</f>
        <v>0.06</v>
      </c>
      <c r="AA18" s="11">
        <f>[15]Model!$AN$46</f>
        <v>-9.2567718085150963E-2</v>
      </c>
      <c r="AB18" s="7" t="str">
        <f>[15]Model!$AN$47</f>
        <v>Fairly valued</v>
      </c>
      <c r="AC18" s="7" t="s">
        <v>94</v>
      </c>
      <c r="AD18" s="7">
        <v>1850</v>
      </c>
      <c r="AF18" s="17">
        <f>[15]Main!$E$3</f>
        <v>45956</v>
      </c>
      <c r="AG18" s="17">
        <f>[15]Main!$G$3</f>
        <v>46045</v>
      </c>
    </row>
    <row r="19" spans="2:33" x14ac:dyDescent="0.3">
      <c r="B19" s="24" t="s">
        <v>22</v>
      </c>
      <c r="C19" s="7" t="s">
        <v>34</v>
      </c>
      <c r="D19" s="12">
        <f>[16]Main!$D$3</f>
        <v>48.81</v>
      </c>
      <c r="E19" s="8">
        <f>[16]Main!$D$5</f>
        <v>220328.34</v>
      </c>
      <c r="F19" s="8">
        <f>[16]Main!$D$8</f>
        <v>-6951</v>
      </c>
      <c r="G19" s="8">
        <f>[16]Main!$D$9</f>
        <v>227279.34</v>
      </c>
      <c r="H19" s="8">
        <f>[16]Model!AI$24</f>
        <v>-18756</v>
      </c>
      <c r="I19" s="8">
        <f>[16]Model!AJ$24</f>
        <v>-267</v>
      </c>
      <c r="J19" s="8">
        <f>[16]Model!AK$24</f>
        <v>5787.0813000000035</v>
      </c>
      <c r="K19" s="8">
        <f>[16]Model!AL$24</f>
        <v>8082.4102744000011</v>
      </c>
      <c r="L19" s="8">
        <f>[16]Model!AM$24</f>
        <v>9061.5465001600023</v>
      </c>
      <c r="M19" s="9">
        <f t="shared" si="5"/>
        <v>-12.117687140115162</v>
      </c>
      <c r="N19" s="9">
        <f t="shared" si="5"/>
        <v>-851.23348314606744</v>
      </c>
      <c r="O19" s="9">
        <f t="shared" si="5"/>
        <v>39.273569562604877</v>
      </c>
      <c r="P19" s="9">
        <f t="shared" si="5"/>
        <v>28.120242883472297</v>
      </c>
      <c r="Q19" s="9">
        <f t="shared" si="5"/>
        <v>25.081738530612501</v>
      </c>
      <c r="R19" s="9">
        <f>G19/[16]Model!$AT$24</f>
        <v>16.768488217314037</v>
      </c>
      <c r="S19" s="10">
        <f>[16]Model!$AJ$11</f>
        <v>52853</v>
      </c>
      <c r="T19" s="31">
        <f t="shared" si="6"/>
        <v>4.3002164493973849</v>
      </c>
      <c r="U19" s="11">
        <f>[16]Model!AH$35</f>
        <v>-0.13997525930155108</v>
      </c>
      <c r="V19" s="11">
        <f>[16]Model!AI$35</f>
        <v>-2.0782621523935951E-2</v>
      </c>
      <c r="W19" s="11">
        <f>[16]Model!$AJ$36</f>
        <v>0.34766238434904356</v>
      </c>
      <c r="X19" s="11">
        <f>[16]Model!$AJ$39</f>
        <v>-4.1889769738709247E-2</v>
      </c>
      <c r="Y19" s="11">
        <f>[16]Model!$AJ$42</f>
        <v>-5.0517472991126328E-3</v>
      </c>
      <c r="Z19" s="11">
        <f>[16]Model!$AW$38</f>
        <v>4.4999999999999998E-2</v>
      </c>
      <c r="AA19" s="11">
        <f>[16]Model!$AW$44</f>
        <v>4.5137958218084417E-2</v>
      </c>
      <c r="AB19" s="11" t="str">
        <f>[16]Model!$AW$45</f>
        <v>Fairly valued</v>
      </c>
      <c r="AC19" s="7" t="s">
        <v>55</v>
      </c>
      <c r="AD19" s="7">
        <v>1968</v>
      </c>
      <c r="AF19" s="17">
        <f>[16]Main!$E$3</f>
        <v>46056</v>
      </c>
      <c r="AG19" s="17">
        <f>[16]Main!$G$3</f>
        <v>46135</v>
      </c>
    </row>
    <row r="20" spans="2:33" x14ac:dyDescent="0.3">
      <c r="B20" s="26" t="s">
        <v>20</v>
      </c>
      <c r="C20" s="7" t="s">
        <v>31</v>
      </c>
      <c r="D20" s="15">
        <f>[17]Main!$D$3</f>
        <v>59500</v>
      </c>
      <c r="E20" s="8">
        <f>[17]Main!$D$5</f>
        <v>309815.64997801074</v>
      </c>
      <c r="F20" s="8">
        <f>[17]Main!$D$8</f>
        <v>84353.398832591876</v>
      </c>
      <c r="G20" s="8">
        <f>E20-F20</f>
        <v>225462.25114541885</v>
      </c>
      <c r="H20" s="8"/>
      <c r="I20" s="8"/>
      <c r="J20" s="8"/>
      <c r="K20" s="8"/>
      <c r="L20" s="8"/>
      <c r="M20" s="9"/>
      <c r="N20" s="9"/>
      <c r="O20" s="9"/>
      <c r="P20" s="9"/>
      <c r="Q20" s="9"/>
      <c r="R20" s="9"/>
      <c r="S20" s="28"/>
      <c r="T20" s="28"/>
      <c r="U20" s="11"/>
      <c r="V20" s="11"/>
      <c r="W20" s="32"/>
      <c r="X20" s="32"/>
      <c r="Y20" s="32"/>
      <c r="Z20" s="11">
        <f>[17]Model!$AE$23</f>
        <v>0.05</v>
      </c>
      <c r="AA20" s="11">
        <f>[17]Model!$AE$29</f>
        <v>-6.9181920876941971E-2</v>
      </c>
      <c r="AB20" s="7" t="str">
        <f>[17]Model!$AE$30</f>
        <v>Fairly valued</v>
      </c>
      <c r="AC20" s="7" t="s">
        <v>52</v>
      </c>
      <c r="AD20" s="7">
        <v>1969</v>
      </c>
      <c r="AF20" s="17">
        <f>[17]Main!$E$3</f>
        <v>44120</v>
      </c>
      <c r="AG20" s="17" t="str">
        <f>[17]Main!$G$3</f>
        <v>Jan-Feb?</v>
      </c>
    </row>
    <row r="21" spans="2:33" x14ac:dyDescent="0.3">
      <c r="B21" s="24" t="s">
        <v>179</v>
      </c>
      <c r="C21" s="7" t="s">
        <v>33</v>
      </c>
      <c r="D21" s="12">
        <f>[18]Main!$D$3</f>
        <v>213.02</v>
      </c>
      <c r="E21" s="8">
        <f>[18]Main!$D$5</f>
        <v>201942.96000000002</v>
      </c>
      <c r="F21" s="8">
        <f>[18]Main!$D$8</f>
        <v>9295</v>
      </c>
      <c r="G21" s="8">
        <f>[18]Main!$D$9</f>
        <v>192647.96000000002</v>
      </c>
      <c r="H21" s="8">
        <f>[18]Model!AY$20</f>
        <v>6197</v>
      </c>
      <c r="I21" s="8">
        <f>[18]Model!AZ$20</f>
        <v>6481.4007860000038</v>
      </c>
      <c r="J21" s="8">
        <f>[18]Model!BA$20</f>
        <v>7627.1760850000028</v>
      </c>
      <c r="K21" s="8">
        <f>[18]Model!BB$20</f>
        <v>8399.7565100000047</v>
      </c>
      <c r="L21" s="8">
        <f>[18]Model!BC$20</f>
        <v>8700.9570877632032</v>
      </c>
      <c r="M21" s="9">
        <f t="shared" ref="M21:Q25" si="7">$G21/H21</f>
        <v>31.087293851863809</v>
      </c>
      <c r="N21" s="9">
        <f t="shared" si="7"/>
        <v>29.723198172858663</v>
      </c>
      <c r="O21" s="9">
        <f t="shared" si="7"/>
        <v>25.258097866505459</v>
      </c>
      <c r="P21" s="9">
        <f t="shared" si="7"/>
        <v>22.934945765469564</v>
      </c>
      <c r="Q21" s="9">
        <f t="shared" si="7"/>
        <v>22.141007943934699</v>
      </c>
      <c r="R21" s="9">
        <f>G21/[18]Model!$BJ$20</f>
        <v>18.09340856885845</v>
      </c>
      <c r="S21" s="10">
        <f>[18]Model!$AZ$5</f>
        <v>40168.700000000004</v>
      </c>
      <c r="T21" s="31">
        <f t="shared" ref="T21:T61" si="8">G21/S21</f>
        <v>4.7959719881400193</v>
      </c>
      <c r="U21" s="11">
        <f>[18]Model!AX$26</f>
        <v>0.11179510079101806</v>
      </c>
      <c r="V21" s="11">
        <f>[18]Model!AY$26</f>
        <v>8.7156094902028247E-2</v>
      </c>
      <c r="W21" s="11">
        <f>[18]Model!$AZ$29</f>
        <v>0.77143473151981523</v>
      </c>
      <c r="X21" s="11">
        <f>[18]Model!$AZ$30</f>
        <v>0.19517926395427296</v>
      </c>
      <c r="Y21" s="11">
        <f>[18]Model!$AZ$35</f>
        <v>0.16135450701665732</v>
      </c>
      <c r="Z21" s="11">
        <f>[18]Model!$BM$31</f>
        <v>0.06</v>
      </c>
      <c r="AA21" s="11">
        <f>[18]Model!$BM$37</f>
        <v>-0.21332708142263368</v>
      </c>
      <c r="AB21" s="7" t="str">
        <f>[18]Model!$BM$38</f>
        <v>Slightly overvalued</v>
      </c>
      <c r="AC21" s="7" t="s">
        <v>53</v>
      </c>
      <c r="AD21" s="7">
        <v>1999</v>
      </c>
      <c r="AF21" s="17">
        <f>[18]Main!$E$3</f>
        <v>46052</v>
      </c>
      <c r="AG21" s="17">
        <f>[18]Main!$G$3</f>
        <v>46085</v>
      </c>
    </row>
    <row r="22" spans="2:33" x14ac:dyDescent="0.3">
      <c r="B22" s="24" t="s">
        <v>21</v>
      </c>
      <c r="C22" s="7" t="s">
        <v>32</v>
      </c>
      <c r="D22" s="12">
        <f>[19]Main!$D$3</f>
        <v>261.24</v>
      </c>
      <c r="E22" s="8">
        <f>[19]Main!$D$5</f>
        <v>108937.08</v>
      </c>
      <c r="F22" s="8">
        <f>[19]Main!$D$8</f>
        <v>-453</v>
      </c>
      <c r="G22" s="8">
        <f>[19]Main!$D$9</f>
        <v>109390.08</v>
      </c>
      <c r="H22" s="8">
        <f>[19]Model!AP$24</f>
        <v>5560</v>
      </c>
      <c r="I22" s="8">
        <f>[19]Model!AQ$24</f>
        <v>7088.6760999999988</v>
      </c>
      <c r="J22" s="8">
        <f>[19]Model!AR$24</f>
        <v>8246.1395140000004</v>
      </c>
      <c r="K22" s="8">
        <f>[19]Model!AS$24</f>
        <v>9365.0563402999996</v>
      </c>
      <c r="L22" s="8">
        <f>[19]Model!AT$24</f>
        <v>10079.121808102002</v>
      </c>
      <c r="M22" s="9">
        <f t="shared" si="7"/>
        <v>19.674474820143885</v>
      </c>
      <c r="N22" s="9">
        <f t="shared" si="7"/>
        <v>15.431665723871912</v>
      </c>
      <c r="O22" s="9">
        <f t="shared" si="7"/>
        <v>13.265611115878096</v>
      </c>
      <c r="P22" s="9">
        <f t="shared" si="7"/>
        <v>11.680664378843002</v>
      </c>
      <c r="Q22" s="9">
        <f t="shared" si="7"/>
        <v>10.853136025409265</v>
      </c>
      <c r="R22" s="9">
        <f>G22/[19]Model!$BA$24</f>
        <v>8.6101693988979395</v>
      </c>
      <c r="S22" s="10">
        <f>[19]Model!$AQ$6</f>
        <v>24007</v>
      </c>
      <c r="T22" s="31">
        <f t="shared" si="8"/>
        <v>4.5565909942933311</v>
      </c>
      <c r="U22" s="11">
        <f>[19]Model!$AO$31</f>
        <v>0.10240826990798602</v>
      </c>
      <c r="V22" s="11">
        <f>[19]Model!$AP$31</f>
        <v>0.10799113813179462</v>
      </c>
      <c r="W22" s="11">
        <f>[19]Model!$AQ$32</f>
        <v>0.89</v>
      </c>
      <c r="X22" s="11">
        <f>[19]Model!$AQ$33</f>
        <v>0.35875619610946802</v>
      </c>
      <c r="Y22" s="11">
        <f>[19]Model!$AQ$38</f>
        <v>0.29527538218019739</v>
      </c>
      <c r="Z22" s="11">
        <f>[19]Model!$BD$33</f>
        <v>7.0000000000000007E-2</v>
      </c>
      <c r="AA22" s="11">
        <f>[19]Model!$BD$39</f>
        <v>0.39064544528182954</v>
      </c>
      <c r="AB22" s="7" t="str">
        <f>[19]Model!$BD$40</f>
        <v>Undervalued</v>
      </c>
      <c r="AC22" s="7" t="s">
        <v>53</v>
      </c>
      <c r="AD22" s="7">
        <v>1982</v>
      </c>
      <c r="AF22" s="17">
        <f>[19]Main!$E$3</f>
        <v>46070</v>
      </c>
      <c r="AG22" s="17">
        <f>[19]Main!$G$3</f>
        <v>46093</v>
      </c>
    </row>
    <row r="23" spans="2:33" x14ac:dyDescent="0.3">
      <c r="B23" s="24" t="s">
        <v>135</v>
      </c>
      <c r="C23" s="7" t="s">
        <v>136</v>
      </c>
      <c r="D23" s="12">
        <f>[20]Main!$D$3</f>
        <v>458.34</v>
      </c>
      <c r="E23" s="8">
        <f>[20]Main!$D$5</f>
        <v>94326.372000000003</v>
      </c>
      <c r="F23" s="8">
        <f>[20]Main!$D$9</f>
        <v>11712.643678160919</v>
      </c>
      <c r="G23" s="8">
        <f>E23-F23</f>
        <v>82613.72832183908</v>
      </c>
      <c r="H23" s="8">
        <f>[20]Model!AG14</f>
        <v>1138</v>
      </c>
      <c r="I23" s="8">
        <f>[20]Model!AH14</f>
        <v>2212</v>
      </c>
      <c r="J23" s="8">
        <f>[20]Model!AI14</f>
        <v>1985.716875000001</v>
      </c>
      <c r="K23" s="8">
        <f>[20]Model!AJ14</f>
        <v>2300.4969150000006</v>
      </c>
      <c r="L23" s="8">
        <f>[20]Model!AK14</f>
        <v>2463.9123442500008</v>
      </c>
      <c r="M23" s="9">
        <f t="shared" si="7"/>
        <v>72.595543340807623</v>
      </c>
      <c r="N23" s="9">
        <f t="shared" si="7"/>
        <v>37.347978445677704</v>
      </c>
      <c r="O23" s="9">
        <f t="shared" si="7"/>
        <v>41.603981595734304</v>
      </c>
      <c r="P23" s="9">
        <f t="shared" si="7"/>
        <v>35.911253687483885</v>
      </c>
      <c r="Q23" s="9">
        <f t="shared" si="7"/>
        <v>33.529491629291776</v>
      </c>
      <c r="R23" s="9">
        <f>G23/[20]Model!$AR$14</f>
        <v>25.347193058224178</v>
      </c>
      <c r="S23" s="10">
        <f>[20]Model!$AH$3</f>
        <v>17186</v>
      </c>
      <c r="T23" s="31">
        <f t="shared" si="8"/>
        <v>4.8070364437239075</v>
      </c>
      <c r="U23" s="11">
        <f>[20]Model!AF$18</f>
        <v>0.12961541741280813</v>
      </c>
      <c r="V23" s="11">
        <f>[20]Model!AG$18</f>
        <v>0.18313580433305665</v>
      </c>
      <c r="W23" s="11">
        <f>[20]Model!$AH$19</f>
        <v>0.31979518212498548</v>
      </c>
      <c r="X23" s="11">
        <f>[20]Model!$AH$23</f>
        <v>0.12789479809146981</v>
      </c>
      <c r="Y23" s="11">
        <f>[20]Model!$AH$25</f>
        <v>0.12870941463982311</v>
      </c>
      <c r="Z23" s="11">
        <f>[20]Model!$AU$20</f>
        <v>7.0000000000000007E-2</v>
      </c>
      <c r="AA23" s="11">
        <f>[20]Model!$AU$27</f>
        <v>-0.39953689302268047</v>
      </c>
      <c r="AB23" s="7" t="str">
        <f>[20]Model!$AU$28</f>
        <v>Overvalued</v>
      </c>
      <c r="AC23" s="7" t="s">
        <v>54</v>
      </c>
      <c r="AD23" s="7">
        <v>2007</v>
      </c>
      <c r="AF23" s="17">
        <f>[20]Main!$E$3</f>
        <v>46067</v>
      </c>
      <c r="AG23" s="17">
        <f>[20]Main!$G$3</f>
        <v>46141</v>
      </c>
    </row>
    <row r="24" spans="2:33" x14ac:dyDescent="0.3">
      <c r="B24" s="24" t="s">
        <v>92</v>
      </c>
      <c r="C24" s="7" t="s">
        <v>93</v>
      </c>
      <c r="D24" s="12">
        <f>[21]Main!$D$3</f>
        <v>305.08</v>
      </c>
      <c r="E24" s="8">
        <f>[21]Main!$D$5</f>
        <v>77856.415999999997</v>
      </c>
      <c r="F24" s="8">
        <f>[21]Main!$D$8</f>
        <v>5233.0999999999985</v>
      </c>
      <c r="G24" s="8">
        <f>[21]Main!$D$9</f>
        <v>72623.315999999992</v>
      </c>
      <c r="H24" s="8">
        <f>[21]Model!AH23</f>
        <v>2498.6</v>
      </c>
      <c r="I24" s="8">
        <f>[21]Model!AI23</f>
        <v>2360.0974399999996</v>
      </c>
      <c r="J24" s="8">
        <f>[21]Model!AJ23</f>
        <v>1930.8189555199995</v>
      </c>
      <c r="K24" s="8">
        <f>[21]Model!AK23</f>
        <v>2302.1455638041593</v>
      </c>
      <c r="L24" s="8">
        <f>[21]Model!AL23</f>
        <v>2616.7584146608333</v>
      </c>
      <c r="M24" s="9">
        <f t="shared" si="7"/>
        <v>29.06560313775714</v>
      </c>
      <c r="N24" s="9">
        <f t="shared" si="7"/>
        <v>30.771321034948457</v>
      </c>
      <c r="O24" s="9">
        <f t="shared" si="7"/>
        <v>37.612700969388094</v>
      </c>
      <c r="P24" s="9">
        <f t="shared" si="7"/>
        <v>31.545927043811364</v>
      </c>
      <c r="Q24" s="9">
        <f t="shared" si="7"/>
        <v>27.753160396128099</v>
      </c>
      <c r="R24" s="9">
        <f>G24/[21]Model!$AS$23</f>
        <v>16.230605088550178</v>
      </c>
      <c r="S24" s="28">
        <f>[21]Model!$AH$5</f>
        <v>6564</v>
      </c>
      <c r="T24" s="30">
        <f t="shared" si="8"/>
        <v>11.063881170018281</v>
      </c>
      <c r="U24" s="11">
        <f>[21]Model!AG$27</f>
        <v>-2.6862026862026767E-2</v>
      </c>
      <c r="V24" s="11">
        <f>[21]Model!AH$27</f>
        <v>1.111765273622237</v>
      </c>
      <c r="W24" s="32">
        <f>[21]Model!$AH$28</f>
        <v>0.86323887873248017</v>
      </c>
      <c r="X24" s="32">
        <f>[21]Model!$AH$29</f>
        <v>0.33921389396709323</v>
      </c>
      <c r="Y24" s="32"/>
      <c r="Z24" s="11">
        <f>[21]Model!$AV$30</f>
        <v>7.0000000000000007E-2</v>
      </c>
      <c r="AA24" s="11">
        <f>[21]Model!$AV$36</f>
        <v>-0.31838937044689108</v>
      </c>
      <c r="AB24" s="7" t="str">
        <f>[21]Model!$AV$37</f>
        <v>Overvalued</v>
      </c>
      <c r="AC24" s="7" t="s">
        <v>94</v>
      </c>
      <c r="AD24" s="7">
        <v>2012</v>
      </c>
      <c r="AF24" s="17">
        <f>[21]Main!$E$3</f>
        <v>45909</v>
      </c>
      <c r="AG24" s="17">
        <f>[21]Main!$G$3</f>
        <v>45961</v>
      </c>
    </row>
    <row r="25" spans="2:33" x14ac:dyDescent="0.3">
      <c r="B25" s="6" t="s">
        <v>188</v>
      </c>
      <c r="C25" s="7" t="s">
        <v>189</v>
      </c>
      <c r="D25" s="12">
        <f>[22]Main!$D$3</f>
        <v>70.5</v>
      </c>
      <c r="E25" s="8">
        <f>[22]Main!$D$5</f>
        <v>38196.899999999994</v>
      </c>
      <c r="F25" s="8">
        <f>[22]Main!$D$8</f>
        <v>-28588</v>
      </c>
      <c r="G25" s="8">
        <f>[22]Main!$D$9</f>
        <v>66784.899999999994</v>
      </c>
      <c r="H25" s="8">
        <f>[22]Model!Y$20</f>
        <v>3131</v>
      </c>
      <c r="I25" s="8">
        <f>[22]Model!Z$20</f>
        <v>3380.6793120000002</v>
      </c>
      <c r="J25" s="8">
        <f>[22]Model!AA$20</f>
        <v>3744.6049039999989</v>
      </c>
      <c r="K25" s="8">
        <f>[22]Model!AB$20</f>
        <v>3887.9065804800007</v>
      </c>
      <c r="L25" s="8">
        <f>[22]Model!AC$20</f>
        <v>4022.1171008895999</v>
      </c>
      <c r="M25" s="9">
        <f t="shared" si="7"/>
        <v>21.330213989140848</v>
      </c>
      <c r="N25" s="9">
        <f t="shared" si="7"/>
        <v>19.754875821241452</v>
      </c>
      <c r="O25" s="9">
        <f t="shared" si="7"/>
        <v>17.83496569388673</v>
      </c>
      <c r="P25" s="9">
        <f t="shared" si="7"/>
        <v>17.177598951401436</v>
      </c>
      <c r="Q25" s="9">
        <f t="shared" si="7"/>
        <v>16.604414621650054</v>
      </c>
      <c r="R25" s="9">
        <f>G25/[22]Model!$AJ$20</f>
        <v>15.551461914652188</v>
      </c>
      <c r="S25" s="10">
        <f>[22]Model!$Z$5</f>
        <v>21265.02</v>
      </c>
      <c r="T25" s="31">
        <f t="shared" si="8"/>
        <v>3.1405989742779452</v>
      </c>
      <c r="U25" s="11">
        <f>[22]Model!$X$26</f>
        <v>7.6450358008682384E-2</v>
      </c>
      <c r="V25" s="11">
        <f>[22]Model!$Y$26</f>
        <v>7.1387419473105229E-2</v>
      </c>
      <c r="W25" s="11">
        <f>[22]Model!$Z$29</f>
        <v>0.5979708272082509</v>
      </c>
      <c r="X25" s="11">
        <f>[22]Model!$Z$31</f>
        <v>0.27721119472260081</v>
      </c>
      <c r="Y25" s="11">
        <f>[22]Model!$Z$33</f>
        <v>0.1589784214639817</v>
      </c>
      <c r="Z25" s="11">
        <f>[22]Model!$AM$26</f>
        <v>7.0000000000000007E-2</v>
      </c>
      <c r="AA25" s="11">
        <f>[22]Model!$AM$32</f>
        <v>-0.30213445991824484</v>
      </c>
      <c r="AB25" s="7" t="str">
        <f>[22]Model!$AM$33</f>
        <v>Overvalued</v>
      </c>
      <c r="AC25" s="7" t="s">
        <v>94</v>
      </c>
      <c r="AD25" s="7">
        <v>1984</v>
      </c>
      <c r="AF25" s="17">
        <f>[22]Main!$E$3</f>
        <v>45960</v>
      </c>
      <c r="AG25" s="17">
        <f>[22]Main!$G$3</f>
        <v>46063</v>
      </c>
    </row>
    <row r="26" spans="2:33" x14ac:dyDescent="0.3">
      <c r="B26" s="24" t="s">
        <v>47</v>
      </c>
      <c r="C26" s="7" t="s">
        <v>48</v>
      </c>
      <c r="D26" s="12">
        <f>[23]Main!$D$3</f>
        <v>198.52</v>
      </c>
      <c r="E26" s="8">
        <f>[23]Main!$D$5</f>
        <v>67933.543999999994</v>
      </c>
      <c r="F26" s="8">
        <f>[23]Main!$D$8</f>
        <v>2116.9000000000005</v>
      </c>
      <c r="G26" s="8">
        <f>[23]Main!$D$9</f>
        <v>65816.644</v>
      </c>
      <c r="H26" s="8">
        <f>[23]Model!AN$16</f>
        <v>344.3668574467186</v>
      </c>
      <c r="I26" s="8">
        <f>[23]Model!AO$16</f>
        <v>729.50140084334259</v>
      </c>
      <c r="J26" s="8">
        <f>[23]Model!AP$16</f>
        <v>1137.4154733262046</v>
      </c>
      <c r="K26" s="8">
        <f>[23]Model!AQ$16</f>
        <v>1417.8651344009502</v>
      </c>
      <c r="L26" s="8">
        <f>[23]Model!AR$16</f>
        <v>1494.6450269633535</v>
      </c>
      <c r="M26" s="9"/>
      <c r="N26" s="9">
        <f>$G26/I26</f>
        <v>90.221408655161511</v>
      </c>
      <c r="O26" s="9">
        <f>$G26/J26</f>
        <v>57.865085840206554</v>
      </c>
      <c r="P26" s="9">
        <f>$G26/K26</f>
        <v>46.419537657795367</v>
      </c>
      <c r="Q26" s="9">
        <f>$G26/L26</f>
        <v>44.034966706254409</v>
      </c>
      <c r="R26" s="9">
        <f>G26/[23]Model!$AY$16</f>
        <v>34.755710056522609</v>
      </c>
      <c r="S26" s="10">
        <f>[23]Model!$AK$3</f>
        <v>4584.16</v>
      </c>
      <c r="T26" s="31">
        <f t="shared" si="8"/>
        <v>14.357405500680605</v>
      </c>
      <c r="U26" s="11">
        <f>[23]Model!AM$20</f>
        <v>0.19999999999999996</v>
      </c>
      <c r="V26" s="11">
        <f>[23]Model!AN$20</f>
        <v>0.1399999999999999</v>
      </c>
      <c r="W26" s="11">
        <f>[23]Model!$AK$21</f>
        <v>0.67229049596872714</v>
      </c>
      <c r="X26" s="11">
        <f>[23]Model!$AK$22</f>
        <v>-0.33473159750095988</v>
      </c>
      <c r="Y26" s="11"/>
      <c r="Z26" s="11">
        <f>[23]Model!$AX$23</f>
        <v>7.0000000000000007E-2</v>
      </c>
      <c r="AA26" s="11">
        <f>[23]Model!$AX$92</f>
        <v>-0.50838114171117099</v>
      </c>
      <c r="AB26" s="7" t="str">
        <f>[23]Model!$AX$30</f>
        <v>Heavily overvalued</v>
      </c>
      <c r="AC26" s="7" t="s">
        <v>53</v>
      </c>
      <c r="AD26" s="7">
        <v>2012</v>
      </c>
      <c r="AF26" s="17">
        <f>[23]Main!$E$3</f>
        <v>46052</v>
      </c>
      <c r="AG26" s="17">
        <f>[23]Main!$G$3</f>
        <v>46085</v>
      </c>
    </row>
    <row r="27" spans="2:33" x14ac:dyDescent="0.3">
      <c r="B27" s="24" t="s">
        <v>82</v>
      </c>
      <c r="C27" s="7" t="s">
        <v>83</v>
      </c>
      <c r="D27" s="12">
        <f>[24]Main!$D$3</f>
        <v>69.8</v>
      </c>
      <c r="E27" s="8">
        <f>[24]Main!$D$5</f>
        <v>49195.039999999994</v>
      </c>
      <c r="F27" s="8">
        <f>[24]Main!$D$6</f>
        <v>5547.7</v>
      </c>
      <c r="G27" s="8">
        <f>[24]Main!$D$9</f>
        <v>44640.439999999995</v>
      </c>
      <c r="H27" s="8">
        <f>[24]Model!AU$19</f>
        <v>-935.1</v>
      </c>
      <c r="I27" s="8">
        <f>[24]Model!AV$19</f>
        <v>-1065.4000000000003</v>
      </c>
      <c r="J27" s="8">
        <f>[24]Model!AW$19</f>
        <v>-404.27689499999991</v>
      </c>
      <c r="K27" s="8">
        <f>[24]Model!AX$19</f>
        <v>77.036107500000028</v>
      </c>
      <c r="L27" s="8">
        <f>[24]Model!AY$19</f>
        <v>505.61683108199867</v>
      </c>
      <c r="M27" s="9"/>
      <c r="N27" s="9"/>
      <c r="O27" s="9"/>
      <c r="P27" s="9">
        <f t="shared" ref="P27:P35" si="9">$G27/K27</f>
        <v>579.47424199749423</v>
      </c>
      <c r="Q27" s="9">
        <f t="shared" ref="Q27:Q35" si="10">$G27/L27</f>
        <v>88.289070410237997</v>
      </c>
      <c r="R27" s="9">
        <f>G27/[24]Model!$BF$19</f>
        <v>17.765263500888739</v>
      </c>
      <c r="S27" s="10">
        <f>[24]Model!$AV$3</f>
        <v>4890.5</v>
      </c>
      <c r="T27" s="31">
        <f t="shared" si="8"/>
        <v>9.1279910029649312</v>
      </c>
      <c r="U27" s="11">
        <f>[24]Model!AT$23</f>
        <v>0.25806741573033709</v>
      </c>
      <c r="V27" s="11">
        <f>[24]Model!AU$23</f>
        <v>0.28679622749356937</v>
      </c>
      <c r="W27" s="11">
        <f>[24]Model!$AV$27</f>
        <v>0.23752172579490849</v>
      </c>
      <c r="X27" s="11">
        <f>[24]Model!$AV$28</f>
        <v>-0.25199877313158164</v>
      </c>
      <c r="Y27" s="11">
        <f>[24]Model!$AV$33</f>
        <v>-0.21785093548716908</v>
      </c>
      <c r="Z27" s="11">
        <f>[24]Model!$BI$27</f>
        <v>0.08</v>
      </c>
      <c r="AA27" s="11">
        <f>[24]Model!$BI$61</f>
        <v>-0.37412689420775525</v>
      </c>
      <c r="AB27" s="7" t="str">
        <f>[24]Model!$BI$62</f>
        <v>Overvalued</v>
      </c>
      <c r="AC27" s="7" t="s">
        <v>54</v>
      </c>
      <c r="AD27" s="7">
        <v>2006</v>
      </c>
      <c r="AF27" s="17">
        <f>[24]Main!$E$3</f>
        <v>46059</v>
      </c>
      <c r="AG27" s="17">
        <f>[24]Main!$G$3</f>
        <v>46155</v>
      </c>
    </row>
    <row r="28" spans="2:33" x14ac:dyDescent="0.3">
      <c r="B28" s="24" t="s">
        <v>192</v>
      </c>
      <c r="C28" s="7" t="s">
        <v>195</v>
      </c>
      <c r="D28" s="12">
        <f>[25]Main!$D$3</f>
        <v>223.03</v>
      </c>
      <c r="E28" s="8">
        <f>[25]Main!$D$5</f>
        <v>41171.337999999996</v>
      </c>
      <c r="F28" s="8">
        <f>[25]Main!$D$8</f>
        <v>-631.59999999999991</v>
      </c>
      <c r="G28" s="8">
        <f>[25]Main!$D$9</f>
        <v>41802.937999999995</v>
      </c>
      <c r="H28" s="8">
        <f>[25]Model!W$21</f>
        <v>-4478.8999999999987</v>
      </c>
      <c r="I28" s="8">
        <f>[25]Model!X$21</f>
        <v>-355.49379200000084</v>
      </c>
      <c r="J28" s="8">
        <f>[25]Model!Y$21</f>
        <v>719.48988819999863</v>
      </c>
      <c r="K28" s="8">
        <f>[25]Model!Z$21</f>
        <v>1590.177174429999</v>
      </c>
      <c r="L28" s="8">
        <f>[25]Model!AA$21</f>
        <v>1621.9807179185991</v>
      </c>
      <c r="M28" s="9">
        <f t="shared" ref="M28:O31" si="11">$G28/H28</f>
        <v>-9.3333046060416631</v>
      </c>
      <c r="N28" s="9">
        <f t="shared" si="11"/>
        <v>-117.5911898905956</v>
      </c>
      <c r="O28" s="9">
        <f t="shared" si="11"/>
        <v>58.100799866112801</v>
      </c>
      <c r="P28" s="9">
        <f t="shared" si="9"/>
        <v>26.288226665675985</v>
      </c>
      <c r="Q28" s="9">
        <f t="shared" si="10"/>
        <v>25.772771240858809</v>
      </c>
      <c r="R28" s="9">
        <f>G28/[25]Model!$AG$21</f>
        <v>24.358308190658555</v>
      </c>
      <c r="S28" s="28">
        <f>[25]Model!$W$5</f>
        <v>5633.6</v>
      </c>
      <c r="T28" s="30">
        <f t="shared" si="8"/>
        <v>7.4202886253905129</v>
      </c>
      <c r="U28" s="11">
        <f>[25]Model!V$27</f>
        <v>-5.6075814501288512E-5</v>
      </c>
      <c r="V28" s="11">
        <f>[25]Model!W$27</f>
        <v>5.3088081351876815E-2</v>
      </c>
      <c r="W28" s="32">
        <f>[25]Model!$V$28</f>
        <v>0.41905936892477941</v>
      </c>
      <c r="X28" s="32">
        <f>[25]Model!$V$32</f>
        <v>-0.67119036937341092</v>
      </c>
      <c r="Y28" s="32"/>
      <c r="Z28" s="11">
        <f>[25]Model!$AK$29</f>
        <v>0.08</v>
      </c>
      <c r="AA28" s="11">
        <f>[25]Model!$AK$35</f>
        <v>-0.598297849392882</v>
      </c>
      <c r="AB28" s="7" t="str">
        <f>[25]Model!$AK$36</f>
        <v>Heavily overvalued</v>
      </c>
      <c r="AC28" s="7" t="s">
        <v>89</v>
      </c>
      <c r="AD28" s="7">
        <v>1993</v>
      </c>
      <c r="AF28" s="17">
        <f>[25]Main!$E$3</f>
        <v>46057</v>
      </c>
      <c r="AG28" s="17">
        <f>[25]Main!$G$3</f>
        <v>46156</v>
      </c>
    </row>
    <row r="29" spans="2:33" x14ac:dyDescent="0.3">
      <c r="B29" s="6" t="s">
        <v>186</v>
      </c>
      <c r="C29" s="7" t="s">
        <v>187</v>
      </c>
      <c r="D29" s="12">
        <f>[26]Main!$D$3</f>
        <v>68.849999999999994</v>
      </c>
      <c r="E29" s="8">
        <f>[26]Main!$D$5</f>
        <v>42342.75</v>
      </c>
      <c r="F29" s="8">
        <f>[26]Main!$D$8</f>
        <v>1980.4000000000005</v>
      </c>
      <c r="G29" s="8">
        <f>[26]Main!$D$9</f>
        <v>40362.35</v>
      </c>
      <c r="H29" s="8">
        <f>[26]Model!Y$30</f>
        <v>2897.1000000000013</v>
      </c>
      <c r="I29" s="8">
        <f>[26]Model!Z$30</f>
        <v>378.20919960000106</v>
      </c>
      <c r="J29" s="8">
        <f>[26]Model!AA$30</f>
        <v>1211.5398576160012</v>
      </c>
      <c r="K29" s="8">
        <f>[26]Model!AB$30</f>
        <v>1915.5502761472021</v>
      </c>
      <c r="L29" s="8">
        <f>[26]Model!AC$30</f>
        <v>2239.8032370161568</v>
      </c>
      <c r="M29" s="9">
        <f t="shared" si="11"/>
        <v>13.93198370784577</v>
      </c>
      <c r="N29" s="9">
        <f t="shared" si="11"/>
        <v>106.71964098887003</v>
      </c>
      <c r="O29" s="9">
        <f t="shared" si="11"/>
        <v>33.314917166177857</v>
      </c>
      <c r="P29" s="9">
        <f t="shared" si="9"/>
        <v>21.070890439473029</v>
      </c>
      <c r="Q29" s="9">
        <f t="shared" si="10"/>
        <v>18.020489180902477</v>
      </c>
      <c r="R29" s="9">
        <f>G29/[26]Model!$AJ$30</f>
        <v>13.366738111975041</v>
      </c>
      <c r="S29" s="28">
        <f>[26]Model!$Y$7</f>
        <v>24121.1</v>
      </c>
      <c r="T29" s="30">
        <f t="shared" si="8"/>
        <v>1.6733212830260644</v>
      </c>
      <c r="U29" s="11">
        <f>[26]Model!$X$38</f>
        <v>0.25006274384539928</v>
      </c>
      <c r="V29" s="11">
        <f>[26]Model!$Y$38</f>
        <v>0.10063607658471585</v>
      </c>
      <c r="W29" s="32">
        <f>[26]Model!$Y$43</f>
        <v>0.36851967779247219</v>
      </c>
      <c r="X29" s="32">
        <f>[26]Model!$Y$47</f>
        <v>3.6996654381433743E-2</v>
      </c>
      <c r="Y29" s="32"/>
      <c r="Z29" s="11">
        <f>[26]Model!$AN$36</f>
        <v>0.08</v>
      </c>
      <c r="AA29" s="11">
        <f>[26]Model!$AN$42</f>
        <v>-0.27339175189964471</v>
      </c>
      <c r="AB29" s="7" t="str">
        <f>[26]Model!$AN$43</f>
        <v>Slightly overvalued</v>
      </c>
      <c r="AC29" s="7" t="s">
        <v>94</v>
      </c>
      <c r="AD29" s="7">
        <v>2021</v>
      </c>
      <c r="AF29" s="17">
        <f>[26]Main!$E$3</f>
        <v>45855</v>
      </c>
      <c r="AG29" s="17">
        <f>[26]Main!$G$3</f>
        <v>45870</v>
      </c>
    </row>
    <row r="30" spans="2:33" x14ac:dyDescent="0.3">
      <c r="B30" s="24" t="s">
        <v>120</v>
      </c>
      <c r="C30" s="7" t="s">
        <v>121</v>
      </c>
      <c r="D30" s="12">
        <f>[27]Main!$D$3</f>
        <v>42.32</v>
      </c>
      <c r="E30" s="8">
        <f>[27]Main!$D$5</f>
        <v>38964.024000000005</v>
      </c>
      <c r="F30" s="8">
        <f>[27]Main!$D$8</f>
        <v>4765</v>
      </c>
      <c r="G30" s="8">
        <f>[27]Main!$D$9</f>
        <v>34199.024000000005</v>
      </c>
      <c r="H30" s="8">
        <f>[27]Model!AM17</f>
        <v>4147</v>
      </c>
      <c r="I30" s="8">
        <f>[27]Model!AN17</f>
        <v>5233</v>
      </c>
      <c r="J30" s="8">
        <f>[27]Model!AO17</f>
        <v>4319.9087999999992</v>
      </c>
      <c r="K30" s="8">
        <f>[27]Model!AP17</f>
        <v>4424.0556159999987</v>
      </c>
      <c r="L30" s="8">
        <f>[27]Model!AQ17</f>
        <v>4556.5269491199979</v>
      </c>
      <c r="M30" s="9">
        <f t="shared" si="11"/>
        <v>8.2466901374487591</v>
      </c>
      <c r="N30" s="9">
        <f t="shared" si="11"/>
        <v>6.5352616090196838</v>
      </c>
      <c r="O30" s="9">
        <f t="shared" si="11"/>
        <v>7.9166078691290913</v>
      </c>
      <c r="P30" s="9">
        <f t="shared" si="9"/>
        <v>7.7302427836386434</v>
      </c>
      <c r="Q30" s="9">
        <f t="shared" si="10"/>
        <v>7.5055024104718315</v>
      </c>
      <c r="R30" s="9">
        <f>G30/[27]Model!$AX$17</f>
        <v>6.8594912995294841</v>
      </c>
      <c r="S30" s="10">
        <f>[27]Model!$AN$3</f>
        <v>33172</v>
      </c>
      <c r="T30" s="31">
        <f t="shared" si="8"/>
        <v>1.030960569154709</v>
      </c>
      <c r="U30" s="11">
        <f>[27]Model!AL$21</f>
        <v>8.1873682680427384E-2</v>
      </c>
      <c r="V30" s="11">
        <f>[27]Model!AM$21</f>
        <v>6.8052803063383793E-2</v>
      </c>
      <c r="W30" s="11">
        <f>[27]Model!$AN$22</f>
        <v>0.41483781502471967</v>
      </c>
      <c r="X30" s="11">
        <f>[27]Model!$AN$26</f>
        <v>0.1828349210177258</v>
      </c>
      <c r="Y30" s="11">
        <f>[27]Model!$AN$28</f>
        <v>0.15775352707102375</v>
      </c>
      <c r="Z30" s="11">
        <f>[27]Model!$BB$23</f>
        <v>0.08</v>
      </c>
      <c r="AA30" s="11">
        <f>[27]Model!$BB$29</f>
        <v>0.59500038572816272</v>
      </c>
      <c r="AB30" s="7" t="str">
        <f>[27]Model!$BB$30</f>
        <v>Heavily undervalued</v>
      </c>
      <c r="AC30" s="7" t="s">
        <v>94</v>
      </c>
      <c r="AD30" s="7">
        <v>1998</v>
      </c>
      <c r="AF30" s="17">
        <f>[27]Main!$E$3</f>
        <v>46057</v>
      </c>
      <c r="AG30" s="17">
        <f>[27]Main!$G$3</f>
        <v>46147</v>
      </c>
    </row>
    <row r="31" spans="2:33" x14ac:dyDescent="0.3">
      <c r="B31" s="24" t="s">
        <v>132</v>
      </c>
      <c r="C31" s="7" t="s">
        <v>133</v>
      </c>
      <c r="D31" s="12">
        <f>[28]Main!$D$3</f>
        <v>71.349999999999994</v>
      </c>
      <c r="E31" s="8">
        <f>[28]Main!$D$5</f>
        <v>16888.544999999998</v>
      </c>
      <c r="F31" s="8">
        <f>[28]Main!$D$8</f>
        <v>-13596.4</v>
      </c>
      <c r="G31" s="8">
        <f>[28]Main!$D$9</f>
        <v>30484.945</v>
      </c>
      <c r="H31" s="8">
        <f>[28]Model!Y15</f>
        <v>1570.3999999999994</v>
      </c>
      <c r="I31" s="8">
        <f>[28]Model!Z15</f>
        <v>792.24295999999947</v>
      </c>
      <c r="J31" s="8">
        <f>[28]Model!AA15</f>
        <v>1260.677655</v>
      </c>
      <c r="K31" s="8">
        <f>[28]Model!AB15</f>
        <v>1383.5822551499998</v>
      </c>
      <c r="L31" s="8">
        <f>[28]Model!AC15</f>
        <v>1425.3677922630002</v>
      </c>
      <c r="M31" s="9">
        <f t="shared" si="11"/>
        <v>19.41221663270505</v>
      </c>
      <c r="N31" s="9">
        <f t="shared" si="11"/>
        <v>38.47928796994298</v>
      </c>
      <c r="O31" s="9">
        <f t="shared" si="11"/>
        <v>24.181395520966856</v>
      </c>
      <c r="P31" s="9">
        <f t="shared" si="9"/>
        <v>22.033344881757682</v>
      </c>
      <c r="Q31" s="9">
        <f t="shared" si="10"/>
        <v>21.387423769131374</v>
      </c>
      <c r="R31" s="9">
        <f>G31/[28]Model!$AJ$15</f>
        <v>17.526517723922034</v>
      </c>
      <c r="S31" s="28">
        <f>[28]Model!$Y$3</f>
        <v>10106</v>
      </c>
      <c r="T31" s="30">
        <f t="shared" si="8"/>
        <v>3.0165193944191571</v>
      </c>
      <c r="U31" s="11">
        <f>[28]Model!X$19</f>
        <v>7.562725611658272E-2</v>
      </c>
      <c r="V31" s="11">
        <f>[28]Model!Y$19</f>
        <v>4.6776599270798913E-2</v>
      </c>
      <c r="W31" s="32">
        <f>[28]Model!$Y$20</f>
        <v>0.6279339006530773</v>
      </c>
      <c r="X31" s="32">
        <f>[28]Model!$Y$22</f>
        <v>0.20389867405501677</v>
      </c>
      <c r="Y31" s="32"/>
      <c r="Z31" s="11">
        <f>[28]Model!$AN$21</f>
        <v>0.08</v>
      </c>
      <c r="AA31" s="11">
        <f>[28]Model!$AN$27</f>
        <v>-0.73163466684004341</v>
      </c>
      <c r="AB31" s="7" t="str">
        <f>[28]Model!$AN$28</f>
        <v>Heavily overvalued</v>
      </c>
      <c r="AC31" s="7" t="s">
        <v>94</v>
      </c>
      <c r="AD31" s="7">
        <v>1967</v>
      </c>
      <c r="AF31" s="17">
        <f>[28]Main!$E$3</f>
        <v>46052</v>
      </c>
      <c r="AG31" s="17">
        <f>[28]Main!$G$3</f>
        <v>46071</v>
      </c>
    </row>
    <row r="32" spans="2:33" x14ac:dyDescent="0.3">
      <c r="B32" s="24" t="s">
        <v>169</v>
      </c>
      <c r="C32" s="7" t="s">
        <v>170</v>
      </c>
      <c r="D32" s="12">
        <f>[29]Main!$D$3</f>
        <v>53.78</v>
      </c>
      <c r="E32" s="8">
        <f>[29]Main!$D$5</f>
        <v>32391.694</v>
      </c>
      <c r="F32" s="8">
        <f>[29]Main!$D$8</f>
        <v>1962.6</v>
      </c>
      <c r="G32" s="8">
        <f>[29]Main!$D$9</f>
        <v>30429.094000000001</v>
      </c>
      <c r="H32" s="8">
        <f>[29]Model!AB$21</f>
        <v>-10.799999999999976</v>
      </c>
      <c r="I32" s="8">
        <f>[29]Model!AC$21</f>
        <v>-8.7000000000006992</v>
      </c>
      <c r="J32" s="8">
        <f>[29]Model!AD$21</f>
        <v>59.682005999999859</v>
      </c>
      <c r="K32" s="8">
        <f>[29]Model!AE$21</f>
        <v>210.72357035999954</v>
      </c>
      <c r="L32" s="8">
        <f>[29]Model!AF$21</f>
        <v>352.07738558999949</v>
      </c>
      <c r="M32" s="9"/>
      <c r="N32" s="9">
        <f t="shared" ref="N32:O35" si="12">$G32/I32</f>
        <v>-3497.5970114939719</v>
      </c>
      <c r="O32" s="9">
        <f t="shared" si="12"/>
        <v>509.85374050597551</v>
      </c>
      <c r="P32" s="9">
        <f t="shared" si="9"/>
        <v>144.40289687582182</v>
      </c>
      <c r="Q32" s="9">
        <f t="shared" si="10"/>
        <v>86.427289128519135</v>
      </c>
      <c r="R32" s="9">
        <f>G32/[29]Model!$AM$21</f>
        <v>33.180786845605574</v>
      </c>
      <c r="S32" s="10">
        <f>[29]Model!$AC$6</f>
        <v>2246.9999999999995</v>
      </c>
      <c r="T32" s="31">
        <f t="shared" si="8"/>
        <v>13.54209790832221</v>
      </c>
      <c r="U32" s="11">
        <f>[29]Model!AA$28</f>
        <v>0.98365076689701625</v>
      </c>
      <c r="V32" s="11">
        <f>[29]Model!AB$28</f>
        <v>0.52978162970515763</v>
      </c>
      <c r="W32" s="32"/>
      <c r="X32" s="32"/>
      <c r="Y32" s="32"/>
      <c r="Z32" s="11">
        <f>[29]Model!$AQ$27</f>
        <v>0.08</v>
      </c>
      <c r="AA32" s="11">
        <f>[29]Model!$AQ$33</f>
        <v>-0.69568941333975309</v>
      </c>
      <c r="AB32" s="7" t="str">
        <f>[29]Model!$AQ$34</f>
        <v>Heavily overvalued</v>
      </c>
      <c r="AC32" s="7" t="s">
        <v>171</v>
      </c>
      <c r="AD32" s="7">
        <v>2020</v>
      </c>
      <c r="AF32" s="17">
        <f>[29]Main!$E$3</f>
        <v>46059</v>
      </c>
      <c r="AG32" s="17">
        <f>[29]Main!$G$3</f>
        <v>46154</v>
      </c>
    </row>
    <row r="33" spans="2:33" x14ac:dyDescent="0.3">
      <c r="B33" s="24" t="s">
        <v>122</v>
      </c>
      <c r="C33" s="7" t="s">
        <v>134</v>
      </c>
      <c r="D33" s="12">
        <f>[30]Main!$D$3</f>
        <v>165.1</v>
      </c>
      <c r="E33" s="8">
        <f>[30]Main!$D$5</f>
        <v>31369</v>
      </c>
      <c r="F33" s="8">
        <f>[30]Main!$D$8</f>
        <v>2476.8000000000002</v>
      </c>
      <c r="G33" s="8">
        <f>E33-F33</f>
        <v>28892.2</v>
      </c>
      <c r="H33" s="8">
        <f>[30]Model!Z13</f>
        <v>-484.2000000000001</v>
      </c>
      <c r="I33" s="8">
        <f>[30]Model!AA13</f>
        <v>529.50000000000011</v>
      </c>
      <c r="J33" s="8">
        <f>[30]Model!AB13</f>
        <v>940.75790000000006</v>
      </c>
      <c r="K33" s="8">
        <f>[30]Model!AC13</f>
        <v>1477.3608345</v>
      </c>
      <c r="L33" s="8">
        <f>[30]Model!AD13</f>
        <v>1839.7361427850003</v>
      </c>
      <c r="M33" s="9"/>
      <c r="N33" s="9">
        <f t="shared" si="12"/>
        <v>54.565061378659102</v>
      </c>
      <c r="O33" s="9">
        <f t="shared" si="12"/>
        <v>30.711620917560193</v>
      </c>
      <c r="P33" s="9">
        <f t="shared" si="9"/>
        <v>19.556630530129301</v>
      </c>
      <c r="Q33" s="9">
        <f t="shared" si="10"/>
        <v>15.704534649334478</v>
      </c>
      <c r="R33" s="9">
        <f>G33/[30]Model!$AK$13</f>
        <v>9.6817272471494906</v>
      </c>
      <c r="S33" s="10">
        <f>[30]Model!$AA$3</f>
        <v>2202.5</v>
      </c>
      <c r="T33" s="31">
        <f t="shared" si="8"/>
        <v>13.117911464245177</v>
      </c>
      <c r="U33" s="11">
        <f>[30]Model!Y$17</f>
        <v>0.2059397030148491</v>
      </c>
      <c r="V33" s="11">
        <f>[30]Model!Z$17</f>
        <v>0.61728855721393039</v>
      </c>
      <c r="W33" s="11">
        <f>[30]Model!$AA$18</f>
        <v>0.91182746878547105</v>
      </c>
      <c r="X33" s="11">
        <f>[30]Model!$AA$22</f>
        <v>0.20063564131668563</v>
      </c>
      <c r="Y33" s="11">
        <f>[30]Model!$AA$24</f>
        <v>0.24040862656072651</v>
      </c>
      <c r="Z33" s="11">
        <f>[30]Model!$AN$19</f>
        <v>0.08</v>
      </c>
      <c r="AA33" s="11">
        <f>[30]Model!$AN$25</f>
        <v>4.7006198858159376E-3</v>
      </c>
      <c r="AB33" s="7" t="str">
        <f>[30]Model!$AN$26</f>
        <v>Fairly valued</v>
      </c>
      <c r="AC33" s="7" t="s">
        <v>54</v>
      </c>
      <c r="AD33" s="7">
        <v>2005</v>
      </c>
      <c r="AF33" s="17">
        <f>[30]Main!$E$3</f>
        <v>46059</v>
      </c>
      <c r="AG33" s="17">
        <f>[30]Main!$G$3</f>
        <v>46154</v>
      </c>
    </row>
    <row r="34" spans="2:33" x14ac:dyDescent="0.3">
      <c r="B34" s="24" t="s">
        <v>137</v>
      </c>
      <c r="C34" s="7" t="s">
        <v>138</v>
      </c>
      <c r="D34" s="12">
        <f>[31]Main!$D$3</f>
        <v>21.76</v>
      </c>
      <c r="E34" s="8">
        <f>[31]Main!$D$5</f>
        <v>26608.128000000001</v>
      </c>
      <c r="F34" s="8">
        <f>[31]Main!$D$8</f>
        <v>5689.9000000000005</v>
      </c>
      <c r="G34" s="8">
        <f>[31]Main!$D$9</f>
        <v>20918.227999999999</v>
      </c>
      <c r="H34" s="8">
        <f>[31]Model!AD17</f>
        <v>481.5999999999998</v>
      </c>
      <c r="I34" s="8">
        <f>[31]Model!AE17</f>
        <v>731.76397999999961</v>
      </c>
      <c r="J34" s="8">
        <f>[31]Model!AF17</f>
        <v>1047.1452089999996</v>
      </c>
      <c r="K34" s="8">
        <f>[31]Model!AG17</f>
        <v>1324.2737169800002</v>
      </c>
      <c r="L34" s="8">
        <f>[31]Model!AH17</f>
        <v>1481.5878967467988</v>
      </c>
      <c r="M34" s="9">
        <f>$G34/H34</f>
        <v>43.434858803986728</v>
      </c>
      <c r="N34" s="9">
        <f t="shared" si="12"/>
        <v>28.586031250130691</v>
      </c>
      <c r="O34" s="9">
        <f t="shared" si="12"/>
        <v>19.97643480599643</v>
      </c>
      <c r="P34" s="9">
        <f t="shared" si="9"/>
        <v>15.796000276818841</v>
      </c>
      <c r="Q34" s="9">
        <f t="shared" si="10"/>
        <v>14.118789743039386</v>
      </c>
      <c r="R34" s="9">
        <f>G34/[31]Model!$AN$17</f>
        <v>10.922748541897288</v>
      </c>
      <c r="S34" s="10">
        <f>[31]Model!$AD$7</f>
        <v>4769.6000000000004</v>
      </c>
      <c r="T34" s="31">
        <f t="shared" si="8"/>
        <v>4.3857405233143236</v>
      </c>
      <c r="U34" s="11">
        <f>[31]Model!AB$24</f>
        <v>0.65216157948485232</v>
      </c>
      <c r="V34" s="11">
        <f>[31]Model!AC$24</f>
        <v>0.29329349953641692</v>
      </c>
      <c r="W34" s="11">
        <f>[31]Model!$AD$25</f>
        <v>0.62992703790674265</v>
      </c>
      <c r="X34" s="11">
        <f>[31]Model!$AD$28</f>
        <v>0.12766269708151626</v>
      </c>
      <c r="Y34" s="11">
        <f>[31]Model!$AD$32</f>
        <v>0.10097282791009723</v>
      </c>
      <c r="Z34" s="11">
        <f>[31]Model!$AR$23</f>
        <v>0.08</v>
      </c>
      <c r="AA34" s="11">
        <f>[31]Model!$AR$29</f>
        <v>-5.6000159009118478E-2</v>
      </c>
      <c r="AB34" s="7" t="str">
        <f>[31]Model!$AR$30</f>
        <v>Fairly valued</v>
      </c>
      <c r="AC34" s="7" t="s">
        <v>94</v>
      </c>
      <c r="AD34" s="7">
        <v>2011</v>
      </c>
      <c r="AF34" s="17">
        <f>[31]Main!$E$3</f>
        <v>46057</v>
      </c>
      <c r="AG34" s="17">
        <f>[31]Main!$G$3</f>
        <v>46146</v>
      </c>
    </row>
    <row r="35" spans="2:33" x14ac:dyDescent="0.3">
      <c r="B35" s="24" t="s">
        <v>39</v>
      </c>
      <c r="C35" s="7" t="s">
        <v>40</v>
      </c>
      <c r="D35" s="12">
        <f>[32]Main!$D$3</f>
        <v>84.96</v>
      </c>
      <c r="E35" s="8">
        <f>[32]Main!$D$5</f>
        <v>25156.655999999999</v>
      </c>
      <c r="F35" s="8">
        <f>[32]Main!$D$8</f>
        <v>8995.9</v>
      </c>
      <c r="G35" s="8">
        <f>[32]Main!$D$9</f>
        <v>16160.755999999999</v>
      </c>
      <c r="H35" s="8">
        <f>[32]Model!AP14</f>
        <v>1009.8999999999994</v>
      </c>
      <c r="I35" s="8">
        <f>[32]Model!AQ14</f>
        <v>1540.0216</v>
      </c>
      <c r="J35" s="8">
        <f>[32]Model!AR14</f>
        <v>1597.0209684000004</v>
      </c>
      <c r="K35" s="8">
        <f>[32]Model!AS14</f>
        <v>1608.9115617120005</v>
      </c>
      <c r="L35" s="8">
        <f>[32]Model!AT14</f>
        <v>1627.8930240362406</v>
      </c>
      <c r="M35" s="9">
        <f>$G35/H35</f>
        <v>16.002332904247954</v>
      </c>
      <c r="N35" s="9">
        <f t="shared" si="12"/>
        <v>10.493850216126837</v>
      </c>
      <c r="O35" s="9">
        <f t="shared" si="12"/>
        <v>10.119313596859595</v>
      </c>
      <c r="P35" s="9">
        <f t="shared" si="9"/>
        <v>10.044527234799508</v>
      </c>
      <c r="Q35" s="9">
        <f t="shared" si="10"/>
        <v>9.9274066301547244</v>
      </c>
      <c r="R35" s="9">
        <f>G35/[32]Model!$AZ$14</f>
        <v>8.8954796191246004</v>
      </c>
      <c r="S35" s="10">
        <f>[32]Model!$AQ$3</f>
        <v>4854.2</v>
      </c>
      <c r="T35" s="31">
        <f t="shared" si="8"/>
        <v>3.3292315932594456</v>
      </c>
      <c r="U35" s="11">
        <f>[32]Model!AO$18</f>
        <v>3.0571363532893248E-2</v>
      </c>
      <c r="V35" s="11">
        <f>[32]Model!AP$18</f>
        <v>3.0481744085878892E-2</v>
      </c>
      <c r="W35" s="11">
        <f>[32]Model!$AQ$19</f>
        <v>0.7745148531168885</v>
      </c>
      <c r="X35" s="11">
        <f>[32]Model!$AQ$20</f>
        <v>0.24017387005067778</v>
      </c>
      <c r="Y35" s="11">
        <f>[32]Model!$AQ$25</f>
        <v>0.31725549009105519</v>
      </c>
      <c r="Z35" s="11">
        <f>[32]Model!$BC$21</f>
        <v>0.08</v>
      </c>
      <c r="AA35" s="11">
        <f>[32]Model!$BC$27</f>
        <v>0.16847343939271942</v>
      </c>
      <c r="AB35" s="7" t="str">
        <f>[32]Model!$BC$28</f>
        <v>Slightly undervalued</v>
      </c>
      <c r="AC35" s="7" t="s">
        <v>54</v>
      </c>
      <c r="AD35" s="7">
        <v>2011</v>
      </c>
      <c r="AF35" s="17">
        <f>[32]Main!$E$3</f>
        <v>45990</v>
      </c>
      <c r="AG35" s="17">
        <f>[32]Main!$G$3</f>
        <v>46083</v>
      </c>
    </row>
    <row r="36" spans="2:33" x14ac:dyDescent="0.3">
      <c r="B36" s="24" t="s">
        <v>173</v>
      </c>
      <c r="C36" s="7" t="s">
        <v>174</v>
      </c>
      <c r="D36" s="12">
        <f>[33]Main!$D$3</f>
        <v>38.46</v>
      </c>
      <c r="E36" s="8">
        <f>[33]Main!$D$5</f>
        <v>14099.436000000002</v>
      </c>
      <c r="F36" s="8">
        <f>[33]Main!$D$8</f>
        <v>3336.7999999999997</v>
      </c>
      <c r="G36" s="8">
        <f>[33]Main!$D$9</f>
        <v>10762.636000000002</v>
      </c>
      <c r="H36" s="8">
        <f>[33]Model!AE$18</f>
        <v>-331.7</v>
      </c>
      <c r="I36" s="8">
        <f>[33]Model!AF$18</f>
        <v>-512.19999999999982</v>
      </c>
      <c r="J36" s="8">
        <f>[33]Model!AG$18</f>
        <v>-600.21709999999996</v>
      </c>
      <c r="K36" s="8">
        <f>[33]Model!AH$18</f>
        <v>-588.03544000000011</v>
      </c>
      <c r="L36" s="8">
        <f>[33]Model!AI$18</f>
        <v>-542.37045590000014</v>
      </c>
      <c r="M36" s="9"/>
      <c r="N36" s="9">
        <f>$G36/I36</f>
        <v>-21.012565404139021</v>
      </c>
      <c r="O36" s="9"/>
      <c r="P36" s="9"/>
      <c r="Q36" s="9"/>
      <c r="R36" s="9">
        <f>G36/[33]Model!$AP$18</f>
        <v>22.123553383979431</v>
      </c>
      <c r="S36" s="10">
        <f>[33]Model!$AF$3</f>
        <v>130.1</v>
      </c>
      <c r="T36" s="31">
        <f t="shared" si="8"/>
        <v>82.725872405841685</v>
      </c>
      <c r="U36" s="11">
        <f>[33]Model!AD$22</f>
        <v>0.96428571428571441</v>
      </c>
      <c r="V36" s="11">
        <f>[33]Model!AE$22</f>
        <v>0.95909090909090877</v>
      </c>
      <c r="W36" s="11">
        <f>[33]Model!$AF$23</f>
        <v>0.40430438124519597</v>
      </c>
      <c r="X36" s="11">
        <f>[33]Model!$AF$28</f>
        <v>-4.8708685626441195</v>
      </c>
      <c r="Y36" s="11">
        <f>[33]Model!$AF$30</f>
        <v>-3.9369715603382001</v>
      </c>
      <c r="Z36" s="11">
        <f>[33]Model!$AT$24</f>
        <v>0.08</v>
      </c>
      <c r="AA36" s="11">
        <f>[33]Model!$AT$30</f>
        <v>-0.74864535243623043</v>
      </c>
      <c r="AB36" s="7" t="str">
        <f>[33]Model!$AT$31</f>
        <v>Heavily overvalued</v>
      </c>
      <c r="AC36" s="7" t="s">
        <v>175</v>
      </c>
      <c r="AD36" s="7">
        <v>2015</v>
      </c>
      <c r="AF36" s="17">
        <f>[33]Main!$E$3</f>
        <v>46079</v>
      </c>
      <c r="AG36" s="17">
        <f>[33]Main!$G$3</f>
        <v>46155</v>
      </c>
    </row>
    <row r="37" spans="2:33" x14ac:dyDescent="0.3">
      <c r="B37" s="24" t="s">
        <v>71</v>
      </c>
      <c r="C37" s="7" t="s">
        <v>72</v>
      </c>
      <c r="D37" s="12">
        <f>[34]Main!$D$3</f>
        <v>94.56</v>
      </c>
      <c r="E37" s="8">
        <f>[34]Main!$D$5</f>
        <v>13947.6</v>
      </c>
      <c r="F37" s="8">
        <f>[34]Main!$D$8</f>
        <v>2253.3000000000002</v>
      </c>
      <c r="G37" s="8">
        <f>[34]Main!$D$9</f>
        <v>11694.3</v>
      </c>
      <c r="H37" s="8">
        <f>[34]Model!AP18</f>
        <v>-129.40000000000018</v>
      </c>
      <c r="I37" s="8">
        <f>[34]Model!AQ18</f>
        <v>49.689167999999746</v>
      </c>
      <c r="J37" s="8">
        <f>[34]Model!AR18</f>
        <v>214.67422976000043</v>
      </c>
      <c r="K37" s="8">
        <f>[34]Model!AS18</f>
        <v>400.22347467520018</v>
      </c>
      <c r="L37" s="8">
        <f>[34]Model!AT18</f>
        <v>527.01562929769625</v>
      </c>
      <c r="M37" s="9"/>
      <c r="N37" s="9"/>
      <c r="O37" s="9">
        <f t="shared" ref="O37:Q44" si="13">$G37/J37</f>
        <v>54.474633555568772</v>
      </c>
      <c r="P37" s="9">
        <f t="shared" si="13"/>
        <v>29.219425495944392</v>
      </c>
      <c r="Q37" s="9">
        <f t="shared" si="13"/>
        <v>22.189664499293663</v>
      </c>
      <c r="R37" s="9">
        <f>G37/[34]Model!$BA$18</f>
        <v>15.797799571244351</v>
      </c>
      <c r="S37" s="10">
        <f>[34]Model!$AQ$5</f>
        <v>4693.7239999999993</v>
      </c>
      <c r="T37" s="31">
        <f t="shared" si="8"/>
        <v>2.491475851583945</v>
      </c>
      <c r="U37" s="11">
        <f>[34]Model!AO$24</f>
        <v>0.11452969584546024</v>
      </c>
      <c r="V37" s="11">
        <f>[34]Model!AP$24</f>
        <v>0.18018250688705217</v>
      </c>
      <c r="W37" s="11">
        <f>[34]Model!$AQ$27</f>
        <v>0.44279883094958289</v>
      </c>
      <c r="X37" s="11">
        <f>[34]Model!$AQ$28</f>
        <v>-6.9873175329440507E-3</v>
      </c>
      <c r="Y37" s="11">
        <f>[34]Model!$AQ$33</f>
        <v>1.0586299492684222E-2</v>
      </c>
      <c r="Z37" s="11">
        <f>[34]Model!$BD$26</f>
        <v>0.09</v>
      </c>
      <c r="AA37" s="11">
        <f>[34]Model!$BD$32</f>
        <v>-0.44699675376739123</v>
      </c>
      <c r="AB37" s="7" t="str">
        <f>[34]Model!$BD$33</f>
        <v>Overvalued</v>
      </c>
      <c r="AC37" s="7" t="s">
        <v>52</v>
      </c>
      <c r="AD37" s="7">
        <v>2002</v>
      </c>
      <c r="AF37" s="17">
        <f>[34]Main!$E$3</f>
        <v>45961</v>
      </c>
      <c r="AG37" s="17">
        <f>[34]Main!$G$3</f>
        <v>46065</v>
      </c>
    </row>
    <row r="38" spans="2:33" x14ac:dyDescent="0.3">
      <c r="B38" s="24" t="s">
        <v>104</v>
      </c>
      <c r="C38" s="7" t="s">
        <v>105</v>
      </c>
      <c r="D38" s="12">
        <f>[35]Main!$D$3</f>
        <v>88.17</v>
      </c>
      <c r="E38" s="8">
        <f>[35]Main!$D$5</f>
        <v>12925.722</v>
      </c>
      <c r="F38" s="8">
        <f>[35]Main!$D$8</f>
        <v>1817.8</v>
      </c>
      <c r="G38" s="8">
        <f>[35]Main!$D$9</f>
        <v>11107.922</v>
      </c>
      <c r="H38" s="8">
        <f>[35]Model!AV$18</f>
        <v>631.49999999999989</v>
      </c>
      <c r="I38" s="8">
        <f>[35]Model!AW$18</f>
        <v>680.5706707999999</v>
      </c>
      <c r="J38" s="8">
        <f>[35]Model!AX$18</f>
        <v>737.82239883600005</v>
      </c>
      <c r="K38" s="8">
        <f>[35]Model!AY$18</f>
        <v>759.84491622108033</v>
      </c>
      <c r="L38" s="8">
        <f>[35]Model!AZ$18</f>
        <v>775.17897719150164</v>
      </c>
      <c r="M38" s="9">
        <f t="shared" ref="M38:N44" si="14">$G38/H38</f>
        <v>17.589741884402223</v>
      </c>
      <c r="N38" s="9">
        <f t="shared" si="14"/>
        <v>16.32148206878033</v>
      </c>
      <c r="O38" s="9">
        <f t="shared" si="13"/>
        <v>15.055007841350477</v>
      </c>
      <c r="P38" s="9">
        <f t="shared" si="13"/>
        <v>14.618669892854951</v>
      </c>
      <c r="Q38" s="9">
        <f t="shared" si="13"/>
        <v>14.329493351644235</v>
      </c>
      <c r="R38" s="9">
        <f>G38/[35]Model!$BF$18</f>
        <v>12.711140685977366</v>
      </c>
      <c r="S38" s="10">
        <f>[35]Model!$AW$3</f>
        <v>4826.3240000000005</v>
      </c>
      <c r="T38" s="31">
        <f t="shared" si="8"/>
        <v>2.3015284510530165</v>
      </c>
      <c r="U38" s="11">
        <f>[35]Model!AU$22</f>
        <v>-5.2964374628214017E-2</v>
      </c>
      <c r="V38" s="11">
        <f>[35]Model!AV$22</f>
        <v>5.9648714667907221E-2</v>
      </c>
      <c r="W38" s="11">
        <f>[35]Model!$AW$23</f>
        <v>0.42983859351340686</v>
      </c>
      <c r="X38" s="11">
        <f>[35]Model!$AW$24</f>
        <v>0.15874581979991392</v>
      </c>
      <c r="Y38" s="11">
        <f>[35]Model!$AW$29</f>
        <v>0.14101222188978607</v>
      </c>
      <c r="Z38" s="11">
        <f>[35]Model!$BI$25</f>
        <v>0.09</v>
      </c>
      <c r="AA38" s="11">
        <f>[35]Model!$BI$31</f>
        <v>-0.18893394730262347</v>
      </c>
      <c r="AB38" s="7" t="str">
        <f>[35]Model!$BI$32</f>
        <v>Slightly overvalued</v>
      </c>
      <c r="AC38" s="7" t="s">
        <v>84</v>
      </c>
      <c r="AD38" s="7">
        <v>1981</v>
      </c>
      <c r="AF38" s="17">
        <f>[35]Main!$E$3</f>
        <v>46056</v>
      </c>
      <c r="AG38" s="17">
        <f>[35]Main!$G$3</f>
        <v>46146</v>
      </c>
    </row>
    <row r="39" spans="2:33" x14ac:dyDescent="0.3">
      <c r="B39" s="24" t="s">
        <v>67</v>
      </c>
      <c r="C39" s="7" t="s">
        <v>69</v>
      </c>
      <c r="D39" s="12">
        <f>[36]Main!$D$3</f>
        <v>5.12</v>
      </c>
      <c r="E39" s="8">
        <f>[36]Main!$D$5</f>
        <v>8757.76</v>
      </c>
      <c r="F39" s="8">
        <f>[36]Main!$D$8</f>
        <v>-596.30000000000018</v>
      </c>
      <c r="G39" s="8">
        <f>[36]Main!$D$9</f>
        <v>9354.0600000000013</v>
      </c>
      <c r="H39" s="8">
        <f>[36]Model!AU$46</f>
        <v>218.80000000000013</v>
      </c>
      <c r="I39" s="8">
        <f>[36]Model!AV$46</f>
        <v>437.30000000000041</v>
      </c>
      <c r="J39" s="8">
        <f>[36]Model!AW$46</f>
        <v>683.47831200000064</v>
      </c>
      <c r="K39" s="8">
        <f>[36]Model!AX$46</f>
        <v>840.78478867200033</v>
      </c>
      <c r="L39" s="8">
        <f>[36]Model!AY$46</f>
        <v>889.86147020275246</v>
      </c>
      <c r="M39" s="9">
        <f t="shared" si="14"/>
        <v>42.751645338208391</v>
      </c>
      <c r="N39" s="9">
        <f t="shared" si="14"/>
        <v>21.390487079807894</v>
      </c>
      <c r="O39" s="9">
        <f t="shared" si="13"/>
        <v>13.685964625019428</v>
      </c>
      <c r="P39" s="9">
        <f t="shared" si="13"/>
        <v>11.125391569909961</v>
      </c>
      <c r="Q39" s="9">
        <f t="shared" si="13"/>
        <v>10.511815954756086</v>
      </c>
      <c r="R39" s="9">
        <f>G39/[36]Model!$BF$46</f>
        <v>8.7360257042726577</v>
      </c>
      <c r="S39" s="10">
        <f>[36]Model!$AV$3</f>
        <v>5931.4000000000005</v>
      </c>
      <c r="T39" s="31">
        <f t="shared" si="8"/>
        <v>1.5770408335300268</v>
      </c>
      <c r="U39" s="11">
        <f>[36]Model!AT$19</f>
        <v>9.561475944195319E-4</v>
      </c>
      <c r="V39" s="11">
        <f>[36]Model!AU$19</f>
        <v>0.16395293300334335</v>
      </c>
      <c r="W39" s="11">
        <f>[36]Model!$AV$20</f>
        <v>0.54993762012341108</v>
      </c>
      <c r="X39" s="11">
        <f>[36]Model!$AV$21</f>
        <v>-8.972586573153038E-2</v>
      </c>
      <c r="Y39" s="11">
        <f>[36]Model!$AV$26</f>
        <v>-7.7620797788043164E-2</v>
      </c>
      <c r="Z39" s="11">
        <f>[36]Model!$BI$22</f>
        <v>0.09</v>
      </c>
      <c r="AA39" s="11">
        <f>[36]Model!$BI$54</f>
        <v>0.11702749588207562</v>
      </c>
      <c r="AB39" s="7" t="str">
        <f>[36]Model!$BI$55</f>
        <v>Slightly undervalued</v>
      </c>
      <c r="AC39" s="7" t="s">
        <v>54</v>
      </c>
      <c r="AD39" s="7">
        <v>2011</v>
      </c>
      <c r="AF39" s="17">
        <f>[36]Main!$E$3</f>
        <v>46059</v>
      </c>
      <c r="AG39" s="17">
        <f>[36]Main!$G$3</f>
        <v>46128</v>
      </c>
    </row>
    <row r="40" spans="2:33" x14ac:dyDescent="0.3">
      <c r="B40" s="24" t="s">
        <v>184</v>
      </c>
      <c r="C40" s="7" t="s">
        <v>185</v>
      </c>
      <c r="D40" s="12">
        <f>[37]Main!$D$3</f>
        <v>66.900000000000006</v>
      </c>
      <c r="E40" s="8">
        <f>[37]Main!$D$5</f>
        <v>6067.8300000000008</v>
      </c>
      <c r="F40" s="8">
        <f>[37]Main!$D$8</f>
        <v>-3207.7</v>
      </c>
      <c r="G40" s="8">
        <f>[37]Main!$D$9</f>
        <v>9275.5300000000007</v>
      </c>
      <c r="H40" s="8">
        <f>[37]Model!Z$24</f>
        <v>199.2000000000003</v>
      </c>
      <c r="I40" s="8">
        <f>[37]Model!AA$24</f>
        <v>72.26239000000038</v>
      </c>
      <c r="J40" s="8">
        <f>[37]Model!AB$24</f>
        <v>422.61548459999995</v>
      </c>
      <c r="K40" s="8">
        <f>[37]Model!AC$24</f>
        <v>480.65083388099998</v>
      </c>
      <c r="L40" s="8">
        <f>[37]Model!AD$24</f>
        <v>548.64538790430004</v>
      </c>
      <c r="M40" s="9">
        <f t="shared" si="14"/>
        <v>46.563905622489891</v>
      </c>
      <c r="N40" s="9">
        <f t="shared" si="14"/>
        <v>128.35902604383762</v>
      </c>
      <c r="O40" s="9">
        <f t="shared" si="13"/>
        <v>21.947917996377178</v>
      </c>
      <c r="P40" s="9">
        <f t="shared" si="13"/>
        <v>19.297854796391441</v>
      </c>
      <c r="Q40" s="9">
        <f t="shared" si="13"/>
        <v>16.906238901288145</v>
      </c>
      <c r="R40" s="9">
        <f>G40/[37]Model!$AK$24</f>
        <v>12.587658913181059</v>
      </c>
      <c r="S40" s="28">
        <f>[37]Model!$Z$3</f>
        <v>3330.6000000000004</v>
      </c>
      <c r="T40" s="30">
        <f t="shared" si="8"/>
        <v>2.78494265297544</v>
      </c>
      <c r="U40" s="11"/>
      <c r="V40" s="11">
        <f>[37]Model!$Z$28</f>
        <v>0.29858078602620086</v>
      </c>
      <c r="W40" s="32">
        <f>[37]Model!$Z$29</f>
        <v>0.29216957905482505</v>
      </c>
      <c r="X40" s="32">
        <f>[37]Model!$Z$33</f>
        <v>7.4160811865729995E-2</v>
      </c>
      <c r="Y40" s="32"/>
      <c r="Z40" s="11">
        <f>[37]Model!$AO$31</f>
        <v>0.09</v>
      </c>
      <c r="AA40" s="11">
        <f>[37]Model!$AO$37</f>
        <v>-0.4883671937771461</v>
      </c>
      <c r="AB40" s="7" t="str">
        <f>[37]Model!$AO$38</f>
        <v>Overvalued</v>
      </c>
      <c r="AC40" s="7" t="s">
        <v>94</v>
      </c>
      <c r="AD40" s="7">
        <v>1999</v>
      </c>
      <c r="AF40" s="17">
        <f>[37]Main!$E$3</f>
        <v>46001</v>
      </c>
      <c r="AG40" s="17">
        <f>[37]Main!$G$3</f>
        <v>46084</v>
      </c>
    </row>
    <row r="41" spans="2:33" x14ac:dyDescent="0.3">
      <c r="B41" s="24" t="s">
        <v>59</v>
      </c>
      <c r="C41" s="7" t="s">
        <v>60</v>
      </c>
      <c r="D41" s="12">
        <f>[38]Main!$D$3</f>
        <v>168</v>
      </c>
      <c r="E41" s="8">
        <f>[38]Main!$D$5</f>
        <v>9340.8000000000011</v>
      </c>
      <c r="F41" s="8">
        <f>[38]Main!$D$8</f>
        <v>989.3</v>
      </c>
      <c r="G41" s="8">
        <f>[38]Main!$D$9</f>
        <v>8351.5000000000018</v>
      </c>
      <c r="H41" s="8">
        <f>[38]Model!AZ$13</f>
        <v>454.49999999999966</v>
      </c>
      <c r="I41" s="8">
        <f>[38]Model!BA$13</f>
        <v>387.49204200000065</v>
      </c>
      <c r="J41" s="8">
        <f>[38]Model!BB$13</f>
        <v>614.85528780000004</v>
      </c>
      <c r="K41" s="8">
        <f>[38]Model!BC$13</f>
        <v>668.63723705999985</v>
      </c>
      <c r="L41" s="8">
        <f>[38]Model!BD$13</f>
        <v>704.64354190775975</v>
      </c>
      <c r="M41" s="9">
        <f t="shared" si="14"/>
        <v>18.375137513751394</v>
      </c>
      <c r="N41" s="9">
        <f t="shared" si="14"/>
        <v>21.552700687463378</v>
      </c>
      <c r="O41" s="9">
        <f t="shared" si="13"/>
        <v>13.582870905904246</v>
      </c>
      <c r="P41" s="9">
        <f t="shared" si="13"/>
        <v>12.490330387104336</v>
      </c>
      <c r="Q41" s="9">
        <f t="shared" si="13"/>
        <v>11.852091878099184</v>
      </c>
      <c r="R41" s="9">
        <f>G41/[38]Model!$BK$13</f>
        <v>8.8713312491234113</v>
      </c>
      <c r="S41" s="10">
        <f>[38]Model!$BA$3</f>
        <v>5435.1130000000003</v>
      </c>
      <c r="T41" s="31">
        <f t="shared" si="8"/>
        <v>1.5365825880713062</v>
      </c>
      <c r="U41" s="11">
        <f>[38]Model!AY$17</f>
        <v>-2.7815200945136453E-2</v>
      </c>
      <c r="V41" s="11">
        <f>[38]Model!AZ$17</f>
        <v>7.9735635859716769E-3</v>
      </c>
      <c r="W41" s="11">
        <f>[38]Model!$BA$18</f>
        <v>0.28812352199485097</v>
      </c>
      <c r="X41" s="11">
        <f>[38]Model!$BA$19</f>
        <v>9.540848552734793E-2</v>
      </c>
      <c r="Y41" s="11">
        <f>[38]Model!$BA$22</f>
        <v>7.129420161089578E-2</v>
      </c>
      <c r="Z41" s="11">
        <f>[38]Model!$BN$20</f>
        <v>0.09</v>
      </c>
      <c r="AA41" s="11">
        <f>[38]Model!$BN$26</f>
        <v>9.1685329711141961E-3</v>
      </c>
      <c r="AB41" s="7" t="str">
        <f>[38]Model!$BN$27</f>
        <v>Fairly valued</v>
      </c>
      <c r="AC41" s="7" t="s">
        <v>53</v>
      </c>
      <c r="AD41" s="7">
        <v>1993</v>
      </c>
      <c r="AF41" s="17">
        <f>[38]Main!$E$3</f>
        <v>45967</v>
      </c>
      <c r="AG41" s="17">
        <f>[38]Main!$G$3</f>
        <v>46065</v>
      </c>
    </row>
    <row r="42" spans="2:33" x14ac:dyDescent="0.3">
      <c r="B42" s="24" t="s">
        <v>167</v>
      </c>
      <c r="C42" s="7" t="s">
        <v>168</v>
      </c>
      <c r="D42" s="12">
        <f>[39]Main!$D$3</f>
        <v>273.54000000000002</v>
      </c>
      <c r="E42" s="8">
        <f>[39]Main!$D$5</f>
        <v>8042.076</v>
      </c>
      <c r="F42" s="8">
        <f>[39]Main!$D$8</f>
        <v>694.3</v>
      </c>
      <c r="G42" s="8">
        <f>[39]Main!$D$9</f>
        <v>7347.7759999999998</v>
      </c>
      <c r="H42" s="8">
        <f>[39]Model!AC$18</f>
        <v>183.79999999999995</v>
      </c>
      <c r="I42" s="8">
        <f>[39]Model!AD$18</f>
        <v>292.00170049999997</v>
      </c>
      <c r="J42" s="8">
        <f>[39]Model!AE$18</f>
        <v>355.13461635000004</v>
      </c>
      <c r="K42" s="8">
        <f>[39]Model!AF$18</f>
        <v>412.26851382449996</v>
      </c>
      <c r="L42" s="8">
        <f>[39]Model!AG$18</f>
        <v>458.17865373511</v>
      </c>
      <c r="M42" s="9">
        <f t="shared" si="14"/>
        <v>39.977018498367798</v>
      </c>
      <c r="N42" s="9">
        <f t="shared" si="14"/>
        <v>25.163469895614533</v>
      </c>
      <c r="O42" s="9">
        <f t="shared" si="13"/>
        <v>20.690114851429911</v>
      </c>
      <c r="P42" s="9">
        <f t="shared" si="13"/>
        <v>17.822792072663354</v>
      </c>
      <c r="Q42" s="9">
        <f t="shared" si="13"/>
        <v>16.036923457913907</v>
      </c>
      <c r="R42" s="9">
        <f>G42/[39]Model!$AN$18</f>
        <v>11.528499521529691</v>
      </c>
      <c r="S42" s="10">
        <f>[39]Model!$AD$5</f>
        <v>943.53100000000006</v>
      </c>
      <c r="T42" s="31">
        <f t="shared" si="8"/>
        <v>7.7875300334594195</v>
      </c>
      <c r="U42" s="11">
        <f>[39]Model!AB$24</f>
        <v>-9.2676944639103032E-2</v>
      </c>
      <c r="V42" s="11">
        <f>[39]Model!AC$24</f>
        <v>0.29812705155435415</v>
      </c>
      <c r="W42" s="11">
        <f>[39]Model!$AD$27</f>
        <v>0.57245883813038467</v>
      </c>
      <c r="X42" s="11">
        <f>[39]Model!$AD$31</f>
        <v>0.29994513163849407</v>
      </c>
      <c r="Y42" s="11"/>
      <c r="Z42" s="11">
        <f>[39]Model!$AR$25</f>
        <v>0.09</v>
      </c>
      <c r="AA42" s="11">
        <f>[39]Model!$AR$31</f>
        <v>-0.20734203790549244</v>
      </c>
      <c r="AB42" s="7" t="str">
        <f>[39]Model!$AR$32</f>
        <v>Slightly overvalued</v>
      </c>
      <c r="AC42" s="7" t="s">
        <v>55</v>
      </c>
      <c r="AD42" s="7">
        <v>1993</v>
      </c>
      <c r="AF42" s="17">
        <f>[39]Main!$E$3</f>
        <v>45909</v>
      </c>
      <c r="AG42" s="17">
        <f>[39]Main!$G$3</f>
        <v>45960</v>
      </c>
    </row>
    <row r="43" spans="2:33" x14ac:dyDescent="0.3">
      <c r="B43" s="24" t="s">
        <v>130</v>
      </c>
      <c r="C43" s="7" t="s">
        <v>131</v>
      </c>
      <c r="D43" s="12">
        <f>[40]Main!$D$3</f>
        <v>15.93</v>
      </c>
      <c r="E43" s="8">
        <f>[40]Main!$D$5</f>
        <v>4318.6230000000005</v>
      </c>
      <c r="F43" s="8">
        <f>[40]Main!$D$10</f>
        <v>-1893.1716417910447</v>
      </c>
      <c r="G43" s="8">
        <f>[40]Main!$D$11</f>
        <v>6211.7946417910453</v>
      </c>
      <c r="H43" s="8">
        <f>[40]Model!AM18/[40]Main!$D$13</f>
        <v>-282.31343283582066</v>
      </c>
      <c r="I43" s="8">
        <f>[40]Model!AN18/[40]Main!$D$13</f>
        <v>481.96312201492549</v>
      </c>
      <c r="J43" s="8">
        <f>[40]Model!AO18/[40]Main!$D$13</f>
        <v>578.92293940686568</v>
      </c>
      <c r="K43" s="8">
        <f>[40]Model!AP18/[40]Main!$D$13</f>
        <v>647.07767547963874</v>
      </c>
      <c r="L43" s="8">
        <f>[40]Model!AQ18/[40]Main!$D$13</f>
        <v>697.30907918627872</v>
      </c>
      <c r="M43" s="9">
        <f t="shared" si="14"/>
        <v>-22.003184826857012</v>
      </c>
      <c r="N43" s="9">
        <f t="shared" si="14"/>
        <v>12.888526856207637</v>
      </c>
      <c r="O43" s="9">
        <f t="shared" si="13"/>
        <v>10.729916227115352</v>
      </c>
      <c r="P43" s="9">
        <f t="shared" si="13"/>
        <v>9.5997665769980784</v>
      </c>
      <c r="Q43" s="9">
        <f t="shared" si="13"/>
        <v>8.9082371464887089</v>
      </c>
      <c r="R43" s="9">
        <f>G43/([40]Model!$AX$18/[40]Main!$D$13)</f>
        <v>7.4196463208070904</v>
      </c>
      <c r="S43" s="10">
        <f>[40]Model!$AN$6/[40]Main!$D$13</f>
        <v>2566.7999999999997</v>
      </c>
      <c r="T43" s="31">
        <f t="shared" si="8"/>
        <v>2.4200540134763306</v>
      </c>
      <c r="U43" s="11">
        <f>[40]Model!AL$25</f>
        <v>0.26036999245818726</v>
      </c>
      <c r="V43" s="11">
        <f>[40]Model!AM$25</f>
        <v>0.12101372756071815</v>
      </c>
      <c r="W43" s="11">
        <f>[40]Model!$AN$26</f>
        <v>0.75073345869995511</v>
      </c>
      <c r="X43" s="11">
        <f>[40]Model!$AN$30</f>
        <v>0.22267849334440476</v>
      </c>
      <c r="Y43" s="11">
        <f>[40]Model!$AN$32</f>
        <v>0.18776808555981206</v>
      </c>
      <c r="Z43" s="11">
        <f>[40]Model!$BC$24</f>
        <v>0.15</v>
      </c>
      <c r="AA43" s="11">
        <f>[40]Model!$BC$31</f>
        <v>-0.35989347241320568</v>
      </c>
      <c r="AB43" s="7" t="str">
        <f>[40]Model!$BC$32</f>
        <v>Overvalued</v>
      </c>
      <c r="AC43" s="7" t="s">
        <v>94</v>
      </c>
      <c r="AD43" s="7">
        <v>2000</v>
      </c>
      <c r="AF43" s="17">
        <f>[40]Main!$E$3</f>
        <v>45989</v>
      </c>
      <c r="AG43" s="17">
        <f>[40]Main!$G$3</f>
        <v>46092</v>
      </c>
    </row>
    <row r="44" spans="2:33" x14ac:dyDescent="0.3">
      <c r="B44" s="24" t="s">
        <v>61</v>
      </c>
      <c r="C44" s="7" t="s">
        <v>62</v>
      </c>
      <c r="D44" s="12">
        <f>[41]Main!$D$3</f>
        <v>22.03</v>
      </c>
      <c r="E44" s="8">
        <f>[41]Main!$D$5</f>
        <v>9856.2219999999998</v>
      </c>
      <c r="F44" s="8">
        <f>[41]Main!$D$8</f>
        <v>4533.5</v>
      </c>
      <c r="G44" s="8">
        <f>[41]Main!$D$9</f>
        <v>5322.7219999999998</v>
      </c>
      <c r="H44" s="8">
        <f>[41]Model!BO$16</f>
        <v>131.19999999999953</v>
      </c>
      <c r="I44" s="8">
        <f>[41]Model!BP$16</f>
        <v>496.74396559999923</v>
      </c>
      <c r="J44" s="8">
        <f>[41]Model!BQ$16</f>
        <v>512.78367447999983</v>
      </c>
      <c r="K44" s="8">
        <f>[41]Model!BR$16</f>
        <v>571.3489177332001</v>
      </c>
      <c r="L44" s="8">
        <f>[41]Model!BS$16</f>
        <v>590.86033903550401</v>
      </c>
      <c r="M44" s="9">
        <f t="shared" si="14"/>
        <v>40.569527439024533</v>
      </c>
      <c r="N44" s="9">
        <f t="shared" si="14"/>
        <v>10.715222264594345</v>
      </c>
      <c r="O44" s="9">
        <f t="shared" si="13"/>
        <v>10.380053548696981</v>
      </c>
      <c r="P44" s="9">
        <f t="shared" si="13"/>
        <v>9.3160621028524009</v>
      </c>
      <c r="Q44" s="9">
        <f t="shared" si="13"/>
        <v>9.0084266083734637</v>
      </c>
      <c r="R44" s="9">
        <f>G44/[41]Model!$BV$16</f>
        <v>8.9313780006373555</v>
      </c>
      <c r="S44" s="10">
        <f>[41]Model!$BP$6</f>
        <v>3946.1359999999995</v>
      </c>
      <c r="T44" s="31">
        <f t="shared" si="8"/>
        <v>1.3488440337585934</v>
      </c>
      <c r="U44" s="11">
        <f>[41]Model!$BN$23</f>
        <v>-0.11034622393197013</v>
      </c>
      <c r="V44" s="11">
        <f>[41]Model!$BO$23</f>
        <v>-0.27495827643756632</v>
      </c>
      <c r="W44" s="11">
        <f>[41]Model!$BP$24</f>
        <v>0.30762810506277516</v>
      </c>
      <c r="X44" s="11">
        <f>[41]Model!$BP$25</f>
        <v>6.1617830708318007E-2</v>
      </c>
      <c r="Y44" s="11"/>
      <c r="Z44" s="11">
        <f>[41]Model!$CC$31</f>
        <v>0.08</v>
      </c>
      <c r="AA44" s="11">
        <f>[41]Model!$CC$37</f>
        <v>0.19218668281510398</v>
      </c>
      <c r="AB44" s="7" t="str">
        <f>[41]Model!$CC$38</f>
        <v>Slightly undervalued</v>
      </c>
      <c r="AC44" s="7" t="s">
        <v>52</v>
      </c>
      <c r="AD44" s="7">
        <v>1984</v>
      </c>
      <c r="AF44" s="17">
        <f>[41]Main!$E$3</f>
        <v>45964</v>
      </c>
      <c r="AG44" s="17">
        <f>[41]Main!$G$3</f>
        <v>46000</v>
      </c>
    </row>
    <row r="45" spans="2:33" x14ac:dyDescent="0.3">
      <c r="B45" s="24" t="s">
        <v>211</v>
      </c>
      <c r="C45" s="7" t="s">
        <v>212</v>
      </c>
      <c r="D45" s="12">
        <f>[42]Main!$L$3</f>
        <v>16.48</v>
      </c>
      <c r="E45" s="8">
        <f>[42]Main!$L$5</f>
        <v>5342.8159999999998</v>
      </c>
      <c r="F45" s="8">
        <f>[42]Main!$L$6</f>
        <v>571.70000000000005</v>
      </c>
      <c r="G45" s="8">
        <f>[42]Main!$L$8</f>
        <v>4771.116</v>
      </c>
      <c r="H45" s="8">
        <f>[42]Model!V$17/1000</f>
        <v>-67.305999999999997</v>
      </c>
      <c r="I45" s="8">
        <f>[42]Model!W$17/1000</f>
        <v>-74.457750000000019</v>
      </c>
      <c r="J45" s="8">
        <f>[42]Model!X$17/1000</f>
        <v>-76.388100000000023</v>
      </c>
      <c r="K45" s="8">
        <f>[42]Model!Y$17/1000</f>
        <v>-74.221710000000016</v>
      </c>
      <c r="L45" s="8">
        <f>[42]Model!Z$17/1000</f>
        <v>-65.342736000000045</v>
      </c>
      <c r="M45" s="9"/>
      <c r="N45" s="9"/>
      <c r="O45" s="9"/>
      <c r="P45" s="9"/>
      <c r="Q45" s="9"/>
      <c r="R45" s="9">
        <f>G45/([42]Model!$AG$17/1000)</f>
        <v>8.0715482785394101</v>
      </c>
      <c r="S45" s="10">
        <f>[42]Model!$W$7/1000</f>
        <v>8.1709999999999994</v>
      </c>
      <c r="T45" s="31">
        <f t="shared" si="8"/>
        <v>583.90845673724152</v>
      </c>
      <c r="U45" s="11">
        <f>[42]Model!U$21</f>
        <v>-8.3498702488169707E-2</v>
      </c>
      <c r="V45" s="11">
        <f>[42]Model!V$21</f>
        <v>-8.0946035976016018E-2</v>
      </c>
      <c r="W45" s="11">
        <f>[42]Model!$W$23</f>
        <v>0.75</v>
      </c>
      <c r="X45" s="11">
        <f>[42]Model!$W$24</f>
        <v>-9.1124403377799545</v>
      </c>
      <c r="Y45" s="11">
        <f>[42]Model!$W$24</f>
        <v>-9.1124403377799545</v>
      </c>
      <c r="Z45" s="11">
        <f>[42]Model!$AD$28</f>
        <v>0.09</v>
      </c>
      <c r="AA45" s="11">
        <f>[42]Model!$AD$34</f>
        <v>-0.49470602868573876</v>
      </c>
      <c r="AB45" s="8" t="str">
        <f>[42]Model!$AD$35</f>
        <v>Overvalued</v>
      </c>
      <c r="AC45" s="7" t="s">
        <v>175</v>
      </c>
      <c r="AD45" s="7">
        <v>2013</v>
      </c>
      <c r="AF45" s="17">
        <f>[42]Main!$M$3</f>
        <v>46078</v>
      </c>
      <c r="AG45" s="17">
        <f>[42]Main!$O$3</f>
        <v>45979</v>
      </c>
    </row>
    <row r="46" spans="2:33" x14ac:dyDescent="0.3">
      <c r="B46" s="24" t="s">
        <v>160</v>
      </c>
      <c r="C46" s="7" t="s">
        <v>161</v>
      </c>
      <c r="D46" s="12">
        <f>[43]Main!$D$3</f>
        <v>90.04</v>
      </c>
      <c r="E46" s="8">
        <f>[43]Main!$D$5</f>
        <v>4195.8640000000005</v>
      </c>
      <c r="F46" s="8">
        <f>[43]Main!$D$8</f>
        <v>1140.5</v>
      </c>
      <c r="G46" s="8">
        <f>[43]Main!$D$9</f>
        <v>3055.3640000000005</v>
      </c>
      <c r="H46" s="8">
        <f>[43]Model!AG$29</f>
        <v>88.599999999999952</v>
      </c>
      <c r="I46" s="8">
        <f>[43]Model!AH$29</f>
        <v>413.79999999999984</v>
      </c>
      <c r="J46" s="8">
        <f>[43]Model!AI$29</f>
        <v>154.47610999999995</v>
      </c>
      <c r="K46" s="8">
        <f>[43]Model!AJ$29</f>
        <v>229.07436249999984</v>
      </c>
      <c r="L46" s="8">
        <f>[43]Model!AK$29</f>
        <v>322.09967702499983</v>
      </c>
      <c r="M46" s="9">
        <f>$G46/H46</f>
        <v>34.484920993228016</v>
      </c>
      <c r="N46" s="9">
        <f>$G46/I46</f>
        <v>7.3836732721121354</v>
      </c>
      <c r="O46" s="9">
        <f>$G46/J46</f>
        <v>19.77887713511171</v>
      </c>
      <c r="P46" s="9">
        <f>$G46/K46</f>
        <v>13.337869705956303</v>
      </c>
      <c r="Q46" s="9">
        <f>$G46/L46</f>
        <v>9.4857716971968831</v>
      </c>
      <c r="R46" s="9">
        <f>G46/[43]Model!$AR$64</f>
        <v>3.7024865922003301</v>
      </c>
      <c r="S46" s="10">
        <f>[43]Model!$AH$17</f>
        <v>1037.5999999999999</v>
      </c>
      <c r="T46" s="31">
        <f t="shared" si="8"/>
        <v>2.9446453353893607</v>
      </c>
      <c r="U46" s="11">
        <f>[43]Model!$AF$39</f>
        <v>0.43800757985923133</v>
      </c>
      <c r="V46" s="11">
        <f>[43]Model!$AG$39</f>
        <v>0.4081325301204819</v>
      </c>
      <c r="W46" s="11">
        <f>[43]Model!$AH$40</f>
        <v>0.72234001542020043</v>
      </c>
      <c r="X46" s="11">
        <f>[43]Model!$AH$44</f>
        <v>0.13039707016191196</v>
      </c>
      <c r="Y46" s="11">
        <f>[43]Model!$AH$46</f>
        <v>0.39880493446414794</v>
      </c>
      <c r="Z46" s="11">
        <f>[43]Model!$AV$42</f>
        <v>0.09</v>
      </c>
      <c r="AA46" s="11">
        <f>[43]Model!$AV$48</f>
        <v>0.59232821248778822</v>
      </c>
      <c r="AB46" s="7" t="str">
        <f>[43]Model!$AV$49</f>
        <v>Undervalued</v>
      </c>
      <c r="AC46" s="7" t="s">
        <v>54</v>
      </c>
      <c r="AD46" s="7">
        <v>2011</v>
      </c>
      <c r="AF46" s="17">
        <f>[43]Main!$E$3</f>
        <v>46080</v>
      </c>
      <c r="AG46" s="17">
        <f>[43]Main!$G$3</f>
        <v>46155</v>
      </c>
    </row>
    <row r="47" spans="2:33" x14ac:dyDescent="0.3">
      <c r="B47" s="24" t="s">
        <v>205</v>
      </c>
      <c r="C47" s="7" t="s">
        <v>206</v>
      </c>
      <c r="D47" s="12">
        <f>[44]Main!$D$3</f>
        <v>47.51</v>
      </c>
      <c r="E47" s="8">
        <f>[44]Main!$D$5</f>
        <v>3724.7840000000001</v>
      </c>
      <c r="F47" s="8">
        <f>[44]Main!$D$8</f>
        <v>145.89999999999998</v>
      </c>
      <c r="G47" s="8">
        <f>[44]Main!$D$9</f>
        <v>3578.884</v>
      </c>
      <c r="H47" s="8">
        <f>[44]Model!X$20</f>
        <v>-4.4999999999999432</v>
      </c>
      <c r="I47" s="8">
        <f>[44]Model!Y$20</f>
        <v>41.661768000000095</v>
      </c>
      <c r="J47" s="8">
        <f>[44]Model!Z$20</f>
        <v>122.16205310799995</v>
      </c>
      <c r="K47" s="8">
        <f>[44]Model!AA$20</f>
        <v>217.11237924829001</v>
      </c>
      <c r="L47" s="8">
        <f>[44]Model!AB$20</f>
        <v>301.51127285697237</v>
      </c>
      <c r="M47" s="9"/>
      <c r="N47" s="9">
        <f t="shared" ref="N47:Q51" si="15">$G47/I47</f>
        <v>85.90331548099428</v>
      </c>
      <c r="O47" s="9">
        <f t="shared" si="15"/>
        <v>29.296200489001375</v>
      </c>
      <c r="P47" s="9">
        <f t="shared" si="15"/>
        <v>16.484016307090364</v>
      </c>
      <c r="Q47" s="9">
        <f t="shared" si="15"/>
        <v>11.869818219691282</v>
      </c>
      <c r="R47" s="9">
        <f>G47/[44]Model!$AI$20</f>
        <v>6.2451286373162773</v>
      </c>
      <c r="S47" s="10">
        <f>[44]Model!$Y$6</f>
        <v>494.15400000000005</v>
      </c>
      <c r="T47" s="31">
        <f t="shared" si="8"/>
        <v>7.2424466866604327</v>
      </c>
      <c r="U47" s="11">
        <f>[44]Model!W$27</f>
        <v>0.33377135348226017</v>
      </c>
      <c r="V47" s="11">
        <f>[44]Model!X$27</f>
        <v>0.22003284072249607</v>
      </c>
      <c r="W47" s="11">
        <f>[44]Model!$Y$31</f>
        <v>0.7827451361316512</v>
      </c>
      <c r="X47" s="11">
        <f>[44]Model!$Y$35</f>
        <v>5.6981264949793158E-2</v>
      </c>
      <c r="Y47" s="11"/>
      <c r="Z47" s="11">
        <f>[44]Model!$AL$27</f>
        <v>0.09</v>
      </c>
      <c r="AA47" s="11">
        <f>[44]Model!$AL$33</f>
        <v>0.21551473862642112</v>
      </c>
      <c r="AB47" s="7" t="str">
        <f>[44]Model!$AL$34</f>
        <v>Slightly undervalued</v>
      </c>
      <c r="AC47" s="7" t="s">
        <v>53</v>
      </c>
      <c r="AD47" s="7">
        <v>2007</v>
      </c>
      <c r="AF47" s="17">
        <f>[44]Main!$E$3</f>
        <v>46077</v>
      </c>
      <c r="AG47" s="17">
        <f>[44]Main!$G$3</f>
        <v>46079</v>
      </c>
    </row>
    <row r="48" spans="2:33" x14ac:dyDescent="0.3">
      <c r="B48" s="24" t="s">
        <v>190</v>
      </c>
      <c r="C48" s="7" t="s">
        <v>191</v>
      </c>
      <c r="D48" s="12">
        <f>[45]Main!$D$3</f>
        <v>81.36</v>
      </c>
      <c r="E48" s="8">
        <f>[45]Main!$D$5</f>
        <v>3531.0239999999999</v>
      </c>
      <c r="F48" s="8">
        <f>[45]Main!$D$8</f>
        <v>208.50000000000006</v>
      </c>
      <c r="G48" s="8">
        <f>[45]Main!$D$9</f>
        <v>3322.5239999999999</v>
      </c>
      <c r="H48" s="8">
        <f>[45]Model!AD$14</f>
        <v>287.70000000000027</v>
      </c>
      <c r="I48" s="8">
        <f>[45]Model!AE$14</f>
        <v>382.80148799999967</v>
      </c>
      <c r="J48" s="8">
        <f>[45]Model!AF$14</f>
        <v>414.04426187199999</v>
      </c>
      <c r="K48" s="8">
        <f>[45]Model!AG$14</f>
        <v>434.41526498415982</v>
      </c>
      <c r="L48" s="8">
        <f>[45]Model!AH$14</f>
        <v>447.22963566012311</v>
      </c>
      <c r="M48" s="9">
        <f>$G48/H48</f>
        <v>11.548571428571417</v>
      </c>
      <c r="N48" s="9">
        <f t="shared" si="15"/>
        <v>8.6794960420843577</v>
      </c>
      <c r="O48" s="9">
        <f t="shared" si="15"/>
        <v>8.0245623619513999</v>
      </c>
      <c r="P48" s="9">
        <f t="shared" si="15"/>
        <v>7.6482671485339031</v>
      </c>
      <c r="Q48" s="9">
        <f t="shared" si="15"/>
        <v>7.4291230613460222</v>
      </c>
      <c r="R48" s="9">
        <f>G48/[45]Model!$AN$14</f>
        <v>6.7252776754336177</v>
      </c>
      <c r="S48" s="28">
        <f>[45]Model!$AD$3</f>
        <v>2405.3000000000002</v>
      </c>
      <c r="T48" s="30">
        <f t="shared" si="8"/>
        <v>1.3813345528624286</v>
      </c>
      <c r="U48" s="11">
        <f>[45]Model!$AC$18</f>
        <v>0.1103189289213018</v>
      </c>
      <c r="V48" s="11">
        <f>[45]Model!$AD$18</f>
        <v>0.17901083280231367</v>
      </c>
      <c r="W48" s="32">
        <f>[45]Model!$AD$19</f>
        <v>0.39242506132291199</v>
      </c>
      <c r="X48" s="32">
        <f>[45]Model!$AD$21</f>
        <v>0.14966947989855747</v>
      </c>
      <c r="Y48" s="32"/>
      <c r="Z48" s="11">
        <f>[45]Model!$AR$20</f>
        <v>0.09</v>
      </c>
      <c r="AA48" s="11">
        <f>[45]Model!$AR$26</f>
        <v>0.46966912269728067</v>
      </c>
      <c r="AB48" s="7" t="str">
        <f>[45]Model!$AR$27</f>
        <v>Undervalued</v>
      </c>
      <c r="AC48" s="7" t="s">
        <v>204</v>
      </c>
      <c r="AD48" s="7">
        <v>2000</v>
      </c>
      <c r="AF48" s="17">
        <f>[45]Main!$E$3</f>
        <v>46052</v>
      </c>
      <c r="AG48" s="17">
        <f>[45]Main!$G$3</f>
        <v>46147</v>
      </c>
    </row>
    <row r="49" spans="2:33" x14ac:dyDescent="0.3">
      <c r="B49" s="24" t="s">
        <v>151</v>
      </c>
      <c r="C49" s="7" t="s">
        <v>152</v>
      </c>
      <c r="D49" s="12">
        <f>[46]Main!$D$3</f>
        <v>9.24</v>
      </c>
      <c r="E49" s="8">
        <f>[46]Main!$D$5</f>
        <v>2750.748</v>
      </c>
      <c r="F49" s="8">
        <f>[46]Main!$D$10</f>
        <v>-331.968085106383</v>
      </c>
      <c r="G49" s="8">
        <f>[46]Main!$D$11</f>
        <v>3082.7160851063832</v>
      </c>
      <c r="H49" s="8">
        <f>[46]Model!AD16/[46]Main!$D$13</f>
        <v>388.38652482269435</v>
      </c>
      <c r="I49" s="8">
        <f>[46]Model!AE16/[46]Main!$D$13</f>
        <v>353.12231063829779</v>
      </c>
      <c r="J49" s="8">
        <f>[46]Model!AF16/[46]Main!$D$13</f>
        <v>375.10789561702126</v>
      </c>
      <c r="K49" s="8">
        <f>[46]Model!AG16/[46]Main!$D$13</f>
        <v>439.3848338460993</v>
      </c>
      <c r="L49" s="8">
        <f>[46]Model!AH16/[46]Main!$D$13</f>
        <v>471.20446674269516</v>
      </c>
      <c r="M49" s="9">
        <f>$G49/H49</f>
        <v>7.9372374891577406</v>
      </c>
      <c r="N49" s="9">
        <f t="shared" si="15"/>
        <v>8.7298819480822907</v>
      </c>
      <c r="O49" s="9">
        <f t="shared" si="15"/>
        <v>8.2182116695666245</v>
      </c>
      <c r="P49" s="9">
        <f t="shared" si="15"/>
        <v>7.0159819994746284</v>
      </c>
      <c r="Q49" s="9">
        <f t="shared" si="15"/>
        <v>6.5422047172352551</v>
      </c>
      <c r="R49" s="9">
        <f>G49*[46]Main!$D$13/[46]Model!$AO$16</f>
        <v>5.5106080088747236</v>
      </c>
      <c r="S49" s="28">
        <f>[46]Model!$AD$6/[46]Main!$D$13</f>
        <v>3335.0709219858149</v>
      </c>
      <c r="T49" s="30">
        <f t="shared" si="8"/>
        <v>0.92433299237631472</v>
      </c>
      <c r="U49" s="11">
        <f>[46]Model!AC$23</f>
        <v>4.0000260842914193E-2</v>
      </c>
      <c r="V49" s="11">
        <f>[46]Model!AD$23</f>
        <v>0.17942351222387298</v>
      </c>
      <c r="W49" s="32">
        <f>[46]Model!$AD$24</f>
        <v>0.49264213335601648</v>
      </c>
      <c r="X49" s="32">
        <f>[46]Model!$AD$28</f>
        <v>0.14288828164042131</v>
      </c>
      <c r="Y49" s="32"/>
      <c r="Z49" s="11">
        <f>[46]Model!$AS$22</f>
        <v>0.15</v>
      </c>
      <c r="AA49" s="11">
        <f>[46]Model!$AS$29</f>
        <v>2.7650307020570253E-2</v>
      </c>
      <c r="AB49" s="7" t="str">
        <f>[46]Model!$AS$30</f>
        <v>Fairly valued</v>
      </c>
      <c r="AC49" s="7" t="s">
        <v>94</v>
      </c>
      <c r="AD49" s="7">
        <v>2006</v>
      </c>
      <c r="AF49" s="17">
        <f>[46]Main!$F$3</f>
        <v>45937</v>
      </c>
      <c r="AG49" s="17">
        <f>[46]Main!$G$3</f>
        <v>45980</v>
      </c>
    </row>
    <row r="50" spans="2:33" x14ac:dyDescent="0.3">
      <c r="B50" s="24" t="s">
        <v>102</v>
      </c>
      <c r="C50" s="7" t="s">
        <v>103</v>
      </c>
      <c r="D50" s="22">
        <f>[47]Main!$D$3</f>
        <v>6.92</v>
      </c>
      <c r="E50" s="8">
        <f>[47]Main!$D$5</f>
        <v>406.89599999999996</v>
      </c>
      <c r="F50" s="8">
        <f>[47]Main!$D$8</f>
        <v>-2248.4</v>
      </c>
      <c r="G50" s="8">
        <f>[47]Main!$D$9</f>
        <v>2655.2960000000003</v>
      </c>
      <c r="H50" s="8">
        <f>[47]Model!AD16</f>
        <v>-126.69999999999992</v>
      </c>
      <c r="I50" s="8">
        <f>[47]Model!AE16</f>
        <v>-110.99999999999984</v>
      </c>
      <c r="J50" s="8">
        <f>[47]Model!AF16</f>
        <v>-1895.4</v>
      </c>
      <c r="K50" s="8">
        <f>[47]Model!AG16</f>
        <v>-20.400000000000027</v>
      </c>
      <c r="L50" s="8">
        <f>[47]Model!AH16</f>
        <v>21.999999999999979</v>
      </c>
      <c r="M50" s="9">
        <f>$G50/H50</f>
        <v>-20.957348066298358</v>
      </c>
      <c r="N50" s="9">
        <f t="shared" si="15"/>
        <v>-23.921585585585621</v>
      </c>
      <c r="O50" s="9">
        <f t="shared" si="15"/>
        <v>-1.4009159016566424</v>
      </c>
      <c r="P50" s="9">
        <f t="shared" si="15"/>
        <v>-130.16156862745083</v>
      </c>
      <c r="Q50" s="9">
        <f t="shared" si="15"/>
        <v>120.69527272727285</v>
      </c>
      <c r="R50" s="9">
        <f>G50/[47]Model!$AS$16</f>
        <v>8.7941337129542845</v>
      </c>
      <c r="S50" s="28">
        <f>[47]Model!$AD$3</f>
        <v>1426.5</v>
      </c>
      <c r="T50" s="30">
        <f t="shared" si="8"/>
        <v>1.8614062390466177</v>
      </c>
      <c r="U50" s="11">
        <f>[47]Model!AC$20</f>
        <v>0.24318400981853228</v>
      </c>
      <c r="V50" s="11">
        <f>[47]Model!AD$20</f>
        <v>5.9234186587688864E-3</v>
      </c>
      <c r="W50" s="32">
        <f>[47]Model!$AH$21</f>
        <v>0.58012670107930553</v>
      </c>
      <c r="X50" s="32">
        <f>[47]Model!$AH$22</f>
        <v>7.8132332238385727E-2</v>
      </c>
      <c r="Y50" s="32"/>
      <c r="Z50" s="11">
        <f>[47]Model!$AV$22</f>
        <v>9.5000000000000001E-2</v>
      </c>
      <c r="AA50" s="11">
        <f>[47]Model!$AV$28</f>
        <v>-0.3382024166420583</v>
      </c>
      <c r="AB50" s="7" t="str">
        <f>[47]Model!$AV$29</f>
        <v>Overvalued</v>
      </c>
      <c r="AC50" s="7" t="s">
        <v>94</v>
      </c>
      <c r="AD50" s="7">
        <v>1996</v>
      </c>
      <c r="AF50" s="17">
        <f>[47]Main!$E$3</f>
        <v>46052</v>
      </c>
      <c r="AG50" s="17">
        <f>[47]Main!$G$3</f>
        <v>46086</v>
      </c>
    </row>
    <row r="51" spans="2:33" x14ac:dyDescent="0.3">
      <c r="B51" s="24" t="s">
        <v>118</v>
      </c>
      <c r="C51" s="7" t="s">
        <v>119</v>
      </c>
      <c r="D51" s="19">
        <f>[48]Main!$D$3</f>
        <v>8.3949999999999996</v>
      </c>
      <c r="E51" s="8">
        <f>[48]Main!$D$5</f>
        <v>8621.6649999999991</v>
      </c>
      <c r="F51" s="8">
        <f>[48]Main!$D$8</f>
        <v>6226.5</v>
      </c>
      <c r="G51" s="8">
        <f>[48]Main!$D$9</f>
        <v>2395.1649999999991</v>
      </c>
      <c r="H51" s="8">
        <f>[48]Model!T25</f>
        <v>416.69999999999993</v>
      </c>
      <c r="I51" s="8">
        <f>[48]Model!U25</f>
        <v>364.62822000000006</v>
      </c>
      <c r="J51" s="8">
        <f>[48]Model!V25</f>
        <v>374.39067165000006</v>
      </c>
      <c r="K51" s="8">
        <f>[48]Model!W25</f>
        <v>386.15080878150019</v>
      </c>
      <c r="L51" s="8">
        <f>[48]Model!X25</f>
        <v>398.01803613031518</v>
      </c>
      <c r="M51" s="9">
        <f>$G51/H51</f>
        <v>5.7479361651067897</v>
      </c>
      <c r="N51" s="9">
        <f t="shared" si="15"/>
        <v>6.5687866945679589</v>
      </c>
      <c r="O51" s="9">
        <f t="shared" si="15"/>
        <v>6.3975018112607369</v>
      </c>
      <c r="P51" s="9">
        <f t="shared" si="15"/>
        <v>6.202667314249446</v>
      </c>
      <c r="Q51" s="9">
        <f t="shared" si="15"/>
        <v>6.0177298076406709</v>
      </c>
      <c r="R51" s="9">
        <f>G51/[48]Model!$AD$25</f>
        <v>4.8406978874408928</v>
      </c>
      <c r="S51" s="33">
        <f>[48]Model!$U$12</f>
        <v>1945.4520000000002</v>
      </c>
      <c r="T51" s="31">
        <f t="shared" si="8"/>
        <v>1.2311611903043604</v>
      </c>
      <c r="U51" s="11">
        <f>[48]Model!R$36</f>
        <v>0.76377670077185411</v>
      </c>
      <c r="V51" s="11">
        <f>[48]Model!S$36</f>
        <v>0.56442092407897415</v>
      </c>
      <c r="W51" s="11">
        <f>[48]Model!$U$39</f>
        <v>0.73</v>
      </c>
      <c r="X51" s="11">
        <f>[48]Model!$U$41</f>
        <v>0.25773699890822288</v>
      </c>
      <c r="Y51" s="11">
        <f>[48]Model!$U$43</f>
        <v>0.18742596579098328</v>
      </c>
      <c r="Z51" s="11">
        <f>[48]Model!$AG$36</f>
        <v>0.09</v>
      </c>
      <c r="AA51" s="11">
        <f>[48]Model!$AG$42</f>
        <v>0.27281318315041192</v>
      </c>
      <c r="AB51" s="7" t="str">
        <f>[48]Model!$AG$43</f>
        <v>Slightly undervalued</v>
      </c>
      <c r="AC51" s="7" t="s">
        <v>94</v>
      </c>
      <c r="AD51" s="7">
        <v>2011</v>
      </c>
      <c r="AF51" s="17">
        <f>[48]Main!$F$3</f>
        <v>45712</v>
      </c>
      <c r="AG51" s="17">
        <f>[48]Main!$H$3</f>
        <v>46203</v>
      </c>
    </row>
    <row r="52" spans="2:33" x14ac:dyDescent="0.3">
      <c r="B52" s="24" t="s">
        <v>155</v>
      </c>
      <c r="C52" s="7" t="s">
        <v>156</v>
      </c>
      <c r="D52" s="12">
        <f>[49]Main!$D$3</f>
        <v>1.87</v>
      </c>
      <c r="E52" s="8">
        <f>[49]Main!$D$5</f>
        <v>2601.9180000000001</v>
      </c>
      <c r="F52" s="8">
        <f>[49]Main!$D$8</f>
        <v>215.39999999999998</v>
      </c>
      <c r="G52" s="8">
        <f>[49]Main!$D$9</f>
        <v>2386.518</v>
      </c>
      <c r="H52" s="8">
        <f>[49]Model!AA$33</f>
        <v>-2104.9</v>
      </c>
      <c r="I52" s="8">
        <f>[49]Model!AB$33</f>
        <v>-1049.8714999999997</v>
      </c>
      <c r="J52" s="8">
        <f>[49]Model!AC$33</f>
        <v>-504.67788450000006</v>
      </c>
      <c r="K52" s="8">
        <f>[49]Model!AD$33</f>
        <v>-346.54102523999978</v>
      </c>
      <c r="L52" s="8">
        <f>[49]Model!AE$33</f>
        <v>-189.44181374939978</v>
      </c>
      <c r="M52" s="9">
        <f>$G52/H52</f>
        <v>-1.1337916290560122</v>
      </c>
      <c r="N52" s="9"/>
      <c r="O52" s="9"/>
      <c r="P52" s="9"/>
      <c r="Q52" s="9"/>
      <c r="R52" s="9">
        <f>G52/[49]Model!$AL$33</f>
        <v>11.37973542103231</v>
      </c>
      <c r="S52" s="10">
        <f>[49]Model!$AB$8</f>
        <v>722.06</v>
      </c>
      <c r="T52" s="31">
        <f t="shared" si="8"/>
        <v>3.3051519264327065</v>
      </c>
      <c r="U52" s="11">
        <f>[49]Model!Z$42</f>
        <v>0.27060165383518697</v>
      </c>
      <c r="V52" s="11">
        <f>[49]Model!AA$42</f>
        <v>-0.29443447037701986</v>
      </c>
      <c r="W52" s="11">
        <f>[49]Model!$AB$48</f>
        <v>-0.49127150098329775</v>
      </c>
      <c r="X52" s="11">
        <f>[49]Model!$AB$51</f>
        <v>-1.3056691964656677</v>
      </c>
      <c r="Y52" s="11">
        <f>[49]Model!$AB$53</f>
        <v>-1.4539948203750379</v>
      </c>
      <c r="Z52" s="11">
        <f>[49]Model!$AP$39</f>
        <v>0.09</v>
      </c>
      <c r="AA52" s="11">
        <f>[49]Model!$AP$45</f>
        <v>-0.89566878315942533</v>
      </c>
      <c r="AB52" s="7" t="str">
        <f>[49]Model!$AP$46</f>
        <v>Heavily overvalued</v>
      </c>
      <c r="AC52" s="7" t="s">
        <v>143</v>
      </c>
      <c r="AD52" s="7">
        <v>1997</v>
      </c>
      <c r="AF52" s="17">
        <f>[49]Main!$E$3</f>
        <v>46076</v>
      </c>
      <c r="AG52" s="17">
        <f>[49]Main!$G$3</f>
        <v>46079</v>
      </c>
    </row>
    <row r="53" spans="2:33" x14ac:dyDescent="0.3">
      <c r="B53" s="24" t="s">
        <v>70</v>
      </c>
      <c r="C53" s="7" t="s">
        <v>73</v>
      </c>
      <c r="D53" s="12">
        <f>[50]Main!$D$3</f>
        <v>16.41</v>
      </c>
      <c r="E53" s="8">
        <f>[50]Main!$D$5</f>
        <v>1979.0459999999998</v>
      </c>
      <c r="F53" s="8">
        <f>[50]Main!$D$8</f>
        <v>363.5</v>
      </c>
      <c r="G53" s="8">
        <f>[50]Main!$D$9</f>
        <v>1615.5459999999998</v>
      </c>
      <c r="H53" s="8">
        <f>[50]Model!AU$17</f>
        <v>-38.09999999999998</v>
      </c>
      <c r="I53" s="8">
        <f>[50]Model!AV$17</f>
        <v>-60.899999999999949</v>
      </c>
      <c r="J53" s="8">
        <f>[50]Model!AW$17</f>
        <v>21.036952999999944</v>
      </c>
      <c r="K53" s="8">
        <f>[50]Model!AX$17</f>
        <v>36.93067034400012</v>
      </c>
      <c r="L53" s="8">
        <f>[50]Model!AY$17</f>
        <v>78.243947234752</v>
      </c>
      <c r="M53" s="9"/>
      <c r="N53" s="9"/>
      <c r="O53" s="9"/>
      <c r="P53" s="9"/>
      <c r="Q53" s="9"/>
      <c r="R53" s="9">
        <f>G53/[50]Model!$BF$17</f>
        <v>10.747881998620919</v>
      </c>
      <c r="S53" s="10">
        <f>[50]Model!$AV$6</f>
        <v>1443.4</v>
      </c>
      <c r="T53" s="31">
        <f t="shared" si="8"/>
        <v>1.1192642372176802</v>
      </c>
      <c r="U53" s="11">
        <f>[50]Model!AT$24</f>
        <v>-5.5409723807349986E-2</v>
      </c>
      <c r="V53" s="11">
        <f>[50]Model!AU$24</f>
        <v>-8.2885277593185425E-2</v>
      </c>
      <c r="W53" s="11">
        <f>[50]Model!$AV$25</f>
        <v>0.43695441319107664</v>
      </c>
      <c r="X53" s="11">
        <f>[50]Model!$AV$26</f>
        <v>-3.48482749064708E-2</v>
      </c>
      <c r="Y53" s="11">
        <f>[50]Model!$AV$31</f>
        <v>-4.2192046556740991E-2</v>
      </c>
      <c r="Z53" s="11">
        <f>[50]Model!$BJ$27</f>
        <v>0.1</v>
      </c>
      <c r="AA53" s="11">
        <f>[50]Model!$BJ$33</f>
        <v>-0.25852890366738079</v>
      </c>
      <c r="AB53" s="7" t="str">
        <f>[50]Model!$BJ$34</f>
        <v>Overvalued</v>
      </c>
      <c r="AC53" s="7" t="s">
        <v>52</v>
      </c>
      <c r="AD53" s="7">
        <v>2002</v>
      </c>
      <c r="AF53" s="17">
        <f>[50]Main!$E$3</f>
        <v>46057</v>
      </c>
      <c r="AG53" s="17">
        <f>[50]Main!$G$3</f>
        <v>46155</v>
      </c>
    </row>
    <row r="54" spans="2:33" x14ac:dyDescent="0.3">
      <c r="B54" s="24" t="s">
        <v>149</v>
      </c>
      <c r="C54" s="7" t="s">
        <v>150</v>
      </c>
      <c r="D54" s="12">
        <f>[51]Main!$D$3</f>
        <v>14.31</v>
      </c>
      <c r="E54" s="8">
        <f>[51]Main!$D$5</f>
        <v>1282.1759999999999</v>
      </c>
      <c r="F54" s="8">
        <f>[51]Main!$D$8</f>
        <v>128</v>
      </c>
      <c r="G54" s="8">
        <f>[51]Main!$D$9</f>
        <v>1154.1759999999999</v>
      </c>
      <c r="H54" s="8">
        <f>[51]Model!AF27</f>
        <v>87.800000000000011</v>
      </c>
      <c r="I54" s="8">
        <f>[51]Model!AG27</f>
        <v>102.29229999999995</v>
      </c>
      <c r="J54" s="8">
        <f>[51]Model!AH27</f>
        <v>190.62301511000004</v>
      </c>
      <c r="K54" s="8">
        <f>[51]Model!AI27</f>
        <v>205.13686665470004</v>
      </c>
      <c r="L54" s="8">
        <f>[51]Model!AJ27</f>
        <v>213.66051479842812</v>
      </c>
      <c r="M54" s="9">
        <f>$G54/H54</f>
        <v>13.145512528473802</v>
      </c>
      <c r="N54" s="9">
        <f>$G54/I54</f>
        <v>11.283117106566188</v>
      </c>
      <c r="O54" s="9">
        <f>$G54/J54</f>
        <v>6.0547568158754412</v>
      </c>
      <c r="P54" s="9">
        <f>$G54/K54</f>
        <v>5.6263704268369539</v>
      </c>
      <c r="Q54" s="9">
        <f>$G54/L54</f>
        <v>5.4019152817677805</v>
      </c>
      <c r="R54" s="9">
        <f>G54/[51]Model!$AP$27</f>
        <v>4.5148789945945342</v>
      </c>
      <c r="S54" s="28">
        <f>[51]Model!$AE$8</f>
        <v>482.9</v>
      </c>
      <c r="T54" s="30">
        <f t="shared" si="8"/>
        <v>2.3900931869952369</v>
      </c>
      <c r="U54" s="11">
        <f>[51]Model!AD$34</f>
        <v>0.15774446823697352</v>
      </c>
      <c r="V54" s="11">
        <f>[51]Model!AE$34</f>
        <v>0.14796547472256472</v>
      </c>
      <c r="W54" s="32">
        <f>[51]Model!$AE$40</f>
        <v>0.7256160695796231</v>
      </c>
      <c r="X54" s="32">
        <f>[51]Model!$AE$43</f>
        <v>0.19631393663284327</v>
      </c>
      <c r="Y54" s="32"/>
      <c r="Z54" s="11">
        <f>[51]Model!$AS$41</f>
        <v>0.1</v>
      </c>
      <c r="AA54" s="11">
        <f>[51]Model!$AS$47</f>
        <v>0.51830194668540885</v>
      </c>
      <c r="AB54" s="7" t="str">
        <f>[51]Model!$AS$48</f>
        <v>Heavily undervalued</v>
      </c>
      <c r="AC54" s="7" t="s">
        <v>54</v>
      </c>
      <c r="AD54" s="7">
        <v>1995</v>
      </c>
      <c r="AF54" s="17">
        <f>[51]Main!$E$3</f>
        <v>46079</v>
      </c>
      <c r="AG54" s="17">
        <f>[51]Main!$G$3</f>
        <v>46168</v>
      </c>
    </row>
    <row r="55" spans="2:33" x14ac:dyDescent="0.3">
      <c r="B55" s="24" t="s">
        <v>90</v>
      </c>
      <c r="C55" s="7" t="s">
        <v>91</v>
      </c>
      <c r="D55" s="12">
        <f>[52]Main!$D$3</f>
        <v>6.79</v>
      </c>
      <c r="E55" s="8">
        <f>[52]Main!$D$5</f>
        <v>723.81399999999996</v>
      </c>
      <c r="F55" s="8">
        <f>[52]Main!$D$8</f>
        <v>-22.700000000000003</v>
      </c>
      <c r="G55" s="8">
        <f>[52]Main!$D$9</f>
        <v>746.51400000000001</v>
      </c>
      <c r="H55" s="8">
        <f>[52]Model!AO$50</f>
        <v>-71.999999999999844</v>
      </c>
      <c r="I55" s="8">
        <f>[52]Model!AP$50</f>
        <v>19.499999999999932</v>
      </c>
      <c r="J55" s="8">
        <f>[52]Model!AQ$50</f>
        <v>-18.977062759999995</v>
      </c>
      <c r="K55" s="8">
        <f>[52]Model!AR$50</f>
        <v>14.686396735999963</v>
      </c>
      <c r="L55" s="8">
        <f>[52]Model!AS$50</f>
        <v>51.924688594000017</v>
      </c>
      <c r="M55" s="9"/>
      <c r="N55" s="9">
        <f>$G55/I55</f>
        <v>38.282769230769361</v>
      </c>
      <c r="O55" s="9">
        <f>$G55/J55</f>
        <v>-39.337699908623804</v>
      </c>
      <c r="P55" s="9">
        <f>$G55/K55</f>
        <v>50.830303267656589</v>
      </c>
      <c r="Q55" s="9">
        <f>$G55/L55</f>
        <v>14.376860414840522</v>
      </c>
      <c r="R55" s="9">
        <f>G55/[52]Model!$AZ$50</f>
        <v>6.870871437937117</v>
      </c>
      <c r="S55" s="10">
        <f>[52]Model!$AP$5</f>
        <v>1472.6</v>
      </c>
      <c r="T55" s="31">
        <f t="shared" si="8"/>
        <v>0.50693603150889588</v>
      </c>
      <c r="U55" s="11">
        <f>[52]Model!AN$22</f>
        <v>6.1668242309650179E-2</v>
      </c>
      <c r="V55" s="11">
        <f>[52]Model!AO$22</f>
        <v>-9.8294403726282509E-2</v>
      </c>
      <c r="W55" s="11">
        <f>[52]Model!$AP$23</f>
        <v>0.28928425913350536</v>
      </c>
      <c r="X55" s="11">
        <f>[52]Model!$AP$24</f>
        <v>1.4939562678255877E-3</v>
      </c>
      <c r="Y55" s="11">
        <f>[52]Model!$AP$28</f>
        <v>-1.0865136493277224E-2</v>
      </c>
      <c r="Z55" s="11">
        <f>[52]Model!$BC$25</f>
        <v>0.11</v>
      </c>
      <c r="AA55" s="11">
        <f>[52]Model!$BC$57</f>
        <v>-0.22789853349978817</v>
      </c>
      <c r="AB55" s="7" t="str">
        <f>[52]Model!$BC$58</f>
        <v>Slightly overvalued</v>
      </c>
      <c r="AC55" s="7" t="s">
        <v>84</v>
      </c>
      <c r="AD55" s="7">
        <v>1994</v>
      </c>
      <c r="AF55" s="17">
        <f>[52]Main!$E$3</f>
        <v>46067</v>
      </c>
      <c r="AG55" s="17">
        <f>[52]Main!$G$3</f>
        <v>46154</v>
      </c>
    </row>
    <row r="56" spans="2:33" x14ac:dyDescent="0.3">
      <c r="B56" s="24" t="s">
        <v>209</v>
      </c>
      <c r="C56" s="7" t="s">
        <v>210</v>
      </c>
      <c r="D56" s="12">
        <f>[53]Main!$D$3</f>
        <v>12.96</v>
      </c>
      <c r="E56" s="8">
        <f>[53]Main!$D$5</f>
        <v>396.57600000000002</v>
      </c>
      <c r="F56" s="8">
        <f>[53]Main!$D$8</f>
        <v>-174.5</v>
      </c>
      <c r="G56" s="8">
        <f>[53]Main!$D$9</f>
        <v>571.07600000000002</v>
      </c>
      <c r="H56" s="8">
        <f>[53]Model!Q$17</f>
        <v>-6.4999999999999982</v>
      </c>
      <c r="I56" s="8">
        <f>[53]Model!R$17</f>
        <v>-11.824000000000012</v>
      </c>
      <c r="J56" s="8">
        <f>[53]Model!S$17</f>
        <v>61.227659999999979</v>
      </c>
      <c r="K56" s="8">
        <f>[53]Model!T$17</f>
        <v>67.820372399999911</v>
      </c>
      <c r="L56" s="8">
        <f>[53]Model!U$17</f>
        <v>69.289414067999999</v>
      </c>
      <c r="M56" s="9"/>
      <c r="N56" s="9"/>
      <c r="O56" s="9">
        <f t="shared" ref="O56:Q57" si="16">$G56/J56</f>
        <v>9.3270917098579336</v>
      </c>
      <c r="P56" s="9">
        <f t="shared" si="16"/>
        <v>8.4204197026792027</v>
      </c>
      <c r="Q56" s="9">
        <f t="shared" si="16"/>
        <v>8.2418939123882797</v>
      </c>
      <c r="R56" s="9">
        <f>G56/[53]Model!$AB$17</f>
        <v>6.4436752202016523</v>
      </c>
      <c r="S56" s="10">
        <f>[53]Model!$R$3</f>
        <v>754.1</v>
      </c>
      <c r="T56" s="31">
        <f t="shared" si="8"/>
        <v>0.7572947884895902</v>
      </c>
      <c r="U56" s="11">
        <f>[53]Model!P$21</f>
        <v>4.8674110258199565E-2</v>
      </c>
      <c r="V56" s="11">
        <f>[53]Model!Q$21</f>
        <v>0.24521710197970381</v>
      </c>
      <c r="W56" s="11">
        <f>[53]Model!$R$22</f>
        <v>0.39541307518896696</v>
      </c>
      <c r="X56" s="11">
        <f>[53]Model!$R$26</f>
        <v>-1.369049197719137E-2</v>
      </c>
      <c r="Y56" s="11"/>
      <c r="Z56" s="11">
        <f>[53]Model!$AE$23</f>
        <v>0.11</v>
      </c>
      <c r="AA56" s="11">
        <f>[53]Model!$AE$29</f>
        <v>9.1565921641408421E-2</v>
      </c>
      <c r="AB56" s="7" t="str">
        <f>[53]Model!$AE$30</f>
        <v>Fairly valued</v>
      </c>
      <c r="AC56" s="7" t="s">
        <v>84</v>
      </c>
      <c r="AD56" s="7">
        <v>2000</v>
      </c>
      <c r="AF56" s="17">
        <f>[53]Main!$E$3</f>
        <v>46070</v>
      </c>
      <c r="AG56" s="17">
        <f>[53]Main!$G$3</f>
        <v>46072</v>
      </c>
    </row>
    <row r="57" spans="2:33" x14ac:dyDescent="0.3">
      <c r="B57" s="24" t="s">
        <v>196</v>
      </c>
      <c r="C57" s="7" t="s">
        <v>197</v>
      </c>
      <c r="D57" s="12">
        <f>[54]Main!$D$3</f>
        <v>20.78</v>
      </c>
      <c r="E57" s="8">
        <f>[54]Main!$D$5</f>
        <v>756.39200000000005</v>
      </c>
      <c r="F57" s="8">
        <f>[54]Main!$D$8</f>
        <v>256.3</v>
      </c>
      <c r="G57" s="8">
        <f>[54]Main!$D$9</f>
        <v>500.09200000000004</v>
      </c>
      <c r="H57" s="8">
        <f>[54]Model!AD$15</f>
        <v>18.399999999999991</v>
      </c>
      <c r="I57" s="8">
        <f>[54]Model!AE$15</f>
        <v>12.330000000000075</v>
      </c>
      <c r="J57" s="8">
        <f>[54]Model!AF$15</f>
        <v>21.310401000000056</v>
      </c>
      <c r="K57" s="8">
        <f>[54]Model!AG$15</f>
        <v>31.313607300000072</v>
      </c>
      <c r="L57" s="8">
        <f>[54]Model!AH$15</f>
        <v>37.776299831400074</v>
      </c>
      <c r="M57" s="9">
        <f>$G57/H57</f>
        <v>27.178913043478275</v>
      </c>
      <c r="N57" s="9">
        <f>$G57/I57</f>
        <v>40.558961881589376</v>
      </c>
      <c r="O57" s="9">
        <f t="shared" si="16"/>
        <v>23.467038466333822</v>
      </c>
      <c r="P57" s="9">
        <f t="shared" si="16"/>
        <v>15.970437235444249</v>
      </c>
      <c r="Q57" s="9">
        <f t="shared" si="16"/>
        <v>13.238247319932539</v>
      </c>
      <c r="R57" s="9">
        <f>G57/[54]Model!$AO$15</f>
        <v>7.9019726917827509</v>
      </c>
      <c r="S57" s="10">
        <f>[54]Model!$AE$3</f>
        <v>431.70000000000005</v>
      </c>
      <c r="T57" s="31">
        <f t="shared" si="8"/>
        <v>1.1584248320593005</v>
      </c>
      <c r="U57" s="11">
        <f>[54]Model!AC$19</f>
        <v>7.1449747998814095E-2</v>
      </c>
      <c r="V57" s="11">
        <f>[54]Model!AD$19</f>
        <v>8.3287216380741436E-2</v>
      </c>
      <c r="W57" s="11">
        <f>[54]Model!$AE$20</f>
        <v>0.81209173036831128</v>
      </c>
      <c r="X57" s="11">
        <f>[54]Model!$AE$24</f>
        <v>-2.1473245309242352E-2</v>
      </c>
      <c r="Y57" s="11">
        <f>[54]Model!$AE$26</f>
        <v>2.8561501042390719E-2</v>
      </c>
      <c r="Z57" s="11">
        <f>[54]Model!$AR$21</f>
        <v>0.11</v>
      </c>
      <c r="AA57" s="11">
        <f>[54]Model!$AR$27</f>
        <v>-0.13703365150766034</v>
      </c>
      <c r="AB57" s="7" t="str">
        <f>[54]Model!$AR$28</f>
        <v>Slightly overvalued</v>
      </c>
      <c r="AC57" s="7" t="s">
        <v>54</v>
      </c>
      <c r="AD57" s="7">
        <v>2009</v>
      </c>
      <c r="AF57" s="17">
        <f>[54]Main!$E$3</f>
        <v>45967</v>
      </c>
      <c r="AG57" s="17">
        <f>[54]Main!$G$3</f>
        <v>46078</v>
      </c>
    </row>
    <row r="58" spans="2:33" x14ac:dyDescent="0.3">
      <c r="B58" s="24" t="s">
        <v>193</v>
      </c>
      <c r="C58" s="7" t="s">
        <v>194</v>
      </c>
      <c r="D58" s="12">
        <f>[55]Main!$D$3</f>
        <v>25.87</v>
      </c>
      <c r="E58" s="8">
        <f>[55]Main!$D$5</f>
        <v>473.42100000000005</v>
      </c>
      <c r="F58" s="8">
        <f>[55]Main!$D$8</f>
        <v>146.5</v>
      </c>
      <c r="G58" s="8">
        <f>[55]Main!$D$9</f>
        <v>326.92100000000005</v>
      </c>
      <c r="H58" s="8">
        <f>[55]Model!M$14</f>
        <v>-42.300000000000011</v>
      </c>
      <c r="I58" s="8">
        <f>[55]Model!N$14</f>
        <v>-35.13000000000001</v>
      </c>
      <c r="J58" s="8">
        <f>[55]Model!O$14</f>
        <v>-19.677</v>
      </c>
      <c r="K58" s="8">
        <f>[55]Model!P$14</f>
        <v>-19.810699999999997</v>
      </c>
      <c r="L58" s="8">
        <f>[55]Model!Q$14</f>
        <v>-16.560704999999995</v>
      </c>
      <c r="M58" s="9"/>
      <c r="N58" s="9"/>
      <c r="O58" s="9"/>
      <c r="P58" s="9">
        <f t="shared" ref="P58:Q61" si="17">$G58/K58</f>
        <v>-16.502243736970431</v>
      </c>
      <c r="Q58" s="9">
        <f t="shared" si="17"/>
        <v>-19.740765867153613</v>
      </c>
      <c r="R58" s="9">
        <f>G58/[55]Model!$X$14</f>
        <v>13.887469593840052</v>
      </c>
      <c r="S58" s="28">
        <f>[55]Model!$M$3</f>
        <v>76.099999999999994</v>
      </c>
      <c r="T58" s="30">
        <f t="shared" si="8"/>
        <v>4.2959395532194486</v>
      </c>
      <c r="U58" s="11"/>
      <c r="V58" s="11">
        <f>[55]Model!$M$18</f>
        <v>0.16183206106870229</v>
      </c>
      <c r="W58" s="32">
        <f>[55]Model!$M$19</f>
        <v>0.31931668856767409</v>
      </c>
      <c r="X58" s="32">
        <f>[55]Model!$M$23</f>
        <v>-0.53350854139290427</v>
      </c>
      <c r="Y58" s="32"/>
      <c r="Z58" s="11">
        <f>[55]Model!$AA$20</f>
        <v>0.11</v>
      </c>
      <c r="AA58" s="11">
        <f>[55]Model!$AA$26</f>
        <v>-0.64508495994341608</v>
      </c>
      <c r="AB58" s="7" t="str">
        <f>[55]Model!$AA$27</f>
        <v>Heavily overvalued</v>
      </c>
      <c r="AC58" s="7" t="s">
        <v>55</v>
      </c>
      <c r="AD58" s="7">
        <v>2010</v>
      </c>
      <c r="AF58" s="17">
        <f>[55]Main!$E$3</f>
        <v>45975</v>
      </c>
      <c r="AG58" s="17">
        <f>[55]Main!$G$3</f>
        <v>46078</v>
      </c>
    </row>
    <row r="59" spans="2:33" x14ac:dyDescent="0.3">
      <c r="B59" s="25" t="s">
        <v>182</v>
      </c>
      <c r="C59" s="7" t="s">
        <v>183</v>
      </c>
      <c r="D59" s="19">
        <f>[56]Main!$D$3</f>
        <v>5.1100000000000003</v>
      </c>
      <c r="E59" s="8">
        <f>[56]Main!$D$5</f>
        <v>181.91600000000003</v>
      </c>
      <c r="F59" s="8">
        <f>[56]Main!$D$8</f>
        <v>-75.699999999999989</v>
      </c>
      <c r="G59" s="8">
        <f>[56]Main!$D$9</f>
        <v>257.61599999999999</v>
      </c>
      <c r="H59" s="8">
        <f>[56]Model!U$25</f>
        <v>30.799999999999997</v>
      </c>
      <c r="I59" s="8">
        <f>[56]Model!V$25</f>
        <v>3.4624999999999888</v>
      </c>
      <c r="J59" s="8">
        <f>[56]Model!W$25</f>
        <v>25.372585000000015</v>
      </c>
      <c r="K59" s="8">
        <f>[56]Model!X$25</f>
        <v>27.567155120000027</v>
      </c>
      <c r="L59" s="8">
        <f>[56]Model!Y$25</f>
        <v>30.084817896800001</v>
      </c>
      <c r="M59" s="9">
        <f>$G59/H59</f>
        <v>8.3641558441558441</v>
      </c>
      <c r="N59" s="9">
        <f>$G59/I59</f>
        <v>74.401732851985798</v>
      </c>
      <c r="O59" s="9">
        <f>$G59/J59</f>
        <v>10.153320995870143</v>
      </c>
      <c r="P59" s="9">
        <f t="shared" si="17"/>
        <v>9.3450339318147151</v>
      </c>
      <c r="Q59" s="9">
        <f t="shared" si="17"/>
        <v>8.5629901727742066</v>
      </c>
      <c r="R59" s="9">
        <f>G59/[56]Model!$AF$25</f>
        <v>5.5936329092811201</v>
      </c>
      <c r="S59" s="10">
        <f>[56]Model!$V$10</f>
        <v>163.22499999999999</v>
      </c>
      <c r="T59" s="31">
        <f t="shared" si="8"/>
        <v>1.5782876397610659</v>
      </c>
      <c r="U59" s="11">
        <f>[56]Model!U$31</f>
        <v>0.170193192272309</v>
      </c>
      <c r="V59" s="11">
        <f>[56]Model!V$31</f>
        <v>0.28321540880503138</v>
      </c>
      <c r="W59" s="11">
        <f>[56]Model!$V$32</f>
        <v>0.92211671006279672</v>
      </c>
      <c r="X59" s="11">
        <f>[56]Model!$V$36</f>
        <v>0.18846684025118696</v>
      </c>
      <c r="Y59" s="11">
        <f>[56]Model!$V$38</f>
        <v>2.1213049471588231E-2</v>
      </c>
      <c r="Z59" s="11">
        <f>[56]Model!$AI$34</f>
        <v>0.11</v>
      </c>
      <c r="AA59" s="11">
        <f>[56]Model!$AI$97</f>
        <v>0.69627521759744893</v>
      </c>
      <c r="AB59" s="7" t="str">
        <f>[56]Model!$AI$98</f>
        <v>Heavily undervalued</v>
      </c>
      <c r="AC59" s="7" t="s">
        <v>89</v>
      </c>
      <c r="AD59" s="7">
        <v>2006</v>
      </c>
      <c r="AF59" s="17">
        <f>[56]Main!$E$3</f>
        <v>45974</v>
      </c>
      <c r="AG59" s="17">
        <f>[56]Main!$G$3</f>
        <v>46066</v>
      </c>
    </row>
    <row r="60" spans="2:33" x14ac:dyDescent="0.3">
      <c r="B60" s="24" t="s">
        <v>200</v>
      </c>
      <c r="C60" s="7" t="s">
        <v>201</v>
      </c>
      <c r="D60" s="12">
        <f>[57]Main!$D$3</f>
        <v>5.98</v>
      </c>
      <c r="E60" s="8">
        <f>[57]Main!$D$5</f>
        <v>999.85599999999999</v>
      </c>
      <c r="F60" s="8">
        <f>[57]Main!$D$8</f>
        <v>792.6</v>
      </c>
      <c r="G60" s="8">
        <f>[57]Main!$D$9</f>
        <v>207.25599999999997</v>
      </c>
      <c r="H60" s="8">
        <f>[57]Model!AO$18</f>
        <v>-79.499999999999901</v>
      </c>
      <c r="I60" s="8">
        <f>[57]Model!AP$18</f>
        <v>-51.000000000000206</v>
      </c>
      <c r="J60" s="8">
        <f>[57]Model!AQ$18</f>
        <v>-4.8485249999999889</v>
      </c>
      <c r="K60" s="8">
        <f>[57]Model!AR$18</f>
        <v>17.133059249999942</v>
      </c>
      <c r="L60" s="8">
        <f>[57]Model!AS$18</f>
        <v>29.023365554999952</v>
      </c>
      <c r="M60" s="9"/>
      <c r="N60" s="9"/>
      <c r="O60" s="9">
        <f>$G60/J60</f>
        <v>-42.746196008064402</v>
      </c>
      <c r="P60" s="9">
        <f t="shared" si="17"/>
        <v>12.096847210751383</v>
      </c>
      <c r="Q60" s="9">
        <f t="shared" si="17"/>
        <v>7.1410050501291806</v>
      </c>
      <c r="R60" s="9">
        <f>G60/[57]Model!$AZ$18</f>
        <v>3.265295379671862</v>
      </c>
      <c r="S60" s="10">
        <f>[57]Model!$AP$5</f>
        <v>757.49999999999989</v>
      </c>
      <c r="T60" s="31">
        <f t="shared" si="8"/>
        <v>0.27360528052805283</v>
      </c>
      <c r="U60" s="11">
        <f>[57]Model!AN$24</f>
        <v>0.21363115693012591</v>
      </c>
      <c r="V60" s="11">
        <f>[57]Model!AO$24</f>
        <v>9.2811074406166538E-2</v>
      </c>
      <c r="W60" s="11">
        <f>[57]Model!$AP$25</f>
        <v>0.54574257425742567</v>
      </c>
      <c r="X60" s="11">
        <f>[57]Model!$AP$29</f>
        <v>-0.10217821782178246</v>
      </c>
      <c r="Y60" s="11">
        <f>[57]Model!$AP$31</f>
        <v>-6.7326732673267609E-2</v>
      </c>
      <c r="Z60" s="11">
        <f>[57]Model!$BC$26</f>
        <v>0.11</v>
      </c>
      <c r="AA60" s="11">
        <f>[57]Model!$BC$32</f>
        <v>0.16615973679599794</v>
      </c>
      <c r="AB60" s="7" t="str">
        <f>[57]Model!$BC$33</f>
        <v>Slightly undervalued</v>
      </c>
      <c r="AC60" s="7" t="s">
        <v>204</v>
      </c>
      <c r="AD60" s="7">
        <v>2011</v>
      </c>
      <c r="AF60" s="17">
        <f>[57]Main!$E$3</f>
        <v>46059</v>
      </c>
      <c r="AG60" s="17">
        <f>[57]Main!$G$3</f>
        <v>46135</v>
      </c>
    </row>
    <row r="61" spans="2:33" x14ac:dyDescent="0.3">
      <c r="B61" s="24" t="s">
        <v>63</v>
      </c>
      <c r="C61" s="7" t="s">
        <v>64</v>
      </c>
      <c r="D61" s="12">
        <f>[58]Main!$D$3</f>
        <v>11.61</v>
      </c>
      <c r="E61" s="8">
        <f>[58]Main!$D$5</f>
        <v>175.31099999999998</v>
      </c>
      <c r="F61" s="8">
        <f>[58]Main!$D$8</f>
        <v>-27.1</v>
      </c>
      <c r="G61" s="8">
        <f>[58]Main!$D$9</f>
        <v>202.41099999999997</v>
      </c>
      <c r="H61" s="8">
        <f>[58]Model!AU23</f>
        <v>3.1999999999999886</v>
      </c>
      <c r="I61" s="8">
        <f>[58]Model!AV23</f>
        <v>0.3009000000000096</v>
      </c>
      <c r="J61" s="8">
        <f>[58]Model!AW23</f>
        <v>7.5771119999999863</v>
      </c>
      <c r="K61" s="8">
        <f>[58]Model!AX23</f>
        <v>10.747554479999993</v>
      </c>
      <c r="L61" s="8">
        <f>[58]Model!AY23</f>
        <v>13.166563108799991</v>
      </c>
      <c r="M61" s="9"/>
      <c r="N61" s="9">
        <f>$G61/I61</f>
        <v>672.68527750080932</v>
      </c>
      <c r="O61" s="9">
        <f>$G61/J61</f>
        <v>26.713476057896511</v>
      </c>
      <c r="P61" s="9">
        <f t="shared" si="17"/>
        <v>18.833214604928443</v>
      </c>
      <c r="Q61" s="9">
        <f t="shared" si="17"/>
        <v>15.37310825364265</v>
      </c>
      <c r="R61" s="9"/>
      <c r="S61" s="28">
        <f>[58]Model!$AU$7</f>
        <v>206.39999999999998</v>
      </c>
      <c r="T61" s="30">
        <f t="shared" si="8"/>
        <v>0.9806734496124031</v>
      </c>
      <c r="U61" s="11">
        <f>[58]Model!AT$31</f>
        <v>-0.23368678629690032</v>
      </c>
      <c r="V61" s="11">
        <f>[58]Model!AU$31</f>
        <v>9.8456625864821401E-2</v>
      </c>
      <c r="W61" s="32"/>
      <c r="X61" s="32"/>
      <c r="Y61" s="32"/>
      <c r="Z61" s="11">
        <f>[58]Model!$BI$33</f>
        <v>0.12</v>
      </c>
      <c r="AA61" s="11">
        <f>[58]Model!$BI$39</f>
        <v>-0.50510854576419484</v>
      </c>
      <c r="AB61" s="7" t="str">
        <f>[58]Model!$BI$40</f>
        <v>Heavily overvalued</v>
      </c>
      <c r="AC61" s="7" t="s">
        <v>65</v>
      </c>
      <c r="AD61" s="7">
        <v>1996</v>
      </c>
      <c r="AF61" s="17">
        <f>[58]Main!$E$3</f>
        <v>45975</v>
      </c>
      <c r="AG61" s="17">
        <f>[58]Main!$G$3</f>
        <v>46084</v>
      </c>
    </row>
    <row r="62" spans="2:33" x14ac:dyDescent="0.3">
      <c r="B62" s="26" t="s">
        <v>87</v>
      </c>
      <c r="C62" s="7" t="s">
        <v>88</v>
      </c>
      <c r="D62" s="18">
        <f>[59]Main!$D$3</f>
        <v>0.73199999999999998</v>
      </c>
      <c r="E62" s="8">
        <f>[59]Main!$D$5</f>
        <v>187.61160000000001</v>
      </c>
      <c r="F62" s="8">
        <f>[59]Main!$D$8</f>
        <v>0</v>
      </c>
      <c r="G62" s="8">
        <f>[59]Main!$D$9</f>
        <v>187.61160000000001</v>
      </c>
      <c r="H62" s="8"/>
      <c r="I62" s="8"/>
      <c r="J62" s="8"/>
      <c r="K62" s="8"/>
      <c r="L62" s="8"/>
      <c r="M62" s="9"/>
      <c r="N62" s="9"/>
      <c r="O62" s="9"/>
      <c r="P62" s="9"/>
      <c r="Q62" s="9"/>
      <c r="R62" s="9"/>
      <c r="S62" s="29"/>
      <c r="T62" s="29"/>
      <c r="U62" s="11"/>
      <c r="V62" s="11"/>
      <c r="W62" s="32"/>
      <c r="X62" s="32"/>
      <c r="Y62" s="32"/>
      <c r="Z62" s="11">
        <f>[59]Model!$AE$24</f>
        <v>0.11</v>
      </c>
      <c r="AA62" s="11">
        <f>[59]Model!$AE$30</f>
        <v>-0.25169013126318518</v>
      </c>
      <c r="AB62" s="7" t="str">
        <f>[59]Model!$AE$31</f>
        <v>Slightly overvalued</v>
      </c>
      <c r="AC62" s="7" t="s">
        <v>89</v>
      </c>
      <c r="AD62" s="7">
        <v>1972</v>
      </c>
      <c r="AF62" s="17">
        <f>[59]Main!$E$3</f>
        <v>44279</v>
      </c>
      <c r="AG62" s="17">
        <f>[59]Main!$G$3</f>
        <v>44406</v>
      </c>
    </row>
    <row r="63" spans="2:33" x14ac:dyDescent="0.3">
      <c r="B63" s="24" t="s">
        <v>141</v>
      </c>
      <c r="C63" s="7" t="s">
        <v>142</v>
      </c>
      <c r="D63" s="12">
        <f>[60]Main!$D$3</f>
        <v>8.34</v>
      </c>
      <c r="E63" s="8">
        <f>[60]Main!$D$5</f>
        <v>397.81800000000004</v>
      </c>
      <c r="F63" s="8">
        <f>[60]Main!$D$8</f>
        <v>210.80000000000007</v>
      </c>
      <c r="G63" s="8">
        <f>[60]Main!$D$9</f>
        <v>187.01799999999997</v>
      </c>
      <c r="H63" s="8">
        <f>[60]Model!AD$32</f>
        <v>-79.199999999999989</v>
      </c>
      <c r="I63" s="8">
        <f>[60]Model!AE$32</f>
        <v>-101.19999999999999</v>
      </c>
      <c r="J63" s="8">
        <f>[60]Model!AF$32</f>
        <v>-142.29999999999998</v>
      </c>
      <c r="K63" s="8">
        <f>[60]Model!AG$32</f>
        <v>-108.39999999999996</v>
      </c>
      <c r="L63" s="8">
        <f>[60]Model!AH$32</f>
        <v>-129.1</v>
      </c>
      <c r="M63" s="9">
        <f>$G63/H63</f>
        <v>-2.3613383838383837</v>
      </c>
      <c r="N63" s="9">
        <f>$G63/I63</f>
        <v>-1.8480039525691698</v>
      </c>
      <c r="O63" s="9">
        <f>$G63/J63</f>
        <v>-1.3142515811665496</v>
      </c>
      <c r="P63" s="9">
        <f>$G63/K63</f>
        <v>-1.7252583025830261</v>
      </c>
      <c r="Q63" s="9">
        <f>$G63/L63</f>
        <v>-1.4486289697908596</v>
      </c>
      <c r="R63" s="9">
        <f>E63/[60]Model!$AO$32</f>
        <v>28.817553064952257</v>
      </c>
      <c r="S63" s="10">
        <f>[60]Model!$AE$13</f>
        <v>69.5</v>
      </c>
      <c r="T63" s="31">
        <f>G63/S63</f>
        <v>2.6909064748201437</v>
      </c>
      <c r="U63" s="11">
        <f>[60]Model!AD$44</f>
        <v>0.31632653061224492</v>
      </c>
      <c r="V63" s="11">
        <f>[60]Model!AE$44</f>
        <v>-3.8759689922480689E-3</v>
      </c>
      <c r="W63" s="11">
        <f>[60]Model!$AE$50</f>
        <v>-0.2258992805755394</v>
      </c>
      <c r="X63" s="11">
        <f>[60]Model!$AE$53</f>
        <v>-0.93525179856115093</v>
      </c>
      <c r="Y63" s="11"/>
      <c r="Z63" s="11">
        <f>[60]Model!$AW$43</f>
        <v>0.12</v>
      </c>
      <c r="AA63" s="11">
        <f>[60]Model!$AW$49</f>
        <v>-9.7741620884485791E-2</v>
      </c>
      <c r="AB63" s="7" t="str">
        <f>[60]Model!$AW$50</f>
        <v>Fairly valued</v>
      </c>
      <c r="AC63" s="7" t="s">
        <v>143</v>
      </c>
      <c r="AD63" s="7">
        <v>1969</v>
      </c>
      <c r="AF63" s="17">
        <f>[60]Main!$E$3</f>
        <v>46012</v>
      </c>
      <c r="AG63" s="17">
        <f>[60]Main!$G$3</f>
        <v>46091</v>
      </c>
    </row>
    <row r="64" spans="2:33" x14ac:dyDescent="0.3">
      <c r="B64" s="24" t="s">
        <v>109</v>
      </c>
      <c r="C64" s="7" t="s">
        <v>110</v>
      </c>
      <c r="D64" s="19">
        <f>[61]Main!$D$3</f>
        <v>1.27</v>
      </c>
      <c r="E64" s="8">
        <f>[61]Main!$D$5</f>
        <v>94.234000000000009</v>
      </c>
      <c r="F64" s="8">
        <f>[61]Main!$D$8</f>
        <v>-15.5</v>
      </c>
      <c r="G64" s="8">
        <f>[61]Main!$D$9</f>
        <v>109.73400000000001</v>
      </c>
      <c r="H64" s="8">
        <f>[61]Model!T17</f>
        <v>-76.160000000000011</v>
      </c>
      <c r="I64" s="8">
        <f>[61]Model!U17</f>
        <v>2.1120000000000005</v>
      </c>
      <c r="J64" s="8">
        <f>[61]Model!V17</f>
        <v>8.7361250000000013</v>
      </c>
      <c r="K64" s="8">
        <f>[61]Model!W17</f>
        <v>15.032579999999999</v>
      </c>
      <c r="L64" s="8">
        <f>[61]Model!X17</f>
        <v>20.612932799999989</v>
      </c>
      <c r="M64" s="9"/>
      <c r="N64" s="9">
        <f t="shared" ref="N64:Q65" si="18">$G64/I64</f>
        <v>51.957386363636353</v>
      </c>
      <c r="O64" s="9">
        <f t="shared" si="18"/>
        <v>12.560946643964</v>
      </c>
      <c r="P64" s="9">
        <f t="shared" si="18"/>
        <v>7.2997449539599994</v>
      </c>
      <c r="Q64" s="9">
        <f t="shared" si="18"/>
        <v>5.3235510475248855</v>
      </c>
      <c r="R64" s="9">
        <f>G64/[61]Model!$AE$17</f>
        <v>2.175916093374441</v>
      </c>
      <c r="S64" s="28">
        <f>[61]Model!$T$3</f>
        <v>46.9</v>
      </c>
      <c r="T64" s="30">
        <f>G64/S64</f>
        <v>2.3397441364605545</v>
      </c>
      <c r="U64" s="11">
        <f>[61]Model!S$21</f>
        <v>2.4338235294117649</v>
      </c>
      <c r="V64" s="11">
        <f>[61]Model!T$21</f>
        <v>4.2826552462524869E-3</v>
      </c>
      <c r="W64" s="32"/>
      <c r="X64" s="32"/>
      <c r="Y64" s="32"/>
      <c r="Z64" s="11">
        <f>[61]Model!$AH$24</f>
        <v>0.12</v>
      </c>
      <c r="AA64" s="11">
        <f>[61]Model!$AH$30</f>
        <v>0.51192284558708812</v>
      </c>
      <c r="AB64" s="7" t="str">
        <f>[61]Model!$AH$31</f>
        <v>Heavily undervalued</v>
      </c>
      <c r="AC64" s="7" t="s">
        <v>111</v>
      </c>
      <c r="AD64" s="7">
        <v>2015</v>
      </c>
      <c r="AF64" s="17">
        <f>[61]Main!$E$3</f>
        <v>45751</v>
      </c>
      <c r="AG64" s="17">
        <f>[61]Main!$G$3</f>
        <v>45845</v>
      </c>
    </row>
    <row r="65" spans="2:33" x14ac:dyDescent="0.3">
      <c r="B65" s="25" t="s">
        <v>153</v>
      </c>
      <c r="C65" s="7" t="s">
        <v>154</v>
      </c>
      <c r="D65" s="12">
        <f>[62]Main!$D$3</f>
        <v>0.7</v>
      </c>
      <c r="E65" s="8">
        <f>[62]Main!$D$5</f>
        <v>76.58</v>
      </c>
      <c r="F65" s="8">
        <f>[62]Main!$D$8</f>
        <v>31.40000000000002</v>
      </c>
      <c r="G65" s="8">
        <f>[62]Main!$D$9</f>
        <v>45.179999999999978</v>
      </c>
      <c r="H65" s="8">
        <f>[62]Model!AH$16</f>
        <v>-11.099999999999937</v>
      </c>
      <c r="I65" s="8">
        <f>[62]Model!AI$16</f>
        <v>-100.00000000000003</v>
      </c>
      <c r="J65" s="8">
        <f>[62]Model!AJ$16</f>
        <v>-92.860300000000024</v>
      </c>
      <c r="K65" s="8">
        <f>[62]Model!AK$16</f>
        <v>-62.350560000000037</v>
      </c>
      <c r="L65" s="8">
        <f>[62]Model!AL$16</f>
        <v>-58.42446200000002</v>
      </c>
      <c r="M65" s="9">
        <f>$G65/H65</f>
        <v>-4.0702702702702913</v>
      </c>
      <c r="N65" s="9">
        <f t="shared" si="18"/>
        <v>-0.45179999999999965</v>
      </c>
      <c r="O65" s="9">
        <f t="shared" si="18"/>
        <v>-0.48653730388551369</v>
      </c>
      <c r="P65" s="9">
        <f t="shared" si="18"/>
        <v>-0.72461257765768183</v>
      </c>
      <c r="Q65" s="9">
        <f t="shared" si="18"/>
        <v>-0.7733062223148921</v>
      </c>
      <c r="R65" s="9"/>
      <c r="S65" s="10">
        <f>[62]Model!$AI$3</f>
        <v>68.599999999999994</v>
      </c>
      <c r="T65" s="31">
        <f>G65/S65</f>
        <v>0.65860058309037872</v>
      </c>
      <c r="U65" s="11">
        <f>[62]Model!AG$20</f>
        <v>0.17454194792671113</v>
      </c>
      <c r="V65" s="11">
        <f>[62]Model!AH$20</f>
        <v>-1.5204567078972404</v>
      </c>
      <c r="W65" s="32">
        <f>[62]Model!$AI$25</f>
        <v>0.59617935791987264</v>
      </c>
      <c r="X65" s="32">
        <f>[62]Model!$AI$29</f>
        <v>-0.31016184664367219</v>
      </c>
      <c r="Y65" s="32">
        <f>[62]Model!$AI$31</f>
        <v>-0.27407800477580269</v>
      </c>
      <c r="Z65" s="11">
        <f>[62]Model!$AW$26</f>
        <v>0.12</v>
      </c>
      <c r="AA65" s="11">
        <f>[62]Model!$AW$67</f>
        <v>3.1218636584335515</v>
      </c>
      <c r="AB65" s="7" t="str">
        <f>[62]Model!$AW$68</f>
        <v>Heavily undervalued</v>
      </c>
      <c r="AC65" s="7" t="s">
        <v>204</v>
      </c>
      <c r="AD65" s="7">
        <v>2005</v>
      </c>
      <c r="AF65" s="17">
        <f>[62]Main!$E$3</f>
        <v>46063</v>
      </c>
      <c r="AG65" s="17">
        <f>[62]Main!$G$3</f>
        <v>46146</v>
      </c>
    </row>
    <row r="66" spans="2:33" x14ac:dyDescent="0.3">
      <c r="B66" s="24" t="s">
        <v>157</v>
      </c>
      <c r="C66" s="7" t="s">
        <v>158</v>
      </c>
      <c r="D66" s="12">
        <f>[63]Main!$D$3</f>
        <v>5.79</v>
      </c>
      <c r="E66" s="8">
        <f>[63]Main!$D$5</f>
        <v>54.426000000000002</v>
      </c>
      <c r="F66" s="8">
        <f>[63]Main!$D$8</f>
        <v>20</v>
      </c>
      <c r="G66" s="8">
        <f>[63]Main!$D$9</f>
        <v>34.426000000000002</v>
      </c>
      <c r="H66" s="8">
        <f>[63]Model!AC$12</f>
        <v>-0.29201399999999977</v>
      </c>
      <c r="I66" s="8">
        <f>[63]Model!AD$12</f>
        <v>-2.4455999999972722E-4</v>
      </c>
      <c r="J66" s="8">
        <f>[63]Model!AE$12</f>
        <v>0.24468274320000027</v>
      </c>
      <c r="K66" s="8">
        <f>[63]Model!AF$12</f>
        <v>0.43762034426400065</v>
      </c>
      <c r="L66" s="8">
        <f>[63]Model!AG$12</f>
        <v>0.63253625788728018</v>
      </c>
      <c r="M66" s="9"/>
      <c r="N66" s="9"/>
      <c r="O66" s="9">
        <f t="shared" ref="O66:Q67" si="19">$G66/J66</f>
        <v>140.69647720052194</v>
      </c>
      <c r="P66" s="9">
        <f t="shared" si="19"/>
        <v>78.666361039266562</v>
      </c>
      <c r="Q66" s="9">
        <f t="shared" si="19"/>
        <v>54.425338580566894</v>
      </c>
      <c r="R66" s="9">
        <f>G66/[63]Model!$AL$12</f>
        <v>21.005959850183736</v>
      </c>
      <c r="S66" s="28">
        <f>[63]Model!$AA$3</f>
        <v>12.3</v>
      </c>
      <c r="T66" s="30">
        <f>G66/S66</f>
        <v>2.7988617886178861</v>
      </c>
      <c r="U66" s="11">
        <f>[63]Model!AA$16</f>
        <v>-6.1068702290076216E-2</v>
      </c>
      <c r="V66" s="11">
        <f>[63]Model!AB$16</f>
        <v>3.9837398373983701E-2</v>
      </c>
      <c r="W66" s="11"/>
      <c r="X66" s="11"/>
      <c r="Y66" s="11"/>
      <c r="Z66" s="11">
        <f>[63]Model!$AO$18</f>
        <v>0.13</v>
      </c>
      <c r="AA66" s="11">
        <f>[63]Model!$AO$24</f>
        <v>-0.54344337476902149</v>
      </c>
      <c r="AB66" s="7" t="str">
        <f>[63]Model!$AO$25</f>
        <v>Heavily overvalued</v>
      </c>
      <c r="AC66" s="7" t="s">
        <v>52</v>
      </c>
      <c r="AD66" s="7">
        <v>1958</v>
      </c>
      <c r="AF66" s="17">
        <f>[63]Main!$E$3</f>
        <v>45817</v>
      </c>
      <c r="AG66" s="17">
        <f>[63]Main!$G$3</f>
        <v>45785</v>
      </c>
    </row>
    <row r="67" spans="2:33" x14ac:dyDescent="0.3">
      <c r="B67" s="26" t="s">
        <v>106</v>
      </c>
      <c r="C67" s="7" t="s">
        <v>107</v>
      </c>
      <c r="D67" s="12">
        <f>[64]Main!$D$3</f>
        <v>4.07</v>
      </c>
      <c r="E67" s="8">
        <f>[64]Main!$D$5</f>
        <v>71.632000000000005</v>
      </c>
      <c r="F67" s="8">
        <f>[64]Main!$D$8</f>
        <v>239</v>
      </c>
      <c r="G67" s="8">
        <f>[64]Main!$D$9</f>
        <v>-167.36799999999999</v>
      </c>
      <c r="H67" s="8">
        <f>[64]Model!AI14</f>
        <v>-93.9</v>
      </c>
      <c r="I67" s="8">
        <f>[64]Model!AJ14</f>
        <v>-59.968500000000006</v>
      </c>
      <c r="J67" s="8">
        <f>[64]Model!AK14</f>
        <v>-42.065130000000011</v>
      </c>
      <c r="K67" s="8">
        <f>[64]Model!AL14</f>
        <v>-29.314150250000012</v>
      </c>
      <c r="L67" s="8">
        <f>[64]Model!AM14</f>
        <v>-18.632540500000005</v>
      </c>
      <c r="M67" s="9">
        <f>$G67/H67</f>
        <v>1.7824068157614481</v>
      </c>
      <c r="N67" s="9">
        <f>$G67/I67</f>
        <v>2.7909319059172728</v>
      </c>
      <c r="O67" s="9">
        <f t="shared" si="19"/>
        <v>3.9787824262043157</v>
      </c>
      <c r="P67" s="9">
        <f t="shared" si="19"/>
        <v>5.709461081854144</v>
      </c>
      <c r="Q67" s="9">
        <f t="shared" si="19"/>
        <v>8.9825646695897401</v>
      </c>
      <c r="R67" s="9">
        <f>E67/[64]Model!$AS$14</f>
        <v>102.72857629268252</v>
      </c>
      <c r="S67" s="28">
        <f>[64]Model!$AI$3</f>
        <v>95.5</v>
      </c>
      <c r="T67" s="30">
        <f>G67/S67</f>
        <v>-1.752544502617801</v>
      </c>
      <c r="U67" s="11">
        <f>[64]Model!AH$18</f>
        <v>-0.43604004449388212</v>
      </c>
      <c r="V67" s="11">
        <f>[64]Model!AI$18</f>
        <v>-0.37212360289283364</v>
      </c>
      <c r="W67" s="11"/>
      <c r="X67" s="11"/>
      <c r="Y67" s="11"/>
      <c r="Z67" s="11">
        <f>[64]Model!$AW$21</f>
        <v>0.12</v>
      </c>
      <c r="AA67" s="11">
        <f>[64]Model!$AW$27</f>
        <v>-0.52302112324583339</v>
      </c>
      <c r="AB67" s="7" t="str">
        <f>[64]Model!$AW$28</f>
        <v>Heavily overvalued</v>
      </c>
      <c r="AC67" s="7" t="s">
        <v>89</v>
      </c>
      <c r="AD67" s="7">
        <v>2012</v>
      </c>
      <c r="AF67" s="17">
        <f>[64]Main!$E$3</f>
        <v>45751</v>
      </c>
      <c r="AG67" s="17">
        <f>[64]Main!$G$3</f>
        <v>45777</v>
      </c>
    </row>
    <row r="68" spans="2:33" x14ac:dyDescent="0.3">
      <c r="B68" s="24" t="s">
        <v>165</v>
      </c>
      <c r="C68" s="7" t="s">
        <v>164</v>
      </c>
      <c r="D68" s="19"/>
      <c r="H68" s="8"/>
      <c r="I68" s="8"/>
      <c r="J68" s="8"/>
      <c r="K68" s="8"/>
      <c r="L68" s="8"/>
      <c r="M68" s="9"/>
      <c r="N68" s="9"/>
      <c r="O68" s="9"/>
      <c r="P68" s="9"/>
      <c r="Q68" s="9"/>
      <c r="R68" s="9"/>
      <c r="S68" s="20"/>
      <c r="T68" s="20"/>
      <c r="U68" s="11"/>
      <c r="V68" s="11"/>
      <c r="W68" s="11"/>
      <c r="X68" s="11"/>
      <c r="Y68" s="11"/>
      <c r="Z68" s="11"/>
      <c r="AA68" s="11"/>
      <c r="AC68" s="2"/>
      <c r="AF68" s="17"/>
      <c r="AG68" s="17"/>
    </row>
    <row r="69" spans="2:33" x14ac:dyDescent="0.3">
      <c r="B69" t="s">
        <v>99</v>
      </c>
      <c r="C69" s="7" t="s">
        <v>98</v>
      </c>
      <c r="D69" s="19"/>
      <c r="H69" s="8"/>
      <c r="I69" s="8"/>
      <c r="J69" s="8"/>
      <c r="K69" s="8"/>
      <c r="L69" s="8"/>
      <c r="M69" s="9"/>
      <c r="N69" s="9"/>
      <c r="O69" s="9"/>
      <c r="P69" s="9"/>
      <c r="Q69" s="9"/>
      <c r="R69" s="9"/>
      <c r="S69" s="20"/>
      <c r="T69" s="20"/>
      <c r="U69" s="11"/>
      <c r="V69" s="11"/>
      <c r="W69" s="11"/>
      <c r="X69" s="11"/>
      <c r="Y69" s="11"/>
      <c r="Z69" s="11"/>
      <c r="AA69" s="11"/>
      <c r="AF69" s="17"/>
      <c r="AG69" s="17"/>
    </row>
    <row r="70" spans="2:33" x14ac:dyDescent="0.3">
      <c r="B70" t="s">
        <v>101</v>
      </c>
      <c r="C70" s="7" t="s">
        <v>100</v>
      </c>
      <c r="D70" s="19"/>
      <c r="H70" s="8"/>
      <c r="I70" s="8"/>
      <c r="J70" s="8"/>
      <c r="K70" s="8"/>
      <c r="L70" s="8"/>
      <c r="M70" s="9"/>
      <c r="N70" s="9"/>
      <c r="O70" s="9"/>
      <c r="P70" s="9"/>
      <c r="Q70" s="9"/>
      <c r="R70" s="9"/>
      <c r="S70" s="20"/>
      <c r="T70" s="20"/>
      <c r="U70" s="11"/>
      <c r="V70" s="11"/>
      <c r="W70" s="11"/>
      <c r="X70" s="11"/>
      <c r="Y70" s="11"/>
      <c r="Z70" s="11"/>
      <c r="AA70" s="11"/>
      <c r="AF70" s="17"/>
      <c r="AG70" s="17"/>
    </row>
    <row r="71" spans="2:33" x14ac:dyDescent="0.3">
      <c r="B71" t="s">
        <v>180</v>
      </c>
      <c r="C71" s="7" t="s">
        <v>181</v>
      </c>
      <c r="D71" s="19"/>
      <c r="H71" s="8"/>
      <c r="I71" s="8"/>
      <c r="J71" s="8"/>
      <c r="K71" s="8"/>
      <c r="L71" s="8"/>
      <c r="M71" s="9"/>
      <c r="N71" s="9"/>
      <c r="O71" s="9"/>
      <c r="P71" s="9"/>
      <c r="Q71" s="9"/>
      <c r="R71" s="9"/>
      <c r="S71" s="20"/>
      <c r="T71" s="20"/>
      <c r="U71" s="11"/>
      <c r="V71" s="11"/>
      <c r="W71" s="11"/>
      <c r="X71" s="11"/>
      <c r="Y71" s="11"/>
      <c r="Z71" s="11"/>
      <c r="AA71" s="11"/>
    </row>
    <row r="72" spans="2:33" x14ac:dyDescent="0.3">
      <c r="B72" t="s">
        <v>85</v>
      </c>
      <c r="C72" s="7" t="s">
        <v>86</v>
      </c>
    </row>
    <row r="73" spans="2:33" x14ac:dyDescent="0.3">
      <c r="B73" t="s">
        <v>38</v>
      </c>
      <c r="C73" s="7" t="s">
        <v>172</v>
      </c>
    </row>
    <row r="74" spans="2:33" x14ac:dyDescent="0.3">
      <c r="B74" t="s">
        <v>41</v>
      </c>
      <c r="C74" s="7" t="s">
        <v>42</v>
      </c>
    </row>
    <row r="75" spans="2:33" x14ac:dyDescent="0.3">
      <c r="B75" t="s">
        <v>45</v>
      </c>
      <c r="C75" s="7" t="s">
        <v>50</v>
      </c>
    </row>
    <row r="76" spans="2:33" x14ac:dyDescent="0.3">
      <c r="B76" t="s">
        <v>46</v>
      </c>
      <c r="C76" s="7" t="s">
        <v>49</v>
      </c>
    </row>
    <row r="77" spans="2:33" x14ac:dyDescent="0.3">
      <c r="B77" t="s">
        <v>112</v>
      </c>
      <c r="C77" s="7" t="s">
        <v>113</v>
      </c>
    </row>
    <row r="78" spans="2:33" x14ac:dyDescent="0.3">
      <c r="B78" t="s">
        <v>139</v>
      </c>
      <c r="C78" s="7" t="s">
        <v>140</v>
      </c>
    </row>
    <row r="79" spans="2:33" x14ac:dyDescent="0.3">
      <c r="B79" t="s">
        <v>144</v>
      </c>
      <c r="C79" s="7" t="s">
        <v>145</v>
      </c>
    </row>
    <row r="80" spans="2:33" x14ac:dyDescent="0.3">
      <c r="B80" t="s">
        <v>146</v>
      </c>
      <c r="C80" s="7" t="s">
        <v>159</v>
      </c>
    </row>
    <row r="81" spans="2:29" x14ac:dyDescent="0.3">
      <c r="B81" s="6" t="s">
        <v>162</v>
      </c>
      <c r="C81" s="7" t="s">
        <v>163</v>
      </c>
    </row>
    <row r="82" spans="2:29" x14ac:dyDescent="0.3">
      <c r="B82" t="s">
        <v>177</v>
      </c>
      <c r="C82" s="7" t="s">
        <v>178</v>
      </c>
    </row>
    <row r="84" spans="2:29" x14ac:dyDescent="0.3">
      <c r="H84" s="8"/>
      <c r="I84" s="8"/>
      <c r="J84" s="8"/>
      <c r="K84" s="8"/>
      <c r="L84" s="8"/>
      <c r="M84" s="9"/>
      <c r="N84" s="9"/>
      <c r="O84" s="9"/>
      <c r="P84" s="9"/>
      <c r="Q84" s="9"/>
      <c r="R84" s="9"/>
      <c r="U84" s="11"/>
      <c r="V84" s="11"/>
      <c r="W84" s="11"/>
      <c r="X84" s="11"/>
      <c r="Y84" s="11"/>
      <c r="Z84" s="11"/>
      <c r="AA84" s="11"/>
    </row>
    <row r="85" spans="2:29" x14ac:dyDescent="0.3">
      <c r="B85" t="s">
        <v>18</v>
      </c>
      <c r="C85" s="7" t="s">
        <v>29</v>
      </c>
    </row>
    <row r="86" spans="2:29" x14ac:dyDescent="0.3">
      <c r="B86" t="s">
        <v>23</v>
      </c>
      <c r="C86" s="7" t="s">
        <v>35</v>
      </c>
      <c r="AC86" s="7" t="s">
        <v>55</v>
      </c>
    </row>
    <row r="87" spans="2:29" x14ac:dyDescent="0.3">
      <c r="B87" t="s">
        <v>24</v>
      </c>
      <c r="C87" s="7" t="s">
        <v>36</v>
      </c>
      <c r="AC87" s="7" t="s">
        <v>55</v>
      </c>
    </row>
    <row r="88" spans="2:29" x14ac:dyDescent="0.3">
      <c r="B88" t="s">
        <v>25</v>
      </c>
      <c r="C88" s="7" t="s">
        <v>37</v>
      </c>
      <c r="AC88" s="7" t="s">
        <v>55</v>
      </c>
    </row>
    <row r="89" spans="2:29" x14ac:dyDescent="0.3">
      <c r="AC89" s="7" t="s">
        <v>55</v>
      </c>
    </row>
  </sheetData>
  <sortState xmlns:xlrd2="http://schemas.microsoft.com/office/spreadsheetml/2017/richdata2" ref="B4:AD82">
    <sortCondition descending="1" ref="G5:G82"/>
  </sortState>
  <phoneticPr fontId="5" type="noConversion"/>
  <hyperlinks>
    <hyperlink ref="B6" r:id="rId1" xr:uid="{FDD883F8-391B-4A23-AC9F-C4D2A9F4ACB5}"/>
    <hyperlink ref="B7" r:id="rId2" xr:uid="{D4F8AB4E-B66E-479C-AD13-108D046F4CBE}"/>
    <hyperlink ref="B9" r:id="rId3" xr:uid="{199EA39C-261E-4957-BEB2-737129BC4C90}"/>
    <hyperlink ref="B5" r:id="rId4" xr:uid="{7D6D30E0-375F-4906-A54A-DDBA36D572EE}"/>
    <hyperlink ref="B11" r:id="rId5" xr:uid="{ED7EA25F-241B-4460-96B6-3B96A6EA05CB}"/>
    <hyperlink ref="B20" r:id="rId6" xr:uid="{067B96BC-CD39-474D-B3F9-D2B2087B3A61}"/>
    <hyperlink ref="B22" r:id="rId7" xr:uid="{5F163C80-38C2-464D-A54B-1991DBE92DAE}"/>
    <hyperlink ref="B21" r:id="rId8" display="Salesforce.com" xr:uid="{93D87434-2443-4971-9137-D6F1AC82040E}"/>
    <hyperlink ref="B44" r:id="rId9" xr:uid="{0A593B9D-DB8E-4D20-9333-4BFFE4871798}"/>
    <hyperlink ref="B41" r:id="rId10" xr:uid="{10E4FD51-7038-45AA-AC3C-1594C7E69E7F}"/>
    <hyperlink ref="B61" r:id="rId11" xr:uid="{E2DF0D1C-29B2-4E00-84AF-31CF689ABFB3}"/>
    <hyperlink ref="B16" r:id="rId12" xr:uid="{EE0E652E-C275-4798-8F34-5D9204EC3F09}"/>
    <hyperlink ref="B39" r:id="rId13" xr:uid="{00E5FEAB-AC7E-4A58-8E54-A8AFBC200B27}"/>
    <hyperlink ref="B10" r:id="rId14" xr:uid="{36D0E700-6724-4ECE-805A-A69DF2511058}"/>
    <hyperlink ref="B37" r:id="rId15" xr:uid="{D6E6111D-085D-4AD7-B108-54A545359473}"/>
    <hyperlink ref="B53" r:id="rId16" xr:uid="{BAA20A0A-ED96-43D5-9159-C8669F65FEC8}"/>
    <hyperlink ref="B15" r:id="rId17" xr:uid="{499D2878-2294-4D2B-97BC-62D9C52B6F67}"/>
    <hyperlink ref="B27" r:id="rId18" xr:uid="{26827201-FDC2-4F19-A8D2-20FC3BB18B40}"/>
    <hyperlink ref="B62" r:id="rId19" xr:uid="{582B8A04-7FC6-4DFB-B7AE-827EA6E42A84}"/>
    <hyperlink ref="B26" r:id="rId20" xr:uid="{4DE42159-792A-4573-831E-56201D6A438A}"/>
    <hyperlink ref="B35" r:id="rId21" xr:uid="{E573422A-BA41-412F-AE13-CE6E5F747D4C}"/>
    <hyperlink ref="B55" r:id="rId22" xr:uid="{05291EF6-28E1-45B1-9D62-A7A481FC2A7E}"/>
    <hyperlink ref="B24" r:id="rId23" xr:uid="{8557C56C-A1A6-4799-A97E-27D16263FD56}"/>
    <hyperlink ref="B8" r:id="rId24" xr:uid="{46622E50-4FA8-4F9A-B3BF-D336B9D843AA}"/>
    <hyperlink ref="B67" r:id="rId25" xr:uid="{5BF10660-36E0-42BB-892E-457ADEC233AB}"/>
    <hyperlink ref="B38" r:id="rId26" xr:uid="{58D79405-6560-476F-8CA2-022BFD1EADA6}"/>
    <hyperlink ref="B50" r:id="rId27" xr:uid="{4A0CE2B8-04BB-4941-92BE-6DB997CD14FE}"/>
    <hyperlink ref="B64" r:id="rId28" xr:uid="{966096F2-578C-439D-9F69-51648E2559C1}"/>
    <hyperlink ref="B4" r:id="rId29" xr:uid="{72B93C8C-F457-48A0-AAA2-2D120A01F301}"/>
    <hyperlink ref="B30" r:id="rId30" xr:uid="{521D2BEF-7C6B-4E69-B7DB-C4A11DC7F03D}"/>
    <hyperlink ref="B31" r:id="rId31" xr:uid="{726807AA-7E47-4743-9CB3-25D49F7C8821}"/>
    <hyperlink ref="B12" r:id="rId32" xr:uid="{15312B10-4081-4DD8-B770-7475AD3247C2}"/>
    <hyperlink ref="B14" r:id="rId33" xr:uid="{DA6C35BB-FDB4-4FCC-862D-D80F72891D1C}"/>
    <hyperlink ref="B51" r:id="rId34" xr:uid="{21B77EB6-7439-4B9C-B015-92F05D642187}"/>
    <hyperlink ref="B33" r:id="rId35" xr:uid="{992F30A7-9484-40C5-B181-EF3E2B75BB5B}"/>
    <hyperlink ref="B23" r:id="rId36" xr:uid="{D71D0207-8577-4517-9CFA-69A248404CEE}"/>
    <hyperlink ref="B43" r:id="rId37" xr:uid="{50E1C81F-2265-4E38-B629-C63B8E7103B8}"/>
    <hyperlink ref="B34" r:id="rId38" display="SOFI.xlsx" xr:uid="{56EADF64-15FA-4DC2-B8F1-8E237685384B}"/>
    <hyperlink ref="B63" r:id="rId39" xr:uid="{EE9850D5-05A9-4AEF-B4C3-F4C54EBE90C5}"/>
    <hyperlink ref="B18" r:id="rId40" xr:uid="{0346A791-92AC-4451-8AEC-3FEF42C00D47}"/>
    <hyperlink ref="B54" r:id="rId41" xr:uid="{A8212C21-9C8B-49E6-9A72-68988D96BA17}"/>
    <hyperlink ref="B65" r:id="rId42" xr:uid="{E70074D3-D5EA-466E-BF05-423548EBAAFF}"/>
    <hyperlink ref="B52" r:id="rId43" xr:uid="{6EC2A6B3-6F5C-4CB8-9D99-D29057F0564C}"/>
    <hyperlink ref="B49" r:id="rId44" xr:uid="{E1697C11-4BE0-449B-8830-27CF7FDD0941}"/>
    <hyperlink ref="B81" r:id="rId45" xr:uid="{DE49A12B-6A45-47DC-94D1-4C4CC03A6F40}"/>
    <hyperlink ref="B68" r:id="rId46" xr:uid="{40AFBA70-BAFD-48F6-B0BE-86FDE0718294}"/>
    <hyperlink ref="B66" r:id="rId47" xr:uid="{F340AFAD-8588-4C00-B23B-2A90F3B6AD07}"/>
    <hyperlink ref="B19" r:id="rId48" xr:uid="{69026323-396B-43F9-BC64-FC907C80D469}"/>
    <hyperlink ref="B36" r:id="rId49" xr:uid="{38D75976-69D3-4C6C-B181-44019574BD92}"/>
    <hyperlink ref="B32" r:id="rId50" xr:uid="{B6E92712-84DB-4402-91DC-7BA504A1FF5D}"/>
    <hyperlink ref="B42" r:id="rId51" xr:uid="{1AD0D70F-9385-4871-AD60-ABE352CDC82C}"/>
    <hyperlink ref="B59" r:id="rId52" xr:uid="{C56234F2-911B-4144-AA8B-EA39512F2749}"/>
    <hyperlink ref="B46" r:id="rId53" xr:uid="{41FD82F1-FA88-47A8-B89A-C49B5EFF1DC5}"/>
    <hyperlink ref="B29" r:id="rId54" xr:uid="{AE50C18A-BCF5-4ED8-881B-37D12746B425}"/>
    <hyperlink ref="B25" r:id="rId55" xr:uid="{A9FB40FB-BCAE-4E3A-9EF1-A59DFEE9D933}"/>
    <hyperlink ref="B48" r:id="rId56" xr:uid="{7A10496F-0F74-4C71-BA4B-2A10A8E34983}"/>
    <hyperlink ref="B40" r:id="rId57" xr:uid="{693B9C0C-5FA9-48F0-B874-61231FBB3976}"/>
    <hyperlink ref="B58" r:id="rId58" xr:uid="{700A2BB3-2CD3-49D6-AAD2-CF4DFC8B80FF}"/>
    <hyperlink ref="B28" r:id="rId59" xr:uid="{D5A4CD1B-BFDA-4170-BEFA-C51B3378B39A}"/>
    <hyperlink ref="B17" r:id="rId60" xr:uid="{CF98E437-C519-4533-BBF7-B4AB4704929D}"/>
    <hyperlink ref="B57" r:id="rId61" xr:uid="{1304D3FF-8983-4405-96C2-FC87D13E845E}"/>
    <hyperlink ref="B60" r:id="rId62" xr:uid="{4F110345-C3BD-409C-B30F-CE43A009957C}"/>
    <hyperlink ref="B47" r:id="rId63" xr:uid="{39012DB8-C083-4F77-8551-B2C6BBE736E9}"/>
    <hyperlink ref="B13" r:id="rId64" xr:uid="{6B67F233-144E-4749-8FB8-9F9182421281}"/>
    <hyperlink ref="B56" r:id="rId65" xr:uid="{80493F8F-E8B2-48BC-B84E-2636F2551B23}"/>
    <hyperlink ref="B45" r:id="rId66" xr:uid="{A0548C33-93AD-4603-80D5-AF47AC20CB43}"/>
  </hyperlinks>
  <pageMargins left="0.7" right="0.7" top="0.75" bottom="0.75" header="0.3" footer="0.3"/>
  <pageSetup paperSize="9" orientation="portrait" horizontalDpi="4294967293" verticalDpi="300" r:id="rId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9F79-5089-40D1-8E4D-81BAEDE09658}">
  <dimension ref="B2:AF6"/>
  <sheetViews>
    <sheetView workbookViewId="0">
      <selection activeCell="H27" sqref="H27"/>
    </sheetView>
  </sheetViews>
  <sheetFormatPr defaultRowHeight="14.4" x14ac:dyDescent="0.3"/>
  <sheetData>
    <row r="2" spans="2:32" x14ac:dyDescent="0.3">
      <c r="B2" s="1" t="s">
        <v>0</v>
      </c>
      <c r="C2" s="2" t="s">
        <v>1</v>
      </c>
      <c r="D2" s="2" t="s">
        <v>2</v>
      </c>
      <c r="E2" s="16" t="s">
        <v>3</v>
      </c>
      <c r="F2" s="16" t="s">
        <v>4</v>
      </c>
      <c r="G2" s="16" t="s">
        <v>5</v>
      </c>
      <c r="H2" s="2" t="s">
        <v>6</v>
      </c>
      <c r="I2" s="2" t="s">
        <v>56</v>
      </c>
      <c r="J2" s="2" t="s">
        <v>123</v>
      </c>
      <c r="K2" s="2" t="s">
        <v>124</v>
      </c>
      <c r="L2" s="2" t="s">
        <v>125</v>
      </c>
      <c r="M2" s="2" t="s">
        <v>7</v>
      </c>
      <c r="N2" s="2" t="s">
        <v>8</v>
      </c>
      <c r="O2" s="2" t="s">
        <v>127</v>
      </c>
      <c r="P2" s="2" t="s">
        <v>128</v>
      </c>
      <c r="Q2" s="2" t="s">
        <v>129</v>
      </c>
      <c r="R2" s="2" t="s">
        <v>166</v>
      </c>
      <c r="S2" s="23" t="s">
        <v>198</v>
      </c>
      <c r="T2" s="23" t="s">
        <v>199</v>
      </c>
      <c r="U2" s="2" t="s">
        <v>126</v>
      </c>
      <c r="V2" s="2" t="s">
        <v>176</v>
      </c>
      <c r="W2" s="2" t="s">
        <v>202</v>
      </c>
      <c r="X2" s="2" t="s">
        <v>203</v>
      </c>
      <c r="Y2" s="2" t="s">
        <v>9</v>
      </c>
      <c r="Z2" s="2" t="s">
        <v>58</v>
      </c>
      <c r="AA2" s="2" t="s">
        <v>57</v>
      </c>
      <c r="AB2" s="2" t="s">
        <v>10</v>
      </c>
      <c r="AC2" s="2" t="s">
        <v>51</v>
      </c>
      <c r="AD2" s="2"/>
      <c r="AE2" s="2" t="s">
        <v>78</v>
      </c>
      <c r="AF2" s="2" t="s">
        <v>81</v>
      </c>
    </row>
    <row r="3" spans="2:32" x14ac:dyDescent="0.3">
      <c r="B3" s="24" t="s">
        <v>79</v>
      </c>
      <c r="C3" s="7" t="s">
        <v>80</v>
      </c>
      <c r="D3" s="12">
        <f>[12]Main!$D$3</f>
        <v>164.52</v>
      </c>
      <c r="E3" s="8">
        <f>[12]Main!$D$5</f>
        <v>391096.94400000002</v>
      </c>
      <c r="F3" s="8">
        <f>[12]Main!$D$8</f>
        <v>7177</v>
      </c>
      <c r="G3" s="8">
        <f>[12]Main!$D$9</f>
        <v>383919.94400000002</v>
      </c>
      <c r="H3" s="8">
        <f>[12]Model!AP7</f>
        <v>507.9</v>
      </c>
      <c r="I3" s="8">
        <f>[12]Model!AQ7</f>
        <v>557.69999999999993</v>
      </c>
      <c r="J3" s="8">
        <f>[12]Model!AR7</f>
        <v>635.77799999999991</v>
      </c>
      <c r="K3" s="8">
        <f>[12]Model!AS7</f>
        <v>680.2824599999999</v>
      </c>
      <c r="L3" s="8">
        <f>[12]Model!AT7</f>
        <v>707.49375839999993</v>
      </c>
      <c r="M3" s="9">
        <f t="shared" ref="M3:Q4" si="0">$G3/H3</f>
        <v>755.89671982673758</v>
      </c>
      <c r="N3" s="9">
        <f t="shared" si="0"/>
        <v>688.398680294065</v>
      </c>
      <c r="O3" s="9">
        <f t="shared" si="0"/>
        <v>603.85849148602199</v>
      </c>
      <c r="P3" s="9">
        <f t="shared" si="0"/>
        <v>564.35373036076817</v>
      </c>
      <c r="Q3" s="9">
        <f t="shared" si="0"/>
        <v>542.64781765458474</v>
      </c>
      <c r="R3" s="9">
        <f>G3/[12]Model!$BA$18</f>
        <v>21.9748749415844</v>
      </c>
      <c r="S3" s="10">
        <f>[12]Model!$AQ$3</f>
        <v>4475.5</v>
      </c>
      <c r="T3" s="31">
        <f>G3/S3</f>
        <v>85.782581610993191</v>
      </c>
      <c r="U3" s="11">
        <f>[12]Model!AO$22</f>
        <v>0.1674799307413819</v>
      </c>
      <c r="V3" s="11">
        <f>[12]Model!AP$22</f>
        <v>0.28776234775965137</v>
      </c>
      <c r="W3" s="32">
        <f>[12]Model!$AP$23</f>
        <v>0.80247085921686323</v>
      </c>
      <c r="X3" s="32">
        <f>[12]Model!$AP$24</f>
        <v>0.10829203601591407</v>
      </c>
      <c r="Y3" s="11">
        <f>[12]Model!$BD$26</f>
        <v>0.05</v>
      </c>
      <c r="Z3" s="11">
        <f>[12]Model!$BD$32</f>
        <v>-0.34154811125593121</v>
      </c>
      <c r="AA3" s="7" t="str">
        <f>[12]Model!$BD$33</f>
        <v>Overvalued</v>
      </c>
      <c r="AB3" s="7" t="s">
        <v>53</v>
      </c>
      <c r="AC3" s="7">
        <v>2003</v>
      </c>
      <c r="AE3" s="17">
        <f>[10]Main!$E$3</f>
        <v>46052</v>
      </c>
      <c r="AF3" s="17">
        <f>[10]Main!$G$3</f>
        <v>46090</v>
      </c>
    </row>
    <row r="4" spans="2:32" x14ac:dyDescent="0.3">
      <c r="B4" s="6" t="s">
        <v>207</v>
      </c>
      <c r="C4" s="7" t="s">
        <v>208</v>
      </c>
      <c r="D4" s="12">
        <f>[10]Main!$D$3</f>
        <v>169.01</v>
      </c>
      <c r="E4" s="8">
        <f>[10]Main!$D$5</f>
        <v>485582.63099999994</v>
      </c>
      <c r="F4" s="8">
        <f>[10]Main!$D$8</f>
        <v>-88309</v>
      </c>
      <c r="G4" s="8">
        <f>[10]Main!$D$9</f>
        <v>573891.63099999994</v>
      </c>
      <c r="H4" s="8">
        <f>[10]Model!R$25</f>
        <v>10467</v>
      </c>
      <c r="I4" s="8">
        <f>[10]Model!S$25</f>
        <v>12443</v>
      </c>
      <c r="J4" s="8">
        <f>[10]Model!T$25</f>
        <v>17211.973943760004</v>
      </c>
      <c r="K4" s="8">
        <f>[10]Model!U$25</f>
        <v>20717.451490595209</v>
      </c>
      <c r="L4" s="8">
        <f>[10]Model!V$25</f>
        <v>24047.528329881399</v>
      </c>
      <c r="M4" s="9">
        <f t="shared" si="0"/>
        <v>54.828664469284412</v>
      </c>
      <c r="N4" s="9">
        <f t="shared" si="0"/>
        <v>46.121645182030051</v>
      </c>
      <c r="O4" s="9">
        <f t="shared" si="0"/>
        <v>33.342580744962</v>
      </c>
      <c r="P4" s="9">
        <f t="shared" si="0"/>
        <v>27.700879679169077</v>
      </c>
      <c r="Q4" s="9">
        <f t="shared" si="0"/>
        <v>23.864890525438476</v>
      </c>
      <c r="R4" s="9">
        <f>G4/[10]Model!$AC$25</f>
        <v>17.142571095052645</v>
      </c>
      <c r="S4" s="10">
        <f>[10]Model!$S$7</f>
        <v>57399</v>
      </c>
      <c r="T4" s="31">
        <f>G4/S4</f>
        <v>9.998286224498683</v>
      </c>
      <c r="U4" s="11">
        <f>[10]Model!R$33</f>
        <v>6.0195379749369504E-2</v>
      </c>
      <c r="V4" s="11">
        <f>[10]Model!S$33</f>
        <v>8.3797511376295875E-2</v>
      </c>
      <c r="W4" s="11">
        <f>[10]Model!$S$37</f>
        <v>0.70509939197547</v>
      </c>
      <c r="X4" s="11">
        <f>[10]Model!$S$41</f>
        <v>0.30798445965957594</v>
      </c>
      <c r="Y4" s="11">
        <f>[10]Model!$AG$39</f>
        <v>0.06</v>
      </c>
      <c r="Z4" s="11">
        <f>[10]Model!$AG$45</f>
        <v>-0.23117816349492437</v>
      </c>
      <c r="AA4" s="11" t="str">
        <f>[10]Model!$AG$46</f>
        <v>Slightly overvalued</v>
      </c>
      <c r="AB4" s="7" t="s">
        <v>97</v>
      </c>
      <c r="AC4" s="7">
        <v>1977</v>
      </c>
      <c r="AE4" s="17">
        <f>[12]Main!$E$3</f>
        <v>46056</v>
      </c>
      <c r="AF4" s="17">
        <f>[12]Main!$G$3</f>
        <v>46153</v>
      </c>
    </row>
    <row r="5" spans="2:32" x14ac:dyDescent="0.3">
      <c r="B5" s="24" t="s">
        <v>47</v>
      </c>
      <c r="C5" s="7" t="s">
        <v>48</v>
      </c>
      <c r="D5" s="12">
        <f>[23]Main!$D$3</f>
        <v>198.52</v>
      </c>
      <c r="E5" s="8">
        <f>[23]Main!$D$5</f>
        <v>67933.543999999994</v>
      </c>
      <c r="F5" s="8">
        <f>[23]Main!$D$8</f>
        <v>2116.9000000000005</v>
      </c>
      <c r="G5" s="8">
        <f>[23]Main!$D$9</f>
        <v>65816.644</v>
      </c>
      <c r="H5" s="8">
        <f>[23]Model!AN$16</f>
        <v>344.3668574467186</v>
      </c>
      <c r="I5" s="8">
        <f>[23]Model!AO$16</f>
        <v>729.50140084334259</v>
      </c>
      <c r="J5" s="8">
        <f>[23]Model!AP$16</f>
        <v>1137.4154733262046</v>
      </c>
      <c r="K5" s="8">
        <f>[23]Model!AQ$16</f>
        <v>1417.8651344009502</v>
      </c>
      <c r="L5" s="8">
        <f>[23]Model!AR$16</f>
        <v>1494.6450269633535</v>
      </c>
      <c r="M5" s="9"/>
      <c r="N5" s="9">
        <f t="shared" ref="N5:Q6" si="1">$G5/I5</f>
        <v>90.221408655161511</v>
      </c>
      <c r="O5" s="9">
        <f t="shared" si="1"/>
        <v>57.865085840206554</v>
      </c>
      <c r="P5" s="9">
        <f t="shared" si="1"/>
        <v>46.419537657795367</v>
      </c>
      <c r="Q5" s="9">
        <f t="shared" si="1"/>
        <v>44.034966706254409</v>
      </c>
      <c r="R5" s="9">
        <f>G5/[23]Model!$AY$16</f>
        <v>34.755710056522609</v>
      </c>
      <c r="S5" s="10">
        <f>[23]Model!$AK$3</f>
        <v>4584.16</v>
      </c>
      <c r="T5" s="31">
        <f>G5/S5</f>
        <v>14.357405500680605</v>
      </c>
      <c r="U5" s="11">
        <f>[23]Model!AM$20</f>
        <v>0.19999999999999996</v>
      </c>
      <c r="V5" s="11">
        <f>[23]Model!AN$20</f>
        <v>0.1399999999999999</v>
      </c>
      <c r="W5" s="11">
        <f>[23]Model!$AK$21</f>
        <v>0.67229049596872714</v>
      </c>
      <c r="X5" s="11">
        <f>[23]Model!$AK$22</f>
        <v>-0.33473159750095988</v>
      </c>
      <c r="Y5" s="11">
        <f>[23]Model!$AX$23</f>
        <v>7.0000000000000007E-2</v>
      </c>
      <c r="Z5" s="11">
        <f>[23]Model!$AX$92</f>
        <v>-0.50838114171117099</v>
      </c>
      <c r="AA5" s="7" t="str">
        <f>[23]Model!$AX$30</f>
        <v>Heavily overvalued</v>
      </c>
      <c r="AB5" s="7" t="s">
        <v>53</v>
      </c>
      <c r="AC5" s="7">
        <v>2012</v>
      </c>
      <c r="AE5" s="17">
        <f>[18]Main!$E$3</f>
        <v>46052</v>
      </c>
      <c r="AF5" s="17">
        <f>[18]Main!$G$3</f>
        <v>46085</v>
      </c>
    </row>
    <row r="6" spans="2:32" x14ac:dyDescent="0.3">
      <c r="B6" s="24" t="s">
        <v>179</v>
      </c>
      <c r="C6" s="7" t="s">
        <v>33</v>
      </c>
      <c r="D6" s="12">
        <f>[18]Main!$D$3</f>
        <v>213.02</v>
      </c>
      <c r="E6" s="8">
        <f>[18]Main!$D$5</f>
        <v>201942.96000000002</v>
      </c>
      <c r="F6" s="8">
        <f>[18]Main!$D$8</f>
        <v>9295</v>
      </c>
      <c r="G6" s="8">
        <f>[18]Main!$D$9</f>
        <v>192647.96000000002</v>
      </c>
      <c r="H6" s="8">
        <f>[18]Model!AY$20</f>
        <v>6197</v>
      </c>
      <c r="I6" s="8">
        <f>[18]Model!AZ$20</f>
        <v>6481.4007860000038</v>
      </c>
      <c r="J6" s="8">
        <f>[18]Model!BA$20</f>
        <v>7627.1760850000028</v>
      </c>
      <c r="K6" s="8">
        <f>[18]Model!BB$20</f>
        <v>8399.7565100000047</v>
      </c>
      <c r="L6" s="8">
        <f>[18]Model!BC$20</f>
        <v>8700.9570877632032</v>
      </c>
      <c r="M6" s="9">
        <f>$G6/H6</f>
        <v>31.087293851863809</v>
      </c>
      <c r="N6" s="9">
        <f t="shared" si="1"/>
        <v>29.723198172858663</v>
      </c>
      <c r="O6" s="9">
        <f t="shared" si="1"/>
        <v>25.258097866505459</v>
      </c>
      <c r="P6" s="9">
        <f t="shared" si="1"/>
        <v>22.934945765469564</v>
      </c>
      <c r="Q6" s="9">
        <f t="shared" si="1"/>
        <v>22.141007943934699</v>
      </c>
      <c r="R6" s="9">
        <f>G6/[18]Model!$BJ$20</f>
        <v>18.09340856885845</v>
      </c>
      <c r="S6" s="10">
        <f>[18]Model!$AZ$5</f>
        <v>40168.700000000004</v>
      </c>
      <c r="T6" s="31">
        <f>G6/S6</f>
        <v>4.7959719881400193</v>
      </c>
      <c r="U6" s="11">
        <f>[18]Model!AX$26</f>
        <v>0.11179510079101806</v>
      </c>
      <c r="V6" s="11">
        <f>[18]Model!AY$26</f>
        <v>8.7156094902028247E-2</v>
      </c>
      <c r="W6" s="11">
        <f>[18]Model!$AZ$29</f>
        <v>0.77143473151981523</v>
      </c>
      <c r="X6" s="11">
        <f>[18]Model!$AZ$30</f>
        <v>0.19517926395427296</v>
      </c>
      <c r="Y6" s="11">
        <f>[18]Model!$BM$31</f>
        <v>0.06</v>
      </c>
      <c r="Z6" s="11">
        <f>[18]Model!$BM$37</f>
        <v>-0.21332708142263368</v>
      </c>
      <c r="AA6" s="7" t="str">
        <f>[18]Model!$BM$38</f>
        <v>Slightly overvalued</v>
      </c>
      <c r="AB6" s="7" t="s">
        <v>53</v>
      </c>
      <c r="AC6" s="7">
        <v>1999</v>
      </c>
      <c r="AE6" s="17">
        <f>[23]Main!$E$3</f>
        <v>46052</v>
      </c>
      <c r="AF6" s="17">
        <f>[23]Main!$G$3</f>
        <v>46085</v>
      </c>
    </row>
  </sheetData>
  <sortState xmlns:xlrd2="http://schemas.microsoft.com/office/spreadsheetml/2017/richdata2" ref="B3:AC6">
    <sortCondition descending="1" ref="T3:T6"/>
  </sortState>
  <hyperlinks>
    <hyperlink ref="B4" r:id="rId1" xr:uid="{B8490536-6225-46FF-B15D-825CED0C0140}"/>
    <hyperlink ref="B3" r:id="rId2" xr:uid="{5DFA2908-3460-48FD-B45F-416EFEB1B0C6}"/>
    <hyperlink ref="B5" r:id="rId3" xr:uid="{71AE2261-5549-4229-9EA0-C0C8DA913F65}"/>
    <hyperlink ref="B6" r:id="rId4" display="Salesforce.com" xr:uid="{99BE946C-9AF5-4714-BE08-FD14C2F4E35D}"/>
  </hyperlink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21FB5F-A3F3-4516-9B07-2416B511F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2020-09-19T10:58:03Z</dcterms:created>
  <dcterms:modified xsi:type="dcterms:W3CDTF">2026-03-02T08:26:59Z</dcterms:modified>
</cp:coreProperties>
</file>