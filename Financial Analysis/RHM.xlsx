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03FFD32-5992-44B5-B86E-605A0C6700D6}" xr6:coauthVersionLast="47" xr6:coauthVersionMax="47" xr10:uidLastSave="{00000000-0000-0000-0000-000000000000}"/>
  <bookViews>
    <workbookView xWindow="-108" yWindow="-108" windowWidth="23256" windowHeight="12576" activeTab="1" xr2:uid="{43F12638-722A-4181-A3AA-4360C00656D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2" l="1"/>
  <c r="T63" i="2"/>
  <c r="AE76" i="2" l="1"/>
  <c r="AE72" i="2"/>
  <c r="AE70" i="2"/>
  <c r="T41" i="2"/>
  <c r="T81" i="2"/>
  <c r="T77" i="2"/>
  <c r="AE77" i="2" s="1"/>
  <c r="T78" i="2"/>
  <c r="AE78" i="2" s="1"/>
  <c r="T79" i="2"/>
  <c r="AE79" i="2" s="1"/>
  <c r="T75" i="2"/>
  <c r="AE75" i="2" s="1"/>
  <c r="T74" i="2"/>
  <c r="T73" i="2"/>
  <c r="AE73" i="2" s="1"/>
  <c r="T69" i="2"/>
  <c r="T68" i="2"/>
  <c r="T18" i="2"/>
  <c r="T33" i="2"/>
  <c r="T22" i="2"/>
  <c r="T11" i="2"/>
  <c r="T7" i="2"/>
  <c r="AS88" i="2"/>
  <c r="S84" i="2"/>
  <c r="AD71" i="2"/>
  <c r="AD80" i="2" s="1"/>
  <c r="AD82" i="2" s="1"/>
  <c r="Q78" i="2"/>
  <c r="R78" i="2" s="1"/>
  <c r="P81" i="2"/>
  <c r="Q81" i="2" s="1"/>
  <c r="P79" i="2"/>
  <c r="Q79" i="2" s="1"/>
  <c r="R79" i="2" s="1"/>
  <c r="P77" i="2"/>
  <c r="Q77" i="2" s="1"/>
  <c r="R77" i="2" s="1"/>
  <c r="P75" i="2"/>
  <c r="Q75" i="2" s="1"/>
  <c r="R75" i="2" s="1"/>
  <c r="P74" i="2"/>
  <c r="Q74" i="2" s="1"/>
  <c r="R74" i="2" s="1"/>
  <c r="V74" i="2" s="1"/>
  <c r="P73" i="2"/>
  <c r="Q73" i="2" s="1"/>
  <c r="R73" i="2" s="1"/>
  <c r="P72" i="2"/>
  <c r="Q72" i="2" s="1"/>
  <c r="R72" i="2" s="1"/>
  <c r="P69" i="2"/>
  <c r="Q69" i="2" s="1"/>
  <c r="R69" i="2" s="1"/>
  <c r="V69" i="2" s="1"/>
  <c r="P68" i="2"/>
  <c r="Q68" i="2" s="1"/>
  <c r="R68" i="2" s="1"/>
  <c r="O71" i="2"/>
  <c r="P71" i="2" s="1"/>
  <c r="Q71" i="2" s="1"/>
  <c r="S71" i="2"/>
  <c r="T71" i="2" s="1"/>
  <c r="U13" i="2"/>
  <c r="U14" i="2"/>
  <c r="S18" i="2"/>
  <c r="AC41" i="2"/>
  <c r="AD41" i="2"/>
  <c r="M11" i="2"/>
  <c r="M7" i="2"/>
  <c r="L4" i="2"/>
  <c r="L5" i="2"/>
  <c r="L3" i="2"/>
  <c r="L11" i="2"/>
  <c r="K11" i="2"/>
  <c r="K7" i="2"/>
  <c r="Q41" i="2"/>
  <c r="P41" i="2"/>
  <c r="O41" i="2"/>
  <c r="Q11" i="2"/>
  <c r="P11" i="2"/>
  <c r="P6" i="2"/>
  <c r="Q6" i="2" s="1"/>
  <c r="R6" i="2" s="1"/>
  <c r="P5" i="2"/>
  <c r="Q5" i="2" s="1"/>
  <c r="R5" i="2" s="1"/>
  <c r="P4" i="2"/>
  <c r="Q4" i="2" s="1"/>
  <c r="R4" i="2" s="1"/>
  <c r="P3" i="2"/>
  <c r="Q3" i="2" s="1"/>
  <c r="R3" i="2" s="1"/>
  <c r="O11" i="2"/>
  <c r="O7" i="2"/>
  <c r="S11" i="2"/>
  <c r="R11" i="2"/>
  <c r="S7" i="2"/>
  <c r="U15" i="2"/>
  <c r="S41" i="2"/>
  <c r="S33" i="2"/>
  <c r="S22" i="2"/>
  <c r="D7" i="1"/>
  <c r="D6" i="1"/>
  <c r="Y71" i="2"/>
  <c r="Y80" i="2"/>
  <c r="Y82" i="2" s="1"/>
  <c r="Z71" i="2"/>
  <c r="Z80" i="2" s="1"/>
  <c r="Z82" i="2" s="1"/>
  <c r="AA71" i="2"/>
  <c r="AA80" i="2" s="1"/>
  <c r="AA82" i="2" s="1"/>
  <c r="AB71" i="2"/>
  <c r="AB80" i="2" s="1"/>
  <c r="AB82" i="2" s="1"/>
  <c r="AC71" i="2"/>
  <c r="AC80" i="2" s="1"/>
  <c r="AC82" i="2" s="1"/>
  <c r="AS51" i="2"/>
  <c r="O80" i="2" l="1"/>
  <c r="O82" i="2" s="1"/>
  <c r="T42" i="2"/>
  <c r="T23" i="2"/>
  <c r="T80" i="2"/>
  <c r="T82" i="2" s="1"/>
  <c r="R71" i="2"/>
  <c r="AE74" i="2"/>
  <c r="R81" i="2"/>
  <c r="V81" i="2" s="1"/>
  <c r="V84" i="2" s="1"/>
  <c r="U81" i="2"/>
  <c r="AE71" i="2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U69" i="2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S80" i="2"/>
  <c r="S82" i="2" s="1"/>
  <c r="T84" i="2"/>
  <c r="R80" i="2"/>
  <c r="Q80" i="2"/>
  <c r="Q82" i="2" s="1"/>
  <c r="P80" i="2"/>
  <c r="P82" i="2" s="1"/>
  <c r="S23" i="2"/>
  <c r="L7" i="2"/>
  <c r="Q7" i="2"/>
  <c r="P7" i="2"/>
  <c r="S42" i="2"/>
  <c r="AE54" i="2"/>
  <c r="U26" i="2"/>
  <c r="T55" i="2"/>
  <c r="S55" i="2"/>
  <c r="U25" i="2"/>
  <c r="U54" i="2" s="1"/>
  <c r="S54" i="2"/>
  <c r="AD54" i="2"/>
  <c r="AC54" i="2"/>
  <c r="AB54" i="2"/>
  <c r="AA54" i="2"/>
  <c r="Q54" i="2"/>
  <c r="P54" i="2"/>
  <c r="O54" i="2"/>
  <c r="M54" i="2"/>
  <c r="L54" i="2"/>
  <c r="K54" i="2"/>
  <c r="I54" i="2"/>
  <c r="H54" i="2"/>
  <c r="G54" i="2"/>
  <c r="U16" i="2"/>
  <c r="U47" i="2" s="1"/>
  <c r="T47" i="2"/>
  <c r="S47" i="2"/>
  <c r="U46" i="2"/>
  <c r="T46" i="2"/>
  <c r="S46" i="2"/>
  <c r="T45" i="2"/>
  <c r="U17" i="2"/>
  <c r="U48" i="2" s="1"/>
  <c r="S48" i="2"/>
  <c r="T48" i="2"/>
  <c r="U45" i="2"/>
  <c r="S45" i="2"/>
  <c r="U44" i="2"/>
  <c r="T44" i="2"/>
  <c r="R17" i="2"/>
  <c r="V17" i="2" s="1"/>
  <c r="V48" i="2" s="1"/>
  <c r="R16" i="2"/>
  <c r="V16" i="2" s="1"/>
  <c r="V47" i="2" s="1"/>
  <c r="R15" i="2"/>
  <c r="R14" i="2"/>
  <c r="V14" i="2" s="1"/>
  <c r="V45" i="2" s="1"/>
  <c r="R13" i="2"/>
  <c r="V13" i="2" s="1"/>
  <c r="V44" i="2" s="1"/>
  <c r="R35" i="2"/>
  <c r="R32" i="2"/>
  <c r="R31" i="2"/>
  <c r="R30" i="2"/>
  <c r="R29" i="2"/>
  <c r="R26" i="2"/>
  <c r="V26" i="2" s="1"/>
  <c r="R25" i="2"/>
  <c r="V25" i="2" s="1"/>
  <c r="R24" i="2"/>
  <c r="R21" i="2"/>
  <c r="R20" i="2"/>
  <c r="R19" i="2"/>
  <c r="R41" i="2"/>
  <c r="R42" i="2"/>
  <c r="J7" i="2"/>
  <c r="N7" i="2"/>
  <c r="R7" i="2"/>
  <c r="AD11" i="2"/>
  <c r="AC11" i="2"/>
  <c r="AB11" i="2"/>
  <c r="AD7" i="2"/>
  <c r="AC7" i="2"/>
  <c r="AB7" i="2"/>
  <c r="AD27" i="2"/>
  <c r="AD36" i="2"/>
  <c r="O42" i="2"/>
  <c r="N42" i="2"/>
  <c r="R82" i="2" l="1"/>
  <c r="U27" i="2"/>
  <c r="AC42" i="2"/>
  <c r="AD42" i="2"/>
  <c r="V15" i="2"/>
  <c r="V46" i="2" s="1"/>
  <c r="U84" i="2"/>
  <c r="AE81" i="2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T27" i="2"/>
  <c r="S51" i="2"/>
  <c r="V54" i="2"/>
  <c r="V27" i="2"/>
  <c r="T54" i="2"/>
  <c r="AE17" i="2"/>
  <c r="S44" i="2"/>
  <c r="AE13" i="2"/>
  <c r="AF13" i="2" s="1"/>
  <c r="AG13" i="2" s="1"/>
  <c r="S27" i="2"/>
  <c r="AE14" i="2"/>
  <c r="AE16" i="2"/>
  <c r="V55" i="2"/>
  <c r="U55" i="2"/>
  <c r="U18" i="2"/>
  <c r="P42" i="2"/>
  <c r="AE15" i="2" l="1"/>
  <c r="AF15" i="2" s="1"/>
  <c r="AG15" i="2" s="1"/>
  <c r="AH15" i="2" s="1"/>
  <c r="AI15" i="2" s="1"/>
  <c r="AJ15" i="2" s="1"/>
  <c r="AK15" i="2" s="1"/>
  <c r="V18" i="2"/>
  <c r="V53" i="2" s="1"/>
  <c r="AE27" i="2"/>
  <c r="S53" i="2"/>
  <c r="S52" i="2"/>
  <c r="S28" i="2"/>
  <c r="S56" i="2" s="1"/>
  <c r="U52" i="2"/>
  <c r="U23" i="2"/>
  <c r="U28" i="2" s="1"/>
  <c r="U53" i="2"/>
  <c r="T52" i="2"/>
  <c r="T53" i="2"/>
  <c r="Q42" i="2"/>
  <c r="Q18" i="2"/>
  <c r="U49" i="2" s="1"/>
  <c r="V23" i="2" l="1"/>
  <c r="V28" i="2" s="1"/>
  <c r="V56" i="2" s="1"/>
  <c r="V52" i="2"/>
  <c r="AF27" i="2"/>
  <c r="AG27" i="2" s="1"/>
  <c r="AH27" i="2" s="1"/>
  <c r="AI27" i="2" s="1"/>
  <c r="AJ27" i="2" s="1"/>
  <c r="AK27" i="2" s="1"/>
  <c r="AL27" i="2" s="1"/>
  <c r="AM27" i="2" s="1"/>
  <c r="AN27" i="2" s="1"/>
  <c r="AO27" i="2" s="1"/>
  <c r="U56" i="2"/>
  <c r="T28" i="2"/>
  <c r="U50" i="2"/>
  <c r="U51" i="2"/>
  <c r="U22" i="2"/>
  <c r="T51" i="2"/>
  <c r="F3" i="1"/>
  <c r="V22" i="2" l="1"/>
  <c r="AE22" i="2" s="1"/>
  <c r="V51" i="2"/>
  <c r="T56" i="2"/>
  <c r="R33" i="2"/>
  <c r="V33" i="2" s="1"/>
  <c r="V34" i="2" s="1"/>
  <c r="Q33" i="2"/>
  <c r="U33" i="2" s="1"/>
  <c r="U34" i="2" s="1"/>
  <c r="Q55" i="2"/>
  <c r="M50" i="2"/>
  <c r="G50" i="2"/>
  <c r="Q48" i="2"/>
  <c r="Q45" i="2"/>
  <c r="M55" i="2"/>
  <c r="L55" i="2"/>
  <c r="K55" i="2"/>
  <c r="H55" i="2"/>
  <c r="G55" i="2"/>
  <c r="M53" i="2"/>
  <c r="I53" i="2"/>
  <c r="G53" i="2"/>
  <c r="C53" i="2"/>
  <c r="M52" i="2"/>
  <c r="I52" i="2"/>
  <c r="G52" i="2"/>
  <c r="C52" i="2"/>
  <c r="M49" i="2"/>
  <c r="G49" i="2"/>
  <c r="M48" i="2"/>
  <c r="L48" i="2"/>
  <c r="K48" i="2"/>
  <c r="M46" i="2"/>
  <c r="L46" i="2"/>
  <c r="K46" i="2"/>
  <c r="M45" i="2"/>
  <c r="L45" i="2"/>
  <c r="K45" i="2"/>
  <c r="M44" i="2"/>
  <c r="L44" i="2"/>
  <c r="K44" i="2"/>
  <c r="H48" i="2"/>
  <c r="G48" i="2"/>
  <c r="H46" i="2"/>
  <c r="G46" i="2"/>
  <c r="H45" i="2"/>
  <c r="G45" i="2"/>
  <c r="H44" i="2"/>
  <c r="G44" i="2"/>
  <c r="C16" i="2"/>
  <c r="G16" i="2"/>
  <c r="K47" i="2" s="1"/>
  <c r="C36" i="2"/>
  <c r="C33" i="2"/>
  <c r="C27" i="2"/>
  <c r="C22" i="2"/>
  <c r="C23" i="2" s="1"/>
  <c r="C51" i="2" s="1"/>
  <c r="G36" i="2"/>
  <c r="G33" i="2"/>
  <c r="G27" i="2"/>
  <c r="G22" i="2"/>
  <c r="D16" i="2"/>
  <c r="D18" i="2" s="1"/>
  <c r="H16" i="2"/>
  <c r="L47" i="2" s="1"/>
  <c r="D36" i="2"/>
  <c r="D33" i="2"/>
  <c r="D27" i="2"/>
  <c r="D22" i="2"/>
  <c r="H36" i="2"/>
  <c r="H33" i="2"/>
  <c r="H27" i="2"/>
  <c r="H22" i="2"/>
  <c r="I16" i="2"/>
  <c r="M16" i="2"/>
  <c r="I36" i="2"/>
  <c r="I33" i="2"/>
  <c r="I27" i="2"/>
  <c r="I22" i="2"/>
  <c r="I23" i="2" s="1"/>
  <c r="I51" i="2" s="1"/>
  <c r="M36" i="2"/>
  <c r="M33" i="2"/>
  <c r="M27" i="2"/>
  <c r="M22" i="2"/>
  <c r="M23" i="2" s="1"/>
  <c r="M51" i="2" s="1"/>
  <c r="J35" i="2"/>
  <c r="J32" i="2"/>
  <c r="J31" i="2"/>
  <c r="J30" i="2"/>
  <c r="J29" i="2"/>
  <c r="J26" i="2"/>
  <c r="J25" i="2"/>
  <c r="J54" i="2" s="1"/>
  <c r="J24" i="2"/>
  <c r="J21" i="2"/>
  <c r="J20" i="2"/>
  <c r="J19" i="2"/>
  <c r="J17" i="2"/>
  <c r="J15" i="2"/>
  <c r="J14" i="2"/>
  <c r="J13" i="2"/>
  <c r="N35" i="2"/>
  <c r="N32" i="2"/>
  <c r="N31" i="2"/>
  <c r="N30" i="2"/>
  <c r="N29" i="2"/>
  <c r="N26" i="2"/>
  <c r="N25" i="2"/>
  <c r="N24" i="2"/>
  <c r="N21" i="2"/>
  <c r="N20" i="2"/>
  <c r="N19" i="2"/>
  <c r="N17" i="2"/>
  <c r="N15" i="2"/>
  <c r="N14" i="2"/>
  <c r="N13" i="2"/>
  <c r="AC45" i="2"/>
  <c r="AB45" i="2"/>
  <c r="AC44" i="2"/>
  <c r="AB44" i="2"/>
  <c r="AA44" i="2"/>
  <c r="P45" i="2"/>
  <c r="P44" i="2"/>
  <c r="O44" i="2"/>
  <c r="P48" i="2"/>
  <c r="O48" i="2"/>
  <c r="P47" i="2"/>
  <c r="O47" i="2"/>
  <c r="P46" i="2"/>
  <c r="O46" i="2"/>
  <c r="O45" i="2"/>
  <c r="AB48" i="2"/>
  <c r="AA48" i="2"/>
  <c r="AB46" i="2"/>
  <c r="AA46" i="2"/>
  <c r="AA45" i="2"/>
  <c r="AC48" i="2"/>
  <c r="AC46" i="2"/>
  <c r="AB16" i="2"/>
  <c r="AB18" i="2" s="1"/>
  <c r="AB53" i="2" s="1"/>
  <c r="AC16" i="2"/>
  <c r="AC18" i="2" s="1"/>
  <c r="AC52" i="2" s="1"/>
  <c r="Z16" i="2"/>
  <c r="Z18" i="2" s="1"/>
  <c r="Z53" i="2" s="1"/>
  <c r="AA16" i="2"/>
  <c r="AA18" i="2" s="1"/>
  <c r="AA52" i="2" s="1"/>
  <c r="AC55" i="2"/>
  <c r="AB55" i="2"/>
  <c r="AA55" i="2"/>
  <c r="Z36" i="2"/>
  <c r="Z33" i="2"/>
  <c r="Z27" i="2"/>
  <c r="Z22" i="2"/>
  <c r="AA36" i="2"/>
  <c r="AA33" i="2"/>
  <c r="AA27" i="2"/>
  <c r="AA22" i="2"/>
  <c r="AB36" i="2"/>
  <c r="AB33" i="2"/>
  <c r="AB27" i="2"/>
  <c r="AB22" i="2"/>
  <c r="AC36" i="2"/>
  <c r="AC33" i="2"/>
  <c r="AC27" i="2"/>
  <c r="AC22" i="2"/>
  <c r="K18" i="2"/>
  <c r="K49" i="2" s="1"/>
  <c r="O18" i="2"/>
  <c r="K36" i="2"/>
  <c r="K33" i="2"/>
  <c r="K27" i="2"/>
  <c r="K22" i="2"/>
  <c r="O55" i="2"/>
  <c r="O36" i="2"/>
  <c r="O33" i="2"/>
  <c r="O27" i="2"/>
  <c r="O22" i="2"/>
  <c r="L36" i="2"/>
  <c r="P36" i="2"/>
  <c r="P55" i="2"/>
  <c r="P18" i="2"/>
  <c r="L18" i="2"/>
  <c r="L33" i="2"/>
  <c r="L27" i="2"/>
  <c r="L22" i="2"/>
  <c r="P33" i="2"/>
  <c r="T34" i="2" s="1"/>
  <c r="P27" i="2"/>
  <c r="P22" i="2"/>
  <c r="D8" i="1"/>
  <c r="AS48" i="2" s="1"/>
  <c r="AS85" i="2" s="1"/>
  <c r="D5" i="1"/>
  <c r="U36" i="2" l="1"/>
  <c r="U58" i="2" s="1"/>
  <c r="U35" i="2"/>
  <c r="U57" i="2" s="1"/>
  <c r="V36" i="2"/>
  <c r="V58" i="2" s="1"/>
  <c r="V35" i="2"/>
  <c r="V57" i="2" s="1"/>
  <c r="R54" i="2"/>
  <c r="N54" i="2"/>
  <c r="AE33" i="2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S34" i="2"/>
  <c r="AF54" i="2"/>
  <c r="P53" i="2"/>
  <c r="T49" i="2"/>
  <c r="T50" i="2"/>
  <c r="O52" i="2"/>
  <c r="S49" i="2"/>
  <c r="S50" i="2"/>
  <c r="R36" i="2"/>
  <c r="D9" i="1"/>
  <c r="P50" i="2"/>
  <c r="N44" i="2"/>
  <c r="N45" i="2"/>
  <c r="N55" i="2"/>
  <c r="H18" i="2"/>
  <c r="H52" i="2" s="1"/>
  <c r="AC50" i="2"/>
  <c r="AF17" i="2"/>
  <c r="AG17" i="2" s="1"/>
  <c r="AH17" i="2" s="1"/>
  <c r="AI17" i="2" s="1"/>
  <c r="AJ17" i="2" s="1"/>
  <c r="AK17" i="2" s="1"/>
  <c r="AL17" i="2" s="1"/>
  <c r="AM17" i="2" s="1"/>
  <c r="AN17" i="2" s="1"/>
  <c r="AO17" i="2" s="1"/>
  <c r="O50" i="2"/>
  <c r="M47" i="2"/>
  <c r="K50" i="2"/>
  <c r="AA50" i="2"/>
  <c r="AB50" i="2"/>
  <c r="R27" i="2"/>
  <c r="AF19" i="2"/>
  <c r="AG19" i="2" s="1"/>
  <c r="AH19" i="2" s="1"/>
  <c r="AI19" i="2" s="1"/>
  <c r="AJ19" i="2" s="1"/>
  <c r="AK19" i="2" s="1"/>
  <c r="AL19" i="2" s="1"/>
  <c r="AM19" i="2" s="1"/>
  <c r="AN19" i="2" s="1"/>
  <c r="AO19" i="2" s="1"/>
  <c r="Q27" i="2"/>
  <c r="D53" i="2"/>
  <c r="D52" i="2"/>
  <c r="K52" i="2"/>
  <c r="Q46" i="2"/>
  <c r="N46" i="2"/>
  <c r="N48" i="2"/>
  <c r="L52" i="2"/>
  <c r="G47" i="2"/>
  <c r="K53" i="2"/>
  <c r="H47" i="2"/>
  <c r="L53" i="2"/>
  <c r="Q44" i="2"/>
  <c r="C28" i="2"/>
  <c r="G23" i="2"/>
  <c r="D23" i="2"/>
  <c r="N36" i="2"/>
  <c r="AD33" i="2"/>
  <c r="J36" i="2"/>
  <c r="N16" i="2"/>
  <c r="J16" i="2"/>
  <c r="J18" i="2" s="1"/>
  <c r="J52" i="2" s="1"/>
  <c r="I28" i="2"/>
  <c r="M28" i="2"/>
  <c r="J33" i="2"/>
  <c r="J27" i="2"/>
  <c r="J22" i="2"/>
  <c r="N33" i="2"/>
  <c r="N27" i="2"/>
  <c r="N22" i="2"/>
  <c r="AA47" i="2"/>
  <c r="AB47" i="2"/>
  <c r="AC47" i="2"/>
  <c r="Z23" i="2"/>
  <c r="Z51" i="2" s="1"/>
  <c r="Z52" i="2"/>
  <c r="AB52" i="2"/>
  <c r="AB23" i="2"/>
  <c r="AB51" i="2" s="1"/>
  <c r="AC53" i="2"/>
  <c r="AC23" i="2"/>
  <c r="AC51" i="2" s="1"/>
  <c r="AC49" i="2"/>
  <c r="AB49" i="2"/>
  <c r="AA23" i="2"/>
  <c r="AA51" i="2" s="1"/>
  <c r="AA49" i="2"/>
  <c r="AA53" i="2"/>
  <c r="O53" i="2"/>
  <c r="P52" i="2"/>
  <c r="O49" i="2"/>
  <c r="K23" i="2"/>
  <c r="K51" i="2" s="1"/>
  <c r="O23" i="2"/>
  <c r="O51" i="2" s="1"/>
  <c r="P49" i="2"/>
  <c r="P23" i="2"/>
  <c r="P51" i="2" s="1"/>
  <c r="L23" i="2"/>
  <c r="L51" i="2" s="1"/>
  <c r="V37" i="2" l="1"/>
  <c r="U37" i="2"/>
  <c r="S57" i="2"/>
  <c r="S58" i="2"/>
  <c r="T57" i="2"/>
  <c r="T37" i="2"/>
  <c r="T67" i="2" s="1"/>
  <c r="T58" i="2"/>
  <c r="AG54" i="2"/>
  <c r="L50" i="2"/>
  <c r="H23" i="2"/>
  <c r="H51" i="2" s="1"/>
  <c r="R55" i="2"/>
  <c r="H50" i="2"/>
  <c r="H49" i="2"/>
  <c r="H53" i="2"/>
  <c r="AF48" i="2"/>
  <c r="L49" i="2"/>
  <c r="Q49" i="2"/>
  <c r="Q50" i="2"/>
  <c r="Q52" i="2"/>
  <c r="J53" i="2"/>
  <c r="AL15" i="2"/>
  <c r="AM15" i="2" s="1"/>
  <c r="AN15" i="2" s="1"/>
  <c r="AO15" i="2" s="1"/>
  <c r="AG48" i="2"/>
  <c r="M34" i="2"/>
  <c r="M56" i="2"/>
  <c r="G28" i="2"/>
  <c r="G51" i="2"/>
  <c r="I34" i="2"/>
  <c r="I56" i="2"/>
  <c r="D28" i="2"/>
  <c r="D51" i="2"/>
  <c r="N18" i="2"/>
  <c r="N50" i="2" s="1"/>
  <c r="N47" i="2"/>
  <c r="C34" i="2"/>
  <c r="C56" i="2"/>
  <c r="Q47" i="2"/>
  <c r="J23" i="2"/>
  <c r="AA28" i="2"/>
  <c r="AA56" i="2" s="1"/>
  <c r="Z28" i="2"/>
  <c r="Z56" i="2" s="1"/>
  <c r="AB28" i="2"/>
  <c r="AB56" i="2" s="1"/>
  <c r="AC28" i="2"/>
  <c r="AC56" i="2" s="1"/>
  <c r="K28" i="2"/>
  <c r="K56" i="2" s="1"/>
  <c r="O28" i="2"/>
  <c r="O56" i="2" s="1"/>
  <c r="P28" i="2"/>
  <c r="P56" i="2" s="1"/>
  <c r="L28" i="2"/>
  <c r="V39" i="2" l="1"/>
  <c r="V67" i="2"/>
  <c r="V68" i="2" s="1"/>
  <c r="V80" i="2" s="1"/>
  <c r="V82" i="2" s="1"/>
  <c r="U39" i="2"/>
  <c r="U67" i="2"/>
  <c r="U68" i="2" s="1"/>
  <c r="U80" i="2" s="1"/>
  <c r="U82" i="2" s="1"/>
  <c r="S37" i="2"/>
  <c r="V59" i="2"/>
  <c r="AE35" i="2"/>
  <c r="U59" i="2"/>
  <c r="AE36" i="2"/>
  <c r="T39" i="2"/>
  <c r="T59" i="2"/>
  <c r="AH54" i="2"/>
  <c r="H28" i="2"/>
  <c r="H34" i="2" s="1"/>
  <c r="N23" i="2"/>
  <c r="N51" i="2" s="1"/>
  <c r="Q53" i="2"/>
  <c r="Q22" i="2"/>
  <c r="Q23" i="2" s="1"/>
  <c r="AD55" i="2"/>
  <c r="AH48" i="2"/>
  <c r="I37" i="2"/>
  <c r="I57" i="2"/>
  <c r="I58" i="2"/>
  <c r="J28" i="2"/>
  <c r="J51" i="2"/>
  <c r="G34" i="2"/>
  <c r="G56" i="2"/>
  <c r="M37" i="2"/>
  <c r="M57" i="2"/>
  <c r="M58" i="2"/>
  <c r="D34" i="2"/>
  <c r="D56" i="2"/>
  <c r="L34" i="2"/>
  <c r="L37" i="2" s="1"/>
  <c r="L59" i="2" s="1"/>
  <c r="L56" i="2"/>
  <c r="N49" i="2"/>
  <c r="N52" i="2"/>
  <c r="N53" i="2"/>
  <c r="C37" i="2"/>
  <c r="C57" i="2"/>
  <c r="C58" i="2"/>
  <c r="Z34" i="2"/>
  <c r="AA34" i="2"/>
  <c r="AC34" i="2"/>
  <c r="AB34" i="2"/>
  <c r="AB58" i="2" s="1"/>
  <c r="K34" i="2"/>
  <c r="O34" i="2"/>
  <c r="P34" i="2"/>
  <c r="S59" i="2" l="1"/>
  <c r="S67" i="2"/>
  <c r="S39" i="2"/>
  <c r="AI54" i="2"/>
  <c r="H56" i="2"/>
  <c r="AF44" i="2"/>
  <c r="N28" i="2"/>
  <c r="N34" i="2" s="1"/>
  <c r="Q28" i="2"/>
  <c r="Q51" i="2"/>
  <c r="AE55" i="2"/>
  <c r="AF16" i="2"/>
  <c r="AF46" i="2"/>
  <c r="AI48" i="2"/>
  <c r="K57" i="2"/>
  <c r="K58" i="2"/>
  <c r="H37" i="2"/>
  <c r="H57" i="2"/>
  <c r="H58" i="2"/>
  <c r="M39" i="2"/>
  <c r="M59" i="2"/>
  <c r="J34" i="2"/>
  <c r="J56" i="2"/>
  <c r="AD50" i="2"/>
  <c r="L57" i="2"/>
  <c r="L58" i="2"/>
  <c r="C39" i="2"/>
  <c r="C59" i="2"/>
  <c r="G37" i="2"/>
  <c r="G57" i="2"/>
  <c r="G58" i="2"/>
  <c r="D37" i="2"/>
  <c r="D57" i="2"/>
  <c r="D58" i="2"/>
  <c r="I39" i="2"/>
  <c r="I59" i="2"/>
  <c r="O37" i="2"/>
  <c r="O58" i="2"/>
  <c r="AC37" i="2"/>
  <c r="AC59" i="2" s="1"/>
  <c r="AC58" i="2"/>
  <c r="P57" i="2"/>
  <c r="P58" i="2"/>
  <c r="AA57" i="2"/>
  <c r="AA58" i="2"/>
  <c r="Z37" i="2"/>
  <c r="Z59" i="2" s="1"/>
  <c r="Z58" i="2"/>
  <c r="AC57" i="2"/>
  <c r="Z57" i="2"/>
  <c r="AA37" i="2"/>
  <c r="AA59" i="2" s="1"/>
  <c r="AB57" i="2"/>
  <c r="AB37" i="2"/>
  <c r="K37" i="2"/>
  <c r="K59" i="2" s="1"/>
  <c r="P37" i="2"/>
  <c r="O57" i="2"/>
  <c r="L39" i="2"/>
  <c r="AB67" i="2" l="1"/>
  <c r="AB59" i="2"/>
  <c r="P59" i="2"/>
  <c r="P67" i="2"/>
  <c r="O59" i="2"/>
  <c r="O67" i="2"/>
  <c r="AC67" i="2"/>
  <c r="AA39" i="2"/>
  <c r="AA67" i="2"/>
  <c r="Z67" i="2"/>
  <c r="AJ54" i="2"/>
  <c r="AG44" i="2"/>
  <c r="N56" i="2"/>
  <c r="AH13" i="2"/>
  <c r="AC39" i="2"/>
  <c r="AG46" i="2"/>
  <c r="R22" i="2"/>
  <c r="AG16" i="2"/>
  <c r="AF47" i="2"/>
  <c r="AF55" i="2"/>
  <c r="Q34" i="2"/>
  <c r="Q56" i="2"/>
  <c r="AJ48" i="2"/>
  <c r="G39" i="2"/>
  <c r="G59" i="2"/>
  <c r="AD49" i="2"/>
  <c r="AD53" i="2"/>
  <c r="H39" i="2"/>
  <c r="H59" i="2"/>
  <c r="D39" i="2"/>
  <c r="D59" i="2"/>
  <c r="N37" i="2"/>
  <c r="N57" i="2"/>
  <c r="N58" i="2"/>
  <c r="J37" i="2"/>
  <c r="J57" i="2"/>
  <c r="J58" i="2"/>
  <c r="O39" i="2"/>
  <c r="Z39" i="2"/>
  <c r="AB39" i="2"/>
  <c r="K39" i="2"/>
  <c r="P39" i="2"/>
  <c r="AK54" i="2" l="1"/>
  <c r="AH44" i="2"/>
  <c r="AI13" i="2"/>
  <c r="AG55" i="2"/>
  <c r="AH46" i="2"/>
  <c r="AH16" i="2"/>
  <c r="AG47" i="2"/>
  <c r="Q58" i="2"/>
  <c r="Q57" i="2"/>
  <c r="AK48" i="2"/>
  <c r="N39" i="2"/>
  <c r="N59" i="2"/>
  <c r="J39" i="2"/>
  <c r="J59" i="2"/>
  <c r="AD52" i="2"/>
  <c r="AD22" i="2"/>
  <c r="AD23" i="2" s="1"/>
  <c r="AL54" i="2" l="1"/>
  <c r="AJ13" i="2"/>
  <c r="AI44" i="2"/>
  <c r="AI46" i="2"/>
  <c r="AI16" i="2"/>
  <c r="AH47" i="2"/>
  <c r="Q37" i="2"/>
  <c r="Q67" i="2" s="1"/>
  <c r="AH55" i="2"/>
  <c r="AL48" i="2"/>
  <c r="AD51" i="2"/>
  <c r="AD28" i="2"/>
  <c r="AM54" i="2" l="1"/>
  <c r="AJ44" i="2"/>
  <c r="AK13" i="2"/>
  <c r="AJ46" i="2"/>
  <c r="AI55" i="2"/>
  <c r="Q39" i="2"/>
  <c r="Q59" i="2"/>
  <c r="AJ16" i="2"/>
  <c r="AI47" i="2"/>
  <c r="AM48" i="2"/>
  <c r="AD34" i="2"/>
  <c r="AD56" i="2"/>
  <c r="AO54" i="2" l="1"/>
  <c r="AN54" i="2"/>
  <c r="AK44" i="2"/>
  <c r="AL13" i="2"/>
  <c r="AK16" i="2"/>
  <c r="AJ47" i="2"/>
  <c r="AK46" i="2"/>
  <c r="AD57" i="2"/>
  <c r="AD58" i="2"/>
  <c r="AJ55" i="2"/>
  <c r="AO48" i="2"/>
  <c r="AN48" i="2"/>
  <c r="AD37" i="2" l="1"/>
  <c r="AM13" i="2"/>
  <c r="AL44" i="2"/>
  <c r="AL46" i="2"/>
  <c r="AK55" i="2"/>
  <c r="AL16" i="2"/>
  <c r="AK47" i="2"/>
  <c r="AD67" i="2" l="1"/>
  <c r="AD59" i="2"/>
  <c r="AM44" i="2"/>
  <c r="AN13" i="2"/>
  <c r="AO13" i="2" s="1"/>
  <c r="AM16" i="2"/>
  <c r="AL47" i="2"/>
  <c r="AL55" i="2"/>
  <c r="AM46" i="2"/>
  <c r="AD39" i="2"/>
  <c r="AN44" i="2" l="1"/>
  <c r="AO44" i="2"/>
  <c r="AN46" i="2"/>
  <c r="AM55" i="2"/>
  <c r="AN16" i="2"/>
  <c r="AM47" i="2"/>
  <c r="AO46" i="2" l="1"/>
  <c r="AO16" i="2"/>
  <c r="AN47" i="2"/>
  <c r="AN55" i="2"/>
  <c r="AO55" i="2" l="1"/>
  <c r="AO47" i="2"/>
  <c r="AF14" i="2" l="1"/>
  <c r="AE18" i="2"/>
  <c r="R18" i="2"/>
  <c r="R47" i="2"/>
  <c r="R45" i="2"/>
  <c r="R44" i="2"/>
  <c r="R46" i="2"/>
  <c r="R48" i="2"/>
  <c r="AE44" i="2"/>
  <c r="AD45" i="2"/>
  <c r="AE45" i="2"/>
  <c r="AE46" i="2"/>
  <c r="AD46" i="2"/>
  <c r="AD47" i="2"/>
  <c r="AD48" i="2"/>
  <c r="R50" i="2" l="1"/>
  <c r="V50" i="2"/>
  <c r="V49" i="2"/>
  <c r="R53" i="2"/>
  <c r="R23" i="2"/>
  <c r="AG14" i="2"/>
  <c r="AF45" i="2"/>
  <c r="AF18" i="2"/>
  <c r="AE50" i="2"/>
  <c r="AE49" i="2"/>
  <c r="AE48" i="2"/>
  <c r="AE47" i="2"/>
  <c r="AD44" i="2"/>
  <c r="R49" i="2"/>
  <c r="R52" i="2"/>
  <c r="AF49" i="2" l="1"/>
  <c r="AF20" i="2"/>
  <c r="AF21" i="2"/>
  <c r="AF53" i="2" s="1"/>
  <c r="AF50" i="2"/>
  <c r="R28" i="2"/>
  <c r="R51" i="2"/>
  <c r="AG45" i="2"/>
  <c r="AH14" i="2"/>
  <c r="AG18" i="2"/>
  <c r="AE23" i="2"/>
  <c r="AG21" i="2" l="1"/>
  <c r="AG53" i="2" s="1"/>
  <c r="AG20" i="2"/>
  <c r="R34" i="2"/>
  <c r="R56" i="2"/>
  <c r="AF22" i="2"/>
  <c r="AF23" i="2" s="1"/>
  <c r="AF52" i="2"/>
  <c r="AG50" i="2"/>
  <c r="AG49" i="2"/>
  <c r="AI14" i="2"/>
  <c r="AH45" i="2"/>
  <c r="AH18" i="2"/>
  <c r="AE28" i="2"/>
  <c r="AE51" i="2"/>
  <c r="AH21" i="2" l="1"/>
  <c r="AH53" i="2" s="1"/>
  <c r="AH20" i="2"/>
  <c r="R37" i="2"/>
  <c r="R67" i="2" s="1"/>
  <c r="R58" i="2"/>
  <c r="R57" i="2"/>
  <c r="AH50" i="2"/>
  <c r="AH49" i="2"/>
  <c r="AF28" i="2"/>
  <c r="AF51" i="2"/>
  <c r="AJ14" i="2"/>
  <c r="AI45" i="2"/>
  <c r="AI18" i="2"/>
  <c r="AG22" i="2"/>
  <c r="AG23" i="2" s="1"/>
  <c r="AG52" i="2"/>
  <c r="AE34" i="2"/>
  <c r="AE56" i="2"/>
  <c r="AI21" i="2" l="1"/>
  <c r="AI53" i="2" s="1"/>
  <c r="AI20" i="2"/>
  <c r="R59" i="2"/>
  <c r="R39" i="2"/>
  <c r="AG28" i="2"/>
  <c r="AG51" i="2"/>
  <c r="AF34" i="2"/>
  <c r="AF35" i="2" s="1"/>
  <c r="AF56" i="2"/>
  <c r="AH52" i="2"/>
  <c r="AH22" i="2"/>
  <c r="AH23" i="2" s="1"/>
  <c r="AI50" i="2"/>
  <c r="AI49" i="2"/>
  <c r="AK14" i="2"/>
  <c r="AJ45" i="2"/>
  <c r="AJ18" i="2"/>
  <c r="AE57" i="2"/>
  <c r="AE58" i="2"/>
  <c r="AJ21" i="2" l="1"/>
  <c r="AJ53" i="2" s="1"/>
  <c r="AJ20" i="2"/>
  <c r="AE37" i="2"/>
  <c r="AH28" i="2"/>
  <c r="AH51" i="2"/>
  <c r="AJ50" i="2"/>
  <c r="AJ49" i="2"/>
  <c r="AL14" i="2"/>
  <c r="AK45" i="2"/>
  <c r="AK18" i="2"/>
  <c r="AF57" i="2"/>
  <c r="AF36" i="2"/>
  <c r="AF58" i="2" s="1"/>
  <c r="AI52" i="2"/>
  <c r="AI22" i="2"/>
  <c r="AI23" i="2" s="1"/>
  <c r="AG34" i="2"/>
  <c r="AG35" i="2" s="1"/>
  <c r="AG56" i="2"/>
  <c r="AE67" i="2" l="1"/>
  <c r="AE68" i="2" s="1"/>
  <c r="AE80" i="2" s="1"/>
  <c r="AE82" i="2" s="1"/>
  <c r="AE59" i="2"/>
  <c r="AK20" i="2"/>
  <c r="AK21" i="2"/>
  <c r="AK53" i="2" s="1"/>
  <c r="AE39" i="2"/>
  <c r="AF37" i="2"/>
  <c r="AG57" i="2"/>
  <c r="AG36" i="2"/>
  <c r="AG58" i="2" s="1"/>
  <c r="AM14" i="2"/>
  <c r="AL45" i="2"/>
  <c r="AL18" i="2"/>
  <c r="AI51" i="2"/>
  <c r="AI28" i="2"/>
  <c r="AJ52" i="2"/>
  <c r="AJ22" i="2"/>
  <c r="AJ23" i="2" s="1"/>
  <c r="AK50" i="2"/>
  <c r="AK49" i="2"/>
  <c r="AH34" i="2"/>
  <c r="AH35" i="2" s="1"/>
  <c r="AH56" i="2"/>
  <c r="AF67" i="2" l="1"/>
  <c r="AF68" i="2" s="1"/>
  <c r="AF80" i="2" s="1"/>
  <c r="AF82" i="2" s="1"/>
  <c r="AF59" i="2"/>
  <c r="AF39" i="2"/>
  <c r="AL21" i="2"/>
  <c r="AL53" i="2" s="1"/>
  <c r="AL20" i="2"/>
  <c r="AG37" i="2"/>
  <c r="AI56" i="2"/>
  <c r="AI34" i="2"/>
  <c r="AI35" i="2" s="1"/>
  <c r="AH57" i="2"/>
  <c r="AH36" i="2"/>
  <c r="AH58" i="2" s="1"/>
  <c r="AL50" i="2"/>
  <c r="AL49" i="2"/>
  <c r="AK22" i="2"/>
  <c r="AK23" i="2" s="1"/>
  <c r="AK52" i="2"/>
  <c r="AJ51" i="2"/>
  <c r="AJ28" i="2"/>
  <c r="AN14" i="2"/>
  <c r="AM45" i="2"/>
  <c r="AM18" i="2"/>
  <c r="AG67" i="2" l="1"/>
  <c r="AG68" i="2" s="1"/>
  <c r="AG80" i="2" s="1"/>
  <c r="AG82" i="2" s="1"/>
  <c r="AG59" i="2"/>
  <c r="AM20" i="2"/>
  <c r="AM21" i="2"/>
  <c r="AM53" i="2" s="1"/>
  <c r="AG39" i="2"/>
  <c r="AH37" i="2"/>
  <c r="AL52" i="2"/>
  <c r="AL22" i="2"/>
  <c r="AL23" i="2" s="1"/>
  <c r="AO14" i="2"/>
  <c r="AN45" i="2"/>
  <c r="AN18" i="2"/>
  <c r="AJ56" i="2"/>
  <c r="AJ34" i="2"/>
  <c r="AJ35" i="2" s="1"/>
  <c r="AM50" i="2"/>
  <c r="AM49" i="2"/>
  <c r="AK51" i="2"/>
  <c r="AK28" i="2"/>
  <c r="AI36" i="2"/>
  <c r="AI58" i="2" s="1"/>
  <c r="AI57" i="2"/>
  <c r="AH67" i="2" l="1"/>
  <c r="AH59" i="2"/>
  <c r="AH68" i="2"/>
  <c r="AH80" i="2" s="1"/>
  <c r="AH82" i="2" s="1"/>
  <c r="AN20" i="2"/>
  <c r="AN21" i="2"/>
  <c r="AN53" i="2" s="1"/>
  <c r="AH39" i="2"/>
  <c r="AK56" i="2"/>
  <c r="AK34" i="2"/>
  <c r="AK35" i="2" s="1"/>
  <c r="AO45" i="2"/>
  <c r="AO18" i="2"/>
  <c r="AL28" i="2"/>
  <c r="AL51" i="2"/>
  <c r="AN50" i="2"/>
  <c r="AN49" i="2"/>
  <c r="AM22" i="2"/>
  <c r="AM23" i="2" s="1"/>
  <c r="AM52" i="2"/>
  <c r="AI37" i="2"/>
  <c r="AJ36" i="2"/>
  <c r="AJ58" i="2" s="1"/>
  <c r="AJ57" i="2"/>
  <c r="AI67" i="2" l="1"/>
  <c r="AI68" i="2" s="1"/>
  <c r="AI80" i="2" s="1"/>
  <c r="AI82" i="2" s="1"/>
  <c r="AI59" i="2"/>
  <c r="AO21" i="2"/>
  <c r="AO53" i="2" s="1"/>
  <c r="AO20" i="2"/>
  <c r="AJ37" i="2"/>
  <c r="AJ59" i="2" s="1"/>
  <c r="AI39" i="2"/>
  <c r="AL56" i="2"/>
  <c r="AL34" i="2"/>
  <c r="AL35" i="2" s="1"/>
  <c r="AO50" i="2"/>
  <c r="AO49" i="2"/>
  <c r="AM51" i="2"/>
  <c r="AM28" i="2"/>
  <c r="AK36" i="2"/>
  <c r="AK58" i="2" s="1"/>
  <c r="AK57" i="2"/>
  <c r="AN22" i="2"/>
  <c r="AN23" i="2" s="1"/>
  <c r="AN52" i="2"/>
  <c r="AJ67" i="2" l="1"/>
  <c r="AJ39" i="2"/>
  <c r="AK37" i="2"/>
  <c r="AO52" i="2"/>
  <c r="AO22" i="2"/>
  <c r="AO23" i="2" s="1"/>
  <c r="AL57" i="2"/>
  <c r="AL36" i="2"/>
  <c r="AL58" i="2" s="1"/>
  <c r="AM56" i="2"/>
  <c r="AM34" i="2"/>
  <c r="AM35" i="2" s="1"/>
  <c r="AN28" i="2"/>
  <c r="AN51" i="2"/>
  <c r="AK67" i="2" l="1"/>
  <c r="AK68" i="2" s="1"/>
  <c r="AK80" i="2" s="1"/>
  <c r="AK82" i="2" s="1"/>
  <c r="AK59" i="2"/>
  <c r="AJ68" i="2"/>
  <c r="AJ80" i="2" s="1"/>
  <c r="AJ82" i="2" s="1"/>
  <c r="AL37" i="2"/>
  <c r="AL59" i="2" s="1"/>
  <c r="AM57" i="2"/>
  <c r="AM36" i="2"/>
  <c r="AM58" i="2" s="1"/>
  <c r="AO51" i="2"/>
  <c r="AO28" i="2"/>
  <c r="AN56" i="2"/>
  <c r="AN34" i="2"/>
  <c r="AN35" i="2" s="1"/>
  <c r="AK39" i="2"/>
  <c r="AL39" i="2" l="1"/>
  <c r="AL67" i="2"/>
  <c r="AM37" i="2"/>
  <c r="AM59" i="2" s="1"/>
  <c r="AO56" i="2"/>
  <c r="AO34" i="2"/>
  <c r="AO35" i="2" s="1"/>
  <c r="AN36" i="2"/>
  <c r="AN58" i="2" s="1"/>
  <c r="AN57" i="2"/>
  <c r="AL68" i="2" l="1"/>
  <c r="AL80" i="2" s="1"/>
  <c r="AL82" i="2" s="1"/>
  <c r="AM67" i="2"/>
  <c r="AM39" i="2"/>
  <c r="AN37" i="2"/>
  <c r="AN59" i="2" s="1"/>
  <c r="AO57" i="2"/>
  <c r="AO36" i="2"/>
  <c r="AO58" i="2" s="1"/>
  <c r="AM68" i="2" l="1"/>
  <c r="AM80" i="2" s="1"/>
  <c r="AM82" i="2" s="1"/>
  <c r="AN39" i="2"/>
  <c r="AN67" i="2"/>
  <c r="AO37" i="2"/>
  <c r="AO67" i="2" l="1"/>
  <c r="AO68" i="2" s="1"/>
  <c r="AO80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BK82" i="2" s="1"/>
  <c r="BL82" i="2" s="1"/>
  <c r="BM82" i="2" s="1"/>
  <c r="BN82" i="2" s="1"/>
  <c r="BO82" i="2" s="1"/>
  <c r="BP82" i="2" s="1"/>
  <c r="BQ82" i="2" s="1"/>
  <c r="BR82" i="2" s="1"/>
  <c r="BS82" i="2" s="1"/>
  <c r="BT82" i="2" s="1"/>
  <c r="BU82" i="2" s="1"/>
  <c r="BV82" i="2" s="1"/>
  <c r="BW82" i="2" s="1"/>
  <c r="BX82" i="2" s="1"/>
  <c r="BY82" i="2" s="1"/>
  <c r="BZ82" i="2" s="1"/>
  <c r="CA82" i="2" s="1"/>
  <c r="CB82" i="2" s="1"/>
  <c r="CC82" i="2" s="1"/>
  <c r="CD82" i="2" s="1"/>
  <c r="CE82" i="2" s="1"/>
  <c r="CF82" i="2" s="1"/>
  <c r="CG82" i="2" s="1"/>
  <c r="CH82" i="2" s="1"/>
  <c r="CI82" i="2" s="1"/>
  <c r="CJ82" i="2" s="1"/>
  <c r="CK82" i="2" s="1"/>
  <c r="CL82" i="2" s="1"/>
  <c r="CM82" i="2" s="1"/>
  <c r="CN82" i="2" s="1"/>
  <c r="CO82" i="2" s="1"/>
  <c r="CP82" i="2" s="1"/>
  <c r="CQ82" i="2" s="1"/>
  <c r="CR82" i="2" s="1"/>
  <c r="CS82" i="2" s="1"/>
  <c r="CT82" i="2" s="1"/>
  <c r="CU82" i="2" s="1"/>
  <c r="CV82" i="2" s="1"/>
  <c r="CW82" i="2" s="1"/>
  <c r="CX82" i="2" s="1"/>
  <c r="CY82" i="2" s="1"/>
  <c r="CZ82" i="2" s="1"/>
  <c r="DA82" i="2" s="1"/>
  <c r="DB82" i="2" s="1"/>
  <c r="DC82" i="2" s="1"/>
  <c r="DD82" i="2" s="1"/>
  <c r="DE82" i="2" s="1"/>
  <c r="DF82" i="2" s="1"/>
  <c r="DG82" i="2" s="1"/>
  <c r="DH82" i="2" s="1"/>
  <c r="DI82" i="2" s="1"/>
  <c r="DJ82" i="2" s="1"/>
  <c r="DK82" i="2" s="1"/>
  <c r="DL82" i="2" s="1"/>
  <c r="DM82" i="2" s="1"/>
  <c r="DN82" i="2" s="1"/>
  <c r="DO82" i="2" s="1"/>
  <c r="DP82" i="2" s="1"/>
  <c r="DQ82" i="2" s="1"/>
  <c r="DR82" i="2" s="1"/>
  <c r="DS82" i="2" s="1"/>
  <c r="DT82" i="2" s="1"/>
  <c r="DU82" i="2" s="1"/>
  <c r="DV82" i="2" s="1"/>
  <c r="DW82" i="2" s="1"/>
  <c r="DX82" i="2" s="1"/>
  <c r="DY82" i="2" s="1"/>
  <c r="DZ82" i="2" s="1"/>
  <c r="EA82" i="2" s="1"/>
  <c r="EB82" i="2" s="1"/>
  <c r="EC82" i="2" s="1"/>
  <c r="ED82" i="2" s="1"/>
  <c r="EE82" i="2" s="1"/>
  <c r="EF82" i="2" s="1"/>
  <c r="EG82" i="2" s="1"/>
  <c r="EH82" i="2" s="1"/>
  <c r="EI82" i="2" s="1"/>
  <c r="AS84" i="2" s="1"/>
  <c r="AS86" i="2" s="1"/>
  <c r="AS87" i="2" s="1"/>
  <c r="AS89" i="2" s="1"/>
  <c r="AO59" i="2"/>
  <c r="AN68" i="2"/>
  <c r="AN80" i="2" s="1"/>
  <c r="AN82" i="2" s="1"/>
  <c r="AO39" i="2"/>
  <c r="AP37" i="2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BK37" i="2" s="1"/>
  <c r="BL37" i="2" s="1"/>
  <c r="BM37" i="2" s="1"/>
  <c r="BN37" i="2" s="1"/>
  <c r="BO37" i="2" s="1"/>
  <c r="BP37" i="2" s="1"/>
  <c r="BQ37" i="2" s="1"/>
  <c r="BR37" i="2" s="1"/>
  <c r="BS37" i="2" s="1"/>
  <c r="BT37" i="2" s="1"/>
  <c r="BU37" i="2" s="1"/>
  <c r="BV37" i="2" s="1"/>
  <c r="BW37" i="2" s="1"/>
  <c r="BX37" i="2" s="1"/>
  <c r="BY37" i="2" s="1"/>
  <c r="BZ37" i="2" s="1"/>
  <c r="CA37" i="2" s="1"/>
  <c r="CB37" i="2" s="1"/>
  <c r="CC37" i="2" s="1"/>
  <c r="CD37" i="2" s="1"/>
  <c r="CE37" i="2" s="1"/>
  <c r="CF37" i="2" s="1"/>
  <c r="CG37" i="2" s="1"/>
  <c r="CH37" i="2" s="1"/>
  <c r="CI37" i="2" s="1"/>
  <c r="CJ37" i="2" s="1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CU37" i="2" s="1"/>
  <c r="CV37" i="2" s="1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DG37" i="2" s="1"/>
  <c r="DH37" i="2" s="1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S37" i="2" s="1"/>
  <c r="DT37" i="2" s="1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Q37" i="2" s="1"/>
  <c r="ER37" i="2" s="1"/>
  <c r="ES37" i="2" s="1"/>
  <c r="ET37" i="2" s="1"/>
  <c r="EU37" i="2" s="1"/>
  <c r="EV37" i="2" s="1"/>
  <c r="AS47" i="2" l="1"/>
  <c r="AS49" i="2" s="1"/>
  <c r="AS50" i="2" s="1"/>
  <c r="AS52" i="2" s="1"/>
</calcChain>
</file>

<file path=xl/sharedStrings.xml><?xml version="1.0" encoding="utf-8"?>
<sst xmlns="http://schemas.openxmlformats.org/spreadsheetml/2006/main" count="118" uniqueCount="111">
  <si>
    <t>RHM</t>
  </si>
  <si>
    <t>Price</t>
  </si>
  <si>
    <t>Shares</t>
  </si>
  <si>
    <t>MC</t>
  </si>
  <si>
    <t>Cash</t>
  </si>
  <si>
    <t>Debt</t>
  </si>
  <si>
    <t>Net Cash</t>
  </si>
  <si>
    <t>EV</t>
  </si>
  <si>
    <t>Revenue</t>
  </si>
  <si>
    <t>Inventory cost</t>
  </si>
  <si>
    <t>Cost of materials</t>
  </si>
  <si>
    <t>Personnel costs</t>
  </si>
  <si>
    <t>D&amp;A</t>
  </si>
  <si>
    <t>Other operating income</t>
  </si>
  <si>
    <t>Other operating expenses</t>
  </si>
  <si>
    <t>Investments</t>
  </si>
  <si>
    <t>Other financial income</t>
  </si>
  <si>
    <t>Interest income</t>
  </si>
  <si>
    <t>Interest expense</t>
  </si>
  <si>
    <t>Pretax profit</t>
  </si>
  <si>
    <t>Taxes</t>
  </si>
  <si>
    <t>Net profit</t>
  </si>
  <si>
    <t>EPS</t>
  </si>
  <si>
    <t>Gross profit</t>
  </si>
  <si>
    <t>Operating profit</t>
  </si>
  <si>
    <t>Total cost of sales</t>
  </si>
  <si>
    <t>Total operating expenses</t>
  </si>
  <si>
    <t>Net financial expense</t>
  </si>
  <si>
    <t>MI</t>
  </si>
  <si>
    <t>Q223</t>
  </si>
  <si>
    <t>Q123</t>
  </si>
  <si>
    <t>Q323</t>
  </si>
  <si>
    <t>Q423</t>
  </si>
  <si>
    <t>Q124</t>
  </si>
  <si>
    <t>Q224</t>
  </si>
  <si>
    <t>Q324</t>
  </si>
  <si>
    <t>Q424</t>
  </si>
  <si>
    <t>Revenue y/y</t>
  </si>
  <si>
    <t>Gross Margin</t>
  </si>
  <si>
    <t>Operating Margin</t>
  </si>
  <si>
    <t>Net Margin</t>
  </si>
  <si>
    <t>Vehicle Systems revenue</t>
  </si>
  <si>
    <t>Weapon and Ammunition revenue</t>
  </si>
  <si>
    <t>Electronic Solutions revenue</t>
  </si>
  <si>
    <t>Power Systems revenue</t>
  </si>
  <si>
    <t>Other revenue</t>
  </si>
  <si>
    <t>Other operating expenses y/y</t>
  </si>
  <si>
    <t>Materials Margin</t>
  </si>
  <si>
    <t>Personnel Margin</t>
  </si>
  <si>
    <t>Q122</t>
  </si>
  <si>
    <t>Q222</t>
  </si>
  <si>
    <t>Q322</t>
  </si>
  <si>
    <t>Q422</t>
  </si>
  <si>
    <t>Vehicle Systems revenue y/y</t>
  </si>
  <si>
    <t>Weapon and Ammunition revenue y/y</t>
  </si>
  <si>
    <t>Electronic Solutions revenue y/y</t>
  </si>
  <si>
    <t>Power Systems revenue y/y</t>
  </si>
  <si>
    <t>Other 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</si>
  <si>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</si>
  <si>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</si>
  <si>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</si>
  <si>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</si>
  <si>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</si>
  <si>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</si>
  <si>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</si>
  <si>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</si>
  <si>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</si>
  <si>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Q121</t>
  </si>
  <si>
    <t>Q221</t>
  </si>
  <si>
    <t>Q321</t>
  </si>
  <si>
    <t>Q421</t>
  </si>
  <si>
    <t>Operating revenue y/y</t>
  </si>
  <si>
    <t>Heavily overvalued</t>
  </si>
  <si>
    <t>Last checked</t>
  </si>
  <si>
    <t>Today</t>
  </si>
  <si>
    <t>Earnings</t>
  </si>
  <si>
    <t>Backlog y/y</t>
  </si>
  <si>
    <t>Total Backlog</t>
  </si>
  <si>
    <t>Order Backlog</t>
  </si>
  <si>
    <t>Booked Business</t>
  </si>
  <si>
    <t>Frame Nomination</t>
  </si>
  <si>
    <t>Frame Utilisation</t>
  </si>
  <si>
    <t>Order Intake</t>
  </si>
  <si>
    <t>Rheinmetall Nomination</t>
  </si>
  <si>
    <t>Nominated Backlog</t>
  </si>
  <si>
    <t>Frame Backlog</t>
  </si>
  <si>
    <t>Order Backlog y/y</t>
  </si>
  <si>
    <t>Q125</t>
  </si>
  <si>
    <t>Q225</t>
  </si>
  <si>
    <t>Q325</t>
  </si>
  <si>
    <t>Q425</t>
  </si>
  <si>
    <t>Other operating income y/y</t>
  </si>
  <si>
    <t>Model net profit</t>
  </si>
  <si>
    <t>CF net profit</t>
  </si>
  <si>
    <t>Impairment</t>
  </si>
  <si>
    <t>Pensions</t>
  </si>
  <si>
    <t>Loss on disposal</t>
  </si>
  <si>
    <t>Provisions</t>
  </si>
  <si>
    <t>Working capital</t>
  </si>
  <si>
    <t>Other working capital</t>
  </si>
  <si>
    <t>Gain on investment</t>
  </si>
  <si>
    <t>Loss on equity</t>
  </si>
  <si>
    <t>Gain on equity</t>
  </si>
  <si>
    <t>Other non-cash</t>
  </si>
  <si>
    <t>CFFO</t>
  </si>
  <si>
    <t>CapEx</t>
  </si>
  <si>
    <t>FCF</t>
  </si>
  <si>
    <t>CapEx y/y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</si>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</sst>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#,##0.00\ [$€-1]"/>
    <numFmt numFmtId="166" formatCode="0.0\x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3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65" fontId="0" fillId="0" borderId="0" xfId="0" applyNumberForma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22860</xdr:colOff>
      <xdr:row>0</xdr:row>
      <xdr:rowOff>0</xdr:rowOff>
    </xdr:from>
    <xdr:to>
      <xdr:col>20</xdr:col>
      <xdr:colOff>22860</xdr:colOff>
      <xdr:row>92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08EF7B-447E-665E-AE4C-3855093B42E6}"/>
            </a:ext>
          </a:extLst>
        </xdr:cNvPr>
        <xdr:cNvCxnSpPr/>
      </xdr:nvCxnSpPr>
      <xdr:spPr>
        <a:xfrm>
          <a:off x="13754100" y="0"/>
          <a:ext cx="0" cy="158343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</xdr:colOff>
      <xdr:row>0</xdr:row>
      <xdr:rowOff>0</xdr:rowOff>
    </xdr:from>
    <xdr:to>
      <xdr:col>30</xdr:col>
      <xdr:colOff>22860</xdr:colOff>
      <xdr:row>93</xdr:row>
      <xdr:rowOff>175260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B02BE0A-F4DF-09E8-588D-130F05D85ADC}"/>
            </a:ext>
          </a:extLst>
        </xdr:cNvPr>
        <xdr:cNvCxnSpPr/>
      </xdr:nvCxnSpPr>
      <xdr:spPr>
        <a:xfrm>
          <a:off x="19850100" y="0"/>
          <a:ext cx="0" cy="160858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FF3F-EFFD-4DB9-8D87-41D4528C41F5}">
  <dimension ref="B2:H9"/>
  <sheetViews>
    <sheetView workbookViewId="0">
      <selection activeCell="E4" sqref="E4"/>
    </sheetView>
  </sheetViews>
  <sheetFormatPr defaultRowHeight="14.4" x14ac:dyDescent="0.3"/>
  <cols>
    <col min="4" max="4" width="9.44140625" bestFit="1" customWidth="1"/>
    <col min="5" max="5" width="12.21875" style="10" bestFit="1" customWidth="1"/>
    <col min="6" max="7" width="11" style="10" bestFit="1" customWidth="1"/>
    <col min="8" max="8" width="8.88671875" style="10" customWidth="1"/>
  </cols>
  <sheetData>
    <row r="2" spans="2:7" x14ac:dyDescent="0.3">
      <c r="E2" s="10" t="s">
        <v>73</v>
      </c>
      <c r="F2" s="10" t="s">
        <v>74</v>
      </c>
      <c r="G2" s="10" t="s">
        <v>75</v>
      </c>
    </row>
    <row r="3" spans="2:7" x14ac:dyDescent="0.3">
      <c r="B3" s="1" t="s">
        <v>0</v>
      </c>
      <c r="C3" t="s">
        <v>1</v>
      </c>
      <c r="D3" s="2">
        <v>1744.5</v>
      </c>
      <c r="E3" s="11">
        <v>45906</v>
      </c>
      <c r="F3" s="11">
        <f ca="1">TODAY()</f>
        <v>45934</v>
      </c>
      <c r="G3" s="11">
        <v>45967</v>
      </c>
    </row>
    <row r="4" spans="2:7" x14ac:dyDescent="0.3">
      <c r="C4" t="s">
        <v>2</v>
      </c>
      <c r="D4" s="3">
        <v>43.84</v>
      </c>
      <c r="E4" s="10" t="s">
        <v>88</v>
      </c>
    </row>
    <row r="5" spans="2:7" x14ac:dyDescent="0.3">
      <c r="C5" t="s">
        <v>3</v>
      </c>
      <c r="D5" s="3">
        <f>D3*D4</f>
        <v>76478.880000000005</v>
      </c>
    </row>
    <row r="6" spans="2:7" x14ac:dyDescent="0.3">
      <c r="C6" t="s">
        <v>4</v>
      </c>
      <c r="D6" s="3">
        <f>1083+328</f>
        <v>1411</v>
      </c>
      <c r="E6" s="10" t="s">
        <v>88</v>
      </c>
    </row>
    <row r="7" spans="2:7" x14ac:dyDescent="0.3">
      <c r="C7" t="s">
        <v>5</v>
      </c>
      <c r="D7" s="3">
        <f>193+1511</f>
        <v>1704</v>
      </c>
      <c r="E7" s="10" t="s">
        <v>88</v>
      </c>
    </row>
    <row r="8" spans="2:7" x14ac:dyDescent="0.3">
      <c r="C8" t="s">
        <v>6</v>
      </c>
      <c r="D8" s="3">
        <f>D6-D7</f>
        <v>-293</v>
      </c>
    </row>
    <row r="9" spans="2:7" x14ac:dyDescent="0.3">
      <c r="C9" t="s">
        <v>7</v>
      </c>
      <c r="D9" s="3">
        <f>D5-D8</f>
        <v>76771.88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C44B-4F3D-481F-98FD-E9305230A697}">
  <dimension ref="B2:EV89"/>
  <sheetViews>
    <sheetView tabSelected="1" workbookViewId="0">
      <pane xSplit="2" ySplit="2" topLeftCell="O41" activePane="bottomRight" state="frozen"/>
      <selection pane="topRight" activeCell="C1" sqref="C1"/>
      <selection pane="bottomLeft" activeCell="A3" sqref="A3"/>
      <selection pane="bottomRight" activeCell="T64" sqref="T64"/>
    </sheetView>
  </sheetViews>
  <sheetFormatPr defaultRowHeight="14.4" x14ac:dyDescent="0.3"/>
  <cols>
    <col min="2" max="2" width="30.88671875" bestFit="1" customWidth="1"/>
    <col min="3" max="11" width="8.88671875" customWidth="1"/>
    <col min="13" max="13" width="9.109375" bestFit="1" customWidth="1"/>
    <col min="17" max="17" width="9.109375" bestFit="1" customWidth="1"/>
    <col min="44" max="44" width="12" bestFit="1" customWidth="1"/>
    <col min="45" max="45" width="16.44140625" customWidth="1"/>
  </cols>
  <sheetData>
    <row r="2" spans="2:41" x14ac:dyDescent="0.3">
      <c r="C2" s="4" t="s">
        <v>67</v>
      </c>
      <c r="D2" s="4" t="s">
        <v>68</v>
      </c>
      <c r="E2" s="4" t="s">
        <v>69</v>
      </c>
      <c r="F2" s="4" t="s">
        <v>70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30</v>
      </c>
      <c r="L2" s="4" t="s">
        <v>29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87</v>
      </c>
      <c r="T2" s="4" t="s">
        <v>88</v>
      </c>
      <c r="U2" s="4" t="s">
        <v>89</v>
      </c>
      <c r="V2" s="4" t="s">
        <v>90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41" x14ac:dyDescent="0.3">
      <c r="B3" t="s">
        <v>79</v>
      </c>
      <c r="C3" s="4"/>
      <c r="D3" s="4"/>
      <c r="E3" s="4"/>
      <c r="F3" s="4"/>
      <c r="G3" s="4"/>
      <c r="H3" s="4"/>
      <c r="I3" s="4"/>
      <c r="J3" s="3">
        <v>3521</v>
      </c>
      <c r="K3" s="3">
        <v>1230</v>
      </c>
      <c r="L3" s="3">
        <f>1775-K3</f>
        <v>545</v>
      </c>
      <c r="M3" s="3">
        <v>592</v>
      </c>
      <c r="N3" s="3">
        <v>3480</v>
      </c>
      <c r="O3" s="3">
        <v>620</v>
      </c>
      <c r="P3" s="3">
        <f>1357-O3</f>
        <v>737</v>
      </c>
      <c r="Q3" s="3">
        <f>2119-P3-O3</f>
        <v>762</v>
      </c>
      <c r="R3" s="3">
        <f>2508-Q3-P3-O3</f>
        <v>389</v>
      </c>
      <c r="S3" s="3">
        <v>325</v>
      </c>
      <c r="T3" s="3">
        <v>664</v>
      </c>
      <c r="U3" s="4"/>
      <c r="V3" s="4"/>
      <c r="Z3" s="3"/>
      <c r="AA3" s="3"/>
      <c r="AB3" s="3">
        <v>3521</v>
      </c>
      <c r="AC3" s="3">
        <v>3480</v>
      </c>
      <c r="AD3" s="3">
        <v>2508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2:41" x14ac:dyDescent="0.3">
      <c r="B4" t="s">
        <v>80</v>
      </c>
      <c r="C4" s="4"/>
      <c r="D4" s="4"/>
      <c r="E4" s="4"/>
      <c r="F4" s="4"/>
      <c r="G4" s="4"/>
      <c r="H4" s="4"/>
      <c r="I4" s="4"/>
      <c r="J4" s="3">
        <v>350</v>
      </c>
      <c r="K4" s="3">
        <v>370</v>
      </c>
      <c r="L4" s="3">
        <f>1163-K4</f>
        <v>793</v>
      </c>
      <c r="M4" s="3">
        <v>5877</v>
      </c>
      <c r="N4" s="3">
        <v>7362</v>
      </c>
      <c r="O4" s="3">
        <v>0</v>
      </c>
      <c r="P4" s="3">
        <f>7478-O4</f>
        <v>7478</v>
      </c>
      <c r="Q4" s="3">
        <f>10858-P4-O4</f>
        <v>3380</v>
      </c>
      <c r="R4" s="3">
        <f>11518-Q4-P4-O4</f>
        <v>660</v>
      </c>
      <c r="S4" s="3">
        <v>9348</v>
      </c>
      <c r="T4" s="3">
        <v>433</v>
      </c>
      <c r="U4" s="4"/>
      <c r="V4" s="4"/>
      <c r="Z4" s="3"/>
      <c r="AA4" s="3"/>
      <c r="AB4" s="3">
        <v>350</v>
      </c>
      <c r="AC4" s="3">
        <v>7362</v>
      </c>
      <c r="AD4" s="3">
        <v>11518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2:41" x14ac:dyDescent="0.3">
      <c r="B5" t="s">
        <v>81</v>
      </c>
      <c r="C5" s="4"/>
      <c r="D5" s="4"/>
      <c r="E5" s="4"/>
      <c r="F5" s="4"/>
      <c r="G5" s="4"/>
      <c r="H5" s="4"/>
      <c r="I5" s="4"/>
      <c r="J5" s="3">
        <v>0</v>
      </c>
      <c r="K5" s="3">
        <v>0</v>
      </c>
      <c r="L5" s="3">
        <f>-638-K5</f>
        <v>-638</v>
      </c>
      <c r="M5" s="3">
        <v>-1726</v>
      </c>
      <c r="N5" s="3">
        <v>-2804</v>
      </c>
      <c r="O5" s="3">
        <v>-444</v>
      </c>
      <c r="P5" s="3">
        <f>-2369-O5</f>
        <v>-1925</v>
      </c>
      <c r="Q5" s="3">
        <f>-2824-P5-O5</f>
        <v>-455</v>
      </c>
      <c r="R5" s="3">
        <f>-3738-Q5-P5-O5</f>
        <v>-914</v>
      </c>
      <c r="S5" s="3">
        <v>-1995</v>
      </c>
      <c r="T5" s="3">
        <v>-256</v>
      </c>
      <c r="U5" s="4"/>
      <c r="V5" s="4"/>
      <c r="Z5" s="3"/>
      <c r="AA5" s="3"/>
      <c r="AB5" s="3">
        <v>0</v>
      </c>
      <c r="AC5" s="3">
        <v>-2804</v>
      </c>
      <c r="AD5" s="3">
        <v>-3738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2:41" x14ac:dyDescent="0.3">
      <c r="B6" t="s">
        <v>82</v>
      </c>
      <c r="C6" s="4"/>
      <c r="D6" s="4"/>
      <c r="E6" s="4"/>
      <c r="F6" s="4"/>
      <c r="G6" s="4"/>
      <c r="H6" s="4"/>
      <c r="I6" s="4"/>
      <c r="J6" s="3">
        <v>5629</v>
      </c>
      <c r="K6" s="3">
        <v>1504</v>
      </c>
      <c r="L6" s="3">
        <v>3392</v>
      </c>
      <c r="M6" s="3">
        <v>2570</v>
      </c>
      <c r="N6" s="3">
        <v>11843</v>
      </c>
      <c r="O6" s="3">
        <v>3757</v>
      </c>
      <c r="P6" s="3">
        <f>8910-O6</f>
        <v>5153</v>
      </c>
      <c r="Q6" s="3">
        <f>11275-P6-O6</f>
        <v>2365</v>
      </c>
      <c r="R6" s="3">
        <f>16554-Q6-P6-O6</f>
        <v>5279</v>
      </c>
      <c r="S6" s="3">
        <v>3361</v>
      </c>
      <c r="T6" s="3">
        <v>1798</v>
      </c>
      <c r="U6" s="4"/>
      <c r="V6" s="4"/>
      <c r="Z6" s="3"/>
      <c r="AA6" s="3"/>
      <c r="AB6" s="3">
        <v>5629</v>
      </c>
      <c r="AC6" s="3">
        <v>11843</v>
      </c>
      <c r="AD6" s="3">
        <v>16554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2:41" x14ac:dyDescent="0.3">
      <c r="B7" t="s">
        <v>83</v>
      </c>
      <c r="C7" s="4"/>
      <c r="D7" s="4"/>
      <c r="E7" s="4"/>
      <c r="F7" s="4"/>
      <c r="G7" s="4"/>
      <c r="H7" s="4"/>
      <c r="I7" s="4"/>
      <c r="J7" s="3">
        <f t="shared" ref="J7:S7" si="0">SUM(J3:J6)</f>
        <v>9500</v>
      </c>
      <c r="K7" s="3">
        <f t="shared" si="0"/>
        <v>3104</v>
      </c>
      <c r="L7" s="3">
        <f t="shared" si="0"/>
        <v>4092</v>
      </c>
      <c r="M7" s="3">
        <f t="shared" si="0"/>
        <v>7313</v>
      </c>
      <c r="N7" s="3">
        <f t="shared" si="0"/>
        <v>19881</v>
      </c>
      <c r="O7" s="3">
        <f t="shared" si="0"/>
        <v>3933</v>
      </c>
      <c r="P7" s="3">
        <f t="shared" si="0"/>
        <v>11443</v>
      </c>
      <c r="Q7" s="3">
        <f t="shared" si="0"/>
        <v>6052</v>
      </c>
      <c r="R7" s="3">
        <f t="shared" si="0"/>
        <v>5414</v>
      </c>
      <c r="S7" s="3">
        <f t="shared" si="0"/>
        <v>11039</v>
      </c>
      <c r="T7" s="3">
        <f t="shared" ref="T7" si="1">SUM(T3:T6)</f>
        <v>2639</v>
      </c>
      <c r="U7" s="4"/>
      <c r="V7" s="4"/>
      <c r="Z7" s="3"/>
      <c r="AA7" s="3"/>
      <c r="AB7" s="3">
        <f>SUM(AB3:AB6)</f>
        <v>9500</v>
      </c>
      <c r="AC7" s="3">
        <f>SUM(AC3:AC6)</f>
        <v>19881</v>
      </c>
      <c r="AD7" s="3">
        <f>SUM(AD3:AD6)</f>
        <v>26842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2:41" x14ac:dyDescent="0.3">
      <c r="B8" t="s">
        <v>84</v>
      </c>
      <c r="C8" s="4"/>
      <c r="D8" s="4"/>
      <c r="E8" s="4"/>
      <c r="F8" s="4"/>
      <c r="G8" s="4"/>
      <c r="H8" s="4"/>
      <c r="I8" s="4"/>
      <c r="J8" s="3">
        <v>8056</v>
      </c>
      <c r="K8" s="3">
        <v>8741</v>
      </c>
      <c r="L8" s="3">
        <v>8806</v>
      </c>
      <c r="M8" s="3">
        <v>8875</v>
      </c>
      <c r="N8" s="3">
        <v>8381</v>
      </c>
      <c r="O8" s="3">
        <v>8461</v>
      </c>
      <c r="P8" s="3">
        <v>7938</v>
      </c>
      <c r="Q8" s="3">
        <v>8060</v>
      </c>
      <c r="R8" s="3">
        <v>7712</v>
      </c>
      <c r="S8" s="3">
        <v>6994</v>
      </c>
      <c r="T8" s="3">
        <v>7192</v>
      </c>
      <c r="U8" s="4"/>
      <c r="V8" s="4"/>
      <c r="Z8" s="3"/>
      <c r="AA8" s="3"/>
      <c r="AB8" s="3">
        <v>8056</v>
      </c>
      <c r="AC8" s="3">
        <v>8381</v>
      </c>
      <c r="AD8" s="3">
        <v>7712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2:41" x14ac:dyDescent="0.3">
      <c r="B9" t="s">
        <v>85</v>
      </c>
      <c r="C9" s="4"/>
      <c r="D9" s="4"/>
      <c r="E9" s="4"/>
      <c r="F9" s="4"/>
      <c r="G9" s="4"/>
      <c r="H9" s="4"/>
      <c r="I9" s="4"/>
      <c r="J9" s="3">
        <v>3427</v>
      </c>
      <c r="K9" s="3">
        <v>3750</v>
      </c>
      <c r="L9" s="3">
        <v>3255</v>
      </c>
      <c r="M9" s="3">
        <v>8118</v>
      </c>
      <c r="N9" s="3">
        <v>7931</v>
      </c>
      <c r="O9" s="3">
        <v>7596</v>
      </c>
      <c r="P9" s="3">
        <v>13041</v>
      </c>
      <c r="Q9" s="3">
        <v>15896</v>
      </c>
      <c r="R9" s="3">
        <v>16533</v>
      </c>
      <c r="S9" s="3">
        <v>22987</v>
      </c>
      <c r="T9" s="3">
        <v>23707</v>
      </c>
      <c r="U9" s="4"/>
      <c r="V9" s="4"/>
      <c r="Z9" s="3"/>
      <c r="AA9" s="3"/>
      <c r="AB9" s="3">
        <v>3427</v>
      </c>
      <c r="AC9" s="3">
        <v>7931</v>
      </c>
      <c r="AD9" s="3">
        <v>16533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2:41" x14ac:dyDescent="0.3">
      <c r="B10" t="s">
        <v>78</v>
      </c>
      <c r="C10" s="4"/>
      <c r="D10" s="4"/>
      <c r="E10" s="4"/>
      <c r="F10" s="4"/>
      <c r="G10" s="4"/>
      <c r="H10" s="4"/>
      <c r="I10" s="4"/>
      <c r="J10" s="3">
        <v>15089</v>
      </c>
      <c r="K10" s="3">
        <v>15703</v>
      </c>
      <c r="L10" s="3">
        <v>17989</v>
      </c>
      <c r="M10" s="3">
        <v>19751</v>
      </c>
      <c r="N10" s="3">
        <v>21977</v>
      </c>
      <c r="O10" s="3">
        <v>24140</v>
      </c>
      <c r="P10" s="3">
        <v>27661</v>
      </c>
      <c r="Q10" s="3">
        <v>27950</v>
      </c>
      <c r="R10" s="3">
        <v>30728</v>
      </c>
      <c r="S10" s="3">
        <v>32579</v>
      </c>
      <c r="T10" s="3">
        <v>32266</v>
      </c>
      <c r="U10" s="4"/>
      <c r="V10" s="4"/>
      <c r="Z10" s="3"/>
      <c r="AA10" s="3"/>
      <c r="AB10" s="3">
        <v>15089</v>
      </c>
      <c r="AC10" s="3">
        <v>21977</v>
      </c>
      <c r="AD10" s="3">
        <v>30728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2:41" s="1" customFormat="1" x14ac:dyDescent="0.3">
      <c r="B11" s="1" t="s">
        <v>77</v>
      </c>
      <c r="C11" s="13"/>
      <c r="D11" s="13"/>
      <c r="E11" s="13"/>
      <c r="F11" s="13"/>
      <c r="G11" s="13"/>
      <c r="H11" s="13"/>
      <c r="I11" s="14"/>
      <c r="J11" s="14">
        <v>26572</v>
      </c>
      <c r="K11" s="14">
        <f>SUM(K8:K10)</f>
        <v>28194</v>
      </c>
      <c r="L11" s="14">
        <f>SUM(L8:L10)</f>
        <v>30050</v>
      </c>
      <c r="M11" s="14">
        <f>SUM(M8:M10)</f>
        <v>36744</v>
      </c>
      <c r="N11" s="14">
        <v>38290</v>
      </c>
      <c r="O11" s="14">
        <f t="shared" ref="O11:T11" si="2">SUM(O8:O10)</f>
        <v>40197</v>
      </c>
      <c r="P11" s="14">
        <f t="shared" si="2"/>
        <v>48640</v>
      </c>
      <c r="Q11" s="14">
        <f t="shared" si="2"/>
        <v>51906</v>
      </c>
      <c r="R11" s="14">
        <f t="shared" si="2"/>
        <v>54973</v>
      </c>
      <c r="S11" s="14">
        <f t="shared" si="2"/>
        <v>62560</v>
      </c>
      <c r="T11" s="14">
        <f t="shared" si="2"/>
        <v>63165</v>
      </c>
      <c r="U11" s="13"/>
      <c r="V11" s="13"/>
      <c r="Z11" s="6"/>
      <c r="AA11" s="6"/>
      <c r="AB11" s="6">
        <f>SUM(AB8:AB10)</f>
        <v>26572</v>
      </c>
      <c r="AC11" s="6">
        <f>SUM(AC8:AC10)</f>
        <v>38289</v>
      </c>
      <c r="AD11" s="6">
        <f>SUM(AD8:AD10)</f>
        <v>54973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2:41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2:41" x14ac:dyDescent="0.3">
      <c r="B13" t="s">
        <v>41</v>
      </c>
      <c r="C13">
        <v>406</v>
      </c>
      <c r="D13">
        <v>461</v>
      </c>
      <c r="G13" s="3">
        <v>395</v>
      </c>
      <c r="H13" s="3">
        <v>446</v>
      </c>
      <c r="I13" s="3">
        <v>466</v>
      </c>
      <c r="J13" s="9">
        <f>AB13-I13-H13-G13</f>
        <v>944</v>
      </c>
      <c r="K13" s="9">
        <v>457</v>
      </c>
      <c r="L13" s="9">
        <v>545</v>
      </c>
      <c r="M13" s="9">
        <v>653</v>
      </c>
      <c r="N13" s="9">
        <f>AC13-M13-L13-K13</f>
        <v>922</v>
      </c>
      <c r="O13" s="9">
        <v>489</v>
      </c>
      <c r="P13" s="9">
        <v>805</v>
      </c>
      <c r="Q13" s="9">
        <v>1234</v>
      </c>
      <c r="R13" s="3">
        <f>AD13-Q13-P13-O13</f>
        <v>1241</v>
      </c>
      <c r="S13" s="9">
        <v>945</v>
      </c>
      <c r="T13" s="9">
        <v>930</v>
      </c>
      <c r="U13" s="9">
        <f>Q13*1.2</f>
        <v>1480.8</v>
      </c>
      <c r="V13" s="9">
        <f t="shared" ref="V13" si="3">R13*1.35</f>
        <v>1675.3500000000001</v>
      </c>
      <c r="Z13" s="3">
        <v>1828</v>
      </c>
      <c r="AA13" s="3">
        <v>1875</v>
      </c>
      <c r="AB13" s="3">
        <v>2251</v>
      </c>
      <c r="AC13" s="3">
        <v>2577</v>
      </c>
      <c r="AD13" s="3">
        <v>3769</v>
      </c>
      <c r="AE13" s="3">
        <f>SUM(S13:V13)</f>
        <v>5031.1500000000005</v>
      </c>
      <c r="AF13" s="3">
        <f>AE13*1.22</f>
        <v>6138.0030000000006</v>
      </c>
      <c r="AG13" s="3">
        <f>AF13*1.08</f>
        <v>6629.0432400000009</v>
      </c>
      <c r="AH13" s="3">
        <f>AG13*1.05</f>
        <v>6960.4954020000014</v>
      </c>
      <c r="AI13" s="3">
        <f>AH13*1.03</f>
        <v>7169.3102640600018</v>
      </c>
      <c r="AJ13" s="3">
        <f t="shared" ref="AJ13:AO13" si="4">AI13*1.02</f>
        <v>7312.6964693412019</v>
      </c>
      <c r="AK13" s="3">
        <f t="shared" si="4"/>
        <v>7458.9503987280259</v>
      </c>
      <c r="AL13" s="3">
        <f t="shared" si="4"/>
        <v>7608.1294067025865</v>
      </c>
      <c r="AM13" s="3">
        <f t="shared" si="4"/>
        <v>7760.291994836638</v>
      </c>
      <c r="AN13" s="3">
        <f t="shared" si="4"/>
        <v>7915.4978347333708</v>
      </c>
      <c r="AO13" s="3">
        <f t="shared" si="4"/>
        <v>8073.8077914280384</v>
      </c>
    </row>
    <row r="14" spans="2:41" x14ac:dyDescent="0.3">
      <c r="B14" t="s">
        <v>42</v>
      </c>
      <c r="C14">
        <v>210</v>
      </c>
      <c r="D14">
        <v>231</v>
      </c>
      <c r="G14" s="3">
        <v>216</v>
      </c>
      <c r="H14" s="3">
        <v>257</v>
      </c>
      <c r="I14" s="3">
        <v>228</v>
      </c>
      <c r="J14" s="9">
        <f>AB14-I14-H14-G14</f>
        <v>437</v>
      </c>
      <c r="K14" s="9">
        <v>174</v>
      </c>
      <c r="L14" s="9">
        <v>248</v>
      </c>
      <c r="M14" s="9">
        <v>379</v>
      </c>
      <c r="N14" s="9">
        <f>AC14-M14-L14-K14</f>
        <v>680</v>
      </c>
      <c r="O14" s="9">
        <v>321</v>
      </c>
      <c r="P14" s="9">
        <v>635</v>
      </c>
      <c r="Q14" s="9">
        <v>447</v>
      </c>
      <c r="R14" s="3">
        <f>AD14-Q14-P14-O14</f>
        <v>1132</v>
      </c>
      <c r="S14" s="9">
        <v>530</v>
      </c>
      <c r="T14" s="9">
        <v>661</v>
      </c>
      <c r="U14" s="9">
        <f>Q14*1.8</f>
        <v>804.6</v>
      </c>
      <c r="V14" s="9">
        <f>R14*1.2</f>
        <v>1358.3999999999999</v>
      </c>
      <c r="Z14" s="3">
        <v>1118</v>
      </c>
      <c r="AA14" s="3">
        <v>1139</v>
      </c>
      <c r="AB14" s="3">
        <v>1138</v>
      </c>
      <c r="AC14" s="3">
        <v>1481</v>
      </c>
      <c r="AD14" s="3">
        <v>2535</v>
      </c>
      <c r="AE14" s="3">
        <f>SUM(S14:V14)</f>
        <v>3354</v>
      </c>
      <c r="AF14" s="3">
        <f>AE14*1.2</f>
        <v>4024.7999999999997</v>
      </c>
      <c r="AG14" s="3">
        <f>AF14*1.1</f>
        <v>4427.28</v>
      </c>
      <c r="AH14" s="3">
        <f>AG14*1.05</f>
        <v>4648.6440000000002</v>
      </c>
      <c r="AI14" s="3">
        <f>AH14*1.03</f>
        <v>4788.1033200000002</v>
      </c>
      <c r="AJ14" s="3">
        <f>AI14*1.02</f>
        <v>4883.8653863999998</v>
      </c>
      <c r="AK14" s="3">
        <f t="shared" ref="AK14:AO14" si="5">AJ14*1.02</f>
        <v>4981.5426941280002</v>
      </c>
      <c r="AL14" s="3">
        <f t="shared" si="5"/>
        <v>5081.1735480105599</v>
      </c>
      <c r="AM14" s="3">
        <f t="shared" si="5"/>
        <v>5182.7970189707712</v>
      </c>
      <c r="AN14" s="3">
        <f t="shared" si="5"/>
        <v>5286.4529593501866</v>
      </c>
      <c r="AO14" s="3">
        <f t="shared" si="5"/>
        <v>5392.1820185371907</v>
      </c>
    </row>
    <row r="15" spans="2:41" x14ac:dyDescent="0.3">
      <c r="B15" t="s">
        <v>43</v>
      </c>
      <c r="C15">
        <v>141</v>
      </c>
      <c r="D15">
        <v>162</v>
      </c>
      <c r="G15" s="3">
        <v>132</v>
      </c>
      <c r="H15" s="3">
        <v>190</v>
      </c>
      <c r="I15" s="3">
        <v>186</v>
      </c>
      <c r="J15" s="9">
        <f>AB15-I15-H15-G15</f>
        <v>433</v>
      </c>
      <c r="K15" s="9">
        <v>185</v>
      </c>
      <c r="L15" s="9">
        <v>211</v>
      </c>
      <c r="M15" s="9">
        <v>204</v>
      </c>
      <c r="N15" s="9">
        <f>AC15-M15-L15-K15</f>
        <v>418</v>
      </c>
      <c r="O15" s="9">
        <v>227</v>
      </c>
      <c r="P15" s="9">
        <v>272</v>
      </c>
      <c r="Q15" s="9">
        <v>284</v>
      </c>
      <c r="R15" s="3">
        <f>AD15-Q15-P15-O15</f>
        <v>533</v>
      </c>
      <c r="S15" s="9">
        <v>335</v>
      </c>
      <c r="T15" s="9">
        <v>403</v>
      </c>
      <c r="U15" s="9">
        <f>Q15*1.4</f>
        <v>397.59999999999997</v>
      </c>
      <c r="V15" s="9">
        <f>R15*1.33</f>
        <v>708.89</v>
      </c>
      <c r="Z15" s="3">
        <v>776</v>
      </c>
      <c r="AA15" s="3">
        <v>745</v>
      </c>
      <c r="AB15" s="3">
        <v>941</v>
      </c>
      <c r="AC15" s="3">
        <v>1018</v>
      </c>
      <c r="AD15" s="3">
        <v>1316</v>
      </c>
      <c r="AE15" s="3">
        <f>SUM(S15:V15)</f>
        <v>1844.4899999999998</v>
      </c>
      <c r="AF15" s="3">
        <f>AE15*1.22</f>
        <v>2250.2777999999998</v>
      </c>
      <c r="AG15" s="3">
        <f>AF15*1.15</f>
        <v>2587.8194699999995</v>
      </c>
      <c r="AH15" s="3">
        <f>AG15*1.08</f>
        <v>2794.8450275999994</v>
      </c>
      <c r="AI15" s="3">
        <f>AH15*1.05</f>
        <v>2934.5872789799996</v>
      </c>
      <c r="AJ15" s="3">
        <f>AI15*1.04</f>
        <v>3051.9707701391999</v>
      </c>
      <c r="AK15" s="3">
        <f>AJ15*1.03</f>
        <v>3143.5298932433761</v>
      </c>
      <c r="AL15" s="3">
        <f t="shared" ref="AL15:AO15" si="6">AK15*1.03</f>
        <v>3237.8357900406777</v>
      </c>
      <c r="AM15" s="3">
        <f t="shared" si="6"/>
        <v>3334.970863741898</v>
      </c>
      <c r="AN15" s="3">
        <f t="shared" si="6"/>
        <v>3435.0199896541549</v>
      </c>
      <c r="AO15" s="3">
        <f t="shared" si="6"/>
        <v>3538.0705893437798</v>
      </c>
    </row>
    <row r="16" spans="2:41" x14ac:dyDescent="0.3">
      <c r="B16" t="s">
        <v>44</v>
      </c>
      <c r="C16">
        <f>351+158</f>
        <v>509</v>
      </c>
      <c r="D16">
        <f>307+159</f>
        <v>466</v>
      </c>
      <c r="G16" s="3">
        <f>326+190</f>
        <v>516</v>
      </c>
      <c r="H16" s="3">
        <f>325+183</f>
        <v>508</v>
      </c>
      <c r="I16" s="3">
        <f>339+187</f>
        <v>526</v>
      </c>
      <c r="J16" s="9">
        <f>AB16-I16-H16-G16</f>
        <v>502</v>
      </c>
      <c r="K16" s="9">
        <v>541</v>
      </c>
      <c r="L16" s="9">
        <v>484</v>
      </c>
      <c r="M16" s="9">
        <f>327+197</f>
        <v>524</v>
      </c>
      <c r="N16" s="9">
        <f>AC16-M16-L16-K16</f>
        <v>532</v>
      </c>
      <c r="O16" s="9">
        <v>540</v>
      </c>
      <c r="P16" s="9">
        <v>513</v>
      </c>
      <c r="Q16" s="9">
        <v>484</v>
      </c>
      <c r="R16" s="3">
        <f>AD16-Q16-P16-O16</f>
        <v>495</v>
      </c>
      <c r="S16" s="9">
        <v>504</v>
      </c>
      <c r="T16" s="9">
        <v>480</v>
      </c>
      <c r="U16" s="9">
        <f>Q16*0.95</f>
        <v>459.79999999999995</v>
      </c>
      <c r="V16" s="9">
        <f>R16*0.98</f>
        <v>485.09999999999997</v>
      </c>
      <c r="Z16" s="3">
        <f>1147+533</f>
        <v>1680</v>
      </c>
      <c r="AA16" s="3">
        <f>1229+647</f>
        <v>1876</v>
      </c>
      <c r="AB16" s="3">
        <f>1313+739</f>
        <v>2052</v>
      </c>
      <c r="AC16" s="3">
        <f>1346+735</f>
        <v>2081</v>
      </c>
      <c r="AD16" s="3">
        <v>2032</v>
      </c>
      <c r="AE16" s="3">
        <f>SUM(S16:V16)</f>
        <v>1928.8999999999999</v>
      </c>
      <c r="AF16" s="3">
        <f t="shared" ref="AF16:AO16" si="7">AE16*1.01</f>
        <v>1948.1889999999999</v>
      </c>
      <c r="AG16" s="3">
        <f t="shared" si="7"/>
        <v>1967.6708899999999</v>
      </c>
      <c r="AH16" s="3">
        <f t="shared" si="7"/>
        <v>1987.3475988999999</v>
      </c>
      <c r="AI16" s="3">
        <f t="shared" si="7"/>
        <v>2007.221074889</v>
      </c>
      <c r="AJ16" s="3">
        <f t="shared" si="7"/>
        <v>2027.29328563789</v>
      </c>
      <c r="AK16" s="3">
        <f t="shared" si="7"/>
        <v>2047.5662184942689</v>
      </c>
      <c r="AL16" s="3">
        <f t="shared" si="7"/>
        <v>2068.0418806792118</v>
      </c>
      <c r="AM16" s="3">
        <f t="shared" si="7"/>
        <v>2088.722299486004</v>
      </c>
      <c r="AN16" s="3">
        <f t="shared" si="7"/>
        <v>2109.6095224808641</v>
      </c>
      <c r="AO16" s="3">
        <f t="shared" si="7"/>
        <v>2130.7056177056729</v>
      </c>
    </row>
    <row r="17" spans="2:41" x14ac:dyDescent="0.3">
      <c r="B17" t="s">
        <v>45</v>
      </c>
      <c r="C17">
        <v>2</v>
      </c>
      <c r="D17">
        <v>-4</v>
      </c>
      <c r="G17" s="3">
        <v>7</v>
      </c>
      <c r="H17" s="3">
        <v>7</v>
      </c>
      <c r="I17" s="3">
        <v>9</v>
      </c>
      <c r="J17" s="9">
        <f>AB17-I17-H17-G17</f>
        <v>5</v>
      </c>
      <c r="K17" s="9">
        <v>6</v>
      </c>
      <c r="L17" s="9">
        <v>9</v>
      </c>
      <c r="M17" s="9">
        <v>-2</v>
      </c>
      <c r="N17" s="9">
        <f>AC17-M17-L17-K17</f>
        <v>5</v>
      </c>
      <c r="O17" s="9">
        <v>5</v>
      </c>
      <c r="P17" s="9">
        <v>10</v>
      </c>
      <c r="Q17" s="9">
        <v>4</v>
      </c>
      <c r="R17" s="3">
        <f>AD17-Q17-P17-O17</f>
        <v>80</v>
      </c>
      <c r="S17" s="9">
        <v>-9</v>
      </c>
      <c r="T17" s="9">
        <v>-43</v>
      </c>
      <c r="U17" s="9">
        <f t="shared" ref="U17" si="8">Q17*1.35</f>
        <v>5.4</v>
      </c>
      <c r="V17" s="9">
        <f>R17*1.5</f>
        <v>120</v>
      </c>
      <c r="Z17" s="3">
        <v>3</v>
      </c>
      <c r="AA17" s="3">
        <v>24</v>
      </c>
      <c r="AB17" s="3">
        <v>28</v>
      </c>
      <c r="AC17" s="3">
        <v>18</v>
      </c>
      <c r="AD17" s="3">
        <v>99</v>
      </c>
      <c r="AE17" s="3">
        <f>SUM(S17:V17)</f>
        <v>73.400000000000006</v>
      </c>
      <c r="AF17" s="3">
        <f>AE17*1.4</f>
        <v>102.76</v>
      </c>
      <c r="AG17" s="3">
        <f t="shared" ref="AG17" si="9">AF17*1.3</f>
        <v>133.58800000000002</v>
      </c>
      <c r="AH17" s="3">
        <f>AG17*1.2</f>
        <v>160.30560000000003</v>
      </c>
      <c r="AI17" s="3">
        <f>AH17*1.1</f>
        <v>176.33616000000004</v>
      </c>
      <c r="AJ17" s="3">
        <f>AI17*1.05</f>
        <v>185.15296800000004</v>
      </c>
      <c r="AK17" s="3">
        <f t="shared" ref="AK17:AO17" si="10">AJ17*1.05</f>
        <v>194.41061640000007</v>
      </c>
      <c r="AL17" s="3">
        <f t="shared" si="10"/>
        <v>204.13114722000009</v>
      </c>
      <c r="AM17" s="3">
        <f t="shared" si="10"/>
        <v>214.33770458100011</v>
      </c>
      <c r="AN17" s="3">
        <f t="shared" si="10"/>
        <v>225.05458981005012</v>
      </c>
      <c r="AO17" s="3">
        <f t="shared" si="10"/>
        <v>236.30731930055262</v>
      </c>
    </row>
    <row r="18" spans="2:41" s="1" customFormat="1" x14ac:dyDescent="0.3">
      <c r="B18" s="1" t="s">
        <v>8</v>
      </c>
      <c r="C18" s="6">
        <v>1268</v>
      </c>
      <c r="D18" s="6">
        <f>SUM(D13:D17)</f>
        <v>1316</v>
      </c>
      <c r="G18" s="6">
        <v>1266</v>
      </c>
      <c r="H18" s="6">
        <f>SUM(H13:H17)</f>
        <v>1408</v>
      </c>
      <c r="I18" s="6">
        <v>1415</v>
      </c>
      <c r="J18" s="6">
        <f>SUM(J13:J17)</f>
        <v>2321</v>
      </c>
      <c r="K18" s="6">
        <f>SUM(K13:K17)</f>
        <v>1363</v>
      </c>
      <c r="L18" s="6">
        <f>SUM(L13:L17)</f>
        <v>1497</v>
      </c>
      <c r="M18" s="6">
        <v>1758</v>
      </c>
      <c r="N18" s="6">
        <f>SUM(N13:N17)</f>
        <v>2557</v>
      </c>
      <c r="O18" s="6">
        <f>SUM(O13:O17)</f>
        <v>1582</v>
      </c>
      <c r="P18" s="6">
        <f>SUM(P13:P17)</f>
        <v>2235</v>
      </c>
      <c r="Q18" s="6">
        <f>SUM(Q13:Q17)</f>
        <v>2453</v>
      </c>
      <c r="R18" s="6">
        <f t="shared" ref="R18:V18" si="11">SUM(R13:R17)</f>
        <v>3481</v>
      </c>
      <c r="S18" s="6">
        <f t="shared" si="11"/>
        <v>2305</v>
      </c>
      <c r="T18" s="6">
        <f t="shared" si="11"/>
        <v>2431</v>
      </c>
      <c r="U18" s="6">
        <f t="shared" si="11"/>
        <v>3148.2000000000003</v>
      </c>
      <c r="V18" s="6">
        <f t="shared" si="11"/>
        <v>4347.74</v>
      </c>
      <c r="Z18" s="6">
        <f t="shared" ref="Z18:AE18" si="12">SUM(Z13:Z17)</f>
        <v>5405</v>
      </c>
      <c r="AA18" s="6">
        <f t="shared" si="12"/>
        <v>5659</v>
      </c>
      <c r="AB18" s="6">
        <f t="shared" si="12"/>
        <v>6410</v>
      </c>
      <c r="AC18" s="6">
        <f t="shared" si="12"/>
        <v>7175</v>
      </c>
      <c r="AD18" s="6">
        <v>9751</v>
      </c>
      <c r="AE18" s="6">
        <f t="shared" si="12"/>
        <v>12231.94</v>
      </c>
      <c r="AF18" s="6">
        <f t="shared" ref="AF18:AO18" si="13">SUM(AF13:AF17)</f>
        <v>14464.0298</v>
      </c>
      <c r="AG18" s="6">
        <f t="shared" si="13"/>
        <v>15745.401599999999</v>
      </c>
      <c r="AH18" s="6">
        <f t="shared" si="13"/>
        <v>16551.637628500001</v>
      </c>
      <c r="AI18" s="6">
        <f t="shared" si="13"/>
        <v>17075.558097929003</v>
      </c>
      <c r="AJ18" s="6">
        <f t="shared" si="13"/>
        <v>17460.97887951829</v>
      </c>
      <c r="AK18" s="6">
        <f t="shared" si="13"/>
        <v>17825.999820993671</v>
      </c>
      <c r="AL18" s="6">
        <f t="shared" si="13"/>
        <v>18199.311772653036</v>
      </c>
      <c r="AM18" s="6">
        <f t="shared" si="13"/>
        <v>18581.119881616312</v>
      </c>
      <c r="AN18" s="6">
        <f t="shared" si="13"/>
        <v>18971.634896028627</v>
      </c>
      <c r="AO18" s="6">
        <f t="shared" si="13"/>
        <v>19371.073336315232</v>
      </c>
    </row>
    <row r="19" spans="2:41" x14ac:dyDescent="0.3">
      <c r="B19" t="s">
        <v>9</v>
      </c>
      <c r="C19" s="3">
        <v>-85</v>
      </c>
      <c r="D19" s="3">
        <v>-29</v>
      </c>
      <c r="G19" s="3">
        <v>-142</v>
      </c>
      <c r="H19" s="3">
        <v>-86</v>
      </c>
      <c r="I19" s="3">
        <v>-138</v>
      </c>
      <c r="J19" s="9">
        <f>AB19-I19-H19-G19</f>
        <v>213</v>
      </c>
      <c r="K19" s="3">
        <v>-332</v>
      </c>
      <c r="L19" s="3">
        <v>-213</v>
      </c>
      <c r="M19" s="3">
        <v>-173</v>
      </c>
      <c r="N19" s="9">
        <f>AC19-M19-L19-K19</f>
        <v>22</v>
      </c>
      <c r="O19" s="3">
        <v>-432</v>
      </c>
      <c r="P19" s="3">
        <v>-1</v>
      </c>
      <c r="Q19" s="3">
        <v>130</v>
      </c>
      <c r="R19" s="3">
        <f>AD19-Q19-P19-O19</f>
        <v>136</v>
      </c>
      <c r="S19" s="3">
        <v>-247</v>
      </c>
      <c r="T19" s="3">
        <v>-353</v>
      </c>
      <c r="U19" s="3">
        <v>0</v>
      </c>
      <c r="V19" s="3">
        <v>0</v>
      </c>
      <c r="Z19" s="3">
        <v>-142</v>
      </c>
      <c r="AA19" s="3">
        <v>-117</v>
      </c>
      <c r="AB19" s="3">
        <v>-153</v>
      </c>
      <c r="AC19" s="3">
        <v>-696</v>
      </c>
      <c r="AD19" s="3">
        <v>-167</v>
      </c>
      <c r="AE19" s="3"/>
      <c r="AF19" s="3">
        <f t="shared" ref="AF19:AO19" si="14">AE19*0.97</f>
        <v>0</v>
      </c>
      <c r="AG19" s="3">
        <f t="shared" si="14"/>
        <v>0</v>
      </c>
      <c r="AH19" s="3">
        <f t="shared" si="14"/>
        <v>0</v>
      </c>
      <c r="AI19" s="3">
        <f t="shared" si="14"/>
        <v>0</v>
      </c>
      <c r="AJ19" s="3">
        <f t="shared" si="14"/>
        <v>0</v>
      </c>
      <c r="AK19" s="3">
        <f t="shared" si="14"/>
        <v>0</v>
      </c>
      <c r="AL19" s="3">
        <f t="shared" si="14"/>
        <v>0</v>
      </c>
      <c r="AM19" s="3">
        <f t="shared" si="14"/>
        <v>0</v>
      </c>
      <c r="AN19" s="3">
        <f t="shared" si="14"/>
        <v>0</v>
      </c>
      <c r="AO19" s="3">
        <f t="shared" si="14"/>
        <v>0</v>
      </c>
    </row>
    <row r="20" spans="2:41" x14ac:dyDescent="0.3">
      <c r="B20" t="s">
        <v>10</v>
      </c>
      <c r="C20" s="3">
        <v>665</v>
      </c>
      <c r="D20" s="3">
        <v>635</v>
      </c>
      <c r="G20" s="3">
        <v>684</v>
      </c>
      <c r="H20" s="3">
        <v>714</v>
      </c>
      <c r="I20" s="3">
        <v>797</v>
      </c>
      <c r="J20" s="9">
        <f>AB20-I20-H20-G20</f>
        <v>988</v>
      </c>
      <c r="K20" s="3">
        <v>893</v>
      </c>
      <c r="L20" s="3">
        <v>861</v>
      </c>
      <c r="M20" s="3">
        <v>1007</v>
      </c>
      <c r="N20" s="9">
        <f>AC20-M20-L20-K20</f>
        <v>1174</v>
      </c>
      <c r="O20" s="3">
        <v>1039</v>
      </c>
      <c r="P20" s="3">
        <v>1087</v>
      </c>
      <c r="Q20" s="3">
        <v>1170</v>
      </c>
      <c r="R20" s="3">
        <f>AD20-Q20-P20-O20</f>
        <v>1563</v>
      </c>
      <c r="S20" s="3">
        <v>1314</v>
      </c>
      <c r="T20" s="3">
        <v>1485</v>
      </c>
      <c r="U20" s="3"/>
      <c r="V20" s="3"/>
      <c r="Z20" s="3">
        <v>2792</v>
      </c>
      <c r="AA20" s="3">
        <v>2745</v>
      </c>
      <c r="AB20" s="3">
        <v>3183</v>
      </c>
      <c r="AC20" s="3">
        <v>3935</v>
      </c>
      <c r="AD20" s="3">
        <v>4859</v>
      </c>
      <c r="AE20" s="3"/>
      <c r="AF20" s="3">
        <f>AF18*0.5</f>
        <v>7232.0149000000001</v>
      </c>
      <c r="AG20" s="3">
        <f t="shared" ref="AG20:AO20" si="15">AG18*0.5</f>
        <v>7872.7007999999996</v>
      </c>
      <c r="AH20" s="3">
        <f t="shared" si="15"/>
        <v>8275.8188142500003</v>
      </c>
      <c r="AI20" s="3">
        <f t="shared" si="15"/>
        <v>8537.7790489645013</v>
      </c>
      <c r="AJ20" s="3">
        <f t="shared" si="15"/>
        <v>8730.4894397591452</v>
      </c>
      <c r="AK20" s="3">
        <f t="shared" si="15"/>
        <v>8912.9999104968356</v>
      </c>
      <c r="AL20" s="3">
        <f t="shared" si="15"/>
        <v>9099.6558863265182</v>
      </c>
      <c r="AM20" s="3">
        <f t="shared" si="15"/>
        <v>9290.5599408081562</v>
      </c>
      <c r="AN20" s="3">
        <f t="shared" si="15"/>
        <v>9485.8174480143134</v>
      </c>
      <c r="AO20" s="3">
        <f t="shared" si="15"/>
        <v>9685.5366681576161</v>
      </c>
    </row>
    <row r="21" spans="2:41" x14ac:dyDescent="0.3">
      <c r="B21" t="s">
        <v>11</v>
      </c>
      <c r="C21" s="3">
        <v>414</v>
      </c>
      <c r="D21" s="3">
        <v>423</v>
      </c>
      <c r="G21" s="3">
        <v>457</v>
      </c>
      <c r="H21" s="3">
        <v>464</v>
      </c>
      <c r="I21" s="3">
        <v>440</v>
      </c>
      <c r="J21" s="9">
        <f>AB21-I21-H21-G21</f>
        <v>475</v>
      </c>
      <c r="K21" s="3">
        <v>500</v>
      </c>
      <c r="L21" s="3">
        <v>507</v>
      </c>
      <c r="M21" s="3">
        <v>495</v>
      </c>
      <c r="N21" s="9">
        <f>AC21-M21-L21-K21</f>
        <v>545</v>
      </c>
      <c r="O21" s="3">
        <v>581</v>
      </c>
      <c r="P21" s="3">
        <v>578</v>
      </c>
      <c r="Q21" s="3">
        <v>572</v>
      </c>
      <c r="R21" s="3">
        <f>AD21-Q21-P21-O21</f>
        <v>642</v>
      </c>
      <c r="S21" s="3">
        <v>696</v>
      </c>
      <c r="T21" s="3">
        <v>704</v>
      </c>
      <c r="U21" s="3"/>
      <c r="V21" s="3"/>
      <c r="Z21" s="3">
        <v>1537</v>
      </c>
      <c r="AA21" s="3">
        <v>1643</v>
      </c>
      <c r="AB21" s="3">
        <v>1836</v>
      </c>
      <c r="AC21" s="3">
        <v>2047</v>
      </c>
      <c r="AD21" s="3">
        <v>2373</v>
      </c>
      <c r="AF21" s="3">
        <f>AF18*0.25</f>
        <v>3616.0074500000001</v>
      </c>
      <c r="AG21" s="3">
        <f t="shared" ref="AG21:AO21" si="16">AG18*0.25</f>
        <v>3936.3503999999998</v>
      </c>
      <c r="AH21" s="3">
        <f t="shared" si="16"/>
        <v>4137.9094071250001</v>
      </c>
      <c r="AI21" s="3">
        <f t="shared" si="16"/>
        <v>4268.8895244822506</v>
      </c>
      <c r="AJ21" s="3">
        <f t="shared" si="16"/>
        <v>4365.2447198795726</v>
      </c>
      <c r="AK21" s="3">
        <f t="shared" si="16"/>
        <v>4456.4999552484178</v>
      </c>
      <c r="AL21" s="3">
        <f t="shared" si="16"/>
        <v>4549.8279431632591</v>
      </c>
      <c r="AM21" s="3">
        <f t="shared" si="16"/>
        <v>4645.2799704040781</v>
      </c>
      <c r="AN21" s="3">
        <f t="shared" si="16"/>
        <v>4742.9087240071567</v>
      </c>
      <c r="AO21" s="3">
        <f t="shared" si="16"/>
        <v>4842.768334078808</v>
      </c>
    </row>
    <row r="22" spans="2:41" s="1" customFormat="1" x14ac:dyDescent="0.3">
      <c r="B22" s="1" t="s">
        <v>25</v>
      </c>
      <c r="C22" s="6">
        <f>SUM(C19:C21)</f>
        <v>994</v>
      </c>
      <c r="D22" s="6">
        <f>SUM(D19:D21)</f>
        <v>1029</v>
      </c>
      <c r="G22" s="6">
        <f t="shared" ref="G22:P22" si="17">SUM(G19:G21)</f>
        <v>999</v>
      </c>
      <c r="H22" s="6">
        <f t="shared" si="17"/>
        <v>1092</v>
      </c>
      <c r="I22" s="6">
        <f t="shared" si="17"/>
        <v>1099</v>
      </c>
      <c r="J22" s="6">
        <f t="shared" si="17"/>
        <v>1676</v>
      </c>
      <c r="K22" s="6">
        <f t="shared" si="17"/>
        <v>1061</v>
      </c>
      <c r="L22" s="6">
        <f t="shared" si="17"/>
        <v>1155</v>
      </c>
      <c r="M22" s="6">
        <f t="shared" si="17"/>
        <v>1329</v>
      </c>
      <c r="N22" s="6">
        <f t="shared" si="17"/>
        <v>1741</v>
      </c>
      <c r="O22" s="6">
        <f t="shared" si="17"/>
        <v>1188</v>
      </c>
      <c r="P22" s="6">
        <f t="shared" si="17"/>
        <v>1664</v>
      </c>
      <c r="Q22" s="6">
        <f t="shared" ref="Q22:R22" si="18">SUM(Q19:Q21)</f>
        <v>1872</v>
      </c>
      <c r="R22" s="6">
        <f t="shared" si="18"/>
        <v>2341</v>
      </c>
      <c r="S22" s="6">
        <f t="shared" ref="S22:T22" si="19">SUM(S19:S21)</f>
        <v>1763</v>
      </c>
      <c r="T22" s="6">
        <f t="shared" si="19"/>
        <v>1836</v>
      </c>
      <c r="U22" s="6">
        <f t="shared" ref="U22:V22" si="20">U18-U23</f>
        <v>2329.6680000000001</v>
      </c>
      <c r="V22" s="6">
        <f t="shared" si="20"/>
        <v>2869.5083999999997</v>
      </c>
      <c r="Z22" s="6">
        <f>SUM(Z19:Z21)</f>
        <v>4187</v>
      </c>
      <c r="AA22" s="6">
        <f>SUM(AA19:AA21)</f>
        <v>4271</v>
      </c>
      <c r="AB22" s="6">
        <f>SUM(AB19:AB21)</f>
        <v>4866</v>
      </c>
      <c r="AC22" s="6">
        <f>SUM(AC19:AC21)</f>
        <v>5286</v>
      </c>
      <c r="AD22" s="6">
        <f>SUM(AD19:AD21)</f>
        <v>7065</v>
      </c>
      <c r="AE22" s="3">
        <f>SUM(S22:V22)</f>
        <v>8798.1764000000003</v>
      </c>
      <c r="AF22" s="6">
        <f t="shared" ref="AF22:AO22" si="21">SUM(AF19:AF21)</f>
        <v>10848.022349999999</v>
      </c>
      <c r="AG22" s="6">
        <f t="shared" si="21"/>
        <v>11809.0512</v>
      </c>
      <c r="AH22" s="6">
        <f t="shared" si="21"/>
        <v>12413.728221375</v>
      </c>
      <c r="AI22" s="6">
        <f t="shared" si="21"/>
        <v>12806.668573446752</v>
      </c>
      <c r="AJ22" s="6">
        <f t="shared" si="21"/>
        <v>13095.734159638718</v>
      </c>
      <c r="AK22" s="6">
        <f t="shared" si="21"/>
        <v>13369.499865745252</v>
      </c>
      <c r="AL22" s="6">
        <f t="shared" si="21"/>
        <v>13649.483829489778</v>
      </c>
      <c r="AM22" s="6">
        <f t="shared" si="21"/>
        <v>13935.839911212235</v>
      </c>
      <c r="AN22" s="6">
        <f t="shared" si="21"/>
        <v>14228.72617202147</v>
      </c>
      <c r="AO22" s="6">
        <f t="shared" si="21"/>
        <v>14528.305002236424</v>
      </c>
    </row>
    <row r="23" spans="2:41" s="1" customFormat="1" x14ac:dyDescent="0.3">
      <c r="B23" s="1" t="s">
        <v>23</v>
      </c>
      <c r="C23" s="6">
        <f>C18-C22</f>
        <v>274</v>
      </c>
      <c r="D23" s="6">
        <f>D18-D22</f>
        <v>287</v>
      </c>
      <c r="G23" s="6">
        <f t="shared" ref="G23:P23" si="22">G18-G22</f>
        <v>267</v>
      </c>
      <c r="H23" s="6">
        <f t="shared" si="22"/>
        <v>316</v>
      </c>
      <c r="I23" s="6">
        <f t="shared" si="22"/>
        <v>316</v>
      </c>
      <c r="J23" s="6">
        <f t="shared" si="22"/>
        <v>645</v>
      </c>
      <c r="K23" s="6">
        <f t="shared" si="22"/>
        <v>302</v>
      </c>
      <c r="L23" s="6">
        <f t="shared" si="22"/>
        <v>342</v>
      </c>
      <c r="M23" s="6">
        <f t="shared" si="22"/>
        <v>429</v>
      </c>
      <c r="N23" s="6">
        <f t="shared" si="22"/>
        <v>816</v>
      </c>
      <c r="O23" s="6">
        <f t="shared" si="22"/>
        <v>394</v>
      </c>
      <c r="P23" s="6">
        <f t="shared" si="22"/>
        <v>571</v>
      </c>
      <c r="Q23" s="6">
        <f t="shared" ref="Q23:R23" si="23">Q18-Q22</f>
        <v>581</v>
      </c>
      <c r="R23" s="6">
        <f t="shared" si="23"/>
        <v>1140</v>
      </c>
      <c r="S23" s="6">
        <f t="shared" ref="S23:T23" si="24">S18-S22</f>
        <v>542</v>
      </c>
      <c r="T23" s="6">
        <f t="shared" si="24"/>
        <v>595</v>
      </c>
      <c r="U23" s="6">
        <f>U18*0.26</f>
        <v>818.53200000000015</v>
      </c>
      <c r="V23" s="6">
        <f>V18*0.34</f>
        <v>1478.2316000000001</v>
      </c>
      <c r="Z23" s="6">
        <f>Z18-Z22</f>
        <v>1218</v>
      </c>
      <c r="AA23" s="6">
        <f>AA18-AA22</f>
        <v>1388</v>
      </c>
      <c r="AB23" s="6">
        <f>AB18-AB22</f>
        <v>1544</v>
      </c>
      <c r="AC23" s="6">
        <f>AC18-AC22</f>
        <v>1889</v>
      </c>
      <c r="AD23" s="6">
        <f>AD18-AD22</f>
        <v>2686</v>
      </c>
      <c r="AE23" s="6">
        <f t="shared" ref="AE23:AO23" si="25">AE18-AE22</f>
        <v>3433.7636000000002</v>
      </c>
      <c r="AF23" s="6">
        <f t="shared" si="25"/>
        <v>3616.007450000001</v>
      </c>
      <c r="AG23" s="6">
        <f t="shared" si="25"/>
        <v>3936.3503999999994</v>
      </c>
      <c r="AH23" s="6">
        <f t="shared" si="25"/>
        <v>4137.9094071250001</v>
      </c>
      <c r="AI23" s="6">
        <f t="shared" si="25"/>
        <v>4268.8895244822506</v>
      </c>
      <c r="AJ23" s="6">
        <f t="shared" si="25"/>
        <v>4365.2447198795726</v>
      </c>
      <c r="AK23" s="6">
        <f t="shared" si="25"/>
        <v>4456.4999552484187</v>
      </c>
      <c r="AL23" s="6">
        <f t="shared" si="25"/>
        <v>4549.8279431632582</v>
      </c>
      <c r="AM23" s="6">
        <f t="shared" si="25"/>
        <v>4645.2799704040772</v>
      </c>
      <c r="AN23" s="6">
        <f t="shared" si="25"/>
        <v>4742.9087240071567</v>
      </c>
      <c r="AO23" s="6">
        <f t="shared" si="25"/>
        <v>4842.768334078808</v>
      </c>
    </row>
    <row r="24" spans="2:41" x14ac:dyDescent="0.3">
      <c r="B24" t="s">
        <v>12</v>
      </c>
      <c r="C24" s="3">
        <v>58</v>
      </c>
      <c r="D24" s="3">
        <v>58</v>
      </c>
      <c r="G24" s="3">
        <v>60</v>
      </c>
      <c r="H24" s="3">
        <v>62</v>
      </c>
      <c r="I24" s="3">
        <v>63</v>
      </c>
      <c r="J24" s="9">
        <f>AB24-I24-H24-G24</f>
        <v>64</v>
      </c>
      <c r="K24" s="3">
        <v>63</v>
      </c>
      <c r="L24" s="3">
        <v>63</v>
      </c>
      <c r="M24" s="3">
        <v>79</v>
      </c>
      <c r="N24" s="9">
        <f>AC24-M24-L24-K24</f>
        <v>103</v>
      </c>
      <c r="O24" s="3">
        <v>91</v>
      </c>
      <c r="P24" s="3">
        <v>91</v>
      </c>
      <c r="Q24" s="3">
        <v>95</v>
      </c>
      <c r="R24" s="3">
        <f>AD24-Q24-P24-O24</f>
        <v>126</v>
      </c>
      <c r="S24" s="3">
        <v>112</v>
      </c>
      <c r="T24" s="3">
        <v>127</v>
      </c>
      <c r="U24" s="3">
        <v>95</v>
      </c>
      <c r="V24" s="3">
        <v>130</v>
      </c>
      <c r="Z24" s="3">
        <v>282</v>
      </c>
      <c r="AA24" s="3">
        <v>251</v>
      </c>
      <c r="AB24" s="3">
        <v>249</v>
      </c>
      <c r="AC24" s="3">
        <v>308</v>
      </c>
      <c r="AD24" s="3">
        <v>403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t="s">
        <v>13</v>
      </c>
      <c r="C25" s="3">
        <v>-21</v>
      </c>
      <c r="D25" s="3">
        <v>-30</v>
      </c>
      <c r="G25" s="3">
        <v>-29</v>
      </c>
      <c r="H25" s="3">
        <v>-39</v>
      </c>
      <c r="I25" s="3">
        <v>-53</v>
      </c>
      <c r="J25" s="9">
        <f>AB25-I25-H25-G25</f>
        <v>-100</v>
      </c>
      <c r="K25" s="3">
        <v>-32</v>
      </c>
      <c r="L25" s="3">
        <v>-22</v>
      </c>
      <c r="M25" s="3">
        <v>-41</v>
      </c>
      <c r="N25" s="9">
        <f>AC25-M25-L25-K25</f>
        <v>-58</v>
      </c>
      <c r="O25" s="3">
        <v>-42</v>
      </c>
      <c r="P25" s="3">
        <v>-39</v>
      </c>
      <c r="Q25" s="3">
        <v>-51</v>
      </c>
      <c r="R25" s="3">
        <f>AD25-Q25-P25-O25</f>
        <v>-96</v>
      </c>
      <c r="S25" s="3">
        <v>-36</v>
      </c>
      <c r="T25" s="3">
        <v>-51</v>
      </c>
      <c r="U25" s="3">
        <f t="shared" ref="U25:V25" si="26">Q25*1.3</f>
        <v>-66.3</v>
      </c>
      <c r="V25" s="3">
        <f t="shared" si="26"/>
        <v>-124.80000000000001</v>
      </c>
      <c r="Z25" s="3">
        <v>-114</v>
      </c>
      <c r="AA25" s="3">
        <v>-134</v>
      </c>
      <c r="AB25" s="3">
        <v>-221</v>
      </c>
      <c r="AC25" s="3">
        <v>-153</v>
      </c>
      <c r="AD25" s="3">
        <v>-228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t="s">
        <v>14</v>
      </c>
      <c r="C26" s="3">
        <v>149</v>
      </c>
      <c r="D26" s="3">
        <v>154</v>
      </c>
      <c r="G26" s="3">
        <v>153</v>
      </c>
      <c r="H26" s="3">
        <v>166</v>
      </c>
      <c r="I26" s="3">
        <v>194</v>
      </c>
      <c r="J26" s="9">
        <f>AB26-I26-H26-G26</f>
        <v>255</v>
      </c>
      <c r="K26" s="3">
        <v>182</v>
      </c>
      <c r="L26" s="3">
        <v>183</v>
      </c>
      <c r="M26" s="3">
        <v>219</v>
      </c>
      <c r="N26" s="9">
        <f>AC26-M26-L26-K26</f>
        <v>305</v>
      </c>
      <c r="O26" s="3">
        <v>228</v>
      </c>
      <c r="P26" s="3">
        <v>277</v>
      </c>
      <c r="Q26" s="3">
        <v>247</v>
      </c>
      <c r="R26" s="3">
        <f>AD26-Q26-P26-O26</f>
        <v>368</v>
      </c>
      <c r="S26" s="3">
        <v>287</v>
      </c>
      <c r="T26" s="3">
        <v>287</v>
      </c>
      <c r="U26" s="3">
        <f>Q26*1.15</f>
        <v>284.04999999999995</v>
      </c>
      <c r="V26" s="3">
        <f>R26*1.1</f>
        <v>404.8</v>
      </c>
      <c r="Z26" s="3">
        <v>642</v>
      </c>
      <c r="AA26" s="3">
        <v>656</v>
      </c>
      <c r="AB26" s="3">
        <v>768</v>
      </c>
      <c r="AC26" s="3">
        <v>889</v>
      </c>
      <c r="AD26" s="3">
        <v>1120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2:41" x14ac:dyDescent="0.3">
      <c r="B27" t="s">
        <v>26</v>
      </c>
      <c r="C27" s="3">
        <f>SUM(C24:C26)</f>
        <v>186</v>
      </c>
      <c r="D27" s="3">
        <f>SUM(D24:D26)</f>
        <v>182</v>
      </c>
      <c r="G27" s="3">
        <f t="shared" ref="G27:P27" si="27">SUM(G24:G26)</f>
        <v>184</v>
      </c>
      <c r="H27" s="3">
        <f t="shared" si="27"/>
        <v>189</v>
      </c>
      <c r="I27" s="3">
        <f t="shared" si="27"/>
        <v>204</v>
      </c>
      <c r="J27" s="3">
        <f t="shared" si="27"/>
        <v>219</v>
      </c>
      <c r="K27" s="3">
        <f t="shared" si="27"/>
        <v>213</v>
      </c>
      <c r="L27" s="3">
        <f t="shared" si="27"/>
        <v>224</v>
      </c>
      <c r="M27" s="3">
        <f t="shared" si="27"/>
        <v>257</v>
      </c>
      <c r="N27" s="3">
        <f t="shared" si="27"/>
        <v>350</v>
      </c>
      <c r="O27" s="3">
        <f t="shared" si="27"/>
        <v>277</v>
      </c>
      <c r="P27" s="3">
        <f t="shared" si="27"/>
        <v>329</v>
      </c>
      <c r="Q27" s="3">
        <f t="shared" ref="Q27:R27" si="28">SUM(Q24:Q26)</f>
        <v>291</v>
      </c>
      <c r="R27" s="3">
        <f t="shared" si="28"/>
        <v>398</v>
      </c>
      <c r="S27" s="3">
        <f t="shared" ref="S27:V27" si="29">SUM(S24:S26)</f>
        <v>363</v>
      </c>
      <c r="T27" s="3">
        <f t="shared" si="29"/>
        <v>363</v>
      </c>
      <c r="U27" s="3">
        <f t="shared" si="29"/>
        <v>312.74999999999994</v>
      </c>
      <c r="V27" s="3">
        <f t="shared" si="29"/>
        <v>410</v>
      </c>
      <c r="Z27" s="3">
        <f>SUM(Z24:Z26)</f>
        <v>810</v>
      </c>
      <c r="AA27" s="3">
        <f>SUM(AA24:AA26)</f>
        <v>773</v>
      </c>
      <c r="AB27" s="3">
        <f>SUM(AB24:AB26)</f>
        <v>796</v>
      </c>
      <c r="AC27" s="3">
        <f>SUM(AC24:AC26)</f>
        <v>1044</v>
      </c>
      <c r="AD27" s="3">
        <f>SUM(AD24:AD26)</f>
        <v>1295</v>
      </c>
      <c r="AE27" s="3">
        <f>SUM(S27:V27)</f>
        <v>1448.75</v>
      </c>
      <c r="AF27" s="3">
        <f>(AE27*1.05)</f>
        <v>1521.1875</v>
      </c>
      <c r="AG27" s="3">
        <f>AF27*1.04</f>
        <v>1582.0350000000001</v>
      </c>
      <c r="AH27" s="3">
        <f>AG27*1.03</f>
        <v>1629.4960500000002</v>
      </c>
      <c r="AI27" s="3">
        <f>AH27*1.02</f>
        <v>1662.0859710000002</v>
      </c>
      <c r="AJ27" s="3">
        <f t="shared" ref="AJ27:AO27" si="30">AI27*1.02</f>
        <v>1695.3276904200002</v>
      </c>
      <c r="AK27" s="3">
        <f t="shared" si="30"/>
        <v>1729.2342442284003</v>
      </c>
      <c r="AL27" s="3">
        <f t="shared" si="30"/>
        <v>1763.8189291129684</v>
      </c>
      <c r="AM27" s="3">
        <f t="shared" si="30"/>
        <v>1799.0953076952278</v>
      </c>
      <c r="AN27" s="3">
        <f t="shared" si="30"/>
        <v>1835.0772138491325</v>
      </c>
      <c r="AO27" s="3">
        <f t="shared" si="30"/>
        <v>1871.7787581261152</v>
      </c>
    </row>
    <row r="28" spans="2:41" s="1" customFormat="1" x14ac:dyDescent="0.3">
      <c r="B28" s="1" t="s">
        <v>24</v>
      </c>
      <c r="C28" s="6">
        <f>C23-C27</f>
        <v>88</v>
      </c>
      <c r="D28" s="6">
        <f>D23-D27</f>
        <v>105</v>
      </c>
      <c r="G28" s="6">
        <f t="shared" ref="G28:P28" si="31">G23-G27</f>
        <v>83</v>
      </c>
      <c r="H28" s="6">
        <f t="shared" si="31"/>
        <v>127</v>
      </c>
      <c r="I28" s="6">
        <f t="shared" si="31"/>
        <v>112</v>
      </c>
      <c r="J28" s="6">
        <f t="shared" si="31"/>
        <v>426</v>
      </c>
      <c r="K28" s="6">
        <f t="shared" si="31"/>
        <v>89</v>
      </c>
      <c r="L28" s="6">
        <f t="shared" si="31"/>
        <v>118</v>
      </c>
      <c r="M28" s="6">
        <f t="shared" si="31"/>
        <v>172</v>
      </c>
      <c r="N28" s="6">
        <f t="shared" si="31"/>
        <v>466</v>
      </c>
      <c r="O28" s="6">
        <f t="shared" si="31"/>
        <v>117</v>
      </c>
      <c r="P28" s="6">
        <f t="shared" si="31"/>
        <v>242</v>
      </c>
      <c r="Q28" s="6">
        <f t="shared" ref="Q28:R28" si="32">Q23-Q27</f>
        <v>290</v>
      </c>
      <c r="R28" s="6">
        <f t="shared" si="32"/>
        <v>742</v>
      </c>
      <c r="S28" s="6">
        <f t="shared" ref="S28:V28" si="33">S23-S27</f>
        <v>179</v>
      </c>
      <c r="T28" s="6">
        <f t="shared" si="33"/>
        <v>232</v>
      </c>
      <c r="U28" s="6">
        <f t="shared" si="33"/>
        <v>505.78200000000021</v>
      </c>
      <c r="V28" s="6">
        <f t="shared" si="33"/>
        <v>1068.2316000000001</v>
      </c>
      <c r="Z28" s="6">
        <f>Z23-Z27</f>
        <v>408</v>
      </c>
      <c r="AA28" s="6">
        <f>AA23-AA27</f>
        <v>615</v>
      </c>
      <c r="AB28" s="6">
        <f>AB23-AB27</f>
        <v>748</v>
      </c>
      <c r="AC28" s="6">
        <f>AC23-AC27</f>
        <v>845</v>
      </c>
      <c r="AD28" s="6">
        <f t="shared" ref="AD28:AO28" si="34">AD23-AD27</f>
        <v>1391</v>
      </c>
      <c r="AE28" s="6">
        <f t="shared" si="34"/>
        <v>1985.0136000000002</v>
      </c>
      <c r="AF28" s="6">
        <f t="shared" si="34"/>
        <v>2094.819950000001</v>
      </c>
      <c r="AG28" s="6">
        <f t="shared" si="34"/>
        <v>2354.3153999999995</v>
      </c>
      <c r="AH28" s="6">
        <f t="shared" si="34"/>
        <v>2508.4133571249999</v>
      </c>
      <c r="AI28" s="6">
        <f t="shared" si="34"/>
        <v>2606.8035534822502</v>
      </c>
      <c r="AJ28" s="6">
        <f t="shared" si="34"/>
        <v>2669.9170294595724</v>
      </c>
      <c r="AK28" s="6">
        <f t="shared" si="34"/>
        <v>2727.2657110200184</v>
      </c>
      <c r="AL28" s="6">
        <f t="shared" si="34"/>
        <v>2786.0090140502898</v>
      </c>
      <c r="AM28" s="6">
        <f t="shared" si="34"/>
        <v>2846.1846627088494</v>
      </c>
      <c r="AN28" s="6">
        <f t="shared" si="34"/>
        <v>2907.8315101580242</v>
      </c>
      <c r="AO28" s="6">
        <f t="shared" si="34"/>
        <v>2970.9895759526926</v>
      </c>
    </row>
    <row r="29" spans="2:41" x14ac:dyDescent="0.3">
      <c r="B29" t="s">
        <v>15</v>
      </c>
      <c r="C29" s="3">
        <v>-7</v>
      </c>
      <c r="D29" s="3">
        <v>-4</v>
      </c>
      <c r="G29" s="3">
        <v>-17</v>
      </c>
      <c r="H29" s="3">
        <v>2</v>
      </c>
      <c r="I29" s="3">
        <v>-8</v>
      </c>
      <c r="J29" s="9">
        <f>AB29-I29-H29-G29</f>
        <v>-16</v>
      </c>
      <c r="K29" s="3">
        <v>10</v>
      </c>
      <c r="L29" s="3">
        <v>2</v>
      </c>
      <c r="M29" s="3">
        <v>-6</v>
      </c>
      <c r="N29" s="9">
        <f>AC29-M29-L29-K29</f>
        <v>-63</v>
      </c>
      <c r="O29" s="3">
        <v>1</v>
      </c>
      <c r="P29" s="3">
        <v>4</v>
      </c>
      <c r="Q29" s="3">
        <v>12</v>
      </c>
      <c r="R29" s="3">
        <f>AD29-Q29-P29-O29</f>
        <v>20</v>
      </c>
      <c r="S29" s="3">
        <v>3</v>
      </c>
      <c r="T29" s="3">
        <v>0</v>
      </c>
      <c r="U29" s="3"/>
      <c r="V29" s="3"/>
      <c r="Z29" s="3">
        <v>-13</v>
      </c>
      <c r="AA29" s="3">
        <v>-11</v>
      </c>
      <c r="AB29" s="3">
        <v>-39</v>
      </c>
      <c r="AC29" s="3">
        <v>-57</v>
      </c>
      <c r="AD29" s="3">
        <v>37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2:41" x14ac:dyDescent="0.3">
      <c r="B30" t="s">
        <v>16</v>
      </c>
      <c r="C30" s="3">
        <v>10</v>
      </c>
      <c r="D30" s="3">
        <v>1</v>
      </c>
      <c r="G30" s="3">
        <v>20</v>
      </c>
      <c r="H30" s="3">
        <v>21</v>
      </c>
      <c r="I30" s="3">
        <v>3</v>
      </c>
      <c r="J30" s="9">
        <f>AB30-I30-H30-G30</f>
        <v>4</v>
      </c>
      <c r="K30" s="3">
        <v>2</v>
      </c>
      <c r="L30" s="3">
        <v>-3</v>
      </c>
      <c r="M30" s="3">
        <v>8</v>
      </c>
      <c r="N30" s="9">
        <f>AC30-M30-L30-K30</f>
        <v>-1</v>
      </c>
      <c r="O30" s="3">
        <v>9</v>
      </c>
      <c r="P30" s="3">
        <v>2</v>
      </c>
      <c r="Q30" s="3">
        <v>8</v>
      </c>
      <c r="R30" s="3">
        <f>AD30-Q30-P30-O30</f>
        <v>-9</v>
      </c>
      <c r="S30" s="3">
        <v>3</v>
      </c>
      <c r="T30" s="3">
        <v>-7</v>
      </c>
      <c r="U30" s="3"/>
      <c r="V30" s="3"/>
      <c r="Z30" s="3">
        <v>24</v>
      </c>
      <c r="AA30" s="3">
        <v>17</v>
      </c>
      <c r="AB30" s="3">
        <v>48</v>
      </c>
      <c r="AC30" s="3">
        <v>6</v>
      </c>
      <c r="AD30" s="3">
        <v>10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2:41" x14ac:dyDescent="0.3">
      <c r="B31" t="s">
        <v>17</v>
      </c>
      <c r="C31" s="3">
        <v>-2</v>
      </c>
      <c r="D31" s="3">
        <v>-2</v>
      </c>
      <c r="G31" s="3">
        <v>-1</v>
      </c>
      <c r="H31" s="3">
        <v>-1</v>
      </c>
      <c r="I31" s="3">
        <v>-1</v>
      </c>
      <c r="J31" s="9">
        <f>AB31-I31-H31-G31</f>
        <v>-9</v>
      </c>
      <c r="K31" s="3">
        <v>-16</v>
      </c>
      <c r="L31" s="3">
        <v>-3</v>
      </c>
      <c r="M31" s="3">
        <v>-5</v>
      </c>
      <c r="N31" s="9">
        <f>AC31-M31-L31-K31</f>
        <v>-5</v>
      </c>
      <c r="O31" s="3">
        <v>-5</v>
      </c>
      <c r="P31" s="3">
        <v>-4</v>
      </c>
      <c r="Q31" s="3">
        <v>-5</v>
      </c>
      <c r="R31" s="3">
        <f>AD31-Q31-P31-O31</f>
        <v>-5</v>
      </c>
      <c r="S31" s="3">
        <v>-6</v>
      </c>
      <c r="T31" s="3">
        <v>-4</v>
      </c>
      <c r="U31" s="3"/>
      <c r="V31" s="3"/>
      <c r="Z31" s="3">
        <v>-9</v>
      </c>
      <c r="AA31" s="3">
        <v>-4</v>
      </c>
      <c r="AB31" s="3">
        <v>-12</v>
      </c>
      <c r="AC31" s="3">
        <v>-29</v>
      </c>
      <c r="AD31" s="3">
        <v>-19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2:41" x14ac:dyDescent="0.3">
      <c r="B32" t="s">
        <v>18</v>
      </c>
      <c r="C32" s="3">
        <v>11</v>
      </c>
      <c r="D32" s="3">
        <v>7</v>
      </c>
      <c r="G32" s="3">
        <v>8</v>
      </c>
      <c r="H32" s="3">
        <v>7</v>
      </c>
      <c r="I32" s="3">
        <v>7</v>
      </c>
      <c r="J32" s="9">
        <f>AB32-I32-H32-G32</f>
        <v>10</v>
      </c>
      <c r="K32" s="3">
        <v>24</v>
      </c>
      <c r="L32" s="3">
        <v>18</v>
      </c>
      <c r="M32" s="3">
        <v>30</v>
      </c>
      <c r="N32" s="9">
        <f>AC32-M32-L32-K32</f>
        <v>39</v>
      </c>
      <c r="O32" s="3">
        <v>26</v>
      </c>
      <c r="P32" s="3">
        <v>32</v>
      </c>
      <c r="Q32" s="3">
        <v>28</v>
      </c>
      <c r="R32" s="3">
        <f>AD32-Q32-P32-O32</f>
        <v>49</v>
      </c>
      <c r="S32" s="3">
        <v>33</v>
      </c>
      <c r="T32" s="3">
        <v>20</v>
      </c>
      <c r="U32" s="3"/>
      <c r="V32" s="3"/>
      <c r="Z32" s="3">
        <v>40</v>
      </c>
      <c r="AA32" s="3">
        <v>31</v>
      </c>
      <c r="AB32" s="3">
        <v>32</v>
      </c>
      <c r="AC32" s="3">
        <v>111</v>
      </c>
      <c r="AD32" s="3">
        <v>135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2:152" x14ac:dyDescent="0.3">
      <c r="B33" t="s">
        <v>27</v>
      </c>
      <c r="C33" s="3">
        <f>SUM(C29:C32)</f>
        <v>12</v>
      </c>
      <c r="D33" s="3">
        <f>SUM(D29:D32)</f>
        <v>2</v>
      </c>
      <c r="G33" s="3">
        <f t="shared" ref="G33:P33" si="35">SUM(G29:G32)</f>
        <v>10</v>
      </c>
      <c r="H33" s="3">
        <f t="shared" si="35"/>
        <v>29</v>
      </c>
      <c r="I33" s="3">
        <f t="shared" si="35"/>
        <v>1</v>
      </c>
      <c r="J33" s="3">
        <f t="shared" si="35"/>
        <v>-11</v>
      </c>
      <c r="K33" s="3">
        <f t="shared" si="35"/>
        <v>20</v>
      </c>
      <c r="L33" s="3">
        <f t="shared" si="35"/>
        <v>14</v>
      </c>
      <c r="M33" s="3">
        <f t="shared" si="35"/>
        <v>27</v>
      </c>
      <c r="N33" s="3">
        <f t="shared" si="35"/>
        <v>-30</v>
      </c>
      <c r="O33" s="3">
        <f t="shared" si="35"/>
        <v>31</v>
      </c>
      <c r="P33" s="3">
        <f t="shared" si="35"/>
        <v>34</v>
      </c>
      <c r="Q33" s="3">
        <f t="shared" ref="Q33:T33" si="36">SUM(Q29:Q32)</f>
        <v>43</v>
      </c>
      <c r="R33" s="3">
        <f t="shared" si="36"/>
        <v>55</v>
      </c>
      <c r="S33" s="3">
        <f t="shared" si="36"/>
        <v>33</v>
      </c>
      <c r="T33" s="3">
        <f t="shared" si="36"/>
        <v>9</v>
      </c>
      <c r="U33" s="3">
        <f t="shared" ref="U33:V33" si="37">Q33*1.05</f>
        <v>45.15</v>
      </c>
      <c r="V33" s="3">
        <f t="shared" si="37"/>
        <v>57.75</v>
      </c>
      <c r="Z33" s="3">
        <f>SUM(Z29:Z32)</f>
        <v>42</v>
      </c>
      <c r="AA33" s="3">
        <f>SUM(AA29:AA32)</f>
        <v>33</v>
      </c>
      <c r="AB33" s="3">
        <f>SUM(AB29:AB32)</f>
        <v>29</v>
      </c>
      <c r="AC33" s="3">
        <f>SUM(AC29:AC32)</f>
        <v>31</v>
      </c>
      <c r="AD33" s="3">
        <f t="shared" ref="AD33" si="38">SUM(AD29:AD32)</f>
        <v>163</v>
      </c>
      <c r="AE33" s="3">
        <f>SUM(S33:V33)</f>
        <v>144.9</v>
      </c>
      <c r="AF33" s="3">
        <f>AE33*1.03</f>
        <v>149.24700000000001</v>
      </c>
      <c r="AG33" s="3">
        <f t="shared" ref="AG33:AO33" si="39">AF33*1.03</f>
        <v>153.72441000000001</v>
      </c>
      <c r="AH33" s="3">
        <f t="shared" si="39"/>
        <v>158.33614230000001</v>
      </c>
      <c r="AI33" s="3">
        <f t="shared" si="39"/>
        <v>163.08622656900002</v>
      </c>
      <c r="AJ33" s="3">
        <f t="shared" si="39"/>
        <v>167.97881336607003</v>
      </c>
      <c r="AK33" s="3">
        <f t="shared" si="39"/>
        <v>173.01817776705212</v>
      </c>
      <c r="AL33" s="3">
        <f t="shared" si="39"/>
        <v>178.20872310006368</v>
      </c>
      <c r="AM33" s="3">
        <f t="shared" si="39"/>
        <v>183.55498479306559</v>
      </c>
      <c r="AN33" s="3">
        <f t="shared" si="39"/>
        <v>189.06163433685757</v>
      </c>
      <c r="AO33" s="3">
        <f t="shared" si="39"/>
        <v>194.7334833669633</v>
      </c>
    </row>
    <row r="34" spans="2:152" s="1" customFormat="1" x14ac:dyDescent="0.3">
      <c r="B34" s="1" t="s">
        <v>19</v>
      </c>
      <c r="C34" s="6">
        <f>C28-C33</f>
        <v>76</v>
      </c>
      <c r="D34" s="6">
        <f>D28-D33</f>
        <v>103</v>
      </c>
      <c r="G34" s="6">
        <f t="shared" ref="G34:P34" si="40">G28-G33</f>
        <v>73</v>
      </c>
      <c r="H34" s="6">
        <f t="shared" si="40"/>
        <v>98</v>
      </c>
      <c r="I34" s="6">
        <f t="shared" si="40"/>
        <v>111</v>
      </c>
      <c r="J34" s="6">
        <f t="shared" si="40"/>
        <v>437</v>
      </c>
      <c r="K34" s="6">
        <f t="shared" si="40"/>
        <v>69</v>
      </c>
      <c r="L34" s="6">
        <f t="shared" si="40"/>
        <v>104</v>
      </c>
      <c r="M34" s="6">
        <f t="shared" si="40"/>
        <v>145</v>
      </c>
      <c r="N34" s="6">
        <f t="shared" si="40"/>
        <v>496</v>
      </c>
      <c r="O34" s="6">
        <f t="shared" si="40"/>
        <v>86</v>
      </c>
      <c r="P34" s="6">
        <f t="shared" si="40"/>
        <v>208</v>
      </c>
      <c r="Q34" s="6">
        <f t="shared" ref="Q34:V34" si="41">Q28-Q33</f>
        <v>247</v>
      </c>
      <c r="R34" s="6">
        <f t="shared" si="41"/>
        <v>687</v>
      </c>
      <c r="S34" s="6">
        <f t="shared" si="41"/>
        <v>146</v>
      </c>
      <c r="T34" s="6">
        <f t="shared" si="41"/>
        <v>223</v>
      </c>
      <c r="U34" s="6">
        <f t="shared" si="41"/>
        <v>460.63200000000023</v>
      </c>
      <c r="V34" s="6">
        <f t="shared" si="41"/>
        <v>1010.4816000000001</v>
      </c>
      <c r="Z34" s="6">
        <f>Z28-Z33</f>
        <v>366</v>
      </c>
      <c r="AA34" s="6">
        <f>AA28-AA33</f>
        <v>582</v>
      </c>
      <c r="AB34" s="6">
        <f>AB28-AB33</f>
        <v>719</v>
      </c>
      <c r="AC34" s="6">
        <f>AC28-AC33</f>
        <v>814</v>
      </c>
      <c r="AD34" s="6">
        <f t="shared" ref="AD34:AO34" si="42">AD28-AD33</f>
        <v>1228</v>
      </c>
      <c r="AE34" s="6">
        <f t="shared" si="42"/>
        <v>1840.1136000000001</v>
      </c>
      <c r="AF34" s="6">
        <f t="shared" si="42"/>
        <v>1945.5729500000009</v>
      </c>
      <c r="AG34" s="6">
        <f t="shared" si="42"/>
        <v>2200.5909899999997</v>
      </c>
      <c r="AH34" s="6">
        <f t="shared" si="42"/>
        <v>2350.0772148249998</v>
      </c>
      <c r="AI34" s="6">
        <f t="shared" si="42"/>
        <v>2443.71732691325</v>
      </c>
      <c r="AJ34" s="6">
        <f t="shared" si="42"/>
        <v>2501.9382160935024</v>
      </c>
      <c r="AK34" s="6">
        <f t="shared" si="42"/>
        <v>2554.2475332529662</v>
      </c>
      <c r="AL34" s="6">
        <f t="shared" si="42"/>
        <v>2607.8002909502261</v>
      </c>
      <c r="AM34" s="6">
        <f t="shared" si="42"/>
        <v>2662.6296779157838</v>
      </c>
      <c r="AN34" s="6">
        <f t="shared" si="42"/>
        <v>2718.7698758211668</v>
      </c>
      <c r="AO34" s="6">
        <f t="shared" si="42"/>
        <v>2776.2560925857292</v>
      </c>
    </row>
    <row r="35" spans="2:152" x14ac:dyDescent="0.3">
      <c r="B35" t="s">
        <v>20</v>
      </c>
      <c r="C35" s="3">
        <v>21</v>
      </c>
      <c r="D35" s="3">
        <v>24</v>
      </c>
      <c r="G35" s="3">
        <v>15</v>
      </c>
      <c r="H35" s="3">
        <v>30</v>
      </c>
      <c r="I35" s="3">
        <v>30</v>
      </c>
      <c r="J35" s="9">
        <f>AB35-I35-H35-G35</f>
        <v>108</v>
      </c>
      <c r="K35" s="3">
        <v>20</v>
      </c>
      <c r="L35" s="3">
        <v>31</v>
      </c>
      <c r="M35" s="3">
        <v>36</v>
      </c>
      <c r="N35" s="9">
        <f>AC35-M35-L35-K35</f>
        <v>98</v>
      </c>
      <c r="O35" s="3">
        <v>31</v>
      </c>
      <c r="P35" s="3">
        <v>56</v>
      </c>
      <c r="Q35" s="3">
        <v>74</v>
      </c>
      <c r="R35" s="3">
        <f>AD35-Q35-P35-O35</f>
        <v>172</v>
      </c>
      <c r="S35" s="3">
        <v>39</v>
      </c>
      <c r="T35" s="3">
        <v>53</v>
      </c>
      <c r="U35" s="3">
        <f t="shared" ref="U35:V35" si="43">U34*0.27</f>
        <v>124.37064000000007</v>
      </c>
      <c r="V35" s="3">
        <f t="shared" si="43"/>
        <v>272.83003200000002</v>
      </c>
      <c r="Z35" s="3">
        <v>83</v>
      </c>
      <c r="AA35" s="3">
        <v>150</v>
      </c>
      <c r="AB35" s="3">
        <v>183</v>
      </c>
      <c r="AC35" s="3">
        <v>185</v>
      </c>
      <c r="AD35" s="3">
        <v>333</v>
      </c>
      <c r="AE35" s="3">
        <f>SUM(S35:V35)</f>
        <v>489.20067200000005</v>
      </c>
      <c r="AF35" s="3">
        <f>AF34*0.25</f>
        <v>486.39323750000023</v>
      </c>
      <c r="AG35" s="3">
        <f t="shared" ref="AG35:AO35" si="44">AG34*0.25</f>
        <v>550.14774749999992</v>
      </c>
      <c r="AH35" s="3">
        <f t="shared" si="44"/>
        <v>587.51930370624996</v>
      </c>
      <c r="AI35" s="3">
        <f t="shared" si="44"/>
        <v>610.92933172831249</v>
      </c>
      <c r="AJ35" s="3">
        <f t="shared" si="44"/>
        <v>625.48455402337561</v>
      </c>
      <c r="AK35" s="3">
        <f t="shared" si="44"/>
        <v>638.56188331324154</v>
      </c>
      <c r="AL35" s="3">
        <f t="shared" si="44"/>
        <v>651.95007273755652</v>
      </c>
      <c r="AM35" s="3">
        <f t="shared" si="44"/>
        <v>665.65741947894594</v>
      </c>
      <c r="AN35" s="3">
        <f t="shared" si="44"/>
        <v>679.6924689552917</v>
      </c>
      <c r="AO35" s="3">
        <f t="shared" si="44"/>
        <v>694.06402314643231</v>
      </c>
    </row>
    <row r="36" spans="2:152" x14ac:dyDescent="0.3">
      <c r="B36" t="s">
        <v>28</v>
      </c>
      <c r="C36" s="3">
        <f>-4+9</f>
        <v>5</v>
      </c>
      <c r="D36" s="3">
        <f>103+13</f>
        <v>116</v>
      </c>
      <c r="G36" s="3">
        <f>-1+13</f>
        <v>12</v>
      </c>
      <c r="H36" s="3">
        <f>-5+16</f>
        <v>11</v>
      </c>
      <c r="I36" s="3">
        <f>-5+10</f>
        <v>5</v>
      </c>
      <c r="J36" s="9">
        <f>AB36-I36-H36-G36</f>
        <v>32</v>
      </c>
      <c r="K36" s="3">
        <f>4-3</f>
        <v>1</v>
      </c>
      <c r="L36" s="3">
        <f>17-1</f>
        <v>16</v>
      </c>
      <c r="M36" s="3">
        <f>-2+9</f>
        <v>7</v>
      </c>
      <c r="N36" s="9">
        <f>AC36-M36-L36-K36</f>
        <v>71</v>
      </c>
      <c r="O36" s="3">
        <f>-1+6</f>
        <v>5</v>
      </c>
      <c r="P36" s="3">
        <f>17+72</f>
        <v>89</v>
      </c>
      <c r="Q36" s="3">
        <v>38</v>
      </c>
      <c r="R36" s="3">
        <f>AD36-Q36-P36-O36</f>
        <v>46</v>
      </c>
      <c r="S36" s="3">
        <v>24</v>
      </c>
      <c r="T36" s="3">
        <v>27</v>
      </c>
      <c r="U36" s="3">
        <f t="shared" ref="U36:V36" si="45">U34*0.1</f>
        <v>46.063200000000023</v>
      </c>
      <c r="V36" s="3">
        <f t="shared" si="45"/>
        <v>101.04816000000001</v>
      </c>
      <c r="Z36" s="3">
        <f>283+27</f>
        <v>310</v>
      </c>
      <c r="AA36" s="3">
        <f>100+41</f>
        <v>141</v>
      </c>
      <c r="AB36" s="3">
        <f>-6+66</f>
        <v>60</v>
      </c>
      <c r="AC36" s="3">
        <f>44+51</f>
        <v>95</v>
      </c>
      <c r="AD36" s="3">
        <f>87+91</f>
        <v>178</v>
      </c>
      <c r="AE36" s="3">
        <f>SUM(S36:V36)</f>
        <v>198.11136000000005</v>
      </c>
      <c r="AF36" s="3">
        <f t="shared" ref="AF36:AO36" si="46">AF34*0.1</f>
        <v>194.5572950000001</v>
      </c>
      <c r="AG36" s="3">
        <f t="shared" si="46"/>
        <v>220.05909899999997</v>
      </c>
      <c r="AH36" s="3">
        <f t="shared" si="46"/>
        <v>235.00772148249999</v>
      </c>
      <c r="AI36" s="3">
        <f t="shared" si="46"/>
        <v>244.37173269132501</v>
      </c>
      <c r="AJ36" s="3">
        <f t="shared" si="46"/>
        <v>250.19382160935027</v>
      </c>
      <c r="AK36" s="3">
        <f t="shared" si="46"/>
        <v>255.42475332529662</v>
      </c>
      <c r="AL36" s="3">
        <f t="shared" si="46"/>
        <v>260.7800290950226</v>
      </c>
      <c r="AM36" s="3">
        <f t="shared" si="46"/>
        <v>266.26296779157838</v>
      </c>
      <c r="AN36" s="3">
        <f t="shared" si="46"/>
        <v>271.87698758211667</v>
      </c>
      <c r="AO36" s="3">
        <f t="shared" si="46"/>
        <v>277.62560925857292</v>
      </c>
    </row>
    <row r="37" spans="2:152" s="1" customFormat="1" x14ac:dyDescent="0.3">
      <c r="B37" s="1" t="s">
        <v>21</v>
      </c>
      <c r="C37" s="6">
        <f>C34-C35-C36</f>
        <v>50</v>
      </c>
      <c r="D37" s="6">
        <f>D34-D35-D36</f>
        <v>-37</v>
      </c>
      <c r="G37" s="6">
        <f t="shared" ref="G37:P37" si="47">G34-G35-G36</f>
        <v>46</v>
      </c>
      <c r="H37" s="6">
        <f t="shared" si="47"/>
        <v>57</v>
      </c>
      <c r="I37" s="6">
        <f t="shared" si="47"/>
        <v>76</v>
      </c>
      <c r="J37" s="6">
        <f t="shared" si="47"/>
        <v>297</v>
      </c>
      <c r="K37" s="6">
        <f t="shared" si="47"/>
        <v>48</v>
      </c>
      <c r="L37" s="6">
        <f t="shared" si="47"/>
        <v>57</v>
      </c>
      <c r="M37" s="6">
        <f t="shared" si="47"/>
        <v>102</v>
      </c>
      <c r="N37" s="6">
        <f t="shared" si="47"/>
        <v>327</v>
      </c>
      <c r="O37" s="6">
        <f t="shared" si="47"/>
        <v>50</v>
      </c>
      <c r="P37" s="6">
        <f t="shared" si="47"/>
        <v>63</v>
      </c>
      <c r="Q37" s="6">
        <f t="shared" ref="Q37:R37" si="48">Q34-Q35-Q36</f>
        <v>135</v>
      </c>
      <c r="R37" s="6">
        <f t="shared" si="48"/>
        <v>469</v>
      </c>
      <c r="S37" s="6">
        <f t="shared" ref="S37:V37" si="49">S34-S35-S36</f>
        <v>83</v>
      </c>
      <c r="T37" s="6">
        <f t="shared" si="49"/>
        <v>143</v>
      </c>
      <c r="U37" s="6">
        <f t="shared" si="49"/>
        <v>290.19816000000014</v>
      </c>
      <c r="V37" s="6">
        <f t="shared" si="49"/>
        <v>636.60340799999994</v>
      </c>
      <c r="Z37" s="6">
        <f>Z34-Z35-Z36</f>
        <v>-27</v>
      </c>
      <c r="AA37" s="6">
        <f>AA34-AA35-AA36</f>
        <v>291</v>
      </c>
      <c r="AB37" s="6">
        <f>AB34-AB35-AB36</f>
        <v>476</v>
      </c>
      <c r="AC37" s="6">
        <f>AC34-AC35-AC36</f>
        <v>534</v>
      </c>
      <c r="AD37" s="6">
        <f t="shared" ref="AD37:AO37" si="50">AD34-AD35-AD36</f>
        <v>717</v>
      </c>
      <c r="AE37" s="6">
        <f t="shared" si="50"/>
        <v>1152.8015680000001</v>
      </c>
      <c r="AF37" s="6">
        <f t="shared" si="50"/>
        <v>1264.6224175000007</v>
      </c>
      <c r="AG37" s="6">
        <f t="shared" si="50"/>
        <v>1430.3841434999997</v>
      </c>
      <c r="AH37" s="6">
        <f t="shared" si="50"/>
        <v>1527.5501896362498</v>
      </c>
      <c r="AI37" s="6">
        <f t="shared" si="50"/>
        <v>1588.4162624936125</v>
      </c>
      <c r="AJ37" s="6">
        <f t="shared" si="50"/>
        <v>1626.2598404607766</v>
      </c>
      <c r="AK37" s="6">
        <f t="shared" si="50"/>
        <v>1660.2608966144278</v>
      </c>
      <c r="AL37" s="6">
        <f t="shared" si="50"/>
        <v>1695.0701891176468</v>
      </c>
      <c r="AM37" s="6">
        <f t="shared" si="50"/>
        <v>1730.7092906452594</v>
      </c>
      <c r="AN37" s="6">
        <f t="shared" si="50"/>
        <v>1767.2004192837585</v>
      </c>
      <c r="AO37" s="6">
        <f t="shared" si="50"/>
        <v>1804.5664601807241</v>
      </c>
      <c r="AP37" s="1">
        <f>AO37*(1+$AS$45)</f>
        <v>1786.5207955789169</v>
      </c>
      <c r="AQ37" s="1">
        <f t="shared" ref="AQ37:DB37" si="51">AP37*(1+$AS$45)</f>
        <v>1768.6555876231278</v>
      </c>
      <c r="AR37" s="1">
        <f t="shared" si="51"/>
        <v>1750.9690317468965</v>
      </c>
      <c r="AS37" s="1">
        <f t="shared" si="51"/>
        <v>1733.4593414294275</v>
      </c>
      <c r="AT37" s="1">
        <f t="shared" si="51"/>
        <v>1716.1247480151333</v>
      </c>
      <c r="AU37" s="1">
        <f t="shared" si="51"/>
        <v>1698.9635005349819</v>
      </c>
      <c r="AV37" s="1">
        <f t="shared" si="51"/>
        <v>1681.9738655296321</v>
      </c>
      <c r="AW37" s="1">
        <f t="shared" si="51"/>
        <v>1665.1541268743358</v>
      </c>
      <c r="AX37" s="1">
        <f t="shared" si="51"/>
        <v>1648.5025856055925</v>
      </c>
      <c r="AY37" s="1">
        <f t="shared" si="51"/>
        <v>1632.0175597495365</v>
      </c>
      <c r="AZ37" s="1">
        <f t="shared" si="51"/>
        <v>1615.6973841520412</v>
      </c>
      <c r="BA37" s="1">
        <f t="shared" si="51"/>
        <v>1599.5404103105207</v>
      </c>
      <c r="BB37" s="1">
        <f t="shared" si="51"/>
        <v>1583.5450062074153</v>
      </c>
      <c r="BC37" s="1">
        <f t="shared" si="51"/>
        <v>1567.7095561453411</v>
      </c>
      <c r="BD37" s="1">
        <f t="shared" si="51"/>
        <v>1552.0324605838878</v>
      </c>
      <c r="BE37" s="1">
        <f t="shared" si="51"/>
        <v>1536.5121359780489</v>
      </c>
      <c r="BF37" s="1">
        <f t="shared" si="51"/>
        <v>1521.1470146182685</v>
      </c>
      <c r="BG37" s="1">
        <f t="shared" si="51"/>
        <v>1505.9355444720859</v>
      </c>
      <c r="BH37" s="1">
        <f t="shared" si="51"/>
        <v>1490.8761890273649</v>
      </c>
      <c r="BI37" s="1">
        <f t="shared" si="51"/>
        <v>1475.9674271370914</v>
      </c>
      <c r="BJ37" s="1">
        <f t="shared" si="51"/>
        <v>1461.2077528657205</v>
      </c>
      <c r="BK37" s="1">
        <f t="shared" si="51"/>
        <v>1446.5956753370633</v>
      </c>
      <c r="BL37" s="1">
        <f t="shared" si="51"/>
        <v>1432.1297185836927</v>
      </c>
      <c r="BM37" s="1">
        <f t="shared" si="51"/>
        <v>1417.8084213978557</v>
      </c>
      <c r="BN37" s="1">
        <f t="shared" si="51"/>
        <v>1403.6303371838771</v>
      </c>
      <c r="BO37" s="1">
        <f t="shared" si="51"/>
        <v>1389.5940338120383</v>
      </c>
      <c r="BP37" s="1">
        <f t="shared" si="51"/>
        <v>1375.6980934739179</v>
      </c>
      <c r="BQ37" s="1">
        <f t="shared" si="51"/>
        <v>1361.9411125391787</v>
      </c>
      <c r="BR37" s="1">
        <f t="shared" si="51"/>
        <v>1348.321701413787</v>
      </c>
      <c r="BS37" s="1">
        <f t="shared" si="51"/>
        <v>1334.8384843996491</v>
      </c>
      <c r="BT37" s="1">
        <f t="shared" si="51"/>
        <v>1321.4900995556527</v>
      </c>
      <c r="BU37" s="1">
        <f t="shared" si="51"/>
        <v>1308.2751985600962</v>
      </c>
      <c r="BV37" s="1">
        <f t="shared" si="51"/>
        <v>1295.1924465744953</v>
      </c>
      <c r="BW37" s="1">
        <f t="shared" si="51"/>
        <v>1282.2405221087504</v>
      </c>
      <c r="BX37" s="1">
        <f t="shared" si="51"/>
        <v>1269.4181168876628</v>
      </c>
      <c r="BY37" s="1">
        <f t="shared" si="51"/>
        <v>1256.7239357187862</v>
      </c>
      <c r="BZ37" s="1">
        <f t="shared" si="51"/>
        <v>1244.1566963615983</v>
      </c>
      <c r="CA37" s="1">
        <f t="shared" si="51"/>
        <v>1231.7151293979823</v>
      </c>
      <c r="CB37" s="1">
        <f t="shared" si="51"/>
        <v>1219.3979781040025</v>
      </c>
      <c r="CC37" s="1">
        <f t="shared" si="51"/>
        <v>1207.2039983229624</v>
      </c>
      <c r="CD37" s="1">
        <f t="shared" si="51"/>
        <v>1195.1319583397328</v>
      </c>
      <c r="CE37" s="1">
        <f t="shared" si="51"/>
        <v>1183.1806387563354</v>
      </c>
      <c r="CF37" s="1">
        <f t="shared" si="51"/>
        <v>1171.348832368772</v>
      </c>
      <c r="CG37" s="1">
        <f t="shared" si="51"/>
        <v>1159.6353440450844</v>
      </c>
      <c r="CH37" s="1">
        <f t="shared" si="51"/>
        <v>1148.0389906046335</v>
      </c>
      <c r="CI37" s="1">
        <f t="shared" si="51"/>
        <v>1136.558600698587</v>
      </c>
      <c r="CJ37" s="1">
        <f t="shared" si="51"/>
        <v>1125.1930146916011</v>
      </c>
      <c r="CK37" s="1">
        <f t="shared" si="51"/>
        <v>1113.9410845446851</v>
      </c>
      <c r="CL37" s="1">
        <f t="shared" si="51"/>
        <v>1102.8016736992381</v>
      </c>
      <c r="CM37" s="1">
        <f t="shared" si="51"/>
        <v>1091.7736569622457</v>
      </c>
      <c r="CN37" s="1">
        <f t="shared" si="51"/>
        <v>1080.8559203926231</v>
      </c>
      <c r="CO37" s="1">
        <f t="shared" si="51"/>
        <v>1070.0473611886969</v>
      </c>
      <c r="CP37" s="1">
        <f t="shared" si="51"/>
        <v>1059.3468875768099</v>
      </c>
      <c r="CQ37" s="1">
        <f t="shared" si="51"/>
        <v>1048.7534187010417</v>
      </c>
      <c r="CR37" s="1">
        <f t="shared" si="51"/>
        <v>1038.2658845140313</v>
      </c>
      <c r="CS37" s="1">
        <f t="shared" si="51"/>
        <v>1027.8832256688911</v>
      </c>
      <c r="CT37" s="1">
        <f t="shared" si="51"/>
        <v>1017.6043934122022</v>
      </c>
      <c r="CU37" s="1">
        <f t="shared" si="51"/>
        <v>1007.4283494780801</v>
      </c>
      <c r="CV37" s="1">
        <f t="shared" si="51"/>
        <v>997.35406598329928</v>
      </c>
      <c r="CW37" s="1">
        <f t="shared" si="51"/>
        <v>987.38052532346626</v>
      </c>
      <c r="CX37" s="1">
        <f t="shared" si="51"/>
        <v>977.50672007023161</v>
      </c>
      <c r="CY37" s="1">
        <f t="shared" si="51"/>
        <v>967.73165286952928</v>
      </c>
      <c r="CZ37" s="1">
        <f t="shared" si="51"/>
        <v>958.05433634083397</v>
      </c>
      <c r="DA37" s="1">
        <f t="shared" si="51"/>
        <v>948.47379297742566</v>
      </c>
      <c r="DB37" s="1">
        <f t="shared" si="51"/>
        <v>938.98905504765139</v>
      </c>
      <c r="DC37" s="1">
        <f t="shared" ref="DC37:EV37" si="52">DB37*(1+$AS$45)</f>
        <v>929.59916449717491</v>
      </c>
      <c r="DD37" s="1">
        <f t="shared" si="52"/>
        <v>920.30317285220315</v>
      </c>
      <c r="DE37" s="1">
        <f t="shared" si="52"/>
        <v>911.10014112368106</v>
      </c>
      <c r="DF37" s="1">
        <f t="shared" si="52"/>
        <v>901.98913971244428</v>
      </c>
      <c r="DG37" s="1">
        <f t="shared" si="52"/>
        <v>892.96924831531987</v>
      </c>
      <c r="DH37" s="1">
        <f t="shared" si="52"/>
        <v>884.03955583216668</v>
      </c>
      <c r="DI37" s="1">
        <f t="shared" si="52"/>
        <v>875.199160273845</v>
      </c>
      <c r="DJ37" s="1">
        <f t="shared" si="52"/>
        <v>866.44716867110651</v>
      </c>
      <c r="DK37" s="1">
        <f t="shared" si="52"/>
        <v>857.78269698439544</v>
      </c>
      <c r="DL37" s="1">
        <f t="shared" si="52"/>
        <v>849.20487001455149</v>
      </c>
      <c r="DM37" s="1">
        <f t="shared" si="52"/>
        <v>840.71282131440591</v>
      </c>
      <c r="DN37" s="1">
        <f t="shared" si="52"/>
        <v>832.3056931012618</v>
      </c>
      <c r="DO37" s="1">
        <f t="shared" si="52"/>
        <v>823.98263617024918</v>
      </c>
      <c r="DP37" s="1">
        <f t="shared" si="52"/>
        <v>815.74280980854667</v>
      </c>
      <c r="DQ37" s="1">
        <f t="shared" si="52"/>
        <v>807.58538171046121</v>
      </c>
      <c r="DR37" s="1">
        <f t="shared" si="52"/>
        <v>799.50952789335656</v>
      </c>
      <c r="DS37" s="1">
        <f t="shared" si="52"/>
        <v>791.51443261442296</v>
      </c>
      <c r="DT37" s="1">
        <f t="shared" si="52"/>
        <v>783.59928828827867</v>
      </c>
      <c r="DU37" s="1">
        <f t="shared" si="52"/>
        <v>775.76329540539587</v>
      </c>
      <c r="DV37" s="1">
        <f t="shared" si="52"/>
        <v>768.00566245134189</v>
      </c>
      <c r="DW37" s="1">
        <f t="shared" si="52"/>
        <v>760.32560582682845</v>
      </c>
      <c r="DX37" s="1">
        <f t="shared" si="52"/>
        <v>752.72234976856021</v>
      </c>
      <c r="DY37" s="1">
        <f t="shared" si="52"/>
        <v>745.19512627087465</v>
      </c>
      <c r="DZ37" s="1">
        <f t="shared" si="52"/>
        <v>737.74317500816585</v>
      </c>
      <c r="EA37" s="1">
        <f t="shared" si="52"/>
        <v>730.36574325808419</v>
      </c>
      <c r="EB37" s="1">
        <f t="shared" si="52"/>
        <v>723.06208582550335</v>
      </c>
      <c r="EC37" s="1">
        <f t="shared" si="52"/>
        <v>715.83146496724828</v>
      </c>
      <c r="ED37" s="1">
        <f t="shared" si="52"/>
        <v>708.67315031757585</v>
      </c>
      <c r="EE37" s="1">
        <f t="shared" si="52"/>
        <v>701.58641881440008</v>
      </c>
      <c r="EF37" s="1">
        <f t="shared" si="52"/>
        <v>694.57055462625613</v>
      </c>
      <c r="EG37" s="1">
        <f t="shared" si="52"/>
        <v>687.62484907999351</v>
      </c>
      <c r="EH37" s="1">
        <f t="shared" si="52"/>
        <v>680.74860058919353</v>
      </c>
      <c r="EI37" s="1">
        <f t="shared" si="52"/>
        <v>673.94111458330156</v>
      </c>
      <c r="EJ37" s="1">
        <f t="shared" si="52"/>
        <v>667.2017034374685</v>
      </c>
      <c r="EK37" s="1">
        <f t="shared" si="52"/>
        <v>660.52968640309382</v>
      </c>
      <c r="EL37" s="1">
        <f t="shared" si="52"/>
        <v>653.92438953906287</v>
      </c>
      <c r="EM37" s="1">
        <f t="shared" si="52"/>
        <v>647.38514564367222</v>
      </c>
      <c r="EN37" s="1">
        <f t="shared" si="52"/>
        <v>640.91129418723551</v>
      </c>
      <c r="EO37" s="1">
        <f t="shared" si="52"/>
        <v>634.5021812453632</v>
      </c>
      <c r="EP37" s="1">
        <f t="shared" si="52"/>
        <v>628.15715943290957</v>
      </c>
      <c r="EQ37" s="1">
        <f t="shared" si="52"/>
        <v>621.87558783858049</v>
      </c>
      <c r="ER37" s="1">
        <f t="shared" si="52"/>
        <v>615.65683196019472</v>
      </c>
      <c r="ES37" s="1">
        <f t="shared" si="52"/>
        <v>609.50026364059272</v>
      </c>
      <c r="ET37" s="1">
        <f t="shared" si="52"/>
        <v>603.40526100418674</v>
      </c>
      <c r="EU37" s="1">
        <f t="shared" si="52"/>
        <v>597.3712083941449</v>
      </c>
      <c r="EV37" s="1">
        <f t="shared" si="52"/>
        <v>591.39749631020345</v>
      </c>
    </row>
    <row r="38" spans="2:152" x14ac:dyDescent="0.3">
      <c r="B38" t="s">
        <v>2</v>
      </c>
      <c r="C38" s="3">
        <v>43.43</v>
      </c>
      <c r="D38" s="3">
        <v>43.43</v>
      </c>
      <c r="G38" s="3">
        <v>43.43</v>
      </c>
      <c r="H38" s="3">
        <v>43.43</v>
      </c>
      <c r="I38" s="3">
        <v>43.43</v>
      </c>
      <c r="J38" s="3">
        <v>43.43</v>
      </c>
      <c r="K38" s="3">
        <v>43.43</v>
      </c>
      <c r="L38" s="3">
        <v>43.43</v>
      </c>
      <c r="M38" s="3">
        <v>43.43</v>
      </c>
      <c r="N38" s="3">
        <v>43.43</v>
      </c>
      <c r="O38" s="3">
        <v>43.43</v>
      </c>
      <c r="P38" s="3">
        <v>43.43</v>
      </c>
      <c r="Q38" s="3">
        <v>43.43</v>
      </c>
      <c r="R38" s="3">
        <v>43.43</v>
      </c>
      <c r="S38" s="3">
        <v>43.84</v>
      </c>
      <c r="T38" s="3">
        <v>43.84</v>
      </c>
      <c r="U38" s="3">
        <v>43.84</v>
      </c>
      <c r="V38" s="3">
        <v>43.84</v>
      </c>
      <c r="Z38" s="3">
        <v>43.43</v>
      </c>
      <c r="AA38" s="3">
        <v>43.43</v>
      </c>
      <c r="AB38" s="3">
        <v>43.43</v>
      </c>
      <c r="AC38" s="3">
        <v>43.43</v>
      </c>
      <c r="AD38" s="3">
        <v>43.43</v>
      </c>
      <c r="AE38" s="3">
        <v>43.84</v>
      </c>
      <c r="AF38" s="3">
        <v>43.84</v>
      </c>
      <c r="AG38" s="3">
        <v>43.84</v>
      </c>
      <c r="AH38" s="3">
        <v>43.84</v>
      </c>
      <c r="AI38" s="3">
        <v>43.84</v>
      </c>
      <c r="AJ38" s="3">
        <v>43.84</v>
      </c>
      <c r="AK38" s="3">
        <v>43.84</v>
      </c>
      <c r="AL38" s="3">
        <v>43.84</v>
      </c>
      <c r="AM38" s="3">
        <v>43.84</v>
      </c>
      <c r="AN38" s="3">
        <v>43.84</v>
      </c>
      <c r="AO38" s="3">
        <v>43.84</v>
      </c>
    </row>
    <row r="39" spans="2:152" x14ac:dyDescent="0.3">
      <c r="B39" t="s">
        <v>22</v>
      </c>
      <c r="C39" s="5">
        <f>C37/C38</f>
        <v>1.1512779184895234</v>
      </c>
      <c r="D39" s="5">
        <f>D37/D38</f>
        <v>-0.85194565968224734</v>
      </c>
      <c r="G39" s="5">
        <f t="shared" ref="G39:P39" si="53">G37/G38</f>
        <v>1.0591756850103615</v>
      </c>
      <c r="H39" s="5">
        <f t="shared" si="53"/>
        <v>1.3124568270780566</v>
      </c>
      <c r="I39" s="5">
        <f t="shared" si="53"/>
        <v>1.7499424361040756</v>
      </c>
      <c r="J39" s="5">
        <f t="shared" si="53"/>
        <v>6.8385908358277687</v>
      </c>
      <c r="K39" s="5">
        <f t="shared" si="53"/>
        <v>1.1052268017499425</v>
      </c>
      <c r="L39" s="5">
        <f t="shared" si="53"/>
        <v>1.3124568270780566</v>
      </c>
      <c r="M39" s="5">
        <f t="shared" si="53"/>
        <v>2.3486069537186278</v>
      </c>
      <c r="N39" s="5">
        <f t="shared" si="53"/>
        <v>7.529357586921483</v>
      </c>
      <c r="O39" s="5">
        <f t="shared" si="53"/>
        <v>1.1512779184895234</v>
      </c>
      <c r="P39" s="5">
        <f t="shared" si="53"/>
        <v>1.4506101772967994</v>
      </c>
      <c r="Q39" s="5">
        <f t="shared" ref="Q39:R39" si="54">Q37/Q38</f>
        <v>3.1084503799217131</v>
      </c>
      <c r="R39" s="5">
        <f t="shared" si="54"/>
        <v>10.79898687543173</v>
      </c>
      <c r="S39" s="5">
        <f t="shared" ref="S39:V39" si="55">S37/S38</f>
        <v>1.8932481751824817</v>
      </c>
      <c r="T39" s="5">
        <f t="shared" si="55"/>
        <v>3.261861313868613</v>
      </c>
      <c r="U39" s="5">
        <f t="shared" si="55"/>
        <v>6.6194835766423381</v>
      </c>
      <c r="V39" s="5">
        <f t="shared" si="55"/>
        <v>14.521063138686129</v>
      </c>
      <c r="Z39" s="5">
        <f>Z37/Z38</f>
        <v>-0.62169007598434267</v>
      </c>
      <c r="AA39" s="5">
        <f>AA37/AA38</f>
        <v>6.7004374856090259</v>
      </c>
      <c r="AB39" s="5">
        <f>AB37/AB38</f>
        <v>10.960165784020262</v>
      </c>
      <c r="AC39" s="5">
        <f>AC37/AC38</f>
        <v>12.295648169468111</v>
      </c>
      <c r="AD39" s="5">
        <f t="shared" ref="AD39:AO39" si="56">AD37/AD38</f>
        <v>16.509325351139765</v>
      </c>
      <c r="AE39" s="5">
        <f t="shared" si="56"/>
        <v>26.295656204379561</v>
      </c>
      <c r="AF39" s="5">
        <f t="shared" si="56"/>
        <v>28.846314267791985</v>
      </c>
      <c r="AG39" s="5">
        <f t="shared" si="56"/>
        <v>32.627375536040134</v>
      </c>
      <c r="AH39" s="5">
        <f t="shared" si="56"/>
        <v>34.843754325644383</v>
      </c>
      <c r="AI39" s="5">
        <f t="shared" si="56"/>
        <v>36.232122775857945</v>
      </c>
      <c r="AJ39" s="5">
        <f t="shared" si="56"/>
        <v>37.095343076203839</v>
      </c>
      <c r="AK39" s="5">
        <f t="shared" si="56"/>
        <v>37.870914612555374</v>
      </c>
      <c r="AL39" s="5">
        <f t="shared" si="56"/>
        <v>38.664922197026613</v>
      </c>
      <c r="AM39" s="5">
        <f t="shared" si="56"/>
        <v>39.477857907054272</v>
      </c>
      <c r="AN39" s="5">
        <f t="shared" si="56"/>
        <v>40.310228542056535</v>
      </c>
      <c r="AO39" s="5">
        <f t="shared" si="56"/>
        <v>41.16255611726104</v>
      </c>
    </row>
    <row r="41" spans="2:152" x14ac:dyDescent="0.3">
      <c r="B41" t="s">
        <v>86</v>
      </c>
      <c r="O41" s="8">
        <f t="shared" ref="O41:Q41" si="57">O10/K10-1</f>
        <v>0.5372858689422404</v>
      </c>
      <c r="P41" s="8">
        <f t="shared" si="57"/>
        <v>0.53766190449719264</v>
      </c>
      <c r="Q41" s="8">
        <f t="shared" si="57"/>
        <v>0.41511822186218428</v>
      </c>
      <c r="R41" s="8">
        <f t="shared" ref="R41:T42" si="58">R10/N10-1</f>
        <v>0.39818901578923427</v>
      </c>
      <c r="S41" s="8">
        <f t="shared" si="58"/>
        <v>0.34958574979287493</v>
      </c>
      <c r="T41" s="8">
        <f t="shared" si="58"/>
        <v>0.16647988142149606</v>
      </c>
      <c r="AC41" s="8">
        <f>AC10/AB10-1</f>
        <v>0.45649148386241634</v>
      </c>
      <c r="AD41" s="8">
        <f>AD10/AC10-1</f>
        <v>0.39818901578923427</v>
      </c>
    </row>
    <row r="42" spans="2:152" x14ac:dyDescent="0.3">
      <c r="B42" t="s">
        <v>76</v>
      </c>
      <c r="L42" s="8"/>
      <c r="M42" s="8"/>
      <c r="N42" s="8">
        <f t="shared" ref="N42:O42" si="59">N11/J11-1</f>
        <v>0.44099051633298214</v>
      </c>
      <c r="O42" s="8">
        <f t="shared" si="59"/>
        <v>0.42572887848478391</v>
      </c>
      <c r="P42" s="8">
        <f>P11/L11-1</f>
        <v>0.61863560732113143</v>
      </c>
      <c r="Q42" s="8">
        <f>Q11/M11-1</f>
        <v>0.41263879817112992</v>
      </c>
      <c r="R42" s="8">
        <f t="shared" si="58"/>
        <v>0.43570122747453643</v>
      </c>
      <c r="S42" s="8">
        <f t="shared" si="58"/>
        <v>0.55633504987934423</v>
      </c>
      <c r="T42" s="8">
        <f t="shared" si="58"/>
        <v>0.29862253289473695</v>
      </c>
      <c r="AC42" s="8">
        <f>AC11/AB11-1</f>
        <v>0.44095288273370459</v>
      </c>
      <c r="AD42" s="8">
        <f>AD11/AC11-1</f>
        <v>0.43573872391548485</v>
      </c>
    </row>
    <row r="43" spans="2:152" x14ac:dyDescent="0.3">
      <c r="L43" s="8"/>
      <c r="M43" s="8"/>
      <c r="N43" s="8"/>
      <c r="O43" s="8"/>
      <c r="P43" s="8"/>
      <c r="Q43" s="8"/>
      <c r="R43" s="8"/>
    </row>
    <row r="44" spans="2:152" x14ac:dyDescent="0.3">
      <c r="B44" t="s">
        <v>53</v>
      </c>
      <c r="G44" s="8">
        <f t="shared" ref="G44:G49" si="60">G13/C13-1</f>
        <v>-2.7093596059113323E-2</v>
      </c>
      <c r="H44" s="8">
        <f t="shared" ref="H44:H49" si="61">H13/D13-1</f>
        <v>-3.2537960954446832E-2</v>
      </c>
      <c r="I44" s="8"/>
      <c r="J44" s="8"/>
      <c r="K44" s="8">
        <f t="shared" ref="K44:K49" si="62">K13/G13-1</f>
        <v>0.15696202531645564</v>
      </c>
      <c r="L44" s="8">
        <f t="shared" ref="L44:L49" si="63">L13/H13-1</f>
        <v>0.22197309417040367</v>
      </c>
      <c r="M44" s="8">
        <f t="shared" ref="M44:M49" si="64">M13/I13-1</f>
        <v>0.40128755364806867</v>
      </c>
      <c r="N44" s="8">
        <f t="shared" ref="N44:N49" si="65">N13/J13-1</f>
        <v>-2.3305084745762761E-2</v>
      </c>
      <c r="O44" s="8">
        <f t="shared" ref="O44" si="66">O13/K13-1</f>
        <v>7.0021881838074451E-2</v>
      </c>
      <c r="P44" s="8">
        <f t="shared" ref="P44:P45" si="67">P13/L13-1</f>
        <v>0.47706422018348627</v>
      </c>
      <c r="Q44" s="8">
        <f t="shared" ref="Q44:Q49" si="68">Q13/M13-1</f>
        <v>0.8897396630934149</v>
      </c>
      <c r="R44" s="8">
        <f t="shared" ref="R44:R49" si="69">R13/N13-1</f>
        <v>0.34598698481561829</v>
      </c>
      <c r="S44" s="8">
        <f t="shared" ref="S44:S49" si="70">S13/O13-1</f>
        <v>0.93251533742331283</v>
      </c>
      <c r="T44" s="8">
        <f t="shared" ref="T44:T49" si="71">T13/P13-1</f>
        <v>0.15527950310559002</v>
      </c>
      <c r="U44" s="8">
        <f t="shared" ref="U44:U49" si="72">U13/Q13-1</f>
        <v>0.19999999999999996</v>
      </c>
      <c r="V44" s="8">
        <f t="shared" ref="V44:V49" si="73">V13/R13-1</f>
        <v>0.35000000000000009</v>
      </c>
      <c r="AA44" s="8">
        <f t="shared" ref="AA44:AO44" si="74">AA13/Z13-1</f>
        <v>2.5711159737417999E-2</v>
      </c>
      <c r="AB44" s="8">
        <f t="shared" si="74"/>
        <v>0.20053333333333323</v>
      </c>
      <c r="AC44" s="8">
        <f t="shared" si="74"/>
        <v>0.14482452243447352</v>
      </c>
      <c r="AD44" s="8">
        <f t="shared" si="74"/>
        <v>0.46255335661622032</v>
      </c>
      <c r="AE44" s="8">
        <f t="shared" si="74"/>
        <v>0.33487662509949612</v>
      </c>
      <c r="AF44" s="8">
        <f t="shared" si="74"/>
        <v>0.21999999999999997</v>
      </c>
      <c r="AG44" s="8">
        <f t="shared" si="74"/>
        <v>8.0000000000000071E-2</v>
      </c>
      <c r="AH44" s="8">
        <f t="shared" si="74"/>
        <v>5.0000000000000044E-2</v>
      </c>
      <c r="AI44" s="8">
        <f t="shared" si="74"/>
        <v>3.0000000000000027E-2</v>
      </c>
      <c r="AJ44" s="8">
        <f t="shared" si="74"/>
        <v>2.0000000000000018E-2</v>
      </c>
      <c r="AK44" s="8">
        <f t="shared" si="74"/>
        <v>2.0000000000000018E-2</v>
      </c>
      <c r="AL44" s="8">
        <f t="shared" si="74"/>
        <v>2.0000000000000018E-2</v>
      </c>
      <c r="AM44" s="8">
        <f t="shared" si="74"/>
        <v>2.0000000000000018E-2</v>
      </c>
      <c r="AN44" s="8">
        <f t="shared" si="74"/>
        <v>2.0000000000000018E-2</v>
      </c>
      <c r="AO44" s="8">
        <f t="shared" si="74"/>
        <v>2.0000000000000018E-2</v>
      </c>
    </row>
    <row r="45" spans="2:152" x14ac:dyDescent="0.3">
      <c r="B45" t="s">
        <v>54</v>
      </c>
      <c r="G45" s="8">
        <f t="shared" si="60"/>
        <v>2.857142857142847E-2</v>
      </c>
      <c r="H45" s="8">
        <f t="shared" si="61"/>
        <v>0.11255411255411252</v>
      </c>
      <c r="I45" s="8"/>
      <c r="J45" s="8"/>
      <c r="K45" s="8">
        <f t="shared" si="62"/>
        <v>-0.19444444444444442</v>
      </c>
      <c r="L45" s="8">
        <f t="shared" si="63"/>
        <v>-3.5019455252918275E-2</v>
      </c>
      <c r="M45" s="8">
        <f t="shared" si="64"/>
        <v>0.66228070175438591</v>
      </c>
      <c r="N45" s="8">
        <f t="shared" si="65"/>
        <v>0.55606407322654472</v>
      </c>
      <c r="O45" s="8">
        <f t="shared" ref="O45" si="75">O14/K14-1</f>
        <v>0.84482758620689657</v>
      </c>
      <c r="P45" s="8">
        <f t="shared" si="67"/>
        <v>1.560483870967742</v>
      </c>
      <c r="Q45" s="8">
        <f t="shared" si="68"/>
        <v>0.17941952506596315</v>
      </c>
      <c r="R45" s="8">
        <f t="shared" si="69"/>
        <v>0.66470588235294126</v>
      </c>
      <c r="S45" s="8">
        <f t="shared" si="70"/>
        <v>0.65109034267912769</v>
      </c>
      <c r="T45" s="8">
        <f t="shared" si="71"/>
        <v>4.0944881889763751E-2</v>
      </c>
      <c r="U45" s="8">
        <f t="shared" si="72"/>
        <v>0.8</v>
      </c>
      <c r="V45" s="8">
        <f t="shared" si="73"/>
        <v>0.19999999999999996</v>
      </c>
      <c r="AA45" s="8">
        <f t="shared" ref="AA45" si="76">AA14/Z14-1</f>
        <v>1.878354203935606E-2</v>
      </c>
      <c r="AB45" s="8">
        <f t="shared" ref="AB45:AC45" si="77">AB14/AA14-1</f>
        <v>-8.779631255487752E-4</v>
      </c>
      <c r="AC45" s="8">
        <f t="shared" si="77"/>
        <v>0.30140597539543057</v>
      </c>
      <c r="AD45" s="8">
        <f t="shared" ref="AD45:AO45" si="78">AD14/AC14-1</f>
        <v>0.71168129642133704</v>
      </c>
      <c r="AE45" s="8">
        <f t="shared" si="78"/>
        <v>0.32307692307692304</v>
      </c>
      <c r="AF45" s="8">
        <f t="shared" si="78"/>
        <v>0.19999999999999996</v>
      </c>
      <c r="AG45" s="8">
        <f t="shared" si="78"/>
        <v>0.10000000000000009</v>
      </c>
      <c r="AH45" s="8">
        <f t="shared" si="78"/>
        <v>5.0000000000000044E-2</v>
      </c>
      <c r="AI45" s="8">
        <f t="shared" si="78"/>
        <v>3.0000000000000027E-2</v>
      </c>
      <c r="AJ45" s="8">
        <f t="shared" si="78"/>
        <v>2.0000000000000018E-2</v>
      </c>
      <c r="AK45" s="8">
        <f t="shared" si="78"/>
        <v>2.0000000000000018E-2</v>
      </c>
      <c r="AL45" s="8">
        <f t="shared" si="78"/>
        <v>2.0000000000000018E-2</v>
      </c>
      <c r="AM45" s="8">
        <f t="shared" si="78"/>
        <v>2.0000000000000018E-2</v>
      </c>
      <c r="AN45" s="8">
        <f t="shared" si="78"/>
        <v>2.0000000000000018E-2</v>
      </c>
      <c r="AO45" s="8">
        <f t="shared" si="78"/>
        <v>2.0000000000000018E-2</v>
      </c>
      <c r="AR45" t="s">
        <v>58</v>
      </c>
      <c r="AS45" s="8">
        <v>-0.01</v>
      </c>
    </row>
    <row r="46" spans="2:152" x14ac:dyDescent="0.3">
      <c r="B46" t="s">
        <v>55</v>
      </c>
      <c r="G46" s="8">
        <f t="shared" si="60"/>
        <v>-6.3829787234042534E-2</v>
      </c>
      <c r="H46" s="8">
        <f t="shared" si="61"/>
        <v>0.17283950617283961</v>
      </c>
      <c r="I46" s="8"/>
      <c r="J46" s="8"/>
      <c r="K46" s="8">
        <f t="shared" si="62"/>
        <v>0.4015151515151516</v>
      </c>
      <c r="L46" s="8">
        <f t="shared" si="63"/>
        <v>0.11052631578947358</v>
      </c>
      <c r="M46" s="8">
        <f t="shared" si="64"/>
        <v>9.6774193548387011E-2</v>
      </c>
      <c r="N46" s="8">
        <f t="shared" si="65"/>
        <v>-3.4642032332563466E-2</v>
      </c>
      <c r="O46" s="8">
        <f t="shared" ref="O46:P46" si="79">O15/K15-1</f>
        <v>0.22702702702702693</v>
      </c>
      <c r="P46" s="8">
        <f t="shared" si="79"/>
        <v>0.2890995260663507</v>
      </c>
      <c r="Q46" s="8">
        <f t="shared" si="68"/>
        <v>0.39215686274509798</v>
      </c>
      <c r="R46" s="8">
        <f t="shared" si="69"/>
        <v>0.27511961722488043</v>
      </c>
      <c r="S46" s="8">
        <f t="shared" si="70"/>
        <v>0.47577092511013208</v>
      </c>
      <c r="T46" s="8">
        <f t="shared" si="71"/>
        <v>0.48161764705882359</v>
      </c>
      <c r="U46" s="8">
        <f t="shared" si="72"/>
        <v>0.39999999999999991</v>
      </c>
      <c r="V46" s="8">
        <f t="shared" si="73"/>
        <v>0.33000000000000007</v>
      </c>
      <c r="AA46" s="8">
        <f t="shared" ref="AA46:AC46" si="80">AA15/Z15-1</f>
        <v>-3.9948453608247392E-2</v>
      </c>
      <c r="AB46" s="8">
        <f t="shared" si="80"/>
        <v>0.26308724832214758</v>
      </c>
      <c r="AC46" s="8">
        <f t="shared" si="80"/>
        <v>8.1827842720510136E-2</v>
      </c>
      <c r="AD46" s="8">
        <f t="shared" ref="AD46:AO46" si="81">AD15/AC15-1</f>
        <v>0.29273084479371314</v>
      </c>
      <c r="AE46" s="8">
        <f t="shared" si="81"/>
        <v>0.40158814589665637</v>
      </c>
      <c r="AF46" s="8">
        <f t="shared" si="81"/>
        <v>0.21999999999999997</v>
      </c>
      <c r="AG46" s="8">
        <f t="shared" si="81"/>
        <v>0.14999999999999991</v>
      </c>
      <c r="AH46" s="8">
        <f t="shared" si="81"/>
        <v>8.0000000000000071E-2</v>
      </c>
      <c r="AI46" s="8">
        <f t="shared" si="81"/>
        <v>5.0000000000000044E-2</v>
      </c>
      <c r="AJ46" s="8">
        <f t="shared" si="81"/>
        <v>4.0000000000000036E-2</v>
      </c>
      <c r="AK46" s="8">
        <f t="shared" si="81"/>
        <v>3.0000000000000027E-2</v>
      </c>
      <c r="AL46" s="8">
        <f t="shared" si="81"/>
        <v>3.0000000000000027E-2</v>
      </c>
      <c r="AM46" s="8">
        <f t="shared" si="81"/>
        <v>3.0000000000000027E-2</v>
      </c>
      <c r="AN46" s="8">
        <f t="shared" si="81"/>
        <v>3.0000000000000027E-2</v>
      </c>
      <c r="AO46" s="8">
        <f t="shared" si="81"/>
        <v>3.0000000000000027E-2</v>
      </c>
      <c r="AR46" t="s">
        <v>59</v>
      </c>
      <c r="AS46" s="8">
        <v>7.0000000000000007E-2</v>
      </c>
    </row>
    <row r="47" spans="2:152" x14ac:dyDescent="0.3">
      <c r="B47" t="s">
        <v>56</v>
      </c>
      <c r="G47" s="8">
        <f t="shared" si="60"/>
        <v>1.3752455795677854E-2</v>
      </c>
      <c r="H47" s="8">
        <f t="shared" si="61"/>
        <v>9.0128755364806912E-2</v>
      </c>
      <c r="I47" s="8"/>
      <c r="J47" s="8"/>
      <c r="K47" s="8">
        <f t="shared" si="62"/>
        <v>4.8449612403100861E-2</v>
      </c>
      <c r="L47" s="8">
        <f t="shared" si="63"/>
        <v>-4.7244094488189003E-2</v>
      </c>
      <c r="M47" s="8">
        <f t="shared" si="64"/>
        <v>-3.8022813688213253E-3</v>
      </c>
      <c r="N47" s="8">
        <f t="shared" si="65"/>
        <v>5.9760956175298752E-2</v>
      </c>
      <c r="O47" s="8">
        <f t="shared" ref="O47:P47" si="82">O16/K16-1</f>
        <v>-1.848428835489857E-3</v>
      </c>
      <c r="P47" s="8">
        <f t="shared" si="82"/>
        <v>5.9917355371900793E-2</v>
      </c>
      <c r="Q47" s="8">
        <f t="shared" si="68"/>
        <v>-7.6335877862595436E-2</v>
      </c>
      <c r="R47" s="8">
        <f t="shared" si="69"/>
        <v>-6.9548872180451138E-2</v>
      </c>
      <c r="S47" s="8">
        <f t="shared" si="70"/>
        <v>-6.6666666666666652E-2</v>
      </c>
      <c r="T47" s="8">
        <f t="shared" si="71"/>
        <v>-6.4327485380117011E-2</v>
      </c>
      <c r="U47" s="8">
        <f t="shared" si="72"/>
        <v>-5.0000000000000044E-2</v>
      </c>
      <c r="V47" s="8">
        <f t="shared" si="73"/>
        <v>-2.0000000000000018E-2</v>
      </c>
      <c r="AA47" s="8">
        <f t="shared" ref="AA47:AC47" si="83">AA16/Z16-1</f>
        <v>0.1166666666666667</v>
      </c>
      <c r="AB47" s="8">
        <f t="shared" si="83"/>
        <v>9.3816631130063888E-2</v>
      </c>
      <c r="AC47" s="8">
        <f t="shared" si="83"/>
        <v>1.4132553606237774E-2</v>
      </c>
      <c r="AD47" s="8">
        <f t="shared" ref="AD47:AO47" si="84">AD16/AC16-1</f>
        <v>-2.3546371936568944E-2</v>
      </c>
      <c r="AE47" s="8">
        <f t="shared" si="84"/>
        <v>-5.0738188976378051E-2</v>
      </c>
      <c r="AF47" s="8">
        <f t="shared" si="84"/>
        <v>1.0000000000000009E-2</v>
      </c>
      <c r="AG47" s="8">
        <f t="shared" si="84"/>
        <v>1.0000000000000009E-2</v>
      </c>
      <c r="AH47" s="8">
        <f t="shared" si="84"/>
        <v>1.0000000000000009E-2</v>
      </c>
      <c r="AI47" s="8">
        <f t="shared" si="84"/>
        <v>1.0000000000000009E-2</v>
      </c>
      <c r="AJ47" s="8">
        <f t="shared" si="84"/>
        <v>1.0000000000000009E-2</v>
      </c>
      <c r="AK47" s="8">
        <f t="shared" si="84"/>
        <v>1.0000000000000009E-2</v>
      </c>
      <c r="AL47" s="8">
        <f t="shared" si="84"/>
        <v>1.0000000000000009E-2</v>
      </c>
      <c r="AM47" s="8">
        <f t="shared" si="84"/>
        <v>1.0000000000000009E-2</v>
      </c>
      <c r="AN47" s="8">
        <f t="shared" si="84"/>
        <v>1.0000000000000009E-2</v>
      </c>
      <c r="AO47" s="8">
        <f t="shared" si="84"/>
        <v>1.0000000000000009E-2</v>
      </c>
      <c r="AR47" t="s">
        <v>60</v>
      </c>
      <c r="AS47" s="3">
        <f>NPV(AS46,AE37:EV37)</f>
        <v>22056.291446968597</v>
      </c>
    </row>
    <row r="48" spans="2:152" x14ac:dyDescent="0.3">
      <c r="B48" t="s">
        <v>57</v>
      </c>
      <c r="G48" s="8">
        <f t="shared" si="60"/>
        <v>2.5</v>
      </c>
      <c r="H48" s="8">
        <f t="shared" si="61"/>
        <v>-2.75</v>
      </c>
      <c r="I48" s="8"/>
      <c r="J48" s="8"/>
      <c r="K48" s="8">
        <f t="shared" si="62"/>
        <v>-0.1428571428571429</v>
      </c>
      <c r="L48" s="8">
        <f t="shared" si="63"/>
        <v>0.28571428571428581</v>
      </c>
      <c r="M48" s="8">
        <f t="shared" si="64"/>
        <v>-1.2222222222222223</v>
      </c>
      <c r="N48" s="8">
        <f t="shared" si="65"/>
        <v>0</v>
      </c>
      <c r="O48" s="8">
        <f t="shared" ref="O48:P48" si="85">O17/K17-1</f>
        <v>-0.16666666666666663</v>
      </c>
      <c r="P48" s="8">
        <f t="shared" si="85"/>
        <v>0.11111111111111116</v>
      </c>
      <c r="Q48" s="8">
        <f t="shared" si="68"/>
        <v>-3</v>
      </c>
      <c r="R48" s="8">
        <f t="shared" si="69"/>
        <v>15</v>
      </c>
      <c r="S48" s="8">
        <f t="shared" si="70"/>
        <v>-2.8</v>
      </c>
      <c r="T48" s="8">
        <f t="shared" si="71"/>
        <v>-5.3</v>
      </c>
      <c r="U48" s="8">
        <f t="shared" si="72"/>
        <v>0.35000000000000009</v>
      </c>
      <c r="V48" s="8">
        <f t="shared" si="73"/>
        <v>0.5</v>
      </c>
      <c r="AA48" s="8">
        <f t="shared" ref="AA48:AC48" si="86">AA17/Z17-1</f>
        <v>7</v>
      </c>
      <c r="AB48" s="8">
        <f t="shared" si="86"/>
        <v>0.16666666666666674</v>
      </c>
      <c r="AC48" s="8">
        <f t="shared" si="86"/>
        <v>-0.3571428571428571</v>
      </c>
      <c r="AD48" s="8">
        <f t="shared" ref="AD48:AO48" si="87">AD17/AC17-1</f>
        <v>4.5</v>
      </c>
      <c r="AE48" s="8">
        <f t="shared" si="87"/>
        <v>-0.25858585858585847</v>
      </c>
      <c r="AF48" s="8">
        <f t="shared" si="87"/>
        <v>0.39999999999999991</v>
      </c>
      <c r="AG48" s="8">
        <f t="shared" si="87"/>
        <v>0.30000000000000004</v>
      </c>
      <c r="AH48" s="8">
        <f t="shared" si="87"/>
        <v>0.19999999999999996</v>
      </c>
      <c r="AI48" s="8">
        <f t="shared" si="87"/>
        <v>0.10000000000000009</v>
      </c>
      <c r="AJ48" s="8">
        <f t="shared" si="87"/>
        <v>5.0000000000000044E-2</v>
      </c>
      <c r="AK48" s="8">
        <f t="shared" si="87"/>
        <v>5.0000000000000044E-2</v>
      </c>
      <c r="AL48" s="8">
        <f t="shared" si="87"/>
        <v>5.0000000000000044E-2</v>
      </c>
      <c r="AM48" s="8">
        <f t="shared" si="87"/>
        <v>5.0000000000000044E-2</v>
      </c>
      <c r="AN48" s="8">
        <f t="shared" si="87"/>
        <v>5.0000000000000044E-2</v>
      </c>
      <c r="AO48" s="8">
        <f t="shared" si="87"/>
        <v>5.0000000000000044E-2</v>
      </c>
      <c r="AR48" t="s">
        <v>61</v>
      </c>
      <c r="AS48" s="3">
        <f>Main!D8</f>
        <v>-293</v>
      </c>
    </row>
    <row r="49" spans="2:45" s="1" customFormat="1" x14ac:dyDescent="0.3">
      <c r="B49" s="1" t="s">
        <v>37</v>
      </c>
      <c r="G49" s="7">
        <f t="shared" si="60"/>
        <v>-1.577287066246047E-3</v>
      </c>
      <c r="H49" s="7">
        <f t="shared" si="61"/>
        <v>6.990881458966558E-2</v>
      </c>
      <c r="I49" s="7"/>
      <c r="J49" s="7"/>
      <c r="K49" s="7">
        <f t="shared" si="62"/>
        <v>7.6619273301737678E-2</v>
      </c>
      <c r="L49" s="7">
        <f t="shared" si="63"/>
        <v>6.3210227272727293E-2</v>
      </c>
      <c r="M49" s="7">
        <f t="shared" si="64"/>
        <v>0.24240282685512371</v>
      </c>
      <c r="N49" s="7">
        <f t="shared" si="65"/>
        <v>0.1016803102111159</v>
      </c>
      <c r="O49" s="7">
        <f>O18/K18-1</f>
        <v>0.16067498165810701</v>
      </c>
      <c r="P49" s="7">
        <f>P18/L18-1</f>
        <v>0.49298597194388782</v>
      </c>
      <c r="Q49" s="7">
        <f t="shared" si="68"/>
        <v>0.39533560864618877</v>
      </c>
      <c r="R49" s="7">
        <f t="shared" si="69"/>
        <v>0.36136096988658584</v>
      </c>
      <c r="S49" s="7">
        <f t="shared" si="70"/>
        <v>0.45701643489254118</v>
      </c>
      <c r="T49" s="7">
        <f t="shared" si="71"/>
        <v>8.7695749440715787E-2</v>
      </c>
      <c r="U49" s="7">
        <f t="shared" si="72"/>
        <v>0.28340807174887894</v>
      </c>
      <c r="V49" s="7">
        <f t="shared" si="73"/>
        <v>0.24899166906061465</v>
      </c>
      <c r="Z49" s="7"/>
      <c r="AA49" s="7">
        <f>AA18/Z18-1</f>
        <v>4.6993524514338469E-2</v>
      </c>
      <c r="AB49" s="7">
        <f t="shared" ref="AB49:AO49" si="88">AB18/AA18-1</f>
        <v>0.1327089591800672</v>
      </c>
      <c r="AC49" s="7">
        <f t="shared" si="88"/>
        <v>0.11934477379095165</v>
      </c>
      <c r="AD49" s="7">
        <f t="shared" si="88"/>
        <v>0.35902439024390254</v>
      </c>
      <c r="AE49" s="7">
        <f t="shared" si="88"/>
        <v>0.25442928930366127</v>
      </c>
      <c r="AF49" s="7">
        <f t="shared" si="88"/>
        <v>0.18248044055153967</v>
      </c>
      <c r="AG49" s="7">
        <f t="shared" si="88"/>
        <v>8.8590235067131706E-2</v>
      </c>
      <c r="AH49" s="7">
        <f t="shared" si="88"/>
        <v>5.1204538885816664E-2</v>
      </c>
      <c r="AI49" s="7">
        <f t="shared" si="88"/>
        <v>3.1653693802894178E-2</v>
      </c>
      <c r="AJ49" s="7">
        <f t="shared" si="88"/>
        <v>2.2571489574682468E-2</v>
      </c>
      <c r="AK49" s="7">
        <f t="shared" si="88"/>
        <v>2.0904952923547215E-2</v>
      </c>
      <c r="AL49" s="7">
        <f t="shared" si="88"/>
        <v>2.0941992337490944E-2</v>
      </c>
      <c r="AM49" s="7">
        <f t="shared" si="88"/>
        <v>2.0979260849687487E-2</v>
      </c>
      <c r="AN49" s="7">
        <f t="shared" si="88"/>
        <v>2.1016764161705837E-2</v>
      </c>
      <c r="AO49" s="7">
        <f t="shared" si="88"/>
        <v>2.1054508084077606E-2</v>
      </c>
      <c r="AR49" t="s">
        <v>62</v>
      </c>
      <c r="AS49" s="3">
        <f>AS47+AS48</f>
        <v>21763.291446968597</v>
      </c>
    </row>
    <row r="50" spans="2:45" s="1" customFormat="1" x14ac:dyDescent="0.3">
      <c r="B50" t="s">
        <v>71</v>
      </c>
      <c r="C50"/>
      <c r="D50"/>
      <c r="E50"/>
      <c r="F50"/>
      <c r="G50" s="8">
        <f>(G18+G19)/(C18+C19)-1</f>
        <v>-4.9873203719357551E-2</v>
      </c>
      <c r="H50" s="8">
        <f>(H18+H19)/(D18+D19)-1</f>
        <v>2.7195027195027199E-2</v>
      </c>
      <c r="I50" s="8"/>
      <c r="J50" s="8"/>
      <c r="K50" s="8">
        <f t="shared" ref="K50:R50" si="89">(K18+K19)/(G18+G19)-1</f>
        <v>-8.2740213523131656E-2</v>
      </c>
      <c r="L50" s="8">
        <f t="shared" si="89"/>
        <v>-2.874432677760963E-2</v>
      </c>
      <c r="M50" s="8">
        <f t="shared" si="89"/>
        <v>0.24119028974158185</v>
      </c>
      <c r="N50" s="8">
        <f t="shared" si="89"/>
        <v>1.7758484609313285E-2</v>
      </c>
      <c r="O50" s="8">
        <f t="shared" si="89"/>
        <v>0.11542192046556732</v>
      </c>
      <c r="P50" s="8">
        <f t="shared" si="89"/>
        <v>0.7398753894080996</v>
      </c>
      <c r="Q50" s="8">
        <f t="shared" si="89"/>
        <v>0.62965299684542586</v>
      </c>
      <c r="R50" s="8">
        <f t="shared" si="89"/>
        <v>0.40248158200853035</v>
      </c>
      <c r="S50" s="8">
        <f t="shared" ref="S50" si="90">(S18+S19)/(O18+O19)-1</f>
        <v>0.78956521739130436</v>
      </c>
      <c r="T50" s="8">
        <f t="shared" ref="T50" si="91">(T18+T19)/(P18+P19)-1</f>
        <v>-6.9829901521933802E-2</v>
      </c>
      <c r="U50" s="8">
        <f t="shared" ref="U50" si="92">(U18+U19)/(Q18+Q19)-1</f>
        <v>0.21881533101045303</v>
      </c>
      <c r="V50" s="8">
        <f t="shared" ref="V50" si="93">(V18+V19)/(R18+R19)-1</f>
        <v>0.20202930605474134</v>
      </c>
      <c r="Z50" s="7"/>
      <c r="AA50" s="8">
        <f>(AA18+AA19)/(Z18+Z19)-1</f>
        <v>5.3011590347710413E-2</v>
      </c>
      <c r="AB50" s="8">
        <f t="shared" ref="AB50:AO50" si="94">(AB18+AB19)/(AA18+AA19)-1</f>
        <v>0.12901479610249011</v>
      </c>
      <c r="AC50" s="8">
        <f t="shared" si="94"/>
        <v>3.548026210644073E-2</v>
      </c>
      <c r="AD50" s="8">
        <f t="shared" si="94"/>
        <v>0.47924062355301733</v>
      </c>
      <c r="AE50" s="8">
        <f t="shared" si="94"/>
        <v>0.27628756260434062</v>
      </c>
      <c r="AF50" s="8">
        <f t="shared" si="94"/>
        <v>0.18248044055153967</v>
      </c>
      <c r="AG50" s="8">
        <f t="shared" si="94"/>
        <v>8.8590235067131706E-2</v>
      </c>
      <c r="AH50" s="8">
        <f t="shared" si="94"/>
        <v>5.1204538885816664E-2</v>
      </c>
      <c r="AI50" s="8">
        <f t="shared" si="94"/>
        <v>3.1653693802894178E-2</v>
      </c>
      <c r="AJ50" s="8">
        <f t="shared" si="94"/>
        <v>2.2571489574682468E-2</v>
      </c>
      <c r="AK50" s="8">
        <f t="shared" si="94"/>
        <v>2.0904952923547215E-2</v>
      </c>
      <c r="AL50" s="8">
        <f t="shared" si="94"/>
        <v>2.0941992337490944E-2</v>
      </c>
      <c r="AM50" s="8">
        <f t="shared" si="94"/>
        <v>2.0979260849687487E-2</v>
      </c>
      <c r="AN50" s="8">
        <f t="shared" si="94"/>
        <v>2.1016764161705837E-2</v>
      </c>
      <c r="AO50" s="8">
        <f t="shared" si="94"/>
        <v>2.1054508084077606E-2</v>
      </c>
      <c r="AR50" t="s">
        <v>63</v>
      </c>
      <c r="AS50" s="2">
        <f>AS49/AO38</f>
        <v>496.42544358961209</v>
      </c>
    </row>
    <row r="51" spans="2:45" x14ac:dyDescent="0.3">
      <c r="B51" t="s">
        <v>38</v>
      </c>
      <c r="C51" s="8">
        <f>C23/C18</f>
        <v>0.21608832807570977</v>
      </c>
      <c r="D51" s="8">
        <f>D23/D18</f>
        <v>0.21808510638297873</v>
      </c>
      <c r="E51" s="8"/>
      <c r="F51" s="8"/>
      <c r="G51" s="8">
        <f t="shared" ref="G51:P51" si="95">G23/G18</f>
        <v>0.2109004739336493</v>
      </c>
      <c r="H51" s="8">
        <f t="shared" si="95"/>
        <v>0.22443181818181818</v>
      </c>
      <c r="I51" s="8">
        <f t="shared" si="95"/>
        <v>0.22332155477031801</v>
      </c>
      <c r="J51" s="8">
        <f t="shared" si="95"/>
        <v>0.27789745799224475</v>
      </c>
      <c r="K51" s="8">
        <f t="shared" si="95"/>
        <v>0.22157006603081439</v>
      </c>
      <c r="L51" s="8">
        <f t="shared" si="95"/>
        <v>0.22845691382765532</v>
      </c>
      <c r="M51" s="8">
        <f t="shared" si="95"/>
        <v>0.24402730375426621</v>
      </c>
      <c r="N51" s="8">
        <f t="shared" si="95"/>
        <v>0.31912397340633553</v>
      </c>
      <c r="O51" s="8">
        <f t="shared" si="95"/>
        <v>0.24905183312262957</v>
      </c>
      <c r="P51" s="8">
        <f t="shared" si="95"/>
        <v>0.25548098434004474</v>
      </c>
      <c r="Q51" s="8">
        <f t="shared" ref="Q51:R51" si="96">Q23/Q18</f>
        <v>0.23685283326538931</v>
      </c>
      <c r="R51" s="8">
        <f t="shared" si="96"/>
        <v>0.3274920999712726</v>
      </c>
      <c r="S51" s="8">
        <f t="shared" ref="S51:V51" si="97">S23/S18</f>
        <v>0.23514099783080261</v>
      </c>
      <c r="T51" s="8">
        <f t="shared" si="97"/>
        <v>0.24475524475524477</v>
      </c>
      <c r="U51" s="8">
        <f t="shared" si="97"/>
        <v>0.26</v>
      </c>
      <c r="V51" s="8">
        <f t="shared" si="97"/>
        <v>0.34</v>
      </c>
      <c r="Z51" s="8">
        <f>Z23/Z18</f>
        <v>0.22534690101757632</v>
      </c>
      <c r="AA51" s="8">
        <f>AA23/AA18</f>
        <v>0.24527301643399893</v>
      </c>
      <c r="AB51" s="8">
        <f t="shared" ref="AB51:AO51" si="98">AB23/AB18</f>
        <v>0.24087363494539782</v>
      </c>
      <c r="AC51" s="8">
        <f t="shared" si="98"/>
        <v>0.26327526132404183</v>
      </c>
      <c r="AD51" s="8">
        <f t="shared" si="98"/>
        <v>0.27545892728950877</v>
      </c>
      <c r="AE51" s="8">
        <f t="shared" si="98"/>
        <v>0.28072109575423032</v>
      </c>
      <c r="AF51" s="8">
        <f t="shared" si="98"/>
        <v>0.25000000000000006</v>
      </c>
      <c r="AG51" s="8">
        <f t="shared" si="98"/>
        <v>0.24999999999999997</v>
      </c>
      <c r="AH51" s="8">
        <f t="shared" si="98"/>
        <v>0.25</v>
      </c>
      <c r="AI51" s="8">
        <f t="shared" si="98"/>
        <v>0.25</v>
      </c>
      <c r="AJ51" s="8">
        <f t="shared" si="98"/>
        <v>0.25</v>
      </c>
      <c r="AK51" s="8">
        <f t="shared" si="98"/>
        <v>0.25000000000000006</v>
      </c>
      <c r="AL51" s="8">
        <f t="shared" si="98"/>
        <v>0.24999999999999994</v>
      </c>
      <c r="AM51" s="8">
        <f t="shared" si="98"/>
        <v>0.24999999999999994</v>
      </c>
      <c r="AN51" s="8">
        <f t="shared" si="98"/>
        <v>0.25</v>
      </c>
      <c r="AO51" s="8">
        <f t="shared" si="98"/>
        <v>0.25</v>
      </c>
      <c r="AR51" t="s">
        <v>64</v>
      </c>
      <c r="AS51" s="2">
        <f>Main!D3</f>
        <v>1744.5</v>
      </c>
    </row>
    <row r="52" spans="2:45" x14ac:dyDescent="0.3">
      <c r="B52" t="s">
        <v>47</v>
      </c>
      <c r="C52" s="8">
        <f>C20/C18</f>
        <v>0.52444794952681384</v>
      </c>
      <c r="D52" s="8">
        <f>D20/D18</f>
        <v>0.48252279635258361</v>
      </c>
      <c r="E52" s="8"/>
      <c r="F52" s="8"/>
      <c r="G52" s="8">
        <f t="shared" ref="G52:N52" si="99">G20/G18</f>
        <v>0.54028436018957349</v>
      </c>
      <c r="H52" s="8">
        <f t="shared" si="99"/>
        <v>0.50710227272727271</v>
      </c>
      <c r="I52" s="8">
        <f t="shared" si="99"/>
        <v>0.56325088339222618</v>
      </c>
      <c r="J52" s="8">
        <f t="shared" si="99"/>
        <v>0.42567858681602755</v>
      </c>
      <c r="K52" s="8">
        <f t="shared" si="99"/>
        <v>0.65517241379310343</v>
      </c>
      <c r="L52" s="8">
        <f t="shared" si="99"/>
        <v>0.57515030060120242</v>
      </c>
      <c r="M52" s="8">
        <f t="shared" si="99"/>
        <v>0.57281001137656429</v>
      </c>
      <c r="N52" s="8">
        <f t="shared" si="99"/>
        <v>0.45913179507235041</v>
      </c>
      <c r="O52" s="8">
        <f t="shared" ref="O52:P52" si="100">O20/O18</f>
        <v>0.65676359039190901</v>
      </c>
      <c r="P52" s="8">
        <f t="shared" si="100"/>
        <v>0.48635346756152126</v>
      </c>
      <c r="Q52" s="8">
        <f t="shared" ref="Q52:R52" si="101">Q20/Q18</f>
        <v>0.47696697920913167</v>
      </c>
      <c r="R52" s="8">
        <f t="shared" si="101"/>
        <v>0.44900890548692907</v>
      </c>
      <c r="S52" s="8">
        <f t="shared" ref="S52:V52" si="102">S20/S18</f>
        <v>0.57006507592190891</v>
      </c>
      <c r="T52" s="8">
        <f t="shared" si="102"/>
        <v>0.61085972850678738</v>
      </c>
      <c r="U52" s="8">
        <f t="shared" si="102"/>
        <v>0</v>
      </c>
      <c r="V52" s="8">
        <f t="shared" si="102"/>
        <v>0</v>
      </c>
      <c r="Z52" s="8">
        <f t="shared" ref="Z52:AO52" si="103">Z20/Z18</f>
        <v>0.51655874190564288</v>
      </c>
      <c r="AA52" s="8">
        <f t="shared" si="103"/>
        <v>0.48506803322141723</v>
      </c>
      <c r="AB52" s="8">
        <f t="shared" si="103"/>
        <v>0.49656786271450859</v>
      </c>
      <c r="AC52" s="8">
        <f t="shared" si="103"/>
        <v>0.5484320557491289</v>
      </c>
      <c r="AD52" s="8">
        <f t="shared" si="103"/>
        <v>0.49830786585991182</v>
      </c>
      <c r="AE52" s="8"/>
      <c r="AF52" s="8">
        <f t="shared" si="103"/>
        <v>0.5</v>
      </c>
      <c r="AG52" s="8">
        <f t="shared" si="103"/>
        <v>0.5</v>
      </c>
      <c r="AH52" s="8">
        <f t="shared" si="103"/>
        <v>0.5</v>
      </c>
      <c r="AI52" s="8">
        <f t="shared" si="103"/>
        <v>0.5</v>
      </c>
      <c r="AJ52" s="8">
        <f t="shared" si="103"/>
        <v>0.5</v>
      </c>
      <c r="AK52" s="8">
        <f t="shared" si="103"/>
        <v>0.5</v>
      </c>
      <c r="AL52" s="8">
        <f t="shared" si="103"/>
        <v>0.5</v>
      </c>
      <c r="AM52" s="8">
        <f t="shared" si="103"/>
        <v>0.5</v>
      </c>
      <c r="AN52" s="8">
        <f t="shared" si="103"/>
        <v>0.5</v>
      </c>
      <c r="AO52" s="8">
        <f t="shared" si="103"/>
        <v>0.5</v>
      </c>
      <c r="AR52" s="1" t="s">
        <v>65</v>
      </c>
      <c r="AS52" s="7">
        <f>AS50/AS51-1</f>
        <v>-0.71543396756112809</v>
      </c>
    </row>
    <row r="53" spans="2:45" x14ac:dyDescent="0.3">
      <c r="B53" t="s">
        <v>48</v>
      </c>
      <c r="C53" s="8">
        <f>C21/C18</f>
        <v>0.32649842271293378</v>
      </c>
      <c r="D53" s="8">
        <f>D21/D18</f>
        <v>0.32142857142857145</v>
      </c>
      <c r="E53" s="8"/>
      <c r="F53" s="8"/>
      <c r="G53" s="8">
        <f t="shared" ref="G53:N53" si="104">G21/G18</f>
        <v>0.3609794628751975</v>
      </c>
      <c r="H53" s="8">
        <f t="shared" si="104"/>
        <v>0.32954545454545453</v>
      </c>
      <c r="I53" s="8">
        <f t="shared" si="104"/>
        <v>0.31095406360424027</v>
      </c>
      <c r="J53" s="8">
        <f t="shared" si="104"/>
        <v>0.20465316673847481</v>
      </c>
      <c r="K53" s="8">
        <f t="shared" si="104"/>
        <v>0.36683785766691124</v>
      </c>
      <c r="L53" s="8">
        <f t="shared" si="104"/>
        <v>0.33867735470941884</v>
      </c>
      <c r="M53" s="8">
        <f t="shared" si="104"/>
        <v>0.28156996587030719</v>
      </c>
      <c r="N53" s="8">
        <f t="shared" si="104"/>
        <v>0.21314039890496675</v>
      </c>
      <c r="O53" s="8">
        <f t="shared" ref="O53:P53" si="105">O21/O18</f>
        <v>0.36725663716814161</v>
      </c>
      <c r="P53" s="8">
        <f t="shared" si="105"/>
        <v>0.25861297539149886</v>
      </c>
      <c r="Q53" s="8">
        <f t="shared" ref="Q53:R53" si="106">Q21/Q18</f>
        <v>0.23318385650224216</v>
      </c>
      <c r="R53" s="8">
        <f t="shared" si="106"/>
        <v>0.18442976156276933</v>
      </c>
      <c r="S53" s="8">
        <f t="shared" ref="S53:V53" si="107">S21/S18</f>
        <v>0.30195227765726679</v>
      </c>
      <c r="T53" s="8">
        <f t="shared" si="107"/>
        <v>0.2895927601809955</v>
      </c>
      <c r="U53" s="8">
        <f t="shared" si="107"/>
        <v>0</v>
      </c>
      <c r="V53" s="8">
        <f t="shared" si="107"/>
        <v>0</v>
      </c>
      <c r="Z53" s="8">
        <f t="shared" ref="Z53:AO53" si="108">Z21/Z18</f>
        <v>0.28436632747456059</v>
      </c>
      <c r="AA53" s="8">
        <f t="shared" si="108"/>
        <v>0.29033398126877541</v>
      </c>
      <c r="AB53" s="8">
        <f t="shared" si="108"/>
        <v>0.28642745709828393</v>
      </c>
      <c r="AC53" s="8">
        <f t="shared" si="108"/>
        <v>0.28529616724738677</v>
      </c>
      <c r="AD53" s="8">
        <f t="shared" si="108"/>
        <v>0.24335965541995694</v>
      </c>
      <c r="AE53" s="8"/>
      <c r="AF53" s="8">
        <f t="shared" si="108"/>
        <v>0.25</v>
      </c>
      <c r="AG53" s="8">
        <f t="shared" si="108"/>
        <v>0.25</v>
      </c>
      <c r="AH53" s="8">
        <f t="shared" si="108"/>
        <v>0.25</v>
      </c>
      <c r="AI53" s="8">
        <f t="shared" si="108"/>
        <v>0.25</v>
      </c>
      <c r="AJ53" s="8">
        <f t="shared" si="108"/>
        <v>0.25</v>
      </c>
      <c r="AK53" s="8">
        <f t="shared" si="108"/>
        <v>0.25</v>
      </c>
      <c r="AL53" s="8">
        <f t="shared" si="108"/>
        <v>0.25</v>
      </c>
      <c r="AM53" s="8">
        <f t="shared" si="108"/>
        <v>0.25</v>
      </c>
      <c r="AN53" s="8">
        <f t="shared" si="108"/>
        <v>0.25</v>
      </c>
      <c r="AO53" s="8">
        <f t="shared" si="108"/>
        <v>0.25</v>
      </c>
      <c r="AR53" t="s">
        <v>66</v>
      </c>
      <c r="AS53" s="4" t="s">
        <v>72</v>
      </c>
    </row>
    <row r="54" spans="2:45" x14ac:dyDescent="0.3">
      <c r="B54" t="s">
        <v>91</v>
      </c>
      <c r="C54" s="8"/>
      <c r="D54" s="8"/>
      <c r="E54" s="8"/>
      <c r="F54" s="8"/>
      <c r="G54" s="8">
        <f t="shared" ref="G54:V54" si="109">G25/C25-1</f>
        <v>0.38095238095238093</v>
      </c>
      <c r="H54" s="8">
        <f t="shared" si="109"/>
        <v>0.30000000000000004</v>
      </c>
      <c r="I54" s="8" t="e">
        <f t="shared" si="109"/>
        <v>#DIV/0!</v>
      </c>
      <c r="J54" s="8" t="e">
        <f t="shared" si="109"/>
        <v>#DIV/0!</v>
      </c>
      <c r="K54" s="8">
        <f t="shared" si="109"/>
        <v>0.10344827586206895</v>
      </c>
      <c r="L54" s="8">
        <f t="shared" si="109"/>
        <v>-0.4358974358974359</v>
      </c>
      <c r="M54" s="8">
        <f t="shared" si="109"/>
        <v>-0.22641509433962259</v>
      </c>
      <c r="N54" s="8">
        <f t="shared" si="109"/>
        <v>-0.42000000000000004</v>
      </c>
      <c r="O54" s="8">
        <f t="shared" si="109"/>
        <v>0.3125</v>
      </c>
      <c r="P54" s="8">
        <f t="shared" si="109"/>
        <v>0.77272727272727271</v>
      </c>
      <c r="Q54" s="8">
        <f t="shared" si="109"/>
        <v>0.24390243902439024</v>
      </c>
      <c r="R54" s="8">
        <f t="shared" si="109"/>
        <v>0.65517241379310343</v>
      </c>
      <c r="S54" s="8">
        <f t="shared" si="109"/>
        <v>-0.1428571428571429</v>
      </c>
      <c r="T54" s="8">
        <f t="shared" si="109"/>
        <v>0.30769230769230771</v>
      </c>
      <c r="U54" s="8">
        <f t="shared" si="109"/>
        <v>0.30000000000000004</v>
      </c>
      <c r="V54" s="8">
        <f t="shared" si="109"/>
        <v>0.30000000000000004</v>
      </c>
      <c r="Z54" s="8"/>
      <c r="AA54" s="8">
        <f t="shared" ref="AA54:AO54" si="110">AA25/Z25-1</f>
        <v>0.17543859649122817</v>
      </c>
      <c r="AB54" s="8">
        <f t="shared" si="110"/>
        <v>0.64925373134328357</v>
      </c>
      <c r="AC54" s="8">
        <f t="shared" si="110"/>
        <v>-0.30769230769230771</v>
      </c>
      <c r="AD54" s="8">
        <f t="shared" si="110"/>
        <v>0.49019607843137258</v>
      </c>
      <c r="AE54" s="8">
        <f t="shared" si="110"/>
        <v>-1</v>
      </c>
      <c r="AF54" s="8" t="e">
        <f t="shared" si="110"/>
        <v>#DIV/0!</v>
      </c>
      <c r="AG54" s="8" t="e">
        <f t="shared" si="110"/>
        <v>#DIV/0!</v>
      </c>
      <c r="AH54" s="8" t="e">
        <f t="shared" si="110"/>
        <v>#DIV/0!</v>
      </c>
      <c r="AI54" s="8" t="e">
        <f t="shared" si="110"/>
        <v>#DIV/0!</v>
      </c>
      <c r="AJ54" s="8" t="e">
        <f t="shared" si="110"/>
        <v>#DIV/0!</v>
      </c>
      <c r="AK54" s="8" t="e">
        <f t="shared" si="110"/>
        <v>#DIV/0!</v>
      </c>
      <c r="AL54" s="8" t="e">
        <f t="shared" si="110"/>
        <v>#DIV/0!</v>
      </c>
      <c r="AM54" s="8" t="e">
        <f t="shared" si="110"/>
        <v>#DIV/0!</v>
      </c>
      <c r="AN54" s="8" t="e">
        <f t="shared" si="110"/>
        <v>#DIV/0!</v>
      </c>
      <c r="AO54" s="8" t="e">
        <f t="shared" si="110"/>
        <v>#DIV/0!</v>
      </c>
      <c r="AS54" s="4"/>
    </row>
    <row r="55" spans="2:45" x14ac:dyDescent="0.3">
      <c r="B55" t="s">
        <v>46</v>
      </c>
      <c r="C55" s="8"/>
      <c r="D55" s="8"/>
      <c r="E55" s="8"/>
      <c r="F55" s="8"/>
      <c r="G55" s="8">
        <f>G26/C26-1</f>
        <v>2.6845637583892579E-2</v>
      </c>
      <c r="H55" s="8">
        <f>H26/D26-1</f>
        <v>7.7922077922077948E-2</v>
      </c>
      <c r="I55" s="8"/>
      <c r="J55" s="8"/>
      <c r="K55" s="8">
        <f t="shared" ref="K55:P55" si="111">K26/G26-1</f>
        <v>0.18954248366013071</v>
      </c>
      <c r="L55" s="8">
        <f t="shared" si="111"/>
        <v>0.10240963855421681</v>
      </c>
      <c r="M55" s="8">
        <f t="shared" si="111"/>
        <v>0.12886597938144329</v>
      </c>
      <c r="N55" s="8">
        <f t="shared" si="111"/>
        <v>0.19607843137254899</v>
      </c>
      <c r="O55" s="8">
        <f t="shared" si="111"/>
        <v>0.25274725274725274</v>
      </c>
      <c r="P55" s="8">
        <f t="shared" si="111"/>
        <v>0.51366120218579225</v>
      </c>
      <c r="Q55" s="8">
        <f t="shared" ref="Q55:R55" si="112">Q26/M26-1</f>
        <v>0.12785388127853881</v>
      </c>
      <c r="R55" s="8">
        <f t="shared" si="112"/>
        <v>0.20655737704918042</v>
      </c>
      <c r="S55" s="8">
        <f t="shared" ref="S55" si="113">S26/O26-1</f>
        <v>0.25877192982456143</v>
      </c>
      <c r="T55" s="8">
        <f t="shared" ref="T55" si="114">T26/P26-1</f>
        <v>3.6101083032491044E-2</v>
      </c>
      <c r="U55" s="8">
        <f t="shared" ref="U55" si="115">U26/Q26-1</f>
        <v>0.14999999999999991</v>
      </c>
      <c r="V55" s="8">
        <f t="shared" ref="V55" si="116">V26/R26-1</f>
        <v>0.10000000000000009</v>
      </c>
      <c r="Z55" s="8"/>
      <c r="AA55" s="8">
        <f>AA26/Z26-1</f>
        <v>2.1806853582554409E-2</v>
      </c>
      <c r="AB55" s="8">
        <f t="shared" ref="AB55:AO55" si="117">AB26/AA26-1</f>
        <v>0.1707317073170731</v>
      </c>
      <c r="AC55" s="8">
        <f t="shared" si="117"/>
        <v>0.15755208333333326</v>
      </c>
      <c r="AD55" s="8">
        <f t="shared" si="117"/>
        <v>0.25984251968503935</v>
      </c>
      <c r="AE55" s="8">
        <f t="shared" si="117"/>
        <v>-1</v>
      </c>
      <c r="AF55" s="8" t="e">
        <f t="shared" si="117"/>
        <v>#DIV/0!</v>
      </c>
      <c r="AG55" s="8" t="e">
        <f t="shared" si="117"/>
        <v>#DIV/0!</v>
      </c>
      <c r="AH55" s="8" t="e">
        <f t="shared" si="117"/>
        <v>#DIV/0!</v>
      </c>
      <c r="AI55" s="8" t="e">
        <f t="shared" si="117"/>
        <v>#DIV/0!</v>
      </c>
      <c r="AJ55" s="8" t="e">
        <f t="shared" si="117"/>
        <v>#DIV/0!</v>
      </c>
      <c r="AK55" s="8" t="e">
        <f t="shared" si="117"/>
        <v>#DIV/0!</v>
      </c>
      <c r="AL55" s="8" t="e">
        <f t="shared" si="117"/>
        <v>#DIV/0!</v>
      </c>
      <c r="AM55" s="8" t="e">
        <f t="shared" si="117"/>
        <v>#DIV/0!</v>
      </c>
      <c r="AN55" s="8" t="e">
        <f t="shared" si="117"/>
        <v>#DIV/0!</v>
      </c>
      <c r="AO55" s="8" t="e">
        <f t="shared" si="117"/>
        <v>#DIV/0!</v>
      </c>
    </row>
    <row r="56" spans="2:45" x14ac:dyDescent="0.3">
      <c r="B56" t="s">
        <v>39</v>
      </c>
      <c r="C56" s="8">
        <f>C28/C18</f>
        <v>6.9400630914826497E-2</v>
      </c>
      <c r="D56" s="8">
        <f>D28/D18</f>
        <v>7.9787234042553196E-2</v>
      </c>
      <c r="E56" s="8"/>
      <c r="F56" s="8"/>
      <c r="G56" s="8">
        <f t="shared" ref="G56:P56" si="118">G28/G18</f>
        <v>6.5560821484992107E-2</v>
      </c>
      <c r="H56" s="8">
        <f t="shared" si="118"/>
        <v>9.0198863636363633E-2</v>
      </c>
      <c r="I56" s="8">
        <f t="shared" si="118"/>
        <v>7.9151943462897528E-2</v>
      </c>
      <c r="J56" s="8">
        <f t="shared" si="118"/>
        <v>0.18354157690650583</v>
      </c>
      <c r="K56" s="8">
        <f t="shared" si="118"/>
        <v>6.5297138664710194E-2</v>
      </c>
      <c r="L56" s="8">
        <f t="shared" si="118"/>
        <v>7.8824315297261194E-2</v>
      </c>
      <c r="M56" s="8">
        <f t="shared" si="118"/>
        <v>9.7838452787258251E-2</v>
      </c>
      <c r="N56" s="8">
        <f t="shared" si="118"/>
        <v>0.18224481814626514</v>
      </c>
      <c r="O56" s="8">
        <f t="shared" si="118"/>
        <v>7.3957016434892539E-2</v>
      </c>
      <c r="P56" s="8">
        <f t="shared" si="118"/>
        <v>0.10827740492170022</v>
      </c>
      <c r="Q56" s="8">
        <f t="shared" ref="Q56:R56" si="119">Q28/Q18</f>
        <v>0.11822258459029759</v>
      </c>
      <c r="R56" s="8">
        <f t="shared" si="119"/>
        <v>0.21315713875323183</v>
      </c>
      <c r="S56" s="8">
        <f t="shared" ref="S56:V56" si="120">S28/S18</f>
        <v>7.7657266811279824E-2</v>
      </c>
      <c r="T56" s="8">
        <f t="shared" si="120"/>
        <v>9.5433977786918964E-2</v>
      </c>
      <c r="U56" s="8">
        <f t="shared" si="120"/>
        <v>0.16065751858204694</v>
      </c>
      <c r="V56" s="8">
        <f t="shared" si="120"/>
        <v>0.24569813282302994</v>
      </c>
      <c r="Z56" s="8">
        <f>Z28/Z18</f>
        <v>7.5485661424606845E-2</v>
      </c>
      <c r="AA56" s="8">
        <f>AA28/AA18</f>
        <v>0.10867644460151971</v>
      </c>
      <c r="AB56" s="8">
        <f t="shared" ref="AB56:AO56" si="121">AB28/AB18</f>
        <v>0.11669266770670828</v>
      </c>
      <c r="AC56" s="8">
        <f t="shared" si="121"/>
        <v>0.11777003484320557</v>
      </c>
      <c r="AD56" s="8">
        <f t="shared" si="121"/>
        <v>0.14265203568864732</v>
      </c>
      <c r="AE56" s="8">
        <f t="shared" si="121"/>
        <v>0.16228117534912698</v>
      </c>
      <c r="AF56" s="8">
        <f t="shared" si="121"/>
        <v>0.14482962071884012</v>
      </c>
      <c r="AG56" s="8">
        <f t="shared" si="121"/>
        <v>0.14952399816845571</v>
      </c>
      <c r="AH56" s="8">
        <f t="shared" si="121"/>
        <v>0.15155076575660423</v>
      </c>
      <c r="AI56" s="8">
        <f t="shared" si="121"/>
        <v>0.15266286106328875</v>
      </c>
      <c r="AJ56" s="8">
        <f t="shared" si="121"/>
        <v>0.15290763753178707</v>
      </c>
      <c r="AK56" s="8">
        <f t="shared" si="121"/>
        <v>0.15299370236771342</v>
      </c>
      <c r="AL56" s="8">
        <f t="shared" si="121"/>
        <v>0.15308320714834123</v>
      </c>
      <c r="AM56" s="8">
        <f t="shared" si="121"/>
        <v>0.15317616380726287</v>
      </c>
      <c r="AN56" s="8">
        <f t="shared" si="121"/>
        <v>0.15327258436576421</v>
      </c>
      <c r="AO56" s="8">
        <f t="shared" si="121"/>
        <v>0.15337248093439074</v>
      </c>
    </row>
    <row r="57" spans="2:45" x14ac:dyDescent="0.3">
      <c r="B57" t="s">
        <v>20</v>
      </c>
      <c r="C57" s="8">
        <f>C35/C34</f>
        <v>0.27631578947368424</v>
      </c>
      <c r="D57" s="8">
        <f>D35/D34</f>
        <v>0.23300970873786409</v>
      </c>
      <c r="E57" s="8"/>
      <c r="F57" s="8"/>
      <c r="G57" s="8">
        <f t="shared" ref="G57:P57" si="122">G35/G34</f>
        <v>0.20547945205479451</v>
      </c>
      <c r="H57" s="8">
        <f t="shared" si="122"/>
        <v>0.30612244897959184</v>
      </c>
      <c r="I57" s="8">
        <f t="shared" si="122"/>
        <v>0.27027027027027029</v>
      </c>
      <c r="J57" s="8">
        <f t="shared" si="122"/>
        <v>0.24713958810068651</v>
      </c>
      <c r="K57" s="8">
        <f t="shared" si="122"/>
        <v>0.28985507246376813</v>
      </c>
      <c r="L57" s="8">
        <f t="shared" si="122"/>
        <v>0.29807692307692307</v>
      </c>
      <c r="M57" s="8">
        <f t="shared" si="122"/>
        <v>0.24827586206896551</v>
      </c>
      <c r="N57" s="8">
        <f t="shared" si="122"/>
        <v>0.19758064516129031</v>
      </c>
      <c r="O57" s="8">
        <f t="shared" si="122"/>
        <v>0.36046511627906974</v>
      </c>
      <c r="P57" s="8">
        <f t="shared" si="122"/>
        <v>0.26923076923076922</v>
      </c>
      <c r="Q57" s="8">
        <f t="shared" ref="Q57:R57" si="123">Q35/Q34</f>
        <v>0.29959514170040485</v>
      </c>
      <c r="R57" s="8">
        <f t="shared" si="123"/>
        <v>0.25036390101892286</v>
      </c>
      <c r="S57" s="8">
        <f t="shared" ref="S57:V57" si="124">S35/S34</f>
        <v>0.26712328767123289</v>
      </c>
      <c r="T57" s="8">
        <f t="shared" si="124"/>
        <v>0.23766816143497757</v>
      </c>
      <c r="U57" s="8">
        <f t="shared" si="124"/>
        <v>0.27</v>
      </c>
      <c r="V57" s="8">
        <f t="shared" si="124"/>
        <v>0.27</v>
      </c>
      <c r="Z57" s="8">
        <f>Z35/Z34</f>
        <v>0.22677595628415301</v>
      </c>
      <c r="AA57" s="8">
        <f>AA35/AA34</f>
        <v>0.25773195876288657</v>
      </c>
      <c r="AB57" s="8">
        <f t="shared" ref="AB57:AO57" si="125">AB35/AB34</f>
        <v>0.25452016689847012</v>
      </c>
      <c r="AC57" s="8">
        <f t="shared" si="125"/>
        <v>0.22727272727272727</v>
      </c>
      <c r="AD57" s="8">
        <f t="shared" si="125"/>
        <v>0.27117263843648209</v>
      </c>
      <c r="AE57" s="8">
        <f t="shared" si="125"/>
        <v>0.26585351686982805</v>
      </c>
      <c r="AF57" s="8">
        <f t="shared" si="125"/>
        <v>0.25</v>
      </c>
      <c r="AG57" s="8">
        <f t="shared" si="125"/>
        <v>0.25</v>
      </c>
      <c r="AH57" s="8">
        <f t="shared" si="125"/>
        <v>0.25</v>
      </c>
      <c r="AI57" s="8">
        <f t="shared" si="125"/>
        <v>0.25</v>
      </c>
      <c r="AJ57" s="8">
        <f t="shared" si="125"/>
        <v>0.25</v>
      </c>
      <c r="AK57" s="8">
        <f t="shared" si="125"/>
        <v>0.25</v>
      </c>
      <c r="AL57" s="8">
        <f t="shared" si="125"/>
        <v>0.25</v>
      </c>
      <c r="AM57" s="8">
        <f t="shared" si="125"/>
        <v>0.25</v>
      </c>
      <c r="AN57" s="8">
        <f t="shared" si="125"/>
        <v>0.25</v>
      </c>
      <c r="AO57" s="8">
        <f t="shared" si="125"/>
        <v>0.25</v>
      </c>
    </row>
    <row r="58" spans="2:45" x14ac:dyDescent="0.3">
      <c r="B58" t="s">
        <v>28</v>
      </c>
      <c r="C58" s="8">
        <f>C36/C34</f>
        <v>6.5789473684210523E-2</v>
      </c>
      <c r="D58" s="8">
        <f>D36/D34</f>
        <v>1.1262135922330097</v>
      </c>
      <c r="E58" s="8"/>
      <c r="F58" s="8"/>
      <c r="G58" s="8">
        <f t="shared" ref="G58:N58" si="126">G36/G34</f>
        <v>0.16438356164383561</v>
      </c>
      <c r="H58" s="8">
        <f t="shared" si="126"/>
        <v>0.11224489795918367</v>
      </c>
      <c r="I58" s="8">
        <f t="shared" si="126"/>
        <v>4.5045045045045043E-2</v>
      </c>
      <c r="J58" s="8">
        <f t="shared" si="126"/>
        <v>7.3226544622425629E-2</v>
      </c>
      <c r="K58" s="8">
        <f t="shared" si="126"/>
        <v>1.4492753623188406E-2</v>
      </c>
      <c r="L58" s="8">
        <f t="shared" si="126"/>
        <v>0.15384615384615385</v>
      </c>
      <c r="M58" s="8">
        <f t="shared" si="126"/>
        <v>4.8275862068965517E-2</v>
      </c>
      <c r="N58" s="8">
        <f t="shared" si="126"/>
        <v>0.14314516129032259</v>
      </c>
      <c r="O58" s="8">
        <f t="shared" ref="O58:P58" si="127">O36/O34</f>
        <v>5.8139534883720929E-2</v>
      </c>
      <c r="P58" s="8">
        <f t="shared" si="127"/>
        <v>0.42788461538461536</v>
      </c>
      <c r="Q58" s="8">
        <f t="shared" ref="Q58:R58" si="128">Q36/Q34</f>
        <v>0.15384615384615385</v>
      </c>
      <c r="R58" s="8">
        <f t="shared" si="128"/>
        <v>6.6957787481804948E-2</v>
      </c>
      <c r="S58" s="8">
        <f t="shared" ref="S58:V58" si="129">S36/S34</f>
        <v>0.16438356164383561</v>
      </c>
      <c r="T58" s="8">
        <f t="shared" si="129"/>
        <v>0.1210762331838565</v>
      </c>
      <c r="U58" s="8">
        <f t="shared" si="129"/>
        <v>0.1</v>
      </c>
      <c r="V58" s="8">
        <f t="shared" si="129"/>
        <v>0.1</v>
      </c>
      <c r="Z58" s="8">
        <f t="shared" ref="Z58:AO58" si="130">Z36/Z34</f>
        <v>0.84699453551912574</v>
      </c>
      <c r="AA58" s="8">
        <f t="shared" si="130"/>
        <v>0.2422680412371134</v>
      </c>
      <c r="AB58" s="8">
        <f t="shared" si="130"/>
        <v>8.3449235048678724E-2</v>
      </c>
      <c r="AC58" s="8">
        <f t="shared" si="130"/>
        <v>0.1167076167076167</v>
      </c>
      <c r="AD58" s="8">
        <f t="shared" si="130"/>
        <v>0.14495114006514659</v>
      </c>
      <c r="AE58" s="8">
        <f t="shared" si="130"/>
        <v>0.10766257039782763</v>
      </c>
      <c r="AF58" s="8">
        <f t="shared" si="130"/>
        <v>0.1</v>
      </c>
      <c r="AG58" s="8">
        <f t="shared" si="130"/>
        <v>0.1</v>
      </c>
      <c r="AH58" s="8">
        <f t="shared" si="130"/>
        <v>0.1</v>
      </c>
      <c r="AI58" s="8">
        <f t="shared" si="130"/>
        <v>0.1</v>
      </c>
      <c r="AJ58" s="8">
        <f t="shared" si="130"/>
        <v>0.1</v>
      </c>
      <c r="AK58" s="8">
        <f t="shared" si="130"/>
        <v>0.1</v>
      </c>
      <c r="AL58" s="8">
        <f t="shared" si="130"/>
        <v>9.9999999999999992E-2</v>
      </c>
      <c r="AM58" s="8">
        <f t="shared" si="130"/>
        <v>0.1</v>
      </c>
      <c r="AN58" s="8">
        <f t="shared" si="130"/>
        <v>9.9999999999999992E-2</v>
      </c>
      <c r="AO58" s="8">
        <f t="shared" si="130"/>
        <v>0.1</v>
      </c>
    </row>
    <row r="59" spans="2:45" x14ac:dyDescent="0.3">
      <c r="B59" t="s">
        <v>40</v>
      </c>
      <c r="C59" s="8">
        <f>C37/C23</f>
        <v>0.18248175182481752</v>
      </c>
      <c r="D59" s="8">
        <f>D37/D23</f>
        <v>-0.1289198606271777</v>
      </c>
      <c r="E59" s="8"/>
      <c r="F59" s="8"/>
      <c r="G59" s="8">
        <f t="shared" ref="G59:P59" si="131">G37/G23</f>
        <v>0.17228464419475656</v>
      </c>
      <c r="H59" s="8">
        <f t="shared" si="131"/>
        <v>0.18037974683544303</v>
      </c>
      <c r="I59" s="8">
        <f t="shared" si="131"/>
        <v>0.24050632911392406</v>
      </c>
      <c r="J59" s="8">
        <f t="shared" si="131"/>
        <v>0.46046511627906977</v>
      </c>
      <c r="K59" s="8">
        <f t="shared" si="131"/>
        <v>0.15894039735099338</v>
      </c>
      <c r="L59" s="8">
        <f t="shared" si="131"/>
        <v>0.16666666666666666</v>
      </c>
      <c r="M59" s="8">
        <f t="shared" si="131"/>
        <v>0.23776223776223776</v>
      </c>
      <c r="N59" s="8">
        <f t="shared" si="131"/>
        <v>0.40073529411764708</v>
      </c>
      <c r="O59" s="8">
        <f t="shared" si="131"/>
        <v>0.12690355329949238</v>
      </c>
      <c r="P59" s="8">
        <f t="shared" si="131"/>
        <v>0.11033274956217162</v>
      </c>
      <c r="Q59" s="8">
        <f t="shared" ref="Q59:R59" si="132">Q37/Q23</f>
        <v>0.23235800344234078</v>
      </c>
      <c r="R59" s="8">
        <f t="shared" si="132"/>
        <v>0.41140350877192983</v>
      </c>
      <c r="S59" s="8">
        <f t="shared" ref="S59:V59" si="133">S37/S23</f>
        <v>0.15313653136531366</v>
      </c>
      <c r="T59" s="8">
        <f t="shared" si="133"/>
        <v>0.24033613445378152</v>
      </c>
      <c r="U59" s="8">
        <f t="shared" si="133"/>
        <v>0.35453489906320107</v>
      </c>
      <c r="V59" s="8">
        <f t="shared" si="133"/>
        <v>0.43065200879212695</v>
      </c>
      <c r="Z59" s="8">
        <f t="shared" ref="Z59:AD59" si="134">Z37/Z18</f>
        <v>-4.9953746530989824E-3</v>
      </c>
      <c r="AA59" s="8">
        <f t="shared" si="134"/>
        <v>5.1422512811450785E-2</v>
      </c>
      <c r="AB59" s="8">
        <f t="shared" si="134"/>
        <v>7.4258970358814347E-2</v>
      </c>
      <c r="AC59" s="8">
        <f t="shared" si="134"/>
        <v>7.4425087108013932E-2</v>
      </c>
      <c r="AD59" s="8">
        <f t="shared" si="134"/>
        <v>7.3530919905650707E-2</v>
      </c>
      <c r="AE59" s="8">
        <f>AE37/AE18</f>
        <v>9.4245194793303441E-2</v>
      </c>
      <c r="AF59" s="8">
        <f t="shared" ref="AF59:AO59" si="135">AF37/AF18</f>
        <v>8.7432232578779717E-2</v>
      </c>
      <c r="AG59" s="8">
        <f t="shared" si="135"/>
        <v>9.0844564009088205E-2</v>
      </c>
      <c r="AH59" s="8">
        <f t="shared" si="135"/>
        <v>9.2289972987687069E-2</v>
      </c>
      <c r="AI59" s="8">
        <f t="shared" si="135"/>
        <v>9.3022802147021036E-2</v>
      </c>
      <c r="AJ59" s="8">
        <f t="shared" si="135"/>
        <v>9.3136808175650315E-2</v>
      </c>
      <c r="AK59" s="8">
        <f t="shared" si="135"/>
        <v>9.3137042145548507E-2</v>
      </c>
      <c r="AL59" s="8">
        <f t="shared" si="135"/>
        <v>9.313924670847841E-2</v>
      </c>
      <c r="AM59" s="8">
        <f t="shared" si="135"/>
        <v>9.3143432778644258E-2</v>
      </c>
      <c r="AN59" s="8">
        <f t="shared" si="135"/>
        <v>9.314961145777112E-2</v>
      </c>
      <c r="AO59" s="8">
        <f t="shared" si="135"/>
        <v>9.3157794039098352E-2</v>
      </c>
    </row>
    <row r="61" spans="2:45" s="15" customFormat="1" x14ac:dyDescent="0.3">
      <c r="B61" s="15" t="s">
        <v>108</v>
      </c>
      <c r="T61" s="15">
        <v>14593</v>
      </c>
    </row>
    <row r="63" spans="2:45" x14ac:dyDescent="0.3">
      <c r="B63" t="s">
        <v>109</v>
      </c>
      <c r="T63" s="16">
        <f>Main!D9/Model!T61</f>
        <v>5.2608702802713632</v>
      </c>
    </row>
    <row r="64" spans="2:45" x14ac:dyDescent="0.3">
      <c r="B64" t="s">
        <v>110</v>
      </c>
      <c r="T64" s="8">
        <f>T61/Main!D9-1</f>
        <v>-0.80991738120780687</v>
      </c>
    </row>
    <row r="67" spans="2:41" x14ac:dyDescent="0.3">
      <c r="B67" t="s">
        <v>92</v>
      </c>
      <c r="O67" s="3">
        <f t="shared" ref="O67:V67" si="136">O37</f>
        <v>50</v>
      </c>
      <c r="P67" s="3">
        <f t="shared" si="136"/>
        <v>63</v>
      </c>
      <c r="Q67" s="3">
        <f t="shared" si="136"/>
        <v>135</v>
      </c>
      <c r="R67" s="3">
        <f t="shared" si="136"/>
        <v>469</v>
      </c>
      <c r="S67" s="3">
        <f t="shared" si="136"/>
        <v>83</v>
      </c>
      <c r="T67" s="3">
        <f t="shared" si="136"/>
        <v>143</v>
      </c>
      <c r="U67" s="3">
        <f t="shared" si="136"/>
        <v>290.19816000000014</v>
      </c>
      <c r="V67" s="3">
        <f t="shared" si="136"/>
        <v>636.60340799999994</v>
      </c>
      <c r="Y67" s="3"/>
      <c r="Z67" s="3">
        <f t="shared" ref="Z67:AC67" si="137">Z37</f>
        <v>-27</v>
      </c>
      <c r="AA67" s="3">
        <f t="shared" si="137"/>
        <v>291</v>
      </c>
      <c r="AB67" s="3">
        <f t="shared" si="137"/>
        <v>476</v>
      </c>
      <c r="AC67" s="3">
        <f t="shared" si="137"/>
        <v>534</v>
      </c>
      <c r="AD67" s="3">
        <f>AD37</f>
        <v>717</v>
      </c>
      <c r="AE67" s="3">
        <f t="shared" ref="AE67:AO67" si="138">AE37</f>
        <v>1152.8015680000001</v>
      </c>
      <c r="AF67" s="3">
        <f t="shared" si="138"/>
        <v>1264.6224175000007</v>
      </c>
      <c r="AG67" s="3">
        <f t="shared" si="138"/>
        <v>1430.3841434999997</v>
      </c>
      <c r="AH67" s="3">
        <f t="shared" si="138"/>
        <v>1527.5501896362498</v>
      </c>
      <c r="AI67" s="3">
        <f t="shared" si="138"/>
        <v>1588.4162624936125</v>
      </c>
      <c r="AJ67" s="3">
        <f t="shared" si="138"/>
        <v>1626.2598404607766</v>
      </c>
      <c r="AK67" s="3">
        <f t="shared" si="138"/>
        <v>1660.2608966144278</v>
      </c>
      <c r="AL67" s="3">
        <f t="shared" si="138"/>
        <v>1695.0701891176468</v>
      </c>
      <c r="AM67" s="3">
        <f t="shared" si="138"/>
        <v>1730.7092906452594</v>
      </c>
      <c r="AN67" s="3">
        <f t="shared" si="138"/>
        <v>1767.2004192837585</v>
      </c>
      <c r="AO67" s="3">
        <f t="shared" si="138"/>
        <v>1804.5664601807241</v>
      </c>
    </row>
    <row r="68" spans="2:41" s="1" customFormat="1" x14ac:dyDescent="0.3">
      <c r="B68" s="1" t="s">
        <v>93</v>
      </c>
      <c r="O68" s="6">
        <v>54</v>
      </c>
      <c r="P68" s="6">
        <f>133-O68</f>
        <v>79</v>
      </c>
      <c r="Q68" s="6">
        <f>306-P68-O68</f>
        <v>173</v>
      </c>
      <c r="R68" s="6">
        <f>AD68-Q68-P68-O68</f>
        <v>502</v>
      </c>
      <c r="S68" s="6">
        <v>108</v>
      </c>
      <c r="T68" s="6">
        <f>267-S68</f>
        <v>159</v>
      </c>
      <c r="U68" s="6">
        <f>U67</f>
        <v>290.19816000000014</v>
      </c>
      <c r="V68" s="6">
        <f>V67</f>
        <v>636.60340799999994</v>
      </c>
      <c r="Y68" s="1">
        <v>354</v>
      </c>
      <c r="Z68" s="1">
        <v>1</v>
      </c>
      <c r="AA68" s="1">
        <v>332</v>
      </c>
      <c r="AB68" s="1">
        <v>535</v>
      </c>
      <c r="AC68" s="1">
        <v>586</v>
      </c>
      <c r="AD68" s="6">
        <v>808</v>
      </c>
      <c r="AE68" s="6">
        <f>AE67*1.1</f>
        <v>1268.0817248000003</v>
      </c>
      <c r="AF68" s="6">
        <f t="shared" ref="AF68:AO68" si="139">AF67*1.1</f>
        <v>1391.0846592500009</v>
      </c>
      <c r="AG68" s="6">
        <f t="shared" si="139"/>
        <v>1573.4225578499997</v>
      </c>
      <c r="AH68" s="6">
        <f t="shared" si="139"/>
        <v>1680.305208599875</v>
      </c>
      <c r="AI68" s="6">
        <f t="shared" si="139"/>
        <v>1747.2578887429738</v>
      </c>
      <c r="AJ68" s="6">
        <f t="shared" si="139"/>
        <v>1788.8858245068543</v>
      </c>
      <c r="AK68" s="6">
        <f t="shared" si="139"/>
        <v>1826.2869862758707</v>
      </c>
      <c r="AL68" s="6">
        <f t="shared" si="139"/>
        <v>1864.5772080294116</v>
      </c>
      <c r="AM68" s="6">
        <f t="shared" si="139"/>
        <v>1903.7802197097856</v>
      </c>
      <c r="AN68" s="6">
        <f t="shared" si="139"/>
        <v>1943.9204612121346</v>
      </c>
      <c r="AO68" s="6">
        <f t="shared" si="139"/>
        <v>1985.0231061987968</v>
      </c>
    </row>
    <row r="69" spans="2:41" x14ac:dyDescent="0.3">
      <c r="B69" t="s">
        <v>12</v>
      </c>
      <c r="O69" s="3">
        <v>91</v>
      </c>
      <c r="P69" s="3">
        <f>181-O69</f>
        <v>90</v>
      </c>
      <c r="Q69" s="3">
        <f>277-P69-O69</f>
        <v>96</v>
      </c>
      <c r="R69" s="3">
        <f>AD69-Q69-P69-O69</f>
        <v>126</v>
      </c>
      <c r="S69" s="3">
        <v>112</v>
      </c>
      <c r="T69" s="3">
        <f>239-S69</f>
        <v>127</v>
      </c>
      <c r="U69">
        <f>Q69*1.4</f>
        <v>134.39999999999998</v>
      </c>
      <c r="V69">
        <f>R69*1.4</f>
        <v>176.39999999999998</v>
      </c>
      <c r="Y69" s="3">
        <v>280</v>
      </c>
      <c r="Z69" s="3">
        <v>557</v>
      </c>
      <c r="AA69" s="3">
        <v>254</v>
      </c>
      <c r="AB69" s="3">
        <v>249</v>
      </c>
      <c r="AC69" s="3">
        <v>308</v>
      </c>
      <c r="AD69" s="3">
        <v>403</v>
      </c>
      <c r="AE69" s="3">
        <f>SUM(S69:V69)</f>
        <v>549.79999999999995</v>
      </c>
      <c r="AF69" s="3">
        <f>AE69*1.15</f>
        <v>632.26999999999987</v>
      </c>
      <c r="AG69" s="3">
        <f>AF69*1.1</f>
        <v>695.49699999999996</v>
      </c>
      <c r="AH69" s="3">
        <f>AG69*1.05</f>
        <v>730.27184999999997</v>
      </c>
      <c r="AI69" s="3">
        <f>AH69*1.04</f>
        <v>759.48272399999996</v>
      </c>
      <c r="AJ69" s="3">
        <f>AI69*1.03</f>
        <v>782.26720571999999</v>
      </c>
      <c r="AK69" s="3">
        <f>AJ69*1.02</f>
        <v>797.91254983440001</v>
      </c>
      <c r="AL69" s="3">
        <f t="shared" ref="AL69:AO69" si="140">AK69*1.02</f>
        <v>813.87080083108799</v>
      </c>
      <c r="AM69" s="3">
        <f t="shared" si="140"/>
        <v>830.14821684770982</v>
      </c>
      <c r="AN69" s="3">
        <f t="shared" si="140"/>
        <v>846.75118118466401</v>
      </c>
      <c r="AO69" s="3">
        <f t="shared" si="140"/>
        <v>863.68620480835727</v>
      </c>
    </row>
    <row r="70" spans="2:41" x14ac:dyDescent="0.3">
      <c r="B70" t="s">
        <v>94</v>
      </c>
      <c r="O70" s="3"/>
      <c r="P70" s="3"/>
      <c r="Q70" s="3"/>
      <c r="R70" s="3"/>
      <c r="S70" s="3"/>
      <c r="Y70" s="3"/>
      <c r="Z70" s="3"/>
      <c r="AA70" s="3">
        <v>91</v>
      </c>
      <c r="AB70" s="3">
        <v>12</v>
      </c>
      <c r="AC70" s="3">
        <v>63</v>
      </c>
      <c r="AD70" s="3">
        <v>0</v>
      </c>
      <c r="AE70" s="3">
        <f t="shared" ref="AE70:AE79" si="141">SUM(S70:V70)</f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3">
      <c r="B71" t="s">
        <v>95</v>
      </c>
      <c r="O71" s="3">
        <f>-3-6</f>
        <v>-9</v>
      </c>
      <c r="P71" s="3">
        <f>-7-O71</f>
        <v>2</v>
      </c>
      <c r="Q71" s="3">
        <f>-13-5-P71-O71</f>
        <v>-11</v>
      </c>
      <c r="R71" s="3">
        <f t="shared" ref="R71:R75" si="142">AD71-Q71-P71-O71</f>
        <v>-6</v>
      </c>
      <c r="S71" s="3">
        <f>-4-3</f>
        <v>-7</v>
      </c>
      <c r="T71" s="3">
        <f>14-S71</f>
        <v>21</v>
      </c>
      <c r="U71">
        <v>-10</v>
      </c>
      <c r="V71">
        <v>-25</v>
      </c>
      <c r="Y71" s="3">
        <f>-20-2</f>
        <v>-22</v>
      </c>
      <c r="Z71" s="3">
        <f>-42-4</f>
        <v>-46</v>
      </c>
      <c r="AA71" s="3">
        <f>-35-17</f>
        <v>-52</v>
      </c>
      <c r="AB71" s="3">
        <f>-62-18</f>
        <v>-80</v>
      </c>
      <c r="AC71" s="3">
        <f>-20+8</f>
        <v>-12</v>
      </c>
      <c r="AD71" s="3">
        <f>-18-6</f>
        <v>-24</v>
      </c>
      <c r="AE71" s="3">
        <f t="shared" si="141"/>
        <v>-21</v>
      </c>
      <c r="AF71" s="3">
        <f>AE71*1.1</f>
        <v>-23.1</v>
      </c>
      <c r="AG71" s="3">
        <f t="shared" ref="AG71:AO71" si="143">AF71*1.1</f>
        <v>-25.410000000000004</v>
      </c>
      <c r="AH71" s="3">
        <f t="shared" si="143"/>
        <v>-27.951000000000008</v>
      </c>
      <c r="AI71" s="3">
        <f t="shared" si="143"/>
        <v>-30.746100000000009</v>
      </c>
      <c r="AJ71" s="3">
        <f t="shared" si="143"/>
        <v>-33.820710000000012</v>
      </c>
      <c r="AK71" s="3">
        <f t="shared" si="143"/>
        <v>-37.202781000000016</v>
      </c>
      <c r="AL71" s="3">
        <f t="shared" si="143"/>
        <v>-40.923059100000017</v>
      </c>
      <c r="AM71" s="3">
        <f t="shared" si="143"/>
        <v>-45.015365010000025</v>
      </c>
      <c r="AN71" s="3">
        <f t="shared" si="143"/>
        <v>-49.516901511000029</v>
      </c>
      <c r="AO71" s="3">
        <f t="shared" si="143"/>
        <v>-54.468591662100039</v>
      </c>
    </row>
    <row r="72" spans="2:41" x14ac:dyDescent="0.3">
      <c r="B72" t="s">
        <v>96</v>
      </c>
      <c r="O72" s="3">
        <v>1</v>
      </c>
      <c r="P72" s="3">
        <f>69-O72</f>
        <v>68</v>
      </c>
      <c r="Q72" s="3">
        <f>66-P72-O72</f>
        <v>-3</v>
      </c>
      <c r="R72" s="3">
        <f t="shared" si="142"/>
        <v>37</v>
      </c>
      <c r="S72" s="3">
        <v>0</v>
      </c>
      <c r="T72" s="3">
        <v>0</v>
      </c>
      <c r="U72">
        <v>0</v>
      </c>
      <c r="V72" s="3">
        <v>0</v>
      </c>
      <c r="Y72" s="3">
        <v>0</v>
      </c>
      <c r="Z72" s="3">
        <v>-6</v>
      </c>
      <c r="AA72" s="3">
        <v>0</v>
      </c>
      <c r="AB72" s="3">
        <v>-5</v>
      </c>
      <c r="AC72" s="3">
        <v>-48</v>
      </c>
      <c r="AD72" s="3">
        <v>103</v>
      </c>
      <c r="AE72" s="3">
        <f t="shared" si="141"/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2:41" x14ac:dyDescent="0.3">
      <c r="B73" t="s">
        <v>97</v>
      </c>
      <c r="O73" s="3">
        <v>93</v>
      </c>
      <c r="P73" s="3">
        <f>16-O73</f>
        <v>-77</v>
      </c>
      <c r="Q73" s="3">
        <f>94-P73-O73</f>
        <v>78</v>
      </c>
      <c r="R73" s="3">
        <f t="shared" si="142"/>
        <v>41</v>
      </c>
      <c r="S73" s="3">
        <v>90</v>
      </c>
      <c r="T73" s="3">
        <f>-15-S73</f>
        <v>-105</v>
      </c>
      <c r="U73">
        <v>0</v>
      </c>
      <c r="V73">
        <v>110</v>
      </c>
      <c r="Y73" s="3">
        <v>23</v>
      </c>
      <c r="Z73" s="3">
        <v>88</v>
      </c>
      <c r="AA73" s="3">
        <v>-51</v>
      </c>
      <c r="AB73" s="3">
        <v>-9</v>
      </c>
      <c r="AC73" s="3">
        <v>-59</v>
      </c>
      <c r="AD73" s="3">
        <v>135</v>
      </c>
      <c r="AE73" s="3">
        <f t="shared" si="141"/>
        <v>95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3">
      <c r="B74" t="s">
        <v>98</v>
      </c>
      <c r="O74" s="3">
        <v>-202</v>
      </c>
      <c r="P74" s="3">
        <f>-74-O74</f>
        <v>128</v>
      </c>
      <c r="Q74" s="3">
        <f>-151-P74-O74</f>
        <v>-77</v>
      </c>
      <c r="R74" s="3">
        <f t="shared" si="142"/>
        <v>558</v>
      </c>
      <c r="S74" s="3">
        <v>122</v>
      </c>
      <c r="T74" s="3">
        <f>-669-S74</f>
        <v>-791</v>
      </c>
      <c r="U74">
        <v>0</v>
      </c>
      <c r="V74">
        <f>R74*1.5</f>
        <v>837</v>
      </c>
      <c r="Y74" s="3">
        <v>31</v>
      </c>
      <c r="Z74" s="3">
        <v>-119</v>
      </c>
      <c r="AA74" s="3">
        <v>22</v>
      </c>
      <c r="AB74" s="3">
        <v>-507</v>
      </c>
      <c r="AC74" s="3">
        <v>29</v>
      </c>
      <c r="AD74" s="3">
        <v>407</v>
      </c>
      <c r="AE74" s="3">
        <f t="shared" si="141"/>
        <v>168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3">
      <c r="B75" t="s">
        <v>99</v>
      </c>
      <c r="O75" s="3">
        <v>-145</v>
      </c>
      <c r="P75" s="3">
        <f>-159-O75</f>
        <v>-14</v>
      </c>
      <c r="Q75" s="3">
        <f>-174-P75-O75</f>
        <v>-15</v>
      </c>
      <c r="R75" s="3">
        <f t="shared" si="142"/>
        <v>72</v>
      </c>
      <c r="S75" s="3">
        <v>-5</v>
      </c>
      <c r="T75" s="3">
        <f>-100-S75</f>
        <v>-95</v>
      </c>
      <c r="U75">
        <v>0</v>
      </c>
      <c r="V75">
        <v>0</v>
      </c>
      <c r="Y75" s="3">
        <v>-68</v>
      </c>
      <c r="Z75" s="3">
        <v>-28</v>
      </c>
      <c r="AA75" s="3">
        <v>63</v>
      </c>
      <c r="AB75" s="3">
        <v>-39</v>
      </c>
      <c r="AC75" s="3">
        <v>-217</v>
      </c>
      <c r="AD75" s="3">
        <v>-102</v>
      </c>
      <c r="AE75" s="3">
        <f t="shared" si="141"/>
        <v>-100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3">
      <c r="B76" t="s">
        <v>100</v>
      </c>
      <c r="O76" s="3"/>
      <c r="P76" s="3"/>
      <c r="Q76" s="3"/>
      <c r="R76" s="3"/>
      <c r="S76" s="3"/>
      <c r="Y76" s="3"/>
      <c r="Z76" s="3"/>
      <c r="AA76" s="3"/>
      <c r="AB76" s="3"/>
      <c r="AC76" s="3">
        <v>39</v>
      </c>
      <c r="AD76" s="3">
        <v>0</v>
      </c>
      <c r="AE76" s="3">
        <f t="shared" si="141"/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</row>
    <row r="77" spans="2:41" x14ac:dyDescent="0.3">
      <c r="B77" t="s">
        <v>101</v>
      </c>
      <c r="O77" s="3">
        <v>1</v>
      </c>
      <c r="P77" s="3">
        <f>4-O77</f>
        <v>3</v>
      </c>
      <c r="Q77" s="3">
        <f>16-P77-O77</f>
        <v>12</v>
      </c>
      <c r="R77" s="3">
        <f t="shared" ref="R77:R79" si="144">AD77-Q77-P77-O77</f>
        <v>-1</v>
      </c>
      <c r="S77" s="3">
        <v>4</v>
      </c>
      <c r="T77" s="3">
        <f>4-S77</f>
        <v>0</v>
      </c>
      <c r="U77">
        <v>0</v>
      </c>
      <c r="V77">
        <v>0</v>
      </c>
      <c r="Y77" s="3">
        <v>-37</v>
      </c>
      <c r="Z77" s="3">
        <v>-10</v>
      </c>
      <c r="AA77" s="3">
        <v>-15</v>
      </c>
      <c r="AB77" s="3">
        <v>-32</v>
      </c>
      <c r="AC77" s="3">
        <v>-4</v>
      </c>
      <c r="AD77" s="3">
        <v>15</v>
      </c>
      <c r="AE77" s="3">
        <f t="shared" si="141"/>
        <v>4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8" spans="2:41" x14ac:dyDescent="0.3">
      <c r="B78" t="s">
        <v>102</v>
      </c>
      <c r="O78" s="3">
        <v>0</v>
      </c>
      <c r="P78" s="3">
        <v>0</v>
      </c>
      <c r="Q78" s="3">
        <f>9-P78-O78</f>
        <v>9</v>
      </c>
      <c r="R78" s="3">
        <f t="shared" si="144"/>
        <v>7</v>
      </c>
      <c r="S78" s="3">
        <v>6</v>
      </c>
      <c r="T78" s="3">
        <f>8-S78</f>
        <v>2</v>
      </c>
      <c r="U78">
        <v>3</v>
      </c>
      <c r="V78">
        <v>5</v>
      </c>
      <c r="Y78" s="3">
        <v>17</v>
      </c>
      <c r="Z78" s="3">
        <v>21</v>
      </c>
      <c r="AA78" s="3">
        <v>30</v>
      </c>
      <c r="AB78" s="3">
        <v>17</v>
      </c>
      <c r="AC78" s="3">
        <v>29</v>
      </c>
      <c r="AD78" s="3">
        <v>16</v>
      </c>
      <c r="AE78" s="3">
        <f t="shared" si="141"/>
        <v>16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</row>
    <row r="79" spans="2:41" x14ac:dyDescent="0.3">
      <c r="B79" t="s">
        <v>103</v>
      </c>
      <c r="O79" s="3">
        <v>11</v>
      </c>
      <c r="P79" s="3">
        <f>29-O79</f>
        <v>18</v>
      </c>
      <c r="Q79" s="3">
        <f>67-P79-O79</f>
        <v>38</v>
      </c>
      <c r="R79" s="3">
        <f t="shared" si="144"/>
        <v>-109</v>
      </c>
      <c r="S79" s="3">
        <v>-10</v>
      </c>
      <c r="T79" s="3">
        <f>-25-S79</f>
        <v>-15</v>
      </c>
      <c r="U79">
        <v>0</v>
      </c>
      <c r="V79">
        <v>0</v>
      </c>
      <c r="Y79" s="3">
        <v>24</v>
      </c>
      <c r="Z79" s="3">
        <v>-5</v>
      </c>
      <c r="AA79" s="3">
        <v>16</v>
      </c>
      <c r="AB79" s="3">
        <v>33</v>
      </c>
      <c r="AC79" s="3">
        <v>28</v>
      </c>
      <c r="AD79" s="3">
        <v>-42</v>
      </c>
      <c r="AE79" s="3">
        <f t="shared" si="141"/>
        <v>-25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</row>
    <row r="80" spans="2:41" s="1" customFormat="1" x14ac:dyDescent="0.3">
      <c r="B80" s="1" t="s">
        <v>104</v>
      </c>
      <c r="O80" s="6">
        <f t="shared" ref="O80:P80" si="145">O68+SUM(O69:O79)</f>
        <v>-105</v>
      </c>
      <c r="P80" s="6">
        <f t="shared" si="145"/>
        <v>297</v>
      </c>
      <c r="Q80" s="6">
        <f t="shared" ref="Q80:R80" si="146">Q68+SUM(Q69:Q79)</f>
        <v>300</v>
      </c>
      <c r="R80" s="6">
        <f t="shared" si="146"/>
        <v>1227</v>
      </c>
      <c r="S80" s="6">
        <f t="shared" ref="S80:T80" si="147">S68+SUM(S69:S79)</f>
        <v>420</v>
      </c>
      <c r="T80" s="6">
        <f t="shared" si="147"/>
        <v>-697</v>
      </c>
      <c r="U80" s="6">
        <f>U68+SUM(U69:U79)</f>
        <v>417.59816000000012</v>
      </c>
      <c r="V80" s="6">
        <f>V68+SUM(V69:V79)</f>
        <v>1740.003408</v>
      </c>
      <c r="Y80" s="6">
        <f t="shared" ref="Y80:AD80" si="148">Y68+SUM(Y69:Y79)</f>
        <v>602</v>
      </c>
      <c r="Z80" s="6">
        <f t="shared" si="148"/>
        <v>453</v>
      </c>
      <c r="AA80" s="6">
        <f t="shared" si="148"/>
        <v>690</v>
      </c>
      <c r="AB80" s="6">
        <f t="shared" si="148"/>
        <v>174</v>
      </c>
      <c r="AC80" s="6">
        <f t="shared" si="148"/>
        <v>742</v>
      </c>
      <c r="AD80" s="6">
        <f t="shared" si="148"/>
        <v>1719</v>
      </c>
      <c r="AE80" s="6">
        <f t="shared" ref="AE80:AO80" si="149">AE68+SUM(AE69:AE79)</f>
        <v>1954.8817248000003</v>
      </c>
      <c r="AF80" s="6">
        <f t="shared" si="149"/>
        <v>2000.2546592500007</v>
      </c>
      <c r="AG80" s="6">
        <f t="shared" si="149"/>
        <v>2243.5095578499995</v>
      </c>
      <c r="AH80" s="6">
        <f t="shared" si="149"/>
        <v>2382.6260585998748</v>
      </c>
      <c r="AI80" s="6">
        <f t="shared" si="149"/>
        <v>2475.9945127429737</v>
      </c>
      <c r="AJ80" s="6">
        <f t="shared" si="149"/>
        <v>2537.3323202268543</v>
      </c>
      <c r="AK80" s="6">
        <f t="shared" si="149"/>
        <v>2586.9967551102709</v>
      </c>
      <c r="AL80" s="6">
        <f t="shared" si="149"/>
        <v>2637.5249497604996</v>
      </c>
      <c r="AM80" s="6">
        <f t="shared" si="149"/>
        <v>2688.9130715474953</v>
      </c>
      <c r="AN80" s="6">
        <f t="shared" si="149"/>
        <v>2741.1547408857987</v>
      </c>
      <c r="AO80" s="6">
        <f t="shared" si="149"/>
        <v>2794.240719345054</v>
      </c>
    </row>
    <row r="81" spans="2:139" x14ac:dyDescent="0.3">
      <c r="B81" t="s">
        <v>105</v>
      </c>
      <c r="O81" s="3">
        <v>105</v>
      </c>
      <c r="P81" s="3">
        <f>232-O81</f>
        <v>127</v>
      </c>
      <c r="Q81" s="3">
        <f>416-P81-O81</f>
        <v>184</v>
      </c>
      <c r="R81" s="3">
        <f>AD81-Q81-P81-O81</f>
        <v>316</v>
      </c>
      <c r="S81" s="3">
        <v>153</v>
      </c>
      <c r="T81" s="3">
        <f>352-S81</f>
        <v>199</v>
      </c>
      <c r="U81" s="3">
        <f t="shared" ref="U81:V81" si="150">Q81*1.45</f>
        <v>266.8</v>
      </c>
      <c r="V81" s="3">
        <f t="shared" si="150"/>
        <v>458.2</v>
      </c>
      <c r="Y81" s="3">
        <v>288</v>
      </c>
      <c r="Z81" s="3">
        <v>237</v>
      </c>
      <c r="AA81" s="3">
        <v>271</v>
      </c>
      <c r="AB81" s="3">
        <v>349</v>
      </c>
      <c r="AC81" s="3">
        <v>398</v>
      </c>
      <c r="AD81" s="3">
        <v>732</v>
      </c>
      <c r="AE81" s="3">
        <f>SUM(S81:V81)</f>
        <v>1077</v>
      </c>
      <c r="AF81" s="3">
        <f>AE81*1.1</f>
        <v>1184.7</v>
      </c>
      <c r="AG81" s="3">
        <f t="shared" ref="AG81:AJ81" si="151">AF81*0.9</f>
        <v>1066.23</v>
      </c>
      <c r="AH81" s="3">
        <f t="shared" si="151"/>
        <v>959.60700000000008</v>
      </c>
      <c r="AI81" s="3">
        <f t="shared" si="151"/>
        <v>863.64630000000011</v>
      </c>
      <c r="AJ81" s="3">
        <f t="shared" si="151"/>
        <v>777.28167000000008</v>
      </c>
      <c r="AK81" s="3">
        <f>AJ81*0.95</f>
        <v>738.41758650000008</v>
      </c>
      <c r="AL81" s="3">
        <f t="shared" ref="AL81:AO81" si="152">AK81*0.95</f>
        <v>701.4967071750001</v>
      </c>
      <c r="AM81" s="3">
        <f t="shared" si="152"/>
        <v>666.42187181625002</v>
      </c>
      <c r="AN81" s="3">
        <f t="shared" si="152"/>
        <v>633.10077822543747</v>
      </c>
      <c r="AO81" s="3">
        <f t="shared" si="152"/>
        <v>601.44573931416562</v>
      </c>
    </row>
    <row r="82" spans="2:139" s="1" customFormat="1" x14ac:dyDescent="0.3">
      <c r="B82" s="1" t="s">
        <v>106</v>
      </c>
      <c r="O82" s="6">
        <f t="shared" ref="O82:P82" si="153">O80-O81</f>
        <v>-210</v>
      </c>
      <c r="P82" s="6">
        <f t="shared" si="153"/>
        <v>170</v>
      </c>
      <c r="Q82" s="6">
        <f t="shared" ref="Q82:R82" si="154">Q80-Q81</f>
        <v>116</v>
      </c>
      <c r="R82" s="6">
        <f t="shared" si="154"/>
        <v>911</v>
      </c>
      <c r="S82" s="6">
        <f t="shared" ref="S82:V82" si="155">S80-S81</f>
        <v>267</v>
      </c>
      <c r="T82" s="6">
        <f t="shared" si="155"/>
        <v>-896</v>
      </c>
      <c r="U82" s="6">
        <f t="shared" si="155"/>
        <v>150.79816000000011</v>
      </c>
      <c r="V82" s="6">
        <f t="shared" si="155"/>
        <v>1281.803408</v>
      </c>
      <c r="Y82" s="6">
        <f t="shared" ref="Y82:AD82" si="156">Y80-Y81</f>
        <v>314</v>
      </c>
      <c r="Z82" s="6">
        <f t="shared" si="156"/>
        <v>216</v>
      </c>
      <c r="AA82" s="6">
        <f t="shared" si="156"/>
        <v>419</v>
      </c>
      <c r="AB82" s="6">
        <f t="shared" si="156"/>
        <v>-175</v>
      </c>
      <c r="AC82" s="6">
        <f t="shared" si="156"/>
        <v>344</v>
      </c>
      <c r="AD82" s="6">
        <f t="shared" si="156"/>
        <v>987</v>
      </c>
      <c r="AE82" s="6">
        <f t="shared" ref="AE82:AO82" si="157">AE80-AE81</f>
        <v>877.88172480000026</v>
      </c>
      <c r="AF82" s="6">
        <f t="shared" si="157"/>
        <v>815.55465925000067</v>
      </c>
      <c r="AG82" s="6">
        <f t="shared" si="157"/>
        <v>1177.2795578499995</v>
      </c>
      <c r="AH82" s="6">
        <f t="shared" si="157"/>
        <v>1423.0190585998748</v>
      </c>
      <c r="AI82" s="6">
        <f t="shared" si="157"/>
        <v>1612.3482127429736</v>
      </c>
      <c r="AJ82" s="6">
        <f t="shared" si="157"/>
        <v>1760.0506502268543</v>
      </c>
      <c r="AK82" s="6">
        <f t="shared" si="157"/>
        <v>1848.5791686102707</v>
      </c>
      <c r="AL82" s="6">
        <f t="shared" si="157"/>
        <v>1936.0282425854994</v>
      </c>
      <c r="AM82" s="6">
        <f t="shared" si="157"/>
        <v>2022.4911997312452</v>
      </c>
      <c r="AN82" s="6">
        <f t="shared" si="157"/>
        <v>2108.0539626603613</v>
      </c>
      <c r="AO82" s="6">
        <f t="shared" si="157"/>
        <v>2192.7949800308884</v>
      </c>
      <c r="AP82" s="1">
        <f>AO82*(1+AS45)</f>
        <v>2170.8670302305795</v>
      </c>
      <c r="AQ82" s="1">
        <f t="shared" ref="AQ82:DB82" si="158">AP82*(1+AT45)</f>
        <v>2170.8670302305795</v>
      </c>
      <c r="AR82" s="1">
        <f t="shared" si="158"/>
        <v>2170.8670302305795</v>
      </c>
      <c r="AS82" s="1">
        <f t="shared" si="158"/>
        <v>2170.8670302305795</v>
      </c>
      <c r="AT82" s="1">
        <f t="shared" si="158"/>
        <v>2170.8670302305795</v>
      </c>
      <c r="AU82" s="1">
        <f t="shared" si="158"/>
        <v>2170.8670302305795</v>
      </c>
      <c r="AV82" s="1">
        <f t="shared" si="158"/>
        <v>2170.8670302305795</v>
      </c>
      <c r="AW82" s="1">
        <f t="shared" si="158"/>
        <v>2170.8670302305795</v>
      </c>
      <c r="AX82" s="1">
        <f t="shared" si="158"/>
        <v>2170.8670302305795</v>
      </c>
      <c r="AY82" s="1">
        <f t="shared" si="158"/>
        <v>2170.8670302305795</v>
      </c>
      <c r="AZ82" s="1">
        <f t="shared" si="158"/>
        <v>2170.8670302305795</v>
      </c>
      <c r="BA82" s="1">
        <f t="shared" si="158"/>
        <v>2170.8670302305795</v>
      </c>
      <c r="BB82" s="1">
        <f t="shared" si="158"/>
        <v>2170.8670302305795</v>
      </c>
      <c r="BC82" s="1">
        <f t="shared" si="158"/>
        <v>2170.8670302305795</v>
      </c>
      <c r="BD82" s="1">
        <f t="shared" si="158"/>
        <v>2170.8670302305795</v>
      </c>
      <c r="BE82" s="1">
        <f t="shared" si="158"/>
        <v>2170.8670302305795</v>
      </c>
      <c r="BF82" s="1">
        <f t="shared" si="158"/>
        <v>2170.8670302305795</v>
      </c>
      <c r="BG82" s="1">
        <f t="shared" si="158"/>
        <v>2170.8670302305795</v>
      </c>
      <c r="BH82" s="1">
        <f t="shared" si="158"/>
        <v>2170.8670302305795</v>
      </c>
      <c r="BI82" s="1">
        <f t="shared" si="158"/>
        <v>2170.8670302305795</v>
      </c>
      <c r="BJ82" s="1">
        <f t="shared" si="158"/>
        <v>2170.8670302305795</v>
      </c>
      <c r="BK82" s="1">
        <f t="shared" si="158"/>
        <v>2170.8670302305795</v>
      </c>
      <c r="BL82" s="1">
        <f t="shared" si="158"/>
        <v>2170.8670302305795</v>
      </c>
      <c r="BM82" s="1">
        <f t="shared" si="158"/>
        <v>2170.8670302305795</v>
      </c>
      <c r="BN82" s="1">
        <f t="shared" si="158"/>
        <v>2170.8670302305795</v>
      </c>
      <c r="BO82" s="1">
        <f t="shared" si="158"/>
        <v>2170.8670302305795</v>
      </c>
      <c r="BP82" s="1">
        <f t="shared" si="158"/>
        <v>2170.8670302305795</v>
      </c>
      <c r="BQ82" s="1">
        <f t="shared" si="158"/>
        <v>2170.8670302305795</v>
      </c>
      <c r="BR82" s="1">
        <f t="shared" si="158"/>
        <v>2170.8670302305795</v>
      </c>
      <c r="BS82" s="1">
        <f t="shared" si="158"/>
        <v>2170.8670302305795</v>
      </c>
      <c r="BT82" s="1">
        <f t="shared" si="158"/>
        <v>2170.8670302305795</v>
      </c>
      <c r="BU82" s="1">
        <f t="shared" si="158"/>
        <v>2170.8670302305795</v>
      </c>
      <c r="BV82" s="1">
        <f t="shared" si="158"/>
        <v>2170.8670302305795</v>
      </c>
      <c r="BW82" s="1">
        <f t="shared" si="158"/>
        <v>2170.8670302305795</v>
      </c>
      <c r="BX82" s="1">
        <f t="shared" si="158"/>
        <v>2170.8670302305795</v>
      </c>
      <c r="BY82" s="1">
        <f t="shared" si="158"/>
        <v>2170.8670302305795</v>
      </c>
      <c r="BZ82" s="1">
        <f t="shared" si="158"/>
        <v>2170.8670302305795</v>
      </c>
      <c r="CA82" s="1">
        <f t="shared" si="158"/>
        <v>2170.8670302305795</v>
      </c>
      <c r="CB82" s="1">
        <f t="shared" si="158"/>
        <v>2170.8670302305795</v>
      </c>
      <c r="CC82" s="1">
        <f t="shared" si="158"/>
        <v>2170.8670302305795</v>
      </c>
      <c r="CD82" s="1">
        <f t="shared" si="158"/>
        <v>2170.8670302305795</v>
      </c>
      <c r="CE82" s="1">
        <f t="shared" si="158"/>
        <v>2170.8670302305795</v>
      </c>
      <c r="CF82" s="1">
        <f t="shared" si="158"/>
        <v>2170.8670302305795</v>
      </c>
      <c r="CG82" s="1">
        <f t="shared" si="158"/>
        <v>2170.8670302305795</v>
      </c>
      <c r="CH82" s="1">
        <f t="shared" si="158"/>
        <v>2170.8670302305795</v>
      </c>
      <c r="CI82" s="1">
        <f t="shared" si="158"/>
        <v>2170.8670302305795</v>
      </c>
      <c r="CJ82" s="1">
        <f t="shared" si="158"/>
        <v>2170.8670302305795</v>
      </c>
      <c r="CK82" s="1">
        <f t="shared" si="158"/>
        <v>2170.8670302305795</v>
      </c>
      <c r="CL82" s="1">
        <f t="shared" si="158"/>
        <v>2170.8670302305795</v>
      </c>
      <c r="CM82" s="1">
        <f t="shared" si="158"/>
        <v>2170.8670302305795</v>
      </c>
      <c r="CN82" s="1">
        <f t="shared" si="158"/>
        <v>2170.8670302305795</v>
      </c>
      <c r="CO82" s="1">
        <f t="shared" si="158"/>
        <v>2170.8670302305795</v>
      </c>
      <c r="CP82" s="1">
        <f t="shared" si="158"/>
        <v>2170.8670302305795</v>
      </c>
      <c r="CQ82" s="1">
        <f t="shared" si="158"/>
        <v>2170.8670302305795</v>
      </c>
      <c r="CR82" s="1">
        <f t="shared" si="158"/>
        <v>2170.8670302305795</v>
      </c>
      <c r="CS82" s="1">
        <f t="shared" si="158"/>
        <v>2170.8670302305795</v>
      </c>
      <c r="CT82" s="1">
        <f t="shared" si="158"/>
        <v>2170.8670302305795</v>
      </c>
      <c r="CU82" s="1">
        <f t="shared" si="158"/>
        <v>2170.8670302305795</v>
      </c>
      <c r="CV82" s="1">
        <f t="shared" si="158"/>
        <v>2170.8670302305795</v>
      </c>
      <c r="CW82" s="1">
        <f t="shared" si="158"/>
        <v>2170.8670302305795</v>
      </c>
      <c r="CX82" s="1">
        <f t="shared" si="158"/>
        <v>2170.8670302305795</v>
      </c>
      <c r="CY82" s="1">
        <f t="shared" si="158"/>
        <v>2170.8670302305795</v>
      </c>
      <c r="CZ82" s="1">
        <f t="shared" si="158"/>
        <v>2170.8670302305795</v>
      </c>
      <c r="DA82" s="1">
        <f t="shared" si="158"/>
        <v>2170.8670302305795</v>
      </c>
      <c r="DB82" s="1">
        <f t="shared" si="158"/>
        <v>2170.8670302305795</v>
      </c>
      <c r="DC82" s="1">
        <f t="shared" ref="DC82:EI82" si="159">DB82*(1+DF45)</f>
        <v>2170.8670302305795</v>
      </c>
      <c r="DD82" s="1">
        <f t="shared" si="159"/>
        <v>2170.8670302305795</v>
      </c>
      <c r="DE82" s="1">
        <f t="shared" si="159"/>
        <v>2170.8670302305795</v>
      </c>
      <c r="DF82" s="1">
        <f t="shared" si="159"/>
        <v>2170.8670302305795</v>
      </c>
      <c r="DG82" s="1">
        <f t="shared" si="159"/>
        <v>2170.8670302305795</v>
      </c>
      <c r="DH82" s="1">
        <f t="shared" si="159"/>
        <v>2170.8670302305795</v>
      </c>
      <c r="DI82" s="1">
        <f t="shared" si="159"/>
        <v>2170.8670302305795</v>
      </c>
      <c r="DJ82" s="1">
        <f t="shared" si="159"/>
        <v>2170.8670302305795</v>
      </c>
      <c r="DK82" s="1">
        <f t="shared" si="159"/>
        <v>2170.8670302305795</v>
      </c>
      <c r="DL82" s="1">
        <f t="shared" si="159"/>
        <v>2170.8670302305795</v>
      </c>
      <c r="DM82" s="1">
        <f t="shared" si="159"/>
        <v>2170.8670302305795</v>
      </c>
      <c r="DN82" s="1">
        <f t="shared" si="159"/>
        <v>2170.8670302305795</v>
      </c>
      <c r="DO82" s="1">
        <f t="shared" si="159"/>
        <v>2170.8670302305795</v>
      </c>
      <c r="DP82" s="1">
        <f t="shared" si="159"/>
        <v>2170.8670302305795</v>
      </c>
      <c r="DQ82" s="1">
        <f t="shared" si="159"/>
        <v>2170.8670302305795</v>
      </c>
      <c r="DR82" s="1">
        <f t="shared" si="159"/>
        <v>2170.8670302305795</v>
      </c>
      <c r="DS82" s="1">
        <f t="shared" si="159"/>
        <v>2170.8670302305795</v>
      </c>
      <c r="DT82" s="1">
        <f t="shared" si="159"/>
        <v>2170.8670302305795</v>
      </c>
      <c r="DU82" s="1">
        <f t="shared" si="159"/>
        <v>2170.8670302305795</v>
      </c>
      <c r="DV82" s="1">
        <f t="shared" si="159"/>
        <v>2170.8670302305795</v>
      </c>
      <c r="DW82" s="1">
        <f t="shared" si="159"/>
        <v>2170.8670302305795</v>
      </c>
      <c r="DX82" s="1">
        <f t="shared" si="159"/>
        <v>2170.8670302305795</v>
      </c>
      <c r="DY82" s="1">
        <f t="shared" si="159"/>
        <v>2170.8670302305795</v>
      </c>
      <c r="DZ82" s="1">
        <f t="shared" si="159"/>
        <v>2170.8670302305795</v>
      </c>
      <c r="EA82" s="1">
        <f t="shared" si="159"/>
        <v>2170.8670302305795</v>
      </c>
      <c r="EB82" s="1">
        <f t="shared" si="159"/>
        <v>2170.8670302305795</v>
      </c>
      <c r="EC82" s="1">
        <f t="shared" si="159"/>
        <v>2170.8670302305795</v>
      </c>
      <c r="ED82" s="1">
        <f t="shared" si="159"/>
        <v>2170.8670302305795</v>
      </c>
      <c r="EE82" s="1">
        <f t="shared" si="159"/>
        <v>2170.8670302305795</v>
      </c>
      <c r="EF82" s="1">
        <f t="shared" si="159"/>
        <v>2170.8670302305795</v>
      </c>
      <c r="EG82" s="1">
        <f t="shared" si="159"/>
        <v>2170.8670302305795</v>
      </c>
      <c r="EH82" s="1">
        <f t="shared" si="159"/>
        <v>2170.8670302305795</v>
      </c>
      <c r="EI82" s="1">
        <f t="shared" si="159"/>
        <v>2170.8670302305795</v>
      </c>
    </row>
    <row r="84" spans="2:139" x14ac:dyDescent="0.3">
      <c r="B84" t="s">
        <v>107</v>
      </c>
      <c r="S84" s="8">
        <f>S81/O81-1</f>
        <v>0.45714285714285707</v>
      </c>
      <c r="T84" s="8">
        <f t="shared" ref="T84:V84" si="160">T81/P81-1</f>
        <v>0.56692913385826782</v>
      </c>
      <c r="U84" s="8">
        <f t="shared" si="160"/>
        <v>0.44999999999999996</v>
      </c>
      <c r="V84" s="8">
        <f t="shared" si="160"/>
        <v>0.44999999999999996</v>
      </c>
      <c r="AS84" s="3">
        <f>NPV(AS46,AE82:EI82)</f>
        <v>26107.609767880786</v>
      </c>
    </row>
    <row r="85" spans="2:139" x14ac:dyDescent="0.3">
      <c r="AS85" s="3">
        <f>AS48</f>
        <v>-293</v>
      </c>
    </row>
    <row r="86" spans="2:139" x14ac:dyDescent="0.3">
      <c r="AS86" s="3">
        <f>AS84+AS85</f>
        <v>25814.609767880786</v>
      </c>
    </row>
    <row r="87" spans="2:139" x14ac:dyDescent="0.3">
      <c r="AS87" s="12">
        <f>AS86/AO38</f>
        <v>588.83690163961637</v>
      </c>
    </row>
    <row r="88" spans="2:139" x14ac:dyDescent="0.3">
      <c r="AS88" s="12">
        <f>Main!D3</f>
        <v>1744.5</v>
      </c>
    </row>
    <row r="89" spans="2:139" x14ac:dyDescent="0.3">
      <c r="AS89" s="7">
        <f>AS87/AS88-1</f>
        <v>-0.66246093342527002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Petrov</dc:creator>
  <cp:lastModifiedBy>Anton Mniszek</cp:lastModifiedBy>
  <dcterms:created xsi:type="dcterms:W3CDTF">2024-10-24T18:57:32Z</dcterms:created>
  <dcterms:modified xsi:type="dcterms:W3CDTF">2025-10-04T08:34:49Z</dcterms:modified>
</cp:coreProperties>
</file>