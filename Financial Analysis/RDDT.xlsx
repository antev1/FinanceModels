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97C84A0-A977-4E79-8F53-C9796FB882CD}" xr6:coauthVersionLast="47" xr6:coauthVersionMax="47" xr10:uidLastSave="{00000000-0000-0000-0000-000000000000}"/>
  <bookViews>
    <workbookView xWindow="-108" yWindow="-108" windowWidth="23256" windowHeight="12576" activeTab="1" xr2:uid="{36256194-E29F-4FBF-A799-FCE3EDFD57D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20" i="2" l="1"/>
  <c r="AN43" i="2"/>
  <c r="AF39" i="2"/>
  <c r="AG39" i="2" s="1"/>
  <c r="AH39" i="2" s="1"/>
  <c r="AI39" i="2" s="1"/>
  <c r="AJ39" i="2" s="1"/>
  <c r="AK39" i="2" s="1"/>
  <c r="AE39" i="2"/>
  <c r="AD39" i="2"/>
  <c r="AC39" i="2"/>
  <c r="AB39" i="2"/>
  <c r="AK14" i="2"/>
  <c r="AJ14" i="2"/>
  <c r="AI14" i="2"/>
  <c r="AH14" i="2"/>
  <c r="AG14" i="2"/>
  <c r="AF14" i="2"/>
  <c r="AE14" i="2"/>
  <c r="AD14" i="2"/>
  <c r="AC14" i="2"/>
  <c r="AB14" i="2"/>
  <c r="AA14" i="2"/>
  <c r="R14" i="2"/>
  <c r="D4" i="1"/>
  <c r="D5" i="1" s="1"/>
  <c r="R5" i="2"/>
  <c r="R18" i="2" s="1"/>
  <c r="D7" i="1"/>
  <c r="D6" i="1"/>
  <c r="D8" i="1"/>
  <c r="R21" i="2"/>
  <c r="Q3" i="2"/>
  <c r="Q5" i="2" s="1"/>
  <c r="Q18" i="2" s="1"/>
  <c r="Q14" i="2"/>
  <c r="R20" i="2"/>
  <c r="Q21" i="2"/>
  <c r="P5" i="2"/>
  <c r="P14" i="2"/>
  <c r="AA12" i="2"/>
  <c r="O5" i="2"/>
  <c r="O14" i="2"/>
  <c r="AN47" i="2"/>
  <c r="AB31" i="2"/>
  <c r="AC31" i="2" s="1"/>
  <c r="AD31" i="2" s="1"/>
  <c r="AE31" i="2" s="1"/>
  <c r="AF31" i="2" s="1"/>
  <c r="AG31" i="2" s="1"/>
  <c r="AH31" i="2" s="1"/>
  <c r="AI31" i="2" s="1"/>
  <c r="AJ31" i="2" s="1"/>
  <c r="AK31" i="2" s="1"/>
  <c r="AB28" i="2"/>
  <c r="AC28" i="2" s="1"/>
  <c r="AD28" i="2" s="1"/>
  <c r="AE28" i="2" s="1"/>
  <c r="AF28" i="2" s="1"/>
  <c r="AG28" i="2" s="1"/>
  <c r="AH28" i="2" s="1"/>
  <c r="AI28" i="2" s="1"/>
  <c r="AJ28" i="2" s="1"/>
  <c r="AK28" i="2" s="1"/>
  <c r="O21" i="2"/>
  <c r="Q19" i="2"/>
  <c r="P19" i="2"/>
  <c r="O19" i="2"/>
  <c r="R17" i="2"/>
  <c r="O17" i="2"/>
  <c r="AA10" i="2"/>
  <c r="R19" i="2"/>
  <c r="J20" i="2"/>
  <c r="I20" i="2"/>
  <c r="H20" i="2"/>
  <c r="G20" i="2"/>
  <c r="N21" i="2"/>
  <c r="M21" i="2"/>
  <c r="L21" i="2"/>
  <c r="N20" i="2"/>
  <c r="M20" i="2"/>
  <c r="L20" i="2"/>
  <c r="N19" i="2"/>
  <c r="M19" i="2"/>
  <c r="L19" i="2"/>
  <c r="N17" i="2"/>
  <c r="M17" i="2"/>
  <c r="L17" i="2"/>
  <c r="H5" i="2"/>
  <c r="H9" i="2" s="1"/>
  <c r="H11" i="2" s="1"/>
  <c r="H13" i="2" s="1"/>
  <c r="H15" i="2" s="1"/>
  <c r="L5" i="2"/>
  <c r="L18" i="2" s="1"/>
  <c r="I5" i="2"/>
  <c r="I9" i="2" s="1"/>
  <c r="I11" i="2" s="1"/>
  <c r="I13" i="2" s="1"/>
  <c r="I15" i="2" s="1"/>
  <c r="M5" i="2"/>
  <c r="M18" i="2" s="1"/>
  <c r="J5" i="2"/>
  <c r="J9" i="2" s="1"/>
  <c r="J11" i="2" s="1"/>
  <c r="J13" i="2" s="1"/>
  <c r="J15" i="2" s="1"/>
  <c r="N14" i="2"/>
  <c r="N5" i="2"/>
  <c r="N18" i="2" s="1"/>
  <c r="AN24" i="2"/>
  <c r="Z12" i="2"/>
  <c r="Z10" i="2"/>
  <c r="Z8" i="2"/>
  <c r="Z7" i="2"/>
  <c r="Z6" i="2"/>
  <c r="Z19" i="2" s="1"/>
  <c r="Z3" i="2"/>
  <c r="Y19" i="2"/>
  <c r="Y21" i="2"/>
  <c r="Y17" i="2"/>
  <c r="Y20" i="2"/>
  <c r="X20" i="2"/>
  <c r="K20" i="2"/>
  <c r="K21" i="2"/>
  <c r="K19" i="2"/>
  <c r="K17" i="2"/>
  <c r="Y5" i="2"/>
  <c r="Y9" i="2" s="1"/>
  <c r="Y11" i="2" s="1"/>
  <c r="Y13" i="2" s="1"/>
  <c r="Y15" i="2" s="1"/>
  <c r="X5" i="2"/>
  <c r="X9" i="2" s="1"/>
  <c r="X11" i="2" s="1"/>
  <c r="X13" i="2" s="1"/>
  <c r="X15" i="2" s="1"/>
  <c r="G5" i="2"/>
  <c r="G9" i="2" s="1"/>
  <c r="G11" i="2" s="1"/>
  <c r="G13" i="2" s="1"/>
  <c r="G15" i="2" s="1"/>
  <c r="K5" i="2"/>
  <c r="K18" i="2" s="1"/>
  <c r="F3" i="1"/>
  <c r="Q17" i="2" l="1"/>
  <c r="AA3" i="2"/>
  <c r="AB3" i="2" s="1"/>
  <c r="Q20" i="2"/>
  <c r="AA6" i="2"/>
  <c r="AB6" i="2" s="1"/>
  <c r="AC6" i="2" s="1"/>
  <c r="AD6" i="2" s="1"/>
  <c r="AE6" i="2" s="1"/>
  <c r="AF6" i="2" s="1"/>
  <c r="AG6" i="2" s="1"/>
  <c r="AH6" i="2" s="1"/>
  <c r="AI6" i="2" s="1"/>
  <c r="AJ6" i="2" s="1"/>
  <c r="AK6" i="2" s="1"/>
  <c r="AC3" i="2"/>
  <c r="AB7" i="2"/>
  <c r="AA8" i="2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P21" i="2"/>
  <c r="AB10" i="2"/>
  <c r="AC10" i="2" s="1"/>
  <c r="AD10" i="2" s="1"/>
  <c r="AE10" i="2" s="1"/>
  <c r="AF10" i="2" s="1"/>
  <c r="AG10" i="2" s="1"/>
  <c r="AH10" i="2" s="1"/>
  <c r="AI10" i="2" s="1"/>
  <c r="AJ10" i="2" s="1"/>
  <c r="AK10" i="2" s="1"/>
  <c r="P17" i="2"/>
  <c r="P18" i="2"/>
  <c r="R9" i="2"/>
  <c r="R22" i="2" s="1"/>
  <c r="Q9" i="2"/>
  <c r="Q11" i="2" s="1"/>
  <c r="Q23" i="2" s="1"/>
  <c r="O20" i="2"/>
  <c r="O18" i="2"/>
  <c r="AN44" i="2"/>
  <c r="AN21" i="2"/>
  <c r="D9" i="1"/>
  <c r="X27" i="2"/>
  <c r="X38" i="2" s="1"/>
  <c r="X40" i="2" s="1"/>
  <c r="I18" i="2"/>
  <c r="I22" i="2"/>
  <c r="I23" i="2"/>
  <c r="I24" i="2"/>
  <c r="G23" i="2"/>
  <c r="Y27" i="2"/>
  <c r="Y38" i="2" s="1"/>
  <c r="Y40" i="2" s="1"/>
  <c r="H23" i="2"/>
  <c r="J24" i="2"/>
  <c r="G18" i="2"/>
  <c r="G22" i="2"/>
  <c r="G24" i="2"/>
  <c r="J18" i="2"/>
  <c r="J22" i="2"/>
  <c r="J23" i="2"/>
  <c r="H18" i="2"/>
  <c r="H22" i="2"/>
  <c r="H24" i="2"/>
  <c r="Y23" i="2"/>
  <c r="Y24" i="2"/>
  <c r="X24" i="2"/>
  <c r="Y22" i="2"/>
  <c r="K9" i="2"/>
  <c r="K22" i="2" s="1"/>
  <c r="X18" i="2"/>
  <c r="M9" i="2"/>
  <c r="M22" i="2" s="1"/>
  <c r="Y18" i="2"/>
  <c r="N9" i="2"/>
  <c r="N22" i="2" s="1"/>
  <c r="X22" i="2"/>
  <c r="X23" i="2"/>
  <c r="L9" i="2"/>
  <c r="L22" i="2" s="1"/>
  <c r="Z21" i="2"/>
  <c r="Z4" i="2"/>
  <c r="AA17" i="2"/>
  <c r="Z17" i="2"/>
  <c r="Z20" i="2"/>
  <c r="AA19" i="2" l="1"/>
  <c r="AB19" i="2"/>
  <c r="AC19" i="2"/>
  <c r="AD3" i="2"/>
  <c r="AC7" i="2"/>
  <c r="P9" i="2"/>
  <c r="P22" i="2" s="1"/>
  <c r="P20" i="2"/>
  <c r="AA7" i="2"/>
  <c r="AA20" i="2" s="1"/>
  <c r="AA4" i="2"/>
  <c r="R11" i="2"/>
  <c r="R23" i="2" s="1"/>
  <c r="Q22" i="2"/>
  <c r="AC21" i="2"/>
  <c r="AB21" i="2"/>
  <c r="Q13" i="2"/>
  <c r="Q15" i="2" s="1"/>
  <c r="AA21" i="2"/>
  <c r="AB20" i="2"/>
  <c r="AB5" i="2"/>
  <c r="O9" i="2"/>
  <c r="AB17" i="2"/>
  <c r="M11" i="2"/>
  <c r="M23" i="2" s="1"/>
  <c r="K11" i="2"/>
  <c r="K23" i="2" s="1"/>
  <c r="L11" i="2"/>
  <c r="L23" i="2" s="1"/>
  <c r="N11" i="2"/>
  <c r="N23" i="2" s="1"/>
  <c r="Z5" i="2"/>
  <c r="Z9" i="2" s="1"/>
  <c r="Z22" i="2" s="1"/>
  <c r="AD4" i="2"/>
  <c r="AD19" i="2"/>
  <c r="AD21" i="2"/>
  <c r="AD7" i="2" l="1"/>
  <c r="AE3" i="2"/>
  <c r="R13" i="2"/>
  <c r="R15" i="2" s="1"/>
  <c r="P11" i="2"/>
  <c r="P23" i="2" s="1"/>
  <c r="AC5" i="2"/>
  <c r="AC20" i="2"/>
  <c r="AC4" i="2"/>
  <c r="AB4" i="2"/>
  <c r="Q24" i="2"/>
  <c r="O11" i="2"/>
  <c r="O22" i="2"/>
  <c r="K13" i="2"/>
  <c r="K24" i="2" s="1"/>
  <c r="M13" i="2"/>
  <c r="M24" i="2" s="1"/>
  <c r="L13" i="2"/>
  <c r="L24" i="2" s="1"/>
  <c r="Z18" i="2"/>
  <c r="K15" i="2"/>
  <c r="N13" i="2"/>
  <c r="N24" i="2" s="1"/>
  <c r="AB18" i="2"/>
  <c r="AB9" i="2"/>
  <c r="AC17" i="2"/>
  <c r="AE19" i="2"/>
  <c r="AE21" i="2"/>
  <c r="Z11" i="2"/>
  <c r="Z23" i="2" s="1"/>
  <c r="R24" i="2" l="1"/>
  <c r="AE7" i="2"/>
  <c r="AF3" i="2"/>
  <c r="AG3" i="2" s="1"/>
  <c r="AH3" i="2" s="1"/>
  <c r="AI3" i="2" s="1"/>
  <c r="AJ3" i="2" s="1"/>
  <c r="AK3" i="2" s="1"/>
  <c r="P13" i="2"/>
  <c r="P24" i="2" s="1"/>
  <c r="AD5" i="2"/>
  <c r="AD20" i="2"/>
  <c r="O13" i="2"/>
  <c r="O23" i="2"/>
  <c r="M15" i="2"/>
  <c r="L15" i="2"/>
  <c r="AC9" i="2"/>
  <c r="AC18" i="2"/>
  <c r="AB22" i="2"/>
  <c r="AB11" i="2"/>
  <c r="AD17" i="2"/>
  <c r="N15" i="2"/>
  <c r="AF19" i="2"/>
  <c r="AF21" i="2"/>
  <c r="Z13" i="2"/>
  <c r="P15" i="2" l="1"/>
  <c r="AE5" i="2"/>
  <c r="AE20" i="2"/>
  <c r="O15" i="2"/>
  <c r="O24" i="2"/>
  <c r="Z24" i="2"/>
  <c r="Z27" i="2"/>
  <c r="Z38" i="2" s="1"/>
  <c r="Z40" i="2" s="1"/>
  <c r="AB12" i="2"/>
  <c r="AB23" i="2" s="1"/>
  <c r="AC22" i="2"/>
  <c r="AC11" i="2"/>
  <c r="AD18" i="2"/>
  <c r="AD9" i="2"/>
  <c r="AE17" i="2"/>
  <c r="AG19" i="2"/>
  <c r="AG21" i="2"/>
  <c r="Z15" i="2"/>
  <c r="AF5" i="2" l="1"/>
  <c r="AF7" i="2"/>
  <c r="AF20" i="2" s="1"/>
  <c r="AC12" i="2"/>
  <c r="AC23" i="2" s="1"/>
  <c r="AB13" i="2"/>
  <c r="AB27" i="2" s="1"/>
  <c r="AB38" i="2" s="1"/>
  <c r="AB40" i="2" s="1"/>
  <c r="AD22" i="2"/>
  <c r="AD11" i="2"/>
  <c r="AE9" i="2"/>
  <c r="AF17" i="2"/>
  <c r="AH19" i="2"/>
  <c r="AH21" i="2"/>
  <c r="AG5" i="2" l="1"/>
  <c r="AG7" i="2"/>
  <c r="AG20" i="2" s="1"/>
  <c r="AF9" i="2"/>
  <c r="AF11" i="2" s="1"/>
  <c r="AF12" i="2" s="1"/>
  <c r="AF23" i="2" s="1"/>
  <c r="AG17" i="2"/>
  <c r="AD12" i="2"/>
  <c r="AD23" i="2" s="1"/>
  <c r="AB15" i="2"/>
  <c r="AB24" i="2"/>
  <c r="AE22" i="2"/>
  <c r="AE11" i="2"/>
  <c r="AC13" i="2"/>
  <c r="AC27" i="2" s="1"/>
  <c r="AC38" i="2" s="1"/>
  <c r="AC40" i="2" s="1"/>
  <c r="AI19" i="2"/>
  <c r="AI21" i="2"/>
  <c r="AH5" i="2" l="1"/>
  <c r="AH7" i="2"/>
  <c r="AH20" i="2" s="1"/>
  <c r="AF22" i="2"/>
  <c r="AD13" i="2"/>
  <c r="AF13" i="2"/>
  <c r="AE12" i="2"/>
  <c r="AE23" i="2" s="1"/>
  <c r="AH17" i="2"/>
  <c r="AC15" i="2"/>
  <c r="AC24" i="2"/>
  <c r="AG9" i="2"/>
  <c r="AK19" i="2"/>
  <c r="AJ19" i="2"/>
  <c r="AJ21" i="2"/>
  <c r="AI5" i="2" l="1"/>
  <c r="AI7" i="2"/>
  <c r="AI20" i="2" s="1"/>
  <c r="AD15" i="2"/>
  <c r="AD27" i="2"/>
  <c r="AD38" i="2" s="1"/>
  <c r="AD40" i="2" s="1"/>
  <c r="AF15" i="2"/>
  <c r="AF27" i="2"/>
  <c r="AF38" i="2" s="1"/>
  <c r="AF40" i="2" s="1"/>
  <c r="AE13" i="2"/>
  <c r="AE15" i="2" s="1"/>
  <c r="AF24" i="2"/>
  <c r="AD24" i="2"/>
  <c r="AG22" i="2"/>
  <c r="AG11" i="2"/>
  <c r="AH9" i="2"/>
  <c r="AI17" i="2"/>
  <c r="AK21" i="2"/>
  <c r="AJ5" i="2" l="1"/>
  <c r="AJ7" i="2"/>
  <c r="AJ20" i="2" s="1"/>
  <c r="AE24" i="2"/>
  <c r="AE27" i="2"/>
  <c r="AE38" i="2" s="1"/>
  <c r="AE40" i="2" s="1"/>
  <c r="AH22" i="2"/>
  <c r="AH11" i="2"/>
  <c r="AI9" i="2"/>
  <c r="AJ17" i="2"/>
  <c r="AG12" i="2"/>
  <c r="AG23" i="2" s="1"/>
  <c r="AK5" i="2" l="1"/>
  <c r="AK7" i="2"/>
  <c r="AK20" i="2" s="1"/>
  <c r="AG13" i="2"/>
  <c r="AJ9" i="2"/>
  <c r="AK17" i="2"/>
  <c r="AI22" i="2"/>
  <c r="AI11" i="2"/>
  <c r="AI12" i="2" s="1"/>
  <c r="AI23" i="2" s="1"/>
  <c r="AH12" i="2"/>
  <c r="AH23" i="2" s="1"/>
  <c r="AG15" i="2" l="1"/>
  <c r="AG27" i="2"/>
  <c r="AG38" i="2" s="1"/>
  <c r="AG40" i="2" s="1"/>
  <c r="AH13" i="2"/>
  <c r="AG24" i="2"/>
  <c r="AJ22" i="2"/>
  <c r="AJ11" i="2"/>
  <c r="AK9" i="2"/>
  <c r="AI13" i="2"/>
  <c r="AI15" i="2" l="1"/>
  <c r="AI27" i="2"/>
  <c r="AI38" i="2" s="1"/>
  <c r="AI40" i="2" s="1"/>
  <c r="AH24" i="2"/>
  <c r="AH27" i="2"/>
  <c r="AH38" i="2" s="1"/>
  <c r="AH40" i="2" s="1"/>
  <c r="AH15" i="2"/>
  <c r="AI24" i="2"/>
  <c r="AK22" i="2"/>
  <c r="AK11" i="2"/>
  <c r="AJ12" i="2"/>
  <c r="AJ23" i="2" s="1"/>
  <c r="AJ13" i="2" l="1"/>
  <c r="AK12" i="2"/>
  <c r="AK23" i="2" s="1"/>
  <c r="AJ15" i="2" l="1"/>
  <c r="AJ27" i="2"/>
  <c r="AJ38" i="2" s="1"/>
  <c r="AJ40" i="2" s="1"/>
  <c r="AJ24" i="2"/>
  <c r="AK13" i="2"/>
  <c r="AK27" i="2" s="1"/>
  <c r="AK38" i="2" s="1"/>
  <c r="AK40" i="2" s="1"/>
  <c r="AL40" i="2" s="1"/>
  <c r="AM40" i="2" s="1"/>
  <c r="AN40" i="2" s="1"/>
  <c r="AO40" i="2" s="1"/>
  <c r="AP40" i="2" s="1"/>
  <c r="AQ40" i="2" s="1"/>
  <c r="AR40" i="2" s="1"/>
  <c r="AS40" i="2" s="1"/>
  <c r="AT40" i="2" s="1"/>
  <c r="AU40" i="2" s="1"/>
  <c r="AV40" i="2" s="1"/>
  <c r="AW40" i="2" s="1"/>
  <c r="AX40" i="2" s="1"/>
  <c r="AY40" i="2" s="1"/>
  <c r="AZ40" i="2" s="1"/>
  <c r="BA40" i="2" s="1"/>
  <c r="BB40" i="2" s="1"/>
  <c r="BC40" i="2" s="1"/>
  <c r="BD40" i="2" s="1"/>
  <c r="BE40" i="2" s="1"/>
  <c r="BF40" i="2" s="1"/>
  <c r="BG40" i="2" s="1"/>
  <c r="BH40" i="2" s="1"/>
  <c r="BI40" i="2" s="1"/>
  <c r="BJ40" i="2" s="1"/>
  <c r="BK40" i="2" s="1"/>
  <c r="BL40" i="2" s="1"/>
  <c r="BM40" i="2" s="1"/>
  <c r="BN40" i="2" s="1"/>
  <c r="BO40" i="2" s="1"/>
  <c r="BP40" i="2" s="1"/>
  <c r="BQ40" i="2" s="1"/>
  <c r="BR40" i="2" s="1"/>
  <c r="BS40" i="2" s="1"/>
  <c r="BT40" i="2" s="1"/>
  <c r="BU40" i="2" s="1"/>
  <c r="BV40" i="2" s="1"/>
  <c r="BW40" i="2" s="1"/>
  <c r="BX40" i="2" s="1"/>
  <c r="BY40" i="2" s="1"/>
  <c r="BZ40" i="2" s="1"/>
  <c r="CA40" i="2" s="1"/>
  <c r="CB40" i="2" s="1"/>
  <c r="CC40" i="2" s="1"/>
  <c r="CD40" i="2" s="1"/>
  <c r="CE40" i="2" s="1"/>
  <c r="CF40" i="2" s="1"/>
  <c r="CG40" i="2" s="1"/>
  <c r="CH40" i="2" s="1"/>
  <c r="CI40" i="2" s="1"/>
  <c r="CJ40" i="2" s="1"/>
  <c r="CK40" i="2" s="1"/>
  <c r="CL40" i="2" s="1"/>
  <c r="CM40" i="2" s="1"/>
  <c r="CN40" i="2" s="1"/>
  <c r="CO40" i="2" s="1"/>
  <c r="CP40" i="2" s="1"/>
  <c r="CQ40" i="2" s="1"/>
  <c r="CR40" i="2" s="1"/>
  <c r="CS40" i="2" s="1"/>
  <c r="CT40" i="2" s="1"/>
  <c r="CU40" i="2" s="1"/>
  <c r="CV40" i="2" s="1"/>
  <c r="CW40" i="2" s="1"/>
  <c r="CX40" i="2" s="1"/>
  <c r="CY40" i="2" s="1"/>
  <c r="CZ40" i="2" s="1"/>
  <c r="DA40" i="2" s="1"/>
  <c r="DB40" i="2" s="1"/>
  <c r="DC40" i="2" s="1"/>
  <c r="DD40" i="2" s="1"/>
  <c r="DE40" i="2" s="1"/>
  <c r="DF40" i="2" s="1"/>
  <c r="DG40" i="2" s="1"/>
  <c r="DH40" i="2" s="1"/>
  <c r="DI40" i="2" s="1"/>
  <c r="DJ40" i="2" s="1"/>
  <c r="DK40" i="2" s="1"/>
  <c r="DL40" i="2" s="1"/>
  <c r="DM40" i="2" s="1"/>
  <c r="DN40" i="2" s="1"/>
  <c r="DO40" i="2" s="1"/>
  <c r="DP40" i="2" s="1"/>
  <c r="DQ40" i="2" s="1"/>
  <c r="DR40" i="2" s="1"/>
  <c r="DS40" i="2" s="1"/>
  <c r="DT40" i="2" s="1"/>
  <c r="DU40" i="2" s="1"/>
  <c r="DV40" i="2" s="1"/>
  <c r="DW40" i="2" s="1"/>
  <c r="DX40" i="2" s="1"/>
  <c r="DY40" i="2" s="1"/>
  <c r="DZ40" i="2" s="1"/>
  <c r="EA40" i="2" s="1"/>
  <c r="EB40" i="2" s="1"/>
  <c r="EC40" i="2" s="1"/>
  <c r="ED40" i="2" s="1"/>
  <c r="EE40" i="2" s="1"/>
  <c r="EF40" i="2" s="1"/>
  <c r="EG40" i="2" s="1"/>
  <c r="EH40" i="2" s="1"/>
  <c r="EI40" i="2" s="1"/>
  <c r="EJ40" i="2" s="1"/>
  <c r="EK40" i="2" s="1"/>
  <c r="EL40" i="2" s="1"/>
  <c r="EM40" i="2" s="1"/>
  <c r="EN40" i="2" s="1"/>
  <c r="EO40" i="2" s="1"/>
  <c r="EP40" i="2" s="1"/>
  <c r="EQ40" i="2" s="1"/>
  <c r="ER40" i="2" s="1"/>
  <c r="AL13" i="2" l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BK13" i="2" s="1"/>
  <c r="BL13" i="2" s="1"/>
  <c r="BM13" i="2" s="1"/>
  <c r="BN13" i="2" s="1"/>
  <c r="BO13" i="2" s="1"/>
  <c r="BP13" i="2" s="1"/>
  <c r="BQ13" i="2" s="1"/>
  <c r="BR13" i="2" s="1"/>
  <c r="BS13" i="2" s="1"/>
  <c r="BT13" i="2" s="1"/>
  <c r="BU13" i="2" s="1"/>
  <c r="BV13" i="2" s="1"/>
  <c r="BW13" i="2" s="1"/>
  <c r="BX13" i="2" s="1"/>
  <c r="BY13" i="2" s="1"/>
  <c r="BZ13" i="2" s="1"/>
  <c r="CA13" i="2" s="1"/>
  <c r="CB13" i="2" s="1"/>
  <c r="CC13" i="2" s="1"/>
  <c r="CD13" i="2" s="1"/>
  <c r="CE13" i="2" s="1"/>
  <c r="CF13" i="2" s="1"/>
  <c r="CG13" i="2" s="1"/>
  <c r="CH13" i="2" s="1"/>
  <c r="CI13" i="2" s="1"/>
  <c r="CJ13" i="2" s="1"/>
  <c r="CK13" i="2" s="1"/>
  <c r="CL13" i="2" s="1"/>
  <c r="CM13" i="2" s="1"/>
  <c r="CN13" i="2" s="1"/>
  <c r="CO13" i="2" s="1"/>
  <c r="CP13" i="2" s="1"/>
  <c r="CQ13" i="2" s="1"/>
  <c r="CR13" i="2" s="1"/>
  <c r="CS13" i="2" s="1"/>
  <c r="CT13" i="2" s="1"/>
  <c r="CU13" i="2" s="1"/>
  <c r="CV13" i="2" s="1"/>
  <c r="CW13" i="2" s="1"/>
  <c r="CX13" i="2" s="1"/>
  <c r="CY13" i="2" s="1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DJ13" i="2" s="1"/>
  <c r="DK13" i="2" s="1"/>
  <c r="DL13" i="2" s="1"/>
  <c r="DM13" i="2" s="1"/>
  <c r="DN13" i="2" s="1"/>
  <c r="DO13" i="2" s="1"/>
  <c r="DP13" i="2" s="1"/>
  <c r="DQ13" i="2" s="1"/>
  <c r="DR13" i="2" s="1"/>
  <c r="DS13" i="2" s="1"/>
  <c r="DT13" i="2" s="1"/>
  <c r="DU13" i="2" s="1"/>
  <c r="DV13" i="2" s="1"/>
  <c r="DW13" i="2" s="1"/>
  <c r="DX13" i="2" s="1"/>
  <c r="DY13" i="2" s="1"/>
  <c r="DZ13" i="2" s="1"/>
  <c r="EA13" i="2" s="1"/>
  <c r="EB13" i="2" s="1"/>
  <c r="EC13" i="2" s="1"/>
  <c r="ED13" i="2" s="1"/>
  <c r="EE13" i="2" s="1"/>
  <c r="EF13" i="2" s="1"/>
  <c r="EG13" i="2" s="1"/>
  <c r="EH13" i="2" s="1"/>
  <c r="EI13" i="2" s="1"/>
  <c r="EJ13" i="2" s="1"/>
  <c r="EK13" i="2" s="1"/>
  <c r="EL13" i="2" s="1"/>
  <c r="EM13" i="2" s="1"/>
  <c r="EN13" i="2" s="1"/>
  <c r="EO13" i="2" s="1"/>
  <c r="EP13" i="2" s="1"/>
  <c r="EQ13" i="2" s="1"/>
  <c r="AK24" i="2"/>
  <c r="AK15" i="2"/>
  <c r="AE18" i="2"/>
  <c r="AK18" i="2" l="1"/>
  <c r="AJ18" i="2"/>
  <c r="AI18" i="2"/>
  <c r="AH18" i="2"/>
  <c r="AG18" i="2"/>
  <c r="AF18" i="2"/>
  <c r="AE4" i="2"/>
  <c r="AI4" i="2" s="1"/>
  <c r="AH4" i="2"/>
  <c r="AG4" i="2"/>
  <c r="AA5" i="2"/>
  <c r="AA18" i="2" s="1"/>
  <c r="AF4" i="2"/>
  <c r="AA9" i="2" l="1"/>
  <c r="AA11" i="2" s="1"/>
  <c r="AA23" i="2" s="1"/>
  <c r="AJ4" i="2"/>
  <c r="AK4" i="2"/>
  <c r="AA22" i="2" l="1"/>
  <c r="AA13" i="2"/>
  <c r="AA27" i="2" s="1"/>
  <c r="AA38" i="2" s="1"/>
  <c r="AA40" i="2" s="1"/>
  <c r="AN45" i="2" s="1"/>
  <c r="AN46" i="2" s="1"/>
  <c r="AN48" i="2" s="1"/>
  <c r="AN22" i="2" l="1"/>
  <c r="AN23" i="2" s="1"/>
  <c r="AN25" i="2" s="1"/>
  <c r="AA24" i="2"/>
  <c r="AA15" i="2"/>
</calcChain>
</file>

<file path=xl/sharedStrings.xml><?xml version="1.0" encoding="utf-8"?>
<sst xmlns="http://schemas.openxmlformats.org/spreadsheetml/2006/main" count="78" uniqueCount="73">
  <si>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</si>
  <si>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</si>
  <si>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</si>
  <si>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</si>
  <si>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</si>
  <si>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</si>
  <si>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</si>
  <si>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</si>
  <si>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</si>
  <si>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</si>
  <si>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</si>
  <si>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</si>
  <si>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</si>
  <si>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</si>
  <si>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</si>
  <si>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</si>
  <si>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</si>
  <si>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</si>
  <si>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</si>
  <si>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</si>
  <si>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</si>
  <si>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</si>
  <si>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</si>
  <si>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</si>
  <si>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</si>
  <si>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</si>
  <si>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</si>
  <si>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</si>
  <si>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</si>
  <si>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</si>
  <si>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</si>
  <si>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</si>
  <si>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</si>
  <si>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</si>
  <si>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</si>
  <si>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</si>
  <si>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</si>
  <si>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</si>
  <si>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</si>
  <si>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</si>
  <si>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</si>
  <si>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</si>
  <si>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</si>
  <si>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Net cash</t>
  </si>
  <si>
    <t>Value</t>
  </si>
  <si>
    <t>Per share</t>
  </si>
  <si>
    <t>Current price</t>
  </si>
  <si>
    <t>Variance</t>
  </si>
  <si>
    <t>Consensus</t>
  </si>
  <si>
    <t>Net income</t>
  </si>
  <si>
    <t>D&amp;A</t>
  </si>
  <si>
    <t>Leases</t>
  </si>
  <si>
    <t>Amortisation</t>
  </si>
  <si>
    <t>SBC</t>
  </si>
  <si>
    <t>Other</t>
  </si>
  <si>
    <t>A/R</t>
  </si>
  <si>
    <t>Prepaids</t>
  </si>
  <si>
    <t>A/P</t>
  </si>
  <si>
    <t>A/L</t>
  </si>
  <si>
    <t>CFFO</t>
  </si>
  <si>
    <t>PP&amp;E</t>
  </si>
  <si>
    <t>FCF</t>
  </si>
  <si>
    <t>Q125</t>
  </si>
  <si>
    <t>Q225</t>
  </si>
  <si>
    <t>Q325</t>
  </si>
  <si>
    <t>Q425</t>
  </si>
  <si>
    <t>NPV</t>
  </si>
  <si>
    <t>Q126</t>
  </si>
  <si>
    <t>Q226</t>
  </si>
  <si>
    <t>Q326</t>
  </si>
  <si>
    <t>Q426</t>
  </si>
  <si>
    <t>Q425 8K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</si>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</sst>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4" fontId="2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30480</xdr:colOff>
      <xdr:row>0</xdr:row>
      <xdr:rowOff>7620</xdr:rowOff>
    </xdr:from>
    <xdr:to>
      <xdr:col>27</xdr:col>
      <xdr:colOff>30480</xdr:colOff>
      <xdr:row>54</xdr:row>
      <xdr:rowOff>129540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7642575-C6C5-0AAA-F505-DDE1C0B2A085}"/>
            </a:ext>
          </a:extLst>
        </xdr:cNvPr>
        <xdr:cNvCxnSpPr/>
      </xdr:nvCxnSpPr>
      <xdr:spPr>
        <a:xfrm>
          <a:off x="16954500" y="7620"/>
          <a:ext cx="0" cy="9997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30480</xdr:colOff>
      <xdr:row>0</xdr:row>
      <xdr:rowOff>7620</xdr:rowOff>
    </xdr:from>
    <xdr:to>
      <xdr:col>18</xdr:col>
      <xdr:colOff>30480</xdr:colOff>
      <xdr:row>33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A6B8064-E861-B27A-7692-3721317875FB}"/>
            </a:ext>
          </a:extLst>
        </xdr:cNvPr>
        <xdr:cNvCxnSpPr/>
      </xdr:nvCxnSpPr>
      <xdr:spPr>
        <a:xfrm>
          <a:off x="1146810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7410B-C7AE-439B-A755-B1C831AD05EB}">
  <dimension ref="C2:G9"/>
  <sheetViews>
    <sheetView workbookViewId="0">
      <selection activeCell="E3" sqref="E3"/>
    </sheetView>
  </sheetViews>
  <sheetFormatPr defaultRowHeight="14.4" x14ac:dyDescent="0.3"/>
  <cols>
    <col min="5" max="5" width="11.88671875" style="3" bestFit="1" customWidth="1"/>
    <col min="6" max="7" width="11.21875" style="3" bestFit="1" customWidth="1"/>
    <col min="8" max="8" width="8.88671875" customWidth="1"/>
  </cols>
  <sheetData>
    <row r="2" spans="3:7" x14ac:dyDescent="0.3">
      <c r="E2" s="3" t="s">
        <v>7</v>
      </c>
      <c r="F2" s="3" t="s">
        <v>8</v>
      </c>
      <c r="G2" s="3" t="s">
        <v>9</v>
      </c>
    </row>
    <row r="3" spans="3:7" x14ac:dyDescent="0.3">
      <c r="C3" t="s">
        <v>0</v>
      </c>
      <c r="D3" s="1">
        <v>165.1</v>
      </c>
      <c r="E3" s="10">
        <v>46059</v>
      </c>
      <c r="F3" s="10">
        <f ca="1">TODAY()</f>
        <v>46059</v>
      </c>
      <c r="G3" s="10">
        <v>46154</v>
      </c>
    </row>
    <row r="4" spans="3:7" x14ac:dyDescent="0.3">
      <c r="C4" t="s">
        <v>1</v>
      </c>
      <c r="D4" s="2">
        <f>190</f>
        <v>190</v>
      </c>
      <c r="E4" s="3" t="s">
        <v>71</v>
      </c>
    </row>
    <row r="5" spans="3:7" x14ac:dyDescent="0.3">
      <c r="C5" t="s">
        <v>2</v>
      </c>
      <c r="D5" s="2">
        <f>D3*D4</f>
        <v>31369</v>
      </c>
    </row>
    <row r="6" spans="3:7" x14ac:dyDescent="0.3">
      <c r="C6" t="s">
        <v>3</v>
      </c>
      <c r="D6" s="2">
        <f>953.6+1523.2</f>
        <v>2476.8000000000002</v>
      </c>
      <c r="E6" s="3" t="s">
        <v>65</v>
      </c>
    </row>
    <row r="7" spans="3:7" x14ac:dyDescent="0.3">
      <c r="C7" t="s">
        <v>4</v>
      </c>
      <c r="D7" s="2">
        <f>0</f>
        <v>0</v>
      </c>
      <c r="E7" s="3" t="s">
        <v>65</v>
      </c>
    </row>
    <row r="8" spans="3:7" x14ac:dyDescent="0.3">
      <c r="C8" t="s">
        <v>5</v>
      </c>
      <c r="D8" s="2">
        <f>D6-D7</f>
        <v>2476.8000000000002</v>
      </c>
    </row>
    <row r="9" spans="3:7" x14ac:dyDescent="0.3">
      <c r="C9" t="s">
        <v>6</v>
      </c>
      <c r="D9" s="2">
        <f>D5-D8</f>
        <v>28892.2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7A926-C368-443C-82AB-009CB4B745BA}">
  <dimension ref="A2:ER48"/>
  <sheetViews>
    <sheetView tabSelected="1" workbookViewId="0">
      <pane xSplit="2" ySplit="2" topLeftCell="AC22" activePane="bottomRight" state="frozen"/>
      <selection pane="topRight" activeCell="C1" sqref="C1"/>
      <selection pane="bottomLeft" activeCell="A3" sqref="A3"/>
      <selection pane="bottomRight" activeCell="AN48" sqref="AN48"/>
    </sheetView>
  </sheetViews>
  <sheetFormatPr defaultRowHeight="14.4" x14ac:dyDescent="0.3"/>
  <cols>
    <col min="2" max="2" width="15.6640625" customWidth="1"/>
    <col min="39" max="39" width="14.88671875" customWidth="1"/>
    <col min="40" max="40" width="16.44140625" bestFit="1" customWidth="1"/>
  </cols>
  <sheetData>
    <row r="2" spans="1:147" x14ac:dyDescent="0.3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 t="s">
        <v>32</v>
      </c>
      <c r="N2" s="4" t="s">
        <v>33</v>
      </c>
      <c r="O2" s="4" t="s">
        <v>62</v>
      </c>
      <c r="P2" s="4" t="s">
        <v>63</v>
      </c>
      <c r="Q2" s="4" t="s">
        <v>64</v>
      </c>
      <c r="R2" s="4" t="s">
        <v>65</v>
      </c>
      <c r="S2" s="4" t="s">
        <v>67</v>
      </c>
      <c r="T2" s="4" t="s">
        <v>68</v>
      </c>
      <c r="U2" s="4" t="s">
        <v>69</v>
      </c>
      <c r="V2" s="4" t="s">
        <v>70</v>
      </c>
      <c r="X2">
        <v>2022</v>
      </c>
      <c r="Y2">
        <v>2023</v>
      </c>
      <c r="Z2">
        <v>2024</v>
      </c>
      <c r="AA2">
        <v>2025</v>
      </c>
      <c r="AB2">
        <v>2026</v>
      </c>
      <c r="AC2">
        <v>2027</v>
      </c>
      <c r="AD2">
        <v>2028</v>
      </c>
      <c r="AE2">
        <v>2029</v>
      </c>
      <c r="AF2">
        <v>2030</v>
      </c>
      <c r="AG2">
        <v>2031</v>
      </c>
      <c r="AH2">
        <v>2032</v>
      </c>
      <c r="AI2">
        <v>2033</v>
      </c>
      <c r="AJ2">
        <v>2034</v>
      </c>
      <c r="AK2">
        <v>2035</v>
      </c>
    </row>
    <row r="3" spans="1:147" s="6" customFormat="1" x14ac:dyDescent="0.3">
      <c r="A3"/>
      <c r="B3" s="6" t="s">
        <v>10</v>
      </c>
      <c r="G3" s="7">
        <v>163.69999999999999</v>
      </c>
      <c r="H3" s="7">
        <v>183</v>
      </c>
      <c r="I3" s="7">
        <v>207.5</v>
      </c>
      <c r="J3" s="7">
        <v>249.8</v>
      </c>
      <c r="K3" s="7">
        <v>243</v>
      </c>
      <c r="L3" s="7">
        <v>281.2</v>
      </c>
      <c r="M3" s="7">
        <v>348.4</v>
      </c>
      <c r="N3" s="7">
        <v>427.7</v>
      </c>
      <c r="O3" s="7">
        <v>392.4</v>
      </c>
      <c r="P3" s="7">
        <v>499.6</v>
      </c>
      <c r="Q3" s="7">
        <f>584.9</f>
        <v>584.9</v>
      </c>
      <c r="R3" s="7">
        <v>725.6</v>
      </c>
      <c r="S3" s="7"/>
      <c r="T3" s="7"/>
      <c r="U3" s="7"/>
      <c r="V3" s="7"/>
      <c r="X3" s="7">
        <v>666.7</v>
      </c>
      <c r="Y3" s="7">
        <v>804</v>
      </c>
      <c r="Z3" s="7">
        <f>SUM(K3:N3)</f>
        <v>1300.3</v>
      </c>
      <c r="AA3" s="7">
        <f>SUM(O3:R3)</f>
        <v>2202.5</v>
      </c>
      <c r="AB3" s="7">
        <f>AA3*1.4</f>
        <v>3083.5</v>
      </c>
      <c r="AC3" s="7">
        <f>AB3*1.3</f>
        <v>4008.55</v>
      </c>
      <c r="AD3" s="7">
        <f>AC3*1.15</f>
        <v>4609.8324999999995</v>
      </c>
      <c r="AE3" s="7">
        <f>AD3*1.08</f>
        <v>4978.6190999999999</v>
      </c>
      <c r="AF3" s="7">
        <f>AE3*1.06</f>
        <v>5277.3362459999998</v>
      </c>
      <c r="AG3" s="7">
        <f>AF3*1.05</f>
        <v>5541.2030583000005</v>
      </c>
      <c r="AH3" s="7">
        <f t="shared" ref="AH3:AK3" si="0">AG3*1.05</f>
        <v>5818.2632112150004</v>
      </c>
      <c r="AI3" s="7">
        <f t="shared" si="0"/>
        <v>6109.1763717757503</v>
      </c>
      <c r="AJ3" s="7">
        <f t="shared" si="0"/>
        <v>6414.6351903645382</v>
      </c>
      <c r="AK3" s="7">
        <f t="shared" si="0"/>
        <v>6735.3669498827658</v>
      </c>
    </row>
    <row r="4" spans="1:147" x14ac:dyDescent="0.3">
      <c r="B4" t="s">
        <v>11</v>
      </c>
      <c r="G4" s="2">
        <v>26.9</v>
      </c>
      <c r="H4" s="2">
        <v>28.8</v>
      </c>
      <c r="I4" s="2">
        <v>26.4</v>
      </c>
      <c r="J4" s="2">
        <v>28.9</v>
      </c>
      <c r="K4" s="2">
        <v>27.6</v>
      </c>
      <c r="L4" s="2">
        <v>29.5</v>
      </c>
      <c r="M4" s="2">
        <v>34.6</v>
      </c>
      <c r="N4" s="2">
        <v>31.8</v>
      </c>
      <c r="O4" s="2">
        <v>37.1</v>
      </c>
      <c r="P4" s="2">
        <v>45.9</v>
      </c>
      <c r="Q4" s="2">
        <v>52.5</v>
      </c>
      <c r="R4" s="2">
        <v>58.7</v>
      </c>
      <c r="S4" s="2"/>
      <c r="T4" s="2"/>
      <c r="U4" s="2"/>
      <c r="V4" s="2"/>
      <c r="X4" s="2">
        <v>104.8</v>
      </c>
      <c r="Y4" s="2">
        <v>111</v>
      </c>
      <c r="Z4" s="2">
        <f>SUM(K4:N4)</f>
        <v>123.5</v>
      </c>
      <c r="AA4" s="2">
        <f>SUM(O4:R4)</f>
        <v>194.2</v>
      </c>
      <c r="AB4" s="2">
        <f>SUM(M4:X4)</f>
        <v>365.40000000000003</v>
      </c>
      <c r="AC4" s="2">
        <f>SUM(N4:Y4)</f>
        <v>441.8</v>
      </c>
      <c r="AD4" s="2">
        <f t="shared" ref="AD4:AK4" si="1">SUM(W4:Z4)</f>
        <v>339.3</v>
      </c>
      <c r="AE4" s="2">
        <f t="shared" si="1"/>
        <v>533.5</v>
      </c>
      <c r="AF4" s="2">
        <f t="shared" si="1"/>
        <v>794.1</v>
      </c>
      <c r="AG4" s="2">
        <f t="shared" si="1"/>
        <v>1124.9000000000001</v>
      </c>
      <c r="AH4" s="2">
        <f t="shared" si="1"/>
        <v>1340.7</v>
      </c>
      <c r="AI4" s="2">
        <f t="shared" si="1"/>
        <v>1680</v>
      </c>
      <c r="AJ4" s="2">
        <f t="shared" si="1"/>
        <v>2108.6999999999998</v>
      </c>
      <c r="AK4" s="2">
        <f t="shared" si="1"/>
        <v>2791.8</v>
      </c>
    </row>
    <row r="5" spans="1:147" s="6" customFormat="1" x14ac:dyDescent="0.3">
      <c r="A5"/>
      <c r="B5" s="6" t="s">
        <v>12</v>
      </c>
      <c r="G5" s="7">
        <f t="shared" ref="G5:R5" si="2">G3-G4</f>
        <v>136.79999999999998</v>
      </c>
      <c r="H5" s="7">
        <f t="shared" si="2"/>
        <v>154.19999999999999</v>
      </c>
      <c r="I5" s="7">
        <f t="shared" si="2"/>
        <v>181.1</v>
      </c>
      <c r="J5" s="7">
        <f t="shared" si="2"/>
        <v>220.9</v>
      </c>
      <c r="K5" s="7">
        <f t="shared" si="2"/>
        <v>215.4</v>
      </c>
      <c r="L5" s="7">
        <f t="shared" si="2"/>
        <v>251.7</v>
      </c>
      <c r="M5" s="7">
        <f t="shared" si="2"/>
        <v>313.79999999999995</v>
      </c>
      <c r="N5" s="7">
        <f t="shared" si="2"/>
        <v>395.9</v>
      </c>
      <c r="O5" s="7">
        <f t="shared" si="2"/>
        <v>355.29999999999995</v>
      </c>
      <c r="P5" s="7">
        <f t="shared" si="2"/>
        <v>453.70000000000005</v>
      </c>
      <c r="Q5" s="7">
        <f t="shared" si="2"/>
        <v>532.4</v>
      </c>
      <c r="R5" s="7">
        <f t="shared" si="2"/>
        <v>666.9</v>
      </c>
      <c r="S5" s="7"/>
      <c r="T5" s="7"/>
      <c r="U5" s="7"/>
      <c r="V5" s="7"/>
      <c r="X5" s="7">
        <f>X3-X4</f>
        <v>561.90000000000009</v>
      </c>
      <c r="Y5" s="7">
        <f>Y3-Y4</f>
        <v>693</v>
      </c>
      <c r="Z5" s="7">
        <f>Z3-Z4</f>
        <v>1176.8</v>
      </c>
      <c r="AA5" s="7">
        <f>AA3-AA4</f>
        <v>2008.3</v>
      </c>
      <c r="AB5" s="7">
        <f>AB3*0.92</f>
        <v>2836.82</v>
      </c>
      <c r="AC5" s="7">
        <f t="shared" ref="AC5:AK5" si="3">AC3*0.92</f>
        <v>3687.8660000000004</v>
      </c>
      <c r="AD5" s="7">
        <f t="shared" si="3"/>
        <v>4241.0459000000001</v>
      </c>
      <c r="AE5" s="7">
        <f t="shared" si="3"/>
        <v>4580.3295719999996</v>
      </c>
      <c r="AF5" s="7">
        <f t="shared" si="3"/>
        <v>4855.1493463200004</v>
      </c>
      <c r="AG5" s="7">
        <f t="shared" si="3"/>
        <v>5097.9068136360011</v>
      </c>
      <c r="AH5" s="7">
        <f t="shared" si="3"/>
        <v>5352.8021543178002</v>
      </c>
      <c r="AI5" s="7">
        <f t="shared" si="3"/>
        <v>5620.4422620336909</v>
      </c>
      <c r="AJ5" s="7">
        <f t="shared" si="3"/>
        <v>5901.4643751353751</v>
      </c>
      <c r="AK5" s="7">
        <f t="shared" si="3"/>
        <v>6196.5375938921452</v>
      </c>
    </row>
    <row r="6" spans="1:147" x14ac:dyDescent="0.3">
      <c r="B6" t="s">
        <v>13</v>
      </c>
      <c r="G6" s="2">
        <v>108.8</v>
      </c>
      <c r="H6" s="2">
        <v>109.7</v>
      </c>
      <c r="I6" s="2">
        <v>108.3</v>
      </c>
      <c r="J6" s="2">
        <v>111.6</v>
      </c>
      <c r="K6" s="2">
        <v>437</v>
      </c>
      <c r="L6" s="2">
        <v>142.80000000000001</v>
      </c>
      <c r="M6" s="2">
        <v>166.7</v>
      </c>
      <c r="N6" s="2">
        <v>188.6</v>
      </c>
      <c r="O6" s="2">
        <v>191.3</v>
      </c>
      <c r="P6" s="2">
        <v>196.6</v>
      </c>
      <c r="Q6" s="2">
        <v>196.4</v>
      </c>
      <c r="R6" s="2">
        <v>198.9</v>
      </c>
      <c r="S6" s="2"/>
      <c r="T6" s="2"/>
      <c r="U6" s="2"/>
      <c r="V6" s="2"/>
      <c r="X6" s="2">
        <v>365.2</v>
      </c>
      <c r="Y6" s="2">
        <v>438.3</v>
      </c>
      <c r="Z6" s="2">
        <f>SUM(K6:N6)</f>
        <v>935.1</v>
      </c>
      <c r="AA6" s="2">
        <f>SUM(O6:R6)</f>
        <v>783.19999999999993</v>
      </c>
      <c r="AB6" s="2">
        <f t="shared" ref="AB6:AC6" si="4">AA6*1.05</f>
        <v>822.36</v>
      </c>
      <c r="AC6" s="2">
        <f t="shared" si="4"/>
        <v>863.47800000000007</v>
      </c>
      <c r="AD6" s="2">
        <f>AC6*1.04</f>
        <v>898.01712000000009</v>
      </c>
      <c r="AE6" s="2">
        <f>AD6*1.03</f>
        <v>924.95763360000012</v>
      </c>
      <c r="AF6" s="2">
        <f t="shared" ref="AF6:AK6" si="5">AE6*1.03</f>
        <v>952.70636260800018</v>
      </c>
      <c r="AG6" s="2">
        <f t="shared" si="5"/>
        <v>981.2875534862402</v>
      </c>
      <c r="AH6" s="2">
        <f t="shared" si="5"/>
        <v>1010.7261800908275</v>
      </c>
      <c r="AI6" s="2">
        <f t="shared" si="5"/>
        <v>1041.0479654935523</v>
      </c>
      <c r="AJ6" s="2">
        <f t="shared" si="5"/>
        <v>1072.2794044583588</v>
      </c>
      <c r="AK6" s="2">
        <f t="shared" si="5"/>
        <v>1104.4477865921097</v>
      </c>
    </row>
    <row r="7" spans="1:147" x14ac:dyDescent="0.3">
      <c r="B7" t="s">
        <v>14</v>
      </c>
      <c r="G7" s="2">
        <v>57.9</v>
      </c>
      <c r="H7" s="2">
        <v>59.2</v>
      </c>
      <c r="I7" s="2">
        <v>55.1</v>
      </c>
      <c r="J7" s="2">
        <v>57.9</v>
      </c>
      <c r="K7" s="2">
        <v>124.1</v>
      </c>
      <c r="L7" s="2">
        <v>71.5</v>
      </c>
      <c r="M7" s="2">
        <v>74.5</v>
      </c>
      <c r="N7" s="2">
        <v>80.5</v>
      </c>
      <c r="O7" s="2">
        <v>90.7</v>
      </c>
      <c r="P7" s="2">
        <v>120.6</v>
      </c>
      <c r="Q7" s="2">
        <v>128.69999999999999</v>
      </c>
      <c r="R7" s="2">
        <v>163.9</v>
      </c>
      <c r="S7" s="2"/>
      <c r="T7" s="2"/>
      <c r="U7" s="2"/>
      <c r="V7" s="2"/>
      <c r="X7" s="2">
        <v>225.1</v>
      </c>
      <c r="Y7" s="2">
        <v>230.2</v>
      </c>
      <c r="Z7" s="2">
        <f>SUM(K7:N7)</f>
        <v>350.6</v>
      </c>
      <c r="AA7" s="2">
        <f>SUM(O7:R7)</f>
        <v>503.9</v>
      </c>
      <c r="AB7" s="2">
        <f>AB3*0.23</f>
        <v>709.20500000000004</v>
      </c>
      <c r="AC7" s="2">
        <f>AC3*0.22</f>
        <v>881.88100000000009</v>
      </c>
      <c r="AD7" s="2">
        <f>AD3*0.21</f>
        <v>968.06482499999981</v>
      </c>
      <c r="AE7" s="2">
        <f>AE3*0.2</f>
        <v>995.72382000000005</v>
      </c>
      <c r="AF7" s="2">
        <f t="shared" ref="AF7:AK7" si="6">AF3*0.2</f>
        <v>1055.4672492</v>
      </c>
      <c r="AG7" s="2">
        <f t="shared" si="6"/>
        <v>1108.2406116600002</v>
      </c>
      <c r="AH7" s="2">
        <f t="shared" si="6"/>
        <v>1163.6526422430002</v>
      </c>
      <c r="AI7" s="2">
        <f t="shared" si="6"/>
        <v>1221.8352743551502</v>
      </c>
      <c r="AJ7" s="2">
        <f t="shared" si="6"/>
        <v>1282.9270380729076</v>
      </c>
      <c r="AK7" s="2">
        <f t="shared" si="6"/>
        <v>1347.0733899765532</v>
      </c>
    </row>
    <row r="8" spans="1:147" x14ac:dyDescent="0.3">
      <c r="B8" t="s">
        <v>15</v>
      </c>
      <c r="G8" s="2">
        <v>40.799999999999997</v>
      </c>
      <c r="H8" s="2">
        <v>38.200000000000003</v>
      </c>
      <c r="I8" s="2">
        <v>37.299999999999997</v>
      </c>
      <c r="J8" s="2">
        <v>48.3</v>
      </c>
      <c r="K8" s="2">
        <v>243.5</v>
      </c>
      <c r="L8" s="2">
        <v>68.5</v>
      </c>
      <c r="M8" s="2">
        <v>65.7</v>
      </c>
      <c r="N8" s="2">
        <v>73.8</v>
      </c>
      <c r="O8" s="2">
        <v>69.400000000000006</v>
      </c>
      <c r="P8" s="2">
        <v>68.8</v>
      </c>
      <c r="Q8" s="2">
        <v>68.8</v>
      </c>
      <c r="R8" s="2">
        <v>72.3</v>
      </c>
      <c r="S8" s="2"/>
      <c r="T8" s="2"/>
      <c r="U8" s="2"/>
      <c r="V8" s="2"/>
      <c r="X8" s="2">
        <v>143.80000000000001</v>
      </c>
      <c r="Y8" s="2">
        <v>164.7</v>
      </c>
      <c r="Z8" s="2">
        <f>SUM(K8:N8)</f>
        <v>451.5</v>
      </c>
      <c r="AA8" s="2">
        <f>SUM(O8:R8)</f>
        <v>279.3</v>
      </c>
      <c r="AB8" s="2">
        <f>AA8*1.03</f>
        <v>287.67900000000003</v>
      </c>
      <c r="AC8" s="2">
        <f>AB8*1.03</f>
        <v>296.30937000000006</v>
      </c>
      <c r="AD8" s="2">
        <f>AC8*1.03</f>
        <v>305.19865110000006</v>
      </c>
      <c r="AE8" s="2">
        <f>AD8*1.02</f>
        <v>311.30262412200005</v>
      </c>
      <c r="AF8" s="2">
        <f>AE8*1.02</f>
        <v>317.52867660444008</v>
      </c>
      <c r="AG8" s="2">
        <f t="shared" ref="AG8:AK8" si="7">AF8*1.02</f>
        <v>323.87925013652887</v>
      </c>
      <c r="AH8" s="2">
        <f t="shared" si="7"/>
        <v>330.35683513925943</v>
      </c>
      <c r="AI8" s="2">
        <f t="shared" si="7"/>
        <v>336.9639718420446</v>
      </c>
      <c r="AJ8" s="2">
        <f t="shared" si="7"/>
        <v>343.70325127888549</v>
      </c>
      <c r="AK8" s="2">
        <f t="shared" si="7"/>
        <v>350.57731630446318</v>
      </c>
    </row>
    <row r="9" spans="1:147" s="6" customFormat="1" x14ac:dyDescent="0.3">
      <c r="A9"/>
      <c r="B9" s="6" t="s">
        <v>16</v>
      </c>
      <c r="G9" s="7">
        <f>G5-SUM(G6:G8)</f>
        <v>-70.700000000000017</v>
      </c>
      <c r="H9" s="7">
        <f t="shared" ref="H9" si="8">H5-SUM(H6:H8)</f>
        <v>-52.900000000000034</v>
      </c>
      <c r="I9" s="7">
        <f t="shared" ref="I9" si="9">I5-SUM(I6:I8)</f>
        <v>-19.599999999999994</v>
      </c>
      <c r="J9" s="7">
        <f t="shared" ref="J9" si="10">J5-SUM(J6:J8)</f>
        <v>3.0999999999999943</v>
      </c>
      <c r="K9" s="7">
        <f>K5-SUM(K6:K8)</f>
        <v>-589.20000000000005</v>
      </c>
      <c r="L9" s="7">
        <f t="shared" ref="L9:R9" si="11">L5-SUM(L6:L8)</f>
        <v>-31.100000000000023</v>
      </c>
      <c r="M9" s="7">
        <f t="shared" si="11"/>
        <v>6.8999999999999773</v>
      </c>
      <c r="N9" s="7">
        <f t="shared" si="11"/>
        <v>52.999999999999943</v>
      </c>
      <c r="O9" s="7">
        <f t="shared" si="11"/>
        <v>3.8999999999999773</v>
      </c>
      <c r="P9" s="7">
        <f t="shared" si="11"/>
        <v>67.700000000000045</v>
      </c>
      <c r="Q9" s="7">
        <f t="shared" si="11"/>
        <v>138.49999999999994</v>
      </c>
      <c r="R9" s="7">
        <f t="shared" si="11"/>
        <v>231.79999999999995</v>
      </c>
      <c r="S9" s="7"/>
      <c r="T9" s="7"/>
      <c r="U9" s="7"/>
      <c r="V9" s="7"/>
      <c r="X9" s="7">
        <f>X5-SUM(X6:X8)</f>
        <v>-172.19999999999982</v>
      </c>
      <c r="Y9" s="7">
        <f>Y5-SUM(Y6:Y8)</f>
        <v>-140.20000000000005</v>
      </c>
      <c r="Z9" s="7">
        <f>Z5-SUM(Z6:Z8)</f>
        <v>-560.40000000000009</v>
      </c>
      <c r="AA9" s="7">
        <f>AA5-SUM(AA6:AA8)</f>
        <v>441.90000000000009</v>
      </c>
      <c r="AB9" s="7">
        <f t="shared" ref="AB9:AK9" si="12">AB5-SUM(AB6:AB8)</f>
        <v>1017.576</v>
      </c>
      <c r="AC9" s="7">
        <f t="shared" si="12"/>
        <v>1646.1976300000001</v>
      </c>
      <c r="AD9" s="7">
        <f t="shared" si="12"/>
        <v>2069.7653039000002</v>
      </c>
      <c r="AE9" s="7">
        <f t="shared" si="12"/>
        <v>2348.3454942779995</v>
      </c>
      <c r="AF9" s="7">
        <f t="shared" si="12"/>
        <v>2529.4470579075601</v>
      </c>
      <c r="AG9" s="7">
        <f t="shared" si="12"/>
        <v>2684.4993983532318</v>
      </c>
      <c r="AH9" s="7">
        <f t="shared" si="12"/>
        <v>2848.0664968447127</v>
      </c>
      <c r="AI9" s="7">
        <f t="shared" si="12"/>
        <v>3020.595050342944</v>
      </c>
      <c r="AJ9" s="7">
        <f t="shared" si="12"/>
        <v>3202.5546813252231</v>
      </c>
      <c r="AK9" s="7">
        <f t="shared" si="12"/>
        <v>3394.4391010190193</v>
      </c>
    </row>
    <row r="10" spans="1:147" x14ac:dyDescent="0.3">
      <c r="B10" t="s">
        <v>17</v>
      </c>
      <c r="G10" s="2">
        <v>-10.7</v>
      </c>
      <c r="H10" s="2">
        <v>-13.3</v>
      </c>
      <c r="I10" s="2">
        <v>-12.6</v>
      </c>
      <c r="J10" s="2">
        <v>-16.5</v>
      </c>
      <c r="K10" s="2">
        <v>-14.6</v>
      </c>
      <c r="L10" s="2">
        <v>-20.7</v>
      </c>
      <c r="M10" s="2">
        <v>-23</v>
      </c>
      <c r="N10" s="2">
        <v>-17.100000000000001</v>
      </c>
      <c r="O10" s="2">
        <v>-20.5</v>
      </c>
      <c r="P10" s="2">
        <v>-21.1</v>
      </c>
      <c r="Q10" s="2">
        <v>-22</v>
      </c>
      <c r="R10" s="2">
        <v>-23</v>
      </c>
      <c r="S10" s="2"/>
      <c r="T10" s="2"/>
      <c r="U10" s="2"/>
      <c r="V10" s="2"/>
      <c r="X10" s="2">
        <v>-14.2</v>
      </c>
      <c r="Y10" s="2">
        <v>-53.1</v>
      </c>
      <c r="Z10" s="2">
        <f>SUM(K10:N10)</f>
        <v>-75.400000000000006</v>
      </c>
      <c r="AA10" s="2">
        <f>SUM(O10:R10)</f>
        <v>-86.6</v>
      </c>
      <c r="AB10" s="2">
        <f t="shared" ref="AB10:AK10" si="13">AA10*1.03</f>
        <v>-89.197999999999993</v>
      </c>
      <c r="AC10" s="2">
        <f t="shared" si="13"/>
        <v>-91.87393999999999</v>
      </c>
      <c r="AD10" s="2">
        <f t="shared" si="13"/>
        <v>-94.630158199999997</v>
      </c>
      <c r="AE10" s="2">
        <f t="shared" si="13"/>
        <v>-97.469062945999994</v>
      </c>
      <c r="AF10" s="2">
        <f t="shared" si="13"/>
        <v>-100.39313483437999</v>
      </c>
      <c r="AG10" s="2">
        <f t="shared" si="13"/>
        <v>-103.4049288794114</v>
      </c>
      <c r="AH10" s="2">
        <f t="shared" si="13"/>
        <v>-106.50707674579374</v>
      </c>
      <c r="AI10" s="2">
        <f t="shared" si="13"/>
        <v>-109.70228904816756</v>
      </c>
      <c r="AJ10" s="2">
        <f t="shared" si="13"/>
        <v>-112.99335771961259</v>
      </c>
      <c r="AK10" s="2">
        <f t="shared" si="13"/>
        <v>-116.38315845120097</v>
      </c>
    </row>
    <row r="11" spans="1:147" s="6" customFormat="1" x14ac:dyDescent="0.3">
      <c r="A11"/>
      <c r="B11" s="6" t="s">
        <v>18</v>
      </c>
      <c r="G11" s="7">
        <f>G9-G10</f>
        <v>-60.000000000000014</v>
      </c>
      <c r="H11" s="7">
        <f t="shared" ref="H11" si="14">H9-H10</f>
        <v>-39.600000000000037</v>
      </c>
      <c r="I11" s="7">
        <f t="shared" ref="I11" si="15">I9-I10</f>
        <v>-6.9999999999999947</v>
      </c>
      <c r="J11" s="7">
        <f t="shared" ref="J11" si="16">J9-J10</f>
        <v>19.599999999999994</v>
      </c>
      <c r="K11" s="7">
        <f>K9-K10</f>
        <v>-574.6</v>
      </c>
      <c r="L11" s="7">
        <f t="shared" ref="L11:R11" si="17">L9-L10</f>
        <v>-10.400000000000023</v>
      </c>
      <c r="M11" s="7">
        <f t="shared" si="17"/>
        <v>29.899999999999977</v>
      </c>
      <c r="N11" s="7">
        <f t="shared" si="17"/>
        <v>70.099999999999937</v>
      </c>
      <c r="O11" s="7">
        <f t="shared" si="17"/>
        <v>24.399999999999977</v>
      </c>
      <c r="P11" s="7">
        <f t="shared" si="17"/>
        <v>88.80000000000004</v>
      </c>
      <c r="Q11" s="7">
        <f t="shared" si="17"/>
        <v>160.49999999999994</v>
      </c>
      <c r="R11" s="7">
        <f t="shared" si="17"/>
        <v>254.79999999999995</v>
      </c>
      <c r="S11" s="7"/>
      <c r="T11" s="7"/>
      <c r="U11" s="7"/>
      <c r="V11" s="7"/>
      <c r="X11" s="7">
        <f>X9-X10</f>
        <v>-157.99999999999983</v>
      </c>
      <c r="Y11" s="7">
        <f>Y9-Y10</f>
        <v>-87.100000000000051</v>
      </c>
      <c r="Z11" s="7">
        <f>Z9-Z10</f>
        <v>-485.00000000000011</v>
      </c>
      <c r="AA11" s="7">
        <f>AA9-AA10</f>
        <v>528.50000000000011</v>
      </c>
      <c r="AB11" s="7">
        <f t="shared" ref="AB11:AK11" si="18">AB9-AB10</f>
        <v>1106.7740000000001</v>
      </c>
      <c r="AC11" s="7">
        <f t="shared" si="18"/>
        <v>1738.0715700000001</v>
      </c>
      <c r="AD11" s="7">
        <f t="shared" si="18"/>
        <v>2164.3954621000003</v>
      </c>
      <c r="AE11" s="7">
        <f t="shared" si="18"/>
        <v>2445.8145572239996</v>
      </c>
      <c r="AF11" s="7">
        <f t="shared" si="18"/>
        <v>2629.84019274194</v>
      </c>
      <c r="AG11" s="7">
        <f t="shared" si="18"/>
        <v>2787.904327232643</v>
      </c>
      <c r="AH11" s="7">
        <f t="shared" si="18"/>
        <v>2954.5735735905064</v>
      </c>
      <c r="AI11" s="7">
        <f t="shared" si="18"/>
        <v>3130.2973393911116</v>
      </c>
      <c r="AJ11" s="7">
        <f t="shared" si="18"/>
        <v>3315.5480390448356</v>
      </c>
      <c r="AK11" s="7">
        <f t="shared" si="18"/>
        <v>3510.8222594702202</v>
      </c>
    </row>
    <row r="12" spans="1:147" x14ac:dyDescent="0.3">
      <c r="B12" t="s">
        <v>19</v>
      </c>
      <c r="G12" s="2">
        <v>1</v>
      </c>
      <c r="H12" s="2">
        <v>1.4</v>
      </c>
      <c r="I12" s="2">
        <v>0.4</v>
      </c>
      <c r="J12" s="2">
        <v>0.9</v>
      </c>
      <c r="K12" s="2">
        <v>0.4</v>
      </c>
      <c r="L12" s="2">
        <v>-0.2</v>
      </c>
      <c r="M12" s="2">
        <v>0</v>
      </c>
      <c r="N12" s="2">
        <v>-1</v>
      </c>
      <c r="O12" s="2">
        <v>-1.7</v>
      </c>
      <c r="P12" s="2">
        <v>-0.4</v>
      </c>
      <c r="Q12" s="2">
        <v>-2.1</v>
      </c>
      <c r="R12" s="2">
        <v>3.2</v>
      </c>
      <c r="S12" s="2"/>
      <c r="T12" s="2"/>
      <c r="U12" s="2"/>
      <c r="V12" s="2"/>
      <c r="X12" s="2">
        <v>0.6</v>
      </c>
      <c r="Y12" s="2">
        <v>3.8</v>
      </c>
      <c r="Z12" s="2">
        <f>SUM(K12:N12)</f>
        <v>-0.8</v>
      </c>
      <c r="AA12" s="2">
        <f>SUM(O12:R12)</f>
        <v>-1</v>
      </c>
      <c r="AB12" s="2">
        <f t="shared" ref="AB12:AK12" si="19">AB11*0.15</f>
        <v>166.01610000000002</v>
      </c>
      <c r="AC12" s="2">
        <f t="shared" si="19"/>
        <v>260.7107355</v>
      </c>
      <c r="AD12" s="2">
        <f t="shared" si="19"/>
        <v>324.659319315</v>
      </c>
      <c r="AE12" s="2">
        <f t="shared" si="19"/>
        <v>366.87218358359991</v>
      </c>
      <c r="AF12" s="2">
        <f t="shared" si="19"/>
        <v>394.476028911291</v>
      </c>
      <c r="AG12" s="2">
        <f t="shared" si="19"/>
        <v>418.18564908489645</v>
      </c>
      <c r="AH12" s="2">
        <f t="shared" si="19"/>
        <v>443.18603603857593</v>
      </c>
      <c r="AI12" s="2">
        <f t="shared" si="19"/>
        <v>469.54460090866672</v>
      </c>
      <c r="AJ12" s="2">
        <f t="shared" si="19"/>
        <v>497.3322058567253</v>
      </c>
      <c r="AK12" s="2">
        <f t="shared" si="19"/>
        <v>526.623338920533</v>
      </c>
    </row>
    <row r="13" spans="1:147" s="6" customFormat="1" x14ac:dyDescent="0.3">
      <c r="A13"/>
      <c r="B13" s="6" t="s">
        <v>20</v>
      </c>
      <c r="G13" s="7">
        <f>G11-G12</f>
        <v>-61.000000000000014</v>
      </c>
      <c r="H13" s="7">
        <f t="shared" ref="H13" si="20">H11-H12</f>
        <v>-41.000000000000036</v>
      </c>
      <c r="I13" s="7">
        <f t="shared" ref="I13" si="21">I11-I12</f>
        <v>-7.399999999999995</v>
      </c>
      <c r="J13" s="7">
        <f t="shared" ref="J13" si="22">J11-J12</f>
        <v>18.699999999999996</v>
      </c>
      <c r="K13" s="7">
        <f>K11-K12</f>
        <v>-575</v>
      </c>
      <c r="L13" s="7">
        <f t="shared" ref="L13:N13" si="23">L11-L12</f>
        <v>-10.200000000000024</v>
      </c>
      <c r="M13" s="7">
        <f t="shared" si="23"/>
        <v>29.899999999999977</v>
      </c>
      <c r="N13" s="7">
        <f t="shared" si="23"/>
        <v>71.099999999999937</v>
      </c>
      <c r="O13" s="7">
        <f t="shared" ref="O13:R13" si="24">O11-O12</f>
        <v>26.099999999999977</v>
      </c>
      <c r="P13" s="7">
        <f t="shared" si="24"/>
        <v>89.200000000000045</v>
      </c>
      <c r="Q13" s="7">
        <f t="shared" si="24"/>
        <v>162.59999999999994</v>
      </c>
      <c r="R13" s="7">
        <f t="shared" si="24"/>
        <v>251.59999999999997</v>
      </c>
      <c r="S13" s="7"/>
      <c r="T13" s="7"/>
      <c r="U13" s="7"/>
      <c r="V13" s="7"/>
      <c r="X13" s="7">
        <f>X11-X12</f>
        <v>-158.59999999999982</v>
      </c>
      <c r="Y13" s="7">
        <f>Y11-Y12</f>
        <v>-90.900000000000048</v>
      </c>
      <c r="Z13" s="7">
        <f>Z11-Z12</f>
        <v>-484.2000000000001</v>
      </c>
      <c r="AA13" s="7">
        <f t="shared" ref="AA13" si="25">AA11-AA12</f>
        <v>529.50000000000011</v>
      </c>
      <c r="AB13" s="7">
        <f t="shared" ref="AB13" si="26">AB11-AB12</f>
        <v>940.75790000000006</v>
      </c>
      <c r="AC13" s="7">
        <f t="shared" ref="AC13" si="27">AC11-AC12</f>
        <v>1477.3608345</v>
      </c>
      <c r="AD13" s="7">
        <f t="shared" ref="AD13" si="28">AD11-AD12</f>
        <v>1839.7361427850003</v>
      </c>
      <c r="AE13" s="7">
        <f t="shared" ref="AE13" si="29">AE11-AE12</f>
        <v>2078.9423736403996</v>
      </c>
      <c r="AF13" s="7">
        <f t="shared" ref="AF13" si="30">AF11-AF12</f>
        <v>2235.364163830649</v>
      </c>
      <c r="AG13" s="7">
        <f t="shared" ref="AG13" si="31">AG11-AG12</f>
        <v>2369.7186781477467</v>
      </c>
      <c r="AH13" s="7">
        <f t="shared" ref="AH13" si="32">AH11-AH12</f>
        <v>2511.3875375519306</v>
      </c>
      <c r="AI13" s="7">
        <f t="shared" ref="AI13" si="33">AI11-AI12</f>
        <v>2660.7527384824448</v>
      </c>
      <c r="AJ13" s="7">
        <f t="shared" ref="AJ13" si="34">AJ11-AJ12</f>
        <v>2818.2158331881101</v>
      </c>
      <c r="AK13" s="7">
        <f t="shared" ref="AK13" si="35">AK11-AK12</f>
        <v>2984.198920549687</v>
      </c>
      <c r="AL13" s="6">
        <f>AK13*(1+$AN$18)</f>
        <v>2954.3569313441903</v>
      </c>
      <c r="AM13" s="6">
        <f t="shared" ref="AM13:CX13" si="36">AL13*(1+$AN$18)</f>
        <v>2924.8133620307485</v>
      </c>
      <c r="AN13" s="6">
        <f t="shared" si="36"/>
        <v>2895.5652284104408</v>
      </c>
      <c r="AO13" s="6">
        <f t="shared" si="36"/>
        <v>2866.6095761263364</v>
      </c>
      <c r="AP13" s="6">
        <f t="shared" si="36"/>
        <v>2837.9434803650729</v>
      </c>
      <c r="AQ13" s="6">
        <f t="shared" si="36"/>
        <v>2809.5640455614221</v>
      </c>
      <c r="AR13" s="6">
        <f t="shared" si="36"/>
        <v>2781.468405105808</v>
      </c>
      <c r="AS13" s="6">
        <f t="shared" si="36"/>
        <v>2753.6537210547499</v>
      </c>
      <c r="AT13" s="6">
        <f t="shared" si="36"/>
        <v>2726.1171838442024</v>
      </c>
      <c r="AU13" s="6">
        <f t="shared" si="36"/>
        <v>2698.8560120057605</v>
      </c>
      <c r="AV13" s="6">
        <f t="shared" si="36"/>
        <v>2671.8674518857028</v>
      </c>
      <c r="AW13" s="6">
        <f t="shared" si="36"/>
        <v>2645.1487773668459</v>
      </c>
      <c r="AX13" s="6">
        <f t="shared" si="36"/>
        <v>2618.6972895931776</v>
      </c>
      <c r="AY13" s="6">
        <f t="shared" si="36"/>
        <v>2592.5103166972458</v>
      </c>
      <c r="AZ13" s="6">
        <f t="shared" si="36"/>
        <v>2566.5852135302734</v>
      </c>
      <c r="BA13" s="6">
        <f t="shared" si="36"/>
        <v>2540.9193613949706</v>
      </c>
      <c r="BB13" s="6">
        <f t="shared" si="36"/>
        <v>2515.5101677810208</v>
      </c>
      <c r="BC13" s="6">
        <f t="shared" si="36"/>
        <v>2490.3550661032104</v>
      </c>
      <c r="BD13" s="6">
        <f t="shared" si="36"/>
        <v>2465.4515154421783</v>
      </c>
      <c r="BE13" s="6">
        <f t="shared" si="36"/>
        <v>2440.7970002877564</v>
      </c>
      <c r="BF13" s="6">
        <f t="shared" si="36"/>
        <v>2416.389030284879</v>
      </c>
      <c r="BG13" s="6">
        <f t="shared" si="36"/>
        <v>2392.2251399820302</v>
      </c>
      <c r="BH13" s="6">
        <f t="shared" si="36"/>
        <v>2368.30288858221</v>
      </c>
      <c r="BI13" s="6">
        <f t="shared" si="36"/>
        <v>2344.6198596963877</v>
      </c>
      <c r="BJ13" s="6">
        <f t="shared" si="36"/>
        <v>2321.173661099424</v>
      </c>
      <c r="BK13" s="6">
        <f t="shared" si="36"/>
        <v>2297.9619244884298</v>
      </c>
      <c r="BL13" s="6">
        <f t="shared" si="36"/>
        <v>2274.9823052435454</v>
      </c>
      <c r="BM13" s="6">
        <f t="shared" si="36"/>
        <v>2252.2324821911097</v>
      </c>
      <c r="BN13" s="6">
        <f t="shared" si="36"/>
        <v>2229.7101573691984</v>
      </c>
      <c r="BO13" s="6">
        <f t="shared" si="36"/>
        <v>2207.4130557955064</v>
      </c>
      <c r="BP13" s="6">
        <f t="shared" si="36"/>
        <v>2185.3389252375514</v>
      </c>
      <c r="BQ13" s="6">
        <f t="shared" si="36"/>
        <v>2163.4855359851758</v>
      </c>
      <c r="BR13" s="6">
        <f t="shared" si="36"/>
        <v>2141.850680625324</v>
      </c>
      <c r="BS13" s="6">
        <f t="shared" si="36"/>
        <v>2120.4321738190706</v>
      </c>
      <c r="BT13" s="6">
        <f t="shared" si="36"/>
        <v>2099.22785208088</v>
      </c>
      <c r="BU13" s="6">
        <f t="shared" si="36"/>
        <v>2078.2355735600713</v>
      </c>
      <c r="BV13" s="6">
        <f t="shared" si="36"/>
        <v>2057.4532178244704</v>
      </c>
      <c r="BW13" s="6">
        <f t="shared" si="36"/>
        <v>2036.8786856462257</v>
      </c>
      <c r="BX13" s="6">
        <f t="shared" si="36"/>
        <v>2016.5098987897634</v>
      </c>
      <c r="BY13" s="6">
        <f t="shared" si="36"/>
        <v>1996.3447998018657</v>
      </c>
      <c r="BZ13" s="6">
        <f t="shared" si="36"/>
        <v>1976.3813518038471</v>
      </c>
      <c r="CA13" s="6">
        <f t="shared" si="36"/>
        <v>1956.6175382858087</v>
      </c>
      <c r="CB13" s="6">
        <f t="shared" si="36"/>
        <v>1937.0513629029506</v>
      </c>
      <c r="CC13" s="6">
        <f t="shared" si="36"/>
        <v>1917.680849273921</v>
      </c>
      <c r="CD13" s="6">
        <f t="shared" si="36"/>
        <v>1898.5040407811819</v>
      </c>
      <c r="CE13" s="6">
        <f t="shared" si="36"/>
        <v>1879.5190003733701</v>
      </c>
      <c r="CF13" s="6">
        <f t="shared" si="36"/>
        <v>1860.7238103696363</v>
      </c>
      <c r="CG13" s="6">
        <f t="shared" si="36"/>
        <v>1842.11657226594</v>
      </c>
      <c r="CH13" s="6">
        <f t="shared" si="36"/>
        <v>1823.6954065432806</v>
      </c>
      <c r="CI13" s="6">
        <f t="shared" si="36"/>
        <v>1805.4584524778477</v>
      </c>
      <c r="CJ13" s="6">
        <f t="shared" si="36"/>
        <v>1787.4038679530693</v>
      </c>
      <c r="CK13" s="6">
        <f t="shared" si="36"/>
        <v>1769.5298292735386</v>
      </c>
      <c r="CL13" s="6">
        <f t="shared" si="36"/>
        <v>1751.8345309808033</v>
      </c>
      <c r="CM13" s="6">
        <f t="shared" si="36"/>
        <v>1734.3161856709953</v>
      </c>
      <c r="CN13" s="6">
        <f t="shared" si="36"/>
        <v>1716.9730238142854</v>
      </c>
      <c r="CO13" s="6">
        <f t="shared" si="36"/>
        <v>1699.8032935761426</v>
      </c>
      <c r="CP13" s="6">
        <f t="shared" si="36"/>
        <v>1682.8052606403812</v>
      </c>
      <c r="CQ13" s="6">
        <f t="shared" si="36"/>
        <v>1665.9772080339774</v>
      </c>
      <c r="CR13" s="6">
        <f t="shared" si="36"/>
        <v>1649.3174359536376</v>
      </c>
      <c r="CS13" s="6">
        <f t="shared" si="36"/>
        <v>1632.8242615941012</v>
      </c>
      <c r="CT13" s="6">
        <f t="shared" si="36"/>
        <v>1616.4960189781602</v>
      </c>
      <c r="CU13" s="6">
        <f t="shared" si="36"/>
        <v>1600.3310587883786</v>
      </c>
      <c r="CV13" s="6">
        <f t="shared" si="36"/>
        <v>1584.3277482004949</v>
      </c>
      <c r="CW13" s="6">
        <f t="shared" si="36"/>
        <v>1568.48447071849</v>
      </c>
      <c r="CX13" s="6">
        <f t="shared" si="36"/>
        <v>1552.799626011305</v>
      </c>
      <c r="CY13" s="6">
        <f t="shared" ref="CY13:EQ13" si="37">CX13*(1+$AN$18)</f>
        <v>1537.271629751192</v>
      </c>
      <c r="CZ13" s="6">
        <f t="shared" si="37"/>
        <v>1521.8989134536801</v>
      </c>
      <c r="DA13" s="6">
        <f t="shared" si="37"/>
        <v>1506.6799243191433</v>
      </c>
      <c r="DB13" s="6">
        <f t="shared" si="37"/>
        <v>1491.6131250759518</v>
      </c>
      <c r="DC13" s="6">
        <f t="shared" si="37"/>
        <v>1476.6969938251923</v>
      </c>
      <c r="DD13" s="6">
        <f t="shared" si="37"/>
        <v>1461.9300238869403</v>
      </c>
      <c r="DE13" s="6">
        <f t="shared" si="37"/>
        <v>1447.3107236480707</v>
      </c>
      <c r="DF13" s="6">
        <f t="shared" si="37"/>
        <v>1432.83761641159</v>
      </c>
      <c r="DG13" s="6">
        <f t="shared" si="37"/>
        <v>1418.5092402474741</v>
      </c>
      <c r="DH13" s="6">
        <f t="shared" si="37"/>
        <v>1404.3241478449993</v>
      </c>
      <c r="DI13" s="6">
        <f t="shared" si="37"/>
        <v>1390.2809063665493</v>
      </c>
      <c r="DJ13" s="6">
        <f t="shared" si="37"/>
        <v>1376.3780973028838</v>
      </c>
      <c r="DK13" s="6">
        <f t="shared" si="37"/>
        <v>1362.614316329855</v>
      </c>
      <c r="DL13" s="6">
        <f t="shared" si="37"/>
        <v>1348.9881731665564</v>
      </c>
      <c r="DM13" s="6">
        <f t="shared" si="37"/>
        <v>1335.4982914348909</v>
      </c>
      <c r="DN13" s="6">
        <f t="shared" si="37"/>
        <v>1322.143308520542</v>
      </c>
      <c r="DO13" s="6">
        <f t="shared" si="37"/>
        <v>1308.9218754353365</v>
      </c>
      <c r="DP13" s="6">
        <f t="shared" si="37"/>
        <v>1295.8326566809831</v>
      </c>
      <c r="DQ13" s="6">
        <f t="shared" si="37"/>
        <v>1282.8743301141733</v>
      </c>
      <c r="DR13" s="6">
        <f t="shared" si="37"/>
        <v>1270.0455868130316</v>
      </c>
      <c r="DS13" s="6">
        <f t="shared" si="37"/>
        <v>1257.3451309449013</v>
      </c>
      <c r="DT13" s="6">
        <f t="shared" si="37"/>
        <v>1244.7716796354523</v>
      </c>
      <c r="DU13" s="6">
        <f t="shared" si="37"/>
        <v>1232.3239628390977</v>
      </c>
      <c r="DV13" s="6">
        <f t="shared" si="37"/>
        <v>1220.0007232107066</v>
      </c>
      <c r="DW13" s="6">
        <f t="shared" si="37"/>
        <v>1207.8007159785996</v>
      </c>
      <c r="DX13" s="6">
        <f t="shared" si="37"/>
        <v>1195.7227088188135</v>
      </c>
      <c r="DY13" s="6">
        <f t="shared" si="37"/>
        <v>1183.7654817306254</v>
      </c>
      <c r="DZ13" s="6">
        <f t="shared" si="37"/>
        <v>1171.9278269133192</v>
      </c>
      <c r="EA13" s="6">
        <f t="shared" si="37"/>
        <v>1160.2085486441861</v>
      </c>
      <c r="EB13" s="6">
        <f t="shared" si="37"/>
        <v>1148.6064631577442</v>
      </c>
      <c r="EC13" s="6">
        <f t="shared" si="37"/>
        <v>1137.1203985261668</v>
      </c>
      <c r="ED13" s="6">
        <f t="shared" si="37"/>
        <v>1125.7491945409051</v>
      </c>
      <c r="EE13" s="6">
        <f t="shared" si="37"/>
        <v>1114.491702595496</v>
      </c>
      <c r="EF13" s="6">
        <f t="shared" si="37"/>
        <v>1103.346785569541</v>
      </c>
      <c r="EG13" s="6">
        <f t="shared" si="37"/>
        <v>1092.3133177138457</v>
      </c>
      <c r="EH13" s="6">
        <f t="shared" si="37"/>
        <v>1081.3901845367072</v>
      </c>
      <c r="EI13" s="6">
        <f t="shared" si="37"/>
        <v>1070.5762826913401</v>
      </c>
      <c r="EJ13" s="6">
        <f t="shared" si="37"/>
        <v>1059.8705198644268</v>
      </c>
      <c r="EK13" s="6">
        <f t="shared" si="37"/>
        <v>1049.2718146657826</v>
      </c>
      <c r="EL13" s="6">
        <f t="shared" si="37"/>
        <v>1038.7790965191248</v>
      </c>
      <c r="EM13" s="6">
        <f t="shared" si="37"/>
        <v>1028.3913055539335</v>
      </c>
      <c r="EN13" s="6">
        <f t="shared" si="37"/>
        <v>1018.1073924983942</v>
      </c>
      <c r="EO13" s="6">
        <f t="shared" si="37"/>
        <v>1007.9263185734103</v>
      </c>
      <c r="EP13" s="6">
        <f t="shared" si="37"/>
        <v>997.84705538767616</v>
      </c>
      <c r="EQ13" s="6">
        <f t="shared" si="37"/>
        <v>987.86858483379945</v>
      </c>
    </row>
    <row r="14" spans="1:147" x14ac:dyDescent="0.3">
      <c r="B14" t="s">
        <v>1</v>
      </c>
      <c r="G14" s="2">
        <v>58.1</v>
      </c>
      <c r="H14" s="2">
        <v>58.5</v>
      </c>
      <c r="I14" s="2">
        <v>58.9</v>
      </c>
      <c r="J14" s="2">
        <v>61</v>
      </c>
      <c r="K14" s="2">
        <v>70.2</v>
      </c>
      <c r="L14" s="2">
        <v>164.4</v>
      </c>
      <c r="M14" s="2">
        <v>169.2</v>
      </c>
      <c r="N14" s="2">
        <f>125.5+55.4</f>
        <v>180.9</v>
      </c>
      <c r="O14" s="2">
        <f>129.5+55</f>
        <v>184.5</v>
      </c>
      <c r="P14" s="2">
        <f>185.4</f>
        <v>185.4</v>
      </c>
      <c r="Q14" s="2">
        <f>188</f>
        <v>188</v>
      </c>
      <c r="R14" s="2">
        <f>190</f>
        <v>190</v>
      </c>
      <c r="S14" s="2"/>
      <c r="T14" s="2"/>
      <c r="U14" s="2"/>
      <c r="V14" s="2"/>
      <c r="X14" s="2">
        <v>164</v>
      </c>
      <c r="Y14" s="2">
        <v>164</v>
      </c>
      <c r="Z14" s="2">
        <v>164</v>
      </c>
      <c r="AA14" s="2">
        <f>190</f>
        <v>190</v>
      </c>
      <c r="AB14" s="2">
        <f>190</f>
        <v>190</v>
      </c>
      <c r="AC14" s="2">
        <f>190</f>
        <v>190</v>
      </c>
      <c r="AD14" s="2">
        <f>190</f>
        <v>190</v>
      </c>
      <c r="AE14" s="2">
        <f>190</f>
        <v>190</v>
      </c>
      <c r="AF14" s="2">
        <f>190</f>
        <v>190</v>
      </c>
      <c r="AG14" s="2">
        <f>190</f>
        <v>190</v>
      </c>
      <c r="AH14" s="2">
        <f>190</f>
        <v>190</v>
      </c>
      <c r="AI14" s="2">
        <f>190</f>
        <v>190</v>
      </c>
      <c r="AJ14" s="2">
        <f>190</f>
        <v>190</v>
      </c>
      <c r="AK14" s="2">
        <f>190</f>
        <v>190</v>
      </c>
    </row>
    <row r="15" spans="1:147" x14ac:dyDescent="0.3">
      <c r="B15" t="s">
        <v>21</v>
      </c>
      <c r="G15" s="5">
        <f>G13/G14</f>
        <v>-1.0499139414802068</v>
      </c>
      <c r="H15" s="5">
        <f t="shared" ref="H15" si="38">H13/H14</f>
        <v>-0.70085470085470147</v>
      </c>
      <c r="I15" s="5">
        <f t="shared" ref="I15" si="39">I13/I14</f>
        <v>-0.12563667232597614</v>
      </c>
      <c r="J15" s="5">
        <f t="shared" ref="J15" si="40">J13/J14</f>
        <v>0.30655737704918024</v>
      </c>
      <c r="K15" s="5">
        <f>K13/K14</f>
        <v>-8.1908831908831914</v>
      </c>
      <c r="L15" s="5">
        <f t="shared" ref="L15:N15" si="41">L13/L14</f>
        <v>-6.2043795620438102E-2</v>
      </c>
      <c r="M15" s="5">
        <f t="shared" si="41"/>
        <v>0.1767139479905436</v>
      </c>
      <c r="N15" s="5">
        <f t="shared" si="41"/>
        <v>0.39303482587064642</v>
      </c>
      <c r="O15" s="5">
        <f t="shared" ref="O15:R15" si="42">O13/O14</f>
        <v>0.14146341463414622</v>
      </c>
      <c r="P15" s="5">
        <f t="shared" si="42"/>
        <v>0.481121898597627</v>
      </c>
      <c r="Q15" s="5">
        <f t="shared" si="42"/>
        <v>0.86489361702127632</v>
      </c>
      <c r="R15" s="5">
        <f t="shared" si="42"/>
        <v>1.3242105263157893</v>
      </c>
      <c r="S15" s="5"/>
      <c r="T15" s="5"/>
      <c r="U15" s="5"/>
      <c r="V15" s="5"/>
      <c r="X15" s="5">
        <f>X13/X14</f>
        <v>-0.96707317073170629</v>
      </c>
      <c r="Y15" s="5">
        <f>Y13/Y14</f>
        <v>-0.5542682926829271</v>
      </c>
      <c r="Z15" s="5">
        <f>Z13/Z14</f>
        <v>-2.9524390243902445</v>
      </c>
      <c r="AA15" s="5">
        <f t="shared" ref="AA15" si="43">AA13/AA14</f>
        <v>2.7868421052631587</v>
      </c>
      <c r="AB15" s="5">
        <f t="shared" ref="AB15" si="44">AB13/AB14</f>
        <v>4.9513573684210526</v>
      </c>
      <c r="AC15" s="5">
        <f t="shared" ref="AC15" si="45">AC13/AC14</f>
        <v>7.775583339473684</v>
      </c>
      <c r="AD15" s="5">
        <f t="shared" ref="AD15" si="46">AD13/AD14</f>
        <v>9.6828218041315814</v>
      </c>
      <c r="AE15" s="5">
        <f t="shared" ref="AE15" si="47">AE13/AE14</f>
        <v>10.94180196652842</v>
      </c>
      <c r="AF15" s="5">
        <f t="shared" ref="AF15" si="48">AF13/AF14</f>
        <v>11.7650745464771</v>
      </c>
      <c r="AG15" s="5">
        <f t="shared" ref="AG15" si="49">AG13/AG14</f>
        <v>12.472203569198667</v>
      </c>
      <c r="AH15" s="5">
        <f t="shared" ref="AH15" si="50">AH13/AH14</f>
        <v>13.21782914501016</v>
      </c>
      <c r="AI15" s="5">
        <f t="shared" ref="AI15" si="51">AI13/AI14</f>
        <v>14.003961781486552</v>
      </c>
      <c r="AJ15" s="5">
        <f t="shared" ref="AJ15" si="52">AJ13/AJ14</f>
        <v>14.832714911516369</v>
      </c>
      <c r="AK15" s="5">
        <f t="shared" ref="AK15" si="53">AK13/AK14</f>
        <v>15.706310108156247</v>
      </c>
    </row>
    <row r="17" spans="2:40" x14ac:dyDescent="0.3">
      <c r="B17" t="s">
        <v>34</v>
      </c>
      <c r="G17" s="8"/>
      <c r="H17" s="8"/>
      <c r="I17" s="8"/>
      <c r="J17" s="8"/>
      <c r="K17" s="8">
        <f>K3/G3-1</f>
        <v>0.48442272449602952</v>
      </c>
      <c r="L17" s="8">
        <f t="shared" ref="L17:N17" si="54">L3/H3-1</f>
        <v>0.53661202185792334</v>
      </c>
      <c r="M17" s="8">
        <f t="shared" si="54"/>
        <v>0.67903614457831307</v>
      </c>
      <c r="N17" s="8">
        <f t="shared" si="54"/>
        <v>0.71216973578863074</v>
      </c>
      <c r="O17" s="8">
        <f t="shared" ref="O17" si="55">O3/K3-1</f>
        <v>0.6148148148148147</v>
      </c>
      <c r="P17" s="8">
        <f t="shared" ref="P17" si="56">P3/L3-1</f>
        <v>0.77667140825035585</v>
      </c>
      <c r="Q17" s="8">
        <f t="shared" ref="Q17" si="57">Q3/M3-1</f>
        <v>0.67881745120551096</v>
      </c>
      <c r="R17" s="8">
        <f t="shared" ref="R17" si="58">R3/N3-1</f>
        <v>0.69651624970773907</v>
      </c>
      <c r="S17" s="8"/>
      <c r="T17" s="8"/>
      <c r="U17" s="8"/>
      <c r="V17" s="8"/>
      <c r="X17" s="8"/>
      <c r="Y17" s="8">
        <f>Y3/X3-1</f>
        <v>0.2059397030148491</v>
      </c>
      <c r="Z17" s="8">
        <f t="shared" ref="Z17:AK17" si="59">Z3/Y3-1</f>
        <v>0.61728855721393039</v>
      </c>
      <c r="AA17" s="8">
        <f t="shared" si="59"/>
        <v>0.69383988310389921</v>
      </c>
      <c r="AB17" s="8">
        <f t="shared" si="59"/>
        <v>0.39999999999999991</v>
      </c>
      <c r="AC17" s="8">
        <f t="shared" si="59"/>
        <v>0.30000000000000004</v>
      </c>
      <c r="AD17" s="8">
        <f t="shared" si="59"/>
        <v>0.14999999999999991</v>
      </c>
      <c r="AE17" s="8">
        <f t="shared" si="59"/>
        <v>8.0000000000000071E-2</v>
      </c>
      <c r="AF17" s="8">
        <f t="shared" si="59"/>
        <v>6.0000000000000053E-2</v>
      </c>
      <c r="AG17" s="8">
        <f t="shared" si="59"/>
        <v>5.0000000000000044E-2</v>
      </c>
      <c r="AH17" s="8">
        <f t="shared" si="59"/>
        <v>5.0000000000000044E-2</v>
      </c>
      <c r="AI17" s="8">
        <f t="shared" si="59"/>
        <v>5.0000000000000044E-2</v>
      </c>
      <c r="AJ17" s="8">
        <f t="shared" si="59"/>
        <v>5.0000000000000044E-2</v>
      </c>
      <c r="AK17" s="8">
        <f t="shared" si="59"/>
        <v>5.0000000000000044E-2</v>
      </c>
    </row>
    <row r="18" spans="2:40" x14ac:dyDescent="0.3">
      <c r="B18" t="s">
        <v>35</v>
      </c>
      <c r="G18" s="8">
        <f t="shared" ref="G18:J18" si="60">G5/G3</f>
        <v>0.83567501527183863</v>
      </c>
      <c r="H18" s="8">
        <f t="shared" si="60"/>
        <v>0.84262295081967209</v>
      </c>
      <c r="I18" s="8">
        <f t="shared" si="60"/>
        <v>0.8727710843373494</v>
      </c>
      <c r="J18" s="8">
        <f t="shared" si="60"/>
        <v>0.88430744595676536</v>
      </c>
      <c r="K18" s="8">
        <f>K5/K3</f>
        <v>0.88641975308641974</v>
      </c>
      <c r="L18" s="8">
        <f t="shared" ref="L18:N18" si="61">L5/L3</f>
        <v>0.89509246088193462</v>
      </c>
      <c r="M18" s="8">
        <f t="shared" si="61"/>
        <v>0.90068886337543042</v>
      </c>
      <c r="N18" s="8">
        <f t="shared" si="61"/>
        <v>0.92564881926584053</v>
      </c>
      <c r="O18" s="8">
        <f t="shared" ref="O18:R18" si="62">O5/O3</f>
        <v>0.90545361875637098</v>
      </c>
      <c r="P18" s="8">
        <f t="shared" si="62"/>
        <v>0.90812650120096083</v>
      </c>
      <c r="Q18" s="8">
        <f t="shared" si="62"/>
        <v>0.91024106684903405</v>
      </c>
      <c r="R18" s="8">
        <f t="shared" si="62"/>
        <v>0.91910143329658212</v>
      </c>
      <c r="S18" s="8"/>
      <c r="T18" s="8"/>
      <c r="U18" s="8"/>
      <c r="V18" s="8"/>
      <c r="X18" s="8">
        <f>X5/X3</f>
        <v>0.84280785960701976</v>
      </c>
      <c r="Y18" s="8">
        <f>Y5/Y3</f>
        <v>0.86194029850746268</v>
      </c>
      <c r="Z18" s="8">
        <f t="shared" ref="Z18:AK18" si="63">Z5/Z3</f>
        <v>0.90502191801891874</v>
      </c>
      <c r="AA18" s="8">
        <f t="shared" si="63"/>
        <v>0.91182746878547105</v>
      </c>
      <c r="AB18" s="8">
        <f t="shared" si="63"/>
        <v>0.92</v>
      </c>
      <c r="AC18" s="8">
        <f t="shared" si="63"/>
        <v>0.92</v>
      </c>
      <c r="AD18" s="8">
        <f t="shared" si="63"/>
        <v>0.92000000000000015</v>
      </c>
      <c r="AE18" s="8">
        <f t="shared" si="63"/>
        <v>0.91999999999999993</v>
      </c>
      <c r="AF18" s="8">
        <f t="shared" si="63"/>
        <v>0.92000000000000015</v>
      </c>
      <c r="AG18" s="8">
        <f t="shared" si="63"/>
        <v>0.92000000000000015</v>
      </c>
      <c r="AH18" s="8">
        <f t="shared" si="63"/>
        <v>0.91999999999999993</v>
      </c>
      <c r="AI18" s="8">
        <f t="shared" si="63"/>
        <v>0.92</v>
      </c>
      <c r="AJ18" s="8">
        <f t="shared" si="63"/>
        <v>0.92</v>
      </c>
      <c r="AK18" s="8">
        <f t="shared" si="63"/>
        <v>0.92000000000000015</v>
      </c>
      <c r="AM18" t="s">
        <v>41</v>
      </c>
      <c r="AN18" s="8">
        <v>-0.01</v>
      </c>
    </row>
    <row r="19" spans="2:40" x14ac:dyDescent="0.3">
      <c r="B19" t="s">
        <v>36</v>
      </c>
      <c r="G19" s="8"/>
      <c r="H19" s="8"/>
      <c r="I19" s="8"/>
      <c r="J19" s="8"/>
      <c r="K19" s="8">
        <f>K6/G6-1</f>
        <v>3.0165441176470589</v>
      </c>
      <c r="L19" s="8">
        <f t="shared" ref="L19:N19" si="64">L6/H6-1</f>
        <v>0.30173199635369197</v>
      </c>
      <c r="M19" s="8">
        <f t="shared" si="64"/>
        <v>0.53924284395198518</v>
      </c>
      <c r="N19" s="8">
        <f t="shared" si="64"/>
        <v>0.68996415770609332</v>
      </c>
      <c r="O19" s="8">
        <f t="shared" ref="O19" si="65">O6/K6-1</f>
        <v>-0.56224256292906172</v>
      </c>
      <c r="P19" s="8">
        <f t="shared" ref="P19" si="66">P6/L6-1</f>
        <v>0.37675070028011182</v>
      </c>
      <c r="Q19" s="8">
        <f t="shared" ref="Q19" si="67">Q6/M6-1</f>
        <v>0.17816436712657491</v>
      </c>
      <c r="R19" s="8">
        <f t="shared" ref="R19" si="68">R6/N6-1</f>
        <v>5.4612937433722308E-2</v>
      </c>
      <c r="S19" s="8"/>
      <c r="T19" s="8"/>
      <c r="U19" s="8"/>
      <c r="V19" s="8"/>
      <c r="X19" s="8"/>
      <c r="Y19" s="8">
        <f>Y6/X6-1</f>
        <v>0.20016429353778764</v>
      </c>
      <c r="Z19" s="8">
        <f t="shared" ref="Z19:AK19" si="69">Z6/Y6-1</f>
        <v>1.1334702258726899</v>
      </c>
      <c r="AA19" s="8">
        <f t="shared" si="69"/>
        <v>-0.16244251951662936</v>
      </c>
      <c r="AB19" s="8">
        <f t="shared" si="69"/>
        <v>5.0000000000000044E-2</v>
      </c>
      <c r="AC19" s="8">
        <f t="shared" si="69"/>
        <v>5.0000000000000044E-2</v>
      </c>
      <c r="AD19" s="8">
        <f t="shared" si="69"/>
        <v>4.0000000000000036E-2</v>
      </c>
      <c r="AE19" s="8">
        <f t="shared" si="69"/>
        <v>3.0000000000000027E-2</v>
      </c>
      <c r="AF19" s="8">
        <f t="shared" si="69"/>
        <v>3.0000000000000027E-2</v>
      </c>
      <c r="AG19" s="8">
        <f t="shared" si="69"/>
        <v>3.0000000000000027E-2</v>
      </c>
      <c r="AH19" s="8">
        <f t="shared" si="69"/>
        <v>3.0000000000000027E-2</v>
      </c>
      <c r="AI19" s="8">
        <f t="shared" si="69"/>
        <v>3.0000000000000027E-2</v>
      </c>
      <c r="AJ19" s="8">
        <f t="shared" si="69"/>
        <v>3.0000000000000027E-2</v>
      </c>
      <c r="AK19" s="8">
        <f t="shared" si="69"/>
        <v>3.0000000000000027E-2</v>
      </c>
      <c r="AM19" t="s">
        <v>42</v>
      </c>
      <c r="AN19" s="8">
        <v>0.08</v>
      </c>
    </row>
    <row r="20" spans="2:40" x14ac:dyDescent="0.3">
      <c r="B20" t="s">
        <v>37</v>
      </c>
      <c r="G20" s="8">
        <f t="shared" ref="G20:J20" si="70">G7/G3</f>
        <v>0.3536957849725107</v>
      </c>
      <c r="H20" s="8">
        <f t="shared" si="70"/>
        <v>0.32349726775956283</v>
      </c>
      <c r="I20" s="8">
        <f t="shared" si="70"/>
        <v>0.26554216867469882</v>
      </c>
      <c r="J20" s="8">
        <f t="shared" si="70"/>
        <v>0.23178542834267413</v>
      </c>
      <c r="K20" s="8">
        <f>K7/K3</f>
        <v>0.51069958847736618</v>
      </c>
      <c r="L20" s="8">
        <f t="shared" ref="L20:N20" si="71">L7/L3</f>
        <v>0.25426742532005692</v>
      </c>
      <c r="M20" s="8">
        <f t="shared" si="71"/>
        <v>0.21383467278989668</v>
      </c>
      <c r="N20" s="8">
        <f t="shared" si="71"/>
        <v>0.18821603927986907</v>
      </c>
      <c r="O20" s="8">
        <f t="shared" ref="O20:R20" si="72">O7/O3</f>
        <v>0.2311416921508665</v>
      </c>
      <c r="P20" s="8">
        <f t="shared" si="72"/>
        <v>0.24139311449159326</v>
      </c>
      <c r="Q20" s="8">
        <f t="shared" si="72"/>
        <v>0.22003761326722515</v>
      </c>
      <c r="R20" s="8">
        <f t="shared" si="72"/>
        <v>0.22588202866593166</v>
      </c>
      <c r="S20" s="8"/>
      <c r="T20" s="8"/>
      <c r="U20" s="8"/>
      <c r="V20" s="8"/>
      <c r="X20" s="8">
        <f>X7/X3</f>
        <v>0.33763311834408277</v>
      </c>
      <c r="Y20" s="8">
        <f>Y7/Y3</f>
        <v>0.28631840796019897</v>
      </c>
      <c r="Z20" s="8">
        <f t="shared" ref="Z20:AK20" si="73">Z7/Z3</f>
        <v>0.26963008536491584</v>
      </c>
      <c r="AA20" s="8">
        <f t="shared" si="73"/>
        <v>0.22878547105561861</v>
      </c>
      <c r="AB20" s="8">
        <f t="shared" si="73"/>
        <v>0.23</v>
      </c>
      <c r="AC20" s="8">
        <f t="shared" si="73"/>
        <v>0.22</v>
      </c>
      <c r="AD20" s="8">
        <f t="shared" si="73"/>
        <v>0.21</v>
      </c>
      <c r="AE20" s="8">
        <f t="shared" si="73"/>
        <v>0.2</v>
      </c>
      <c r="AF20" s="8">
        <f t="shared" si="73"/>
        <v>0.2</v>
      </c>
      <c r="AG20" s="8">
        <f t="shared" si="73"/>
        <v>0.2</v>
      </c>
      <c r="AH20" s="8">
        <f t="shared" si="73"/>
        <v>0.2</v>
      </c>
      <c r="AI20" s="8">
        <f t="shared" si="73"/>
        <v>0.2</v>
      </c>
      <c r="AJ20" s="8">
        <f t="shared" si="73"/>
        <v>0.2</v>
      </c>
      <c r="AK20" s="8">
        <f t="shared" si="73"/>
        <v>0.2</v>
      </c>
      <c r="AM20" t="s">
        <v>66</v>
      </c>
      <c r="AN20" s="2">
        <f>NPV(AN19,AB13:EQ13)</f>
        <v>29039.65374519816</v>
      </c>
    </row>
    <row r="21" spans="2:40" x14ac:dyDescent="0.3">
      <c r="B21" t="s">
        <v>38</v>
      </c>
      <c r="G21" s="8"/>
      <c r="H21" s="8"/>
      <c r="I21" s="8"/>
      <c r="J21" s="8"/>
      <c r="K21" s="8">
        <f t="shared" ref="K21" si="74">K8/G8-1</f>
        <v>4.9681372549019613</v>
      </c>
      <c r="L21" s="8">
        <f t="shared" ref="L21" si="75">L8/H8-1</f>
        <v>0.79319371727748678</v>
      </c>
      <c r="M21" s="8">
        <f t="shared" ref="M21" si="76">M8/I8-1</f>
        <v>0.76139410187667589</v>
      </c>
      <c r="N21" s="8">
        <f t="shared" ref="N21" si="77">N8/J8-1</f>
        <v>0.52795031055900621</v>
      </c>
      <c r="O21" s="8">
        <f t="shared" ref="O21" si="78">O8/K8-1</f>
        <v>-0.71498973305954827</v>
      </c>
      <c r="P21" s="8">
        <f t="shared" ref="P21" si="79">P8/L8-1</f>
        <v>4.3795620437956373E-3</v>
      </c>
      <c r="Q21" s="8">
        <f t="shared" ref="Q21" si="80">Q8/M8-1</f>
        <v>4.7184170471841647E-2</v>
      </c>
      <c r="R21" s="8">
        <f t="shared" ref="R21" si="81">R8/N8-1</f>
        <v>-2.0325203252032575E-2</v>
      </c>
      <c r="S21" s="8"/>
      <c r="T21" s="8"/>
      <c r="U21" s="8"/>
      <c r="V21" s="8"/>
      <c r="X21" s="8"/>
      <c r="Y21" s="8">
        <f>Y8/X8-1</f>
        <v>0.14534075104311528</v>
      </c>
      <c r="Z21" s="8">
        <f t="shared" ref="Z21:AK21" si="82">Z8/Y8-1</f>
        <v>1.7413479052823315</v>
      </c>
      <c r="AA21" s="8">
        <f t="shared" si="82"/>
        <v>-0.38139534883720927</v>
      </c>
      <c r="AB21" s="8">
        <f t="shared" si="82"/>
        <v>3.0000000000000027E-2</v>
      </c>
      <c r="AC21" s="8">
        <f t="shared" si="82"/>
        <v>3.0000000000000027E-2</v>
      </c>
      <c r="AD21" s="8">
        <f t="shared" si="82"/>
        <v>3.0000000000000027E-2</v>
      </c>
      <c r="AE21" s="8">
        <f t="shared" si="82"/>
        <v>2.0000000000000018E-2</v>
      </c>
      <c r="AF21" s="8">
        <f t="shared" si="82"/>
        <v>2.0000000000000018E-2</v>
      </c>
      <c r="AG21" s="8">
        <f t="shared" si="82"/>
        <v>2.0000000000000018E-2</v>
      </c>
      <c r="AH21" s="8">
        <f t="shared" si="82"/>
        <v>2.0000000000000018E-2</v>
      </c>
      <c r="AI21" s="8">
        <f t="shared" si="82"/>
        <v>2.0000000000000018E-2</v>
      </c>
      <c r="AJ21" s="8">
        <f t="shared" si="82"/>
        <v>2.0000000000000018E-2</v>
      </c>
      <c r="AK21" s="8">
        <f t="shared" si="82"/>
        <v>2.0000000000000018E-2</v>
      </c>
      <c r="AM21" t="s">
        <v>43</v>
      </c>
      <c r="AN21" s="2">
        <f>Main!D8</f>
        <v>2476.8000000000002</v>
      </c>
    </row>
    <row r="22" spans="2:40" x14ac:dyDescent="0.3">
      <c r="B22" t="s">
        <v>39</v>
      </c>
      <c r="G22" s="8">
        <f t="shared" ref="G22:J22" si="83">G9/G3</f>
        <v>-0.43188759926695186</v>
      </c>
      <c r="H22" s="8">
        <f t="shared" si="83"/>
        <v>-0.28907103825136632</v>
      </c>
      <c r="I22" s="8">
        <f t="shared" si="83"/>
        <v>-9.4457831325301181E-2</v>
      </c>
      <c r="J22" s="8">
        <f t="shared" si="83"/>
        <v>1.2409927942353859E-2</v>
      </c>
      <c r="K22" s="8">
        <f>K9/K3</f>
        <v>-2.4246913580246914</v>
      </c>
      <c r="L22" s="8">
        <f t="shared" ref="L22:N22" si="84">L9/L3</f>
        <v>-0.11059743954480805</v>
      </c>
      <c r="M22" s="8">
        <f t="shared" si="84"/>
        <v>1.9804822043627948E-2</v>
      </c>
      <c r="N22" s="8">
        <f t="shared" si="84"/>
        <v>0.12391863455693231</v>
      </c>
      <c r="O22" s="8">
        <f t="shared" ref="O22:R22" si="85">O9/O3</f>
        <v>9.9388379204892394E-3</v>
      </c>
      <c r="P22" s="8">
        <f t="shared" si="85"/>
        <v>0.13550840672538039</v>
      </c>
      <c r="Q22" s="8">
        <f t="shared" si="85"/>
        <v>0.23679261412207206</v>
      </c>
      <c r="R22" s="8">
        <f t="shared" si="85"/>
        <v>0.3194597574421168</v>
      </c>
      <c r="S22" s="8"/>
      <c r="T22" s="8"/>
      <c r="U22" s="8"/>
      <c r="V22" s="8"/>
      <c r="X22" s="8">
        <f>X9/X3</f>
        <v>-0.25828708564571745</v>
      </c>
      <c r="Y22" s="8">
        <f>Y9/Y3</f>
        <v>-0.17437810945273638</v>
      </c>
      <c r="Z22" s="8">
        <f t="shared" ref="Z22:AK22" si="86">Z9/Z3</f>
        <v>-0.43097746673844506</v>
      </c>
      <c r="AA22" s="8">
        <f t="shared" si="86"/>
        <v>0.20063564131668563</v>
      </c>
      <c r="AB22" s="8">
        <f t="shared" si="86"/>
        <v>0.33000681044267877</v>
      </c>
      <c r="AC22" s="8">
        <f t="shared" si="86"/>
        <v>0.4106715969614948</v>
      </c>
      <c r="AD22" s="8">
        <f t="shared" si="86"/>
        <v>0.44898926455570792</v>
      </c>
      <c r="AE22" s="8">
        <f t="shared" si="86"/>
        <v>0.47168611358077173</v>
      </c>
      <c r="AF22" s="8">
        <f t="shared" si="86"/>
        <v>0.47930375098323041</v>
      </c>
      <c r="AG22" s="8">
        <f t="shared" si="86"/>
        <v>0.48446147345786239</v>
      </c>
      <c r="AH22" s="8">
        <f t="shared" si="86"/>
        <v>0.48950458125629631</v>
      </c>
      <c r="AI22" s="8">
        <f t="shared" si="86"/>
        <v>0.49443572529646079</v>
      </c>
      <c r="AJ22" s="8">
        <f t="shared" si="86"/>
        <v>0.49925749263743002</v>
      </c>
      <c r="AK22" s="8">
        <f t="shared" si="86"/>
        <v>0.50397240807764776</v>
      </c>
      <c r="AM22" t="s">
        <v>44</v>
      </c>
      <c r="AN22" s="2">
        <f>AN20+AN21</f>
        <v>31516.45374519816</v>
      </c>
    </row>
    <row r="23" spans="2:40" x14ac:dyDescent="0.3">
      <c r="B23" t="s">
        <v>19</v>
      </c>
      <c r="G23" s="8">
        <f t="shared" ref="G23:J23" si="87">G12/G11</f>
        <v>-1.6666666666666663E-2</v>
      </c>
      <c r="H23" s="8">
        <f t="shared" si="87"/>
        <v>-3.5353535353535318E-2</v>
      </c>
      <c r="I23" s="8">
        <f t="shared" si="87"/>
        <v>-5.714285714285719E-2</v>
      </c>
      <c r="J23" s="8">
        <f t="shared" si="87"/>
        <v>4.5918367346938792E-2</v>
      </c>
      <c r="K23" s="8">
        <f>K12/K11</f>
        <v>-6.9613644274277764E-4</v>
      </c>
      <c r="L23" s="8">
        <f t="shared" ref="L23:N23" si="88">L12/L11</f>
        <v>1.923076923076919E-2</v>
      </c>
      <c r="M23" s="8">
        <f t="shared" si="88"/>
        <v>0</v>
      </c>
      <c r="N23" s="8">
        <f t="shared" si="88"/>
        <v>-1.4265335235378044E-2</v>
      </c>
      <c r="O23" s="8">
        <f t="shared" ref="O23:R23" si="89">O12/O11</f>
        <v>-6.9672131147541047E-2</v>
      </c>
      <c r="P23" s="8">
        <f t="shared" si="89"/>
        <v>-4.5045045045045027E-3</v>
      </c>
      <c r="Q23" s="8">
        <f t="shared" si="89"/>
        <v>-1.3084112149532716E-2</v>
      </c>
      <c r="R23" s="8">
        <f t="shared" si="89"/>
        <v>1.2558869701726847E-2</v>
      </c>
      <c r="S23" s="8"/>
      <c r="T23" s="8"/>
      <c r="U23" s="8"/>
      <c r="V23" s="8"/>
      <c r="X23" s="8">
        <f>X12/X11</f>
        <v>-3.7974683544303835E-3</v>
      </c>
      <c r="Y23" s="8">
        <f>Y12/Y11</f>
        <v>-4.362801377726748E-2</v>
      </c>
      <c r="Z23" s="8">
        <f t="shared" ref="Z23:AK23" si="90">Z12/Z11</f>
        <v>1.6494845360824739E-3</v>
      </c>
      <c r="AA23" s="8">
        <f t="shared" si="90"/>
        <v>-1.8921475875118255E-3</v>
      </c>
      <c r="AB23" s="8">
        <f t="shared" si="90"/>
        <v>0.15</v>
      </c>
      <c r="AC23" s="8">
        <f t="shared" si="90"/>
        <v>0.15</v>
      </c>
      <c r="AD23" s="8">
        <f t="shared" si="90"/>
        <v>0.15</v>
      </c>
      <c r="AE23" s="8">
        <f t="shared" si="90"/>
        <v>0.15</v>
      </c>
      <c r="AF23" s="8">
        <f t="shared" si="90"/>
        <v>0.15</v>
      </c>
      <c r="AG23" s="8">
        <f t="shared" si="90"/>
        <v>0.15</v>
      </c>
      <c r="AH23" s="8">
        <f t="shared" si="90"/>
        <v>0.15</v>
      </c>
      <c r="AI23" s="8">
        <f t="shared" si="90"/>
        <v>0.15</v>
      </c>
      <c r="AJ23" s="8">
        <f t="shared" si="90"/>
        <v>0.15</v>
      </c>
      <c r="AK23" s="8">
        <f t="shared" si="90"/>
        <v>0.15</v>
      </c>
      <c r="AM23" t="s">
        <v>45</v>
      </c>
      <c r="AN23" s="1">
        <f>AN22/AK14</f>
        <v>165.87607234314819</v>
      </c>
    </row>
    <row r="24" spans="2:40" x14ac:dyDescent="0.3">
      <c r="B24" t="s">
        <v>40</v>
      </c>
      <c r="G24" s="8">
        <f t="shared" ref="G24:J24" si="91">G13/G3</f>
        <v>-0.37263286499694576</v>
      </c>
      <c r="H24" s="8">
        <f t="shared" si="91"/>
        <v>-0.22404371584699473</v>
      </c>
      <c r="I24" s="8">
        <f t="shared" si="91"/>
        <v>-3.5662650602409612E-2</v>
      </c>
      <c r="J24" s="8">
        <f t="shared" si="91"/>
        <v>7.4859887910328243E-2</v>
      </c>
      <c r="K24" s="8">
        <f>K13/K3</f>
        <v>-2.3662551440329218</v>
      </c>
      <c r="L24" s="8">
        <f t="shared" ref="L24:N24" si="92">L13/L3</f>
        <v>-3.627311522048373E-2</v>
      </c>
      <c r="M24" s="8">
        <f t="shared" si="92"/>
        <v>8.5820895522388002E-2</v>
      </c>
      <c r="N24" s="8">
        <f t="shared" si="92"/>
        <v>0.16623801730184695</v>
      </c>
      <c r="O24" s="8">
        <f t="shared" ref="O24:R24" si="93">O13/O3</f>
        <v>6.6513761467889856E-2</v>
      </c>
      <c r="P24" s="8">
        <f t="shared" si="93"/>
        <v>0.17854283426741402</v>
      </c>
      <c r="Q24" s="8">
        <f t="shared" si="93"/>
        <v>0.27799623867327738</v>
      </c>
      <c r="R24" s="8">
        <f t="shared" si="93"/>
        <v>0.34674751929437703</v>
      </c>
      <c r="S24" s="8"/>
      <c r="T24" s="8"/>
      <c r="U24" s="8"/>
      <c r="V24" s="8"/>
      <c r="X24" s="8">
        <f>X13/X3</f>
        <v>-0.23788810559471998</v>
      </c>
      <c r="Y24" s="8">
        <f>Y13/Y3</f>
        <v>-0.11305970149253737</v>
      </c>
      <c r="Z24" s="8">
        <f t="shared" ref="Z24:AK24" si="94">Z13/Z3</f>
        <v>-0.3723756056294702</v>
      </c>
      <c r="AA24" s="8">
        <f t="shared" si="94"/>
        <v>0.24040862656072651</v>
      </c>
      <c r="AB24" s="8">
        <f t="shared" si="94"/>
        <v>0.30509417869304362</v>
      </c>
      <c r="AC24" s="8">
        <f t="shared" si="94"/>
        <v>0.36855242781055492</v>
      </c>
      <c r="AD24" s="8">
        <f t="shared" si="94"/>
        <v>0.39908958574633691</v>
      </c>
      <c r="AE24" s="8">
        <f t="shared" si="94"/>
        <v>0.41757409672903067</v>
      </c>
      <c r="AF24" s="8">
        <f t="shared" si="94"/>
        <v>0.42357811964794956</v>
      </c>
      <c r="AG24" s="8">
        <f t="shared" si="94"/>
        <v>0.42765418505972574</v>
      </c>
      <c r="AH24" s="8">
        <f t="shared" si="94"/>
        <v>0.43163869463847948</v>
      </c>
      <c r="AI24" s="8">
        <f t="shared" si="94"/>
        <v>0.43553378991889302</v>
      </c>
      <c r="AJ24" s="8">
        <f t="shared" si="94"/>
        <v>0.4393415602841092</v>
      </c>
      <c r="AK24" s="8">
        <f t="shared" si="94"/>
        <v>0.44306404428367918</v>
      </c>
      <c r="AM24" t="s">
        <v>46</v>
      </c>
      <c r="AN24" s="1">
        <f>Main!D3</f>
        <v>165.1</v>
      </c>
    </row>
    <row r="25" spans="2:40" x14ac:dyDescent="0.3">
      <c r="AM25" s="6" t="s">
        <v>47</v>
      </c>
      <c r="AN25" s="9">
        <f>AN23/AN24-1</f>
        <v>4.7006198858159376E-3</v>
      </c>
    </row>
    <row r="26" spans="2:40" x14ac:dyDescent="0.3">
      <c r="AM26" t="s">
        <v>48</v>
      </c>
      <c r="AN26" s="4" t="s">
        <v>72</v>
      </c>
    </row>
    <row r="27" spans="2:40" s="6" customFormat="1" x14ac:dyDescent="0.3">
      <c r="B27" s="6" t="s">
        <v>49</v>
      </c>
      <c r="X27" s="7">
        <f>X13</f>
        <v>-158.59999999999982</v>
      </c>
      <c r="Y27" s="7">
        <f>Y13</f>
        <v>-90.900000000000048</v>
      </c>
      <c r="Z27" s="7">
        <f>Z13</f>
        <v>-484.2000000000001</v>
      </c>
      <c r="AA27" s="7">
        <f t="shared" ref="AA27:AK27" si="95">AA13</f>
        <v>529.50000000000011</v>
      </c>
      <c r="AB27" s="7">
        <f t="shared" si="95"/>
        <v>940.75790000000006</v>
      </c>
      <c r="AC27" s="7">
        <f t="shared" si="95"/>
        <v>1477.3608345</v>
      </c>
      <c r="AD27" s="7">
        <f t="shared" si="95"/>
        <v>1839.7361427850003</v>
      </c>
      <c r="AE27" s="7">
        <f t="shared" si="95"/>
        <v>2078.9423736403996</v>
      </c>
      <c r="AF27" s="7">
        <f t="shared" si="95"/>
        <v>2235.364163830649</v>
      </c>
      <c r="AG27" s="7">
        <f t="shared" si="95"/>
        <v>2369.7186781477467</v>
      </c>
      <c r="AH27" s="7">
        <f t="shared" si="95"/>
        <v>2511.3875375519306</v>
      </c>
      <c r="AI27" s="7">
        <f t="shared" si="95"/>
        <v>2660.7527384824448</v>
      </c>
      <c r="AJ27" s="7">
        <f t="shared" si="95"/>
        <v>2818.2158331881101</v>
      </c>
      <c r="AK27" s="7">
        <f t="shared" si="95"/>
        <v>2984.198920549687</v>
      </c>
    </row>
    <row r="28" spans="2:40" x14ac:dyDescent="0.3">
      <c r="B28" t="s">
        <v>50</v>
      </c>
      <c r="X28" s="2">
        <v>8</v>
      </c>
      <c r="Y28" s="2">
        <v>13.7</v>
      </c>
      <c r="Z28" s="2">
        <v>15.6</v>
      </c>
      <c r="AA28">
        <v>15.9</v>
      </c>
      <c r="AB28">
        <f t="shared" ref="AB28:AD28" si="96">AA28*1.2</f>
        <v>19.079999999999998</v>
      </c>
      <c r="AC28">
        <f t="shared" si="96"/>
        <v>22.895999999999997</v>
      </c>
      <c r="AD28">
        <f t="shared" si="96"/>
        <v>27.475199999999997</v>
      </c>
      <c r="AE28">
        <f>AD28*1.05</f>
        <v>28.848959999999998</v>
      </c>
      <c r="AF28">
        <f t="shared" ref="AF28:AK28" si="97">AE28*1.05</f>
        <v>30.291408000000001</v>
      </c>
      <c r="AG28">
        <f t="shared" si="97"/>
        <v>31.805978400000001</v>
      </c>
      <c r="AH28">
        <f t="shared" si="97"/>
        <v>33.396277320000003</v>
      </c>
      <c r="AI28">
        <f t="shared" si="97"/>
        <v>35.066091186000001</v>
      </c>
      <c r="AJ28">
        <f t="shared" si="97"/>
        <v>36.8193957453</v>
      </c>
      <c r="AK28">
        <f t="shared" si="97"/>
        <v>38.660365532565002</v>
      </c>
    </row>
    <row r="29" spans="2:40" x14ac:dyDescent="0.3">
      <c r="B29" t="s">
        <v>51</v>
      </c>
      <c r="X29" s="2">
        <v>10.5</v>
      </c>
      <c r="Y29" s="2">
        <v>11.4</v>
      </c>
      <c r="Z29" s="2">
        <v>4.0999999999999996</v>
      </c>
      <c r="AA29" s="2">
        <v>6.2</v>
      </c>
      <c r="AB29" s="2">
        <v>10</v>
      </c>
      <c r="AC29" s="2">
        <v>10</v>
      </c>
      <c r="AD29" s="2">
        <v>10</v>
      </c>
      <c r="AE29" s="2">
        <v>10</v>
      </c>
      <c r="AF29" s="2">
        <v>10</v>
      </c>
      <c r="AG29" s="2">
        <v>10</v>
      </c>
      <c r="AH29" s="2">
        <v>10</v>
      </c>
      <c r="AI29" s="2">
        <v>10</v>
      </c>
      <c r="AJ29" s="2">
        <v>10</v>
      </c>
      <c r="AK29" s="2">
        <v>10</v>
      </c>
    </row>
    <row r="30" spans="2:40" x14ac:dyDescent="0.3">
      <c r="B30" t="s">
        <v>52</v>
      </c>
      <c r="X30" s="2">
        <v>-3.3</v>
      </c>
      <c r="Y30" s="2">
        <v>-27.4</v>
      </c>
      <c r="Z30" s="2">
        <v>-43.4</v>
      </c>
      <c r="AA30" s="2">
        <v>-28.2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</row>
    <row r="31" spans="2:40" x14ac:dyDescent="0.3">
      <c r="B31" t="s">
        <v>53</v>
      </c>
      <c r="X31" s="2">
        <v>55.3</v>
      </c>
      <c r="Y31" s="2">
        <v>47.6</v>
      </c>
      <c r="Z31" s="2">
        <v>801.6</v>
      </c>
      <c r="AA31">
        <v>343.2</v>
      </c>
      <c r="AB31">
        <f>AA31*0.8</f>
        <v>274.56</v>
      </c>
      <c r="AC31">
        <f>AB31*0.8</f>
        <v>219.64800000000002</v>
      </c>
      <c r="AD31">
        <f>AC31*0.95</f>
        <v>208.66560000000001</v>
      </c>
      <c r="AE31">
        <f>AD31*1.03</f>
        <v>214.92556800000003</v>
      </c>
      <c r="AF31">
        <f t="shared" ref="AF31:AK31" si="98">AE31*1.03</f>
        <v>221.37333504000003</v>
      </c>
      <c r="AG31">
        <f t="shared" si="98"/>
        <v>228.01453509120003</v>
      </c>
      <c r="AH31">
        <f t="shared" si="98"/>
        <v>234.85497114393604</v>
      </c>
      <c r="AI31">
        <f t="shared" si="98"/>
        <v>241.90062027825414</v>
      </c>
      <c r="AJ31">
        <f t="shared" si="98"/>
        <v>249.15763888660177</v>
      </c>
      <c r="AK31">
        <f t="shared" si="98"/>
        <v>256.63236805319985</v>
      </c>
    </row>
    <row r="32" spans="2:40" x14ac:dyDescent="0.3">
      <c r="B32" t="s">
        <v>54</v>
      </c>
      <c r="X32" s="2">
        <v>4.0999999999999996</v>
      </c>
      <c r="Y32" s="2">
        <v>0.5</v>
      </c>
      <c r="Z32" s="2">
        <v>-4.2</v>
      </c>
      <c r="AA32" s="2">
        <v>0.8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</row>
    <row r="33" spans="2:148" x14ac:dyDescent="0.3">
      <c r="B33" t="s">
        <v>55</v>
      </c>
      <c r="X33" s="2">
        <v>-30.2</v>
      </c>
      <c r="Y33" s="2">
        <v>-53.3</v>
      </c>
      <c r="Z33" s="2">
        <v>-104.3</v>
      </c>
      <c r="AA33" s="2">
        <v>-241.4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</row>
    <row r="34" spans="2:148" x14ac:dyDescent="0.3">
      <c r="B34" t="s">
        <v>56</v>
      </c>
      <c r="X34" s="2">
        <v>-1.9</v>
      </c>
      <c r="Y34" s="2">
        <v>3.9</v>
      </c>
      <c r="Z34" s="2">
        <v>-19.5</v>
      </c>
      <c r="AA34" s="2">
        <v>-37.1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</row>
    <row r="35" spans="2:148" x14ac:dyDescent="0.3">
      <c r="B35" t="s">
        <v>51</v>
      </c>
      <c r="X35" s="2">
        <v>-10.3</v>
      </c>
      <c r="Y35" s="2">
        <v>-5.8</v>
      </c>
      <c r="Z35" s="2">
        <v>-2.4</v>
      </c>
      <c r="AA35" s="2">
        <v>-7.2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</row>
    <row r="36" spans="2:148" x14ac:dyDescent="0.3">
      <c r="B36" t="s">
        <v>57</v>
      </c>
      <c r="X36" s="2">
        <v>10.9</v>
      </c>
      <c r="Y36" s="2">
        <v>12.5</v>
      </c>
      <c r="Z36" s="2">
        <v>-0.6</v>
      </c>
      <c r="AA36" s="2">
        <v>18.2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</row>
    <row r="37" spans="2:148" x14ac:dyDescent="0.3">
      <c r="B37" t="s">
        <v>58</v>
      </c>
      <c r="X37" s="2">
        <v>21.5</v>
      </c>
      <c r="Y37" s="2">
        <v>12.7</v>
      </c>
      <c r="Z37" s="2">
        <v>59.3</v>
      </c>
      <c r="AA37" s="2">
        <v>90.7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</row>
    <row r="38" spans="2:148" s="6" customFormat="1" x14ac:dyDescent="0.3">
      <c r="B38" s="6" t="s">
        <v>59</v>
      </c>
      <c r="X38" s="7">
        <f>X27+SUM(X28:X37)</f>
        <v>-93.999999999999829</v>
      </c>
      <c r="Y38" s="7">
        <f>Y27+SUM(Y28:Y37)</f>
        <v>-75.100000000000037</v>
      </c>
      <c r="Z38" s="7">
        <f>Z27+SUM(Z28:Z37)</f>
        <v>221.99999999999983</v>
      </c>
      <c r="AA38" s="7">
        <f t="shared" ref="AA38" si="99">AA27+SUM(AA28:AA37)</f>
        <v>690.60000000000014</v>
      </c>
      <c r="AB38" s="7">
        <f t="shared" ref="AB38" si="100">AB27+SUM(AB28:AB37)</f>
        <v>1244.3978999999999</v>
      </c>
      <c r="AC38" s="7">
        <f t="shared" ref="AC38" si="101">AC27+SUM(AC28:AC37)</f>
        <v>1729.9048345000001</v>
      </c>
      <c r="AD38" s="7">
        <f t="shared" ref="AD38" si="102">AD27+SUM(AD28:AD37)</f>
        <v>2085.8769427850002</v>
      </c>
      <c r="AE38" s="7">
        <f t="shared" ref="AE38" si="103">AE27+SUM(AE28:AE37)</f>
        <v>2332.7169016403996</v>
      </c>
      <c r="AF38" s="7">
        <f t="shared" ref="AF38" si="104">AF27+SUM(AF28:AF37)</f>
        <v>2497.0289068706488</v>
      </c>
      <c r="AG38" s="7">
        <f t="shared" ref="AG38" si="105">AG27+SUM(AG28:AG37)</f>
        <v>2639.5391916389467</v>
      </c>
      <c r="AH38" s="7">
        <f t="shared" ref="AH38" si="106">AH27+SUM(AH28:AH37)</f>
        <v>2789.6387860158666</v>
      </c>
      <c r="AI38" s="7">
        <f t="shared" ref="AI38" si="107">AI27+SUM(AI28:AI37)</f>
        <v>2947.7194499466991</v>
      </c>
      <c r="AJ38" s="7">
        <f t="shared" ref="AJ38" si="108">AJ27+SUM(AJ28:AJ37)</f>
        <v>3114.192867820012</v>
      </c>
      <c r="AK38" s="7">
        <f t="shared" ref="AK38" si="109">AK27+SUM(AK28:AK37)</f>
        <v>3289.4916541354519</v>
      </c>
    </row>
    <row r="39" spans="2:148" x14ac:dyDescent="0.3">
      <c r="B39" t="s">
        <v>60</v>
      </c>
      <c r="X39" s="2">
        <v>6.2</v>
      </c>
      <c r="Y39" s="2">
        <v>9.6999999999999993</v>
      </c>
      <c r="Z39" s="2">
        <v>6.2</v>
      </c>
      <c r="AA39" s="2">
        <v>6.7</v>
      </c>
      <c r="AB39" s="2">
        <f>AA39*1.2</f>
        <v>8.0399999999999991</v>
      </c>
      <c r="AC39" s="2">
        <f t="shared" ref="AC39:AK39" si="110">AB39*1.2</f>
        <v>9.6479999999999979</v>
      </c>
      <c r="AD39" s="2">
        <f t="shared" si="110"/>
        <v>11.577599999999997</v>
      </c>
      <c r="AE39" s="2">
        <f t="shared" si="110"/>
        <v>13.893119999999996</v>
      </c>
      <c r="AF39" s="2">
        <f t="shared" si="110"/>
        <v>16.671743999999993</v>
      </c>
      <c r="AG39" s="2">
        <f t="shared" si="110"/>
        <v>20.00609279999999</v>
      </c>
      <c r="AH39" s="2">
        <f t="shared" si="110"/>
        <v>24.007311359999989</v>
      </c>
      <c r="AI39" s="2">
        <f t="shared" si="110"/>
        <v>28.808773631999983</v>
      </c>
      <c r="AJ39" s="2">
        <f t="shared" si="110"/>
        <v>34.570528358399976</v>
      </c>
      <c r="AK39" s="2">
        <f t="shared" si="110"/>
        <v>41.484634030079967</v>
      </c>
    </row>
    <row r="40" spans="2:148" s="6" customFormat="1" x14ac:dyDescent="0.3">
      <c r="B40" s="6" t="s">
        <v>61</v>
      </c>
      <c r="X40" s="7">
        <f>X38-X39</f>
        <v>-100.19999999999983</v>
      </c>
      <c r="Y40" s="7">
        <f>Y38-Y39</f>
        <v>-84.80000000000004</v>
      </c>
      <c r="Z40" s="7">
        <f>Z38-Z39</f>
        <v>215.79999999999984</v>
      </c>
      <c r="AA40" s="7">
        <f t="shared" ref="AA40" si="111">AA38-AA39</f>
        <v>683.90000000000009</v>
      </c>
      <c r="AB40" s="7">
        <f t="shared" ref="AB40" si="112">AB38-AB39</f>
        <v>1236.3579</v>
      </c>
      <c r="AC40" s="7">
        <f t="shared" ref="AC40" si="113">AC38-AC39</f>
        <v>1720.2568345000002</v>
      </c>
      <c r="AD40" s="7">
        <f t="shared" ref="AD40" si="114">AD38-AD39</f>
        <v>2074.2993427850001</v>
      </c>
      <c r="AE40" s="7">
        <f t="shared" ref="AE40" si="115">AE38-AE39</f>
        <v>2318.8237816403994</v>
      </c>
      <c r="AF40" s="7">
        <f t="shared" ref="AF40" si="116">AF38-AF39</f>
        <v>2480.3571628706486</v>
      </c>
      <c r="AG40" s="7">
        <f t="shared" ref="AG40" si="117">AG38-AG39</f>
        <v>2619.5330988389469</v>
      </c>
      <c r="AH40" s="7">
        <f t="shared" ref="AH40" si="118">AH38-AH39</f>
        <v>2765.6314746558664</v>
      </c>
      <c r="AI40" s="7">
        <f t="shared" ref="AI40" si="119">AI38-AI39</f>
        <v>2918.9106763146992</v>
      </c>
      <c r="AJ40" s="7">
        <f t="shared" ref="AJ40" si="120">AJ38-AJ39</f>
        <v>3079.6223394616122</v>
      </c>
      <c r="AK40" s="7">
        <f t="shared" ref="AK40" si="121">AK38-AK39</f>
        <v>3248.0070201053718</v>
      </c>
      <c r="AL40" s="6">
        <f>AK40*(1+$AN$18)</f>
        <v>3215.5269499043179</v>
      </c>
      <c r="AM40" s="6">
        <f t="shared" ref="AM40:CX40" si="122">AL40*(1+$AN$18)</f>
        <v>3183.3716804052747</v>
      </c>
      <c r="AN40" s="6">
        <f t="shared" si="122"/>
        <v>3151.5379636012217</v>
      </c>
      <c r="AO40" s="6">
        <f t="shared" si="122"/>
        <v>3120.0225839652094</v>
      </c>
      <c r="AP40" s="6">
        <f t="shared" si="122"/>
        <v>3088.8223581255575</v>
      </c>
      <c r="AQ40" s="6">
        <f t="shared" si="122"/>
        <v>3057.9341345443017</v>
      </c>
      <c r="AR40" s="6">
        <f t="shared" si="122"/>
        <v>3027.3547931988587</v>
      </c>
      <c r="AS40" s="6">
        <f t="shared" si="122"/>
        <v>2997.0812452668702</v>
      </c>
      <c r="AT40" s="6">
        <f t="shared" si="122"/>
        <v>2967.1104328142014</v>
      </c>
      <c r="AU40" s="6">
        <f t="shared" si="122"/>
        <v>2937.4393284860594</v>
      </c>
      <c r="AV40" s="6">
        <f t="shared" si="122"/>
        <v>2908.0649352011988</v>
      </c>
      <c r="AW40" s="6">
        <f t="shared" si="122"/>
        <v>2878.9842858491866</v>
      </c>
      <c r="AX40" s="6">
        <f t="shared" si="122"/>
        <v>2850.1944429906948</v>
      </c>
      <c r="AY40" s="6">
        <f t="shared" si="122"/>
        <v>2821.692498560788</v>
      </c>
      <c r="AZ40" s="6">
        <f t="shared" si="122"/>
        <v>2793.4755735751801</v>
      </c>
      <c r="BA40" s="6">
        <f t="shared" si="122"/>
        <v>2765.5408178394282</v>
      </c>
      <c r="BB40" s="6">
        <f t="shared" si="122"/>
        <v>2737.8854096610339</v>
      </c>
      <c r="BC40" s="6">
        <f t="shared" si="122"/>
        <v>2710.5065555644237</v>
      </c>
      <c r="BD40" s="6">
        <f t="shared" si="122"/>
        <v>2683.4014900087795</v>
      </c>
      <c r="BE40" s="6">
        <f t="shared" si="122"/>
        <v>2656.5674751086917</v>
      </c>
      <c r="BF40" s="6">
        <f t="shared" si="122"/>
        <v>2630.0018003576047</v>
      </c>
      <c r="BG40" s="6">
        <f t="shared" si="122"/>
        <v>2603.7017823540286</v>
      </c>
      <c r="BH40" s="6">
        <f t="shared" si="122"/>
        <v>2577.6647645304884</v>
      </c>
      <c r="BI40" s="6">
        <f t="shared" si="122"/>
        <v>2551.8881168851835</v>
      </c>
      <c r="BJ40" s="6">
        <f t="shared" si="122"/>
        <v>2526.3692357163318</v>
      </c>
      <c r="BK40" s="6">
        <f t="shared" si="122"/>
        <v>2501.1055433591682</v>
      </c>
      <c r="BL40" s="6">
        <f t="shared" si="122"/>
        <v>2476.0944879255767</v>
      </c>
      <c r="BM40" s="6">
        <f t="shared" si="122"/>
        <v>2451.3335430463208</v>
      </c>
      <c r="BN40" s="6">
        <f t="shared" si="122"/>
        <v>2426.8202076158577</v>
      </c>
      <c r="BO40" s="6">
        <f t="shared" si="122"/>
        <v>2402.5520055396992</v>
      </c>
      <c r="BP40" s="6">
        <f t="shared" si="122"/>
        <v>2378.5264854843022</v>
      </c>
      <c r="BQ40" s="6">
        <f t="shared" si="122"/>
        <v>2354.7412206294589</v>
      </c>
      <c r="BR40" s="6">
        <f t="shared" si="122"/>
        <v>2331.1938084231642</v>
      </c>
      <c r="BS40" s="6">
        <f t="shared" si="122"/>
        <v>2307.8818703389325</v>
      </c>
      <c r="BT40" s="6">
        <f t="shared" si="122"/>
        <v>2284.8030516355429</v>
      </c>
      <c r="BU40" s="6">
        <f t="shared" si="122"/>
        <v>2261.9550211191877</v>
      </c>
      <c r="BV40" s="6">
        <f t="shared" si="122"/>
        <v>2239.3354709079958</v>
      </c>
      <c r="BW40" s="6">
        <f t="shared" si="122"/>
        <v>2216.9421161989158</v>
      </c>
      <c r="BX40" s="6">
        <f t="shared" si="122"/>
        <v>2194.7726950369265</v>
      </c>
      <c r="BY40" s="6">
        <f t="shared" si="122"/>
        <v>2172.8249680865574</v>
      </c>
      <c r="BZ40" s="6">
        <f t="shared" si="122"/>
        <v>2151.0967184056917</v>
      </c>
      <c r="CA40" s="6">
        <f t="shared" si="122"/>
        <v>2129.5857512216348</v>
      </c>
      <c r="CB40" s="6">
        <f t="shared" si="122"/>
        <v>2108.2898937094183</v>
      </c>
      <c r="CC40" s="6">
        <f t="shared" si="122"/>
        <v>2087.2069947723239</v>
      </c>
      <c r="CD40" s="6">
        <f t="shared" si="122"/>
        <v>2066.3349248246009</v>
      </c>
      <c r="CE40" s="6">
        <f t="shared" si="122"/>
        <v>2045.6715755763548</v>
      </c>
      <c r="CF40" s="6">
        <f t="shared" si="122"/>
        <v>2025.2148598205913</v>
      </c>
      <c r="CG40" s="6">
        <f t="shared" si="122"/>
        <v>2004.9627112223855</v>
      </c>
      <c r="CH40" s="6">
        <f t="shared" si="122"/>
        <v>1984.9130841101617</v>
      </c>
      <c r="CI40" s="6">
        <f t="shared" si="122"/>
        <v>1965.06395326906</v>
      </c>
      <c r="CJ40" s="6">
        <f t="shared" si="122"/>
        <v>1945.4133137363694</v>
      </c>
      <c r="CK40" s="6">
        <f t="shared" si="122"/>
        <v>1925.9591805990058</v>
      </c>
      <c r="CL40" s="6">
        <f t="shared" si="122"/>
        <v>1906.6995887930157</v>
      </c>
      <c r="CM40" s="6">
        <f t="shared" si="122"/>
        <v>1887.6325929050854</v>
      </c>
      <c r="CN40" s="6">
        <f t="shared" si="122"/>
        <v>1868.7562669760346</v>
      </c>
      <c r="CO40" s="6">
        <f t="shared" si="122"/>
        <v>1850.0687043062742</v>
      </c>
      <c r="CP40" s="6">
        <f t="shared" si="122"/>
        <v>1831.5680172632115</v>
      </c>
      <c r="CQ40" s="6">
        <f t="shared" si="122"/>
        <v>1813.2523370905794</v>
      </c>
      <c r="CR40" s="6">
        <f t="shared" si="122"/>
        <v>1795.1198137196736</v>
      </c>
      <c r="CS40" s="6">
        <f t="shared" si="122"/>
        <v>1777.1686155824768</v>
      </c>
      <c r="CT40" s="6">
        <f t="shared" si="122"/>
        <v>1759.3969294266522</v>
      </c>
      <c r="CU40" s="6">
        <f t="shared" si="122"/>
        <v>1741.8029601323856</v>
      </c>
      <c r="CV40" s="6">
        <f t="shared" si="122"/>
        <v>1724.3849305310616</v>
      </c>
      <c r="CW40" s="6">
        <f t="shared" si="122"/>
        <v>1707.1410812257509</v>
      </c>
      <c r="CX40" s="6">
        <f t="shared" si="122"/>
        <v>1690.0696704134934</v>
      </c>
      <c r="CY40" s="6">
        <f t="shared" ref="CY40:ER40" si="123">CX40*(1+$AN$18)</f>
        <v>1673.1689737093584</v>
      </c>
      <c r="CZ40" s="6">
        <f t="shared" si="123"/>
        <v>1656.4372839722648</v>
      </c>
      <c r="DA40" s="6">
        <f t="shared" si="123"/>
        <v>1639.8729111325422</v>
      </c>
      <c r="DB40" s="6">
        <f t="shared" si="123"/>
        <v>1623.4741820212168</v>
      </c>
      <c r="DC40" s="6">
        <f t="shared" si="123"/>
        <v>1607.2394402010048</v>
      </c>
      <c r="DD40" s="6">
        <f t="shared" si="123"/>
        <v>1591.1670457989946</v>
      </c>
      <c r="DE40" s="6">
        <f t="shared" si="123"/>
        <v>1575.2553753410048</v>
      </c>
      <c r="DF40" s="6">
        <f t="shared" si="123"/>
        <v>1559.5028215875948</v>
      </c>
      <c r="DG40" s="6">
        <f t="shared" si="123"/>
        <v>1543.9077933717188</v>
      </c>
      <c r="DH40" s="6">
        <f t="shared" si="123"/>
        <v>1528.4687154380015</v>
      </c>
      <c r="DI40" s="6">
        <f t="shared" si="123"/>
        <v>1513.1840282836215</v>
      </c>
      <c r="DJ40" s="6">
        <f t="shared" si="123"/>
        <v>1498.0521880007852</v>
      </c>
      <c r="DK40" s="6">
        <f t="shared" si="123"/>
        <v>1483.0716661207773</v>
      </c>
      <c r="DL40" s="6">
        <f t="shared" si="123"/>
        <v>1468.2409494595695</v>
      </c>
      <c r="DM40" s="6">
        <f t="shared" si="123"/>
        <v>1453.5585399649738</v>
      </c>
      <c r="DN40" s="6">
        <f t="shared" si="123"/>
        <v>1439.022954565324</v>
      </c>
      <c r="DO40" s="6">
        <f t="shared" si="123"/>
        <v>1424.6327250196707</v>
      </c>
      <c r="DP40" s="6">
        <f t="shared" si="123"/>
        <v>1410.3863977694739</v>
      </c>
      <c r="DQ40" s="6">
        <f t="shared" si="123"/>
        <v>1396.2825337917791</v>
      </c>
      <c r="DR40" s="6">
        <f t="shared" si="123"/>
        <v>1382.3197084538613</v>
      </c>
      <c r="DS40" s="6">
        <f t="shared" si="123"/>
        <v>1368.4965113693227</v>
      </c>
      <c r="DT40" s="6">
        <f t="shared" si="123"/>
        <v>1354.8115462556293</v>
      </c>
      <c r="DU40" s="6">
        <f t="shared" si="123"/>
        <v>1341.263430793073</v>
      </c>
      <c r="DV40" s="6">
        <f t="shared" si="123"/>
        <v>1327.8507964851422</v>
      </c>
      <c r="DW40" s="6">
        <f t="shared" si="123"/>
        <v>1314.5722885202906</v>
      </c>
      <c r="DX40" s="6">
        <f t="shared" si="123"/>
        <v>1301.4265656350876</v>
      </c>
      <c r="DY40" s="6">
        <f t="shared" si="123"/>
        <v>1288.4122999787367</v>
      </c>
      <c r="DZ40" s="6">
        <f t="shared" si="123"/>
        <v>1275.5281769789492</v>
      </c>
      <c r="EA40" s="6">
        <f t="shared" si="123"/>
        <v>1262.7728952091597</v>
      </c>
      <c r="EB40" s="6">
        <f t="shared" si="123"/>
        <v>1250.1451662570682</v>
      </c>
      <c r="EC40" s="6">
        <f t="shared" si="123"/>
        <v>1237.6437145944976</v>
      </c>
      <c r="ED40" s="6">
        <f t="shared" si="123"/>
        <v>1225.2672774485527</v>
      </c>
      <c r="EE40" s="6">
        <f t="shared" si="123"/>
        <v>1213.0146046740672</v>
      </c>
      <c r="EF40" s="6">
        <f t="shared" si="123"/>
        <v>1200.8844586273265</v>
      </c>
      <c r="EG40" s="6">
        <f t="shared" si="123"/>
        <v>1188.8756140410533</v>
      </c>
      <c r="EH40" s="6">
        <f t="shared" si="123"/>
        <v>1176.9868579006427</v>
      </c>
      <c r="EI40" s="6">
        <f t="shared" si="123"/>
        <v>1165.2169893216362</v>
      </c>
      <c r="EJ40" s="6">
        <f t="shared" si="123"/>
        <v>1153.5648194284199</v>
      </c>
      <c r="EK40" s="6">
        <f t="shared" si="123"/>
        <v>1142.0291712341357</v>
      </c>
      <c r="EL40" s="6">
        <f t="shared" si="123"/>
        <v>1130.6088795217943</v>
      </c>
      <c r="EM40" s="6">
        <f t="shared" si="123"/>
        <v>1119.3027907265764</v>
      </c>
      <c r="EN40" s="6">
        <f t="shared" si="123"/>
        <v>1108.1097628193106</v>
      </c>
      <c r="EO40" s="6">
        <f t="shared" si="123"/>
        <v>1097.0286651911174</v>
      </c>
      <c r="EP40" s="6">
        <f t="shared" si="123"/>
        <v>1086.0583785392062</v>
      </c>
      <c r="EQ40" s="6">
        <f t="shared" si="123"/>
        <v>1075.1977947538142</v>
      </c>
      <c r="ER40" s="6">
        <f t="shared" si="123"/>
        <v>1064.4458168062761</v>
      </c>
    </row>
    <row r="43" spans="2:148" x14ac:dyDescent="0.3">
      <c r="AN43" s="2">
        <f>NPV(AN19,AB40:ER40)</f>
        <v>32093.213717611809</v>
      </c>
    </row>
    <row r="44" spans="2:148" x14ac:dyDescent="0.3">
      <c r="AN44" s="2">
        <f>Main!D8</f>
        <v>2476.8000000000002</v>
      </c>
    </row>
    <row r="45" spans="2:148" x14ac:dyDescent="0.3">
      <c r="AN45" s="2">
        <f>AN43+AN44</f>
        <v>34570.013717611808</v>
      </c>
    </row>
    <row r="46" spans="2:148" x14ac:dyDescent="0.3">
      <c r="AN46" s="1">
        <f>AN45/AK14</f>
        <v>181.94744061900951</v>
      </c>
    </row>
    <row r="47" spans="2:148" x14ac:dyDescent="0.3">
      <c r="AN47" s="1">
        <f>Main!D3</f>
        <v>165.1</v>
      </c>
    </row>
    <row r="48" spans="2:148" x14ac:dyDescent="0.3">
      <c r="AN48" s="9">
        <f>AN46/AN47-1</f>
        <v>0.10204385596008181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2024-07-31T11:02:31Z</dcterms:created>
  <dcterms:modified xsi:type="dcterms:W3CDTF">2026-02-06T10:26:22Z</dcterms:modified>
</cp:coreProperties>
</file>