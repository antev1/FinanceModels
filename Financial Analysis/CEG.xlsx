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2155018A-1360-40D3-940B-C489A21A48B3}" xr6:coauthVersionLast="47" xr6:coauthVersionMax="47" xr10:uidLastSave="{00000000-0000-0000-0000-000000000000}"/>
  <bookViews>
    <workbookView xWindow="-108" yWindow="-108" windowWidth="23256" windowHeight="12576" activeTab="1" xr2:uid="{FD8B9579-E08E-4C89-8726-3FC953CC4FC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3" i="2" l="1"/>
  <c r="AD3" i="2" s="1"/>
  <c r="AE3" i="2" s="1"/>
  <c r="AF3" i="2" s="1"/>
  <c r="AG3" i="2" s="1"/>
  <c r="AH3" i="2" s="1"/>
  <c r="AC5" i="2"/>
  <c r="AB5" i="2"/>
  <c r="AA5" i="2"/>
  <c r="Z5" i="2"/>
  <c r="AB4" i="2"/>
  <c r="AA4" i="2"/>
  <c r="Z4" i="2"/>
  <c r="Y4" i="2"/>
  <c r="Y5" i="2"/>
  <c r="Y3" i="2"/>
  <c r="D7" i="1"/>
  <c r="D6" i="1"/>
  <c r="M20" i="2"/>
  <c r="M21" i="2"/>
  <c r="AH16" i="2"/>
  <c r="AG16" i="2"/>
  <c r="AF16" i="2"/>
  <c r="AE16" i="2"/>
  <c r="AD16" i="2"/>
  <c r="AC16" i="2"/>
  <c r="AB16" i="2"/>
  <c r="AA16" i="2"/>
  <c r="Z16" i="2"/>
  <c r="Y16" i="2"/>
  <c r="X16" i="2"/>
  <c r="N16" i="2"/>
  <c r="M16" i="2"/>
  <c r="D4" i="1"/>
  <c r="D5" i="1"/>
  <c r="AK26" i="2"/>
  <c r="X12" i="2"/>
  <c r="W21" i="2"/>
  <c r="V21" i="2"/>
  <c r="W20" i="2"/>
  <c r="V20" i="2"/>
  <c r="K21" i="2"/>
  <c r="I21" i="2"/>
  <c r="H21" i="2"/>
  <c r="G21" i="2"/>
  <c r="E21" i="2"/>
  <c r="D21" i="2"/>
  <c r="C21" i="2"/>
  <c r="K20" i="2"/>
  <c r="I20" i="2"/>
  <c r="H20" i="2"/>
  <c r="G20" i="2"/>
  <c r="E20" i="2"/>
  <c r="D20" i="2"/>
  <c r="C20" i="2"/>
  <c r="L21" i="2"/>
  <c r="L20" i="2"/>
  <c r="F14" i="2"/>
  <c r="F11" i="2"/>
  <c r="F9" i="2"/>
  <c r="F8" i="2"/>
  <c r="F5" i="2"/>
  <c r="F4" i="2"/>
  <c r="F3" i="2"/>
  <c r="C12" i="2"/>
  <c r="C6" i="2"/>
  <c r="C7" i="2" s="1"/>
  <c r="C10" i="2" s="1"/>
  <c r="J14" i="2"/>
  <c r="J11" i="2"/>
  <c r="X11" i="2" s="1"/>
  <c r="Y11" i="2" s="1"/>
  <c r="Z11" i="2" s="1"/>
  <c r="AA11" i="2" s="1"/>
  <c r="AB11" i="2" s="1"/>
  <c r="AC11" i="2" s="1"/>
  <c r="AD11" i="2" s="1"/>
  <c r="AE11" i="2" s="1"/>
  <c r="AF11" i="2" s="1"/>
  <c r="AG11" i="2" s="1"/>
  <c r="AH11" i="2" s="1"/>
  <c r="J9" i="2"/>
  <c r="J8" i="2"/>
  <c r="X8" i="2" s="1"/>
  <c r="J5" i="2"/>
  <c r="J21" i="2" s="1"/>
  <c r="J4" i="2"/>
  <c r="J20" i="2" s="1"/>
  <c r="J3" i="2"/>
  <c r="N20" i="2" s="1"/>
  <c r="E6" i="2"/>
  <c r="E7" i="2" s="1"/>
  <c r="I12" i="2"/>
  <c r="I19" i="2"/>
  <c r="I6" i="2"/>
  <c r="I7" i="2" s="1"/>
  <c r="I10" i="2" s="1"/>
  <c r="M19" i="2"/>
  <c r="W12" i="2"/>
  <c r="W6" i="2"/>
  <c r="W7" i="2" s="1"/>
  <c r="W19" i="2"/>
  <c r="L16" i="2"/>
  <c r="G19" i="2"/>
  <c r="G6" i="2"/>
  <c r="G7" i="2" s="1"/>
  <c r="G10" i="2" s="1"/>
  <c r="K19" i="2"/>
  <c r="K6" i="2"/>
  <c r="K7" i="2" s="1"/>
  <c r="L19" i="2"/>
  <c r="L6" i="2"/>
  <c r="L7" i="2" s="1"/>
  <c r="T12" i="2"/>
  <c r="T11" i="2"/>
  <c r="T5" i="2"/>
  <c r="T21" i="2" s="1"/>
  <c r="T4" i="2"/>
  <c r="T20" i="2" s="1"/>
  <c r="U12" i="2"/>
  <c r="V12" i="2"/>
  <c r="F12" i="2" s="1"/>
  <c r="U5" i="2"/>
  <c r="U4" i="2"/>
  <c r="U3" i="2"/>
  <c r="U19" i="2" s="1"/>
  <c r="V6" i="2"/>
  <c r="V7" i="2" s="1"/>
  <c r="H19" i="2"/>
  <c r="D6" i="2"/>
  <c r="D7" i="2" s="1"/>
  <c r="D10" i="2" s="1"/>
  <c r="D13" i="2" s="1"/>
  <c r="D15" i="2" s="1"/>
  <c r="D25" i="2" s="1"/>
  <c r="H6" i="2"/>
  <c r="H7" i="2" s="1"/>
  <c r="F3" i="1"/>
  <c r="AC4" i="2" l="1"/>
  <c r="F21" i="2"/>
  <c r="J12" i="2"/>
  <c r="U21" i="2"/>
  <c r="X3" i="2"/>
  <c r="X19" i="2" s="1"/>
  <c r="F20" i="2"/>
  <c r="U20" i="2"/>
  <c r="N6" i="2"/>
  <c r="N7" i="2" s="1"/>
  <c r="N10" i="2" s="1"/>
  <c r="M6" i="2"/>
  <c r="M7" i="2" s="1"/>
  <c r="X4" i="2"/>
  <c r="J6" i="2"/>
  <c r="J7" i="2" s="1"/>
  <c r="J22" i="2" s="1"/>
  <c r="U6" i="2"/>
  <c r="F6" i="2"/>
  <c r="F7" i="2" s="1"/>
  <c r="F10" i="2" s="1"/>
  <c r="J19" i="2"/>
  <c r="N19" i="2"/>
  <c r="C22" i="2"/>
  <c r="C23" i="2"/>
  <c r="C13" i="2"/>
  <c r="E22" i="2"/>
  <c r="E10" i="2"/>
  <c r="I23" i="2"/>
  <c r="I13" i="2"/>
  <c r="I22" i="2"/>
  <c r="W10" i="2"/>
  <c r="W22" i="2"/>
  <c r="G23" i="2"/>
  <c r="G13" i="2"/>
  <c r="G22" i="2"/>
  <c r="K22" i="2"/>
  <c r="K10" i="2"/>
  <c r="L10" i="2"/>
  <c r="L22" i="2"/>
  <c r="H10" i="2"/>
  <c r="H22" i="2"/>
  <c r="D22" i="2"/>
  <c r="D23" i="2"/>
  <c r="D24" i="2"/>
  <c r="D8" i="1"/>
  <c r="D17" i="2"/>
  <c r="T6" i="2"/>
  <c r="T7" i="2" s="1"/>
  <c r="T10" i="2" s="1"/>
  <c r="U7" i="2"/>
  <c r="U22" i="2" s="1"/>
  <c r="V19" i="2"/>
  <c r="V10" i="2"/>
  <c r="V22" i="2"/>
  <c r="AD5" i="2" l="1"/>
  <c r="AD4" i="2"/>
  <c r="N21" i="2"/>
  <c r="X5" i="2"/>
  <c r="X21" i="2" s="1"/>
  <c r="N22" i="2"/>
  <c r="Y19" i="2"/>
  <c r="X20" i="2"/>
  <c r="J10" i="2"/>
  <c r="J13" i="2" s="1"/>
  <c r="N13" i="2"/>
  <c r="N23" i="2"/>
  <c r="M22" i="2"/>
  <c r="X9" i="2"/>
  <c r="M10" i="2"/>
  <c r="X6" i="2"/>
  <c r="X7" i="2" s="1"/>
  <c r="X22" i="2" s="1"/>
  <c r="D9" i="1"/>
  <c r="AK23" i="2"/>
  <c r="F22" i="2"/>
  <c r="F23" i="2"/>
  <c r="F13" i="2"/>
  <c r="C15" i="2"/>
  <c r="C24" i="2"/>
  <c r="E23" i="2"/>
  <c r="E13" i="2"/>
  <c r="I24" i="2"/>
  <c r="I15" i="2"/>
  <c r="W13" i="2"/>
  <c r="W23" i="2"/>
  <c r="G24" i="2"/>
  <c r="G15" i="2"/>
  <c r="K23" i="2"/>
  <c r="K13" i="2"/>
  <c r="L13" i="2"/>
  <c r="L23" i="2"/>
  <c r="H13" i="2"/>
  <c r="H23" i="2"/>
  <c r="T22" i="2"/>
  <c r="T23" i="2"/>
  <c r="T13" i="2"/>
  <c r="U10" i="2"/>
  <c r="U13" i="2" s="1"/>
  <c r="V23" i="2"/>
  <c r="V13" i="2"/>
  <c r="AE5" i="2" l="1"/>
  <c r="AE4" i="2"/>
  <c r="Y20" i="2"/>
  <c r="Y6" i="2"/>
  <c r="Y7" i="2" s="1"/>
  <c r="Z3" i="2"/>
  <c r="J23" i="2"/>
  <c r="N24" i="2"/>
  <c r="X10" i="2"/>
  <c r="X23" i="2" s="1"/>
  <c r="M23" i="2"/>
  <c r="M13" i="2"/>
  <c r="Y21" i="2"/>
  <c r="F24" i="2"/>
  <c r="F15" i="2"/>
  <c r="C25" i="2"/>
  <c r="C17" i="2"/>
  <c r="J15" i="2"/>
  <c r="J24" i="2"/>
  <c r="E15" i="2"/>
  <c r="E24" i="2"/>
  <c r="I25" i="2"/>
  <c r="I17" i="2"/>
  <c r="W15" i="2"/>
  <c r="W24" i="2"/>
  <c r="G17" i="2"/>
  <c r="G25" i="2"/>
  <c r="K24" i="2"/>
  <c r="K15" i="2"/>
  <c r="L24" i="2"/>
  <c r="L15" i="2"/>
  <c r="H15" i="2"/>
  <c r="H24" i="2"/>
  <c r="T24" i="2"/>
  <c r="T15" i="2"/>
  <c r="U23" i="2"/>
  <c r="U24" i="2"/>
  <c r="U15" i="2"/>
  <c r="V24" i="2"/>
  <c r="V15" i="2"/>
  <c r="AF5" i="2" l="1"/>
  <c r="AF4" i="2"/>
  <c r="AA3" i="2"/>
  <c r="Z21" i="2"/>
  <c r="Z19" i="2"/>
  <c r="Z20" i="2"/>
  <c r="N15" i="2"/>
  <c r="X13" i="2"/>
  <c r="AA21" i="2"/>
  <c r="AB3" i="2"/>
  <c r="AA19" i="2"/>
  <c r="M15" i="2"/>
  <c r="Y22" i="2"/>
  <c r="Y9" i="2"/>
  <c r="Y10" i="2" s="1"/>
  <c r="F25" i="2"/>
  <c r="F17" i="2"/>
  <c r="J25" i="2"/>
  <c r="J17" i="2"/>
  <c r="E25" i="2"/>
  <c r="E17" i="2"/>
  <c r="W25" i="2"/>
  <c r="W17" i="2"/>
  <c r="K17" i="2"/>
  <c r="K25" i="2"/>
  <c r="L25" i="2"/>
  <c r="L17" i="2"/>
  <c r="H17" i="2"/>
  <c r="H25" i="2"/>
  <c r="T17" i="2"/>
  <c r="T25" i="2"/>
  <c r="U25" i="2"/>
  <c r="U17" i="2"/>
  <c r="V25" i="2"/>
  <c r="V17" i="2"/>
  <c r="AG4" i="2" l="1"/>
  <c r="AG5" i="2"/>
  <c r="Z6" i="2"/>
  <c r="Z7" i="2" s="1"/>
  <c r="N17" i="2"/>
  <c r="N25" i="2"/>
  <c r="AA20" i="2"/>
  <c r="AA6" i="2"/>
  <c r="AA7" i="2" s="1"/>
  <c r="M25" i="2"/>
  <c r="M17" i="2"/>
  <c r="AB21" i="2"/>
  <c r="AB19" i="2"/>
  <c r="X14" i="2"/>
  <c r="M24" i="2"/>
  <c r="Y23" i="2"/>
  <c r="Y13" i="2"/>
  <c r="Y14" i="2" s="1"/>
  <c r="AH4" i="2" l="1"/>
  <c r="AH5" i="2"/>
  <c r="Z22" i="2"/>
  <c r="Z9" i="2"/>
  <c r="Z10" i="2" s="1"/>
  <c r="AB20" i="2"/>
  <c r="AB6" i="2"/>
  <c r="AB7" i="2" s="1"/>
  <c r="Y15" i="2"/>
  <c r="Y24" i="2"/>
  <c r="AC21" i="2"/>
  <c r="AC19" i="2"/>
  <c r="AA9" i="2"/>
  <c r="AA10" i="2" s="1"/>
  <c r="AA22" i="2"/>
  <c r="X15" i="2"/>
  <c r="X24" i="2"/>
  <c r="Z13" i="2" l="1"/>
  <c r="Z23" i="2"/>
  <c r="AC6" i="2"/>
  <c r="AC7" i="2" s="1"/>
  <c r="AC20" i="2"/>
  <c r="AD21" i="2"/>
  <c r="AD19" i="2"/>
  <c r="X25" i="2"/>
  <c r="X17" i="2"/>
  <c r="Y25" i="2"/>
  <c r="Y17" i="2"/>
  <c r="AA13" i="2"/>
  <c r="AA14" i="2" s="1"/>
  <c r="AA24" i="2" s="1"/>
  <c r="AA23" i="2"/>
  <c r="AB9" i="2"/>
  <c r="AB10" i="2" s="1"/>
  <c r="AB22" i="2"/>
  <c r="Z14" i="2" l="1"/>
  <c r="Z24" i="2" s="1"/>
  <c r="AA15" i="2"/>
  <c r="AA25" i="2" s="1"/>
  <c r="AB13" i="2"/>
  <c r="AB14" i="2" s="1"/>
  <c r="AB24" i="2" s="1"/>
  <c r="AB23" i="2"/>
  <c r="AE21" i="2"/>
  <c r="AE6" i="2"/>
  <c r="AE7" i="2" s="1"/>
  <c r="AE9" i="2" s="1"/>
  <c r="AE10" i="2" s="1"/>
  <c r="AE19" i="2"/>
  <c r="AC22" i="2"/>
  <c r="AC9" i="2"/>
  <c r="AC10" i="2" s="1"/>
  <c r="AD20" i="2"/>
  <c r="AD6" i="2"/>
  <c r="AD7" i="2" s="1"/>
  <c r="Z15" i="2" l="1"/>
  <c r="Z17" i="2"/>
  <c r="Z25" i="2"/>
  <c r="AE20" i="2"/>
  <c r="AA17" i="2"/>
  <c r="AB15" i="2"/>
  <c r="AB17" i="2" s="1"/>
  <c r="AE22" i="2"/>
  <c r="AC23" i="2"/>
  <c r="AC13" i="2"/>
  <c r="AF21" i="2"/>
  <c r="AF19" i="2"/>
  <c r="AD22" i="2"/>
  <c r="AD9" i="2"/>
  <c r="AD10" i="2" s="1"/>
  <c r="AE13" i="2"/>
  <c r="AE23" i="2"/>
  <c r="AF6" i="2" l="1"/>
  <c r="AF7" i="2" s="1"/>
  <c r="AF9" i="2" s="1"/>
  <c r="AF10" i="2" s="1"/>
  <c r="AB25" i="2"/>
  <c r="AG21" i="2"/>
  <c r="AG19" i="2"/>
  <c r="AD13" i="2"/>
  <c r="AD23" i="2"/>
  <c r="AC14" i="2"/>
  <c r="AC24" i="2" s="1"/>
  <c r="AF20" i="2"/>
  <c r="AE14" i="2"/>
  <c r="AE24" i="2" s="1"/>
  <c r="AG6" i="2" l="1"/>
  <c r="AG7" i="2" s="1"/>
  <c r="AG22" i="2" s="1"/>
  <c r="AG20" i="2"/>
  <c r="AF22" i="2"/>
  <c r="AC15" i="2"/>
  <c r="AC17" i="2" s="1"/>
  <c r="AH21" i="2"/>
  <c r="AH19" i="2"/>
  <c r="AH20" i="2"/>
  <c r="AD14" i="2"/>
  <c r="AD24" i="2" s="1"/>
  <c r="AF13" i="2"/>
  <c r="AF14" i="2" s="1"/>
  <c r="AF24" i="2" s="1"/>
  <c r="AF23" i="2"/>
  <c r="AE15" i="2"/>
  <c r="AE25" i="2" s="1"/>
  <c r="AG9" i="2" l="1"/>
  <c r="AG10" i="2" s="1"/>
  <c r="AG13" i="2" s="1"/>
  <c r="AG14" i="2" s="1"/>
  <c r="AG24" i="2" s="1"/>
  <c r="AH6" i="2"/>
  <c r="AH7" i="2" s="1"/>
  <c r="AC25" i="2"/>
  <c r="AF15" i="2"/>
  <c r="AF17" i="2" s="1"/>
  <c r="AD15" i="2"/>
  <c r="AE17" i="2"/>
  <c r="AG23" i="2" l="1"/>
  <c r="AH22" i="2"/>
  <c r="AH9" i="2"/>
  <c r="AH10" i="2" s="1"/>
  <c r="AF25" i="2"/>
  <c r="AG15" i="2"/>
  <c r="AG25" i="2" s="1"/>
  <c r="AD17" i="2"/>
  <c r="AD25" i="2"/>
  <c r="AH23" i="2" l="1"/>
  <c r="AH13" i="2"/>
  <c r="AH14" i="2" s="1"/>
  <c r="AH24" i="2" s="1"/>
  <c r="AG17" i="2"/>
  <c r="AH15" i="2"/>
  <c r="AH17" i="2" l="1"/>
  <c r="AI15" i="2"/>
  <c r="AJ15" i="2" s="1"/>
  <c r="AK15" i="2" s="1"/>
  <c r="AL15" i="2" s="1"/>
  <c r="AM15" i="2" s="1"/>
  <c r="AN15" i="2" s="1"/>
  <c r="AO15" i="2" s="1"/>
  <c r="AP15" i="2" s="1"/>
  <c r="AQ15" i="2" s="1"/>
  <c r="AR15" i="2" s="1"/>
  <c r="AS15" i="2" s="1"/>
  <c r="AT15" i="2" s="1"/>
  <c r="AU15" i="2" s="1"/>
  <c r="AV15" i="2" s="1"/>
  <c r="AW15" i="2" s="1"/>
  <c r="AX15" i="2" s="1"/>
  <c r="AY15" i="2" s="1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N15" i="2" s="1"/>
  <c r="BO15" i="2" s="1"/>
  <c r="BP15" i="2" s="1"/>
  <c r="BQ15" i="2" s="1"/>
  <c r="BR15" i="2" s="1"/>
  <c r="BS15" i="2" s="1"/>
  <c r="BT15" i="2" s="1"/>
  <c r="BU15" i="2" s="1"/>
  <c r="BV15" i="2" s="1"/>
  <c r="BW15" i="2" s="1"/>
  <c r="BX15" i="2" s="1"/>
  <c r="BY15" i="2" s="1"/>
  <c r="BZ15" i="2" s="1"/>
  <c r="CA15" i="2" s="1"/>
  <c r="CB15" i="2" s="1"/>
  <c r="CC15" i="2" s="1"/>
  <c r="CD15" i="2" s="1"/>
  <c r="CE15" i="2" s="1"/>
  <c r="CF15" i="2" s="1"/>
  <c r="CG15" i="2" s="1"/>
  <c r="CH15" i="2" s="1"/>
  <c r="CI15" i="2" s="1"/>
  <c r="CJ15" i="2" s="1"/>
  <c r="CK15" i="2" s="1"/>
  <c r="CL15" i="2" s="1"/>
  <c r="CM15" i="2" s="1"/>
  <c r="CN15" i="2" s="1"/>
  <c r="CO15" i="2" s="1"/>
  <c r="CP15" i="2" s="1"/>
  <c r="CQ15" i="2" s="1"/>
  <c r="CR15" i="2" s="1"/>
  <c r="CS15" i="2" s="1"/>
  <c r="CT15" i="2" s="1"/>
  <c r="CU15" i="2" s="1"/>
  <c r="CV15" i="2" s="1"/>
  <c r="CW15" i="2" s="1"/>
  <c r="CX15" i="2" s="1"/>
  <c r="CY15" i="2" s="1"/>
  <c r="CZ15" i="2" s="1"/>
  <c r="DA15" i="2" s="1"/>
  <c r="DB15" i="2" s="1"/>
  <c r="DC15" i="2" s="1"/>
  <c r="DD15" i="2" s="1"/>
  <c r="DE15" i="2" s="1"/>
  <c r="DF15" i="2" s="1"/>
  <c r="DG15" i="2" s="1"/>
  <c r="DH15" i="2" s="1"/>
  <c r="DI15" i="2" s="1"/>
  <c r="DJ15" i="2" s="1"/>
  <c r="DK15" i="2" s="1"/>
  <c r="DL15" i="2" s="1"/>
  <c r="DM15" i="2" s="1"/>
  <c r="DN15" i="2" s="1"/>
  <c r="DO15" i="2" s="1"/>
  <c r="DP15" i="2" s="1"/>
  <c r="DQ15" i="2" s="1"/>
  <c r="DR15" i="2" s="1"/>
  <c r="DS15" i="2" s="1"/>
  <c r="DT15" i="2" s="1"/>
  <c r="DU15" i="2" s="1"/>
  <c r="DV15" i="2" s="1"/>
  <c r="DW15" i="2" s="1"/>
  <c r="DX15" i="2" s="1"/>
  <c r="DY15" i="2" s="1"/>
  <c r="DZ15" i="2" s="1"/>
  <c r="EA15" i="2" s="1"/>
  <c r="EB15" i="2" s="1"/>
  <c r="EC15" i="2" s="1"/>
  <c r="ED15" i="2" s="1"/>
  <c r="EE15" i="2" s="1"/>
  <c r="EF15" i="2" s="1"/>
  <c r="EG15" i="2" s="1"/>
  <c r="EH15" i="2" s="1"/>
  <c r="EI15" i="2" s="1"/>
  <c r="EJ15" i="2" s="1"/>
  <c r="EK15" i="2" s="1"/>
  <c r="EL15" i="2" s="1"/>
  <c r="EM15" i="2" s="1"/>
  <c r="AK22" i="2" s="1"/>
  <c r="AK24" i="2" s="1"/>
  <c r="AK25" i="2" s="1"/>
  <c r="AK27" i="2" s="1"/>
  <c r="AH25" i="2"/>
</calcChain>
</file>

<file path=xl/sharedStrings.xml><?xml version="1.0" encoding="utf-8"?>
<sst xmlns="http://schemas.openxmlformats.org/spreadsheetml/2006/main" count="77" uniqueCount="70">
  <si>
    <t>CEG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</si>
  <si>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</si>
  <si>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</si>
  <si>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</si>
  <si>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</si>
  <si>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</si>
  <si>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</si>
  <si>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</si>
  <si>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</si>
  <si>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</si>
  <si>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</si>
  <si>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</si>
  <si>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Purchased power cost</t>
  </si>
  <si>
    <t>Maintenance cost</t>
  </si>
  <si>
    <t>D&amp;A</t>
  </si>
  <si>
    <t>Operating taxes</t>
  </si>
  <si>
    <t>Interest expense</t>
  </si>
  <si>
    <t>Other expense</t>
  </si>
  <si>
    <t>Pretax profit</t>
  </si>
  <si>
    <t>Taxes</t>
  </si>
  <si>
    <t>Net profit</t>
  </si>
  <si>
    <t>EPS</t>
  </si>
  <si>
    <t>Q123</t>
  </si>
  <si>
    <t>Q223</t>
  </si>
  <si>
    <t>Q323</t>
  </si>
  <si>
    <t>Q423</t>
  </si>
  <si>
    <t>Q124</t>
  </si>
  <si>
    <t>Q224</t>
  </si>
  <si>
    <t>Q324</t>
  </si>
  <si>
    <t>Q424</t>
  </si>
  <si>
    <t>Operating profit</t>
  </si>
  <si>
    <t>Gross profit</t>
  </si>
  <si>
    <t>Total cost of sales</t>
  </si>
  <si>
    <t>Revenue y/y</t>
  </si>
  <si>
    <t>Gross Margin</t>
  </si>
  <si>
    <t>Operating Margin</t>
  </si>
  <si>
    <t>Net Margin</t>
  </si>
  <si>
    <t>Q225</t>
  </si>
  <si>
    <t>Q125</t>
  </si>
  <si>
    <t>Q325</t>
  </si>
  <si>
    <t>Q425</t>
  </si>
  <si>
    <t>PPA Margin</t>
  </si>
  <si>
    <t>Maintenance Margin</t>
  </si>
  <si>
    <t>Maturity</t>
  </si>
  <si>
    <t>Discount rate</t>
  </si>
  <si>
    <t>NPV</t>
  </si>
  <si>
    <t>Value</t>
  </si>
  <si>
    <t>Net cash</t>
  </si>
  <si>
    <t>Per share</t>
  </si>
  <si>
    <t>Current price</t>
  </si>
  <si>
    <t>Variance</t>
  </si>
  <si>
    <t>Consensus</t>
  </si>
  <si>
    <t>Overvalued</t>
  </si>
  <si>
    <t>Restricted cash</t>
  </si>
  <si>
    <t>A/R</t>
  </si>
  <si>
    <t>Derivatives</t>
  </si>
  <si>
    <t>Inventories</t>
  </si>
  <si>
    <t>Credits</t>
  </si>
  <si>
    <t>OCA</t>
  </si>
  <si>
    <t>Current assets</t>
  </si>
  <si>
    <t>PP&amp;E</t>
  </si>
  <si>
    <t>Investments</t>
  </si>
  <si>
    <t>Goodwill</t>
  </si>
  <si>
    <t>ONCA</t>
  </si>
  <si>
    <t>Non-current assets</t>
  </si>
  <si>
    <t>Total assets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</si>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</sst>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15240</xdr:colOff>
      <xdr:row>0</xdr:row>
      <xdr:rowOff>7620</xdr:rowOff>
    </xdr:from>
    <xdr:to>
      <xdr:col>23</xdr:col>
      <xdr:colOff>15240</xdr:colOff>
      <xdr:row>35</xdr:row>
      <xdr:rowOff>45720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33D4322-3274-D79C-C184-51727DCB0288}"/>
            </a:ext>
          </a:extLst>
        </xdr:cNvPr>
        <xdr:cNvCxnSpPr/>
      </xdr:nvCxnSpPr>
      <xdr:spPr>
        <a:xfrm>
          <a:off x="12908280" y="7620"/>
          <a:ext cx="0" cy="60731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22860</xdr:colOff>
      <xdr:row>0</xdr:row>
      <xdr:rowOff>15240</xdr:rowOff>
    </xdr:from>
    <xdr:to>
      <xdr:col>14</xdr:col>
      <xdr:colOff>22860</xdr:colOff>
      <xdr:row>35</xdr:row>
      <xdr:rowOff>45720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A33F0183-3FE8-BA84-79D4-6F19517AC87E}"/>
            </a:ext>
          </a:extLst>
        </xdr:cNvPr>
        <xdr:cNvCxnSpPr/>
      </xdr:nvCxnSpPr>
      <xdr:spPr>
        <a:xfrm>
          <a:off x="9258300" y="15240"/>
          <a:ext cx="0" cy="64312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70581-6FBD-4939-B80C-3CABCD009FA4}">
  <dimension ref="B2:G9"/>
  <sheetViews>
    <sheetView workbookViewId="0">
      <selection activeCell="E7" sqref="E7"/>
    </sheetView>
  </sheetViews>
  <sheetFormatPr defaultRowHeight="14.4" x14ac:dyDescent="0.3"/>
  <cols>
    <col min="5" max="7" width="14.21875" style="3" customWidth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1" t="s">
        <v>0</v>
      </c>
      <c r="C3" t="s">
        <v>1</v>
      </c>
      <c r="D3" s="6">
        <v>312.64</v>
      </c>
      <c r="E3" s="4">
        <v>46078</v>
      </c>
      <c r="F3" s="4">
        <f ca="1">TODAY()</f>
        <v>46078</v>
      </c>
      <c r="G3" s="4">
        <v>46149</v>
      </c>
    </row>
    <row r="4" spans="2:7" x14ac:dyDescent="0.3">
      <c r="C4" t="s">
        <v>2</v>
      </c>
      <c r="D4" s="5">
        <f>312.3</f>
        <v>312.3</v>
      </c>
      <c r="E4" s="3" t="s">
        <v>39</v>
      </c>
    </row>
    <row r="5" spans="2:7" x14ac:dyDescent="0.3">
      <c r="C5" t="s">
        <v>3</v>
      </c>
      <c r="D5" s="5">
        <f>D3*D4</f>
        <v>97637.471999999994</v>
      </c>
    </row>
    <row r="6" spans="2:7" x14ac:dyDescent="0.3">
      <c r="C6" t="s">
        <v>4</v>
      </c>
      <c r="D6" s="5">
        <f>3641+107</f>
        <v>3748</v>
      </c>
      <c r="E6" s="3" t="s">
        <v>40</v>
      </c>
    </row>
    <row r="7" spans="2:7" x14ac:dyDescent="0.3">
      <c r="C7" t="s">
        <v>5</v>
      </c>
      <c r="D7" s="5">
        <f>1650+92+7250</f>
        <v>8992</v>
      </c>
      <c r="E7" s="3" t="s">
        <v>40</v>
      </c>
    </row>
    <row r="8" spans="2:7" x14ac:dyDescent="0.3">
      <c r="C8" t="s">
        <v>6</v>
      </c>
      <c r="D8" s="5">
        <f>D6-D7</f>
        <v>-5244</v>
      </c>
    </row>
    <row r="9" spans="2:7" x14ac:dyDescent="0.3">
      <c r="C9" t="s">
        <v>7</v>
      </c>
      <c r="D9" s="5">
        <f>D5-D8</f>
        <v>102881.47199999999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841C5-2D92-4E0E-A023-57C39442136D}">
  <dimension ref="B2:EM42"/>
  <sheetViews>
    <sheetView tabSelected="1" workbookViewId="0">
      <pane xSplit="2" ySplit="2" topLeftCell="U3" activePane="bottomRight" state="frozen"/>
      <selection pane="topRight" activeCell="C1" sqref="C1"/>
      <selection pane="bottomLeft" activeCell="A3" sqref="A3"/>
      <selection pane="bottomRight" activeCell="AH5" sqref="AH5"/>
    </sheetView>
  </sheetViews>
  <sheetFormatPr defaultRowHeight="14.4" x14ac:dyDescent="0.3"/>
  <cols>
    <col min="2" max="2" width="19.109375" bestFit="1" customWidth="1"/>
    <col min="36" max="37" width="12" bestFit="1" customWidth="1"/>
  </cols>
  <sheetData>
    <row r="2" spans="2:143" x14ac:dyDescent="0.3"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29</v>
      </c>
      <c r="K2" s="2" t="s">
        <v>38</v>
      </c>
      <c r="L2" s="2" t="s">
        <v>37</v>
      </c>
      <c r="M2" s="2" t="s">
        <v>39</v>
      </c>
      <c r="N2" s="2" t="s">
        <v>40</v>
      </c>
      <c r="O2" s="2" t="s">
        <v>66</v>
      </c>
      <c r="P2" s="2" t="s">
        <v>67</v>
      </c>
      <c r="Q2" s="2" t="s">
        <v>68</v>
      </c>
      <c r="R2" s="2" t="s">
        <v>69</v>
      </c>
      <c r="T2">
        <v>2021</v>
      </c>
      <c r="U2">
        <v>2022</v>
      </c>
      <c r="V2">
        <v>2023</v>
      </c>
      <c r="W2">
        <v>2024</v>
      </c>
      <c r="X2">
        <v>2025</v>
      </c>
      <c r="Y2">
        <v>2026</v>
      </c>
      <c r="Z2">
        <v>2027</v>
      </c>
      <c r="AA2">
        <v>2028</v>
      </c>
      <c r="AB2">
        <v>2029</v>
      </c>
      <c r="AC2">
        <v>2030</v>
      </c>
      <c r="AD2">
        <v>2031</v>
      </c>
      <c r="AE2">
        <v>2032</v>
      </c>
      <c r="AF2">
        <v>2033</v>
      </c>
      <c r="AG2">
        <v>2034</v>
      </c>
      <c r="AH2">
        <v>2035</v>
      </c>
    </row>
    <row r="3" spans="2:143" s="1" customFormat="1" x14ac:dyDescent="0.3">
      <c r="B3" s="1" t="s">
        <v>11</v>
      </c>
      <c r="C3" s="8">
        <v>7565</v>
      </c>
      <c r="D3" s="8">
        <v>5446</v>
      </c>
      <c r="E3" s="8">
        <v>6111</v>
      </c>
      <c r="F3" s="8">
        <f>V3-E3-D3-C3</f>
        <v>5796</v>
      </c>
      <c r="G3" s="8">
        <v>6161</v>
      </c>
      <c r="H3" s="8">
        <v>5475</v>
      </c>
      <c r="I3" s="8">
        <v>6550</v>
      </c>
      <c r="J3" s="8">
        <f>W3-I3-H3-G3</f>
        <v>5382</v>
      </c>
      <c r="K3" s="8">
        <v>6788</v>
      </c>
      <c r="L3" s="8">
        <v>6101</v>
      </c>
      <c r="M3" s="8">
        <v>6570</v>
      </c>
      <c r="N3" s="8">
        <v>6074</v>
      </c>
      <c r="O3" s="8"/>
      <c r="P3" s="8"/>
      <c r="Q3" s="8"/>
      <c r="T3" s="8">
        <v>19649</v>
      </c>
      <c r="U3" s="8">
        <f>24280+160</f>
        <v>24440</v>
      </c>
      <c r="V3" s="8">
        <v>24918</v>
      </c>
      <c r="W3" s="8">
        <v>23568</v>
      </c>
      <c r="X3" s="8">
        <f>SUM(K3:N3)</f>
        <v>25533</v>
      </c>
      <c r="Y3" s="8">
        <f>X3*1.1</f>
        <v>28086.300000000003</v>
      </c>
      <c r="Z3" s="8">
        <f>Y3*1.08</f>
        <v>30333.204000000005</v>
      </c>
      <c r="AA3" s="8">
        <f>Z3*1.06</f>
        <v>32153.196240000008</v>
      </c>
      <c r="AB3" s="8">
        <f>AA3*1.05</f>
        <v>33760.85605200001</v>
      </c>
      <c r="AC3" s="8">
        <f>AB3*1.04</f>
        <v>35111.290294080012</v>
      </c>
      <c r="AD3" s="8">
        <f t="shared" ref="AD3:AH3" si="0">AC3*1.03</f>
        <v>36164.629002902417</v>
      </c>
      <c r="AE3" s="8">
        <f t="shared" si="0"/>
        <v>37249.567872989493</v>
      </c>
      <c r="AF3" s="8">
        <f t="shared" si="0"/>
        <v>38367.054909179176</v>
      </c>
      <c r="AG3" s="8">
        <f t="shared" si="0"/>
        <v>39518.066556454556</v>
      </c>
      <c r="AH3" s="8">
        <f t="shared" si="0"/>
        <v>40703.608553148195</v>
      </c>
    </row>
    <row r="4" spans="2:143" x14ac:dyDescent="0.3">
      <c r="B4" t="s">
        <v>12</v>
      </c>
      <c r="C4" s="5">
        <v>5729</v>
      </c>
      <c r="D4" s="5">
        <v>2887</v>
      </c>
      <c r="E4" s="5">
        <v>3367</v>
      </c>
      <c r="F4" s="5">
        <f>V4-E4-D4-C4</f>
        <v>4018</v>
      </c>
      <c r="G4" s="5">
        <v>3417</v>
      </c>
      <c r="H4" s="5">
        <v>2292</v>
      </c>
      <c r="I4" s="5">
        <v>3119</v>
      </c>
      <c r="J4" s="5">
        <f>W4-I4-H4-G4</f>
        <v>2591</v>
      </c>
      <c r="K4" s="5">
        <v>4384</v>
      </c>
      <c r="L4" s="5">
        <v>3132</v>
      </c>
      <c r="M4" s="5">
        <v>3567</v>
      </c>
      <c r="N4" s="5">
        <v>3598</v>
      </c>
      <c r="O4" s="5"/>
      <c r="P4" s="5"/>
      <c r="Q4" s="5"/>
      <c r="T4" s="5">
        <f>12157+6</f>
        <v>12163</v>
      </c>
      <c r="U4" s="5">
        <f>17457+5</f>
        <v>17462</v>
      </c>
      <c r="V4" s="5">
        <v>16001</v>
      </c>
      <c r="W4" s="5">
        <v>11419</v>
      </c>
      <c r="X4" s="5">
        <f>SUM(K4:N4)</f>
        <v>14681</v>
      </c>
      <c r="Y4" s="5">
        <f>Y3*0.57</f>
        <v>16009.191000000001</v>
      </c>
      <c r="Z4" s="5">
        <f t="shared" ref="Z4:AH4" si="1">Z3*0.57</f>
        <v>17289.92628</v>
      </c>
      <c r="AA4" s="5">
        <f t="shared" si="1"/>
        <v>18327.321856800005</v>
      </c>
      <c r="AB4" s="5">
        <f t="shared" si="1"/>
        <v>19243.687949640003</v>
      </c>
      <c r="AC4" s="5">
        <f t="shared" si="1"/>
        <v>20013.435467625604</v>
      </c>
      <c r="AD4" s="5">
        <f t="shared" si="1"/>
        <v>20613.838531654375</v>
      </c>
      <c r="AE4" s="5">
        <f t="shared" si="1"/>
        <v>21232.25368760401</v>
      </c>
      <c r="AF4" s="5">
        <f t="shared" si="1"/>
        <v>21869.221298232129</v>
      </c>
      <c r="AG4" s="5">
        <f t="shared" si="1"/>
        <v>22525.297937179093</v>
      </c>
      <c r="AH4" s="5">
        <f t="shared" si="1"/>
        <v>23201.056875294467</v>
      </c>
    </row>
    <row r="5" spans="2:143" x14ac:dyDescent="0.3">
      <c r="B5" t="s">
        <v>13</v>
      </c>
      <c r="C5" s="5">
        <v>1432</v>
      </c>
      <c r="D5" s="5">
        <v>1477</v>
      </c>
      <c r="E5" s="5">
        <v>1353</v>
      </c>
      <c r="F5" s="5">
        <f>V5-E5-D5-C5</f>
        <v>1423</v>
      </c>
      <c r="G5" s="5">
        <v>1486</v>
      </c>
      <c r="H5" s="5">
        <v>1645</v>
      </c>
      <c r="I5" s="5">
        <v>1535</v>
      </c>
      <c r="J5" s="5">
        <f>W5-I5-H5-G5</f>
        <v>1493</v>
      </c>
      <c r="K5" s="5">
        <v>1545</v>
      </c>
      <c r="L5" s="5">
        <v>1617</v>
      </c>
      <c r="M5" s="5">
        <v>1511</v>
      </c>
      <c r="N5" s="5">
        <v>1486</v>
      </c>
      <c r="O5" s="5"/>
      <c r="P5" s="5"/>
      <c r="Q5" s="5"/>
      <c r="T5" s="5">
        <f>3934+621</f>
        <v>4555</v>
      </c>
      <c r="U5" s="5">
        <f>4797+44</f>
        <v>4841</v>
      </c>
      <c r="V5" s="5">
        <v>5685</v>
      </c>
      <c r="W5" s="5">
        <v>6159</v>
      </c>
      <c r="X5" s="5">
        <f>SUM(K5:N5)</f>
        <v>6159</v>
      </c>
      <c r="Y5" s="5">
        <f>Y3*0.24</f>
        <v>6740.7120000000004</v>
      </c>
      <c r="Z5" s="5">
        <f t="shared" ref="Z5:AH5" si="2">Z3*0.24</f>
        <v>7279.9689600000011</v>
      </c>
      <c r="AA5" s="5">
        <f t="shared" si="2"/>
        <v>7716.7670976000018</v>
      </c>
      <c r="AB5" s="5">
        <f t="shared" si="2"/>
        <v>8102.605452480002</v>
      </c>
      <c r="AC5" s="5">
        <f t="shared" si="2"/>
        <v>8426.7096705792028</v>
      </c>
      <c r="AD5" s="5">
        <f t="shared" si="2"/>
        <v>8679.5109606965798</v>
      </c>
      <c r="AE5" s="5">
        <f t="shared" si="2"/>
        <v>8939.8962895174773</v>
      </c>
      <c r="AF5" s="5">
        <f t="shared" si="2"/>
        <v>9208.093178203002</v>
      </c>
      <c r="AG5" s="5">
        <f t="shared" si="2"/>
        <v>9484.335973549094</v>
      </c>
      <c r="AH5" s="5">
        <f t="shared" si="2"/>
        <v>9768.8660527555658</v>
      </c>
    </row>
    <row r="6" spans="2:143" x14ac:dyDescent="0.3">
      <c r="B6" t="s">
        <v>32</v>
      </c>
      <c r="C6" s="5">
        <f t="shared" ref="C6:L6" si="3">C4+C5</f>
        <v>7161</v>
      </c>
      <c r="D6" s="5">
        <f t="shared" si="3"/>
        <v>4364</v>
      </c>
      <c r="E6" s="5">
        <f t="shared" si="3"/>
        <v>4720</v>
      </c>
      <c r="F6" s="5">
        <f t="shared" si="3"/>
        <v>5441</v>
      </c>
      <c r="G6" s="5">
        <f t="shared" si="3"/>
        <v>4903</v>
      </c>
      <c r="H6" s="5">
        <f t="shared" si="3"/>
        <v>3937</v>
      </c>
      <c r="I6" s="5">
        <f t="shared" si="3"/>
        <v>4654</v>
      </c>
      <c r="J6" s="5">
        <f t="shared" si="3"/>
        <v>4084</v>
      </c>
      <c r="K6" s="5">
        <f t="shared" si="3"/>
        <v>5929</v>
      </c>
      <c r="L6" s="5">
        <f t="shared" si="3"/>
        <v>4749</v>
      </c>
      <c r="M6" s="5">
        <f t="shared" ref="M6:N6" si="4">M4+M5</f>
        <v>5078</v>
      </c>
      <c r="N6" s="5">
        <f t="shared" si="4"/>
        <v>5084</v>
      </c>
      <c r="O6" s="5"/>
      <c r="P6" s="5"/>
      <c r="Q6" s="5"/>
      <c r="T6" s="5">
        <f t="shared" ref="T6:Y6" si="5">T4+T5</f>
        <v>16718</v>
      </c>
      <c r="U6" s="5">
        <f t="shared" si="5"/>
        <v>22303</v>
      </c>
      <c r="V6" s="5">
        <f t="shared" si="5"/>
        <v>21686</v>
      </c>
      <c r="W6" s="5">
        <f t="shared" si="5"/>
        <v>17578</v>
      </c>
      <c r="X6" s="5">
        <f t="shared" si="5"/>
        <v>20840</v>
      </c>
      <c r="Y6" s="5">
        <f t="shared" si="5"/>
        <v>22749.903000000002</v>
      </c>
      <c r="Z6" s="5">
        <f t="shared" ref="Z6:AH6" si="6">Z4+Z5</f>
        <v>24569.895240000002</v>
      </c>
      <c r="AA6" s="5">
        <f t="shared" si="6"/>
        <v>26044.088954400006</v>
      </c>
      <c r="AB6" s="5">
        <f t="shared" si="6"/>
        <v>27346.293402120005</v>
      </c>
      <c r="AC6" s="5">
        <f t="shared" si="6"/>
        <v>28440.145138204807</v>
      </c>
      <c r="AD6" s="5">
        <f t="shared" si="6"/>
        <v>29293.349492350957</v>
      </c>
      <c r="AE6" s="5">
        <f t="shared" si="6"/>
        <v>30172.149977121488</v>
      </c>
      <c r="AF6" s="5">
        <f t="shared" si="6"/>
        <v>31077.314476435131</v>
      </c>
      <c r="AG6" s="5">
        <f t="shared" si="6"/>
        <v>32009.633910728189</v>
      </c>
      <c r="AH6" s="5">
        <f t="shared" si="6"/>
        <v>32969.922928050029</v>
      </c>
    </row>
    <row r="7" spans="2:143" s="1" customFormat="1" x14ac:dyDescent="0.3">
      <c r="B7" s="1" t="s">
        <v>31</v>
      </c>
      <c r="C7" s="8">
        <f t="shared" ref="C7:L7" si="7">C3-C6</f>
        <v>404</v>
      </c>
      <c r="D7" s="8">
        <f t="shared" si="7"/>
        <v>1082</v>
      </c>
      <c r="E7" s="8">
        <f t="shared" si="7"/>
        <v>1391</v>
      </c>
      <c r="F7" s="8">
        <f t="shared" si="7"/>
        <v>355</v>
      </c>
      <c r="G7" s="8">
        <f t="shared" si="7"/>
        <v>1258</v>
      </c>
      <c r="H7" s="8">
        <f t="shared" si="7"/>
        <v>1538</v>
      </c>
      <c r="I7" s="8">
        <f t="shared" si="7"/>
        <v>1896</v>
      </c>
      <c r="J7" s="8">
        <f t="shared" si="7"/>
        <v>1298</v>
      </c>
      <c r="K7" s="8">
        <f t="shared" si="7"/>
        <v>859</v>
      </c>
      <c r="L7" s="8">
        <f t="shared" si="7"/>
        <v>1352</v>
      </c>
      <c r="M7" s="8">
        <f t="shared" ref="M7:N7" si="8">M3-M6</f>
        <v>1492</v>
      </c>
      <c r="N7" s="8">
        <f t="shared" si="8"/>
        <v>990</v>
      </c>
      <c r="O7" s="8"/>
      <c r="P7" s="8"/>
      <c r="Q7" s="8"/>
      <c r="T7" s="8">
        <f t="shared" ref="T7:Y7" si="9">T3-T6</f>
        <v>2931</v>
      </c>
      <c r="U7" s="8">
        <f t="shared" si="9"/>
        <v>2137</v>
      </c>
      <c r="V7" s="8">
        <f t="shared" si="9"/>
        <v>3232</v>
      </c>
      <c r="W7" s="8">
        <f t="shared" si="9"/>
        <v>5990</v>
      </c>
      <c r="X7" s="8">
        <f t="shared" si="9"/>
        <v>4693</v>
      </c>
      <c r="Y7" s="8">
        <f t="shared" si="9"/>
        <v>5336.3970000000008</v>
      </c>
      <c r="Z7" s="8">
        <f t="shared" ref="Z7:AH7" si="10">Z3-Z6</f>
        <v>5763.3087600000035</v>
      </c>
      <c r="AA7" s="8">
        <f t="shared" si="10"/>
        <v>6109.1072856000028</v>
      </c>
      <c r="AB7" s="8">
        <f t="shared" si="10"/>
        <v>6414.5626498800048</v>
      </c>
      <c r="AC7" s="8">
        <f t="shared" si="10"/>
        <v>6671.1451558752051</v>
      </c>
      <c r="AD7" s="8">
        <f t="shared" si="10"/>
        <v>6871.2795105514597</v>
      </c>
      <c r="AE7" s="8">
        <f t="shared" si="10"/>
        <v>7077.4178958680059</v>
      </c>
      <c r="AF7" s="8">
        <f t="shared" si="10"/>
        <v>7289.7404327440454</v>
      </c>
      <c r="AG7" s="8">
        <f t="shared" si="10"/>
        <v>7508.4326457263669</v>
      </c>
      <c r="AH7" s="8">
        <f t="shared" si="10"/>
        <v>7733.6856250981655</v>
      </c>
    </row>
    <row r="8" spans="2:143" x14ac:dyDescent="0.3">
      <c r="B8" t="s">
        <v>14</v>
      </c>
      <c r="C8" s="5">
        <v>267</v>
      </c>
      <c r="D8" s="5">
        <v>274</v>
      </c>
      <c r="E8" s="5">
        <v>266</v>
      </c>
      <c r="F8" s="5">
        <f t="shared" ref="F8:F9" si="11">V8-E8-D8-C8</f>
        <v>289</v>
      </c>
      <c r="G8" s="5">
        <v>306</v>
      </c>
      <c r="H8" s="5">
        <v>296</v>
      </c>
      <c r="I8" s="5">
        <v>266</v>
      </c>
      <c r="J8" s="5">
        <f>W8-I8-H8-G8</f>
        <v>255</v>
      </c>
      <c r="K8" s="5">
        <v>248</v>
      </c>
      <c r="L8" s="5">
        <v>254</v>
      </c>
      <c r="M8" s="5">
        <v>241</v>
      </c>
      <c r="N8" s="5">
        <v>242</v>
      </c>
      <c r="O8" s="5"/>
      <c r="P8" s="5"/>
      <c r="Q8" s="5"/>
      <c r="T8" s="5">
        <v>3003</v>
      </c>
      <c r="U8" s="5">
        <v>1091</v>
      </c>
      <c r="V8" s="5">
        <v>1096</v>
      </c>
      <c r="W8" s="5">
        <v>1123</v>
      </c>
      <c r="X8" s="5">
        <f t="shared" ref="X8:X9" si="12">SUM(K8:N8)</f>
        <v>985</v>
      </c>
      <c r="Y8" s="5">
        <v>0</v>
      </c>
      <c r="Z8" s="5">
        <v>0</v>
      </c>
      <c r="AA8" s="5">
        <v>0</v>
      </c>
      <c r="AB8" s="5">
        <v>0</v>
      </c>
      <c r="AC8" s="5">
        <v>0</v>
      </c>
      <c r="AD8" s="5">
        <v>0</v>
      </c>
      <c r="AE8" s="5">
        <v>0</v>
      </c>
      <c r="AF8" s="5">
        <v>0</v>
      </c>
      <c r="AG8" s="5">
        <v>0</v>
      </c>
      <c r="AH8" s="5">
        <v>0</v>
      </c>
    </row>
    <row r="9" spans="2:143" x14ac:dyDescent="0.3">
      <c r="B9" t="s">
        <v>15</v>
      </c>
      <c r="C9" s="5">
        <v>132</v>
      </c>
      <c r="D9" s="5">
        <v>139</v>
      </c>
      <c r="E9" s="5">
        <v>148</v>
      </c>
      <c r="F9" s="5">
        <f t="shared" si="11"/>
        <v>134</v>
      </c>
      <c r="G9" s="5">
        <v>139</v>
      </c>
      <c r="H9" s="5">
        <v>142</v>
      </c>
      <c r="I9" s="5">
        <v>165</v>
      </c>
      <c r="J9" s="5">
        <f>W9-I9-H9-G9</f>
        <v>140</v>
      </c>
      <c r="K9" s="5">
        <v>160</v>
      </c>
      <c r="L9" s="5">
        <v>147</v>
      </c>
      <c r="M9" s="5">
        <v>165</v>
      </c>
      <c r="N9" s="5">
        <v>150</v>
      </c>
      <c r="O9" s="5"/>
      <c r="P9" s="5"/>
      <c r="Q9" s="5"/>
      <c r="T9" s="5">
        <v>475</v>
      </c>
      <c r="U9" s="5">
        <v>552</v>
      </c>
      <c r="V9" s="5">
        <v>553</v>
      </c>
      <c r="W9" s="5">
        <v>586</v>
      </c>
      <c r="X9" s="5">
        <f t="shared" si="12"/>
        <v>622</v>
      </c>
      <c r="Y9" s="5">
        <f>Y7*0.12</f>
        <v>640.36764000000005</v>
      </c>
      <c r="Z9" s="5">
        <f t="shared" ref="Z9:AH9" si="13">Z7*0.12</f>
        <v>691.59705120000035</v>
      </c>
      <c r="AA9" s="5">
        <f t="shared" si="13"/>
        <v>733.09287427200036</v>
      </c>
      <c r="AB9" s="5">
        <f t="shared" si="13"/>
        <v>769.74751798560055</v>
      </c>
      <c r="AC9" s="5">
        <f t="shared" si="13"/>
        <v>800.53741870502461</v>
      </c>
      <c r="AD9" s="5">
        <f t="shared" si="13"/>
        <v>824.5535412661751</v>
      </c>
      <c r="AE9" s="5">
        <f t="shared" si="13"/>
        <v>849.2901475041607</v>
      </c>
      <c r="AF9" s="5">
        <f t="shared" si="13"/>
        <v>874.76885192928546</v>
      </c>
      <c r="AG9" s="5">
        <f t="shared" si="13"/>
        <v>901.01191748716394</v>
      </c>
      <c r="AH9" s="5">
        <f t="shared" si="13"/>
        <v>928.04227501177979</v>
      </c>
    </row>
    <row r="10" spans="2:143" s="1" customFormat="1" x14ac:dyDescent="0.3">
      <c r="B10" s="1" t="s">
        <v>30</v>
      </c>
      <c r="C10" s="8">
        <f t="shared" ref="C10:L10" si="14">C7-C8-C9</f>
        <v>5</v>
      </c>
      <c r="D10" s="8">
        <f t="shared" si="14"/>
        <v>669</v>
      </c>
      <c r="E10" s="8">
        <f t="shared" si="14"/>
        <v>977</v>
      </c>
      <c r="F10" s="8">
        <f t="shared" si="14"/>
        <v>-68</v>
      </c>
      <c r="G10" s="8">
        <f t="shared" si="14"/>
        <v>813</v>
      </c>
      <c r="H10" s="8">
        <f t="shared" si="14"/>
        <v>1100</v>
      </c>
      <c r="I10" s="8">
        <f t="shared" si="14"/>
        <v>1465</v>
      </c>
      <c r="J10" s="8">
        <f t="shared" si="14"/>
        <v>903</v>
      </c>
      <c r="K10" s="8">
        <f t="shared" si="14"/>
        <v>451</v>
      </c>
      <c r="L10" s="8">
        <f t="shared" si="14"/>
        <v>951</v>
      </c>
      <c r="M10" s="8">
        <f t="shared" ref="M10:N10" si="15">M7-M8-M9</f>
        <v>1086</v>
      </c>
      <c r="N10" s="8">
        <f t="shared" si="15"/>
        <v>598</v>
      </c>
      <c r="O10" s="8"/>
      <c r="P10" s="8"/>
      <c r="Q10" s="8"/>
      <c r="T10" s="8">
        <f t="shared" ref="T10:Y10" si="16">T7-T8-T9</f>
        <v>-547</v>
      </c>
      <c r="U10" s="8">
        <f t="shared" si="16"/>
        <v>494</v>
      </c>
      <c r="V10" s="8">
        <f t="shared" si="16"/>
        <v>1583</v>
      </c>
      <c r="W10" s="8">
        <f t="shared" si="16"/>
        <v>4281</v>
      </c>
      <c r="X10" s="8">
        <f t="shared" si="16"/>
        <v>3086</v>
      </c>
      <c r="Y10" s="8">
        <f t="shared" si="16"/>
        <v>4696.0293600000005</v>
      </c>
      <c r="Z10" s="8">
        <f t="shared" ref="Z10:AH10" si="17">Z7-Z8-Z9</f>
        <v>5071.7117088000032</v>
      </c>
      <c r="AA10" s="8">
        <f t="shared" si="17"/>
        <v>5376.0144113280021</v>
      </c>
      <c r="AB10" s="8">
        <f t="shared" si="17"/>
        <v>5644.8151318944037</v>
      </c>
      <c r="AC10" s="8">
        <f t="shared" si="17"/>
        <v>5870.6077371701804</v>
      </c>
      <c r="AD10" s="8">
        <f t="shared" si="17"/>
        <v>6046.7259692852849</v>
      </c>
      <c r="AE10" s="8">
        <f t="shared" si="17"/>
        <v>6228.1277483638451</v>
      </c>
      <c r="AF10" s="8">
        <f t="shared" si="17"/>
        <v>6414.9715808147603</v>
      </c>
      <c r="AG10" s="8">
        <f t="shared" si="17"/>
        <v>6607.4207282392026</v>
      </c>
      <c r="AH10" s="8">
        <f t="shared" si="17"/>
        <v>6805.6433500863859</v>
      </c>
    </row>
    <row r="11" spans="2:143" x14ac:dyDescent="0.3">
      <c r="B11" t="s">
        <v>16</v>
      </c>
      <c r="C11" s="5">
        <v>107</v>
      </c>
      <c r="D11" s="5">
        <v>103</v>
      </c>
      <c r="E11" s="5">
        <v>82</v>
      </c>
      <c r="F11" s="5">
        <f t="shared" ref="F11:F12" si="18">V11-E11-D11-C11</f>
        <v>139</v>
      </c>
      <c r="G11" s="5">
        <v>127</v>
      </c>
      <c r="H11" s="5">
        <v>142</v>
      </c>
      <c r="I11" s="5">
        <v>147</v>
      </c>
      <c r="J11" s="5">
        <f>W11-I11-H11-G11</f>
        <v>90</v>
      </c>
      <c r="K11" s="5">
        <v>146</v>
      </c>
      <c r="L11" s="5">
        <v>118</v>
      </c>
      <c r="M11" s="5">
        <v>134</v>
      </c>
      <c r="N11" s="5">
        <v>113</v>
      </c>
      <c r="O11" s="5"/>
      <c r="P11" s="5"/>
      <c r="Q11" s="5"/>
      <c r="T11" s="5">
        <f>282+15</f>
        <v>297</v>
      </c>
      <c r="U11" s="5">
        <v>251</v>
      </c>
      <c r="V11" s="5">
        <v>431</v>
      </c>
      <c r="W11" s="5">
        <v>506</v>
      </c>
      <c r="X11" s="5">
        <f t="shared" ref="X11:X12" si="19">SUM(K11:N11)</f>
        <v>511</v>
      </c>
      <c r="Y11" s="5">
        <f>X11*1.01</f>
        <v>516.11</v>
      </c>
      <c r="Z11" s="5">
        <f t="shared" ref="Z11:AH11" si="20">Y11*1.01</f>
        <v>521.27110000000005</v>
      </c>
      <c r="AA11" s="5">
        <f t="shared" si="20"/>
        <v>526.48381100000006</v>
      </c>
      <c r="AB11" s="5">
        <f t="shared" si="20"/>
        <v>531.74864911000009</v>
      </c>
      <c r="AC11" s="5">
        <f t="shared" si="20"/>
        <v>537.06613560110009</v>
      </c>
      <c r="AD11" s="5">
        <f t="shared" si="20"/>
        <v>542.43679695711114</v>
      </c>
      <c r="AE11" s="5">
        <f t="shared" si="20"/>
        <v>547.86116492668225</v>
      </c>
      <c r="AF11" s="5">
        <f t="shared" si="20"/>
        <v>553.33977657594903</v>
      </c>
      <c r="AG11" s="5">
        <f t="shared" si="20"/>
        <v>558.87317434170848</v>
      </c>
      <c r="AH11" s="5">
        <f t="shared" si="20"/>
        <v>564.46190608512552</v>
      </c>
    </row>
    <row r="12" spans="2:143" x14ac:dyDescent="0.3">
      <c r="B12" t="s">
        <v>17</v>
      </c>
      <c r="C12" s="5">
        <f>-314-26</f>
        <v>-340</v>
      </c>
      <c r="D12" s="5">
        <v>-605</v>
      </c>
      <c r="E12" s="5">
        <v>0</v>
      </c>
      <c r="F12" s="5">
        <f t="shared" si="18"/>
        <v>-350</v>
      </c>
      <c r="G12" s="5">
        <v>-362</v>
      </c>
      <c r="H12" s="5">
        <v>-6</v>
      </c>
      <c r="I12" s="5">
        <f>-325-2</f>
        <v>-327</v>
      </c>
      <c r="J12" s="5">
        <f>W12-I12-H12-G12</f>
        <v>-46</v>
      </c>
      <c r="K12" s="5">
        <v>154</v>
      </c>
      <c r="L12" s="5">
        <v>-440</v>
      </c>
      <c r="M12" s="5">
        <v>-443</v>
      </c>
      <c r="N12" s="5">
        <v>-207</v>
      </c>
      <c r="O12" s="5"/>
      <c r="P12" s="5"/>
      <c r="Q12" s="5"/>
      <c r="T12" s="5">
        <f>-795-201</f>
        <v>-996</v>
      </c>
      <c r="U12" s="5">
        <f>786-1</f>
        <v>785</v>
      </c>
      <c r="V12" s="5">
        <f>-1268-27</f>
        <v>-1295</v>
      </c>
      <c r="W12" s="5">
        <f>-670-71</f>
        <v>-741</v>
      </c>
      <c r="X12" s="5">
        <f t="shared" si="19"/>
        <v>-936</v>
      </c>
      <c r="Y12" s="5">
        <v>0</v>
      </c>
      <c r="Z12" s="5">
        <v>0</v>
      </c>
      <c r="AA12" s="5">
        <v>0</v>
      </c>
      <c r="AB12" s="5">
        <v>0</v>
      </c>
      <c r="AC12" s="5">
        <v>0</v>
      </c>
      <c r="AD12" s="5">
        <v>0</v>
      </c>
      <c r="AE12" s="5">
        <v>0</v>
      </c>
      <c r="AF12" s="5">
        <v>0</v>
      </c>
      <c r="AG12" s="5">
        <v>0</v>
      </c>
      <c r="AH12" s="5">
        <v>0</v>
      </c>
    </row>
    <row r="13" spans="2:143" s="1" customFormat="1" x14ac:dyDescent="0.3">
      <c r="B13" s="1" t="s">
        <v>18</v>
      </c>
      <c r="C13" s="8">
        <f t="shared" ref="C13:N13" si="21">C10-C11-C12</f>
        <v>238</v>
      </c>
      <c r="D13" s="8">
        <f t="shared" si="21"/>
        <v>1171</v>
      </c>
      <c r="E13" s="8">
        <f t="shared" si="21"/>
        <v>895</v>
      </c>
      <c r="F13" s="8">
        <f t="shared" si="21"/>
        <v>143</v>
      </c>
      <c r="G13" s="8">
        <f t="shared" si="21"/>
        <v>1048</v>
      </c>
      <c r="H13" s="8">
        <f t="shared" si="21"/>
        <v>964</v>
      </c>
      <c r="I13" s="8">
        <f t="shared" si="21"/>
        <v>1645</v>
      </c>
      <c r="J13" s="8">
        <f t="shared" si="21"/>
        <v>859</v>
      </c>
      <c r="K13" s="8">
        <f t="shared" si="21"/>
        <v>151</v>
      </c>
      <c r="L13" s="8">
        <f t="shared" si="21"/>
        <v>1273</v>
      </c>
      <c r="M13" s="8">
        <f t="shared" si="21"/>
        <v>1395</v>
      </c>
      <c r="N13" s="8">
        <f t="shared" si="21"/>
        <v>692</v>
      </c>
      <c r="O13" s="8"/>
      <c r="P13" s="8"/>
      <c r="Q13" s="8"/>
      <c r="T13" s="8">
        <f t="shared" ref="T13:Y13" si="22">T10-T11-T12</f>
        <v>152</v>
      </c>
      <c r="U13" s="8">
        <f t="shared" si="22"/>
        <v>-542</v>
      </c>
      <c r="V13" s="8">
        <f t="shared" si="22"/>
        <v>2447</v>
      </c>
      <c r="W13" s="8">
        <f t="shared" si="22"/>
        <v>4516</v>
      </c>
      <c r="X13" s="8">
        <f t="shared" si="22"/>
        <v>3511</v>
      </c>
      <c r="Y13" s="8">
        <f t="shared" si="22"/>
        <v>4179.9193600000008</v>
      </c>
      <c r="Z13" s="8">
        <f t="shared" ref="Z13:AH13" si="23">Z10-Z11-Z12</f>
        <v>4550.4406088000032</v>
      </c>
      <c r="AA13" s="8">
        <f t="shared" si="23"/>
        <v>4849.530600328002</v>
      </c>
      <c r="AB13" s="8">
        <f t="shared" si="23"/>
        <v>5113.0664827844039</v>
      </c>
      <c r="AC13" s="8">
        <f t="shared" si="23"/>
        <v>5333.5416015690807</v>
      </c>
      <c r="AD13" s="8">
        <f t="shared" si="23"/>
        <v>5504.2891723281737</v>
      </c>
      <c r="AE13" s="8">
        <f t="shared" si="23"/>
        <v>5680.2665834371628</v>
      </c>
      <c r="AF13" s="8">
        <f t="shared" si="23"/>
        <v>5861.6318042388111</v>
      </c>
      <c r="AG13" s="8">
        <f t="shared" si="23"/>
        <v>6048.5475538974943</v>
      </c>
      <c r="AH13" s="8">
        <f t="shared" si="23"/>
        <v>6241.1814440012604</v>
      </c>
    </row>
    <row r="14" spans="2:143" x14ac:dyDescent="0.3">
      <c r="B14" t="s">
        <v>19</v>
      </c>
      <c r="C14" s="5">
        <v>131</v>
      </c>
      <c r="D14" s="5">
        <v>342</v>
      </c>
      <c r="E14" s="5">
        <v>205</v>
      </c>
      <c r="F14" s="5">
        <f>V14-E14-D14-C14</f>
        <v>181</v>
      </c>
      <c r="G14" s="5">
        <v>165</v>
      </c>
      <c r="H14" s="5">
        <v>154</v>
      </c>
      <c r="I14" s="5">
        <v>449</v>
      </c>
      <c r="J14" s="5">
        <f>W14-I14-H14-G14</f>
        <v>6</v>
      </c>
      <c r="K14" s="5">
        <v>22</v>
      </c>
      <c r="L14" s="5">
        <v>440</v>
      </c>
      <c r="M14" s="5">
        <v>466</v>
      </c>
      <c r="N14" s="5">
        <v>259</v>
      </c>
      <c r="O14" s="5"/>
      <c r="P14" s="5"/>
      <c r="Q14" s="5"/>
      <c r="T14" s="5">
        <v>-225</v>
      </c>
      <c r="U14" s="5">
        <v>-388</v>
      </c>
      <c r="V14" s="5">
        <v>859</v>
      </c>
      <c r="W14" s="5">
        <v>774</v>
      </c>
      <c r="X14" s="5">
        <f>SUM(K14:N14)</f>
        <v>1187</v>
      </c>
      <c r="Y14" s="5">
        <f>Y13*0.17</f>
        <v>710.58629120000023</v>
      </c>
      <c r="Z14" s="5">
        <f t="shared" ref="Z14:AH14" si="24">Z13*0.17</f>
        <v>773.57490349600062</v>
      </c>
      <c r="AA14" s="5">
        <f t="shared" si="24"/>
        <v>824.42020205576046</v>
      </c>
      <c r="AB14" s="5">
        <f t="shared" si="24"/>
        <v>869.22130207334874</v>
      </c>
      <c r="AC14" s="5">
        <f t="shared" si="24"/>
        <v>906.70207226674381</v>
      </c>
      <c r="AD14" s="5">
        <f t="shared" si="24"/>
        <v>935.7291592957896</v>
      </c>
      <c r="AE14" s="5">
        <f t="shared" si="24"/>
        <v>965.64531918431771</v>
      </c>
      <c r="AF14" s="5">
        <f t="shared" si="24"/>
        <v>996.47740672059797</v>
      </c>
      <c r="AG14" s="5">
        <f t="shared" si="24"/>
        <v>1028.2530841625742</v>
      </c>
      <c r="AH14" s="5">
        <f t="shared" si="24"/>
        <v>1061.0008454802144</v>
      </c>
    </row>
    <row r="15" spans="2:143" s="1" customFormat="1" x14ac:dyDescent="0.3">
      <c r="B15" s="1" t="s">
        <v>20</v>
      </c>
      <c r="C15" s="8">
        <f t="shared" ref="C15:N15" si="25">C13-C14</f>
        <v>107</v>
      </c>
      <c r="D15" s="8">
        <f t="shared" si="25"/>
        <v>829</v>
      </c>
      <c r="E15" s="8">
        <f t="shared" si="25"/>
        <v>690</v>
      </c>
      <c r="F15" s="8">
        <f t="shared" si="25"/>
        <v>-38</v>
      </c>
      <c r="G15" s="8">
        <f t="shared" si="25"/>
        <v>883</v>
      </c>
      <c r="H15" s="8">
        <f t="shared" si="25"/>
        <v>810</v>
      </c>
      <c r="I15" s="8">
        <f t="shared" si="25"/>
        <v>1196</v>
      </c>
      <c r="J15" s="8">
        <f t="shared" si="25"/>
        <v>853</v>
      </c>
      <c r="K15" s="8">
        <f t="shared" si="25"/>
        <v>129</v>
      </c>
      <c r="L15" s="8">
        <f t="shared" si="25"/>
        <v>833</v>
      </c>
      <c r="M15" s="8">
        <f t="shared" si="25"/>
        <v>929</v>
      </c>
      <c r="N15" s="8">
        <f t="shared" si="25"/>
        <v>433</v>
      </c>
      <c r="O15" s="8"/>
      <c r="P15" s="8"/>
      <c r="Q15" s="8"/>
      <c r="T15" s="8">
        <f t="shared" ref="T15:Y15" si="26">T13-T14</f>
        <v>377</v>
      </c>
      <c r="U15" s="8">
        <f t="shared" si="26"/>
        <v>-154</v>
      </c>
      <c r="V15" s="8">
        <f t="shared" si="26"/>
        <v>1588</v>
      </c>
      <c r="W15" s="8">
        <f t="shared" si="26"/>
        <v>3742</v>
      </c>
      <c r="X15" s="8">
        <f t="shared" si="26"/>
        <v>2324</v>
      </c>
      <c r="Y15" s="8">
        <f t="shared" si="26"/>
        <v>3469.3330688000005</v>
      </c>
      <c r="Z15" s="8">
        <f t="shared" ref="Z15:AH15" si="27">Z13-Z14</f>
        <v>3776.8657053040024</v>
      </c>
      <c r="AA15" s="8">
        <f t="shared" si="27"/>
        <v>4025.1103982722416</v>
      </c>
      <c r="AB15" s="8">
        <f t="shared" si="27"/>
        <v>4243.845180711055</v>
      </c>
      <c r="AC15" s="8">
        <f t="shared" si="27"/>
        <v>4426.8395293023368</v>
      </c>
      <c r="AD15" s="8">
        <f t="shared" si="27"/>
        <v>4568.5600130323837</v>
      </c>
      <c r="AE15" s="8">
        <f t="shared" si="27"/>
        <v>4714.6212642528453</v>
      </c>
      <c r="AF15" s="8">
        <f t="shared" si="27"/>
        <v>4865.154397518213</v>
      </c>
      <c r="AG15" s="8">
        <f t="shared" si="27"/>
        <v>5020.2944697349203</v>
      </c>
      <c r="AH15" s="8">
        <f t="shared" si="27"/>
        <v>5180.1805985210458</v>
      </c>
      <c r="AI15" s="1">
        <f>AH15*(1+$AK$20)</f>
        <v>5128.3787925358356</v>
      </c>
      <c r="AJ15" s="1">
        <f t="shared" ref="AJ15:CU15" si="28">AI15*(1+$AK$20)</f>
        <v>5077.0950046104772</v>
      </c>
      <c r="AK15" s="1">
        <f t="shared" si="28"/>
        <v>5026.3240545643721</v>
      </c>
      <c r="AL15" s="1">
        <f t="shared" si="28"/>
        <v>4976.0608140187287</v>
      </c>
      <c r="AM15" s="1">
        <f t="shared" si="28"/>
        <v>4926.3002058785414</v>
      </c>
      <c r="AN15" s="1">
        <f t="shared" si="28"/>
        <v>4877.0372038197556</v>
      </c>
      <c r="AO15" s="1">
        <f t="shared" si="28"/>
        <v>4828.2668317815578</v>
      </c>
      <c r="AP15" s="1">
        <f t="shared" si="28"/>
        <v>4779.9841634637423</v>
      </c>
      <c r="AQ15" s="1">
        <f t="shared" si="28"/>
        <v>4732.1843218291051</v>
      </c>
      <c r="AR15" s="1">
        <f t="shared" si="28"/>
        <v>4684.8624786108139</v>
      </c>
      <c r="AS15" s="1">
        <f t="shared" si="28"/>
        <v>4638.0138538247056</v>
      </c>
      <c r="AT15" s="1">
        <f t="shared" si="28"/>
        <v>4591.6337152864589</v>
      </c>
      <c r="AU15" s="1">
        <f t="shared" si="28"/>
        <v>4545.7173781335941</v>
      </c>
      <c r="AV15" s="1">
        <f t="shared" si="28"/>
        <v>4500.2602043522584</v>
      </c>
      <c r="AW15" s="1">
        <f t="shared" si="28"/>
        <v>4455.2576023087358</v>
      </c>
      <c r="AX15" s="1">
        <f t="shared" si="28"/>
        <v>4410.7050262856483</v>
      </c>
      <c r="AY15" s="1">
        <f t="shared" si="28"/>
        <v>4366.597976022792</v>
      </c>
      <c r="AZ15" s="1">
        <f t="shared" si="28"/>
        <v>4322.9319962625641</v>
      </c>
      <c r="BA15" s="1">
        <f t="shared" si="28"/>
        <v>4279.7026762999385</v>
      </c>
      <c r="BB15" s="1">
        <f t="shared" si="28"/>
        <v>4236.9056495369387</v>
      </c>
      <c r="BC15" s="1">
        <f t="shared" si="28"/>
        <v>4194.5365930415692</v>
      </c>
      <c r="BD15" s="1">
        <f t="shared" si="28"/>
        <v>4152.5912271111538</v>
      </c>
      <c r="BE15" s="1">
        <f t="shared" si="28"/>
        <v>4111.0653148400424</v>
      </c>
      <c r="BF15" s="1">
        <f t="shared" si="28"/>
        <v>4069.9546616916418</v>
      </c>
      <c r="BG15" s="1">
        <f t="shared" si="28"/>
        <v>4029.2551150747254</v>
      </c>
      <c r="BH15" s="1">
        <f t="shared" si="28"/>
        <v>3988.962563923978</v>
      </c>
      <c r="BI15" s="1">
        <f t="shared" si="28"/>
        <v>3949.072938284738</v>
      </c>
      <c r="BJ15" s="1">
        <f t="shared" si="28"/>
        <v>3909.5822089018907</v>
      </c>
      <c r="BK15" s="1">
        <f t="shared" si="28"/>
        <v>3870.4863868128718</v>
      </c>
      <c r="BL15" s="1">
        <f t="shared" si="28"/>
        <v>3831.7815229447433</v>
      </c>
      <c r="BM15" s="1">
        <f t="shared" si="28"/>
        <v>3793.4637077152956</v>
      </c>
      <c r="BN15" s="1">
        <f t="shared" si="28"/>
        <v>3755.5290706381425</v>
      </c>
      <c r="BO15" s="1">
        <f t="shared" si="28"/>
        <v>3717.9737799317609</v>
      </c>
      <c r="BP15" s="1">
        <f t="shared" si="28"/>
        <v>3680.7940421324433</v>
      </c>
      <c r="BQ15" s="1">
        <f t="shared" si="28"/>
        <v>3643.9861017111189</v>
      </c>
      <c r="BR15" s="1">
        <f t="shared" si="28"/>
        <v>3607.5462406940078</v>
      </c>
      <c r="BS15" s="1">
        <f t="shared" si="28"/>
        <v>3571.4707782870678</v>
      </c>
      <c r="BT15" s="1">
        <f t="shared" si="28"/>
        <v>3535.7560705041969</v>
      </c>
      <c r="BU15" s="1">
        <f t="shared" si="28"/>
        <v>3500.3985097991549</v>
      </c>
      <c r="BV15" s="1">
        <f t="shared" si="28"/>
        <v>3465.3945247011634</v>
      </c>
      <c r="BW15" s="1">
        <f t="shared" si="28"/>
        <v>3430.7405794541519</v>
      </c>
      <c r="BX15" s="1">
        <f t="shared" si="28"/>
        <v>3396.4331736596105</v>
      </c>
      <c r="BY15" s="1">
        <f t="shared" si="28"/>
        <v>3362.4688419230142</v>
      </c>
      <c r="BZ15" s="1">
        <f t="shared" si="28"/>
        <v>3328.8441535037841</v>
      </c>
      <c r="CA15" s="1">
        <f t="shared" si="28"/>
        <v>3295.5557119687464</v>
      </c>
      <c r="CB15" s="1">
        <f t="shared" si="28"/>
        <v>3262.600154849059</v>
      </c>
      <c r="CC15" s="1">
        <f t="shared" si="28"/>
        <v>3229.9741533005686</v>
      </c>
      <c r="CD15" s="1">
        <f t="shared" si="28"/>
        <v>3197.674411767563</v>
      </c>
      <c r="CE15" s="1">
        <f t="shared" si="28"/>
        <v>3165.6976676498875</v>
      </c>
      <c r="CF15" s="1">
        <f t="shared" si="28"/>
        <v>3134.0406909733888</v>
      </c>
      <c r="CG15" s="1">
        <f t="shared" si="28"/>
        <v>3102.7002840636551</v>
      </c>
      <c r="CH15" s="1">
        <f t="shared" si="28"/>
        <v>3071.6732812230184</v>
      </c>
      <c r="CI15" s="1">
        <f t="shared" si="28"/>
        <v>3040.9565484107884</v>
      </c>
      <c r="CJ15" s="1">
        <f t="shared" si="28"/>
        <v>3010.5469829266804</v>
      </c>
      <c r="CK15" s="1">
        <f t="shared" si="28"/>
        <v>2980.4415130974135</v>
      </c>
      <c r="CL15" s="1">
        <f t="shared" si="28"/>
        <v>2950.6370979664393</v>
      </c>
      <c r="CM15" s="1">
        <f t="shared" si="28"/>
        <v>2921.1307269867748</v>
      </c>
      <c r="CN15" s="1">
        <f t="shared" si="28"/>
        <v>2891.9194197169072</v>
      </c>
      <c r="CO15" s="1">
        <f t="shared" si="28"/>
        <v>2863.0002255197383</v>
      </c>
      <c r="CP15" s="1">
        <f t="shared" si="28"/>
        <v>2834.370223264541</v>
      </c>
      <c r="CQ15" s="1">
        <f t="shared" si="28"/>
        <v>2806.0265210318958</v>
      </c>
      <c r="CR15" s="1">
        <f t="shared" si="28"/>
        <v>2777.9662558215769</v>
      </c>
      <c r="CS15" s="1">
        <f t="shared" si="28"/>
        <v>2750.1865932633609</v>
      </c>
      <c r="CT15" s="1">
        <f t="shared" si="28"/>
        <v>2722.6847273307271</v>
      </c>
      <c r="CU15" s="1">
        <f t="shared" si="28"/>
        <v>2695.45788005742</v>
      </c>
      <c r="CV15" s="1">
        <f t="shared" ref="CV15:EM15" si="29">CU15*(1+$AK$20)</f>
        <v>2668.5033012568456</v>
      </c>
      <c r="CW15" s="1">
        <f t="shared" si="29"/>
        <v>2641.8182682442771</v>
      </c>
      <c r="CX15" s="1">
        <f t="shared" si="29"/>
        <v>2615.4000855618342</v>
      </c>
      <c r="CY15" s="1">
        <f t="shared" si="29"/>
        <v>2589.2460847062157</v>
      </c>
      <c r="CZ15" s="1">
        <f t="shared" si="29"/>
        <v>2563.3536238591537</v>
      </c>
      <c r="DA15" s="1">
        <f t="shared" si="29"/>
        <v>2537.720087620562</v>
      </c>
      <c r="DB15" s="1">
        <f t="shared" si="29"/>
        <v>2512.3428867443563</v>
      </c>
      <c r="DC15" s="1">
        <f t="shared" si="29"/>
        <v>2487.2194578769127</v>
      </c>
      <c r="DD15" s="1">
        <f t="shared" si="29"/>
        <v>2462.3472632981434</v>
      </c>
      <c r="DE15" s="1">
        <f t="shared" si="29"/>
        <v>2437.7237906651621</v>
      </c>
      <c r="DF15" s="1">
        <f t="shared" si="29"/>
        <v>2413.3465527585104</v>
      </c>
      <c r="DG15" s="1">
        <f t="shared" si="29"/>
        <v>2389.2130872309253</v>
      </c>
      <c r="DH15" s="1">
        <f t="shared" si="29"/>
        <v>2365.3209563586161</v>
      </c>
      <c r="DI15" s="1">
        <f t="shared" si="29"/>
        <v>2341.6677467950299</v>
      </c>
      <c r="DJ15" s="1">
        <f t="shared" si="29"/>
        <v>2318.2510693270797</v>
      </c>
      <c r="DK15" s="1">
        <f t="shared" si="29"/>
        <v>2295.0685586338091</v>
      </c>
      <c r="DL15" s="1">
        <f t="shared" si="29"/>
        <v>2272.1178730474708</v>
      </c>
      <c r="DM15" s="1">
        <f t="shared" si="29"/>
        <v>2249.3966943169962</v>
      </c>
      <c r="DN15" s="1">
        <f t="shared" si="29"/>
        <v>2226.9027273738261</v>
      </c>
      <c r="DO15" s="1">
        <f t="shared" si="29"/>
        <v>2204.6337001000879</v>
      </c>
      <c r="DP15" s="1">
        <f t="shared" si="29"/>
        <v>2182.5873630990868</v>
      </c>
      <c r="DQ15" s="1">
        <f t="shared" si="29"/>
        <v>2160.761489468096</v>
      </c>
      <c r="DR15" s="1">
        <f t="shared" si="29"/>
        <v>2139.1538745734151</v>
      </c>
      <c r="DS15" s="1">
        <f t="shared" si="29"/>
        <v>2117.762335827681</v>
      </c>
      <c r="DT15" s="1">
        <f t="shared" si="29"/>
        <v>2096.5847124694042</v>
      </c>
      <c r="DU15" s="1">
        <f t="shared" si="29"/>
        <v>2075.6188653447102</v>
      </c>
      <c r="DV15" s="1">
        <f t="shared" si="29"/>
        <v>2054.862676691263</v>
      </c>
      <c r="DW15" s="1">
        <f t="shared" si="29"/>
        <v>2034.3140499243505</v>
      </c>
      <c r="DX15" s="1">
        <f t="shared" si="29"/>
        <v>2013.970909425107</v>
      </c>
      <c r="DY15" s="1">
        <f t="shared" si="29"/>
        <v>1993.8312003308561</v>
      </c>
      <c r="DZ15" s="1">
        <f t="shared" si="29"/>
        <v>1973.8928883275476</v>
      </c>
      <c r="EA15" s="1">
        <f t="shared" si="29"/>
        <v>1954.153959444272</v>
      </c>
      <c r="EB15" s="1">
        <f t="shared" si="29"/>
        <v>1934.6124198498292</v>
      </c>
      <c r="EC15" s="1">
        <f t="shared" si="29"/>
        <v>1915.2662956513309</v>
      </c>
      <c r="ED15" s="1">
        <f t="shared" si="29"/>
        <v>1896.1136326948176</v>
      </c>
      <c r="EE15" s="1">
        <f t="shared" si="29"/>
        <v>1877.1524963678694</v>
      </c>
      <c r="EF15" s="1">
        <f t="shared" si="29"/>
        <v>1858.3809714041906</v>
      </c>
      <c r="EG15" s="1">
        <f t="shared" si="29"/>
        <v>1839.7971616901486</v>
      </c>
      <c r="EH15" s="1">
        <f t="shared" si="29"/>
        <v>1821.3991900732472</v>
      </c>
      <c r="EI15" s="1">
        <f t="shared" si="29"/>
        <v>1803.1851981725147</v>
      </c>
      <c r="EJ15" s="1">
        <f t="shared" si="29"/>
        <v>1785.1533461907895</v>
      </c>
      <c r="EK15" s="1">
        <f t="shared" si="29"/>
        <v>1767.3018127288817</v>
      </c>
      <c r="EL15" s="1">
        <f t="shared" si="29"/>
        <v>1749.628794601593</v>
      </c>
      <c r="EM15" s="1">
        <f t="shared" si="29"/>
        <v>1732.1325066555771</v>
      </c>
    </row>
    <row r="16" spans="2:143" x14ac:dyDescent="0.3">
      <c r="B16" t="s">
        <v>2</v>
      </c>
      <c r="C16" s="5">
        <v>213.7</v>
      </c>
      <c r="D16" s="5">
        <v>213.7</v>
      </c>
      <c r="E16" s="5">
        <v>213.7</v>
      </c>
      <c r="F16" s="5">
        <v>213.7</v>
      </c>
      <c r="G16" s="5">
        <v>213.7</v>
      </c>
      <c r="H16" s="5">
        <v>213.7</v>
      </c>
      <c r="I16" s="5">
        <v>213.7</v>
      </c>
      <c r="J16" s="5">
        <v>213.7</v>
      </c>
      <c r="K16" s="5">
        <v>213.7</v>
      </c>
      <c r="L16" s="5">
        <f>312.4</f>
        <v>312.39999999999998</v>
      </c>
      <c r="M16" s="5">
        <f>312.3</f>
        <v>312.3</v>
      </c>
      <c r="N16" s="5">
        <f>312.3</f>
        <v>312.3</v>
      </c>
      <c r="O16" s="5"/>
      <c r="P16" s="5"/>
      <c r="Q16" s="5"/>
      <c r="T16" s="5">
        <v>213.7</v>
      </c>
      <c r="U16" s="5">
        <v>213.7</v>
      </c>
      <c r="V16" s="5">
        <v>213.7</v>
      </c>
      <c r="W16" s="5">
        <v>312.8</v>
      </c>
      <c r="X16" s="5">
        <f t="shared" ref="X16:AH16" si="30">312.3</f>
        <v>312.3</v>
      </c>
      <c r="Y16" s="5">
        <f t="shared" si="30"/>
        <v>312.3</v>
      </c>
      <c r="Z16" s="5">
        <f t="shared" si="30"/>
        <v>312.3</v>
      </c>
      <c r="AA16" s="5">
        <f t="shared" si="30"/>
        <v>312.3</v>
      </c>
      <c r="AB16" s="5">
        <f t="shared" si="30"/>
        <v>312.3</v>
      </c>
      <c r="AC16" s="5">
        <f t="shared" si="30"/>
        <v>312.3</v>
      </c>
      <c r="AD16" s="5">
        <f t="shared" si="30"/>
        <v>312.3</v>
      </c>
      <c r="AE16" s="5">
        <f t="shared" si="30"/>
        <v>312.3</v>
      </c>
      <c r="AF16" s="5">
        <f t="shared" si="30"/>
        <v>312.3</v>
      </c>
      <c r="AG16" s="5">
        <f t="shared" si="30"/>
        <v>312.3</v>
      </c>
      <c r="AH16" s="5">
        <f t="shared" si="30"/>
        <v>312.3</v>
      </c>
    </row>
    <row r="17" spans="2:37" x14ac:dyDescent="0.3">
      <c r="B17" t="s">
        <v>21</v>
      </c>
      <c r="C17" s="7">
        <f t="shared" ref="C17:N17" si="31">C15/C16</f>
        <v>0.50070191857744506</v>
      </c>
      <c r="D17" s="7">
        <f t="shared" si="31"/>
        <v>3.8792700046794573</v>
      </c>
      <c r="E17" s="7">
        <f t="shared" si="31"/>
        <v>3.2288254562470757</v>
      </c>
      <c r="F17" s="7">
        <f t="shared" si="31"/>
        <v>-0.1778193729527375</v>
      </c>
      <c r="G17" s="7">
        <f t="shared" si="31"/>
        <v>4.1319606925596633</v>
      </c>
      <c r="H17" s="7">
        <f t="shared" si="31"/>
        <v>3.7903603182030885</v>
      </c>
      <c r="I17" s="7">
        <f t="shared" si="31"/>
        <v>5.5966307908282644</v>
      </c>
      <c r="J17" s="7">
        <f t="shared" si="31"/>
        <v>3.9915769770706602</v>
      </c>
      <c r="K17" s="7">
        <f t="shared" si="31"/>
        <v>0.60364997660271413</v>
      </c>
      <c r="L17" s="7">
        <f t="shared" si="31"/>
        <v>2.6664532650448147</v>
      </c>
      <c r="M17" s="7">
        <f t="shared" si="31"/>
        <v>2.9747038104386805</v>
      </c>
      <c r="N17" s="7">
        <f t="shared" si="31"/>
        <v>1.3864873519052192</v>
      </c>
      <c r="O17" s="7"/>
      <c r="P17" s="7"/>
      <c r="Q17" s="7"/>
      <c r="T17" s="7">
        <f>T15/T16</f>
        <v>1.7641553579784746</v>
      </c>
      <c r="U17" s="7">
        <f>U15/U16</f>
        <v>-0.72063640617688351</v>
      </c>
      <c r="V17" s="7">
        <f>V15/V16</f>
        <v>7.4309780065512401</v>
      </c>
      <c r="W17" s="7">
        <f t="shared" ref="W17:Y17" si="32">W15/W16</f>
        <v>11.962915601023017</v>
      </c>
      <c r="X17" s="7">
        <f t="shared" si="32"/>
        <v>7.4415626000640405</v>
      </c>
      <c r="Y17" s="7">
        <f t="shared" si="32"/>
        <v>11.108975564521295</v>
      </c>
      <c r="Z17" s="7">
        <f t="shared" ref="Z17:AH17" si="33">Z15/Z16</f>
        <v>12.09371023152098</v>
      </c>
      <c r="AA17" s="7">
        <f t="shared" si="33"/>
        <v>12.888601979738205</v>
      </c>
      <c r="AB17" s="7">
        <f t="shared" si="33"/>
        <v>13.589001539260503</v>
      </c>
      <c r="AC17" s="7">
        <f t="shared" si="33"/>
        <v>14.174958467186476</v>
      </c>
      <c r="AD17" s="7">
        <f t="shared" si="33"/>
        <v>14.628754444548138</v>
      </c>
      <c r="AE17" s="7">
        <f t="shared" si="33"/>
        <v>15.096449773464121</v>
      </c>
      <c r="AF17" s="7">
        <f t="shared" si="33"/>
        <v>15.578464289203371</v>
      </c>
      <c r="AG17" s="7">
        <f t="shared" si="33"/>
        <v>16.075230450640156</v>
      </c>
      <c r="AH17" s="7">
        <f t="shared" si="33"/>
        <v>16.587193719247665</v>
      </c>
    </row>
    <row r="19" spans="2:37" x14ac:dyDescent="0.3">
      <c r="B19" t="s">
        <v>33</v>
      </c>
      <c r="C19" s="9"/>
      <c r="D19" s="9"/>
      <c r="E19" s="9"/>
      <c r="F19" s="9"/>
      <c r="G19" s="9">
        <f t="shared" ref="G19:L19" si="34">G3/C3-1</f>
        <v>-0.18559153998678124</v>
      </c>
      <c r="H19" s="9">
        <f t="shared" si="34"/>
        <v>5.3250091810503886E-3</v>
      </c>
      <c r="I19" s="9">
        <f t="shared" si="34"/>
        <v>7.1837669775814073E-2</v>
      </c>
      <c r="J19" s="9">
        <f t="shared" si="34"/>
        <v>-7.1428571428571397E-2</v>
      </c>
      <c r="K19" s="9">
        <f t="shared" si="34"/>
        <v>0.10176919331277401</v>
      </c>
      <c r="L19" s="9">
        <f t="shared" si="34"/>
        <v>0.11433789954337903</v>
      </c>
      <c r="M19" s="9">
        <f t="shared" ref="M19:N19" si="35">M3/I3-1</f>
        <v>3.0534351145037331E-3</v>
      </c>
      <c r="N19" s="9">
        <f t="shared" si="35"/>
        <v>0.12857673727238939</v>
      </c>
      <c r="O19" s="9"/>
      <c r="P19" s="9"/>
      <c r="Q19" s="9"/>
      <c r="U19" s="9">
        <f>U3/T3-1</f>
        <v>0.24382920250394413</v>
      </c>
      <c r="V19" s="9">
        <f>V3/U3-1</f>
        <v>1.9558101472995082E-2</v>
      </c>
      <c r="W19" s="9">
        <f t="shared" ref="W19:AH19" si="36">W3/V3-1</f>
        <v>-5.4177702865398469E-2</v>
      </c>
      <c r="X19" s="9">
        <f t="shared" si="36"/>
        <v>8.3375763747454146E-2</v>
      </c>
      <c r="Y19" s="9">
        <f t="shared" si="36"/>
        <v>0.10000000000000009</v>
      </c>
      <c r="Z19" s="9">
        <f t="shared" si="36"/>
        <v>8.0000000000000071E-2</v>
      </c>
      <c r="AA19" s="9">
        <f t="shared" si="36"/>
        <v>6.0000000000000053E-2</v>
      </c>
      <c r="AB19" s="9">
        <f t="shared" si="36"/>
        <v>5.0000000000000044E-2</v>
      </c>
      <c r="AC19" s="9">
        <f t="shared" si="36"/>
        <v>4.0000000000000036E-2</v>
      </c>
      <c r="AD19" s="9">
        <f t="shared" si="36"/>
        <v>3.0000000000000027E-2</v>
      </c>
      <c r="AE19" s="9">
        <f t="shared" si="36"/>
        <v>3.0000000000000027E-2</v>
      </c>
      <c r="AF19" s="9">
        <f t="shared" si="36"/>
        <v>3.0000000000000027E-2</v>
      </c>
      <c r="AG19" s="9">
        <f t="shared" si="36"/>
        <v>3.0000000000000027E-2</v>
      </c>
      <c r="AH19" s="9">
        <f t="shared" si="36"/>
        <v>3.0000000000000027E-2</v>
      </c>
    </row>
    <row r="20" spans="2:37" x14ac:dyDescent="0.3">
      <c r="B20" t="s">
        <v>41</v>
      </c>
      <c r="C20" s="9">
        <f t="shared" ref="C20:K20" si="37">(C3-C4)/C3</f>
        <v>0.24269662921348314</v>
      </c>
      <c r="D20" s="9">
        <f t="shared" si="37"/>
        <v>0.46988615497612929</v>
      </c>
      <c r="E20" s="9">
        <f t="shared" si="37"/>
        <v>0.44902634593356244</v>
      </c>
      <c r="F20" s="9">
        <f t="shared" si="37"/>
        <v>0.30676328502415456</v>
      </c>
      <c r="G20" s="9">
        <f t="shared" si="37"/>
        <v>0.44538224314234703</v>
      </c>
      <c r="H20" s="9">
        <f t="shared" si="37"/>
        <v>0.58136986301369864</v>
      </c>
      <c r="I20" s="9">
        <f t="shared" si="37"/>
        <v>0.52381679389312974</v>
      </c>
      <c r="J20" s="9">
        <f t="shared" si="37"/>
        <v>0.51858045336306202</v>
      </c>
      <c r="K20" s="9">
        <f t="shared" si="37"/>
        <v>0.3541543901001768</v>
      </c>
      <c r="L20" s="9">
        <f>(L3-L4)/L3</f>
        <v>0.48664153417472544</v>
      </c>
      <c r="M20" s="9">
        <f t="shared" ref="M20:N20" si="38">(M3-M4)/M3</f>
        <v>0.45707762557077625</v>
      </c>
      <c r="N20" s="9">
        <f t="shared" si="38"/>
        <v>0.40763911755021404</v>
      </c>
      <c r="O20" s="9"/>
      <c r="P20" s="9"/>
      <c r="Q20" s="9"/>
      <c r="T20" s="9">
        <f t="shared" ref="T20:W20" si="39">(T3-T4)/T3</f>
        <v>0.38098630973586445</v>
      </c>
      <c r="U20" s="9">
        <f t="shared" si="39"/>
        <v>0.28551554828150572</v>
      </c>
      <c r="V20" s="9">
        <f t="shared" si="39"/>
        <v>0.35785376033389515</v>
      </c>
      <c r="W20" s="9">
        <f t="shared" si="39"/>
        <v>0.51548710115410723</v>
      </c>
      <c r="X20" s="9">
        <f t="shared" ref="X20:AH20" si="40">(X3-X4)/X3</f>
        <v>0.42501860337602321</v>
      </c>
      <c r="Y20" s="9">
        <f t="shared" si="40"/>
        <v>0.43000000000000005</v>
      </c>
      <c r="Z20" s="9">
        <f t="shared" si="40"/>
        <v>0.4300000000000001</v>
      </c>
      <c r="AA20" s="9">
        <f t="shared" si="40"/>
        <v>0.43</v>
      </c>
      <c r="AB20" s="9">
        <f t="shared" si="40"/>
        <v>0.43000000000000005</v>
      </c>
      <c r="AC20" s="9">
        <f t="shared" si="40"/>
        <v>0.43000000000000005</v>
      </c>
      <c r="AD20" s="9">
        <f t="shared" si="40"/>
        <v>0.43000000000000005</v>
      </c>
      <c r="AE20" s="9">
        <f t="shared" si="40"/>
        <v>0.43000000000000005</v>
      </c>
      <c r="AF20" s="9">
        <f t="shared" si="40"/>
        <v>0.43000000000000005</v>
      </c>
      <c r="AG20" s="9">
        <f t="shared" si="40"/>
        <v>0.4300000000000001</v>
      </c>
      <c r="AH20" s="9">
        <f t="shared" si="40"/>
        <v>0.4300000000000001</v>
      </c>
      <c r="AJ20" t="s">
        <v>43</v>
      </c>
      <c r="AK20" s="9">
        <v>-0.01</v>
      </c>
    </row>
    <row r="21" spans="2:37" x14ac:dyDescent="0.3">
      <c r="B21" t="s">
        <v>42</v>
      </c>
      <c r="C21" s="9">
        <f t="shared" ref="C21:K21" si="41">(C3-C5)/C3</f>
        <v>0.81070720423000664</v>
      </c>
      <c r="D21" s="9">
        <f t="shared" si="41"/>
        <v>0.72879177377892035</v>
      </c>
      <c r="E21" s="9">
        <f t="shared" si="41"/>
        <v>0.77859597447226314</v>
      </c>
      <c r="F21" s="9">
        <f t="shared" si="41"/>
        <v>0.75448585231193932</v>
      </c>
      <c r="G21" s="9">
        <f t="shared" si="41"/>
        <v>0.75880538873559489</v>
      </c>
      <c r="H21" s="9">
        <f t="shared" si="41"/>
        <v>0.69954337899543384</v>
      </c>
      <c r="I21" s="9">
        <f t="shared" si="41"/>
        <v>0.7656488549618321</v>
      </c>
      <c r="J21" s="9">
        <f t="shared" si="41"/>
        <v>0.72259383128948351</v>
      </c>
      <c r="K21" s="9">
        <f t="shared" si="41"/>
        <v>0.77239245727754857</v>
      </c>
      <c r="L21" s="9">
        <f>(L3-L5)/L3</f>
        <v>0.73496148172430753</v>
      </c>
      <c r="M21" s="9">
        <f t="shared" ref="M21:N21" si="42">(M3-M5)/M3</f>
        <v>0.77001522070015216</v>
      </c>
      <c r="N21" s="9">
        <f t="shared" si="42"/>
        <v>0.75535067500823183</v>
      </c>
      <c r="O21" s="9"/>
      <c r="P21" s="9"/>
      <c r="Q21" s="9"/>
      <c r="T21" s="9">
        <f t="shared" ref="T21:W21" si="43">(T3-T5)/T3</f>
        <v>0.76818158684920357</v>
      </c>
      <c r="U21" s="9">
        <f t="shared" si="43"/>
        <v>0.80192307692307696</v>
      </c>
      <c r="V21" s="9">
        <f t="shared" si="43"/>
        <v>0.77185167348904404</v>
      </c>
      <c r="W21" s="9">
        <f t="shared" si="43"/>
        <v>0.7386710794297352</v>
      </c>
      <c r="X21" s="9">
        <f t="shared" ref="X21:AH21" si="44">(X3-X5)/X3</f>
        <v>0.75878275173305132</v>
      </c>
      <c r="Y21" s="9">
        <f t="shared" si="44"/>
        <v>0.76</v>
      </c>
      <c r="Z21" s="9">
        <f t="shared" si="44"/>
        <v>0.76</v>
      </c>
      <c r="AA21" s="9">
        <f t="shared" si="44"/>
        <v>0.76</v>
      </c>
      <c r="AB21" s="9">
        <f t="shared" si="44"/>
        <v>0.76</v>
      </c>
      <c r="AC21" s="9">
        <f t="shared" si="44"/>
        <v>0.76</v>
      </c>
      <c r="AD21" s="9">
        <f t="shared" si="44"/>
        <v>0.76</v>
      </c>
      <c r="AE21" s="9">
        <f t="shared" si="44"/>
        <v>0.76</v>
      </c>
      <c r="AF21" s="9">
        <f t="shared" si="44"/>
        <v>0.76</v>
      </c>
      <c r="AG21" s="9">
        <f t="shared" si="44"/>
        <v>0.7599999999999999</v>
      </c>
      <c r="AH21" s="9">
        <f t="shared" si="44"/>
        <v>0.76</v>
      </c>
      <c r="AJ21" t="s">
        <v>44</v>
      </c>
      <c r="AK21" s="9">
        <v>7.0000000000000007E-2</v>
      </c>
    </row>
    <row r="22" spans="2:37" x14ac:dyDescent="0.3">
      <c r="B22" t="s">
        <v>34</v>
      </c>
      <c r="C22" s="9">
        <f t="shared" ref="C22:L22" si="45">C7/C3</f>
        <v>5.3403833443489757E-2</v>
      </c>
      <c r="D22" s="9">
        <f t="shared" si="45"/>
        <v>0.19867792875504958</v>
      </c>
      <c r="E22" s="9">
        <f t="shared" si="45"/>
        <v>0.22762232040582556</v>
      </c>
      <c r="F22" s="9">
        <f t="shared" si="45"/>
        <v>6.1249137336093856E-2</v>
      </c>
      <c r="G22" s="9">
        <f t="shared" si="45"/>
        <v>0.20418763187794189</v>
      </c>
      <c r="H22" s="9">
        <f t="shared" si="45"/>
        <v>0.28091324200913242</v>
      </c>
      <c r="I22" s="9">
        <f t="shared" si="45"/>
        <v>0.28946564885496184</v>
      </c>
      <c r="J22" s="9">
        <f t="shared" si="45"/>
        <v>0.24117428465254553</v>
      </c>
      <c r="K22" s="9">
        <f t="shared" si="45"/>
        <v>0.1265468473777254</v>
      </c>
      <c r="L22" s="9">
        <f t="shared" si="45"/>
        <v>0.22160301589903295</v>
      </c>
      <c r="M22" s="9">
        <f t="shared" ref="M22:N22" si="46">M7/M3</f>
        <v>0.22709284627092846</v>
      </c>
      <c r="N22" s="9">
        <f t="shared" si="46"/>
        <v>0.16298979255844584</v>
      </c>
      <c r="O22" s="9"/>
      <c r="P22" s="9"/>
      <c r="Q22" s="9"/>
      <c r="T22" s="9">
        <f>T7/T3</f>
        <v>0.14916789658506793</v>
      </c>
      <c r="U22" s="9">
        <f>U7/U3</f>
        <v>8.7438625204582648E-2</v>
      </c>
      <c r="V22" s="9">
        <f>V7/V3</f>
        <v>0.12970543382293925</v>
      </c>
      <c r="W22" s="9">
        <f t="shared" ref="W22:AH22" si="47">W7/W3</f>
        <v>0.25415818058384249</v>
      </c>
      <c r="X22" s="9">
        <f t="shared" si="47"/>
        <v>0.18380135510907453</v>
      </c>
      <c r="Y22" s="9">
        <f t="shared" si="47"/>
        <v>0.19</v>
      </c>
      <c r="Z22" s="9">
        <f t="shared" si="47"/>
        <v>0.19000000000000009</v>
      </c>
      <c r="AA22" s="9">
        <f t="shared" si="47"/>
        <v>0.19000000000000003</v>
      </c>
      <c r="AB22" s="9">
        <f t="shared" si="47"/>
        <v>0.19000000000000009</v>
      </c>
      <c r="AC22" s="9">
        <f t="shared" si="47"/>
        <v>0.19000000000000009</v>
      </c>
      <c r="AD22" s="9">
        <f t="shared" si="47"/>
        <v>0.19</v>
      </c>
      <c r="AE22" s="9">
        <f t="shared" si="47"/>
        <v>0.19000000000000006</v>
      </c>
      <c r="AF22" s="9">
        <f t="shared" si="47"/>
        <v>0.19000000000000006</v>
      </c>
      <c r="AG22" s="9">
        <f t="shared" si="47"/>
        <v>0.19000000000000003</v>
      </c>
      <c r="AH22" s="9">
        <f t="shared" si="47"/>
        <v>0.1900000000000002</v>
      </c>
      <c r="AJ22" t="s">
        <v>45</v>
      </c>
      <c r="AK22" s="5">
        <f>NPV(AK21,X15:EM15)</f>
        <v>61029.377841935682</v>
      </c>
    </row>
    <row r="23" spans="2:37" x14ac:dyDescent="0.3">
      <c r="B23" t="s">
        <v>35</v>
      </c>
      <c r="C23" s="9">
        <f t="shared" ref="C23:L23" si="48">C10/C3</f>
        <v>6.6093853271645734E-4</v>
      </c>
      <c r="D23" s="9">
        <f t="shared" si="48"/>
        <v>0.12284245317664341</v>
      </c>
      <c r="E23" s="9">
        <f t="shared" si="48"/>
        <v>0.15987563410243821</v>
      </c>
      <c r="F23" s="9">
        <f t="shared" si="48"/>
        <v>-1.1732229123533472E-2</v>
      </c>
      <c r="G23" s="9">
        <f t="shared" si="48"/>
        <v>0.13195909754909918</v>
      </c>
      <c r="H23" s="9">
        <f t="shared" si="48"/>
        <v>0.20091324200913241</v>
      </c>
      <c r="I23" s="9">
        <f t="shared" si="48"/>
        <v>0.22366412213740458</v>
      </c>
      <c r="J23" s="9">
        <f t="shared" si="48"/>
        <v>0.1677814938684504</v>
      </c>
      <c r="K23" s="9">
        <f t="shared" si="48"/>
        <v>6.6440777843252793E-2</v>
      </c>
      <c r="L23" s="9">
        <f t="shared" si="48"/>
        <v>0.15587608588755941</v>
      </c>
      <c r="M23" s="9">
        <f t="shared" ref="M23:N23" si="49">M10/M3</f>
        <v>0.16529680365296803</v>
      </c>
      <c r="N23" s="9">
        <f t="shared" si="49"/>
        <v>9.8452420151465256E-2</v>
      </c>
      <c r="O23" s="9"/>
      <c r="P23" s="9"/>
      <c r="Q23" s="9"/>
      <c r="T23" s="9">
        <f>T10/T3</f>
        <v>-2.7838566848185659E-2</v>
      </c>
      <c r="U23" s="9">
        <f>U10/U3</f>
        <v>2.021276595744681E-2</v>
      </c>
      <c r="V23" s="9">
        <f>V10/V3</f>
        <v>6.3528373063648766E-2</v>
      </c>
      <c r="W23" s="9">
        <f t="shared" ref="W23:AH23" si="50">W10/W3</f>
        <v>0.18164460285132383</v>
      </c>
      <c r="X23" s="9">
        <f t="shared" si="50"/>
        <v>0.12086319664747582</v>
      </c>
      <c r="Y23" s="9">
        <f t="shared" si="50"/>
        <v>0.16719999999999999</v>
      </c>
      <c r="Z23" s="9">
        <f t="shared" si="50"/>
        <v>0.16720000000000007</v>
      </c>
      <c r="AA23" s="9">
        <f t="shared" si="50"/>
        <v>0.16720000000000002</v>
      </c>
      <c r="AB23" s="9">
        <f t="shared" si="50"/>
        <v>0.16720000000000007</v>
      </c>
      <c r="AC23" s="9">
        <f t="shared" si="50"/>
        <v>0.16720000000000007</v>
      </c>
      <c r="AD23" s="9">
        <f t="shared" si="50"/>
        <v>0.16720000000000002</v>
      </c>
      <c r="AE23" s="9">
        <f t="shared" si="50"/>
        <v>0.16720000000000004</v>
      </c>
      <c r="AF23" s="9">
        <f t="shared" si="50"/>
        <v>0.16720000000000004</v>
      </c>
      <c r="AG23" s="9">
        <f t="shared" si="50"/>
        <v>0.16720000000000002</v>
      </c>
      <c r="AH23" s="9">
        <f t="shared" si="50"/>
        <v>0.16720000000000018</v>
      </c>
      <c r="AJ23" t="s">
        <v>47</v>
      </c>
      <c r="AK23" s="5">
        <f>Main!D8</f>
        <v>-5244</v>
      </c>
    </row>
    <row r="24" spans="2:37" x14ac:dyDescent="0.3">
      <c r="B24" t="s">
        <v>19</v>
      </c>
      <c r="C24" s="9">
        <f t="shared" ref="C24:L24" si="51">C14/C13</f>
        <v>0.55042016806722693</v>
      </c>
      <c r="D24" s="9">
        <f t="shared" si="51"/>
        <v>0.29205807002561912</v>
      </c>
      <c r="E24" s="9">
        <f t="shared" si="51"/>
        <v>0.22905027932960895</v>
      </c>
      <c r="F24" s="9">
        <f t="shared" si="51"/>
        <v>1.2657342657342658</v>
      </c>
      <c r="G24" s="9">
        <f t="shared" si="51"/>
        <v>0.15744274809160305</v>
      </c>
      <c r="H24" s="9">
        <f t="shared" si="51"/>
        <v>0.15975103734439833</v>
      </c>
      <c r="I24" s="9">
        <f t="shared" si="51"/>
        <v>0.27294832826747722</v>
      </c>
      <c r="J24" s="9">
        <f t="shared" si="51"/>
        <v>6.9848661233993014E-3</v>
      </c>
      <c r="K24" s="9">
        <f t="shared" si="51"/>
        <v>0.14569536423841059</v>
      </c>
      <c r="L24" s="9">
        <f t="shared" si="51"/>
        <v>0.34564021995286726</v>
      </c>
      <c r="M24" s="9">
        <f t="shared" ref="M24:N24" si="52">M14/M13</f>
        <v>0.33405017921146951</v>
      </c>
      <c r="N24" s="9">
        <f t="shared" si="52"/>
        <v>0.37427745664739887</v>
      </c>
      <c r="O24" s="9"/>
      <c r="P24" s="9"/>
      <c r="Q24" s="9"/>
      <c r="T24" s="9">
        <f>T14/T13</f>
        <v>-1.4802631578947369</v>
      </c>
      <c r="U24" s="9">
        <f>U14/U13</f>
        <v>0.71586715867158668</v>
      </c>
      <c r="V24" s="9">
        <f>V14/V13</f>
        <v>0.35104209235798939</v>
      </c>
      <c r="W24" s="9">
        <f t="shared" ref="W24:AH24" si="53">W14/W13</f>
        <v>0.17139061116031887</v>
      </c>
      <c r="X24" s="9">
        <f t="shared" si="53"/>
        <v>0.33808031899743662</v>
      </c>
      <c r="Y24" s="9">
        <f t="shared" si="53"/>
        <v>0.17</v>
      </c>
      <c r="Z24" s="9">
        <f t="shared" si="53"/>
        <v>0.17</v>
      </c>
      <c r="AA24" s="9">
        <f t="shared" si="53"/>
        <v>0.17</v>
      </c>
      <c r="AB24" s="9">
        <f t="shared" si="53"/>
        <v>0.17</v>
      </c>
      <c r="AC24" s="9">
        <f t="shared" si="53"/>
        <v>0.17</v>
      </c>
      <c r="AD24" s="9">
        <f t="shared" si="53"/>
        <v>0.17</v>
      </c>
      <c r="AE24" s="9">
        <f t="shared" si="53"/>
        <v>0.17</v>
      </c>
      <c r="AF24" s="9">
        <f t="shared" si="53"/>
        <v>0.17</v>
      </c>
      <c r="AG24" s="9">
        <f t="shared" si="53"/>
        <v>0.17</v>
      </c>
      <c r="AH24" s="9">
        <f t="shared" si="53"/>
        <v>0.17</v>
      </c>
      <c r="AJ24" t="s">
        <v>46</v>
      </c>
      <c r="AK24" s="5">
        <f>AK22+AK23</f>
        <v>55785.377841935682</v>
      </c>
    </row>
    <row r="25" spans="2:37" x14ac:dyDescent="0.3">
      <c r="B25" t="s">
        <v>36</v>
      </c>
      <c r="C25" s="9">
        <f t="shared" ref="C25:L25" si="54">C15/C3</f>
        <v>1.4144084600132188E-2</v>
      </c>
      <c r="D25" s="9">
        <f t="shared" si="54"/>
        <v>0.15222181417554168</v>
      </c>
      <c r="E25" s="9">
        <f t="shared" si="54"/>
        <v>0.11291114383897889</v>
      </c>
      <c r="F25" s="9">
        <f t="shared" si="54"/>
        <v>-6.556245686680469E-3</v>
      </c>
      <c r="G25" s="9">
        <f t="shared" si="54"/>
        <v>0.14332088946599578</v>
      </c>
      <c r="H25" s="9">
        <f t="shared" si="54"/>
        <v>0.14794520547945206</v>
      </c>
      <c r="I25" s="9">
        <f t="shared" si="54"/>
        <v>0.18259541984732824</v>
      </c>
      <c r="J25" s="9">
        <f t="shared" si="54"/>
        <v>0.15849126718691936</v>
      </c>
      <c r="K25" s="9">
        <f t="shared" si="54"/>
        <v>1.9004124926340602E-2</v>
      </c>
      <c r="L25" s="9">
        <f t="shared" si="54"/>
        <v>0.13653499426323554</v>
      </c>
      <c r="M25" s="9">
        <f t="shared" ref="M25:N25" si="55">M15/M3</f>
        <v>0.14140030441400303</v>
      </c>
      <c r="N25" s="9">
        <f t="shared" si="55"/>
        <v>7.1287454725057625E-2</v>
      </c>
      <c r="O25" s="9"/>
      <c r="P25" s="9"/>
      <c r="Q25" s="9"/>
      <c r="T25" s="9">
        <f>T15/T3</f>
        <v>1.9186727059901269E-2</v>
      </c>
      <c r="U25" s="9">
        <f>U15/U3</f>
        <v>-6.3011456628477907E-3</v>
      </c>
      <c r="V25" s="9">
        <f>V15/V3</f>
        <v>6.3729031222409499E-2</v>
      </c>
      <c r="W25" s="9">
        <f t="shared" ref="W25:AH25" si="56">W15/W3</f>
        <v>0.15877460964019008</v>
      </c>
      <c r="X25" s="9">
        <f t="shared" si="56"/>
        <v>9.1019465006070568E-2</v>
      </c>
      <c r="Y25" s="9">
        <f t="shared" si="56"/>
        <v>0.12352403373886914</v>
      </c>
      <c r="Z25" s="9">
        <f t="shared" si="56"/>
        <v>0.12451258710764619</v>
      </c>
      <c r="AA25" s="9">
        <f t="shared" si="56"/>
        <v>0.1251853896025685</v>
      </c>
      <c r="AB25" s="9">
        <f t="shared" si="56"/>
        <v>0.12570312714151829</v>
      </c>
      <c r="AC25" s="9">
        <f t="shared" si="56"/>
        <v>0.12608022924320528</v>
      </c>
      <c r="AD25" s="9">
        <f t="shared" si="56"/>
        <v>0.12632674906372551</v>
      </c>
      <c r="AE25" s="9">
        <f t="shared" si="56"/>
        <v>0.12656848209161439</v>
      </c>
      <c r="AF25" s="9">
        <f t="shared" si="56"/>
        <v>0.12680552127430147</v>
      </c>
      <c r="AG25" s="9">
        <f t="shared" si="56"/>
        <v>0.12703795775441212</v>
      </c>
      <c r="AH25" s="9">
        <f t="shared" si="56"/>
        <v>0.127265880904812</v>
      </c>
      <c r="AJ25" t="s">
        <v>48</v>
      </c>
      <c r="AK25" s="6">
        <f>AK24/AH16</f>
        <v>178.62753071385103</v>
      </c>
    </row>
    <row r="26" spans="2:37" x14ac:dyDescent="0.3">
      <c r="AJ26" t="s">
        <v>49</v>
      </c>
      <c r="AK26" s="6">
        <f>Main!D3</f>
        <v>312.64</v>
      </c>
    </row>
    <row r="27" spans="2:37" x14ac:dyDescent="0.3">
      <c r="AJ27" s="1" t="s">
        <v>50</v>
      </c>
      <c r="AK27" s="10">
        <f>AK25/AK26-1</f>
        <v>-0.42864786747104966</v>
      </c>
    </row>
    <row r="28" spans="2:37" x14ac:dyDescent="0.3">
      <c r="B28" t="s">
        <v>4</v>
      </c>
      <c r="AJ28" t="s">
        <v>51</v>
      </c>
      <c r="AK28" s="2" t="s">
        <v>52</v>
      </c>
    </row>
    <row r="29" spans="2:37" x14ac:dyDescent="0.3">
      <c r="B29" t="s">
        <v>53</v>
      </c>
    </row>
    <row r="30" spans="2:37" x14ac:dyDescent="0.3">
      <c r="B30" t="s">
        <v>54</v>
      </c>
    </row>
    <row r="31" spans="2:37" x14ac:dyDescent="0.3">
      <c r="B31" t="s">
        <v>55</v>
      </c>
    </row>
    <row r="32" spans="2:37" x14ac:dyDescent="0.3">
      <c r="B32" t="s">
        <v>56</v>
      </c>
    </row>
    <row r="33" spans="2:12" x14ac:dyDescent="0.3">
      <c r="B33" t="s">
        <v>57</v>
      </c>
    </row>
    <row r="34" spans="2:12" x14ac:dyDescent="0.3">
      <c r="B34" t="s">
        <v>58</v>
      </c>
    </row>
    <row r="35" spans="2:12" s="1" customFormat="1" x14ac:dyDescent="0.3">
      <c r="B35" s="1" t="s">
        <v>59</v>
      </c>
    </row>
    <row r="36" spans="2:12" x14ac:dyDescent="0.3">
      <c r="B36" t="s">
        <v>60</v>
      </c>
    </row>
    <row r="37" spans="2:12" x14ac:dyDescent="0.3">
      <c r="B37" t="s">
        <v>61</v>
      </c>
    </row>
    <row r="38" spans="2:12" x14ac:dyDescent="0.3">
      <c r="B38" t="s">
        <v>62</v>
      </c>
    </row>
    <row r="39" spans="2:12" x14ac:dyDescent="0.3">
      <c r="B39" t="s">
        <v>55</v>
      </c>
    </row>
    <row r="40" spans="2:12" x14ac:dyDescent="0.3">
      <c r="B40" t="s">
        <v>63</v>
      </c>
    </row>
    <row r="41" spans="2:12" s="1" customFormat="1" x14ac:dyDescent="0.3">
      <c r="B41" s="1" t="s">
        <v>64</v>
      </c>
    </row>
    <row r="42" spans="2:12" s="1" customFormat="1" x14ac:dyDescent="0.3">
      <c r="B42" s="1" t="s">
        <v>65</v>
      </c>
      <c r="L42" s="8">
        <v>53038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2024-10-06T10:35:31Z</dcterms:created>
  <dcterms:modified xsi:type="dcterms:W3CDTF">2026-02-25T09:36:36Z</dcterms:modified>
</cp:coreProperties>
</file>