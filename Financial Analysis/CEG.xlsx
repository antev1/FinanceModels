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2AEA03C-D25E-42C2-88CB-76A3DDD8BFE4}" xr6:coauthVersionLast="47" xr6:coauthVersionMax="47" xr10:uidLastSave="{00000000-0000-0000-0000-000000000000}"/>
  <bookViews>
    <workbookView xWindow="-108" yWindow="-108" windowWidth="23256" windowHeight="12576" activeTab="1" xr2:uid="{FD8B9579-E08E-4C89-8726-3FC953CC4FC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" i="2" l="1"/>
  <c r="AD5" i="2"/>
  <c r="AC5" i="2"/>
  <c r="AB5" i="2"/>
  <c r="AA5" i="2"/>
  <c r="Z5" i="2"/>
  <c r="Y5" i="2"/>
  <c r="X5" i="2"/>
  <c r="W5" i="2"/>
  <c r="V5" i="2"/>
  <c r="V6" i="2" s="1"/>
  <c r="V7" i="2" s="1"/>
  <c r="V22" i="2" s="1"/>
  <c r="Z3" i="2"/>
  <c r="Y3" i="2"/>
  <c r="X3" i="2"/>
  <c r="W3" i="2"/>
  <c r="V3" i="2"/>
  <c r="AH26" i="2"/>
  <c r="AH23" i="2"/>
  <c r="AE16" i="2"/>
  <c r="AD16" i="2"/>
  <c r="AC16" i="2"/>
  <c r="AB16" i="2"/>
  <c r="AA16" i="2"/>
  <c r="Z16" i="2"/>
  <c r="Y16" i="2"/>
  <c r="X16" i="2"/>
  <c r="W16" i="2"/>
  <c r="X11" i="2"/>
  <c r="Y11" i="2" s="1"/>
  <c r="Z11" i="2" s="1"/>
  <c r="AA11" i="2" s="1"/>
  <c r="AB11" i="2" s="1"/>
  <c r="AC11" i="2" s="1"/>
  <c r="AD11" i="2" s="1"/>
  <c r="AE11" i="2" s="1"/>
  <c r="W11" i="2"/>
  <c r="V16" i="2"/>
  <c r="V11" i="2"/>
  <c r="V4" i="2"/>
  <c r="W4" i="2"/>
  <c r="N15" i="2"/>
  <c r="N16" i="2"/>
  <c r="N17" i="2"/>
  <c r="M15" i="2"/>
  <c r="M25" i="2" s="1"/>
  <c r="M16" i="2"/>
  <c r="M17" i="2"/>
  <c r="N14" i="2"/>
  <c r="M14" i="2"/>
  <c r="N13" i="2"/>
  <c r="M13" i="2"/>
  <c r="N11" i="2"/>
  <c r="M11" i="2"/>
  <c r="N10" i="2"/>
  <c r="M10" i="2"/>
  <c r="N9" i="2"/>
  <c r="U9" i="2" s="1"/>
  <c r="M9" i="2"/>
  <c r="N8" i="2"/>
  <c r="M8" i="2"/>
  <c r="U8" i="2" s="1"/>
  <c r="N5" i="2"/>
  <c r="N6" i="2" s="1"/>
  <c r="N7" i="2" s="1"/>
  <c r="M6" i="2"/>
  <c r="M7" i="2" s="1"/>
  <c r="M22" i="2" s="1"/>
  <c r="N4" i="2"/>
  <c r="M4" i="2"/>
  <c r="M5" i="2"/>
  <c r="M21" i="2" s="1"/>
  <c r="U5" i="2"/>
  <c r="U21" i="2" s="1"/>
  <c r="U4" i="2"/>
  <c r="U20" i="2" s="1"/>
  <c r="U14" i="2"/>
  <c r="U12" i="2"/>
  <c r="U11" i="2"/>
  <c r="U3" i="2"/>
  <c r="U19" i="2" s="1"/>
  <c r="T21" i="2"/>
  <c r="S21" i="2"/>
  <c r="R21" i="2"/>
  <c r="Q21" i="2"/>
  <c r="T20" i="2"/>
  <c r="S20" i="2"/>
  <c r="R20" i="2"/>
  <c r="Q20" i="2"/>
  <c r="N20" i="2"/>
  <c r="M20" i="2"/>
  <c r="K21" i="2"/>
  <c r="J21" i="2"/>
  <c r="I21" i="2"/>
  <c r="H21" i="2"/>
  <c r="G21" i="2"/>
  <c r="F21" i="2"/>
  <c r="E21" i="2"/>
  <c r="D21" i="2"/>
  <c r="C21" i="2"/>
  <c r="K20" i="2"/>
  <c r="J20" i="2"/>
  <c r="I20" i="2"/>
  <c r="H20" i="2"/>
  <c r="G20" i="2"/>
  <c r="F20" i="2"/>
  <c r="E20" i="2"/>
  <c r="D20" i="2"/>
  <c r="C20" i="2"/>
  <c r="L21" i="2"/>
  <c r="L20" i="2"/>
  <c r="F14" i="2"/>
  <c r="F11" i="2"/>
  <c r="F9" i="2"/>
  <c r="F8" i="2"/>
  <c r="F5" i="2"/>
  <c r="F4" i="2"/>
  <c r="F3" i="2"/>
  <c r="C12" i="2"/>
  <c r="C6" i="2"/>
  <c r="C7" i="2" s="1"/>
  <c r="C10" i="2" s="1"/>
  <c r="J14" i="2"/>
  <c r="J11" i="2"/>
  <c r="J9" i="2"/>
  <c r="J8" i="2"/>
  <c r="J5" i="2"/>
  <c r="J4" i="2"/>
  <c r="J3" i="2"/>
  <c r="N3" i="2" s="1"/>
  <c r="N23" i="2" s="1"/>
  <c r="E6" i="2"/>
  <c r="E7" i="2" s="1"/>
  <c r="I12" i="2"/>
  <c r="I19" i="2"/>
  <c r="I6" i="2"/>
  <c r="I7" i="2" s="1"/>
  <c r="I10" i="2" s="1"/>
  <c r="M23" i="2"/>
  <c r="M19" i="2"/>
  <c r="T12" i="2"/>
  <c r="J12" i="2" s="1"/>
  <c r="T6" i="2"/>
  <c r="T7" i="2" s="1"/>
  <c r="T19" i="2"/>
  <c r="L16" i="2"/>
  <c r="G19" i="2"/>
  <c r="G6" i="2"/>
  <c r="G7" i="2" s="1"/>
  <c r="G10" i="2" s="1"/>
  <c r="K19" i="2"/>
  <c r="K6" i="2"/>
  <c r="K7" i="2" s="1"/>
  <c r="L19" i="2"/>
  <c r="L6" i="2"/>
  <c r="L7" i="2" s="1"/>
  <c r="D7" i="1"/>
  <c r="D6" i="1"/>
  <c r="U16" i="2"/>
  <c r="D4" i="1"/>
  <c r="D5" i="1" s="1"/>
  <c r="Q12" i="2"/>
  <c r="Q11" i="2"/>
  <c r="Q5" i="2"/>
  <c r="Q4" i="2"/>
  <c r="R12" i="2"/>
  <c r="S12" i="2"/>
  <c r="F12" i="2" s="1"/>
  <c r="R5" i="2"/>
  <c r="R4" i="2"/>
  <c r="R3" i="2"/>
  <c r="R19" i="2" s="1"/>
  <c r="S6" i="2"/>
  <c r="S7" i="2" s="1"/>
  <c r="H19" i="2"/>
  <c r="D6" i="2"/>
  <c r="D7" i="2" s="1"/>
  <c r="D10" i="2" s="1"/>
  <c r="D13" i="2" s="1"/>
  <c r="D15" i="2" s="1"/>
  <c r="D25" i="2" s="1"/>
  <c r="H6" i="2"/>
  <c r="H7" i="2" s="1"/>
  <c r="F3" i="1"/>
  <c r="V21" i="2" l="1"/>
  <c r="W19" i="2"/>
  <c r="W21" i="2"/>
  <c r="W20" i="2"/>
  <c r="V9" i="2"/>
  <c r="V10" i="2" s="1"/>
  <c r="V20" i="2"/>
  <c r="X19" i="2"/>
  <c r="N24" i="2"/>
  <c r="M24" i="2"/>
  <c r="N21" i="2"/>
  <c r="U6" i="2"/>
  <c r="U7" i="2" s="1"/>
  <c r="V19" i="2"/>
  <c r="J6" i="2"/>
  <c r="J7" i="2" s="1"/>
  <c r="J22" i="2" s="1"/>
  <c r="R6" i="2"/>
  <c r="F6" i="2"/>
  <c r="F7" i="2" s="1"/>
  <c r="F10" i="2" s="1"/>
  <c r="J19" i="2"/>
  <c r="N19" i="2"/>
  <c r="N22" i="2"/>
  <c r="N25" i="2"/>
  <c r="C22" i="2"/>
  <c r="C23" i="2"/>
  <c r="C13" i="2"/>
  <c r="J10" i="2"/>
  <c r="E22" i="2"/>
  <c r="E10" i="2"/>
  <c r="I23" i="2"/>
  <c r="I13" i="2"/>
  <c r="I22" i="2"/>
  <c r="T10" i="2"/>
  <c r="T22" i="2"/>
  <c r="G23" i="2"/>
  <c r="G13" i="2"/>
  <c r="G22" i="2"/>
  <c r="K22" i="2"/>
  <c r="K10" i="2"/>
  <c r="L10" i="2"/>
  <c r="L22" i="2"/>
  <c r="H10" i="2"/>
  <c r="H22" i="2"/>
  <c r="D22" i="2"/>
  <c r="D23" i="2"/>
  <c r="D24" i="2"/>
  <c r="D8" i="1"/>
  <c r="D9" i="1" s="1"/>
  <c r="D17" i="2"/>
  <c r="Q6" i="2"/>
  <c r="Q7" i="2" s="1"/>
  <c r="Q10" i="2" s="1"/>
  <c r="R7" i="2"/>
  <c r="R22" i="2" s="1"/>
  <c r="S19" i="2"/>
  <c r="S10" i="2"/>
  <c r="S22" i="2"/>
  <c r="V23" i="2" l="1"/>
  <c r="V13" i="2"/>
  <c r="V14" i="2" s="1"/>
  <c r="V15" i="2" s="1"/>
  <c r="X4" i="2"/>
  <c r="X21" i="2"/>
  <c r="W6" i="2"/>
  <c r="W7" i="2" s="1"/>
  <c r="U10" i="2"/>
  <c r="U23" i="2" s="1"/>
  <c r="U22" i="2"/>
  <c r="F22" i="2"/>
  <c r="F23" i="2"/>
  <c r="F13" i="2"/>
  <c r="C15" i="2"/>
  <c r="C24" i="2"/>
  <c r="J13" i="2"/>
  <c r="J23" i="2"/>
  <c r="E23" i="2"/>
  <c r="E13" i="2"/>
  <c r="I24" i="2"/>
  <c r="I15" i="2"/>
  <c r="T13" i="2"/>
  <c r="T23" i="2"/>
  <c r="G24" i="2"/>
  <c r="G15" i="2"/>
  <c r="K23" i="2"/>
  <c r="K13" i="2"/>
  <c r="L13" i="2"/>
  <c r="L23" i="2"/>
  <c r="H13" i="2"/>
  <c r="H23" i="2"/>
  <c r="Q22" i="2"/>
  <c r="Q23" i="2"/>
  <c r="Q13" i="2"/>
  <c r="R10" i="2"/>
  <c r="R13" i="2" s="1"/>
  <c r="S23" i="2"/>
  <c r="S13" i="2"/>
  <c r="V24" i="2" l="1"/>
  <c r="W22" i="2"/>
  <c r="W9" i="2"/>
  <c r="W10" i="2" s="1"/>
  <c r="X6" i="2"/>
  <c r="X7" i="2" s="1"/>
  <c r="X20" i="2"/>
  <c r="Y21" i="2"/>
  <c r="Y4" i="2"/>
  <c r="Y20" i="2" s="1"/>
  <c r="Y19" i="2"/>
  <c r="V25" i="2"/>
  <c r="V17" i="2"/>
  <c r="U13" i="2"/>
  <c r="U24" i="2" s="1"/>
  <c r="F24" i="2"/>
  <c r="F15" i="2"/>
  <c r="C25" i="2"/>
  <c r="C17" i="2"/>
  <c r="J15" i="2"/>
  <c r="J24" i="2"/>
  <c r="E15" i="2"/>
  <c r="E24" i="2"/>
  <c r="I25" i="2"/>
  <c r="I17" i="2"/>
  <c r="T15" i="2"/>
  <c r="T24" i="2"/>
  <c r="G17" i="2"/>
  <c r="G25" i="2"/>
  <c r="K24" i="2"/>
  <c r="K15" i="2"/>
  <c r="L24" i="2"/>
  <c r="L15" i="2"/>
  <c r="H15" i="2"/>
  <c r="H24" i="2"/>
  <c r="Q24" i="2"/>
  <c r="Q15" i="2"/>
  <c r="R23" i="2"/>
  <c r="R24" i="2"/>
  <c r="R15" i="2"/>
  <c r="S24" i="2"/>
  <c r="S15" i="2"/>
  <c r="X9" i="2" l="1"/>
  <c r="X10" i="2" s="1"/>
  <c r="X22" i="2"/>
  <c r="W13" i="2"/>
  <c r="W23" i="2"/>
  <c r="AA3" i="2"/>
  <c r="Z21" i="2"/>
  <c r="Z4" i="2"/>
  <c r="Z6" i="2" s="1"/>
  <c r="Z7" i="2" s="1"/>
  <c r="Z19" i="2"/>
  <c r="Y6" i="2"/>
  <c r="Y7" i="2" s="1"/>
  <c r="U15" i="2"/>
  <c r="U25" i="2" s="1"/>
  <c r="F25" i="2"/>
  <c r="F17" i="2"/>
  <c r="J25" i="2"/>
  <c r="J17" i="2"/>
  <c r="E25" i="2"/>
  <c r="E17" i="2"/>
  <c r="T25" i="2"/>
  <c r="T17" i="2"/>
  <c r="K17" i="2"/>
  <c r="K25" i="2"/>
  <c r="L25" i="2"/>
  <c r="L17" i="2"/>
  <c r="H17" i="2"/>
  <c r="H25" i="2"/>
  <c r="Q17" i="2"/>
  <c r="Q25" i="2"/>
  <c r="R25" i="2"/>
  <c r="R17" i="2"/>
  <c r="S25" i="2"/>
  <c r="S17" i="2"/>
  <c r="Z9" i="2" l="1"/>
  <c r="Z10" i="2" s="1"/>
  <c r="Z22" i="2"/>
  <c r="AB3" i="2"/>
  <c r="AA4" i="2"/>
  <c r="AA20" i="2" s="1"/>
  <c r="AA19" i="2"/>
  <c r="AA21" i="2"/>
  <c r="Y9" i="2"/>
  <c r="Y10" i="2" s="1"/>
  <c r="Y22" i="2"/>
  <c r="Z20" i="2"/>
  <c r="W14" i="2"/>
  <c r="W24" i="2" s="1"/>
  <c r="W15" i="2"/>
  <c r="X13" i="2"/>
  <c r="X23" i="2"/>
  <c r="U17" i="2"/>
  <c r="AA6" i="2" l="1"/>
  <c r="AA7" i="2" s="1"/>
  <c r="AA22" i="2" s="1"/>
  <c r="W17" i="2"/>
  <c r="W25" i="2"/>
  <c r="AC3" i="2"/>
  <c r="AB4" i="2"/>
  <c r="AB19" i="2"/>
  <c r="AB21" i="2"/>
  <c r="AB20" i="2"/>
  <c r="X14" i="2"/>
  <c r="X24" i="2" s="1"/>
  <c r="Y13" i="2"/>
  <c r="Y23" i="2"/>
  <c r="Z13" i="2"/>
  <c r="Z23" i="2"/>
  <c r="AA9" i="2" l="1"/>
  <c r="AA10" i="2" s="1"/>
  <c r="AA13" i="2" s="1"/>
  <c r="Z14" i="2"/>
  <c r="Z24" i="2" s="1"/>
  <c r="AB6" i="2"/>
  <c r="AB7" i="2" s="1"/>
  <c r="Y14" i="2"/>
  <c r="Y24" i="2" s="1"/>
  <c r="AD3" i="2"/>
  <c r="AC21" i="2"/>
  <c r="AC4" i="2"/>
  <c r="AC6" i="2" s="1"/>
  <c r="AC7" i="2" s="1"/>
  <c r="AC19" i="2"/>
  <c r="X15" i="2"/>
  <c r="AA23" i="2" l="1"/>
  <c r="AC20" i="2"/>
  <c r="Y15" i="2"/>
  <c r="AA14" i="2"/>
  <c r="AA24" i="2" s="1"/>
  <c r="X17" i="2"/>
  <c r="X25" i="2"/>
  <c r="AC9" i="2"/>
  <c r="AC10" i="2" s="1"/>
  <c r="AC22" i="2"/>
  <c r="AE3" i="2"/>
  <c r="AD21" i="2"/>
  <c r="AD4" i="2"/>
  <c r="AD6" i="2" s="1"/>
  <c r="AD7" i="2" s="1"/>
  <c r="AD19" i="2"/>
  <c r="AB9" i="2"/>
  <c r="AB10" i="2" s="1"/>
  <c r="AB22" i="2"/>
  <c r="Z15" i="2"/>
  <c r="AD20" i="2" l="1"/>
  <c r="AA15" i="2"/>
  <c r="AA17" i="2" s="1"/>
  <c r="AC13" i="2"/>
  <c r="AC23" i="2"/>
  <c r="AB13" i="2"/>
  <c r="AB23" i="2"/>
  <c r="AD9" i="2"/>
  <c r="AD10" i="2" s="1"/>
  <c r="AD22" i="2"/>
  <c r="Z17" i="2"/>
  <c r="Z25" i="2"/>
  <c r="AE4" i="2"/>
  <c r="AE20" i="2"/>
  <c r="AE21" i="2"/>
  <c r="AE19" i="2"/>
  <c r="Y17" i="2"/>
  <c r="Y25" i="2"/>
  <c r="AA25" i="2" l="1"/>
  <c r="AD13" i="2"/>
  <c r="AD23" i="2"/>
  <c r="AE6" i="2"/>
  <c r="AE7" i="2" s="1"/>
  <c r="AB14" i="2"/>
  <c r="AB24" i="2" s="1"/>
  <c r="AC14" i="2"/>
  <c r="AC24" i="2" s="1"/>
  <c r="AB15" i="2" l="1"/>
  <c r="AB25" i="2" s="1"/>
  <c r="AC15" i="2"/>
  <c r="AE9" i="2"/>
  <c r="AE10" i="2" s="1"/>
  <c r="AE22" i="2"/>
  <c r="AD14" i="2"/>
  <c r="AD24" i="2" s="1"/>
  <c r="AD15" i="2" l="1"/>
  <c r="AD25" i="2" s="1"/>
  <c r="AB17" i="2"/>
  <c r="AE13" i="2"/>
  <c r="AE23" i="2"/>
  <c r="AC17" i="2"/>
  <c r="AC25" i="2"/>
  <c r="AD17" i="2" l="1"/>
  <c r="AE14" i="2"/>
  <c r="AE24" i="2" s="1"/>
  <c r="AE15" i="2" l="1"/>
  <c r="AE17" i="2" l="1"/>
  <c r="AF15" i="2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AH22" i="2" s="1"/>
  <c r="AH24" i="2" s="1"/>
  <c r="AH25" i="2" s="1"/>
  <c r="AH27" i="2" s="1"/>
  <c r="AE25" i="2"/>
</calcChain>
</file>

<file path=xl/sharedStrings.xml><?xml version="1.0" encoding="utf-8"?>
<sst xmlns="http://schemas.openxmlformats.org/spreadsheetml/2006/main" count="73" uniqueCount="66">
  <si>
    <t>CEG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</si>
  <si>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</si>
  <si>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</si>
  <si>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</si>
  <si>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</si>
  <si>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</si>
  <si>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</si>
  <si>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</si>
  <si>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</si>
  <si>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</si>
  <si>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</si>
  <si>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</si>
  <si>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Purchased power cost</t>
  </si>
  <si>
    <t>Maintenance cost</t>
  </si>
  <si>
    <t>D&amp;A</t>
  </si>
  <si>
    <t>Operating taxes</t>
  </si>
  <si>
    <t>Interest expense</t>
  </si>
  <si>
    <t>Other expense</t>
  </si>
  <si>
    <t>Pretax profit</t>
  </si>
  <si>
    <t>Taxes</t>
  </si>
  <si>
    <t>Net profit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</si>
  <si>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</si>
  <si>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</si>
  <si>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</si>
  <si>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</si>
  <si>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</si>
  <si>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</si>
  <si>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</si>
  <si>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</si>
  <si>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</si>
  <si>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Operating profit</t>
  </si>
  <si>
    <t>Gross profit</t>
  </si>
  <si>
    <t>Total cost of sales</t>
  </si>
  <si>
    <t>Revenue y/y</t>
  </si>
  <si>
    <t>Gross Margin</t>
  </si>
  <si>
    <t>Operating Margin</t>
  </si>
  <si>
    <t>Net Margin</t>
  </si>
  <si>
    <t>Q225</t>
  </si>
  <si>
    <t>Q125</t>
  </si>
  <si>
    <t>Q325</t>
  </si>
  <si>
    <t>Q425</t>
  </si>
  <si>
    <t>PPA Margin</t>
  </si>
  <si>
    <t>Maintenance Margin</t>
  </si>
  <si>
    <t>Maturity</t>
  </si>
  <si>
    <t>Discount rate</t>
  </si>
  <si>
    <t>NPV</t>
  </si>
  <si>
    <t>Value</t>
  </si>
  <si>
    <t>Net cash</t>
  </si>
  <si>
    <t>Per share</t>
  </si>
  <si>
    <t>Current price</t>
  </si>
  <si>
    <t>Variance</t>
  </si>
  <si>
    <t>Consensus</t>
  </si>
  <si>
    <t>Overvalued</t>
  </si>
  <si>
    <t>Restricted cash</t>
  </si>
  <si>
    <t>A/R</t>
  </si>
  <si>
    <t>Derivatives</t>
  </si>
  <si>
    <t>Inventories</t>
  </si>
  <si>
    <t>Credits</t>
  </si>
  <si>
    <t>OCA</t>
  </si>
  <si>
    <t>Current assets</t>
  </si>
  <si>
    <t>PP&amp;E</t>
  </si>
  <si>
    <t>Investments</t>
  </si>
  <si>
    <t>Goodwill</t>
  </si>
  <si>
    <t>ONCA</t>
  </si>
  <si>
    <t>Non-current assets</t>
  </si>
  <si>
    <t>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</si>
</sst>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</xdr:colOff>
      <xdr:row>0</xdr:row>
      <xdr:rowOff>7620</xdr:rowOff>
    </xdr:from>
    <xdr:to>
      <xdr:col>20</xdr:col>
      <xdr:colOff>15240</xdr:colOff>
      <xdr:row>35</xdr:row>
      <xdr:rowOff>45720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3D4322-3274-D79C-C184-51727DCB0288}"/>
            </a:ext>
          </a:extLst>
        </xdr:cNvPr>
        <xdr:cNvCxnSpPr/>
      </xdr:nvCxnSpPr>
      <xdr:spPr>
        <a:xfrm>
          <a:off x="12908280" y="7620"/>
          <a:ext cx="0" cy="607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0</xdr:row>
      <xdr:rowOff>15240</xdr:rowOff>
    </xdr:from>
    <xdr:to>
      <xdr:col>12</xdr:col>
      <xdr:colOff>15240</xdr:colOff>
      <xdr:row>35</xdr:row>
      <xdr:rowOff>45720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33F0183-3FE8-BA84-79D4-6F19517AC87E}"/>
            </a:ext>
          </a:extLst>
        </xdr:cNvPr>
        <xdr:cNvCxnSpPr/>
      </xdr:nvCxnSpPr>
      <xdr:spPr>
        <a:xfrm>
          <a:off x="8031480" y="15240"/>
          <a:ext cx="0" cy="60655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0581-6FBD-4939-B80C-3CABCD009FA4}">
  <dimension ref="B2:G9"/>
  <sheetViews>
    <sheetView workbookViewId="0">
      <selection activeCell="D4" sqref="D4"/>
    </sheetView>
  </sheetViews>
  <sheetFormatPr defaultRowHeight="14.4" x14ac:dyDescent="0.3"/>
  <cols>
    <col min="5" max="7" width="14.218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6">
        <v>332.45</v>
      </c>
      <c r="E3" s="4">
        <v>45909</v>
      </c>
      <c r="F3" s="4">
        <f ca="1">TODAY()</f>
        <v>45927</v>
      </c>
      <c r="G3" s="4">
        <v>45971</v>
      </c>
    </row>
    <row r="4" spans="2:7" x14ac:dyDescent="0.3">
      <c r="C4" t="s">
        <v>2</v>
      </c>
      <c r="D4" s="5">
        <f>312.4</f>
        <v>312.39999999999998</v>
      </c>
      <c r="E4" s="3" t="s">
        <v>37</v>
      </c>
    </row>
    <row r="5" spans="2:7" x14ac:dyDescent="0.3">
      <c r="C5" t="s">
        <v>3</v>
      </c>
      <c r="D5" s="5">
        <f>D3*D4</f>
        <v>103857.37999999999</v>
      </c>
    </row>
    <row r="6" spans="2:7" x14ac:dyDescent="0.3">
      <c r="C6" t="s">
        <v>4</v>
      </c>
      <c r="D6" s="5">
        <f>1974+88</f>
        <v>2062</v>
      </c>
      <c r="E6" s="3" t="s">
        <v>37</v>
      </c>
    </row>
    <row r="7" spans="2:7" x14ac:dyDescent="0.3">
      <c r="C7" t="s">
        <v>5</v>
      </c>
      <c r="D7" s="5">
        <f>900+125+7286</f>
        <v>8311</v>
      </c>
      <c r="E7" s="3" t="s">
        <v>37</v>
      </c>
    </row>
    <row r="8" spans="2:7" x14ac:dyDescent="0.3">
      <c r="C8" t="s">
        <v>6</v>
      </c>
      <c r="D8" s="5">
        <f>D6-D7</f>
        <v>-6249</v>
      </c>
    </row>
    <row r="9" spans="2:7" x14ac:dyDescent="0.3">
      <c r="C9" t="s">
        <v>7</v>
      </c>
      <c r="D9" s="5">
        <f>D5-D8</f>
        <v>110106.37999999999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41C5-2D92-4E0E-A023-57C39442136D}">
  <dimension ref="B2:EJ42"/>
  <sheetViews>
    <sheetView tabSelected="1" workbookViewId="0">
      <pane xSplit="2" ySplit="2" topLeftCell="C20" activePane="bottomRight" state="frozen"/>
      <selection pane="topRight" activeCell="C1" sqref="C1"/>
      <selection pane="bottomLeft" activeCell="A3" sqref="A3"/>
      <selection pane="bottomRight" activeCell="L42" sqref="L42"/>
    </sheetView>
  </sheetViews>
  <sheetFormatPr defaultRowHeight="14.4" x14ac:dyDescent="0.3"/>
  <cols>
    <col min="2" max="2" width="19.109375" bestFit="1" customWidth="1"/>
    <col min="33" max="34" width="12" bestFit="1" customWidth="1"/>
  </cols>
  <sheetData>
    <row r="2" spans="2:140" x14ac:dyDescent="0.3"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38</v>
      </c>
      <c r="L2" s="2" t="s">
        <v>37</v>
      </c>
      <c r="M2" s="2" t="s">
        <v>39</v>
      </c>
      <c r="N2" s="2" t="s">
        <v>40</v>
      </c>
      <c r="O2" s="2"/>
      <c r="Q2">
        <v>2021</v>
      </c>
      <c r="R2">
        <v>2022</v>
      </c>
      <c r="S2">
        <v>2023</v>
      </c>
      <c r="T2">
        <v>2024</v>
      </c>
      <c r="U2">
        <v>2025</v>
      </c>
      <c r="V2">
        <v>2026</v>
      </c>
      <c r="W2">
        <v>2027</v>
      </c>
      <c r="X2">
        <v>2028</v>
      </c>
      <c r="Y2">
        <v>2029</v>
      </c>
      <c r="Z2">
        <v>2030</v>
      </c>
      <c r="AA2">
        <v>2031</v>
      </c>
      <c r="AB2">
        <v>2032</v>
      </c>
      <c r="AC2">
        <v>2033</v>
      </c>
      <c r="AD2">
        <v>2034</v>
      </c>
      <c r="AE2">
        <v>2035</v>
      </c>
    </row>
    <row r="3" spans="2:140" s="1" customFormat="1" x14ac:dyDescent="0.3">
      <c r="B3" s="1" t="s">
        <v>11</v>
      </c>
      <c r="C3" s="8">
        <v>7565</v>
      </c>
      <c r="D3" s="8">
        <v>5446</v>
      </c>
      <c r="E3" s="8">
        <v>6111</v>
      </c>
      <c r="F3" s="8">
        <f>S3-E3-D3-C3</f>
        <v>5796</v>
      </c>
      <c r="G3" s="8">
        <v>6161</v>
      </c>
      <c r="H3" s="8">
        <v>5475</v>
      </c>
      <c r="I3" s="8">
        <v>6550</v>
      </c>
      <c r="J3" s="8">
        <f>T3-I3-H3-G3</f>
        <v>5382</v>
      </c>
      <c r="K3" s="8">
        <v>6788</v>
      </c>
      <c r="L3" s="8">
        <v>6101</v>
      </c>
      <c r="M3" s="8">
        <v>7000</v>
      </c>
      <c r="N3" s="8">
        <f>J3*1.1</f>
        <v>5920.2000000000007</v>
      </c>
      <c r="Q3" s="8">
        <v>19649</v>
      </c>
      <c r="R3" s="8">
        <f>24280+160</f>
        <v>24440</v>
      </c>
      <c r="S3" s="8">
        <v>24918</v>
      </c>
      <c r="T3" s="8">
        <v>23568</v>
      </c>
      <c r="U3" s="8">
        <f>SUM(K3:N3)</f>
        <v>25809.200000000001</v>
      </c>
      <c r="V3" s="8">
        <f>U3*1.09</f>
        <v>28132.028000000002</v>
      </c>
      <c r="W3" s="8">
        <f>V3*1.08</f>
        <v>30382.590240000005</v>
      </c>
      <c r="X3" s="8">
        <f>W3*1.06</f>
        <v>32205.545654400008</v>
      </c>
      <c r="Y3" s="8">
        <f>X3*1.05</f>
        <v>33815.822937120007</v>
      </c>
      <c r="Z3" s="8">
        <f>Y3*1.04</f>
        <v>35168.455854604807</v>
      </c>
      <c r="AA3" s="8">
        <f t="shared" ref="AA3:AE3" si="0">Z3*1.03</f>
        <v>36223.509530242954</v>
      </c>
      <c r="AB3" s="8">
        <f t="shared" si="0"/>
        <v>37310.214816150241</v>
      </c>
      <c r="AC3" s="8">
        <f t="shared" si="0"/>
        <v>38429.521260634749</v>
      </c>
      <c r="AD3" s="8">
        <f t="shared" si="0"/>
        <v>39582.406898453795</v>
      </c>
      <c r="AE3" s="8">
        <f t="shared" si="0"/>
        <v>40769.87910540741</v>
      </c>
    </row>
    <row r="4" spans="2:140" x14ac:dyDescent="0.3">
      <c r="B4" t="s">
        <v>12</v>
      </c>
      <c r="C4" s="5">
        <v>5729</v>
      </c>
      <c r="D4" s="5">
        <v>2887</v>
      </c>
      <c r="E4" s="5">
        <v>3367</v>
      </c>
      <c r="F4" s="5">
        <f>S4-E4-D4-C4</f>
        <v>4018</v>
      </c>
      <c r="G4" s="5">
        <v>3417</v>
      </c>
      <c r="H4" s="5">
        <v>2292</v>
      </c>
      <c r="I4" s="5">
        <v>3119</v>
      </c>
      <c r="J4" s="5">
        <f>T4-I4-H4-G4</f>
        <v>2591</v>
      </c>
      <c r="K4" s="5">
        <v>4384</v>
      </c>
      <c r="L4" s="5">
        <v>3132</v>
      </c>
      <c r="M4" s="5">
        <f>M3*0.55</f>
        <v>3850.0000000000005</v>
      </c>
      <c r="N4" s="5">
        <f>N3*0.55</f>
        <v>3256.1100000000006</v>
      </c>
      <c r="Q4" s="5">
        <f>12157+6</f>
        <v>12163</v>
      </c>
      <c r="R4" s="5">
        <f>17457+5</f>
        <v>17462</v>
      </c>
      <c r="S4" s="5">
        <v>16001</v>
      </c>
      <c r="T4" s="5">
        <v>11419</v>
      </c>
      <c r="U4" s="5">
        <f>SUM(K4:N4)</f>
        <v>14622.11</v>
      </c>
      <c r="V4" s="5">
        <f>V3*0.56</f>
        <v>15753.935680000002</v>
      </c>
      <c r="W4" s="5">
        <f t="shared" ref="W4:AE4" si="1">W3*0.56</f>
        <v>17014.250534400006</v>
      </c>
      <c r="X4" s="5">
        <f t="shared" si="1"/>
        <v>18035.105566464008</v>
      </c>
      <c r="Y4" s="5">
        <f t="shared" si="1"/>
        <v>18936.860844787207</v>
      </c>
      <c r="Z4" s="5">
        <f t="shared" si="1"/>
        <v>19694.335278578692</v>
      </c>
      <c r="AA4" s="5">
        <f t="shared" si="1"/>
        <v>20285.165336936057</v>
      </c>
      <c r="AB4" s="5">
        <f t="shared" si="1"/>
        <v>20893.720297044136</v>
      </c>
      <c r="AC4" s="5">
        <f t="shared" si="1"/>
        <v>21520.53190595546</v>
      </c>
      <c r="AD4" s="5">
        <f t="shared" si="1"/>
        <v>22166.147863134127</v>
      </c>
      <c r="AE4" s="5">
        <f t="shared" si="1"/>
        <v>22831.132299028151</v>
      </c>
    </row>
    <row r="5" spans="2:140" x14ac:dyDescent="0.3">
      <c r="B5" t="s">
        <v>13</v>
      </c>
      <c r="C5" s="5">
        <v>1432</v>
      </c>
      <c r="D5" s="5">
        <v>1477</v>
      </c>
      <c r="E5" s="5">
        <v>1353</v>
      </c>
      <c r="F5" s="5">
        <f>S5-E5-D5-C5</f>
        <v>1423</v>
      </c>
      <c r="G5" s="5">
        <v>1486</v>
      </c>
      <c r="H5" s="5">
        <v>1645</v>
      </c>
      <c r="I5" s="5">
        <v>1535</v>
      </c>
      <c r="J5" s="5">
        <f>T5-I5-H5-G5</f>
        <v>1493</v>
      </c>
      <c r="K5" s="5">
        <v>1545</v>
      </c>
      <c r="L5" s="5">
        <v>1617</v>
      </c>
      <c r="M5" s="5">
        <f>M3*0.25</f>
        <v>1750</v>
      </c>
      <c r="N5" s="5">
        <f>N3*0.25</f>
        <v>1480.0500000000002</v>
      </c>
      <c r="Q5" s="5">
        <f>3934+621</f>
        <v>4555</v>
      </c>
      <c r="R5" s="5">
        <f>4797+44</f>
        <v>4841</v>
      </c>
      <c r="S5" s="5">
        <v>5685</v>
      </c>
      <c r="T5" s="5">
        <v>6159</v>
      </c>
      <c r="U5" s="5">
        <f>SUM(K5:N5)</f>
        <v>6392.05</v>
      </c>
      <c r="V5" s="5">
        <f>V3*0.23</f>
        <v>6470.3664400000007</v>
      </c>
      <c r="W5" s="5">
        <f t="shared" ref="W5:AE5" si="2">W3*0.23</f>
        <v>6987.9957552000014</v>
      </c>
      <c r="X5" s="5">
        <f t="shared" si="2"/>
        <v>7407.2755005120025</v>
      </c>
      <c r="Y5" s="5">
        <f t="shared" si="2"/>
        <v>7777.6392755376019</v>
      </c>
      <c r="Z5" s="5">
        <f t="shared" si="2"/>
        <v>8088.744846559106</v>
      </c>
      <c r="AA5" s="5">
        <f t="shared" si="2"/>
        <v>8331.4071919558792</v>
      </c>
      <c r="AB5" s="5">
        <f t="shared" si="2"/>
        <v>8581.3494077145551</v>
      </c>
      <c r="AC5" s="5">
        <f t="shared" si="2"/>
        <v>8838.7898899459924</v>
      </c>
      <c r="AD5" s="5">
        <f t="shared" si="2"/>
        <v>9103.953586644373</v>
      </c>
      <c r="AE5" s="5">
        <f t="shared" si="2"/>
        <v>9377.0721942437049</v>
      </c>
    </row>
    <row r="6" spans="2:140" x14ac:dyDescent="0.3">
      <c r="B6" t="s">
        <v>32</v>
      </c>
      <c r="C6" s="5">
        <f t="shared" ref="C6:L6" si="3">C4+C5</f>
        <v>7161</v>
      </c>
      <c r="D6" s="5">
        <f t="shared" si="3"/>
        <v>4364</v>
      </c>
      <c r="E6" s="5">
        <f t="shared" si="3"/>
        <v>4720</v>
      </c>
      <c r="F6" s="5">
        <f t="shared" si="3"/>
        <v>5441</v>
      </c>
      <c r="G6" s="5">
        <f t="shared" si="3"/>
        <v>4903</v>
      </c>
      <c r="H6" s="5">
        <f t="shared" si="3"/>
        <v>3937</v>
      </c>
      <c r="I6" s="5">
        <f t="shared" si="3"/>
        <v>4654</v>
      </c>
      <c r="J6" s="5">
        <f t="shared" si="3"/>
        <v>4084</v>
      </c>
      <c r="K6" s="5">
        <f t="shared" si="3"/>
        <v>5929</v>
      </c>
      <c r="L6" s="5">
        <f t="shared" si="3"/>
        <v>4749</v>
      </c>
      <c r="M6" s="5">
        <f t="shared" ref="M6:N6" si="4">M4+M5</f>
        <v>5600</v>
      </c>
      <c r="N6" s="5">
        <f t="shared" si="4"/>
        <v>4736.1600000000008</v>
      </c>
      <c r="Q6" s="5">
        <f t="shared" ref="Q6:V6" si="5">Q4+Q5</f>
        <v>16718</v>
      </c>
      <c r="R6" s="5">
        <f t="shared" si="5"/>
        <v>22303</v>
      </c>
      <c r="S6" s="5">
        <f t="shared" si="5"/>
        <v>21686</v>
      </c>
      <c r="T6" s="5">
        <f t="shared" si="5"/>
        <v>17578</v>
      </c>
      <c r="U6" s="5">
        <f t="shared" si="5"/>
        <v>21014.16</v>
      </c>
      <c r="V6" s="5">
        <f t="shared" si="5"/>
        <v>22224.302120000004</v>
      </c>
      <c r="W6" s="5">
        <f t="shared" ref="W6:AE6" si="6">W4+W5</f>
        <v>24002.246289600007</v>
      </c>
      <c r="X6" s="5">
        <f t="shared" si="6"/>
        <v>25442.38106697601</v>
      </c>
      <c r="Y6" s="5">
        <f t="shared" si="6"/>
        <v>26714.50012032481</v>
      </c>
      <c r="Z6" s="5">
        <f t="shared" si="6"/>
        <v>27783.0801251378</v>
      </c>
      <c r="AA6" s="5">
        <f t="shared" si="6"/>
        <v>28616.572528891935</v>
      </c>
      <c r="AB6" s="5">
        <f t="shared" si="6"/>
        <v>29475.069704758691</v>
      </c>
      <c r="AC6" s="5">
        <f t="shared" si="6"/>
        <v>30359.321795901451</v>
      </c>
      <c r="AD6" s="5">
        <f t="shared" si="6"/>
        <v>31270.1014497785</v>
      </c>
      <c r="AE6" s="5">
        <f t="shared" si="6"/>
        <v>32208.204493271856</v>
      </c>
    </row>
    <row r="7" spans="2:140" s="1" customFormat="1" x14ac:dyDescent="0.3">
      <c r="B7" s="1" t="s">
        <v>31</v>
      </c>
      <c r="C7" s="8">
        <f t="shared" ref="C7:L7" si="7">C3-C6</f>
        <v>404</v>
      </c>
      <c r="D7" s="8">
        <f t="shared" si="7"/>
        <v>1082</v>
      </c>
      <c r="E7" s="8">
        <f t="shared" si="7"/>
        <v>1391</v>
      </c>
      <c r="F7" s="8">
        <f t="shared" si="7"/>
        <v>355</v>
      </c>
      <c r="G7" s="8">
        <f t="shared" si="7"/>
        <v>1258</v>
      </c>
      <c r="H7" s="8">
        <f t="shared" si="7"/>
        <v>1538</v>
      </c>
      <c r="I7" s="8">
        <f t="shared" si="7"/>
        <v>1896</v>
      </c>
      <c r="J7" s="8">
        <f t="shared" si="7"/>
        <v>1298</v>
      </c>
      <c r="K7" s="8">
        <f t="shared" si="7"/>
        <v>859</v>
      </c>
      <c r="L7" s="8">
        <f t="shared" si="7"/>
        <v>1352</v>
      </c>
      <c r="M7" s="8">
        <f t="shared" ref="M7:N7" si="8">M3-M6</f>
        <v>1400</v>
      </c>
      <c r="N7" s="8">
        <f t="shared" si="8"/>
        <v>1184.04</v>
      </c>
      <c r="Q7" s="8">
        <f t="shared" ref="Q7:V7" si="9">Q3-Q6</f>
        <v>2931</v>
      </c>
      <c r="R7" s="8">
        <f t="shared" si="9"/>
        <v>2137</v>
      </c>
      <c r="S7" s="8">
        <f t="shared" si="9"/>
        <v>3232</v>
      </c>
      <c r="T7" s="8">
        <f t="shared" si="9"/>
        <v>5990</v>
      </c>
      <c r="U7" s="8">
        <f t="shared" si="9"/>
        <v>4795.0400000000009</v>
      </c>
      <c r="V7" s="8">
        <f t="shared" si="9"/>
        <v>5907.7258799999981</v>
      </c>
      <c r="W7" s="8">
        <f t="shared" ref="W7:AE7" si="10">W3-W6</f>
        <v>6380.343950399998</v>
      </c>
      <c r="X7" s="8">
        <f t="shared" si="10"/>
        <v>6763.1645874239985</v>
      </c>
      <c r="Y7" s="8">
        <f t="shared" si="10"/>
        <v>7101.3228167951966</v>
      </c>
      <c r="Z7" s="8">
        <f t="shared" si="10"/>
        <v>7385.3757294670067</v>
      </c>
      <c r="AA7" s="8">
        <f t="shared" si="10"/>
        <v>7606.9370013510197</v>
      </c>
      <c r="AB7" s="8">
        <f t="shared" si="10"/>
        <v>7835.14511139155</v>
      </c>
      <c r="AC7" s="8">
        <f t="shared" si="10"/>
        <v>8070.1994647332976</v>
      </c>
      <c r="AD7" s="8">
        <f t="shared" si="10"/>
        <v>8312.3054486752953</v>
      </c>
      <c r="AE7" s="8">
        <f t="shared" si="10"/>
        <v>8561.6746121355536</v>
      </c>
    </row>
    <row r="8" spans="2:140" x14ac:dyDescent="0.3">
      <c r="B8" t="s">
        <v>14</v>
      </c>
      <c r="C8" s="5">
        <v>267</v>
      </c>
      <c r="D8" s="5">
        <v>274</v>
      </c>
      <c r="E8" s="5">
        <v>266</v>
      </c>
      <c r="F8" s="5">
        <f t="shared" ref="F8:F9" si="11">S8-E8-D8-C8</f>
        <v>289</v>
      </c>
      <c r="G8" s="5">
        <v>306</v>
      </c>
      <c r="H8" s="5">
        <v>296</v>
      </c>
      <c r="I8" s="5">
        <v>266</v>
      </c>
      <c r="J8" s="5">
        <f>T8-I8-H8-G8</f>
        <v>255</v>
      </c>
      <c r="K8" s="5">
        <v>248</v>
      </c>
      <c r="L8" s="5">
        <v>254</v>
      </c>
      <c r="M8" s="5">
        <f>I8*1.03</f>
        <v>273.98</v>
      </c>
      <c r="N8" s="5">
        <f>J8*1.03</f>
        <v>262.65000000000003</v>
      </c>
      <c r="Q8" s="5">
        <v>3003</v>
      </c>
      <c r="R8" s="5">
        <v>1091</v>
      </c>
      <c r="S8" s="5">
        <v>1096</v>
      </c>
      <c r="T8" s="5">
        <v>1123</v>
      </c>
      <c r="U8" s="5">
        <f t="shared" ref="U8:U9" si="12">SUM(K8:N8)</f>
        <v>1038.6300000000001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2:140" x14ac:dyDescent="0.3">
      <c r="B9" t="s">
        <v>15</v>
      </c>
      <c r="C9" s="5">
        <v>132</v>
      </c>
      <c r="D9" s="5">
        <v>139</v>
      </c>
      <c r="E9" s="5">
        <v>148</v>
      </c>
      <c r="F9" s="5">
        <f t="shared" si="11"/>
        <v>134</v>
      </c>
      <c r="G9" s="5">
        <v>139</v>
      </c>
      <c r="H9" s="5">
        <v>142</v>
      </c>
      <c r="I9" s="5">
        <v>165</v>
      </c>
      <c r="J9" s="5">
        <f>T9-I9-H9-G9</f>
        <v>140</v>
      </c>
      <c r="K9" s="5">
        <v>160</v>
      </c>
      <c r="L9" s="5">
        <v>147</v>
      </c>
      <c r="M9" s="5">
        <f>M7*0.12</f>
        <v>168</v>
      </c>
      <c r="N9" s="5">
        <f>N7*0.12</f>
        <v>142.0848</v>
      </c>
      <c r="Q9" s="5">
        <v>475</v>
      </c>
      <c r="R9" s="5">
        <v>552</v>
      </c>
      <c r="S9" s="5">
        <v>553</v>
      </c>
      <c r="T9" s="5">
        <v>586</v>
      </c>
      <c r="U9" s="5">
        <f t="shared" si="12"/>
        <v>617.08479999999997</v>
      </c>
      <c r="V9" s="5">
        <f>V7*0.12</f>
        <v>708.92710559999978</v>
      </c>
      <c r="W9" s="5">
        <f t="shared" ref="W9:AE9" si="13">W7*0.12</f>
        <v>765.64127404799979</v>
      </c>
      <c r="X9" s="5">
        <f t="shared" si="13"/>
        <v>811.57975049087975</v>
      </c>
      <c r="Y9" s="5">
        <f t="shared" si="13"/>
        <v>852.15873801542352</v>
      </c>
      <c r="Z9" s="5">
        <f t="shared" si="13"/>
        <v>886.24508753604073</v>
      </c>
      <c r="AA9" s="5">
        <f t="shared" si="13"/>
        <v>912.83244016212234</v>
      </c>
      <c r="AB9" s="5">
        <f t="shared" si="13"/>
        <v>940.21741336698597</v>
      </c>
      <c r="AC9" s="5">
        <f t="shared" si="13"/>
        <v>968.42393576799566</v>
      </c>
      <c r="AD9" s="5">
        <f t="shared" si="13"/>
        <v>997.47665384103539</v>
      </c>
      <c r="AE9" s="5">
        <f t="shared" si="13"/>
        <v>1027.4009534562665</v>
      </c>
    </row>
    <row r="10" spans="2:140" s="1" customFormat="1" x14ac:dyDescent="0.3">
      <c r="B10" s="1" t="s">
        <v>30</v>
      </c>
      <c r="C10" s="8">
        <f t="shared" ref="C10:L10" si="14">C7-C8-C9</f>
        <v>5</v>
      </c>
      <c r="D10" s="8">
        <f t="shared" si="14"/>
        <v>669</v>
      </c>
      <c r="E10" s="8">
        <f t="shared" si="14"/>
        <v>977</v>
      </c>
      <c r="F10" s="8">
        <f t="shared" si="14"/>
        <v>-68</v>
      </c>
      <c r="G10" s="8">
        <f t="shared" si="14"/>
        <v>813</v>
      </c>
      <c r="H10" s="8">
        <f t="shared" si="14"/>
        <v>1100</v>
      </c>
      <c r="I10" s="8">
        <f t="shared" si="14"/>
        <v>1465</v>
      </c>
      <c r="J10" s="8">
        <f t="shared" si="14"/>
        <v>903</v>
      </c>
      <c r="K10" s="8">
        <f t="shared" si="14"/>
        <v>451</v>
      </c>
      <c r="L10" s="8">
        <f t="shared" si="14"/>
        <v>951</v>
      </c>
      <c r="M10" s="8">
        <f t="shared" ref="M10:N10" si="15">M7-M8-M9</f>
        <v>958.02</v>
      </c>
      <c r="N10" s="8">
        <f t="shared" si="15"/>
        <v>779.3051999999999</v>
      </c>
      <c r="Q10" s="8">
        <f t="shared" ref="Q10:V10" si="16">Q7-Q8-Q9</f>
        <v>-547</v>
      </c>
      <c r="R10" s="8">
        <f t="shared" si="16"/>
        <v>494</v>
      </c>
      <c r="S10" s="8">
        <f t="shared" si="16"/>
        <v>1583</v>
      </c>
      <c r="T10" s="8">
        <f t="shared" si="16"/>
        <v>4281</v>
      </c>
      <c r="U10" s="8">
        <f t="shared" si="16"/>
        <v>3139.3252000000007</v>
      </c>
      <c r="V10" s="8">
        <f t="shared" si="16"/>
        <v>5198.7987743999984</v>
      </c>
      <c r="W10" s="8">
        <f t="shared" ref="W10:AE10" si="17">W7-W8-W9</f>
        <v>5614.702676351998</v>
      </c>
      <c r="X10" s="8">
        <f t="shared" si="17"/>
        <v>5951.5848369331188</v>
      </c>
      <c r="Y10" s="8">
        <f t="shared" si="17"/>
        <v>6249.1640787797733</v>
      </c>
      <c r="Z10" s="8">
        <f t="shared" si="17"/>
        <v>6499.1306419309658</v>
      </c>
      <c r="AA10" s="8">
        <f t="shared" si="17"/>
        <v>6694.1045611888976</v>
      </c>
      <c r="AB10" s="8">
        <f t="shared" si="17"/>
        <v>6894.9276980245641</v>
      </c>
      <c r="AC10" s="8">
        <f t="shared" si="17"/>
        <v>7101.7755289653023</v>
      </c>
      <c r="AD10" s="8">
        <f t="shared" si="17"/>
        <v>7314.8287948342604</v>
      </c>
      <c r="AE10" s="8">
        <f t="shared" si="17"/>
        <v>7534.2736586792871</v>
      </c>
    </row>
    <row r="11" spans="2:140" x14ac:dyDescent="0.3">
      <c r="B11" t="s">
        <v>16</v>
      </c>
      <c r="C11" s="5">
        <v>107</v>
      </c>
      <c r="D11" s="5">
        <v>103</v>
      </c>
      <c r="E11" s="5">
        <v>82</v>
      </c>
      <c r="F11" s="5">
        <f t="shared" ref="F11:F12" si="18">S11-E11-D11-C11</f>
        <v>139</v>
      </c>
      <c r="G11" s="5">
        <v>127</v>
      </c>
      <c r="H11" s="5">
        <v>142</v>
      </c>
      <c r="I11" s="5">
        <v>147</v>
      </c>
      <c r="J11" s="5">
        <f>T11-I11-H11-G11</f>
        <v>90</v>
      </c>
      <c r="K11" s="5">
        <v>146</v>
      </c>
      <c r="L11" s="5">
        <v>118</v>
      </c>
      <c r="M11" s="5">
        <f>I11*1.02</f>
        <v>149.94</v>
      </c>
      <c r="N11" s="5">
        <f>J11*1.02</f>
        <v>91.8</v>
      </c>
      <c r="Q11" s="5">
        <f>282+15</f>
        <v>297</v>
      </c>
      <c r="R11" s="5">
        <v>251</v>
      </c>
      <c r="S11" s="5">
        <v>431</v>
      </c>
      <c r="T11" s="5">
        <v>506</v>
      </c>
      <c r="U11" s="5">
        <f t="shared" ref="U11:U12" si="19">SUM(K11:N11)</f>
        <v>505.74</v>
      </c>
      <c r="V11" s="5">
        <f>U11*1.01</f>
        <v>510.79740000000004</v>
      </c>
      <c r="W11" s="5">
        <f t="shared" ref="W11:AE11" si="20">V11*1.01</f>
        <v>515.90537400000005</v>
      </c>
      <c r="X11" s="5">
        <f t="shared" si="20"/>
        <v>521.06442774000004</v>
      </c>
      <c r="Y11" s="5">
        <f t="shared" si="20"/>
        <v>526.27507201740002</v>
      </c>
      <c r="Z11" s="5">
        <f t="shared" si="20"/>
        <v>531.53782273757406</v>
      </c>
      <c r="AA11" s="5">
        <f t="shared" si="20"/>
        <v>536.85320096494979</v>
      </c>
      <c r="AB11" s="5">
        <f t="shared" si="20"/>
        <v>542.22173297459926</v>
      </c>
      <c r="AC11" s="5">
        <f t="shared" si="20"/>
        <v>547.64395030434525</v>
      </c>
      <c r="AD11" s="5">
        <f t="shared" si="20"/>
        <v>553.12038980738873</v>
      </c>
      <c r="AE11" s="5">
        <f t="shared" si="20"/>
        <v>558.65159370546257</v>
      </c>
    </row>
    <row r="12" spans="2:140" x14ac:dyDescent="0.3">
      <c r="B12" t="s">
        <v>17</v>
      </c>
      <c r="C12" s="5">
        <f>-314-26</f>
        <v>-340</v>
      </c>
      <c r="D12" s="5">
        <v>-605</v>
      </c>
      <c r="E12" s="5">
        <v>0</v>
      </c>
      <c r="F12" s="5">
        <f t="shared" si="18"/>
        <v>-350</v>
      </c>
      <c r="G12" s="5">
        <v>-362</v>
      </c>
      <c r="H12" s="5">
        <v>-6</v>
      </c>
      <c r="I12" s="5">
        <f>-325-2</f>
        <v>-327</v>
      </c>
      <c r="J12" s="5">
        <f>T12-I12-H12-G12</f>
        <v>-46</v>
      </c>
      <c r="K12" s="5">
        <v>154</v>
      </c>
      <c r="L12" s="5">
        <v>-440</v>
      </c>
      <c r="M12" s="5">
        <v>0</v>
      </c>
      <c r="N12" s="5">
        <v>0</v>
      </c>
      <c r="Q12" s="5">
        <f>-795-201</f>
        <v>-996</v>
      </c>
      <c r="R12" s="5">
        <f>786-1</f>
        <v>785</v>
      </c>
      <c r="S12" s="5">
        <f>-1268-27</f>
        <v>-1295</v>
      </c>
      <c r="T12" s="5">
        <f>-670-71</f>
        <v>-741</v>
      </c>
      <c r="U12" s="5">
        <f t="shared" si="19"/>
        <v>-286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2:140" s="1" customFormat="1" x14ac:dyDescent="0.3">
      <c r="B13" s="1" t="s">
        <v>18</v>
      </c>
      <c r="C13" s="8">
        <f t="shared" ref="C13:N13" si="21">C10-C11-C12</f>
        <v>238</v>
      </c>
      <c r="D13" s="8">
        <f t="shared" si="21"/>
        <v>1171</v>
      </c>
      <c r="E13" s="8">
        <f t="shared" si="21"/>
        <v>895</v>
      </c>
      <c r="F13" s="8">
        <f t="shared" si="21"/>
        <v>143</v>
      </c>
      <c r="G13" s="8">
        <f t="shared" si="21"/>
        <v>1048</v>
      </c>
      <c r="H13" s="8">
        <f t="shared" si="21"/>
        <v>964</v>
      </c>
      <c r="I13" s="8">
        <f t="shared" si="21"/>
        <v>1645</v>
      </c>
      <c r="J13" s="8">
        <f t="shared" si="21"/>
        <v>859</v>
      </c>
      <c r="K13" s="8">
        <f t="shared" si="21"/>
        <v>151</v>
      </c>
      <c r="L13" s="8">
        <f t="shared" si="21"/>
        <v>1273</v>
      </c>
      <c r="M13" s="8">
        <f t="shared" si="21"/>
        <v>808.07999999999993</v>
      </c>
      <c r="N13" s="8">
        <f t="shared" si="21"/>
        <v>687.50519999999995</v>
      </c>
      <c r="Q13" s="8">
        <f t="shared" ref="Q13:V13" si="22">Q10-Q11-Q12</f>
        <v>152</v>
      </c>
      <c r="R13" s="8">
        <f t="shared" si="22"/>
        <v>-542</v>
      </c>
      <c r="S13" s="8">
        <f t="shared" si="22"/>
        <v>2447</v>
      </c>
      <c r="T13" s="8">
        <f t="shared" si="22"/>
        <v>4516</v>
      </c>
      <c r="U13" s="8">
        <f t="shared" si="22"/>
        <v>2919.5852000000004</v>
      </c>
      <c r="V13" s="8">
        <f t="shared" si="22"/>
        <v>4688.001374399998</v>
      </c>
      <c r="W13" s="8">
        <f t="shared" ref="W13:AE13" si="23">W10-W11-W12</f>
        <v>5098.797302351998</v>
      </c>
      <c r="X13" s="8">
        <f t="shared" si="23"/>
        <v>5430.5204091931191</v>
      </c>
      <c r="Y13" s="8">
        <f t="shared" si="23"/>
        <v>5722.8890067623734</v>
      </c>
      <c r="Z13" s="8">
        <f t="shared" si="23"/>
        <v>5967.5928191933917</v>
      </c>
      <c r="AA13" s="8">
        <f t="shared" si="23"/>
        <v>6157.2513602239478</v>
      </c>
      <c r="AB13" s="8">
        <f t="shared" si="23"/>
        <v>6352.705965049965</v>
      </c>
      <c r="AC13" s="8">
        <f t="shared" si="23"/>
        <v>6554.1315786609575</v>
      </c>
      <c r="AD13" s="8">
        <f t="shared" si="23"/>
        <v>6761.7084050268713</v>
      </c>
      <c r="AE13" s="8">
        <f t="shared" si="23"/>
        <v>6975.6220649738243</v>
      </c>
    </row>
    <row r="14" spans="2:140" x14ac:dyDescent="0.3">
      <c r="B14" t="s">
        <v>19</v>
      </c>
      <c r="C14" s="5">
        <v>131</v>
      </c>
      <c r="D14" s="5">
        <v>342</v>
      </c>
      <c r="E14" s="5">
        <v>205</v>
      </c>
      <c r="F14" s="5">
        <f>S14-E14-D14-C14</f>
        <v>181</v>
      </c>
      <c r="G14" s="5">
        <v>165</v>
      </c>
      <c r="H14" s="5">
        <v>154</v>
      </c>
      <c r="I14" s="5">
        <v>449</v>
      </c>
      <c r="J14" s="5">
        <f>T14-I14-H14-G14</f>
        <v>6</v>
      </c>
      <c r="K14" s="5">
        <v>22</v>
      </c>
      <c r="L14" s="5">
        <v>440</v>
      </c>
      <c r="M14" s="5">
        <f>M13*0.17</f>
        <v>137.37360000000001</v>
      </c>
      <c r="N14" s="5">
        <f>N13*0.17</f>
        <v>116.875884</v>
      </c>
      <c r="Q14" s="5">
        <v>-225</v>
      </c>
      <c r="R14" s="5">
        <v>-388</v>
      </c>
      <c r="S14" s="5">
        <v>859</v>
      </c>
      <c r="T14" s="5">
        <v>774</v>
      </c>
      <c r="U14" s="5">
        <f>SUM(K14:N14)</f>
        <v>716.24948400000005</v>
      </c>
      <c r="V14" s="5">
        <f>V13*0.17</f>
        <v>796.96023364799976</v>
      </c>
      <c r="W14" s="5">
        <f t="shared" ref="W14:AE14" si="24">W13*0.17</f>
        <v>866.79554139983975</v>
      </c>
      <c r="X14" s="5">
        <f t="shared" si="24"/>
        <v>923.18846956283028</v>
      </c>
      <c r="Y14" s="5">
        <f t="shared" si="24"/>
        <v>972.89113114960355</v>
      </c>
      <c r="Z14" s="5">
        <f t="shared" si="24"/>
        <v>1014.4907792628767</v>
      </c>
      <c r="AA14" s="5">
        <f t="shared" si="24"/>
        <v>1046.7327312380712</v>
      </c>
      <c r="AB14" s="5">
        <f t="shared" si="24"/>
        <v>1079.9600140584942</v>
      </c>
      <c r="AC14" s="5">
        <f t="shared" si="24"/>
        <v>1114.2023683723628</v>
      </c>
      <c r="AD14" s="5">
        <f t="shared" si="24"/>
        <v>1149.4904288545681</v>
      </c>
      <c r="AE14" s="5">
        <f t="shared" si="24"/>
        <v>1185.8557510455503</v>
      </c>
    </row>
    <row r="15" spans="2:140" s="1" customFormat="1" x14ac:dyDescent="0.3">
      <c r="B15" s="1" t="s">
        <v>20</v>
      </c>
      <c r="C15" s="8">
        <f t="shared" ref="C15:N15" si="25">C13-C14</f>
        <v>107</v>
      </c>
      <c r="D15" s="8">
        <f t="shared" si="25"/>
        <v>829</v>
      </c>
      <c r="E15" s="8">
        <f t="shared" si="25"/>
        <v>690</v>
      </c>
      <c r="F15" s="8">
        <f t="shared" si="25"/>
        <v>-38</v>
      </c>
      <c r="G15" s="8">
        <f t="shared" si="25"/>
        <v>883</v>
      </c>
      <c r="H15" s="8">
        <f t="shared" si="25"/>
        <v>810</v>
      </c>
      <c r="I15" s="8">
        <f t="shared" si="25"/>
        <v>1196</v>
      </c>
      <c r="J15" s="8">
        <f t="shared" si="25"/>
        <v>853</v>
      </c>
      <c r="K15" s="8">
        <f t="shared" si="25"/>
        <v>129</v>
      </c>
      <c r="L15" s="8">
        <f t="shared" si="25"/>
        <v>833</v>
      </c>
      <c r="M15" s="8">
        <f t="shared" si="25"/>
        <v>670.70639999999992</v>
      </c>
      <c r="N15" s="8">
        <f t="shared" si="25"/>
        <v>570.6293159999999</v>
      </c>
      <c r="Q15" s="8">
        <f t="shared" ref="Q15:V15" si="26">Q13-Q14</f>
        <v>377</v>
      </c>
      <c r="R15" s="8">
        <f t="shared" si="26"/>
        <v>-154</v>
      </c>
      <c r="S15" s="8">
        <f t="shared" si="26"/>
        <v>1588</v>
      </c>
      <c r="T15" s="8">
        <f t="shared" si="26"/>
        <v>3742</v>
      </c>
      <c r="U15" s="8">
        <f t="shared" si="26"/>
        <v>2203.3357160000005</v>
      </c>
      <c r="V15" s="8">
        <f t="shared" si="26"/>
        <v>3891.0411407519982</v>
      </c>
      <c r="W15" s="8">
        <f t="shared" ref="W15:AE15" si="27">W13-W14</f>
        <v>4232.0017609521583</v>
      </c>
      <c r="X15" s="8">
        <f t="shared" si="27"/>
        <v>4507.3319396302886</v>
      </c>
      <c r="Y15" s="8">
        <f t="shared" si="27"/>
        <v>4749.9978756127693</v>
      </c>
      <c r="Z15" s="8">
        <f t="shared" si="27"/>
        <v>4953.1020399305153</v>
      </c>
      <c r="AA15" s="8">
        <f t="shared" si="27"/>
        <v>5110.5186289858766</v>
      </c>
      <c r="AB15" s="8">
        <f t="shared" si="27"/>
        <v>5272.7459509914706</v>
      </c>
      <c r="AC15" s="8">
        <f t="shared" si="27"/>
        <v>5439.9292102885947</v>
      </c>
      <c r="AD15" s="8">
        <f t="shared" si="27"/>
        <v>5612.2179761723037</v>
      </c>
      <c r="AE15" s="8">
        <f t="shared" si="27"/>
        <v>5789.766313928274</v>
      </c>
      <c r="AF15" s="1">
        <f>AE15*(1+$AH$20)</f>
        <v>5731.8686507889915</v>
      </c>
      <c r="AG15" s="1">
        <f t="shared" ref="AG15:CR15" si="28">AF15*(1+$AH$20)</f>
        <v>5674.5499642811019</v>
      </c>
      <c r="AH15" s="1">
        <f t="shared" si="28"/>
        <v>5617.8044646382905</v>
      </c>
      <c r="AI15" s="1">
        <f t="shared" si="28"/>
        <v>5561.6264199919078</v>
      </c>
      <c r="AJ15" s="1">
        <f t="shared" si="28"/>
        <v>5506.0101557919888</v>
      </c>
      <c r="AK15" s="1">
        <f t="shared" si="28"/>
        <v>5450.9500542340693</v>
      </c>
      <c r="AL15" s="1">
        <f t="shared" si="28"/>
        <v>5396.4405536917284</v>
      </c>
      <c r="AM15" s="1">
        <f t="shared" si="28"/>
        <v>5342.4761481548112</v>
      </c>
      <c r="AN15" s="1">
        <f t="shared" si="28"/>
        <v>5289.0513866732626</v>
      </c>
      <c r="AO15" s="1">
        <f t="shared" si="28"/>
        <v>5236.1608728065303</v>
      </c>
      <c r="AP15" s="1">
        <f t="shared" si="28"/>
        <v>5183.7992640784651</v>
      </c>
      <c r="AQ15" s="1">
        <f t="shared" si="28"/>
        <v>5131.9612714376808</v>
      </c>
      <c r="AR15" s="1">
        <f t="shared" si="28"/>
        <v>5080.6416587233043</v>
      </c>
      <c r="AS15" s="1">
        <f t="shared" si="28"/>
        <v>5029.8352421360714</v>
      </c>
      <c r="AT15" s="1">
        <f t="shared" si="28"/>
        <v>4979.5368897147109</v>
      </c>
      <c r="AU15" s="1">
        <f t="shared" si="28"/>
        <v>4929.7415208175635</v>
      </c>
      <c r="AV15" s="1">
        <f t="shared" si="28"/>
        <v>4880.4441056093874</v>
      </c>
      <c r="AW15" s="1">
        <f t="shared" si="28"/>
        <v>4831.6396645532932</v>
      </c>
      <c r="AX15" s="1">
        <f t="shared" si="28"/>
        <v>4783.3232679077601</v>
      </c>
      <c r="AY15" s="1">
        <f t="shared" si="28"/>
        <v>4735.4900352286822</v>
      </c>
      <c r="AZ15" s="1">
        <f t="shared" si="28"/>
        <v>4688.1351348763956</v>
      </c>
      <c r="BA15" s="1">
        <f t="shared" si="28"/>
        <v>4641.2537835276316</v>
      </c>
      <c r="BB15" s="1">
        <f t="shared" si="28"/>
        <v>4594.8412456923552</v>
      </c>
      <c r="BC15" s="1">
        <f t="shared" si="28"/>
        <v>4548.8928332354317</v>
      </c>
      <c r="BD15" s="1">
        <f t="shared" si="28"/>
        <v>4503.4039049030771</v>
      </c>
      <c r="BE15" s="1">
        <f t="shared" si="28"/>
        <v>4458.3698658540461</v>
      </c>
      <c r="BF15" s="1">
        <f t="shared" si="28"/>
        <v>4413.7861671955052</v>
      </c>
      <c r="BG15" s="1">
        <f t="shared" si="28"/>
        <v>4369.6483055235503</v>
      </c>
      <c r="BH15" s="1">
        <f t="shared" si="28"/>
        <v>4325.9518224683152</v>
      </c>
      <c r="BI15" s="1">
        <f t="shared" si="28"/>
        <v>4282.692304243632</v>
      </c>
      <c r="BJ15" s="1">
        <f t="shared" si="28"/>
        <v>4239.8653812011953</v>
      </c>
      <c r="BK15" s="1">
        <f t="shared" si="28"/>
        <v>4197.4667273891837</v>
      </c>
      <c r="BL15" s="1">
        <f t="shared" si="28"/>
        <v>4155.4920601152917</v>
      </c>
      <c r="BM15" s="1">
        <f t="shared" si="28"/>
        <v>4113.9371395141388</v>
      </c>
      <c r="BN15" s="1">
        <f t="shared" si="28"/>
        <v>4072.7977681189973</v>
      </c>
      <c r="BO15" s="1">
        <f t="shared" si="28"/>
        <v>4032.0697904378071</v>
      </c>
      <c r="BP15" s="1">
        <f t="shared" si="28"/>
        <v>3991.7490925334291</v>
      </c>
      <c r="BQ15" s="1">
        <f t="shared" si="28"/>
        <v>3951.8316016080948</v>
      </c>
      <c r="BR15" s="1">
        <f t="shared" si="28"/>
        <v>3912.3132855920139</v>
      </c>
      <c r="BS15" s="1">
        <f t="shared" si="28"/>
        <v>3873.1901527360938</v>
      </c>
      <c r="BT15" s="1">
        <f t="shared" si="28"/>
        <v>3834.4582512087327</v>
      </c>
      <c r="BU15" s="1">
        <f t="shared" si="28"/>
        <v>3796.1136686966452</v>
      </c>
      <c r="BV15" s="1">
        <f t="shared" si="28"/>
        <v>3758.1525320096785</v>
      </c>
      <c r="BW15" s="1">
        <f t="shared" si="28"/>
        <v>3720.5710066895817</v>
      </c>
      <c r="BX15" s="1">
        <f t="shared" si="28"/>
        <v>3683.3652966226859</v>
      </c>
      <c r="BY15" s="1">
        <f t="shared" si="28"/>
        <v>3646.531643656459</v>
      </c>
      <c r="BZ15" s="1">
        <f t="shared" si="28"/>
        <v>3610.0663272198944</v>
      </c>
      <c r="CA15" s="1">
        <f t="shared" si="28"/>
        <v>3573.9656639476952</v>
      </c>
      <c r="CB15" s="1">
        <f t="shared" si="28"/>
        <v>3538.2260073082184</v>
      </c>
      <c r="CC15" s="1">
        <f t="shared" si="28"/>
        <v>3502.8437472351361</v>
      </c>
      <c r="CD15" s="1">
        <f t="shared" si="28"/>
        <v>3467.8153097627846</v>
      </c>
      <c r="CE15" s="1">
        <f t="shared" si="28"/>
        <v>3433.1371566651569</v>
      </c>
      <c r="CF15" s="1">
        <f t="shared" si="28"/>
        <v>3398.8057850985051</v>
      </c>
      <c r="CG15" s="1">
        <f t="shared" si="28"/>
        <v>3364.81772724752</v>
      </c>
      <c r="CH15" s="1">
        <f t="shared" si="28"/>
        <v>3331.1695499750449</v>
      </c>
      <c r="CI15" s="1">
        <f t="shared" si="28"/>
        <v>3297.8578544752945</v>
      </c>
      <c r="CJ15" s="1">
        <f t="shared" si="28"/>
        <v>3264.8792759305416</v>
      </c>
      <c r="CK15" s="1">
        <f t="shared" si="28"/>
        <v>3232.2304831712363</v>
      </c>
      <c r="CL15" s="1">
        <f t="shared" si="28"/>
        <v>3199.9081783395241</v>
      </c>
      <c r="CM15" s="1">
        <f t="shared" si="28"/>
        <v>3167.9090965561286</v>
      </c>
      <c r="CN15" s="1">
        <f t="shared" si="28"/>
        <v>3136.2300055905671</v>
      </c>
      <c r="CO15" s="1">
        <f t="shared" si="28"/>
        <v>3104.8677055346616</v>
      </c>
      <c r="CP15" s="1">
        <f t="shared" si="28"/>
        <v>3073.819028479315</v>
      </c>
      <c r="CQ15" s="1">
        <f t="shared" si="28"/>
        <v>3043.0808381945217</v>
      </c>
      <c r="CR15" s="1">
        <f t="shared" si="28"/>
        <v>3012.6500298125766</v>
      </c>
      <c r="CS15" s="1">
        <f t="shared" ref="CS15:EJ15" si="29">CR15*(1+$AH$20)</f>
        <v>2982.5235295144507</v>
      </c>
      <c r="CT15" s="1">
        <f t="shared" si="29"/>
        <v>2952.6982942193063</v>
      </c>
      <c r="CU15" s="1">
        <f t="shared" si="29"/>
        <v>2923.1713112771131</v>
      </c>
      <c r="CV15" s="1">
        <f t="shared" si="29"/>
        <v>2893.939598164342</v>
      </c>
      <c r="CW15" s="1">
        <f t="shared" si="29"/>
        <v>2865.0002021826986</v>
      </c>
      <c r="CX15" s="1">
        <f t="shared" si="29"/>
        <v>2836.3502001608717</v>
      </c>
      <c r="CY15" s="1">
        <f t="shared" si="29"/>
        <v>2807.9866981592631</v>
      </c>
      <c r="CZ15" s="1">
        <f t="shared" si="29"/>
        <v>2779.9068311776705</v>
      </c>
      <c r="DA15" s="1">
        <f t="shared" si="29"/>
        <v>2752.1077628658936</v>
      </c>
      <c r="DB15" s="1">
        <f t="shared" si="29"/>
        <v>2724.5866852372346</v>
      </c>
      <c r="DC15" s="1">
        <f t="shared" si="29"/>
        <v>2697.3408183848624</v>
      </c>
      <c r="DD15" s="1">
        <f t="shared" si="29"/>
        <v>2670.3674102010136</v>
      </c>
      <c r="DE15" s="1">
        <f t="shared" si="29"/>
        <v>2643.6637360990035</v>
      </c>
      <c r="DF15" s="1">
        <f t="shared" si="29"/>
        <v>2617.2270987380134</v>
      </c>
      <c r="DG15" s="1">
        <f t="shared" si="29"/>
        <v>2591.0548277506332</v>
      </c>
      <c r="DH15" s="1">
        <f t="shared" si="29"/>
        <v>2565.144279473127</v>
      </c>
      <c r="DI15" s="1">
        <f t="shared" si="29"/>
        <v>2539.4928366783956</v>
      </c>
      <c r="DJ15" s="1">
        <f t="shared" si="29"/>
        <v>2514.0979083116117</v>
      </c>
      <c r="DK15" s="1">
        <f t="shared" si="29"/>
        <v>2488.9569292284955</v>
      </c>
      <c r="DL15" s="1">
        <f t="shared" si="29"/>
        <v>2464.0673599362103</v>
      </c>
      <c r="DM15" s="1">
        <f t="shared" si="29"/>
        <v>2439.426686336848</v>
      </c>
      <c r="DN15" s="1">
        <f t="shared" si="29"/>
        <v>2415.0324194734794</v>
      </c>
      <c r="DO15" s="1">
        <f t="shared" si="29"/>
        <v>2390.8820952787446</v>
      </c>
      <c r="DP15" s="1">
        <f t="shared" si="29"/>
        <v>2366.9732743259569</v>
      </c>
      <c r="DQ15" s="1">
        <f t="shared" si="29"/>
        <v>2343.3035415826976</v>
      </c>
      <c r="DR15" s="1">
        <f t="shared" si="29"/>
        <v>2319.8705061668707</v>
      </c>
      <c r="DS15" s="1">
        <f t="shared" si="29"/>
        <v>2296.6718011052021</v>
      </c>
      <c r="DT15" s="1">
        <f t="shared" si="29"/>
        <v>2273.7050830941503</v>
      </c>
      <c r="DU15" s="1">
        <f t="shared" si="29"/>
        <v>2250.9680322632089</v>
      </c>
      <c r="DV15" s="1">
        <f t="shared" si="29"/>
        <v>2228.4583519405769</v>
      </c>
      <c r="DW15" s="1">
        <f t="shared" si="29"/>
        <v>2206.1737684211712</v>
      </c>
      <c r="DX15" s="1">
        <f t="shared" si="29"/>
        <v>2184.1120307369592</v>
      </c>
      <c r="DY15" s="1">
        <f t="shared" si="29"/>
        <v>2162.2709104295895</v>
      </c>
      <c r="DZ15" s="1">
        <f t="shared" si="29"/>
        <v>2140.6482013252935</v>
      </c>
      <c r="EA15" s="1">
        <f t="shared" si="29"/>
        <v>2119.2417193120405</v>
      </c>
      <c r="EB15" s="1">
        <f t="shared" si="29"/>
        <v>2098.04930211892</v>
      </c>
      <c r="EC15" s="1">
        <f t="shared" si="29"/>
        <v>2077.0688090977305</v>
      </c>
      <c r="ED15" s="1">
        <f t="shared" si="29"/>
        <v>2056.2981210067533</v>
      </c>
      <c r="EE15" s="1">
        <f t="shared" si="29"/>
        <v>2035.7351397966856</v>
      </c>
      <c r="EF15" s="1">
        <f t="shared" si="29"/>
        <v>2015.3777883987188</v>
      </c>
      <c r="EG15" s="1">
        <f t="shared" si="29"/>
        <v>1995.2240105147316</v>
      </c>
      <c r="EH15" s="1">
        <f t="shared" si="29"/>
        <v>1975.2717704095842</v>
      </c>
      <c r="EI15" s="1">
        <f t="shared" si="29"/>
        <v>1955.5190527054883</v>
      </c>
      <c r="EJ15" s="1">
        <f t="shared" si="29"/>
        <v>1935.9638621784334</v>
      </c>
    </row>
    <row r="16" spans="2:140" x14ac:dyDescent="0.3">
      <c r="B16" t="s">
        <v>2</v>
      </c>
      <c r="C16" s="5">
        <v>213.7</v>
      </c>
      <c r="D16" s="5">
        <v>213.7</v>
      </c>
      <c r="E16" s="5">
        <v>213.7</v>
      </c>
      <c r="F16" s="5">
        <v>213.7</v>
      </c>
      <c r="G16" s="5">
        <v>213.7</v>
      </c>
      <c r="H16" s="5">
        <v>213.7</v>
      </c>
      <c r="I16" s="5">
        <v>213.7</v>
      </c>
      <c r="J16" s="5">
        <v>213.7</v>
      </c>
      <c r="K16" s="5">
        <v>213.7</v>
      </c>
      <c r="L16" s="5">
        <f>312.4</f>
        <v>312.39999999999998</v>
      </c>
      <c r="M16" s="5">
        <f>312.4</f>
        <v>312.39999999999998</v>
      </c>
      <c r="N16" s="5">
        <f>312.4</f>
        <v>312.39999999999998</v>
      </c>
      <c r="Q16" s="5">
        <v>213.7</v>
      </c>
      <c r="R16" s="5">
        <v>213.7</v>
      </c>
      <c r="S16" s="5">
        <v>213.7</v>
      </c>
      <c r="T16" s="5">
        <v>312.8</v>
      </c>
      <c r="U16" s="5">
        <f>312.4</f>
        <v>312.39999999999998</v>
      </c>
      <c r="V16" s="5">
        <f>312.4</f>
        <v>312.39999999999998</v>
      </c>
      <c r="W16" s="5">
        <f t="shared" ref="W16:AE16" si="30">312.4</f>
        <v>312.39999999999998</v>
      </c>
      <c r="X16" s="5">
        <f t="shared" si="30"/>
        <v>312.39999999999998</v>
      </c>
      <c r="Y16" s="5">
        <f t="shared" si="30"/>
        <v>312.39999999999998</v>
      </c>
      <c r="Z16" s="5">
        <f t="shared" si="30"/>
        <v>312.39999999999998</v>
      </c>
      <c r="AA16" s="5">
        <f t="shared" si="30"/>
        <v>312.39999999999998</v>
      </c>
      <c r="AB16" s="5">
        <f t="shared" si="30"/>
        <v>312.39999999999998</v>
      </c>
      <c r="AC16" s="5">
        <f t="shared" si="30"/>
        <v>312.39999999999998</v>
      </c>
      <c r="AD16" s="5">
        <f t="shared" si="30"/>
        <v>312.39999999999998</v>
      </c>
      <c r="AE16" s="5">
        <f t="shared" si="30"/>
        <v>312.39999999999998</v>
      </c>
    </row>
    <row r="17" spans="2:34" x14ac:dyDescent="0.3">
      <c r="B17" t="s">
        <v>21</v>
      </c>
      <c r="C17" s="7">
        <f t="shared" ref="C17:N17" si="31">C15/C16</f>
        <v>0.50070191857744506</v>
      </c>
      <c r="D17" s="7">
        <f t="shared" si="31"/>
        <v>3.8792700046794573</v>
      </c>
      <c r="E17" s="7">
        <f t="shared" si="31"/>
        <v>3.2288254562470757</v>
      </c>
      <c r="F17" s="7">
        <f t="shared" si="31"/>
        <v>-0.1778193729527375</v>
      </c>
      <c r="G17" s="7">
        <f t="shared" si="31"/>
        <v>4.1319606925596633</v>
      </c>
      <c r="H17" s="7">
        <f t="shared" si="31"/>
        <v>3.7903603182030885</v>
      </c>
      <c r="I17" s="7">
        <f t="shared" si="31"/>
        <v>5.5966307908282644</v>
      </c>
      <c r="J17" s="7">
        <f t="shared" si="31"/>
        <v>3.9915769770706602</v>
      </c>
      <c r="K17" s="7">
        <f t="shared" si="31"/>
        <v>0.60364997660271413</v>
      </c>
      <c r="L17" s="7">
        <f t="shared" si="31"/>
        <v>2.6664532650448147</v>
      </c>
      <c r="M17" s="7">
        <f t="shared" si="31"/>
        <v>2.1469475032010243</v>
      </c>
      <c r="N17" s="7">
        <f t="shared" si="31"/>
        <v>1.8265983226632521</v>
      </c>
      <c r="Q17" s="7">
        <f>Q15/Q16</f>
        <v>1.7641553579784746</v>
      </c>
      <c r="R17" s="7">
        <f>R15/R16</f>
        <v>-0.72063640617688351</v>
      </c>
      <c r="S17" s="7">
        <f>S15/S16</f>
        <v>7.4309780065512401</v>
      </c>
      <c r="T17" s="7">
        <f t="shared" ref="T17:V17" si="32">T15/T16</f>
        <v>11.962915601023017</v>
      </c>
      <c r="U17" s="7">
        <f t="shared" si="32"/>
        <v>7.0529312291933444</v>
      </c>
      <c r="V17" s="7">
        <f t="shared" si="32"/>
        <v>12.455317351959023</v>
      </c>
      <c r="W17" s="7">
        <f t="shared" ref="W17:AE17" si="33">W15/W16</f>
        <v>13.546740592036359</v>
      </c>
      <c r="X17" s="7">
        <f t="shared" si="33"/>
        <v>14.428079192158416</v>
      </c>
      <c r="Y17" s="7">
        <f t="shared" si="33"/>
        <v>15.204858756763027</v>
      </c>
      <c r="Z17" s="7">
        <f t="shared" si="33"/>
        <v>15.855000127818553</v>
      </c>
      <c r="AA17" s="7">
        <f t="shared" si="33"/>
        <v>16.35889445898168</v>
      </c>
      <c r="AB17" s="7">
        <f t="shared" si="33"/>
        <v>16.878188063352979</v>
      </c>
      <c r="AC17" s="7">
        <f t="shared" si="33"/>
        <v>17.413345743561443</v>
      </c>
      <c r="AD17" s="7">
        <f t="shared" si="33"/>
        <v>17.964846274559232</v>
      </c>
      <c r="AE17" s="7">
        <f t="shared" si="33"/>
        <v>18.533182823073862</v>
      </c>
    </row>
    <row r="19" spans="2:34" x14ac:dyDescent="0.3">
      <c r="B19" t="s">
        <v>33</v>
      </c>
      <c r="C19" s="9"/>
      <c r="D19" s="9"/>
      <c r="E19" s="9"/>
      <c r="F19" s="9"/>
      <c r="G19" s="9">
        <f t="shared" ref="G19:L19" si="34">G3/C3-1</f>
        <v>-0.18559153998678124</v>
      </c>
      <c r="H19" s="9">
        <f t="shared" si="34"/>
        <v>5.3250091810503886E-3</v>
      </c>
      <c r="I19" s="9">
        <f t="shared" si="34"/>
        <v>7.1837669775814073E-2</v>
      </c>
      <c r="J19" s="9">
        <f t="shared" si="34"/>
        <v>-7.1428571428571397E-2</v>
      </c>
      <c r="K19" s="9">
        <f t="shared" si="34"/>
        <v>0.10176919331277401</v>
      </c>
      <c r="L19" s="9">
        <f t="shared" si="34"/>
        <v>0.11433789954337903</v>
      </c>
      <c r="M19" s="9">
        <f t="shared" ref="M19:N19" si="35">M3/I3-1</f>
        <v>6.8702290076335881E-2</v>
      </c>
      <c r="N19" s="9">
        <f t="shared" si="35"/>
        <v>0.10000000000000009</v>
      </c>
      <c r="R19" s="9">
        <f>R3/Q3-1</f>
        <v>0.24382920250394413</v>
      </c>
      <c r="S19" s="9">
        <f>S3/R3-1</f>
        <v>1.9558101472995082E-2</v>
      </c>
      <c r="T19" s="9">
        <f t="shared" ref="T19:AE19" si="36">T3/S3-1</f>
        <v>-5.4177702865398469E-2</v>
      </c>
      <c r="U19" s="9">
        <f t="shared" si="36"/>
        <v>9.5095044127630812E-2</v>
      </c>
      <c r="V19" s="9">
        <f t="shared" si="36"/>
        <v>9.000000000000008E-2</v>
      </c>
      <c r="W19" s="9">
        <f t="shared" si="36"/>
        <v>8.0000000000000071E-2</v>
      </c>
      <c r="X19" s="9">
        <f t="shared" si="36"/>
        <v>6.0000000000000053E-2</v>
      </c>
      <c r="Y19" s="9">
        <f t="shared" si="36"/>
        <v>5.0000000000000044E-2</v>
      </c>
      <c r="Z19" s="9">
        <f t="shared" si="36"/>
        <v>4.0000000000000036E-2</v>
      </c>
      <c r="AA19" s="9">
        <f t="shared" si="36"/>
        <v>3.0000000000000027E-2</v>
      </c>
      <c r="AB19" s="9">
        <f t="shared" si="36"/>
        <v>3.0000000000000027E-2</v>
      </c>
      <c r="AC19" s="9">
        <f t="shared" si="36"/>
        <v>3.0000000000000027E-2</v>
      </c>
      <c r="AD19" s="9">
        <f t="shared" si="36"/>
        <v>3.0000000000000027E-2</v>
      </c>
      <c r="AE19" s="9">
        <f t="shared" si="36"/>
        <v>3.0000000000000027E-2</v>
      </c>
    </row>
    <row r="20" spans="2:34" x14ac:dyDescent="0.3">
      <c r="B20" t="s">
        <v>41</v>
      </c>
      <c r="C20" s="9">
        <f t="shared" ref="C20:K20" si="37">(C3-C4)/C3</f>
        <v>0.24269662921348314</v>
      </c>
      <c r="D20" s="9">
        <f t="shared" si="37"/>
        <v>0.46988615497612929</v>
      </c>
      <c r="E20" s="9">
        <f t="shared" si="37"/>
        <v>0.44902634593356244</v>
      </c>
      <c r="F20" s="9">
        <f t="shared" si="37"/>
        <v>0.30676328502415456</v>
      </c>
      <c r="G20" s="9">
        <f t="shared" si="37"/>
        <v>0.44538224314234703</v>
      </c>
      <c r="H20" s="9">
        <f t="shared" si="37"/>
        <v>0.58136986301369864</v>
      </c>
      <c r="I20" s="9">
        <f t="shared" si="37"/>
        <v>0.52381679389312974</v>
      </c>
      <c r="J20" s="9">
        <f t="shared" si="37"/>
        <v>0.51858045336306202</v>
      </c>
      <c r="K20" s="9">
        <f t="shared" si="37"/>
        <v>0.3541543901001768</v>
      </c>
      <c r="L20" s="9">
        <f>(L3-L4)/L3</f>
        <v>0.48664153417472544</v>
      </c>
      <c r="M20" s="9">
        <f t="shared" ref="M20:N20" si="38">(M3-M4)/M3</f>
        <v>0.44999999999999996</v>
      </c>
      <c r="N20" s="9">
        <f t="shared" si="38"/>
        <v>0.44999999999999996</v>
      </c>
      <c r="Q20" s="9">
        <f t="shared" ref="Q20:T20" si="39">(Q3-Q4)/Q3</f>
        <v>0.38098630973586445</v>
      </c>
      <c r="R20" s="9">
        <f t="shared" si="39"/>
        <v>0.28551554828150572</v>
      </c>
      <c r="S20" s="9">
        <f t="shared" si="39"/>
        <v>0.35785376033389515</v>
      </c>
      <c r="T20" s="9">
        <f t="shared" si="39"/>
        <v>0.51548710115410723</v>
      </c>
      <c r="U20" s="9">
        <f t="shared" ref="U20:AE20" si="40">(U3-U4)/U3</f>
        <v>0.43345357469429507</v>
      </c>
      <c r="V20" s="9">
        <f t="shared" si="40"/>
        <v>0.43999999999999995</v>
      </c>
      <c r="W20" s="9">
        <f t="shared" si="40"/>
        <v>0.43999999999999989</v>
      </c>
      <c r="X20" s="9">
        <f t="shared" si="40"/>
        <v>0.43999999999999989</v>
      </c>
      <c r="Y20" s="9">
        <f t="shared" si="40"/>
        <v>0.43999999999999989</v>
      </c>
      <c r="Z20" s="9">
        <f t="shared" si="40"/>
        <v>0.44</v>
      </c>
      <c r="AA20" s="9">
        <f t="shared" si="40"/>
        <v>0.43999999999999995</v>
      </c>
      <c r="AB20" s="9">
        <f t="shared" si="40"/>
        <v>0.44</v>
      </c>
      <c r="AC20" s="9">
        <f t="shared" si="40"/>
        <v>0.43999999999999995</v>
      </c>
      <c r="AD20" s="9">
        <f t="shared" si="40"/>
        <v>0.43999999999999995</v>
      </c>
      <c r="AE20" s="9">
        <f t="shared" si="40"/>
        <v>0.43999999999999995</v>
      </c>
      <c r="AG20" t="s">
        <v>43</v>
      </c>
      <c r="AH20" s="9">
        <v>-0.01</v>
      </c>
    </row>
    <row r="21" spans="2:34" x14ac:dyDescent="0.3">
      <c r="B21" t="s">
        <v>42</v>
      </c>
      <c r="C21" s="9">
        <f t="shared" ref="C21:K21" si="41">(C3-C5)/C3</f>
        <v>0.81070720423000664</v>
      </c>
      <c r="D21" s="9">
        <f t="shared" si="41"/>
        <v>0.72879177377892035</v>
      </c>
      <c r="E21" s="9">
        <f t="shared" si="41"/>
        <v>0.77859597447226314</v>
      </c>
      <c r="F21" s="9">
        <f t="shared" si="41"/>
        <v>0.75448585231193932</v>
      </c>
      <c r="G21" s="9">
        <f t="shared" si="41"/>
        <v>0.75880538873559489</v>
      </c>
      <c r="H21" s="9">
        <f t="shared" si="41"/>
        <v>0.69954337899543384</v>
      </c>
      <c r="I21" s="9">
        <f t="shared" si="41"/>
        <v>0.7656488549618321</v>
      </c>
      <c r="J21" s="9">
        <f t="shared" si="41"/>
        <v>0.72259383128948351</v>
      </c>
      <c r="K21" s="9">
        <f t="shared" si="41"/>
        <v>0.77239245727754857</v>
      </c>
      <c r="L21" s="9">
        <f>(L3-L5)/L3</f>
        <v>0.73496148172430753</v>
      </c>
      <c r="M21" s="9">
        <f t="shared" ref="M21:N21" si="42">(M3-M5)/M3</f>
        <v>0.75</v>
      </c>
      <c r="N21" s="9">
        <f t="shared" si="42"/>
        <v>0.75</v>
      </c>
      <c r="Q21" s="9">
        <f t="shared" ref="Q21:T21" si="43">(Q3-Q5)/Q3</f>
        <v>0.76818158684920357</v>
      </c>
      <c r="R21" s="9">
        <f t="shared" si="43"/>
        <v>0.80192307692307696</v>
      </c>
      <c r="S21" s="9">
        <f t="shared" si="43"/>
        <v>0.77185167348904404</v>
      </c>
      <c r="T21" s="9">
        <f t="shared" si="43"/>
        <v>0.7386710794297352</v>
      </c>
      <c r="U21" s="9">
        <f t="shared" ref="U21:AE21" si="44">(U3-U5)/U3</f>
        <v>0.75233443888225904</v>
      </c>
      <c r="V21" s="9">
        <f t="shared" si="44"/>
        <v>0.76999999999999991</v>
      </c>
      <c r="W21" s="9">
        <f t="shared" si="44"/>
        <v>0.77</v>
      </c>
      <c r="X21" s="9">
        <f t="shared" si="44"/>
        <v>0.77</v>
      </c>
      <c r="Y21" s="9">
        <f t="shared" si="44"/>
        <v>0.77</v>
      </c>
      <c r="Z21" s="9">
        <f t="shared" si="44"/>
        <v>0.76999999999999991</v>
      </c>
      <c r="AA21" s="9">
        <f t="shared" si="44"/>
        <v>0.77</v>
      </c>
      <c r="AB21" s="9">
        <f t="shared" si="44"/>
        <v>0.77</v>
      </c>
      <c r="AC21" s="9">
        <f t="shared" si="44"/>
        <v>0.77</v>
      </c>
      <c r="AD21" s="9">
        <f t="shared" si="44"/>
        <v>0.77</v>
      </c>
      <c r="AE21" s="9">
        <f t="shared" si="44"/>
        <v>0.77</v>
      </c>
      <c r="AG21" t="s">
        <v>44</v>
      </c>
      <c r="AH21" s="9">
        <v>7.0000000000000007E-2</v>
      </c>
    </row>
    <row r="22" spans="2:34" x14ac:dyDescent="0.3">
      <c r="B22" t="s">
        <v>34</v>
      </c>
      <c r="C22" s="9">
        <f t="shared" ref="C22:L22" si="45">C7/C3</f>
        <v>5.3403833443489757E-2</v>
      </c>
      <c r="D22" s="9">
        <f t="shared" si="45"/>
        <v>0.19867792875504958</v>
      </c>
      <c r="E22" s="9">
        <f t="shared" si="45"/>
        <v>0.22762232040582556</v>
      </c>
      <c r="F22" s="9">
        <f t="shared" si="45"/>
        <v>6.1249137336093856E-2</v>
      </c>
      <c r="G22" s="9">
        <f t="shared" si="45"/>
        <v>0.20418763187794189</v>
      </c>
      <c r="H22" s="9">
        <f t="shared" si="45"/>
        <v>0.28091324200913242</v>
      </c>
      <c r="I22" s="9">
        <f t="shared" si="45"/>
        <v>0.28946564885496184</v>
      </c>
      <c r="J22" s="9">
        <f t="shared" si="45"/>
        <v>0.24117428465254553</v>
      </c>
      <c r="K22" s="9">
        <f t="shared" si="45"/>
        <v>0.1265468473777254</v>
      </c>
      <c r="L22" s="9">
        <f t="shared" si="45"/>
        <v>0.22160301589903295</v>
      </c>
      <c r="M22" s="9">
        <f t="shared" ref="M22:N22" si="46">M7/M3</f>
        <v>0.2</v>
      </c>
      <c r="N22" s="9">
        <f t="shared" si="46"/>
        <v>0.19999999999999996</v>
      </c>
      <c r="Q22" s="9">
        <f>Q7/Q3</f>
        <v>0.14916789658506793</v>
      </c>
      <c r="R22" s="9">
        <f>R7/R3</f>
        <v>8.7438625204582648E-2</v>
      </c>
      <c r="S22" s="9">
        <f>S7/S3</f>
        <v>0.12970543382293925</v>
      </c>
      <c r="T22" s="9">
        <f t="shared" ref="T22:AE22" si="47">T7/T3</f>
        <v>0.25415818058384249</v>
      </c>
      <c r="U22" s="9">
        <f t="shared" si="47"/>
        <v>0.18578801357655411</v>
      </c>
      <c r="V22" s="9">
        <f t="shared" si="47"/>
        <v>0.20999999999999991</v>
      </c>
      <c r="W22" s="9">
        <f t="shared" si="47"/>
        <v>0.20999999999999991</v>
      </c>
      <c r="X22" s="9">
        <f t="shared" si="47"/>
        <v>0.20999999999999991</v>
      </c>
      <c r="Y22" s="9">
        <f t="shared" si="47"/>
        <v>0.20999999999999985</v>
      </c>
      <c r="Z22" s="9">
        <f t="shared" si="47"/>
        <v>0.20999999999999994</v>
      </c>
      <c r="AA22" s="9">
        <f t="shared" si="47"/>
        <v>0.21</v>
      </c>
      <c r="AB22" s="9">
        <f t="shared" si="47"/>
        <v>0.21</v>
      </c>
      <c r="AC22" s="9">
        <f t="shared" si="47"/>
        <v>0.21000000000000002</v>
      </c>
      <c r="AD22" s="9">
        <f t="shared" si="47"/>
        <v>0.20999999999999996</v>
      </c>
      <c r="AE22" s="9">
        <f t="shared" si="47"/>
        <v>0.20999999999999994</v>
      </c>
      <c r="AG22" t="s">
        <v>45</v>
      </c>
      <c r="AH22" s="5">
        <f>NPV(AH21,U15:EJ15)</f>
        <v>67884.566725731507</v>
      </c>
    </row>
    <row r="23" spans="2:34" x14ac:dyDescent="0.3">
      <c r="B23" t="s">
        <v>35</v>
      </c>
      <c r="C23" s="9">
        <f t="shared" ref="C23:L23" si="48">C10/C3</f>
        <v>6.6093853271645734E-4</v>
      </c>
      <c r="D23" s="9">
        <f t="shared" si="48"/>
        <v>0.12284245317664341</v>
      </c>
      <c r="E23" s="9">
        <f t="shared" si="48"/>
        <v>0.15987563410243821</v>
      </c>
      <c r="F23" s="9">
        <f t="shared" si="48"/>
        <v>-1.1732229123533472E-2</v>
      </c>
      <c r="G23" s="9">
        <f t="shared" si="48"/>
        <v>0.13195909754909918</v>
      </c>
      <c r="H23" s="9">
        <f t="shared" si="48"/>
        <v>0.20091324200913241</v>
      </c>
      <c r="I23" s="9">
        <f t="shared" si="48"/>
        <v>0.22366412213740458</v>
      </c>
      <c r="J23" s="9">
        <f t="shared" si="48"/>
        <v>0.1677814938684504</v>
      </c>
      <c r="K23" s="9">
        <f t="shared" si="48"/>
        <v>6.6440777843252793E-2</v>
      </c>
      <c r="L23" s="9">
        <f t="shared" si="48"/>
        <v>0.15587608588755941</v>
      </c>
      <c r="M23" s="9">
        <f t="shared" ref="M23:N23" si="49">M10/M3</f>
        <v>0.13686000000000001</v>
      </c>
      <c r="N23" s="9">
        <f t="shared" si="49"/>
        <v>0.13163494476537951</v>
      </c>
      <c r="Q23" s="9">
        <f>Q10/Q3</f>
        <v>-2.7838566848185659E-2</v>
      </c>
      <c r="R23" s="9">
        <f>R10/R3</f>
        <v>2.021276595744681E-2</v>
      </c>
      <c r="S23" s="9">
        <f>S10/S3</f>
        <v>6.3528373063648766E-2</v>
      </c>
      <c r="T23" s="9">
        <f t="shared" ref="T23:AE23" si="50">T10/T3</f>
        <v>0.18164460285132383</v>
      </c>
      <c r="U23" s="9">
        <f t="shared" si="50"/>
        <v>0.12163589727694003</v>
      </c>
      <c r="V23" s="9">
        <f t="shared" si="50"/>
        <v>0.18479999999999994</v>
      </c>
      <c r="W23" s="9">
        <f t="shared" si="50"/>
        <v>0.18479999999999991</v>
      </c>
      <c r="X23" s="9">
        <f t="shared" si="50"/>
        <v>0.18479999999999991</v>
      </c>
      <c r="Y23" s="9">
        <f t="shared" si="50"/>
        <v>0.18479999999999988</v>
      </c>
      <c r="Z23" s="9">
        <f t="shared" si="50"/>
        <v>0.18479999999999994</v>
      </c>
      <c r="AA23" s="9">
        <f t="shared" si="50"/>
        <v>0.18479999999999999</v>
      </c>
      <c r="AB23" s="9">
        <f t="shared" si="50"/>
        <v>0.18479999999999999</v>
      </c>
      <c r="AC23" s="9">
        <f t="shared" si="50"/>
        <v>0.18480000000000002</v>
      </c>
      <c r="AD23" s="9">
        <f t="shared" si="50"/>
        <v>0.18479999999999996</v>
      </c>
      <c r="AE23" s="9">
        <f t="shared" si="50"/>
        <v>0.18479999999999994</v>
      </c>
      <c r="AG23" t="s">
        <v>47</v>
      </c>
      <c r="AH23" s="5">
        <f>Main!D8</f>
        <v>-6249</v>
      </c>
    </row>
    <row r="24" spans="2:34" x14ac:dyDescent="0.3">
      <c r="B24" t="s">
        <v>19</v>
      </c>
      <c r="C24" s="9">
        <f t="shared" ref="C24:L24" si="51">C14/C13</f>
        <v>0.55042016806722693</v>
      </c>
      <c r="D24" s="9">
        <f t="shared" si="51"/>
        <v>0.29205807002561912</v>
      </c>
      <c r="E24" s="9">
        <f t="shared" si="51"/>
        <v>0.22905027932960895</v>
      </c>
      <c r="F24" s="9">
        <f t="shared" si="51"/>
        <v>1.2657342657342658</v>
      </c>
      <c r="G24" s="9">
        <f t="shared" si="51"/>
        <v>0.15744274809160305</v>
      </c>
      <c r="H24" s="9">
        <f t="shared" si="51"/>
        <v>0.15975103734439833</v>
      </c>
      <c r="I24" s="9">
        <f t="shared" si="51"/>
        <v>0.27294832826747722</v>
      </c>
      <c r="J24" s="9">
        <f t="shared" si="51"/>
        <v>6.9848661233993014E-3</v>
      </c>
      <c r="K24" s="9">
        <f t="shared" si="51"/>
        <v>0.14569536423841059</v>
      </c>
      <c r="L24" s="9">
        <f t="shared" si="51"/>
        <v>0.34564021995286726</v>
      </c>
      <c r="M24" s="9">
        <f t="shared" ref="M24:N24" si="52">M14/M13</f>
        <v>0.17000000000000004</v>
      </c>
      <c r="N24" s="9">
        <f t="shared" si="52"/>
        <v>0.17</v>
      </c>
      <c r="Q24" s="9">
        <f>Q14/Q13</f>
        <v>-1.4802631578947369</v>
      </c>
      <c r="R24" s="9">
        <f>R14/R13</f>
        <v>0.71586715867158668</v>
      </c>
      <c r="S24" s="9">
        <f>S14/S13</f>
        <v>0.35104209235798939</v>
      </c>
      <c r="T24" s="9">
        <f t="shared" ref="T24:AE24" si="53">T14/T13</f>
        <v>0.17139061116031887</v>
      </c>
      <c r="U24" s="9">
        <f t="shared" si="53"/>
        <v>0.24532576887977098</v>
      </c>
      <c r="V24" s="9">
        <f t="shared" si="53"/>
        <v>0.17</v>
      </c>
      <c r="W24" s="9">
        <f t="shared" si="53"/>
        <v>0.17</v>
      </c>
      <c r="X24" s="9">
        <f t="shared" si="53"/>
        <v>0.17</v>
      </c>
      <c r="Y24" s="9">
        <f t="shared" si="53"/>
        <v>0.17</v>
      </c>
      <c r="Z24" s="9">
        <f t="shared" si="53"/>
        <v>0.17</v>
      </c>
      <c r="AA24" s="9">
        <f t="shared" si="53"/>
        <v>0.17</v>
      </c>
      <c r="AB24" s="9">
        <f t="shared" si="53"/>
        <v>0.17</v>
      </c>
      <c r="AC24" s="9">
        <f t="shared" si="53"/>
        <v>0.17</v>
      </c>
      <c r="AD24" s="9">
        <f t="shared" si="53"/>
        <v>0.16999999999999998</v>
      </c>
      <c r="AE24" s="9">
        <f t="shared" si="53"/>
        <v>0.17</v>
      </c>
      <c r="AG24" t="s">
        <v>46</v>
      </c>
      <c r="AH24" s="5">
        <f>AH22+AH23</f>
        <v>61635.566725731507</v>
      </c>
    </row>
    <row r="25" spans="2:34" x14ac:dyDescent="0.3">
      <c r="B25" t="s">
        <v>36</v>
      </c>
      <c r="C25" s="9">
        <f t="shared" ref="C25:L25" si="54">C15/C3</f>
        <v>1.4144084600132188E-2</v>
      </c>
      <c r="D25" s="9">
        <f t="shared" si="54"/>
        <v>0.15222181417554168</v>
      </c>
      <c r="E25" s="9">
        <f t="shared" si="54"/>
        <v>0.11291114383897889</v>
      </c>
      <c r="F25" s="9">
        <f t="shared" si="54"/>
        <v>-6.556245686680469E-3</v>
      </c>
      <c r="G25" s="9">
        <f t="shared" si="54"/>
        <v>0.14332088946599578</v>
      </c>
      <c r="H25" s="9">
        <f t="shared" si="54"/>
        <v>0.14794520547945206</v>
      </c>
      <c r="I25" s="9">
        <f t="shared" si="54"/>
        <v>0.18259541984732824</v>
      </c>
      <c r="J25" s="9">
        <f t="shared" si="54"/>
        <v>0.15849126718691936</v>
      </c>
      <c r="K25" s="9">
        <f t="shared" si="54"/>
        <v>1.9004124926340602E-2</v>
      </c>
      <c r="L25" s="9">
        <f t="shared" si="54"/>
        <v>0.13653499426323554</v>
      </c>
      <c r="M25" s="9">
        <f t="shared" ref="M25:N25" si="55">M15/M3</f>
        <v>9.5815199999999989E-2</v>
      </c>
      <c r="N25" s="9">
        <f t="shared" si="55"/>
        <v>9.638683085030908E-2</v>
      </c>
      <c r="Q25" s="9">
        <f>Q15/Q3</f>
        <v>1.9186727059901269E-2</v>
      </c>
      <c r="R25" s="9">
        <f>R15/R3</f>
        <v>-6.3011456628477907E-3</v>
      </c>
      <c r="S25" s="9">
        <f>S15/S3</f>
        <v>6.3729031222409499E-2</v>
      </c>
      <c r="T25" s="9">
        <f t="shared" ref="T25:AE25" si="56">T15/T3</f>
        <v>0.15877460964019008</v>
      </c>
      <c r="U25" s="9">
        <f t="shared" si="56"/>
        <v>8.5370167072206821E-2</v>
      </c>
      <c r="V25" s="9">
        <f t="shared" si="56"/>
        <v>0.13831356704010098</v>
      </c>
      <c r="W25" s="9">
        <f t="shared" si="56"/>
        <v>0.13929035436157591</v>
      </c>
      <c r="X25" s="9">
        <f t="shared" si="56"/>
        <v>0.13995514896716196</v>
      </c>
      <c r="Y25" s="9">
        <f t="shared" si="56"/>
        <v>0.14046672424460335</v>
      </c>
      <c r="Z25" s="9">
        <f t="shared" si="56"/>
        <v>0.14083933796831677</v>
      </c>
      <c r="AA25" s="9">
        <f t="shared" si="56"/>
        <v>0.14108292363883496</v>
      </c>
      <c r="AB25" s="9">
        <f t="shared" si="56"/>
        <v>0.14132177949050806</v>
      </c>
      <c r="AC25" s="9">
        <f t="shared" si="56"/>
        <v>0.1415559973644788</v>
      </c>
      <c r="AD25" s="9">
        <f t="shared" si="56"/>
        <v>0.14178566731856657</v>
      </c>
      <c r="AE25" s="9">
        <f t="shared" si="56"/>
        <v>0.14201087766189532</v>
      </c>
      <c r="AG25" t="s">
        <v>48</v>
      </c>
      <c r="AH25" s="6">
        <f>AH24/AE16</f>
        <v>197.29694854587552</v>
      </c>
    </row>
    <row r="26" spans="2:34" x14ac:dyDescent="0.3">
      <c r="AG26" t="s">
        <v>49</v>
      </c>
      <c r="AH26" s="6">
        <f>Main!D3</f>
        <v>332.45</v>
      </c>
    </row>
    <row r="27" spans="2:34" x14ac:dyDescent="0.3">
      <c r="AG27" s="1" t="s">
        <v>50</v>
      </c>
      <c r="AH27" s="10">
        <f>AH25/AH26-1</f>
        <v>-0.40653647602383658</v>
      </c>
    </row>
    <row r="28" spans="2:34" x14ac:dyDescent="0.3">
      <c r="B28" t="s">
        <v>4</v>
      </c>
      <c r="AG28" t="s">
        <v>51</v>
      </c>
      <c r="AH28" s="2" t="s">
        <v>52</v>
      </c>
    </row>
    <row r="29" spans="2:34" x14ac:dyDescent="0.3">
      <c r="B29" t="s">
        <v>53</v>
      </c>
    </row>
    <row r="30" spans="2:34" x14ac:dyDescent="0.3">
      <c r="B30" t="s">
        <v>54</v>
      </c>
    </row>
    <row r="31" spans="2:34" x14ac:dyDescent="0.3">
      <c r="B31" t="s">
        <v>55</v>
      </c>
    </row>
    <row r="32" spans="2:34" x14ac:dyDescent="0.3">
      <c r="B32" t="s">
        <v>56</v>
      </c>
    </row>
    <row r="33" spans="2:12" x14ac:dyDescent="0.3">
      <c r="B33" t="s">
        <v>57</v>
      </c>
    </row>
    <row r="34" spans="2:12" x14ac:dyDescent="0.3">
      <c r="B34" t="s">
        <v>58</v>
      </c>
    </row>
    <row r="35" spans="2:12" s="1" customFormat="1" x14ac:dyDescent="0.3">
      <c r="B35" s="1" t="s">
        <v>59</v>
      </c>
    </row>
    <row r="36" spans="2:12" x14ac:dyDescent="0.3">
      <c r="B36" t="s">
        <v>60</v>
      </c>
    </row>
    <row r="37" spans="2:12" x14ac:dyDescent="0.3">
      <c r="B37" t="s">
        <v>61</v>
      </c>
    </row>
    <row r="38" spans="2:12" x14ac:dyDescent="0.3">
      <c r="B38" t="s">
        <v>62</v>
      </c>
    </row>
    <row r="39" spans="2:12" x14ac:dyDescent="0.3">
      <c r="B39" t="s">
        <v>55</v>
      </c>
    </row>
    <row r="40" spans="2:12" x14ac:dyDescent="0.3">
      <c r="B40" t="s">
        <v>63</v>
      </c>
    </row>
    <row r="41" spans="2:12" s="1" customFormat="1" x14ac:dyDescent="0.3">
      <c r="B41" s="1" t="s">
        <v>64</v>
      </c>
    </row>
    <row r="42" spans="2:12" s="1" customFormat="1" x14ac:dyDescent="0.3">
      <c r="B42" s="1" t="s">
        <v>65</v>
      </c>
      <c r="L42" s="8">
        <v>53038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2024-10-06T10:35:31Z</dcterms:created>
  <dcterms:modified xsi:type="dcterms:W3CDTF">2025-09-27T12:06:47Z</dcterms:modified>
</cp:coreProperties>
</file>