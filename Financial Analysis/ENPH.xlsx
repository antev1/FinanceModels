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67E24009-D712-4CB4-B087-8BD5F2F4D79F}" xr6:coauthVersionLast="47" xr6:coauthVersionMax="47" xr10:uidLastSave="{00000000-0000-0000-0000-000000000000}"/>
  <bookViews>
    <workbookView xWindow="-108" yWindow="-108" windowWidth="23256" windowHeight="12576" xr2:uid="{478B74DE-E313-42EF-BEC7-E5EBB6A4788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0" i="2" l="1"/>
  <c r="AI29" i="2"/>
  <c r="AI28" i="2"/>
  <c r="AI27" i="2"/>
  <c r="AI26" i="2"/>
  <c r="AI25" i="2"/>
  <c r="AH18" i="2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AG18" i="2"/>
  <c r="AF29" i="2"/>
  <c r="AE29" i="2"/>
  <c r="AD29" i="2"/>
  <c r="AC29" i="2"/>
  <c r="AB29" i="2"/>
  <c r="AA29" i="2"/>
  <c r="Z29" i="2"/>
  <c r="Y29" i="2"/>
  <c r="X29" i="2"/>
  <c r="W29" i="2"/>
  <c r="AF28" i="2"/>
  <c r="AE28" i="2"/>
  <c r="AD28" i="2"/>
  <c r="AC28" i="2"/>
  <c r="AB28" i="2"/>
  <c r="AA28" i="2"/>
  <c r="Z28" i="2"/>
  <c r="Y28" i="2"/>
  <c r="X28" i="2"/>
  <c r="W28" i="2"/>
  <c r="AF27" i="2"/>
  <c r="AE27" i="2"/>
  <c r="AD27" i="2"/>
  <c r="AC27" i="2"/>
  <c r="AB27" i="2"/>
  <c r="AA27" i="2"/>
  <c r="Z27" i="2"/>
  <c r="Y27" i="2"/>
  <c r="X27" i="2"/>
  <c r="W27" i="2"/>
  <c r="AF26" i="2"/>
  <c r="AE26" i="2"/>
  <c r="AD26" i="2"/>
  <c r="AC26" i="2"/>
  <c r="AB26" i="2"/>
  <c r="AA26" i="2"/>
  <c r="Z26" i="2"/>
  <c r="Y26" i="2"/>
  <c r="X26" i="2"/>
  <c r="W26" i="2"/>
  <c r="AF25" i="2"/>
  <c r="AE25" i="2"/>
  <c r="AD25" i="2"/>
  <c r="AC25" i="2"/>
  <c r="AB25" i="2"/>
  <c r="AA25" i="2"/>
  <c r="Z25" i="2"/>
  <c r="Y25" i="2"/>
  <c r="X25" i="2"/>
  <c r="W25" i="2"/>
  <c r="AF24" i="2"/>
  <c r="AE24" i="2"/>
  <c r="AD24" i="2"/>
  <c r="AC24" i="2"/>
  <c r="AB24" i="2"/>
  <c r="AA24" i="2"/>
  <c r="Z24" i="2"/>
  <c r="Y24" i="2"/>
  <c r="X24" i="2"/>
  <c r="W24" i="2"/>
  <c r="AF23" i="2"/>
  <c r="AE23" i="2"/>
  <c r="AD23" i="2"/>
  <c r="AC23" i="2"/>
  <c r="AB23" i="2"/>
  <c r="AA23" i="2"/>
  <c r="Z23" i="2"/>
  <c r="Y23" i="2"/>
  <c r="X23" i="2"/>
  <c r="W23" i="2"/>
  <c r="AF22" i="2"/>
  <c r="AE22" i="2"/>
  <c r="AD22" i="2"/>
  <c r="AC22" i="2"/>
  <c r="AB22" i="2"/>
  <c r="AA22" i="2"/>
  <c r="Z22" i="2"/>
  <c r="Y22" i="2"/>
  <c r="X22" i="2"/>
  <c r="W22" i="2"/>
  <c r="AF19" i="2"/>
  <c r="AE19" i="2"/>
  <c r="AD19" i="2"/>
  <c r="AC19" i="2"/>
  <c r="AB19" i="2"/>
  <c r="AA19" i="2"/>
  <c r="Z19" i="2"/>
  <c r="Y19" i="2"/>
  <c r="X19" i="2"/>
  <c r="X14" i="2"/>
  <c r="Y14" i="2" s="1"/>
  <c r="Z14" i="2" s="1"/>
  <c r="AA14" i="2" s="1"/>
  <c r="AB14" i="2" s="1"/>
  <c r="AC14" i="2" s="1"/>
  <c r="AD14" i="2" s="1"/>
  <c r="AE14" i="2" s="1"/>
  <c r="AF14" i="2" s="1"/>
  <c r="Y13" i="2"/>
  <c r="Z13" i="2" s="1"/>
  <c r="AA13" i="2" s="1"/>
  <c r="AB13" i="2" s="1"/>
  <c r="AC13" i="2" s="1"/>
  <c r="AD13" i="2" s="1"/>
  <c r="AE13" i="2" s="1"/>
  <c r="AF13" i="2" s="1"/>
  <c r="X13" i="2"/>
  <c r="Z12" i="2"/>
  <c r="Y12" i="2"/>
  <c r="X12" i="2"/>
  <c r="AA11" i="2"/>
  <c r="AF10" i="2"/>
  <c r="AF11" i="2" s="1"/>
  <c r="AE10" i="2"/>
  <c r="AE11" i="2" s="1"/>
  <c r="AD10" i="2"/>
  <c r="AD11" i="2" s="1"/>
  <c r="AC10" i="2"/>
  <c r="AC11" i="2" s="1"/>
  <c r="AB10" i="2"/>
  <c r="AB11" i="2" s="1"/>
  <c r="AA10" i="2"/>
  <c r="Z10" i="2"/>
  <c r="Z11" i="2" s="1"/>
  <c r="Y10" i="2"/>
  <c r="Y11" i="2" s="1"/>
  <c r="X10" i="2"/>
  <c r="X11" i="2" s="1"/>
  <c r="W19" i="2"/>
  <c r="W15" i="2"/>
  <c r="W14" i="2"/>
  <c r="W13" i="2"/>
  <c r="W12" i="2"/>
  <c r="W10" i="2"/>
  <c r="W11" i="2" s="1"/>
  <c r="W16" i="2" s="1"/>
  <c r="X8" i="2"/>
  <c r="Y8" i="2" s="1"/>
  <c r="Z8" i="2" s="1"/>
  <c r="AA8" i="2" s="1"/>
  <c r="AB8" i="2" s="1"/>
  <c r="AC8" i="2" s="1"/>
  <c r="AD8" i="2" s="1"/>
  <c r="AE8" i="2" s="1"/>
  <c r="AF8" i="2" s="1"/>
  <c r="W8" i="2"/>
  <c r="AF7" i="2"/>
  <c r="AE7" i="2"/>
  <c r="AD7" i="2"/>
  <c r="AC7" i="2"/>
  <c r="AB7" i="2"/>
  <c r="AA7" i="2"/>
  <c r="Z7" i="2"/>
  <c r="Y7" i="2"/>
  <c r="X7" i="2"/>
  <c r="W7" i="2"/>
  <c r="Y6" i="2"/>
  <c r="Z6" i="2" s="1"/>
  <c r="AA6" i="2" s="1"/>
  <c r="AB6" i="2" s="1"/>
  <c r="AC6" i="2" s="1"/>
  <c r="AD6" i="2" s="1"/>
  <c r="AE6" i="2" s="1"/>
  <c r="AF6" i="2" s="1"/>
  <c r="X6" i="2"/>
  <c r="W6" i="2"/>
  <c r="AF5" i="2"/>
  <c r="AE5" i="2"/>
  <c r="AE4" i="2" s="1"/>
  <c r="AD5" i="2"/>
  <c r="AC5" i="2"/>
  <c r="AB5" i="2"/>
  <c r="AA5" i="2"/>
  <c r="AA4" i="2" s="1"/>
  <c r="Z5" i="2"/>
  <c r="Y5" i="2"/>
  <c r="Y4" i="2" s="1"/>
  <c r="X5" i="2"/>
  <c r="W5" i="2"/>
  <c r="W4" i="2" s="1"/>
  <c r="AC4" i="2"/>
  <c r="AF4" i="2"/>
  <c r="AD4" i="2"/>
  <c r="AB4" i="2"/>
  <c r="Z4" i="2"/>
  <c r="X4" i="2"/>
  <c r="AB3" i="2"/>
  <c r="AC3" i="2" s="1"/>
  <c r="AD3" i="2" s="1"/>
  <c r="AE3" i="2" s="1"/>
  <c r="AF3" i="2" s="1"/>
  <c r="AA3" i="2"/>
  <c r="Z3" i="2"/>
  <c r="Y3" i="2"/>
  <c r="X3" i="2"/>
  <c r="W3" i="2"/>
  <c r="T29" i="2"/>
  <c r="S29" i="2"/>
  <c r="R29" i="2"/>
  <c r="T28" i="2"/>
  <c r="S28" i="2"/>
  <c r="R28" i="2"/>
  <c r="T27" i="2"/>
  <c r="S27" i="2"/>
  <c r="R27" i="2"/>
  <c r="T26" i="2"/>
  <c r="S26" i="2"/>
  <c r="T25" i="2"/>
  <c r="S25" i="2"/>
  <c r="R25" i="2"/>
  <c r="T24" i="2"/>
  <c r="S24" i="2"/>
  <c r="T23" i="2"/>
  <c r="S23" i="2"/>
  <c r="R23" i="2"/>
  <c r="T22" i="2"/>
  <c r="S22" i="2"/>
  <c r="R14" i="2"/>
  <c r="R19" i="2"/>
  <c r="R15" i="2"/>
  <c r="R10" i="2"/>
  <c r="R5" i="2"/>
  <c r="S19" i="2"/>
  <c r="S15" i="2"/>
  <c r="S10" i="2"/>
  <c r="S5" i="2"/>
  <c r="T19" i="2"/>
  <c r="T15" i="2"/>
  <c r="T10" i="2"/>
  <c r="T5" i="2"/>
  <c r="U29" i="2"/>
  <c r="U28" i="2"/>
  <c r="U27" i="2"/>
  <c r="U26" i="2"/>
  <c r="U25" i="2"/>
  <c r="U24" i="2"/>
  <c r="U23" i="2"/>
  <c r="U22" i="2"/>
  <c r="V26" i="2"/>
  <c r="V24" i="2"/>
  <c r="V22" i="2"/>
  <c r="V29" i="2"/>
  <c r="V28" i="2"/>
  <c r="V27" i="2"/>
  <c r="V25" i="2"/>
  <c r="V23" i="2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I26" i="2"/>
  <c r="H26" i="2"/>
  <c r="G26" i="2"/>
  <c r="I25" i="2"/>
  <c r="H25" i="2"/>
  <c r="G25" i="2"/>
  <c r="F25" i="2"/>
  <c r="E25" i="2"/>
  <c r="D25" i="2"/>
  <c r="C25" i="2"/>
  <c r="I24" i="2"/>
  <c r="H24" i="2"/>
  <c r="G24" i="2"/>
  <c r="I23" i="2"/>
  <c r="H23" i="2"/>
  <c r="G23" i="2"/>
  <c r="F23" i="2"/>
  <c r="E23" i="2"/>
  <c r="D23" i="2"/>
  <c r="C23" i="2"/>
  <c r="J29" i="2"/>
  <c r="J28" i="2"/>
  <c r="J27" i="2"/>
  <c r="J25" i="2"/>
  <c r="J26" i="2"/>
  <c r="J24" i="2"/>
  <c r="J23" i="2"/>
  <c r="I22" i="2"/>
  <c r="H22" i="2"/>
  <c r="G22" i="2"/>
  <c r="J22" i="2"/>
  <c r="F17" i="2"/>
  <c r="F14" i="2"/>
  <c r="F13" i="2"/>
  <c r="F15" i="2" s="1"/>
  <c r="F12" i="2"/>
  <c r="F9" i="2"/>
  <c r="F8" i="2"/>
  <c r="F7" i="2"/>
  <c r="F6" i="2"/>
  <c r="F4" i="2"/>
  <c r="F3" i="2"/>
  <c r="F19" i="2"/>
  <c r="F10" i="2"/>
  <c r="J17" i="2"/>
  <c r="J14" i="2"/>
  <c r="J13" i="2"/>
  <c r="J12" i="2"/>
  <c r="J9" i="2"/>
  <c r="J8" i="2"/>
  <c r="J7" i="2"/>
  <c r="J6" i="2"/>
  <c r="J10" i="2" s="1"/>
  <c r="J4" i="2"/>
  <c r="J3" i="2"/>
  <c r="J19" i="2"/>
  <c r="J15" i="2"/>
  <c r="U19" i="2"/>
  <c r="U15" i="2"/>
  <c r="U10" i="2"/>
  <c r="U5" i="2"/>
  <c r="V19" i="2"/>
  <c r="V15" i="2"/>
  <c r="V10" i="2"/>
  <c r="V5" i="2"/>
  <c r="C19" i="2"/>
  <c r="C15" i="2"/>
  <c r="C10" i="2"/>
  <c r="C5" i="2"/>
  <c r="C11" i="2" s="1"/>
  <c r="G19" i="2"/>
  <c r="G15" i="2"/>
  <c r="G10" i="2"/>
  <c r="G5" i="2"/>
  <c r="D19" i="2"/>
  <c r="D15" i="2"/>
  <c r="D10" i="2"/>
  <c r="D5" i="2"/>
  <c r="H19" i="2"/>
  <c r="H15" i="2"/>
  <c r="H10" i="2"/>
  <c r="H5" i="2"/>
  <c r="E19" i="2"/>
  <c r="E15" i="2"/>
  <c r="E10" i="2"/>
  <c r="E5" i="2"/>
  <c r="I20" i="2"/>
  <c r="I19" i="2"/>
  <c r="I18" i="2"/>
  <c r="I16" i="2"/>
  <c r="I15" i="2"/>
  <c r="I11" i="2"/>
  <c r="I10" i="2"/>
  <c r="I5" i="2"/>
  <c r="D9" i="1"/>
  <c r="D8" i="1"/>
  <c r="D7" i="1"/>
  <c r="D6" i="1"/>
  <c r="D5" i="1"/>
  <c r="D4" i="1"/>
  <c r="F3" i="1"/>
  <c r="X16" i="2" l="1"/>
  <c r="W17" i="2"/>
  <c r="W18" i="2" s="1"/>
  <c r="W20" i="2" s="1"/>
  <c r="Y15" i="2"/>
  <c r="Y16" i="2" s="1"/>
  <c r="Z15" i="2"/>
  <c r="Z16" i="2" s="1"/>
  <c r="X15" i="2"/>
  <c r="AA12" i="2"/>
  <c r="R11" i="2"/>
  <c r="R16" i="2" s="1"/>
  <c r="R18" i="2" s="1"/>
  <c r="R20" i="2" s="1"/>
  <c r="S11" i="2"/>
  <c r="S16" i="2" s="1"/>
  <c r="S18" i="2" s="1"/>
  <c r="S20" i="2" s="1"/>
  <c r="T11" i="2"/>
  <c r="T16" i="2" s="1"/>
  <c r="T18" i="2" s="1"/>
  <c r="T20" i="2" s="1"/>
  <c r="F5" i="2"/>
  <c r="F11" i="2" s="1"/>
  <c r="F16" i="2" s="1"/>
  <c r="F18" i="2" s="1"/>
  <c r="F20" i="2" s="1"/>
  <c r="J5" i="2"/>
  <c r="J11" i="2" s="1"/>
  <c r="J16" i="2" s="1"/>
  <c r="J18" i="2" s="1"/>
  <c r="J20" i="2" s="1"/>
  <c r="U11" i="2"/>
  <c r="U16" i="2" s="1"/>
  <c r="U18" i="2" s="1"/>
  <c r="U20" i="2" s="1"/>
  <c r="V11" i="2"/>
  <c r="V16" i="2" s="1"/>
  <c r="V18" i="2" s="1"/>
  <c r="V20" i="2" s="1"/>
  <c r="C16" i="2"/>
  <c r="C18" i="2" s="1"/>
  <c r="C20" i="2" s="1"/>
  <c r="G11" i="2"/>
  <c r="G16" i="2" s="1"/>
  <c r="G18" i="2" s="1"/>
  <c r="G20" i="2" s="1"/>
  <c r="D11" i="2"/>
  <c r="D16" i="2" s="1"/>
  <c r="D18" i="2" s="1"/>
  <c r="D20" i="2" s="1"/>
  <c r="H11" i="2"/>
  <c r="H16" i="2" s="1"/>
  <c r="H18" i="2" s="1"/>
  <c r="H20" i="2" s="1"/>
  <c r="E11" i="2"/>
  <c r="E16" i="2" s="1"/>
  <c r="E18" i="2" s="1"/>
  <c r="E20" i="2" s="1"/>
  <c r="Z17" i="2" l="1"/>
  <c r="Z18" i="2" s="1"/>
  <c r="Z20" i="2" s="1"/>
  <c r="Y17" i="2"/>
  <c r="Y18" i="2" s="1"/>
  <c r="Y20" i="2" s="1"/>
  <c r="X17" i="2"/>
  <c r="X18" i="2" s="1"/>
  <c r="X20" i="2" s="1"/>
  <c r="AA15" i="2"/>
  <c r="AA16" i="2" s="1"/>
  <c r="AB12" i="2"/>
  <c r="AB15" i="2" l="1"/>
  <c r="AB16" i="2" s="1"/>
  <c r="AC12" i="2"/>
  <c r="AA17" i="2"/>
  <c r="AA18" i="2"/>
  <c r="AA20" i="2" s="1"/>
  <c r="AC15" i="2" l="1"/>
  <c r="AC16" i="2" s="1"/>
  <c r="AD12" i="2"/>
  <c r="AB17" i="2"/>
  <c r="AB18" i="2"/>
  <c r="AB20" i="2" s="1"/>
  <c r="AE12" i="2" l="1"/>
  <c r="AD15" i="2"/>
  <c r="AD16" i="2" s="1"/>
  <c r="AC17" i="2"/>
  <c r="AC18" i="2"/>
  <c r="AC20" i="2" s="1"/>
  <c r="AF12" i="2" l="1"/>
  <c r="AF15" i="2" s="1"/>
  <c r="AF16" i="2" s="1"/>
  <c r="AE15" i="2"/>
  <c r="AE16" i="2" s="1"/>
  <c r="AD17" i="2"/>
  <c r="AD18" i="2"/>
  <c r="AD20" i="2" s="1"/>
  <c r="AE17" i="2" l="1"/>
  <c r="AE18" i="2" s="1"/>
  <c r="AE20" i="2" s="1"/>
  <c r="AF17" i="2"/>
  <c r="AF18" i="2" s="1"/>
  <c r="AF20" i="2" s="1"/>
</calcChain>
</file>

<file path=xl/sharedStrings.xml><?xml version="1.0" encoding="utf-8"?>
<sst xmlns="http://schemas.openxmlformats.org/spreadsheetml/2006/main" count="62" uniqueCount="57">
  <si>
    <t>ENPH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</si>
  <si>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</si>
  <si>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</si>
  <si>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</si>
  <si>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</si>
  <si>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</si>
  <si>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</si>
  <si>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</si>
  <si>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</si>
  <si>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</si>
  <si>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</si>
  <si>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Q324</t>
  </si>
  <si>
    <t>Revenue</t>
  </si>
  <si>
    <t>Cost of sales</t>
  </si>
  <si>
    <t>Gross profit</t>
  </si>
  <si>
    <t>Q124</t>
  </si>
  <si>
    <t>Q224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</si>
  <si>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</si>
  <si>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</si>
  <si>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</si>
  <si>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</si>
  <si>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</si>
  <si>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</si>
  <si>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</si>
  <si>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</si>
  <si>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</si>
  <si>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R&amp;D</t>
  </si>
  <si>
    <t>S&amp;M</t>
  </si>
  <si>
    <t>G&amp;A</t>
  </si>
  <si>
    <t>Restructuring</t>
  </si>
  <si>
    <t>Total opex</t>
  </si>
  <si>
    <t>Operating profit</t>
  </si>
  <si>
    <t>Interest income</t>
  </si>
  <si>
    <t>Interest expense</t>
  </si>
  <si>
    <t>Other expense</t>
  </si>
  <si>
    <t>Total other</t>
  </si>
  <si>
    <t>Pretax profit</t>
  </si>
  <si>
    <t>Taxes</t>
  </si>
  <si>
    <t>Net profit</t>
  </si>
  <si>
    <t>EPS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</si>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</sst>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3" fontId="0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7620</xdr:rowOff>
    </xdr:from>
    <xdr:to>
      <xdr:col>10</xdr:col>
      <xdr:colOff>15240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E47B0B0-5D83-E6D8-F2AF-E006F6C6FF41}"/>
            </a:ext>
          </a:extLst>
        </xdr:cNvPr>
        <xdr:cNvCxnSpPr/>
      </xdr:nvCxnSpPr>
      <xdr:spPr>
        <a:xfrm>
          <a:off x="649986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</xdr:colOff>
      <xdr:row>0</xdr:row>
      <xdr:rowOff>7620</xdr:rowOff>
    </xdr:from>
    <xdr:to>
      <xdr:col>22</xdr:col>
      <xdr:colOff>22860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41FFFE9-B7E8-1EFF-3841-00DBC7C4E94F}"/>
            </a:ext>
          </a:extLst>
        </xdr:cNvPr>
        <xdr:cNvCxnSpPr/>
      </xdr:nvCxnSpPr>
      <xdr:spPr>
        <a:xfrm>
          <a:off x="1382268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02FF-C543-4A65-B361-8FE91C3007D1}">
  <dimension ref="B2:G9"/>
  <sheetViews>
    <sheetView tabSelected="1" workbookViewId="0">
      <selection activeCell="D4" sqref="D4"/>
    </sheetView>
  </sheetViews>
  <sheetFormatPr defaultRowHeight="14.4" x14ac:dyDescent="0.3"/>
  <cols>
    <col min="5" max="5" width="11.88671875" style="2" bestFit="1" customWidth="1"/>
    <col min="6" max="7" width="11.21875" style="2" bestFit="1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49.74</v>
      </c>
      <c r="E3" s="3">
        <v>46078</v>
      </c>
      <c r="F3" s="3">
        <f ca="1">TODAY()</f>
        <v>46078</v>
      </c>
      <c r="G3" s="3">
        <v>46140</v>
      </c>
    </row>
    <row r="4" spans="2:7" x14ac:dyDescent="0.3">
      <c r="C4" t="s">
        <v>2</v>
      </c>
      <c r="D4" s="5">
        <f>130.9</f>
        <v>130.9</v>
      </c>
      <c r="E4" s="2" t="s">
        <v>11</v>
      </c>
    </row>
    <row r="5" spans="2:7" x14ac:dyDescent="0.3">
      <c r="C5" t="s">
        <v>3</v>
      </c>
      <c r="D5" s="5">
        <f>D3*D4</f>
        <v>6510.9660000000003</v>
      </c>
    </row>
    <row r="6" spans="2:7" x14ac:dyDescent="0.3">
      <c r="C6" t="s">
        <v>4</v>
      </c>
      <c r="D6" s="5">
        <f>401.9+1076</f>
        <v>1477.9</v>
      </c>
      <c r="E6" s="2" t="s">
        <v>11</v>
      </c>
    </row>
    <row r="7" spans="2:7" x14ac:dyDescent="0.3">
      <c r="C7" t="s">
        <v>5</v>
      </c>
      <c r="D7" s="5">
        <f>631.7+571.9</f>
        <v>1203.5999999999999</v>
      </c>
      <c r="E7" s="2" t="s">
        <v>11</v>
      </c>
    </row>
    <row r="8" spans="2:7" x14ac:dyDescent="0.3">
      <c r="C8" t="s">
        <v>6</v>
      </c>
      <c r="D8" s="5">
        <f>D6-D7</f>
        <v>274.30000000000018</v>
      </c>
    </row>
    <row r="9" spans="2:7" x14ac:dyDescent="0.3">
      <c r="C9" t="s">
        <v>7</v>
      </c>
      <c r="D9" s="5">
        <f>D5-D8</f>
        <v>6236.6660000000002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5D69-F71E-45E2-B933-4269FAEA54A7}">
  <dimension ref="B2:EK31"/>
  <sheetViews>
    <sheetView workbookViewId="0">
      <pane xSplit="2" ySplit="2" topLeftCell="P6" activePane="bottomRight" state="frozen"/>
      <selection pane="topRight" activeCell="C1" sqref="C1"/>
      <selection pane="bottomLeft" activeCell="A3" sqref="A3"/>
      <selection pane="bottomRight" activeCell="P31" sqref="P31"/>
    </sheetView>
  </sheetViews>
  <sheetFormatPr defaultRowHeight="14.4" x14ac:dyDescent="0.3"/>
  <cols>
    <col min="2" max="2" width="15.21875" bestFit="1" customWidth="1"/>
    <col min="34" max="34" width="12" bestFit="1" customWidth="1"/>
    <col min="35" max="35" width="16.44140625" bestFit="1" customWidth="1"/>
  </cols>
  <sheetData>
    <row r="2" spans="2:32" x14ac:dyDescent="0.3">
      <c r="C2" s="6" t="s">
        <v>15</v>
      </c>
      <c r="D2" s="6" t="s">
        <v>16</v>
      </c>
      <c r="E2" s="6" t="s">
        <v>11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P2">
        <v>2019</v>
      </c>
      <c r="Q2">
        <v>2020</v>
      </c>
      <c r="R2">
        <v>2021</v>
      </c>
      <c r="S2">
        <v>2022</v>
      </c>
      <c r="T2">
        <v>2023</v>
      </c>
      <c r="U2">
        <v>2024</v>
      </c>
      <c r="V2">
        <v>2025</v>
      </c>
      <c r="W2">
        <v>2026</v>
      </c>
      <c r="X2">
        <v>2027</v>
      </c>
      <c r="Y2">
        <v>2028</v>
      </c>
      <c r="Z2">
        <v>2029</v>
      </c>
      <c r="AA2">
        <v>2030</v>
      </c>
      <c r="AB2">
        <v>2031</v>
      </c>
      <c r="AC2">
        <v>2032</v>
      </c>
      <c r="AD2">
        <v>2033</v>
      </c>
      <c r="AE2">
        <v>2034</v>
      </c>
      <c r="AF2">
        <v>2035</v>
      </c>
    </row>
    <row r="3" spans="2:32" s="1" customFormat="1" x14ac:dyDescent="0.3">
      <c r="B3" s="1" t="s">
        <v>12</v>
      </c>
      <c r="C3" s="8">
        <v>263.3</v>
      </c>
      <c r="D3" s="8">
        <v>303.5</v>
      </c>
      <c r="E3" s="8">
        <v>380.9</v>
      </c>
      <c r="F3" s="8">
        <f>U3-E3-D3-C3</f>
        <v>382.7000000000001</v>
      </c>
      <c r="G3" s="8">
        <v>356.1</v>
      </c>
      <c r="H3" s="8">
        <v>363.2</v>
      </c>
      <c r="I3" s="8">
        <v>410.4</v>
      </c>
      <c r="J3" s="8">
        <f>V3-I3-H3-G3</f>
        <v>343.29999999999984</v>
      </c>
      <c r="R3" s="8">
        <v>1382</v>
      </c>
      <c r="S3" s="8">
        <v>2330.9</v>
      </c>
      <c r="T3" s="8">
        <v>2290.8000000000002</v>
      </c>
      <c r="U3" s="8">
        <v>1330.4</v>
      </c>
      <c r="V3" s="8">
        <v>1473</v>
      </c>
      <c r="W3" s="8">
        <f>V3*1.05</f>
        <v>1546.65</v>
      </c>
      <c r="X3" s="8">
        <f>W3*1.04</f>
        <v>1608.5160000000001</v>
      </c>
      <c r="Y3" s="8">
        <f>X3*1.03</f>
        <v>1656.7714800000001</v>
      </c>
      <c r="Z3" s="8">
        <f>Y3*1.02</f>
        <v>1689.9069096000001</v>
      </c>
      <c r="AA3" s="8">
        <f t="shared" ref="AA3:AF3" si="0">Z3*1.02</f>
        <v>1723.7050477920002</v>
      </c>
      <c r="AB3" s="8">
        <f t="shared" si="0"/>
        <v>1758.1791487478401</v>
      </c>
      <c r="AC3" s="8">
        <f t="shared" si="0"/>
        <v>1793.342731722797</v>
      </c>
      <c r="AD3" s="8">
        <f t="shared" si="0"/>
        <v>1829.2095863572529</v>
      </c>
      <c r="AE3" s="8">
        <f t="shared" si="0"/>
        <v>1865.7937780843979</v>
      </c>
      <c r="AF3" s="8">
        <f t="shared" si="0"/>
        <v>1903.1096536460859</v>
      </c>
    </row>
    <row r="4" spans="2:32" x14ac:dyDescent="0.3">
      <c r="B4" t="s">
        <v>13</v>
      </c>
      <c r="C4" s="5">
        <v>147.80000000000001</v>
      </c>
      <c r="D4" s="5">
        <v>166.3</v>
      </c>
      <c r="E4" s="5">
        <v>202.7</v>
      </c>
      <c r="F4" s="9">
        <f>U4-E4-D4-C4</f>
        <v>184.40000000000003</v>
      </c>
      <c r="G4" s="5">
        <v>187.8</v>
      </c>
      <c r="H4" s="5">
        <v>192.7</v>
      </c>
      <c r="I4" s="5">
        <v>214.2</v>
      </c>
      <c r="J4" s="9">
        <f>V4-I4-H4-G4</f>
        <v>191.29999999999995</v>
      </c>
      <c r="R4" s="5">
        <v>827.6</v>
      </c>
      <c r="S4" s="5">
        <v>1356.3</v>
      </c>
      <c r="T4" s="5">
        <v>1232.4000000000001</v>
      </c>
      <c r="U4" s="5">
        <v>701.2</v>
      </c>
      <c r="V4" s="5">
        <v>786</v>
      </c>
      <c r="W4" s="5">
        <f>W3-W5</f>
        <v>819.72450000000003</v>
      </c>
      <c r="X4" s="5">
        <f t="shared" ref="X4:AF4" si="1">X3-X5</f>
        <v>852.51348000000007</v>
      </c>
      <c r="Y4" s="5">
        <f t="shared" si="1"/>
        <v>878.0888844000001</v>
      </c>
      <c r="Z4" s="5">
        <f t="shared" si="1"/>
        <v>895.6506620880001</v>
      </c>
      <c r="AA4" s="5">
        <f t="shared" si="1"/>
        <v>913.56367532976014</v>
      </c>
      <c r="AB4" s="5">
        <f t="shared" si="1"/>
        <v>931.83494883635535</v>
      </c>
      <c r="AC4" s="5">
        <f t="shared" si="1"/>
        <v>950.47164781308243</v>
      </c>
      <c r="AD4" s="5">
        <f t="shared" si="1"/>
        <v>969.48108076934409</v>
      </c>
      <c r="AE4" s="5">
        <f t="shared" si="1"/>
        <v>988.87070238473098</v>
      </c>
      <c r="AF4" s="5">
        <f t="shared" si="1"/>
        <v>1008.6481164324256</v>
      </c>
    </row>
    <row r="5" spans="2:32" s="1" customFormat="1" x14ac:dyDescent="0.3">
      <c r="B5" s="1" t="s">
        <v>14</v>
      </c>
      <c r="C5" s="8">
        <f>C3-C4</f>
        <v>115.5</v>
      </c>
      <c r="D5" s="8">
        <f>D3-D4</f>
        <v>137.19999999999999</v>
      </c>
      <c r="E5" s="8">
        <f>E3-E4</f>
        <v>178.2</v>
      </c>
      <c r="F5" s="8">
        <f>F3-F4</f>
        <v>198.30000000000007</v>
      </c>
      <c r="G5" s="8">
        <f>G3-G4</f>
        <v>168.3</v>
      </c>
      <c r="H5" s="8">
        <f>H3-H4</f>
        <v>170.5</v>
      </c>
      <c r="I5" s="8">
        <f>I3-I4</f>
        <v>196.2</v>
      </c>
      <c r="J5" s="8">
        <f>J3-J4</f>
        <v>151.99999999999989</v>
      </c>
      <c r="R5" s="8">
        <f>R3-R4</f>
        <v>554.4</v>
      </c>
      <c r="S5" s="8">
        <f>S3-S4</f>
        <v>974.60000000000014</v>
      </c>
      <c r="T5" s="8">
        <f>T3-T4</f>
        <v>1058.4000000000001</v>
      </c>
      <c r="U5" s="8">
        <f>U3-U4</f>
        <v>629.20000000000005</v>
      </c>
      <c r="V5" s="8">
        <f>V3-V4</f>
        <v>687</v>
      </c>
      <c r="W5" s="8">
        <f>W3*0.47</f>
        <v>726.92550000000006</v>
      </c>
      <c r="X5" s="8">
        <f t="shared" ref="X5:AF5" si="2">X3*0.47</f>
        <v>756.00252</v>
      </c>
      <c r="Y5" s="8">
        <f t="shared" si="2"/>
        <v>778.68259560000001</v>
      </c>
      <c r="Z5" s="8">
        <f t="shared" si="2"/>
        <v>794.25624751199996</v>
      </c>
      <c r="AA5" s="8">
        <f t="shared" si="2"/>
        <v>810.14137246224004</v>
      </c>
      <c r="AB5" s="8">
        <f t="shared" si="2"/>
        <v>826.34419991148479</v>
      </c>
      <c r="AC5" s="8">
        <f t="shared" si="2"/>
        <v>842.87108390971457</v>
      </c>
      <c r="AD5" s="8">
        <f t="shared" si="2"/>
        <v>859.72850558790878</v>
      </c>
      <c r="AE5" s="8">
        <f t="shared" si="2"/>
        <v>876.92307569966692</v>
      </c>
      <c r="AF5" s="8">
        <f t="shared" si="2"/>
        <v>894.46153721366034</v>
      </c>
    </row>
    <row r="6" spans="2:32" x14ac:dyDescent="0.3">
      <c r="B6" t="s">
        <v>26</v>
      </c>
      <c r="C6" s="5">
        <v>54.2</v>
      </c>
      <c r="D6" s="5">
        <v>48.9</v>
      </c>
      <c r="E6" s="5">
        <v>47.8</v>
      </c>
      <c r="F6" s="9">
        <f t="shared" ref="F6:F9" si="3">U6-E6-D6-C6</f>
        <v>50.399999999999991</v>
      </c>
      <c r="G6" s="5">
        <v>50.2</v>
      </c>
      <c r="H6" s="5">
        <v>45.4</v>
      </c>
      <c r="I6" s="5">
        <v>47.3</v>
      </c>
      <c r="J6" s="9">
        <f t="shared" ref="J6:J9" si="4">V6-I6-H6-G6</f>
        <v>46.2</v>
      </c>
      <c r="R6" s="5">
        <v>105.5</v>
      </c>
      <c r="S6" s="5">
        <v>168.8</v>
      </c>
      <c r="T6" s="5">
        <v>227.3</v>
      </c>
      <c r="U6" s="5">
        <v>201.3</v>
      </c>
      <c r="V6" s="5">
        <v>189.1</v>
      </c>
      <c r="W6" s="5">
        <f>V6*0.97</f>
        <v>183.42699999999999</v>
      </c>
      <c r="X6" s="5">
        <f>W6*1.01</f>
        <v>185.26127</v>
      </c>
      <c r="Y6" s="5">
        <f t="shared" ref="Y6:AF6" si="5">X6*1.01</f>
        <v>187.1138827</v>
      </c>
      <c r="Z6" s="5">
        <f t="shared" si="5"/>
        <v>188.98502152700001</v>
      </c>
      <c r="AA6" s="5">
        <f t="shared" si="5"/>
        <v>190.87487174227002</v>
      </c>
      <c r="AB6" s="5">
        <f t="shared" si="5"/>
        <v>192.78362045969271</v>
      </c>
      <c r="AC6" s="5">
        <f t="shared" si="5"/>
        <v>194.71145666428964</v>
      </c>
      <c r="AD6" s="5">
        <f t="shared" si="5"/>
        <v>196.65857123093255</v>
      </c>
      <c r="AE6" s="5">
        <f t="shared" si="5"/>
        <v>198.62515694324188</v>
      </c>
      <c r="AF6" s="5">
        <f t="shared" si="5"/>
        <v>200.6114085126743</v>
      </c>
    </row>
    <row r="7" spans="2:32" x14ac:dyDescent="0.3">
      <c r="B7" t="s">
        <v>27</v>
      </c>
      <c r="C7" s="5">
        <v>53.3</v>
      </c>
      <c r="D7" s="5">
        <v>51.8</v>
      </c>
      <c r="E7" s="5">
        <v>49.7</v>
      </c>
      <c r="F7" s="9">
        <f t="shared" si="3"/>
        <v>51.799999999999983</v>
      </c>
      <c r="G7" s="5">
        <v>48.9</v>
      </c>
      <c r="H7" s="5">
        <v>50.7</v>
      </c>
      <c r="I7" s="5">
        <v>48.4</v>
      </c>
      <c r="J7" s="9">
        <f t="shared" si="4"/>
        <v>49.499999999999993</v>
      </c>
      <c r="R7" s="5">
        <v>129</v>
      </c>
      <c r="S7" s="5">
        <v>215.1</v>
      </c>
      <c r="T7" s="5">
        <v>231.8</v>
      </c>
      <c r="U7" s="5">
        <v>206.6</v>
      </c>
      <c r="V7" s="5">
        <v>197.5</v>
      </c>
      <c r="W7" s="5">
        <f>W3*0.12</f>
        <v>185.59800000000001</v>
      </c>
      <c r="X7" s="5">
        <f t="shared" ref="X7:AF7" si="6">X3*0.12</f>
        <v>193.02191999999999</v>
      </c>
      <c r="Y7" s="5">
        <f t="shared" si="6"/>
        <v>198.8125776</v>
      </c>
      <c r="Z7" s="5">
        <f t="shared" si="6"/>
        <v>202.78882915200001</v>
      </c>
      <c r="AA7" s="5">
        <f t="shared" si="6"/>
        <v>206.84460573504001</v>
      </c>
      <c r="AB7" s="5">
        <f t="shared" si="6"/>
        <v>210.9814978497408</v>
      </c>
      <c r="AC7" s="5">
        <f t="shared" si="6"/>
        <v>215.20112780673563</v>
      </c>
      <c r="AD7" s="5">
        <f t="shared" si="6"/>
        <v>219.50515036287032</v>
      </c>
      <c r="AE7" s="5">
        <f t="shared" si="6"/>
        <v>223.89525337012773</v>
      </c>
      <c r="AF7" s="5">
        <f t="shared" si="6"/>
        <v>228.37315843753029</v>
      </c>
    </row>
    <row r="8" spans="2:32" x14ac:dyDescent="0.3">
      <c r="B8" t="s">
        <v>28</v>
      </c>
      <c r="C8" s="5">
        <v>35.200000000000003</v>
      </c>
      <c r="D8" s="5">
        <v>33.6</v>
      </c>
      <c r="E8" s="5">
        <v>30.2</v>
      </c>
      <c r="F8" s="9">
        <f t="shared" si="3"/>
        <v>31.799999999999997</v>
      </c>
      <c r="G8" s="5">
        <v>34</v>
      </c>
      <c r="H8" s="5">
        <v>34</v>
      </c>
      <c r="I8" s="5">
        <v>33.1</v>
      </c>
      <c r="J8" s="9">
        <f t="shared" si="4"/>
        <v>34.700000000000017</v>
      </c>
      <c r="R8" s="5">
        <v>104.1</v>
      </c>
      <c r="S8" s="5">
        <v>140</v>
      </c>
      <c r="T8" s="5">
        <v>137.80000000000001</v>
      </c>
      <c r="U8" s="5">
        <v>130.80000000000001</v>
      </c>
      <c r="V8" s="5">
        <v>135.80000000000001</v>
      </c>
      <c r="W8" s="5">
        <f>V8*1.02</f>
        <v>138.51600000000002</v>
      </c>
      <c r="X8" s="5">
        <f t="shared" ref="X8:AF8" si="7">W8*1.02</f>
        <v>141.28632000000002</v>
      </c>
      <c r="Y8" s="5">
        <f t="shared" si="7"/>
        <v>144.11204640000003</v>
      </c>
      <c r="Z8" s="5">
        <f t="shared" si="7"/>
        <v>146.99428732800004</v>
      </c>
      <c r="AA8" s="5">
        <f t="shared" si="7"/>
        <v>149.93417307456005</v>
      </c>
      <c r="AB8" s="5">
        <f t="shared" si="7"/>
        <v>152.93285653605125</v>
      </c>
      <c r="AC8" s="5">
        <f t="shared" si="7"/>
        <v>155.99151366677228</v>
      </c>
      <c r="AD8" s="5">
        <f t="shared" si="7"/>
        <v>159.11134394010773</v>
      </c>
      <c r="AE8" s="5">
        <f t="shared" si="7"/>
        <v>162.2935708189099</v>
      </c>
      <c r="AF8" s="5">
        <f t="shared" si="7"/>
        <v>165.53944223528811</v>
      </c>
    </row>
    <row r="9" spans="2:32" x14ac:dyDescent="0.3">
      <c r="B9" t="s">
        <v>29</v>
      </c>
      <c r="C9" s="5">
        <v>1.9</v>
      </c>
      <c r="D9" s="5">
        <v>1.2</v>
      </c>
      <c r="E9" s="5">
        <v>0.7</v>
      </c>
      <c r="F9" s="9">
        <f t="shared" si="3"/>
        <v>9.4</v>
      </c>
      <c r="G9" s="5">
        <v>3.2</v>
      </c>
      <c r="H9" s="5">
        <v>3.3</v>
      </c>
      <c r="I9" s="5">
        <v>1.3</v>
      </c>
      <c r="J9" s="9">
        <f t="shared" si="4"/>
        <v>-0.70000000000000018</v>
      </c>
      <c r="R9" s="5">
        <v>0</v>
      </c>
      <c r="S9" s="5">
        <v>2.4</v>
      </c>
      <c r="T9" s="5">
        <v>15.7</v>
      </c>
      <c r="U9" s="5">
        <v>13.2</v>
      </c>
      <c r="V9" s="5">
        <v>7.1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2:32" x14ac:dyDescent="0.3">
      <c r="B10" t="s">
        <v>30</v>
      </c>
      <c r="C10" s="5">
        <f>SUM(C6:C9)</f>
        <v>144.6</v>
      </c>
      <c r="D10" s="5">
        <f>SUM(D6:D9)</f>
        <v>135.49999999999997</v>
      </c>
      <c r="E10" s="5">
        <f>SUM(E6:E9)</f>
        <v>128.4</v>
      </c>
      <c r="F10" s="5">
        <f>SUM(F6:F9)</f>
        <v>143.39999999999998</v>
      </c>
      <c r="G10" s="5">
        <f>SUM(G6:G9)</f>
        <v>136.29999999999998</v>
      </c>
      <c r="H10" s="5">
        <f>SUM(H6:H9)</f>
        <v>133.4</v>
      </c>
      <c r="I10" s="5">
        <f>SUM(I6:I9)</f>
        <v>130.1</v>
      </c>
      <c r="J10" s="5">
        <f>SUM(J6:J9)</f>
        <v>129.70000000000002</v>
      </c>
      <c r="R10" s="5">
        <f>SUM(R6:R9)</f>
        <v>338.6</v>
      </c>
      <c r="S10" s="5">
        <f>SUM(S6:S9)</f>
        <v>526.29999999999995</v>
      </c>
      <c r="T10" s="5">
        <f>SUM(T6:T9)</f>
        <v>612.60000000000014</v>
      </c>
      <c r="U10" s="5">
        <f>SUM(U6:U9)</f>
        <v>551.90000000000009</v>
      </c>
      <c r="V10" s="5">
        <f>SUM(V6:V9)</f>
        <v>529.50000000000011</v>
      </c>
      <c r="W10" s="5">
        <f>SUM(W6:W9)</f>
        <v>507.541</v>
      </c>
      <c r="X10" s="5">
        <f t="shared" ref="X10:AF10" si="8">SUM(X6:X9)</f>
        <v>519.56951000000004</v>
      </c>
      <c r="Y10" s="5">
        <f t="shared" si="8"/>
        <v>530.03850670000008</v>
      </c>
      <c r="Z10" s="5">
        <f t="shared" si="8"/>
        <v>538.76813800700006</v>
      </c>
      <c r="AA10" s="5">
        <f t="shared" si="8"/>
        <v>547.6536505518701</v>
      </c>
      <c r="AB10" s="5">
        <f t="shared" si="8"/>
        <v>556.69797484548485</v>
      </c>
      <c r="AC10" s="5">
        <f t="shared" si="8"/>
        <v>565.90409813779752</v>
      </c>
      <c r="AD10" s="5">
        <f t="shared" si="8"/>
        <v>575.27506553391061</v>
      </c>
      <c r="AE10" s="5">
        <f t="shared" si="8"/>
        <v>584.81398113227954</v>
      </c>
      <c r="AF10" s="5">
        <f t="shared" si="8"/>
        <v>594.52400918549267</v>
      </c>
    </row>
    <row r="11" spans="2:32" s="1" customFormat="1" x14ac:dyDescent="0.3">
      <c r="B11" s="1" t="s">
        <v>31</v>
      </c>
      <c r="C11" s="8">
        <f>C5-C10</f>
        <v>-29.099999999999994</v>
      </c>
      <c r="D11" s="8">
        <f>D5-D10</f>
        <v>1.7000000000000171</v>
      </c>
      <c r="E11" s="8">
        <f>E5-E10</f>
        <v>49.799999999999983</v>
      </c>
      <c r="F11" s="8">
        <f>F5-F10</f>
        <v>54.900000000000091</v>
      </c>
      <c r="G11" s="8">
        <f>G5-G10</f>
        <v>32.000000000000028</v>
      </c>
      <c r="H11" s="8">
        <f>H5-H10</f>
        <v>37.099999999999994</v>
      </c>
      <c r="I11" s="8">
        <f>I5-I10</f>
        <v>66.099999999999994</v>
      </c>
      <c r="J11" s="8">
        <f>J5-J10</f>
        <v>22.299999999999869</v>
      </c>
      <c r="R11" s="8">
        <f>R5-R10</f>
        <v>215.79999999999995</v>
      </c>
      <c r="S11" s="8">
        <f>S5-S10</f>
        <v>448.30000000000018</v>
      </c>
      <c r="T11" s="8">
        <f>T5-T10</f>
        <v>445.79999999999995</v>
      </c>
      <c r="U11" s="8">
        <f>U5-U10</f>
        <v>77.299999999999955</v>
      </c>
      <c r="V11" s="8">
        <f>V5-V10</f>
        <v>157.49999999999989</v>
      </c>
      <c r="W11" s="8">
        <f>W5-W10</f>
        <v>219.38450000000006</v>
      </c>
      <c r="X11" s="8">
        <f t="shared" ref="X11:AF11" si="9">X5-X10</f>
        <v>236.43300999999997</v>
      </c>
      <c r="Y11" s="8">
        <f t="shared" si="9"/>
        <v>248.64408889999993</v>
      </c>
      <c r="Z11" s="8">
        <f t="shared" si="9"/>
        <v>255.4881095049999</v>
      </c>
      <c r="AA11" s="8">
        <f t="shared" si="9"/>
        <v>262.48772191036994</v>
      </c>
      <c r="AB11" s="8">
        <f t="shared" si="9"/>
        <v>269.64622506599994</v>
      </c>
      <c r="AC11" s="8">
        <f t="shared" si="9"/>
        <v>276.96698577191705</v>
      </c>
      <c r="AD11" s="8">
        <f t="shared" si="9"/>
        <v>284.45344005399818</v>
      </c>
      <c r="AE11" s="8">
        <f t="shared" si="9"/>
        <v>292.10909456738739</v>
      </c>
      <c r="AF11" s="8">
        <f t="shared" si="9"/>
        <v>299.93752802816766</v>
      </c>
    </row>
    <row r="12" spans="2:32" x14ac:dyDescent="0.3">
      <c r="B12" t="s">
        <v>32</v>
      </c>
      <c r="C12" s="5">
        <v>-19.7</v>
      </c>
      <c r="D12" s="5">
        <v>-19.2</v>
      </c>
      <c r="E12" s="5">
        <v>-20</v>
      </c>
      <c r="F12" s="9">
        <f t="shared" ref="F12:F14" si="10">U12-E12-D12-C12</f>
        <v>-18.399999999999995</v>
      </c>
      <c r="G12" s="5">
        <v>-17</v>
      </c>
      <c r="H12" s="5">
        <v>-14.9</v>
      </c>
      <c r="I12" s="5">
        <v>-15.4</v>
      </c>
      <c r="J12" s="9">
        <f t="shared" ref="J12:J14" si="11">V12-I12-H12-G12</f>
        <v>-15.400000000000006</v>
      </c>
      <c r="R12" s="5">
        <v>-0.7</v>
      </c>
      <c r="S12" s="5">
        <v>-13.7</v>
      </c>
      <c r="T12" s="5">
        <v>-69.7</v>
      </c>
      <c r="U12" s="5">
        <v>-77.3</v>
      </c>
      <c r="V12" s="5">
        <v>-62.7</v>
      </c>
      <c r="W12" s="5">
        <f>V12*1.02</f>
        <v>-63.954000000000001</v>
      </c>
      <c r="X12" s="5">
        <f t="shared" ref="X12:AF12" si="12">W12*1.02</f>
        <v>-65.233080000000001</v>
      </c>
      <c r="Y12" s="5">
        <f t="shared" si="12"/>
        <v>-66.537741600000004</v>
      </c>
      <c r="Z12" s="5">
        <f t="shared" si="12"/>
        <v>-67.868496432000001</v>
      </c>
      <c r="AA12" s="5">
        <f t="shared" si="12"/>
        <v>-69.225866360639998</v>
      </c>
      <c r="AB12" s="5">
        <f t="shared" si="12"/>
        <v>-70.610383687852803</v>
      </c>
      <c r="AC12" s="5">
        <f t="shared" si="12"/>
        <v>-72.022591361609855</v>
      </c>
      <c r="AD12" s="5">
        <f t="shared" si="12"/>
        <v>-73.46304318884205</v>
      </c>
      <c r="AE12" s="5">
        <f t="shared" si="12"/>
        <v>-74.932304052618889</v>
      </c>
      <c r="AF12" s="5">
        <f t="shared" si="12"/>
        <v>-76.430950133671274</v>
      </c>
    </row>
    <row r="13" spans="2:32" x14ac:dyDescent="0.3">
      <c r="B13" t="s">
        <v>33</v>
      </c>
      <c r="C13" s="5">
        <v>2.2000000000000002</v>
      </c>
      <c r="D13" s="5">
        <v>2.2000000000000002</v>
      </c>
      <c r="E13" s="5">
        <v>2.2000000000000002</v>
      </c>
      <c r="F13" s="9">
        <f t="shared" si="10"/>
        <v>2.2999999999999998</v>
      </c>
      <c r="G13" s="5">
        <v>2</v>
      </c>
      <c r="H13" s="5">
        <v>0.8</v>
      </c>
      <c r="I13" s="5">
        <v>0.8</v>
      </c>
      <c r="J13" s="9">
        <f t="shared" si="11"/>
        <v>0.90000000000000036</v>
      </c>
      <c r="R13" s="5">
        <v>45.2</v>
      </c>
      <c r="S13" s="5">
        <v>9.4</v>
      </c>
      <c r="T13" s="5">
        <v>8.8000000000000007</v>
      </c>
      <c r="U13" s="5">
        <v>8.9</v>
      </c>
      <c r="V13" s="5">
        <v>4.5</v>
      </c>
      <c r="W13" s="5">
        <f>V13*1.02</f>
        <v>4.59</v>
      </c>
      <c r="X13" s="5">
        <f t="shared" ref="X13:AF13" si="13">W13*1.02</f>
        <v>4.6818</v>
      </c>
      <c r="Y13" s="5">
        <f t="shared" si="13"/>
        <v>4.775436</v>
      </c>
      <c r="Z13" s="5">
        <f t="shared" si="13"/>
        <v>4.8709447199999998</v>
      </c>
      <c r="AA13" s="5">
        <f t="shared" si="13"/>
        <v>4.9683636144000003</v>
      </c>
      <c r="AB13" s="5">
        <f t="shared" si="13"/>
        <v>5.0677308866880004</v>
      </c>
      <c r="AC13" s="5">
        <f t="shared" si="13"/>
        <v>5.1690855044217603</v>
      </c>
      <c r="AD13" s="5">
        <f t="shared" si="13"/>
        <v>5.2724672145101952</v>
      </c>
      <c r="AE13" s="5">
        <f t="shared" si="13"/>
        <v>5.3779165588003988</v>
      </c>
      <c r="AF13" s="5">
        <f t="shared" si="13"/>
        <v>5.4854748899764072</v>
      </c>
    </row>
    <row r="14" spans="2:32" x14ac:dyDescent="0.3">
      <c r="B14" t="s">
        <v>34</v>
      </c>
      <c r="C14" s="5">
        <v>-0.1</v>
      </c>
      <c r="D14" s="5">
        <v>7.6</v>
      </c>
      <c r="E14" s="5">
        <v>16.8</v>
      </c>
      <c r="F14" s="9">
        <f t="shared" si="10"/>
        <v>1.1999999999999997</v>
      </c>
      <c r="G14" s="5">
        <v>0</v>
      </c>
      <c r="H14" s="5">
        <v>8.9</v>
      </c>
      <c r="I14" s="5">
        <v>3.7</v>
      </c>
      <c r="J14" s="9">
        <f t="shared" si="11"/>
        <v>-1.7000000000000002</v>
      </c>
      <c r="R14" s="5">
        <f>-6.1+56.5</f>
        <v>50.4</v>
      </c>
      <c r="S14" s="5">
        <v>0.4</v>
      </c>
      <c r="T14" s="5">
        <v>-6.5</v>
      </c>
      <c r="U14" s="5">
        <v>25.5</v>
      </c>
      <c r="V14" s="5">
        <v>10.9</v>
      </c>
      <c r="W14" s="5">
        <f>V14*1.02</f>
        <v>11.118</v>
      </c>
      <c r="X14" s="5">
        <f t="shared" ref="X14:AF14" si="14">W14*1.02</f>
        <v>11.34036</v>
      </c>
      <c r="Y14" s="5">
        <f t="shared" si="14"/>
        <v>11.5671672</v>
      </c>
      <c r="Z14" s="5">
        <f t="shared" si="14"/>
        <v>11.798510544000001</v>
      </c>
      <c r="AA14" s="5">
        <f t="shared" si="14"/>
        <v>12.034480754880001</v>
      </c>
      <c r="AB14" s="5">
        <f t="shared" si="14"/>
        <v>12.275170369977602</v>
      </c>
      <c r="AC14" s="5">
        <f t="shared" si="14"/>
        <v>12.520673777377153</v>
      </c>
      <c r="AD14" s="5">
        <f t="shared" si="14"/>
        <v>12.771087252924696</v>
      </c>
      <c r="AE14" s="5">
        <f t="shared" si="14"/>
        <v>13.026508997983191</v>
      </c>
      <c r="AF14" s="5">
        <f t="shared" si="14"/>
        <v>13.287039177942855</v>
      </c>
    </row>
    <row r="15" spans="2:32" x14ac:dyDescent="0.3">
      <c r="B15" t="s">
        <v>35</v>
      </c>
      <c r="C15" s="5">
        <f>SUM(C12:C14)</f>
        <v>-17.600000000000001</v>
      </c>
      <c r="D15" s="5">
        <f>SUM(D12:D14)</f>
        <v>-9.4</v>
      </c>
      <c r="E15" s="5">
        <f>SUM(E12:E14)</f>
        <v>-1</v>
      </c>
      <c r="F15" s="5">
        <f>SUM(F12:F14)</f>
        <v>-14.899999999999995</v>
      </c>
      <c r="G15" s="5">
        <f>SUM(G12:G14)</f>
        <v>-15</v>
      </c>
      <c r="H15" s="5">
        <f>SUM(H12:H14)</f>
        <v>-5.1999999999999993</v>
      </c>
      <c r="I15" s="5">
        <f>SUM(I12:I14)</f>
        <v>-10.899999999999999</v>
      </c>
      <c r="J15" s="5">
        <f>SUM(J12:J14)</f>
        <v>-16.200000000000006</v>
      </c>
      <c r="R15" s="5">
        <f>SUM(R12:R14)</f>
        <v>94.9</v>
      </c>
      <c r="S15" s="5">
        <f>SUM(S12:S14)</f>
        <v>-3.899999999999999</v>
      </c>
      <c r="T15" s="5">
        <f>SUM(T12:T14)</f>
        <v>-67.400000000000006</v>
      </c>
      <c r="U15" s="5">
        <f>SUM(U12:U14)</f>
        <v>-42.899999999999991</v>
      </c>
      <c r="V15" s="5">
        <f>SUM(V12:V14)</f>
        <v>-47.300000000000004</v>
      </c>
      <c r="W15" s="5">
        <f>SUM(W12:W14)</f>
        <v>-48.246000000000002</v>
      </c>
      <c r="X15" s="5">
        <f t="shared" ref="X15:AF15" si="15">SUM(X12:X14)</f>
        <v>-49.210920000000002</v>
      </c>
      <c r="Y15" s="5">
        <f t="shared" si="15"/>
        <v>-50.195138400000005</v>
      </c>
      <c r="Z15" s="5">
        <f t="shared" si="15"/>
        <v>-51.199041168000001</v>
      </c>
      <c r="AA15" s="5">
        <f t="shared" si="15"/>
        <v>-52.223021991359992</v>
      </c>
      <c r="AB15" s="5">
        <f t="shared" si="15"/>
        <v>-53.267482431187204</v>
      </c>
      <c r="AC15" s="5">
        <f t="shared" si="15"/>
        <v>-54.332832079810942</v>
      </c>
      <c r="AD15" s="5">
        <f t="shared" si="15"/>
        <v>-55.419488721407156</v>
      </c>
      <c r="AE15" s="5">
        <f t="shared" si="15"/>
        <v>-56.527878495835303</v>
      </c>
      <c r="AF15" s="5">
        <f t="shared" si="15"/>
        <v>-57.658436065752014</v>
      </c>
    </row>
    <row r="16" spans="2:32" s="1" customFormat="1" x14ac:dyDescent="0.3">
      <c r="B16" s="1" t="s">
        <v>36</v>
      </c>
      <c r="C16" s="8">
        <f>C11-C15</f>
        <v>-11.499999999999993</v>
      </c>
      <c r="D16" s="8">
        <f>D11-D15</f>
        <v>11.100000000000017</v>
      </c>
      <c r="E16" s="8">
        <f>E11-E15</f>
        <v>50.799999999999983</v>
      </c>
      <c r="F16" s="8">
        <f>F11-F15</f>
        <v>69.800000000000082</v>
      </c>
      <c r="G16" s="8">
        <f>G11-G15</f>
        <v>47.000000000000028</v>
      </c>
      <c r="H16" s="8">
        <f>H11-H15</f>
        <v>42.3</v>
      </c>
      <c r="I16" s="8">
        <f>I11-I15</f>
        <v>77</v>
      </c>
      <c r="J16" s="8">
        <f>J11-J15</f>
        <v>38.499999999999872</v>
      </c>
      <c r="R16" s="8">
        <f>R11-R15</f>
        <v>120.89999999999995</v>
      </c>
      <c r="S16" s="8">
        <f>S11-S15</f>
        <v>452.20000000000016</v>
      </c>
      <c r="T16" s="8">
        <f>T11-T15</f>
        <v>513.19999999999993</v>
      </c>
      <c r="U16" s="8">
        <f>U11-U15</f>
        <v>120.19999999999995</v>
      </c>
      <c r="V16" s="8">
        <f>V11-V15</f>
        <v>204.7999999999999</v>
      </c>
      <c r="W16" s="8">
        <f>W11-W15</f>
        <v>267.63050000000004</v>
      </c>
      <c r="X16" s="8">
        <f t="shared" ref="X16:AF16" si="16">X11-X15</f>
        <v>285.64392999999995</v>
      </c>
      <c r="Y16" s="8">
        <f t="shared" si="16"/>
        <v>298.83922729999995</v>
      </c>
      <c r="Z16" s="8">
        <f t="shared" si="16"/>
        <v>306.68715067299991</v>
      </c>
      <c r="AA16" s="8">
        <f t="shared" si="16"/>
        <v>314.71074390172993</v>
      </c>
      <c r="AB16" s="8">
        <f t="shared" si="16"/>
        <v>322.91370749718715</v>
      </c>
      <c r="AC16" s="8">
        <f t="shared" si="16"/>
        <v>331.29981785172799</v>
      </c>
      <c r="AD16" s="8">
        <f t="shared" si="16"/>
        <v>339.87292877540534</v>
      </c>
      <c r="AE16" s="8">
        <f t="shared" si="16"/>
        <v>348.63697306322268</v>
      </c>
      <c r="AF16" s="8">
        <f t="shared" si="16"/>
        <v>357.59596409391969</v>
      </c>
    </row>
    <row r="17" spans="2:141" x14ac:dyDescent="0.3">
      <c r="B17" t="s">
        <v>37</v>
      </c>
      <c r="C17" s="5">
        <v>4.5999999999999996</v>
      </c>
      <c r="D17" s="5">
        <v>0.4</v>
      </c>
      <c r="E17" s="5">
        <v>5</v>
      </c>
      <c r="F17" s="9">
        <f>U17-E17-D17-C17</f>
        <v>7.5</v>
      </c>
      <c r="G17" s="5">
        <v>17.2</v>
      </c>
      <c r="H17" s="5">
        <v>5.2</v>
      </c>
      <c r="I17" s="5">
        <v>10.4</v>
      </c>
      <c r="J17" s="9">
        <f>V17-I17-H17-G17</f>
        <v>-9.9999999999994316E-2</v>
      </c>
      <c r="R17" s="5">
        <v>-24.5</v>
      </c>
      <c r="S17" s="5">
        <v>54.7</v>
      </c>
      <c r="T17" s="5">
        <v>74.2</v>
      </c>
      <c r="U17" s="5">
        <v>17.5</v>
      </c>
      <c r="V17" s="5">
        <v>32.700000000000003</v>
      </c>
      <c r="W17" s="5">
        <f>W16*0.15</f>
        <v>40.144575000000003</v>
      </c>
      <c r="X17" s="5">
        <f t="shared" ref="X17:AF17" si="17">X16*0.15</f>
        <v>42.846589499999993</v>
      </c>
      <c r="Y17" s="5">
        <f t="shared" si="17"/>
        <v>44.825884094999992</v>
      </c>
      <c r="Z17" s="5">
        <f t="shared" si="17"/>
        <v>46.003072600949984</v>
      </c>
      <c r="AA17" s="5">
        <f t="shared" si="17"/>
        <v>47.206611585259488</v>
      </c>
      <c r="AB17" s="5">
        <f t="shared" si="17"/>
        <v>48.437056124578071</v>
      </c>
      <c r="AC17" s="5">
        <f t="shared" si="17"/>
        <v>49.694972677759196</v>
      </c>
      <c r="AD17" s="5">
        <f t="shared" si="17"/>
        <v>50.980939316310803</v>
      </c>
      <c r="AE17" s="5">
        <f t="shared" si="17"/>
        <v>52.295545959483398</v>
      </c>
      <c r="AF17" s="5">
        <f t="shared" si="17"/>
        <v>53.639394614087955</v>
      </c>
    </row>
    <row r="18" spans="2:141" s="1" customFormat="1" x14ac:dyDescent="0.3">
      <c r="B18" s="1" t="s">
        <v>38</v>
      </c>
      <c r="C18" s="8">
        <f>C16-C17</f>
        <v>-16.099999999999994</v>
      </c>
      <c r="D18" s="8">
        <f>D16-D17</f>
        <v>10.700000000000017</v>
      </c>
      <c r="E18" s="8">
        <f>E16-E17</f>
        <v>45.799999999999983</v>
      </c>
      <c r="F18" s="8">
        <f>F16-F17</f>
        <v>62.300000000000082</v>
      </c>
      <c r="G18" s="8">
        <f>G16-G17</f>
        <v>29.800000000000029</v>
      </c>
      <c r="H18" s="8">
        <f>H16-H17</f>
        <v>37.099999999999994</v>
      </c>
      <c r="I18" s="8">
        <f>I16-I17</f>
        <v>66.599999999999994</v>
      </c>
      <c r="J18" s="8">
        <f>J16-J17</f>
        <v>38.599999999999866</v>
      </c>
      <c r="R18" s="8">
        <f>R16-R17</f>
        <v>145.39999999999995</v>
      </c>
      <c r="S18" s="8">
        <f>S16-S17</f>
        <v>397.50000000000017</v>
      </c>
      <c r="T18" s="8">
        <f>T16-T17</f>
        <v>438.99999999999994</v>
      </c>
      <c r="U18" s="8">
        <f>U16-U17</f>
        <v>102.69999999999995</v>
      </c>
      <c r="V18" s="8">
        <f>V16-V17</f>
        <v>172.09999999999991</v>
      </c>
      <c r="W18" s="8">
        <f>W16-W17</f>
        <v>227.48592500000004</v>
      </c>
      <c r="X18" s="8">
        <f t="shared" ref="X18:AF18" si="18">X16-X17</f>
        <v>242.79734049999996</v>
      </c>
      <c r="Y18" s="8">
        <f t="shared" si="18"/>
        <v>254.01334320499996</v>
      </c>
      <c r="Z18" s="8">
        <f t="shared" si="18"/>
        <v>260.68407807204994</v>
      </c>
      <c r="AA18" s="8">
        <f t="shared" si="18"/>
        <v>267.50413231647042</v>
      </c>
      <c r="AB18" s="8">
        <f t="shared" si="18"/>
        <v>274.47665137260907</v>
      </c>
      <c r="AC18" s="8">
        <f t="shared" si="18"/>
        <v>281.60484517396878</v>
      </c>
      <c r="AD18" s="8">
        <f t="shared" si="18"/>
        <v>288.89198945909453</v>
      </c>
      <c r="AE18" s="8">
        <f t="shared" si="18"/>
        <v>296.34142710373931</v>
      </c>
      <c r="AF18" s="8">
        <f t="shared" si="18"/>
        <v>303.95656947983173</v>
      </c>
      <c r="AG18" s="1">
        <f>AF18*(1+$AI$23)</f>
        <v>300.91700378503339</v>
      </c>
      <c r="AH18" s="1">
        <f t="shared" ref="AH18:CS18" si="19">AG18*(1+$AI$23)</f>
        <v>297.90783374718308</v>
      </c>
      <c r="AI18" s="1">
        <f t="shared" si="19"/>
        <v>294.92875540971124</v>
      </c>
      <c r="AJ18" s="1">
        <f t="shared" si="19"/>
        <v>291.97946785561413</v>
      </c>
      <c r="AK18" s="1">
        <f t="shared" si="19"/>
        <v>289.05967317705802</v>
      </c>
      <c r="AL18" s="1">
        <f t="shared" si="19"/>
        <v>286.16907644528743</v>
      </c>
      <c r="AM18" s="1">
        <f t="shared" si="19"/>
        <v>283.30738568083456</v>
      </c>
      <c r="AN18" s="1">
        <f t="shared" si="19"/>
        <v>280.47431182402619</v>
      </c>
      <c r="AO18" s="1">
        <f t="shared" si="19"/>
        <v>277.66956870578593</v>
      </c>
      <c r="AP18" s="1">
        <f t="shared" si="19"/>
        <v>274.8928730187281</v>
      </c>
      <c r="AQ18" s="1">
        <f t="shared" si="19"/>
        <v>272.14394428854081</v>
      </c>
      <c r="AR18" s="1">
        <f t="shared" si="19"/>
        <v>269.4225048456554</v>
      </c>
      <c r="AS18" s="1">
        <f t="shared" si="19"/>
        <v>266.72827979719887</v>
      </c>
      <c r="AT18" s="1">
        <f t="shared" si="19"/>
        <v>264.06099699922686</v>
      </c>
      <c r="AU18" s="1">
        <f t="shared" si="19"/>
        <v>261.42038702923458</v>
      </c>
      <c r="AV18" s="1">
        <f t="shared" si="19"/>
        <v>258.80618315894225</v>
      </c>
      <c r="AW18" s="1">
        <f t="shared" si="19"/>
        <v>256.21812132735283</v>
      </c>
      <c r="AX18" s="1">
        <f t="shared" si="19"/>
        <v>253.6559401140793</v>
      </c>
      <c r="AY18" s="1">
        <f t="shared" si="19"/>
        <v>251.11938071293849</v>
      </c>
      <c r="AZ18" s="1">
        <f t="shared" si="19"/>
        <v>248.60818690580911</v>
      </c>
      <c r="BA18" s="1">
        <f t="shared" si="19"/>
        <v>246.12210503675101</v>
      </c>
      <c r="BB18" s="1">
        <f t="shared" si="19"/>
        <v>243.66088398638351</v>
      </c>
      <c r="BC18" s="1">
        <f t="shared" si="19"/>
        <v>241.22427514651966</v>
      </c>
      <c r="BD18" s="1">
        <f t="shared" si="19"/>
        <v>238.81203239505447</v>
      </c>
      <c r="BE18" s="1">
        <f t="shared" si="19"/>
        <v>236.42391207110393</v>
      </c>
      <c r="BF18" s="1">
        <f t="shared" si="19"/>
        <v>234.05967295039289</v>
      </c>
      <c r="BG18" s="1">
        <f t="shared" si="19"/>
        <v>231.71907622088895</v>
      </c>
      <c r="BH18" s="1">
        <f t="shared" si="19"/>
        <v>229.40188545868006</v>
      </c>
      <c r="BI18" s="1">
        <f t="shared" si="19"/>
        <v>227.10786660409326</v>
      </c>
      <c r="BJ18" s="1">
        <f t="shared" si="19"/>
        <v>224.83678793805234</v>
      </c>
      <c r="BK18" s="1">
        <f t="shared" si="19"/>
        <v>222.5884200586718</v>
      </c>
      <c r="BL18" s="1">
        <f t="shared" si="19"/>
        <v>220.36253585808507</v>
      </c>
      <c r="BM18" s="1">
        <f t="shared" si="19"/>
        <v>218.1589104995042</v>
      </c>
      <c r="BN18" s="1">
        <f t="shared" si="19"/>
        <v>215.97732139450915</v>
      </c>
      <c r="BO18" s="1">
        <f t="shared" si="19"/>
        <v>213.81754818056405</v>
      </c>
      <c r="BP18" s="1">
        <f t="shared" si="19"/>
        <v>211.67937269875841</v>
      </c>
      <c r="BQ18" s="1">
        <f t="shared" si="19"/>
        <v>209.56257897177082</v>
      </c>
      <c r="BR18" s="1">
        <f t="shared" si="19"/>
        <v>207.46695318205312</v>
      </c>
      <c r="BS18" s="1">
        <f t="shared" si="19"/>
        <v>205.39228365023257</v>
      </c>
      <c r="BT18" s="1">
        <f t="shared" si="19"/>
        <v>203.33836081373025</v>
      </c>
      <c r="BU18" s="1">
        <f t="shared" si="19"/>
        <v>201.30497720559293</v>
      </c>
      <c r="BV18" s="1">
        <f t="shared" si="19"/>
        <v>199.29192743353701</v>
      </c>
      <c r="BW18" s="1">
        <f t="shared" si="19"/>
        <v>197.29900815920163</v>
      </c>
      <c r="BX18" s="1">
        <f t="shared" si="19"/>
        <v>195.3260180776096</v>
      </c>
      <c r="BY18" s="1">
        <f t="shared" si="19"/>
        <v>193.37275789683352</v>
      </c>
      <c r="BZ18" s="1">
        <f t="shared" si="19"/>
        <v>191.43903031786519</v>
      </c>
      <c r="CA18" s="1">
        <f t="shared" si="19"/>
        <v>189.52464001468653</v>
      </c>
      <c r="CB18" s="1">
        <f t="shared" si="19"/>
        <v>187.62939361453965</v>
      </c>
      <c r="CC18" s="1">
        <f t="shared" si="19"/>
        <v>185.75309967839425</v>
      </c>
      <c r="CD18" s="1">
        <f t="shared" si="19"/>
        <v>183.89556868161031</v>
      </c>
      <c r="CE18" s="1">
        <f t="shared" si="19"/>
        <v>182.05661299479422</v>
      </c>
      <c r="CF18" s="1">
        <f t="shared" si="19"/>
        <v>180.23604686484629</v>
      </c>
      <c r="CG18" s="1">
        <f t="shared" si="19"/>
        <v>178.43368639619783</v>
      </c>
      <c r="CH18" s="1">
        <f t="shared" si="19"/>
        <v>176.64934953223585</v>
      </c>
      <c r="CI18" s="1">
        <f t="shared" si="19"/>
        <v>174.88285603691349</v>
      </c>
      <c r="CJ18" s="1">
        <f t="shared" si="19"/>
        <v>173.13402747654436</v>
      </c>
      <c r="CK18" s="1">
        <f t="shared" si="19"/>
        <v>171.40268720177892</v>
      </c>
      <c r="CL18" s="1">
        <f t="shared" si="19"/>
        <v>169.68866032976112</v>
      </c>
      <c r="CM18" s="1">
        <f t="shared" si="19"/>
        <v>167.99177372646352</v>
      </c>
      <c r="CN18" s="1">
        <f t="shared" si="19"/>
        <v>166.31185598919888</v>
      </c>
      <c r="CO18" s="1">
        <f t="shared" si="19"/>
        <v>164.64873742930689</v>
      </c>
      <c r="CP18" s="1">
        <f t="shared" si="19"/>
        <v>163.00225005501383</v>
      </c>
      <c r="CQ18" s="1">
        <f t="shared" si="19"/>
        <v>161.37222755446371</v>
      </c>
      <c r="CR18" s="1">
        <f t="shared" si="19"/>
        <v>159.75850527891907</v>
      </c>
      <c r="CS18" s="1">
        <f t="shared" si="19"/>
        <v>158.16092022612989</v>
      </c>
      <c r="CT18" s="1">
        <f t="shared" ref="CT18:EK18" si="20">CS18*(1+$AI$23)</f>
        <v>156.5793110238686</v>
      </c>
      <c r="CU18" s="1">
        <f t="shared" si="20"/>
        <v>155.0135179136299</v>
      </c>
      <c r="CV18" s="1">
        <f t="shared" si="20"/>
        <v>153.46338273449359</v>
      </c>
      <c r="CW18" s="1">
        <f t="shared" si="20"/>
        <v>151.92874890714864</v>
      </c>
      <c r="CX18" s="1">
        <f t="shared" si="20"/>
        <v>150.40946141807714</v>
      </c>
      <c r="CY18" s="1">
        <f t="shared" si="20"/>
        <v>148.90536680389636</v>
      </c>
      <c r="CZ18" s="1">
        <f t="shared" si="20"/>
        <v>147.41631313585739</v>
      </c>
      <c r="DA18" s="1">
        <f t="shared" si="20"/>
        <v>145.94215000449881</v>
      </c>
      <c r="DB18" s="1">
        <f t="shared" si="20"/>
        <v>144.48272850445383</v>
      </c>
      <c r="DC18" s="1">
        <f t="shared" si="20"/>
        <v>143.03790121940929</v>
      </c>
      <c r="DD18" s="1">
        <f t="shared" si="20"/>
        <v>141.6075222072152</v>
      </c>
      <c r="DE18" s="1">
        <f t="shared" si="20"/>
        <v>140.19144698514305</v>
      </c>
      <c r="DF18" s="1">
        <f t="shared" si="20"/>
        <v>138.78953251529163</v>
      </c>
      <c r="DG18" s="1">
        <f t="shared" si="20"/>
        <v>137.4016371901387</v>
      </c>
      <c r="DH18" s="1">
        <f t="shared" si="20"/>
        <v>136.02762081823732</v>
      </c>
      <c r="DI18" s="1">
        <f t="shared" si="20"/>
        <v>134.66734461005495</v>
      </c>
      <c r="DJ18" s="1">
        <f t="shared" si="20"/>
        <v>133.32067116395442</v>
      </c>
      <c r="DK18" s="1">
        <f t="shared" si="20"/>
        <v>131.98746445231487</v>
      </c>
      <c r="DL18" s="1">
        <f t="shared" si="20"/>
        <v>130.66758980779173</v>
      </c>
      <c r="DM18" s="1">
        <f t="shared" si="20"/>
        <v>129.36091390971382</v>
      </c>
      <c r="DN18" s="1">
        <f t="shared" si="20"/>
        <v>128.06730477061669</v>
      </c>
      <c r="DO18" s="1">
        <f t="shared" si="20"/>
        <v>126.78663172291051</v>
      </c>
      <c r="DP18" s="1">
        <f t="shared" si="20"/>
        <v>125.51876540568141</v>
      </c>
      <c r="DQ18" s="1">
        <f t="shared" si="20"/>
        <v>124.2635777516246</v>
      </c>
      <c r="DR18" s="1">
        <f t="shared" si="20"/>
        <v>123.02094197410835</v>
      </c>
      <c r="DS18" s="1">
        <f t="shared" si="20"/>
        <v>121.79073255436727</v>
      </c>
      <c r="DT18" s="1">
        <f t="shared" si="20"/>
        <v>120.57282522882359</v>
      </c>
      <c r="DU18" s="1">
        <f t="shared" si="20"/>
        <v>119.36709697653535</v>
      </c>
      <c r="DV18" s="1">
        <f t="shared" si="20"/>
        <v>118.17342600677</v>
      </c>
      <c r="DW18" s="1">
        <f t="shared" si="20"/>
        <v>116.9916917467023</v>
      </c>
      <c r="DX18" s="1">
        <f t="shared" si="20"/>
        <v>115.82177482923528</v>
      </c>
      <c r="DY18" s="1">
        <f t="shared" si="20"/>
        <v>114.66355708094292</v>
      </c>
      <c r="DZ18" s="1">
        <f t="shared" si="20"/>
        <v>113.51692151013349</v>
      </c>
      <c r="EA18" s="1">
        <f t="shared" si="20"/>
        <v>112.38175229503214</v>
      </c>
      <c r="EB18" s="1">
        <f t="shared" si="20"/>
        <v>111.25793477208182</v>
      </c>
      <c r="EC18" s="1">
        <f t="shared" si="20"/>
        <v>110.145355424361</v>
      </c>
      <c r="ED18" s="1">
        <f t="shared" si="20"/>
        <v>109.04390187011739</v>
      </c>
      <c r="EE18" s="1">
        <f t="shared" si="20"/>
        <v>107.95346285141622</v>
      </c>
      <c r="EF18" s="1">
        <f t="shared" si="20"/>
        <v>106.87392822290205</v>
      </c>
      <c r="EG18" s="1">
        <f t="shared" si="20"/>
        <v>105.80518894067303</v>
      </c>
      <c r="EH18" s="1">
        <f t="shared" si="20"/>
        <v>104.74713705126631</v>
      </c>
      <c r="EI18" s="1">
        <f t="shared" si="20"/>
        <v>103.69966568075364</v>
      </c>
      <c r="EJ18" s="1">
        <f t="shared" si="20"/>
        <v>102.66266902394611</v>
      </c>
      <c r="EK18" s="1">
        <f t="shared" si="20"/>
        <v>101.63604233370664</v>
      </c>
    </row>
    <row r="19" spans="2:141" x14ac:dyDescent="0.3">
      <c r="B19" t="s">
        <v>2</v>
      </c>
      <c r="C19" s="5">
        <f>130.9</f>
        <v>130.9</v>
      </c>
      <c r="D19" s="5">
        <f>130.9</f>
        <v>130.9</v>
      </c>
      <c r="E19" s="5">
        <f>130.9</f>
        <v>130.9</v>
      </c>
      <c r="F19" s="5">
        <f>130.9</f>
        <v>130.9</v>
      </c>
      <c r="G19" s="5">
        <f>130.9</f>
        <v>130.9</v>
      </c>
      <c r="H19" s="5">
        <f>130.9</f>
        <v>130.9</v>
      </c>
      <c r="I19" s="5">
        <f>130.9</f>
        <v>130.9</v>
      </c>
      <c r="J19" s="5">
        <f>130.9</f>
        <v>130.9</v>
      </c>
      <c r="R19" s="5">
        <f>130.9</f>
        <v>130.9</v>
      </c>
      <c r="S19" s="5">
        <f>130.9</f>
        <v>130.9</v>
      </c>
      <c r="T19" s="5">
        <f>130.9</f>
        <v>130.9</v>
      </c>
      <c r="U19" s="5">
        <f>130.9</f>
        <v>130.9</v>
      </c>
      <c r="V19" s="5">
        <f>130.9</f>
        <v>130.9</v>
      </c>
      <c r="W19" s="5">
        <f>130.9</f>
        <v>130.9</v>
      </c>
      <c r="X19" s="5">
        <f t="shared" ref="X19:AF19" si="21">130.9</f>
        <v>130.9</v>
      </c>
      <c r="Y19" s="5">
        <f t="shared" si="21"/>
        <v>130.9</v>
      </c>
      <c r="Z19" s="5">
        <f t="shared" si="21"/>
        <v>130.9</v>
      </c>
      <c r="AA19" s="5">
        <f t="shared" si="21"/>
        <v>130.9</v>
      </c>
      <c r="AB19" s="5">
        <f t="shared" si="21"/>
        <v>130.9</v>
      </c>
      <c r="AC19" s="5">
        <f t="shared" si="21"/>
        <v>130.9</v>
      </c>
      <c r="AD19" s="5">
        <f t="shared" si="21"/>
        <v>130.9</v>
      </c>
      <c r="AE19" s="5">
        <f t="shared" si="21"/>
        <v>130.9</v>
      </c>
      <c r="AF19" s="5">
        <f t="shared" si="21"/>
        <v>130.9</v>
      </c>
    </row>
    <row r="20" spans="2:141" x14ac:dyDescent="0.3">
      <c r="B20" t="s">
        <v>39</v>
      </c>
      <c r="C20" s="7">
        <f>C18/C19</f>
        <v>-0.12299465240641706</v>
      </c>
      <c r="D20" s="7">
        <f>D18/D19</f>
        <v>8.1741787624140694E-2</v>
      </c>
      <c r="E20" s="7">
        <f>E18/E19</f>
        <v>0.34988540870893797</v>
      </c>
      <c r="F20" s="7">
        <f>F18/F19</f>
        <v>0.47593582887700597</v>
      </c>
      <c r="G20" s="7">
        <f>G18/G19</f>
        <v>0.22765469824293375</v>
      </c>
      <c r="H20" s="7">
        <f>H18/H19</f>
        <v>0.2834224598930481</v>
      </c>
      <c r="I20" s="7">
        <f>I18/I19</f>
        <v>0.50878533231474399</v>
      </c>
      <c r="J20" s="7">
        <f>J18/J19</f>
        <v>0.294881588999235</v>
      </c>
      <c r="R20" s="7">
        <f>R18/R19</f>
        <v>1.1107715813598162</v>
      </c>
      <c r="S20" s="7">
        <f>S18/S19</f>
        <v>3.0366692131398025</v>
      </c>
      <c r="T20" s="7">
        <f>T18/T19</f>
        <v>3.3537051184110003</v>
      </c>
      <c r="U20" s="7">
        <f>U18/U19</f>
        <v>0.78456837280366643</v>
      </c>
      <c r="V20" s="7">
        <f>V18/V19</f>
        <v>1.314744079449961</v>
      </c>
      <c r="W20" s="7">
        <f>W18/W19</f>
        <v>1.7378603896103899</v>
      </c>
      <c r="X20" s="7">
        <f t="shared" ref="X20:AF20" si="22">X18/X19</f>
        <v>1.8548307142857139</v>
      </c>
      <c r="Y20" s="7">
        <f t="shared" si="22"/>
        <v>1.9405144629870126</v>
      </c>
      <c r="Z20" s="7">
        <f t="shared" si="22"/>
        <v>1.9914750043701293</v>
      </c>
      <c r="AA20" s="7">
        <f t="shared" si="22"/>
        <v>2.0435762591021422</v>
      </c>
      <c r="AB20" s="7">
        <f t="shared" si="22"/>
        <v>2.0968422564752411</v>
      </c>
      <c r="AC20" s="7">
        <f t="shared" si="22"/>
        <v>2.1512975185177141</v>
      </c>
      <c r="AD20" s="7">
        <f t="shared" si="22"/>
        <v>2.2069670699701645</v>
      </c>
      <c r="AE20" s="7">
        <f t="shared" si="22"/>
        <v>2.2638764484624851</v>
      </c>
      <c r="AF20" s="7">
        <f t="shared" si="22"/>
        <v>2.3220517148955824</v>
      </c>
    </row>
    <row r="22" spans="2:141" x14ac:dyDescent="0.3">
      <c r="B22" t="s">
        <v>40</v>
      </c>
      <c r="G22" s="10">
        <f t="shared" ref="G22:I22" si="23">G3/C3-1</f>
        <v>0.35244967717432596</v>
      </c>
      <c r="H22" s="10">
        <f t="shared" si="23"/>
        <v>0.19670510708401978</v>
      </c>
      <c r="I22" s="10">
        <f t="shared" si="23"/>
        <v>7.7448149120504128E-2</v>
      </c>
      <c r="J22" s="10">
        <f>J3/F3-1</f>
        <v>-0.10295270446825255</v>
      </c>
      <c r="R22" s="10"/>
      <c r="S22" s="10">
        <f t="shared" ref="R22:U22" si="24">S3/R3-1</f>
        <v>0.68661360347322731</v>
      </c>
      <c r="T22" s="10">
        <f t="shared" si="24"/>
        <v>-1.7203655240464966E-2</v>
      </c>
      <c r="U22" s="10">
        <f>U3/T3-1</f>
        <v>-0.41924218613584774</v>
      </c>
      <c r="V22" s="10">
        <f>V3/U3-1</f>
        <v>0.1071858087793145</v>
      </c>
      <c r="W22" s="10">
        <f t="shared" ref="W22:AF22" si="25">W3/V3-1</f>
        <v>5.0000000000000044E-2</v>
      </c>
      <c r="X22" s="10">
        <f t="shared" si="25"/>
        <v>4.0000000000000036E-2</v>
      </c>
      <c r="Y22" s="10">
        <f t="shared" si="25"/>
        <v>3.0000000000000027E-2</v>
      </c>
      <c r="Z22" s="10">
        <f t="shared" si="25"/>
        <v>2.0000000000000018E-2</v>
      </c>
      <c r="AA22" s="10">
        <f t="shared" si="25"/>
        <v>2.0000000000000018E-2</v>
      </c>
      <c r="AB22" s="10">
        <f t="shared" si="25"/>
        <v>2.0000000000000018E-2</v>
      </c>
      <c r="AC22" s="10">
        <f t="shared" si="25"/>
        <v>2.0000000000000018E-2</v>
      </c>
      <c r="AD22" s="10">
        <f t="shared" si="25"/>
        <v>2.0000000000000018E-2</v>
      </c>
      <c r="AE22" s="10">
        <f t="shared" si="25"/>
        <v>2.0000000000000018E-2</v>
      </c>
      <c r="AF22" s="10">
        <f t="shared" si="25"/>
        <v>2.0000000000000018E-2</v>
      </c>
    </row>
    <row r="23" spans="2:141" x14ac:dyDescent="0.3">
      <c r="B23" t="s">
        <v>41</v>
      </c>
      <c r="C23" s="10">
        <f t="shared" ref="C23:J23" si="26">C5/C3</f>
        <v>0.43866312191416634</v>
      </c>
      <c r="D23" s="10">
        <f t="shared" si="26"/>
        <v>0.45205930807248762</v>
      </c>
      <c r="E23" s="10">
        <f t="shared" si="26"/>
        <v>0.46783932790758731</v>
      </c>
      <c r="F23" s="10">
        <f t="shared" si="26"/>
        <v>0.51816043898615105</v>
      </c>
      <c r="G23" s="10">
        <f t="shared" si="26"/>
        <v>0.47262005054759898</v>
      </c>
      <c r="H23" s="10">
        <f t="shared" si="26"/>
        <v>0.46943832599118945</v>
      </c>
      <c r="I23" s="10">
        <f t="shared" si="26"/>
        <v>0.47807017543859648</v>
      </c>
      <c r="J23" s="10">
        <f>J5/J3</f>
        <v>0.4427614331488493</v>
      </c>
      <c r="R23" s="10">
        <f t="shared" ref="R23:U23" si="27">R5/R3</f>
        <v>0.40115774240231544</v>
      </c>
      <c r="S23" s="10">
        <f t="shared" si="27"/>
        <v>0.41812175554506847</v>
      </c>
      <c r="T23" s="10">
        <f t="shared" si="27"/>
        <v>0.46202200104766894</v>
      </c>
      <c r="U23" s="10">
        <f>U5/U3</f>
        <v>0.47294046903187009</v>
      </c>
      <c r="V23" s="10">
        <f>V5/V3</f>
        <v>0.4663951120162933</v>
      </c>
      <c r="W23" s="10">
        <f t="shared" ref="W23:AF23" si="28">W5/W3</f>
        <v>0.47000000000000003</v>
      </c>
      <c r="X23" s="10">
        <f t="shared" si="28"/>
        <v>0.47</v>
      </c>
      <c r="Y23" s="10">
        <f t="shared" si="28"/>
        <v>0.47</v>
      </c>
      <c r="Z23" s="10">
        <f t="shared" si="28"/>
        <v>0.47</v>
      </c>
      <c r="AA23" s="10">
        <f t="shared" si="28"/>
        <v>0.47</v>
      </c>
      <c r="AB23" s="10">
        <f t="shared" si="28"/>
        <v>0.47</v>
      </c>
      <c r="AC23" s="10">
        <f t="shared" si="28"/>
        <v>0.47</v>
      </c>
      <c r="AD23" s="10">
        <f t="shared" si="28"/>
        <v>0.47</v>
      </c>
      <c r="AE23" s="10">
        <f t="shared" si="28"/>
        <v>0.47</v>
      </c>
      <c r="AF23" s="10">
        <f t="shared" si="28"/>
        <v>0.47</v>
      </c>
      <c r="AH23" t="s">
        <v>47</v>
      </c>
      <c r="AI23" s="10">
        <v>-0.01</v>
      </c>
    </row>
    <row r="24" spans="2:141" x14ac:dyDescent="0.3">
      <c r="B24" t="s">
        <v>42</v>
      </c>
      <c r="C24" s="10"/>
      <c r="D24" s="10"/>
      <c r="E24" s="10"/>
      <c r="F24" s="10"/>
      <c r="G24" s="10">
        <f t="shared" ref="E24:I24" si="29">G6/C6-1</f>
        <v>-7.3800738007380073E-2</v>
      </c>
      <c r="H24" s="10">
        <f t="shared" si="29"/>
        <v>-7.1574642126789323E-2</v>
      </c>
      <c r="I24" s="10">
        <f t="shared" si="29"/>
        <v>-1.0460251046025104E-2</v>
      </c>
      <c r="J24" s="10">
        <f>J6/F6-1</f>
        <v>-8.3333333333333148E-2</v>
      </c>
      <c r="R24" s="10"/>
      <c r="S24" s="10">
        <f t="shared" ref="R24:U24" si="30">S6/R6-1</f>
        <v>0.60000000000000009</v>
      </c>
      <c r="T24" s="10">
        <f t="shared" si="30"/>
        <v>0.34656398104265396</v>
      </c>
      <c r="U24" s="10">
        <f>U6/T6-1</f>
        <v>-0.11438627364716236</v>
      </c>
      <c r="V24" s="10">
        <f>V6/U6-1</f>
        <v>-6.0606060606060663E-2</v>
      </c>
      <c r="W24" s="10">
        <f t="shared" ref="W24:AF24" si="31">W6/V6-1</f>
        <v>-3.0000000000000027E-2</v>
      </c>
      <c r="X24" s="10">
        <f t="shared" si="31"/>
        <v>1.0000000000000009E-2</v>
      </c>
      <c r="Y24" s="10">
        <f t="shared" si="31"/>
        <v>1.0000000000000009E-2</v>
      </c>
      <c r="Z24" s="10">
        <f t="shared" si="31"/>
        <v>1.0000000000000009E-2</v>
      </c>
      <c r="AA24" s="10">
        <f t="shared" si="31"/>
        <v>1.0000000000000009E-2</v>
      </c>
      <c r="AB24" s="10">
        <f t="shared" si="31"/>
        <v>1.0000000000000009E-2</v>
      </c>
      <c r="AC24" s="10">
        <f t="shared" si="31"/>
        <v>1.0000000000000009E-2</v>
      </c>
      <c r="AD24" s="10">
        <f t="shared" si="31"/>
        <v>1.0000000000000009E-2</v>
      </c>
      <c r="AE24" s="10">
        <f t="shared" si="31"/>
        <v>1.0000000000000009E-2</v>
      </c>
      <c r="AF24" s="10">
        <f t="shared" si="31"/>
        <v>1.0000000000000009E-2</v>
      </c>
      <c r="AH24" t="s">
        <v>48</v>
      </c>
      <c r="AI24" s="10">
        <v>0.09</v>
      </c>
    </row>
    <row r="25" spans="2:141" x14ac:dyDescent="0.3">
      <c r="B25" t="s">
        <v>43</v>
      </c>
      <c r="C25" s="10">
        <f t="shared" ref="C25:J25" si="32">C7/C3</f>
        <v>0.20243068742878845</v>
      </c>
      <c r="D25" s="10">
        <f t="shared" si="32"/>
        <v>0.17067545304777593</v>
      </c>
      <c r="E25" s="10">
        <f t="shared" si="32"/>
        <v>0.13048044106064585</v>
      </c>
      <c r="F25" s="10">
        <f t="shared" si="32"/>
        <v>0.13535406323490978</v>
      </c>
      <c r="G25" s="10">
        <f t="shared" si="32"/>
        <v>0.13732097725358045</v>
      </c>
      <c r="H25" s="10">
        <f t="shared" si="32"/>
        <v>0.13959251101321588</v>
      </c>
      <c r="I25" s="10">
        <f t="shared" si="32"/>
        <v>0.1179337231968811</v>
      </c>
      <c r="J25" s="10">
        <f>J7/J3</f>
        <v>0.14418875618992139</v>
      </c>
      <c r="R25" s="10">
        <f t="shared" ref="R25:U25" si="33">R7/R3</f>
        <v>9.3342981186685964E-2</v>
      </c>
      <c r="S25" s="10">
        <f t="shared" si="33"/>
        <v>9.2281951177656696E-2</v>
      </c>
      <c r="T25" s="10">
        <f t="shared" si="33"/>
        <v>0.10118735812816483</v>
      </c>
      <c r="U25" s="10">
        <f>U7/U3</f>
        <v>0.15529164161154538</v>
      </c>
      <c r="V25" s="10">
        <f>V7/V3</f>
        <v>0.13408010862186015</v>
      </c>
      <c r="W25" s="10">
        <f t="shared" ref="W25:AF25" si="34">W7/W3</f>
        <v>0.12</v>
      </c>
      <c r="X25" s="10">
        <f t="shared" si="34"/>
        <v>0.12</v>
      </c>
      <c r="Y25" s="10">
        <f t="shared" si="34"/>
        <v>0.12</v>
      </c>
      <c r="Z25" s="10">
        <f t="shared" si="34"/>
        <v>0.12</v>
      </c>
      <c r="AA25" s="10">
        <f t="shared" si="34"/>
        <v>0.12</v>
      </c>
      <c r="AB25" s="10">
        <f t="shared" si="34"/>
        <v>0.12</v>
      </c>
      <c r="AC25" s="10">
        <f t="shared" si="34"/>
        <v>0.12</v>
      </c>
      <c r="AD25" s="10">
        <f t="shared" si="34"/>
        <v>0.12</v>
      </c>
      <c r="AE25" s="10">
        <f t="shared" si="34"/>
        <v>0.12</v>
      </c>
      <c r="AF25" s="10">
        <f t="shared" si="34"/>
        <v>0.12</v>
      </c>
      <c r="AH25" t="s">
        <v>49</v>
      </c>
      <c r="AI25" s="5">
        <f>NPV(AI24,W18:EK18)</f>
        <v>2966.3427751405075</v>
      </c>
    </row>
    <row r="26" spans="2:141" x14ac:dyDescent="0.3">
      <c r="B26" t="s">
        <v>44</v>
      </c>
      <c r="C26" s="10"/>
      <c r="D26" s="10"/>
      <c r="E26" s="10"/>
      <c r="F26" s="10"/>
      <c r="G26" s="10">
        <f t="shared" ref="E26:I26" si="35">G8/C8-1</f>
        <v>-3.4090909090909172E-2</v>
      </c>
      <c r="H26" s="10">
        <f t="shared" si="35"/>
        <v>1.1904761904761862E-2</v>
      </c>
      <c r="I26" s="10">
        <f t="shared" si="35"/>
        <v>9.6026490066225323E-2</v>
      </c>
      <c r="J26" s="10">
        <f>J8/F8-1</f>
        <v>9.1194968553459654E-2</v>
      </c>
      <c r="R26" s="10"/>
      <c r="S26" s="10">
        <f t="shared" ref="R26:U26" si="36">S8/R8-1</f>
        <v>0.34486071085494729</v>
      </c>
      <c r="T26" s="10">
        <f t="shared" si="36"/>
        <v>-1.5714285714285681E-2</v>
      </c>
      <c r="U26" s="10">
        <f>U8/T8-1</f>
        <v>-5.0798258345428171E-2</v>
      </c>
      <c r="V26" s="10">
        <f>V8/U8-1</f>
        <v>3.8226299694189558E-2</v>
      </c>
      <c r="W26" s="10">
        <f t="shared" ref="W26:AF26" si="37">W8/V8-1</f>
        <v>2.0000000000000018E-2</v>
      </c>
      <c r="X26" s="10">
        <f t="shared" si="37"/>
        <v>2.0000000000000018E-2</v>
      </c>
      <c r="Y26" s="10">
        <f t="shared" si="37"/>
        <v>2.0000000000000018E-2</v>
      </c>
      <c r="Z26" s="10">
        <f t="shared" si="37"/>
        <v>2.0000000000000018E-2</v>
      </c>
      <c r="AA26" s="10">
        <f t="shared" si="37"/>
        <v>2.0000000000000018E-2</v>
      </c>
      <c r="AB26" s="10">
        <f t="shared" si="37"/>
        <v>2.0000000000000018E-2</v>
      </c>
      <c r="AC26" s="10">
        <f t="shared" si="37"/>
        <v>2.0000000000000018E-2</v>
      </c>
      <c r="AD26" s="10">
        <f t="shared" si="37"/>
        <v>2.0000000000000018E-2</v>
      </c>
      <c r="AE26" s="10">
        <f t="shared" si="37"/>
        <v>2.0000000000000018E-2</v>
      </c>
      <c r="AF26" s="10">
        <f t="shared" si="37"/>
        <v>2.0000000000000018E-2</v>
      </c>
      <c r="AH26" t="s">
        <v>50</v>
      </c>
      <c r="AI26" s="5">
        <f>Main!D8</f>
        <v>274.30000000000018</v>
      </c>
    </row>
    <row r="27" spans="2:141" x14ac:dyDescent="0.3">
      <c r="B27" t="s">
        <v>45</v>
      </c>
      <c r="C27" s="10">
        <f t="shared" ref="C27:J27" si="38">C11/C3</f>
        <v>-0.11052031902772501</v>
      </c>
      <c r="D27" s="10">
        <f t="shared" si="38"/>
        <v>5.6013179571664483E-3</v>
      </c>
      <c r="E27" s="10">
        <f t="shared" si="38"/>
        <v>0.13074297715935937</v>
      </c>
      <c r="F27" s="10">
        <f t="shared" si="38"/>
        <v>0.14345440292657455</v>
      </c>
      <c r="G27" s="10">
        <f t="shared" si="38"/>
        <v>8.9862398202752117E-2</v>
      </c>
      <c r="H27" s="10">
        <f t="shared" si="38"/>
        <v>0.102147577092511</v>
      </c>
      <c r="I27" s="10">
        <f t="shared" si="38"/>
        <v>0.16106237816764132</v>
      </c>
      <c r="J27" s="10">
        <f>J11/J3</f>
        <v>6.4957762889600576E-2</v>
      </c>
      <c r="R27" s="10">
        <f t="shared" ref="R27:U27" si="39">R11/R3</f>
        <v>0.15615050651230097</v>
      </c>
      <c r="S27" s="10">
        <f t="shared" si="39"/>
        <v>0.19232914324938871</v>
      </c>
      <c r="T27" s="10">
        <f t="shared" si="39"/>
        <v>0.19460450497642742</v>
      </c>
      <c r="U27" s="10">
        <f>U11/U3</f>
        <v>5.8102826217678857E-2</v>
      </c>
      <c r="V27" s="10">
        <f>V11/V3</f>
        <v>0.10692464358452131</v>
      </c>
      <c r="W27" s="10">
        <f t="shared" ref="W27:AF27" si="40">W11/W3</f>
        <v>0.14184495522581064</v>
      </c>
      <c r="X27" s="10">
        <f t="shared" si="40"/>
        <v>0.14698828609724737</v>
      </c>
      <c r="Y27" s="10">
        <f t="shared" si="40"/>
        <v>0.15007748014831829</v>
      </c>
      <c r="Z27" s="10">
        <f t="shared" si="40"/>
        <v>0.15118472387657955</v>
      </c>
      <c r="AA27" s="10">
        <f t="shared" si="40"/>
        <v>0.15228111227417163</v>
      </c>
      <c r="AB27" s="10">
        <f t="shared" si="40"/>
        <v>0.15336675176590486</v>
      </c>
      <c r="AC27" s="10">
        <f t="shared" si="40"/>
        <v>0.15444174773320951</v>
      </c>
      <c r="AD27" s="10">
        <f t="shared" si="40"/>
        <v>0.15550620452436398</v>
      </c>
      <c r="AE27" s="10">
        <f t="shared" si="40"/>
        <v>0.15656022546462475</v>
      </c>
      <c r="AF27" s="10">
        <f t="shared" si="40"/>
        <v>0.15760391286625564</v>
      </c>
      <c r="AH27" t="s">
        <v>51</v>
      </c>
      <c r="AI27" s="5">
        <f>AI25+AI26</f>
        <v>3240.6427751405076</v>
      </c>
    </row>
    <row r="28" spans="2:141" x14ac:dyDescent="0.3">
      <c r="B28" t="s">
        <v>37</v>
      </c>
      <c r="C28" s="10">
        <f t="shared" ref="C28:J28" si="41">C17/C16</f>
        <v>-0.40000000000000019</v>
      </c>
      <c r="D28" s="10">
        <f t="shared" si="41"/>
        <v>3.603603603603598E-2</v>
      </c>
      <c r="E28" s="10">
        <f t="shared" si="41"/>
        <v>9.8425196850393734E-2</v>
      </c>
      <c r="F28" s="10">
        <f t="shared" si="41"/>
        <v>0.10744985673352422</v>
      </c>
      <c r="G28" s="10">
        <f t="shared" si="41"/>
        <v>0.36595744680851039</v>
      </c>
      <c r="H28" s="10">
        <f t="shared" si="41"/>
        <v>0.12293144208037826</v>
      </c>
      <c r="I28" s="10">
        <f t="shared" si="41"/>
        <v>0.13506493506493508</v>
      </c>
      <c r="J28" s="10">
        <f>J17/J16</f>
        <v>-2.5974025974024582E-3</v>
      </c>
      <c r="R28" s="10">
        <f t="shared" ref="R28:U28" si="42">R17/R16</f>
        <v>-0.20264681555004144</v>
      </c>
      <c r="S28" s="10">
        <f t="shared" si="42"/>
        <v>0.12096417514374166</v>
      </c>
      <c r="T28" s="10">
        <f t="shared" si="42"/>
        <v>0.14458300857365552</v>
      </c>
      <c r="U28" s="10">
        <f>U17/U16</f>
        <v>0.1455906821963395</v>
      </c>
      <c r="V28" s="10">
        <f>V17/V16</f>
        <v>0.15966796875000008</v>
      </c>
      <c r="W28" s="10">
        <f t="shared" ref="W28:AF28" si="43">W17/W16</f>
        <v>0.15</v>
      </c>
      <c r="X28" s="10">
        <f t="shared" si="43"/>
        <v>0.15</v>
      </c>
      <c r="Y28" s="10">
        <f t="shared" si="43"/>
        <v>0.15</v>
      </c>
      <c r="Z28" s="10">
        <f t="shared" si="43"/>
        <v>0.15</v>
      </c>
      <c r="AA28" s="10">
        <f t="shared" si="43"/>
        <v>0.15</v>
      </c>
      <c r="AB28" s="10">
        <f t="shared" si="43"/>
        <v>0.15</v>
      </c>
      <c r="AC28" s="10">
        <f t="shared" si="43"/>
        <v>0.15</v>
      </c>
      <c r="AD28" s="10">
        <f t="shared" si="43"/>
        <v>0.15</v>
      </c>
      <c r="AE28" s="10">
        <f t="shared" si="43"/>
        <v>0.15</v>
      </c>
      <c r="AF28" s="10">
        <f t="shared" si="43"/>
        <v>0.15</v>
      </c>
      <c r="AH28" t="s">
        <v>52</v>
      </c>
      <c r="AI28" s="4">
        <f>AI27/AF19</f>
        <v>24.756629298246811</v>
      </c>
    </row>
    <row r="29" spans="2:141" x14ac:dyDescent="0.3">
      <c r="B29" t="s">
        <v>46</v>
      </c>
      <c r="C29" s="10">
        <f t="shared" ref="C29:J29" si="44">C18/C3</f>
        <v>-6.1146980630459528E-2</v>
      </c>
      <c r="D29" s="10">
        <f t="shared" si="44"/>
        <v>3.5255354200988527E-2</v>
      </c>
      <c r="E29" s="10">
        <f t="shared" si="44"/>
        <v>0.12024153321081645</v>
      </c>
      <c r="F29" s="10">
        <f t="shared" si="44"/>
        <v>0.16279069767441878</v>
      </c>
      <c r="G29" s="10">
        <f t="shared" si="44"/>
        <v>8.3684358326312908E-2</v>
      </c>
      <c r="H29" s="10">
        <f t="shared" si="44"/>
        <v>0.102147577092511</v>
      </c>
      <c r="I29" s="10">
        <f t="shared" si="44"/>
        <v>0.16228070175438597</v>
      </c>
      <c r="J29" s="10">
        <f>J18/J3</f>
        <v>0.11243810078648379</v>
      </c>
      <c r="R29" s="10">
        <f t="shared" ref="R29:U29" si="45">R18/R3</f>
        <v>0.10520984081041965</v>
      </c>
      <c r="S29" s="10">
        <f t="shared" si="45"/>
        <v>0.17053498648590679</v>
      </c>
      <c r="T29" s="10">
        <f t="shared" si="45"/>
        <v>0.19163610965601532</v>
      </c>
      <c r="U29" s="10">
        <f>U18/U3</f>
        <v>7.7194828622970488E-2</v>
      </c>
      <c r="V29" s="10">
        <f>V18/V3</f>
        <v>0.11683638832314998</v>
      </c>
      <c r="W29" s="10">
        <f t="shared" ref="W29:AF29" si="46">W18/W3</f>
        <v>0.14708300197200402</v>
      </c>
      <c r="X29" s="10">
        <f t="shared" si="46"/>
        <v>0.15094493340445475</v>
      </c>
      <c r="Y29" s="10">
        <f t="shared" si="46"/>
        <v>0.15331827368551754</v>
      </c>
      <c r="Z29" s="10">
        <f t="shared" si="46"/>
        <v>0.15425943085453961</v>
      </c>
      <c r="AA29" s="10">
        <f t="shared" si="46"/>
        <v>0.15519136099249284</v>
      </c>
      <c r="AB29" s="10">
        <f t="shared" si="46"/>
        <v>0.15611415456046612</v>
      </c>
      <c r="AC29" s="10">
        <f t="shared" si="46"/>
        <v>0.15702790113267506</v>
      </c>
      <c r="AD29" s="10">
        <f t="shared" si="46"/>
        <v>0.15793268940515634</v>
      </c>
      <c r="AE29" s="10">
        <f t="shared" si="46"/>
        <v>0.15882860720437803</v>
      </c>
      <c r="AF29" s="10">
        <f t="shared" si="46"/>
        <v>0.15971574149576426</v>
      </c>
      <c r="AH29" t="s">
        <v>53</v>
      </c>
      <c r="AI29" s="4">
        <f>Main!D3</f>
        <v>49.74</v>
      </c>
    </row>
    <row r="30" spans="2:141" x14ac:dyDescent="0.3">
      <c r="AH30" s="1" t="s">
        <v>54</v>
      </c>
      <c r="AI30" s="11">
        <f>AI28/AI29-1</f>
        <v>-0.50227926621940466</v>
      </c>
    </row>
    <row r="31" spans="2:141" x14ac:dyDescent="0.3">
      <c r="AH31" t="s">
        <v>55</v>
      </c>
      <c r="AI31" s="6" t="s">
        <v>56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2026-02-25T08:18:43Z</dcterms:created>
  <dcterms:modified xsi:type="dcterms:W3CDTF">2026-02-25T08:55:20Z</dcterms:modified>
</cp:coreProperties>
</file>