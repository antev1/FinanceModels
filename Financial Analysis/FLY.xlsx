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8FFAD4F9-D30F-4949-9933-08FB9A4B269D}" xr6:coauthVersionLast="47" xr6:coauthVersionMax="47" xr10:uidLastSave="{00000000-0000-0000-0000-000000000000}"/>
  <bookViews>
    <workbookView xWindow="-108" yWindow="-108" windowWidth="23256" windowHeight="12576" activeTab="1" xr2:uid="{5AB6C57E-9A65-4995-8BB3-75049AFAB9FD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3" i="2" l="1"/>
  <c r="U3" i="2" s="1"/>
  <c r="V3" i="2" s="1"/>
  <c r="W3" i="2" s="1"/>
  <c r="X3" i="2" s="1"/>
  <c r="S3" i="2"/>
  <c r="R3" i="2"/>
  <c r="Q3" i="2"/>
  <c r="P3" i="2"/>
  <c r="O3" i="2"/>
  <c r="AA30" i="2"/>
  <c r="AA27" i="2"/>
  <c r="T18" i="2"/>
  <c r="U18" i="2" s="1"/>
  <c r="V18" i="2" s="1"/>
  <c r="W18" i="2" s="1"/>
  <c r="X18" i="2" s="1"/>
  <c r="S18" i="2"/>
  <c r="V13" i="2"/>
  <c r="W13" i="2" s="1"/>
  <c r="X13" i="2" s="1"/>
  <c r="U13" i="2"/>
  <c r="P18" i="2"/>
  <c r="Q18" i="2" s="1"/>
  <c r="R18" i="2" s="1"/>
  <c r="P13" i="2"/>
  <c r="P15" i="2" s="1"/>
  <c r="X11" i="2"/>
  <c r="W11" i="2"/>
  <c r="V11" i="2"/>
  <c r="U11" i="2"/>
  <c r="T11" i="2"/>
  <c r="S11" i="2"/>
  <c r="R11" i="2"/>
  <c r="Q11" i="2"/>
  <c r="P11" i="2"/>
  <c r="O18" i="2"/>
  <c r="O15" i="2"/>
  <c r="O13" i="2"/>
  <c r="O11" i="2"/>
  <c r="X28" i="2"/>
  <c r="W28" i="2"/>
  <c r="V28" i="2"/>
  <c r="U28" i="2"/>
  <c r="T28" i="2"/>
  <c r="S28" i="2"/>
  <c r="R28" i="2"/>
  <c r="Q28" i="2"/>
  <c r="P28" i="2"/>
  <c r="O28" i="2"/>
  <c r="X27" i="2"/>
  <c r="W27" i="2"/>
  <c r="V27" i="2"/>
  <c r="U27" i="2"/>
  <c r="T27" i="2"/>
  <c r="S27" i="2"/>
  <c r="R27" i="2"/>
  <c r="Q27" i="2"/>
  <c r="P27" i="2"/>
  <c r="O27" i="2"/>
  <c r="X24" i="2"/>
  <c r="W24" i="2"/>
  <c r="V24" i="2"/>
  <c r="U24" i="2"/>
  <c r="T24" i="2"/>
  <c r="S24" i="2"/>
  <c r="R24" i="2"/>
  <c r="Q24" i="2"/>
  <c r="P24" i="2"/>
  <c r="O24" i="2"/>
  <c r="P23" i="2"/>
  <c r="O23" i="2"/>
  <c r="S9" i="2"/>
  <c r="T9" i="2" s="1"/>
  <c r="U9" i="2" s="1"/>
  <c r="V9" i="2" s="1"/>
  <c r="W9" i="2" s="1"/>
  <c r="X9" i="2" s="1"/>
  <c r="R9" i="2"/>
  <c r="Q9" i="2"/>
  <c r="O9" i="2"/>
  <c r="P9" i="2" s="1"/>
  <c r="U8" i="2"/>
  <c r="V8" i="2" s="1"/>
  <c r="W8" i="2" s="1"/>
  <c r="X8" i="2" s="1"/>
  <c r="T8" i="2"/>
  <c r="S8" i="2"/>
  <c r="R8" i="2"/>
  <c r="Q8" i="2"/>
  <c r="P8" i="2"/>
  <c r="O8" i="2"/>
  <c r="N7" i="2"/>
  <c r="O5" i="2"/>
  <c r="O7" i="2" s="1"/>
  <c r="O6" i="2" s="1"/>
  <c r="X4" i="2"/>
  <c r="W4" i="2"/>
  <c r="V4" i="2"/>
  <c r="U4" i="2"/>
  <c r="T4" i="2"/>
  <c r="S4" i="2"/>
  <c r="R4" i="2"/>
  <c r="Q4" i="2"/>
  <c r="P4" i="2"/>
  <c r="O4" i="2"/>
  <c r="N28" i="2"/>
  <c r="N27" i="2"/>
  <c r="N25" i="2"/>
  <c r="N24" i="2"/>
  <c r="N23" i="2"/>
  <c r="N15" i="2"/>
  <c r="N11" i="2"/>
  <c r="N5" i="2"/>
  <c r="L31" i="2"/>
  <c r="L30" i="2"/>
  <c r="L29" i="2"/>
  <c r="L26" i="2"/>
  <c r="M28" i="2"/>
  <c r="M27" i="2"/>
  <c r="M25" i="2"/>
  <c r="M24" i="2"/>
  <c r="M23" i="2"/>
  <c r="M31" i="2"/>
  <c r="M30" i="2"/>
  <c r="M29" i="2"/>
  <c r="M26" i="2"/>
  <c r="C31" i="2"/>
  <c r="C30" i="2"/>
  <c r="C29" i="2"/>
  <c r="C26" i="2"/>
  <c r="G31" i="2"/>
  <c r="G30" i="2"/>
  <c r="G29" i="2"/>
  <c r="G28" i="2"/>
  <c r="G27" i="2"/>
  <c r="G26" i="2"/>
  <c r="G25" i="2"/>
  <c r="G24" i="2"/>
  <c r="G23" i="2"/>
  <c r="M5" i="2"/>
  <c r="M7" i="2" s="1"/>
  <c r="L5" i="2"/>
  <c r="L7" i="2" s="1"/>
  <c r="L4" i="2"/>
  <c r="L15" i="2"/>
  <c r="L11" i="2"/>
  <c r="M18" i="2"/>
  <c r="C5" i="2"/>
  <c r="C7" i="2" s="1"/>
  <c r="G5" i="2"/>
  <c r="G7" i="2" s="1"/>
  <c r="G12" i="2" s="1"/>
  <c r="G16" i="2" s="1"/>
  <c r="G19" i="2" s="1"/>
  <c r="G21" i="2" s="1"/>
  <c r="M15" i="2"/>
  <c r="M11" i="2"/>
  <c r="C15" i="2"/>
  <c r="C11" i="2"/>
  <c r="G18" i="2"/>
  <c r="G15" i="2"/>
  <c r="G11" i="2"/>
  <c r="D9" i="1"/>
  <c r="D8" i="1"/>
  <c r="D7" i="1"/>
  <c r="D6" i="1"/>
  <c r="D5" i="1"/>
  <c r="F3" i="1"/>
  <c r="O12" i="2" l="1"/>
  <c r="O29" i="2" s="1"/>
  <c r="O26" i="2"/>
  <c r="O25" i="2"/>
  <c r="R23" i="2"/>
  <c r="Q23" i="2"/>
  <c r="Q13" i="2"/>
  <c r="O16" i="2"/>
  <c r="Q5" i="2"/>
  <c r="P5" i="2"/>
  <c r="N6" i="2"/>
  <c r="N26" i="2"/>
  <c r="N12" i="2"/>
  <c r="N29" i="2" s="1"/>
  <c r="L12" i="2"/>
  <c r="L16" i="2" s="1"/>
  <c r="L19" i="2" s="1"/>
  <c r="L21" i="2" s="1"/>
  <c r="M12" i="2"/>
  <c r="M16" i="2" s="1"/>
  <c r="M19" i="2" s="1"/>
  <c r="M21" i="2" s="1"/>
  <c r="C12" i="2"/>
  <c r="C16" i="2" s="1"/>
  <c r="C19" i="2" s="1"/>
  <c r="C21" i="2" s="1"/>
  <c r="P7" i="2" l="1"/>
  <c r="P25" i="2"/>
  <c r="Q7" i="2"/>
  <c r="Q25" i="2"/>
  <c r="S23" i="2"/>
  <c r="Q15" i="2"/>
  <c r="R13" i="2"/>
  <c r="O30" i="2"/>
  <c r="O19" i="2"/>
  <c r="R5" i="2"/>
  <c r="R25" i="2" s="1"/>
  <c r="N16" i="2"/>
  <c r="N19" i="2" s="1"/>
  <c r="T23" i="2" l="1"/>
  <c r="Q6" i="2"/>
  <c r="Q26" i="2"/>
  <c r="Q12" i="2"/>
  <c r="Q29" i="2" s="1"/>
  <c r="P6" i="2"/>
  <c r="P26" i="2"/>
  <c r="P12" i="2"/>
  <c r="R15" i="2"/>
  <c r="S13" i="2"/>
  <c r="O21" i="2"/>
  <c r="O31" i="2"/>
  <c r="S5" i="2"/>
  <c r="R7" i="2"/>
  <c r="N30" i="2"/>
  <c r="N21" i="2"/>
  <c r="N31" i="2"/>
  <c r="P29" i="2" l="1"/>
  <c r="P16" i="2"/>
  <c r="Q16" i="2"/>
  <c r="R6" i="2"/>
  <c r="R26" i="2"/>
  <c r="R12" i="2"/>
  <c r="R29" i="2" s="1"/>
  <c r="S7" i="2"/>
  <c r="S25" i="2"/>
  <c r="U23" i="2"/>
  <c r="S15" i="2"/>
  <c r="T13" i="2"/>
  <c r="T5" i="2"/>
  <c r="S6" i="2" l="1"/>
  <c r="S26" i="2"/>
  <c r="S12" i="2"/>
  <c r="S29" i="2" s="1"/>
  <c r="Q19" i="2"/>
  <c r="Q30" i="2"/>
  <c r="R16" i="2"/>
  <c r="V23" i="2"/>
  <c r="P30" i="2"/>
  <c r="P19" i="2"/>
  <c r="T25" i="2"/>
  <c r="T7" i="2"/>
  <c r="T6" i="2" s="1"/>
  <c r="T15" i="2"/>
  <c r="U5" i="2"/>
  <c r="S16" i="2" l="1"/>
  <c r="Q31" i="2"/>
  <c r="Q21" i="2"/>
  <c r="W23" i="2"/>
  <c r="X23" i="2"/>
  <c r="R19" i="2"/>
  <c r="R30" i="2"/>
  <c r="P21" i="2"/>
  <c r="P31" i="2"/>
  <c r="T26" i="2"/>
  <c r="T12" i="2"/>
  <c r="T29" i="2" s="1"/>
  <c r="U25" i="2"/>
  <c r="U7" i="2"/>
  <c r="U6" i="2" s="1"/>
  <c r="U15" i="2"/>
  <c r="V5" i="2"/>
  <c r="T16" i="2" l="1"/>
  <c r="T30" i="2" s="1"/>
  <c r="S30" i="2"/>
  <c r="S19" i="2"/>
  <c r="R31" i="2"/>
  <c r="R21" i="2"/>
  <c r="U26" i="2"/>
  <c r="U12" i="2"/>
  <c r="U29" i="2" s="1"/>
  <c r="V7" i="2"/>
  <c r="V25" i="2"/>
  <c r="V15" i="2"/>
  <c r="W5" i="2"/>
  <c r="X5" i="2"/>
  <c r="T19" i="2" l="1"/>
  <c r="U16" i="2"/>
  <c r="U19" i="2" s="1"/>
  <c r="U31" i="2" s="1"/>
  <c r="S31" i="2"/>
  <c r="S21" i="2"/>
  <c r="W7" i="2"/>
  <c r="W25" i="2"/>
  <c r="V26" i="2"/>
  <c r="V12" i="2"/>
  <c r="V29" i="2" s="1"/>
  <c r="V6" i="2"/>
  <c r="X7" i="2"/>
  <c r="X25" i="2"/>
  <c r="W15" i="2"/>
  <c r="X15" i="2"/>
  <c r="U21" i="2" l="1"/>
  <c r="U30" i="2"/>
  <c r="T31" i="2"/>
  <c r="T21" i="2"/>
  <c r="W26" i="2"/>
  <c r="W12" i="2"/>
  <c r="W29" i="2" s="1"/>
  <c r="W6" i="2"/>
  <c r="V16" i="2"/>
  <c r="X26" i="2"/>
  <c r="X12" i="2"/>
  <c r="X29" i="2" s="1"/>
  <c r="X6" i="2"/>
  <c r="X16" i="2" l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AR19" i="2" s="1"/>
  <c r="AS19" i="2" s="1"/>
  <c r="AT19" i="2" s="1"/>
  <c r="AU19" i="2" s="1"/>
  <c r="AV19" i="2" s="1"/>
  <c r="AW19" i="2" s="1"/>
  <c r="AX19" i="2" s="1"/>
  <c r="AY19" i="2" s="1"/>
  <c r="AZ19" i="2" s="1"/>
  <c r="BA19" i="2" s="1"/>
  <c r="BB19" i="2" s="1"/>
  <c r="BC19" i="2" s="1"/>
  <c r="BD19" i="2" s="1"/>
  <c r="BE19" i="2" s="1"/>
  <c r="BF19" i="2" s="1"/>
  <c r="BG19" i="2" s="1"/>
  <c r="BH19" i="2" s="1"/>
  <c r="BI19" i="2" s="1"/>
  <c r="BJ19" i="2" s="1"/>
  <c r="BK19" i="2" s="1"/>
  <c r="BL19" i="2" s="1"/>
  <c r="BM19" i="2" s="1"/>
  <c r="BN19" i="2" s="1"/>
  <c r="BO19" i="2" s="1"/>
  <c r="BP19" i="2" s="1"/>
  <c r="BQ19" i="2" s="1"/>
  <c r="BR19" i="2" s="1"/>
  <c r="BS19" i="2" s="1"/>
  <c r="BT19" i="2" s="1"/>
  <c r="BU19" i="2" s="1"/>
  <c r="BV19" i="2" s="1"/>
  <c r="BW19" i="2" s="1"/>
  <c r="BX19" i="2" s="1"/>
  <c r="BY19" i="2" s="1"/>
  <c r="BZ19" i="2" s="1"/>
  <c r="CA19" i="2" s="1"/>
  <c r="CB19" i="2" s="1"/>
  <c r="CC19" i="2" s="1"/>
  <c r="CD19" i="2" s="1"/>
  <c r="CE19" i="2" s="1"/>
  <c r="CF19" i="2" s="1"/>
  <c r="CG19" i="2" s="1"/>
  <c r="CH19" i="2" s="1"/>
  <c r="CI19" i="2" s="1"/>
  <c r="CJ19" i="2" s="1"/>
  <c r="CK19" i="2" s="1"/>
  <c r="CL19" i="2" s="1"/>
  <c r="CM19" i="2" s="1"/>
  <c r="CN19" i="2" s="1"/>
  <c r="CO19" i="2" s="1"/>
  <c r="CP19" i="2" s="1"/>
  <c r="CQ19" i="2" s="1"/>
  <c r="CR19" i="2" s="1"/>
  <c r="CS19" i="2" s="1"/>
  <c r="CT19" i="2" s="1"/>
  <c r="CU19" i="2" s="1"/>
  <c r="CV19" i="2" s="1"/>
  <c r="CW19" i="2" s="1"/>
  <c r="CX19" i="2" s="1"/>
  <c r="CY19" i="2" s="1"/>
  <c r="CZ19" i="2" s="1"/>
  <c r="DA19" i="2" s="1"/>
  <c r="DB19" i="2" s="1"/>
  <c r="DC19" i="2" s="1"/>
  <c r="DD19" i="2" s="1"/>
  <c r="DE19" i="2" s="1"/>
  <c r="DF19" i="2" s="1"/>
  <c r="DG19" i="2" s="1"/>
  <c r="DH19" i="2" s="1"/>
  <c r="DI19" i="2" s="1"/>
  <c r="DJ19" i="2" s="1"/>
  <c r="DK19" i="2" s="1"/>
  <c r="DL19" i="2" s="1"/>
  <c r="DM19" i="2" s="1"/>
  <c r="DN19" i="2" s="1"/>
  <c r="DO19" i="2" s="1"/>
  <c r="DP19" i="2" s="1"/>
  <c r="DQ19" i="2" s="1"/>
  <c r="DR19" i="2" s="1"/>
  <c r="DS19" i="2" s="1"/>
  <c r="DT19" i="2" s="1"/>
  <c r="DU19" i="2" s="1"/>
  <c r="DV19" i="2" s="1"/>
  <c r="DW19" i="2" s="1"/>
  <c r="DX19" i="2" s="1"/>
  <c r="DY19" i="2" s="1"/>
  <c r="DZ19" i="2" s="1"/>
  <c r="EA19" i="2" s="1"/>
  <c r="EB19" i="2" s="1"/>
  <c r="EC19" i="2" s="1"/>
  <c r="ED19" i="2" s="1"/>
  <c r="EE19" i="2" s="1"/>
  <c r="EF19" i="2" s="1"/>
  <c r="EG19" i="2" s="1"/>
  <c r="W16" i="2"/>
  <c r="W19" i="2" s="1"/>
  <c r="W21" i="2" s="1"/>
  <c r="V30" i="2"/>
  <c r="V19" i="2"/>
  <c r="X31" i="2" l="1"/>
  <c r="X21" i="2"/>
  <c r="X30" i="2"/>
  <c r="W31" i="2"/>
  <c r="W30" i="2"/>
  <c r="AA26" i="2"/>
  <c r="AA28" i="2" s="1"/>
  <c r="AA29" i="2" s="1"/>
  <c r="AA31" i="2" s="1"/>
  <c r="V31" i="2"/>
  <c r="V21" i="2"/>
</calcChain>
</file>

<file path=xl/sharedStrings.xml><?xml version="1.0" encoding="utf-8"?>
<sst xmlns="http://schemas.openxmlformats.org/spreadsheetml/2006/main" count="60" uniqueCount="57">
  <si>
    <t>FLY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</si>
  <si>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</si>
  <si>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</si>
  <si>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</si>
  <si>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</si>
  <si>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</si>
  <si>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</si>
  <si>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</si>
  <si>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</si>
  <si>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</si>
  <si>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</si>
  <si>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post-IPO</t>
  </si>
  <si>
    <t>S-1</t>
  </si>
  <si>
    <t>Revenue</t>
  </si>
  <si>
    <t>Cost of sales</t>
  </si>
  <si>
    <t>Gross profit</t>
  </si>
  <si>
    <t>Q124</t>
  </si>
  <si>
    <t>Q224</t>
  </si>
  <si>
    <t>Q324</t>
  </si>
  <si>
    <t>Q424</t>
  </si>
  <si>
    <t>Q125</t>
  </si>
  <si>
    <t>Q225</t>
  </si>
  <si>
    <t>Q325</t>
  </si>
  <si>
    <t>Q425</t>
  </si>
  <si>
    <t>R&amp;D</t>
  </si>
  <si>
    <t>SG&amp;A</t>
  </si>
  <si>
    <t>Loss on disposal</t>
  </si>
  <si>
    <t>Total operating expenses</t>
  </si>
  <si>
    <t>Operating profit</t>
  </si>
  <si>
    <t>Interest expense</t>
  </si>
  <si>
    <t>Other income</t>
  </si>
  <si>
    <t>Net finance expense</t>
  </si>
  <si>
    <t>Pretax profit</t>
  </si>
  <si>
    <t>Taxes</t>
  </si>
  <si>
    <t>MI</t>
  </si>
  <si>
    <t>Net profit</t>
  </si>
  <si>
    <t>EPS</t>
  </si>
  <si>
    <t>Launch revenue</t>
  </si>
  <si>
    <t>Services revenue</t>
  </si>
  <si>
    <t>Revenue y/y</t>
  </si>
  <si>
    <t>Launch revenue y/y</t>
  </si>
  <si>
    <t>Services revenue y/y</t>
  </si>
  <si>
    <t>Gross Margin</t>
  </si>
  <si>
    <t>R&amp;D y/y</t>
  </si>
  <si>
    <t>SG&amp;A y/y</t>
  </si>
  <si>
    <t>Operating Margin</t>
  </si>
  <si>
    <t>Net Margin</t>
  </si>
  <si>
    <t>Maturity</t>
  </si>
  <si>
    <t>Discount rate</t>
  </si>
  <si>
    <t>NPV</t>
  </si>
  <si>
    <t>Value</t>
  </si>
  <si>
    <t>Net cash</t>
  </si>
  <si>
    <t>Per share</t>
  </si>
  <si>
    <t>Current price</t>
  </si>
  <si>
    <t>Variance</t>
  </si>
  <si>
    <t>Consensus</t>
  </si>
  <si>
    <t>Heavily 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</si>
</sst>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</xdr:colOff>
      <xdr:row>0</xdr:row>
      <xdr:rowOff>7620</xdr:rowOff>
    </xdr:from>
    <xdr:to>
      <xdr:col>13</xdr:col>
      <xdr:colOff>7620</xdr:colOff>
      <xdr:row>36</xdr:row>
      <xdr:rowOff>106680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67C2C3D-15B0-C577-5BFA-B8FDB7BD2CBB}"/>
            </a:ext>
          </a:extLst>
        </xdr:cNvPr>
        <xdr:cNvCxnSpPr/>
      </xdr:nvCxnSpPr>
      <xdr:spPr>
        <a:xfrm>
          <a:off x="8808720" y="762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61CEC-CBB3-4E44-9B69-7C88E5D35897}">
  <dimension ref="B2:G9"/>
  <sheetViews>
    <sheetView workbookViewId="0">
      <selection activeCell="D4" sqref="D4"/>
    </sheetView>
  </sheetViews>
  <sheetFormatPr defaultRowHeight="14.4" x14ac:dyDescent="0.3"/>
  <cols>
    <col min="1" max="4" width="8.88671875" style="1"/>
    <col min="5" max="5" width="11.88671875" style="3" bestFit="1" customWidth="1"/>
    <col min="6" max="7" width="11.21875" style="3" bestFit="1" customWidth="1"/>
    <col min="8" max="16384" width="8.88671875" style="1"/>
  </cols>
  <sheetData>
    <row r="2" spans="2:7" x14ac:dyDescent="0.3">
      <c r="E2" s="3" t="s">
        <v>8</v>
      </c>
      <c r="F2" s="3" t="s">
        <v>9</v>
      </c>
      <c r="G2" s="3" t="s">
        <v>10</v>
      </c>
    </row>
    <row r="3" spans="2:7" x14ac:dyDescent="0.3">
      <c r="B3" s="2" t="s">
        <v>0</v>
      </c>
      <c r="C3" s="1" t="s">
        <v>1</v>
      </c>
      <c r="D3" s="5">
        <v>45.37</v>
      </c>
      <c r="E3" s="4">
        <v>45898</v>
      </c>
      <c r="F3" s="4">
        <f ca="1">TODAY()</f>
        <v>45900</v>
      </c>
      <c r="G3" s="4">
        <v>45945</v>
      </c>
    </row>
    <row r="4" spans="2:7" x14ac:dyDescent="0.3">
      <c r="C4" s="1" t="s">
        <v>2</v>
      </c>
      <c r="D4" s="6">
        <v>145</v>
      </c>
      <c r="E4" s="3" t="s">
        <v>11</v>
      </c>
    </row>
    <row r="5" spans="2:7" x14ac:dyDescent="0.3">
      <c r="C5" s="1" t="s">
        <v>3</v>
      </c>
      <c r="D5" s="6">
        <f>D3*D4</f>
        <v>6578.65</v>
      </c>
    </row>
    <row r="6" spans="2:7" x14ac:dyDescent="0.3">
      <c r="C6" s="1" t="s">
        <v>4</v>
      </c>
      <c r="D6" s="6">
        <f>176.9</f>
        <v>176.9</v>
      </c>
      <c r="E6" s="3" t="s">
        <v>12</v>
      </c>
    </row>
    <row r="7" spans="2:7" x14ac:dyDescent="0.3">
      <c r="C7" s="1" t="s">
        <v>5</v>
      </c>
      <c r="D7" s="6">
        <f>6.6+123.3+17.7</f>
        <v>147.6</v>
      </c>
      <c r="E7" s="3" t="s">
        <v>12</v>
      </c>
    </row>
    <row r="8" spans="2:7" x14ac:dyDescent="0.3">
      <c r="C8" s="1" t="s">
        <v>6</v>
      </c>
      <c r="D8" s="6">
        <f>D6-D7</f>
        <v>29.300000000000011</v>
      </c>
    </row>
    <row r="9" spans="2:7" x14ac:dyDescent="0.3">
      <c r="C9" s="1" t="s">
        <v>7</v>
      </c>
      <c r="D9" s="6">
        <f>D5-D8</f>
        <v>6549.3499999999995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E6BF4-9A97-49AC-93D0-D7B066F35D0E}">
  <dimension ref="B2:EG32"/>
  <sheetViews>
    <sheetView tabSelected="1" workbookViewId="0">
      <pane xSplit="2" ySplit="2" topLeftCell="L6" activePane="bottomRight" state="frozen"/>
      <selection pane="topRight" activeCell="C1" sqref="C1"/>
      <selection pane="bottomLeft" activeCell="A3" sqref="A3"/>
      <selection pane="bottomRight" activeCell="Y13" sqref="Y13"/>
    </sheetView>
  </sheetViews>
  <sheetFormatPr defaultRowHeight="14.4" x14ac:dyDescent="0.3"/>
  <cols>
    <col min="1" max="1" width="8.88671875" style="1"/>
    <col min="2" max="2" width="21.6640625" style="1" bestFit="1" customWidth="1"/>
    <col min="3" max="25" width="8.88671875" style="1"/>
    <col min="26" max="26" width="11.88671875" style="1" bestFit="1" customWidth="1"/>
    <col min="27" max="27" width="18.77734375" style="1" customWidth="1"/>
    <col min="28" max="16384" width="8.88671875" style="1"/>
  </cols>
  <sheetData>
    <row r="2" spans="2:24" x14ac:dyDescent="0.3"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I2" s="7" t="s">
        <v>22</v>
      </c>
      <c r="J2" s="7" t="s">
        <v>23</v>
      </c>
      <c r="L2" s="1">
        <v>2023</v>
      </c>
      <c r="M2" s="1">
        <v>2024</v>
      </c>
      <c r="N2" s="1">
        <v>2025</v>
      </c>
      <c r="O2" s="1">
        <v>2026</v>
      </c>
      <c r="P2" s="1">
        <v>2027</v>
      </c>
      <c r="Q2" s="1">
        <v>2028</v>
      </c>
      <c r="R2" s="1">
        <v>2029</v>
      </c>
      <c r="S2" s="1">
        <v>2030</v>
      </c>
      <c r="T2" s="1">
        <v>2031</v>
      </c>
      <c r="U2" s="1">
        <v>2032</v>
      </c>
      <c r="V2" s="1">
        <v>2033</v>
      </c>
      <c r="W2" s="1">
        <v>2034</v>
      </c>
      <c r="X2" s="1">
        <v>2035</v>
      </c>
    </row>
    <row r="3" spans="2:24" x14ac:dyDescent="0.3">
      <c r="B3" s="1" t="s">
        <v>37</v>
      </c>
      <c r="C3" s="6">
        <v>1.3</v>
      </c>
      <c r="G3" s="6">
        <v>5.2</v>
      </c>
      <c r="L3" s="6">
        <v>33</v>
      </c>
      <c r="M3" s="6">
        <v>22.6</v>
      </c>
      <c r="N3" s="6">
        <v>28</v>
      </c>
      <c r="O3" s="6">
        <f>N3*1.6</f>
        <v>44.800000000000004</v>
      </c>
      <c r="P3" s="6">
        <f>O3*1.7</f>
        <v>76.160000000000011</v>
      </c>
      <c r="Q3" s="6">
        <f>P3*1.8</f>
        <v>137.08800000000002</v>
      </c>
      <c r="R3" s="6">
        <f>Q3*1.9</f>
        <v>260.46720000000005</v>
      </c>
      <c r="S3" s="6">
        <f>R3*2</f>
        <v>520.9344000000001</v>
      </c>
      <c r="T3" s="6">
        <f>S3*2</f>
        <v>1041.8688000000002</v>
      </c>
      <c r="U3" s="6">
        <f>T3*1.9</f>
        <v>1979.5507200000002</v>
      </c>
      <c r="V3" s="6">
        <f>U3*1.8</f>
        <v>3563.1912960000004</v>
      </c>
      <c r="W3" s="6">
        <f>V3*1.7</f>
        <v>6057.4252032000004</v>
      </c>
      <c r="X3" s="6">
        <f>W3*1.6</f>
        <v>9691.8803251200006</v>
      </c>
    </row>
    <row r="4" spans="2:24" x14ac:dyDescent="0.3">
      <c r="B4" s="1" t="s">
        <v>38</v>
      </c>
      <c r="C4" s="6">
        <v>7</v>
      </c>
      <c r="G4" s="6">
        <v>50.7</v>
      </c>
      <c r="L4" s="6">
        <f>20.9+1.3</f>
        <v>22.2</v>
      </c>
      <c r="M4" s="6">
        <v>38.200000000000003</v>
      </c>
      <c r="N4" s="6">
        <v>200</v>
      </c>
      <c r="O4" s="6">
        <f>N4*2</f>
        <v>400</v>
      </c>
      <c r="P4" s="6">
        <f>O4*1.75</f>
        <v>700</v>
      </c>
      <c r="Q4" s="6">
        <f>P4*1.6</f>
        <v>1120</v>
      </c>
      <c r="R4" s="6">
        <f>Q4*1.5</f>
        <v>1680</v>
      </c>
      <c r="S4" s="6">
        <f>R4*1.4</f>
        <v>2352</v>
      </c>
      <c r="T4" s="6">
        <f>S4*1.3</f>
        <v>3057.6</v>
      </c>
      <c r="U4" s="6">
        <f>T4*1.2</f>
        <v>3669.12</v>
      </c>
      <c r="V4" s="6">
        <f>U4*1.15</f>
        <v>4219.4879999999994</v>
      </c>
      <c r="W4" s="6">
        <f>V4*1.1</f>
        <v>4641.4367999999995</v>
      </c>
      <c r="X4" s="6">
        <f>W4*1.05</f>
        <v>4873.50864</v>
      </c>
    </row>
    <row r="5" spans="2:24" s="2" customFormat="1" x14ac:dyDescent="0.3">
      <c r="B5" s="2" t="s">
        <v>13</v>
      </c>
      <c r="C5" s="9">
        <f>SUM(C3:C4)</f>
        <v>8.3000000000000007</v>
      </c>
      <c r="G5" s="9">
        <f>SUM(G3:G4)</f>
        <v>55.900000000000006</v>
      </c>
      <c r="L5" s="9">
        <f>SUM(L3:L4)</f>
        <v>55.2</v>
      </c>
      <c r="M5" s="9">
        <f>SUM(M3:M4)</f>
        <v>60.800000000000004</v>
      </c>
      <c r="N5" s="9">
        <f>SUM(N3:N4)</f>
        <v>228</v>
      </c>
      <c r="O5" s="9">
        <f t="shared" ref="O5:X5" si="0">SUM(O3:O4)</f>
        <v>444.8</v>
      </c>
      <c r="P5" s="9">
        <f t="shared" si="0"/>
        <v>776.16</v>
      </c>
      <c r="Q5" s="9">
        <f t="shared" si="0"/>
        <v>1257.088</v>
      </c>
      <c r="R5" s="9">
        <f t="shared" si="0"/>
        <v>1940.4672</v>
      </c>
      <c r="S5" s="9">
        <f t="shared" si="0"/>
        <v>2872.9344000000001</v>
      </c>
      <c r="T5" s="9">
        <f t="shared" si="0"/>
        <v>4099.4688000000006</v>
      </c>
      <c r="U5" s="9">
        <f t="shared" si="0"/>
        <v>5648.6707200000001</v>
      </c>
      <c r="V5" s="9">
        <f t="shared" si="0"/>
        <v>7782.6792960000002</v>
      </c>
      <c r="W5" s="9">
        <f t="shared" si="0"/>
        <v>10698.8620032</v>
      </c>
      <c r="X5" s="9">
        <f t="shared" si="0"/>
        <v>14565.388965120001</v>
      </c>
    </row>
    <row r="6" spans="2:24" x14ac:dyDescent="0.3">
      <c r="B6" s="1" t="s">
        <v>14</v>
      </c>
      <c r="C6" s="6">
        <v>10.199999999999999</v>
      </c>
      <c r="G6" s="6">
        <v>53.6</v>
      </c>
      <c r="L6" s="6">
        <v>28.6</v>
      </c>
      <c r="M6" s="6">
        <v>72.2</v>
      </c>
      <c r="N6" s="6">
        <f>N5-N7</f>
        <v>216.6</v>
      </c>
      <c r="O6" s="6">
        <f>O5-O7</f>
        <v>418.11200000000002</v>
      </c>
      <c r="P6" s="6">
        <f t="shared" ref="P6:X6" si="1">P5-P7</f>
        <v>721.8288</v>
      </c>
      <c r="Q6" s="6">
        <f t="shared" si="1"/>
        <v>1156.5209600000001</v>
      </c>
      <c r="R6" s="6">
        <f t="shared" si="1"/>
        <v>1765.8251520000001</v>
      </c>
      <c r="S6" s="6">
        <f t="shared" si="1"/>
        <v>2585.6409600000002</v>
      </c>
      <c r="T6" s="6">
        <f t="shared" si="1"/>
        <v>3607.5325440000006</v>
      </c>
      <c r="U6" s="6">
        <f t="shared" si="1"/>
        <v>4801.3701120000005</v>
      </c>
      <c r="V6" s="6">
        <f t="shared" si="1"/>
        <v>6381.7970227200003</v>
      </c>
      <c r="W6" s="6">
        <f t="shared" si="1"/>
        <v>8666.0782225919993</v>
      </c>
      <c r="X6" s="6">
        <f t="shared" si="1"/>
        <v>11652.311172096001</v>
      </c>
    </row>
    <row r="7" spans="2:24" s="2" customFormat="1" x14ac:dyDescent="0.3">
      <c r="B7" s="2" t="s">
        <v>15</v>
      </c>
      <c r="C7" s="9">
        <f>C5-C6</f>
        <v>-1.8999999999999986</v>
      </c>
      <c r="G7" s="9">
        <f>G5-G6</f>
        <v>2.3000000000000043</v>
      </c>
      <c r="L7" s="9">
        <f>L5-L6</f>
        <v>26.6</v>
      </c>
      <c r="M7" s="9">
        <f>M5-M6</f>
        <v>-11.399999999999999</v>
      </c>
      <c r="N7" s="9">
        <f>N5*0.05</f>
        <v>11.4</v>
      </c>
      <c r="O7" s="9">
        <f>O5*0.06</f>
        <v>26.687999999999999</v>
      </c>
      <c r="P7" s="9">
        <f>P5*0.07</f>
        <v>54.331200000000003</v>
      </c>
      <c r="Q7" s="9">
        <f>Q5*0.08</f>
        <v>100.56704000000001</v>
      </c>
      <c r="R7" s="9">
        <f>R5*0.09</f>
        <v>174.64204799999999</v>
      </c>
      <c r="S7" s="9">
        <f>S5*0.1</f>
        <v>287.29344000000003</v>
      </c>
      <c r="T7" s="9">
        <f>T5*0.12</f>
        <v>491.93625600000007</v>
      </c>
      <c r="U7" s="9">
        <f>U5*0.15</f>
        <v>847.30060800000001</v>
      </c>
      <c r="V7" s="9">
        <f>V5*0.18</f>
        <v>1400.8822732799999</v>
      </c>
      <c r="W7" s="9">
        <f>W5*0.19</f>
        <v>2032.7837806079999</v>
      </c>
      <c r="X7" s="9">
        <f>X5*0.2</f>
        <v>2913.0777930240001</v>
      </c>
    </row>
    <row r="8" spans="2:24" x14ac:dyDescent="0.3">
      <c r="B8" s="1" t="s">
        <v>24</v>
      </c>
      <c r="C8" s="6">
        <v>37.6</v>
      </c>
      <c r="G8" s="6">
        <v>48</v>
      </c>
      <c r="L8" s="6">
        <v>117.9</v>
      </c>
      <c r="M8" s="6">
        <v>149.5</v>
      </c>
      <c r="N8" s="6">
        <v>240</v>
      </c>
      <c r="O8" s="6">
        <f>N8*1.5</f>
        <v>360</v>
      </c>
      <c r="P8" s="6">
        <f>O8*1.4</f>
        <v>503.99999999999994</v>
      </c>
      <c r="Q8" s="6">
        <f>P8*1.3</f>
        <v>655.19999999999993</v>
      </c>
      <c r="R8" s="6">
        <f>Q8*1.2</f>
        <v>786.2399999999999</v>
      </c>
      <c r="S8" s="6">
        <f>R8*1.1</f>
        <v>864.86399999999992</v>
      </c>
      <c r="T8" s="6">
        <f>S8*1.05</f>
        <v>908.10719999999992</v>
      </c>
      <c r="U8" s="6">
        <f t="shared" ref="U8:X8" si="2">T8*1.05</f>
        <v>953.51256000000001</v>
      </c>
      <c r="V8" s="6">
        <f t="shared" si="2"/>
        <v>1001.1881880000001</v>
      </c>
      <c r="W8" s="6">
        <f t="shared" si="2"/>
        <v>1051.2475974000001</v>
      </c>
      <c r="X8" s="6">
        <f t="shared" si="2"/>
        <v>1103.8099772700002</v>
      </c>
    </row>
    <row r="9" spans="2:24" x14ac:dyDescent="0.3">
      <c r="B9" s="1" t="s">
        <v>25</v>
      </c>
      <c r="C9" s="6">
        <v>9.6</v>
      </c>
      <c r="G9" s="6">
        <v>12.8</v>
      </c>
      <c r="L9" s="6">
        <v>40.6</v>
      </c>
      <c r="M9" s="6">
        <v>46.8</v>
      </c>
      <c r="N9" s="6">
        <v>58</v>
      </c>
      <c r="O9" s="6">
        <f>N9*1.3</f>
        <v>75.400000000000006</v>
      </c>
      <c r="P9" s="6">
        <f t="shared" ref="P9" si="3">O9*1.2</f>
        <v>90.48</v>
      </c>
      <c r="Q9" s="6">
        <f>P9*1.15</f>
        <v>104.05199999999999</v>
      </c>
      <c r="R9" s="6">
        <f>Q9*1.1</f>
        <v>114.4572</v>
      </c>
      <c r="S9" s="6">
        <f t="shared" ref="S9:X9" si="4">R9*1.1</f>
        <v>125.90292000000001</v>
      </c>
      <c r="T9" s="6">
        <f t="shared" si="4"/>
        <v>138.49321200000003</v>
      </c>
      <c r="U9" s="6">
        <f t="shared" si="4"/>
        <v>152.34253320000005</v>
      </c>
      <c r="V9" s="6">
        <f t="shared" si="4"/>
        <v>167.57678652000007</v>
      </c>
      <c r="W9" s="6">
        <f t="shared" si="4"/>
        <v>184.33446517200008</v>
      </c>
      <c r="X9" s="6">
        <f t="shared" si="4"/>
        <v>202.7679116892001</v>
      </c>
    </row>
    <row r="10" spans="2:24" x14ac:dyDescent="0.3">
      <c r="B10" s="1" t="s">
        <v>26</v>
      </c>
      <c r="C10" s="6">
        <v>0</v>
      </c>
      <c r="G10" s="6">
        <v>0</v>
      </c>
      <c r="L10" s="6">
        <v>0</v>
      </c>
      <c r="M10" s="6">
        <v>1.7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</row>
    <row r="11" spans="2:24" x14ac:dyDescent="0.3">
      <c r="B11" s="1" t="s">
        <v>27</v>
      </c>
      <c r="C11" s="6">
        <f>SUM(C8:C10)</f>
        <v>47.2</v>
      </c>
      <c r="G11" s="6">
        <f>SUM(G8:G10)</f>
        <v>60.8</v>
      </c>
      <c r="L11" s="6">
        <f>SUM(L8:L10)</f>
        <v>158.5</v>
      </c>
      <c r="M11" s="6">
        <f>SUM(M8:M10)</f>
        <v>198</v>
      </c>
      <c r="N11" s="6">
        <f>SUM(N8:N10)</f>
        <v>298</v>
      </c>
      <c r="O11" s="6">
        <f>SUM(O8:O10)</f>
        <v>435.4</v>
      </c>
      <c r="P11" s="6">
        <f t="shared" ref="P11:X11" si="5">SUM(P8:P10)</f>
        <v>594.4799999999999</v>
      </c>
      <c r="Q11" s="6">
        <f t="shared" si="5"/>
        <v>759.25199999999995</v>
      </c>
      <c r="R11" s="6">
        <f t="shared" si="5"/>
        <v>900.69719999999984</v>
      </c>
      <c r="S11" s="6">
        <f t="shared" si="5"/>
        <v>990.76691999999991</v>
      </c>
      <c r="T11" s="6">
        <f t="shared" si="5"/>
        <v>1046.600412</v>
      </c>
      <c r="U11" s="6">
        <f t="shared" si="5"/>
        <v>1105.8550932000001</v>
      </c>
      <c r="V11" s="6">
        <f t="shared" si="5"/>
        <v>1168.7649745200001</v>
      </c>
      <c r="W11" s="6">
        <f t="shared" si="5"/>
        <v>1235.5820625720003</v>
      </c>
      <c r="X11" s="6">
        <f t="shared" si="5"/>
        <v>1306.5778889592002</v>
      </c>
    </row>
    <row r="12" spans="2:24" s="2" customFormat="1" x14ac:dyDescent="0.3">
      <c r="B12" s="2" t="s">
        <v>28</v>
      </c>
      <c r="C12" s="9">
        <f>C7-C11</f>
        <v>-49.1</v>
      </c>
      <c r="G12" s="9">
        <f>G7-G11</f>
        <v>-58.499999999999993</v>
      </c>
      <c r="L12" s="9">
        <f>L7-L11</f>
        <v>-131.9</v>
      </c>
      <c r="M12" s="9">
        <f>M7-M11</f>
        <v>-209.4</v>
      </c>
      <c r="N12" s="9">
        <f>N7-N11</f>
        <v>-286.60000000000002</v>
      </c>
      <c r="O12" s="9">
        <f>O7-O11</f>
        <v>-408.71199999999999</v>
      </c>
      <c r="P12" s="9">
        <f t="shared" ref="P12:X12" si="6">P7-P11</f>
        <v>-540.14879999999994</v>
      </c>
      <c r="Q12" s="9">
        <f t="shared" si="6"/>
        <v>-658.68495999999993</v>
      </c>
      <c r="R12" s="9">
        <f t="shared" si="6"/>
        <v>-726.05515199999991</v>
      </c>
      <c r="S12" s="9">
        <f t="shared" si="6"/>
        <v>-703.47347999999988</v>
      </c>
      <c r="T12" s="9">
        <f t="shared" si="6"/>
        <v>-554.66415599999993</v>
      </c>
      <c r="U12" s="9">
        <f t="shared" si="6"/>
        <v>-258.55448520000004</v>
      </c>
      <c r="V12" s="9">
        <f t="shared" si="6"/>
        <v>232.11729875999981</v>
      </c>
      <c r="W12" s="9">
        <f t="shared" si="6"/>
        <v>797.20171803599965</v>
      </c>
      <c r="X12" s="9">
        <f t="shared" si="6"/>
        <v>1606.4999040647999</v>
      </c>
    </row>
    <row r="13" spans="2:24" x14ac:dyDescent="0.3">
      <c r="B13" s="1" t="s">
        <v>29</v>
      </c>
      <c r="C13" s="6">
        <v>3.8</v>
      </c>
      <c r="G13" s="6">
        <v>5.2</v>
      </c>
      <c r="L13" s="6">
        <v>4</v>
      </c>
      <c r="M13" s="6">
        <v>20.399999999999999</v>
      </c>
      <c r="N13" s="6">
        <v>30</v>
      </c>
      <c r="O13" s="6">
        <f>N13*1.2</f>
        <v>36</v>
      </c>
      <c r="P13" s="6">
        <f t="shared" ref="P13:T13" si="7">O13*1.2</f>
        <v>43.199999999999996</v>
      </c>
      <c r="Q13" s="6">
        <f t="shared" si="7"/>
        <v>51.839999999999996</v>
      </c>
      <c r="R13" s="6">
        <f t="shared" si="7"/>
        <v>62.207999999999991</v>
      </c>
      <c r="S13" s="6">
        <f t="shared" si="7"/>
        <v>74.649599999999992</v>
      </c>
      <c r="T13" s="6">
        <f t="shared" si="7"/>
        <v>89.579519999999988</v>
      </c>
      <c r="U13" s="6">
        <f>T13*1.05</f>
        <v>94.058495999999991</v>
      </c>
      <c r="V13" s="6">
        <f t="shared" ref="V13:X13" si="8">U13*1.05</f>
        <v>98.761420799999996</v>
      </c>
      <c r="W13" s="6">
        <f t="shared" si="8"/>
        <v>103.69949184000001</v>
      </c>
      <c r="X13" s="6">
        <f t="shared" si="8"/>
        <v>108.88446643200001</v>
      </c>
    </row>
    <row r="14" spans="2:24" x14ac:dyDescent="0.3">
      <c r="B14" s="1" t="s">
        <v>30</v>
      </c>
      <c r="C14" s="6">
        <v>-0.1</v>
      </c>
      <c r="G14" s="6">
        <v>-3.6</v>
      </c>
      <c r="L14" s="6">
        <v>-0.4</v>
      </c>
      <c r="M14" s="6">
        <v>1.3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</row>
    <row r="15" spans="2:24" x14ac:dyDescent="0.3">
      <c r="B15" s="1" t="s">
        <v>31</v>
      </c>
      <c r="C15" s="6">
        <f>SUM(C13:C14)</f>
        <v>3.6999999999999997</v>
      </c>
      <c r="G15" s="6">
        <f>SUM(G13:G14)</f>
        <v>1.6</v>
      </c>
      <c r="L15" s="6">
        <f>SUM(L13:L14)</f>
        <v>3.6</v>
      </c>
      <c r="M15" s="6">
        <f>SUM(M13:M14)</f>
        <v>21.7</v>
      </c>
      <c r="N15" s="6">
        <f>SUM(N13:N14)</f>
        <v>31</v>
      </c>
      <c r="O15" s="6">
        <f>SUM(O13:O14)</f>
        <v>36</v>
      </c>
      <c r="P15" s="6">
        <f t="shared" ref="P15:X15" si="9">SUM(P13:P14)</f>
        <v>43.199999999999996</v>
      </c>
      <c r="Q15" s="6">
        <f t="shared" si="9"/>
        <v>51.839999999999996</v>
      </c>
      <c r="R15" s="6">
        <f t="shared" si="9"/>
        <v>62.207999999999991</v>
      </c>
      <c r="S15" s="6">
        <f t="shared" si="9"/>
        <v>74.649599999999992</v>
      </c>
      <c r="T15" s="6">
        <f t="shared" si="9"/>
        <v>89.579519999999988</v>
      </c>
      <c r="U15" s="6">
        <f t="shared" si="9"/>
        <v>94.058495999999991</v>
      </c>
      <c r="V15" s="6">
        <f t="shared" si="9"/>
        <v>98.761420799999996</v>
      </c>
      <c r="W15" s="6">
        <f t="shared" si="9"/>
        <v>103.69949184000001</v>
      </c>
      <c r="X15" s="6">
        <f t="shared" si="9"/>
        <v>108.88446643200001</v>
      </c>
    </row>
    <row r="16" spans="2:24" s="2" customFormat="1" x14ac:dyDescent="0.3">
      <c r="B16" s="2" t="s">
        <v>32</v>
      </c>
      <c r="C16" s="9">
        <f>C12-C15</f>
        <v>-52.800000000000004</v>
      </c>
      <c r="G16" s="9">
        <f>G12-G15</f>
        <v>-60.099999999999994</v>
      </c>
      <c r="L16" s="9">
        <f>L12-L15</f>
        <v>-135.5</v>
      </c>
      <c r="M16" s="9">
        <f>M12-M15</f>
        <v>-231.1</v>
      </c>
      <c r="N16" s="9">
        <f>N12-N15</f>
        <v>-317.60000000000002</v>
      </c>
      <c r="O16" s="9">
        <f>O12-O15</f>
        <v>-444.71199999999999</v>
      </c>
      <c r="P16" s="9">
        <f t="shared" ref="P16:X16" si="10">P12-P15</f>
        <v>-583.34879999999998</v>
      </c>
      <c r="Q16" s="9">
        <f t="shared" si="10"/>
        <v>-710.52495999999996</v>
      </c>
      <c r="R16" s="9">
        <f t="shared" si="10"/>
        <v>-788.26315199999988</v>
      </c>
      <c r="S16" s="9">
        <f t="shared" si="10"/>
        <v>-778.12307999999985</v>
      </c>
      <c r="T16" s="9">
        <f t="shared" si="10"/>
        <v>-644.24367599999994</v>
      </c>
      <c r="U16" s="9">
        <f t="shared" si="10"/>
        <v>-352.61298120000004</v>
      </c>
      <c r="V16" s="9">
        <f t="shared" si="10"/>
        <v>133.35587795999982</v>
      </c>
      <c r="W16" s="9">
        <f t="shared" si="10"/>
        <v>693.50222619599958</v>
      </c>
      <c r="X16" s="9">
        <f t="shared" si="10"/>
        <v>1497.6154376328</v>
      </c>
    </row>
    <row r="17" spans="2:137" x14ac:dyDescent="0.3">
      <c r="B17" s="1" t="s">
        <v>33</v>
      </c>
      <c r="C17" s="6">
        <v>0</v>
      </c>
      <c r="G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</row>
    <row r="18" spans="2:137" x14ac:dyDescent="0.3">
      <c r="B18" s="1" t="s">
        <v>34</v>
      </c>
      <c r="C18" s="6">
        <v>5.2</v>
      </c>
      <c r="G18" s="6">
        <f>5.6+6.6</f>
        <v>12.2</v>
      </c>
      <c r="L18" s="6">
        <v>20.8</v>
      </c>
      <c r="M18" s="6">
        <f>21.2+13.5</f>
        <v>34.700000000000003</v>
      </c>
      <c r="N18" s="6">
        <v>50</v>
      </c>
      <c r="O18" s="6">
        <f>N18*1.1</f>
        <v>55.000000000000007</v>
      </c>
      <c r="P18" s="6">
        <f t="shared" ref="P18:R18" si="11">O18*1.1</f>
        <v>60.500000000000014</v>
      </c>
      <c r="Q18" s="6">
        <f t="shared" si="11"/>
        <v>66.550000000000026</v>
      </c>
      <c r="R18" s="6">
        <f t="shared" si="11"/>
        <v>73.205000000000041</v>
      </c>
      <c r="S18" s="6">
        <f>R18*1.05</f>
        <v>76.865250000000046</v>
      </c>
      <c r="T18" s="6">
        <f t="shared" ref="T18:X18" si="12">S18*1.05</f>
        <v>80.708512500000055</v>
      </c>
      <c r="U18" s="6">
        <f t="shared" si="12"/>
        <v>84.743938125000057</v>
      </c>
      <c r="V18" s="6">
        <f t="shared" si="12"/>
        <v>88.981135031250062</v>
      </c>
      <c r="W18" s="6">
        <f t="shared" si="12"/>
        <v>93.430191782812571</v>
      </c>
      <c r="X18" s="6">
        <f t="shared" si="12"/>
        <v>98.101701371953197</v>
      </c>
    </row>
    <row r="19" spans="2:137" s="2" customFormat="1" x14ac:dyDescent="0.3">
      <c r="B19" s="2" t="s">
        <v>35</v>
      </c>
      <c r="C19" s="9">
        <f>C16-C17-C18</f>
        <v>-58.000000000000007</v>
      </c>
      <c r="G19" s="9">
        <f>G16-G17-G18</f>
        <v>-72.3</v>
      </c>
      <c r="L19" s="9">
        <f>L16-L17-L18</f>
        <v>-156.30000000000001</v>
      </c>
      <c r="M19" s="9">
        <f>M16-M17-M18</f>
        <v>-265.8</v>
      </c>
      <c r="N19" s="9">
        <f>N16-N17-N18</f>
        <v>-367.6</v>
      </c>
      <c r="O19" s="9">
        <f>O16-O17-O18</f>
        <v>-499.71199999999999</v>
      </c>
      <c r="P19" s="9">
        <f t="shared" ref="P19:X19" si="13">P16-P17-P18</f>
        <v>-643.84879999999998</v>
      </c>
      <c r="Q19" s="9">
        <f t="shared" si="13"/>
        <v>-777.07496000000003</v>
      </c>
      <c r="R19" s="9">
        <f t="shared" si="13"/>
        <v>-861.46815199999992</v>
      </c>
      <c r="S19" s="9">
        <f t="shared" si="13"/>
        <v>-854.98832999999991</v>
      </c>
      <c r="T19" s="9">
        <f t="shared" si="13"/>
        <v>-724.95218850000003</v>
      </c>
      <c r="U19" s="9">
        <f t="shared" si="13"/>
        <v>-437.35691932500009</v>
      </c>
      <c r="V19" s="9">
        <f t="shared" si="13"/>
        <v>44.374742928749754</v>
      </c>
      <c r="W19" s="9">
        <f t="shared" si="13"/>
        <v>600.072034413187</v>
      </c>
      <c r="X19" s="9">
        <f t="shared" si="13"/>
        <v>1399.5137362608468</v>
      </c>
      <c r="Y19" s="2">
        <f>X19*(1+$AA$24)</f>
        <v>1385.5185988982385</v>
      </c>
      <c r="Z19" s="2">
        <f t="shared" ref="Z19:CK19" si="14">Y19*(1+$AA$24)</f>
        <v>1371.6634129092561</v>
      </c>
      <c r="AA19" s="2">
        <f t="shared" si="14"/>
        <v>1357.9467787801634</v>
      </c>
      <c r="AB19" s="2">
        <f t="shared" si="14"/>
        <v>1344.3673109923618</v>
      </c>
      <c r="AC19" s="2">
        <f t="shared" si="14"/>
        <v>1330.9236378824382</v>
      </c>
      <c r="AD19" s="2">
        <f t="shared" si="14"/>
        <v>1317.6144015036139</v>
      </c>
      <c r="AE19" s="2">
        <f t="shared" si="14"/>
        <v>1304.4382574885776</v>
      </c>
      <c r="AF19" s="2">
        <f t="shared" si="14"/>
        <v>1291.3938749136919</v>
      </c>
      <c r="AG19" s="2">
        <f t="shared" si="14"/>
        <v>1278.4799361645551</v>
      </c>
      <c r="AH19" s="2">
        <f t="shared" si="14"/>
        <v>1265.6951368029095</v>
      </c>
      <c r="AI19" s="2">
        <f t="shared" si="14"/>
        <v>1253.0381854348805</v>
      </c>
      <c r="AJ19" s="2">
        <f t="shared" si="14"/>
        <v>1240.5078035805316</v>
      </c>
      <c r="AK19" s="2">
        <f t="shared" si="14"/>
        <v>1228.1027255447264</v>
      </c>
      <c r="AL19" s="2">
        <f t="shared" si="14"/>
        <v>1215.8216982892791</v>
      </c>
      <c r="AM19" s="2">
        <f t="shared" si="14"/>
        <v>1203.6634813063863</v>
      </c>
      <c r="AN19" s="2">
        <f t="shared" si="14"/>
        <v>1191.6268464933223</v>
      </c>
      <c r="AO19" s="2">
        <f t="shared" si="14"/>
        <v>1179.7105780283891</v>
      </c>
      <c r="AP19" s="2">
        <f t="shared" si="14"/>
        <v>1167.9134722481053</v>
      </c>
      <c r="AQ19" s="2">
        <f t="shared" si="14"/>
        <v>1156.2343375256244</v>
      </c>
      <c r="AR19" s="2">
        <f t="shared" si="14"/>
        <v>1144.6719941503682</v>
      </c>
      <c r="AS19" s="2">
        <f t="shared" si="14"/>
        <v>1133.2252742088644</v>
      </c>
      <c r="AT19" s="2">
        <f t="shared" si="14"/>
        <v>1121.8930214667757</v>
      </c>
      <c r="AU19" s="2">
        <f t="shared" si="14"/>
        <v>1110.6740912521079</v>
      </c>
      <c r="AV19" s="2">
        <f t="shared" si="14"/>
        <v>1099.5673503395869</v>
      </c>
      <c r="AW19" s="2">
        <f t="shared" si="14"/>
        <v>1088.571676836191</v>
      </c>
      <c r="AX19" s="2">
        <f t="shared" si="14"/>
        <v>1077.6859600678292</v>
      </c>
      <c r="AY19" s="2">
        <f t="shared" si="14"/>
        <v>1066.9091004671509</v>
      </c>
      <c r="AZ19" s="2">
        <f t="shared" si="14"/>
        <v>1056.2400094624793</v>
      </c>
      <c r="BA19" s="2">
        <f t="shared" si="14"/>
        <v>1045.6776093678545</v>
      </c>
      <c r="BB19" s="2">
        <f t="shared" si="14"/>
        <v>1035.2208332741759</v>
      </c>
      <c r="BC19" s="2">
        <f t="shared" si="14"/>
        <v>1024.8686249414341</v>
      </c>
      <c r="BD19" s="2">
        <f t="shared" si="14"/>
        <v>1014.6199386920197</v>
      </c>
      <c r="BE19" s="2">
        <f t="shared" si="14"/>
        <v>1004.4737393050995</v>
      </c>
      <c r="BF19" s="2">
        <f t="shared" si="14"/>
        <v>994.42900191204842</v>
      </c>
      <c r="BG19" s="2">
        <f t="shared" si="14"/>
        <v>984.48471189292798</v>
      </c>
      <c r="BH19" s="2">
        <f t="shared" si="14"/>
        <v>974.63986477399874</v>
      </c>
      <c r="BI19" s="2">
        <f t="shared" si="14"/>
        <v>964.89346612625877</v>
      </c>
      <c r="BJ19" s="2">
        <f t="shared" si="14"/>
        <v>955.24453146499616</v>
      </c>
      <c r="BK19" s="2">
        <f t="shared" si="14"/>
        <v>945.6920861503462</v>
      </c>
      <c r="BL19" s="2">
        <f t="shared" si="14"/>
        <v>936.23516528884272</v>
      </c>
      <c r="BM19" s="2">
        <f t="shared" si="14"/>
        <v>926.87281363595423</v>
      </c>
      <c r="BN19" s="2">
        <f t="shared" si="14"/>
        <v>917.6040854995947</v>
      </c>
      <c r="BO19" s="2">
        <f t="shared" si="14"/>
        <v>908.4280446445988</v>
      </c>
      <c r="BP19" s="2">
        <f t="shared" si="14"/>
        <v>899.34376419815283</v>
      </c>
      <c r="BQ19" s="2">
        <f t="shared" si="14"/>
        <v>890.35032655617124</v>
      </c>
      <c r="BR19" s="2">
        <f t="shared" si="14"/>
        <v>881.44682329060947</v>
      </c>
      <c r="BS19" s="2">
        <f t="shared" si="14"/>
        <v>872.63235505770342</v>
      </c>
      <c r="BT19" s="2">
        <f t="shared" si="14"/>
        <v>863.90603150712639</v>
      </c>
      <c r="BU19" s="2">
        <f t="shared" si="14"/>
        <v>855.26697119205517</v>
      </c>
      <c r="BV19" s="2">
        <f t="shared" si="14"/>
        <v>846.71430148013462</v>
      </c>
      <c r="BW19" s="2">
        <f t="shared" si="14"/>
        <v>838.24715846533331</v>
      </c>
      <c r="BX19" s="2">
        <f t="shared" si="14"/>
        <v>829.86468688067998</v>
      </c>
      <c r="BY19" s="2">
        <f t="shared" si="14"/>
        <v>821.56604001187316</v>
      </c>
      <c r="BZ19" s="2">
        <f t="shared" si="14"/>
        <v>813.35037961175442</v>
      </c>
      <c r="CA19" s="2">
        <f t="shared" si="14"/>
        <v>805.21687581563685</v>
      </c>
      <c r="CB19" s="2">
        <f t="shared" si="14"/>
        <v>797.16470705748043</v>
      </c>
      <c r="CC19" s="2">
        <f t="shared" si="14"/>
        <v>789.19305998690561</v>
      </c>
      <c r="CD19" s="2">
        <f t="shared" si="14"/>
        <v>781.30112938703655</v>
      </c>
      <c r="CE19" s="2">
        <f t="shared" si="14"/>
        <v>773.48811809316624</v>
      </c>
      <c r="CF19" s="2">
        <f t="shared" si="14"/>
        <v>765.75323691223457</v>
      </c>
      <c r="CG19" s="2">
        <f t="shared" si="14"/>
        <v>758.09570454311222</v>
      </c>
      <c r="CH19" s="2">
        <f t="shared" si="14"/>
        <v>750.51474749768113</v>
      </c>
      <c r="CI19" s="2">
        <f t="shared" si="14"/>
        <v>743.00960002270426</v>
      </c>
      <c r="CJ19" s="2">
        <f t="shared" si="14"/>
        <v>735.57950402247718</v>
      </c>
      <c r="CK19" s="2">
        <f t="shared" si="14"/>
        <v>728.22370898225245</v>
      </c>
      <c r="CL19" s="2">
        <f t="shared" ref="CL19:EG19" si="15">CK19*(1+$AA$24)</f>
        <v>720.94147189242995</v>
      </c>
      <c r="CM19" s="2">
        <f t="shared" si="15"/>
        <v>713.73205717350561</v>
      </c>
      <c r="CN19" s="2">
        <f t="shared" si="15"/>
        <v>706.59473660177059</v>
      </c>
      <c r="CO19" s="2">
        <f t="shared" si="15"/>
        <v>699.52878923575292</v>
      </c>
      <c r="CP19" s="2">
        <f t="shared" si="15"/>
        <v>692.53350134339541</v>
      </c>
      <c r="CQ19" s="2">
        <f t="shared" si="15"/>
        <v>685.60816632996148</v>
      </c>
      <c r="CR19" s="2">
        <f t="shared" si="15"/>
        <v>678.75208466666186</v>
      </c>
      <c r="CS19" s="2">
        <f t="shared" si="15"/>
        <v>671.96456381999519</v>
      </c>
      <c r="CT19" s="2">
        <f t="shared" si="15"/>
        <v>665.24491818179524</v>
      </c>
      <c r="CU19" s="2">
        <f t="shared" si="15"/>
        <v>658.59246899997731</v>
      </c>
      <c r="CV19" s="2">
        <f t="shared" si="15"/>
        <v>652.00654430997758</v>
      </c>
      <c r="CW19" s="2">
        <f t="shared" si="15"/>
        <v>645.48647886687775</v>
      </c>
      <c r="CX19" s="2">
        <f t="shared" si="15"/>
        <v>639.03161407820892</v>
      </c>
      <c r="CY19" s="2">
        <f t="shared" si="15"/>
        <v>632.64129793742677</v>
      </c>
      <c r="CZ19" s="2">
        <f t="shared" si="15"/>
        <v>626.31488495805252</v>
      </c>
      <c r="DA19" s="2">
        <f t="shared" si="15"/>
        <v>620.05173610847203</v>
      </c>
      <c r="DB19" s="2">
        <f t="shared" si="15"/>
        <v>613.85121874738729</v>
      </c>
      <c r="DC19" s="2">
        <f t="shared" si="15"/>
        <v>607.71270655991339</v>
      </c>
      <c r="DD19" s="2">
        <f t="shared" si="15"/>
        <v>601.63557949431424</v>
      </c>
      <c r="DE19" s="2">
        <f t="shared" si="15"/>
        <v>595.6192236993711</v>
      </c>
      <c r="DF19" s="2">
        <f t="shared" si="15"/>
        <v>589.66303146237738</v>
      </c>
      <c r="DG19" s="2">
        <f t="shared" si="15"/>
        <v>583.76640114775364</v>
      </c>
      <c r="DH19" s="2">
        <f t="shared" si="15"/>
        <v>577.92873713627614</v>
      </c>
      <c r="DI19" s="2">
        <f t="shared" si="15"/>
        <v>572.14944976491336</v>
      </c>
      <c r="DJ19" s="2">
        <f t="shared" si="15"/>
        <v>566.42795526726422</v>
      </c>
      <c r="DK19" s="2">
        <f t="shared" si="15"/>
        <v>560.76367571459161</v>
      </c>
      <c r="DL19" s="2">
        <f t="shared" si="15"/>
        <v>555.15603895744573</v>
      </c>
      <c r="DM19" s="2">
        <f t="shared" si="15"/>
        <v>549.6044785678713</v>
      </c>
      <c r="DN19" s="2">
        <f t="shared" si="15"/>
        <v>544.10843378219261</v>
      </c>
      <c r="DO19" s="2">
        <f t="shared" si="15"/>
        <v>538.66734944437064</v>
      </c>
      <c r="DP19" s="2">
        <f t="shared" si="15"/>
        <v>533.28067594992694</v>
      </c>
      <c r="DQ19" s="2">
        <f t="shared" si="15"/>
        <v>527.9478691904277</v>
      </c>
      <c r="DR19" s="2">
        <f t="shared" si="15"/>
        <v>522.66839049852342</v>
      </c>
      <c r="DS19" s="2">
        <f t="shared" si="15"/>
        <v>517.44170659353813</v>
      </c>
      <c r="DT19" s="2">
        <f t="shared" si="15"/>
        <v>512.26728952760277</v>
      </c>
      <c r="DU19" s="2">
        <f t="shared" si="15"/>
        <v>507.14461663232674</v>
      </c>
      <c r="DV19" s="2">
        <f t="shared" si="15"/>
        <v>502.07317046600349</v>
      </c>
      <c r="DW19" s="2">
        <f t="shared" si="15"/>
        <v>497.05243876134347</v>
      </c>
      <c r="DX19" s="2">
        <f t="shared" si="15"/>
        <v>492.08191437373</v>
      </c>
      <c r="DY19" s="2">
        <f t="shared" si="15"/>
        <v>487.16109522999272</v>
      </c>
      <c r="DZ19" s="2">
        <f t="shared" si="15"/>
        <v>482.28948427769279</v>
      </c>
      <c r="EA19" s="2">
        <f t="shared" si="15"/>
        <v>477.46658943491587</v>
      </c>
      <c r="EB19" s="2">
        <f t="shared" si="15"/>
        <v>472.69192354056673</v>
      </c>
      <c r="EC19" s="2">
        <f t="shared" si="15"/>
        <v>467.96500430516107</v>
      </c>
      <c r="ED19" s="2">
        <f t="shared" si="15"/>
        <v>463.28535426210948</v>
      </c>
      <c r="EE19" s="2">
        <f t="shared" si="15"/>
        <v>458.65250071948839</v>
      </c>
      <c r="EF19" s="2">
        <f t="shared" si="15"/>
        <v>454.06597571229349</v>
      </c>
      <c r="EG19" s="2">
        <f t="shared" si="15"/>
        <v>449.52531595517053</v>
      </c>
    </row>
    <row r="20" spans="2:137" x14ac:dyDescent="0.3">
      <c r="B20" s="1" t="s">
        <v>2</v>
      </c>
      <c r="C20" s="6">
        <v>43.7</v>
      </c>
      <c r="G20" s="6">
        <v>43.7</v>
      </c>
      <c r="L20" s="6">
        <v>43.7</v>
      </c>
      <c r="M20" s="6">
        <v>43.7</v>
      </c>
      <c r="N20" s="6">
        <v>145</v>
      </c>
      <c r="O20" s="6">
        <v>145</v>
      </c>
      <c r="P20" s="6">
        <v>145</v>
      </c>
      <c r="Q20" s="6">
        <v>145</v>
      </c>
      <c r="R20" s="6">
        <v>145</v>
      </c>
      <c r="S20" s="6">
        <v>145</v>
      </c>
      <c r="T20" s="6">
        <v>145</v>
      </c>
      <c r="U20" s="6">
        <v>145</v>
      </c>
      <c r="V20" s="6">
        <v>145</v>
      </c>
      <c r="W20" s="6">
        <v>145</v>
      </c>
      <c r="X20" s="6">
        <v>145</v>
      </c>
    </row>
    <row r="21" spans="2:137" x14ac:dyDescent="0.3">
      <c r="B21" s="1" t="s">
        <v>36</v>
      </c>
      <c r="C21" s="8">
        <f>C19/C20</f>
        <v>-1.3272311212814647</v>
      </c>
      <c r="G21" s="8">
        <f>G19/G20</f>
        <v>-1.654462242562929</v>
      </c>
      <c r="L21" s="8">
        <f>L19/L20</f>
        <v>-3.5766590389016018</v>
      </c>
      <c r="M21" s="8">
        <f>M19/M20</f>
        <v>-6.082379862700229</v>
      </c>
      <c r="N21" s="8">
        <f>N19/N20</f>
        <v>-2.5351724137931035</v>
      </c>
      <c r="O21" s="8">
        <f>O19/O20</f>
        <v>-3.4462896551724138</v>
      </c>
      <c r="P21" s="8">
        <f t="shared" ref="P21:X21" si="16">P19/P20</f>
        <v>-4.4403365517241378</v>
      </c>
      <c r="Q21" s="8">
        <f t="shared" si="16"/>
        <v>-5.3591376551724137</v>
      </c>
      <c r="R21" s="8">
        <f t="shared" si="16"/>
        <v>-5.9411596689655166</v>
      </c>
      <c r="S21" s="8">
        <f t="shared" si="16"/>
        <v>-5.8964712413793094</v>
      </c>
      <c r="T21" s="8">
        <f t="shared" si="16"/>
        <v>-4.999670265517242</v>
      </c>
      <c r="U21" s="8">
        <f t="shared" si="16"/>
        <v>-3.0162546160344834</v>
      </c>
      <c r="V21" s="8">
        <f t="shared" si="16"/>
        <v>0.30603270985344661</v>
      </c>
      <c r="W21" s="8">
        <f t="shared" si="16"/>
        <v>4.1384278235392209</v>
      </c>
      <c r="X21" s="8">
        <f t="shared" si="16"/>
        <v>9.6518188707644601</v>
      </c>
    </row>
    <row r="23" spans="2:137" x14ac:dyDescent="0.3">
      <c r="B23" s="1" t="s">
        <v>40</v>
      </c>
      <c r="C23" s="10"/>
      <c r="G23" s="10">
        <f>G3/C3-1</f>
        <v>3</v>
      </c>
      <c r="L23" s="10"/>
      <c r="M23" s="10">
        <f>M3/L3-1</f>
        <v>-0.31515151515151507</v>
      </c>
      <c r="N23" s="10">
        <f>N3/M3-1</f>
        <v>0.23893805309734506</v>
      </c>
      <c r="O23" s="10">
        <f t="shared" ref="O23:X25" si="17">O3/N3-1</f>
        <v>0.60000000000000009</v>
      </c>
      <c r="P23" s="10">
        <f t="shared" si="17"/>
        <v>0.70000000000000018</v>
      </c>
      <c r="Q23" s="10">
        <f t="shared" si="17"/>
        <v>0.8</v>
      </c>
      <c r="R23" s="10">
        <f t="shared" si="17"/>
        <v>0.90000000000000013</v>
      </c>
      <c r="S23" s="10">
        <f t="shared" si="17"/>
        <v>1</v>
      </c>
      <c r="T23" s="10">
        <f t="shared" si="17"/>
        <v>1</v>
      </c>
      <c r="U23" s="10">
        <f t="shared" si="17"/>
        <v>0.89999999999999991</v>
      </c>
      <c r="V23" s="10">
        <f t="shared" si="17"/>
        <v>0.8</v>
      </c>
      <c r="W23" s="10">
        <f t="shared" si="17"/>
        <v>0.7</v>
      </c>
      <c r="X23" s="10">
        <f t="shared" si="17"/>
        <v>0.60000000000000009</v>
      </c>
    </row>
    <row r="24" spans="2:137" x14ac:dyDescent="0.3">
      <c r="B24" s="1" t="s">
        <v>41</v>
      </c>
      <c r="C24" s="10"/>
      <c r="G24" s="10">
        <f t="shared" ref="G24:G25" si="18">G4/C4-1</f>
        <v>6.2428571428571429</v>
      </c>
      <c r="L24" s="10"/>
      <c r="M24" s="10">
        <f t="shared" ref="M24:N25" si="19">M4/L4-1</f>
        <v>0.72072072072072091</v>
      </c>
      <c r="N24" s="10">
        <f t="shared" si="19"/>
        <v>4.2356020942408374</v>
      </c>
      <c r="O24" s="10">
        <f t="shared" si="17"/>
        <v>1</v>
      </c>
      <c r="P24" s="10">
        <f t="shared" si="17"/>
        <v>0.75</v>
      </c>
      <c r="Q24" s="10">
        <f t="shared" si="17"/>
        <v>0.60000000000000009</v>
      </c>
      <c r="R24" s="10">
        <f t="shared" si="17"/>
        <v>0.5</v>
      </c>
      <c r="S24" s="10">
        <f t="shared" si="17"/>
        <v>0.39999999999999991</v>
      </c>
      <c r="T24" s="10">
        <f t="shared" si="17"/>
        <v>0.30000000000000004</v>
      </c>
      <c r="U24" s="10">
        <f t="shared" si="17"/>
        <v>0.19999999999999996</v>
      </c>
      <c r="V24" s="10">
        <f t="shared" si="17"/>
        <v>0.14999999999999991</v>
      </c>
      <c r="W24" s="10">
        <f t="shared" si="17"/>
        <v>0.10000000000000009</v>
      </c>
      <c r="X24" s="10">
        <f t="shared" si="17"/>
        <v>5.0000000000000044E-2</v>
      </c>
      <c r="Z24" s="1" t="s">
        <v>47</v>
      </c>
      <c r="AA24" s="10">
        <v>-0.01</v>
      </c>
    </row>
    <row r="25" spans="2:137" x14ac:dyDescent="0.3">
      <c r="B25" s="1" t="s">
        <v>39</v>
      </c>
      <c r="C25" s="10"/>
      <c r="G25" s="10">
        <f t="shared" si="18"/>
        <v>5.7349397590361448</v>
      </c>
      <c r="L25" s="10"/>
      <c r="M25" s="10">
        <f t="shared" si="19"/>
        <v>0.10144927536231885</v>
      </c>
      <c r="N25" s="10">
        <f t="shared" si="19"/>
        <v>2.7499999999999996</v>
      </c>
      <c r="O25" s="10">
        <f t="shared" si="17"/>
        <v>0.95087719298245621</v>
      </c>
      <c r="P25" s="10">
        <f t="shared" si="17"/>
        <v>0.74496402877697832</v>
      </c>
      <c r="Q25" s="10">
        <f t="shared" si="17"/>
        <v>0.61962481962481974</v>
      </c>
      <c r="R25" s="10">
        <f t="shared" si="17"/>
        <v>0.54362081254454742</v>
      </c>
      <c r="S25" s="10">
        <f t="shared" si="17"/>
        <v>0.48053747056378993</v>
      </c>
      <c r="T25" s="10">
        <f t="shared" si="17"/>
        <v>0.4269273952095809</v>
      </c>
      <c r="U25" s="10">
        <f t="shared" si="17"/>
        <v>0.37790308832207709</v>
      </c>
      <c r="V25" s="10">
        <f t="shared" si="17"/>
        <v>0.37778951576062125</v>
      </c>
      <c r="W25" s="10">
        <f t="shared" si="17"/>
        <v>0.37470164146411711</v>
      </c>
      <c r="X25" s="10">
        <f t="shared" si="17"/>
        <v>0.36139609621691848</v>
      </c>
      <c r="Z25" s="1" t="s">
        <v>48</v>
      </c>
      <c r="AA25" s="10">
        <v>0.09</v>
      </c>
    </row>
    <row r="26" spans="2:137" x14ac:dyDescent="0.3">
      <c r="B26" s="1" t="s">
        <v>42</v>
      </c>
      <c r="C26" s="10">
        <f>C7/C5</f>
        <v>-0.22891566265060223</v>
      </c>
      <c r="G26" s="10">
        <f>G7/G5</f>
        <v>4.1144901610017964E-2</v>
      </c>
      <c r="L26" s="10">
        <f>L7/L5</f>
        <v>0.48188405797101447</v>
      </c>
      <c r="M26" s="10">
        <f>M7/M5</f>
        <v>-0.18749999999999997</v>
      </c>
      <c r="N26" s="10">
        <f>N7/N5</f>
        <v>0.05</v>
      </c>
      <c r="O26" s="10">
        <f t="shared" ref="O26:X26" si="20">O7/O5</f>
        <v>0.06</v>
      </c>
      <c r="P26" s="10">
        <f t="shared" si="20"/>
        <v>7.0000000000000007E-2</v>
      </c>
      <c r="Q26" s="10">
        <f t="shared" si="20"/>
        <v>0.08</v>
      </c>
      <c r="R26" s="10">
        <f t="shared" si="20"/>
        <v>0.09</v>
      </c>
      <c r="S26" s="10">
        <f t="shared" si="20"/>
        <v>0.1</v>
      </c>
      <c r="T26" s="10">
        <f t="shared" si="20"/>
        <v>0.12</v>
      </c>
      <c r="U26" s="10">
        <f t="shared" si="20"/>
        <v>0.15</v>
      </c>
      <c r="V26" s="10">
        <f t="shared" si="20"/>
        <v>0.18</v>
      </c>
      <c r="W26" s="10">
        <f t="shared" si="20"/>
        <v>0.19</v>
      </c>
      <c r="X26" s="10">
        <f t="shared" si="20"/>
        <v>0.2</v>
      </c>
      <c r="Z26" s="1" t="s">
        <v>49</v>
      </c>
      <c r="AA26" s="6">
        <f>NPV(AA25,N19:EG19)</f>
        <v>2694.224441696098</v>
      </c>
    </row>
    <row r="27" spans="2:137" x14ac:dyDescent="0.3">
      <c r="B27" s="1" t="s">
        <v>43</v>
      </c>
      <c r="C27" s="10"/>
      <c r="G27" s="10">
        <f>G8/C8-1</f>
        <v>0.27659574468085091</v>
      </c>
      <c r="L27" s="10"/>
      <c r="M27" s="10">
        <f>M8/L8-1</f>
        <v>0.26802374893977943</v>
      </c>
      <c r="N27" s="10">
        <f>N8/M8-1</f>
        <v>0.60535117056856191</v>
      </c>
      <c r="O27" s="10">
        <f t="shared" ref="O27:X27" si="21">O8/N8-1</f>
        <v>0.5</v>
      </c>
      <c r="P27" s="10">
        <f t="shared" si="21"/>
        <v>0.39999999999999991</v>
      </c>
      <c r="Q27" s="10">
        <f t="shared" si="21"/>
        <v>0.30000000000000004</v>
      </c>
      <c r="R27" s="10">
        <f t="shared" si="21"/>
        <v>0.19999999999999996</v>
      </c>
      <c r="S27" s="10">
        <f t="shared" si="21"/>
        <v>0.10000000000000009</v>
      </c>
      <c r="T27" s="10">
        <f t="shared" si="21"/>
        <v>5.0000000000000044E-2</v>
      </c>
      <c r="U27" s="10">
        <f t="shared" si="21"/>
        <v>5.0000000000000044E-2</v>
      </c>
      <c r="V27" s="10">
        <f t="shared" si="21"/>
        <v>5.0000000000000044E-2</v>
      </c>
      <c r="W27" s="10">
        <f t="shared" si="21"/>
        <v>5.0000000000000044E-2</v>
      </c>
      <c r="X27" s="10">
        <f t="shared" si="21"/>
        <v>5.0000000000000044E-2</v>
      </c>
      <c r="Z27" s="1" t="s">
        <v>51</v>
      </c>
      <c r="AA27" s="6">
        <f>Main!D8</f>
        <v>29.300000000000011</v>
      </c>
    </row>
    <row r="28" spans="2:137" x14ac:dyDescent="0.3">
      <c r="B28" s="1" t="s">
        <v>44</v>
      </c>
      <c r="C28" s="10"/>
      <c r="G28" s="10">
        <f>G9/C9-1</f>
        <v>0.33333333333333348</v>
      </c>
      <c r="L28" s="10"/>
      <c r="M28" s="10">
        <f>M9/L9-1</f>
        <v>0.15270935960591125</v>
      </c>
      <c r="N28" s="10">
        <f>N9/M9-1</f>
        <v>0.23931623931623935</v>
      </c>
      <c r="O28" s="10">
        <f t="shared" ref="O28:X28" si="22">O9/N9-1</f>
        <v>0.30000000000000004</v>
      </c>
      <c r="P28" s="10">
        <f t="shared" si="22"/>
        <v>0.19999999999999996</v>
      </c>
      <c r="Q28" s="10">
        <f t="shared" si="22"/>
        <v>0.14999999999999991</v>
      </c>
      <c r="R28" s="10">
        <f t="shared" si="22"/>
        <v>0.10000000000000009</v>
      </c>
      <c r="S28" s="10">
        <f t="shared" si="22"/>
        <v>0.10000000000000009</v>
      </c>
      <c r="T28" s="10">
        <f t="shared" si="22"/>
        <v>0.10000000000000009</v>
      </c>
      <c r="U28" s="10">
        <f t="shared" si="22"/>
        <v>0.10000000000000009</v>
      </c>
      <c r="V28" s="10">
        <f t="shared" si="22"/>
        <v>0.10000000000000009</v>
      </c>
      <c r="W28" s="10">
        <f t="shared" si="22"/>
        <v>0.10000000000000009</v>
      </c>
      <c r="X28" s="10">
        <f t="shared" si="22"/>
        <v>0.10000000000000009</v>
      </c>
      <c r="Z28" s="1" t="s">
        <v>50</v>
      </c>
      <c r="AA28" s="6">
        <f>AA26+AA27</f>
        <v>2723.5244416960982</v>
      </c>
    </row>
    <row r="29" spans="2:137" x14ac:dyDescent="0.3">
      <c r="B29" s="1" t="s">
        <v>45</v>
      </c>
      <c r="C29" s="10">
        <f>C12/C5</f>
        <v>-5.9156626506024095</v>
      </c>
      <c r="G29" s="10">
        <f>G12/G5</f>
        <v>-1.0465116279069766</v>
      </c>
      <c r="L29" s="10">
        <f>L12/L5</f>
        <v>-2.3894927536231885</v>
      </c>
      <c r="M29" s="10">
        <f>M12/M5</f>
        <v>-3.4440789473684208</v>
      </c>
      <c r="N29" s="10">
        <f>N12/N5</f>
        <v>-1.2570175438596491</v>
      </c>
      <c r="O29" s="10">
        <f t="shared" ref="O29:X29" si="23">O12/O5</f>
        <v>-0.91886690647482006</v>
      </c>
      <c r="P29" s="10">
        <f t="shared" si="23"/>
        <v>-0.69592455163883726</v>
      </c>
      <c r="Q29" s="10">
        <f t="shared" si="23"/>
        <v>-0.52397680989715911</v>
      </c>
      <c r="R29" s="10">
        <f t="shared" si="23"/>
        <v>-0.37416512476995223</v>
      </c>
      <c r="S29" s="10">
        <f t="shared" si="23"/>
        <v>-0.24486235397508549</v>
      </c>
      <c r="T29" s="10">
        <f t="shared" si="23"/>
        <v>-0.13530147027829553</v>
      </c>
      <c r="U29" s="10">
        <f t="shared" si="23"/>
        <v>-4.5772624749491515E-2</v>
      </c>
      <c r="V29" s="10">
        <f t="shared" si="23"/>
        <v>2.9824857215856142E-2</v>
      </c>
      <c r="W29" s="10">
        <f t="shared" si="23"/>
        <v>7.451275825387399E-2</v>
      </c>
      <c r="X29" s="10">
        <f t="shared" si="23"/>
        <v>0.11029570908898582</v>
      </c>
      <c r="Z29" s="1" t="s">
        <v>52</v>
      </c>
      <c r="AA29" s="5">
        <f>AA28/X20</f>
        <v>18.782927184111021</v>
      </c>
    </row>
    <row r="30" spans="2:137" x14ac:dyDescent="0.3">
      <c r="B30" s="1" t="s">
        <v>33</v>
      </c>
      <c r="C30" s="10">
        <f>C17/C16</f>
        <v>0</v>
      </c>
      <c r="G30" s="10">
        <f>G17/G16</f>
        <v>0</v>
      </c>
      <c r="L30" s="10">
        <f>L17/L16</f>
        <v>0</v>
      </c>
      <c r="M30" s="10">
        <f>M17/M16</f>
        <v>0</v>
      </c>
      <c r="N30" s="10">
        <f>N17/N16</f>
        <v>0</v>
      </c>
      <c r="O30" s="10">
        <f t="shared" ref="O30:X30" si="24">O17/O16</f>
        <v>0</v>
      </c>
      <c r="P30" s="10">
        <f t="shared" si="24"/>
        <v>0</v>
      </c>
      <c r="Q30" s="10">
        <f t="shared" si="24"/>
        <v>0</v>
      </c>
      <c r="R30" s="10">
        <f t="shared" si="24"/>
        <v>0</v>
      </c>
      <c r="S30" s="10">
        <f t="shared" si="24"/>
        <v>0</v>
      </c>
      <c r="T30" s="10">
        <f t="shared" si="24"/>
        <v>0</v>
      </c>
      <c r="U30" s="10">
        <f t="shared" si="24"/>
        <v>0</v>
      </c>
      <c r="V30" s="10">
        <f t="shared" si="24"/>
        <v>0</v>
      </c>
      <c r="W30" s="10">
        <f t="shared" si="24"/>
        <v>0</v>
      </c>
      <c r="X30" s="10">
        <f t="shared" si="24"/>
        <v>0</v>
      </c>
      <c r="Z30" s="1" t="s">
        <v>53</v>
      </c>
      <c r="AA30" s="5">
        <f>Main!D3</f>
        <v>45.37</v>
      </c>
    </row>
    <row r="31" spans="2:137" x14ac:dyDescent="0.3">
      <c r="B31" s="1" t="s">
        <v>46</v>
      </c>
      <c r="C31" s="10">
        <f>C19/C5</f>
        <v>-6.9879518072289155</v>
      </c>
      <c r="G31" s="10">
        <f>G19/G5</f>
        <v>-1.293381037567084</v>
      </c>
      <c r="L31" s="10">
        <f>L19/L5</f>
        <v>-2.831521739130435</v>
      </c>
      <c r="M31" s="10">
        <f>M19/M5</f>
        <v>-4.3717105263157894</v>
      </c>
      <c r="N31" s="10">
        <f>N19/N5</f>
        <v>-1.6122807017543861</v>
      </c>
      <c r="O31" s="10">
        <f t="shared" ref="O31:X31" si="25">O19/O5</f>
        <v>-1.1234532374100719</v>
      </c>
      <c r="P31" s="10">
        <f t="shared" si="25"/>
        <v>-0.82953102453102456</v>
      </c>
      <c r="Q31" s="10">
        <f t="shared" si="25"/>
        <v>-0.6181547831178088</v>
      </c>
      <c r="R31" s="10">
        <f t="shared" si="25"/>
        <v>-0.44394883458993789</v>
      </c>
      <c r="S31" s="10">
        <f t="shared" si="25"/>
        <v>-0.29760106252339069</v>
      </c>
      <c r="T31" s="10">
        <f t="shared" si="25"/>
        <v>-0.17684051858133423</v>
      </c>
      <c r="U31" s="10">
        <f t="shared" si="25"/>
        <v>-7.7426520504455976E-2</v>
      </c>
      <c r="V31" s="10">
        <f t="shared" si="25"/>
        <v>5.7017308874023212E-3</v>
      </c>
      <c r="W31" s="10">
        <f t="shared" si="25"/>
        <v>5.6087463716580993E-2</v>
      </c>
      <c r="X31" s="10">
        <f t="shared" si="25"/>
        <v>9.608488586280034E-2</v>
      </c>
      <c r="Z31" s="2" t="s">
        <v>54</v>
      </c>
      <c r="AA31" s="11">
        <f>AA29/AA30-1</f>
        <v>-0.5860055723140617</v>
      </c>
    </row>
    <row r="32" spans="2:137" x14ac:dyDescent="0.3">
      <c r="Z32" s="1" t="s">
        <v>55</v>
      </c>
      <c r="AA32" s="7" t="s">
        <v>56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2025-08-29T20:25:28Z</dcterms:created>
  <dcterms:modified xsi:type="dcterms:W3CDTF">2025-09-01T14:25:02Z</dcterms:modified>
</cp:coreProperties>
</file>