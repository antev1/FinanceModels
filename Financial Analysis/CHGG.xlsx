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D2BBB3A0-CD4A-43EE-9FC0-7EE89DCA8577}" xr6:coauthVersionLast="47" xr6:coauthVersionMax="47" xr10:uidLastSave="{00000000-0000-0000-0000-000000000000}"/>
  <bookViews>
    <workbookView xWindow="-108" yWindow="-108" windowWidth="23256" windowHeight="12576" xr2:uid="{EE075BA3-B62D-42AA-AD11-2E99A8FED7C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2" l="1"/>
  <c r="V5" i="2" s="1"/>
  <c r="T3" i="2"/>
  <c r="AE9" i="2"/>
  <c r="U10" i="2"/>
  <c r="S10" i="2"/>
  <c r="S5" i="2"/>
  <c r="D7" i="1"/>
  <c r="D6" i="1"/>
  <c r="AF54" i="2"/>
  <c r="AG54" i="2" s="1"/>
  <c r="AH54" i="2" s="1"/>
  <c r="AI54" i="2" s="1"/>
  <c r="AJ54" i="2" s="1"/>
  <c r="AK54" i="2" s="1"/>
  <c r="AL54" i="2" s="1"/>
  <c r="AM54" i="2" s="1"/>
  <c r="AN54" i="2" s="1"/>
  <c r="AO54" i="2" s="1"/>
  <c r="AF32" i="2"/>
  <c r="AG32" i="2" s="1"/>
  <c r="AH32" i="2" s="1"/>
  <c r="AI32" i="2" s="1"/>
  <c r="AJ32" i="2" s="1"/>
  <c r="AK32" i="2" s="1"/>
  <c r="AL32" i="2" s="1"/>
  <c r="AM32" i="2" s="1"/>
  <c r="AN32" i="2" s="1"/>
  <c r="AO32" i="2" s="1"/>
  <c r="AS63" i="2" l="1"/>
  <c r="AF31" i="2"/>
  <c r="AG31" i="2" s="1"/>
  <c r="AH31" i="2" s="1"/>
  <c r="AI31" i="2" s="1"/>
  <c r="AJ31" i="2" s="1"/>
  <c r="AK31" i="2" s="1"/>
  <c r="AL31" i="2" s="1"/>
  <c r="AM31" i="2" s="1"/>
  <c r="AN31" i="2" s="1"/>
  <c r="AO31" i="2" s="1"/>
  <c r="AD53" i="2"/>
  <c r="AD55" i="2" s="1"/>
  <c r="AE15" i="2"/>
  <c r="AE12" i="2"/>
  <c r="AE8" i="2"/>
  <c r="AE6" i="2"/>
  <c r="V13" i="2"/>
  <c r="U13" i="2"/>
  <c r="T13" i="2"/>
  <c r="AE13" i="2"/>
  <c r="V8" i="2"/>
  <c r="V24" i="2" s="1"/>
  <c r="U8" i="2"/>
  <c r="U24" i="2" s="1"/>
  <c r="T8" i="2"/>
  <c r="T24" i="2" s="1"/>
  <c r="S24" i="2"/>
  <c r="U7" i="2"/>
  <c r="U11" i="2" s="1"/>
  <c r="U14" i="2" s="1"/>
  <c r="V7" i="2"/>
  <c r="V10" i="2" s="1"/>
  <c r="T7" i="2"/>
  <c r="T10" i="2" s="1"/>
  <c r="S11" i="2"/>
  <c r="V6" i="2"/>
  <c r="V22" i="2" s="1"/>
  <c r="U6" i="2"/>
  <c r="U22" i="2" s="1"/>
  <c r="T6" i="2"/>
  <c r="T22" i="2" s="1"/>
  <c r="S22" i="2"/>
  <c r="R5" i="2"/>
  <c r="U5" i="2"/>
  <c r="U4" i="2" s="1"/>
  <c r="S21" i="2"/>
  <c r="U3" i="2"/>
  <c r="AE3" i="2"/>
  <c r="AF3" i="2" s="1"/>
  <c r="AF7" i="2" s="1"/>
  <c r="AF10" i="2" s="1"/>
  <c r="S23" i="2"/>
  <c r="S20" i="2"/>
  <c r="R23" i="2"/>
  <c r="Q5" i="2"/>
  <c r="AD8" i="2"/>
  <c r="AS27" i="2"/>
  <c r="R24" i="2"/>
  <c r="R22" i="2"/>
  <c r="Q22" i="2"/>
  <c r="Z24" i="2"/>
  <c r="Y24" i="2"/>
  <c r="Z22" i="2"/>
  <c r="Y22" i="2"/>
  <c r="Z20" i="2"/>
  <c r="Y20" i="2"/>
  <c r="Z23" i="2"/>
  <c r="Y23" i="2"/>
  <c r="X23" i="2"/>
  <c r="Q20" i="2"/>
  <c r="AD13" i="2"/>
  <c r="AD12" i="2"/>
  <c r="AC15" i="2"/>
  <c r="AC13" i="2"/>
  <c r="AC12" i="2"/>
  <c r="AC8" i="2"/>
  <c r="AC7" i="2"/>
  <c r="AC6" i="2"/>
  <c r="AC4" i="2"/>
  <c r="AC3" i="2"/>
  <c r="AB15" i="2"/>
  <c r="AB13" i="2"/>
  <c r="AB12" i="2"/>
  <c r="AB8" i="2"/>
  <c r="AB7" i="2"/>
  <c r="AB6" i="2"/>
  <c r="AB4" i="2"/>
  <c r="AB3" i="2"/>
  <c r="AA15" i="2"/>
  <c r="AA13" i="2"/>
  <c r="AA12" i="2"/>
  <c r="AA8" i="2"/>
  <c r="AA24" i="2" s="1"/>
  <c r="AA7" i="2"/>
  <c r="AA6" i="2"/>
  <c r="AA22" i="2" s="1"/>
  <c r="AA4" i="2"/>
  <c r="AA3" i="2"/>
  <c r="AA20" i="2" s="1"/>
  <c r="X10" i="2"/>
  <c r="X5" i="2"/>
  <c r="X21" i="2" s="1"/>
  <c r="Y10" i="2"/>
  <c r="Y5" i="2"/>
  <c r="Y21" i="2" s="1"/>
  <c r="Z10" i="2"/>
  <c r="Z5" i="2"/>
  <c r="Z21" i="2" s="1"/>
  <c r="J24" i="2"/>
  <c r="I24" i="2"/>
  <c r="H24" i="2"/>
  <c r="G24" i="2"/>
  <c r="J22" i="2"/>
  <c r="I22" i="2"/>
  <c r="H22" i="2"/>
  <c r="G22" i="2"/>
  <c r="G20" i="2"/>
  <c r="H20" i="2"/>
  <c r="I20" i="2"/>
  <c r="J20" i="2"/>
  <c r="J23" i="2"/>
  <c r="I23" i="2"/>
  <c r="H23" i="2"/>
  <c r="G23" i="2"/>
  <c r="F23" i="2"/>
  <c r="E23" i="2"/>
  <c r="D23" i="2"/>
  <c r="C23" i="2"/>
  <c r="E10" i="2"/>
  <c r="E5" i="2"/>
  <c r="E21" i="2" s="1"/>
  <c r="F10" i="2"/>
  <c r="F5" i="2"/>
  <c r="F21" i="2" s="1"/>
  <c r="P24" i="2"/>
  <c r="O24" i="2"/>
  <c r="N24" i="2"/>
  <c r="M24" i="2"/>
  <c r="L24" i="2"/>
  <c r="K24" i="2"/>
  <c r="P23" i="2"/>
  <c r="O23" i="2"/>
  <c r="N23" i="2"/>
  <c r="M23" i="2"/>
  <c r="L23" i="2"/>
  <c r="K23" i="2"/>
  <c r="P22" i="2"/>
  <c r="O22" i="2"/>
  <c r="N22" i="2"/>
  <c r="M22" i="2"/>
  <c r="L22" i="2"/>
  <c r="K22" i="2"/>
  <c r="P20" i="2"/>
  <c r="O20" i="2"/>
  <c r="N20" i="2"/>
  <c r="M20" i="2"/>
  <c r="L20" i="2"/>
  <c r="K20" i="2"/>
  <c r="C10" i="2"/>
  <c r="C5" i="2"/>
  <c r="C21" i="2" s="1"/>
  <c r="G10" i="2"/>
  <c r="G5" i="2"/>
  <c r="G21" i="2" s="1"/>
  <c r="D10" i="2"/>
  <c r="D5" i="2"/>
  <c r="D21" i="2" s="1"/>
  <c r="H10" i="2"/>
  <c r="H5" i="2"/>
  <c r="H21" i="2" s="1"/>
  <c r="I10" i="2"/>
  <c r="I5" i="2"/>
  <c r="I21" i="2" s="1"/>
  <c r="M10" i="2"/>
  <c r="M5" i="2"/>
  <c r="M21" i="2" s="1"/>
  <c r="J10" i="2"/>
  <c r="J5" i="2"/>
  <c r="J21" i="2" s="1"/>
  <c r="N10" i="2"/>
  <c r="N5" i="2"/>
  <c r="N21" i="2" s="1"/>
  <c r="K10" i="2"/>
  <c r="K5" i="2"/>
  <c r="K21" i="2" s="1"/>
  <c r="O10" i="2"/>
  <c r="O5" i="2"/>
  <c r="O21" i="2" s="1"/>
  <c r="P15" i="2"/>
  <c r="L10" i="2"/>
  <c r="L5" i="2"/>
  <c r="P10" i="2"/>
  <c r="P5" i="2"/>
  <c r="P21" i="2" s="1"/>
  <c r="F3" i="1"/>
  <c r="D5" i="1"/>
  <c r="AF12" i="2" l="1"/>
  <c r="AG12" i="2" s="1"/>
  <c r="AH12" i="2" s="1"/>
  <c r="AI12" i="2" s="1"/>
  <c r="AJ12" i="2" s="1"/>
  <c r="AK12" i="2" s="1"/>
  <c r="AL12" i="2" s="1"/>
  <c r="AM12" i="2" s="1"/>
  <c r="AN12" i="2" s="1"/>
  <c r="AO12" i="2" s="1"/>
  <c r="U16" i="2"/>
  <c r="U18" i="2" s="1"/>
  <c r="U26" i="2"/>
  <c r="T5" i="2"/>
  <c r="T4" i="2" s="1"/>
  <c r="AF13" i="2"/>
  <c r="AG13" i="2" s="1"/>
  <c r="AH13" i="2" s="1"/>
  <c r="AI13" i="2" s="1"/>
  <c r="AJ13" i="2" s="1"/>
  <c r="AK13" i="2" s="1"/>
  <c r="AL13" i="2" s="1"/>
  <c r="AM13" i="2" s="1"/>
  <c r="AN13" i="2" s="1"/>
  <c r="AO13" i="2" s="1"/>
  <c r="T11" i="2"/>
  <c r="T14" i="2" s="1"/>
  <c r="S25" i="2"/>
  <c r="S14" i="2"/>
  <c r="AE7" i="2"/>
  <c r="AE10" i="2" s="1"/>
  <c r="AF5" i="2"/>
  <c r="AG3" i="2"/>
  <c r="U23" i="2"/>
  <c r="U21" i="2"/>
  <c r="V23" i="2"/>
  <c r="U20" i="2"/>
  <c r="V20" i="2"/>
  <c r="U25" i="2"/>
  <c r="T20" i="2"/>
  <c r="T21" i="2"/>
  <c r="T23" i="2"/>
  <c r="AA23" i="2"/>
  <c r="AB23" i="2"/>
  <c r="AC23" i="2"/>
  <c r="R20" i="2"/>
  <c r="AB24" i="2"/>
  <c r="AC24" i="2"/>
  <c r="AB20" i="2"/>
  <c r="AC20" i="2"/>
  <c r="P11" i="2"/>
  <c r="P25" i="2" s="1"/>
  <c r="AB22" i="2"/>
  <c r="AC22" i="2"/>
  <c r="L11" i="2"/>
  <c r="L14" i="2" s="1"/>
  <c r="L16" i="2" s="1"/>
  <c r="L18" i="2" s="1"/>
  <c r="AA5" i="2"/>
  <c r="AA21" i="2" s="1"/>
  <c r="AF8" i="2"/>
  <c r="AG8" i="2" s="1"/>
  <c r="AH8" i="2" s="1"/>
  <c r="AI8" i="2" s="1"/>
  <c r="AJ8" i="2" s="1"/>
  <c r="AK8" i="2" s="1"/>
  <c r="AL8" i="2" s="1"/>
  <c r="AM8" i="2" s="1"/>
  <c r="AN8" i="2" s="1"/>
  <c r="AO8" i="2" s="1"/>
  <c r="R10" i="2"/>
  <c r="R11" i="2" s="1"/>
  <c r="R25" i="2" s="1"/>
  <c r="R21" i="2"/>
  <c r="D8" i="1"/>
  <c r="Q21" i="2"/>
  <c r="Q23" i="2"/>
  <c r="Q10" i="2"/>
  <c r="Q11" i="2" s="1"/>
  <c r="Q25" i="2" s="1"/>
  <c r="AD3" i="2"/>
  <c r="AD4" i="2"/>
  <c r="AE24" i="2"/>
  <c r="AD24" i="2"/>
  <c r="Q24" i="2"/>
  <c r="AD7" i="2"/>
  <c r="AD6" i="2"/>
  <c r="AF6" i="2" s="1"/>
  <c r="AF22" i="2" s="1"/>
  <c r="AC10" i="2"/>
  <c r="AC5" i="2"/>
  <c r="AC21" i="2" s="1"/>
  <c r="AB10" i="2"/>
  <c r="AB5" i="2"/>
  <c r="AB21" i="2" s="1"/>
  <c r="AA10" i="2"/>
  <c r="X11" i="2"/>
  <c r="Y11" i="2"/>
  <c r="Z11" i="2"/>
  <c r="L27" i="2"/>
  <c r="L21" i="2"/>
  <c r="E11" i="2"/>
  <c r="F11" i="2"/>
  <c r="C11" i="2"/>
  <c r="G11" i="2"/>
  <c r="D11" i="2"/>
  <c r="H11" i="2"/>
  <c r="I11" i="2"/>
  <c r="M11" i="2"/>
  <c r="J11" i="2"/>
  <c r="N11" i="2"/>
  <c r="K11" i="2"/>
  <c r="O11" i="2"/>
  <c r="T25" i="2" l="1"/>
  <c r="U27" i="2"/>
  <c r="T16" i="2"/>
  <c r="T26" i="2"/>
  <c r="P14" i="2"/>
  <c r="P26" i="2" s="1"/>
  <c r="AH3" i="2"/>
  <c r="AI3" i="2" s="1"/>
  <c r="AJ3" i="2" s="1"/>
  <c r="AK3" i="2" s="1"/>
  <c r="AL3" i="2" s="1"/>
  <c r="AM3" i="2" s="1"/>
  <c r="AN3" i="2" s="1"/>
  <c r="AO3" i="2" s="1"/>
  <c r="S16" i="2"/>
  <c r="S26" i="2"/>
  <c r="AS24" i="2"/>
  <c r="AS60" i="2"/>
  <c r="P16" i="2"/>
  <c r="P27" i="2" s="1"/>
  <c r="L25" i="2"/>
  <c r="AA11" i="2"/>
  <c r="L26" i="2"/>
  <c r="AD5" i="2"/>
  <c r="AD21" i="2" s="1"/>
  <c r="X14" i="2"/>
  <c r="X25" i="2"/>
  <c r="AA14" i="2"/>
  <c r="AA25" i="2"/>
  <c r="AD20" i="2"/>
  <c r="Z14" i="2"/>
  <c r="Z25" i="2"/>
  <c r="Y14" i="2"/>
  <c r="Y25" i="2"/>
  <c r="AD23" i="2"/>
  <c r="AF24" i="2"/>
  <c r="AG24" i="2"/>
  <c r="AG6" i="2"/>
  <c r="AH6" i="2" s="1"/>
  <c r="AI6" i="2" s="1"/>
  <c r="AJ6" i="2" s="1"/>
  <c r="AK6" i="2" s="1"/>
  <c r="AL6" i="2" s="1"/>
  <c r="AM6" i="2" s="1"/>
  <c r="AN6" i="2" s="1"/>
  <c r="AO6" i="2" s="1"/>
  <c r="R14" i="2"/>
  <c r="D9" i="1"/>
  <c r="Q14" i="2"/>
  <c r="Q26" i="2" s="1"/>
  <c r="AH24" i="2"/>
  <c r="AD10" i="2"/>
  <c r="AD11" i="2" s="1"/>
  <c r="AD22" i="2"/>
  <c r="AE22" i="2"/>
  <c r="AC11" i="2"/>
  <c r="AB11" i="2"/>
  <c r="D14" i="2"/>
  <c r="D25" i="2"/>
  <c r="G14" i="2"/>
  <c r="G25" i="2"/>
  <c r="O14" i="2"/>
  <c r="O25" i="2"/>
  <c r="K14" i="2"/>
  <c r="K25" i="2"/>
  <c r="C14" i="2"/>
  <c r="C25" i="2"/>
  <c r="N14" i="2"/>
  <c r="N25" i="2"/>
  <c r="F14" i="2"/>
  <c r="F25" i="2"/>
  <c r="J14" i="2"/>
  <c r="J25" i="2"/>
  <c r="E14" i="2"/>
  <c r="E25" i="2"/>
  <c r="M14" i="2"/>
  <c r="M25" i="2"/>
  <c r="I14" i="2"/>
  <c r="I25" i="2"/>
  <c r="H14" i="2"/>
  <c r="H25" i="2"/>
  <c r="T18" i="2" l="1"/>
  <c r="T27" i="2"/>
  <c r="S27" i="2"/>
  <c r="S18" i="2"/>
  <c r="P18" i="2"/>
  <c r="Y16" i="2"/>
  <c r="Y26" i="2"/>
  <c r="X16" i="2"/>
  <c r="X26" i="2"/>
  <c r="AB14" i="2"/>
  <c r="AB25" i="2"/>
  <c r="AC14" i="2"/>
  <c r="AC25" i="2"/>
  <c r="Z16" i="2"/>
  <c r="Z26" i="2"/>
  <c r="AA16" i="2"/>
  <c r="AA26" i="2"/>
  <c r="AI22" i="2"/>
  <c r="AH22" i="2"/>
  <c r="AG22" i="2"/>
  <c r="AE20" i="2"/>
  <c r="AD15" i="2"/>
  <c r="R26" i="2"/>
  <c r="R16" i="2"/>
  <c r="Q16" i="2"/>
  <c r="Q27" i="2" s="1"/>
  <c r="AI24" i="2"/>
  <c r="AJ22" i="2"/>
  <c r="AD14" i="2"/>
  <c r="AD25" i="2"/>
  <c r="I16" i="2"/>
  <c r="I26" i="2"/>
  <c r="F16" i="2"/>
  <c r="F26" i="2"/>
  <c r="O16" i="2"/>
  <c r="O26" i="2"/>
  <c r="M16" i="2"/>
  <c r="M26" i="2"/>
  <c r="N16" i="2"/>
  <c r="N26" i="2"/>
  <c r="E16" i="2"/>
  <c r="E26" i="2"/>
  <c r="C16" i="2"/>
  <c r="C26" i="2"/>
  <c r="G16" i="2"/>
  <c r="G26" i="2"/>
  <c r="H16" i="2"/>
  <c r="H26" i="2"/>
  <c r="J16" i="2"/>
  <c r="J26" i="2"/>
  <c r="K16" i="2"/>
  <c r="K26" i="2"/>
  <c r="D16" i="2"/>
  <c r="D26" i="2"/>
  <c r="AC16" i="2" l="1"/>
  <c r="AC30" i="2" s="1"/>
  <c r="AC53" i="2" s="1"/>
  <c r="AC55" i="2" s="1"/>
  <c r="AC26" i="2"/>
  <c r="Y18" i="2"/>
  <c r="Y27" i="2"/>
  <c r="AA18" i="2"/>
  <c r="AA27" i="2"/>
  <c r="AB16" i="2"/>
  <c r="AB30" i="2" s="1"/>
  <c r="AB53" i="2" s="1"/>
  <c r="AB55" i="2" s="1"/>
  <c r="AB26" i="2"/>
  <c r="X18" i="2"/>
  <c r="X27" i="2"/>
  <c r="Z18" i="2"/>
  <c r="Z27" i="2"/>
  <c r="AE23" i="2"/>
  <c r="AG7" i="2"/>
  <c r="AG10" i="2" s="1"/>
  <c r="AF20" i="2"/>
  <c r="R18" i="2"/>
  <c r="R27" i="2"/>
  <c r="Q18" i="2"/>
  <c r="AJ24" i="2"/>
  <c r="AK22" i="2"/>
  <c r="AD16" i="2"/>
  <c r="AD26" i="2"/>
  <c r="H18" i="2"/>
  <c r="H27" i="2"/>
  <c r="G18" i="2"/>
  <c r="G27" i="2"/>
  <c r="M18" i="2"/>
  <c r="M27" i="2"/>
  <c r="N18" i="2"/>
  <c r="N27" i="2"/>
  <c r="I18" i="2"/>
  <c r="I27" i="2"/>
  <c r="D18" i="2"/>
  <c r="D27" i="2"/>
  <c r="K18" i="2"/>
  <c r="K27" i="2"/>
  <c r="C18" i="2"/>
  <c r="C27" i="2"/>
  <c r="O18" i="2"/>
  <c r="O27" i="2"/>
  <c r="J18" i="2"/>
  <c r="J27" i="2"/>
  <c r="E18" i="2"/>
  <c r="E27" i="2"/>
  <c r="F18" i="2"/>
  <c r="F27" i="2"/>
  <c r="AB18" i="2" l="1"/>
  <c r="AB27" i="2"/>
  <c r="AC18" i="2"/>
  <c r="AC27" i="2"/>
  <c r="AG5" i="2"/>
  <c r="AF21" i="2"/>
  <c r="AF4" i="2"/>
  <c r="AF11" i="2"/>
  <c r="AF23" i="2"/>
  <c r="AG20" i="2"/>
  <c r="AK24" i="2"/>
  <c r="AL22" i="2"/>
  <c r="AD18" i="2"/>
  <c r="AD27" i="2"/>
  <c r="AH5" i="2" l="1"/>
  <c r="AH7" i="2"/>
  <c r="AH10" i="2" s="1"/>
  <c r="AF25" i="2"/>
  <c r="AF14" i="2"/>
  <c r="AF15" i="2" s="1"/>
  <c r="AG21" i="2"/>
  <c r="AH20" i="2"/>
  <c r="AG11" i="2"/>
  <c r="AG23" i="2"/>
  <c r="AG4" i="2"/>
  <c r="AL24" i="2"/>
  <c r="AM22" i="2"/>
  <c r="AI5" i="2" l="1"/>
  <c r="AI21" i="2" s="1"/>
  <c r="AI7" i="2"/>
  <c r="AI10" i="2" s="1"/>
  <c r="AG14" i="2"/>
  <c r="AG15" i="2" s="1"/>
  <c r="AG25" i="2"/>
  <c r="AI20" i="2"/>
  <c r="AF26" i="2"/>
  <c r="AH11" i="2"/>
  <c r="AH23" i="2"/>
  <c r="AH21" i="2"/>
  <c r="AH4" i="2"/>
  <c r="AM24" i="2"/>
  <c r="AO22" i="2"/>
  <c r="AN22" i="2"/>
  <c r="AI4" i="2" l="1"/>
  <c r="AJ5" i="2"/>
  <c r="AJ21" i="2" s="1"/>
  <c r="AJ7" i="2"/>
  <c r="AJ10" i="2" s="1"/>
  <c r="AF16" i="2"/>
  <c r="AI23" i="2"/>
  <c r="AI11" i="2"/>
  <c r="AJ20" i="2"/>
  <c r="AH25" i="2"/>
  <c r="AH14" i="2"/>
  <c r="AH15" i="2" s="1"/>
  <c r="AG26" i="2"/>
  <c r="AN24" i="2"/>
  <c r="AO24" i="2"/>
  <c r="AF27" i="2" l="1"/>
  <c r="AF30" i="2"/>
  <c r="AF53" i="2" s="1"/>
  <c r="AF55" i="2" s="1"/>
  <c r="AJ4" i="2"/>
  <c r="AK5" i="2"/>
  <c r="AK7" i="2"/>
  <c r="AK10" i="2" s="1"/>
  <c r="AG16" i="2"/>
  <c r="AG30" i="2" s="1"/>
  <c r="AG53" i="2" s="1"/>
  <c r="AG55" i="2" s="1"/>
  <c r="AF18" i="2"/>
  <c r="AJ23" i="2"/>
  <c r="AJ11" i="2"/>
  <c r="AK20" i="2"/>
  <c r="AI14" i="2"/>
  <c r="AI15" i="2" s="1"/>
  <c r="AI25" i="2"/>
  <c r="AH26" i="2"/>
  <c r="AG27" i="2" l="1"/>
  <c r="AL5" i="2"/>
  <c r="AL21" i="2" s="1"/>
  <c r="AL7" i="2"/>
  <c r="AL10" i="2" s="1"/>
  <c r="AG18" i="2"/>
  <c r="AH16" i="2"/>
  <c r="AK23" i="2"/>
  <c r="AK11" i="2"/>
  <c r="AL20" i="2"/>
  <c r="AK21" i="2"/>
  <c r="AJ14" i="2"/>
  <c r="AJ15" i="2" s="1"/>
  <c r="AJ25" i="2"/>
  <c r="AI26" i="2"/>
  <c r="AK4" i="2"/>
  <c r="AH27" i="2" l="1"/>
  <c r="AH30" i="2"/>
  <c r="AH53" i="2" s="1"/>
  <c r="AH55" i="2" s="1"/>
  <c r="AI16" i="2"/>
  <c r="AL4" i="2"/>
  <c r="AM5" i="2"/>
  <c r="AM7" i="2"/>
  <c r="AM10" i="2" s="1"/>
  <c r="AH18" i="2"/>
  <c r="AK25" i="2"/>
  <c r="AK14" i="2"/>
  <c r="AK15" i="2" s="1"/>
  <c r="AM20" i="2"/>
  <c r="AL11" i="2"/>
  <c r="AL23" i="2"/>
  <c r="AJ26" i="2"/>
  <c r="AI18" i="2" l="1"/>
  <c r="AI30" i="2"/>
  <c r="AI53" i="2" s="1"/>
  <c r="AI55" i="2" s="1"/>
  <c r="AI27" i="2"/>
  <c r="AN5" i="2"/>
  <c r="AN7" i="2"/>
  <c r="AN10" i="2" s="1"/>
  <c r="AL25" i="2"/>
  <c r="AL14" i="2"/>
  <c r="AL15" i="2" s="1"/>
  <c r="AK26" i="2"/>
  <c r="AM11" i="2"/>
  <c r="AM23" i="2"/>
  <c r="AN20" i="2"/>
  <c r="AJ16" i="2"/>
  <c r="AJ30" i="2" s="1"/>
  <c r="AJ53" i="2" s="1"/>
  <c r="AJ55" i="2" s="1"/>
  <c r="AM4" i="2"/>
  <c r="AM21" i="2"/>
  <c r="AO5" i="2" l="1"/>
  <c r="AO4" i="2" s="1"/>
  <c r="AO7" i="2"/>
  <c r="AO10" i="2" s="1"/>
  <c r="AK16" i="2"/>
  <c r="AK30" i="2" s="1"/>
  <c r="AK53" i="2" s="1"/>
  <c r="AK55" i="2" s="1"/>
  <c r="AM14" i="2"/>
  <c r="AM15" i="2" s="1"/>
  <c r="AM25" i="2"/>
  <c r="AO20" i="2"/>
  <c r="AN21" i="2"/>
  <c r="AN4" i="2"/>
  <c r="AJ18" i="2"/>
  <c r="AJ27" i="2"/>
  <c r="AN23" i="2"/>
  <c r="AN11" i="2"/>
  <c r="AL26" i="2"/>
  <c r="AK18" i="2" l="1"/>
  <c r="AL16" i="2"/>
  <c r="AK27" i="2"/>
  <c r="AN25" i="2"/>
  <c r="AN14" i="2"/>
  <c r="AN15" i="2" s="1"/>
  <c r="AO21" i="2"/>
  <c r="AM26" i="2"/>
  <c r="AO23" i="2"/>
  <c r="AO11" i="2"/>
  <c r="AL18" i="2" l="1"/>
  <c r="AL30" i="2"/>
  <c r="AL53" i="2" s="1"/>
  <c r="AL55" i="2" s="1"/>
  <c r="AL27" i="2"/>
  <c r="AM16" i="2"/>
  <c r="AO25" i="2"/>
  <c r="AO14" i="2"/>
  <c r="AN26" i="2"/>
  <c r="AO15" i="2" l="1"/>
  <c r="AO26" i="2" s="1"/>
  <c r="AM18" i="2"/>
  <c r="AM30" i="2"/>
  <c r="AM53" i="2" s="1"/>
  <c r="AM55" i="2" s="1"/>
  <c r="AM27" i="2"/>
  <c r="AN16" i="2"/>
  <c r="AN30" i="2" s="1"/>
  <c r="AN53" i="2" s="1"/>
  <c r="AN55" i="2" s="1"/>
  <c r="AO16" i="2" l="1"/>
  <c r="AP16" i="2" s="1"/>
  <c r="AN18" i="2"/>
  <c r="AN27" i="2"/>
  <c r="AQ16" i="2" l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EH16" i="2" s="1"/>
  <c r="EI16" i="2" s="1"/>
  <c r="EJ16" i="2" s="1"/>
  <c r="EK16" i="2" s="1"/>
  <c r="EL16" i="2" s="1"/>
  <c r="EM16" i="2" s="1"/>
  <c r="EN16" i="2" s="1"/>
  <c r="EO16" i="2" s="1"/>
  <c r="AO30" i="2"/>
  <c r="AO53" i="2" s="1"/>
  <c r="AO55" i="2" s="1"/>
  <c r="AP55" i="2" s="1"/>
  <c r="AQ55" i="2" s="1"/>
  <c r="AR55" i="2" s="1"/>
  <c r="AS55" i="2" s="1"/>
  <c r="AT55" i="2" s="1"/>
  <c r="AU55" i="2" s="1"/>
  <c r="AV55" i="2" s="1"/>
  <c r="AW55" i="2" s="1"/>
  <c r="AX55" i="2" s="1"/>
  <c r="AY55" i="2" s="1"/>
  <c r="AZ55" i="2" s="1"/>
  <c r="BA55" i="2" s="1"/>
  <c r="BB55" i="2" s="1"/>
  <c r="BC55" i="2" s="1"/>
  <c r="BD55" i="2" s="1"/>
  <c r="BE55" i="2" s="1"/>
  <c r="BF55" i="2" s="1"/>
  <c r="BG55" i="2" s="1"/>
  <c r="BH55" i="2" s="1"/>
  <c r="BI55" i="2" s="1"/>
  <c r="BJ55" i="2" s="1"/>
  <c r="BK55" i="2" s="1"/>
  <c r="BL55" i="2" s="1"/>
  <c r="BM55" i="2" s="1"/>
  <c r="BN55" i="2" s="1"/>
  <c r="BO55" i="2" s="1"/>
  <c r="BP55" i="2" s="1"/>
  <c r="BQ55" i="2" s="1"/>
  <c r="BR55" i="2" s="1"/>
  <c r="BS55" i="2" s="1"/>
  <c r="BT55" i="2" s="1"/>
  <c r="BU55" i="2" s="1"/>
  <c r="BV55" i="2" s="1"/>
  <c r="BW55" i="2" s="1"/>
  <c r="BX55" i="2" s="1"/>
  <c r="BY55" i="2" s="1"/>
  <c r="BZ55" i="2" s="1"/>
  <c r="CA55" i="2" s="1"/>
  <c r="CB55" i="2" s="1"/>
  <c r="CC55" i="2" s="1"/>
  <c r="CD55" i="2" s="1"/>
  <c r="CE55" i="2" s="1"/>
  <c r="CF55" i="2" s="1"/>
  <c r="CG55" i="2" s="1"/>
  <c r="CH55" i="2" s="1"/>
  <c r="CI55" i="2" s="1"/>
  <c r="CJ55" i="2" s="1"/>
  <c r="CK55" i="2" s="1"/>
  <c r="CL55" i="2" s="1"/>
  <c r="CM55" i="2" s="1"/>
  <c r="CN55" i="2" s="1"/>
  <c r="CO55" i="2" s="1"/>
  <c r="CP55" i="2" s="1"/>
  <c r="CQ55" i="2" s="1"/>
  <c r="CR55" i="2" s="1"/>
  <c r="CS55" i="2" s="1"/>
  <c r="CT55" i="2" s="1"/>
  <c r="CU55" i="2" s="1"/>
  <c r="CV55" i="2" s="1"/>
  <c r="CW55" i="2" s="1"/>
  <c r="CX55" i="2" s="1"/>
  <c r="CY55" i="2" s="1"/>
  <c r="CZ55" i="2" s="1"/>
  <c r="DA55" i="2" s="1"/>
  <c r="DB55" i="2" s="1"/>
  <c r="DC55" i="2" s="1"/>
  <c r="DD55" i="2" s="1"/>
  <c r="DE55" i="2" s="1"/>
  <c r="DF55" i="2" s="1"/>
  <c r="DG55" i="2" s="1"/>
  <c r="DH55" i="2" s="1"/>
  <c r="DI55" i="2" s="1"/>
  <c r="DJ55" i="2" s="1"/>
  <c r="DK55" i="2" s="1"/>
  <c r="DL55" i="2" s="1"/>
  <c r="DM55" i="2" s="1"/>
  <c r="DN55" i="2" s="1"/>
  <c r="DO55" i="2" s="1"/>
  <c r="DP55" i="2" s="1"/>
  <c r="DQ55" i="2" s="1"/>
  <c r="DR55" i="2" s="1"/>
  <c r="DS55" i="2" s="1"/>
  <c r="DT55" i="2" s="1"/>
  <c r="DU55" i="2" s="1"/>
  <c r="DV55" i="2" s="1"/>
  <c r="DW55" i="2" s="1"/>
  <c r="DX55" i="2" s="1"/>
  <c r="DY55" i="2" s="1"/>
  <c r="DZ55" i="2" s="1"/>
  <c r="EA55" i="2" s="1"/>
  <c r="EB55" i="2" s="1"/>
  <c r="EC55" i="2" s="1"/>
  <c r="ED55" i="2" s="1"/>
  <c r="EE55" i="2" s="1"/>
  <c r="EF55" i="2" s="1"/>
  <c r="EG55" i="2" s="1"/>
  <c r="EH55" i="2" s="1"/>
  <c r="EI55" i="2" s="1"/>
  <c r="EJ55" i="2" s="1"/>
  <c r="EK55" i="2" s="1"/>
  <c r="EL55" i="2" s="1"/>
  <c r="EM55" i="2" s="1"/>
  <c r="EN55" i="2" s="1"/>
  <c r="EO55" i="2" s="1"/>
  <c r="EP55" i="2" s="1"/>
  <c r="EQ55" i="2" s="1"/>
  <c r="ER55" i="2" s="1"/>
  <c r="ES55" i="2" s="1"/>
  <c r="ET55" i="2" s="1"/>
  <c r="AO27" i="2"/>
  <c r="AO18" i="2"/>
  <c r="V21" i="2" l="1"/>
  <c r="V4" i="2"/>
  <c r="AE4" i="2" s="1"/>
  <c r="AE5" i="2" s="1"/>
  <c r="V11" i="2"/>
  <c r="V14" i="2" s="1"/>
  <c r="V26" i="2" l="1"/>
  <c r="V16" i="2"/>
  <c r="V27" i="2" s="1"/>
  <c r="V25" i="2"/>
  <c r="AE11" i="2"/>
  <c r="AE21" i="2"/>
  <c r="V18" i="2" l="1"/>
  <c r="AE25" i="2"/>
  <c r="AE14" i="2"/>
  <c r="AE16" i="2" l="1"/>
  <c r="AE26" i="2"/>
  <c r="AS23" i="2" l="1"/>
  <c r="AS25" i="2" s="1"/>
  <c r="AS26" i="2" s="1"/>
  <c r="AS28" i="2" s="1"/>
  <c r="AE18" i="2"/>
  <c r="AE27" i="2"/>
  <c r="AE30" i="2"/>
  <c r="AE53" i="2" s="1"/>
  <c r="AE55" i="2" s="1"/>
  <c r="AS59" i="2" s="1"/>
  <c r="AS61" i="2" s="1"/>
  <c r="AS62" i="2" s="1"/>
  <c r="AS6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</authors>
  <commentList>
    <comment ref="P10" authorId="0" shapeId="0" xr:uid="{94656086-D00F-4C13-943D-0312225931CA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w/o 481.5 impairment expense</t>
        </r>
      </text>
    </comment>
    <comment ref="Q10" authorId="0" shapeId="0" xr:uid="{6D8908CC-E2E9-49FD-90B4-3B619850FED4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w/o impairment 195.7</t>
        </r>
      </text>
    </comment>
    <comment ref="P15" authorId="0" shapeId="0" xr:uid="{401EA79A-C515-4B57-A3D0-FCC5282EF222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minus income tax effect of non-GAAP adjustments</t>
        </r>
      </text>
    </comment>
  </commentList>
</comments>
</file>

<file path=xl/sharedStrings.xml><?xml version="1.0" encoding="utf-8"?>
<sst xmlns="http://schemas.openxmlformats.org/spreadsheetml/2006/main" count="105" uniqueCount="92">
  <si>
    <t>CHGG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</si>
  <si>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</si>
  <si>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</si>
  <si>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</si>
  <si>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</si>
  <si>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</si>
  <si>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</si>
  <si>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</si>
  <si>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</si>
  <si>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</si>
  <si>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</si>
  <si>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Q224</t>
  </si>
  <si>
    <t>Revenue</t>
  </si>
  <si>
    <t>Cost of sales</t>
  </si>
  <si>
    <t>Gross profit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</si>
  <si>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</si>
  <si>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</si>
  <si>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</si>
  <si>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</si>
  <si>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</si>
  <si>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</si>
  <si>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</si>
  <si>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</si>
  <si>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</si>
  <si>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</si>
  <si>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</si>
  <si>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</si>
  <si>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</si>
  <si>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</si>
  <si>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</si>
  <si>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R&amp;D</t>
  </si>
  <si>
    <t>S&amp;M</t>
  </si>
  <si>
    <t>G&amp;A</t>
  </si>
  <si>
    <t>Total operating expenses</t>
  </si>
  <si>
    <t>Operating profit</t>
  </si>
  <si>
    <t>Net interest expense</t>
  </si>
  <si>
    <t>Other income</t>
  </si>
  <si>
    <t>Pretax profit</t>
  </si>
  <si>
    <t>Taxes</t>
  </si>
  <si>
    <t>Net profit</t>
  </si>
  <si>
    <t>EPS</t>
  </si>
  <si>
    <t>Non-GAAP</t>
  </si>
  <si>
    <t>Revenue y/y</t>
  </si>
  <si>
    <t>Gross Margin</t>
  </si>
  <si>
    <t>R&amp;D y/y</t>
  </si>
  <si>
    <t>S&amp;M Margin</t>
  </si>
  <si>
    <t>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</si>
  <si>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</si>
  <si>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</si>
  <si>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</si>
  <si>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</si>
  <si>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</si>
  <si>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</si>
  <si>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</si>
  <si>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</si>
  <si>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</si>
  <si>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</si>
  <si>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</si>
  <si>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Q125</t>
  </si>
  <si>
    <t>Q225</t>
  </si>
  <si>
    <t>Q325</t>
  </si>
  <si>
    <t>Q425</t>
  </si>
  <si>
    <t>Net income</t>
  </si>
  <si>
    <t>SBC</t>
  </si>
  <si>
    <t>D&amp;A</t>
  </si>
  <si>
    <t>D/T</t>
  </si>
  <si>
    <t>Loss on debt</t>
  </si>
  <si>
    <t>Contingencies</t>
  </si>
  <si>
    <t>Impairment</t>
  </si>
  <si>
    <t>PP&amp;E</t>
  </si>
  <si>
    <t>Amortisation</t>
  </si>
  <si>
    <t>Leases</t>
  </si>
  <si>
    <t>Loss on investments</t>
  </si>
  <si>
    <t>Gain on investments</t>
  </si>
  <si>
    <t>Depreciation</t>
  </si>
  <si>
    <t>Gain on forex</t>
  </si>
  <si>
    <t>Other non-cash</t>
  </si>
  <si>
    <t>A/R</t>
  </si>
  <si>
    <t>Prepaids</t>
  </si>
  <si>
    <t>Other assets</t>
  </si>
  <si>
    <t>A/P</t>
  </si>
  <si>
    <t>D/R</t>
  </si>
  <si>
    <t>A/L</t>
  </si>
  <si>
    <t>Other liabilities</t>
  </si>
  <si>
    <t>CFFO</t>
  </si>
  <si>
    <t>FCF</t>
  </si>
  <si>
    <t>NPV (FCF)</t>
  </si>
  <si>
    <t>Chegg</t>
  </si>
  <si>
    <t>AI student help</t>
  </si>
  <si>
    <t>Busuu</t>
  </si>
  <si>
    <t>Language learning</t>
  </si>
  <si>
    <t>Slightly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</si>
</sst>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15240</xdr:colOff>
      <xdr:row>0</xdr:row>
      <xdr:rowOff>0</xdr:rowOff>
    </xdr:from>
    <xdr:to>
      <xdr:col>18</xdr:col>
      <xdr:colOff>15240</xdr:colOff>
      <xdr:row>34</xdr:row>
      <xdr:rowOff>91440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2C89C2F-2DAB-27A9-E46B-B9F5879E876C}"/>
            </a:ext>
          </a:extLst>
        </xdr:cNvPr>
        <xdr:cNvCxnSpPr/>
      </xdr:nvCxnSpPr>
      <xdr:spPr>
        <a:xfrm>
          <a:off x="11864340" y="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15240</xdr:colOff>
      <xdr:row>0</xdr:row>
      <xdr:rowOff>15240</xdr:rowOff>
    </xdr:from>
    <xdr:to>
      <xdr:col>30</xdr:col>
      <xdr:colOff>15240</xdr:colOff>
      <xdr:row>63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C770232-CA4B-C8B8-B77E-7E6D9BF884DA}"/>
            </a:ext>
          </a:extLst>
        </xdr:cNvPr>
        <xdr:cNvCxnSpPr/>
      </xdr:nvCxnSpPr>
      <xdr:spPr>
        <a:xfrm>
          <a:off x="19179540" y="15240"/>
          <a:ext cx="0" cy="11430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F67F3-1170-4F04-975E-778BC84293D4}">
  <dimension ref="B2:K9"/>
  <sheetViews>
    <sheetView tabSelected="1" workbookViewId="0">
      <selection activeCell="D4" sqref="D4"/>
    </sheetView>
  </sheetViews>
  <sheetFormatPr defaultRowHeight="14.4" x14ac:dyDescent="0.3"/>
  <cols>
    <col min="5" max="7" width="13.44140625" style="4" customWidth="1"/>
  </cols>
  <sheetData>
    <row r="2" spans="2:11" x14ac:dyDescent="0.3">
      <c r="E2" s="4" t="s">
        <v>8</v>
      </c>
      <c r="F2" s="4" t="s">
        <v>9</v>
      </c>
      <c r="G2" s="4" t="s">
        <v>10</v>
      </c>
    </row>
    <row r="3" spans="2:11" x14ac:dyDescent="0.3">
      <c r="B3" s="1" t="s">
        <v>0</v>
      </c>
      <c r="C3" t="s">
        <v>1</v>
      </c>
      <c r="D3" s="3">
        <v>0.98009999999999997</v>
      </c>
      <c r="E3" s="5">
        <v>45799</v>
      </c>
      <c r="F3" s="5">
        <f ca="1">TODAY()</f>
        <v>45799</v>
      </c>
      <c r="G3" s="5">
        <v>45880</v>
      </c>
    </row>
    <row r="4" spans="2:11" x14ac:dyDescent="0.3">
      <c r="C4" t="s">
        <v>2</v>
      </c>
      <c r="D4" s="2">
        <v>106.6</v>
      </c>
      <c r="E4" s="4" t="s">
        <v>58</v>
      </c>
    </row>
    <row r="5" spans="2:11" x14ac:dyDescent="0.3">
      <c r="C5" t="s">
        <v>3</v>
      </c>
      <c r="D5" s="2">
        <f>D3*D4</f>
        <v>104.47865999999999</v>
      </c>
    </row>
    <row r="6" spans="2:11" x14ac:dyDescent="0.3">
      <c r="C6" t="s">
        <v>4</v>
      </c>
      <c r="D6" s="2">
        <f>44.1+44.2+38.1</f>
        <v>126.4</v>
      </c>
      <c r="E6" s="4" t="s">
        <v>58</v>
      </c>
    </row>
    <row r="7" spans="2:11" x14ac:dyDescent="0.3">
      <c r="C7" t="s">
        <v>5</v>
      </c>
      <c r="D7" s="2">
        <f>62.5</f>
        <v>62.5</v>
      </c>
      <c r="E7" s="4" t="s">
        <v>58</v>
      </c>
      <c r="J7" t="s">
        <v>87</v>
      </c>
      <c r="K7" t="s">
        <v>88</v>
      </c>
    </row>
    <row r="8" spans="2:11" x14ac:dyDescent="0.3">
      <c r="C8" t="s">
        <v>6</v>
      </c>
      <c r="D8" s="2">
        <f>D6-D7</f>
        <v>63.900000000000006</v>
      </c>
      <c r="J8" t="s">
        <v>89</v>
      </c>
      <c r="K8" t="s">
        <v>90</v>
      </c>
    </row>
    <row r="9" spans="2:11" x14ac:dyDescent="0.3">
      <c r="C9" t="s">
        <v>7</v>
      </c>
      <c r="D9" s="2">
        <f>D5-D8</f>
        <v>40.578659999999985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3E2D-253D-46B0-9AD3-C7A573AF3AFF}">
  <dimension ref="B1:ET64"/>
  <sheetViews>
    <sheetView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S12" sqref="S12"/>
    </sheetView>
  </sheetViews>
  <sheetFormatPr defaultRowHeight="14.4" x14ac:dyDescent="0.3"/>
  <cols>
    <col min="2" max="2" width="21.6640625" bestFit="1" customWidth="1"/>
    <col min="44" max="44" width="11.88671875" bestFit="1" customWidth="1"/>
    <col min="45" max="45" width="17.33203125" bestFit="1" customWidth="1"/>
  </cols>
  <sheetData>
    <row r="1" spans="2:145" x14ac:dyDescent="0.3">
      <c r="P1" t="s">
        <v>41</v>
      </c>
    </row>
    <row r="2" spans="2:145" x14ac:dyDescent="0.3"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6" t="s">
        <v>24</v>
      </c>
      <c r="M2" s="6" t="s">
        <v>25</v>
      </c>
      <c r="N2" s="6" t="s">
        <v>26</v>
      </c>
      <c r="O2" s="6" t="s">
        <v>27</v>
      </c>
      <c r="P2" s="6" t="s">
        <v>11</v>
      </c>
      <c r="Q2" s="6" t="s">
        <v>28</v>
      </c>
      <c r="R2" s="6" t="s">
        <v>29</v>
      </c>
      <c r="S2" s="6" t="s">
        <v>58</v>
      </c>
      <c r="T2" s="6" t="s">
        <v>59</v>
      </c>
      <c r="U2" s="6" t="s">
        <v>60</v>
      </c>
      <c r="V2" s="6" t="s">
        <v>61</v>
      </c>
      <c r="X2">
        <v>2018</v>
      </c>
      <c r="Y2">
        <v>2019</v>
      </c>
      <c r="Z2">
        <v>2020</v>
      </c>
      <c r="AA2">
        <v>2021</v>
      </c>
      <c r="AB2">
        <v>2022</v>
      </c>
      <c r="AC2">
        <v>2023</v>
      </c>
      <c r="AD2">
        <v>2024</v>
      </c>
      <c r="AE2">
        <v>2025</v>
      </c>
      <c r="AF2">
        <v>2026</v>
      </c>
      <c r="AG2">
        <v>2027</v>
      </c>
      <c r="AH2">
        <v>2028</v>
      </c>
      <c r="AI2">
        <v>2029</v>
      </c>
      <c r="AJ2">
        <v>2030</v>
      </c>
      <c r="AK2">
        <v>2031</v>
      </c>
      <c r="AL2">
        <v>2032</v>
      </c>
      <c r="AM2">
        <v>2033</v>
      </c>
      <c r="AN2">
        <v>2034</v>
      </c>
      <c r="AO2">
        <v>2035</v>
      </c>
    </row>
    <row r="3" spans="2:145" s="1" customFormat="1" x14ac:dyDescent="0.3">
      <c r="B3" s="1" t="s">
        <v>12</v>
      </c>
      <c r="C3" s="8">
        <v>198.4</v>
      </c>
      <c r="D3" s="8">
        <v>198.5</v>
      </c>
      <c r="E3" s="8">
        <v>171.9</v>
      </c>
      <c r="F3" s="8">
        <v>207.5</v>
      </c>
      <c r="G3" s="8">
        <v>202.2</v>
      </c>
      <c r="H3" s="8">
        <v>194.7</v>
      </c>
      <c r="I3" s="8">
        <v>164.7</v>
      </c>
      <c r="J3" s="8">
        <v>205.2</v>
      </c>
      <c r="K3" s="8">
        <v>187.6</v>
      </c>
      <c r="L3" s="8">
        <v>182.9</v>
      </c>
      <c r="M3" s="8">
        <v>157.9</v>
      </c>
      <c r="N3" s="8">
        <v>188</v>
      </c>
      <c r="O3" s="8">
        <v>174.4</v>
      </c>
      <c r="P3" s="8">
        <v>163.1</v>
      </c>
      <c r="Q3" s="8">
        <v>136.6</v>
      </c>
      <c r="R3" s="8">
        <v>143.5</v>
      </c>
      <c r="S3" s="8">
        <v>121.4</v>
      </c>
      <c r="T3" s="8">
        <f>P3*0.8</f>
        <v>130.47999999999999</v>
      </c>
      <c r="U3" s="8">
        <f t="shared" ref="U3" si="0">Q3*0.75</f>
        <v>102.44999999999999</v>
      </c>
      <c r="V3" s="8">
        <f>R3*0.95</f>
        <v>136.32499999999999</v>
      </c>
      <c r="X3" s="8">
        <v>321.10000000000002</v>
      </c>
      <c r="Y3" s="8">
        <v>410.9</v>
      </c>
      <c r="Z3" s="8">
        <v>644.29999999999995</v>
      </c>
      <c r="AA3" s="8">
        <f>SUM(C3:F3)</f>
        <v>776.3</v>
      </c>
      <c r="AB3" s="8">
        <f>SUM(G3:J3)</f>
        <v>766.8</v>
      </c>
      <c r="AC3" s="8">
        <f>SUM(K3:N3)</f>
        <v>716.4</v>
      </c>
      <c r="AD3" s="8">
        <f>SUM(O3:R3)</f>
        <v>617.6</v>
      </c>
      <c r="AE3" s="8">
        <f>SUM(S3:V3)</f>
        <v>490.65499999999997</v>
      </c>
      <c r="AF3" s="8">
        <f>AE3*0.98</f>
        <v>480.84189999999995</v>
      </c>
      <c r="AG3" s="8">
        <f>AF3*1.1</f>
        <v>528.92609000000004</v>
      </c>
      <c r="AH3" s="8">
        <f>AG3*1.07</f>
        <v>565.95091630000013</v>
      </c>
      <c r="AI3" s="8">
        <f>AH3*1.05</f>
        <v>594.24846211500017</v>
      </c>
      <c r="AJ3" s="8">
        <f>AI3*1.04</f>
        <v>618.01840059960023</v>
      </c>
      <c r="AK3" s="8">
        <f>AJ3*1.03</f>
        <v>636.55895261758826</v>
      </c>
      <c r="AL3" s="8">
        <f t="shared" ref="AL3:AO3" si="1">AK3*1.03</f>
        <v>655.65572119611591</v>
      </c>
      <c r="AM3" s="8">
        <f t="shared" si="1"/>
        <v>675.32539283199935</v>
      </c>
      <c r="AN3" s="8">
        <f t="shared" si="1"/>
        <v>695.58515461695936</v>
      </c>
      <c r="AO3" s="8">
        <f t="shared" si="1"/>
        <v>716.45270925546811</v>
      </c>
    </row>
    <row r="4" spans="2:145" x14ac:dyDescent="0.3">
      <c r="B4" t="s">
        <v>13</v>
      </c>
      <c r="C4" s="2">
        <v>71.400000000000006</v>
      </c>
      <c r="D4" s="2">
        <v>60.7</v>
      </c>
      <c r="E4" s="2">
        <v>67.099999999999994</v>
      </c>
      <c r="F4" s="2">
        <v>55.7</v>
      </c>
      <c r="G4" s="2">
        <v>55.1</v>
      </c>
      <c r="H4" s="2">
        <v>45.7</v>
      </c>
      <c r="I4" s="2">
        <v>45.2</v>
      </c>
      <c r="J4" s="2">
        <v>51.4</v>
      </c>
      <c r="K4" s="2">
        <v>49.2</v>
      </c>
      <c r="L4" s="2">
        <v>47.4</v>
      </c>
      <c r="M4" s="2">
        <v>83.6</v>
      </c>
      <c r="N4" s="2">
        <v>45.8</v>
      </c>
      <c r="O4" s="2">
        <v>46.5</v>
      </c>
      <c r="P4" s="2">
        <v>45.4</v>
      </c>
      <c r="Q4" s="2">
        <v>43.4</v>
      </c>
      <c r="R4" s="2">
        <v>45.6</v>
      </c>
      <c r="S4" s="2">
        <v>54</v>
      </c>
      <c r="T4" s="2">
        <f t="shared" ref="T4:V4" si="2">T3-T5</f>
        <v>41.753599999999992</v>
      </c>
      <c r="U4" s="2">
        <f t="shared" si="2"/>
        <v>32.783999999999992</v>
      </c>
      <c r="V4" s="2">
        <f t="shared" si="2"/>
        <v>43.623999999999995</v>
      </c>
      <c r="X4" s="2">
        <v>80</v>
      </c>
      <c r="Y4" s="2">
        <v>92.2</v>
      </c>
      <c r="Z4" s="2">
        <v>205.4</v>
      </c>
      <c r="AA4" s="2">
        <f>SUM(C4:F4)</f>
        <v>254.90000000000003</v>
      </c>
      <c r="AB4" s="2">
        <f>SUM(G4:J4)</f>
        <v>197.4</v>
      </c>
      <c r="AC4" s="2">
        <f>SUM(K4:N4)</f>
        <v>226</v>
      </c>
      <c r="AD4" s="2">
        <f>SUM(O4:R4)</f>
        <v>180.9</v>
      </c>
      <c r="AE4" s="2">
        <f>SUM(S4:V4)</f>
        <v>172.16159999999999</v>
      </c>
      <c r="AF4" s="2">
        <f t="shared" ref="AF4:AO4" si="3">AF3-AF5</f>
        <v>149.06098900000001</v>
      </c>
      <c r="AG4" s="2">
        <f t="shared" si="3"/>
        <v>158.67782700000004</v>
      </c>
      <c r="AH4" s="2">
        <f t="shared" si="3"/>
        <v>169.78527489000004</v>
      </c>
      <c r="AI4" s="2">
        <f t="shared" si="3"/>
        <v>178.27453863450006</v>
      </c>
      <c r="AJ4" s="2">
        <f t="shared" si="3"/>
        <v>185.40552017988011</v>
      </c>
      <c r="AK4" s="2">
        <f t="shared" si="3"/>
        <v>190.9676857852765</v>
      </c>
      <c r="AL4" s="2">
        <f t="shared" si="3"/>
        <v>196.69671635883481</v>
      </c>
      <c r="AM4" s="2">
        <f t="shared" si="3"/>
        <v>202.59761784959983</v>
      </c>
      <c r="AN4" s="2">
        <f t="shared" si="3"/>
        <v>208.67554638508784</v>
      </c>
      <c r="AO4" s="2">
        <f t="shared" si="3"/>
        <v>214.93581277664049</v>
      </c>
    </row>
    <row r="5" spans="2:145" s="1" customFormat="1" x14ac:dyDescent="0.3">
      <c r="B5" s="1" t="s">
        <v>14</v>
      </c>
      <c r="C5" s="8">
        <f t="shared" ref="C5:S5" si="4">C3-C4</f>
        <v>127</v>
      </c>
      <c r="D5" s="8">
        <f t="shared" si="4"/>
        <v>137.80000000000001</v>
      </c>
      <c r="E5" s="8">
        <f t="shared" si="4"/>
        <v>104.80000000000001</v>
      </c>
      <c r="F5" s="8">
        <f t="shared" si="4"/>
        <v>151.80000000000001</v>
      </c>
      <c r="G5" s="8">
        <f t="shared" si="4"/>
        <v>147.1</v>
      </c>
      <c r="H5" s="8">
        <f t="shared" si="4"/>
        <v>149</v>
      </c>
      <c r="I5" s="8">
        <f t="shared" si="4"/>
        <v>119.49999999999999</v>
      </c>
      <c r="J5" s="8">
        <f t="shared" si="4"/>
        <v>153.79999999999998</v>
      </c>
      <c r="K5" s="8">
        <f t="shared" si="4"/>
        <v>138.39999999999998</v>
      </c>
      <c r="L5" s="8">
        <f t="shared" si="4"/>
        <v>135.5</v>
      </c>
      <c r="M5" s="8">
        <f t="shared" si="4"/>
        <v>74.300000000000011</v>
      </c>
      <c r="N5" s="8">
        <f t="shared" si="4"/>
        <v>142.19999999999999</v>
      </c>
      <c r="O5" s="8">
        <f t="shared" si="4"/>
        <v>127.9</v>
      </c>
      <c r="P5" s="8">
        <f t="shared" si="4"/>
        <v>117.69999999999999</v>
      </c>
      <c r="Q5" s="8">
        <f t="shared" si="4"/>
        <v>93.199999999999989</v>
      </c>
      <c r="R5" s="8">
        <f t="shared" si="4"/>
        <v>97.9</v>
      </c>
      <c r="S5" s="8">
        <f t="shared" si="4"/>
        <v>67.400000000000006</v>
      </c>
      <c r="T5" s="8">
        <f>T3*0.68</f>
        <v>88.726399999999998</v>
      </c>
      <c r="U5" s="8">
        <f>U3*0.68</f>
        <v>69.665999999999997</v>
      </c>
      <c r="V5" s="8">
        <f>V3*0.68</f>
        <v>92.700999999999993</v>
      </c>
      <c r="X5" s="8">
        <f t="shared" ref="X5:AE5" si="5">X3-X4</f>
        <v>241.10000000000002</v>
      </c>
      <c r="Y5" s="8">
        <f t="shared" si="5"/>
        <v>318.7</v>
      </c>
      <c r="Z5" s="8">
        <f t="shared" si="5"/>
        <v>438.9</v>
      </c>
      <c r="AA5" s="8">
        <f t="shared" si="5"/>
        <v>521.39999999999986</v>
      </c>
      <c r="AB5" s="8">
        <f t="shared" si="5"/>
        <v>569.4</v>
      </c>
      <c r="AC5" s="8">
        <f t="shared" si="5"/>
        <v>490.4</v>
      </c>
      <c r="AD5" s="8">
        <f t="shared" si="5"/>
        <v>436.70000000000005</v>
      </c>
      <c r="AE5" s="8">
        <f t="shared" si="5"/>
        <v>318.49339999999995</v>
      </c>
      <c r="AF5" s="8">
        <f>AF3*0.69</f>
        <v>331.78091099999995</v>
      </c>
      <c r="AG5" s="8">
        <f t="shared" ref="AG5:AO5" si="6">AG3*0.7</f>
        <v>370.24826300000001</v>
      </c>
      <c r="AH5" s="8">
        <f t="shared" si="6"/>
        <v>396.16564141000009</v>
      </c>
      <c r="AI5" s="8">
        <f t="shared" si="6"/>
        <v>415.9739234805001</v>
      </c>
      <c r="AJ5" s="8">
        <f t="shared" si="6"/>
        <v>432.61288041972011</v>
      </c>
      <c r="AK5" s="8">
        <f t="shared" si="6"/>
        <v>445.59126683231176</v>
      </c>
      <c r="AL5" s="8">
        <f t="shared" si="6"/>
        <v>458.9590048372811</v>
      </c>
      <c r="AM5" s="8">
        <f t="shared" si="6"/>
        <v>472.72777498239952</v>
      </c>
      <c r="AN5" s="8">
        <f t="shared" si="6"/>
        <v>486.90960823187152</v>
      </c>
      <c r="AO5" s="8">
        <f t="shared" si="6"/>
        <v>501.51689647882762</v>
      </c>
    </row>
    <row r="6" spans="2:145" x14ac:dyDescent="0.3">
      <c r="B6" t="s">
        <v>30</v>
      </c>
      <c r="C6" s="2">
        <v>46.1</v>
      </c>
      <c r="D6" s="2">
        <v>41.6</v>
      </c>
      <c r="E6" s="2">
        <v>43.3</v>
      </c>
      <c r="F6" s="2">
        <v>47.8</v>
      </c>
      <c r="G6" s="2">
        <v>52.4</v>
      </c>
      <c r="H6" s="2">
        <v>52.5</v>
      </c>
      <c r="I6" s="2">
        <v>45.4</v>
      </c>
      <c r="J6" s="2">
        <v>46.3</v>
      </c>
      <c r="K6" s="2">
        <v>46.9</v>
      </c>
      <c r="L6" s="2">
        <v>52.9</v>
      </c>
      <c r="M6" s="2">
        <v>46.2</v>
      </c>
      <c r="N6" s="2">
        <v>45.7</v>
      </c>
      <c r="O6" s="2">
        <v>44.4</v>
      </c>
      <c r="P6" s="2">
        <v>43.7</v>
      </c>
      <c r="Q6" s="2">
        <v>41.3</v>
      </c>
      <c r="R6" s="2">
        <v>41</v>
      </c>
      <c r="S6" s="2">
        <v>29.4</v>
      </c>
      <c r="T6" s="2">
        <f t="shared" ref="T6:V6" si="7">P6*0.9</f>
        <v>39.330000000000005</v>
      </c>
      <c r="U6" s="2">
        <f t="shared" si="7"/>
        <v>37.17</v>
      </c>
      <c r="V6" s="2">
        <f t="shared" si="7"/>
        <v>36.9</v>
      </c>
      <c r="X6" s="2">
        <v>114.3</v>
      </c>
      <c r="Y6" s="2">
        <v>139.80000000000001</v>
      </c>
      <c r="Z6" s="2">
        <v>170.9</v>
      </c>
      <c r="AA6" s="2">
        <f>SUM(C6:F6)</f>
        <v>178.8</v>
      </c>
      <c r="AB6" s="2">
        <f>SUM(G6:J6)</f>
        <v>196.60000000000002</v>
      </c>
      <c r="AC6" s="2">
        <f>SUM(K6:N6)</f>
        <v>191.7</v>
      </c>
      <c r="AD6" s="2">
        <f>SUM(O6:R6)</f>
        <v>170.39999999999998</v>
      </c>
      <c r="AE6" s="2">
        <f>SUM(S6:V6)</f>
        <v>142.80000000000001</v>
      </c>
      <c r="AF6" s="2">
        <f>AE6*1.02</f>
        <v>145.65600000000001</v>
      </c>
      <c r="AG6" s="2">
        <f t="shared" ref="AG6:AJ6" si="8">AF6*1.02</f>
        <v>148.56912</v>
      </c>
      <c r="AH6" s="2">
        <f t="shared" si="8"/>
        <v>151.54050240000001</v>
      </c>
      <c r="AI6" s="2">
        <f t="shared" si="8"/>
        <v>154.57131244800001</v>
      </c>
      <c r="AJ6" s="2">
        <f t="shared" si="8"/>
        <v>157.66273869696002</v>
      </c>
      <c r="AK6" s="2">
        <f>AJ6*1.01</f>
        <v>159.23936608392961</v>
      </c>
      <c r="AL6" s="2">
        <f t="shared" ref="AL6:AO6" si="9">AK6*1.01</f>
        <v>160.8317597447689</v>
      </c>
      <c r="AM6" s="2">
        <f t="shared" si="9"/>
        <v>162.4400773422166</v>
      </c>
      <c r="AN6" s="2">
        <f t="shared" si="9"/>
        <v>164.06447811563876</v>
      </c>
      <c r="AO6" s="2">
        <f t="shared" si="9"/>
        <v>165.70512289679516</v>
      </c>
    </row>
    <row r="7" spans="2:145" x14ac:dyDescent="0.3">
      <c r="B7" t="s">
        <v>31</v>
      </c>
      <c r="C7" s="2">
        <v>26.2</v>
      </c>
      <c r="D7" s="2">
        <v>21.7</v>
      </c>
      <c r="E7" s="2">
        <v>27.2</v>
      </c>
      <c r="F7" s="2">
        <v>30.3</v>
      </c>
      <c r="G7" s="2">
        <v>42.5</v>
      </c>
      <c r="H7" s="2">
        <v>35.299999999999997</v>
      </c>
      <c r="I7" s="2">
        <v>31.8</v>
      </c>
      <c r="J7" s="2">
        <v>38.1</v>
      </c>
      <c r="K7" s="2">
        <v>37</v>
      </c>
      <c r="L7" s="2">
        <v>31</v>
      </c>
      <c r="M7" s="2">
        <v>28.9</v>
      </c>
      <c r="N7" s="2">
        <v>29.7</v>
      </c>
      <c r="O7" s="2">
        <v>30.4</v>
      </c>
      <c r="P7" s="2">
        <v>23.5</v>
      </c>
      <c r="Q7" s="2">
        <v>26.5</v>
      </c>
      <c r="R7" s="2">
        <v>27.9</v>
      </c>
      <c r="S7" s="2">
        <v>25.6</v>
      </c>
      <c r="T7" s="2">
        <f t="shared" ref="T7" si="10">T3*0.17</f>
        <v>22.1816</v>
      </c>
      <c r="U7" s="2">
        <f>U3*0.2</f>
        <v>20.49</v>
      </c>
      <c r="V7" s="2">
        <f>V3*0.2</f>
        <v>27.265000000000001</v>
      </c>
      <c r="X7" s="2">
        <v>54.7</v>
      </c>
      <c r="Y7" s="2">
        <v>63.6</v>
      </c>
      <c r="Z7" s="2">
        <v>81.900000000000006</v>
      </c>
      <c r="AA7" s="2">
        <f>SUM(C7:F7)</f>
        <v>105.39999999999999</v>
      </c>
      <c r="AB7" s="2">
        <f>SUM(G7:J7)</f>
        <v>147.69999999999999</v>
      </c>
      <c r="AC7" s="2">
        <f>SUM(K7:N7)</f>
        <v>126.60000000000001</v>
      </c>
      <c r="AD7" s="2">
        <f>SUM(O7:R7)</f>
        <v>108.30000000000001</v>
      </c>
      <c r="AE7" s="2">
        <f>SUM(S7:V7)</f>
        <v>95.536599999999993</v>
      </c>
      <c r="AF7" s="2">
        <f>AF3*0.17</f>
        <v>81.743122999999997</v>
      </c>
      <c r="AG7" s="2">
        <f>AG3*0.16</f>
        <v>84.628174400000006</v>
      </c>
      <c r="AH7" s="2">
        <f t="shared" ref="AH7:AO7" si="11">AH3*0.15</f>
        <v>84.89263744500002</v>
      </c>
      <c r="AI7" s="2">
        <f t="shared" si="11"/>
        <v>89.137269317250016</v>
      </c>
      <c r="AJ7" s="2">
        <f t="shared" si="11"/>
        <v>92.702760089940028</v>
      </c>
      <c r="AK7" s="2">
        <f t="shared" si="11"/>
        <v>95.483842892638236</v>
      </c>
      <c r="AL7" s="2">
        <f t="shared" si="11"/>
        <v>98.348358179417389</v>
      </c>
      <c r="AM7" s="2">
        <f t="shared" si="11"/>
        <v>101.2988089247999</v>
      </c>
      <c r="AN7" s="2">
        <f t="shared" si="11"/>
        <v>104.33777319254391</v>
      </c>
      <c r="AO7" s="2">
        <f t="shared" si="11"/>
        <v>107.46790638832022</v>
      </c>
    </row>
    <row r="8" spans="2:145" x14ac:dyDescent="0.3">
      <c r="B8" t="s">
        <v>32</v>
      </c>
      <c r="C8" s="2">
        <v>37.9</v>
      </c>
      <c r="D8" s="2">
        <v>39.700000000000003</v>
      </c>
      <c r="E8" s="2">
        <v>34</v>
      </c>
      <c r="F8" s="2">
        <v>47.5</v>
      </c>
      <c r="G8" s="2">
        <v>46.9</v>
      </c>
      <c r="H8" s="2">
        <v>53.9</v>
      </c>
      <c r="I8" s="2">
        <v>53.7</v>
      </c>
      <c r="J8" s="2">
        <v>61.7</v>
      </c>
      <c r="K8" s="2">
        <v>59</v>
      </c>
      <c r="L8" s="2">
        <v>70.3</v>
      </c>
      <c r="M8" s="2">
        <v>57.1</v>
      </c>
      <c r="N8" s="2">
        <v>53.4</v>
      </c>
      <c r="O8" s="2">
        <v>55.5</v>
      </c>
      <c r="P8" s="2">
        <v>54</v>
      </c>
      <c r="Q8" s="2">
        <v>51.9</v>
      </c>
      <c r="R8" s="2">
        <v>56.3</v>
      </c>
      <c r="S8" s="2">
        <v>39.4</v>
      </c>
      <c r="T8" s="2">
        <f t="shared" ref="T8:V8" si="12">P8*1.02</f>
        <v>55.08</v>
      </c>
      <c r="U8" s="2">
        <f t="shared" si="12"/>
        <v>52.938000000000002</v>
      </c>
      <c r="V8" s="2">
        <f t="shared" si="12"/>
        <v>57.425999999999995</v>
      </c>
      <c r="X8" s="2">
        <v>77.7</v>
      </c>
      <c r="Y8" s="2">
        <v>97.5</v>
      </c>
      <c r="Z8" s="2">
        <v>129.30000000000001</v>
      </c>
      <c r="AA8" s="2">
        <f>SUM(C8:F8)</f>
        <v>159.1</v>
      </c>
      <c r="AB8" s="2">
        <f>SUM(G8:J8)</f>
        <v>216.2</v>
      </c>
      <c r="AC8" s="2">
        <f>SUM(K8:N8)</f>
        <v>239.8</v>
      </c>
      <c r="AD8" s="2">
        <f>SUM(O8:R8)</f>
        <v>217.7</v>
      </c>
      <c r="AE8" s="2">
        <f>SUM(S8:V8)</f>
        <v>204.84399999999999</v>
      </c>
      <c r="AF8" s="2">
        <f>AE8*1.02</f>
        <v>208.94087999999999</v>
      </c>
      <c r="AG8" s="2">
        <f t="shared" ref="AG8:AO8" si="13">AF8*1.02</f>
        <v>213.11969759999999</v>
      </c>
      <c r="AH8" s="2">
        <f t="shared" si="13"/>
        <v>217.38209155199999</v>
      </c>
      <c r="AI8" s="2">
        <f t="shared" si="13"/>
        <v>221.72973338303999</v>
      </c>
      <c r="AJ8" s="2">
        <f t="shared" si="13"/>
        <v>226.16432805070079</v>
      </c>
      <c r="AK8" s="2">
        <f t="shared" si="13"/>
        <v>230.68761461171482</v>
      </c>
      <c r="AL8" s="2">
        <f t="shared" si="13"/>
        <v>235.30136690394912</v>
      </c>
      <c r="AM8" s="2">
        <f t="shared" si="13"/>
        <v>240.00739424202811</v>
      </c>
      <c r="AN8" s="2">
        <f t="shared" si="13"/>
        <v>244.80754212686867</v>
      </c>
      <c r="AO8" s="2">
        <f t="shared" si="13"/>
        <v>249.70369296940603</v>
      </c>
    </row>
    <row r="9" spans="2:145" x14ac:dyDescent="0.3">
      <c r="B9" t="s">
        <v>68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>
        <v>2</v>
      </c>
      <c r="T9" s="2"/>
      <c r="U9" s="2"/>
      <c r="V9" s="2"/>
      <c r="X9" s="2"/>
      <c r="Y9" s="2"/>
      <c r="Z9" s="2"/>
      <c r="AA9" s="2"/>
      <c r="AB9" s="2"/>
      <c r="AC9" s="2"/>
      <c r="AD9" s="2"/>
      <c r="AE9" s="2">
        <f>SUM(S9:V9)</f>
        <v>2</v>
      </c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2:145" x14ac:dyDescent="0.3">
      <c r="B10" t="s">
        <v>33</v>
      </c>
      <c r="C10" s="2">
        <f t="shared" ref="C10:P10" si="14">SUM(C6:C8)</f>
        <v>110.19999999999999</v>
      </c>
      <c r="D10" s="2">
        <f t="shared" si="14"/>
        <v>103</v>
      </c>
      <c r="E10" s="2">
        <f t="shared" si="14"/>
        <v>104.5</v>
      </c>
      <c r="F10" s="2">
        <f t="shared" si="14"/>
        <v>125.6</v>
      </c>
      <c r="G10" s="2">
        <f t="shared" si="14"/>
        <v>141.80000000000001</v>
      </c>
      <c r="H10" s="2">
        <f t="shared" si="14"/>
        <v>141.69999999999999</v>
      </c>
      <c r="I10" s="2">
        <f t="shared" si="14"/>
        <v>130.9</v>
      </c>
      <c r="J10" s="2">
        <f t="shared" si="14"/>
        <v>146.10000000000002</v>
      </c>
      <c r="K10" s="2">
        <f t="shared" si="14"/>
        <v>142.9</v>
      </c>
      <c r="L10" s="2">
        <f t="shared" si="14"/>
        <v>154.19999999999999</v>
      </c>
      <c r="M10" s="2">
        <f t="shared" si="14"/>
        <v>132.19999999999999</v>
      </c>
      <c r="N10" s="2">
        <f t="shared" si="14"/>
        <v>128.80000000000001</v>
      </c>
      <c r="O10" s="2">
        <f t="shared" si="14"/>
        <v>130.30000000000001</v>
      </c>
      <c r="P10" s="2">
        <f t="shared" si="14"/>
        <v>121.2</v>
      </c>
      <c r="Q10" s="2">
        <f t="shared" ref="Q10:R10" si="15">SUM(Q6:Q8)</f>
        <v>119.69999999999999</v>
      </c>
      <c r="R10" s="2">
        <f t="shared" si="15"/>
        <v>125.2</v>
      </c>
      <c r="S10" s="2">
        <f>SUM(S6:S9)</f>
        <v>96.4</v>
      </c>
      <c r="T10" s="2">
        <f t="shared" ref="T10:V10" si="16">SUM(T6:T9)</f>
        <v>116.5916</v>
      </c>
      <c r="U10" s="2">
        <f t="shared" si="16"/>
        <v>110.598</v>
      </c>
      <c r="V10" s="2">
        <f t="shared" si="16"/>
        <v>121.59099999999998</v>
      </c>
      <c r="X10" s="2">
        <f t="shared" ref="X10:AD10" si="17">SUM(X6:X8)</f>
        <v>246.7</v>
      </c>
      <c r="Y10" s="2">
        <f t="shared" si="17"/>
        <v>300.89999999999998</v>
      </c>
      <c r="Z10" s="2">
        <f t="shared" si="17"/>
        <v>382.1</v>
      </c>
      <c r="AA10" s="2">
        <f t="shared" si="17"/>
        <v>443.29999999999995</v>
      </c>
      <c r="AB10" s="2">
        <f t="shared" si="17"/>
        <v>560.5</v>
      </c>
      <c r="AC10" s="2">
        <f t="shared" si="17"/>
        <v>558.1</v>
      </c>
      <c r="AD10" s="2">
        <f t="shared" si="17"/>
        <v>496.4</v>
      </c>
      <c r="AE10" s="2">
        <f>SUM(AE6:AE9)</f>
        <v>445.18060000000003</v>
      </c>
      <c r="AF10" s="2">
        <f t="shared" ref="AF10:AO10" si="18">SUM(AF6:AF9)</f>
        <v>436.34000300000002</v>
      </c>
      <c r="AG10" s="2">
        <f t="shared" si="18"/>
        <v>446.31699200000003</v>
      </c>
      <c r="AH10" s="2">
        <f t="shared" si="18"/>
        <v>453.81523139700005</v>
      </c>
      <c r="AI10" s="2">
        <f t="shared" si="18"/>
        <v>465.43831514829003</v>
      </c>
      <c r="AJ10" s="2">
        <f t="shared" si="18"/>
        <v>476.52982683760081</v>
      </c>
      <c r="AK10" s="2">
        <f t="shared" si="18"/>
        <v>485.41082358828265</v>
      </c>
      <c r="AL10" s="2">
        <f t="shared" si="18"/>
        <v>494.48148482813542</v>
      </c>
      <c r="AM10" s="2">
        <f t="shared" si="18"/>
        <v>503.7462805090446</v>
      </c>
      <c r="AN10" s="2">
        <f t="shared" si="18"/>
        <v>513.20979343505132</v>
      </c>
      <c r="AO10" s="2">
        <f t="shared" si="18"/>
        <v>522.87672225452138</v>
      </c>
    </row>
    <row r="11" spans="2:145" s="1" customFormat="1" x14ac:dyDescent="0.3">
      <c r="B11" s="1" t="s">
        <v>34</v>
      </c>
      <c r="C11" s="8">
        <f t="shared" ref="C11:P11" si="19">C5-C10</f>
        <v>16.800000000000011</v>
      </c>
      <c r="D11" s="8">
        <f t="shared" si="19"/>
        <v>34.800000000000011</v>
      </c>
      <c r="E11" s="8">
        <f t="shared" si="19"/>
        <v>0.30000000000001137</v>
      </c>
      <c r="F11" s="8">
        <f t="shared" si="19"/>
        <v>26.200000000000017</v>
      </c>
      <c r="G11" s="8">
        <f t="shared" si="19"/>
        <v>5.2999999999999829</v>
      </c>
      <c r="H11" s="8">
        <f t="shared" si="19"/>
        <v>7.3000000000000114</v>
      </c>
      <c r="I11" s="8">
        <f t="shared" si="19"/>
        <v>-11.40000000000002</v>
      </c>
      <c r="J11" s="8">
        <f t="shared" si="19"/>
        <v>7.6999999999999602</v>
      </c>
      <c r="K11" s="8">
        <f t="shared" si="19"/>
        <v>-4.5000000000000284</v>
      </c>
      <c r="L11" s="8">
        <f t="shared" si="19"/>
        <v>-18.699999999999989</v>
      </c>
      <c r="M11" s="8">
        <f t="shared" si="19"/>
        <v>-57.899999999999977</v>
      </c>
      <c r="N11" s="8">
        <f t="shared" si="19"/>
        <v>13.399999999999977</v>
      </c>
      <c r="O11" s="8">
        <f t="shared" si="19"/>
        <v>-2.4000000000000057</v>
      </c>
      <c r="P11" s="8">
        <f t="shared" si="19"/>
        <v>-3.5000000000000142</v>
      </c>
      <c r="Q11" s="8">
        <f t="shared" ref="Q11:R11" si="20">Q5-Q10</f>
        <v>-26.5</v>
      </c>
      <c r="R11" s="8">
        <f t="shared" si="20"/>
        <v>-27.299999999999997</v>
      </c>
      <c r="S11" s="8">
        <f t="shared" ref="S11:V11" si="21">S5-S10</f>
        <v>-29</v>
      </c>
      <c r="T11" s="8">
        <f t="shared" si="21"/>
        <v>-27.865200000000002</v>
      </c>
      <c r="U11" s="8">
        <f t="shared" si="21"/>
        <v>-40.932000000000002</v>
      </c>
      <c r="V11" s="8">
        <f t="shared" si="21"/>
        <v>-28.889999999999986</v>
      </c>
      <c r="X11" s="8">
        <f t="shared" ref="X11:AD11" si="22">X5-X10</f>
        <v>-5.5999999999999659</v>
      </c>
      <c r="Y11" s="8">
        <f t="shared" si="22"/>
        <v>17.800000000000011</v>
      </c>
      <c r="Z11" s="8">
        <f t="shared" si="22"/>
        <v>56.799999999999955</v>
      </c>
      <c r="AA11" s="8">
        <f t="shared" si="22"/>
        <v>78.099999999999909</v>
      </c>
      <c r="AB11" s="8">
        <f t="shared" si="22"/>
        <v>8.8999999999999773</v>
      </c>
      <c r="AC11" s="8">
        <f t="shared" si="22"/>
        <v>-67.700000000000045</v>
      </c>
      <c r="AD11" s="8">
        <f t="shared" si="22"/>
        <v>-59.699999999999932</v>
      </c>
      <c r="AE11" s="8">
        <f t="shared" ref="AE11:AO11" si="23">AE5-AE10</f>
        <v>-126.68720000000008</v>
      </c>
      <c r="AF11" s="8">
        <f t="shared" si="23"/>
        <v>-104.55909200000008</v>
      </c>
      <c r="AG11" s="8">
        <f t="shared" si="23"/>
        <v>-76.068729000000019</v>
      </c>
      <c r="AH11" s="8">
        <f t="shared" si="23"/>
        <v>-57.649589986999956</v>
      </c>
      <c r="AI11" s="8">
        <f t="shared" si="23"/>
        <v>-49.464391667789926</v>
      </c>
      <c r="AJ11" s="8">
        <f t="shared" si="23"/>
        <v>-43.916946417880695</v>
      </c>
      <c r="AK11" s="8">
        <f t="shared" si="23"/>
        <v>-39.819556755970893</v>
      </c>
      <c r="AL11" s="8">
        <f t="shared" si="23"/>
        <v>-35.522479990854322</v>
      </c>
      <c r="AM11" s="8">
        <f t="shared" si="23"/>
        <v>-31.018505526645072</v>
      </c>
      <c r="AN11" s="8">
        <f t="shared" si="23"/>
        <v>-26.300185203179808</v>
      </c>
      <c r="AO11" s="8">
        <f t="shared" si="23"/>
        <v>-21.359825775693764</v>
      </c>
    </row>
    <row r="12" spans="2:145" x14ac:dyDescent="0.3">
      <c r="B12" t="s">
        <v>35</v>
      </c>
      <c r="C12" s="2">
        <v>1.9</v>
      </c>
      <c r="D12" s="2">
        <v>1.7</v>
      </c>
      <c r="E12" s="2">
        <v>1.6</v>
      </c>
      <c r="F12" s="2">
        <v>1.6</v>
      </c>
      <c r="G12" s="2">
        <v>1.6</v>
      </c>
      <c r="H12" s="2">
        <v>1.6</v>
      </c>
      <c r="I12" s="2">
        <v>1.5</v>
      </c>
      <c r="J12" s="2">
        <v>1.3</v>
      </c>
      <c r="K12" s="2">
        <v>1.3</v>
      </c>
      <c r="L12" s="2">
        <v>1.1000000000000001</v>
      </c>
      <c r="M12" s="2">
        <v>0.7</v>
      </c>
      <c r="N12" s="2">
        <v>0.7</v>
      </c>
      <c r="O12" s="2">
        <v>0.7</v>
      </c>
      <c r="P12" s="2">
        <v>0.7</v>
      </c>
      <c r="Q12" s="2">
        <v>0.7</v>
      </c>
      <c r="R12" s="2">
        <v>0.6</v>
      </c>
      <c r="S12" s="2">
        <v>0.5</v>
      </c>
      <c r="T12" s="2">
        <v>1</v>
      </c>
      <c r="U12" s="2">
        <v>1</v>
      </c>
      <c r="V12" s="2">
        <v>1</v>
      </c>
      <c r="X12" s="2">
        <v>11.2</v>
      </c>
      <c r="Y12" s="2">
        <v>44.9</v>
      </c>
      <c r="Z12" s="2">
        <v>66.3</v>
      </c>
      <c r="AA12" s="2">
        <f>SUM(C12:F12)</f>
        <v>6.7999999999999989</v>
      </c>
      <c r="AB12" s="2">
        <f>SUM(G12:J12)</f>
        <v>6</v>
      </c>
      <c r="AC12" s="2">
        <f>SUM(K12:N12)</f>
        <v>3.8000000000000007</v>
      </c>
      <c r="AD12" s="2">
        <f>SUM(O12:R12)</f>
        <v>2.6999999999999997</v>
      </c>
      <c r="AE12" s="2">
        <f>SUM(S12:V12)</f>
        <v>3.5</v>
      </c>
      <c r="AF12" s="2">
        <f t="shared" ref="AF12:AO12" si="24">AE12*1.03</f>
        <v>3.605</v>
      </c>
      <c r="AG12" s="2">
        <f t="shared" si="24"/>
        <v>3.7131500000000002</v>
      </c>
      <c r="AH12" s="2">
        <f t="shared" si="24"/>
        <v>3.8245445000000005</v>
      </c>
      <c r="AI12" s="2">
        <f t="shared" si="24"/>
        <v>3.9392808350000004</v>
      </c>
      <c r="AJ12" s="2">
        <f t="shared" si="24"/>
        <v>4.0574592600500008</v>
      </c>
      <c r="AK12" s="2">
        <f t="shared" si="24"/>
        <v>4.1791830378515007</v>
      </c>
      <c r="AL12" s="2">
        <f t="shared" si="24"/>
        <v>4.3045585289870454</v>
      </c>
      <c r="AM12" s="2">
        <f t="shared" si="24"/>
        <v>4.4336952848566566</v>
      </c>
      <c r="AN12" s="2">
        <f t="shared" si="24"/>
        <v>4.5667061434023566</v>
      </c>
      <c r="AO12" s="2">
        <f t="shared" si="24"/>
        <v>4.7037073277044277</v>
      </c>
    </row>
    <row r="13" spans="2:145" x14ac:dyDescent="0.3">
      <c r="B13" t="s">
        <v>36</v>
      </c>
      <c r="C13" s="2">
        <v>77.2</v>
      </c>
      <c r="D13" s="2">
        <v>-1.9</v>
      </c>
      <c r="E13" s="2">
        <v>-8.6999999999999993</v>
      </c>
      <c r="F13" s="2">
        <v>-1.1000000000000001</v>
      </c>
      <c r="G13" s="2">
        <v>-6.2</v>
      </c>
      <c r="H13" s="2">
        <v>-1.8</v>
      </c>
      <c r="I13" s="2">
        <v>-97.3</v>
      </c>
      <c r="J13" s="2">
        <v>4.2</v>
      </c>
      <c r="K13" s="2">
        <v>-12.1</v>
      </c>
      <c r="L13" s="2">
        <v>-64.099999999999994</v>
      </c>
      <c r="M13" s="2">
        <v>-40.5</v>
      </c>
      <c r="N13" s="2">
        <v>-5.0999999999999996</v>
      </c>
      <c r="O13" s="2">
        <v>-10.8</v>
      </c>
      <c r="P13" s="2">
        <v>-7.1</v>
      </c>
      <c r="Q13" s="2">
        <v>-7.6</v>
      </c>
      <c r="R13" s="2">
        <v>-25.8</v>
      </c>
      <c r="S13" s="2">
        <v>-13</v>
      </c>
      <c r="T13" s="2">
        <f t="shared" ref="T13:V13" si="25">P13*1.02</f>
        <v>-7.242</v>
      </c>
      <c r="U13" s="2">
        <f t="shared" si="25"/>
        <v>-7.7519999999999998</v>
      </c>
      <c r="V13" s="2">
        <f t="shared" si="25"/>
        <v>-26.316000000000003</v>
      </c>
      <c r="X13" s="2">
        <v>-4</v>
      </c>
      <c r="Y13" s="2">
        <v>-20.100000000000001</v>
      </c>
      <c r="Z13" s="2">
        <v>-8.6999999999999993</v>
      </c>
      <c r="AA13" s="2">
        <f>SUM(C13:F13)</f>
        <v>65.5</v>
      </c>
      <c r="AB13" s="2">
        <f>SUM(G13:J13)</f>
        <v>-101.1</v>
      </c>
      <c r="AC13" s="2">
        <f>SUM(K13:N13)</f>
        <v>-121.79999999999998</v>
      </c>
      <c r="AD13" s="2">
        <f>SUM(O13:R13)</f>
        <v>-51.3</v>
      </c>
      <c r="AE13" s="2">
        <f>SUM(S13:V13)</f>
        <v>-54.31</v>
      </c>
      <c r="AF13" s="2">
        <f t="shared" ref="AF13:AO13" si="26">AE13*1.03</f>
        <v>-55.939300000000003</v>
      </c>
      <c r="AG13" s="2">
        <f t="shared" si="26"/>
        <v>-57.617479000000003</v>
      </c>
      <c r="AH13" s="2">
        <f t="shared" si="26"/>
        <v>-59.346003370000005</v>
      </c>
      <c r="AI13" s="2">
        <f t="shared" si="26"/>
        <v>-61.126383471100006</v>
      </c>
      <c r="AJ13" s="2">
        <f t="shared" si="26"/>
        <v>-62.960174975233009</v>
      </c>
      <c r="AK13" s="2">
        <f t="shared" si="26"/>
        <v>-64.848980224490006</v>
      </c>
      <c r="AL13" s="2">
        <f t="shared" si="26"/>
        <v>-66.794449631224708</v>
      </c>
      <c r="AM13" s="2">
        <f t="shared" si="26"/>
        <v>-68.798283120161457</v>
      </c>
      <c r="AN13" s="2">
        <f t="shared" si="26"/>
        <v>-70.862231613766298</v>
      </c>
      <c r="AO13" s="2">
        <f t="shared" si="26"/>
        <v>-72.988098562179289</v>
      </c>
    </row>
    <row r="14" spans="2:145" s="1" customFormat="1" x14ac:dyDescent="0.3">
      <c r="B14" s="1" t="s">
        <v>37</v>
      </c>
      <c r="C14" s="8">
        <f t="shared" ref="C14:P14" si="27">C11-C12-C13</f>
        <v>-62.29999999999999</v>
      </c>
      <c r="D14" s="8">
        <f t="shared" si="27"/>
        <v>35.000000000000007</v>
      </c>
      <c r="E14" s="8">
        <f t="shared" si="27"/>
        <v>7.400000000000011</v>
      </c>
      <c r="F14" s="8">
        <f t="shared" si="27"/>
        <v>25.700000000000017</v>
      </c>
      <c r="G14" s="8">
        <f t="shared" si="27"/>
        <v>9.8999999999999826</v>
      </c>
      <c r="H14" s="8">
        <f t="shared" si="27"/>
        <v>7.5000000000000115</v>
      </c>
      <c r="I14" s="8">
        <f t="shared" si="27"/>
        <v>84.399999999999977</v>
      </c>
      <c r="J14" s="8">
        <f t="shared" si="27"/>
        <v>2.1999999999999602</v>
      </c>
      <c r="K14" s="8">
        <f t="shared" si="27"/>
        <v>6.2999999999999714</v>
      </c>
      <c r="L14" s="8">
        <f t="shared" si="27"/>
        <v>44.300000000000004</v>
      </c>
      <c r="M14" s="8">
        <f t="shared" si="27"/>
        <v>-18.09999999999998</v>
      </c>
      <c r="N14" s="8">
        <f t="shared" si="27"/>
        <v>17.799999999999976</v>
      </c>
      <c r="O14" s="8">
        <f t="shared" si="27"/>
        <v>7.6999999999999948</v>
      </c>
      <c r="P14" s="8">
        <f t="shared" si="27"/>
        <v>2.8999999999999853</v>
      </c>
      <c r="Q14" s="8">
        <f t="shared" ref="Q14:V14" si="28">Q11-Q12-Q13</f>
        <v>-19.600000000000001</v>
      </c>
      <c r="R14" s="8">
        <f t="shared" si="28"/>
        <v>-2.0999999999999979</v>
      </c>
      <c r="S14" s="8">
        <f t="shared" si="28"/>
        <v>-16.5</v>
      </c>
      <c r="T14" s="8">
        <f t="shared" si="28"/>
        <v>-21.623200000000001</v>
      </c>
      <c r="U14" s="8">
        <f t="shared" si="28"/>
        <v>-34.18</v>
      </c>
      <c r="V14" s="8">
        <f t="shared" si="28"/>
        <v>-3.5739999999999839</v>
      </c>
      <c r="X14" s="8">
        <f t="shared" ref="X14:AD14" si="29">X11-X12-X13</f>
        <v>-12.799999999999965</v>
      </c>
      <c r="Y14" s="8">
        <f t="shared" si="29"/>
        <v>-6.9999999999999858</v>
      </c>
      <c r="Z14" s="8">
        <f t="shared" si="29"/>
        <v>-0.80000000000004334</v>
      </c>
      <c r="AA14" s="8">
        <f t="shared" si="29"/>
        <v>5.7999999999999119</v>
      </c>
      <c r="AB14" s="8">
        <f t="shared" si="29"/>
        <v>103.99999999999997</v>
      </c>
      <c r="AC14" s="8">
        <f t="shared" si="29"/>
        <v>50.29999999999994</v>
      </c>
      <c r="AD14" s="8">
        <f t="shared" si="29"/>
        <v>-11.099999999999937</v>
      </c>
      <c r="AE14" s="8">
        <f t="shared" ref="AE14:AO14" si="30">AE11-AE12-AE13</f>
        <v>-75.877200000000073</v>
      </c>
      <c r="AF14" s="8">
        <f t="shared" si="30"/>
        <v>-52.224792000000079</v>
      </c>
      <c r="AG14" s="8">
        <f t="shared" si="30"/>
        <v>-22.164400000000015</v>
      </c>
      <c r="AH14" s="8">
        <f t="shared" si="30"/>
        <v>-2.1281311169999526</v>
      </c>
      <c r="AI14" s="8">
        <f t="shared" si="30"/>
        <v>7.7227109683100821</v>
      </c>
      <c r="AJ14" s="8">
        <f t="shared" si="30"/>
        <v>14.985769297302312</v>
      </c>
      <c r="AK14" s="8">
        <f t="shared" si="30"/>
        <v>20.850240430667611</v>
      </c>
      <c r="AL14" s="8">
        <f t="shared" si="30"/>
        <v>26.967411111383342</v>
      </c>
      <c r="AM14" s="8">
        <f t="shared" si="30"/>
        <v>33.346082308659732</v>
      </c>
      <c r="AN14" s="8">
        <f t="shared" si="30"/>
        <v>39.995340267184133</v>
      </c>
      <c r="AO14" s="8">
        <f t="shared" si="30"/>
        <v>46.924565458781096</v>
      </c>
    </row>
    <row r="15" spans="2:145" x14ac:dyDescent="0.3">
      <c r="B15" t="s">
        <v>38</v>
      </c>
      <c r="C15" s="2">
        <v>2.8</v>
      </c>
      <c r="D15" s="2">
        <v>2.2000000000000002</v>
      </c>
      <c r="E15" s="2">
        <v>0.7</v>
      </c>
      <c r="F15" s="2">
        <v>1.4</v>
      </c>
      <c r="G15" s="2">
        <v>4.2</v>
      </c>
      <c r="H15" s="2">
        <v>0.1</v>
      </c>
      <c r="I15" s="2">
        <v>-167.3</v>
      </c>
      <c r="J15" s="2">
        <v>0.3</v>
      </c>
      <c r="K15" s="2">
        <v>4.2</v>
      </c>
      <c r="L15" s="2">
        <v>19.7</v>
      </c>
      <c r="M15" s="2">
        <v>0.2</v>
      </c>
      <c r="N15" s="2">
        <v>8.1</v>
      </c>
      <c r="O15" s="2">
        <v>9.1</v>
      </c>
      <c r="P15" s="2">
        <f>138.3-129.9</f>
        <v>8.4000000000000057</v>
      </c>
      <c r="Q15" s="2">
        <v>-2.7</v>
      </c>
      <c r="R15" s="2">
        <v>4</v>
      </c>
      <c r="S15" s="2">
        <v>1</v>
      </c>
      <c r="T15" s="2">
        <v>0</v>
      </c>
      <c r="U15" s="2">
        <v>0</v>
      </c>
      <c r="V15" s="2">
        <v>0</v>
      </c>
      <c r="X15" s="2">
        <v>1.4</v>
      </c>
      <c r="Y15" s="2">
        <v>2.6</v>
      </c>
      <c r="Z15" s="2">
        <v>5.4</v>
      </c>
      <c r="AA15" s="2">
        <f>SUM(C15:F15)</f>
        <v>7.1</v>
      </c>
      <c r="AB15" s="2">
        <f>SUM(G15:J15)</f>
        <v>-162.69999999999999</v>
      </c>
      <c r="AC15" s="2">
        <f>SUM(K15:N15)</f>
        <v>32.199999999999996</v>
      </c>
      <c r="AD15" s="2">
        <f>SUM(O15:R15)</f>
        <v>18.800000000000008</v>
      </c>
      <c r="AE15" s="2">
        <f>SUM(S15:V15)</f>
        <v>1</v>
      </c>
      <c r="AF15" s="2">
        <f>AF14*0.15</f>
        <v>-7.8337188000000113</v>
      </c>
      <c r="AG15" s="2">
        <f t="shared" ref="AG15:AO15" si="31">AG14*0.15</f>
        <v>-3.3246600000000019</v>
      </c>
      <c r="AH15" s="2">
        <f t="shared" si="31"/>
        <v>-0.31921966754999287</v>
      </c>
      <c r="AI15" s="2">
        <f t="shared" si="31"/>
        <v>1.1584066452465123</v>
      </c>
      <c r="AJ15" s="2">
        <f t="shared" si="31"/>
        <v>2.2478653945953466</v>
      </c>
      <c r="AK15" s="2">
        <f t="shared" si="31"/>
        <v>3.1275360646001418</v>
      </c>
      <c r="AL15" s="2">
        <f t="shared" si="31"/>
        <v>4.0451116667075011</v>
      </c>
      <c r="AM15" s="2">
        <f t="shared" si="31"/>
        <v>5.0019123462989592</v>
      </c>
      <c r="AN15" s="2">
        <f t="shared" si="31"/>
        <v>5.9993010400776194</v>
      </c>
      <c r="AO15" s="2">
        <f t="shared" si="31"/>
        <v>7.0386848188171642</v>
      </c>
    </row>
    <row r="16" spans="2:145" s="1" customFormat="1" x14ac:dyDescent="0.3">
      <c r="B16" s="1" t="s">
        <v>39</v>
      </c>
      <c r="C16" s="8">
        <f t="shared" ref="C16:P16" si="32">C14-C15</f>
        <v>-65.099999999999994</v>
      </c>
      <c r="D16" s="8">
        <f t="shared" si="32"/>
        <v>32.800000000000004</v>
      </c>
      <c r="E16" s="8">
        <f t="shared" si="32"/>
        <v>6.7000000000000108</v>
      </c>
      <c r="F16" s="8">
        <f t="shared" si="32"/>
        <v>24.300000000000018</v>
      </c>
      <c r="G16" s="8">
        <f t="shared" si="32"/>
        <v>5.6999999999999824</v>
      </c>
      <c r="H16" s="8">
        <f t="shared" si="32"/>
        <v>7.4000000000000119</v>
      </c>
      <c r="I16" s="8">
        <f t="shared" si="32"/>
        <v>251.7</v>
      </c>
      <c r="J16" s="8">
        <f t="shared" si="32"/>
        <v>1.8999999999999602</v>
      </c>
      <c r="K16" s="8">
        <f t="shared" si="32"/>
        <v>2.0999999999999712</v>
      </c>
      <c r="L16" s="8">
        <f t="shared" si="32"/>
        <v>24.600000000000005</v>
      </c>
      <c r="M16" s="8">
        <f t="shared" si="32"/>
        <v>-18.299999999999979</v>
      </c>
      <c r="N16" s="8">
        <f t="shared" si="32"/>
        <v>9.6999999999999762</v>
      </c>
      <c r="O16" s="8">
        <f t="shared" si="32"/>
        <v>-1.4000000000000048</v>
      </c>
      <c r="P16" s="8">
        <f t="shared" si="32"/>
        <v>-5.5000000000000204</v>
      </c>
      <c r="Q16" s="8">
        <f t="shared" ref="Q16:R16" si="33">Q14-Q15</f>
        <v>-16.900000000000002</v>
      </c>
      <c r="R16" s="8">
        <f t="shared" si="33"/>
        <v>-6.0999999999999979</v>
      </c>
      <c r="S16" s="8">
        <f t="shared" ref="S16:V16" si="34">S14-S15</f>
        <v>-17.5</v>
      </c>
      <c r="T16" s="8">
        <f t="shared" si="34"/>
        <v>-21.623200000000001</v>
      </c>
      <c r="U16" s="8">
        <f t="shared" si="34"/>
        <v>-34.18</v>
      </c>
      <c r="V16" s="8">
        <f t="shared" si="34"/>
        <v>-3.5739999999999839</v>
      </c>
      <c r="X16" s="8">
        <f t="shared" ref="X16:AD16" si="35">X14-X15</f>
        <v>-14.199999999999966</v>
      </c>
      <c r="Y16" s="8">
        <f t="shared" si="35"/>
        <v>-9.5999999999999854</v>
      </c>
      <c r="Z16" s="8">
        <f t="shared" si="35"/>
        <v>-6.2000000000000437</v>
      </c>
      <c r="AA16" s="8">
        <f t="shared" si="35"/>
        <v>-1.3000000000000878</v>
      </c>
      <c r="AB16" s="8">
        <f t="shared" si="35"/>
        <v>266.69999999999993</v>
      </c>
      <c r="AC16" s="8">
        <f t="shared" si="35"/>
        <v>18.099999999999945</v>
      </c>
      <c r="AD16" s="8">
        <f t="shared" si="35"/>
        <v>-29.899999999999945</v>
      </c>
      <c r="AE16" s="8">
        <f t="shared" ref="AE16:AO16" si="36">AE14-AE15</f>
        <v>-76.877200000000073</v>
      </c>
      <c r="AF16" s="8">
        <f t="shared" si="36"/>
        <v>-44.391073200000065</v>
      </c>
      <c r="AG16" s="8">
        <f t="shared" si="36"/>
        <v>-18.839740000000013</v>
      </c>
      <c r="AH16" s="8">
        <f t="shared" si="36"/>
        <v>-1.8089114494499596</v>
      </c>
      <c r="AI16" s="8">
        <f t="shared" si="36"/>
        <v>6.5643043230635696</v>
      </c>
      <c r="AJ16" s="8">
        <f t="shared" si="36"/>
        <v>12.737903902706964</v>
      </c>
      <c r="AK16" s="8">
        <f t="shared" si="36"/>
        <v>17.722704366067468</v>
      </c>
      <c r="AL16" s="8">
        <f t="shared" si="36"/>
        <v>22.92229944467584</v>
      </c>
      <c r="AM16" s="8">
        <f t="shared" si="36"/>
        <v>28.344169962360773</v>
      </c>
      <c r="AN16" s="8">
        <f t="shared" si="36"/>
        <v>33.996039227106515</v>
      </c>
      <c r="AO16" s="8">
        <f t="shared" si="36"/>
        <v>39.885880639963929</v>
      </c>
      <c r="AP16" s="1">
        <f>AO16*(1+$AS$21)</f>
        <v>39.487021833564292</v>
      </c>
      <c r="AQ16" s="1">
        <f t="shared" ref="AQ16:DB16" si="37">AP16*(1+$AS$21)</f>
        <v>39.092151615228651</v>
      </c>
      <c r="AR16" s="1">
        <f t="shared" si="37"/>
        <v>38.701230099076362</v>
      </c>
      <c r="AS16" s="1">
        <f t="shared" si="37"/>
        <v>38.3142177980856</v>
      </c>
      <c r="AT16" s="1">
        <f t="shared" si="37"/>
        <v>37.931075620104743</v>
      </c>
      <c r="AU16" s="1">
        <f t="shared" si="37"/>
        <v>37.551764863903692</v>
      </c>
      <c r="AV16" s="1">
        <f t="shared" si="37"/>
        <v>37.176247215264652</v>
      </c>
      <c r="AW16" s="1">
        <f t="shared" si="37"/>
        <v>36.804484743112006</v>
      </c>
      <c r="AX16" s="1">
        <f t="shared" si="37"/>
        <v>36.436439895680884</v>
      </c>
      <c r="AY16" s="1">
        <f t="shared" si="37"/>
        <v>36.072075496724075</v>
      </c>
      <c r="AZ16" s="1">
        <f t="shared" si="37"/>
        <v>35.711354741756836</v>
      </c>
      <c r="BA16" s="1">
        <f t="shared" si="37"/>
        <v>35.354241194339266</v>
      </c>
      <c r="BB16" s="1">
        <f t="shared" si="37"/>
        <v>35.000698782395872</v>
      </c>
      <c r="BC16" s="1">
        <f t="shared" si="37"/>
        <v>34.650691794571912</v>
      </c>
      <c r="BD16" s="1">
        <f t="shared" si="37"/>
        <v>34.304184876626195</v>
      </c>
      <c r="BE16" s="1">
        <f t="shared" si="37"/>
        <v>33.961143027859933</v>
      </c>
      <c r="BF16" s="1">
        <f t="shared" si="37"/>
        <v>33.621531597581331</v>
      </c>
      <c r="BG16" s="1">
        <f t="shared" si="37"/>
        <v>33.285316281605517</v>
      </c>
      <c r="BH16" s="1">
        <f t="shared" si="37"/>
        <v>32.95246311878946</v>
      </c>
      <c r="BI16" s="1">
        <f t="shared" si="37"/>
        <v>32.622938487601566</v>
      </c>
      <c r="BJ16" s="1">
        <f t="shared" si="37"/>
        <v>32.296709102725551</v>
      </c>
      <c r="BK16" s="1">
        <f t="shared" si="37"/>
        <v>31.973742011698295</v>
      </c>
      <c r="BL16" s="1">
        <f t="shared" si="37"/>
        <v>31.654004591581312</v>
      </c>
      <c r="BM16" s="1">
        <f t="shared" si="37"/>
        <v>31.337464545665497</v>
      </c>
      <c r="BN16" s="1">
        <f t="shared" si="37"/>
        <v>31.024089900208843</v>
      </c>
      <c r="BO16" s="1">
        <f t="shared" si="37"/>
        <v>30.713849001206754</v>
      </c>
      <c r="BP16" s="1">
        <f t="shared" si="37"/>
        <v>30.406710511194685</v>
      </c>
      <c r="BQ16" s="1">
        <f t="shared" si="37"/>
        <v>30.102643406082738</v>
      </c>
      <c r="BR16" s="1">
        <f t="shared" si="37"/>
        <v>29.801616972021911</v>
      </c>
      <c r="BS16" s="1">
        <f t="shared" si="37"/>
        <v>29.50360080230169</v>
      </c>
      <c r="BT16" s="1">
        <f t="shared" si="37"/>
        <v>29.208564794278672</v>
      </c>
      <c r="BU16" s="1">
        <f t="shared" si="37"/>
        <v>28.916479146335885</v>
      </c>
      <c r="BV16" s="1">
        <f t="shared" si="37"/>
        <v>28.627314354872524</v>
      </c>
      <c r="BW16" s="1">
        <f t="shared" si="37"/>
        <v>28.341041211323798</v>
      </c>
      <c r="BX16" s="1">
        <f t="shared" si="37"/>
        <v>28.05763079921056</v>
      </c>
      <c r="BY16" s="1">
        <f t="shared" si="37"/>
        <v>27.777054491218454</v>
      </c>
      <c r="BZ16" s="1">
        <f t="shared" si="37"/>
        <v>27.499283946306271</v>
      </c>
      <c r="CA16" s="1">
        <f t="shared" si="37"/>
        <v>27.224291106843207</v>
      </c>
      <c r="CB16" s="1">
        <f t="shared" si="37"/>
        <v>26.952048195774776</v>
      </c>
      <c r="CC16" s="1">
        <f t="shared" si="37"/>
        <v>26.682527713817027</v>
      </c>
      <c r="CD16" s="1">
        <f t="shared" si="37"/>
        <v>26.415702436678856</v>
      </c>
      <c r="CE16" s="1">
        <f t="shared" si="37"/>
        <v>26.151545412312068</v>
      </c>
      <c r="CF16" s="1">
        <f t="shared" si="37"/>
        <v>25.890029958188947</v>
      </c>
      <c r="CG16" s="1">
        <f t="shared" si="37"/>
        <v>25.631129658607058</v>
      </c>
      <c r="CH16" s="1">
        <f t="shared" si="37"/>
        <v>25.374818362020989</v>
      </c>
      <c r="CI16" s="1">
        <f t="shared" si="37"/>
        <v>25.121070178400778</v>
      </c>
      <c r="CJ16" s="1">
        <f t="shared" si="37"/>
        <v>24.869859476616771</v>
      </c>
      <c r="CK16" s="1">
        <f t="shared" si="37"/>
        <v>24.621160881850603</v>
      </c>
      <c r="CL16" s="1">
        <f t="shared" si="37"/>
        <v>24.374949273032097</v>
      </c>
      <c r="CM16" s="1">
        <f t="shared" si="37"/>
        <v>24.131199780301777</v>
      </c>
      <c r="CN16" s="1">
        <f t="shared" si="37"/>
        <v>23.889887782498761</v>
      </c>
      <c r="CO16" s="1">
        <f t="shared" si="37"/>
        <v>23.650988904673774</v>
      </c>
      <c r="CP16" s="1">
        <f t="shared" si="37"/>
        <v>23.414479015627037</v>
      </c>
      <c r="CQ16" s="1">
        <f t="shared" si="37"/>
        <v>23.180334225470766</v>
      </c>
      <c r="CR16" s="1">
        <f t="shared" si="37"/>
        <v>22.948530883216058</v>
      </c>
      <c r="CS16" s="1">
        <f t="shared" si="37"/>
        <v>22.719045574383898</v>
      </c>
      <c r="CT16" s="1">
        <f t="shared" si="37"/>
        <v>22.491855118640061</v>
      </c>
      <c r="CU16" s="1">
        <f t="shared" si="37"/>
        <v>22.266936567453659</v>
      </c>
      <c r="CV16" s="1">
        <f t="shared" si="37"/>
        <v>22.044267201779121</v>
      </c>
      <c r="CW16" s="1">
        <f t="shared" si="37"/>
        <v>21.823824529761328</v>
      </c>
      <c r="CX16" s="1">
        <f t="shared" si="37"/>
        <v>21.605586284463715</v>
      </c>
      <c r="CY16" s="1">
        <f t="shared" si="37"/>
        <v>21.389530421619078</v>
      </c>
      <c r="CZ16" s="1">
        <f t="shared" si="37"/>
        <v>21.175635117402887</v>
      </c>
      <c r="DA16" s="1">
        <f t="shared" si="37"/>
        <v>20.963878766228859</v>
      </c>
      <c r="DB16" s="1">
        <f t="shared" si="37"/>
        <v>20.75423997856657</v>
      </c>
      <c r="DC16" s="1">
        <f t="shared" ref="DC16:EO16" si="38">DB16*(1+$AS$21)</f>
        <v>20.546697578780904</v>
      </c>
      <c r="DD16" s="1">
        <f t="shared" si="38"/>
        <v>20.341230602993093</v>
      </c>
      <c r="DE16" s="1">
        <f t="shared" si="38"/>
        <v>20.137818296963161</v>
      </c>
      <c r="DF16" s="1">
        <f t="shared" si="38"/>
        <v>19.93644011399353</v>
      </c>
      <c r="DG16" s="1">
        <f t="shared" si="38"/>
        <v>19.737075712853596</v>
      </c>
      <c r="DH16" s="1">
        <f t="shared" si="38"/>
        <v>19.53970495572506</v>
      </c>
      <c r="DI16" s="1">
        <f t="shared" si="38"/>
        <v>19.34430790616781</v>
      </c>
      <c r="DJ16" s="1">
        <f t="shared" si="38"/>
        <v>19.150864827106133</v>
      </c>
      <c r="DK16" s="1">
        <f t="shared" si="38"/>
        <v>18.959356178835073</v>
      </c>
      <c r="DL16" s="1">
        <f t="shared" si="38"/>
        <v>18.769762617046723</v>
      </c>
      <c r="DM16" s="1">
        <f t="shared" si="38"/>
        <v>18.582064990876255</v>
      </c>
      <c r="DN16" s="1">
        <f t="shared" si="38"/>
        <v>18.396244340967492</v>
      </c>
      <c r="DO16" s="1">
        <f t="shared" si="38"/>
        <v>18.212281897557816</v>
      </c>
      <c r="DP16" s="1">
        <f t="shared" si="38"/>
        <v>18.030159078582237</v>
      </c>
      <c r="DQ16" s="1">
        <f t="shared" si="38"/>
        <v>17.849857487796413</v>
      </c>
      <c r="DR16" s="1">
        <f t="shared" si="38"/>
        <v>17.67135891291845</v>
      </c>
      <c r="DS16" s="1">
        <f t="shared" si="38"/>
        <v>17.494645323789264</v>
      </c>
      <c r="DT16" s="1">
        <f t="shared" si="38"/>
        <v>17.31969887055137</v>
      </c>
      <c r="DU16" s="1">
        <f t="shared" si="38"/>
        <v>17.146501881845857</v>
      </c>
      <c r="DV16" s="1">
        <f t="shared" si="38"/>
        <v>16.975036863027398</v>
      </c>
      <c r="DW16" s="1">
        <f t="shared" si="38"/>
        <v>16.805286494397123</v>
      </c>
      <c r="DX16" s="1">
        <f t="shared" si="38"/>
        <v>16.637233629453153</v>
      </c>
      <c r="DY16" s="1">
        <f t="shared" si="38"/>
        <v>16.47086129315862</v>
      </c>
      <c r="DZ16" s="1">
        <f t="shared" si="38"/>
        <v>16.306152680227033</v>
      </c>
      <c r="EA16" s="1">
        <f t="shared" si="38"/>
        <v>16.143091153424763</v>
      </c>
      <c r="EB16" s="1">
        <f t="shared" si="38"/>
        <v>15.981660241890514</v>
      </c>
      <c r="EC16" s="1">
        <f t="shared" si="38"/>
        <v>15.821843639471609</v>
      </c>
      <c r="ED16" s="1">
        <f t="shared" si="38"/>
        <v>15.663625203076894</v>
      </c>
      <c r="EE16" s="1">
        <f t="shared" si="38"/>
        <v>15.506988951046125</v>
      </c>
      <c r="EF16" s="1">
        <f t="shared" si="38"/>
        <v>15.351919061535664</v>
      </c>
      <c r="EG16" s="1">
        <f t="shared" si="38"/>
        <v>15.198399870920307</v>
      </c>
      <c r="EH16" s="1">
        <f t="shared" si="38"/>
        <v>15.046415872211103</v>
      </c>
      <c r="EI16" s="1">
        <f t="shared" si="38"/>
        <v>14.895951713488992</v>
      </c>
      <c r="EJ16" s="1">
        <f t="shared" si="38"/>
        <v>14.746992196354103</v>
      </c>
      <c r="EK16" s="1">
        <f t="shared" si="38"/>
        <v>14.599522274390562</v>
      </c>
      <c r="EL16" s="1">
        <f t="shared" si="38"/>
        <v>14.453527051646656</v>
      </c>
      <c r="EM16" s="1">
        <f t="shared" si="38"/>
        <v>14.308991781130189</v>
      </c>
      <c r="EN16" s="1">
        <f t="shared" si="38"/>
        <v>14.165901863318886</v>
      </c>
      <c r="EO16" s="1">
        <f t="shared" si="38"/>
        <v>14.024242844685697</v>
      </c>
    </row>
    <row r="17" spans="2:45" x14ac:dyDescent="0.3">
      <c r="B17" t="s">
        <v>2</v>
      </c>
      <c r="C17" s="2">
        <v>103.7</v>
      </c>
      <c r="D17" s="2">
        <v>103.7</v>
      </c>
      <c r="E17" s="2">
        <v>103.7</v>
      </c>
      <c r="F17" s="2">
        <v>103.7</v>
      </c>
      <c r="G17" s="2">
        <v>103.7</v>
      </c>
      <c r="H17" s="2">
        <v>103.7</v>
      </c>
      <c r="I17" s="2">
        <v>103.7</v>
      </c>
      <c r="J17" s="2">
        <v>103.7</v>
      </c>
      <c r="K17" s="2">
        <v>103.7</v>
      </c>
      <c r="L17" s="2">
        <v>103.7</v>
      </c>
      <c r="M17" s="2">
        <v>103.7</v>
      </c>
      <c r="N17" s="2">
        <v>103.7</v>
      </c>
      <c r="O17" s="2">
        <v>103.7</v>
      </c>
      <c r="P17" s="2">
        <v>103.7</v>
      </c>
      <c r="Q17" s="2">
        <v>104.3</v>
      </c>
      <c r="R17" s="2">
        <v>105.1</v>
      </c>
      <c r="S17" s="2">
        <v>106.6</v>
      </c>
      <c r="T17" s="2">
        <v>106.6</v>
      </c>
      <c r="U17" s="2">
        <v>106.6</v>
      </c>
      <c r="V17" s="2">
        <v>106.6</v>
      </c>
      <c r="X17" s="2">
        <v>103.7</v>
      </c>
      <c r="Y17" s="2">
        <v>103.7</v>
      </c>
      <c r="Z17" s="2">
        <v>103.7</v>
      </c>
      <c r="AA17" s="2">
        <v>103.7</v>
      </c>
      <c r="AB17" s="2">
        <v>103.7</v>
      </c>
      <c r="AC17" s="2">
        <v>103.7</v>
      </c>
      <c r="AD17" s="2">
        <v>105.1</v>
      </c>
      <c r="AE17" s="2">
        <v>105.1</v>
      </c>
      <c r="AF17" s="2">
        <v>105.1</v>
      </c>
      <c r="AG17" s="2">
        <v>105.1</v>
      </c>
      <c r="AH17" s="2">
        <v>105.1</v>
      </c>
      <c r="AI17" s="2">
        <v>105.1</v>
      </c>
      <c r="AJ17" s="2">
        <v>105.1</v>
      </c>
      <c r="AK17" s="2">
        <v>105.1</v>
      </c>
      <c r="AL17" s="2">
        <v>105.1</v>
      </c>
      <c r="AM17" s="2">
        <v>105.1</v>
      </c>
      <c r="AN17" s="2">
        <v>105.1</v>
      </c>
      <c r="AO17" s="2">
        <v>105.1</v>
      </c>
    </row>
    <row r="18" spans="2:45" x14ac:dyDescent="0.3">
      <c r="B18" t="s">
        <v>40</v>
      </c>
      <c r="C18" s="7">
        <f t="shared" ref="C18:P18" si="39">C16/C17</f>
        <v>-0.62777242044358716</v>
      </c>
      <c r="D18" s="7">
        <f t="shared" si="39"/>
        <v>0.31629701060752174</v>
      </c>
      <c r="E18" s="7">
        <f t="shared" si="39"/>
        <v>6.4609450337512156E-2</v>
      </c>
      <c r="F18" s="7">
        <f t="shared" si="39"/>
        <v>0.23432979749276778</v>
      </c>
      <c r="G18" s="7">
        <f t="shared" si="39"/>
        <v>5.4966248794599638E-2</v>
      </c>
      <c r="H18" s="7">
        <f t="shared" si="39"/>
        <v>7.1359691417550733E-2</v>
      </c>
      <c r="I18" s="7">
        <f t="shared" si="39"/>
        <v>2.4271938283510122</v>
      </c>
      <c r="J18" s="7">
        <f t="shared" si="39"/>
        <v>1.8322082931532886E-2</v>
      </c>
      <c r="K18" s="7">
        <f t="shared" si="39"/>
        <v>2.025072324011544E-2</v>
      </c>
      <c r="L18" s="7">
        <f t="shared" si="39"/>
        <v>0.23722275795564132</v>
      </c>
      <c r="M18" s="7">
        <f t="shared" si="39"/>
        <v>-0.17647058823529391</v>
      </c>
      <c r="N18" s="7">
        <f t="shared" si="39"/>
        <v>9.3539054966248564E-2</v>
      </c>
      <c r="O18" s="7">
        <f t="shared" si="39"/>
        <v>-1.3500482160077192E-2</v>
      </c>
      <c r="P18" s="7">
        <f t="shared" si="39"/>
        <v>-5.3037608486017553E-2</v>
      </c>
      <c r="Q18" s="7">
        <f t="shared" ref="Q18:R18" si="40">Q16/Q17</f>
        <v>-0.16203259827420904</v>
      </c>
      <c r="R18" s="7">
        <f t="shared" si="40"/>
        <v>-5.8039961941008543E-2</v>
      </c>
      <c r="S18" s="7">
        <f t="shared" ref="S18:V18" si="41">S16/S17</f>
        <v>-0.16416510318949346</v>
      </c>
      <c r="T18" s="7">
        <f t="shared" si="41"/>
        <v>-0.20284427767354599</v>
      </c>
      <c r="U18" s="7">
        <f t="shared" si="41"/>
        <v>-0.32063789868667919</v>
      </c>
      <c r="V18" s="7">
        <f t="shared" si="41"/>
        <v>-3.3527204502814108E-2</v>
      </c>
      <c r="X18" s="7">
        <f t="shared" ref="X18:AD18" si="42">X16/X17</f>
        <v>-0.13693346190935357</v>
      </c>
      <c r="Y18" s="7">
        <f t="shared" si="42"/>
        <v>-9.2574734811957424E-2</v>
      </c>
      <c r="Z18" s="7">
        <f t="shared" si="42"/>
        <v>-5.9787849566056352E-2</v>
      </c>
      <c r="AA18" s="7">
        <f t="shared" si="42"/>
        <v>-1.2536162005786767E-2</v>
      </c>
      <c r="AB18" s="7">
        <f t="shared" si="42"/>
        <v>2.5718418514946957</v>
      </c>
      <c r="AC18" s="7">
        <f t="shared" si="42"/>
        <v>0.17454194792671113</v>
      </c>
      <c r="AD18" s="7">
        <f t="shared" si="42"/>
        <v>-0.28449096098953325</v>
      </c>
      <c r="AE18" s="7">
        <f t="shared" ref="AE18:AO18" si="43">AE16/AE17</f>
        <v>-0.7314671741198866</v>
      </c>
      <c r="AF18" s="7">
        <f t="shared" si="43"/>
        <v>-0.42236986869648019</v>
      </c>
      <c r="AG18" s="7">
        <f t="shared" si="43"/>
        <v>-0.17925537583254059</v>
      </c>
      <c r="AH18" s="7">
        <f t="shared" si="43"/>
        <v>-1.7211336341103327E-2</v>
      </c>
      <c r="AI18" s="7">
        <f t="shared" si="43"/>
        <v>6.2457700504886492E-2</v>
      </c>
      <c r="AJ18" s="7">
        <f t="shared" si="43"/>
        <v>0.12119794388874372</v>
      </c>
      <c r="AK18" s="7">
        <f t="shared" si="43"/>
        <v>0.16862706342595118</v>
      </c>
      <c r="AL18" s="7">
        <f t="shared" si="43"/>
        <v>0.21809989956875206</v>
      </c>
      <c r="AM18" s="7">
        <f t="shared" si="43"/>
        <v>0.26968763046965533</v>
      </c>
      <c r="AN18" s="7">
        <f t="shared" si="43"/>
        <v>0.32346374145676993</v>
      </c>
      <c r="AO18" s="7">
        <f t="shared" si="43"/>
        <v>0.37950409743067487</v>
      </c>
    </row>
    <row r="20" spans="2:45" s="1" customFormat="1" x14ac:dyDescent="0.3">
      <c r="B20" s="1" t="s">
        <v>42</v>
      </c>
      <c r="C20" s="10"/>
      <c r="D20" s="10"/>
      <c r="E20" s="10"/>
      <c r="F20" s="10"/>
      <c r="G20" s="10">
        <f t="shared" ref="G20:P20" si="44">G3/C3-1</f>
        <v>1.9153225806451513E-2</v>
      </c>
      <c r="H20" s="10">
        <f t="shared" si="44"/>
        <v>-1.9143576826196496E-2</v>
      </c>
      <c r="I20" s="10">
        <f t="shared" si="44"/>
        <v>-4.1884816753926746E-2</v>
      </c>
      <c r="J20" s="10">
        <f t="shared" si="44"/>
        <v>-1.1084337349397622E-2</v>
      </c>
      <c r="K20" s="10">
        <f t="shared" si="44"/>
        <v>-7.2205736894164207E-2</v>
      </c>
      <c r="L20" s="10">
        <f t="shared" si="44"/>
        <v>-6.0606060606060552E-2</v>
      </c>
      <c r="M20" s="10">
        <f t="shared" si="44"/>
        <v>-4.1287188828172283E-2</v>
      </c>
      <c r="N20" s="10">
        <f t="shared" si="44"/>
        <v>-8.3820662768031129E-2</v>
      </c>
      <c r="O20" s="10">
        <f t="shared" si="44"/>
        <v>-7.0362473347547971E-2</v>
      </c>
      <c r="P20" s="10">
        <f t="shared" si="44"/>
        <v>-0.10825587752870425</v>
      </c>
      <c r="Q20" s="10">
        <f t="shared" ref="Q20" si="45">Q3/M3-1</f>
        <v>-0.13489550348321733</v>
      </c>
      <c r="R20" s="10">
        <f t="shared" ref="R20" si="46">R3/N3-1</f>
        <v>-0.23670212765957444</v>
      </c>
      <c r="S20" s="10">
        <f t="shared" ref="S20" si="47">S3/O3-1</f>
        <v>-0.30389908256880738</v>
      </c>
      <c r="T20" s="10">
        <f t="shared" ref="T20" si="48">T3/P3-1</f>
        <v>-0.20000000000000007</v>
      </c>
      <c r="U20" s="10">
        <f t="shared" ref="U20" si="49">U3/Q3-1</f>
        <v>-0.25</v>
      </c>
      <c r="V20" s="10">
        <f t="shared" ref="V20" si="50">V3/R3-1</f>
        <v>-5.0000000000000044E-2</v>
      </c>
      <c r="X20" s="10"/>
      <c r="Y20" s="10">
        <f>Y3/X3-1</f>
        <v>0.27966365618187461</v>
      </c>
      <c r="Z20" s="10">
        <f t="shared" ref="Z20:AO20" si="51">Z3/Y3-1</f>
        <v>0.56802141640301773</v>
      </c>
      <c r="AA20" s="10">
        <f t="shared" si="51"/>
        <v>0.20487350613068456</v>
      </c>
      <c r="AB20" s="10">
        <f t="shared" si="51"/>
        <v>-1.223753703465158E-2</v>
      </c>
      <c r="AC20" s="10">
        <f t="shared" si="51"/>
        <v>-6.5727699530516381E-2</v>
      </c>
      <c r="AD20" s="10">
        <f t="shared" si="51"/>
        <v>-0.13791178112786151</v>
      </c>
      <c r="AE20" s="10">
        <f t="shared" si="51"/>
        <v>-0.20554566062176172</v>
      </c>
      <c r="AF20" s="10">
        <f t="shared" si="51"/>
        <v>-2.0000000000000018E-2</v>
      </c>
      <c r="AG20" s="10">
        <f t="shared" si="51"/>
        <v>0.10000000000000031</v>
      </c>
      <c r="AH20" s="10">
        <f t="shared" si="51"/>
        <v>7.0000000000000062E-2</v>
      </c>
      <c r="AI20" s="10">
        <f t="shared" si="51"/>
        <v>5.0000000000000044E-2</v>
      </c>
      <c r="AJ20" s="10">
        <f t="shared" si="51"/>
        <v>4.0000000000000036E-2</v>
      </c>
      <c r="AK20" s="10">
        <f t="shared" si="51"/>
        <v>3.0000000000000027E-2</v>
      </c>
      <c r="AL20" s="10">
        <f t="shared" si="51"/>
        <v>3.0000000000000027E-2</v>
      </c>
      <c r="AM20" s="10">
        <f t="shared" si="51"/>
        <v>3.0000000000000027E-2</v>
      </c>
      <c r="AN20" s="10">
        <f t="shared" si="51"/>
        <v>3.0000000000000027E-2</v>
      </c>
      <c r="AO20" s="10">
        <f t="shared" si="51"/>
        <v>3.0000000000000027E-2</v>
      </c>
    </row>
    <row r="21" spans="2:45" x14ac:dyDescent="0.3">
      <c r="B21" t="s">
        <v>43</v>
      </c>
      <c r="C21" s="9">
        <f t="shared" ref="C21:J21" si="52">C5/C3</f>
        <v>0.6401209677419355</v>
      </c>
      <c r="D21" s="9">
        <f t="shared" si="52"/>
        <v>0.69420654911838797</v>
      </c>
      <c r="E21" s="9">
        <f t="shared" si="52"/>
        <v>0.60965677719604427</v>
      </c>
      <c r="F21" s="9">
        <f t="shared" si="52"/>
        <v>0.73156626506024103</v>
      </c>
      <c r="G21" s="9">
        <f t="shared" si="52"/>
        <v>0.72749752720079131</v>
      </c>
      <c r="H21" s="9">
        <f t="shared" si="52"/>
        <v>0.76527991782229077</v>
      </c>
      <c r="I21" s="9">
        <f t="shared" si="52"/>
        <v>0.72556162720097139</v>
      </c>
      <c r="J21" s="9">
        <f t="shared" si="52"/>
        <v>0.74951267056530213</v>
      </c>
      <c r="K21" s="9">
        <f t="shared" ref="K21:P21" si="53">K5/K3</f>
        <v>0.73773987206823022</v>
      </c>
      <c r="L21" s="9">
        <f t="shared" si="53"/>
        <v>0.74084199015855656</v>
      </c>
      <c r="M21" s="9">
        <f t="shared" si="53"/>
        <v>0.4705509816339456</v>
      </c>
      <c r="N21" s="9">
        <f t="shared" si="53"/>
        <v>0.75638297872340421</v>
      </c>
      <c r="O21" s="9">
        <f t="shared" si="53"/>
        <v>0.73337155963302758</v>
      </c>
      <c r="P21" s="9">
        <f t="shared" si="53"/>
        <v>0.72164316370324955</v>
      </c>
      <c r="Q21" s="9">
        <f t="shared" ref="Q21:R21" si="54">Q5/Q3</f>
        <v>0.68228404099560758</v>
      </c>
      <c r="R21" s="9">
        <f t="shared" si="54"/>
        <v>0.68222996515679446</v>
      </c>
      <c r="S21" s="9">
        <f t="shared" ref="S21:V21" si="55">S5/S3</f>
        <v>0.55518945634266892</v>
      </c>
      <c r="T21" s="9">
        <f t="shared" si="55"/>
        <v>0.68</v>
      </c>
      <c r="U21" s="9">
        <f t="shared" si="55"/>
        <v>0.68</v>
      </c>
      <c r="V21" s="9">
        <f t="shared" si="55"/>
        <v>0.68</v>
      </c>
      <c r="X21" s="9">
        <f t="shared" ref="X21:AO21" si="56">X5/X3</f>
        <v>0.7508564310183744</v>
      </c>
      <c r="Y21" s="9">
        <f t="shared" si="56"/>
        <v>0.77561450474568028</v>
      </c>
      <c r="Z21" s="9">
        <f t="shared" si="56"/>
        <v>0.68120440788452585</v>
      </c>
      <c r="AA21" s="9">
        <f t="shared" si="56"/>
        <v>0.67164755893340189</v>
      </c>
      <c r="AB21" s="9">
        <f t="shared" si="56"/>
        <v>0.74256651017214403</v>
      </c>
      <c r="AC21" s="9">
        <f t="shared" si="56"/>
        <v>0.68453378001116694</v>
      </c>
      <c r="AD21" s="9">
        <f t="shared" si="56"/>
        <v>0.70709196891191717</v>
      </c>
      <c r="AE21" s="9">
        <f t="shared" si="56"/>
        <v>0.64911883095046408</v>
      </c>
      <c r="AF21" s="9">
        <f t="shared" si="56"/>
        <v>0.69</v>
      </c>
      <c r="AG21" s="9">
        <f t="shared" si="56"/>
        <v>0.7</v>
      </c>
      <c r="AH21" s="9">
        <f t="shared" si="56"/>
        <v>0.7</v>
      </c>
      <c r="AI21" s="9">
        <f t="shared" si="56"/>
        <v>0.7</v>
      </c>
      <c r="AJ21" s="9">
        <f t="shared" si="56"/>
        <v>0.7</v>
      </c>
      <c r="AK21" s="9">
        <f t="shared" si="56"/>
        <v>0.7</v>
      </c>
      <c r="AL21" s="9">
        <f t="shared" si="56"/>
        <v>0.7</v>
      </c>
      <c r="AM21" s="9">
        <f t="shared" si="56"/>
        <v>0.7</v>
      </c>
      <c r="AN21" s="9">
        <f t="shared" si="56"/>
        <v>0.7</v>
      </c>
      <c r="AO21" s="9">
        <f t="shared" si="56"/>
        <v>0.7</v>
      </c>
      <c r="AR21" t="s">
        <v>49</v>
      </c>
      <c r="AS21" s="9">
        <v>-0.01</v>
      </c>
    </row>
    <row r="22" spans="2:45" x14ac:dyDescent="0.3">
      <c r="B22" t="s">
        <v>44</v>
      </c>
      <c r="C22" s="9"/>
      <c r="D22" s="9"/>
      <c r="E22" s="9"/>
      <c r="F22" s="9"/>
      <c r="G22" s="9">
        <f t="shared" ref="G22" si="57">G6/C6-1</f>
        <v>0.1366594360086768</v>
      </c>
      <c r="H22" s="9">
        <f t="shared" ref="H22" si="58">H6/D6-1</f>
        <v>0.26201923076923062</v>
      </c>
      <c r="I22" s="9">
        <f t="shared" ref="I22" si="59">I6/E6-1</f>
        <v>4.8498845265589008E-2</v>
      </c>
      <c r="J22" s="9">
        <f t="shared" ref="J22" si="60">J6/F6-1</f>
        <v>-3.1380753138075312E-2</v>
      </c>
      <c r="K22" s="9">
        <f t="shared" ref="K22:P22" si="61">K6/G6-1</f>
        <v>-0.10496183206106868</v>
      </c>
      <c r="L22" s="9">
        <f t="shared" si="61"/>
        <v>7.6190476190476364E-3</v>
      </c>
      <c r="M22" s="9">
        <f t="shared" si="61"/>
        <v>1.7621145374449476E-2</v>
      </c>
      <c r="N22" s="9">
        <f t="shared" si="61"/>
        <v>-1.2958963282937219E-2</v>
      </c>
      <c r="O22" s="9">
        <f t="shared" si="61"/>
        <v>-5.3304904051172719E-2</v>
      </c>
      <c r="P22" s="9">
        <f t="shared" si="61"/>
        <v>-0.17391304347826075</v>
      </c>
      <c r="Q22" s="9">
        <f t="shared" ref="Q22" si="62">Q6/M6-1</f>
        <v>-0.10606060606060619</v>
      </c>
      <c r="R22" s="9">
        <f t="shared" ref="R22" si="63">R6/N6-1</f>
        <v>-0.10284463894967177</v>
      </c>
      <c r="S22" s="9">
        <f t="shared" ref="S22" si="64">S6/O6-1</f>
        <v>-0.33783783783783783</v>
      </c>
      <c r="T22" s="9">
        <f t="shared" ref="T22" si="65">T6/P6-1</f>
        <v>-9.9999999999999978E-2</v>
      </c>
      <c r="U22" s="9">
        <f t="shared" ref="U22" si="66">U6/Q6-1</f>
        <v>-9.9999999999999867E-2</v>
      </c>
      <c r="V22" s="9">
        <f t="shared" ref="V22" si="67">V6/R6-1</f>
        <v>-0.10000000000000009</v>
      </c>
      <c r="X22" s="9"/>
      <c r="Y22" s="9">
        <f>Y6/X6-1</f>
        <v>0.22309711286089251</v>
      </c>
      <c r="Z22" s="9">
        <f t="shared" ref="Z22:AO22" si="68">Z6/Y6-1</f>
        <v>0.22246065808297555</v>
      </c>
      <c r="AA22" s="9">
        <f t="shared" si="68"/>
        <v>4.6225863077823393E-2</v>
      </c>
      <c r="AB22" s="9">
        <f t="shared" si="68"/>
        <v>9.9552572706935072E-2</v>
      </c>
      <c r="AC22" s="9">
        <f t="shared" si="68"/>
        <v>-2.4923702950152782E-2</v>
      </c>
      <c r="AD22" s="9">
        <f t="shared" si="68"/>
        <v>-0.11111111111111116</v>
      </c>
      <c r="AE22" s="9">
        <f t="shared" si="68"/>
        <v>-0.16197183098591528</v>
      </c>
      <c r="AF22" s="9">
        <f t="shared" si="68"/>
        <v>2.0000000000000018E-2</v>
      </c>
      <c r="AG22" s="9">
        <f t="shared" si="68"/>
        <v>2.0000000000000018E-2</v>
      </c>
      <c r="AH22" s="9">
        <f t="shared" si="68"/>
        <v>2.0000000000000018E-2</v>
      </c>
      <c r="AI22" s="9">
        <f t="shared" si="68"/>
        <v>2.0000000000000018E-2</v>
      </c>
      <c r="AJ22" s="9">
        <f t="shared" si="68"/>
        <v>2.0000000000000018E-2</v>
      </c>
      <c r="AK22" s="9">
        <f t="shared" si="68"/>
        <v>1.0000000000000009E-2</v>
      </c>
      <c r="AL22" s="9">
        <f t="shared" si="68"/>
        <v>1.0000000000000009E-2</v>
      </c>
      <c r="AM22" s="9">
        <f t="shared" si="68"/>
        <v>1.0000000000000009E-2</v>
      </c>
      <c r="AN22" s="9">
        <f t="shared" si="68"/>
        <v>1.0000000000000009E-2</v>
      </c>
      <c r="AO22" s="9">
        <f t="shared" si="68"/>
        <v>1.0000000000000009E-2</v>
      </c>
      <c r="AR22" t="s">
        <v>50</v>
      </c>
      <c r="AS22" s="9">
        <v>0.12</v>
      </c>
    </row>
    <row r="23" spans="2:45" x14ac:dyDescent="0.3">
      <c r="B23" t="s">
        <v>45</v>
      </c>
      <c r="C23" s="9">
        <f t="shared" ref="C23:J23" si="69">C7/C3</f>
        <v>0.13205645161290322</v>
      </c>
      <c r="D23" s="9">
        <f t="shared" si="69"/>
        <v>0.1093198992443325</v>
      </c>
      <c r="E23" s="9">
        <f t="shared" si="69"/>
        <v>0.15823152995927864</v>
      </c>
      <c r="F23" s="9">
        <f t="shared" si="69"/>
        <v>0.14602409638554217</v>
      </c>
      <c r="G23" s="9">
        <f t="shared" si="69"/>
        <v>0.21018793273986153</v>
      </c>
      <c r="H23" s="9">
        <f t="shared" si="69"/>
        <v>0.18130457113507961</v>
      </c>
      <c r="I23" s="9">
        <f t="shared" si="69"/>
        <v>0.19307832422586524</v>
      </c>
      <c r="J23" s="9">
        <f t="shared" si="69"/>
        <v>0.18567251461988304</v>
      </c>
      <c r="K23" s="9">
        <f t="shared" ref="K23:P23" si="70">K7/K3</f>
        <v>0.19722814498933902</v>
      </c>
      <c r="L23" s="9">
        <f t="shared" si="70"/>
        <v>0.16949152542372881</v>
      </c>
      <c r="M23" s="9">
        <f t="shared" si="70"/>
        <v>0.1830272324255858</v>
      </c>
      <c r="N23" s="9">
        <f t="shared" si="70"/>
        <v>0.15797872340425531</v>
      </c>
      <c r="O23" s="9">
        <f t="shared" si="70"/>
        <v>0.17431192660550457</v>
      </c>
      <c r="P23" s="9">
        <f t="shared" si="70"/>
        <v>0.14408338442673208</v>
      </c>
      <c r="Q23" s="9">
        <f t="shared" ref="Q23:R23" si="71">Q7/Q3</f>
        <v>0.19399707174231334</v>
      </c>
      <c r="R23" s="9">
        <f t="shared" si="71"/>
        <v>0.19442508710801393</v>
      </c>
      <c r="S23" s="9">
        <f t="shared" ref="S23:V23" si="72">S7/S3</f>
        <v>0.21087314662273476</v>
      </c>
      <c r="T23" s="9">
        <f t="shared" si="72"/>
        <v>0.17</v>
      </c>
      <c r="U23" s="9">
        <f t="shared" si="72"/>
        <v>0.2</v>
      </c>
      <c r="V23" s="9">
        <f t="shared" si="72"/>
        <v>0.2</v>
      </c>
      <c r="X23" s="9">
        <f t="shared" ref="X23:AO23" si="73">X7/X3</f>
        <v>0.17035191529118654</v>
      </c>
      <c r="Y23" s="9">
        <f t="shared" si="73"/>
        <v>0.15478218544658068</v>
      </c>
      <c r="Z23" s="9">
        <f t="shared" si="73"/>
        <v>0.12711469812199289</v>
      </c>
      <c r="AA23" s="9">
        <f t="shared" si="73"/>
        <v>0.13577225299497617</v>
      </c>
      <c r="AB23" s="9">
        <f t="shared" si="73"/>
        <v>0.1926186750130412</v>
      </c>
      <c r="AC23" s="9">
        <f t="shared" si="73"/>
        <v>0.17671691792294808</v>
      </c>
      <c r="AD23" s="9">
        <f t="shared" si="73"/>
        <v>0.17535621761658032</v>
      </c>
      <c r="AE23" s="9">
        <f t="shared" si="73"/>
        <v>0.19471237427520355</v>
      </c>
      <c r="AF23" s="9">
        <f t="shared" si="73"/>
        <v>0.17</v>
      </c>
      <c r="AG23" s="9">
        <f t="shared" si="73"/>
        <v>0.16</v>
      </c>
      <c r="AH23" s="9">
        <f t="shared" si="73"/>
        <v>0.15</v>
      </c>
      <c r="AI23" s="9">
        <f t="shared" si="73"/>
        <v>0.15</v>
      </c>
      <c r="AJ23" s="9">
        <f t="shared" si="73"/>
        <v>0.15</v>
      </c>
      <c r="AK23" s="9">
        <f t="shared" si="73"/>
        <v>0.15</v>
      </c>
      <c r="AL23" s="9">
        <f t="shared" si="73"/>
        <v>0.15</v>
      </c>
      <c r="AM23" s="9">
        <f t="shared" si="73"/>
        <v>0.15</v>
      </c>
      <c r="AN23" s="9">
        <f t="shared" si="73"/>
        <v>0.15</v>
      </c>
      <c r="AO23" s="9">
        <f t="shared" si="73"/>
        <v>0.15</v>
      </c>
      <c r="AR23" t="s">
        <v>51</v>
      </c>
      <c r="AS23" s="2">
        <f>NPV(AS22,AE16:EO16)</f>
        <v>28.817784958557201</v>
      </c>
    </row>
    <row r="24" spans="2:45" x14ac:dyDescent="0.3">
      <c r="B24" t="s">
        <v>46</v>
      </c>
      <c r="C24" s="9"/>
      <c r="D24" s="9"/>
      <c r="E24" s="9"/>
      <c r="F24" s="9"/>
      <c r="G24" s="9">
        <f t="shared" ref="G24" si="74">G8/C8-1</f>
        <v>0.23746701846965701</v>
      </c>
      <c r="H24" s="9">
        <f t="shared" ref="H24" si="75">H8/D8-1</f>
        <v>0.35768261964735504</v>
      </c>
      <c r="I24" s="9">
        <f t="shared" ref="I24" si="76">I8/E8-1</f>
        <v>0.57941176470588251</v>
      </c>
      <c r="J24" s="9">
        <f t="shared" ref="J24" si="77">J8/F8-1</f>
        <v>0.29894736842105263</v>
      </c>
      <c r="K24" s="9">
        <f t="shared" ref="K24:P24" si="78">K8/G8-1</f>
        <v>0.25799573560767586</v>
      </c>
      <c r="L24" s="9">
        <f t="shared" si="78"/>
        <v>0.30426716141001853</v>
      </c>
      <c r="M24" s="9">
        <f t="shared" si="78"/>
        <v>6.3314711359404141E-2</v>
      </c>
      <c r="N24" s="9">
        <f t="shared" si="78"/>
        <v>-0.1345218800648299</v>
      </c>
      <c r="O24" s="9">
        <f t="shared" si="78"/>
        <v>-5.9322033898305038E-2</v>
      </c>
      <c r="P24" s="9">
        <f t="shared" si="78"/>
        <v>-0.2318634423897582</v>
      </c>
      <c r="Q24" s="9">
        <f t="shared" ref="Q24" si="79">Q8/M8-1</f>
        <v>-9.1068301225919468E-2</v>
      </c>
      <c r="R24" s="9">
        <f t="shared" ref="R24" si="80">R8/N8-1</f>
        <v>5.4307116104868935E-2</v>
      </c>
      <c r="S24" s="9">
        <f t="shared" ref="S24" si="81">S8/O8-1</f>
        <v>-0.29009009009009012</v>
      </c>
      <c r="T24" s="9">
        <f t="shared" ref="T24" si="82">T8/P8-1</f>
        <v>2.0000000000000018E-2</v>
      </c>
      <c r="U24" s="9">
        <f t="shared" ref="U24" si="83">U8/Q8-1</f>
        <v>2.0000000000000018E-2</v>
      </c>
      <c r="V24" s="9">
        <f t="shared" ref="V24" si="84">V8/R8-1</f>
        <v>2.0000000000000018E-2</v>
      </c>
      <c r="X24" s="9"/>
      <c r="Y24" s="9">
        <f>Y8/X8-1</f>
        <v>0.25482625482625476</v>
      </c>
      <c r="Z24" s="9">
        <f t="shared" ref="Z24:AO24" si="85">Z8/Y8-1</f>
        <v>0.32615384615384624</v>
      </c>
      <c r="AA24" s="9">
        <f t="shared" si="85"/>
        <v>0.23047177107501926</v>
      </c>
      <c r="AB24" s="9">
        <f t="shared" si="85"/>
        <v>0.35889377749842866</v>
      </c>
      <c r="AC24" s="9">
        <f t="shared" si="85"/>
        <v>0.10915818686401502</v>
      </c>
      <c r="AD24" s="9">
        <f t="shared" si="85"/>
        <v>-9.2160133444537218E-2</v>
      </c>
      <c r="AE24" s="9">
        <f t="shared" si="85"/>
        <v>-5.9053743683968762E-2</v>
      </c>
      <c r="AF24" s="9">
        <f t="shared" si="85"/>
        <v>2.0000000000000018E-2</v>
      </c>
      <c r="AG24" s="9">
        <f t="shared" si="85"/>
        <v>2.0000000000000018E-2</v>
      </c>
      <c r="AH24" s="9">
        <f t="shared" si="85"/>
        <v>2.0000000000000018E-2</v>
      </c>
      <c r="AI24" s="9">
        <f t="shared" si="85"/>
        <v>2.0000000000000018E-2</v>
      </c>
      <c r="AJ24" s="9">
        <f t="shared" si="85"/>
        <v>2.0000000000000018E-2</v>
      </c>
      <c r="AK24" s="9">
        <f t="shared" si="85"/>
        <v>2.0000000000000018E-2</v>
      </c>
      <c r="AL24" s="9">
        <f t="shared" si="85"/>
        <v>2.0000000000000018E-2</v>
      </c>
      <c r="AM24" s="9">
        <f t="shared" si="85"/>
        <v>2.0000000000000018E-2</v>
      </c>
      <c r="AN24" s="9">
        <f t="shared" si="85"/>
        <v>2.0000000000000018E-2</v>
      </c>
      <c r="AO24" s="9">
        <f t="shared" si="85"/>
        <v>2.0000000000000018E-2</v>
      </c>
      <c r="AR24" t="s">
        <v>52</v>
      </c>
      <c r="AS24" s="2">
        <f>Main!D8</f>
        <v>63.900000000000006</v>
      </c>
    </row>
    <row r="25" spans="2:45" x14ac:dyDescent="0.3">
      <c r="B25" t="s">
        <v>47</v>
      </c>
      <c r="C25" s="9">
        <f t="shared" ref="C25:J25" si="86">C11/C3</f>
        <v>8.4677419354838759E-2</v>
      </c>
      <c r="D25" s="9">
        <f t="shared" si="86"/>
        <v>0.17531486146095723</v>
      </c>
      <c r="E25" s="9">
        <f t="shared" si="86"/>
        <v>1.7452006980803454E-3</v>
      </c>
      <c r="F25" s="9">
        <f t="shared" si="86"/>
        <v>0.12626506024096393</v>
      </c>
      <c r="G25" s="9">
        <f t="shared" si="86"/>
        <v>2.6211671612265001E-2</v>
      </c>
      <c r="H25" s="9">
        <f t="shared" si="86"/>
        <v>3.7493579866461284E-2</v>
      </c>
      <c r="I25" s="9">
        <f t="shared" si="86"/>
        <v>-6.9216757741348028E-2</v>
      </c>
      <c r="J25" s="9">
        <f t="shared" si="86"/>
        <v>3.7524366471734703E-2</v>
      </c>
      <c r="K25" s="9">
        <f t="shared" ref="K25:P25" si="87">K11/K3</f>
        <v>-2.3987206823027872E-2</v>
      </c>
      <c r="L25" s="9">
        <f t="shared" si="87"/>
        <v>-0.1022416621104428</v>
      </c>
      <c r="M25" s="9">
        <f t="shared" si="87"/>
        <v>-0.36668777707409739</v>
      </c>
      <c r="N25" s="9">
        <f t="shared" si="87"/>
        <v>7.1276595744680732E-2</v>
      </c>
      <c r="O25" s="9">
        <f t="shared" si="87"/>
        <v>-1.3761467889908289E-2</v>
      </c>
      <c r="P25" s="9">
        <f t="shared" si="87"/>
        <v>-2.1459227467811245E-2</v>
      </c>
      <c r="Q25" s="9">
        <f t="shared" ref="Q25:R25" si="88">Q11/Q3</f>
        <v>-0.19399707174231334</v>
      </c>
      <c r="R25" s="9">
        <f t="shared" si="88"/>
        <v>-0.19024390243902436</v>
      </c>
      <c r="S25" s="9">
        <f t="shared" ref="S25:V25" si="89">S11/S3</f>
        <v>-0.23887973640856672</v>
      </c>
      <c r="T25" s="9">
        <f t="shared" si="89"/>
        <v>-0.2135591661557327</v>
      </c>
      <c r="U25" s="9">
        <f t="shared" si="89"/>
        <v>-0.39953147877013184</v>
      </c>
      <c r="V25" s="9">
        <f t="shared" si="89"/>
        <v>-0.21192004401247011</v>
      </c>
      <c r="X25" s="9">
        <f t="shared" ref="X25:AO25" si="90">X11/X3</f>
        <v>-1.7440049828713691E-2</v>
      </c>
      <c r="Y25" s="9">
        <f t="shared" si="90"/>
        <v>4.3319542467753741E-2</v>
      </c>
      <c r="Z25" s="9">
        <f t="shared" si="90"/>
        <v>8.8157690516839915E-2</v>
      </c>
      <c r="AA25" s="9">
        <f t="shared" si="90"/>
        <v>0.10060543604276687</v>
      </c>
      <c r="AB25" s="9">
        <f t="shared" si="90"/>
        <v>1.1606677099634817E-2</v>
      </c>
      <c r="AC25" s="9">
        <f t="shared" si="90"/>
        <v>-9.4500279173646076E-2</v>
      </c>
      <c r="AD25" s="9">
        <f t="shared" si="90"/>
        <v>-9.6664507772020611E-2</v>
      </c>
      <c r="AE25" s="9">
        <f t="shared" si="90"/>
        <v>-0.2582001610092633</v>
      </c>
      <c r="AF25" s="9">
        <f t="shared" si="90"/>
        <v>-0.21745004335104759</v>
      </c>
      <c r="AG25" s="9">
        <f t="shared" si="90"/>
        <v>-0.14381731292551669</v>
      </c>
      <c r="AH25" s="9">
        <f t="shared" si="90"/>
        <v>-0.10186323288226813</v>
      </c>
      <c r="AI25" s="9">
        <f t="shared" si="90"/>
        <v>-8.3238569085631861E-2</v>
      </c>
      <c r="AJ25" s="9">
        <f t="shared" si="90"/>
        <v>-7.1060904295523503E-2</v>
      </c>
      <c r="AK25" s="9">
        <f t="shared" si="90"/>
        <v>-6.2554389648011799E-2</v>
      </c>
      <c r="AL25" s="9">
        <f t="shared" si="90"/>
        <v>-5.4178555669506689E-2</v>
      </c>
      <c r="AM25" s="9">
        <f t="shared" si="90"/>
        <v>-4.5931199768111698E-2</v>
      </c>
      <c r="AN25" s="9">
        <f t="shared" si="90"/>
        <v>-3.7810158869279832E-2</v>
      </c>
      <c r="AO25" s="9">
        <f t="shared" si="90"/>
        <v>-2.9813308680053319E-2</v>
      </c>
      <c r="AR25" t="s">
        <v>53</v>
      </c>
      <c r="AS25" s="2">
        <f>AS23+AS24</f>
        <v>92.717784958557203</v>
      </c>
    </row>
    <row r="26" spans="2:45" x14ac:dyDescent="0.3">
      <c r="B26" t="s">
        <v>38</v>
      </c>
      <c r="C26" s="9">
        <f t="shared" ref="C26:J26" si="91">C15/C14</f>
        <v>-4.4943820224719107E-2</v>
      </c>
      <c r="D26" s="9">
        <f t="shared" si="91"/>
        <v>6.2857142857142848E-2</v>
      </c>
      <c r="E26" s="9">
        <f t="shared" si="91"/>
        <v>9.4594594594594447E-2</v>
      </c>
      <c r="F26" s="9">
        <f t="shared" si="91"/>
        <v>5.4474708171206185E-2</v>
      </c>
      <c r="G26" s="9">
        <f t="shared" si="91"/>
        <v>0.42424242424242503</v>
      </c>
      <c r="H26" s="9">
        <f t="shared" si="91"/>
        <v>1.3333333333333313E-2</v>
      </c>
      <c r="I26" s="9">
        <f t="shared" si="91"/>
        <v>-1.9822274881516595</v>
      </c>
      <c r="J26" s="9">
        <f t="shared" si="91"/>
        <v>0.13636363636363882</v>
      </c>
      <c r="K26" s="9">
        <f t="shared" ref="K26:P26" si="92">K15/K14</f>
        <v>0.66666666666666974</v>
      </c>
      <c r="L26" s="9">
        <f t="shared" si="92"/>
        <v>0.44469525959367939</v>
      </c>
      <c r="M26" s="9">
        <f t="shared" si="92"/>
        <v>-1.1049723756906091E-2</v>
      </c>
      <c r="N26" s="9">
        <f t="shared" si="92"/>
        <v>0.45505617977528151</v>
      </c>
      <c r="O26" s="9">
        <f t="shared" si="92"/>
        <v>1.1818181818181825</v>
      </c>
      <c r="P26" s="9">
        <f t="shared" si="92"/>
        <v>2.8965517241379479</v>
      </c>
      <c r="Q26" s="9">
        <f t="shared" ref="Q26:R26" si="93">Q15/Q14</f>
        <v>0.13775510204081631</v>
      </c>
      <c r="R26" s="9">
        <f t="shared" si="93"/>
        <v>-1.9047619047619067</v>
      </c>
      <c r="S26" s="9">
        <f t="shared" ref="S26:V26" si="94">S15/S14</f>
        <v>-6.0606060606060608E-2</v>
      </c>
      <c r="T26" s="9">
        <f t="shared" si="94"/>
        <v>0</v>
      </c>
      <c r="U26" s="9">
        <f t="shared" si="94"/>
        <v>0</v>
      </c>
      <c r="V26" s="9">
        <f t="shared" si="94"/>
        <v>0</v>
      </c>
      <c r="X26" s="9">
        <f t="shared" ref="X26:AO26" si="95">X15/X14</f>
        <v>-0.10937500000000029</v>
      </c>
      <c r="Y26" s="9">
        <f t="shared" si="95"/>
        <v>-0.37142857142857222</v>
      </c>
      <c r="Z26" s="9">
        <f t="shared" si="95"/>
        <v>-6.749999999999635</v>
      </c>
      <c r="AA26" s="9">
        <f t="shared" si="95"/>
        <v>1.2241379310345013</v>
      </c>
      <c r="AB26" s="9">
        <f t="shared" si="95"/>
        <v>-1.5644230769230771</v>
      </c>
      <c r="AC26" s="9">
        <f t="shared" si="95"/>
        <v>0.64015904572564675</v>
      </c>
      <c r="AD26" s="9">
        <f t="shared" si="95"/>
        <v>-1.6936936936937039</v>
      </c>
      <c r="AE26" s="9">
        <f t="shared" si="95"/>
        <v>-1.3179189532560493E-2</v>
      </c>
      <c r="AF26" s="9">
        <f t="shared" si="95"/>
        <v>0.15</v>
      </c>
      <c r="AG26" s="9">
        <f t="shared" si="95"/>
        <v>0.15</v>
      </c>
      <c r="AH26" s="9">
        <f t="shared" si="95"/>
        <v>0.15</v>
      </c>
      <c r="AI26" s="9">
        <f t="shared" si="95"/>
        <v>0.15</v>
      </c>
      <c r="AJ26" s="9">
        <f t="shared" si="95"/>
        <v>0.15</v>
      </c>
      <c r="AK26" s="9">
        <f t="shared" si="95"/>
        <v>0.15</v>
      </c>
      <c r="AL26" s="9">
        <f t="shared" si="95"/>
        <v>0.15</v>
      </c>
      <c r="AM26" s="9">
        <f t="shared" si="95"/>
        <v>0.15</v>
      </c>
      <c r="AN26" s="9">
        <f t="shared" si="95"/>
        <v>0.15</v>
      </c>
      <c r="AO26" s="9">
        <f t="shared" si="95"/>
        <v>0.15</v>
      </c>
      <c r="AR26" t="s">
        <v>54</v>
      </c>
      <c r="AS26" s="3">
        <f>AS25/AO17</f>
        <v>0.88218634594250434</v>
      </c>
    </row>
    <row r="27" spans="2:45" x14ac:dyDescent="0.3">
      <c r="B27" t="s">
        <v>48</v>
      </c>
      <c r="C27" s="9">
        <f t="shared" ref="C27:J27" si="96">C16/C3</f>
        <v>-0.32812499999999994</v>
      </c>
      <c r="D27" s="9">
        <f t="shared" si="96"/>
        <v>0.16523929471032747</v>
      </c>
      <c r="E27" s="9">
        <f t="shared" si="96"/>
        <v>3.8976148923792968E-2</v>
      </c>
      <c r="F27" s="9">
        <f t="shared" si="96"/>
        <v>0.11710843373493984</v>
      </c>
      <c r="G27" s="9">
        <f t="shared" si="96"/>
        <v>2.8189910979228402E-2</v>
      </c>
      <c r="H27" s="9">
        <f t="shared" si="96"/>
        <v>3.8007190549563495E-2</v>
      </c>
      <c r="I27" s="9">
        <f t="shared" si="96"/>
        <v>1.5282331511839709</v>
      </c>
      <c r="J27" s="9">
        <f t="shared" si="96"/>
        <v>9.2592592592590662E-3</v>
      </c>
      <c r="K27" s="9">
        <f t="shared" ref="K27:P27" si="97">K16/K3</f>
        <v>1.1194029850746115E-2</v>
      </c>
      <c r="L27" s="9">
        <f t="shared" si="97"/>
        <v>0.13449972662657192</v>
      </c>
      <c r="M27" s="9">
        <f t="shared" si="97"/>
        <v>-0.11589613679544002</v>
      </c>
      <c r="N27" s="9">
        <f t="shared" si="97"/>
        <v>5.1595744680850937E-2</v>
      </c>
      <c r="O27" s="9">
        <f t="shared" si="97"/>
        <v>-8.027522935779843E-3</v>
      </c>
      <c r="P27" s="9">
        <f t="shared" si="97"/>
        <v>-3.3721643163703373E-2</v>
      </c>
      <c r="Q27" s="9">
        <f t="shared" ref="Q27:R27" si="98">Q16/Q3</f>
        <v>-0.12371888726207908</v>
      </c>
      <c r="R27" s="9">
        <f t="shared" si="98"/>
        <v>-4.2508710801393713E-2</v>
      </c>
      <c r="S27" s="9">
        <f t="shared" ref="S27:V27" si="99">S16/S3</f>
        <v>-0.1441515650741351</v>
      </c>
      <c r="T27" s="9">
        <f t="shared" si="99"/>
        <v>-0.16572041692213368</v>
      </c>
      <c r="U27" s="9">
        <f t="shared" si="99"/>
        <v>-0.333626159102001</v>
      </c>
      <c r="V27" s="9">
        <f t="shared" si="99"/>
        <v>-2.6216761415734341E-2</v>
      </c>
      <c r="X27" s="9">
        <f t="shared" ref="X27:AO27" si="100">X16/X3</f>
        <v>-4.4222983494238442E-2</v>
      </c>
      <c r="Y27" s="9">
        <f t="shared" si="100"/>
        <v>-2.3363348746653651E-2</v>
      </c>
      <c r="Z27" s="9">
        <f t="shared" si="100"/>
        <v>-9.6228465000776729E-3</v>
      </c>
      <c r="AA27" s="9">
        <f t="shared" si="100"/>
        <v>-1.674610331057694E-3</v>
      </c>
      <c r="AB27" s="9">
        <f t="shared" si="100"/>
        <v>0.34780907668231603</v>
      </c>
      <c r="AC27" s="9">
        <f t="shared" si="100"/>
        <v>2.5265214963707351E-2</v>
      </c>
      <c r="AD27" s="9">
        <f t="shared" si="100"/>
        <v>-4.8413212435233069E-2</v>
      </c>
      <c r="AE27" s="9">
        <f t="shared" si="100"/>
        <v>-0.15668280156117859</v>
      </c>
      <c r="AF27" s="9">
        <f t="shared" si="100"/>
        <v>-9.231947798226417E-2</v>
      </c>
      <c r="AG27" s="9">
        <f t="shared" si="100"/>
        <v>-3.5618851775680062E-2</v>
      </c>
      <c r="AH27" s="9">
        <f t="shared" si="100"/>
        <v>-3.1962338028817486E-3</v>
      </c>
      <c r="AI27" s="9">
        <f t="shared" si="100"/>
        <v>1.1046396821458214E-2</v>
      </c>
      <c r="AJ27" s="9">
        <f t="shared" si="100"/>
        <v>2.0610881310894103E-2</v>
      </c>
      <c r="AK27" s="9">
        <f t="shared" si="100"/>
        <v>2.7841418761279057E-2</v>
      </c>
      <c r="AL27" s="9">
        <f t="shared" si="100"/>
        <v>3.4960877643008405E-2</v>
      </c>
      <c r="AM27" s="9">
        <f t="shared" si="100"/>
        <v>4.197113015919416E-2</v>
      </c>
      <c r="AN27" s="9">
        <f t="shared" si="100"/>
        <v>4.8874014923201245E-2</v>
      </c>
      <c r="AO27" s="9">
        <f t="shared" si="100"/>
        <v>5.5671337584043773E-2</v>
      </c>
      <c r="AR27" t="s">
        <v>55</v>
      </c>
      <c r="AS27" s="3">
        <f>Main!D3</f>
        <v>0.98009999999999997</v>
      </c>
    </row>
    <row r="28" spans="2:45" x14ac:dyDescent="0.3">
      <c r="AR28" s="1" t="s">
        <v>56</v>
      </c>
      <c r="AS28" s="10">
        <f>AS26/AS27-1</f>
        <v>-9.9901697844603232E-2</v>
      </c>
    </row>
    <row r="29" spans="2:45" x14ac:dyDescent="0.3">
      <c r="AR29" t="s">
        <v>57</v>
      </c>
      <c r="AS29" s="6" t="s">
        <v>91</v>
      </c>
    </row>
    <row r="30" spans="2:45" s="1" customFormat="1" x14ac:dyDescent="0.3">
      <c r="B30" s="1" t="s">
        <v>62</v>
      </c>
      <c r="AB30" s="8">
        <f>AB16</f>
        <v>266.69999999999993</v>
      </c>
      <c r="AC30" s="8">
        <f>AC16</f>
        <v>18.099999999999945</v>
      </c>
      <c r="AD30" s="8">
        <v>-837.1</v>
      </c>
      <c r="AE30" s="8">
        <f>AE16</f>
        <v>-76.877200000000073</v>
      </c>
      <c r="AF30" s="8">
        <f t="shared" ref="AF30:AO30" si="101">AF16</f>
        <v>-44.391073200000065</v>
      </c>
      <c r="AG30" s="8">
        <f t="shared" si="101"/>
        <v>-18.839740000000013</v>
      </c>
      <c r="AH30" s="8">
        <f t="shared" si="101"/>
        <v>-1.8089114494499596</v>
      </c>
      <c r="AI30" s="8">
        <f t="shared" si="101"/>
        <v>6.5643043230635696</v>
      </c>
      <c r="AJ30" s="8">
        <f t="shared" si="101"/>
        <v>12.737903902706964</v>
      </c>
      <c r="AK30" s="8">
        <f t="shared" si="101"/>
        <v>17.722704366067468</v>
      </c>
      <c r="AL30" s="8">
        <f t="shared" si="101"/>
        <v>22.92229944467584</v>
      </c>
      <c r="AM30" s="8">
        <f t="shared" si="101"/>
        <v>28.344169962360773</v>
      </c>
      <c r="AN30" s="8">
        <f t="shared" si="101"/>
        <v>33.996039227106515</v>
      </c>
      <c r="AO30" s="8">
        <f t="shared" si="101"/>
        <v>39.885880639963929</v>
      </c>
    </row>
    <row r="31" spans="2:45" x14ac:dyDescent="0.3">
      <c r="B31" t="s">
        <v>63</v>
      </c>
      <c r="AB31" s="2">
        <v>133.5</v>
      </c>
      <c r="AC31" s="2">
        <v>133.5</v>
      </c>
      <c r="AD31" s="2">
        <v>84.6</v>
      </c>
      <c r="AE31" s="2">
        <v>60</v>
      </c>
      <c r="AF31" s="2">
        <f>AE31*0.8</f>
        <v>48</v>
      </c>
      <c r="AG31" s="2">
        <f t="shared" ref="AG31:AO31" si="102">AF31*0.8</f>
        <v>38.400000000000006</v>
      </c>
      <c r="AH31" s="2">
        <f t="shared" si="102"/>
        <v>30.720000000000006</v>
      </c>
      <c r="AI31" s="2">
        <f t="shared" si="102"/>
        <v>24.576000000000008</v>
      </c>
      <c r="AJ31" s="2">
        <f t="shared" si="102"/>
        <v>19.660800000000009</v>
      </c>
      <c r="AK31" s="2">
        <f t="shared" si="102"/>
        <v>15.728640000000008</v>
      </c>
      <c r="AL31" s="2">
        <f t="shared" si="102"/>
        <v>12.582912000000007</v>
      </c>
      <c r="AM31" s="2">
        <f t="shared" si="102"/>
        <v>10.066329600000007</v>
      </c>
      <c r="AN31" s="2">
        <f t="shared" si="102"/>
        <v>8.0530636800000064</v>
      </c>
      <c r="AO31" s="2">
        <f t="shared" si="102"/>
        <v>6.4424509440000053</v>
      </c>
    </row>
    <row r="32" spans="2:45" x14ac:dyDescent="0.3">
      <c r="B32" t="s">
        <v>64</v>
      </c>
      <c r="AB32" s="2">
        <v>90</v>
      </c>
      <c r="AC32" s="2">
        <v>129.69999999999999</v>
      </c>
      <c r="AD32" s="2">
        <v>78.3</v>
      </c>
      <c r="AE32" s="2">
        <v>60</v>
      </c>
      <c r="AF32" s="2">
        <f>AE32*0.97</f>
        <v>58.199999999999996</v>
      </c>
      <c r="AG32" s="2">
        <f t="shared" ref="AG32:AO32" si="103">AF32*0.97</f>
        <v>56.453999999999994</v>
      </c>
      <c r="AH32" s="2">
        <f t="shared" si="103"/>
        <v>54.760379999999991</v>
      </c>
      <c r="AI32" s="2">
        <f t="shared" si="103"/>
        <v>53.117568599999991</v>
      </c>
      <c r="AJ32" s="2">
        <f t="shared" si="103"/>
        <v>51.524041541999992</v>
      </c>
      <c r="AK32" s="2">
        <f t="shared" si="103"/>
        <v>49.978320295739991</v>
      </c>
      <c r="AL32" s="2">
        <f t="shared" si="103"/>
        <v>48.47897068686779</v>
      </c>
      <c r="AM32" s="2">
        <f t="shared" si="103"/>
        <v>47.024601566261758</v>
      </c>
      <c r="AN32" s="2">
        <f t="shared" si="103"/>
        <v>45.613863519273906</v>
      </c>
      <c r="AO32" s="2">
        <f t="shared" si="103"/>
        <v>44.245447613695688</v>
      </c>
    </row>
    <row r="33" spans="2:41" x14ac:dyDescent="0.3">
      <c r="B33" t="s">
        <v>65</v>
      </c>
      <c r="AB33" s="2">
        <v>-168.9</v>
      </c>
      <c r="AC33" s="2">
        <v>26.6</v>
      </c>
      <c r="AD33" s="2">
        <v>143.30000000000001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</row>
    <row r="34" spans="2:41" x14ac:dyDescent="0.3">
      <c r="B34" t="s">
        <v>66</v>
      </c>
      <c r="AB34" s="2">
        <v>-93.5</v>
      </c>
      <c r="AC34" s="2">
        <v>-85.9</v>
      </c>
      <c r="AD34" s="2">
        <v>-19.5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</row>
    <row r="35" spans="2:41" x14ac:dyDescent="0.3">
      <c r="B35" t="s">
        <v>67</v>
      </c>
      <c r="AB35" s="2">
        <v>0</v>
      </c>
      <c r="AC35" s="2">
        <v>7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</row>
    <row r="36" spans="2:41" x14ac:dyDescent="0.3">
      <c r="B36" t="s">
        <v>68</v>
      </c>
      <c r="AB36" s="2">
        <v>0</v>
      </c>
      <c r="AC36" s="2">
        <v>3.6</v>
      </c>
      <c r="AD36" s="2">
        <v>677.2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</row>
    <row r="37" spans="2:41" x14ac:dyDescent="0.3">
      <c r="B37" t="s">
        <v>69</v>
      </c>
      <c r="AB37" s="2">
        <v>3.5</v>
      </c>
      <c r="AC37" s="2">
        <v>4.0999999999999996</v>
      </c>
      <c r="AD37" s="2">
        <v>5.8</v>
      </c>
      <c r="AE37" s="2">
        <v>5.8</v>
      </c>
      <c r="AF37" s="2">
        <v>5.8</v>
      </c>
      <c r="AG37" s="2">
        <v>5.8</v>
      </c>
      <c r="AH37" s="2">
        <v>5.8</v>
      </c>
      <c r="AI37" s="2">
        <v>5.8</v>
      </c>
      <c r="AJ37" s="2">
        <v>5.8</v>
      </c>
      <c r="AK37" s="2">
        <v>5.8</v>
      </c>
      <c r="AL37" s="2">
        <v>5.8</v>
      </c>
      <c r="AM37" s="2">
        <v>5.8</v>
      </c>
      <c r="AN37" s="2">
        <v>5.8</v>
      </c>
      <c r="AO37" s="2">
        <v>5.8</v>
      </c>
    </row>
    <row r="38" spans="2:41" x14ac:dyDescent="0.3">
      <c r="B38" t="s">
        <v>70</v>
      </c>
      <c r="AB38" s="2">
        <v>5.2</v>
      </c>
      <c r="AC38" s="2">
        <v>3.2</v>
      </c>
      <c r="AD38" s="2">
        <v>2.1</v>
      </c>
      <c r="AE38" s="2">
        <v>2.1</v>
      </c>
      <c r="AF38" s="2">
        <v>2.1</v>
      </c>
      <c r="AG38" s="2">
        <v>2.1</v>
      </c>
      <c r="AH38" s="2">
        <v>2.1</v>
      </c>
      <c r="AI38" s="2">
        <v>2.1</v>
      </c>
      <c r="AJ38" s="2">
        <v>2.1</v>
      </c>
      <c r="AK38" s="2">
        <v>2.1</v>
      </c>
      <c r="AL38" s="2">
        <v>2.1</v>
      </c>
      <c r="AM38" s="2">
        <v>2.1</v>
      </c>
      <c r="AN38" s="2">
        <v>2.1</v>
      </c>
      <c r="AO38" s="2">
        <v>2.1</v>
      </c>
    </row>
    <row r="39" spans="2:41" x14ac:dyDescent="0.3">
      <c r="B39" t="s">
        <v>71</v>
      </c>
      <c r="AB39" s="2">
        <v>6.3</v>
      </c>
      <c r="AC39" s="2">
        <v>6.1</v>
      </c>
      <c r="AD39" s="2">
        <v>5.9</v>
      </c>
      <c r="AE39" s="2">
        <v>5.9</v>
      </c>
      <c r="AF39" s="2">
        <v>5.9</v>
      </c>
      <c r="AG39" s="2">
        <v>5.9</v>
      </c>
      <c r="AH39" s="2">
        <v>5.9</v>
      </c>
      <c r="AI39" s="2">
        <v>5.9</v>
      </c>
      <c r="AJ39" s="2">
        <v>5.9</v>
      </c>
      <c r="AK39" s="2">
        <v>5.9</v>
      </c>
      <c r="AL39" s="2">
        <v>5.9</v>
      </c>
      <c r="AM39" s="2">
        <v>5.9</v>
      </c>
      <c r="AN39" s="2">
        <v>5.9</v>
      </c>
      <c r="AO39" s="2">
        <v>5.9</v>
      </c>
    </row>
    <row r="40" spans="2:41" x14ac:dyDescent="0.3">
      <c r="B40" t="s">
        <v>72</v>
      </c>
      <c r="AB40" s="2">
        <v>9.6999999999999993</v>
      </c>
      <c r="AC40" s="2">
        <v>2.1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</row>
    <row r="41" spans="2:41" x14ac:dyDescent="0.3">
      <c r="B41" t="s">
        <v>73</v>
      </c>
      <c r="AB41" s="2">
        <v>-5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</row>
    <row r="42" spans="2:41" x14ac:dyDescent="0.3">
      <c r="B42" t="s">
        <v>74</v>
      </c>
      <c r="AB42" s="2">
        <v>1.6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</row>
    <row r="43" spans="2:41" x14ac:dyDescent="0.3">
      <c r="B43" t="s">
        <v>75</v>
      </c>
      <c r="AB43" s="2">
        <v>-4.5999999999999996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</row>
    <row r="44" spans="2:41" x14ac:dyDescent="0.3">
      <c r="B44" t="s">
        <v>68</v>
      </c>
      <c r="AB44" s="2">
        <v>5.2</v>
      </c>
      <c r="AC44" s="2">
        <v>0</v>
      </c>
      <c r="AD44" s="2">
        <v>5.6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</row>
    <row r="45" spans="2:41" x14ac:dyDescent="0.3">
      <c r="B45" t="s">
        <v>76</v>
      </c>
      <c r="AB45" s="2">
        <v>0.4</v>
      </c>
      <c r="AC45" s="2">
        <v>-1.2</v>
      </c>
      <c r="AD45" s="2">
        <v>0.7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</row>
    <row r="46" spans="2:41" x14ac:dyDescent="0.3">
      <c r="B46" t="s">
        <v>77</v>
      </c>
      <c r="AB46" s="2">
        <v>-3.8</v>
      </c>
      <c r="AC46" s="2">
        <v>-7.8</v>
      </c>
      <c r="AD46" s="2">
        <v>7.8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</row>
    <row r="47" spans="2:41" x14ac:dyDescent="0.3">
      <c r="B47" t="s">
        <v>78</v>
      </c>
      <c r="AB47" s="2">
        <v>17.2</v>
      </c>
      <c r="AC47" s="2">
        <v>3.5</v>
      </c>
      <c r="AD47" s="2">
        <v>-41.7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 spans="2:41" x14ac:dyDescent="0.3">
      <c r="B48" t="s">
        <v>79</v>
      </c>
      <c r="AB48" s="2">
        <v>14.6</v>
      </c>
      <c r="AC48" s="2">
        <v>10.8</v>
      </c>
      <c r="AD48" s="2">
        <v>1.1000000000000001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</row>
    <row r="49" spans="2:150" x14ac:dyDescent="0.3">
      <c r="B49" t="s">
        <v>80</v>
      </c>
      <c r="AB49" s="2">
        <v>-4.0999999999999996</v>
      </c>
      <c r="AC49" s="2">
        <v>13.1</v>
      </c>
      <c r="AD49" s="2">
        <v>-12.4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</row>
    <row r="50" spans="2:150" x14ac:dyDescent="0.3">
      <c r="B50" t="s">
        <v>81</v>
      </c>
      <c r="AB50" s="2">
        <v>7.5</v>
      </c>
      <c r="AC50" s="2">
        <v>-1.6</v>
      </c>
      <c r="AD50" s="2">
        <v>-15.9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</row>
    <row r="51" spans="2:150" x14ac:dyDescent="0.3">
      <c r="B51" t="s">
        <v>82</v>
      </c>
      <c r="AB51" s="2">
        <v>-20.100000000000001</v>
      </c>
      <c r="AC51" s="2">
        <v>-7.3</v>
      </c>
      <c r="AD51" s="2">
        <v>47.1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</row>
    <row r="52" spans="2:150" x14ac:dyDescent="0.3">
      <c r="B52" t="s">
        <v>83</v>
      </c>
      <c r="AB52" s="2">
        <v>-5.8</v>
      </c>
      <c r="AC52" s="2">
        <v>-11.3</v>
      </c>
      <c r="AD52" s="2">
        <v>-7.8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</row>
    <row r="53" spans="2:150" s="1" customFormat="1" x14ac:dyDescent="0.3">
      <c r="B53" s="1" t="s">
        <v>84</v>
      </c>
      <c r="AB53" s="8">
        <f>AB30+SUM(AB31:AB52)</f>
        <v>255.59999999999991</v>
      </c>
      <c r="AC53" s="8">
        <f>AC30+SUM(AC31:AC52)</f>
        <v>246.2999999999999</v>
      </c>
      <c r="AD53" s="8">
        <f>AD30+SUM(AD31:AD52)</f>
        <v>125.10000000000014</v>
      </c>
      <c r="AE53" s="8">
        <f>AE30+SUM(AE31:AE52)</f>
        <v>56.92279999999991</v>
      </c>
      <c r="AF53" s="8">
        <f t="shared" ref="AF53:AO53" si="104">AF30+SUM(AF31:AF52)</f>
        <v>75.608926799999921</v>
      </c>
      <c r="AG53" s="8">
        <f t="shared" si="104"/>
        <v>89.81425999999999</v>
      </c>
      <c r="AH53" s="8">
        <f t="shared" si="104"/>
        <v>97.471468550550028</v>
      </c>
      <c r="AI53" s="8">
        <f t="shared" si="104"/>
        <v>98.057872923063556</v>
      </c>
      <c r="AJ53" s="8">
        <f t="shared" si="104"/>
        <v>97.722745444706959</v>
      </c>
      <c r="AK53" s="8">
        <f t="shared" si="104"/>
        <v>97.229664661807476</v>
      </c>
      <c r="AL53" s="8">
        <f t="shared" si="104"/>
        <v>97.784182131543645</v>
      </c>
      <c r="AM53" s="8">
        <f t="shared" si="104"/>
        <v>99.235101128622546</v>
      </c>
      <c r="AN53" s="8">
        <f t="shared" si="104"/>
        <v>101.46296642638043</v>
      </c>
      <c r="AO53" s="8">
        <f t="shared" si="104"/>
        <v>104.37377919765963</v>
      </c>
    </row>
    <row r="54" spans="2:150" x14ac:dyDescent="0.3">
      <c r="B54" t="s">
        <v>69</v>
      </c>
      <c r="AB54" s="2">
        <v>103.1</v>
      </c>
      <c r="AC54" s="2">
        <v>83.1</v>
      </c>
      <c r="AD54" s="2">
        <v>75</v>
      </c>
      <c r="AE54" s="2">
        <v>65</v>
      </c>
      <c r="AF54" s="2">
        <f>AE54*0.99</f>
        <v>64.349999999999994</v>
      </c>
      <c r="AG54" s="2">
        <f t="shared" ref="AG54:AO54" si="105">AF54*0.99</f>
        <v>63.706499999999991</v>
      </c>
      <c r="AH54" s="2">
        <f t="shared" si="105"/>
        <v>63.069434999999991</v>
      </c>
      <c r="AI54" s="2">
        <f t="shared" si="105"/>
        <v>62.438740649999993</v>
      </c>
      <c r="AJ54" s="2">
        <f t="shared" si="105"/>
        <v>61.814353243499994</v>
      </c>
      <c r="AK54" s="2">
        <f t="shared" si="105"/>
        <v>61.196209711064995</v>
      </c>
      <c r="AL54" s="2">
        <f t="shared" si="105"/>
        <v>60.584247613954346</v>
      </c>
      <c r="AM54" s="2">
        <f t="shared" si="105"/>
        <v>59.978405137814804</v>
      </c>
      <c r="AN54" s="2">
        <f t="shared" si="105"/>
        <v>59.378621086436652</v>
      </c>
      <c r="AO54" s="2">
        <f t="shared" si="105"/>
        <v>58.784834875572287</v>
      </c>
    </row>
    <row r="55" spans="2:150" s="1" customFormat="1" x14ac:dyDescent="0.3">
      <c r="B55" s="1" t="s">
        <v>85</v>
      </c>
      <c r="AB55" s="8">
        <f>AB53-AB54</f>
        <v>152.49999999999991</v>
      </c>
      <c r="AC55" s="8">
        <f>AC53-AC54</f>
        <v>163.1999999999999</v>
      </c>
      <c r="AD55" s="8">
        <f>AD53-AD54</f>
        <v>50.100000000000136</v>
      </c>
      <c r="AE55" s="8">
        <f>AE53-AE54</f>
        <v>-8.0772000000000901</v>
      </c>
      <c r="AF55" s="8">
        <f t="shared" ref="AF55:AO55" si="106">AF53-AF54</f>
        <v>11.258926799999927</v>
      </c>
      <c r="AG55" s="8">
        <f t="shared" si="106"/>
        <v>26.107759999999999</v>
      </c>
      <c r="AH55" s="8">
        <f t="shared" si="106"/>
        <v>34.402033550550037</v>
      </c>
      <c r="AI55" s="8">
        <f t="shared" si="106"/>
        <v>35.619132273063563</v>
      </c>
      <c r="AJ55" s="8">
        <f t="shared" si="106"/>
        <v>35.908392201206965</v>
      </c>
      <c r="AK55" s="8">
        <f t="shared" si="106"/>
        <v>36.033454950742481</v>
      </c>
      <c r="AL55" s="8">
        <f t="shared" si="106"/>
        <v>37.199934517589298</v>
      </c>
      <c r="AM55" s="8">
        <f t="shared" si="106"/>
        <v>39.256695990807742</v>
      </c>
      <c r="AN55" s="8">
        <f t="shared" si="106"/>
        <v>42.084345339943781</v>
      </c>
      <c r="AO55" s="8">
        <f t="shared" si="106"/>
        <v>45.588944322087343</v>
      </c>
      <c r="AP55" s="1">
        <f>AO55*(1+$AS$21)</f>
        <v>45.133054878866467</v>
      </c>
      <c r="AQ55" s="1">
        <f t="shared" ref="AQ55:DB55" si="107">AP55*(1+$AS$21)</f>
        <v>44.681724330077799</v>
      </c>
      <c r="AR55" s="1">
        <f t="shared" si="107"/>
        <v>44.234907086777021</v>
      </c>
      <c r="AS55" s="1">
        <f t="shared" si="107"/>
        <v>43.79255801590925</v>
      </c>
      <c r="AT55" s="1">
        <f t="shared" si="107"/>
        <v>43.354632435750155</v>
      </c>
      <c r="AU55" s="1">
        <f t="shared" si="107"/>
        <v>42.921086111392654</v>
      </c>
      <c r="AV55" s="1">
        <f t="shared" si="107"/>
        <v>42.491875250278724</v>
      </c>
      <c r="AW55" s="1">
        <f t="shared" si="107"/>
        <v>42.066956497775934</v>
      </c>
      <c r="AX55" s="1">
        <f t="shared" si="107"/>
        <v>41.646286932798176</v>
      </c>
      <c r="AY55" s="1">
        <f t="shared" si="107"/>
        <v>41.229824063470197</v>
      </c>
      <c r="AZ55" s="1">
        <f t="shared" si="107"/>
        <v>40.817525822835492</v>
      </c>
      <c r="BA55" s="1">
        <f t="shared" si="107"/>
        <v>40.409350564607138</v>
      </c>
      <c r="BB55" s="1">
        <f t="shared" si="107"/>
        <v>40.005257058961064</v>
      </c>
      <c r="BC55" s="1">
        <f t="shared" si="107"/>
        <v>39.605204488371456</v>
      </c>
      <c r="BD55" s="1">
        <f t="shared" si="107"/>
        <v>39.209152443487739</v>
      </c>
      <c r="BE55" s="1">
        <f t="shared" si="107"/>
        <v>38.817060919052864</v>
      </c>
      <c r="BF55" s="1">
        <f t="shared" si="107"/>
        <v>38.428890309862332</v>
      </c>
      <c r="BG55" s="1">
        <f t="shared" si="107"/>
        <v>38.044601406763711</v>
      </c>
      <c r="BH55" s="1">
        <f t="shared" si="107"/>
        <v>37.664155392696074</v>
      </c>
      <c r="BI55" s="1">
        <f t="shared" si="107"/>
        <v>37.287513838769115</v>
      </c>
      <c r="BJ55" s="1">
        <f t="shared" si="107"/>
        <v>36.914638700381424</v>
      </c>
      <c r="BK55" s="1">
        <f t="shared" si="107"/>
        <v>36.545492313377608</v>
      </c>
      <c r="BL55" s="1">
        <f t="shared" si="107"/>
        <v>36.180037390243832</v>
      </c>
      <c r="BM55" s="1">
        <f t="shared" si="107"/>
        <v>35.818237016341392</v>
      </c>
      <c r="BN55" s="1">
        <f t="shared" si="107"/>
        <v>35.46005464617798</v>
      </c>
      <c r="BO55" s="1">
        <f t="shared" si="107"/>
        <v>35.105454099716198</v>
      </c>
      <c r="BP55" s="1">
        <f t="shared" si="107"/>
        <v>34.754399558719037</v>
      </c>
      <c r="BQ55" s="1">
        <f t="shared" si="107"/>
        <v>34.406855563131849</v>
      </c>
      <c r="BR55" s="1">
        <f t="shared" si="107"/>
        <v>34.062787007500532</v>
      </c>
      <c r="BS55" s="1">
        <f t="shared" si="107"/>
        <v>33.722159137425528</v>
      </c>
      <c r="BT55" s="1">
        <f t="shared" si="107"/>
        <v>33.384937546051276</v>
      </c>
      <c r="BU55" s="1">
        <f t="shared" si="107"/>
        <v>33.051088170590766</v>
      </c>
      <c r="BV55" s="1">
        <f t="shared" si="107"/>
        <v>32.720577288884861</v>
      </c>
      <c r="BW55" s="1">
        <f t="shared" si="107"/>
        <v>32.393371515996016</v>
      </c>
      <c r="BX55" s="1">
        <f t="shared" si="107"/>
        <v>32.069437800836056</v>
      </c>
      <c r="BY55" s="1">
        <f t="shared" si="107"/>
        <v>31.748743422827694</v>
      </c>
      <c r="BZ55" s="1">
        <f t="shared" si="107"/>
        <v>31.431255988599418</v>
      </c>
      <c r="CA55" s="1">
        <f t="shared" si="107"/>
        <v>31.116943428713423</v>
      </c>
      <c r="CB55" s="1">
        <f t="shared" si="107"/>
        <v>30.805773994426289</v>
      </c>
      <c r="CC55" s="1">
        <f t="shared" si="107"/>
        <v>30.497716254482025</v>
      </c>
      <c r="CD55" s="1">
        <f t="shared" si="107"/>
        <v>30.192739091937206</v>
      </c>
      <c r="CE55" s="1">
        <f t="shared" si="107"/>
        <v>29.890811701017835</v>
      </c>
      <c r="CF55" s="1">
        <f t="shared" si="107"/>
        <v>29.591903584007657</v>
      </c>
      <c r="CG55" s="1">
        <f t="shared" si="107"/>
        <v>29.295984548167581</v>
      </c>
      <c r="CH55" s="1">
        <f t="shared" si="107"/>
        <v>29.003024702685906</v>
      </c>
      <c r="CI55" s="1">
        <f t="shared" si="107"/>
        <v>28.712994455659047</v>
      </c>
      <c r="CJ55" s="1">
        <f t="shared" si="107"/>
        <v>28.425864511102457</v>
      </c>
      <c r="CK55" s="1">
        <f t="shared" si="107"/>
        <v>28.141605865991433</v>
      </c>
      <c r="CL55" s="1">
        <f t="shared" si="107"/>
        <v>27.860189807331519</v>
      </c>
      <c r="CM55" s="1">
        <f t="shared" si="107"/>
        <v>27.581587909258204</v>
      </c>
      <c r="CN55" s="1">
        <f t="shared" si="107"/>
        <v>27.30577203016562</v>
      </c>
      <c r="CO55" s="1">
        <f t="shared" si="107"/>
        <v>27.032714309863962</v>
      </c>
      <c r="CP55" s="1">
        <f t="shared" si="107"/>
        <v>26.762387166765322</v>
      </c>
      <c r="CQ55" s="1">
        <f t="shared" si="107"/>
        <v>26.49476329509767</v>
      </c>
      <c r="CR55" s="1">
        <f t="shared" si="107"/>
        <v>26.229815662146692</v>
      </c>
      <c r="CS55" s="1">
        <f t="shared" si="107"/>
        <v>25.967517505525226</v>
      </c>
      <c r="CT55" s="1">
        <f t="shared" si="107"/>
        <v>25.707842330469973</v>
      </c>
      <c r="CU55" s="1">
        <f t="shared" si="107"/>
        <v>25.450763907165271</v>
      </c>
      <c r="CV55" s="1">
        <f t="shared" si="107"/>
        <v>25.196256268093617</v>
      </c>
      <c r="CW55" s="1">
        <f t="shared" si="107"/>
        <v>24.944293705412679</v>
      </c>
      <c r="CX55" s="1">
        <f t="shared" si="107"/>
        <v>24.694850768358553</v>
      </c>
      <c r="CY55" s="1">
        <f t="shared" si="107"/>
        <v>24.447902260674965</v>
      </c>
      <c r="CZ55" s="1">
        <f t="shared" si="107"/>
        <v>24.203423238068215</v>
      </c>
      <c r="DA55" s="1">
        <f t="shared" si="107"/>
        <v>23.961389005687533</v>
      </c>
      <c r="DB55" s="1">
        <f t="shared" si="107"/>
        <v>23.721775115630656</v>
      </c>
      <c r="DC55" s="1">
        <f t="shared" ref="DC55:ET55" si="108">DB55*(1+$AS$21)</f>
        <v>23.484557364474348</v>
      </c>
      <c r="DD55" s="1">
        <f t="shared" si="108"/>
        <v>23.249711790829604</v>
      </c>
      <c r="DE55" s="1">
        <f t="shared" si="108"/>
        <v>23.017214672921309</v>
      </c>
      <c r="DF55" s="1">
        <f t="shared" si="108"/>
        <v>22.787042526192096</v>
      </c>
      <c r="DG55" s="1">
        <f t="shared" si="108"/>
        <v>22.559172100930173</v>
      </c>
      <c r="DH55" s="1">
        <f t="shared" si="108"/>
        <v>22.333580379920871</v>
      </c>
      <c r="DI55" s="1">
        <f t="shared" si="108"/>
        <v>22.110244576121662</v>
      </c>
      <c r="DJ55" s="1">
        <f t="shared" si="108"/>
        <v>21.889142130360444</v>
      </c>
      <c r="DK55" s="1">
        <f t="shared" si="108"/>
        <v>21.670250709056837</v>
      </c>
      <c r="DL55" s="1">
        <f t="shared" si="108"/>
        <v>21.453548201966267</v>
      </c>
      <c r="DM55" s="1">
        <f t="shared" si="108"/>
        <v>21.239012719946604</v>
      </c>
      <c r="DN55" s="1">
        <f t="shared" si="108"/>
        <v>21.026622592747138</v>
      </c>
      <c r="DO55" s="1">
        <f t="shared" si="108"/>
        <v>20.816356366819665</v>
      </c>
      <c r="DP55" s="1">
        <f t="shared" si="108"/>
        <v>20.608192803151468</v>
      </c>
      <c r="DQ55" s="1">
        <f t="shared" si="108"/>
        <v>20.402110875119952</v>
      </c>
      <c r="DR55" s="1">
        <f t="shared" si="108"/>
        <v>20.198089766368753</v>
      </c>
      <c r="DS55" s="1">
        <f t="shared" si="108"/>
        <v>19.996108868705065</v>
      </c>
      <c r="DT55" s="1">
        <f t="shared" si="108"/>
        <v>19.796147780018014</v>
      </c>
      <c r="DU55" s="1">
        <f t="shared" si="108"/>
        <v>19.598186302217833</v>
      </c>
      <c r="DV55" s="1">
        <f t="shared" si="108"/>
        <v>19.402204439195653</v>
      </c>
      <c r="DW55" s="1">
        <f t="shared" si="108"/>
        <v>19.208182394803696</v>
      </c>
      <c r="DX55" s="1">
        <f t="shared" si="108"/>
        <v>19.016100570855659</v>
      </c>
      <c r="DY55" s="1">
        <f t="shared" si="108"/>
        <v>18.825939565147102</v>
      </c>
      <c r="DZ55" s="1">
        <f t="shared" si="108"/>
        <v>18.637680169495631</v>
      </c>
      <c r="EA55" s="1">
        <f t="shared" si="108"/>
        <v>18.451303367800676</v>
      </c>
      <c r="EB55" s="1">
        <f t="shared" si="108"/>
        <v>18.266790334122671</v>
      </c>
      <c r="EC55" s="1">
        <f t="shared" si="108"/>
        <v>18.084122430781445</v>
      </c>
      <c r="ED55" s="1">
        <f t="shared" si="108"/>
        <v>17.903281206473629</v>
      </c>
      <c r="EE55" s="1">
        <f t="shared" si="108"/>
        <v>17.724248394408892</v>
      </c>
      <c r="EF55" s="1">
        <f t="shared" si="108"/>
        <v>17.547005910464804</v>
      </c>
      <c r="EG55" s="1">
        <f t="shared" si="108"/>
        <v>17.371535851360157</v>
      </c>
      <c r="EH55" s="1">
        <f t="shared" si="108"/>
        <v>17.197820492846557</v>
      </c>
      <c r="EI55" s="1">
        <f t="shared" si="108"/>
        <v>17.025842287918092</v>
      </c>
      <c r="EJ55" s="1">
        <f t="shared" si="108"/>
        <v>16.855583865038909</v>
      </c>
      <c r="EK55" s="1">
        <f t="shared" si="108"/>
        <v>16.687028026388521</v>
      </c>
      <c r="EL55" s="1">
        <f t="shared" si="108"/>
        <v>16.520157746124635</v>
      </c>
      <c r="EM55" s="1">
        <f t="shared" si="108"/>
        <v>16.354956168663389</v>
      </c>
      <c r="EN55" s="1">
        <f t="shared" si="108"/>
        <v>16.191406606976756</v>
      </c>
      <c r="EO55" s="1">
        <f t="shared" si="108"/>
        <v>16.02949254090699</v>
      </c>
      <c r="EP55" s="1">
        <f t="shared" si="108"/>
        <v>15.869197615497919</v>
      </c>
      <c r="EQ55" s="1">
        <f t="shared" si="108"/>
        <v>15.710505639342939</v>
      </c>
      <c r="ER55" s="1">
        <f t="shared" si="108"/>
        <v>15.553400582949509</v>
      </c>
      <c r="ES55" s="1">
        <f t="shared" si="108"/>
        <v>15.397866577120014</v>
      </c>
      <c r="ET55" s="1">
        <f t="shared" si="108"/>
        <v>15.243887911348814</v>
      </c>
    </row>
    <row r="59" spans="2:150" x14ac:dyDescent="0.3">
      <c r="AR59" t="s">
        <v>86</v>
      </c>
      <c r="AS59" s="2">
        <f>NPV(AS22,AE55:ET55)</f>
        <v>252.55472952584131</v>
      </c>
    </row>
    <row r="60" spans="2:150" x14ac:dyDescent="0.3">
      <c r="AR60" t="s">
        <v>52</v>
      </c>
      <c r="AS60" s="2">
        <f>Main!D8</f>
        <v>63.900000000000006</v>
      </c>
    </row>
    <row r="61" spans="2:150" x14ac:dyDescent="0.3">
      <c r="AR61" t="s">
        <v>53</v>
      </c>
      <c r="AS61" s="2">
        <f>AS59+AS60</f>
        <v>316.45472952584134</v>
      </c>
    </row>
    <row r="62" spans="2:150" x14ac:dyDescent="0.3">
      <c r="AR62" t="s">
        <v>54</v>
      </c>
      <c r="AS62" s="3">
        <f>AS61/Model!AO17</f>
        <v>3.0109869602839332</v>
      </c>
    </row>
    <row r="63" spans="2:150" x14ac:dyDescent="0.3">
      <c r="AR63" t="s">
        <v>55</v>
      </c>
      <c r="AS63" s="3">
        <f>Main!D3</f>
        <v>0.98009999999999997</v>
      </c>
    </row>
    <row r="64" spans="2:150" x14ac:dyDescent="0.3">
      <c r="AR64" s="1" t="s">
        <v>56</v>
      </c>
      <c r="AS64" s="10">
        <f>AS62/AS63-1</f>
        <v>2.0721221919027988</v>
      </c>
    </row>
  </sheetData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2024-11-07T10:50:32Z</dcterms:created>
  <dcterms:modified xsi:type="dcterms:W3CDTF">2025-05-22T18:57:52Z</dcterms:modified>
</cp:coreProperties>
</file>