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5703B83-F848-4175-B4F6-C9F74EC41224}" xr6:coauthVersionLast="47" xr6:coauthVersionMax="47" xr10:uidLastSave="{00000000-0000-0000-0000-000000000000}"/>
  <bookViews>
    <workbookView xWindow="-108" yWindow="-108" windowWidth="23256" windowHeight="12576" activeTab="1" xr2:uid="{EE075BA3-B62D-42AA-AD11-2E99A8FED7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4" i="2" l="1"/>
  <c r="P85" i="2"/>
  <c r="P87" i="2" s="1"/>
  <c r="AL36" i="2"/>
  <c r="AM36" i="2" s="1"/>
  <c r="AN36" i="2" s="1"/>
  <c r="AO36" i="2" s="1"/>
  <c r="AP36" i="2" s="1"/>
  <c r="AQ36" i="2" s="1"/>
  <c r="AR36" i="2" s="1"/>
  <c r="AS36" i="2" s="1"/>
  <c r="AK36" i="2"/>
  <c r="V58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R58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U34" i="2"/>
  <c r="T34" i="2"/>
  <c r="S34" i="2"/>
  <c r="Q34" i="2"/>
  <c r="P34" i="2"/>
  <c r="O34" i="2"/>
  <c r="U62" i="2"/>
  <c r="T62" i="2"/>
  <c r="Q62" i="2"/>
  <c r="P62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58" i="2"/>
  <c r="T58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Q58" i="2"/>
  <c r="Q56" i="2"/>
  <c r="Q55" i="2"/>
  <c r="Q54" i="2"/>
  <c r="Q53" i="2"/>
  <c r="Q52" i="2"/>
  <c r="Q51" i="2"/>
  <c r="Q50" i="2"/>
  <c r="Q49" i="2"/>
  <c r="Q48" i="2"/>
  <c r="Q47" i="2"/>
  <c r="Q46" i="2"/>
  <c r="Q85" i="2" s="1"/>
  <c r="Q87" i="2" s="1"/>
  <c r="Q45" i="2"/>
  <c r="Q44" i="2"/>
  <c r="Q43" i="2"/>
  <c r="Q42" i="2"/>
  <c r="Q41" i="2"/>
  <c r="Q40" i="2"/>
  <c r="Q39" i="2"/>
  <c r="Q38" i="2"/>
  <c r="Q37" i="2"/>
  <c r="Q36" i="2"/>
  <c r="Q35" i="2"/>
  <c r="P58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17" i="2"/>
  <c r="Q12" i="2"/>
  <c r="P12" i="2"/>
  <c r="AJ58" i="2"/>
  <c r="AK58" i="2" s="1"/>
  <c r="AL58" i="2" s="1"/>
  <c r="AM58" i="2" s="1"/>
  <c r="AN58" i="2" s="1"/>
  <c r="AO58" i="2" s="1"/>
  <c r="AP58" i="2" s="1"/>
  <c r="AQ58" i="2" s="1"/>
  <c r="AR58" i="2" s="1"/>
  <c r="AS58" i="2" s="1"/>
  <c r="Z3" i="2"/>
  <c r="Z22" i="2" s="1"/>
  <c r="W9" i="2"/>
  <c r="W12" i="2" s="1"/>
  <c r="W13" i="2" s="1"/>
  <c r="AJ15" i="2"/>
  <c r="AJ14" i="2"/>
  <c r="AJ11" i="2"/>
  <c r="AJ10" i="2"/>
  <c r="AK10" i="2" s="1"/>
  <c r="AJ8" i="2"/>
  <c r="AI4" i="2"/>
  <c r="AH4" i="2"/>
  <c r="AH3" i="2"/>
  <c r="AI3" i="2"/>
  <c r="AI22" i="2" s="1"/>
  <c r="Z23" i="2"/>
  <c r="X23" i="2"/>
  <c r="Z19" i="2"/>
  <c r="Y19" i="2"/>
  <c r="X19" i="2"/>
  <c r="W19" i="2"/>
  <c r="AI11" i="2"/>
  <c r="W7" i="2"/>
  <c r="W25" i="2" s="1"/>
  <c r="Z5" i="2"/>
  <c r="Z9" i="2" s="1"/>
  <c r="Z4" i="2"/>
  <c r="Y4" i="2"/>
  <c r="Y23" i="2" s="1"/>
  <c r="X4" i="2"/>
  <c r="W4" i="2"/>
  <c r="W23" i="2" s="1"/>
  <c r="Y3" i="2"/>
  <c r="Y5" i="2" s="1"/>
  <c r="X3" i="2"/>
  <c r="X22" i="2" s="1"/>
  <c r="V23" i="2"/>
  <c r="U23" i="2"/>
  <c r="T23" i="2"/>
  <c r="S23" i="2"/>
  <c r="V22" i="2"/>
  <c r="U22" i="2"/>
  <c r="T22" i="2"/>
  <c r="S22" i="2"/>
  <c r="W22" i="2"/>
  <c r="Z28" i="2"/>
  <c r="Y28" i="2"/>
  <c r="X28" i="2"/>
  <c r="W28" i="2"/>
  <c r="Z26" i="2"/>
  <c r="Y26" i="2"/>
  <c r="X26" i="2"/>
  <c r="W26" i="2"/>
  <c r="W24" i="2"/>
  <c r="AS19" i="2"/>
  <c r="AR19" i="2"/>
  <c r="AQ19" i="2"/>
  <c r="AP19" i="2"/>
  <c r="AO19" i="2"/>
  <c r="AN19" i="2"/>
  <c r="AM19" i="2"/>
  <c r="AL19" i="2"/>
  <c r="AK19" i="2"/>
  <c r="AJ19" i="2"/>
  <c r="AI19" i="2"/>
  <c r="V19" i="2"/>
  <c r="D4" i="1"/>
  <c r="D7" i="1"/>
  <c r="D6" i="1"/>
  <c r="AK35" i="2"/>
  <c r="AL35" i="2" s="1"/>
  <c r="AM35" i="2" s="1"/>
  <c r="AN35" i="2" s="1"/>
  <c r="AO35" i="2" s="1"/>
  <c r="AP35" i="2" s="1"/>
  <c r="AQ35" i="2" s="1"/>
  <c r="AR35" i="2" s="1"/>
  <c r="AS35" i="2" s="1"/>
  <c r="U7" i="2"/>
  <c r="U19" i="2"/>
  <c r="T7" i="2"/>
  <c r="S12" i="2"/>
  <c r="S7" i="2"/>
  <c r="V57" i="2" l="1"/>
  <c r="V59" i="2" s="1"/>
  <c r="R57" i="2"/>
  <c r="R59" i="2" s="1"/>
  <c r="U85" i="2"/>
  <c r="U87" i="2" s="1"/>
  <c r="T85" i="2"/>
  <c r="T87" i="2" s="1"/>
  <c r="Y9" i="2"/>
  <c r="Y7" i="2"/>
  <c r="Y25" i="2" s="1"/>
  <c r="Y24" i="2"/>
  <c r="AJ3" i="2"/>
  <c r="Z7" i="2"/>
  <c r="Z25" i="2" s="1"/>
  <c r="Z24" i="2"/>
  <c r="X5" i="2"/>
  <c r="Y22" i="2"/>
  <c r="AJ4" i="2"/>
  <c r="AK4" i="2" s="1"/>
  <c r="Z12" i="2"/>
  <c r="Z13" i="2" s="1"/>
  <c r="Z29" i="2" s="1"/>
  <c r="Z27" i="2"/>
  <c r="AJ22" i="2"/>
  <c r="W29" i="2"/>
  <c r="W16" i="2"/>
  <c r="W27" i="2"/>
  <c r="AJ23" i="2"/>
  <c r="AI23" i="2"/>
  <c r="Y6" i="2"/>
  <c r="Z6" i="2"/>
  <c r="W6" i="2"/>
  <c r="V7" i="2"/>
  <c r="V12" i="2"/>
  <c r="AW66" i="2"/>
  <c r="AH57" i="2"/>
  <c r="AH59" i="2" s="1"/>
  <c r="AI17" i="2"/>
  <c r="AI14" i="2"/>
  <c r="AI10" i="2"/>
  <c r="AI8" i="2"/>
  <c r="AI15" i="2"/>
  <c r="V28" i="2"/>
  <c r="U28" i="2"/>
  <c r="T28" i="2"/>
  <c r="S28" i="2"/>
  <c r="T12" i="2"/>
  <c r="S13" i="2"/>
  <c r="V26" i="2"/>
  <c r="U26" i="2"/>
  <c r="T26" i="2"/>
  <c r="S26" i="2"/>
  <c r="R7" i="2"/>
  <c r="S25" i="2"/>
  <c r="AI5" i="2"/>
  <c r="S27" i="2"/>
  <c r="S24" i="2"/>
  <c r="R27" i="2"/>
  <c r="Q7" i="2"/>
  <c r="AH10" i="2"/>
  <c r="AW31" i="2"/>
  <c r="R28" i="2"/>
  <c r="R26" i="2"/>
  <c r="Q26" i="2"/>
  <c r="AD28" i="2"/>
  <c r="AC28" i="2"/>
  <c r="AD26" i="2"/>
  <c r="AC26" i="2"/>
  <c r="AD24" i="2"/>
  <c r="AC24" i="2"/>
  <c r="AD27" i="2"/>
  <c r="AC27" i="2"/>
  <c r="AB27" i="2"/>
  <c r="Q24" i="2"/>
  <c r="AH15" i="2"/>
  <c r="AH14" i="2"/>
  <c r="AG17" i="2"/>
  <c r="AG15" i="2"/>
  <c r="AG14" i="2"/>
  <c r="AG10" i="2"/>
  <c r="AG9" i="2"/>
  <c r="AG8" i="2"/>
  <c r="AG6" i="2"/>
  <c r="AG5" i="2"/>
  <c r="AF17" i="2"/>
  <c r="AF15" i="2"/>
  <c r="AF14" i="2"/>
  <c r="AF10" i="2"/>
  <c r="AF9" i="2"/>
  <c r="AF8" i="2"/>
  <c r="AF6" i="2"/>
  <c r="AF5" i="2"/>
  <c r="AE17" i="2"/>
  <c r="AE15" i="2"/>
  <c r="AE14" i="2"/>
  <c r="AE10" i="2"/>
  <c r="AE28" i="2" s="1"/>
  <c r="AE9" i="2"/>
  <c r="AE8" i="2"/>
  <c r="AE26" i="2" s="1"/>
  <c r="AE6" i="2"/>
  <c r="AE5" i="2"/>
  <c r="AE24" i="2" s="1"/>
  <c r="AB12" i="2"/>
  <c r="AB7" i="2"/>
  <c r="AB25" i="2" s="1"/>
  <c r="AC12" i="2"/>
  <c r="AC7" i="2"/>
  <c r="AC25" i="2" s="1"/>
  <c r="AD12" i="2"/>
  <c r="AD7" i="2"/>
  <c r="AD25" i="2" s="1"/>
  <c r="J28" i="2"/>
  <c r="I28" i="2"/>
  <c r="H28" i="2"/>
  <c r="G28" i="2"/>
  <c r="J26" i="2"/>
  <c r="I26" i="2"/>
  <c r="H26" i="2"/>
  <c r="G26" i="2"/>
  <c r="G24" i="2"/>
  <c r="H24" i="2"/>
  <c r="I24" i="2"/>
  <c r="J24" i="2"/>
  <c r="J27" i="2"/>
  <c r="I27" i="2"/>
  <c r="H27" i="2"/>
  <c r="G27" i="2"/>
  <c r="F27" i="2"/>
  <c r="E27" i="2"/>
  <c r="D27" i="2"/>
  <c r="C27" i="2"/>
  <c r="E12" i="2"/>
  <c r="E7" i="2"/>
  <c r="E25" i="2" s="1"/>
  <c r="F12" i="2"/>
  <c r="F7" i="2"/>
  <c r="F25" i="2" s="1"/>
  <c r="P28" i="2"/>
  <c r="O28" i="2"/>
  <c r="N28" i="2"/>
  <c r="M28" i="2"/>
  <c r="L28" i="2"/>
  <c r="K28" i="2"/>
  <c r="P27" i="2"/>
  <c r="O27" i="2"/>
  <c r="N27" i="2"/>
  <c r="M27" i="2"/>
  <c r="L27" i="2"/>
  <c r="K27" i="2"/>
  <c r="P26" i="2"/>
  <c r="O26" i="2"/>
  <c r="N26" i="2"/>
  <c r="M26" i="2"/>
  <c r="L26" i="2"/>
  <c r="K26" i="2"/>
  <c r="P24" i="2"/>
  <c r="O24" i="2"/>
  <c r="N24" i="2"/>
  <c r="M24" i="2"/>
  <c r="L24" i="2"/>
  <c r="K24" i="2"/>
  <c r="C12" i="2"/>
  <c r="C7" i="2"/>
  <c r="C25" i="2" s="1"/>
  <c r="G12" i="2"/>
  <c r="G7" i="2"/>
  <c r="G25" i="2" s="1"/>
  <c r="D12" i="2"/>
  <c r="D7" i="2"/>
  <c r="D25" i="2" s="1"/>
  <c r="H12" i="2"/>
  <c r="H7" i="2"/>
  <c r="H25" i="2" s="1"/>
  <c r="I12" i="2"/>
  <c r="I7" i="2"/>
  <c r="I25" i="2" s="1"/>
  <c r="M12" i="2"/>
  <c r="M7" i="2"/>
  <c r="M25" i="2" s="1"/>
  <c r="J12" i="2"/>
  <c r="J7" i="2"/>
  <c r="J25" i="2" s="1"/>
  <c r="N12" i="2"/>
  <c r="N7" i="2"/>
  <c r="N25" i="2" s="1"/>
  <c r="K12" i="2"/>
  <c r="K7" i="2"/>
  <c r="K25" i="2" s="1"/>
  <c r="O12" i="2"/>
  <c r="O7" i="2"/>
  <c r="O25" i="2" s="1"/>
  <c r="L12" i="2"/>
  <c r="L7" i="2"/>
  <c r="P7" i="2"/>
  <c r="P25" i="2" s="1"/>
  <c r="F3" i="1"/>
  <c r="D5" i="1"/>
  <c r="X24" i="2" l="1"/>
  <c r="X7" i="2"/>
  <c r="X25" i="2" s="1"/>
  <c r="X9" i="2"/>
  <c r="AK3" i="2"/>
  <c r="AJ5" i="2"/>
  <c r="AK23" i="2"/>
  <c r="AL4" i="2"/>
  <c r="Y12" i="2"/>
  <c r="Y13" i="2" s="1"/>
  <c r="Y27" i="2"/>
  <c r="Z16" i="2"/>
  <c r="Z17" i="2" s="1"/>
  <c r="Z30" i="2" s="1"/>
  <c r="W17" i="2"/>
  <c r="U12" i="2"/>
  <c r="U13" i="2" s="1"/>
  <c r="AK14" i="2"/>
  <c r="AL14" i="2" s="1"/>
  <c r="AM14" i="2" s="1"/>
  <c r="AN14" i="2" s="1"/>
  <c r="AO14" i="2" s="1"/>
  <c r="AP14" i="2" s="1"/>
  <c r="AQ14" i="2" s="1"/>
  <c r="AR14" i="2" s="1"/>
  <c r="AS14" i="2" s="1"/>
  <c r="AK15" i="2"/>
  <c r="AL15" i="2" s="1"/>
  <c r="AM15" i="2" s="1"/>
  <c r="AN15" i="2" s="1"/>
  <c r="AO15" i="2" s="1"/>
  <c r="AP15" i="2" s="1"/>
  <c r="AQ15" i="2" s="1"/>
  <c r="AR15" i="2" s="1"/>
  <c r="AS15" i="2" s="1"/>
  <c r="T13" i="2"/>
  <c r="T16" i="2" s="1"/>
  <c r="S29" i="2"/>
  <c r="S16" i="2"/>
  <c r="AI9" i="2"/>
  <c r="AI12" i="2" s="1"/>
  <c r="U27" i="2"/>
  <c r="U25" i="2"/>
  <c r="V27" i="2"/>
  <c r="U24" i="2"/>
  <c r="V24" i="2"/>
  <c r="T24" i="2"/>
  <c r="T27" i="2"/>
  <c r="AE27" i="2"/>
  <c r="AF27" i="2"/>
  <c r="AG27" i="2"/>
  <c r="R24" i="2"/>
  <c r="AF28" i="2"/>
  <c r="AG28" i="2"/>
  <c r="AF24" i="2"/>
  <c r="AG24" i="2"/>
  <c r="P13" i="2"/>
  <c r="P29" i="2" s="1"/>
  <c r="AF26" i="2"/>
  <c r="AG26" i="2"/>
  <c r="L13" i="2"/>
  <c r="L16" i="2" s="1"/>
  <c r="L18" i="2" s="1"/>
  <c r="L20" i="2" s="1"/>
  <c r="AE7" i="2"/>
  <c r="AE25" i="2" s="1"/>
  <c r="AL10" i="2"/>
  <c r="AM10" i="2" s="1"/>
  <c r="AN10" i="2" s="1"/>
  <c r="AO10" i="2" s="1"/>
  <c r="AP10" i="2" s="1"/>
  <c r="AQ10" i="2" s="1"/>
  <c r="AR10" i="2" s="1"/>
  <c r="AS10" i="2" s="1"/>
  <c r="R12" i="2"/>
  <c r="R13" i="2" s="1"/>
  <c r="R29" i="2" s="1"/>
  <c r="R25" i="2"/>
  <c r="D8" i="1"/>
  <c r="Q25" i="2"/>
  <c r="Q27" i="2"/>
  <c r="Q13" i="2"/>
  <c r="Q29" i="2" s="1"/>
  <c r="AH5" i="2"/>
  <c r="AH6" i="2"/>
  <c r="AI28" i="2"/>
  <c r="AH28" i="2"/>
  <c r="Q28" i="2"/>
  <c r="AH9" i="2"/>
  <c r="AH8" i="2"/>
  <c r="AJ26" i="2" s="1"/>
  <c r="AG12" i="2"/>
  <c r="AG7" i="2"/>
  <c r="AG25" i="2" s="1"/>
  <c r="AF12" i="2"/>
  <c r="AF7" i="2"/>
  <c r="AF25" i="2" s="1"/>
  <c r="AE12" i="2"/>
  <c r="AB13" i="2"/>
  <c r="AC13" i="2"/>
  <c r="AD13" i="2"/>
  <c r="L25" i="2"/>
  <c r="E13" i="2"/>
  <c r="F13" i="2"/>
  <c r="C13" i="2"/>
  <c r="G13" i="2"/>
  <c r="D13" i="2"/>
  <c r="H13" i="2"/>
  <c r="I13" i="2"/>
  <c r="M13" i="2"/>
  <c r="J13" i="2"/>
  <c r="N13" i="2"/>
  <c r="K13" i="2"/>
  <c r="O13" i="2"/>
  <c r="Y29" i="2" l="1"/>
  <c r="Y16" i="2"/>
  <c r="Y17" i="2" s="1"/>
  <c r="Y30" i="2" s="1"/>
  <c r="X6" i="2"/>
  <c r="AJ6" i="2" s="1"/>
  <c r="AJ7" i="2" s="1"/>
  <c r="AM4" i="2"/>
  <c r="AL23" i="2"/>
  <c r="AL3" i="2"/>
  <c r="AK22" i="2"/>
  <c r="AK5" i="2"/>
  <c r="X12" i="2"/>
  <c r="X13" i="2" s="1"/>
  <c r="AJ9" i="2"/>
  <c r="X27" i="2"/>
  <c r="Z18" i="2"/>
  <c r="Y18" i="2"/>
  <c r="W30" i="2"/>
  <c r="W18" i="2"/>
  <c r="L31" i="2"/>
  <c r="AJ12" i="2"/>
  <c r="U16" i="2"/>
  <c r="U29" i="2"/>
  <c r="T25" i="2"/>
  <c r="T29" i="2"/>
  <c r="T18" i="2"/>
  <c r="T57" i="2" s="1"/>
  <c r="T59" i="2" s="1"/>
  <c r="T30" i="2"/>
  <c r="P16" i="2"/>
  <c r="P30" i="2" s="1"/>
  <c r="S18" i="2"/>
  <c r="S57" i="2" s="1"/>
  <c r="S59" i="2" s="1"/>
  <c r="S30" i="2"/>
  <c r="AW28" i="2"/>
  <c r="AW63" i="2"/>
  <c r="L29" i="2"/>
  <c r="AE13" i="2"/>
  <c r="AE16" i="2" s="1"/>
  <c r="L30" i="2"/>
  <c r="AH7" i="2"/>
  <c r="AH25" i="2" s="1"/>
  <c r="AB16" i="2"/>
  <c r="AB29" i="2"/>
  <c r="AH24" i="2"/>
  <c r="AD16" i="2"/>
  <c r="AD29" i="2"/>
  <c r="AC16" i="2"/>
  <c r="AC29" i="2"/>
  <c r="AH27" i="2"/>
  <c r="AJ28" i="2"/>
  <c r="AK28" i="2"/>
  <c r="AK8" i="2"/>
  <c r="AL8" i="2" s="1"/>
  <c r="AM8" i="2" s="1"/>
  <c r="AN8" i="2" s="1"/>
  <c r="AO8" i="2" s="1"/>
  <c r="AP8" i="2" s="1"/>
  <c r="AQ8" i="2" s="1"/>
  <c r="AR8" i="2" s="1"/>
  <c r="AS8" i="2" s="1"/>
  <c r="R16" i="2"/>
  <c r="D9" i="1"/>
  <c r="Q16" i="2"/>
  <c r="Q30" i="2" s="1"/>
  <c r="AL28" i="2"/>
  <c r="AH12" i="2"/>
  <c r="AH26" i="2"/>
  <c r="AI26" i="2"/>
  <c r="AG13" i="2"/>
  <c r="AF13" i="2"/>
  <c r="D16" i="2"/>
  <c r="D29" i="2"/>
  <c r="G16" i="2"/>
  <c r="G29" i="2"/>
  <c r="O16" i="2"/>
  <c r="O29" i="2"/>
  <c r="K16" i="2"/>
  <c r="K29" i="2"/>
  <c r="C16" i="2"/>
  <c r="C29" i="2"/>
  <c r="N16" i="2"/>
  <c r="N29" i="2"/>
  <c r="F16" i="2"/>
  <c r="F29" i="2"/>
  <c r="J16" i="2"/>
  <c r="J29" i="2"/>
  <c r="E16" i="2"/>
  <c r="E29" i="2"/>
  <c r="M16" i="2"/>
  <c r="M29" i="2"/>
  <c r="I16" i="2"/>
  <c r="I29" i="2"/>
  <c r="H16" i="2"/>
  <c r="H29" i="2"/>
  <c r="X16" i="2" l="1"/>
  <c r="X29" i="2"/>
  <c r="AM3" i="2"/>
  <c r="AL22" i="2"/>
  <c r="AL5" i="2"/>
  <c r="AK7" i="2"/>
  <c r="AK9" i="2"/>
  <c r="AN4" i="2"/>
  <c r="AM23" i="2"/>
  <c r="Z20" i="2"/>
  <c r="Z31" i="2"/>
  <c r="Y20" i="2"/>
  <c r="Y31" i="2"/>
  <c r="W20" i="2"/>
  <c r="W31" i="2"/>
  <c r="P18" i="2"/>
  <c r="AE29" i="2"/>
  <c r="AH13" i="2"/>
  <c r="AH16" i="2" s="1"/>
  <c r="U18" i="2"/>
  <c r="U57" i="2" s="1"/>
  <c r="U59" i="2" s="1"/>
  <c r="U30" i="2"/>
  <c r="T20" i="2"/>
  <c r="T31" i="2"/>
  <c r="S31" i="2"/>
  <c r="S20" i="2"/>
  <c r="AC18" i="2"/>
  <c r="AC30" i="2"/>
  <c r="AB18" i="2"/>
  <c r="AB30" i="2"/>
  <c r="AF16" i="2"/>
  <c r="AF29" i="2"/>
  <c r="AG16" i="2"/>
  <c r="AG29" i="2"/>
  <c r="AD18" i="2"/>
  <c r="AD30" i="2"/>
  <c r="AE18" i="2"/>
  <c r="AE30" i="2"/>
  <c r="AM26" i="2"/>
  <c r="AL26" i="2"/>
  <c r="AK26" i="2"/>
  <c r="AI24" i="2"/>
  <c r="AH17" i="2"/>
  <c r="R30" i="2"/>
  <c r="R18" i="2"/>
  <c r="Q18" i="2"/>
  <c r="AM28" i="2"/>
  <c r="AN26" i="2"/>
  <c r="AH29" i="2"/>
  <c r="I18" i="2"/>
  <c r="I30" i="2"/>
  <c r="F18" i="2"/>
  <c r="F30" i="2"/>
  <c r="O18" i="2"/>
  <c r="O57" i="2" s="1"/>
  <c r="O59" i="2" s="1"/>
  <c r="O30" i="2"/>
  <c r="M18" i="2"/>
  <c r="M30" i="2"/>
  <c r="N18" i="2"/>
  <c r="N30" i="2"/>
  <c r="E18" i="2"/>
  <c r="E30" i="2"/>
  <c r="C18" i="2"/>
  <c r="C30" i="2"/>
  <c r="G18" i="2"/>
  <c r="G30" i="2"/>
  <c r="H18" i="2"/>
  <c r="H30" i="2"/>
  <c r="J18" i="2"/>
  <c r="J30" i="2"/>
  <c r="K18" i="2"/>
  <c r="K30" i="2"/>
  <c r="D18" i="2"/>
  <c r="D30" i="2"/>
  <c r="AO4" i="2" l="1"/>
  <c r="AN23" i="2"/>
  <c r="AL7" i="2"/>
  <c r="AL9" i="2"/>
  <c r="AN3" i="2"/>
  <c r="AM22" i="2"/>
  <c r="AM5" i="2"/>
  <c r="Q31" i="2"/>
  <c r="Q57" i="2"/>
  <c r="Q59" i="2" s="1"/>
  <c r="X17" i="2"/>
  <c r="X18" i="2"/>
  <c r="P31" i="2"/>
  <c r="P57" i="2"/>
  <c r="P59" i="2" s="1"/>
  <c r="P20" i="2"/>
  <c r="U20" i="2"/>
  <c r="U31" i="2"/>
  <c r="AG18" i="2"/>
  <c r="AG34" i="2" s="1"/>
  <c r="AG57" i="2" s="1"/>
  <c r="AG59" i="2" s="1"/>
  <c r="AG30" i="2"/>
  <c r="AC20" i="2"/>
  <c r="AC31" i="2"/>
  <c r="AE20" i="2"/>
  <c r="AE31" i="2"/>
  <c r="AF18" i="2"/>
  <c r="AF34" i="2" s="1"/>
  <c r="AF57" i="2" s="1"/>
  <c r="AF59" i="2" s="1"/>
  <c r="AF30" i="2"/>
  <c r="AB20" i="2"/>
  <c r="AB31" i="2"/>
  <c r="AD20" i="2"/>
  <c r="AD31" i="2"/>
  <c r="AI27" i="2"/>
  <c r="AK12" i="2"/>
  <c r="AJ24" i="2"/>
  <c r="R20" i="2"/>
  <c r="R31" i="2"/>
  <c r="Q20" i="2"/>
  <c r="AN28" i="2"/>
  <c r="AO26" i="2"/>
  <c r="AH18" i="2"/>
  <c r="AH30" i="2"/>
  <c r="H20" i="2"/>
  <c r="H31" i="2"/>
  <c r="G20" i="2"/>
  <c r="G31" i="2"/>
  <c r="M20" i="2"/>
  <c r="M31" i="2"/>
  <c r="N20" i="2"/>
  <c r="N31" i="2"/>
  <c r="I20" i="2"/>
  <c r="I31" i="2"/>
  <c r="D20" i="2"/>
  <c r="D31" i="2"/>
  <c r="K20" i="2"/>
  <c r="K31" i="2"/>
  <c r="C20" i="2"/>
  <c r="C31" i="2"/>
  <c r="O20" i="2"/>
  <c r="O31" i="2"/>
  <c r="J20" i="2"/>
  <c r="J31" i="2"/>
  <c r="E20" i="2"/>
  <c r="E31" i="2"/>
  <c r="F20" i="2"/>
  <c r="F31" i="2"/>
  <c r="AO3" i="2" l="1"/>
  <c r="AN5" i="2"/>
  <c r="AN22" i="2"/>
  <c r="AM7" i="2"/>
  <c r="AM9" i="2"/>
  <c r="X20" i="2"/>
  <c r="X31" i="2"/>
  <c r="X30" i="2"/>
  <c r="AJ17" i="2"/>
  <c r="AP4" i="2"/>
  <c r="AO23" i="2"/>
  <c r="AF20" i="2"/>
  <c r="AF31" i="2"/>
  <c r="AG20" i="2"/>
  <c r="AG31" i="2"/>
  <c r="AJ25" i="2"/>
  <c r="AJ13" i="2"/>
  <c r="AJ27" i="2"/>
  <c r="AK24" i="2"/>
  <c r="AO28" i="2"/>
  <c r="AP26" i="2"/>
  <c r="AH20" i="2"/>
  <c r="AH31" i="2"/>
  <c r="AQ4" i="2" l="1"/>
  <c r="AP23" i="2"/>
  <c r="AN7" i="2"/>
  <c r="AN9" i="2"/>
  <c r="AP3" i="2"/>
  <c r="AO22" i="2"/>
  <c r="AO5" i="2"/>
  <c r="AL12" i="2"/>
  <c r="AJ29" i="2"/>
  <c r="AJ16" i="2"/>
  <c r="AK25" i="2"/>
  <c r="AL24" i="2"/>
  <c r="AK13" i="2"/>
  <c r="AK27" i="2"/>
  <c r="AK6" i="2"/>
  <c r="AP28" i="2"/>
  <c r="AQ26" i="2"/>
  <c r="AO7" i="2" l="1"/>
  <c r="AO9" i="2"/>
  <c r="AQ3" i="2"/>
  <c r="AP5" i="2"/>
  <c r="AP22" i="2"/>
  <c r="AR4" i="2"/>
  <c r="AQ23" i="2"/>
  <c r="AM25" i="2"/>
  <c r="AM12" i="2"/>
  <c r="AK16" i="2"/>
  <c r="AK17" i="2" s="1"/>
  <c r="AK29" i="2"/>
  <c r="AM24" i="2"/>
  <c r="AJ30" i="2"/>
  <c r="AL13" i="2"/>
  <c r="AL27" i="2"/>
  <c r="AL25" i="2"/>
  <c r="AL6" i="2"/>
  <c r="AQ28" i="2"/>
  <c r="AS26" i="2"/>
  <c r="AR26" i="2"/>
  <c r="AP7" i="2" l="1"/>
  <c r="AP9" i="2"/>
  <c r="AS4" i="2"/>
  <c r="AS23" i="2" s="1"/>
  <c r="AR23" i="2"/>
  <c r="AR3" i="2"/>
  <c r="AQ22" i="2"/>
  <c r="AQ5" i="2"/>
  <c r="AM6" i="2"/>
  <c r="AN25" i="2"/>
  <c r="AN12" i="2"/>
  <c r="AJ18" i="2"/>
  <c r="AM27" i="2"/>
  <c r="AM13" i="2"/>
  <c r="AN24" i="2"/>
  <c r="AL29" i="2"/>
  <c r="AL16" i="2"/>
  <c r="AL17" i="2" s="1"/>
  <c r="AK30" i="2"/>
  <c r="AR28" i="2"/>
  <c r="AS28" i="2"/>
  <c r="AS3" i="2" l="1"/>
  <c r="AR5" i="2"/>
  <c r="AR22" i="2"/>
  <c r="AQ7" i="2"/>
  <c r="AQ9" i="2"/>
  <c r="AJ31" i="2"/>
  <c r="AJ34" i="2"/>
  <c r="AJ57" i="2" s="1"/>
  <c r="AJ59" i="2" s="1"/>
  <c r="AN6" i="2"/>
  <c r="AO12" i="2"/>
  <c r="AK18" i="2"/>
  <c r="AK34" i="2" s="1"/>
  <c r="AK57" i="2" s="1"/>
  <c r="AK59" i="2" s="1"/>
  <c r="AJ20" i="2"/>
  <c r="AN27" i="2"/>
  <c r="AN13" i="2"/>
  <c r="AO24" i="2"/>
  <c r="AM16" i="2"/>
  <c r="AM17" i="2" s="1"/>
  <c r="AM29" i="2"/>
  <c r="AL30" i="2"/>
  <c r="AR7" i="2" l="1"/>
  <c r="AR9" i="2"/>
  <c r="AS22" i="2"/>
  <c r="AS5" i="2"/>
  <c r="AK31" i="2"/>
  <c r="AP25" i="2"/>
  <c r="AP12" i="2"/>
  <c r="AK20" i="2"/>
  <c r="AL18" i="2"/>
  <c r="AO27" i="2"/>
  <c r="AO13" i="2"/>
  <c r="AP24" i="2"/>
  <c r="AO25" i="2"/>
  <c r="AN16" i="2"/>
  <c r="AN17" i="2" s="1"/>
  <c r="AN29" i="2"/>
  <c r="AM30" i="2"/>
  <c r="AO6" i="2"/>
  <c r="AS7" i="2" l="1"/>
  <c r="AS9" i="2"/>
  <c r="AL31" i="2"/>
  <c r="AL34" i="2"/>
  <c r="AL57" i="2" s="1"/>
  <c r="AL59" i="2" s="1"/>
  <c r="AM18" i="2"/>
  <c r="AP6" i="2"/>
  <c r="AQ12" i="2"/>
  <c r="AL20" i="2"/>
  <c r="AO29" i="2"/>
  <c r="AO16" i="2"/>
  <c r="AO17" i="2" s="1"/>
  <c r="AQ24" i="2"/>
  <c r="AP13" i="2"/>
  <c r="AP27" i="2"/>
  <c r="AN30" i="2"/>
  <c r="AM20" i="2" l="1"/>
  <c r="AM34" i="2"/>
  <c r="AM57" i="2" s="1"/>
  <c r="AM59" i="2" s="1"/>
  <c r="AM31" i="2"/>
  <c r="AR12" i="2"/>
  <c r="AP29" i="2"/>
  <c r="AP16" i="2"/>
  <c r="AP17" i="2" s="1"/>
  <c r="AO30" i="2"/>
  <c r="AQ13" i="2"/>
  <c r="AQ27" i="2"/>
  <c r="AR24" i="2"/>
  <c r="AN18" i="2"/>
  <c r="AN34" i="2" s="1"/>
  <c r="AN57" i="2" s="1"/>
  <c r="AN59" i="2" s="1"/>
  <c r="AQ6" i="2"/>
  <c r="AQ25" i="2"/>
  <c r="AS6" i="2" l="1"/>
  <c r="AS12" i="2"/>
  <c r="AO18" i="2"/>
  <c r="AO34" i="2" s="1"/>
  <c r="AO57" i="2" s="1"/>
  <c r="AO59" i="2" s="1"/>
  <c r="AQ16" i="2"/>
  <c r="AQ17" i="2" s="1"/>
  <c r="AQ29" i="2"/>
  <c r="AS24" i="2"/>
  <c r="AR25" i="2"/>
  <c r="AR6" i="2"/>
  <c r="AN20" i="2"/>
  <c r="AN31" i="2"/>
  <c r="AR27" i="2"/>
  <c r="AR13" i="2"/>
  <c r="AP30" i="2"/>
  <c r="AO20" i="2" l="1"/>
  <c r="AP18" i="2"/>
  <c r="AO31" i="2"/>
  <c r="AR29" i="2"/>
  <c r="AR16" i="2"/>
  <c r="AR17" i="2" s="1"/>
  <c r="AS25" i="2"/>
  <c r="AQ30" i="2"/>
  <c r="AS27" i="2"/>
  <c r="AS13" i="2"/>
  <c r="AP20" i="2" l="1"/>
  <c r="AP34" i="2"/>
  <c r="AP57" i="2" s="1"/>
  <c r="AP59" i="2" s="1"/>
  <c r="AP31" i="2"/>
  <c r="AQ18" i="2"/>
  <c r="AS29" i="2"/>
  <c r="AS16" i="2"/>
  <c r="AR30" i="2"/>
  <c r="AS17" i="2" l="1"/>
  <c r="AS30" i="2" s="1"/>
  <c r="AQ20" i="2"/>
  <c r="AQ34" i="2"/>
  <c r="AQ57" i="2" s="1"/>
  <c r="AQ59" i="2" s="1"/>
  <c r="AQ31" i="2"/>
  <c r="AR18" i="2"/>
  <c r="AR34" i="2" s="1"/>
  <c r="AR57" i="2" s="1"/>
  <c r="AR59" i="2" s="1"/>
  <c r="AS18" i="2" l="1"/>
  <c r="AT18" i="2" s="1"/>
  <c r="AR20" i="2"/>
  <c r="AR31" i="2"/>
  <c r="AU18" i="2" l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AW27" i="2" s="1"/>
  <c r="AS34" i="2"/>
  <c r="AS57" i="2" s="1"/>
  <c r="AS59" i="2" s="1"/>
  <c r="AT59" i="2" s="1"/>
  <c r="AU59" i="2" s="1"/>
  <c r="AV59" i="2" s="1"/>
  <c r="AW59" i="2" s="1"/>
  <c r="AX59" i="2" s="1"/>
  <c r="AY59" i="2" s="1"/>
  <c r="AZ59" i="2" s="1"/>
  <c r="BA59" i="2" s="1"/>
  <c r="BB59" i="2" s="1"/>
  <c r="BC59" i="2" s="1"/>
  <c r="BD59" i="2" s="1"/>
  <c r="BE59" i="2" s="1"/>
  <c r="BF59" i="2" s="1"/>
  <c r="BG59" i="2" s="1"/>
  <c r="BH59" i="2" s="1"/>
  <c r="BI59" i="2" s="1"/>
  <c r="BJ59" i="2" s="1"/>
  <c r="BK59" i="2" s="1"/>
  <c r="BL59" i="2" s="1"/>
  <c r="BM59" i="2" s="1"/>
  <c r="BN59" i="2" s="1"/>
  <c r="BO59" i="2" s="1"/>
  <c r="BP59" i="2" s="1"/>
  <c r="BQ59" i="2" s="1"/>
  <c r="BR59" i="2" s="1"/>
  <c r="BS59" i="2" s="1"/>
  <c r="BT59" i="2" s="1"/>
  <c r="BU59" i="2" s="1"/>
  <c r="BV59" i="2" s="1"/>
  <c r="BW59" i="2" s="1"/>
  <c r="BX59" i="2" s="1"/>
  <c r="BY59" i="2" s="1"/>
  <c r="BZ59" i="2" s="1"/>
  <c r="CA59" i="2" s="1"/>
  <c r="CB59" i="2" s="1"/>
  <c r="CC59" i="2" s="1"/>
  <c r="CD59" i="2" s="1"/>
  <c r="CE59" i="2" s="1"/>
  <c r="CF59" i="2" s="1"/>
  <c r="CG59" i="2" s="1"/>
  <c r="CH59" i="2" s="1"/>
  <c r="CI59" i="2" s="1"/>
  <c r="CJ59" i="2" s="1"/>
  <c r="CK59" i="2" s="1"/>
  <c r="CL59" i="2" s="1"/>
  <c r="CM59" i="2" s="1"/>
  <c r="CN59" i="2" s="1"/>
  <c r="CO59" i="2" s="1"/>
  <c r="CP59" i="2" s="1"/>
  <c r="CQ59" i="2" s="1"/>
  <c r="CR59" i="2" s="1"/>
  <c r="CS59" i="2" s="1"/>
  <c r="CT59" i="2" s="1"/>
  <c r="CU59" i="2" s="1"/>
  <c r="CV59" i="2" s="1"/>
  <c r="CW59" i="2" s="1"/>
  <c r="CX59" i="2" s="1"/>
  <c r="CY59" i="2" s="1"/>
  <c r="CZ59" i="2" s="1"/>
  <c r="DA59" i="2" s="1"/>
  <c r="DB59" i="2" s="1"/>
  <c r="DC59" i="2" s="1"/>
  <c r="DD59" i="2" s="1"/>
  <c r="DE59" i="2" s="1"/>
  <c r="DF59" i="2" s="1"/>
  <c r="DG59" i="2" s="1"/>
  <c r="DH59" i="2" s="1"/>
  <c r="DI59" i="2" s="1"/>
  <c r="DJ59" i="2" s="1"/>
  <c r="DK59" i="2" s="1"/>
  <c r="DL59" i="2" s="1"/>
  <c r="DM59" i="2" s="1"/>
  <c r="DN59" i="2" s="1"/>
  <c r="DO59" i="2" s="1"/>
  <c r="DP59" i="2" s="1"/>
  <c r="DQ59" i="2" s="1"/>
  <c r="DR59" i="2" s="1"/>
  <c r="DS59" i="2" s="1"/>
  <c r="DT59" i="2" s="1"/>
  <c r="DU59" i="2" s="1"/>
  <c r="DV59" i="2" s="1"/>
  <c r="DW59" i="2" s="1"/>
  <c r="DX59" i="2" s="1"/>
  <c r="DY59" i="2" s="1"/>
  <c r="DZ59" i="2" s="1"/>
  <c r="EA59" i="2" s="1"/>
  <c r="EB59" i="2" s="1"/>
  <c r="EC59" i="2" s="1"/>
  <c r="ED59" i="2" s="1"/>
  <c r="EE59" i="2" s="1"/>
  <c r="EF59" i="2" s="1"/>
  <c r="EG59" i="2" s="1"/>
  <c r="EH59" i="2" s="1"/>
  <c r="EI59" i="2" s="1"/>
  <c r="EJ59" i="2" s="1"/>
  <c r="EK59" i="2" s="1"/>
  <c r="EL59" i="2" s="1"/>
  <c r="EM59" i="2" s="1"/>
  <c r="EN59" i="2" s="1"/>
  <c r="EO59" i="2" s="1"/>
  <c r="EP59" i="2" s="1"/>
  <c r="EQ59" i="2" s="1"/>
  <c r="ER59" i="2" s="1"/>
  <c r="ES59" i="2" s="1"/>
  <c r="ET59" i="2" s="1"/>
  <c r="EU59" i="2" s="1"/>
  <c r="EV59" i="2" s="1"/>
  <c r="EW59" i="2" s="1"/>
  <c r="EX59" i="2" s="1"/>
  <c r="AW62" i="2" s="1"/>
  <c r="AW64" i="2" s="1"/>
  <c r="AS31" i="2"/>
  <c r="AS20" i="2"/>
  <c r="V25" i="2" l="1"/>
  <c r="AI6" i="2"/>
  <c r="AI7" i="2" s="1"/>
  <c r="V13" i="2"/>
  <c r="V16" i="2" s="1"/>
  <c r="V30" i="2" l="1"/>
  <c r="V18" i="2"/>
  <c r="V31" i="2" s="1"/>
  <c r="V29" i="2"/>
  <c r="AI13" i="2"/>
  <c r="AI25" i="2"/>
  <c r="V20" i="2" l="1"/>
  <c r="AI29" i="2"/>
  <c r="AI16" i="2"/>
  <c r="AI18" i="2" l="1"/>
  <c r="AI30" i="2"/>
  <c r="AW29" i="2" l="1"/>
  <c r="AW30" i="2" s="1"/>
  <c r="AW32" i="2" s="1"/>
  <c r="AI20" i="2"/>
  <c r="AI31" i="2"/>
  <c r="AI34" i="2"/>
  <c r="AI57" i="2" s="1"/>
  <c r="AI59" i="2" s="1"/>
  <c r="AW65" i="2" s="1"/>
  <c r="AW6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12" authorId="0" shapeId="0" xr:uid="{94656086-D00F-4C13-943D-0312225931C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481.5 impairment expense</t>
        </r>
      </text>
    </comment>
    <comment ref="Q12" authorId="0" shapeId="0" xr:uid="{6D8908CC-E2E9-49FD-90B4-3B619850FED4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impairment 195.7</t>
        </r>
      </text>
    </comment>
    <comment ref="P17" authorId="0" shapeId="0" xr:uid="{401EA79A-C515-4B57-A3D0-FCC5282EF22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minus 129.9 income tax effect of non-GAAP adjustments</t>
        </r>
      </text>
    </comment>
  </commentList>
</comments>
</file>

<file path=xl/sharedStrings.xml><?xml version="1.0" encoding="utf-8"?>
<sst xmlns="http://schemas.openxmlformats.org/spreadsheetml/2006/main" count="140" uniqueCount="102">
  <si>
    <t>CHGG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</si>
  <si>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</si>
  <si>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</si>
  <si>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</si>
  <si>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</si>
  <si>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</si>
  <si>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</si>
  <si>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</si>
  <si>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</si>
  <si>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</si>
  <si>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</si>
  <si>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</si>
  <si>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Revenue</t>
  </si>
  <si>
    <t>Cost of sales</t>
  </si>
  <si>
    <t>Gross profit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</si>
  <si>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</si>
  <si>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</si>
  <si>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</si>
  <si>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</si>
  <si>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</si>
  <si>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</si>
  <si>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</si>
  <si>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</si>
  <si>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</si>
  <si>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</si>
  <si>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</si>
  <si>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</si>
  <si>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</si>
  <si>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</si>
  <si>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</si>
  <si>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R&amp;D</t>
  </si>
  <si>
    <t>S&amp;M</t>
  </si>
  <si>
    <t>G&amp;A</t>
  </si>
  <si>
    <t>Total operating expenses</t>
  </si>
  <si>
    <t>Operating profit</t>
  </si>
  <si>
    <t>Net interest expense</t>
  </si>
  <si>
    <t>Other income</t>
  </si>
  <si>
    <t>Pretax profit</t>
  </si>
  <si>
    <t>Taxes</t>
  </si>
  <si>
    <t>Net profit</t>
  </si>
  <si>
    <t>EPS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</si>
  <si>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</si>
  <si>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</si>
  <si>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</si>
  <si>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</si>
  <si>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</si>
  <si>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</si>
  <si>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</si>
  <si>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</si>
  <si>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</si>
  <si>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</si>
  <si>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</si>
  <si>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</si>
  <si>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</si>
  <si>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</si>
  <si>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</si>
  <si>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</si>
  <si>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</si>
  <si>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</si>
  <si>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</si>
  <si>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</si>
  <si>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Net income</t>
  </si>
  <si>
    <t>SBC</t>
  </si>
  <si>
    <t>D&amp;A</t>
  </si>
  <si>
    <t>D/T</t>
  </si>
  <si>
    <t>Loss on debt</t>
  </si>
  <si>
    <t>Contingencies</t>
  </si>
  <si>
    <t>Impairment</t>
  </si>
  <si>
    <t>PP&amp;E</t>
  </si>
  <si>
    <t>Amortisation</t>
  </si>
  <si>
    <t>Leases</t>
  </si>
  <si>
    <t>Loss on investments</t>
  </si>
  <si>
    <t>Gain on investments</t>
  </si>
  <si>
    <t>Depreciation</t>
  </si>
  <si>
    <t>Gain on forex</t>
  </si>
  <si>
    <t>Other non-cash</t>
  </si>
  <si>
    <t>A/R</t>
  </si>
  <si>
    <t>Prepaids</t>
  </si>
  <si>
    <t>Other assets</t>
  </si>
  <si>
    <t>A/P</t>
  </si>
  <si>
    <t>D/R</t>
  </si>
  <si>
    <t>A/L</t>
  </si>
  <si>
    <t>Other liabilities</t>
  </si>
  <si>
    <t>CFFO</t>
  </si>
  <si>
    <t>FCF</t>
  </si>
  <si>
    <t>Chegg</t>
  </si>
  <si>
    <t>AI student help</t>
  </si>
  <si>
    <t>Busuu</t>
  </si>
  <si>
    <t>Language learning</t>
  </si>
  <si>
    <t>Roughly 10% of revenue ("We remain confident that Busuu will achieve approximately $48 million of revenue in 2025")</t>
  </si>
  <si>
    <t>Undervalued</t>
  </si>
  <si>
    <t>Chegg Skilling</t>
  </si>
  <si>
    <t>Heavily undervalued</t>
  </si>
  <si>
    <t>Q126</t>
  </si>
  <si>
    <t>Q226</t>
  </si>
  <si>
    <t>Q326</t>
  </si>
  <si>
    <t>Q426</t>
  </si>
  <si>
    <t>Q425 8K</t>
  </si>
  <si>
    <t>Academic Services</t>
  </si>
  <si>
    <t>Skilling y/y</t>
  </si>
  <si>
    <t>Services y/y</t>
  </si>
  <si>
    <t>Cumulative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</si>
</sst>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15240</xdr:colOff>
      <xdr:row>0</xdr:row>
      <xdr:rowOff>0</xdr:rowOff>
    </xdr:from>
    <xdr:to>
      <xdr:col>22</xdr:col>
      <xdr:colOff>15240</xdr:colOff>
      <xdr:row>67</xdr:row>
      <xdr:rowOff>38100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2C89C2F-2DAB-27A9-E46B-B9F5879E876C}"/>
            </a:ext>
          </a:extLst>
        </xdr:cNvPr>
        <xdr:cNvCxnSpPr/>
      </xdr:nvCxnSpPr>
      <xdr:spPr>
        <a:xfrm>
          <a:off x="14302740" y="0"/>
          <a:ext cx="0" cy="12473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30480</xdr:colOff>
      <xdr:row>0</xdr:row>
      <xdr:rowOff>15240</xdr:rowOff>
    </xdr:from>
    <xdr:to>
      <xdr:col>35</xdr:col>
      <xdr:colOff>30480</xdr:colOff>
      <xdr:row>66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C770232-CA4B-C8B8-B77E-7E6D9BF884DA}"/>
            </a:ext>
          </a:extLst>
        </xdr:cNvPr>
        <xdr:cNvCxnSpPr/>
      </xdr:nvCxnSpPr>
      <xdr:spPr>
        <a:xfrm>
          <a:off x="22242780" y="15240"/>
          <a:ext cx="0" cy="119786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F67F3-1170-4F04-975E-778BC84293D4}">
  <dimension ref="B2:K11"/>
  <sheetViews>
    <sheetView workbookViewId="0">
      <selection activeCell="D7" sqref="D7"/>
    </sheetView>
  </sheetViews>
  <sheetFormatPr defaultRowHeight="14.4" x14ac:dyDescent="0.3"/>
  <cols>
    <col min="5" max="7" width="13.44140625" style="4" customWidth="1"/>
  </cols>
  <sheetData>
    <row r="2" spans="2:11" x14ac:dyDescent="0.3">
      <c r="E2" s="4" t="s">
        <v>8</v>
      </c>
      <c r="F2" s="4" t="s">
        <v>9</v>
      </c>
      <c r="G2" s="4" t="s">
        <v>10</v>
      </c>
    </row>
    <row r="3" spans="2:11" x14ac:dyDescent="0.3">
      <c r="B3" s="1" t="s">
        <v>0</v>
      </c>
      <c r="C3" t="s">
        <v>1</v>
      </c>
      <c r="D3" s="3">
        <v>0.7</v>
      </c>
      <c r="E3" s="5">
        <v>46063</v>
      </c>
      <c r="F3" s="5">
        <f ca="1">TODAY()</f>
        <v>46076</v>
      </c>
      <c r="G3" s="5">
        <v>46146</v>
      </c>
    </row>
    <row r="4" spans="2:11" x14ac:dyDescent="0.3">
      <c r="C4" t="s">
        <v>2</v>
      </c>
      <c r="D4" s="2">
        <f>109.4</f>
        <v>109.4</v>
      </c>
      <c r="E4" s="4" t="s">
        <v>97</v>
      </c>
    </row>
    <row r="5" spans="2:11" x14ac:dyDescent="0.3">
      <c r="C5" t="s">
        <v>3</v>
      </c>
      <c r="D5" s="2">
        <f>D3*D4</f>
        <v>76.58</v>
      </c>
    </row>
    <row r="6" spans="2:11" x14ac:dyDescent="0.3">
      <c r="C6" t="s">
        <v>4</v>
      </c>
      <c r="D6" s="2">
        <f>31.1+41.7+12.4</f>
        <v>85.200000000000017</v>
      </c>
      <c r="E6" s="4" t="s">
        <v>60</v>
      </c>
    </row>
    <row r="7" spans="2:11" x14ac:dyDescent="0.3">
      <c r="C7" t="s">
        <v>5</v>
      </c>
      <c r="D7" s="2">
        <f>53.8</f>
        <v>53.8</v>
      </c>
      <c r="E7" s="4" t="s">
        <v>60</v>
      </c>
      <c r="J7" t="s">
        <v>85</v>
      </c>
      <c r="K7" t="s">
        <v>86</v>
      </c>
    </row>
    <row r="8" spans="2:11" x14ac:dyDescent="0.3">
      <c r="C8" t="s">
        <v>6</v>
      </c>
      <c r="D8" s="2">
        <f>D6-D7</f>
        <v>31.40000000000002</v>
      </c>
    </row>
    <row r="9" spans="2:11" x14ac:dyDescent="0.3">
      <c r="C9" t="s">
        <v>7</v>
      </c>
      <c r="D9" s="2">
        <f>D5-D8</f>
        <v>45.179999999999978</v>
      </c>
      <c r="J9" t="s">
        <v>87</v>
      </c>
      <c r="K9" t="s">
        <v>88</v>
      </c>
    </row>
    <row r="10" spans="2:11" x14ac:dyDescent="0.3">
      <c r="K10" t="s">
        <v>89</v>
      </c>
    </row>
    <row r="11" spans="2:11" x14ac:dyDescent="0.3">
      <c r="K1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3E2D-253D-46B0-9AD3-C7A573AF3AFF}">
  <dimension ref="B2:EX87"/>
  <sheetViews>
    <sheetView tabSelected="1" workbookViewId="0">
      <pane xSplit="2" ySplit="2" topLeftCell="AM48" activePane="bottomRight" state="frozen"/>
      <selection pane="topRight" activeCell="C1" sqref="C1"/>
      <selection pane="bottomLeft" activeCell="A3" sqref="A3"/>
      <selection pane="bottomRight" activeCell="AK12" sqref="AK12"/>
    </sheetView>
  </sheetViews>
  <sheetFormatPr defaultRowHeight="14.4" x14ac:dyDescent="0.3"/>
  <cols>
    <col min="2" max="2" width="21.6640625" bestFit="1" customWidth="1"/>
    <col min="48" max="48" width="11.88671875" bestFit="1" customWidth="1"/>
    <col min="49" max="49" width="17.33203125" bestFit="1" customWidth="1"/>
  </cols>
  <sheetData>
    <row r="2" spans="2:45" x14ac:dyDescent="0.3"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24</v>
      </c>
      <c r="M2" s="6" t="s">
        <v>25</v>
      </c>
      <c r="N2" s="6" t="s">
        <v>26</v>
      </c>
      <c r="O2" s="6" t="s">
        <v>27</v>
      </c>
      <c r="P2" s="6" t="s">
        <v>11</v>
      </c>
      <c r="Q2" s="6" t="s">
        <v>28</v>
      </c>
      <c r="R2" s="6" t="s">
        <v>29</v>
      </c>
      <c r="S2" s="6" t="s">
        <v>57</v>
      </c>
      <c r="T2" s="6" t="s">
        <v>58</v>
      </c>
      <c r="U2" s="6" t="s">
        <v>59</v>
      </c>
      <c r="V2" s="6" t="s">
        <v>60</v>
      </c>
      <c r="W2" s="6" t="s">
        <v>93</v>
      </c>
      <c r="X2" s="6" t="s">
        <v>94</v>
      </c>
      <c r="Y2" s="6" t="s">
        <v>95</v>
      </c>
      <c r="Z2" s="6" t="s">
        <v>96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45" x14ac:dyDescent="0.3">
      <c r="B3" t="s">
        <v>91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11">
        <v>20.399999999999999</v>
      </c>
      <c r="P3" s="11">
        <v>18.899999999999999</v>
      </c>
      <c r="Q3" s="11">
        <v>18.8</v>
      </c>
      <c r="R3" s="11">
        <v>16</v>
      </c>
      <c r="S3" s="11">
        <v>16.100000000000001</v>
      </c>
      <c r="T3" s="11">
        <v>17.2</v>
      </c>
      <c r="U3" s="11">
        <v>17.600000000000001</v>
      </c>
      <c r="V3" s="11">
        <v>17.7</v>
      </c>
      <c r="W3" s="11">
        <v>17.75</v>
      </c>
      <c r="X3" s="11">
        <f>T3*1.1</f>
        <v>18.920000000000002</v>
      </c>
      <c r="Y3" s="11">
        <f t="shared" ref="Y3" si="0">U3*1.1</f>
        <v>19.360000000000003</v>
      </c>
      <c r="Z3" s="11">
        <f>V3*1.15</f>
        <v>20.354999999999997</v>
      </c>
      <c r="AH3" s="2">
        <f>SUM(O3:R3)</f>
        <v>74.099999999999994</v>
      </c>
      <c r="AI3" s="2">
        <f>SUM(S3:V3)</f>
        <v>68.599999999999994</v>
      </c>
      <c r="AJ3" s="2">
        <f>SUM(W3:Z3)</f>
        <v>76.384999999999991</v>
      </c>
      <c r="AK3" s="2">
        <f>AJ3*1.15</f>
        <v>87.842749999999981</v>
      </c>
      <c r="AL3" s="2">
        <f>AK3*1.15</f>
        <v>101.01916249999996</v>
      </c>
      <c r="AM3" s="2">
        <f>AL3*1.15</f>
        <v>116.17203687499995</v>
      </c>
      <c r="AN3" s="2">
        <f>AM3*1.15</f>
        <v>133.59784240624992</v>
      </c>
      <c r="AO3" s="2">
        <f t="shared" ref="AO3:AS3" si="1">AN3*1.15</f>
        <v>153.6375187671874</v>
      </c>
      <c r="AP3" s="2">
        <f t="shared" si="1"/>
        <v>176.68314658226549</v>
      </c>
      <c r="AQ3" s="2">
        <f t="shared" si="1"/>
        <v>203.18561856960531</v>
      </c>
      <c r="AR3" s="2">
        <f t="shared" si="1"/>
        <v>233.66346135504608</v>
      </c>
      <c r="AS3" s="2">
        <f t="shared" si="1"/>
        <v>268.71298055830295</v>
      </c>
    </row>
    <row r="4" spans="2:45" x14ac:dyDescent="0.3">
      <c r="B4" t="s">
        <v>98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1">
        <v>154</v>
      </c>
      <c r="P4" s="11">
        <v>144.30000000000001</v>
      </c>
      <c r="Q4" s="11">
        <v>117.8</v>
      </c>
      <c r="R4" s="11">
        <v>127.5</v>
      </c>
      <c r="S4" s="11">
        <v>105.3</v>
      </c>
      <c r="T4" s="11">
        <v>87.9</v>
      </c>
      <c r="U4" s="11">
        <v>60.2</v>
      </c>
      <c r="V4" s="11">
        <v>54.9</v>
      </c>
      <c r="W4" s="11">
        <f>W5-W3</f>
        <v>43.25</v>
      </c>
      <c r="X4" s="11">
        <f>T4*0.5</f>
        <v>43.95</v>
      </c>
      <c r="Y4" s="11">
        <f>U4*0.7</f>
        <v>42.14</v>
      </c>
      <c r="Z4" s="11">
        <f>V4*0.75</f>
        <v>41.174999999999997</v>
      </c>
      <c r="AH4" s="2">
        <f>SUM(O4:R4)</f>
        <v>543.6</v>
      </c>
      <c r="AI4" s="2">
        <f>SUM(S4:V4)</f>
        <v>308.29999999999995</v>
      </c>
      <c r="AJ4" s="2">
        <f>SUM(W4:Z4)</f>
        <v>170.51499999999999</v>
      </c>
      <c r="AK4" s="2">
        <f>AJ4*0.95</f>
        <v>161.98924999999997</v>
      </c>
      <c r="AL4" s="2">
        <f t="shared" ref="AL4:AS4" si="2">AK4*0.95</f>
        <v>153.88978749999995</v>
      </c>
      <c r="AM4" s="2">
        <f t="shared" si="2"/>
        <v>146.19529812499994</v>
      </c>
      <c r="AN4" s="2">
        <f t="shared" si="2"/>
        <v>138.88553321874994</v>
      </c>
      <c r="AO4" s="2">
        <f t="shared" si="2"/>
        <v>131.94125655781244</v>
      </c>
      <c r="AP4" s="2">
        <f t="shared" si="2"/>
        <v>125.34419372992181</v>
      </c>
      <c r="AQ4" s="2">
        <f t="shared" si="2"/>
        <v>119.07698404342571</v>
      </c>
      <c r="AR4" s="2">
        <f t="shared" si="2"/>
        <v>113.12313484125443</v>
      </c>
      <c r="AS4" s="2">
        <f t="shared" si="2"/>
        <v>107.46697809919171</v>
      </c>
    </row>
    <row r="5" spans="2:45" s="1" customFormat="1" x14ac:dyDescent="0.3">
      <c r="B5" s="1" t="s">
        <v>12</v>
      </c>
      <c r="C5" s="8">
        <v>198.4</v>
      </c>
      <c r="D5" s="8">
        <v>198.5</v>
      </c>
      <c r="E5" s="8">
        <v>171.9</v>
      </c>
      <c r="F5" s="8">
        <v>207.5</v>
      </c>
      <c r="G5" s="8">
        <v>202.2</v>
      </c>
      <c r="H5" s="8">
        <v>194.7</v>
      </c>
      <c r="I5" s="8">
        <v>164.7</v>
      </c>
      <c r="J5" s="8">
        <v>205.2</v>
      </c>
      <c r="K5" s="8">
        <v>187.6</v>
      </c>
      <c r="L5" s="8">
        <v>182.9</v>
      </c>
      <c r="M5" s="8">
        <v>157.9</v>
      </c>
      <c r="N5" s="8">
        <v>188</v>
      </c>
      <c r="O5" s="8">
        <v>174.4</v>
      </c>
      <c r="P5" s="8">
        <v>163.1</v>
      </c>
      <c r="Q5" s="8">
        <v>136.6</v>
      </c>
      <c r="R5" s="8">
        <v>143.5</v>
      </c>
      <c r="S5" s="8">
        <v>121.4</v>
      </c>
      <c r="T5" s="8">
        <v>105.1</v>
      </c>
      <c r="U5" s="8">
        <v>77.7</v>
      </c>
      <c r="V5" s="8">
        <v>72.7</v>
      </c>
      <c r="W5" s="8">
        <v>61</v>
      </c>
      <c r="X5" s="8">
        <f>SUM(X3:X4)</f>
        <v>62.870000000000005</v>
      </c>
      <c r="Y5" s="8">
        <f t="shared" ref="Y5:Z5" si="3">SUM(Y3:Y4)</f>
        <v>61.5</v>
      </c>
      <c r="Z5" s="8">
        <f t="shared" si="3"/>
        <v>61.529999999999994</v>
      </c>
      <c r="AB5" s="8">
        <v>321.10000000000002</v>
      </c>
      <c r="AC5" s="8">
        <v>410.9</v>
      </c>
      <c r="AD5" s="8">
        <v>644.29999999999995</v>
      </c>
      <c r="AE5" s="8">
        <f>SUM(C5:F5)</f>
        <v>776.3</v>
      </c>
      <c r="AF5" s="8">
        <f>SUM(G5:J5)</f>
        <v>766.8</v>
      </c>
      <c r="AG5" s="8">
        <f>SUM(K5:N5)</f>
        <v>716.4</v>
      </c>
      <c r="AH5" s="8">
        <f>SUM(O5:R5)</f>
        <v>617.6</v>
      </c>
      <c r="AI5" s="8">
        <f>SUM(S5:V5)</f>
        <v>376.9</v>
      </c>
      <c r="AJ5" s="8">
        <f>SUM(AJ3:AJ4)</f>
        <v>246.89999999999998</v>
      </c>
      <c r="AK5" s="8">
        <f>SUM(AK3:AK4)</f>
        <v>249.83199999999994</v>
      </c>
      <c r="AL5" s="8">
        <f t="shared" ref="AL5:AS5" si="4">SUM(AL3:AL4)</f>
        <v>254.90894999999992</v>
      </c>
      <c r="AM5" s="8">
        <f t="shared" si="4"/>
        <v>262.36733499999991</v>
      </c>
      <c r="AN5" s="8">
        <f t="shared" si="4"/>
        <v>272.48337562499989</v>
      </c>
      <c r="AO5" s="8">
        <f t="shared" si="4"/>
        <v>285.57877532499981</v>
      </c>
      <c r="AP5" s="8">
        <f t="shared" si="4"/>
        <v>302.02734031218733</v>
      </c>
      <c r="AQ5" s="8">
        <f t="shared" si="4"/>
        <v>322.26260261303105</v>
      </c>
      <c r="AR5" s="8">
        <f t="shared" si="4"/>
        <v>346.78659619630048</v>
      </c>
      <c r="AS5" s="8">
        <f t="shared" si="4"/>
        <v>376.17995865749464</v>
      </c>
    </row>
    <row r="6" spans="2:45" x14ac:dyDescent="0.3">
      <c r="B6" t="s">
        <v>13</v>
      </c>
      <c r="C6" s="2">
        <v>71.400000000000006</v>
      </c>
      <c r="D6" s="2">
        <v>60.7</v>
      </c>
      <c r="E6" s="2">
        <v>67.099999999999994</v>
      </c>
      <c r="F6" s="2">
        <v>55.7</v>
      </c>
      <c r="G6" s="2">
        <v>55.1</v>
      </c>
      <c r="H6" s="2">
        <v>45.7</v>
      </c>
      <c r="I6" s="2">
        <v>45.2</v>
      </c>
      <c r="J6" s="2">
        <v>51.4</v>
      </c>
      <c r="K6" s="2">
        <v>49.2</v>
      </c>
      <c r="L6" s="2">
        <v>47.4</v>
      </c>
      <c r="M6" s="2">
        <v>83.6</v>
      </c>
      <c r="N6" s="2">
        <v>45.8</v>
      </c>
      <c r="O6" s="2">
        <v>46.5</v>
      </c>
      <c r="P6" s="2">
        <v>45.4</v>
      </c>
      <c r="Q6" s="2">
        <v>43.4</v>
      </c>
      <c r="R6" s="2">
        <v>45.6</v>
      </c>
      <c r="S6" s="2">
        <v>54</v>
      </c>
      <c r="T6" s="2">
        <v>35.5</v>
      </c>
      <c r="U6" s="2">
        <v>31.7</v>
      </c>
      <c r="V6" s="2">
        <v>31</v>
      </c>
      <c r="W6" s="2">
        <f>W5-W7</f>
        <v>25.620000000000005</v>
      </c>
      <c r="X6" s="2">
        <f t="shared" ref="X6:Z6" si="5">X5-X7</f>
        <v>26.405400000000007</v>
      </c>
      <c r="Y6" s="2">
        <f t="shared" si="5"/>
        <v>25.830000000000005</v>
      </c>
      <c r="Z6" s="2">
        <f t="shared" si="5"/>
        <v>25.842599999999997</v>
      </c>
      <c r="AB6" s="2">
        <v>80</v>
      </c>
      <c r="AC6" s="2">
        <v>92.2</v>
      </c>
      <c r="AD6" s="2">
        <v>205.4</v>
      </c>
      <c r="AE6" s="2">
        <f>SUM(C6:F6)</f>
        <v>254.90000000000003</v>
      </c>
      <c r="AF6" s="2">
        <f>SUM(G6:J6)</f>
        <v>197.4</v>
      </c>
      <c r="AG6" s="2">
        <f>SUM(K6:N6)</f>
        <v>226</v>
      </c>
      <c r="AH6" s="2">
        <f>SUM(O6:R6)</f>
        <v>180.9</v>
      </c>
      <c r="AI6" s="2">
        <f>SUM(S6:V6)</f>
        <v>152.19999999999999</v>
      </c>
      <c r="AJ6" s="2">
        <f>SUM(W6:Z6)</f>
        <v>103.69800000000001</v>
      </c>
      <c r="AK6" s="2">
        <f t="shared" ref="AK6:AS6" si="6">AK5-AK7</f>
        <v>99.932799999999986</v>
      </c>
      <c r="AL6" s="2">
        <f t="shared" si="6"/>
        <v>96.865400999999963</v>
      </c>
      <c r="AM6" s="2">
        <f t="shared" si="6"/>
        <v>94.452240599999953</v>
      </c>
      <c r="AN6" s="2">
        <f t="shared" si="6"/>
        <v>92.64434771249995</v>
      </c>
      <c r="AO6" s="2">
        <f t="shared" si="6"/>
        <v>94.240995857249914</v>
      </c>
      <c r="AP6" s="2">
        <f t="shared" si="6"/>
        <v>96.648748899899942</v>
      </c>
      <c r="AQ6" s="2">
        <f t="shared" si="6"/>
        <v>103.12403283616993</v>
      </c>
      <c r="AR6" s="2">
        <f t="shared" si="6"/>
        <v>110.97171078281613</v>
      </c>
      <c r="AS6" s="2">
        <f t="shared" si="6"/>
        <v>120.37758677039827</v>
      </c>
    </row>
    <row r="7" spans="2:45" s="1" customFormat="1" x14ac:dyDescent="0.3">
      <c r="B7" s="1" t="s">
        <v>14</v>
      </c>
      <c r="C7" s="8">
        <f t="shared" ref="C7:V7" si="7">C5-C6</f>
        <v>127</v>
      </c>
      <c r="D7" s="8">
        <f t="shared" si="7"/>
        <v>137.80000000000001</v>
      </c>
      <c r="E7" s="8">
        <f t="shared" si="7"/>
        <v>104.80000000000001</v>
      </c>
      <c r="F7" s="8">
        <f t="shared" si="7"/>
        <v>151.80000000000001</v>
      </c>
      <c r="G7" s="8">
        <f t="shared" si="7"/>
        <v>147.1</v>
      </c>
      <c r="H7" s="8">
        <f t="shared" si="7"/>
        <v>149</v>
      </c>
      <c r="I7" s="8">
        <f t="shared" si="7"/>
        <v>119.49999999999999</v>
      </c>
      <c r="J7" s="8">
        <f t="shared" si="7"/>
        <v>153.79999999999998</v>
      </c>
      <c r="K7" s="8">
        <f t="shared" si="7"/>
        <v>138.39999999999998</v>
      </c>
      <c r="L7" s="8">
        <f t="shared" si="7"/>
        <v>135.5</v>
      </c>
      <c r="M7" s="8">
        <f t="shared" si="7"/>
        <v>74.300000000000011</v>
      </c>
      <c r="N7" s="8">
        <f t="shared" si="7"/>
        <v>142.19999999999999</v>
      </c>
      <c r="O7" s="8">
        <f t="shared" si="7"/>
        <v>127.9</v>
      </c>
      <c r="P7" s="8">
        <f t="shared" si="7"/>
        <v>117.69999999999999</v>
      </c>
      <c r="Q7" s="8">
        <f t="shared" si="7"/>
        <v>93.199999999999989</v>
      </c>
      <c r="R7" s="8">
        <f t="shared" si="7"/>
        <v>97.9</v>
      </c>
      <c r="S7" s="8">
        <f t="shared" si="7"/>
        <v>67.400000000000006</v>
      </c>
      <c r="T7" s="8">
        <f t="shared" si="7"/>
        <v>69.599999999999994</v>
      </c>
      <c r="U7" s="8">
        <f t="shared" si="7"/>
        <v>46</v>
      </c>
      <c r="V7" s="8">
        <f t="shared" si="7"/>
        <v>41.7</v>
      </c>
      <c r="W7" s="8">
        <f>W5*0.58</f>
        <v>35.379999999999995</v>
      </c>
      <c r="X7" s="8">
        <f t="shared" ref="X7:Z7" si="8">X5*0.58</f>
        <v>36.464599999999997</v>
      </c>
      <c r="Y7" s="8">
        <f t="shared" si="8"/>
        <v>35.669999999999995</v>
      </c>
      <c r="Z7" s="8">
        <f t="shared" si="8"/>
        <v>35.687399999999997</v>
      </c>
      <c r="AB7" s="8">
        <f t="shared" ref="AB7:AJ7" si="9">AB5-AB6</f>
        <v>241.10000000000002</v>
      </c>
      <c r="AC7" s="8">
        <f t="shared" si="9"/>
        <v>318.7</v>
      </c>
      <c r="AD7" s="8">
        <f t="shared" si="9"/>
        <v>438.9</v>
      </c>
      <c r="AE7" s="8">
        <f t="shared" si="9"/>
        <v>521.39999999999986</v>
      </c>
      <c r="AF7" s="8">
        <f t="shared" si="9"/>
        <v>569.4</v>
      </c>
      <c r="AG7" s="8">
        <f t="shared" si="9"/>
        <v>490.4</v>
      </c>
      <c r="AH7" s="8">
        <f t="shared" si="9"/>
        <v>436.70000000000005</v>
      </c>
      <c r="AI7" s="8">
        <f t="shared" si="9"/>
        <v>224.7</v>
      </c>
      <c r="AJ7" s="8">
        <f t="shared" si="9"/>
        <v>143.20199999999997</v>
      </c>
      <c r="AK7" s="8">
        <f>AK5*0.6</f>
        <v>149.89919999999995</v>
      </c>
      <c r="AL7" s="8">
        <f>AL5*0.62</f>
        <v>158.04354899999996</v>
      </c>
      <c r="AM7" s="8">
        <f>AM5*0.64</f>
        <v>167.91509439999996</v>
      </c>
      <c r="AN7" s="8">
        <f>AN5*0.66</f>
        <v>179.83902791249994</v>
      </c>
      <c r="AO7" s="8">
        <f>AO5*0.67</f>
        <v>191.3377794677499</v>
      </c>
      <c r="AP7" s="8">
        <f>AP5*0.68</f>
        <v>205.37859141228739</v>
      </c>
      <c r="AQ7" s="8">
        <f t="shared" ref="AQ7:AS7" si="10">AQ5*0.68</f>
        <v>219.13856977686112</v>
      </c>
      <c r="AR7" s="8">
        <f t="shared" si="10"/>
        <v>235.81488541348435</v>
      </c>
      <c r="AS7" s="8">
        <f t="shared" si="10"/>
        <v>255.80237188709637</v>
      </c>
    </row>
    <row r="8" spans="2:45" x14ac:dyDescent="0.3">
      <c r="B8" t="s">
        <v>30</v>
      </c>
      <c r="C8" s="2">
        <v>46.1</v>
      </c>
      <c r="D8" s="2">
        <v>41.6</v>
      </c>
      <c r="E8" s="2">
        <v>43.3</v>
      </c>
      <c r="F8" s="2">
        <v>47.8</v>
      </c>
      <c r="G8" s="2">
        <v>52.4</v>
      </c>
      <c r="H8" s="2">
        <v>52.5</v>
      </c>
      <c r="I8" s="2">
        <v>45.4</v>
      </c>
      <c r="J8" s="2">
        <v>46.3</v>
      </c>
      <c r="K8" s="2">
        <v>46.9</v>
      </c>
      <c r="L8" s="2">
        <v>52.9</v>
      </c>
      <c r="M8" s="2">
        <v>46.2</v>
      </c>
      <c r="N8" s="2">
        <v>45.7</v>
      </c>
      <c r="O8" s="2">
        <v>44.4</v>
      </c>
      <c r="P8" s="2">
        <v>43.7</v>
      </c>
      <c r="Q8" s="2">
        <v>41.3</v>
      </c>
      <c r="R8" s="2">
        <v>41</v>
      </c>
      <c r="S8" s="2">
        <v>29.4</v>
      </c>
      <c r="T8" s="2">
        <v>28.7</v>
      </c>
      <c r="U8" s="2">
        <v>18.399999999999999</v>
      </c>
      <c r="V8" s="2">
        <v>17</v>
      </c>
      <c r="W8" s="2">
        <v>16</v>
      </c>
      <c r="X8" s="2">
        <v>17</v>
      </c>
      <c r="Y8" s="2">
        <v>18</v>
      </c>
      <c r="Z8" s="2">
        <v>19</v>
      </c>
      <c r="AB8" s="2">
        <v>114.3</v>
      </c>
      <c r="AC8" s="2">
        <v>139.80000000000001</v>
      </c>
      <c r="AD8" s="2">
        <v>170.9</v>
      </c>
      <c r="AE8" s="2">
        <f>SUM(C8:F8)</f>
        <v>178.8</v>
      </c>
      <c r="AF8" s="2">
        <f>SUM(G8:J8)</f>
        <v>196.60000000000002</v>
      </c>
      <c r="AG8" s="2">
        <f>SUM(K8:N8)</f>
        <v>191.7</v>
      </c>
      <c r="AH8" s="2">
        <f>SUM(O8:R8)</f>
        <v>170.39999999999998</v>
      </c>
      <c r="AI8" s="2">
        <f>SUM(S8:V8)</f>
        <v>93.5</v>
      </c>
      <c r="AJ8" s="2">
        <f t="shared" ref="AJ8:AJ11" si="11">SUM(W8:Z8)</f>
        <v>70</v>
      </c>
      <c r="AK8" s="2">
        <f t="shared" ref="AK8:AN8" si="12">AJ8*1.02</f>
        <v>71.400000000000006</v>
      </c>
      <c r="AL8" s="2">
        <f t="shared" si="12"/>
        <v>72.828000000000003</v>
      </c>
      <c r="AM8" s="2">
        <f t="shared" si="12"/>
        <v>74.284559999999999</v>
      </c>
      <c r="AN8" s="2">
        <f t="shared" si="12"/>
        <v>75.770251200000004</v>
      </c>
      <c r="AO8" s="2">
        <f>AN8*1.01</f>
        <v>76.527953711999999</v>
      </c>
      <c r="AP8" s="2">
        <f t="shared" ref="AP8:AS8" si="13">AO8*1.01</f>
        <v>77.293233249119993</v>
      </c>
      <c r="AQ8" s="2">
        <f t="shared" si="13"/>
        <v>78.066165581611187</v>
      </c>
      <c r="AR8" s="2">
        <f t="shared" si="13"/>
        <v>78.846827237427306</v>
      </c>
      <c r="AS8" s="2">
        <f t="shared" si="13"/>
        <v>79.63529550980158</v>
      </c>
    </row>
    <row r="9" spans="2:45" x14ac:dyDescent="0.3">
      <c r="B9" t="s">
        <v>31</v>
      </c>
      <c r="C9" s="2">
        <v>26.2</v>
      </c>
      <c r="D9" s="2">
        <v>21.7</v>
      </c>
      <c r="E9" s="2">
        <v>27.2</v>
      </c>
      <c r="F9" s="2">
        <v>30.3</v>
      </c>
      <c r="G9" s="2">
        <v>42.5</v>
      </c>
      <c r="H9" s="2">
        <v>35.299999999999997</v>
      </c>
      <c r="I9" s="2">
        <v>31.8</v>
      </c>
      <c r="J9" s="2">
        <v>38.1</v>
      </c>
      <c r="K9" s="2">
        <v>37</v>
      </c>
      <c r="L9" s="2">
        <v>31</v>
      </c>
      <c r="M9" s="2">
        <v>28.9</v>
      </c>
      <c r="N9" s="2">
        <v>29.7</v>
      </c>
      <c r="O9" s="2">
        <v>30.4</v>
      </c>
      <c r="P9" s="2">
        <v>23.5</v>
      </c>
      <c r="Q9" s="2">
        <v>26.5</v>
      </c>
      <c r="R9" s="2">
        <v>27.9</v>
      </c>
      <c r="S9" s="2">
        <v>25.6</v>
      </c>
      <c r="T9" s="2">
        <v>17.399999999999999</v>
      </c>
      <c r="U9" s="2">
        <v>11.6</v>
      </c>
      <c r="V9" s="2">
        <v>14.1</v>
      </c>
      <c r="W9" s="2">
        <f>W5*0.17</f>
        <v>10.370000000000001</v>
      </c>
      <c r="X9" s="2">
        <f>X5*0.18</f>
        <v>11.316600000000001</v>
      </c>
      <c r="Y9" s="2">
        <f>Y5*0.19</f>
        <v>11.685</v>
      </c>
      <c r="Z9" s="2">
        <f>Z5*0.19</f>
        <v>11.6907</v>
      </c>
      <c r="AB9" s="2">
        <v>54.7</v>
      </c>
      <c r="AC9" s="2">
        <v>63.6</v>
      </c>
      <c r="AD9" s="2">
        <v>81.900000000000006</v>
      </c>
      <c r="AE9" s="2">
        <f>SUM(C9:F9)</f>
        <v>105.39999999999999</v>
      </c>
      <c r="AF9" s="2">
        <f>SUM(G9:J9)</f>
        <v>147.69999999999999</v>
      </c>
      <c r="AG9" s="2">
        <f>SUM(K9:N9)</f>
        <v>126.60000000000001</v>
      </c>
      <c r="AH9" s="2">
        <f>SUM(O9:R9)</f>
        <v>108.30000000000001</v>
      </c>
      <c r="AI9" s="2">
        <f>SUM(S9:V9)</f>
        <v>68.7</v>
      </c>
      <c r="AJ9" s="2">
        <f t="shared" si="11"/>
        <v>45.0623</v>
      </c>
      <c r="AK9" s="2">
        <f>AK5*0.18</f>
        <v>44.969759999999987</v>
      </c>
      <c r="AL9" s="2">
        <f t="shared" ref="AL9:AS9" si="14">AL5*0.18</f>
        <v>45.883610999999981</v>
      </c>
      <c r="AM9" s="2">
        <f t="shared" si="14"/>
        <v>47.226120299999984</v>
      </c>
      <c r="AN9" s="2">
        <f t="shared" si="14"/>
        <v>49.047007612499982</v>
      </c>
      <c r="AO9" s="2">
        <f t="shared" si="14"/>
        <v>51.404179558499962</v>
      </c>
      <c r="AP9" s="2">
        <f t="shared" si="14"/>
        <v>54.364921256193718</v>
      </c>
      <c r="AQ9" s="2">
        <f t="shared" si="14"/>
        <v>58.007268470345586</v>
      </c>
      <c r="AR9" s="2">
        <f t="shared" si="14"/>
        <v>62.421587315334087</v>
      </c>
      <c r="AS9" s="2">
        <f t="shared" si="14"/>
        <v>67.712392558349038</v>
      </c>
    </row>
    <row r="10" spans="2:45" x14ac:dyDescent="0.3">
      <c r="B10" t="s">
        <v>32</v>
      </c>
      <c r="C10" s="2">
        <v>37.9</v>
      </c>
      <c r="D10" s="2">
        <v>39.700000000000003</v>
      </c>
      <c r="E10" s="2">
        <v>34</v>
      </c>
      <c r="F10" s="2">
        <v>47.5</v>
      </c>
      <c r="G10" s="2">
        <v>46.9</v>
      </c>
      <c r="H10" s="2">
        <v>53.9</v>
      </c>
      <c r="I10" s="2">
        <v>53.7</v>
      </c>
      <c r="J10" s="2">
        <v>61.7</v>
      </c>
      <c r="K10" s="2">
        <v>59</v>
      </c>
      <c r="L10" s="2">
        <v>70.3</v>
      </c>
      <c r="M10" s="2">
        <v>57.1</v>
      </c>
      <c r="N10" s="2">
        <v>53.4</v>
      </c>
      <c r="O10" s="2">
        <v>55.5</v>
      </c>
      <c r="P10" s="2">
        <v>54</v>
      </c>
      <c r="Q10" s="2">
        <v>51.9</v>
      </c>
      <c r="R10" s="2">
        <v>56.3</v>
      </c>
      <c r="S10" s="2">
        <v>39.4</v>
      </c>
      <c r="T10" s="2">
        <v>60</v>
      </c>
      <c r="U10" s="2">
        <v>33.200000000000003</v>
      </c>
      <c r="V10" s="2">
        <v>44.8</v>
      </c>
      <c r="W10" s="2">
        <v>30</v>
      </c>
      <c r="X10" s="2">
        <v>31</v>
      </c>
      <c r="Y10" s="2">
        <v>32</v>
      </c>
      <c r="Z10" s="2">
        <v>32</v>
      </c>
      <c r="AB10" s="2">
        <v>77.7</v>
      </c>
      <c r="AC10" s="2">
        <v>97.5</v>
      </c>
      <c r="AD10" s="2">
        <v>129.30000000000001</v>
      </c>
      <c r="AE10" s="2">
        <f>SUM(C10:F10)</f>
        <v>159.1</v>
      </c>
      <c r="AF10" s="2">
        <f>SUM(G10:J10)</f>
        <v>216.2</v>
      </c>
      <c r="AG10" s="2">
        <f>SUM(K10:N10)</f>
        <v>239.8</v>
      </c>
      <c r="AH10" s="2">
        <f>SUM(O10:R10)</f>
        <v>217.7</v>
      </c>
      <c r="AI10" s="2">
        <f>SUM(S10:V10)</f>
        <v>177.40000000000003</v>
      </c>
      <c r="AJ10" s="2">
        <f t="shared" si="11"/>
        <v>125</v>
      </c>
      <c r="AK10" s="2">
        <f>AJ10*0.8</f>
        <v>100</v>
      </c>
      <c r="AL10" s="2">
        <f t="shared" ref="AL10:AN10" si="15">AK10*1.02</f>
        <v>102</v>
      </c>
      <c r="AM10" s="2">
        <f t="shared" si="15"/>
        <v>104.04</v>
      </c>
      <c r="AN10" s="2">
        <f t="shared" si="15"/>
        <v>106.1208</v>
      </c>
      <c r="AO10" s="2">
        <f>AN10*1.01</f>
        <v>107.18200800000001</v>
      </c>
      <c r="AP10" s="2">
        <f t="shared" ref="AP10:AS10" si="16">AO10*1.01</f>
        <v>108.25382808000001</v>
      </c>
      <c r="AQ10" s="2">
        <f t="shared" si="16"/>
        <v>109.3363663608</v>
      </c>
      <c r="AR10" s="2">
        <f t="shared" si="16"/>
        <v>110.429730024408</v>
      </c>
      <c r="AS10" s="2">
        <f t="shared" si="16"/>
        <v>111.53402732465209</v>
      </c>
    </row>
    <row r="11" spans="2:45" x14ac:dyDescent="0.3">
      <c r="B11" t="s">
        <v>67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>
        <v>481.5</v>
      </c>
      <c r="Q11" s="2">
        <v>195.7</v>
      </c>
      <c r="R11" s="2"/>
      <c r="S11" s="2">
        <v>2</v>
      </c>
      <c r="T11" s="2"/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B11" s="2"/>
      <c r="AC11" s="2"/>
      <c r="AD11" s="2"/>
      <c r="AE11" s="2"/>
      <c r="AF11" s="2"/>
      <c r="AG11" s="2"/>
      <c r="AH11" s="2"/>
      <c r="AI11" s="2">
        <f>SUM(S11:Z11)</f>
        <v>2</v>
      </c>
      <c r="AJ11" s="2">
        <f t="shared" si="11"/>
        <v>0</v>
      </c>
      <c r="AK11" s="2"/>
      <c r="AL11" s="2"/>
      <c r="AM11" s="2"/>
      <c r="AN11" s="2"/>
      <c r="AO11" s="2"/>
      <c r="AP11" s="2"/>
      <c r="AQ11" s="2"/>
      <c r="AR11" s="2"/>
      <c r="AS11" s="2"/>
    </row>
    <row r="12" spans="2:45" x14ac:dyDescent="0.3">
      <c r="B12" t="s">
        <v>33</v>
      </c>
      <c r="C12" s="2">
        <f t="shared" ref="C12:O12" si="17">SUM(C8:C10)</f>
        <v>110.19999999999999</v>
      </c>
      <c r="D12" s="2">
        <f t="shared" si="17"/>
        <v>103</v>
      </c>
      <c r="E12" s="2">
        <f t="shared" si="17"/>
        <v>104.5</v>
      </c>
      <c r="F12" s="2">
        <f t="shared" si="17"/>
        <v>125.6</v>
      </c>
      <c r="G12" s="2">
        <f t="shared" si="17"/>
        <v>141.80000000000001</v>
      </c>
      <c r="H12" s="2">
        <f t="shared" si="17"/>
        <v>141.69999999999999</v>
      </c>
      <c r="I12" s="2">
        <f t="shared" si="17"/>
        <v>130.9</v>
      </c>
      <c r="J12" s="2">
        <f t="shared" si="17"/>
        <v>146.10000000000002</v>
      </c>
      <c r="K12" s="2">
        <f t="shared" si="17"/>
        <v>142.9</v>
      </c>
      <c r="L12" s="2">
        <f t="shared" si="17"/>
        <v>154.19999999999999</v>
      </c>
      <c r="M12" s="2">
        <f t="shared" si="17"/>
        <v>132.19999999999999</v>
      </c>
      <c r="N12" s="2">
        <f t="shared" si="17"/>
        <v>128.80000000000001</v>
      </c>
      <c r="O12" s="2">
        <f t="shared" si="17"/>
        <v>130.30000000000001</v>
      </c>
      <c r="P12" s="2">
        <f>SUM(P8:P11)</f>
        <v>602.70000000000005</v>
      </c>
      <c r="Q12" s="2">
        <f>SUM(Q8:Q11)</f>
        <v>315.39999999999998</v>
      </c>
      <c r="R12" s="2">
        <f t="shared" ref="R12" si="18">SUM(R8:R10)</f>
        <v>125.2</v>
      </c>
      <c r="S12" s="2">
        <f>SUM(S8:S11)</f>
        <v>96.4</v>
      </c>
      <c r="T12" s="2">
        <f t="shared" ref="T12:Z12" si="19">SUM(T8:T11)</f>
        <v>106.1</v>
      </c>
      <c r="U12" s="2">
        <f t="shared" si="19"/>
        <v>63.2</v>
      </c>
      <c r="V12" s="2">
        <f t="shared" si="19"/>
        <v>75.900000000000006</v>
      </c>
      <c r="W12" s="2">
        <f t="shared" si="19"/>
        <v>56.370000000000005</v>
      </c>
      <c r="X12" s="2">
        <f t="shared" si="19"/>
        <v>59.316600000000001</v>
      </c>
      <c r="Y12" s="2">
        <f t="shared" si="19"/>
        <v>61.685000000000002</v>
      </c>
      <c r="Z12" s="2">
        <f t="shared" si="19"/>
        <v>62.6907</v>
      </c>
      <c r="AB12" s="2">
        <f t="shared" ref="AB12:AH12" si="20">SUM(AB8:AB10)</f>
        <v>246.7</v>
      </c>
      <c r="AC12" s="2">
        <f t="shared" si="20"/>
        <v>300.89999999999998</v>
      </c>
      <c r="AD12" s="2">
        <f t="shared" si="20"/>
        <v>382.1</v>
      </c>
      <c r="AE12" s="2">
        <f t="shared" si="20"/>
        <v>443.29999999999995</v>
      </c>
      <c r="AF12" s="2">
        <f t="shared" si="20"/>
        <v>560.5</v>
      </c>
      <c r="AG12" s="2">
        <f t="shared" si="20"/>
        <v>558.1</v>
      </c>
      <c r="AH12" s="2">
        <f t="shared" si="20"/>
        <v>496.4</v>
      </c>
      <c r="AI12" s="2">
        <f>SUM(AI8:AI11)</f>
        <v>341.6</v>
      </c>
      <c r="AJ12" s="2">
        <f t="shared" ref="AJ12:AS12" si="21">SUM(AJ8:AJ11)</f>
        <v>240.06229999999999</v>
      </c>
      <c r="AK12" s="2">
        <f t="shared" si="21"/>
        <v>216.36975999999999</v>
      </c>
      <c r="AL12" s="2">
        <f t="shared" si="21"/>
        <v>220.71161099999998</v>
      </c>
      <c r="AM12" s="2">
        <f t="shared" si="21"/>
        <v>225.55068030000001</v>
      </c>
      <c r="AN12" s="2">
        <f t="shared" si="21"/>
        <v>230.9380588125</v>
      </c>
      <c r="AO12" s="2">
        <f t="shared" si="21"/>
        <v>235.11414127049997</v>
      </c>
      <c r="AP12" s="2">
        <f t="shared" si="21"/>
        <v>239.91198258531372</v>
      </c>
      <c r="AQ12" s="2">
        <f t="shared" si="21"/>
        <v>245.40980041275679</v>
      </c>
      <c r="AR12" s="2">
        <f t="shared" si="21"/>
        <v>251.69814457716939</v>
      </c>
      <c r="AS12" s="2">
        <f t="shared" si="21"/>
        <v>258.88171539280268</v>
      </c>
    </row>
    <row r="13" spans="2:45" s="1" customFormat="1" x14ac:dyDescent="0.3">
      <c r="B13" s="1" t="s">
        <v>34</v>
      </c>
      <c r="C13" s="8">
        <f t="shared" ref="C13:P13" si="22">C7-C12</f>
        <v>16.800000000000011</v>
      </c>
      <c r="D13" s="8">
        <f t="shared" si="22"/>
        <v>34.800000000000011</v>
      </c>
      <c r="E13" s="8">
        <f t="shared" si="22"/>
        <v>0.30000000000001137</v>
      </c>
      <c r="F13" s="8">
        <f t="shared" si="22"/>
        <v>26.200000000000017</v>
      </c>
      <c r="G13" s="8">
        <f t="shared" si="22"/>
        <v>5.2999999999999829</v>
      </c>
      <c r="H13" s="8">
        <f t="shared" si="22"/>
        <v>7.3000000000000114</v>
      </c>
      <c r="I13" s="8">
        <f t="shared" si="22"/>
        <v>-11.40000000000002</v>
      </c>
      <c r="J13" s="8">
        <f t="shared" si="22"/>
        <v>7.6999999999999602</v>
      </c>
      <c r="K13" s="8">
        <f t="shared" si="22"/>
        <v>-4.5000000000000284</v>
      </c>
      <c r="L13" s="8">
        <f t="shared" si="22"/>
        <v>-18.699999999999989</v>
      </c>
      <c r="M13" s="8">
        <f t="shared" si="22"/>
        <v>-57.899999999999977</v>
      </c>
      <c r="N13" s="8">
        <f t="shared" si="22"/>
        <v>13.399999999999977</v>
      </c>
      <c r="O13" s="8">
        <f t="shared" si="22"/>
        <v>-2.4000000000000057</v>
      </c>
      <c r="P13" s="8">
        <f t="shared" si="22"/>
        <v>-485.00000000000006</v>
      </c>
      <c r="Q13" s="8">
        <f t="shared" ref="Q13:R13" si="23">Q7-Q12</f>
        <v>-222.2</v>
      </c>
      <c r="R13" s="8">
        <f t="shared" si="23"/>
        <v>-27.299999999999997</v>
      </c>
      <c r="S13" s="8">
        <f t="shared" ref="S13:Z13" si="24">S7-S12</f>
        <v>-29</v>
      </c>
      <c r="T13" s="8">
        <f t="shared" si="24"/>
        <v>-36.5</v>
      </c>
      <c r="U13" s="8">
        <f t="shared" si="24"/>
        <v>-17.200000000000003</v>
      </c>
      <c r="V13" s="8">
        <f t="shared" si="24"/>
        <v>-34.200000000000003</v>
      </c>
      <c r="W13" s="8">
        <f t="shared" si="24"/>
        <v>-20.990000000000009</v>
      </c>
      <c r="X13" s="8">
        <f t="shared" si="24"/>
        <v>-22.852000000000004</v>
      </c>
      <c r="Y13" s="8">
        <f t="shared" si="24"/>
        <v>-26.015000000000008</v>
      </c>
      <c r="Z13" s="8">
        <f t="shared" si="24"/>
        <v>-27.003300000000003</v>
      </c>
      <c r="AB13" s="8">
        <f t="shared" ref="AB13:AH13" si="25">AB7-AB12</f>
        <v>-5.5999999999999659</v>
      </c>
      <c r="AC13" s="8">
        <f t="shared" si="25"/>
        <v>17.800000000000011</v>
      </c>
      <c r="AD13" s="8">
        <f t="shared" si="25"/>
        <v>56.799999999999955</v>
      </c>
      <c r="AE13" s="8">
        <f t="shared" si="25"/>
        <v>78.099999999999909</v>
      </c>
      <c r="AF13" s="8">
        <f t="shared" si="25"/>
        <v>8.8999999999999773</v>
      </c>
      <c r="AG13" s="8">
        <f t="shared" si="25"/>
        <v>-67.700000000000045</v>
      </c>
      <c r="AH13" s="8">
        <f t="shared" si="25"/>
        <v>-59.699999999999932</v>
      </c>
      <c r="AI13" s="8">
        <f t="shared" ref="AI13:AS13" si="26">AI7-AI12</f>
        <v>-116.90000000000003</v>
      </c>
      <c r="AJ13" s="8">
        <f t="shared" si="26"/>
        <v>-96.860300000000024</v>
      </c>
      <c r="AK13" s="8">
        <f t="shared" si="26"/>
        <v>-66.470560000000035</v>
      </c>
      <c r="AL13" s="8">
        <f t="shared" si="26"/>
        <v>-62.66806200000002</v>
      </c>
      <c r="AM13" s="8">
        <f t="shared" si="26"/>
        <v>-57.635585900000052</v>
      </c>
      <c r="AN13" s="8">
        <f t="shared" si="26"/>
        <v>-51.099030900000059</v>
      </c>
      <c r="AO13" s="8">
        <f t="shared" si="26"/>
        <v>-43.776361802750074</v>
      </c>
      <c r="AP13" s="8">
        <f t="shared" si="26"/>
        <v>-34.533391173026331</v>
      </c>
      <c r="AQ13" s="8">
        <f t="shared" si="26"/>
        <v>-26.271230635895677</v>
      </c>
      <c r="AR13" s="8">
        <f t="shared" si="26"/>
        <v>-15.88325916368504</v>
      </c>
      <c r="AS13" s="8">
        <f t="shared" si="26"/>
        <v>-3.079343505706305</v>
      </c>
    </row>
    <row r="14" spans="2:45" x14ac:dyDescent="0.3">
      <c r="B14" t="s">
        <v>35</v>
      </c>
      <c r="C14" s="2">
        <v>1.9</v>
      </c>
      <c r="D14" s="2">
        <v>1.7</v>
      </c>
      <c r="E14" s="2">
        <v>1.6</v>
      </c>
      <c r="F14" s="2">
        <v>1.6</v>
      </c>
      <c r="G14" s="2">
        <v>1.6</v>
      </c>
      <c r="H14" s="2">
        <v>1.6</v>
      </c>
      <c r="I14" s="2">
        <v>1.5</v>
      </c>
      <c r="J14" s="2">
        <v>1.3</v>
      </c>
      <c r="K14" s="2">
        <v>1.3</v>
      </c>
      <c r="L14" s="2">
        <v>1.1000000000000001</v>
      </c>
      <c r="M14" s="2">
        <v>0.7</v>
      </c>
      <c r="N14" s="2">
        <v>0.7</v>
      </c>
      <c r="O14" s="2">
        <v>0.7</v>
      </c>
      <c r="P14" s="2">
        <v>0.7</v>
      </c>
      <c r="Q14" s="2">
        <v>0.7</v>
      </c>
      <c r="R14" s="2">
        <v>0.6</v>
      </c>
      <c r="S14" s="2">
        <v>0.5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B14" s="2">
        <v>11.2</v>
      </c>
      <c r="AC14" s="2">
        <v>44.9</v>
      </c>
      <c r="AD14" s="2">
        <v>66.3</v>
      </c>
      <c r="AE14" s="2">
        <f>SUM(C14:F14)</f>
        <v>6.7999999999999989</v>
      </c>
      <c r="AF14" s="2">
        <f>SUM(G14:J14)</f>
        <v>6</v>
      </c>
      <c r="AG14" s="2">
        <f>SUM(K14:N14)</f>
        <v>3.8000000000000007</v>
      </c>
      <c r="AH14" s="2">
        <f>SUM(O14:R14)</f>
        <v>2.6999999999999997</v>
      </c>
      <c r="AI14" s="2">
        <f>SUM(S14:V14)</f>
        <v>0.5</v>
      </c>
      <c r="AJ14" s="2">
        <f t="shared" ref="AJ14:AJ15" si="27">SUM(W14:Z14)</f>
        <v>0</v>
      </c>
      <c r="AK14" s="2">
        <f t="shared" ref="AK14:AS14" si="28">AJ14*1.03</f>
        <v>0</v>
      </c>
      <c r="AL14" s="2">
        <f t="shared" si="28"/>
        <v>0</v>
      </c>
      <c r="AM14" s="2">
        <f t="shared" si="28"/>
        <v>0</v>
      </c>
      <c r="AN14" s="2">
        <f t="shared" si="28"/>
        <v>0</v>
      </c>
      <c r="AO14" s="2">
        <f t="shared" si="28"/>
        <v>0</v>
      </c>
      <c r="AP14" s="2">
        <f t="shared" si="28"/>
        <v>0</v>
      </c>
      <c r="AQ14" s="2">
        <f t="shared" si="28"/>
        <v>0</v>
      </c>
      <c r="AR14" s="2">
        <f t="shared" si="28"/>
        <v>0</v>
      </c>
      <c r="AS14" s="2">
        <f t="shared" si="28"/>
        <v>0</v>
      </c>
    </row>
    <row r="15" spans="2:45" x14ac:dyDescent="0.3">
      <c r="B15" t="s">
        <v>36</v>
      </c>
      <c r="C15" s="2">
        <v>77.2</v>
      </c>
      <c r="D15" s="2">
        <v>-1.9</v>
      </c>
      <c r="E15" s="2">
        <v>-8.6999999999999993</v>
      </c>
      <c r="F15" s="2">
        <v>-1.1000000000000001</v>
      </c>
      <c r="G15" s="2">
        <v>-6.2</v>
      </c>
      <c r="H15" s="2">
        <v>-1.8</v>
      </c>
      <c r="I15" s="2">
        <v>-97.3</v>
      </c>
      <c r="J15" s="2">
        <v>4.2</v>
      </c>
      <c r="K15" s="2">
        <v>-12.1</v>
      </c>
      <c r="L15" s="2">
        <v>-64.099999999999994</v>
      </c>
      <c r="M15" s="2">
        <v>-40.5</v>
      </c>
      <c r="N15" s="2">
        <v>-5.0999999999999996</v>
      </c>
      <c r="O15" s="2">
        <v>-10.8</v>
      </c>
      <c r="P15" s="2">
        <v>-7.1</v>
      </c>
      <c r="Q15" s="2">
        <v>-7.6</v>
      </c>
      <c r="R15" s="2">
        <v>-25.8</v>
      </c>
      <c r="S15" s="2">
        <v>-13</v>
      </c>
      <c r="T15" s="2">
        <v>-2.1</v>
      </c>
      <c r="U15" s="2">
        <v>-1.4</v>
      </c>
      <c r="V15" s="2">
        <v>-0.9</v>
      </c>
      <c r="W15" s="2">
        <v>-1</v>
      </c>
      <c r="X15" s="2">
        <v>-1</v>
      </c>
      <c r="Y15" s="2">
        <v>-1</v>
      </c>
      <c r="Z15" s="2">
        <v>-1</v>
      </c>
      <c r="AB15" s="2">
        <v>-4</v>
      </c>
      <c r="AC15" s="2">
        <v>-20.100000000000001</v>
      </c>
      <c r="AD15" s="2">
        <v>-8.6999999999999993</v>
      </c>
      <c r="AE15" s="2">
        <f>SUM(C15:F15)</f>
        <v>65.5</v>
      </c>
      <c r="AF15" s="2">
        <f>SUM(G15:J15)</f>
        <v>-101.1</v>
      </c>
      <c r="AG15" s="2">
        <f>SUM(K15:N15)</f>
        <v>-121.79999999999998</v>
      </c>
      <c r="AH15" s="2">
        <f>SUM(O15:R15)</f>
        <v>-51.3</v>
      </c>
      <c r="AI15" s="2">
        <f>SUM(S15:V15)</f>
        <v>-17.399999999999999</v>
      </c>
      <c r="AJ15" s="2">
        <f t="shared" si="27"/>
        <v>-4</v>
      </c>
      <c r="AK15" s="2">
        <f t="shared" ref="AK15:AS15" si="29">AJ15*1.03</f>
        <v>-4.12</v>
      </c>
      <c r="AL15" s="2">
        <f t="shared" si="29"/>
        <v>-4.2435999999999998</v>
      </c>
      <c r="AM15" s="2">
        <f t="shared" si="29"/>
        <v>-4.370908</v>
      </c>
      <c r="AN15" s="2">
        <f t="shared" si="29"/>
        <v>-4.5020352400000005</v>
      </c>
      <c r="AO15" s="2">
        <f t="shared" si="29"/>
        <v>-4.6370962972000003</v>
      </c>
      <c r="AP15" s="2">
        <f t="shared" si="29"/>
        <v>-4.7762091861160005</v>
      </c>
      <c r="AQ15" s="2">
        <f t="shared" si="29"/>
        <v>-4.9194954616994808</v>
      </c>
      <c r="AR15" s="2">
        <f t="shared" si="29"/>
        <v>-5.0670803255504655</v>
      </c>
      <c r="AS15" s="2">
        <f t="shared" si="29"/>
        <v>-5.2190927353169796</v>
      </c>
    </row>
    <row r="16" spans="2:45" s="1" customFormat="1" x14ac:dyDescent="0.3">
      <c r="B16" s="1" t="s">
        <v>37</v>
      </c>
      <c r="C16" s="8">
        <f t="shared" ref="C16:P16" si="30">C13-C14-C15</f>
        <v>-62.29999999999999</v>
      </c>
      <c r="D16" s="8">
        <f t="shared" si="30"/>
        <v>35.000000000000007</v>
      </c>
      <c r="E16" s="8">
        <f t="shared" si="30"/>
        <v>7.400000000000011</v>
      </c>
      <c r="F16" s="8">
        <f t="shared" si="30"/>
        <v>25.700000000000017</v>
      </c>
      <c r="G16" s="8">
        <f t="shared" si="30"/>
        <v>9.8999999999999826</v>
      </c>
      <c r="H16" s="8">
        <f t="shared" si="30"/>
        <v>7.5000000000000115</v>
      </c>
      <c r="I16" s="8">
        <f t="shared" si="30"/>
        <v>84.399999999999977</v>
      </c>
      <c r="J16" s="8">
        <f t="shared" si="30"/>
        <v>2.1999999999999602</v>
      </c>
      <c r="K16" s="8">
        <f t="shared" si="30"/>
        <v>6.2999999999999714</v>
      </c>
      <c r="L16" s="8">
        <f t="shared" si="30"/>
        <v>44.300000000000004</v>
      </c>
      <c r="M16" s="8">
        <f t="shared" si="30"/>
        <v>-18.09999999999998</v>
      </c>
      <c r="N16" s="8">
        <f t="shared" si="30"/>
        <v>17.799999999999976</v>
      </c>
      <c r="O16" s="8">
        <f t="shared" si="30"/>
        <v>7.6999999999999948</v>
      </c>
      <c r="P16" s="8">
        <f t="shared" si="30"/>
        <v>-478.6</v>
      </c>
      <c r="Q16" s="8">
        <f t="shared" ref="Q16:Z16" si="31">Q13-Q14-Q15</f>
        <v>-215.29999999999998</v>
      </c>
      <c r="R16" s="8">
        <f t="shared" si="31"/>
        <v>-2.0999999999999979</v>
      </c>
      <c r="S16" s="8">
        <f t="shared" si="31"/>
        <v>-16.5</v>
      </c>
      <c r="T16" s="8">
        <f t="shared" si="31"/>
        <v>-34.4</v>
      </c>
      <c r="U16" s="8">
        <f t="shared" si="31"/>
        <v>-15.800000000000002</v>
      </c>
      <c r="V16" s="8">
        <f t="shared" si="31"/>
        <v>-33.300000000000004</v>
      </c>
      <c r="W16" s="8">
        <f t="shared" si="31"/>
        <v>-19.990000000000009</v>
      </c>
      <c r="X16" s="8">
        <f t="shared" si="31"/>
        <v>-21.852000000000004</v>
      </c>
      <c r="Y16" s="8">
        <f t="shared" si="31"/>
        <v>-25.015000000000008</v>
      </c>
      <c r="Z16" s="8">
        <f t="shared" si="31"/>
        <v>-26.003300000000003</v>
      </c>
      <c r="AB16" s="8">
        <f t="shared" ref="AB16:AH16" si="32">AB13-AB14-AB15</f>
        <v>-12.799999999999965</v>
      </c>
      <c r="AC16" s="8">
        <f t="shared" si="32"/>
        <v>-6.9999999999999858</v>
      </c>
      <c r="AD16" s="8">
        <f t="shared" si="32"/>
        <v>-0.80000000000004334</v>
      </c>
      <c r="AE16" s="8">
        <f t="shared" si="32"/>
        <v>5.7999999999999119</v>
      </c>
      <c r="AF16" s="8">
        <f t="shared" si="32"/>
        <v>103.99999999999997</v>
      </c>
      <c r="AG16" s="8">
        <f t="shared" si="32"/>
        <v>50.29999999999994</v>
      </c>
      <c r="AH16" s="8">
        <f t="shared" si="32"/>
        <v>-11.099999999999937</v>
      </c>
      <c r="AI16" s="8">
        <f t="shared" ref="AI16:AS16" si="33">AI13-AI14-AI15</f>
        <v>-100.00000000000003</v>
      </c>
      <c r="AJ16" s="8">
        <f t="shared" si="33"/>
        <v>-92.860300000000024</v>
      </c>
      <c r="AK16" s="8">
        <f t="shared" si="33"/>
        <v>-62.350560000000037</v>
      </c>
      <c r="AL16" s="8">
        <f t="shared" si="33"/>
        <v>-58.42446200000002</v>
      </c>
      <c r="AM16" s="8">
        <f t="shared" si="33"/>
        <v>-53.264677900000052</v>
      </c>
      <c r="AN16" s="8">
        <f t="shared" si="33"/>
        <v>-46.596995660000061</v>
      </c>
      <c r="AO16" s="8">
        <f t="shared" si="33"/>
        <v>-39.139265505550071</v>
      </c>
      <c r="AP16" s="8">
        <f t="shared" si="33"/>
        <v>-29.757181986910332</v>
      </c>
      <c r="AQ16" s="8">
        <f t="shared" si="33"/>
        <v>-21.351735174196197</v>
      </c>
      <c r="AR16" s="8">
        <f t="shared" si="33"/>
        <v>-10.816178838134574</v>
      </c>
      <c r="AS16" s="8">
        <f t="shared" si="33"/>
        <v>2.1397492296106746</v>
      </c>
    </row>
    <row r="17" spans="2:149" x14ac:dyDescent="0.3">
      <c r="B17" t="s">
        <v>38</v>
      </c>
      <c r="C17" s="2">
        <v>2.8</v>
      </c>
      <c r="D17" s="2">
        <v>2.2000000000000002</v>
      </c>
      <c r="E17" s="2">
        <v>0.7</v>
      </c>
      <c r="F17" s="2">
        <v>1.4</v>
      </c>
      <c r="G17" s="2">
        <v>4.2</v>
      </c>
      <c r="H17" s="2">
        <v>0.1</v>
      </c>
      <c r="I17" s="2">
        <v>-167.3</v>
      </c>
      <c r="J17" s="2">
        <v>0.3</v>
      </c>
      <c r="K17" s="2">
        <v>4.2</v>
      </c>
      <c r="L17" s="2">
        <v>19.7</v>
      </c>
      <c r="M17" s="2">
        <v>0.2</v>
      </c>
      <c r="N17" s="2">
        <v>8.1</v>
      </c>
      <c r="O17" s="2">
        <v>9.1</v>
      </c>
      <c r="P17" s="2">
        <f>138.3</f>
        <v>138.30000000000001</v>
      </c>
      <c r="Q17" s="2">
        <v>-2.7</v>
      </c>
      <c r="R17" s="2">
        <v>4</v>
      </c>
      <c r="S17" s="2">
        <v>1</v>
      </c>
      <c r="T17" s="2">
        <v>1.2</v>
      </c>
      <c r="U17" s="2">
        <v>1.7</v>
      </c>
      <c r="V17" s="2">
        <v>-0.6</v>
      </c>
      <c r="W17" s="2">
        <f>W16*0.05</f>
        <v>-0.9995000000000005</v>
      </c>
      <c r="X17" s="2">
        <f t="shared" ref="X17:Z17" si="34">X16*0.05</f>
        <v>-1.0926000000000002</v>
      </c>
      <c r="Y17" s="2">
        <f t="shared" si="34"/>
        <v>-1.2507500000000005</v>
      </c>
      <c r="Z17" s="2">
        <f t="shared" si="34"/>
        <v>-1.3001650000000002</v>
      </c>
      <c r="AB17" s="2">
        <v>1.4</v>
      </c>
      <c r="AC17" s="2">
        <v>2.6</v>
      </c>
      <c r="AD17" s="2">
        <v>5.4</v>
      </c>
      <c r="AE17" s="2">
        <f>SUM(C17:F17)</f>
        <v>7.1</v>
      </c>
      <c r="AF17" s="2">
        <f>SUM(G17:J17)</f>
        <v>-162.69999999999999</v>
      </c>
      <c r="AG17" s="2">
        <f>SUM(K17:N17)</f>
        <v>32.199999999999996</v>
      </c>
      <c r="AH17" s="2">
        <f>SUM(O17:R17)</f>
        <v>148.70000000000002</v>
      </c>
      <c r="AI17" s="2">
        <f>SUM(S17:V17)</f>
        <v>3.3000000000000003</v>
      </c>
      <c r="AJ17" s="2">
        <f>SUM(W17:Z17)</f>
        <v>-4.6430150000000019</v>
      </c>
      <c r="AK17" s="2">
        <f t="shared" ref="AK17:AS17" si="35">AK16*0.15</f>
        <v>-9.3525840000000056</v>
      </c>
      <c r="AL17" s="2">
        <f t="shared" si="35"/>
        <v>-8.7636693000000019</v>
      </c>
      <c r="AM17" s="2">
        <f t="shared" si="35"/>
        <v>-7.9897016850000071</v>
      </c>
      <c r="AN17" s="2">
        <f t="shared" si="35"/>
        <v>-6.9895493490000087</v>
      </c>
      <c r="AO17" s="2">
        <f t="shared" si="35"/>
        <v>-5.8708898258325108</v>
      </c>
      <c r="AP17" s="2">
        <f t="shared" si="35"/>
        <v>-4.46357729803655</v>
      </c>
      <c r="AQ17" s="2">
        <f t="shared" si="35"/>
        <v>-3.2027602761294296</v>
      </c>
      <c r="AR17" s="2">
        <f t="shared" si="35"/>
        <v>-1.6224268257201861</v>
      </c>
      <c r="AS17" s="2">
        <f t="shared" si="35"/>
        <v>0.32096238444160119</v>
      </c>
    </row>
    <row r="18" spans="2:149" s="1" customFormat="1" x14ac:dyDescent="0.3">
      <c r="B18" s="1" t="s">
        <v>39</v>
      </c>
      <c r="C18" s="8">
        <f t="shared" ref="C18:P18" si="36">C16-C17</f>
        <v>-65.099999999999994</v>
      </c>
      <c r="D18" s="8">
        <f t="shared" si="36"/>
        <v>32.800000000000004</v>
      </c>
      <c r="E18" s="8">
        <f t="shared" si="36"/>
        <v>6.7000000000000108</v>
      </c>
      <c r="F18" s="8">
        <f t="shared" si="36"/>
        <v>24.300000000000018</v>
      </c>
      <c r="G18" s="8">
        <f t="shared" si="36"/>
        <v>5.6999999999999824</v>
      </c>
      <c r="H18" s="8">
        <f t="shared" si="36"/>
        <v>7.4000000000000119</v>
      </c>
      <c r="I18" s="8">
        <f t="shared" si="36"/>
        <v>251.7</v>
      </c>
      <c r="J18" s="8">
        <f t="shared" si="36"/>
        <v>1.8999999999999602</v>
      </c>
      <c r="K18" s="8">
        <f t="shared" si="36"/>
        <v>2.0999999999999712</v>
      </c>
      <c r="L18" s="8">
        <f t="shared" si="36"/>
        <v>24.600000000000005</v>
      </c>
      <c r="M18" s="8">
        <f t="shared" si="36"/>
        <v>-18.299999999999979</v>
      </c>
      <c r="N18" s="8">
        <f t="shared" si="36"/>
        <v>9.6999999999999762</v>
      </c>
      <c r="O18" s="8">
        <f t="shared" si="36"/>
        <v>-1.4000000000000048</v>
      </c>
      <c r="P18" s="8">
        <f t="shared" si="36"/>
        <v>-616.90000000000009</v>
      </c>
      <c r="Q18" s="8">
        <f t="shared" ref="Q18:R18" si="37">Q16-Q17</f>
        <v>-212.6</v>
      </c>
      <c r="R18" s="8">
        <f t="shared" si="37"/>
        <v>-6.0999999999999979</v>
      </c>
      <c r="S18" s="8">
        <f t="shared" ref="S18:V18" si="38">S16-S17</f>
        <v>-17.5</v>
      </c>
      <c r="T18" s="8">
        <f t="shared" si="38"/>
        <v>-35.6</v>
      </c>
      <c r="U18" s="8">
        <f t="shared" si="38"/>
        <v>-17.500000000000004</v>
      </c>
      <c r="V18" s="8">
        <f t="shared" si="38"/>
        <v>-32.700000000000003</v>
      </c>
      <c r="W18" s="8">
        <f t="shared" ref="W18:Z18" si="39">W16-W17</f>
        <v>-18.990500000000008</v>
      </c>
      <c r="X18" s="8">
        <f t="shared" si="39"/>
        <v>-20.759400000000003</v>
      </c>
      <c r="Y18" s="8">
        <f t="shared" si="39"/>
        <v>-23.764250000000008</v>
      </c>
      <c r="Z18" s="8">
        <f t="shared" si="39"/>
        <v>-24.703135000000003</v>
      </c>
      <c r="AB18" s="8">
        <f t="shared" ref="AB18:AH18" si="40">AB16-AB17</f>
        <v>-14.199999999999966</v>
      </c>
      <c r="AC18" s="8">
        <f t="shared" si="40"/>
        <v>-9.5999999999999854</v>
      </c>
      <c r="AD18" s="8">
        <f t="shared" si="40"/>
        <v>-6.2000000000000437</v>
      </c>
      <c r="AE18" s="8">
        <f t="shared" si="40"/>
        <v>-1.3000000000000878</v>
      </c>
      <c r="AF18" s="8">
        <f t="shared" si="40"/>
        <v>266.69999999999993</v>
      </c>
      <c r="AG18" s="8">
        <f t="shared" si="40"/>
        <v>18.099999999999945</v>
      </c>
      <c r="AH18" s="8">
        <f t="shared" si="40"/>
        <v>-159.79999999999995</v>
      </c>
      <c r="AI18" s="8">
        <f t="shared" ref="AI18:AS18" si="41">AI16-AI17</f>
        <v>-103.30000000000003</v>
      </c>
      <c r="AJ18" s="8">
        <f t="shared" si="41"/>
        <v>-88.217285000000018</v>
      </c>
      <c r="AK18" s="8">
        <f t="shared" si="41"/>
        <v>-52.99797600000003</v>
      </c>
      <c r="AL18" s="8">
        <f t="shared" si="41"/>
        <v>-49.660792700000016</v>
      </c>
      <c r="AM18" s="8">
        <f t="shared" si="41"/>
        <v>-45.274976215000045</v>
      </c>
      <c r="AN18" s="8">
        <f t="shared" si="41"/>
        <v>-39.607446311000054</v>
      </c>
      <c r="AO18" s="8">
        <f t="shared" si="41"/>
        <v>-33.268375679717558</v>
      </c>
      <c r="AP18" s="8">
        <f t="shared" si="41"/>
        <v>-25.293604688873781</v>
      </c>
      <c r="AQ18" s="8">
        <f t="shared" si="41"/>
        <v>-18.148974898066768</v>
      </c>
      <c r="AR18" s="8">
        <f t="shared" si="41"/>
        <v>-9.1937520124143877</v>
      </c>
      <c r="AS18" s="8">
        <f t="shared" si="41"/>
        <v>1.8187868451690734</v>
      </c>
      <c r="AT18" s="1">
        <f>AS18*(1+$AW$25)</f>
        <v>1.8005989767173827</v>
      </c>
      <c r="AU18" s="1">
        <f t="shared" ref="AU18:DF18" si="42">AT18*(1+$AW$25)</f>
        <v>1.7825929869502088</v>
      </c>
      <c r="AV18" s="1">
        <f t="shared" si="42"/>
        <v>1.7647670570807068</v>
      </c>
      <c r="AW18" s="1">
        <f t="shared" si="42"/>
        <v>1.7471193865098997</v>
      </c>
      <c r="AX18" s="1">
        <f t="shared" si="42"/>
        <v>1.7296481926448006</v>
      </c>
      <c r="AY18" s="1">
        <f t="shared" si="42"/>
        <v>1.7123517107183526</v>
      </c>
      <c r="AZ18" s="1">
        <f t="shared" si="42"/>
        <v>1.6952281936111691</v>
      </c>
      <c r="BA18" s="1">
        <f t="shared" si="42"/>
        <v>1.6782759116750574</v>
      </c>
      <c r="BB18" s="1">
        <f t="shared" si="42"/>
        <v>1.6614931525583068</v>
      </c>
      <c r="BC18" s="1">
        <f t="shared" si="42"/>
        <v>1.6448782210327237</v>
      </c>
      <c r="BD18" s="1">
        <f t="shared" si="42"/>
        <v>1.6284294388223965</v>
      </c>
      <c r="BE18" s="1">
        <f t="shared" si="42"/>
        <v>1.6121451444341726</v>
      </c>
      <c r="BF18" s="1">
        <f t="shared" si="42"/>
        <v>1.5960236929898308</v>
      </c>
      <c r="BG18" s="1">
        <f t="shared" si="42"/>
        <v>1.5800634560599325</v>
      </c>
      <c r="BH18" s="1">
        <f t="shared" si="42"/>
        <v>1.564262821499333</v>
      </c>
      <c r="BI18" s="1">
        <f t="shared" si="42"/>
        <v>1.5486201932843398</v>
      </c>
      <c r="BJ18" s="1">
        <f t="shared" si="42"/>
        <v>1.5331339913514963</v>
      </c>
      <c r="BK18" s="1">
        <f t="shared" si="42"/>
        <v>1.5178026514379814</v>
      </c>
      <c r="BL18" s="1">
        <f t="shared" si="42"/>
        <v>1.5026246249236015</v>
      </c>
      <c r="BM18" s="1">
        <f t="shared" si="42"/>
        <v>1.4875983786743654</v>
      </c>
      <c r="BN18" s="1">
        <f t="shared" si="42"/>
        <v>1.4727223948876218</v>
      </c>
      <c r="BO18" s="1">
        <f t="shared" si="42"/>
        <v>1.4579951709387455</v>
      </c>
      <c r="BP18" s="1">
        <f t="shared" si="42"/>
        <v>1.4434152192293581</v>
      </c>
      <c r="BQ18" s="1">
        <f t="shared" si="42"/>
        <v>1.4289810670370646</v>
      </c>
      <c r="BR18" s="1">
        <f t="shared" si="42"/>
        <v>1.414691256366694</v>
      </c>
      <c r="BS18" s="1">
        <f t="shared" si="42"/>
        <v>1.4005443438030272</v>
      </c>
      <c r="BT18" s="1">
        <f t="shared" si="42"/>
        <v>1.3865389003649968</v>
      </c>
      <c r="BU18" s="1">
        <f t="shared" si="42"/>
        <v>1.3726735113613469</v>
      </c>
      <c r="BV18" s="1">
        <f t="shared" si="42"/>
        <v>1.3589467762477334</v>
      </c>
      <c r="BW18" s="1">
        <f t="shared" si="42"/>
        <v>1.3453573084852561</v>
      </c>
      <c r="BX18" s="1">
        <f t="shared" si="42"/>
        <v>1.3319037354004035</v>
      </c>
      <c r="BY18" s="1">
        <f t="shared" si="42"/>
        <v>1.3185846980463996</v>
      </c>
      <c r="BZ18" s="1">
        <f t="shared" si="42"/>
        <v>1.3053988510659356</v>
      </c>
      <c r="CA18" s="1">
        <f t="shared" si="42"/>
        <v>1.2923448625552763</v>
      </c>
      <c r="CB18" s="1">
        <f t="shared" si="42"/>
        <v>1.2794214139297235</v>
      </c>
      <c r="CC18" s="1">
        <f t="shared" si="42"/>
        <v>1.2666271997904264</v>
      </c>
      <c r="CD18" s="1">
        <f t="shared" si="42"/>
        <v>1.2539609277925221</v>
      </c>
      <c r="CE18" s="1">
        <f t="shared" si="42"/>
        <v>1.2414213185145968</v>
      </c>
      <c r="CF18" s="1">
        <f t="shared" si="42"/>
        <v>1.2290071053294509</v>
      </c>
      <c r="CG18" s="1">
        <f t="shared" si="42"/>
        <v>1.2167170342761564</v>
      </c>
      <c r="CH18" s="1">
        <f t="shared" si="42"/>
        <v>1.2045498639333949</v>
      </c>
      <c r="CI18" s="1">
        <f t="shared" si="42"/>
        <v>1.192504365294061</v>
      </c>
      <c r="CJ18" s="1">
        <f t="shared" si="42"/>
        <v>1.1805793216411204</v>
      </c>
      <c r="CK18" s="1">
        <f t="shared" si="42"/>
        <v>1.1687735284247092</v>
      </c>
      <c r="CL18" s="1">
        <f t="shared" si="42"/>
        <v>1.1570857931404621</v>
      </c>
      <c r="CM18" s="1">
        <f t="shared" si="42"/>
        <v>1.1455149352090574</v>
      </c>
      <c r="CN18" s="1">
        <f t="shared" si="42"/>
        <v>1.1340597858569668</v>
      </c>
      <c r="CO18" s="1">
        <f t="shared" si="42"/>
        <v>1.1227191879983971</v>
      </c>
      <c r="CP18" s="1">
        <f t="shared" si="42"/>
        <v>1.1114919961184131</v>
      </c>
      <c r="CQ18" s="1">
        <f t="shared" si="42"/>
        <v>1.1003770761572289</v>
      </c>
      <c r="CR18" s="1">
        <f t="shared" si="42"/>
        <v>1.0893733053956567</v>
      </c>
      <c r="CS18" s="1">
        <f t="shared" si="42"/>
        <v>1.0784795723417002</v>
      </c>
      <c r="CT18" s="1">
        <f t="shared" si="42"/>
        <v>1.0676947766182832</v>
      </c>
      <c r="CU18" s="1">
        <f t="shared" si="42"/>
        <v>1.0570178288521004</v>
      </c>
      <c r="CV18" s="1">
        <f t="shared" si="42"/>
        <v>1.0464476505635794</v>
      </c>
      <c r="CW18" s="1">
        <f t="shared" si="42"/>
        <v>1.0359831740579435</v>
      </c>
      <c r="CX18" s="1">
        <f t="shared" si="42"/>
        <v>1.025623342317364</v>
      </c>
      <c r="CY18" s="1">
        <f t="shared" si="42"/>
        <v>1.0153671088941902</v>
      </c>
      <c r="CZ18" s="1">
        <f t="shared" si="42"/>
        <v>1.0052134378052484</v>
      </c>
      <c r="DA18" s="1">
        <f t="shared" si="42"/>
        <v>0.99516130342719589</v>
      </c>
      <c r="DB18" s="1">
        <f t="shared" si="42"/>
        <v>0.98520969039292394</v>
      </c>
      <c r="DC18" s="1">
        <f t="shared" si="42"/>
        <v>0.97535759348899465</v>
      </c>
      <c r="DD18" s="1">
        <f t="shared" si="42"/>
        <v>0.96560401755410474</v>
      </c>
      <c r="DE18" s="1">
        <f t="shared" si="42"/>
        <v>0.95594797737856374</v>
      </c>
      <c r="DF18" s="1">
        <f t="shared" si="42"/>
        <v>0.94638849760477806</v>
      </c>
      <c r="DG18" s="1">
        <f t="shared" ref="DG18:ES18" si="43">DF18*(1+$AW$25)</f>
        <v>0.93692461262873028</v>
      </c>
      <c r="DH18" s="1">
        <f t="shared" si="43"/>
        <v>0.92755536650244297</v>
      </c>
      <c r="DI18" s="1">
        <f t="shared" si="43"/>
        <v>0.91827981283741855</v>
      </c>
      <c r="DJ18" s="1">
        <f t="shared" si="43"/>
        <v>0.90909701470904436</v>
      </c>
      <c r="DK18" s="1">
        <f t="shared" si="43"/>
        <v>0.90000604456195388</v>
      </c>
      <c r="DL18" s="1">
        <f t="shared" si="43"/>
        <v>0.89100598411633436</v>
      </c>
      <c r="DM18" s="1">
        <f t="shared" si="43"/>
        <v>0.88209592427517103</v>
      </c>
      <c r="DN18" s="1">
        <f t="shared" si="43"/>
        <v>0.8732749650324193</v>
      </c>
      <c r="DO18" s="1">
        <f t="shared" si="43"/>
        <v>0.86454221538209508</v>
      </c>
      <c r="DP18" s="1">
        <f t="shared" si="43"/>
        <v>0.85589679322827417</v>
      </c>
      <c r="DQ18" s="1">
        <f t="shared" si="43"/>
        <v>0.84733782529599144</v>
      </c>
      <c r="DR18" s="1">
        <f t="shared" si="43"/>
        <v>0.83886444704303154</v>
      </c>
      <c r="DS18" s="1">
        <f t="shared" si="43"/>
        <v>0.83047580257260123</v>
      </c>
      <c r="DT18" s="1">
        <f t="shared" si="43"/>
        <v>0.82217104454687517</v>
      </c>
      <c r="DU18" s="1">
        <f t="shared" si="43"/>
        <v>0.81394933410140646</v>
      </c>
      <c r="DV18" s="1">
        <f t="shared" si="43"/>
        <v>0.80580984076039242</v>
      </c>
      <c r="DW18" s="1">
        <f t="shared" si="43"/>
        <v>0.79775174235278845</v>
      </c>
      <c r="DX18" s="1">
        <f t="shared" si="43"/>
        <v>0.78977422492926053</v>
      </c>
      <c r="DY18" s="1">
        <f t="shared" si="43"/>
        <v>0.7818764826799679</v>
      </c>
      <c r="DZ18" s="1">
        <f t="shared" si="43"/>
        <v>0.77405771785316824</v>
      </c>
      <c r="EA18" s="1">
        <f t="shared" si="43"/>
        <v>0.76631714067463652</v>
      </c>
      <c r="EB18" s="1">
        <f t="shared" si="43"/>
        <v>0.75865396926789019</v>
      </c>
      <c r="EC18" s="1">
        <f t="shared" si="43"/>
        <v>0.75106742957521133</v>
      </c>
      <c r="ED18" s="1">
        <f t="shared" si="43"/>
        <v>0.74355675527945919</v>
      </c>
      <c r="EE18" s="1">
        <f t="shared" si="43"/>
        <v>0.73612118772666457</v>
      </c>
      <c r="EF18" s="1">
        <f t="shared" si="43"/>
        <v>0.72875997584939789</v>
      </c>
      <c r="EG18" s="1">
        <f t="shared" si="43"/>
        <v>0.72147237609090387</v>
      </c>
      <c r="EH18" s="1">
        <f t="shared" si="43"/>
        <v>0.71425765232999483</v>
      </c>
      <c r="EI18" s="1">
        <f t="shared" si="43"/>
        <v>0.70711507580669486</v>
      </c>
      <c r="EJ18" s="1">
        <f t="shared" si="43"/>
        <v>0.70004392504862789</v>
      </c>
      <c r="EK18" s="1">
        <f t="shared" si="43"/>
        <v>0.69304348579814157</v>
      </c>
      <c r="EL18" s="1">
        <f t="shared" si="43"/>
        <v>0.68611305094016017</v>
      </c>
      <c r="EM18" s="1">
        <f t="shared" si="43"/>
        <v>0.67925192043075855</v>
      </c>
      <c r="EN18" s="1">
        <f t="shared" si="43"/>
        <v>0.67245940122645098</v>
      </c>
      <c r="EO18" s="1">
        <f t="shared" si="43"/>
        <v>0.66573480721418643</v>
      </c>
      <c r="EP18" s="1">
        <f t="shared" si="43"/>
        <v>0.65907745914204452</v>
      </c>
      <c r="EQ18" s="1">
        <f t="shared" si="43"/>
        <v>0.65248668455062409</v>
      </c>
      <c r="ER18" s="1">
        <f t="shared" si="43"/>
        <v>0.64596181770511785</v>
      </c>
      <c r="ES18" s="1">
        <f t="shared" si="43"/>
        <v>0.63950219952806664</v>
      </c>
    </row>
    <row r="19" spans="2:149" x14ac:dyDescent="0.3">
      <c r="B19" t="s">
        <v>2</v>
      </c>
      <c r="C19" s="2">
        <v>103.7</v>
      </c>
      <c r="D19" s="2">
        <v>103.7</v>
      </c>
      <c r="E19" s="2">
        <v>103.7</v>
      </c>
      <c r="F19" s="2">
        <v>103.7</v>
      </c>
      <c r="G19" s="2">
        <v>103.7</v>
      </c>
      <c r="H19" s="2">
        <v>103.7</v>
      </c>
      <c r="I19" s="2">
        <v>103.7</v>
      </c>
      <c r="J19" s="2">
        <v>103.7</v>
      </c>
      <c r="K19" s="2">
        <v>103.7</v>
      </c>
      <c r="L19" s="2">
        <v>103.7</v>
      </c>
      <c r="M19" s="2">
        <v>103.7</v>
      </c>
      <c r="N19" s="2">
        <v>103.7</v>
      </c>
      <c r="O19" s="2">
        <v>103.7</v>
      </c>
      <c r="P19" s="2">
        <v>103.7</v>
      </c>
      <c r="Q19" s="2">
        <v>104.3</v>
      </c>
      <c r="R19" s="2">
        <v>105.1</v>
      </c>
      <c r="S19" s="2">
        <v>106.6</v>
      </c>
      <c r="T19" s="2">
        <v>106.9</v>
      </c>
      <c r="U19" s="2">
        <f>108.5</f>
        <v>108.5</v>
      </c>
      <c r="V19" s="2">
        <f>109.4</f>
        <v>109.4</v>
      </c>
      <c r="W19" s="2">
        <f t="shared" ref="W19:Z19" si="44">109.4</f>
        <v>109.4</v>
      </c>
      <c r="X19" s="2">
        <f t="shared" si="44"/>
        <v>109.4</v>
      </c>
      <c r="Y19" s="2">
        <f t="shared" si="44"/>
        <v>109.4</v>
      </c>
      <c r="Z19" s="2">
        <f t="shared" si="44"/>
        <v>109.4</v>
      </c>
      <c r="AB19" s="2">
        <v>103.7</v>
      </c>
      <c r="AC19" s="2">
        <v>103.7</v>
      </c>
      <c r="AD19" s="2">
        <v>103.7</v>
      </c>
      <c r="AE19" s="2">
        <v>103.7</v>
      </c>
      <c r="AF19" s="2">
        <v>103.7</v>
      </c>
      <c r="AG19" s="2">
        <v>103.7</v>
      </c>
      <c r="AH19" s="2">
        <v>105.1</v>
      </c>
      <c r="AI19" s="2">
        <f t="shared" ref="AI19:AS19" si="45">109.4</f>
        <v>109.4</v>
      </c>
      <c r="AJ19" s="2">
        <f t="shared" si="45"/>
        <v>109.4</v>
      </c>
      <c r="AK19" s="2">
        <f t="shared" si="45"/>
        <v>109.4</v>
      </c>
      <c r="AL19" s="2">
        <f t="shared" si="45"/>
        <v>109.4</v>
      </c>
      <c r="AM19" s="2">
        <f t="shared" si="45"/>
        <v>109.4</v>
      </c>
      <c r="AN19" s="2">
        <f t="shared" si="45"/>
        <v>109.4</v>
      </c>
      <c r="AO19" s="2">
        <f t="shared" si="45"/>
        <v>109.4</v>
      </c>
      <c r="AP19" s="2">
        <f t="shared" si="45"/>
        <v>109.4</v>
      </c>
      <c r="AQ19" s="2">
        <f t="shared" si="45"/>
        <v>109.4</v>
      </c>
      <c r="AR19" s="2">
        <f t="shared" si="45"/>
        <v>109.4</v>
      </c>
      <c r="AS19" s="2">
        <f t="shared" si="45"/>
        <v>109.4</v>
      </c>
    </row>
    <row r="20" spans="2:149" x14ac:dyDescent="0.3">
      <c r="B20" t="s">
        <v>40</v>
      </c>
      <c r="C20" s="7">
        <f t="shared" ref="C20:P20" si="46">C18/C19</f>
        <v>-0.62777242044358716</v>
      </c>
      <c r="D20" s="7">
        <f t="shared" si="46"/>
        <v>0.31629701060752174</v>
      </c>
      <c r="E20" s="7">
        <f t="shared" si="46"/>
        <v>6.4609450337512156E-2</v>
      </c>
      <c r="F20" s="7">
        <f t="shared" si="46"/>
        <v>0.23432979749276778</v>
      </c>
      <c r="G20" s="7">
        <f t="shared" si="46"/>
        <v>5.4966248794599638E-2</v>
      </c>
      <c r="H20" s="7">
        <f t="shared" si="46"/>
        <v>7.1359691417550733E-2</v>
      </c>
      <c r="I20" s="7">
        <f t="shared" si="46"/>
        <v>2.4271938283510122</v>
      </c>
      <c r="J20" s="7">
        <f t="shared" si="46"/>
        <v>1.8322082931532886E-2</v>
      </c>
      <c r="K20" s="7">
        <f t="shared" si="46"/>
        <v>2.025072324011544E-2</v>
      </c>
      <c r="L20" s="7">
        <f t="shared" si="46"/>
        <v>0.23722275795564132</v>
      </c>
      <c r="M20" s="7">
        <f t="shared" si="46"/>
        <v>-0.17647058823529391</v>
      </c>
      <c r="N20" s="7">
        <f t="shared" si="46"/>
        <v>9.3539054966248564E-2</v>
      </c>
      <c r="O20" s="7">
        <f t="shared" si="46"/>
        <v>-1.3500482160077192E-2</v>
      </c>
      <c r="P20" s="7">
        <f t="shared" si="46"/>
        <v>-5.9488910318225656</v>
      </c>
      <c r="Q20" s="7">
        <f t="shared" ref="Q20:R20" si="47">Q18/Q19</f>
        <v>-2.0383509108341324</v>
      </c>
      <c r="R20" s="7">
        <f t="shared" si="47"/>
        <v>-5.8039961941008543E-2</v>
      </c>
      <c r="S20" s="7">
        <f t="shared" ref="S20:V20" si="48">S18/S19</f>
        <v>-0.16416510318949346</v>
      </c>
      <c r="T20" s="7">
        <f t="shared" si="48"/>
        <v>-0.33302151543498598</v>
      </c>
      <c r="U20" s="7">
        <f t="shared" si="48"/>
        <v>-0.16129032258064518</v>
      </c>
      <c r="V20" s="7">
        <f t="shared" si="48"/>
        <v>-0.29890310786106034</v>
      </c>
      <c r="W20" s="7">
        <f t="shared" ref="W20:Z20" si="49">W18/W19</f>
        <v>-0.17358775137111523</v>
      </c>
      <c r="X20" s="7">
        <f t="shared" si="49"/>
        <v>-0.18975685557586838</v>
      </c>
      <c r="Y20" s="7">
        <f t="shared" si="49"/>
        <v>-0.21722349177330902</v>
      </c>
      <c r="Z20" s="7">
        <f t="shared" si="49"/>
        <v>-0.2258056215722121</v>
      </c>
      <c r="AB20" s="7">
        <f t="shared" ref="AB20:AH20" si="50">AB18/AB19</f>
        <v>-0.13693346190935357</v>
      </c>
      <c r="AC20" s="7">
        <f t="shared" si="50"/>
        <v>-9.2574734811957424E-2</v>
      </c>
      <c r="AD20" s="7">
        <f t="shared" si="50"/>
        <v>-5.9787849566056352E-2</v>
      </c>
      <c r="AE20" s="7">
        <f t="shared" si="50"/>
        <v>-1.2536162005786767E-2</v>
      </c>
      <c r="AF20" s="7">
        <f t="shared" si="50"/>
        <v>2.5718418514946957</v>
      </c>
      <c r="AG20" s="7">
        <f t="shared" si="50"/>
        <v>0.17454194792671113</v>
      </c>
      <c r="AH20" s="7">
        <f t="shared" si="50"/>
        <v>-1.5204567078972404</v>
      </c>
      <c r="AI20" s="7">
        <f t="shared" ref="AI20:AS20" si="51">AI18/AI19</f>
        <v>-0.94424131627056695</v>
      </c>
      <c r="AJ20" s="7">
        <f t="shared" si="51"/>
        <v>-0.80637372029250465</v>
      </c>
      <c r="AK20" s="7">
        <f t="shared" si="51"/>
        <v>-0.48444219378427811</v>
      </c>
      <c r="AL20" s="7">
        <f t="shared" si="51"/>
        <v>-0.4539377760511884</v>
      </c>
      <c r="AM20" s="7">
        <f t="shared" si="51"/>
        <v>-0.41384804584095103</v>
      </c>
      <c r="AN20" s="7">
        <f t="shared" si="51"/>
        <v>-0.36204247085009189</v>
      </c>
      <c r="AO20" s="7">
        <f t="shared" si="51"/>
        <v>-0.30409849798644933</v>
      </c>
      <c r="AP20" s="7">
        <f t="shared" si="51"/>
        <v>-0.23120296790561043</v>
      </c>
      <c r="AQ20" s="7">
        <f t="shared" si="51"/>
        <v>-0.1658955657958571</v>
      </c>
      <c r="AR20" s="7">
        <f t="shared" si="51"/>
        <v>-8.4037952581484346E-2</v>
      </c>
      <c r="AS20" s="7">
        <f t="shared" si="51"/>
        <v>1.6625108273940342E-2</v>
      </c>
    </row>
    <row r="22" spans="2:149" x14ac:dyDescent="0.3">
      <c r="B22" t="s">
        <v>99</v>
      </c>
      <c r="S22" s="9">
        <f t="shared" ref="S22:S23" si="52">S3/O3-1</f>
        <v>-0.21078431372549011</v>
      </c>
      <c r="T22" s="9">
        <f t="shared" ref="T22:T23" si="53">T3/P3-1</f>
        <v>-8.9947089947089887E-2</v>
      </c>
      <c r="U22" s="9">
        <f t="shared" ref="U22:U23" si="54">U3/Q3-1</f>
        <v>-6.3829787234042534E-2</v>
      </c>
      <c r="V22" s="9">
        <f t="shared" ref="V22:V23" si="55">V3/R3-1</f>
        <v>0.10624999999999996</v>
      </c>
      <c r="W22" s="9">
        <f t="shared" ref="W22:W24" si="56">W3/S3-1</f>
        <v>0.10248447204968936</v>
      </c>
      <c r="X22" s="9">
        <f t="shared" ref="X22:X23" si="57">X3/T3-1</f>
        <v>0.10000000000000009</v>
      </c>
      <c r="Y22" s="9">
        <f t="shared" ref="Y22:Y23" si="58">Y3/U3-1</f>
        <v>0.10000000000000009</v>
      </c>
      <c r="Z22" s="9">
        <f t="shared" ref="Z22:Z23" si="59">Z3/V3-1</f>
        <v>0.14999999999999991</v>
      </c>
      <c r="AI22" s="9">
        <f t="shared" ref="AD22:AS24" si="60">AI3/AH3-1</f>
        <v>-7.4224021592442679E-2</v>
      </c>
      <c r="AJ22" s="9">
        <f t="shared" si="60"/>
        <v>0.11348396501457714</v>
      </c>
      <c r="AK22" s="9">
        <f t="shared" ref="AK22:AK23" si="61">AK3/AJ3-1</f>
        <v>0.14999999999999991</v>
      </c>
      <c r="AL22" s="9">
        <f t="shared" ref="AL22:AL23" si="62">AL3/AK3-1</f>
        <v>0.14999999999999991</v>
      </c>
      <c r="AM22" s="9">
        <f t="shared" ref="AM22:AM23" si="63">AM3/AL3-1</f>
        <v>0.14999999999999991</v>
      </c>
      <c r="AN22" s="9">
        <f t="shared" ref="AN22:AN23" si="64">AN3/AM3-1</f>
        <v>0.14999999999999991</v>
      </c>
      <c r="AO22" s="9">
        <f t="shared" ref="AO22:AO23" si="65">AO3/AN3-1</f>
        <v>0.14999999999999991</v>
      </c>
      <c r="AP22" s="9">
        <f t="shared" ref="AP22:AP23" si="66">AP3/AO3-1</f>
        <v>0.14999999999999991</v>
      </c>
      <c r="AQ22" s="9">
        <f t="shared" ref="AQ22:AQ23" si="67">AQ3/AP3-1</f>
        <v>0.14999999999999991</v>
      </c>
      <c r="AR22" s="9">
        <f t="shared" ref="AR22:AR23" si="68">AR3/AQ3-1</f>
        <v>0.14999999999999991</v>
      </c>
      <c r="AS22" s="9">
        <f t="shared" ref="AS22:AS23" si="69">AS3/AR3-1</f>
        <v>0.14999999999999969</v>
      </c>
    </row>
    <row r="23" spans="2:149" x14ac:dyDescent="0.3">
      <c r="B23" t="s">
        <v>100</v>
      </c>
      <c r="S23" s="9">
        <f t="shared" si="52"/>
        <v>-0.3162337662337662</v>
      </c>
      <c r="T23" s="9">
        <f t="shared" si="53"/>
        <v>-0.39085239085239087</v>
      </c>
      <c r="U23" s="9">
        <f t="shared" si="54"/>
        <v>-0.48896434634974528</v>
      </c>
      <c r="V23" s="9">
        <f t="shared" si="55"/>
        <v>-0.56941176470588228</v>
      </c>
      <c r="W23" s="9">
        <f t="shared" si="56"/>
        <v>-0.58926875593542261</v>
      </c>
      <c r="X23" s="9">
        <f t="shared" si="57"/>
        <v>-0.5</v>
      </c>
      <c r="Y23" s="9">
        <f t="shared" si="58"/>
        <v>-0.30000000000000004</v>
      </c>
      <c r="Z23" s="9">
        <f t="shared" si="59"/>
        <v>-0.25</v>
      </c>
      <c r="AI23" s="9">
        <f t="shared" si="60"/>
        <v>-0.43285504047093459</v>
      </c>
      <c r="AJ23" s="9">
        <f t="shared" si="60"/>
        <v>-0.44691858579305865</v>
      </c>
      <c r="AK23" s="9">
        <f t="shared" si="61"/>
        <v>-5.0000000000000155E-2</v>
      </c>
      <c r="AL23" s="9">
        <f t="shared" si="62"/>
        <v>-5.0000000000000155E-2</v>
      </c>
      <c r="AM23" s="9">
        <f t="shared" si="63"/>
        <v>-5.0000000000000155E-2</v>
      </c>
      <c r="AN23" s="9">
        <f t="shared" si="64"/>
        <v>-5.0000000000000044E-2</v>
      </c>
      <c r="AO23" s="9">
        <f t="shared" si="65"/>
        <v>-5.0000000000000044E-2</v>
      </c>
      <c r="AP23" s="9">
        <f t="shared" si="66"/>
        <v>-5.0000000000000044E-2</v>
      </c>
      <c r="AQ23" s="9">
        <f t="shared" si="67"/>
        <v>-5.0000000000000044E-2</v>
      </c>
      <c r="AR23" s="9">
        <f t="shared" si="68"/>
        <v>-4.9999999999999933E-2</v>
      </c>
      <c r="AS23" s="9">
        <f t="shared" si="69"/>
        <v>-4.9999999999999933E-2</v>
      </c>
    </row>
    <row r="24" spans="2:149" s="1" customFormat="1" x14ac:dyDescent="0.3">
      <c r="B24" s="1" t="s">
        <v>41</v>
      </c>
      <c r="C24" s="10"/>
      <c r="D24" s="10"/>
      <c r="E24" s="10"/>
      <c r="F24" s="10"/>
      <c r="G24" s="10">
        <f t="shared" ref="G24:P24" si="70">G5/C5-1</f>
        <v>1.9153225806451513E-2</v>
      </c>
      <c r="H24" s="10">
        <f t="shared" si="70"/>
        <v>-1.9143576826196496E-2</v>
      </c>
      <c r="I24" s="10">
        <f t="shared" si="70"/>
        <v>-4.1884816753926746E-2</v>
      </c>
      <c r="J24" s="10">
        <f t="shared" si="70"/>
        <v>-1.1084337349397622E-2</v>
      </c>
      <c r="K24" s="10">
        <f t="shared" si="70"/>
        <v>-7.2205736894164207E-2</v>
      </c>
      <c r="L24" s="10">
        <f t="shared" si="70"/>
        <v>-6.0606060606060552E-2</v>
      </c>
      <c r="M24" s="10">
        <f t="shared" si="70"/>
        <v>-4.1287188828172283E-2</v>
      </c>
      <c r="N24" s="10">
        <f t="shared" si="70"/>
        <v>-8.3820662768031129E-2</v>
      </c>
      <c r="O24" s="10">
        <f t="shared" si="70"/>
        <v>-7.0362473347547971E-2</v>
      </c>
      <c r="P24" s="10">
        <f t="shared" si="70"/>
        <v>-0.10825587752870425</v>
      </c>
      <c r="Q24" s="10">
        <f t="shared" ref="Q24" si="71">Q5/M5-1</f>
        <v>-0.13489550348321733</v>
      </c>
      <c r="R24" s="10">
        <f t="shared" ref="R24" si="72">R5/N5-1</f>
        <v>-0.23670212765957444</v>
      </c>
      <c r="S24" s="10">
        <f t="shared" ref="S24" si="73">S5/O5-1</f>
        <v>-0.30389908256880738</v>
      </c>
      <c r="T24" s="10">
        <f t="shared" ref="T24" si="74">T5/P5-1</f>
        <v>-0.35561005518087063</v>
      </c>
      <c r="U24" s="10">
        <f t="shared" ref="U24" si="75">U5/Q5-1</f>
        <v>-0.43118594436310387</v>
      </c>
      <c r="V24" s="10">
        <f t="shared" ref="V24" si="76">V5/R5-1</f>
        <v>-0.49337979094076656</v>
      </c>
      <c r="W24" s="10">
        <f t="shared" si="56"/>
        <v>-0.49752883031301487</v>
      </c>
      <c r="X24" s="10">
        <f t="shared" ref="X24" si="77">X5/T5-1</f>
        <v>-0.4018078020932444</v>
      </c>
      <c r="Y24" s="10">
        <f t="shared" ref="Y24" si="78">Y5/U5-1</f>
        <v>-0.20849420849420852</v>
      </c>
      <c r="Z24" s="10">
        <f t="shared" ref="Z24" si="79">Z5/V5-1</f>
        <v>-0.15364511691884464</v>
      </c>
      <c r="AB24" s="10"/>
      <c r="AC24" s="10">
        <f>AC5/AB5-1</f>
        <v>0.27966365618187461</v>
      </c>
      <c r="AD24" s="10">
        <f t="shared" si="60"/>
        <v>0.56802141640301773</v>
      </c>
      <c r="AE24" s="10">
        <f t="shared" si="60"/>
        <v>0.20487350613068456</v>
      </c>
      <c r="AF24" s="10">
        <f t="shared" si="60"/>
        <v>-1.223753703465158E-2</v>
      </c>
      <c r="AG24" s="10">
        <f t="shared" si="60"/>
        <v>-6.5727699530516381E-2</v>
      </c>
      <c r="AH24" s="10">
        <f t="shared" si="60"/>
        <v>-0.13791178112786151</v>
      </c>
      <c r="AI24" s="10">
        <f t="shared" si="60"/>
        <v>-0.38973445595854928</v>
      </c>
      <c r="AJ24" s="10">
        <f t="shared" si="60"/>
        <v>-0.34491907667816402</v>
      </c>
      <c r="AK24" s="10">
        <f t="shared" si="60"/>
        <v>1.187525313892257E-2</v>
      </c>
      <c r="AL24" s="10">
        <f t="shared" si="60"/>
        <v>2.0321456018444373E-2</v>
      </c>
      <c r="AM24" s="10">
        <f t="shared" si="60"/>
        <v>2.9259015817216349E-2</v>
      </c>
      <c r="AN24" s="10">
        <f t="shared" si="60"/>
        <v>3.855678385039818E-2</v>
      </c>
      <c r="AO24" s="10">
        <f t="shared" si="60"/>
        <v>4.8059444617356117E-2</v>
      </c>
      <c r="AP24" s="10">
        <f t="shared" si="60"/>
        <v>5.7597295066723397E-2</v>
      </c>
      <c r="AQ24" s="10">
        <f t="shared" si="60"/>
        <v>6.6998114408873599E-2</v>
      </c>
      <c r="AR24" s="10">
        <f t="shared" si="60"/>
        <v>7.6099408942952973E-2</v>
      </c>
      <c r="AS24" s="10">
        <f t="shared" si="60"/>
        <v>8.4759223059924338E-2</v>
      </c>
    </row>
    <row r="25" spans="2:149" x14ac:dyDescent="0.3">
      <c r="B25" t="s">
        <v>42</v>
      </c>
      <c r="C25" s="9">
        <f t="shared" ref="C25:J25" si="80">C7/C5</f>
        <v>0.6401209677419355</v>
      </c>
      <c r="D25" s="9">
        <f t="shared" si="80"/>
        <v>0.69420654911838797</v>
      </c>
      <c r="E25" s="9">
        <f t="shared" si="80"/>
        <v>0.60965677719604427</v>
      </c>
      <c r="F25" s="9">
        <f t="shared" si="80"/>
        <v>0.73156626506024103</v>
      </c>
      <c r="G25" s="9">
        <f t="shared" si="80"/>
        <v>0.72749752720079131</v>
      </c>
      <c r="H25" s="9">
        <f t="shared" si="80"/>
        <v>0.76527991782229077</v>
      </c>
      <c r="I25" s="9">
        <f t="shared" si="80"/>
        <v>0.72556162720097139</v>
      </c>
      <c r="J25" s="9">
        <f t="shared" si="80"/>
        <v>0.74951267056530213</v>
      </c>
      <c r="K25" s="9">
        <f t="shared" ref="K25:P25" si="81">K7/K5</f>
        <v>0.73773987206823022</v>
      </c>
      <c r="L25" s="9">
        <f t="shared" si="81"/>
        <v>0.74084199015855656</v>
      </c>
      <c r="M25" s="9">
        <f t="shared" si="81"/>
        <v>0.4705509816339456</v>
      </c>
      <c r="N25" s="9">
        <f t="shared" si="81"/>
        <v>0.75638297872340421</v>
      </c>
      <c r="O25" s="9">
        <f t="shared" si="81"/>
        <v>0.73337155963302758</v>
      </c>
      <c r="P25" s="9">
        <f t="shared" si="81"/>
        <v>0.72164316370324955</v>
      </c>
      <c r="Q25" s="9">
        <f t="shared" ref="Q25:R25" si="82">Q7/Q5</f>
        <v>0.68228404099560758</v>
      </c>
      <c r="R25" s="9">
        <f t="shared" si="82"/>
        <v>0.68222996515679446</v>
      </c>
      <c r="S25" s="9">
        <f t="shared" ref="S25:V25" si="83">S7/S5</f>
        <v>0.55518945634266892</v>
      </c>
      <c r="T25" s="9">
        <f t="shared" si="83"/>
        <v>0.66222645099904853</v>
      </c>
      <c r="U25" s="9">
        <f t="shared" si="83"/>
        <v>0.59202059202059198</v>
      </c>
      <c r="V25" s="9">
        <f t="shared" si="83"/>
        <v>0.57359009628610735</v>
      </c>
      <c r="W25" s="9">
        <f t="shared" ref="W25:Z25" si="84">W7/W5</f>
        <v>0.57999999999999996</v>
      </c>
      <c r="X25" s="9">
        <f t="shared" si="84"/>
        <v>0.57999999999999996</v>
      </c>
      <c r="Y25" s="9">
        <f t="shared" si="84"/>
        <v>0.57999999999999996</v>
      </c>
      <c r="Z25" s="9">
        <f t="shared" si="84"/>
        <v>0.57999999999999996</v>
      </c>
      <c r="AB25" s="9">
        <f t="shared" ref="AB25:AS25" si="85">AB7/AB5</f>
        <v>0.7508564310183744</v>
      </c>
      <c r="AC25" s="9">
        <f t="shared" si="85"/>
        <v>0.77561450474568028</v>
      </c>
      <c r="AD25" s="9">
        <f t="shared" si="85"/>
        <v>0.68120440788452585</v>
      </c>
      <c r="AE25" s="9">
        <f t="shared" si="85"/>
        <v>0.67164755893340189</v>
      </c>
      <c r="AF25" s="9">
        <f t="shared" si="85"/>
        <v>0.74256651017214403</v>
      </c>
      <c r="AG25" s="9">
        <f t="shared" si="85"/>
        <v>0.68453378001116694</v>
      </c>
      <c r="AH25" s="9">
        <f t="shared" si="85"/>
        <v>0.70709196891191717</v>
      </c>
      <c r="AI25" s="9">
        <f t="shared" si="85"/>
        <v>0.59617935791987264</v>
      </c>
      <c r="AJ25" s="9">
        <f t="shared" si="85"/>
        <v>0.57999999999999996</v>
      </c>
      <c r="AK25" s="9">
        <f t="shared" si="85"/>
        <v>0.6</v>
      </c>
      <c r="AL25" s="9">
        <f t="shared" si="85"/>
        <v>0.62</v>
      </c>
      <c r="AM25" s="9">
        <f t="shared" si="85"/>
        <v>0.64</v>
      </c>
      <c r="AN25" s="9">
        <f t="shared" si="85"/>
        <v>0.66</v>
      </c>
      <c r="AO25" s="9">
        <f t="shared" si="85"/>
        <v>0.67</v>
      </c>
      <c r="AP25" s="9">
        <f t="shared" si="85"/>
        <v>0.68</v>
      </c>
      <c r="AQ25" s="9">
        <f t="shared" si="85"/>
        <v>0.68</v>
      </c>
      <c r="AR25" s="9">
        <f t="shared" si="85"/>
        <v>0.68</v>
      </c>
      <c r="AS25" s="9">
        <f t="shared" si="85"/>
        <v>0.68</v>
      </c>
      <c r="AV25" t="s">
        <v>48</v>
      </c>
      <c r="AW25" s="9">
        <v>-0.01</v>
      </c>
    </row>
    <row r="26" spans="2:149" x14ac:dyDescent="0.3">
      <c r="B26" t="s">
        <v>43</v>
      </c>
      <c r="C26" s="9"/>
      <c r="D26" s="9"/>
      <c r="E26" s="9"/>
      <c r="F26" s="9"/>
      <c r="G26" s="9">
        <f t="shared" ref="G26" si="86">G8/C8-1</f>
        <v>0.1366594360086768</v>
      </c>
      <c r="H26" s="9">
        <f t="shared" ref="H26" si="87">H8/D8-1</f>
        <v>0.26201923076923062</v>
      </c>
      <c r="I26" s="9">
        <f t="shared" ref="I26" si="88">I8/E8-1</f>
        <v>4.8498845265589008E-2</v>
      </c>
      <c r="J26" s="9">
        <f t="shared" ref="J26" si="89">J8/F8-1</f>
        <v>-3.1380753138075312E-2</v>
      </c>
      <c r="K26" s="9">
        <f t="shared" ref="K26:P26" si="90">K8/G8-1</f>
        <v>-0.10496183206106868</v>
      </c>
      <c r="L26" s="9">
        <f t="shared" si="90"/>
        <v>7.6190476190476364E-3</v>
      </c>
      <c r="M26" s="9">
        <f t="shared" si="90"/>
        <v>1.7621145374449476E-2</v>
      </c>
      <c r="N26" s="9">
        <f t="shared" si="90"/>
        <v>-1.2958963282937219E-2</v>
      </c>
      <c r="O26" s="9">
        <f t="shared" si="90"/>
        <v>-5.3304904051172719E-2</v>
      </c>
      <c r="P26" s="9">
        <f t="shared" si="90"/>
        <v>-0.17391304347826075</v>
      </c>
      <c r="Q26" s="9">
        <f t="shared" ref="Q26" si="91">Q8/M8-1</f>
        <v>-0.10606060606060619</v>
      </c>
      <c r="R26" s="9">
        <f t="shared" ref="R26" si="92">R8/N8-1</f>
        <v>-0.10284463894967177</v>
      </c>
      <c r="S26" s="9">
        <f t="shared" ref="S26" si="93">S8/O8-1</f>
        <v>-0.33783783783783783</v>
      </c>
      <c r="T26" s="9">
        <f t="shared" ref="T26" si="94">T8/P8-1</f>
        <v>-0.34324942791762014</v>
      </c>
      <c r="U26" s="9">
        <f t="shared" ref="U26" si="95">U8/Q8-1</f>
        <v>-0.55447941888619856</v>
      </c>
      <c r="V26" s="9">
        <f t="shared" ref="V26" si="96">V8/R8-1</f>
        <v>-0.58536585365853666</v>
      </c>
      <c r="W26" s="9">
        <f t="shared" ref="W26" si="97">W8/S8-1</f>
        <v>-0.45578231292517002</v>
      </c>
      <c r="X26" s="9">
        <f t="shared" ref="X26" si="98">X8/T8-1</f>
        <v>-0.40766550522648082</v>
      </c>
      <c r="Y26" s="9">
        <f t="shared" ref="Y26" si="99">Y8/U8-1</f>
        <v>-2.1739130434782483E-2</v>
      </c>
      <c r="Z26" s="9">
        <f t="shared" ref="Z26" si="100">Z8/V8-1</f>
        <v>0.11764705882352944</v>
      </c>
      <c r="AB26" s="9"/>
      <c r="AC26" s="9">
        <f>AC8/AB8-1</f>
        <v>0.22309711286089251</v>
      </c>
      <c r="AD26" s="9">
        <f t="shared" ref="AD26:AS26" si="101">AD8/AC8-1</f>
        <v>0.22246065808297555</v>
      </c>
      <c r="AE26" s="9">
        <f t="shared" si="101"/>
        <v>4.6225863077823393E-2</v>
      </c>
      <c r="AF26" s="9">
        <f t="shared" si="101"/>
        <v>9.9552572706935072E-2</v>
      </c>
      <c r="AG26" s="9">
        <f t="shared" si="101"/>
        <v>-2.4923702950152782E-2</v>
      </c>
      <c r="AH26" s="9">
        <f t="shared" si="101"/>
        <v>-0.11111111111111116</v>
      </c>
      <c r="AI26" s="9">
        <f t="shared" si="101"/>
        <v>-0.45129107981220651</v>
      </c>
      <c r="AJ26" s="9">
        <f t="shared" si="101"/>
        <v>-0.25133689839572193</v>
      </c>
      <c r="AK26" s="9">
        <f t="shared" si="101"/>
        <v>2.0000000000000018E-2</v>
      </c>
      <c r="AL26" s="9">
        <f t="shared" si="101"/>
        <v>2.0000000000000018E-2</v>
      </c>
      <c r="AM26" s="9">
        <f t="shared" si="101"/>
        <v>2.0000000000000018E-2</v>
      </c>
      <c r="AN26" s="9">
        <f t="shared" si="101"/>
        <v>2.0000000000000018E-2</v>
      </c>
      <c r="AO26" s="9">
        <f t="shared" si="101"/>
        <v>1.0000000000000009E-2</v>
      </c>
      <c r="AP26" s="9">
        <f t="shared" si="101"/>
        <v>1.0000000000000009E-2</v>
      </c>
      <c r="AQ26" s="9">
        <f t="shared" si="101"/>
        <v>1.0000000000000009E-2</v>
      </c>
      <c r="AR26" s="9">
        <f t="shared" si="101"/>
        <v>1.0000000000000009E-2</v>
      </c>
      <c r="AS26" s="9">
        <f t="shared" si="101"/>
        <v>1.0000000000000009E-2</v>
      </c>
      <c r="AV26" t="s">
        <v>49</v>
      </c>
      <c r="AW26" s="9">
        <v>0.12</v>
      </c>
    </row>
    <row r="27" spans="2:149" x14ac:dyDescent="0.3">
      <c r="B27" t="s">
        <v>44</v>
      </c>
      <c r="C27" s="9">
        <f t="shared" ref="C27:J27" si="102">C9/C5</f>
        <v>0.13205645161290322</v>
      </c>
      <c r="D27" s="9">
        <f t="shared" si="102"/>
        <v>0.1093198992443325</v>
      </c>
      <c r="E27" s="9">
        <f t="shared" si="102"/>
        <v>0.15823152995927864</v>
      </c>
      <c r="F27" s="9">
        <f t="shared" si="102"/>
        <v>0.14602409638554217</v>
      </c>
      <c r="G27" s="9">
        <f t="shared" si="102"/>
        <v>0.21018793273986153</v>
      </c>
      <c r="H27" s="9">
        <f t="shared" si="102"/>
        <v>0.18130457113507961</v>
      </c>
      <c r="I27" s="9">
        <f t="shared" si="102"/>
        <v>0.19307832422586524</v>
      </c>
      <c r="J27" s="9">
        <f t="shared" si="102"/>
        <v>0.18567251461988304</v>
      </c>
      <c r="K27" s="9">
        <f t="shared" ref="K27:P27" si="103">K9/K5</f>
        <v>0.19722814498933902</v>
      </c>
      <c r="L27" s="9">
        <f t="shared" si="103"/>
        <v>0.16949152542372881</v>
      </c>
      <c r="M27" s="9">
        <f t="shared" si="103"/>
        <v>0.1830272324255858</v>
      </c>
      <c r="N27" s="9">
        <f t="shared" si="103"/>
        <v>0.15797872340425531</v>
      </c>
      <c r="O27" s="9">
        <f t="shared" si="103"/>
        <v>0.17431192660550457</v>
      </c>
      <c r="P27" s="9">
        <f t="shared" si="103"/>
        <v>0.14408338442673208</v>
      </c>
      <c r="Q27" s="9">
        <f t="shared" ref="Q27:R27" si="104">Q9/Q5</f>
        <v>0.19399707174231334</v>
      </c>
      <c r="R27" s="9">
        <f t="shared" si="104"/>
        <v>0.19442508710801393</v>
      </c>
      <c r="S27" s="9">
        <f t="shared" ref="S27:V27" si="105">S9/S5</f>
        <v>0.21087314662273476</v>
      </c>
      <c r="T27" s="9">
        <f t="shared" si="105"/>
        <v>0.16555661274976213</v>
      </c>
      <c r="U27" s="9">
        <f t="shared" si="105"/>
        <v>0.14929214929214929</v>
      </c>
      <c r="V27" s="9">
        <f t="shared" si="105"/>
        <v>0.19394773039889956</v>
      </c>
      <c r="W27" s="9">
        <f t="shared" ref="W27:Z27" si="106">W9/W5</f>
        <v>0.17</v>
      </c>
      <c r="X27" s="9">
        <f t="shared" si="106"/>
        <v>0.18</v>
      </c>
      <c r="Y27" s="9">
        <f t="shared" si="106"/>
        <v>0.19</v>
      </c>
      <c r="Z27" s="9">
        <f t="shared" si="106"/>
        <v>0.19</v>
      </c>
      <c r="AB27" s="9">
        <f t="shared" ref="AB27:AS27" si="107">AB9/AB5</f>
        <v>0.17035191529118654</v>
      </c>
      <c r="AC27" s="9">
        <f t="shared" si="107"/>
        <v>0.15478218544658068</v>
      </c>
      <c r="AD27" s="9">
        <f t="shared" si="107"/>
        <v>0.12711469812199289</v>
      </c>
      <c r="AE27" s="9">
        <f t="shared" si="107"/>
        <v>0.13577225299497617</v>
      </c>
      <c r="AF27" s="9">
        <f t="shared" si="107"/>
        <v>0.1926186750130412</v>
      </c>
      <c r="AG27" s="9">
        <f t="shared" si="107"/>
        <v>0.17671691792294808</v>
      </c>
      <c r="AH27" s="9">
        <f t="shared" si="107"/>
        <v>0.17535621761658032</v>
      </c>
      <c r="AI27" s="9">
        <f t="shared" si="107"/>
        <v>0.18227646590607591</v>
      </c>
      <c r="AJ27" s="9">
        <f t="shared" si="107"/>
        <v>0.18251235317942488</v>
      </c>
      <c r="AK27" s="9">
        <f t="shared" si="107"/>
        <v>0.18</v>
      </c>
      <c r="AL27" s="9">
        <f t="shared" si="107"/>
        <v>0.18</v>
      </c>
      <c r="AM27" s="9">
        <f t="shared" si="107"/>
        <v>0.18</v>
      </c>
      <c r="AN27" s="9">
        <f t="shared" si="107"/>
        <v>0.18</v>
      </c>
      <c r="AO27" s="9">
        <f t="shared" si="107"/>
        <v>0.18</v>
      </c>
      <c r="AP27" s="9">
        <f t="shared" si="107"/>
        <v>0.18</v>
      </c>
      <c r="AQ27" s="9">
        <f t="shared" si="107"/>
        <v>0.18</v>
      </c>
      <c r="AR27" s="9">
        <f t="shared" si="107"/>
        <v>0.18</v>
      </c>
      <c r="AS27" s="9">
        <f t="shared" si="107"/>
        <v>0.18000000000000002</v>
      </c>
      <c r="AV27" t="s">
        <v>50</v>
      </c>
      <c r="AW27" s="2">
        <f>NPV(AW26,AJ18:ES18)</f>
        <v>-241.50666016077787</v>
      </c>
    </row>
    <row r="28" spans="2:149" x14ac:dyDescent="0.3">
      <c r="B28" t="s">
        <v>45</v>
      </c>
      <c r="C28" s="9"/>
      <c r="D28" s="9"/>
      <c r="E28" s="9"/>
      <c r="F28" s="9"/>
      <c r="G28" s="9">
        <f t="shared" ref="G28" si="108">G10/C10-1</f>
        <v>0.23746701846965701</v>
      </c>
      <c r="H28" s="9">
        <f t="shared" ref="H28" si="109">H10/D10-1</f>
        <v>0.35768261964735504</v>
      </c>
      <c r="I28" s="9">
        <f t="shared" ref="I28" si="110">I10/E10-1</f>
        <v>0.57941176470588251</v>
      </c>
      <c r="J28" s="9">
        <f t="shared" ref="J28" si="111">J10/F10-1</f>
        <v>0.29894736842105263</v>
      </c>
      <c r="K28" s="9">
        <f t="shared" ref="K28:P28" si="112">K10/G10-1</f>
        <v>0.25799573560767586</v>
      </c>
      <c r="L28" s="9">
        <f t="shared" si="112"/>
        <v>0.30426716141001853</v>
      </c>
      <c r="M28" s="9">
        <f t="shared" si="112"/>
        <v>6.3314711359404141E-2</v>
      </c>
      <c r="N28" s="9">
        <f t="shared" si="112"/>
        <v>-0.1345218800648299</v>
      </c>
      <c r="O28" s="9">
        <f t="shared" si="112"/>
        <v>-5.9322033898305038E-2</v>
      </c>
      <c r="P28" s="9">
        <f t="shared" si="112"/>
        <v>-0.2318634423897582</v>
      </c>
      <c r="Q28" s="9">
        <f t="shared" ref="Q28" si="113">Q10/M10-1</f>
        <v>-9.1068301225919468E-2</v>
      </c>
      <c r="R28" s="9">
        <f t="shared" ref="R28" si="114">R10/N10-1</f>
        <v>5.4307116104868935E-2</v>
      </c>
      <c r="S28" s="9">
        <f t="shared" ref="S28" si="115">S10/O10-1</f>
        <v>-0.29009009009009012</v>
      </c>
      <c r="T28" s="9">
        <f t="shared" ref="T28" si="116">T10/P10-1</f>
        <v>0.11111111111111116</v>
      </c>
      <c r="U28" s="9">
        <f t="shared" ref="U28" si="117">U10/Q10-1</f>
        <v>-0.36030828516377644</v>
      </c>
      <c r="V28" s="9">
        <f t="shared" ref="V28" si="118">V10/R10-1</f>
        <v>-0.20426287744227356</v>
      </c>
      <c r="W28" s="9">
        <f t="shared" ref="W28" si="119">W10/S10-1</f>
        <v>-0.23857868020304562</v>
      </c>
      <c r="X28" s="9">
        <f t="shared" ref="X28" si="120">X10/T10-1</f>
        <v>-0.48333333333333328</v>
      </c>
      <c r="Y28" s="9">
        <f t="shared" ref="Y28" si="121">Y10/U10-1</f>
        <v>-3.6144578313253128E-2</v>
      </c>
      <c r="Z28" s="9">
        <f t="shared" ref="Z28" si="122">Z10/V10-1</f>
        <v>-0.2857142857142857</v>
      </c>
      <c r="AB28" s="9"/>
      <c r="AC28" s="9">
        <f>AC10/AB10-1</f>
        <v>0.25482625482625476</v>
      </c>
      <c r="AD28" s="9">
        <f t="shared" ref="AD28:AS28" si="123">AD10/AC10-1</f>
        <v>0.32615384615384624</v>
      </c>
      <c r="AE28" s="9">
        <f t="shared" si="123"/>
        <v>0.23047177107501926</v>
      </c>
      <c r="AF28" s="9">
        <f t="shared" si="123"/>
        <v>0.35889377749842866</v>
      </c>
      <c r="AG28" s="9">
        <f t="shared" si="123"/>
        <v>0.10915818686401502</v>
      </c>
      <c r="AH28" s="9">
        <f t="shared" si="123"/>
        <v>-9.2160133444537218E-2</v>
      </c>
      <c r="AI28" s="9">
        <f t="shared" si="123"/>
        <v>-0.18511713367018812</v>
      </c>
      <c r="AJ28" s="9">
        <f t="shared" si="123"/>
        <v>-0.29537767756482536</v>
      </c>
      <c r="AK28" s="9">
        <f t="shared" si="123"/>
        <v>-0.19999999999999996</v>
      </c>
      <c r="AL28" s="9">
        <f t="shared" si="123"/>
        <v>2.0000000000000018E-2</v>
      </c>
      <c r="AM28" s="9">
        <f t="shared" si="123"/>
        <v>2.0000000000000018E-2</v>
      </c>
      <c r="AN28" s="9">
        <f t="shared" si="123"/>
        <v>2.0000000000000018E-2</v>
      </c>
      <c r="AO28" s="9">
        <f t="shared" si="123"/>
        <v>1.0000000000000009E-2</v>
      </c>
      <c r="AP28" s="9">
        <f t="shared" si="123"/>
        <v>1.0000000000000009E-2</v>
      </c>
      <c r="AQ28" s="9">
        <f t="shared" si="123"/>
        <v>1.0000000000000009E-2</v>
      </c>
      <c r="AR28" s="9">
        <f t="shared" si="123"/>
        <v>1.0000000000000009E-2</v>
      </c>
      <c r="AS28" s="9">
        <f t="shared" si="123"/>
        <v>1.0000000000000009E-2</v>
      </c>
      <c r="AV28" t="s">
        <v>51</v>
      </c>
      <c r="AW28" s="2">
        <f>Main!D8</f>
        <v>31.40000000000002</v>
      </c>
    </row>
    <row r="29" spans="2:149" x14ac:dyDescent="0.3">
      <c r="B29" t="s">
        <v>46</v>
      </c>
      <c r="C29" s="9">
        <f t="shared" ref="C29:J29" si="124">C13/C5</f>
        <v>8.4677419354838759E-2</v>
      </c>
      <c r="D29" s="9">
        <f t="shared" si="124"/>
        <v>0.17531486146095723</v>
      </c>
      <c r="E29" s="9">
        <f t="shared" si="124"/>
        <v>1.7452006980803454E-3</v>
      </c>
      <c r="F29" s="9">
        <f t="shared" si="124"/>
        <v>0.12626506024096393</v>
      </c>
      <c r="G29" s="9">
        <f t="shared" si="124"/>
        <v>2.6211671612265001E-2</v>
      </c>
      <c r="H29" s="9">
        <f t="shared" si="124"/>
        <v>3.7493579866461284E-2</v>
      </c>
      <c r="I29" s="9">
        <f t="shared" si="124"/>
        <v>-6.9216757741348028E-2</v>
      </c>
      <c r="J29" s="9">
        <f t="shared" si="124"/>
        <v>3.7524366471734703E-2</v>
      </c>
      <c r="K29" s="9">
        <f t="shared" ref="K29:P29" si="125">K13/K5</f>
        <v>-2.3987206823027872E-2</v>
      </c>
      <c r="L29" s="9">
        <f t="shared" si="125"/>
        <v>-0.1022416621104428</v>
      </c>
      <c r="M29" s="9">
        <f t="shared" si="125"/>
        <v>-0.36668777707409739</v>
      </c>
      <c r="N29" s="9">
        <f t="shared" si="125"/>
        <v>7.1276595744680732E-2</v>
      </c>
      <c r="O29" s="9">
        <f t="shared" si="125"/>
        <v>-1.3761467889908289E-2</v>
      </c>
      <c r="P29" s="9">
        <f t="shared" si="125"/>
        <v>-2.9736358062538324</v>
      </c>
      <c r="Q29" s="9">
        <f t="shared" ref="Q29:R29" si="126">Q13/Q5</f>
        <v>-1.6266471449487554</v>
      </c>
      <c r="R29" s="9">
        <f t="shared" si="126"/>
        <v>-0.19024390243902436</v>
      </c>
      <c r="S29" s="9">
        <f t="shared" ref="S29:V29" si="127">S13/S5</f>
        <v>-0.23887973640856672</v>
      </c>
      <c r="T29" s="9">
        <f t="shared" si="127"/>
        <v>-0.34728829686013324</v>
      </c>
      <c r="U29" s="9">
        <f t="shared" si="127"/>
        <v>-0.2213642213642214</v>
      </c>
      <c r="V29" s="9">
        <f t="shared" si="127"/>
        <v>-0.47042640990371393</v>
      </c>
      <c r="W29" s="9">
        <f t="shared" ref="W29:Z29" si="128">W13/W5</f>
        <v>-0.34409836065573784</v>
      </c>
      <c r="X29" s="9">
        <f t="shared" si="128"/>
        <v>-0.36348019723238434</v>
      </c>
      <c r="Y29" s="9">
        <f t="shared" si="128"/>
        <v>-0.42300813008130095</v>
      </c>
      <c r="Z29" s="9">
        <f t="shared" si="128"/>
        <v>-0.43886396879570949</v>
      </c>
      <c r="AB29" s="9">
        <f t="shared" ref="AB29:AS29" si="129">AB13/AB5</f>
        <v>-1.7440049828713691E-2</v>
      </c>
      <c r="AC29" s="9">
        <f t="shared" si="129"/>
        <v>4.3319542467753741E-2</v>
      </c>
      <c r="AD29" s="9">
        <f t="shared" si="129"/>
        <v>8.8157690516839915E-2</v>
      </c>
      <c r="AE29" s="9">
        <f t="shared" si="129"/>
        <v>0.10060543604276687</v>
      </c>
      <c r="AF29" s="9">
        <f t="shared" si="129"/>
        <v>1.1606677099634817E-2</v>
      </c>
      <c r="AG29" s="9">
        <f t="shared" si="129"/>
        <v>-9.4500279173646076E-2</v>
      </c>
      <c r="AH29" s="9">
        <f t="shared" si="129"/>
        <v>-9.6664507772020611E-2</v>
      </c>
      <c r="AI29" s="9">
        <f t="shared" si="129"/>
        <v>-0.31016184664367219</v>
      </c>
      <c r="AJ29" s="9">
        <f t="shared" si="129"/>
        <v>-0.39230579181855013</v>
      </c>
      <c r="AK29" s="9">
        <f t="shared" si="129"/>
        <v>-0.26606103301418571</v>
      </c>
      <c r="AL29" s="9">
        <f t="shared" si="129"/>
        <v>-0.24584488696846479</v>
      </c>
      <c r="AM29" s="9">
        <f t="shared" si="129"/>
        <v>-0.21967515849486396</v>
      </c>
      <c r="AN29" s="9">
        <f t="shared" si="129"/>
        <v>-0.18753082011991856</v>
      </c>
      <c r="AO29" s="9">
        <f t="shared" si="129"/>
        <v>-0.15328996965173922</v>
      </c>
      <c r="AP29" s="9">
        <f t="shared" si="129"/>
        <v>-0.11433862622281565</v>
      </c>
      <c r="AQ29" s="9">
        <f t="shared" si="129"/>
        <v>-8.1521189312313239E-2</v>
      </c>
      <c r="AR29" s="9">
        <f t="shared" si="129"/>
        <v>-4.5801248773450959E-2</v>
      </c>
      <c r="AS29" s="9">
        <f t="shared" si="129"/>
        <v>-8.1858255200405131E-3</v>
      </c>
      <c r="AV29" t="s">
        <v>52</v>
      </c>
      <c r="AW29" s="2">
        <f>AW27+AW28</f>
        <v>-210.10666016077784</v>
      </c>
    </row>
    <row r="30" spans="2:149" x14ac:dyDescent="0.3">
      <c r="B30" t="s">
        <v>38</v>
      </c>
      <c r="C30" s="9">
        <f t="shared" ref="C30:J30" si="130">C17/C16</f>
        <v>-4.4943820224719107E-2</v>
      </c>
      <c r="D30" s="9">
        <f t="shared" si="130"/>
        <v>6.2857142857142848E-2</v>
      </c>
      <c r="E30" s="9">
        <f t="shared" si="130"/>
        <v>9.4594594594594447E-2</v>
      </c>
      <c r="F30" s="9">
        <f t="shared" si="130"/>
        <v>5.4474708171206185E-2</v>
      </c>
      <c r="G30" s="9">
        <f t="shared" si="130"/>
        <v>0.42424242424242503</v>
      </c>
      <c r="H30" s="9">
        <f t="shared" si="130"/>
        <v>1.3333333333333313E-2</v>
      </c>
      <c r="I30" s="9">
        <f t="shared" si="130"/>
        <v>-1.9822274881516595</v>
      </c>
      <c r="J30" s="9">
        <f t="shared" si="130"/>
        <v>0.13636363636363882</v>
      </c>
      <c r="K30" s="9">
        <f t="shared" ref="K30:P30" si="131">K17/K16</f>
        <v>0.66666666666666974</v>
      </c>
      <c r="L30" s="9">
        <f t="shared" si="131"/>
        <v>0.44469525959367939</v>
      </c>
      <c r="M30" s="9">
        <f t="shared" si="131"/>
        <v>-1.1049723756906091E-2</v>
      </c>
      <c r="N30" s="9">
        <f t="shared" si="131"/>
        <v>0.45505617977528151</v>
      </c>
      <c r="O30" s="9">
        <f t="shared" si="131"/>
        <v>1.1818181818181825</v>
      </c>
      <c r="P30" s="9">
        <f t="shared" si="131"/>
        <v>-0.28896782281654826</v>
      </c>
      <c r="Q30" s="9">
        <f t="shared" ref="Q30:R30" si="132">Q17/Q16</f>
        <v>1.2540640966093825E-2</v>
      </c>
      <c r="R30" s="9">
        <f t="shared" si="132"/>
        <v>-1.9047619047619067</v>
      </c>
      <c r="S30" s="9">
        <f t="shared" ref="S30:V30" si="133">S17/S16</f>
        <v>-6.0606060606060608E-2</v>
      </c>
      <c r="T30" s="9">
        <f t="shared" si="133"/>
        <v>-3.4883720930232558E-2</v>
      </c>
      <c r="U30" s="9">
        <f t="shared" si="133"/>
        <v>-0.10759493670886074</v>
      </c>
      <c r="V30" s="9">
        <f t="shared" si="133"/>
        <v>1.8018018018018014E-2</v>
      </c>
      <c r="W30" s="9">
        <f t="shared" ref="W30:Z30" si="134">W17/W16</f>
        <v>0.05</v>
      </c>
      <c r="X30" s="9">
        <f t="shared" si="134"/>
        <v>0.05</v>
      </c>
      <c r="Y30" s="9">
        <f t="shared" si="134"/>
        <v>0.05</v>
      </c>
      <c r="Z30" s="9">
        <f t="shared" si="134"/>
        <v>0.05</v>
      </c>
      <c r="AB30" s="9">
        <f t="shared" ref="AB30:AS30" si="135">AB17/AB16</f>
        <v>-0.10937500000000029</v>
      </c>
      <c r="AC30" s="9">
        <f t="shared" si="135"/>
        <v>-0.37142857142857222</v>
      </c>
      <c r="AD30" s="9">
        <f t="shared" si="135"/>
        <v>-6.749999999999635</v>
      </c>
      <c r="AE30" s="9">
        <f t="shared" si="135"/>
        <v>1.2241379310345013</v>
      </c>
      <c r="AF30" s="9">
        <f t="shared" si="135"/>
        <v>-1.5644230769230771</v>
      </c>
      <c r="AG30" s="9">
        <f t="shared" si="135"/>
        <v>0.64015904572564675</v>
      </c>
      <c r="AH30" s="9">
        <f t="shared" si="135"/>
        <v>-13.396396396396474</v>
      </c>
      <c r="AI30" s="9">
        <f t="shared" si="135"/>
        <v>-3.2999999999999995E-2</v>
      </c>
      <c r="AJ30" s="9">
        <f t="shared" si="135"/>
        <v>5.000000000000001E-2</v>
      </c>
      <c r="AK30" s="9">
        <f t="shared" si="135"/>
        <v>0.15</v>
      </c>
      <c r="AL30" s="9">
        <f t="shared" si="135"/>
        <v>0.15</v>
      </c>
      <c r="AM30" s="9">
        <f t="shared" si="135"/>
        <v>0.15</v>
      </c>
      <c r="AN30" s="9">
        <f t="shared" si="135"/>
        <v>0.15</v>
      </c>
      <c r="AO30" s="9">
        <f t="shared" si="135"/>
        <v>0.15</v>
      </c>
      <c r="AP30" s="9">
        <f t="shared" si="135"/>
        <v>0.15</v>
      </c>
      <c r="AQ30" s="9">
        <f t="shared" si="135"/>
        <v>0.15</v>
      </c>
      <c r="AR30" s="9">
        <f t="shared" si="135"/>
        <v>0.15</v>
      </c>
      <c r="AS30" s="9">
        <f t="shared" si="135"/>
        <v>0.15</v>
      </c>
      <c r="AV30" t="s">
        <v>53</v>
      </c>
      <c r="AW30" s="3">
        <f>AW29/AS19</f>
        <v>-1.9205361989102179</v>
      </c>
    </row>
    <row r="31" spans="2:149" x14ac:dyDescent="0.3">
      <c r="B31" t="s">
        <v>47</v>
      </c>
      <c r="C31" s="9">
        <f t="shared" ref="C31:J31" si="136">C18/C5</f>
        <v>-0.32812499999999994</v>
      </c>
      <c r="D31" s="9">
        <f t="shared" si="136"/>
        <v>0.16523929471032747</v>
      </c>
      <c r="E31" s="9">
        <f t="shared" si="136"/>
        <v>3.8976148923792968E-2</v>
      </c>
      <c r="F31" s="9">
        <f t="shared" si="136"/>
        <v>0.11710843373493984</v>
      </c>
      <c r="G31" s="9">
        <f t="shared" si="136"/>
        <v>2.8189910979228402E-2</v>
      </c>
      <c r="H31" s="9">
        <f t="shared" si="136"/>
        <v>3.8007190549563495E-2</v>
      </c>
      <c r="I31" s="9">
        <f t="shared" si="136"/>
        <v>1.5282331511839709</v>
      </c>
      <c r="J31" s="9">
        <f t="shared" si="136"/>
        <v>9.2592592592590662E-3</v>
      </c>
      <c r="K31" s="9">
        <f t="shared" ref="K31:P31" si="137">K18/K5</f>
        <v>1.1194029850746115E-2</v>
      </c>
      <c r="L31" s="9">
        <f t="shared" si="137"/>
        <v>0.13449972662657192</v>
      </c>
      <c r="M31" s="9">
        <f t="shared" si="137"/>
        <v>-0.11589613679544002</v>
      </c>
      <c r="N31" s="9">
        <f t="shared" si="137"/>
        <v>5.1595744680850937E-2</v>
      </c>
      <c r="O31" s="9">
        <f t="shared" si="137"/>
        <v>-8.027522935779843E-3</v>
      </c>
      <c r="P31" s="9">
        <f t="shared" si="137"/>
        <v>-3.782342121397916</v>
      </c>
      <c r="Q31" s="9">
        <f t="shared" ref="Q31:R31" si="138">Q18/Q5</f>
        <v>-1.5563689604685214</v>
      </c>
      <c r="R31" s="9">
        <f t="shared" si="138"/>
        <v>-4.2508710801393713E-2</v>
      </c>
      <c r="S31" s="9">
        <f t="shared" ref="S31:V31" si="139">S18/S5</f>
        <v>-0.1441515650741351</v>
      </c>
      <c r="T31" s="9">
        <f t="shared" si="139"/>
        <v>-0.33872502378686969</v>
      </c>
      <c r="U31" s="9">
        <f t="shared" si="139"/>
        <v>-0.22522522522522526</v>
      </c>
      <c r="V31" s="9">
        <f t="shared" si="139"/>
        <v>-0.44979367262723524</v>
      </c>
      <c r="W31" s="9">
        <f t="shared" ref="W31:Z31" si="140">W18/W5</f>
        <v>-0.3113196721311477</v>
      </c>
      <c r="X31" s="9">
        <f t="shared" si="140"/>
        <v>-0.33019564180054084</v>
      </c>
      <c r="Y31" s="9">
        <f t="shared" si="140"/>
        <v>-0.38641056910569116</v>
      </c>
      <c r="Z31" s="9">
        <f t="shared" si="140"/>
        <v>-0.40148114740776863</v>
      </c>
      <c r="AB31" s="9">
        <f t="shared" ref="AB31:AS31" si="141">AB18/AB5</f>
        <v>-4.4222983494238442E-2</v>
      </c>
      <c r="AC31" s="9">
        <f t="shared" si="141"/>
        <v>-2.3363348746653651E-2</v>
      </c>
      <c r="AD31" s="9">
        <f t="shared" si="141"/>
        <v>-9.6228465000776729E-3</v>
      </c>
      <c r="AE31" s="9">
        <f t="shared" si="141"/>
        <v>-1.674610331057694E-3</v>
      </c>
      <c r="AF31" s="9">
        <f t="shared" si="141"/>
        <v>0.34780907668231603</v>
      </c>
      <c r="AG31" s="9">
        <f t="shared" si="141"/>
        <v>2.5265214963707351E-2</v>
      </c>
      <c r="AH31" s="9">
        <f t="shared" si="141"/>
        <v>-0.2587435233160621</v>
      </c>
      <c r="AI31" s="9">
        <f t="shared" si="141"/>
        <v>-0.27407800477580269</v>
      </c>
      <c r="AJ31" s="9">
        <f t="shared" si="141"/>
        <v>-0.35729965573106531</v>
      </c>
      <c r="AK31" s="9">
        <f t="shared" si="141"/>
        <v>-0.21213445835601541</v>
      </c>
      <c r="AL31" s="9">
        <f t="shared" si="141"/>
        <v>-0.19481776806973639</v>
      </c>
      <c r="AM31" s="9">
        <f t="shared" si="141"/>
        <v>-0.17256331172095055</v>
      </c>
      <c r="AN31" s="9">
        <f t="shared" si="141"/>
        <v>-0.14535729462449501</v>
      </c>
      <c r="AO31" s="9">
        <f t="shared" si="141"/>
        <v>-0.11649456666328527</v>
      </c>
      <c r="AP31" s="9">
        <f t="shared" si="141"/>
        <v>-8.3746076307957149E-2</v>
      </c>
      <c r="AQ31" s="9">
        <f t="shared" si="141"/>
        <v>-5.6317347253164937E-2</v>
      </c>
      <c r="AR31" s="9">
        <f t="shared" si="141"/>
        <v>-2.6511266909549795E-2</v>
      </c>
      <c r="AS31" s="9">
        <f t="shared" si="141"/>
        <v>4.8348850152994125E-3</v>
      </c>
      <c r="AV31" t="s">
        <v>54</v>
      </c>
      <c r="AW31" s="3">
        <f>Main!D3</f>
        <v>0.7</v>
      </c>
    </row>
    <row r="32" spans="2:149" x14ac:dyDescent="0.3">
      <c r="AV32" s="1" t="s">
        <v>55</v>
      </c>
      <c r="AW32" s="10">
        <f>AW30/AW31-1</f>
        <v>-3.7436231413003114</v>
      </c>
    </row>
    <row r="33" spans="2:49" x14ac:dyDescent="0.3">
      <c r="AV33" t="s">
        <v>56</v>
      </c>
      <c r="AW33" s="6" t="s">
        <v>90</v>
      </c>
    </row>
    <row r="34" spans="2:49" s="1" customFormat="1" x14ac:dyDescent="0.3">
      <c r="B34" s="1" t="s">
        <v>61</v>
      </c>
      <c r="O34" s="8">
        <f>O18</f>
        <v>-1.4000000000000048</v>
      </c>
      <c r="P34" s="8">
        <f t="shared" ref="P34:W34" si="142">P18</f>
        <v>-616.90000000000009</v>
      </c>
      <c r="Q34" s="8">
        <f t="shared" si="142"/>
        <v>-212.6</v>
      </c>
      <c r="R34" s="8">
        <f t="shared" ref="R34" si="143">R18</f>
        <v>-6.0999999999999979</v>
      </c>
      <c r="S34" s="8">
        <f t="shared" si="142"/>
        <v>-17.5</v>
      </c>
      <c r="T34" s="8">
        <f t="shared" si="142"/>
        <v>-35.6</v>
      </c>
      <c r="U34" s="8">
        <f t="shared" si="142"/>
        <v>-17.500000000000004</v>
      </c>
      <c r="V34" s="8">
        <f t="shared" si="142"/>
        <v>-32.700000000000003</v>
      </c>
      <c r="W34" s="8">
        <f t="shared" si="142"/>
        <v>-18.990500000000008</v>
      </c>
      <c r="AF34" s="8">
        <f>AF18</f>
        <v>266.69999999999993</v>
      </c>
      <c r="AG34" s="8">
        <f>AG18</f>
        <v>18.099999999999945</v>
      </c>
      <c r="AH34" s="8">
        <v>-837.1</v>
      </c>
      <c r="AI34" s="8">
        <f>AI18</f>
        <v>-103.30000000000003</v>
      </c>
      <c r="AJ34" s="8">
        <f t="shared" ref="AJ34:AS34" si="144">AJ18</f>
        <v>-88.217285000000018</v>
      </c>
      <c r="AK34" s="8">
        <f t="shared" si="144"/>
        <v>-52.99797600000003</v>
      </c>
      <c r="AL34" s="8">
        <f t="shared" si="144"/>
        <v>-49.660792700000016</v>
      </c>
      <c r="AM34" s="8">
        <f t="shared" si="144"/>
        <v>-45.274976215000045</v>
      </c>
      <c r="AN34" s="8">
        <f t="shared" si="144"/>
        <v>-39.607446311000054</v>
      </c>
      <c r="AO34" s="8">
        <f t="shared" si="144"/>
        <v>-33.268375679717558</v>
      </c>
      <c r="AP34" s="8">
        <f t="shared" si="144"/>
        <v>-25.293604688873781</v>
      </c>
      <c r="AQ34" s="8">
        <f t="shared" si="144"/>
        <v>-18.148974898066768</v>
      </c>
      <c r="AR34" s="8">
        <f t="shared" si="144"/>
        <v>-9.1937520124143877</v>
      </c>
      <c r="AS34" s="8">
        <f t="shared" si="144"/>
        <v>1.8187868451690734</v>
      </c>
    </row>
    <row r="35" spans="2:49" x14ac:dyDescent="0.3">
      <c r="B35" t="s">
        <v>62</v>
      </c>
      <c r="O35" s="2">
        <v>29.3</v>
      </c>
      <c r="P35" s="2">
        <f>P63-O35</f>
        <v>17.999999999999996</v>
      </c>
      <c r="Q35" s="2">
        <f>Q63-P63</f>
        <v>22</v>
      </c>
      <c r="R35" s="2">
        <f>AH35-Q63</f>
        <v>15.299999999999997</v>
      </c>
      <c r="S35" s="2">
        <v>11.3</v>
      </c>
      <c r="T35" s="2">
        <f>T63-S35</f>
        <v>7.8999999999999986</v>
      </c>
      <c r="U35" s="2">
        <f t="shared" ref="U35:U56" si="145">U63-T63</f>
        <v>5.9000000000000021</v>
      </c>
      <c r="V35" s="2">
        <f>AI35-U63</f>
        <v>6.7999999999999972</v>
      </c>
      <c r="W35">
        <v>2.9</v>
      </c>
      <c r="AF35" s="2">
        <v>133.5</v>
      </c>
      <c r="AG35" s="2">
        <v>133.5</v>
      </c>
      <c r="AH35" s="2">
        <v>84.6</v>
      </c>
      <c r="AI35" s="2">
        <v>31.9</v>
      </c>
      <c r="AJ35" s="2">
        <v>20</v>
      </c>
      <c r="AK35" s="2">
        <f>AJ35*1.01</f>
        <v>20.2</v>
      </c>
      <c r="AL35" s="2">
        <f t="shared" ref="AL35:AS36" si="146">AK35*1.01</f>
        <v>20.402000000000001</v>
      </c>
      <c r="AM35" s="2">
        <f t="shared" si="146"/>
        <v>20.606020000000001</v>
      </c>
      <c r="AN35" s="2">
        <f t="shared" si="146"/>
        <v>20.8120802</v>
      </c>
      <c r="AO35" s="2">
        <f t="shared" si="146"/>
        <v>21.020201002</v>
      </c>
      <c r="AP35" s="2">
        <f t="shared" si="146"/>
        <v>21.230403012020002</v>
      </c>
      <c r="AQ35" s="2">
        <f t="shared" si="146"/>
        <v>21.442707042140203</v>
      </c>
      <c r="AR35" s="2">
        <f t="shared" si="146"/>
        <v>21.657134112561604</v>
      </c>
      <c r="AS35" s="2">
        <f t="shared" si="146"/>
        <v>21.873705453687219</v>
      </c>
    </row>
    <row r="36" spans="2:49" x14ac:dyDescent="0.3">
      <c r="B36" t="s">
        <v>63</v>
      </c>
      <c r="O36" s="2">
        <v>19.7</v>
      </c>
      <c r="P36" s="2">
        <f t="shared" ref="P36:P56" si="147">P64-O36</f>
        <v>19.7</v>
      </c>
      <c r="Q36" s="2">
        <f t="shared" ref="Q36:Q58" si="148">Q64-P64</f>
        <v>19.600000000000001</v>
      </c>
      <c r="R36" s="2">
        <f t="shared" ref="R36:R56" si="149">AH36-Q64</f>
        <v>19.299999999999997</v>
      </c>
      <c r="S36" s="2">
        <v>32.1</v>
      </c>
      <c r="T36" s="2">
        <f t="shared" ref="T36:T56" si="150">T64-S36</f>
        <v>16.199999999999996</v>
      </c>
      <c r="U36" s="2">
        <f t="shared" si="145"/>
        <v>15.300000000000004</v>
      </c>
      <c r="V36" s="2">
        <f t="shared" ref="V36:V56" si="151">AI36-U64</f>
        <v>14.999999999999993</v>
      </c>
      <c r="W36">
        <v>14</v>
      </c>
      <c r="AF36" s="2">
        <v>90</v>
      </c>
      <c r="AG36" s="2">
        <v>129.69999999999999</v>
      </c>
      <c r="AH36" s="2">
        <v>78.3</v>
      </c>
      <c r="AI36" s="2">
        <v>78.599999999999994</v>
      </c>
      <c r="AJ36" s="2">
        <v>60</v>
      </c>
      <c r="AK36" s="2">
        <f>AJ36*1.01</f>
        <v>60.6</v>
      </c>
      <c r="AL36" s="2">
        <f t="shared" si="146"/>
        <v>61.206000000000003</v>
      </c>
      <c r="AM36" s="2">
        <f t="shared" si="146"/>
        <v>61.818060000000003</v>
      </c>
      <c r="AN36" s="2">
        <f t="shared" si="146"/>
        <v>62.436240600000005</v>
      </c>
      <c r="AO36" s="2">
        <f t="shared" si="146"/>
        <v>63.060603006000008</v>
      </c>
      <c r="AP36" s="2">
        <f t="shared" si="146"/>
        <v>63.691209036060009</v>
      </c>
      <c r="AQ36" s="2">
        <f t="shared" si="146"/>
        <v>64.328121126420612</v>
      </c>
      <c r="AR36" s="2">
        <f t="shared" si="146"/>
        <v>64.971402337684822</v>
      </c>
      <c r="AS36" s="2">
        <f t="shared" si="146"/>
        <v>65.621116361061667</v>
      </c>
    </row>
    <row r="37" spans="2:49" x14ac:dyDescent="0.3">
      <c r="B37" t="s">
        <v>64</v>
      </c>
      <c r="O37" s="2">
        <v>2.9</v>
      </c>
      <c r="P37" s="2">
        <f t="shared" si="147"/>
        <v>138.1</v>
      </c>
      <c r="Q37" s="2">
        <f t="shared" si="148"/>
        <v>9.9999999999994316E-2</v>
      </c>
      <c r="R37" s="2">
        <f t="shared" si="149"/>
        <v>2.2000000000000171</v>
      </c>
      <c r="S37" s="2">
        <v>0</v>
      </c>
      <c r="T37" s="2">
        <f t="shared" si="150"/>
        <v>0.1</v>
      </c>
      <c r="U37" s="2">
        <f t="shared" si="145"/>
        <v>0.19999999999999998</v>
      </c>
      <c r="V37" s="2">
        <f t="shared" si="151"/>
        <v>0.7</v>
      </c>
      <c r="AF37" s="2">
        <v>-168.9</v>
      </c>
      <c r="AG37" s="2">
        <v>26.6</v>
      </c>
      <c r="AH37" s="2">
        <v>143.30000000000001</v>
      </c>
      <c r="AI37" s="2">
        <v>1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</row>
    <row r="38" spans="2:49" x14ac:dyDescent="0.3">
      <c r="B38" t="s">
        <v>65</v>
      </c>
      <c r="O38" s="2">
        <v>0</v>
      </c>
      <c r="P38" s="2">
        <f t="shared" si="147"/>
        <v>0</v>
      </c>
      <c r="Q38" s="2">
        <f t="shared" si="148"/>
        <v>0</v>
      </c>
      <c r="R38" s="2">
        <f t="shared" si="149"/>
        <v>-19.5</v>
      </c>
      <c r="S38" s="2">
        <v>-7.4</v>
      </c>
      <c r="T38" s="2">
        <f t="shared" si="150"/>
        <v>0</v>
      </c>
      <c r="U38" s="2">
        <f t="shared" si="145"/>
        <v>0</v>
      </c>
      <c r="V38" s="2">
        <f t="shared" si="151"/>
        <v>-0.39999999999999947</v>
      </c>
      <c r="AF38" s="2">
        <v>-93.5</v>
      </c>
      <c r="AG38" s="2">
        <v>-85.9</v>
      </c>
      <c r="AH38" s="2">
        <v>-19.5</v>
      </c>
      <c r="AI38" s="2">
        <v>-7.8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</row>
    <row r="39" spans="2:49" x14ac:dyDescent="0.3">
      <c r="B39" t="s">
        <v>66</v>
      </c>
      <c r="O39" s="2">
        <v>0</v>
      </c>
      <c r="P39" s="2">
        <f t="shared" si="147"/>
        <v>0</v>
      </c>
      <c r="Q39" s="2">
        <f t="shared" si="148"/>
        <v>5.0999999999999996</v>
      </c>
      <c r="R39" s="2">
        <f t="shared" si="149"/>
        <v>-5.0999999999999996</v>
      </c>
      <c r="S39" s="2">
        <v>0</v>
      </c>
      <c r="T39" s="2">
        <f t="shared" si="150"/>
        <v>7.5</v>
      </c>
      <c r="U39" s="2">
        <f t="shared" si="145"/>
        <v>-7.5</v>
      </c>
      <c r="V39" s="2">
        <f t="shared" si="151"/>
        <v>0</v>
      </c>
      <c r="AF39" s="2">
        <v>0</v>
      </c>
      <c r="AG39" s="2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</row>
    <row r="40" spans="2:49" x14ac:dyDescent="0.3">
      <c r="B40" t="s">
        <v>67</v>
      </c>
      <c r="O40" s="2">
        <v>0</v>
      </c>
      <c r="P40" s="2">
        <f t="shared" si="147"/>
        <v>481.5</v>
      </c>
      <c r="Q40" s="2">
        <f t="shared" si="148"/>
        <v>195.70000000000005</v>
      </c>
      <c r="R40" s="2">
        <f t="shared" si="149"/>
        <v>0</v>
      </c>
      <c r="S40" s="2">
        <v>0</v>
      </c>
      <c r="T40" s="2">
        <f t="shared" si="150"/>
        <v>2</v>
      </c>
      <c r="U40" s="2">
        <f t="shared" si="145"/>
        <v>0</v>
      </c>
      <c r="V40" s="2">
        <f t="shared" si="151"/>
        <v>0</v>
      </c>
      <c r="AF40" s="2">
        <v>0</v>
      </c>
      <c r="AG40" s="2">
        <v>3.6</v>
      </c>
      <c r="AH40" s="2">
        <v>677.2</v>
      </c>
      <c r="AI40" s="2">
        <v>2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</row>
    <row r="41" spans="2:49" x14ac:dyDescent="0.3">
      <c r="B41" t="s">
        <v>68</v>
      </c>
      <c r="O41" s="2">
        <v>0.5</v>
      </c>
      <c r="P41" s="2">
        <f t="shared" si="147"/>
        <v>1.2</v>
      </c>
      <c r="Q41" s="2">
        <f t="shared" si="148"/>
        <v>0.30000000000000004</v>
      </c>
      <c r="R41" s="2">
        <f t="shared" si="149"/>
        <v>3.8</v>
      </c>
      <c r="S41" s="2">
        <v>2.2999999999999998</v>
      </c>
      <c r="T41" s="2">
        <f t="shared" si="150"/>
        <v>-1.6999999999999997</v>
      </c>
      <c r="U41" s="2">
        <f t="shared" si="145"/>
        <v>0.20000000000000007</v>
      </c>
      <c r="V41" s="2">
        <f t="shared" si="151"/>
        <v>1.2</v>
      </c>
      <c r="AF41" s="2">
        <v>3.5</v>
      </c>
      <c r="AG41" s="2">
        <v>4.0999999999999996</v>
      </c>
      <c r="AH41" s="2">
        <v>5.8</v>
      </c>
      <c r="AI41" s="2">
        <v>2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</row>
    <row r="42" spans="2:49" x14ac:dyDescent="0.3">
      <c r="B42" t="s">
        <v>69</v>
      </c>
      <c r="O42" s="2">
        <v>0.5</v>
      </c>
      <c r="P42" s="2">
        <f t="shared" si="147"/>
        <v>0.60000000000000009</v>
      </c>
      <c r="Q42" s="2">
        <f t="shared" si="148"/>
        <v>0.5</v>
      </c>
      <c r="R42" s="2">
        <f t="shared" si="149"/>
        <v>0.5</v>
      </c>
      <c r="S42" s="2">
        <v>0.4</v>
      </c>
      <c r="T42" s="2">
        <f t="shared" si="150"/>
        <v>0</v>
      </c>
      <c r="U42" s="2">
        <f t="shared" si="145"/>
        <v>9.9999999999999978E-2</v>
      </c>
      <c r="V42" s="2">
        <f t="shared" si="151"/>
        <v>0</v>
      </c>
      <c r="AF42" s="2">
        <v>5.2</v>
      </c>
      <c r="AG42" s="2">
        <v>3.2</v>
      </c>
      <c r="AH42" s="2">
        <v>2.1</v>
      </c>
      <c r="AI42" s="2">
        <v>0.5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</row>
    <row r="43" spans="2:49" x14ac:dyDescent="0.3">
      <c r="B43" t="s">
        <v>70</v>
      </c>
      <c r="O43" s="2">
        <v>1.6</v>
      </c>
      <c r="P43" s="2">
        <f t="shared" si="147"/>
        <v>1.5</v>
      </c>
      <c r="Q43" s="2">
        <f t="shared" si="148"/>
        <v>1.4999999999999996</v>
      </c>
      <c r="R43" s="2">
        <f t="shared" si="149"/>
        <v>1.3000000000000007</v>
      </c>
      <c r="S43" s="2">
        <v>1.1000000000000001</v>
      </c>
      <c r="T43" s="2">
        <f t="shared" si="150"/>
        <v>0.89999999999999991</v>
      </c>
      <c r="U43" s="2">
        <f t="shared" si="145"/>
        <v>0.89999999999999991</v>
      </c>
      <c r="V43" s="2">
        <f t="shared" si="151"/>
        <v>0.70000000000000018</v>
      </c>
      <c r="AF43" s="2">
        <v>6.3</v>
      </c>
      <c r="AG43" s="2">
        <v>6.1</v>
      </c>
      <c r="AH43" s="2">
        <v>5.9</v>
      </c>
      <c r="AI43" s="2">
        <v>3.6</v>
      </c>
      <c r="AJ43" s="2">
        <v>5.9</v>
      </c>
      <c r="AK43" s="2">
        <v>5.9</v>
      </c>
      <c r="AL43" s="2">
        <v>5.9</v>
      </c>
      <c r="AM43" s="2">
        <v>5.9</v>
      </c>
      <c r="AN43" s="2">
        <v>5.9</v>
      </c>
      <c r="AO43" s="2">
        <v>5.9</v>
      </c>
      <c r="AP43" s="2">
        <v>5.9</v>
      </c>
      <c r="AQ43" s="2">
        <v>5.9</v>
      </c>
      <c r="AR43" s="2">
        <v>5.9</v>
      </c>
      <c r="AS43" s="2">
        <v>5.9</v>
      </c>
    </row>
    <row r="44" spans="2:49" x14ac:dyDescent="0.3">
      <c r="B44" t="s">
        <v>71</v>
      </c>
      <c r="O44" s="2">
        <v>0</v>
      </c>
      <c r="P44" s="2">
        <f t="shared" si="147"/>
        <v>0</v>
      </c>
      <c r="Q44" s="2">
        <f t="shared" si="148"/>
        <v>0</v>
      </c>
      <c r="R44" s="2">
        <f t="shared" si="149"/>
        <v>0</v>
      </c>
      <c r="S44" s="2">
        <v>0</v>
      </c>
      <c r="T44" s="2">
        <f t="shared" si="150"/>
        <v>0</v>
      </c>
      <c r="U44" s="2">
        <f t="shared" si="145"/>
        <v>0</v>
      </c>
      <c r="V44" s="2">
        <f t="shared" si="151"/>
        <v>0</v>
      </c>
      <c r="AF44" s="2">
        <v>9.6999999999999993</v>
      </c>
      <c r="AG44" s="2">
        <v>2.1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</row>
    <row r="45" spans="2:49" x14ac:dyDescent="0.3">
      <c r="B45" t="s">
        <v>72</v>
      </c>
      <c r="O45" s="2">
        <v>0</v>
      </c>
      <c r="P45" s="2">
        <f t="shared" si="147"/>
        <v>0</v>
      </c>
      <c r="Q45" s="2">
        <f t="shared" si="148"/>
        <v>0</v>
      </c>
      <c r="R45" s="2">
        <f t="shared" si="149"/>
        <v>0</v>
      </c>
      <c r="S45" s="2">
        <v>-0.8</v>
      </c>
      <c r="T45" s="2">
        <f t="shared" si="150"/>
        <v>0</v>
      </c>
      <c r="U45" s="2">
        <f t="shared" si="145"/>
        <v>0</v>
      </c>
      <c r="V45" s="2">
        <f t="shared" si="151"/>
        <v>0</v>
      </c>
      <c r="AF45" s="2">
        <v>-5</v>
      </c>
      <c r="AG45" s="2">
        <v>0</v>
      </c>
      <c r="AH45" s="2">
        <v>0</v>
      </c>
      <c r="AI45" s="2">
        <v>-0.8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</row>
    <row r="46" spans="2:49" x14ac:dyDescent="0.3">
      <c r="B46" t="s">
        <v>73</v>
      </c>
      <c r="O46" s="2">
        <v>0</v>
      </c>
      <c r="P46" s="2">
        <f t="shared" si="147"/>
        <v>2.2000000000000002</v>
      </c>
      <c r="Q46" s="2">
        <f t="shared" si="148"/>
        <v>0</v>
      </c>
      <c r="R46" s="2">
        <f t="shared" si="149"/>
        <v>-2.2000000000000002</v>
      </c>
      <c r="S46" s="2">
        <v>0</v>
      </c>
      <c r="T46" s="2">
        <f t="shared" si="150"/>
        <v>3</v>
      </c>
      <c r="U46" s="2">
        <f t="shared" si="145"/>
        <v>0</v>
      </c>
      <c r="V46" s="2">
        <f t="shared" si="151"/>
        <v>4.3</v>
      </c>
      <c r="AF46" s="2">
        <v>1.6</v>
      </c>
      <c r="AG46" s="2">
        <v>0</v>
      </c>
      <c r="AH46" s="2">
        <v>0</v>
      </c>
      <c r="AI46" s="2">
        <v>7.3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</row>
    <row r="47" spans="2:49" x14ac:dyDescent="0.3">
      <c r="B47" t="s">
        <v>74</v>
      </c>
      <c r="O47" s="2">
        <v>0</v>
      </c>
      <c r="P47" s="2">
        <f t="shared" si="147"/>
        <v>0</v>
      </c>
      <c r="Q47" s="2">
        <f t="shared" si="148"/>
        <v>0</v>
      </c>
      <c r="R47" s="2">
        <f t="shared" si="149"/>
        <v>0</v>
      </c>
      <c r="S47" s="2">
        <v>0</v>
      </c>
      <c r="T47" s="2">
        <f t="shared" si="150"/>
        <v>0</v>
      </c>
      <c r="U47" s="2">
        <f t="shared" si="145"/>
        <v>0</v>
      </c>
      <c r="V47" s="2">
        <f t="shared" si="151"/>
        <v>0</v>
      </c>
      <c r="AF47" s="2">
        <v>-4.5999999999999996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</row>
    <row r="48" spans="2:49" x14ac:dyDescent="0.3">
      <c r="B48" t="s">
        <v>67</v>
      </c>
      <c r="O48" s="2">
        <v>0</v>
      </c>
      <c r="P48" s="2">
        <f t="shared" si="147"/>
        <v>0</v>
      </c>
      <c r="Q48" s="2">
        <f t="shared" si="148"/>
        <v>0</v>
      </c>
      <c r="R48" s="2">
        <f t="shared" si="149"/>
        <v>5.6</v>
      </c>
      <c r="S48" s="2">
        <v>0</v>
      </c>
      <c r="T48" s="2">
        <f t="shared" si="150"/>
        <v>6</v>
      </c>
      <c r="U48" s="2">
        <f t="shared" si="145"/>
        <v>0</v>
      </c>
      <c r="V48" s="2">
        <f t="shared" si="151"/>
        <v>0</v>
      </c>
      <c r="AF48" s="2">
        <v>5.2</v>
      </c>
      <c r="AG48" s="2">
        <v>0</v>
      </c>
      <c r="AH48" s="2">
        <v>5.6</v>
      </c>
      <c r="AI48" s="2">
        <v>6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</row>
    <row r="49" spans="2:154" x14ac:dyDescent="0.3">
      <c r="B49" t="s">
        <v>75</v>
      </c>
      <c r="O49" s="2">
        <v>0</v>
      </c>
      <c r="P49" s="2">
        <f t="shared" si="147"/>
        <v>0.1</v>
      </c>
      <c r="Q49" s="2">
        <f t="shared" si="148"/>
        <v>0.1</v>
      </c>
      <c r="R49" s="2">
        <f t="shared" si="149"/>
        <v>0.49999999999999994</v>
      </c>
      <c r="S49" s="2">
        <v>0</v>
      </c>
      <c r="T49" s="2">
        <f t="shared" si="150"/>
        <v>0.3</v>
      </c>
      <c r="U49" s="2">
        <f t="shared" si="145"/>
        <v>0.7</v>
      </c>
      <c r="V49" s="2">
        <f t="shared" si="151"/>
        <v>0.39999999999999991</v>
      </c>
      <c r="AF49" s="2">
        <v>0.4</v>
      </c>
      <c r="AG49" s="2">
        <v>-1.2</v>
      </c>
      <c r="AH49" s="2">
        <v>0.7</v>
      </c>
      <c r="AI49" s="2">
        <v>1.4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</row>
    <row r="50" spans="2:154" x14ac:dyDescent="0.3">
      <c r="B50" t="s">
        <v>76</v>
      </c>
      <c r="O50" s="2">
        <v>6.7</v>
      </c>
      <c r="P50" s="2">
        <f t="shared" si="147"/>
        <v>3.8999999999999995</v>
      </c>
      <c r="Q50" s="2">
        <f t="shared" si="148"/>
        <v>-2.5999999999999996</v>
      </c>
      <c r="R50" s="2">
        <f t="shared" si="149"/>
        <v>-0.20000000000000018</v>
      </c>
      <c r="S50" s="2">
        <v>-4.7</v>
      </c>
      <c r="T50" s="2">
        <f t="shared" si="150"/>
        <v>10.8</v>
      </c>
      <c r="U50" s="2">
        <f t="shared" si="145"/>
        <v>2.5</v>
      </c>
      <c r="V50" s="2">
        <f t="shared" si="151"/>
        <v>-0.19999999999999929</v>
      </c>
      <c r="AF50" s="2">
        <v>-3.8</v>
      </c>
      <c r="AG50" s="2">
        <v>-7.8</v>
      </c>
      <c r="AH50" s="2">
        <v>7.8</v>
      </c>
      <c r="AI50" s="2">
        <v>8.4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</row>
    <row r="51" spans="2:154" x14ac:dyDescent="0.3">
      <c r="B51" t="s">
        <v>77</v>
      </c>
      <c r="O51" s="2">
        <v>3.6</v>
      </c>
      <c r="P51" s="2">
        <f t="shared" si="147"/>
        <v>-15.799999999999999</v>
      </c>
      <c r="Q51" s="2">
        <f t="shared" si="148"/>
        <v>-43.5</v>
      </c>
      <c r="R51" s="2">
        <f t="shared" si="149"/>
        <v>14</v>
      </c>
      <c r="S51" s="2">
        <v>5.9</v>
      </c>
      <c r="T51" s="2">
        <f t="shared" si="150"/>
        <v>-6.8000000000000007</v>
      </c>
      <c r="U51" s="2">
        <f t="shared" si="145"/>
        <v>8.6999999999999993</v>
      </c>
      <c r="V51" s="2">
        <f t="shared" si="151"/>
        <v>59.8</v>
      </c>
      <c r="AF51" s="2">
        <v>17.2</v>
      </c>
      <c r="AG51" s="2">
        <v>3.5</v>
      </c>
      <c r="AH51" s="2">
        <v>-41.7</v>
      </c>
      <c r="AI51" s="2">
        <v>67.599999999999994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</row>
    <row r="52" spans="2:154" x14ac:dyDescent="0.3">
      <c r="B52" t="s">
        <v>78</v>
      </c>
      <c r="O52" s="2">
        <v>-1.3</v>
      </c>
      <c r="P52" s="2">
        <f t="shared" si="147"/>
        <v>0.5</v>
      </c>
      <c r="Q52" s="2">
        <f t="shared" si="148"/>
        <v>0.30000000000000004</v>
      </c>
      <c r="R52" s="2">
        <f t="shared" si="149"/>
        <v>1.6</v>
      </c>
      <c r="S52" s="2">
        <v>0.5</v>
      </c>
      <c r="T52" s="2">
        <f t="shared" si="150"/>
        <v>0.4</v>
      </c>
      <c r="U52" s="2">
        <f t="shared" si="145"/>
        <v>0.4</v>
      </c>
      <c r="V52" s="2">
        <f t="shared" si="151"/>
        <v>-0.9</v>
      </c>
      <c r="AF52" s="2">
        <v>14.6</v>
      </c>
      <c r="AG52" s="2">
        <v>10.8</v>
      </c>
      <c r="AH52" s="2">
        <v>1.1000000000000001</v>
      </c>
      <c r="AI52" s="2">
        <v>0.4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</row>
    <row r="53" spans="2:154" x14ac:dyDescent="0.3">
      <c r="B53" t="s">
        <v>79</v>
      </c>
      <c r="O53" s="2">
        <v>-6.6</v>
      </c>
      <c r="P53" s="2">
        <f t="shared" si="147"/>
        <v>-5.4</v>
      </c>
      <c r="Q53" s="2">
        <f t="shared" si="148"/>
        <v>3.6999999999999993</v>
      </c>
      <c r="R53" s="2">
        <f t="shared" si="149"/>
        <v>-4.0999999999999996</v>
      </c>
      <c r="S53" s="2">
        <v>1.5</v>
      </c>
      <c r="T53" s="2">
        <f t="shared" si="150"/>
        <v>-7.5</v>
      </c>
      <c r="U53" s="2">
        <f t="shared" si="145"/>
        <v>1</v>
      </c>
      <c r="V53" s="2">
        <f t="shared" si="151"/>
        <v>-4.6999999999999993</v>
      </c>
      <c r="AF53" s="2">
        <v>-4.0999999999999996</v>
      </c>
      <c r="AG53" s="2">
        <v>13.1</v>
      </c>
      <c r="AH53" s="2">
        <v>-12.4</v>
      </c>
      <c r="AI53" s="2">
        <v>-9.6999999999999993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</row>
    <row r="54" spans="2:154" x14ac:dyDescent="0.3">
      <c r="B54" t="s">
        <v>80</v>
      </c>
      <c r="O54" s="2">
        <v>-1.2</v>
      </c>
      <c r="P54" s="2">
        <f t="shared" si="147"/>
        <v>-9</v>
      </c>
      <c r="Q54" s="2">
        <f t="shared" si="148"/>
        <v>-1.6000000000000014</v>
      </c>
      <c r="R54" s="2">
        <f t="shared" si="149"/>
        <v>-4.0999999999999996</v>
      </c>
      <c r="S54" s="2">
        <v>5.4</v>
      </c>
      <c r="T54" s="2">
        <f t="shared" si="150"/>
        <v>-11.3</v>
      </c>
      <c r="U54" s="2">
        <f t="shared" si="145"/>
        <v>-2.2999999999999989</v>
      </c>
      <c r="V54" s="2">
        <f t="shared" si="151"/>
        <v>-2.5</v>
      </c>
      <c r="AF54" s="2">
        <v>7.5</v>
      </c>
      <c r="AG54" s="2">
        <v>-1.6</v>
      </c>
      <c r="AH54" s="2">
        <v>-15.9</v>
      </c>
      <c r="AI54" s="2">
        <v>-10.7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</row>
    <row r="55" spans="2:154" x14ac:dyDescent="0.3">
      <c r="B55" t="s">
        <v>81</v>
      </c>
      <c r="O55" s="2">
        <v>0.6</v>
      </c>
      <c r="P55" s="2">
        <f t="shared" si="147"/>
        <v>-4.6999999999999993</v>
      </c>
      <c r="Q55" s="2">
        <f t="shared" si="148"/>
        <v>50.9</v>
      </c>
      <c r="R55" s="2">
        <f t="shared" si="149"/>
        <v>0.30000000000000426</v>
      </c>
      <c r="S55" s="2">
        <v>-4.9000000000000004</v>
      </c>
      <c r="T55" s="2">
        <f t="shared" si="150"/>
        <v>3.8000000000000003</v>
      </c>
      <c r="U55" s="2">
        <f t="shared" si="145"/>
        <v>-2.1999999999999997</v>
      </c>
      <c r="V55" s="2">
        <f t="shared" si="151"/>
        <v>-57.6</v>
      </c>
      <c r="AF55" s="2">
        <v>-20.100000000000001</v>
      </c>
      <c r="AG55" s="2">
        <v>-7.3</v>
      </c>
      <c r="AH55" s="2">
        <v>47.1</v>
      </c>
      <c r="AI55" s="2">
        <v>-60.9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</row>
    <row r="56" spans="2:154" x14ac:dyDescent="0.3">
      <c r="B56" t="s">
        <v>82</v>
      </c>
      <c r="O56" s="2">
        <v>-1.6</v>
      </c>
      <c r="P56" s="2">
        <f t="shared" si="147"/>
        <v>-1.2999999999999998</v>
      </c>
      <c r="Q56" s="2">
        <f t="shared" si="148"/>
        <v>-0.10000000000000009</v>
      </c>
      <c r="R56" s="2">
        <f t="shared" si="149"/>
        <v>-4.8</v>
      </c>
      <c r="S56" s="2">
        <v>-0.8</v>
      </c>
      <c r="T56" s="2">
        <f t="shared" si="150"/>
        <v>-0.7</v>
      </c>
      <c r="U56" s="2">
        <f t="shared" si="145"/>
        <v>-1.7999999999999998</v>
      </c>
      <c r="V56" s="2">
        <f t="shared" si="151"/>
        <v>1.2999999999999998</v>
      </c>
      <c r="AF56" s="2">
        <v>-5.8</v>
      </c>
      <c r="AG56" s="2">
        <v>-11.3</v>
      </c>
      <c r="AH56" s="2">
        <v>-7.8</v>
      </c>
      <c r="AI56" s="2">
        <v>-2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</row>
    <row r="57" spans="2:154" s="1" customFormat="1" x14ac:dyDescent="0.3">
      <c r="B57" s="1" t="s">
        <v>83</v>
      </c>
      <c r="O57" s="8">
        <f t="shared" ref="O57:V57" si="152">O34+SUM(O35:O56)</f>
        <v>53.29999999999999</v>
      </c>
      <c r="P57" s="8">
        <f t="shared" si="152"/>
        <v>14.200000000000045</v>
      </c>
      <c r="Q57" s="8">
        <f t="shared" si="152"/>
        <v>39.400000000000091</v>
      </c>
      <c r="R57" s="8">
        <f t="shared" si="152"/>
        <v>18.300000000000018</v>
      </c>
      <c r="S57" s="8">
        <f t="shared" si="152"/>
        <v>24.400000000000006</v>
      </c>
      <c r="T57" s="8">
        <f t="shared" si="152"/>
        <v>-4.6999999999999993</v>
      </c>
      <c r="U57" s="8">
        <f t="shared" si="152"/>
        <v>4.5999999999999979</v>
      </c>
      <c r="V57" s="8">
        <f t="shared" si="152"/>
        <v>-8.8000000000000291</v>
      </c>
      <c r="AF57" s="8">
        <f>AF34+SUM(AF35:AF56)</f>
        <v>255.59999999999991</v>
      </c>
      <c r="AG57" s="8">
        <f>AG34+SUM(AG35:AG56)</f>
        <v>246.2999999999999</v>
      </c>
      <c r="AH57" s="8">
        <f>AH34+SUM(AH35:AH56)</f>
        <v>125.10000000000014</v>
      </c>
      <c r="AI57" s="8">
        <f>AI34+SUM(AI35:AI56)</f>
        <v>15.499999999999986</v>
      </c>
      <c r="AJ57" s="8">
        <f t="shared" ref="AJ57:AS57" si="153">AJ34+SUM(AJ35:AJ56)</f>
        <v>-2.3172850000000125</v>
      </c>
      <c r="AK57" s="8">
        <f t="shared" si="153"/>
        <v>33.702023999999973</v>
      </c>
      <c r="AL57" s="8">
        <f t="shared" si="153"/>
        <v>37.847207299999994</v>
      </c>
      <c r="AM57" s="8">
        <f t="shared" si="153"/>
        <v>43.049103784999964</v>
      </c>
      <c r="AN57" s="8">
        <f t="shared" si="153"/>
        <v>49.540874488999954</v>
      </c>
      <c r="AO57" s="8">
        <f t="shared" si="153"/>
        <v>56.712428328282449</v>
      </c>
      <c r="AP57" s="8">
        <f t="shared" si="153"/>
        <v>65.528007359206228</v>
      </c>
      <c r="AQ57" s="8">
        <f t="shared" si="153"/>
        <v>73.521853270494049</v>
      </c>
      <c r="AR57" s="8">
        <f t="shared" si="153"/>
        <v>83.334784437832042</v>
      </c>
      <c r="AS57" s="8">
        <f t="shared" si="153"/>
        <v>95.213608659917966</v>
      </c>
    </row>
    <row r="58" spans="2:154" x14ac:dyDescent="0.3">
      <c r="B58" t="s">
        <v>68</v>
      </c>
      <c r="O58" s="2">
        <v>28</v>
      </c>
      <c r="P58" s="2">
        <f>P86-O58</f>
        <v>17.799999999999997</v>
      </c>
      <c r="Q58" s="2">
        <f t="shared" si="148"/>
        <v>15.900000000000006</v>
      </c>
      <c r="R58" s="2">
        <f>AH58-Q86</f>
        <v>13.299999999999997</v>
      </c>
      <c r="S58" s="2">
        <v>8.6999999999999993</v>
      </c>
      <c r="T58" s="2">
        <f>T86-S58</f>
        <v>7.2000000000000011</v>
      </c>
      <c r="U58" s="2">
        <f t="shared" ref="U58" si="154">U86-T86</f>
        <v>5.7999999999999989</v>
      </c>
      <c r="V58" s="2">
        <f>AI58-U86</f>
        <v>6.4000000000000021</v>
      </c>
      <c r="AF58" s="2">
        <v>103.1</v>
      </c>
      <c r="AG58" s="2">
        <v>83.1</v>
      </c>
      <c r="AH58" s="2">
        <v>75</v>
      </c>
      <c r="AI58" s="2">
        <v>28.1</v>
      </c>
      <c r="AJ58" s="2">
        <f>AI58*0.4</f>
        <v>11.240000000000002</v>
      </c>
      <c r="AK58" s="2">
        <f>AJ58*1.2</f>
        <v>13.488000000000001</v>
      </c>
      <c r="AL58" s="2">
        <f t="shared" ref="AL58:AM58" si="155">AK58*1.2</f>
        <v>16.185600000000001</v>
      </c>
      <c r="AM58" s="2">
        <f t="shared" si="155"/>
        <v>19.422720000000002</v>
      </c>
      <c r="AN58" s="2">
        <f>AM58*1.1</f>
        <v>21.364992000000004</v>
      </c>
      <c r="AO58" s="2">
        <f>AN58*1.05</f>
        <v>22.433241600000006</v>
      </c>
      <c r="AP58" s="2">
        <f t="shared" ref="AP58:AS58" si="156">AO58*1.05</f>
        <v>23.554903680000006</v>
      </c>
      <c r="AQ58" s="2">
        <f t="shared" si="156"/>
        <v>24.732648864000009</v>
      </c>
      <c r="AR58" s="2">
        <f t="shared" si="156"/>
        <v>25.96928130720001</v>
      </c>
      <c r="AS58" s="2">
        <f t="shared" si="156"/>
        <v>27.267745372560011</v>
      </c>
    </row>
    <row r="59" spans="2:154" s="1" customFormat="1" x14ac:dyDescent="0.3">
      <c r="B59" s="1" t="s">
        <v>84</v>
      </c>
      <c r="O59" s="8">
        <f t="shared" ref="O59:V59" si="157">O57-O58</f>
        <v>25.29999999999999</v>
      </c>
      <c r="P59" s="8">
        <f t="shared" si="157"/>
        <v>-3.5999999999999517</v>
      </c>
      <c r="Q59" s="8">
        <f t="shared" si="157"/>
        <v>23.500000000000085</v>
      </c>
      <c r="R59" s="8">
        <f t="shared" si="157"/>
        <v>5.0000000000000213</v>
      </c>
      <c r="S59" s="8">
        <f t="shared" si="157"/>
        <v>15.700000000000006</v>
      </c>
      <c r="T59" s="8">
        <f t="shared" si="157"/>
        <v>-11.9</v>
      </c>
      <c r="U59" s="8">
        <f t="shared" si="157"/>
        <v>-1.2000000000000011</v>
      </c>
      <c r="V59" s="8">
        <f t="shared" si="157"/>
        <v>-15.200000000000031</v>
      </c>
      <c r="AF59" s="8">
        <f>AF57-AF58</f>
        <v>152.49999999999991</v>
      </c>
      <c r="AG59" s="8">
        <f>AG57-AG58</f>
        <v>163.1999999999999</v>
      </c>
      <c r="AH59" s="8">
        <f>AH57-AH58</f>
        <v>50.100000000000136</v>
      </c>
      <c r="AI59" s="8">
        <f>AI57-AI58</f>
        <v>-12.600000000000016</v>
      </c>
      <c r="AJ59" s="8">
        <f t="shared" ref="AJ59:AS59" si="158">AJ57-AJ58</f>
        <v>-13.557285000000014</v>
      </c>
      <c r="AK59" s="8">
        <f t="shared" si="158"/>
        <v>20.214023999999974</v>
      </c>
      <c r="AL59" s="8">
        <f t="shared" si="158"/>
        <v>21.661607299999993</v>
      </c>
      <c r="AM59" s="8">
        <f t="shared" si="158"/>
        <v>23.626383784999963</v>
      </c>
      <c r="AN59" s="8">
        <f t="shared" si="158"/>
        <v>28.17588248899995</v>
      </c>
      <c r="AO59" s="8">
        <f t="shared" si="158"/>
        <v>34.27918672828244</v>
      </c>
      <c r="AP59" s="8">
        <f t="shared" si="158"/>
        <v>41.973103679206218</v>
      </c>
      <c r="AQ59" s="8">
        <f t="shared" si="158"/>
        <v>48.789204406494036</v>
      </c>
      <c r="AR59" s="8">
        <f t="shared" si="158"/>
        <v>57.365503130632035</v>
      </c>
      <c r="AS59" s="8">
        <f t="shared" si="158"/>
        <v>67.945863287357952</v>
      </c>
      <c r="AT59" s="1">
        <f>AS59*(1+$AW$25)</f>
        <v>67.266404654484376</v>
      </c>
      <c r="AU59" s="1">
        <f t="shared" ref="AU59:DF59" si="159">AT59*(1+$AW$25)</f>
        <v>66.593740607939537</v>
      </c>
      <c r="AV59" s="1">
        <f t="shared" si="159"/>
        <v>65.927803201860144</v>
      </c>
      <c r="AW59" s="1">
        <f t="shared" si="159"/>
        <v>65.268525169841539</v>
      </c>
      <c r="AX59" s="1">
        <f t="shared" si="159"/>
        <v>64.615839918143124</v>
      </c>
      <c r="AY59" s="1">
        <f t="shared" si="159"/>
        <v>63.969681518961693</v>
      </c>
      <c r="AZ59" s="1">
        <f t="shared" si="159"/>
        <v>63.329984703772077</v>
      </c>
      <c r="BA59" s="1">
        <f t="shared" si="159"/>
        <v>62.696684856734358</v>
      </c>
      <c r="BB59" s="1">
        <f t="shared" si="159"/>
        <v>62.069718008167015</v>
      </c>
      <c r="BC59" s="1">
        <f t="shared" si="159"/>
        <v>61.449020828085345</v>
      </c>
      <c r="BD59" s="1">
        <f t="shared" si="159"/>
        <v>60.83453061980449</v>
      </c>
      <c r="BE59" s="1">
        <f t="shared" si="159"/>
        <v>60.226185313606443</v>
      </c>
      <c r="BF59" s="1">
        <f t="shared" si="159"/>
        <v>59.62392346047038</v>
      </c>
      <c r="BG59" s="1">
        <f t="shared" si="159"/>
        <v>59.027684225865677</v>
      </c>
      <c r="BH59" s="1">
        <f t="shared" si="159"/>
        <v>58.437407383607017</v>
      </c>
      <c r="BI59" s="1">
        <f t="shared" si="159"/>
        <v>57.853033309770943</v>
      </c>
      <c r="BJ59" s="1">
        <f t="shared" si="159"/>
        <v>57.274502976673233</v>
      </c>
      <c r="BK59" s="1">
        <f t="shared" si="159"/>
        <v>56.701757946906497</v>
      </c>
      <c r="BL59" s="1">
        <f t="shared" si="159"/>
        <v>56.134740367437431</v>
      </c>
      <c r="BM59" s="1">
        <f t="shared" si="159"/>
        <v>55.573392963763055</v>
      </c>
      <c r="BN59" s="1">
        <f t="shared" si="159"/>
        <v>55.017659034125423</v>
      </c>
      <c r="BO59" s="1">
        <f t="shared" si="159"/>
        <v>54.467482443784171</v>
      </c>
      <c r="BP59" s="1">
        <f t="shared" si="159"/>
        <v>53.922807619346329</v>
      </c>
      <c r="BQ59" s="1">
        <f t="shared" si="159"/>
        <v>53.383579543152862</v>
      </c>
      <c r="BR59" s="1">
        <f t="shared" si="159"/>
        <v>52.849743747721334</v>
      </c>
      <c r="BS59" s="1">
        <f t="shared" si="159"/>
        <v>52.321246310244121</v>
      </c>
      <c r="BT59" s="1">
        <f t="shared" si="159"/>
        <v>51.798033847141681</v>
      </c>
      <c r="BU59" s="1">
        <f t="shared" si="159"/>
        <v>51.280053508670264</v>
      </c>
      <c r="BV59" s="1">
        <f t="shared" si="159"/>
        <v>50.76725297358356</v>
      </c>
      <c r="BW59" s="1">
        <f t="shared" si="159"/>
        <v>50.259580443847724</v>
      </c>
      <c r="BX59" s="1">
        <f t="shared" si="159"/>
        <v>49.756984639409247</v>
      </c>
      <c r="BY59" s="1">
        <f t="shared" si="159"/>
        <v>49.259414793015154</v>
      </c>
      <c r="BZ59" s="1">
        <f t="shared" si="159"/>
        <v>48.766820645085005</v>
      </c>
      <c r="CA59" s="1">
        <f t="shared" si="159"/>
        <v>48.279152438634156</v>
      </c>
      <c r="CB59" s="1">
        <f t="shared" si="159"/>
        <v>47.796360914247813</v>
      </c>
      <c r="CC59" s="1">
        <f t="shared" si="159"/>
        <v>47.318397305105336</v>
      </c>
      <c r="CD59" s="1">
        <f t="shared" si="159"/>
        <v>46.845213332054279</v>
      </c>
      <c r="CE59" s="1">
        <f t="shared" si="159"/>
        <v>46.376761198733732</v>
      </c>
      <c r="CF59" s="1">
        <f t="shared" si="159"/>
        <v>45.912993586746396</v>
      </c>
      <c r="CG59" s="1">
        <f t="shared" si="159"/>
        <v>45.45386365087893</v>
      </c>
      <c r="CH59" s="1">
        <f t="shared" si="159"/>
        <v>44.999325014370143</v>
      </c>
      <c r="CI59" s="1">
        <f t="shared" si="159"/>
        <v>44.549331764226444</v>
      </c>
      <c r="CJ59" s="1">
        <f t="shared" si="159"/>
        <v>44.103838446584177</v>
      </c>
      <c r="CK59" s="1">
        <f t="shared" si="159"/>
        <v>43.662800062118336</v>
      </c>
      <c r="CL59" s="1">
        <f t="shared" si="159"/>
        <v>43.226172061497152</v>
      </c>
      <c r="CM59" s="1">
        <f t="shared" si="159"/>
        <v>42.793910340882178</v>
      </c>
      <c r="CN59" s="1">
        <f t="shared" si="159"/>
        <v>42.365971237473353</v>
      </c>
      <c r="CO59" s="1">
        <f t="shared" si="159"/>
        <v>41.942311525098617</v>
      </c>
      <c r="CP59" s="1">
        <f t="shared" si="159"/>
        <v>41.522888409847631</v>
      </c>
      <c r="CQ59" s="1">
        <f t="shared" si="159"/>
        <v>41.107659525749156</v>
      </c>
      <c r="CR59" s="1">
        <f t="shared" si="159"/>
        <v>40.696582930491665</v>
      </c>
      <c r="CS59" s="1">
        <f t="shared" si="159"/>
        <v>40.289617101186749</v>
      </c>
      <c r="CT59" s="1">
        <f t="shared" si="159"/>
        <v>39.886720930174882</v>
      </c>
      <c r="CU59" s="1">
        <f t="shared" si="159"/>
        <v>39.487853720873133</v>
      </c>
      <c r="CV59" s="1">
        <f t="shared" si="159"/>
        <v>39.0929751836644</v>
      </c>
      <c r="CW59" s="1">
        <f t="shared" si="159"/>
        <v>38.702045431827756</v>
      </c>
      <c r="CX59" s="1">
        <f t="shared" si="159"/>
        <v>38.315024977509481</v>
      </c>
      <c r="CY59" s="1">
        <f t="shared" si="159"/>
        <v>37.931874727734389</v>
      </c>
      <c r="CZ59" s="1">
        <f t="shared" si="159"/>
        <v>37.552555980457043</v>
      </c>
      <c r="DA59" s="1">
        <f t="shared" si="159"/>
        <v>37.177030420652471</v>
      </c>
      <c r="DB59" s="1">
        <f t="shared" si="159"/>
        <v>36.805260116445943</v>
      </c>
      <c r="DC59" s="1">
        <f t="shared" si="159"/>
        <v>36.437207515281486</v>
      </c>
      <c r="DD59" s="1">
        <f t="shared" si="159"/>
        <v>36.072835440128671</v>
      </c>
      <c r="DE59" s="1">
        <f t="shared" si="159"/>
        <v>35.712107085727382</v>
      </c>
      <c r="DF59" s="1">
        <f t="shared" si="159"/>
        <v>35.354986014870107</v>
      </c>
      <c r="DG59" s="1">
        <f t="shared" ref="DG59:EX59" si="160">DF59*(1+$AW$25)</f>
        <v>35.001436154721404</v>
      </c>
      <c r="DH59" s="1">
        <f t="shared" si="160"/>
        <v>34.651421793174187</v>
      </c>
      <c r="DI59" s="1">
        <f t="shared" si="160"/>
        <v>34.304907575242446</v>
      </c>
      <c r="DJ59" s="1">
        <f t="shared" si="160"/>
        <v>33.96185849949002</v>
      </c>
      <c r="DK59" s="1">
        <f t="shared" si="160"/>
        <v>33.622239914495118</v>
      </c>
      <c r="DL59" s="1">
        <f t="shared" si="160"/>
        <v>33.286017515350167</v>
      </c>
      <c r="DM59" s="1">
        <f t="shared" si="160"/>
        <v>32.953157340196668</v>
      </c>
      <c r="DN59" s="1">
        <f t="shared" si="160"/>
        <v>32.623625766794703</v>
      </c>
      <c r="DO59" s="1">
        <f t="shared" si="160"/>
        <v>32.297389509126752</v>
      </c>
      <c r="DP59" s="1">
        <f t="shared" si="160"/>
        <v>31.974415614035486</v>
      </c>
      <c r="DQ59" s="1">
        <f t="shared" si="160"/>
        <v>31.65467145789513</v>
      </c>
      <c r="DR59" s="1">
        <f t="shared" si="160"/>
        <v>31.338124743316179</v>
      </c>
      <c r="DS59" s="1">
        <f t="shared" si="160"/>
        <v>31.024743495883015</v>
      </c>
      <c r="DT59" s="1">
        <f t="shared" si="160"/>
        <v>30.714496060924183</v>
      </c>
      <c r="DU59" s="1">
        <f t="shared" si="160"/>
        <v>30.407351100314941</v>
      </c>
      <c r="DV59" s="1">
        <f t="shared" si="160"/>
        <v>30.103277589311791</v>
      </c>
      <c r="DW59" s="1">
        <f t="shared" si="160"/>
        <v>29.802244813418671</v>
      </c>
      <c r="DX59" s="1">
        <f t="shared" si="160"/>
        <v>29.504222365284484</v>
      </c>
      <c r="DY59" s="1">
        <f t="shared" si="160"/>
        <v>29.209180141631638</v>
      </c>
      <c r="DZ59" s="1">
        <f t="shared" si="160"/>
        <v>28.917088340215322</v>
      </c>
      <c r="EA59" s="1">
        <f t="shared" si="160"/>
        <v>28.627917456813169</v>
      </c>
      <c r="EB59" s="1">
        <f t="shared" si="160"/>
        <v>28.341638282245036</v>
      </c>
      <c r="EC59" s="1">
        <f t="shared" si="160"/>
        <v>28.058221899422584</v>
      </c>
      <c r="ED59" s="1">
        <f t="shared" si="160"/>
        <v>27.777639680428358</v>
      </c>
      <c r="EE59" s="1">
        <f t="shared" si="160"/>
        <v>27.499863283624073</v>
      </c>
      <c r="EF59" s="1">
        <f t="shared" si="160"/>
        <v>27.224864650787833</v>
      </c>
      <c r="EG59" s="1">
        <f t="shared" si="160"/>
        <v>26.952616004279953</v>
      </c>
      <c r="EH59" s="1">
        <f t="shared" si="160"/>
        <v>26.683089844237152</v>
      </c>
      <c r="EI59" s="1">
        <f t="shared" si="160"/>
        <v>26.41625894579478</v>
      </c>
      <c r="EJ59" s="1">
        <f t="shared" si="160"/>
        <v>26.15209635633683</v>
      </c>
      <c r="EK59" s="1">
        <f t="shared" si="160"/>
        <v>25.890575392773464</v>
      </c>
      <c r="EL59" s="1">
        <f t="shared" si="160"/>
        <v>25.631669638845729</v>
      </c>
      <c r="EM59" s="1">
        <f t="shared" si="160"/>
        <v>25.375352942457273</v>
      </c>
      <c r="EN59" s="1">
        <f t="shared" si="160"/>
        <v>25.121599413032701</v>
      </c>
      <c r="EO59" s="1">
        <f t="shared" si="160"/>
        <v>24.870383418902374</v>
      </c>
      <c r="EP59" s="1">
        <f t="shared" si="160"/>
        <v>24.621679584713352</v>
      </c>
      <c r="EQ59" s="1">
        <f t="shared" si="160"/>
        <v>24.375462788866219</v>
      </c>
      <c r="ER59" s="1">
        <f t="shared" si="160"/>
        <v>24.131708160977556</v>
      </c>
      <c r="ES59" s="1">
        <f t="shared" si="160"/>
        <v>23.890391079367781</v>
      </c>
      <c r="ET59" s="1">
        <f t="shared" si="160"/>
        <v>23.651487168574103</v>
      </c>
      <c r="EU59" s="1">
        <f t="shared" si="160"/>
        <v>23.414972296888362</v>
      </c>
      <c r="EV59" s="1">
        <f t="shared" si="160"/>
        <v>23.180822573919478</v>
      </c>
      <c r="EW59" s="1">
        <f t="shared" si="160"/>
        <v>22.949014348180285</v>
      </c>
      <c r="EX59" s="1">
        <f t="shared" si="160"/>
        <v>22.71952420469848</v>
      </c>
    </row>
    <row r="62" spans="2:154" x14ac:dyDescent="0.3">
      <c r="B62" t="s">
        <v>101</v>
      </c>
      <c r="P62" s="8">
        <f>O18+P18</f>
        <v>-618.30000000000007</v>
      </c>
      <c r="Q62" s="8">
        <f>Q18+P18+O18</f>
        <v>-830.90000000000009</v>
      </c>
      <c r="T62" s="8">
        <f>S18+T18</f>
        <v>-53.1</v>
      </c>
      <c r="U62" s="8">
        <f>U18+T18+S18</f>
        <v>-70.600000000000009</v>
      </c>
      <c r="AV62" t="s">
        <v>50</v>
      </c>
      <c r="AW62" s="2">
        <f>NPV(AW26,AJ59:EX59)</f>
        <v>315.65231896284138</v>
      </c>
    </row>
    <row r="63" spans="2:154" x14ac:dyDescent="0.3">
      <c r="B63" t="s">
        <v>62</v>
      </c>
      <c r="P63" s="2">
        <v>47.3</v>
      </c>
      <c r="Q63" s="2">
        <v>69.3</v>
      </c>
      <c r="T63" s="2">
        <v>19.2</v>
      </c>
      <c r="U63" s="2">
        <v>25.1</v>
      </c>
      <c r="AV63" t="s">
        <v>51</v>
      </c>
      <c r="AW63" s="2">
        <f>Main!D8</f>
        <v>31.40000000000002</v>
      </c>
    </row>
    <row r="64" spans="2:154" x14ac:dyDescent="0.3">
      <c r="B64" t="s">
        <v>63</v>
      </c>
      <c r="P64" s="2">
        <v>39.4</v>
      </c>
      <c r="Q64" s="2">
        <v>59</v>
      </c>
      <c r="T64" s="2">
        <v>48.3</v>
      </c>
      <c r="U64" s="2">
        <v>63.6</v>
      </c>
      <c r="AV64" t="s">
        <v>52</v>
      </c>
      <c r="AW64" s="2">
        <f>AW62+AW63</f>
        <v>347.05231896284141</v>
      </c>
    </row>
    <row r="65" spans="2:49" x14ac:dyDescent="0.3">
      <c r="B65" t="s">
        <v>64</v>
      </c>
      <c r="P65" s="2">
        <v>141</v>
      </c>
      <c r="Q65" s="2">
        <v>141.1</v>
      </c>
      <c r="T65" s="2">
        <v>0.1</v>
      </c>
      <c r="U65" s="2">
        <v>0.3</v>
      </c>
      <c r="AV65" t="s">
        <v>53</v>
      </c>
      <c r="AW65" s="3">
        <f>AW62/Model!AS19</f>
        <v>2.885304560903486</v>
      </c>
    </row>
    <row r="66" spans="2:49" x14ac:dyDescent="0.3">
      <c r="B66" t="s">
        <v>65</v>
      </c>
      <c r="P66" s="2">
        <v>0</v>
      </c>
      <c r="Q66" s="2">
        <v>0</v>
      </c>
      <c r="T66" s="2">
        <v>-7.4</v>
      </c>
      <c r="U66" s="2">
        <v>-7.4</v>
      </c>
      <c r="AV66" t="s">
        <v>54</v>
      </c>
      <c r="AW66" s="3">
        <f>Main!D3</f>
        <v>0.7</v>
      </c>
    </row>
    <row r="67" spans="2:49" x14ac:dyDescent="0.3">
      <c r="B67" t="s">
        <v>66</v>
      </c>
      <c r="P67" s="2">
        <v>0</v>
      </c>
      <c r="Q67" s="2">
        <v>5.0999999999999996</v>
      </c>
      <c r="T67" s="2">
        <v>7.5</v>
      </c>
      <c r="U67" s="2">
        <v>0</v>
      </c>
      <c r="AV67" s="1" t="s">
        <v>55</v>
      </c>
      <c r="AW67" s="10">
        <f>AW65/AW66-1</f>
        <v>3.1218636584335515</v>
      </c>
    </row>
    <row r="68" spans="2:49" x14ac:dyDescent="0.3">
      <c r="B68" t="s">
        <v>67</v>
      </c>
      <c r="P68" s="2">
        <v>481.5</v>
      </c>
      <c r="Q68" s="2">
        <v>677.2</v>
      </c>
      <c r="T68" s="2">
        <v>2</v>
      </c>
      <c r="U68" s="2">
        <v>2</v>
      </c>
      <c r="AW68" s="6" t="s">
        <v>92</v>
      </c>
    </row>
    <row r="69" spans="2:49" x14ac:dyDescent="0.3">
      <c r="B69" t="s">
        <v>68</v>
      </c>
      <c r="P69" s="2">
        <v>1.7</v>
      </c>
      <c r="Q69" s="2">
        <v>2</v>
      </c>
      <c r="T69" s="2">
        <v>0.6</v>
      </c>
      <c r="U69" s="2">
        <v>0.8</v>
      </c>
    </row>
    <row r="70" spans="2:49" x14ac:dyDescent="0.3">
      <c r="B70" t="s">
        <v>69</v>
      </c>
      <c r="P70" s="2">
        <v>1.1000000000000001</v>
      </c>
      <c r="Q70" s="2">
        <v>1.6</v>
      </c>
      <c r="T70" s="2">
        <v>0.4</v>
      </c>
      <c r="U70" s="2">
        <v>0.5</v>
      </c>
    </row>
    <row r="71" spans="2:49" x14ac:dyDescent="0.3">
      <c r="B71" t="s">
        <v>70</v>
      </c>
      <c r="P71" s="2">
        <v>3.1</v>
      </c>
      <c r="Q71" s="2">
        <v>4.5999999999999996</v>
      </c>
      <c r="T71" s="2">
        <v>2</v>
      </c>
      <c r="U71" s="2">
        <v>2.9</v>
      </c>
    </row>
    <row r="72" spans="2:49" x14ac:dyDescent="0.3">
      <c r="B72" t="s">
        <v>71</v>
      </c>
      <c r="P72" s="2">
        <v>0</v>
      </c>
      <c r="Q72" s="2">
        <v>0</v>
      </c>
      <c r="T72" s="2">
        <v>0</v>
      </c>
      <c r="U72" s="2">
        <v>0</v>
      </c>
    </row>
    <row r="73" spans="2:49" x14ac:dyDescent="0.3">
      <c r="B73" t="s">
        <v>72</v>
      </c>
      <c r="P73" s="2">
        <v>0</v>
      </c>
      <c r="Q73" s="2">
        <v>0</v>
      </c>
      <c r="T73" s="2">
        <v>-0.8</v>
      </c>
      <c r="U73" s="2">
        <v>-0.8</v>
      </c>
    </row>
    <row r="74" spans="2:49" x14ac:dyDescent="0.3">
      <c r="B74" t="s">
        <v>73</v>
      </c>
      <c r="P74" s="2">
        <v>2.2000000000000002</v>
      </c>
      <c r="Q74" s="2">
        <v>2.2000000000000002</v>
      </c>
      <c r="T74" s="2">
        <v>3</v>
      </c>
      <c r="U74" s="2">
        <v>3</v>
      </c>
    </row>
    <row r="75" spans="2:49" x14ac:dyDescent="0.3">
      <c r="B75" t="s">
        <v>74</v>
      </c>
      <c r="P75" s="2">
        <v>0</v>
      </c>
      <c r="Q75" s="2">
        <v>0</v>
      </c>
      <c r="T75" s="2">
        <v>0</v>
      </c>
      <c r="U75" s="2">
        <v>0</v>
      </c>
    </row>
    <row r="76" spans="2:49" x14ac:dyDescent="0.3">
      <c r="B76" t="s">
        <v>67</v>
      </c>
      <c r="P76" s="2">
        <v>0</v>
      </c>
      <c r="Q76" s="2">
        <v>0</v>
      </c>
      <c r="T76" s="2">
        <v>6</v>
      </c>
      <c r="U76" s="2">
        <v>6</v>
      </c>
    </row>
    <row r="77" spans="2:49" x14ac:dyDescent="0.3">
      <c r="B77" t="s">
        <v>75</v>
      </c>
      <c r="P77" s="2">
        <v>0.1</v>
      </c>
      <c r="Q77" s="2">
        <v>0.2</v>
      </c>
      <c r="T77" s="2">
        <v>0.3</v>
      </c>
      <c r="U77" s="2">
        <v>1</v>
      </c>
    </row>
    <row r="78" spans="2:49" x14ac:dyDescent="0.3">
      <c r="B78" t="s">
        <v>76</v>
      </c>
      <c r="P78" s="2">
        <v>10.6</v>
      </c>
      <c r="Q78" s="2">
        <v>8</v>
      </c>
      <c r="T78" s="2">
        <v>6.1</v>
      </c>
      <c r="U78" s="2">
        <v>8.6</v>
      </c>
    </row>
    <row r="79" spans="2:49" x14ac:dyDescent="0.3">
      <c r="B79" t="s">
        <v>77</v>
      </c>
      <c r="P79" s="2">
        <v>-12.2</v>
      </c>
      <c r="Q79" s="2">
        <v>-55.7</v>
      </c>
      <c r="T79" s="2">
        <v>-0.9</v>
      </c>
      <c r="U79" s="2">
        <v>7.8</v>
      </c>
    </row>
    <row r="80" spans="2:49" x14ac:dyDescent="0.3">
      <c r="B80" t="s">
        <v>78</v>
      </c>
      <c r="P80" s="2">
        <v>-0.8</v>
      </c>
      <c r="Q80" s="2">
        <v>-0.5</v>
      </c>
      <c r="T80" s="2">
        <v>0.9</v>
      </c>
      <c r="U80" s="2">
        <v>1.3</v>
      </c>
    </row>
    <row r="81" spans="2:21" x14ac:dyDescent="0.3">
      <c r="B81" t="s">
        <v>79</v>
      </c>
      <c r="P81" s="2">
        <v>-12</v>
      </c>
      <c r="Q81" s="2">
        <v>-8.3000000000000007</v>
      </c>
      <c r="T81" s="2">
        <v>-6</v>
      </c>
      <c r="U81" s="2">
        <v>-5</v>
      </c>
    </row>
    <row r="82" spans="2:21" x14ac:dyDescent="0.3">
      <c r="B82" t="s">
        <v>80</v>
      </c>
      <c r="P82" s="2">
        <v>-10.199999999999999</v>
      </c>
      <c r="Q82" s="2">
        <v>-11.8</v>
      </c>
      <c r="T82" s="2">
        <v>-5.9</v>
      </c>
      <c r="U82" s="2">
        <v>-8.1999999999999993</v>
      </c>
    </row>
    <row r="83" spans="2:21" x14ac:dyDescent="0.3">
      <c r="B83" t="s">
        <v>81</v>
      </c>
      <c r="P83" s="2">
        <v>-4.0999999999999996</v>
      </c>
      <c r="Q83" s="2">
        <v>46.8</v>
      </c>
      <c r="T83" s="2">
        <v>-1.1000000000000001</v>
      </c>
      <c r="U83" s="2">
        <v>-3.3</v>
      </c>
    </row>
    <row r="84" spans="2:21" x14ac:dyDescent="0.3">
      <c r="B84" t="s">
        <v>82</v>
      </c>
      <c r="P84" s="2">
        <v>-2.9</v>
      </c>
      <c r="Q84" s="2">
        <v>-3</v>
      </c>
      <c r="T84" s="2">
        <v>-1.5</v>
      </c>
      <c r="U84" s="2">
        <v>-3.3</v>
      </c>
    </row>
    <row r="85" spans="2:21" x14ac:dyDescent="0.3">
      <c r="B85" s="1" t="s">
        <v>83</v>
      </c>
      <c r="P85" s="8">
        <f>P62+SUM(P63:P84)</f>
        <v>67.500000000000114</v>
      </c>
      <c r="Q85" s="8">
        <f>Q62+SUM(Q63:Q84)</f>
        <v>106.90000000000009</v>
      </c>
      <c r="T85" s="8">
        <f>T62+SUM(T63:T84)</f>
        <v>19.699999999999982</v>
      </c>
      <c r="U85" s="8">
        <f>U62+SUM(U63:U84)</f>
        <v>24.299999999999983</v>
      </c>
    </row>
    <row r="86" spans="2:21" x14ac:dyDescent="0.3">
      <c r="B86" t="s">
        <v>68</v>
      </c>
      <c r="P86" s="2">
        <v>45.8</v>
      </c>
      <c r="Q86" s="2">
        <v>61.7</v>
      </c>
      <c r="T86" s="2">
        <v>15.9</v>
      </c>
      <c r="U86" s="2">
        <v>21.7</v>
      </c>
    </row>
    <row r="87" spans="2:21" x14ac:dyDescent="0.3">
      <c r="B87" s="1" t="s">
        <v>84</v>
      </c>
      <c r="P87" s="8">
        <f>P85-P86</f>
        <v>21.700000000000117</v>
      </c>
      <c r="Q87" s="8">
        <f>Q85-Q86</f>
        <v>45.200000000000088</v>
      </c>
      <c r="T87" s="8">
        <f>T85-T86</f>
        <v>3.7999999999999812</v>
      </c>
      <c r="U87" s="8">
        <f>U85-U86</f>
        <v>2.5999999999999837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2024-11-07T10:50:32Z</dcterms:created>
  <dcterms:modified xsi:type="dcterms:W3CDTF">2026-02-23T08:31:36Z</dcterms:modified>
</cp:coreProperties>
</file>