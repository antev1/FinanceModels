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8815E01D-9525-4A21-B78F-F77A2F6BBB60}" xr6:coauthVersionLast="47" xr6:coauthVersionMax="47" xr10:uidLastSave="{00000000-0000-0000-0000-000000000000}"/>
  <bookViews>
    <workbookView xWindow="-108" yWindow="-108" windowWidth="23256" windowHeight="12576" xr2:uid="{AE038E36-4BE5-4CF0-B4AF-8B96610ED70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G53" i="2" l="1"/>
  <c r="BG39" i="2"/>
  <c r="BG38" i="2"/>
  <c r="BG37" i="2"/>
  <c r="BG52" i="2" s="1"/>
  <c r="BG54" i="2" s="1"/>
  <c r="BG8" i="2"/>
  <c r="BF8" i="2"/>
  <c r="BE8" i="2"/>
  <c r="BD8" i="2"/>
  <c r="BC8" i="2"/>
  <c r="BB8" i="2"/>
  <c r="BA8" i="2"/>
  <c r="AZ8" i="2"/>
  <c r="AZ6" i="2"/>
  <c r="AY6" i="2"/>
  <c r="AX6" i="2"/>
  <c r="AL6" i="2"/>
  <c r="AK6" i="2"/>
  <c r="AK10" i="2" s="1"/>
  <c r="AL10" i="2"/>
  <c r="AL28" i="2" s="1"/>
  <c r="AJ6" i="2"/>
  <c r="AW14" i="2"/>
  <c r="AW11" i="2"/>
  <c r="AW9" i="2"/>
  <c r="AU23" i="2"/>
  <c r="AT23" i="2"/>
  <c r="AU22" i="2"/>
  <c r="AT22" i="2"/>
  <c r="AU21" i="2"/>
  <c r="AT21" i="2"/>
  <c r="AV23" i="2"/>
  <c r="AV22" i="2"/>
  <c r="AV21" i="2"/>
  <c r="AL18" i="2"/>
  <c r="AK18" i="2"/>
  <c r="AJ18" i="2"/>
  <c r="AL11" i="2"/>
  <c r="AL29" i="2" s="1"/>
  <c r="AK11" i="2"/>
  <c r="AK29" i="2" s="1"/>
  <c r="AJ11" i="2"/>
  <c r="AJ29" i="2" s="1"/>
  <c r="AL9" i="2"/>
  <c r="AL27" i="2" s="1"/>
  <c r="AK9" i="2"/>
  <c r="AK27" i="2" s="1"/>
  <c r="AJ9" i="2"/>
  <c r="AJ27" i="2" s="1"/>
  <c r="AJ8" i="2"/>
  <c r="AJ7" i="2" s="1"/>
  <c r="AI9" i="2"/>
  <c r="AI8" i="2"/>
  <c r="BG18" i="2"/>
  <c r="AV35" i="2"/>
  <c r="AV34" i="2"/>
  <c r="AT33" i="2"/>
  <c r="BJ60" i="2"/>
  <c r="BJ57" i="2"/>
  <c r="AX53" i="2"/>
  <c r="AY53" i="2" s="1"/>
  <c r="AZ53" i="2" s="1"/>
  <c r="BA53" i="2" s="1"/>
  <c r="BB53" i="2" s="1"/>
  <c r="BC53" i="2" s="1"/>
  <c r="BD53" i="2" s="1"/>
  <c r="BE53" i="2" s="1"/>
  <c r="BF53" i="2" s="1"/>
  <c r="AW39" i="2"/>
  <c r="AX39" i="2" s="1"/>
  <c r="AY39" i="2" s="1"/>
  <c r="AZ39" i="2" s="1"/>
  <c r="BA39" i="2" s="1"/>
  <c r="BB39" i="2" s="1"/>
  <c r="BC39" i="2" s="1"/>
  <c r="BD39" i="2" s="1"/>
  <c r="BE39" i="2" s="1"/>
  <c r="BF39" i="2" s="1"/>
  <c r="AW38" i="2"/>
  <c r="AX38" i="2" s="1"/>
  <c r="AY38" i="2" s="1"/>
  <c r="AZ38" i="2" s="1"/>
  <c r="BA38" i="2" s="1"/>
  <c r="BB38" i="2" s="1"/>
  <c r="BC38" i="2" s="1"/>
  <c r="BD38" i="2" s="1"/>
  <c r="BE38" i="2" s="1"/>
  <c r="BF38" i="2" s="1"/>
  <c r="D6" i="1"/>
  <c r="AI29" i="2"/>
  <c r="AJ24" i="2"/>
  <c r="AI24" i="2"/>
  <c r="AI18" i="2"/>
  <c r="AH8" i="2"/>
  <c r="BF18" i="2"/>
  <c r="BE18" i="2"/>
  <c r="BD18" i="2"/>
  <c r="BC18" i="2"/>
  <c r="BB18" i="2"/>
  <c r="BA18" i="2"/>
  <c r="AZ18" i="2"/>
  <c r="AY18" i="2"/>
  <c r="AX18" i="2"/>
  <c r="AW18" i="2"/>
  <c r="AV18" i="2"/>
  <c r="AH18" i="2"/>
  <c r="D4" i="1"/>
  <c r="AG8" i="2"/>
  <c r="AF8" i="2"/>
  <c r="AE18" i="2"/>
  <c r="AW6" i="2" l="1"/>
  <c r="AK24" i="2"/>
  <c r="AK8" i="2"/>
  <c r="AK7" i="2" s="1"/>
  <c r="AJ10" i="2"/>
  <c r="AL24" i="2"/>
  <c r="AL8" i="2"/>
  <c r="AL7" i="2" s="1"/>
  <c r="AK12" i="2"/>
  <c r="AL12" i="2"/>
  <c r="AJ25" i="2"/>
  <c r="AK28" i="2"/>
  <c r="AI12" i="2"/>
  <c r="AI28" i="2"/>
  <c r="AI27" i="2"/>
  <c r="AE14" i="2"/>
  <c r="AV14" i="2" s="1"/>
  <c r="AE8" i="2"/>
  <c r="AV11" i="2"/>
  <c r="AX11" i="2" s="1"/>
  <c r="AY11" i="2" s="1"/>
  <c r="AZ11" i="2" s="1"/>
  <c r="BA11" i="2" s="1"/>
  <c r="BB11" i="2" s="1"/>
  <c r="BC11" i="2" s="1"/>
  <c r="BD11" i="2" s="1"/>
  <c r="BE11" i="2" s="1"/>
  <c r="BF11" i="2" s="1"/>
  <c r="BG11" i="2" s="1"/>
  <c r="BG29" i="2" s="1"/>
  <c r="AV9" i="2"/>
  <c r="AH12" i="2"/>
  <c r="AV6" i="2"/>
  <c r="AF12" i="2"/>
  <c r="AF13" i="2" s="1"/>
  <c r="AF26" i="2" s="1"/>
  <c r="AF28" i="2"/>
  <c r="AE12" i="2"/>
  <c r="AH29" i="2"/>
  <c r="AF29" i="2"/>
  <c r="AU16" i="2"/>
  <c r="AU14" i="2"/>
  <c r="AU11" i="2"/>
  <c r="AU10" i="2"/>
  <c r="AU9" i="2"/>
  <c r="AU7" i="2"/>
  <c r="AU6" i="2"/>
  <c r="AT16" i="2"/>
  <c r="AT14" i="2"/>
  <c r="AT11" i="2"/>
  <c r="AT10" i="2"/>
  <c r="AT9" i="2"/>
  <c r="AT7" i="2"/>
  <c r="AT6" i="2"/>
  <c r="AS16" i="2"/>
  <c r="AS14" i="2"/>
  <c r="AS11" i="2"/>
  <c r="AS10" i="2"/>
  <c r="AS9" i="2"/>
  <c r="AS7" i="2"/>
  <c r="AS6" i="2"/>
  <c r="S12" i="2"/>
  <c r="S8" i="2"/>
  <c r="T12" i="2"/>
  <c r="T8" i="2"/>
  <c r="Q12" i="2"/>
  <c r="Q8" i="2"/>
  <c r="U12" i="2"/>
  <c r="U8" i="2"/>
  <c r="R12" i="2"/>
  <c r="R8" i="2"/>
  <c r="V12" i="2"/>
  <c r="V8" i="2"/>
  <c r="W12" i="2"/>
  <c r="W8" i="2"/>
  <c r="AA12" i="2"/>
  <c r="AA8" i="2"/>
  <c r="X12" i="2"/>
  <c r="X8" i="2"/>
  <c r="AB12" i="2"/>
  <c r="AB8" i="2"/>
  <c r="Y12" i="2"/>
  <c r="Y8" i="2"/>
  <c r="AC12" i="2"/>
  <c r="AC8" i="2"/>
  <c r="Z12" i="2"/>
  <c r="Z8" i="2"/>
  <c r="Z25" i="2" s="1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AD28" i="2"/>
  <c r="AC28" i="2"/>
  <c r="AB28" i="2"/>
  <c r="AA28" i="2"/>
  <c r="Z28" i="2"/>
  <c r="Y28" i="2"/>
  <c r="X28" i="2"/>
  <c r="W28" i="2"/>
  <c r="V28" i="2"/>
  <c r="U28" i="2"/>
  <c r="T28" i="2"/>
  <c r="S28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AF24" i="2"/>
  <c r="AD24" i="2"/>
  <c r="AC24" i="2"/>
  <c r="AB24" i="2"/>
  <c r="AA24" i="2"/>
  <c r="Z24" i="2"/>
  <c r="Y24" i="2"/>
  <c r="X24" i="2"/>
  <c r="W24" i="2"/>
  <c r="V24" i="2"/>
  <c r="U24" i="2"/>
  <c r="T24" i="2"/>
  <c r="S24" i="2"/>
  <c r="AD12" i="2"/>
  <c r="AD8" i="2"/>
  <c r="AD25" i="2" s="1"/>
  <c r="P8" i="2"/>
  <c r="O8" i="2"/>
  <c r="O27" i="2"/>
  <c r="O29" i="2"/>
  <c r="N29" i="2"/>
  <c r="M29" i="2"/>
  <c r="L29" i="2"/>
  <c r="K29" i="2"/>
  <c r="J29" i="2"/>
  <c r="I29" i="2"/>
  <c r="H29" i="2"/>
  <c r="G29" i="2"/>
  <c r="AR14" i="2"/>
  <c r="AW7" i="2" l="1"/>
  <c r="AJ28" i="2"/>
  <c r="AW10" i="2"/>
  <c r="AK25" i="2"/>
  <c r="AJ12" i="2"/>
  <c r="AJ13" i="2" s="1"/>
  <c r="AJ26" i="2" s="1"/>
  <c r="AK13" i="2"/>
  <c r="AK26" i="2" s="1"/>
  <c r="AK15" i="2"/>
  <c r="AL25" i="2"/>
  <c r="AL13" i="2"/>
  <c r="AH13" i="2"/>
  <c r="AH15" i="2" s="1"/>
  <c r="AH30" i="2" s="1"/>
  <c r="U13" i="2"/>
  <c r="U26" i="2" s="1"/>
  <c r="BA6" i="2"/>
  <c r="BB6" i="2" s="1"/>
  <c r="BC6" i="2" s="1"/>
  <c r="BD6" i="2" s="1"/>
  <c r="BE6" i="2" s="1"/>
  <c r="BF6" i="2" s="1"/>
  <c r="BG6" i="2" s="1"/>
  <c r="AX9" i="2"/>
  <c r="AY9" i="2" s="1"/>
  <c r="AZ9" i="2" s="1"/>
  <c r="AG12" i="2"/>
  <c r="AG13" i="2" s="1"/>
  <c r="AE13" i="2"/>
  <c r="AE15" i="2" s="1"/>
  <c r="AV10" i="2"/>
  <c r="AV7" i="2"/>
  <c r="AV8" i="2" s="1"/>
  <c r="AG29" i="2"/>
  <c r="AF15" i="2"/>
  <c r="AH27" i="2"/>
  <c r="AH28" i="2"/>
  <c r="AF25" i="2"/>
  <c r="AE25" i="2"/>
  <c r="AH25" i="2"/>
  <c r="AG24" i="2"/>
  <c r="AH24" i="2"/>
  <c r="AG25" i="2"/>
  <c r="AG28" i="2"/>
  <c r="AE28" i="2"/>
  <c r="AE24" i="2"/>
  <c r="S13" i="2"/>
  <c r="S15" i="2" s="1"/>
  <c r="S25" i="2"/>
  <c r="T13" i="2"/>
  <c r="T26" i="2" s="1"/>
  <c r="T25" i="2"/>
  <c r="Q13" i="2"/>
  <c r="Q15" i="2" s="1"/>
  <c r="Q17" i="2" s="1"/>
  <c r="Q19" i="2" s="1"/>
  <c r="U25" i="2"/>
  <c r="R13" i="2"/>
  <c r="R15" i="2" s="1"/>
  <c r="R17" i="2" s="1"/>
  <c r="R19" i="2" s="1"/>
  <c r="V13" i="2"/>
  <c r="V15" i="2" s="1"/>
  <c r="V25" i="2"/>
  <c r="Q24" i="2"/>
  <c r="W13" i="2"/>
  <c r="W26" i="2" s="1"/>
  <c r="W25" i="2"/>
  <c r="AA13" i="2"/>
  <c r="AA26" i="2" s="1"/>
  <c r="AA25" i="2"/>
  <c r="X13" i="2"/>
  <c r="X26" i="2" s="1"/>
  <c r="X25" i="2"/>
  <c r="AB13" i="2"/>
  <c r="AB15" i="2" s="1"/>
  <c r="AB25" i="2"/>
  <c r="Y13" i="2"/>
  <c r="Y15" i="2" s="1"/>
  <c r="Y25" i="2"/>
  <c r="AC13" i="2"/>
  <c r="AC15" i="2" s="1"/>
  <c r="AC25" i="2"/>
  <c r="Z13" i="2"/>
  <c r="Z15" i="2" s="1"/>
  <c r="AD13" i="2"/>
  <c r="AR10" i="2"/>
  <c r="R25" i="2"/>
  <c r="O24" i="2"/>
  <c r="O28" i="2"/>
  <c r="O12" i="2"/>
  <c r="O13" i="2" s="1"/>
  <c r="R27" i="2"/>
  <c r="AR9" i="2"/>
  <c r="P27" i="2"/>
  <c r="R24" i="2"/>
  <c r="R28" i="2"/>
  <c r="AR6" i="2"/>
  <c r="P24" i="2"/>
  <c r="O25" i="2"/>
  <c r="Q27" i="2"/>
  <c r="N8" i="2"/>
  <c r="AQ7" i="2"/>
  <c r="BJ32" i="2"/>
  <c r="N27" i="2"/>
  <c r="M27" i="2"/>
  <c r="L27" i="2"/>
  <c r="K27" i="2"/>
  <c r="J27" i="2"/>
  <c r="I27" i="2"/>
  <c r="H27" i="2"/>
  <c r="G27" i="2"/>
  <c r="N12" i="2"/>
  <c r="N28" i="2"/>
  <c r="N24" i="2"/>
  <c r="AQ14" i="2"/>
  <c r="AQ11" i="2"/>
  <c r="AQ10" i="2"/>
  <c r="AQ9" i="2"/>
  <c r="AP16" i="2"/>
  <c r="AP14" i="2"/>
  <c r="AP11" i="2"/>
  <c r="AP10" i="2"/>
  <c r="AP9" i="2"/>
  <c r="AP7" i="2"/>
  <c r="AP6" i="2"/>
  <c r="AO16" i="2"/>
  <c r="AO14" i="2"/>
  <c r="AO11" i="2"/>
  <c r="AO10" i="2"/>
  <c r="AO9" i="2"/>
  <c r="AO7" i="2"/>
  <c r="AO6" i="2"/>
  <c r="M28" i="2"/>
  <c r="L28" i="2"/>
  <c r="K28" i="2"/>
  <c r="J28" i="2"/>
  <c r="I28" i="2"/>
  <c r="H28" i="2"/>
  <c r="G28" i="2"/>
  <c r="F28" i="2"/>
  <c r="E28" i="2"/>
  <c r="D28" i="2"/>
  <c r="C28" i="2"/>
  <c r="M24" i="2"/>
  <c r="L24" i="2"/>
  <c r="K24" i="2"/>
  <c r="J24" i="2"/>
  <c r="I24" i="2"/>
  <c r="H24" i="2"/>
  <c r="G24" i="2"/>
  <c r="C12" i="2"/>
  <c r="C8" i="2"/>
  <c r="C25" i="2" s="1"/>
  <c r="D12" i="2"/>
  <c r="D8" i="2"/>
  <c r="D25" i="2" s="1"/>
  <c r="E12" i="2"/>
  <c r="E8" i="2"/>
  <c r="E25" i="2" s="1"/>
  <c r="F12" i="2"/>
  <c r="F8" i="2"/>
  <c r="F25" i="2" s="1"/>
  <c r="J12" i="2"/>
  <c r="J8" i="2"/>
  <c r="J25" i="2" s="1"/>
  <c r="G12" i="2"/>
  <c r="G8" i="2"/>
  <c r="G25" i="2" s="1"/>
  <c r="K12" i="2"/>
  <c r="K8" i="2"/>
  <c r="K25" i="2" s="1"/>
  <c r="H12" i="2"/>
  <c r="H8" i="2"/>
  <c r="H25" i="2" s="1"/>
  <c r="L12" i="2"/>
  <c r="L8" i="2"/>
  <c r="L25" i="2" s="1"/>
  <c r="I12" i="2"/>
  <c r="I8" i="2"/>
  <c r="I25" i="2" s="1"/>
  <c r="M12" i="2"/>
  <c r="M8" i="2"/>
  <c r="AJ15" i="2" l="1"/>
  <c r="AJ16" i="2" s="1"/>
  <c r="BG10" i="2"/>
  <c r="BG28" i="2" s="1"/>
  <c r="BG24" i="2"/>
  <c r="BG7" i="2"/>
  <c r="AK16" i="2"/>
  <c r="AK30" i="2" s="1"/>
  <c r="AL26" i="2"/>
  <c r="AL15" i="2"/>
  <c r="U15" i="2"/>
  <c r="U17" i="2" s="1"/>
  <c r="AE26" i="2"/>
  <c r="V26" i="2"/>
  <c r="AH26" i="2"/>
  <c r="S26" i="2"/>
  <c r="AA15" i="2"/>
  <c r="AA17" i="2" s="1"/>
  <c r="AA19" i="2" s="1"/>
  <c r="AW8" i="2"/>
  <c r="AX8" i="2"/>
  <c r="AX10" i="2"/>
  <c r="AG15" i="2"/>
  <c r="AG30" i="2" s="1"/>
  <c r="AG26" i="2"/>
  <c r="AY10" i="2"/>
  <c r="AE30" i="2"/>
  <c r="AF30" i="2"/>
  <c r="AE17" i="2"/>
  <c r="AH17" i="2"/>
  <c r="AD15" i="2"/>
  <c r="AD26" i="2"/>
  <c r="S17" i="2"/>
  <c r="S30" i="2"/>
  <c r="T15" i="2"/>
  <c r="T17" i="2" s="1"/>
  <c r="V17" i="2"/>
  <c r="V30" i="2"/>
  <c r="W15" i="2"/>
  <c r="W17" i="2" s="1"/>
  <c r="X15" i="2"/>
  <c r="X17" i="2" s="1"/>
  <c r="AB26" i="2"/>
  <c r="AB30" i="2"/>
  <c r="AB17" i="2"/>
  <c r="Y26" i="2"/>
  <c r="Y17" i="2"/>
  <c r="Y30" i="2"/>
  <c r="AC26" i="2"/>
  <c r="AC30" i="2"/>
  <c r="AC17" i="2"/>
  <c r="Z26" i="2"/>
  <c r="Z17" i="2"/>
  <c r="Z30" i="2"/>
  <c r="AQ29" i="2"/>
  <c r="AP29" i="2"/>
  <c r="Q28" i="2"/>
  <c r="AR7" i="2"/>
  <c r="AR8" i="2" s="1"/>
  <c r="P28" i="2"/>
  <c r="P29" i="2"/>
  <c r="AP27" i="2"/>
  <c r="P12" i="2"/>
  <c r="AO28" i="2"/>
  <c r="AO8" i="2"/>
  <c r="AO25" i="2" s="1"/>
  <c r="AP28" i="2"/>
  <c r="AP24" i="2"/>
  <c r="AQ27" i="2"/>
  <c r="O15" i="2"/>
  <c r="O30" i="2" s="1"/>
  <c r="O26" i="2"/>
  <c r="Q25" i="2"/>
  <c r="AR27" i="2"/>
  <c r="M13" i="2"/>
  <c r="M15" i="2" s="1"/>
  <c r="M17" i="2" s="1"/>
  <c r="M25" i="2"/>
  <c r="P25" i="2"/>
  <c r="N13" i="2"/>
  <c r="N26" i="2" s="1"/>
  <c r="N25" i="2"/>
  <c r="AQ6" i="2"/>
  <c r="AQ28" i="2" s="1"/>
  <c r="AQ12" i="2"/>
  <c r="AP12" i="2"/>
  <c r="AP8" i="2"/>
  <c r="AP25" i="2" s="1"/>
  <c r="AO12" i="2"/>
  <c r="C13" i="2"/>
  <c r="D13" i="2"/>
  <c r="E13" i="2"/>
  <c r="F13" i="2"/>
  <c r="J13" i="2"/>
  <c r="G13" i="2"/>
  <c r="K13" i="2"/>
  <c r="H13" i="2"/>
  <c r="L13" i="2"/>
  <c r="I13" i="2"/>
  <c r="D8" i="1"/>
  <c r="BJ29" i="2" s="1"/>
  <c r="D5" i="1"/>
  <c r="AJ30" i="2" l="1"/>
  <c r="AW16" i="2"/>
  <c r="U30" i="2"/>
  <c r="AK17" i="2"/>
  <c r="AJ17" i="2"/>
  <c r="AK19" i="2"/>
  <c r="AK31" i="2"/>
  <c r="BG25" i="2"/>
  <c r="AL16" i="2"/>
  <c r="AL30" i="2" s="1"/>
  <c r="AA31" i="2"/>
  <c r="AA30" i="2"/>
  <c r="AV16" i="2"/>
  <c r="AG17" i="2"/>
  <c r="AG19" i="2" s="1"/>
  <c r="AY8" i="2"/>
  <c r="AF17" i="2"/>
  <c r="AE19" i="2"/>
  <c r="AE31" i="2"/>
  <c r="AH19" i="2"/>
  <c r="AH31" i="2"/>
  <c r="AD17" i="2"/>
  <c r="AD30" i="2"/>
  <c r="S31" i="2"/>
  <c r="S19" i="2"/>
  <c r="T30" i="2"/>
  <c r="T19" i="2"/>
  <c r="T31" i="2"/>
  <c r="U31" i="2"/>
  <c r="U19" i="2"/>
  <c r="V31" i="2"/>
  <c r="V19" i="2"/>
  <c r="W30" i="2"/>
  <c r="W31" i="2"/>
  <c r="W19" i="2"/>
  <c r="X30" i="2"/>
  <c r="X31" i="2"/>
  <c r="X19" i="2"/>
  <c r="AB19" i="2"/>
  <c r="AB31" i="2"/>
  <c r="Y31" i="2"/>
  <c r="Y19" i="2"/>
  <c r="AC31" i="2"/>
  <c r="AC19" i="2"/>
  <c r="Z19" i="2"/>
  <c r="Z31" i="2"/>
  <c r="M19" i="2"/>
  <c r="M31" i="2"/>
  <c r="D9" i="1"/>
  <c r="Q29" i="2"/>
  <c r="AO13" i="2"/>
  <c r="AO15" i="2" s="1"/>
  <c r="P13" i="2"/>
  <c r="P15" i="2" s="1"/>
  <c r="M26" i="2"/>
  <c r="M30" i="2"/>
  <c r="E15" i="2"/>
  <c r="E26" i="2"/>
  <c r="I15" i="2"/>
  <c r="I26" i="2"/>
  <c r="D15" i="2"/>
  <c r="D26" i="2"/>
  <c r="C15" i="2"/>
  <c r="C26" i="2"/>
  <c r="H15" i="2"/>
  <c r="H26" i="2"/>
  <c r="K15" i="2"/>
  <c r="K26" i="2"/>
  <c r="L15" i="2"/>
  <c r="L26" i="2"/>
  <c r="G15" i="2"/>
  <c r="G26" i="2"/>
  <c r="Q26" i="2"/>
  <c r="J15" i="2"/>
  <c r="J26" i="2"/>
  <c r="F15" i="2"/>
  <c r="F26" i="2"/>
  <c r="O17" i="2"/>
  <c r="AS27" i="2"/>
  <c r="N15" i="2"/>
  <c r="AQ8" i="2"/>
  <c r="AQ25" i="2" s="1"/>
  <c r="AQ24" i="2"/>
  <c r="AP13" i="2"/>
  <c r="F3" i="1"/>
  <c r="AL17" i="2" l="1"/>
  <c r="AL19" i="2" s="1"/>
  <c r="AJ19" i="2"/>
  <c r="AJ31" i="2"/>
  <c r="AZ10" i="2"/>
  <c r="AG31" i="2"/>
  <c r="AF19" i="2"/>
  <c r="AF31" i="2"/>
  <c r="AD19" i="2"/>
  <c r="AD31" i="2"/>
  <c r="AO26" i="2"/>
  <c r="O19" i="2"/>
  <c r="O31" i="2"/>
  <c r="P17" i="2"/>
  <c r="BA9" i="2"/>
  <c r="BB9" i="2" s="1"/>
  <c r="R29" i="2"/>
  <c r="AR11" i="2"/>
  <c r="P26" i="2"/>
  <c r="E17" i="2"/>
  <c r="E30" i="2"/>
  <c r="F17" i="2"/>
  <c r="F30" i="2"/>
  <c r="H17" i="2"/>
  <c r="H30" i="2"/>
  <c r="G17" i="2"/>
  <c r="G30" i="2"/>
  <c r="C17" i="2"/>
  <c r="C30" i="2"/>
  <c r="J17" i="2"/>
  <c r="J30" i="2"/>
  <c r="L17" i="2"/>
  <c r="L30" i="2"/>
  <c r="D17" i="2"/>
  <c r="D30" i="2"/>
  <c r="AP15" i="2"/>
  <c r="AP26" i="2"/>
  <c r="AO17" i="2"/>
  <c r="AO30" i="2"/>
  <c r="K17" i="2"/>
  <c r="K30" i="2"/>
  <c r="I17" i="2"/>
  <c r="I30" i="2"/>
  <c r="N17" i="2"/>
  <c r="AT27" i="2"/>
  <c r="AQ13" i="2"/>
  <c r="AQ26" i="2" s="1"/>
  <c r="N30" i="2"/>
  <c r="AQ16" i="2"/>
  <c r="AR24" i="2"/>
  <c r="AL31" i="2" l="1"/>
  <c r="BA10" i="2"/>
  <c r="BB27" i="2"/>
  <c r="BC9" i="2"/>
  <c r="H19" i="2"/>
  <c r="H31" i="2"/>
  <c r="C19" i="2"/>
  <c r="C31" i="2"/>
  <c r="E19" i="2"/>
  <c r="E31" i="2"/>
  <c r="P19" i="2"/>
  <c r="P31" i="2"/>
  <c r="F19" i="2"/>
  <c r="F31" i="2"/>
  <c r="D19" i="2"/>
  <c r="D31" i="2"/>
  <c r="L19" i="2"/>
  <c r="L31" i="2"/>
  <c r="AO19" i="2"/>
  <c r="AO31" i="2"/>
  <c r="J19" i="2"/>
  <c r="J31" i="2"/>
  <c r="N19" i="2"/>
  <c r="N31" i="2"/>
  <c r="I19" i="2"/>
  <c r="I31" i="2"/>
  <c r="G19" i="2"/>
  <c r="G31" i="2"/>
  <c r="K19" i="2"/>
  <c r="K31" i="2"/>
  <c r="Q31" i="2"/>
  <c r="P30" i="2"/>
  <c r="AR29" i="2"/>
  <c r="AR12" i="2"/>
  <c r="AR13" i="2" s="1"/>
  <c r="AP17" i="2"/>
  <c r="AP30" i="2"/>
  <c r="Q30" i="2"/>
  <c r="AU27" i="2"/>
  <c r="AR25" i="2"/>
  <c r="AQ15" i="2"/>
  <c r="AQ17" i="2" s="1"/>
  <c r="AR28" i="2"/>
  <c r="AS24" i="2"/>
  <c r="BB10" i="2" l="1"/>
  <c r="BC27" i="2"/>
  <c r="BD9" i="2"/>
  <c r="AQ19" i="2"/>
  <c r="AQ31" i="2"/>
  <c r="AP19" i="2"/>
  <c r="AP31" i="2"/>
  <c r="AS29" i="2"/>
  <c r="R26" i="2"/>
  <c r="AV27" i="2"/>
  <c r="AQ30" i="2"/>
  <c r="AT24" i="2"/>
  <c r="AR15" i="2"/>
  <c r="AR26" i="2"/>
  <c r="AS28" i="2"/>
  <c r="AS12" i="2"/>
  <c r="BC10" i="2" l="1"/>
  <c r="BB29" i="2"/>
  <c r="BE9" i="2"/>
  <c r="BD27" i="2"/>
  <c r="AT29" i="2"/>
  <c r="AW27" i="2"/>
  <c r="AU24" i="2"/>
  <c r="AT28" i="2"/>
  <c r="AT12" i="2"/>
  <c r="BD10" i="2" l="1"/>
  <c r="BC29" i="2"/>
  <c r="BE27" i="2"/>
  <c r="BF9" i="2"/>
  <c r="R30" i="2"/>
  <c r="AR16" i="2"/>
  <c r="AR30" i="2" s="1"/>
  <c r="AU29" i="2"/>
  <c r="AV25" i="2"/>
  <c r="AX27" i="2"/>
  <c r="AU28" i="2"/>
  <c r="AU12" i="2"/>
  <c r="AV24" i="2"/>
  <c r="BF27" i="2" l="1"/>
  <c r="BG9" i="2"/>
  <c r="BE10" i="2"/>
  <c r="BD29" i="2"/>
  <c r="R31" i="2"/>
  <c r="AR17" i="2"/>
  <c r="AR31" i="2" s="1"/>
  <c r="AV29" i="2"/>
  <c r="AY27" i="2"/>
  <c r="AW24" i="2"/>
  <c r="AV28" i="2"/>
  <c r="AV12" i="2"/>
  <c r="AV13" i="2" s="1"/>
  <c r="BG27" i="2" l="1"/>
  <c r="BG12" i="2"/>
  <c r="BG13" i="2" s="1"/>
  <c r="BF10" i="2"/>
  <c r="BE29" i="2"/>
  <c r="BF29" i="2"/>
  <c r="AR19" i="2"/>
  <c r="AW29" i="2"/>
  <c r="AW25" i="2"/>
  <c r="AX7" i="2"/>
  <c r="BA27" i="2"/>
  <c r="AZ27" i="2"/>
  <c r="AX24" i="2"/>
  <c r="AV26" i="2"/>
  <c r="AW28" i="2"/>
  <c r="AW12" i="2"/>
  <c r="AW13" i="2" s="1"/>
  <c r="BG26" i="2" l="1"/>
  <c r="BB25" i="2"/>
  <c r="BB24" i="2"/>
  <c r="AY25" i="2"/>
  <c r="AX29" i="2"/>
  <c r="AX25" i="2"/>
  <c r="AY24" i="2"/>
  <c r="AW26" i="2"/>
  <c r="AX28" i="2"/>
  <c r="AX12" i="2"/>
  <c r="AX13" i="2" s="1"/>
  <c r="BB7" i="2" l="1"/>
  <c r="BB28" i="2"/>
  <c r="BB12" i="2"/>
  <c r="BB13" i="2" s="1"/>
  <c r="BB26" i="2" s="1"/>
  <c r="BC25" i="2"/>
  <c r="BC24" i="2"/>
  <c r="BC7" i="2"/>
  <c r="AZ25" i="2"/>
  <c r="AY29" i="2"/>
  <c r="AY7" i="2"/>
  <c r="AY28" i="2"/>
  <c r="AY12" i="2"/>
  <c r="AY13" i="2" s="1"/>
  <c r="AX26" i="2"/>
  <c r="AZ24" i="2"/>
  <c r="BD24" i="2" l="1"/>
  <c r="BD25" i="2"/>
  <c r="BD7" i="2"/>
  <c r="BC28" i="2"/>
  <c r="BC12" i="2"/>
  <c r="BC13" i="2" s="1"/>
  <c r="BC26" i="2" s="1"/>
  <c r="BA7" i="2"/>
  <c r="BA29" i="2"/>
  <c r="AZ29" i="2"/>
  <c r="AZ7" i="2"/>
  <c r="BA24" i="2"/>
  <c r="AZ28" i="2"/>
  <c r="AZ12" i="2"/>
  <c r="AZ13" i="2" s="1"/>
  <c r="AY26" i="2"/>
  <c r="BE7" i="2" l="1"/>
  <c r="BE24" i="2"/>
  <c r="BD28" i="2"/>
  <c r="BD12" i="2"/>
  <c r="BD13" i="2" s="1"/>
  <c r="BD26" i="2" s="1"/>
  <c r="BA25" i="2"/>
  <c r="AZ26" i="2"/>
  <c r="BA28" i="2"/>
  <c r="BA12" i="2"/>
  <c r="BA13" i="2" s="1"/>
  <c r="BE28" i="2" l="1"/>
  <c r="BE12" i="2"/>
  <c r="BE13" i="2" s="1"/>
  <c r="BE26" i="2" s="1"/>
  <c r="BE25" i="2"/>
  <c r="BF25" i="2"/>
  <c r="BF24" i="2"/>
  <c r="BF7" i="2"/>
  <c r="BA26" i="2"/>
  <c r="BF28" i="2" l="1"/>
  <c r="BF12" i="2"/>
  <c r="BF13" i="2" s="1"/>
  <c r="BF26" i="2" s="1"/>
  <c r="AS8" i="2" l="1"/>
  <c r="AS25" i="2" s="1"/>
  <c r="AS13" i="2" l="1"/>
  <c r="AS15" i="2" l="1"/>
  <c r="AS26" i="2"/>
  <c r="AS30" i="2" l="1"/>
  <c r="AS17" i="2" l="1"/>
  <c r="AS37" i="2" s="1"/>
  <c r="AS52" i="2" s="1"/>
  <c r="AS54" i="2" s="1"/>
  <c r="AS31" i="2" l="1"/>
  <c r="AS19" i="2"/>
  <c r="AT8" i="2"/>
  <c r="AT13" i="2" s="1"/>
  <c r="AT15" i="2" l="1"/>
  <c r="AT26" i="2"/>
  <c r="AT25" i="2"/>
  <c r="AT30" i="2" l="1"/>
  <c r="AT17" i="2"/>
  <c r="AT37" i="2" s="1"/>
  <c r="AT52" i="2" s="1"/>
  <c r="AT54" i="2" s="1"/>
  <c r="AT31" i="2" l="1"/>
  <c r="AT19" i="2"/>
  <c r="AU8" i="2"/>
  <c r="AU25" i="2" s="1"/>
  <c r="AU13" i="2" l="1"/>
  <c r="AU26" i="2" s="1"/>
  <c r="AU15" i="2" l="1"/>
  <c r="AU30" i="2" s="1"/>
  <c r="AU17" i="2" l="1"/>
  <c r="AU37" i="2" s="1"/>
  <c r="AU52" i="2" s="1"/>
  <c r="AU54" i="2" s="1"/>
  <c r="AV15" i="2"/>
  <c r="AU19" i="2" l="1"/>
  <c r="AU31" i="2"/>
  <c r="AV30" i="2"/>
  <c r="AV17" i="2" l="1"/>
  <c r="AV37" i="2" s="1"/>
  <c r="AV52" i="2" s="1"/>
  <c r="AV54" i="2" s="1"/>
  <c r="AW15" i="2" l="1"/>
  <c r="AV19" i="2"/>
  <c r="AV31" i="2"/>
  <c r="AW30" i="2" l="1"/>
  <c r="AW17" i="2" l="1"/>
  <c r="AW37" i="2" l="1"/>
  <c r="AW52" i="2" s="1"/>
  <c r="AW54" i="2" s="1"/>
  <c r="AW19" i="2"/>
  <c r="AW31" i="2"/>
  <c r="AX14" i="2"/>
  <c r="AX15" i="2" s="1"/>
  <c r="AX16" i="2" l="1"/>
  <c r="AX30" i="2" s="1"/>
  <c r="AX17" i="2" l="1"/>
  <c r="AX37" i="2" l="1"/>
  <c r="AX52" i="2" s="1"/>
  <c r="AX54" i="2" s="1"/>
  <c r="AY14" i="2"/>
  <c r="AY15" i="2" s="1"/>
  <c r="AX19" i="2"/>
  <c r="AX31" i="2"/>
  <c r="AY16" i="2" l="1"/>
  <c r="AY30" i="2" s="1"/>
  <c r="AY17" i="2" l="1"/>
  <c r="AY37" i="2" l="1"/>
  <c r="AY52" i="2" s="1"/>
  <c r="AY54" i="2" s="1"/>
  <c r="AY19" i="2"/>
  <c r="AY31" i="2"/>
  <c r="AZ14" i="2"/>
  <c r="AZ15" i="2" s="1"/>
  <c r="AZ16" i="2" s="1"/>
  <c r="AZ30" i="2" s="1"/>
  <c r="AZ17" i="2" l="1"/>
  <c r="AZ31" i="2" l="1"/>
  <c r="AZ37" i="2"/>
  <c r="AZ52" i="2" s="1"/>
  <c r="AZ54" i="2" s="1"/>
  <c r="AZ19" i="2"/>
  <c r="BA14" i="2"/>
  <c r="BA15" i="2" s="1"/>
  <c r="BA16" i="2" s="1"/>
  <c r="BA30" i="2" s="1"/>
  <c r="BA17" i="2" l="1"/>
  <c r="BB14" i="2" l="1"/>
  <c r="BB15" i="2" s="1"/>
  <c r="BB16" i="2" s="1"/>
  <c r="BB30" i="2" s="1"/>
  <c r="BA37" i="2"/>
  <c r="BA52" i="2" s="1"/>
  <c r="BA54" i="2" s="1"/>
  <c r="BA19" i="2"/>
  <c r="BA31" i="2"/>
  <c r="BB17" i="2" l="1"/>
  <c r="BB37" i="2" s="1"/>
  <c r="BB52" i="2" s="1"/>
  <c r="BB54" i="2" s="1"/>
  <c r="BB31" i="2" l="1"/>
  <c r="BB19" i="2"/>
  <c r="BC14" i="2"/>
  <c r="BC15" i="2" s="1"/>
  <c r="BC16" i="2" l="1"/>
  <c r="BC30" i="2" s="1"/>
  <c r="BC17" i="2" l="1"/>
  <c r="BC37" i="2" s="1"/>
  <c r="BC52" i="2" s="1"/>
  <c r="BC54" i="2" s="1"/>
  <c r="BC31" i="2" l="1"/>
  <c r="BC19" i="2"/>
  <c r="BD14" i="2"/>
  <c r="BD15" i="2" s="1"/>
  <c r="BD16" i="2" l="1"/>
  <c r="BD30" i="2" s="1"/>
  <c r="BD17" i="2" l="1"/>
  <c r="BD19" i="2" l="1"/>
  <c r="BD37" i="2"/>
  <c r="BD52" i="2" s="1"/>
  <c r="BD54" i="2" s="1"/>
  <c r="BD31" i="2"/>
  <c r="BE14" i="2"/>
  <c r="BE15" i="2" s="1"/>
  <c r="BE16" i="2" s="1"/>
  <c r="BE30" i="2" s="1"/>
  <c r="BE17" i="2" l="1"/>
  <c r="BE31" i="2" l="1"/>
  <c r="BE37" i="2"/>
  <c r="BE52" i="2" s="1"/>
  <c r="BE54" i="2" s="1"/>
  <c r="BF14" i="2"/>
  <c r="BF15" i="2" s="1"/>
  <c r="BF16" i="2" s="1"/>
  <c r="BF30" i="2" s="1"/>
  <c r="BE19" i="2"/>
  <c r="BF17" i="2" l="1"/>
  <c r="BG14" i="2" s="1"/>
  <c r="BG15" i="2" s="1"/>
  <c r="BG16" i="2" l="1"/>
  <c r="BG30" i="2" s="1"/>
  <c r="BH17" i="2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EQ17" i="2" s="1"/>
  <c r="ER17" i="2" s="1"/>
  <c r="ES17" i="2" s="1"/>
  <c r="ET17" i="2" s="1"/>
  <c r="EU17" i="2" s="1"/>
  <c r="EV17" i="2" s="1"/>
  <c r="EW17" i="2" s="1"/>
  <c r="EX17" i="2" s="1"/>
  <c r="EY17" i="2" s="1"/>
  <c r="EZ17" i="2" s="1"/>
  <c r="FA17" i="2" s="1"/>
  <c r="FB17" i="2" s="1"/>
  <c r="FC17" i="2" s="1"/>
  <c r="FD17" i="2" s="1"/>
  <c r="FE17" i="2" s="1"/>
  <c r="FF17" i="2" s="1"/>
  <c r="FG17" i="2" s="1"/>
  <c r="FH17" i="2" s="1"/>
  <c r="FI17" i="2" s="1"/>
  <c r="FJ17" i="2" s="1"/>
  <c r="FK17" i="2" s="1"/>
  <c r="FL17" i="2" s="1"/>
  <c r="FM17" i="2" s="1"/>
  <c r="FN17" i="2" s="1"/>
  <c r="FO17" i="2" s="1"/>
  <c r="FP17" i="2" s="1"/>
  <c r="FQ17" i="2" s="1"/>
  <c r="FR17" i="2" s="1"/>
  <c r="FS17" i="2" s="1"/>
  <c r="FT17" i="2" s="1"/>
  <c r="FU17" i="2" s="1"/>
  <c r="FV17" i="2" s="1"/>
  <c r="FW17" i="2" s="1"/>
  <c r="FX17" i="2" s="1"/>
  <c r="FY17" i="2" s="1"/>
  <c r="BF37" i="2"/>
  <c r="BF52" i="2" s="1"/>
  <c r="BF54" i="2" s="1"/>
  <c r="BH54" i="2" s="1"/>
  <c r="BI54" i="2" s="1"/>
  <c r="BJ54" i="2" s="1"/>
  <c r="BK54" i="2" s="1"/>
  <c r="BL54" i="2" s="1"/>
  <c r="BM54" i="2" s="1"/>
  <c r="BN54" i="2" s="1"/>
  <c r="BO54" i="2" s="1"/>
  <c r="BP54" i="2" s="1"/>
  <c r="BQ54" i="2" s="1"/>
  <c r="BR54" i="2" s="1"/>
  <c r="BS54" i="2" s="1"/>
  <c r="BT54" i="2" s="1"/>
  <c r="BU54" i="2" s="1"/>
  <c r="BV54" i="2" s="1"/>
  <c r="BW54" i="2" s="1"/>
  <c r="BX54" i="2" s="1"/>
  <c r="BY54" i="2" s="1"/>
  <c r="BZ54" i="2" s="1"/>
  <c r="CA54" i="2" s="1"/>
  <c r="CB54" i="2" s="1"/>
  <c r="CC54" i="2" s="1"/>
  <c r="CD54" i="2" s="1"/>
  <c r="CE54" i="2" s="1"/>
  <c r="CF54" i="2" s="1"/>
  <c r="CG54" i="2" s="1"/>
  <c r="CH54" i="2" s="1"/>
  <c r="CI54" i="2" s="1"/>
  <c r="CJ54" i="2" s="1"/>
  <c r="CK54" i="2" s="1"/>
  <c r="CL54" i="2" s="1"/>
  <c r="CM54" i="2" s="1"/>
  <c r="CN54" i="2" s="1"/>
  <c r="CO54" i="2" s="1"/>
  <c r="CP54" i="2" s="1"/>
  <c r="CQ54" i="2" s="1"/>
  <c r="CR54" i="2" s="1"/>
  <c r="CS54" i="2" s="1"/>
  <c r="CT54" i="2" s="1"/>
  <c r="CU54" i="2" s="1"/>
  <c r="CV54" i="2" s="1"/>
  <c r="CW54" i="2" s="1"/>
  <c r="CX54" i="2" s="1"/>
  <c r="CY54" i="2" s="1"/>
  <c r="CZ54" i="2" s="1"/>
  <c r="DA54" i="2" s="1"/>
  <c r="DB54" i="2" s="1"/>
  <c r="DC54" i="2" s="1"/>
  <c r="DD54" i="2" s="1"/>
  <c r="DE54" i="2" s="1"/>
  <c r="DF54" i="2" s="1"/>
  <c r="DG54" i="2" s="1"/>
  <c r="DH54" i="2" s="1"/>
  <c r="DI54" i="2" s="1"/>
  <c r="DJ54" i="2" s="1"/>
  <c r="DK54" i="2" s="1"/>
  <c r="DL54" i="2" s="1"/>
  <c r="DM54" i="2" s="1"/>
  <c r="DN54" i="2" s="1"/>
  <c r="DO54" i="2" s="1"/>
  <c r="DP54" i="2" s="1"/>
  <c r="DQ54" i="2" s="1"/>
  <c r="DR54" i="2" s="1"/>
  <c r="DS54" i="2" s="1"/>
  <c r="DT54" i="2" s="1"/>
  <c r="DU54" i="2" s="1"/>
  <c r="DV54" i="2" s="1"/>
  <c r="DW54" i="2" s="1"/>
  <c r="DX54" i="2" s="1"/>
  <c r="DY54" i="2" s="1"/>
  <c r="DZ54" i="2" s="1"/>
  <c r="EA54" i="2" s="1"/>
  <c r="EB54" i="2" s="1"/>
  <c r="EC54" i="2" s="1"/>
  <c r="ED54" i="2" s="1"/>
  <c r="EE54" i="2" s="1"/>
  <c r="EF54" i="2" s="1"/>
  <c r="EG54" i="2" s="1"/>
  <c r="EH54" i="2" s="1"/>
  <c r="EI54" i="2" s="1"/>
  <c r="EJ54" i="2" s="1"/>
  <c r="EK54" i="2" s="1"/>
  <c r="EL54" i="2" s="1"/>
  <c r="EM54" i="2" s="1"/>
  <c r="EN54" i="2" s="1"/>
  <c r="EO54" i="2" s="1"/>
  <c r="EP54" i="2" s="1"/>
  <c r="EQ54" i="2" s="1"/>
  <c r="BJ56" i="2" s="1"/>
  <c r="BF31" i="2"/>
  <c r="BF19" i="2"/>
  <c r="BG17" i="2" l="1"/>
  <c r="BG19" i="2" s="1"/>
  <c r="BG31" i="2" l="1"/>
  <c r="BJ28" i="2"/>
  <c r="BJ30" i="2" s="1"/>
  <c r="BJ31" i="2" s="1"/>
  <c r="BJ33" i="2" s="1"/>
  <c r="BJ58" i="2"/>
  <c r="BJ59" i="2" s="1"/>
  <c r="BJ61" i="2" s="1"/>
  <c r="AI13" i="2" l="1"/>
  <c r="AI15" i="2" s="1"/>
  <c r="AI7" i="2"/>
  <c r="AI25" i="2"/>
  <c r="AI26" i="2" l="1"/>
  <c r="AI17" i="2"/>
  <c r="AI30" i="2"/>
  <c r="AI19" i="2" l="1"/>
  <c r="AI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AI12" authorId="0" shapeId="0" xr:uid="{6F883DD5-06BA-47BA-B714-86D8C9918DC7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(Q125) guidance of 152-162 opex</t>
        </r>
      </text>
    </comment>
  </commentList>
</comments>
</file>

<file path=xl/sharedStrings.xml><?xml version="1.0" encoding="utf-8"?>
<sst xmlns="http://schemas.openxmlformats.org/spreadsheetml/2006/main" count="115" uniqueCount="103">
  <si>
    <t>SONO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</si>
  <si>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</si>
  <si>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</si>
  <si>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</si>
  <si>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</si>
  <si>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</si>
  <si>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</si>
  <si>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</si>
  <si>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</si>
  <si>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</si>
  <si>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</si>
  <si>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</si>
  <si>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</si>
  <si>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</si>
  <si>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</si>
  <si>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</si>
  <si>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</si>
  <si>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</si>
  <si>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</si>
  <si>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</si>
  <si>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</si>
  <si>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</si>
  <si>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</si>
  <si>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</si>
  <si>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Gross profit</t>
  </si>
  <si>
    <t>R&amp;D</t>
  </si>
  <si>
    <t>S&amp;M</t>
  </si>
  <si>
    <t>G&amp;A</t>
  </si>
  <si>
    <t>Operating expenses</t>
  </si>
  <si>
    <t>Operating profit</t>
  </si>
  <si>
    <t>Net finance expense</t>
  </si>
  <si>
    <t>Pretax profit</t>
  </si>
  <si>
    <t>Taxes</t>
  </si>
  <si>
    <t>Net profit</t>
  </si>
  <si>
    <t>EPS</t>
  </si>
  <si>
    <t>Revenue y/y</t>
  </si>
  <si>
    <t>Gross Margin</t>
  </si>
  <si>
    <t>Operating Margin</t>
  </si>
  <si>
    <t>S&amp;M Margin</t>
  </si>
  <si>
    <t>R&amp;D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</si>
  <si>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</si>
  <si>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</si>
  <si>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</si>
  <si>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</si>
  <si>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</si>
  <si>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</si>
  <si>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</si>
  <si>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</si>
  <si>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</si>
  <si>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Q121</t>
  </si>
  <si>
    <t>Q221</t>
  </si>
  <si>
    <t>Q321</t>
  </si>
  <si>
    <t>Q421</t>
  </si>
  <si>
    <t>Earnings</t>
  </si>
  <si>
    <t>G&amp;A y/y</t>
  </si>
  <si>
    <t>Net Margin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</si>
  <si>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</si>
  <si>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</si>
  <si>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</si>
  <si>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</si>
  <si>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</si>
  <si>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</si>
  <si>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</si>
  <si>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</si>
  <si>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</si>
  <si>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</si>
  <si>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</si>
  <si>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</si>
  <si>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</si>
  <si>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</si>
  <si>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</si>
  <si>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</si>
  <si>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Overvalued</t>
  </si>
  <si>
    <t>Q126</t>
  </si>
  <si>
    <t>Q226</t>
  </si>
  <si>
    <t>Q326</t>
  </si>
  <si>
    <t>Q426</t>
  </si>
  <si>
    <t>Net income</t>
  </si>
  <si>
    <t>SBC</t>
  </si>
  <si>
    <t>D&amp;A</t>
  </si>
  <si>
    <t>Provisions</t>
  </si>
  <si>
    <t>Restructuring</t>
  </si>
  <si>
    <t>Other</t>
  </si>
  <si>
    <t>Forex</t>
  </si>
  <si>
    <t>A/R</t>
  </si>
  <si>
    <t>Inventories</t>
  </si>
  <si>
    <t>Other assets</t>
  </si>
  <si>
    <t>A/P</t>
  </si>
  <si>
    <t>Compensation</t>
  </si>
  <si>
    <t>D/R</t>
  </si>
  <si>
    <t>Other liabilities</t>
  </si>
  <si>
    <t>CFFO</t>
  </si>
  <si>
    <t>PP&amp;E</t>
  </si>
  <si>
    <t>FCF</t>
  </si>
  <si>
    <t>L+S/E</t>
  </si>
  <si>
    <t>EV/B</t>
  </si>
  <si>
    <t>B/EV</t>
  </si>
  <si>
    <t>Partners and others</t>
  </si>
  <si>
    <t>Speakers</t>
  </si>
  <si>
    <t>System products</t>
  </si>
  <si>
    <t>Speakers y/y</t>
  </si>
  <si>
    <t>System products y/y</t>
  </si>
  <si>
    <t>Partners and others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</si>
</sst>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3" fontId="1" fillId="0" borderId="0" xfId="0" applyNumberFormat="1" applyFont="1"/>
    <xf numFmtId="9" fontId="1" fillId="0" borderId="0" xfId="0" applyNumberFormat="1" applyFont="1"/>
    <xf numFmtId="4" fontId="1" fillId="0" borderId="0" xfId="0" applyNumberFormat="1" applyFont="1"/>
    <xf numFmtId="14" fontId="0" fillId="0" borderId="0" xfId="0" applyNumberFormat="1"/>
    <xf numFmtId="9" fontId="0" fillId="0" borderId="0" xfId="0" applyNumberFormat="1"/>
    <xf numFmtId="0" fontId="0" fillId="0" borderId="0" xfId="0" applyFont="1"/>
    <xf numFmtId="0" fontId="0" fillId="0" borderId="0" xfId="0" applyFont="1" applyAlignment="1">
      <alignment horizontal="right"/>
    </xf>
    <xf numFmtId="0" fontId="4" fillId="0" borderId="0" xfId="0" applyFont="1"/>
    <xf numFmtId="3" fontId="4" fillId="0" borderId="0" xfId="0" applyNumberFormat="1" applyFont="1"/>
    <xf numFmtId="165" fontId="0" fillId="0" borderId="0" xfId="0" applyNumberFormat="1"/>
    <xf numFmtId="3" fontId="0" fillId="0" borderId="0" xfId="0" applyNumberFormat="1" applyAlignment="1">
      <alignment horizontal="right"/>
    </xf>
    <xf numFmtId="3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15240</xdr:colOff>
      <xdr:row>0</xdr:row>
      <xdr:rowOff>0</xdr:rowOff>
    </xdr:from>
    <xdr:to>
      <xdr:col>34</xdr:col>
      <xdr:colOff>15240</xdr:colOff>
      <xdr:row>43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79A64AA-F11C-4262-882A-300B6A06706B}"/>
            </a:ext>
          </a:extLst>
        </xdr:cNvPr>
        <xdr:cNvCxnSpPr/>
      </xdr:nvCxnSpPr>
      <xdr:spPr>
        <a:xfrm>
          <a:off x="25008840" y="0"/>
          <a:ext cx="0" cy="63017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22860</xdr:colOff>
      <xdr:row>0</xdr:row>
      <xdr:rowOff>0</xdr:rowOff>
    </xdr:from>
    <xdr:to>
      <xdr:col>48</xdr:col>
      <xdr:colOff>22860</xdr:colOff>
      <xdr:row>57</xdr:row>
      <xdr:rowOff>137160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1011F25F-0046-4964-A8DB-7DFD2CFDD090}"/>
            </a:ext>
          </a:extLst>
        </xdr:cNvPr>
        <xdr:cNvCxnSpPr/>
      </xdr:nvCxnSpPr>
      <xdr:spPr>
        <a:xfrm>
          <a:off x="35036760" y="0"/>
          <a:ext cx="0" cy="94640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C0C6A-0566-46BE-9184-33EDC141A136}">
  <dimension ref="B2:G9"/>
  <sheetViews>
    <sheetView tabSelected="1" workbookViewId="0">
      <selection activeCell="E7" sqref="E7"/>
    </sheetView>
  </sheetViews>
  <sheetFormatPr defaultRowHeight="14.4" x14ac:dyDescent="0.3"/>
  <cols>
    <col min="5" max="7" width="15.77734375" style="2" customWidth="1"/>
  </cols>
  <sheetData>
    <row r="2" spans="2:7" x14ac:dyDescent="0.3">
      <c r="E2" s="2" t="s">
        <v>8</v>
      </c>
      <c r="F2" s="2" t="s">
        <v>9</v>
      </c>
      <c r="G2" s="2" t="s">
        <v>53</v>
      </c>
    </row>
    <row r="3" spans="2:7" x14ac:dyDescent="0.3">
      <c r="B3" s="1" t="s">
        <v>0</v>
      </c>
      <c r="C3" t="s">
        <v>1</v>
      </c>
      <c r="D3" s="5">
        <v>16.64</v>
      </c>
      <c r="E3" s="3">
        <v>45967</v>
      </c>
      <c r="F3" s="3">
        <f ca="1">TODAY()</f>
        <v>45967</v>
      </c>
      <c r="G3" s="3">
        <v>46064</v>
      </c>
    </row>
    <row r="4" spans="2:7" x14ac:dyDescent="0.3">
      <c r="C4" t="s">
        <v>2</v>
      </c>
      <c r="D4" s="4">
        <f>120.6</f>
        <v>120.6</v>
      </c>
      <c r="E4" s="2" t="s">
        <v>71</v>
      </c>
    </row>
    <row r="5" spans="2:7" x14ac:dyDescent="0.3">
      <c r="C5" t="s">
        <v>3</v>
      </c>
      <c r="D5" s="4">
        <f>D3*D4</f>
        <v>2006.7839999999999</v>
      </c>
    </row>
    <row r="6" spans="2:7" x14ac:dyDescent="0.3">
      <c r="C6" t="s">
        <v>4</v>
      </c>
      <c r="D6" s="4">
        <f>174.7+52.9</f>
        <v>227.6</v>
      </c>
      <c r="E6" s="2" t="s">
        <v>71</v>
      </c>
    </row>
    <row r="7" spans="2:7" x14ac:dyDescent="0.3">
      <c r="C7" t="s">
        <v>5</v>
      </c>
      <c r="D7" s="4">
        <v>0</v>
      </c>
      <c r="E7" s="2" t="s">
        <v>71</v>
      </c>
    </row>
    <row r="8" spans="2:7" x14ac:dyDescent="0.3">
      <c r="C8" t="s">
        <v>6</v>
      </c>
      <c r="D8" s="4">
        <f>D6+D7</f>
        <v>227.6</v>
      </c>
    </row>
    <row r="9" spans="2:7" x14ac:dyDescent="0.3">
      <c r="C9" t="s">
        <v>7</v>
      </c>
      <c r="D9" s="4">
        <f>D5-D8</f>
        <v>1779.184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5F25-A7D6-40F5-85C3-24E2AA2E1A3A}">
  <dimension ref="B1:FY61"/>
  <sheetViews>
    <sheetView workbookViewId="0">
      <pane xSplit="2" ySplit="2" topLeftCell="AU24" activePane="bottomRight" state="frozen"/>
      <selection pane="topRight" activeCell="C1" sqref="C1"/>
      <selection pane="bottomLeft" activeCell="A3" sqref="A3"/>
      <selection pane="bottomRight" activeCell="AV29" sqref="AV29"/>
    </sheetView>
  </sheetViews>
  <sheetFormatPr defaultRowHeight="14.4" x14ac:dyDescent="0.3"/>
  <cols>
    <col min="2" max="2" width="20.109375" bestFit="1" customWidth="1"/>
    <col min="3" max="39" width="10.5546875" customWidth="1"/>
    <col min="41" max="58" width="10.5546875" bestFit="1" customWidth="1"/>
    <col min="59" max="59" width="10.5546875" customWidth="1"/>
    <col min="61" max="61" width="11.88671875" bestFit="1" customWidth="1"/>
    <col min="62" max="62" width="17" customWidth="1"/>
  </cols>
  <sheetData>
    <row r="1" spans="2:59" x14ac:dyDescent="0.3">
      <c r="C1" s="10">
        <v>43100</v>
      </c>
      <c r="D1" s="10">
        <v>43190</v>
      </c>
      <c r="E1" s="10">
        <v>43281</v>
      </c>
      <c r="F1" s="10">
        <v>43373</v>
      </c>
      <c r="G1" s="10">
        <v>43465</v>
      </c>
      <c r="H1" s="10">
        <v>43555</v>
      </c>
      <c r="I1" s="10">
        <v>43646</v>
      </c>
      <c r="J1" s="10">
        <v>43738</v>
      </c>
      <c r="K1" s="10">
        <v>43830</v>
      </c>
      <c r="L1" s="10">
        <v>43921</v>
      </c>
      <c r="M1" s="10">
        <v>44012</v>
      </c>
      <c r="N1" s="10">
        <v>44104</v>
      </c>
      <c r="O1" s="10">
        <v>44196</v>
      </c>
      <c r="P1" s="10">
        <v>44286</v>
      </c>
      <c r="Q1" s="10">
        <v>44377</v>
      </c>
      <c r="R1" s="10">
        <v>44469</v>
      </c>
      <c r="S1" s="10">
        <v>44561</v>
      </c>
      <c r="T1" s="10">
        <v>44651</v>
      </c>
      <c r="U1" s="10">
        <v>44742</v>
      </c>
      <c r="V1" s="10">
        <v>44834</v>
      </c>
      <c r="W1" s="10">
        <v>44926</v>
      </c>
      <c r="X1" s="10">
        <v>45016</v>
      </c>
      <c r="Y1" s="10">
        <v>45107</v>
      </c>
      <c r="Z1" s="10">
        <v>45199</v>
      </c>
      <c r="AA1" s="10">
        <v>45291</v>
      </c>
      <c r="AB1" s="10">
        <v>45382</v>
      </c>
      <c r="AC1" s="10">
        <v>45473</v>
      </c>
      <c r="AD1" s="10">
        <v>45565</v>
      </c>
      <c r="AE1" s="10">
        <v>45657</v>
      </c>
      <c r="AF1" s="10">
        <v>45747</v>
      </c>
      <c r="AG1" s="10">
        <v>45838</v>
      </c>
      <c r="AH1" s="10">
        <v>45930</v>
      </c>
      <c r="AI1" s="10">
        <v>46022</v>
      </c>
      <c r="AJ1" s="10">
        <v>46112</v>
      </c>
      <c r="AK1" s="10">
        <v>46203</v>
      </c>
      <c r="AL1" s="10">
        <v>46295</v>
      </c>
      <c r="AM1" s="10"/>
      <c r="AO1" s="10">
        <v>43373</v>
      </c>
      <c r="AP1" s="10">
        <v>43738</v>
      </c>
      <c r="AQ1" s="10">
        <v>44104</v>
      </c>
      <c r="AR1" s="10">
        <v>44469</v>
      </c>
      <c r="AS1" s="10">
        <v>44834</v>
      </c>
      <c r="AT1" s="10">
        <v>45199</v>
      </c>
      <c r="AU1" s="10">
        <v>45565</v>
      </c>
      <c r="AV1" s="10">
        <v>45930</v>
      </c>
      <c r="AW1" s="10">
        <v>46295</v>
      </c>
      <c r="AX1" s="10">
        <v>46660</v>
      </c>
      <c r="AY1" s="10">
        <v>47026</v>
      </c>
      <c r="AZ1" s="10">
        <v>47391</v>
      </c>
      <c r="BA1" s="10">
        <v>47756</v>
      </c>
      <c r="BB1" s="10">
        <v>48121</v>
      </c>
      <c r="BC1" s="10">
        <v>48487</v>
      </c>
      <c r="BD1" s="10">
        <v>48852</v>
      </c>
      <c r="BE1" s="10">
        <v>49217</v>
      </c>
      <c r="BF1" s="10">
        <v>49582</v>
      </c>
      <c r="BG1" s="10">
        <v>49948</v>
      </c>
    </row>
    <row r="2" spans="2:59" x14ac:dyDescent="0.3">
      <c r="C2" s="6" t="s">
        <v>12</v>
      </c>
      <c r="D2" s="6" t="s">
        <v>13</v>
      </c>
      <c r="E2" s="6" t="s">
        <v>14</v>
      </c>
      <c r="F2" s="6" t="s">
        <v>15</v>
      </c>
      <c r="G2" s="6" t="s">
        <v>16</v>
      </c>
      <c r="H2" s="6" t="s">
        <v>17</v>
      </c>
      <c r="I2" s="6" t="s">
        <v>18</v>
      </c>
      <c r="J2" s="6" t="s">
        <v>19</v>
      </c>
      <c r="K2" s="6" t="s">
        <v>20</v>
      </c>
      <c r="L2" s="6" t="s">
        <v>10</v>
      </c>
      <c r="M2" s="6" t="s">
        <v>21</v>
      </c>
      <c r="N2" s="6" t="s">
        <v>22</v>
      </c>
      <c r="O2" s="6" t="s">
        <v>49</v>
      </c>
      <c r="P2" s="6" t="s">
        <v>50</v>
      </c>
      <c r="Q2" s="6" t="s">
        <v>51</v>
      </c>
      <c r="R2" s="6" t="s">
        <v>52</v>
      </c>
      <c r="S2" s="6" t="s">
        <v>56</v>
      </c>
      <c r="T2" s="6" t="s">
        <v>57</v>
      </c>
      <c r="U2" s="6" t="s">
        <v>58</v>
      </c>
      <c r="V2" s="6" t="s">
        <v>59</v>
      </c>
      <c r="W2" s="6" t="s">
        <v>60</v>
      </c>
      <c r="X2" s="6" t="s">
        <v>61</v>
      </c>
      <c r="Y2" s="6" t="s">
        <v>62</v>
      </c>
      <c r="Z2" s="6" t="s">
        <v>63</v>
      </c>
      <c r="AA2" s="6" t="s">
        <v>64</v>
      </c>
      <c r="AB2" s="6" t="s">
        <v>65</v>
      </c>
      <c r="AC2" s="6" t="s">
        <v>66</v>
      </c>
      <c r="AD2" s="6" t="s">
        <v>67</v>
      </c>
      <c r="AE2" s="6" t="s">
        <v>68</v>
      </c>
      <c r="AF2" s="6" t="s">
        <v>69</v>
      </c>
      <c r="AG2" s="6" t="s">
        <v>70</v>
      </c>
      <c r="AH2" s="6" t="s">
        <v>71</v>
      </c>
      <c r="AI2" s="6" t="s">
        <v>73</v>
      </c>
      <c r="AJ2" s="6" t="s">
        <v>74</v>
      </c>
      <c r="AK2" s="6" t="s">
        <v>75</v>
      </c>
      <c r="AL2" s="6" t="s">
        <v>76</v>
      </c>
      <c r="AM2" s="6"/>
      <c r="AO2">
        <v>2018</v>
      </c>
      <c r="AP2">
        <v>2019</v>
      </c>
      <c r="AQ2">
        <v>2020</v>
      </c>
      <c r="AR2">
        <v>2021</v>
      </c>
      <c r="AS2">
        <v>2022</v>
      </c>
      <c r="AT2">
        <v>2023</v>
      </c>
      <c r="AU2">
        <v>2024</v>
      </c>
      <c r="AV2">
        <v>2025</v>
      </c>
      <c r="AW2">
        <v>2026</v>
      </c>
      <c r="AX2">
        <v>2027</v>
      </c>
      <c r="AY2">
        <v>2028</v>
      </c>
      <c r="AZ2">
        <v>2029</v>
      </c>
      <c r="BA2">
        <v>2030</v>
      </c>
      <c r="BB2">
        <v>2031</v>
      </c>
      <c r="BC2">
        <v>2032</v>
      </c>
      <c r="BD2">
        <v>2033</v>
      </c>
      <c r="BE2">
        <v>2034</v>
      </c>
      <c r="BF2">
        <v>2035</v>
      </c>
      <c r="BG2">
        <v>2036</v>
      </c>
    </row>
    <row r="3" spans="2:59" x14ac:dyDescent="0.3">
      <c r="B3" t="s">
        <v>98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17">
        <v>178.2</v>
      </c>
      <c r="AE3" s="17"/>
      <c r="AF3" s="6"/>
      <c r="AG3" s="6"/>
      <c r="AH3" s="17">
        <v>206.5</v>
      </c>
      <c r="AI3" s="17"/>
      <c r="AJ3" s="6"/>
      <c r="AK3" s="6"/>
      <c r="AL3" s="6"/>
      <c r="AM3" s="6"/>
      <c r="AS3" s="17">
        <v>1368.9</v>
      </c>
      <c r="AT3" s="17">
        <v>1293.4000000000001</v>
      </c>
      <c r="AU3" s="17">
        <v>1169.5999999999999</v>
      </c>
      <c r="AV3" s="17">
        <v>1121.8</v>
      </c>
    </row>
    <row r="4" spans="2:59" x14ac:dyDescent="0.3">
      <c r="B4" t="s">
        <v>99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17">
        <v>58.7</v>
      </c>
      <c r="AE4" s="17"/>
      <c r="AF4" s="6"/>
      <c r="AG4" s="6"/>
      <c r="AH4" s="17">
        <v>65.2</v>
      </c>
      <c r="AI4" s="17"/>
      <c r="AJ4" s="6"/>
      <c r="AK4" s="6"/>
      <c r="AL4" s="6"/>
      <c r="AM4" s="6"/>
      <c r="AS4" s="17">
        <v>297.10000000000002</v>
      </c>
      <c r="AT4" s="17">
        <v>285.10000000000002</v>
      </c>
      <c r="AU4" s="17">
        <v>267.7</v>
      </c>
      <c r="AV4" s="17">
        <v>249.2</v>
      </c>
    </row>
    <row r="5" spans="2:59" x14ac:dyDescent="0.3">
      <c r="B5" t="s">
        <v>97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17">
        <v>18.399999999999999</v>
      </c>
      <c r="AE5" s="17"/>
      <c r="AF5" s="6"/>
      <c r="AG5" s="6"/>
      <c r="AH5" s="17">
        <v>16.2</v>
      </c>
      <c r="AI5" s="17"/>
      <c r="AJ5" s="6"/>
      <c r="AK5" s="6"/>
      <c r="AL5" s="6"/>
      <c r="AM5" s="6"/>
      <c r="AS5" s="17">
        <v>86.3</v>
      </c>
      <c r="AT5" s="17">
        <v>76.8</v>
      </c>
      <c r="AU5" s="17">
        <v>80.7</v>
      </c>
      <c r="AV5" s="17">
        <v>72.2</v>
      </c>
    </row>
    <row r="6" spans="2:59" s="1" customFormat="1" x14ac:dyDescent="0.3">
      <c r="B6" s="1" t="s">
        <v>11</v>
      </c>
      <c r="C6" s="7">
        <v>469</v>
      </c>
      <c r="D6" s="7">
        <v>186.7</v>
      </c>
      <c r="E6" s="7">
        <v>208.4</v>
      </c>
      <c r="F6" s="7">
        <v>272.89999999999998</v>
      </c>
      <c r="G6" s="7">
        <v>496.4</v>
      </c>
      <c r="H6" s="7">
        <v>210.2</v>
      </c>
      <c r="I6" s="7">
        <v>260.10000000000002</v>
      </c>
      <c r="J6" s="7">
        <v>294.2</v>
      </c>
      <c r="K6" s="7">
        <v>562.1</v>
      </c>
      <c r="L6" s="7">
        <v>175.1</v>
      </c>
      <c r="M6" s="7">
        <v>249.3</v>
      </c>
      <c r="N6" s="7">
        <v>339.8</v>
      </c>
      <c r="O6" s="7">
        <v>645.6</v>
      </c>
      <c r="P6" s="7">
        <v>332.9</v>
      </c>
      <c r="Q6" s="7">
        <v>378.7</v>
      </c>
      <c r="R6" s="7">
        <v>359.4</v>
      </c>
      <c r="S6" s="7">
        <v>664.5</v>
      </c>
      <c r="T6" s="7">
        <v>399.8</v>
      </c>
      <c r="U6" s="7">
        <v>371.8</v>
      </c>
      <c r="V6" s="7">
        <v>316.3</v>
      </c>
      <c r="W6" s="7">
        <v>672.6</v>
      </c>
      <c r="X6" s="7">
        <v>304.2</v>
      </c>
      <c r="Y6" s="7">
        <v>373.4</v>
      </c>
      <c r="Z6" s="7">
        <v>305.10000000000002</v>
      </c>
      <c r="AA6" s="7">
        <v>612.9</v>
      </c>
      <c r="AB6" s="7">
        <v>252.7</v>
      </c>
      <c r="AC6" s="7">
        <v>397.1</v>
      </c>
      <c r="AD6" s="7">
        <v>255.4</v>
      </c>
      <c r="AE6" s="7">
        <v>550.9</v>
      </c>
      <c r="AF6" s="7">
        <v>259.8</v>
      </c>
      <c r="AG6" s="7">
        <v>344.8</v>
      </c>
      <c r="AH6" s="7">
        <v>287.89999999999998</v>
      </c>
      <c r="AI6" s="7">
        <v>535</v>
      </c>
      <c r="AJ6" s="7">
        <f>AF6*0.99</f>
        <v>257.202</v>
      </c>
      <c r="AK6" s="7">
        <f>AG6*1.07</f>
        <v>368.93600000000004</v>
      </c>
      <c r="AL6" s="7">
        <f>AH6*1.09</f>
        <v>313.81099999999998</v>
      </c>
      <c r="AM6" s="7"/>
      <c r="AO6" s="7">
        <f>SUM(C6:F6)</f>
        <v>1137</v>
      </c>
      <c r="AP6" s="7">
        <f>SUM(G6:J6)</f>
        <v>1260.8999999999999</v>
      </c>
      <c r="AQ6" s="7">
        <f>SUM(K6:N6)</f>
        <v>1326.3</v>
      </c>
      <c r="AR6" s="7">
        <f>SUM(O6:R6)</f>
        <v>1716.6</v>
      </c>
      <c r="AS6" s="7">
        <f>SUM(S6:V6)</f>
        <v>1752.3999999999999</v>
      </c>
      <c r="AT6" s="7">
        <f>SUM(W6:Z6)</f>
        <v>1655.2999999999997</v>
      </c>
      <c r="AU6" s="7">
        <f>SUM(AA6:AD6)</f>
        <v>1518.1</v>
      </c>
      <c r="AV6" s="7">
        <f>SUM(AE6:AH6)</f>
        <v>1443.4</v>
      </c>
      <c r="AW6" s="7">
        <f>SUM(AI6:AL6)</f>
        <v>1474.9489999999998</v>
      </c>
      <c r="AX6" s="7">
        <f>AW6*1.08</f>
        <v>1592.9449199999999</v>
      </c>
      <c r="AY6" s="7">
        <f>AX6*1.05</f>
        <v>1672.5921659999999</v>
      </c>
      <c r="AZ6" s="7">
        <f>AY6*1.03</f>
        <v>1722.76993098</v>
      </c>
      <c r="BA6" s="7">
        <f>AZ6*1.02</f>
        <v>1757.2253295995999</v>
      </c>
      <c r="BB6" s="7">
        <f t="shared" ref="BB6:BG6" si="0">BA6*1.02</f>
        <v>1792.369836191592</v>
      </c>
      <c r="BC6" s="7">
        <f t="shared" si="0"/>
        <v>1828.2172329154239</v>
      </c>
      <c r="BD6" s="7">
        <f t="shared" si="0"/>
        <v>1864.7815775737324</v>
      </c>
      <c r="BE6" s="7">
        <f t="shared" si="0"/>
        <v>1902.077209125207</v>
      </c>
      <c r="BF6" s="7">
        <f t="shared" si="0"/>
        <v>1940.1187533077111</v>
      </c>
      <c r="BG6" s="7">
        <f t="shared" si="0"/>
        <v>1978.9211283738655</v>
      </c>
    </row>
    <row r="7" spans="2:59" x14ac:dyDescent="0.3">
      <c r="B7" t="s">
        <v>23</v>
      </c>
      <c r="C7" s="4">
        <v>272.8</v>
      </c>
      <c r="D7" s="4">
        <v>105.4</v>
      </c>
      <c r="E7" s="4">
        <v>112.9</v>
      </c>
      <c r="F7" s="4">
        <v>156.69999999999999</v>
      </c>
      <c r="G7" s="4">
        <v>301.10000000000002</v>
      </c>
      <c r="H7" s="4">
        <v>119.8</v>
      </c>
      <c r="I7" s="4">
        <v>142.80000000000001</v>
      </c>
      <c r="J7" s="4">
        <v>169.9</v>
      </c>
      <c r="K7" s="4">
        <v>334.5</v>
      </c>
      <c r="L7" s="4">
        <v>102.1</v>
      </c>
      <c r="M7" s="4">
        <v>139.5</v>
      </c>
      <c r="N7" s="4">
        <v>178.3</v>
      </c>
      <c r="O7" s="4">
        <v>346.2</v>
      </c>
      <c r="P7" s="4">
        <v>167.2</v>
      </c>
      <c r="Q7" s="4">
        <v>200.8</v>
      </c>
      <c r="R7" s="4">
        <v>192.6</v>
      </c>
      <c r="S7" s="4">
        <v>347.1</v>
      </c>
      <c r="T7" s="4">
        <v>220.7</v>
      </c>
      <c r="U7" s="4">
        <v>195.9</v>
      </c>
      <c r="V7" s="4">
        <v>192.2</v>
      </c>
      <c r="W7" s="4">
        <v>387.5</v>
      </c>
      <c r="X7" s="4">
        <v>172.6</v>
      </c>
      <c r="Y7" s="4">
        <v>201.6</v>
      </c>
      <c r="Z7" s="4">
        <v>177.1</v>
      </c>
      <c r="AA7" s="4">
        <v>330.2</v>
      </c>
      <c r="AB7" s="4">
        <v>140.6</v>
      </c>
      <c r="AC7" s="4">
        <v>205.5</v>
      </c>
      <c r="AD7" s="4">
        <v>152.4</v>
      </c>
      <c r="AE7" s="4">
        <v>309.5</v>
      </c>
      <c r="AF7" s="4">
        <v>146.1</v>
      </c>
      <c r="AG7" s="4">
        <v>195</v>
      </c>
      <c r="AH7" s="4">
        <v>162.1</v>
      </c>
      <c r="AI7" s="4">
        <f>AI6-AI8</f>
        <v>294.25</v>
      </c>
      <c r="AJ7" s="4">
        <f>AJ6-AJ8</f>
        <v>144.03312</v>
      </c>
      <c r="AK7" s="4">
        <f t="shared" ref="AK7:AL7" si="1">AK6-AK8</f>
        <v>206.60416000000001</v>
      </c>
      <c r="AL7" s="4">
        <f t="shared" si="1"/>
        <v>175.73415999999997</v>
      </c>
      <c r="AM7" s="4"/>
      <c r="AO7" s="4">
        <f>SUM(C7:F7)</f>
        <v>647.79999999999995</v>
      </c>
      <c r="AP7" s="4">
        <f>SUM(G7:J7)</f>
        <v>733.6</v>
      </c>
      <c r="AQ7" s="4">
        <f>SUM(K7:N7)</f>
        <v>754.40000000000009</v>
      </c>
      <c r="AR7" s="4">
        <f>SUM(O7:R7)</f>
        <v>906.80000000000007</v>
      </c>
      <c r="AS7" s="4">
        <f>SUM(S7:V7)</f>
        <v>955.89999999999986</v>
      </c>
      <c r="AT7" s="4">
        <f>SUM(W7:Z7)</f>
        <v>938.80000000000007</v>
      </c>
      <c r="AU7" s="4">
        <f>SUM(AA7:AD7)</f>
        <v>828.69999999999993</v>
      </c>
      <c r="AV7" s="4">
        <f>SUM(AE7:AH7)</f>
        <v>812.7</v>
      </c>
      <c r="AW7" s="18">
        <f>SUM(AI7:AL7)</f>
        <v>820.62144000000001</v>
      </c>
      <c r="AX7" s="4">
        <f t="shared" ref="AW7:BA7" si="2">AX6-AX8</f>
        <v>860.19025679999993</v>
      </c>
      <c r="AY7" s="4">
        <f t="shared" si="2"/>
        <v>886.47384797999996</v>
      </c>
      <c r="AZ7" s="4">
        <f t="shared" si="2"/>
        <v>913.0680634194</v>
      </c>
      <c r="BA7" s="4">
        <f t="shared" si="2"/>
        <v>931.32942468778799</v>
      </c>
      <c r="BB7" s="4">
        <f t="shared" ref="BB7:BF7" si="3">BB6-BB8</f>
        <v>949.95601318154377</v>
      </c>
      <c r="BC7" s="4">
        <f t="shared" si="3"/>
        <v>968.95513344517474</v>
      </c>
      <c r="BD7" s="4">
        <f t="shared" si="3"/>
        <v>988.33423611407818</v>
      </c>
      <c r="BE7" s="4">
        <f t="shared" si="3"/>
        <v>1008.1009208363597</v>
      </c>
      <c r="BF7" s="4">
        <f t="shared" si="3"/>
        <v>1028.2629392530871</v>
      </c>
      <c r="BG7" s="4">
        <f t="shared" ref="BG7" si="4">BG6-BG8</f>
        <v>1048.8281980381489</v>
      </c>
    </row>
    <row r="8" spans="2:59" s="1" customFormat="1" x14ac:dyDescent="0.3">
      <c r="B8" s="1" t="s">
        <v>24</v>
      </c>
      <c r="C8" s="7">
        <f t="shared" ref="C8:Q8" si="5">C6-C7</f>
        <v>196.2</v>
      </c>
      <c r="D8" s="7">
        <f t="shared" si="5"/>
        <v>81.299999999999983</v>
      </c>
      <c r="E8" s="7">
        <f t="shared" si="5"/>
        <v>95.5</v>
      </c>
      <c r="F8" s="7">
        <f t="shared" si="5"/>
        <v>116.19999999999999</v>
      </c>
      <c r="G8" s="7">
        <f t="shared" si="5"/>
        <v>195.29999999999995</v>
      </c>
      <c r="H8" s="7">
        <f t="shared" si="5"/>
        <v>90.399999999999991</v>
      </c>
      <c r="I8" s="7">
        <f t="shared" si="5"/>
        <v>117.30000000000001</v>
      </c>
      <c r="J8" s="7">
        <f t="shared" si="5"/>
        <v>124.29999999999998</v>
      </c>
      <c r="K8" s="7">
        <f t="shared" si="5"/>
        <v>227.60000000000002</v>
      </c>
      <c r="L8" s="7">
        <f t="shared" si="5"/>
        <v>73</v>
      </c>
      <c r="M8" s="7">
        <f t="shared" si="5"/>
        <v>109.80000000000001</v>
      </c>
      <c r="N8" s="7">
        <f t="shared" si="5"/>
        <v>161.5</v>
      </c>
      <c r="O8" s="7">
        <f t="shared" si="5"/>
        <v>299.40000000000003</v>
      </c>
      <c r="P8" s="7">
        <f t="shared" si="5"/>
        <v>165.7</v>
      </c>
      <c r="Q8" s="7">
        <f t="shared" si="5"/>
        <v>177.89999999999998</v>
      </c>
      <c r="R8" s="7">
        <f t="shared" ref="R8" si="6">R6-R7</f>
        <v>166.79999999999998</v>
      </c>
      <c r="S8" s="7">
        <f t="shared" ref="S8:T8" si="7">S6-S7</f>
        <v>317.39999999999998</v>
      </c>
      <c r="T8" s="7">
        <f t="shared" si="7"/>
        <v>179.10000000000002</v>
      </c>
      <c r="U8" s="7">
        <f t="shared" ref="U8" si="8">U6-U7</f>
        <v>175.9</v>
      </c>
      <c r="V8" s="7">
        <f t="shared" ref="V8:W8" si="9">V6-V7</f>
        <v>124.10000000000002</v>
      </c>
      <c r="W8" s="7">
        <f t="shared" si="9"/>
        <v>285.10000000000002</v>
      </c>
      <c r="X8" s="7">
        <f t="shared" ref="X8" si="10">X6-X7</f>
        <v>131.6</v>
      </c>
      <c r="Y8" s="7">
        <f t="shared" ref="Y8" si="11">Y6-Y7</f>
        <v>171.79999999999998</v>
      </c>
      <c r="Z8" s="7">
        <f t="shared" ref="Z8:AA8" si="12">Z6-Z7</f>
        <v>128.00000000000003</v>
      </c>
      <c r="AA8" s="7">
        <f t="shared" si="12"/>
        <v>282.7</v>
      </c>
      <c r="AB8" s="7">
        <f t="shared" ref="AB8" si="13">AB6-AB7</f>
        <v>112.1</v>
      </c>
      <c r="AC8" s="7">
        <f t="shared" ref="AC8" si="14">AC6-AC7</f>
        <v>191.60000000000002</v>
      </c>
      <c r="AD8" s="7">
        <f t="shared" ref="AD8:AH8" si="15">AD6-AD7</f>
        <v>103</v>
      </c>
      <c r="AE8" s="7">
        <f t="shared" si="15"/>
        <v>241.39999999999998</v>
      </c>
      <c r="AF8" s="7">
        <f t="shared" si="15"/>
        <v>113.70000000000002</v>
      </c>
      <c r="AG8" s="7">
        <f t="shared" si="15"/>
        <v>149.80000000000001</v>
      </c>
      <c r="AH8" s="7">
        <f t="shared" si="15"/>
        <v>125.79999999999998</v>
      </c>
      <c r="AI8" s="7">
        <f>AI6*0.45</f>
        <v>240.75</v>
      </c>
      <c r="AJ8" s="7">
        <f>AJ6*0.44</f>
        <v>113.16888</v>
      </c>
      <c r="AK8" s="7">
        <f t="shared" ref="AK8:AL8" si="16">AK6*0.44</f>
        <v>162.33184000000003</v>
      </c>
      <c r="AL8" s="7">
        <f t="shared" si="16"/>
        <v>138.07684</v>
      </c>
      <c r="AM8" s="7"/>
      <c r="AO8" s="7">
        <f>AO6-AO7</f>
        <v>489.20000000000005</v>
      </c>
      <c r="AP8" s="7">
        <f>AP6-AP7</f>
        <v>527.29999999999984</v>
      </c>
      <c r="AQ8" s="7">
        <f>AQ6-AQ7</f>
        <v>571.89999999999986</v>
      </c>
      <c r="AR8" s="7">
        <f>AR6-AR7</f>
        <v>809.79999999999984</v>
      </c>
      <c r="AS8" s="7">
        <f t="shared" ref="AS8:AV8" si="17">AS6-AS7</f>
        <v>796.5</v>
      </c>
      <c r="AT8" s="7">
        <f t="shared" si="17"/>
        <v>716.49999999999966</v>
      </c>
      <c r="AU8" s="7">
        <f t="shared" si="17"/>
        <v>689.4</v>
      </c>
      <c r="AV8" s="7">
        <f t="shared" si="17"/>
        <v>630.70000000000005</v>
      </c>
      <c r="AW8" s="7">
        <f>AW6*0.45</f>
        <v>663.72704999999996</v>
      </c>
      <c r="AX8" s="7">
        <f>AX6*0.46</f>
        <v>732.75466319999998</v>
      </c>
      <c r="AY8" s="7">
        <f t="shared" ref="AY8:BG8" si="18">AY6*0.47</f>
        <v>786.11831801999995</v>
      </c>
      <c r="AZ8" s="7">
        <f t="shared" si="18"/>
        <v>809.70186756060002</v>
      </c>
      <c r="BA8" s="7">
        <f t="shared" si="18"/>
        <v>825.89590491181195</v>
      </c>
      <c r="BB8" s="7">
        <f t="shared" si="18"/>
        <v>842.41382301004819</v>
      </c>
      <c r="BC8" s="7">
        <f t="shared" si="18"/>
        <v>859.26209947024915</v>
      </c>
      <c r="BD8" s="7">
        <f t="shared" si="18"/>
        <v>876.44734145965424</v>
      </c>
      <c r="BE8" s="7">
        <f t="shared" si="18"/>
        <v>893.97628828884729</v>
      </c>
      <c r="BF8" s="7">
        <f t="shared" si="18"/>
        <v>911.85581405462415</v>
      </c>
      <c r="BG8" s="7">
        <f t="shared" si="18"/>
        <v>930.09293033571669</v>
      </c>
    </row>
    <row r="9" spans="2:59" x14ac:dyDescent="0.3">
      <c r="B9" t="s">
        <v>25</v>
      </c>
      <c r="C9" s="4">
        <v>33.5</v>
      </c>
      <c r="D9" s="4">
        <v>35.200000000000003</v>
      </c>
      <c r="E9" s="4">
        <v>35.4</v>
      </c>
      <c r="F9" s="4">
        <v>37.9</v>
      </c>
      <c r="G9" s="4">
        <v>37.1</v>
      </c>
      <c r="H9" s="4">
        <v>40.1</v>
      </c>
      <c r="I9" s="4">
        <v>44.4</v>
      </c>
      <c r="J9" s="4">
        <v>49.6</v>
      </c>
      <c r="K9" s="4">
        <v>52.5</v>
      </c>
      <c r="L9" s="4">
        <v>49.6</v>
      </c>
      <c r="M9" s="4">
        <v>57.8</v>
      </c>
      <c r="N9" s="4">
        <v>54.8</v>
      </c>
      <c r="O9" s="4">
        <v>52.3</v>
      </c>
      <c r="P9" s="4">
        <v>56.4</v>
      </c>
      <c r="Q9" s="4">
        <v>55.6</v>
      </c>
      <c r="R9" s="4">
        <v>65.8</v>
      </c>
      <c r="S9" s="4">
        <v>61.3</v>
      </c>
      <c r="T9" s="4">
        <v>64.900000000000006</v>
      </c>
      <c r="U9" s="4">
        <v>62.5</v>
      </c>
      <c r="V9" s="4">
        <v>67.3</v>
      </c>
      <c r="W9" s="4">
        <v>76.900000000000006</v>
      </c>
      <c r="X9" s="4">
        <v>80.8</v>
      </c>
      <c r="Y9" s="4">
        <v>77.8</v>
      </c>
      <c r="Z9" s="4">
        <v>65.5</v>
      </c>
      <c r="AA9" s="4">
        <v>79.2</v>
      </c>
      <c r="AB9" s="4">
        <v>80.3</v>
      </c>
      <c r="AC9" s="4">
        <v>74.2</v>
      </c>
      <c r="AD9" s="4">
        <v>70.8</v>
      </c>
      <c r="AE9" s="4">
        <v>80.8</v>
      </c>
      <c r="AF9" s="4">
        <v>77.400000000000006</v>
      </c>
      <c r="AG9" s="4">
        <v>59.8</v>
      </c>
      <c r="AH9" s="4">
        <v>62</v>
      </c>
      <c r="AI9" s="4">
        <f>AE9*0.86</f>
        <v>69.488</v>
      </c>
      <c r="AJ9" s="4">
        <f>AF9*0.95</f>
        <v>73.53</v>
      </c>
      <c r="AK9" s="4">
        <f>AG9*1.03</f>
        <v>61.594000000000001</v>
      </c>
      <c r="AL9" s="4">
        <f>AH9*1.07</f>
        <v>66.34</v>
      </c>
      <c r="AM9" s="4"/>
      <c r="AO9" s="4">
        <f>SUM(C9:F9)</f>
        <v>142</v>
      </c>
      <c r="AP9" s="4">
        <f>SUM(G9:J9)</f>
        <v>171.2</v>
      </c>
      <c r="AQ9" s="4">
        <f>SUM(K9:N9)</f>
        <v>214.7</v>
      </c>
      <c r="AR9" s="4">
        <f>SUM(O9:R9)</f>
        <v>230.09999999999997</v>
      </c>
      <c r="AS9" s="4">
        <f>SUM(S9:V9)</f>
        <v>256</v>
      </c>
      <c r="AT9" s="4">
        <f>SUM(W9:Z9)</f>
        <v>301</v>
      </c>
      <c r="AU9" s="4">
        <f>SUM(AA9:AD9)</f>
        <v>304.5</v>
      </c>
      <c r="AV9" s="4">
        <f>SUM(AE9:AH9)</f>
        <v>280</v>
      </c>
      <c r="AW9" s="18">
        <f t="shared" ref="AW9:AW11" si="19">SUM(AI9:AL9)</f>
        <v>270.952</v>
      </c>
      <c r="AX9" s="4">
        <f t="shared" ref="AX9:AZ9" si="20">AW9*1.01</f>
        <v>273.66152</v>
      </c>
      <c r="AY9" s="4">
        <f t="shared" si="20"/>
        <v>276.39813520000001</v>
      </c>
      <c r="AZ9" s="4">
        <f t="shared" si="20"/>
        <v>279.16211655200004</v>
      </c>
      <c r="BA9" s="4">
        <f t="shared" ref="BA9" si="21">AZ9*1.01</f>
        <v>281.95373771752003</v>
      </c>
      <c r="BB9" s="4">
        <f t="shared" ref="BB9" si="22">BA9*1.01</f>
        <v>284.77327509469524</v>
      </c>
      <c r="BC9" s="4">
        <f t="shared" ref="BC9" si="23">BB9*1.01</f>
        <v>287.62100784564217</v>
      </c>
      <c r="BD9" s="4">
        <f t="shared" ref="BD9" si="24">BC9*1.01</f>
        <v>290.49721792409861</v>
      </c>
      <c r="BE9" s="4">
        <f t="shared" ref="BE9" si="25">BD9*1.01</f>
        <v>293.40219010333959</v>
      </c>
      <c r="BF9" s="4">
        <f t="shared" ref="BF9:BG9" si="26">BE9*1.01</f>
        <v>296.33621200437301</v>
      </c>
      <c r="BG9" s="4">
        <f t="shared" si="26"/>
        <v>299.29957412441672</v>
      </c>
    </row>
    <row r="10" spans="2:59" x14ac:dyDescent="0.3">
      <c r="B10" t="s">
        <v>26</v>
      </c>
      <c r="C10" s="4">
        <v>94</v>
      </c>
      <c r="D10" s="4">
        <v>59.2</v>
      </c>
      <c r="E10" s="4">
        <v>60.8</v>
      </c>
      <c r="F10" s="4">
        <v>56.8</v>
      </c>
      <c r="G10" s="4">
        <v>65.900000000000006</v>
      </c>
      <c r="H10" s="4">
        <v>49.4</v>
      </c>
      <c r="I10" s="4">
        <v>61.5</v>
      </c>
      <c r="J10" s="4">
        <v>70.900000000000006</v>
      </c>
      <c r="K10" s="4">
        <v>77.400000000000006</v>
      </c>
      <c r="L10" s="4">
        <v>50.5</v>
      </c>
      <c r="M10" s="4">
        <v>77.3</v>
      </c>
      <c r="N10" s="4">
        <v>58.3</v>
      </c>
      <c r="O10" s="4">
        <v>74.400000000000006</v>
      </c>
      <c r="P10" s="4">
        <v>57.2</v>
      </c>
      <c r="Q10" s="4">
        <v>67.2</v>
      </c>
      <c r="R10" s="4">
        <v>73.2</v>
      </c>
      <c r="S10" s="4">
        <v>83.7</v>
      </c>
      <c r="T10" s="4">
        <v>60</v>
      </c>
      <c r="U10" s="4">
        <v>64</v>
      </c>
      <c r="V10" s="4">
        <v>72.599999999999994</v>
      </c>
      <c r="W10" s="4">
        <v>78.7</v>
      </c>
      <c r="X10" s="4">
        <v>63.6</v>
      </c>
      <c r="Y10" s="4">
        <v>66.599999999999994</v>
      </c>
      <c r="Z10" s="4">
        <v>58.6</v>
      </c>
      <c r="AA10" s="4">
        <v>84</v>
      </c>
      <c r="AB10" s="4">
        <v>61.8</v>
      </c>
      <c r="AC10" s="4">
        <v>71.599999999999994</v>
      </c>
      <c r="AD10" s="4">
        <v>73.2</v>
      </c>
      <c r="AE10" s="4">
        <v>86.6</v>
      </c>
      <c r="AF10" s="4">
        <v>64.2</v>
      </c>
      <c r="AG10" s="4">
        <v>62.6</v>
      </c>
      <c r="AH10" s="4">
        <v>67.8</v>
      </c>
      <c r="AI10" s="4">
        <v>75</v>
      </c>
      <c r="AJ10" s="4">
        <f>AJ6*0.24</f>
        <v>61.728479999999998</v>
      </c>
      <c r="AK10" s="4">
        <f t="shared" ref="AK10" si="27">AK6*0.18</f>
        <v>66.408479999999997</v>
      </c>
      <c r="AL10" s="4">
        <f>AL6*0.23</f>
        <v>72.17653</v>
      </c>
      <c r="AM10" s="4"/>
      <c r="AO10" s="4">
        <f>SUM(C10:F10)</f>
        <v>270.8</v>
      </c>
      <c r="AP10" s="4">
        <f>SUM(G10:J10)</f>
        <v>247.70000000000002</v>
      </c>
      <c r="AQ10" s="4">
        <f>SUM(K10:N10)</f>
        <v>263.5</v>
      </c>
      <c r="AR10" s="4">
        <f>SUM(O10:R10)</f>
        <v>272</v>
      </c>
      <c r="AS10" s="4">
        <f>SUM(S10:V10)</f>
        <v>280.29999999999995</v>
      </c>
      <c r="AT10" s="4">
        <f>SUM(W10:Z10)</f>
        <v>267.5</v>
      </c>
      <c r="AU10" s="4">
        <f>SUM(AA10:AD10)</f>
        <v>290.60000000000002</v>
      </c>
      <c r="AV10" s="4">
        <f>SUM(AE10:AH10)</f>
        <v>281.2</v>
      </c>
      <c r="AW10" s="18">
        <f t="shared" si="19"/>
        <v>275.31349</v>
      </c>
      <c r="AX10" s="4">
        <f>AX6*0.19</f>
        <v>302.65953479999996</v>
      </c>
      <c r="AY10" s="4">
        <f>AY6*0.18</f>
        <v>301.06658987999998</v>
      </c>
      <c r="AZ10" s="4">
        <f>AZ6*0.17</f>
        <v>292.87088826660005</v>
      </c>
      <c r="BA10" s="4">
        <f t="shared" ref="BA10" si="28">BA6*0.16</f>
        <v>281.15605273593599</v>
      </c>
      <c r="BB10" s="4">
        <f t="shared" ref="BB10:BF10" si="29">BB6*0.16</f>
        <v>286.77917379065474</v>
      </c>
      <c r="BC10" s="4">
        <f t="shared" si="29"/>
        <v>292.51475726646783</v>
      </c>
      <c r="BD10" s="4">
        <f t="shared" si="29"/>
        <v>298.36505241179719</v>
      </c>
      <c r="BE10" s="4">
        <f t="shared" si="29"/>
        <v>304.33235346003312</v>
      </c>
      <c r="BF10" s="4">
        <f t="shared" si="29"/>
        <v>310.41900052923381</v>
      </c>
      <c r="BG10" s="4">
        <f t="shared" ref="BG10" si="30">BG6*0.16</f>
        <v>316.62738053981849</v>
      </c>
    </row>
    <row r="11" spans="2:59" x14ac:dyDescent="0.3">
      <c r="B11" t="s">
        <v>27</v>
      </c>
      <c r="C11" s="4">
        <v>22.4</v>
      </c>
      <c r="D11" s="4">
        <v>20.6</v>
      </c>
      <c r="E11" s="4">
        <v>20.9</v>
      </c>
      <c r="F11" s="4">
        <v>21.4</v>
      </c>
      <c r="G11" s="4">
        <v>23.8</v>
      </c>
      <c r="H11" s="4">
        <v>23.9</v>
      </c>
      <c r="I11" s="4">
        <v>26.6</v>
      </c>
      <c r="J11" s="4">
        <v>28.6</v>
      </c>
      <c r="K11" s="4">
        <v>30.2</v>
      </c>
      <c r="L11" s="4">
        <v>26.1</v>
      </c>
      <c r="M11" s="4">
        <v>31.7</v>
      </c>
      <c r="N11" s="4">
        <v>33</v>
      </c>
      <c r="O11" s="4">
        <v>35.200000000000003</v>
      </c>
      <c r="P11" s="4">
        <v>39.799999999999997</v>
      </c>
      <c r="Q11" s="4">
        <v>38.299999999999997</v>
      </c>
      <c r="R11" s="4">
        <v>39.5</v>
      </c>
      <c r="S11" s="4">
        <v>39.700000000000003</v>
      </c>
      <c r="T11" s="4">
        <v>44.1</v>
      </c>
      <c r="U11" s="4">
        <v>42.4</v>
      </c>
      <c r="V11" s="4">
        <v>44.2</v>
      </c>
      <c r="W11" s="4">
        <v>43.1</v>
      </c>
      <c r="X11" s="4">
        <v>44.4</v>
      </c>
      <c r="Y11" s="4">
        <v>48.7</v>
      </c>
      <c r="Z11" s="4">
        <v>32.299999999999997</v>
      </c>
      <c r="AA11" s="4">
        <v>39.799999999999997</v>
      </c>
      <c r="AB11" s="4">
        <v>40.799999999999997</v>
      </c>
      <c r="AC11" s="4">
        <v>33.200000000000003</v>
      </c>
      <c r="AD11" s="4">
        <v>28.4</v>
      </c>
      <c r="AE11" s="4">
        <v>25.8</v>
      </c>
      <c r="AF11" s="4">
        <v>33.200000000000003</v>
      </c>
      <c r="AG11" s="4">
        <v>30.3</v>
      </c>
      <c r="AH11" s="4">
        <v>30.5</v>
      </c>
      <c r="AI11" s="4">
        <v>23</v>
      </c>
      <c r="AJ11" s="4">
        <f>AF11*0.95</f>
        <v>31.540000000000003</v>
      </c>
      <c r="AK11" s="4">
        <f>AG11*1.03</f>
        <v>31.209000000000003</v>
      </c>
      <c r="AL11" s="4">
        <f t="shared" ref="AL11" si="31">AH11*1.03</f>
        <v>31.414999999999999</v>
      </c>
      <c r="AM11" s="4"/>
      <c r="AO11" s="4">
        <f>SUM(C11:F11)</f>
        <v>85.3</v>
      </c>
      <c r="AP11" s="4">
        <f>SUM(G11:J11)</f>
        <v>102.9</v>
      </c>
      <c r="AQ11" s="4">
        <f>SUM(K11:N11)</f>
        <v>121</v>
      </c>
      <c r="AR11" s="4">
        <f>SUM(O11:R11)</f>
        <v>152.80000000000001</v>
      </c>
      <c r="AS11" s="4">
        <f>SUM(S11:V11)</f>
        <v>170.40000000000003</v>
      </c>
      <c r="AT11" s="4">
        <f>SUM(W11:Z11)</f>
        <v>168.5</v>
      </c>
      <c r="AU11" s="4">
        <f>SUM(AA11:AD11)</f>
        <v>142.19999999999999</v>
      </c>
      <c r="AV11" s="4">
        <f>SUM(AE11:AH11)</f>
        <v>119.8</v>
      </c>
      <c r="AW11" s="18">
        <f t="shared" si="19"/>
        <v>117.16400000000002</v>
      </c>
      <c r="AX11" s="4">
        <f t="shared" ref="AX11:BG11" si="32">AW11*1.01</f>
        <v>118.33564000000001</v>
      </c>
      <c r="AY11" s="4">
        <f t="shared" si="32"/>
        <v>119.51899640000002</v>
      </c>
      <c r="AZ11" s="4">
        <f t="shared" si="32"/>
        <v>120.71418636400003</v>
      </c>
      <c r="BA11" s="4">
        <f t="shared" si="32"/>
        <v>121.92132822764003</v>
      </c>
      <c r="BB11" s="4">
        <f t="shared" si="32"/>
        <v>123.14054150991643</v>
      </c>
      <c r="BC11" s="4">
        <f t="shared" si="32"/>
        <v>124.37194692501559</v>
      </c>
      <c r="BD11" s="4">
        <f t="shared" si="32"/>
        <v>125.61566639426574</v>
      </c>
      <c r="BE11" s="4">
        <f t="shared" si="32"/>
        <v>126.87182305820841</v>
      </c>
      <c r="BF11" s="4">
        <f t="shared" si="32"/>
        <v>128.1405412887905</v>
      </c>
      <c r="BG11" s="4">
        <f t="shared" si="32"/>
        <v>129.42194670167839</v>
      </c>
    </row>
    <row r="12" spans="2:59" x14ac:dyDescent="0.3">
      <c r="B12" t="s">
        <v>28</v>
      </c>
      <c r="C12" s="4">
        <f t="shared" ref="C12:M12" si="33">C9+C10+C11</f>
        <v>149.9</v>
      </c>
      <c r="D12" s="4">
        <f t="shared" si="33"/>
        <v>115</v>
      </c>
      <c r="E12" s="4">
        <f t="shared" si="33"/>
        <v>117.1</v>
      </c>
      <c r="F12" s="4">
        <f t="shared" si="33"/>
        <v>116.1</v>
      </c>
      <c r="G12" s="4">
        <f t="shared" si="33"/>
        <v>126.8</v>
      </c>
      <c r="H12" s="4">
        <f t="shared" si="33"/>
        <v>113.4</v>
      </c>
      <c r="I12" s="4">
        <f t="shared" si="33"/>
        <v>132.5</v>
      </c>
      <c r="J12" s="4">
        <f t="shared" si="33"/>
        <v>149.1</v>
      </c>
      <c r="K12" s="4">
        <f t="shared" si="33"/>
        <v>160.1</v>
      </c>
      <c r="L12" s="4">
        <f t="shared" si="33"/>
        <v>126.19999999999999</v>
      </c>
      <c r="M12" s="4">
        <f t="shared" si="33"/>
        <v>166.79999999999998</v>
      </c>
      <c r="N12" s="4">
        <f t="shared" ref="N12:O12" si="34">N9+N10+N11</f>
        <v>146.1</v>
      </c>
      <c r="O12" s="4">
        <f t="shared" si="34"/>
        <v>161.9</v>
      </c>
      <c r="P12" s="4">
        <f t="shared" ref="P12:Q12" si="35">P9+P10+P11</f>
        <v>153.39999999999998</v>
      </c>
      <c r="Q12" s="4">
        <f t="shared" si="35"/>
        <v>161.10000000000002</v>
      </c>
      <c r="R12" s="4">
        <f t="shared" ref="R12" si="36">R9+R10+R11</f>
        <v>178.5</v>
      </c>
      <c r="S12" s="4">
        <f t="shared" ref="S12:T12" si="37">S9+S10+S11</f>
        <v>184.7</v>
      </c>
      <c r="T12" s="4">
        <f t="shared" si="37"/>
        <v>169</v>
      </c>
      <c r="U12" s="4">
        <f t="shared" ref="U12" si="38">U9+U10+U11</f>
        <v>168.9</v>
      </c>
      <c r="V12" s="4">
        <f t="shared" ref="V12:W12" si="39">V9+V10+V11</f>
        <v>184.09999999999997</v>
      </c>
      <c r="W12" s="4">
        <f t="shared" si="39"/>
        <v>198.70000000000002</v>
      </c>
      <c r="X12" s="4">
        <f t="shared" ref="X12" si="40">X9+X10+X11</f>
        <v>188.8</v>
      </c>
      <c r="Y12" s="4">
        <f t="shared" ref="Y12" si="41">Y9+Y10+Y11</f>
        <v>193.09999999999997</v>
      </c>
      <c r="Z12" s="4">
        <f t="shared" ref="Z12:AA12" si="42">Z9+Z10+Z11</f>
        <v>156.39999999999998</v>
      </c>
      <c r="AA12" s="4">
        <f t="shared" si="42"/>
        <v>203</v>
      </c>
      <c r="AB12" s="4">
        <f t="shared" ref="AB12" si="43">AB9+AB10+AB11</f>
        <v>182.89999999999998</v>
      </c>
      <c r="AC12" s="4">
        <f t="shared" ref="AC12" si="44">AC9+AC10+AC11</f>
        <v>179</v>
      </c>
      <c r="AD12" s="4">
        <f t="shared" ref="AD12:AH12" si="45">AD9+AD10+AD11</f>
        <v>172.4</v>
      </c>
      <c r="AE12" s="4">
        <f t="shared" si="45"/>
        <v>193.2</v>
      </c>
      <c r="AF12" s="4">
        <f t="shared" si="45"/>
        <v>174.8</v>
      </c>
      <c r="AG12" s="4">
        <f t="shared" si="45"/>
        <v>152.70000000000002</v>
      </c>
      <c r="AH12" s="4">
        <f t="shared" si="45"/>
        <v>160.30000000000001</v>
      </c>
      <c r="AI12" s="4">
        <f t="shared" ref="AI12:AL12" si="46">AI9+AI10+AI11</f>
        <v>167.488</v>
      </c>
      <c r="AJ12" s="4">
        <f t="shared" si="46"/>
        <v>166.79847999999998</v>
      </c>
      <c r="AK12" s="4">
        <f t="shared" si="46"/>
        <v>159.21147999999999</v>
      </c>
      <c r="AL12" s="4">
        <f t="shared" si="46"/>
        <v>169.93152999999998</v>
      </c>
      <c r="AM12" s="4"/>
      <c r="AO12" s="4">
        <f>AO9+AO10+AO11</f>
        <v>498.1</v>
      </c>
      <c r="AP12" s="4">
        <f>AP9+AP10+AP11</f>
        <v>521.79999999999995</v>
      </c>
      <c r="AQ12" s="4">
        <f>AQ9+AQ10+AQ11</f>
        <v>599.20000000000005</v>
      </c>
      <c r="AR12" s="4">
        <f>SUM(O12:R12)</f>
        <v>654.9</v>
      </c>
      <c r="AS12" s="4">
        <f t="shared" ref="AS12:BA12" si="47">AS9+AS10+AS11</f>
        <v>706.7</v>
      </c>
      <c r="AT12" s="4">
        <f t="shared" si="47"/>
        <v>737</v>
      </c>
      <c r="AU12" s="4">
        <f t="shared" si="47"/>
        <v>737.3</v>
      </c>
      <c r="AV12" s="4">
        <f t="shared" si="47"/>
        <v>681</v>
      </c>
      <c r="AW12" s="4">
        <f t="shared" si="47"/>
        <v>663.42948999999999</v>
      </c>
      <c r="AX12" s="4">
        <f t="shared" si="47"/>
        <v>694.65669479999997</v>
      </c>
      <c r="AY12" s="4">
        <f t="shared" si="47"/>
        <v>696.98372147999999</v>
      </c>
      <c r="AZ12" s="4">
        <f t="shared" si="47"/>
        <v>692.7471911826002</v>
      </c>
      <c r="BA12" s="4">
        <f t="shared" si="47"/>
        <v>685.03111868109613</v>
      </c>
      <c r="BB12" s="4">
        <f t="shared" ref="BB12:BF12" si="48">BB9+BB10+BB11</f>
        <v>694.69299039526641</v>
      </c>
      <c r="BC12" s="4">
        <f t="shared" si="48"/>
        <v>704.50771203712554</v>
      </c>
      <c r="BD12" s="4">
        <f t="shared" si="48"/>
        <v>714.47793673016156</v>
      </c>
      <c r="BE12" s="4">
        <f t="shared" si="48"/>
        <v>724.60636662158106</v>
      </c>
      <c r="BF12" s="4">
        <f t="shared" si="48"/>
        <v>734.8957538223973</v>
      </c>
      <c r="BG12" s="4">
        <f t="shared" ref="BG12" si="49">BG9+BG10+BG11</f>
        <v>745.34890136591355</v>
      </c>
    </row>
    <row r="13" spans="2:59" s="1" customFormat="1" x14ac:dyDescent="0.3">
      <c r="B13" s="1" t="s">
        <v>29</v>
      </c>
      <c r="C13" s="7">
        <f t="shared" ref="C13:M13" si="50">C8-C12</f>
        <v>46.299999999999983</v>
      </c>
      <c r="D13" s="7">
        <f t="shared" si="50"/>
        <v>-33.700000000000017</v>
      </c>
      <c r="E13" s="7">
        <f t="shared" si="50"/>
        <v>-21.599999999999994</v>
      </c>
      <c r="F13" s="7">
        <f t="shared" si="50"/>
        <v>9.9999999999994316E-2</v>
      </c>
      <c r="G13" s="7">
        <f t="shared" si="50"/>
        <v>68.499999999999957</v>
      </c>
      <c r="H13" s="7">
        <f t="shared" si="50"/>
        <v>-23.000000000000014</v>
      </c>
      <c r="I13" s="7">
        <f t="shared" si="50"/>
        <v>-15.199999999999989</v>
      </c>
      <c r="J13" s="7">
        <f t="shared" si="50"/>
        <v>-24.800000000000011</v>
      </c>
      <c r="K13" s="7">
        <f t="shared" si="50"/>
        <v>67.500000000000028</v>
      </c>
      <c r="L13" s="7">
        <f t="shared" si="50"/>
        <v>-53.199999999999989</v>
      </c>
      <c r="M13" s="7">
        <f t="shared" si="50"/>
        <v>-56.999999999999972</v>
      </c>
      <c r="N13" s="7">
        <f t="shared" ref="N13:O13" si="51">N8-N12</f>
        <v>15.400000000000006</v>
      </c>
      <c r="O13" s="7">
        <f t="shared" si="51"/>
        <v>137.50000000000003</v>
      </c>
      <c r="P13" s="7">
        <f t="shared" ref="P13:Q13" si="52">P8-P12</f>
        <v>12.300000000000011</v>
      </c>
      <c r="Q13" s="7">
        <f t="shared" si="52"/>
        <v>16.799999999999955</v>
      </c>
      <c r="R13" s="7">
        <f t="shared" ref="R13" si="53">R8-R12</f>
        <v>-11.700000000000017</v>
      </c>
      <c r="S13" s="7">
        <f t="shared" ref="S13:T13" si="54">S8-S12</f>
        <v>132.69999999999999</v>
      </c>
      <c r="T13" s="7">
        <f t="shared" si="54"/>
        <v>10.100000000000023</v>
      </c>
      <c r="U13" s="7">
        <f t="shared" ref="U13" si="55">U8-U12</f>
        <v>7</v>
      </c>
      <c r="V13" s="7">
        <f t="shared" ref="V13:W13" si="56">V8-V12</f>
        <v>-59.999999999999943</v>
      </c>
      <c r="W13" s="7">
        <f t="shared" si="56"/>
        <v>86.4</v>
      </c>
      <c r="X13" s="7">
        <f t="shared" ref="X13" si="57">X8-X12</f>
        <v>-57.200000000000017</v>
      </c>
      <c r="Y13" s="7">
        <f t="shared" ref="Y13" si="58">Y8-Y12</f>
        <v>-21.299999999999983</v>
      </c>
      <c r="Z13" s="7">
        <f t="shared" ref="Z13:AA13" si="59">Z8-Z12</f>
        <v>-28.399999999999949</v>
      </c>
      <c r="AA13" s="7">
        <f t="shared" si="59"/>
        <v>79.699999999999989</v>
      </c>
      <c r="AB13" s="7">
        <f t="shared" ref="AB13" si="60">AB8-AB12</f>
        <v>-70.799999999999983</v>
      </c>
      <c r="AC13" s="7">
        <f t="shared" ref="AC13" si="61">AC8-AC12</f>
        <v>12.600000000000023</v>
      </c>
      <c r="AD13" s="7">
        <f t="shared" ref="AD13:AH13" si="62">AD8-AD12</f>
        <v>-69.400000000000006</v>
      </c>
      <c r="AE13" s="7">
        <f t="shared" si="62"/>
        <v>48.199999999999989</v>
      </c>
      <c r="AF13" s="7">
        <f t="shared" si="62"/>
        <v>-61.099999999999994</v>
      </c>
      <c r="AG13" s="7">
        <f t="shared" si="62"/>
        <v>-2.9000000000000057</v>
      </c>
      <c r="AH13" s="7">
        <f t="shared" si="62"/>
        <v>-34.500000000000028</v>
      </c>
      <c r="AI13" s="7">
        <f t="shared" ref="AI13:AL13" si="63">AI8-AI12</f>
        <v>73.262</v>
      </c>
      <c r="AJ13" s="7">
        <f t="shared" si="63"/>
        <v>-53.629599999999982</v>
      </c>
      <c r="AK13" s="7">
        <f t="shared" si="63"/>
        <v>3.1203600000000336</v>
      </c>
      <c r="AL13" s="7">
        <f t="shared" si="63"/>
        <v>-31.854689999999977</v>
      </c>
      <c r="AM13" s="7"/>
      <c r="AO13" s="7">
        <f>AO8-AO12</f>
        <v>-8.8999999999999773</v>
      </c>
      <c r="AP13" s="7">
        <f>AP8-AP12</f>
        <v>5.4999999999998863</v>
      </c>
      <c r="AQ13" s="7">
        <f>AQ8-AQ12</f>
        <v>-27.300000000000182</v>
      </c>
      <c r="AR13" s="7">
        <f t="shared" ref="AR13:BA13" si="64">AR8-AR12</f>
        <v>154.89999999999986</v>
      </c>
      <c r="AS13" s="7">
        <f t="shared" si="64"/>
        <v>89.799999999999955</v>
      </c>
      <c r="AT13" s="7">
        <f t="shared" si="64"/>
        <v>-20.500000000000341</v>
      </c>
      <c r="AU13" s="7">
        <f t="shared" si="64"/>
        <v>-47.899999999999977</v>
      </c>
      <c r="AV13" s="7">
        <f t="shared" si="64"/>
        <v>-50.299999999999955</v>
      </c>
      <c r="AW13" s="7">
        <f t="shared" si="64"/>
        <v>0.29755999999997584</v>
      </c>
      <c r="AX13" s="7">
        <f t="shared" si="64"/>
        <v>38.097968400000013</v>
      </c>
      <c r="AY13" s="7">
        <f t="shared" si="64"/>
        <v>89.134596539999961</v>
      </c>
      <c r="AZ13" s="7">
        <f t="shared" si="64"/>
        <v>116.95467637799982</v>
      </c>
      <c r="BA13" s="7">
        <f t="shared" si="64"/>
        <v>140.86478623071582</v>
      </c>
      <c r="BB13" s="7">
        <f t="shared" ref="BB13:BF13" si="65">BB8-BB12</f>
        <v>147.72083261478178</v>
      </c>
      <c r="BC13" s="7">
        <f t="shared" si="65"/>
        <v>154.75438743312361</v>
      </c>
      <c r="BD13" s="7">
        <f t="shared" si="65"/>
        <v>161.96940472949268</v>
      </c>
      <c r="BE13" s="7">
        <f t="shared" si="65"/>
        <v>169.36992166726623</v>
      </c>
      <c r="BF13" s="7">
        <f t="shared" si="65"/>
        <v>176.96006023222685</v>
      </c>
      <c r="BG13" s="7">
        <f t="shared" ref="BG13" si="66">BG8-BG12</f>
        <v>184.74402896980314</v>
      </c>
    </row>
    <row r="14" spans="2:59" x14ac:dyDescent="0.3">
      <c r="B14" t="s">
        <v>30</v>
      </c>
      <c r="C14" s="4">
        <v>0.5</v>
      </c>
      <c r="D14" s="4">
        <v>-1.7</v>
      </c>
      <c r="E14" s="4">
        <v>4.9000000000000004</v>
      </c>
      <c r="F14" s="4">
        <v>2</v>
      </c>
      <c r="G14" s="4">
        <v>4.4000000000000004</v>
      </c>
      <c r="H14" s="4">
        <v>0.1</v>
      </c>
      <c r="I14" s="4">
        <v>-1.9</v>
      </c>
      <c r="J14" s="4">
        <v>4.2</v>
      </c>
      <c r="K14" s="4">
        <v>-5</v>
      </c>
      <c r="L14" s="4">
        <v>0.9</v>
      </c>
      <c r="M14" s="4">
        <v>-0.1</v>
      </c>
      <c r="N14" s="4">
        <v>-3</v>
      </c>
      <c r="O14" s="4">
        <v>-4</v>
      </c>
      <c r="P14" s="4">
        <v>1.6</v>
      </c>
      <c r="Q14" s="4">
        <v>-2</v>
      </c>
      <c r="R14" s="4">
        <v>2.2999999999999998</v>
      </c>
      <c r="S14" s="4">
        <v>1.5</v>
      </c>
      <c r="T14" s="4">
        <v>2.2000000000000002</v>
      </c>
      <c r="U14" s="4">
        <v>9.6</v>
      </c>
      <c r="V14" s="4">
        <v>7.5</v>
      </c>
      <c r="W14" s="4">
        <v>-25.4</v>
      </c>
      <c r="X14" s="4">
        <v>-0.2</v>
      </c>
      <c r="Y14" s="4">
        <v>-3.5</v>
      </c>
      <c r="Z14" s="4">
        <v>4.2</v>
      </c>
      <c r="AA14" s="4">
        <v>-13.2</v>
      </c>
      <c r="AB14" s="4">
        <v>-0.5</v>
      </c>
      <c r="AC14" s="4">
        <v>0</v>
      </c>
      <c r="AD14" s="4">
        <v>-7.1</v>
      </c>
      <c r="AE14" s="4">
        <f>-1.9+0.1+6</f>
        <v>4.2</v>
      </c>
      <c r="AF14" s="4">
        <v>-2.1</v>
      </c>
      <c r="AG14" s="4">
        <v>-2.1</v>
      </c>
      <c r="AH14" s="4">
        <v>-0.1</v>
      </c>
      <c r="AI14" s="4">
        <v>-0.1</v>
      </c>
      <c r="AJ14" s="4">
        <v>0</v>
      </c>
      <c r="AK14" s="4">
        <v>0</v>
      </c>
      <c r="AL14" s="4">
        <v>0</v>
      </c>
      <c r="AM14" s="4"/>
      <c r="AO14" s="4">
        <f>SUM(C14:F14)</f>
        <v>5.7</v>
      </c>
      <c r="AP14" s="4">
        <f>SUM(G14:J14)</f>
        <v>6.8000000000000007</v>
      </c>
      <c r="AQ14" s="4">
        <f>SUM(K14:N14)</f>
        <v>-7.1999999999999993</v>
      </c>
      <c r="AR14" s="4">
        <f>SUM(O14:R14)</f>
        <v>-2.1000000000000005</v>
      </c>
      <c r="AS14" s="4">
        <f>SUM(S14:V14)</f>
        <v>20.8</v>
      </c>
      <c r="AT14" s="4">
        <f>SUM(W14:Z14)</f>
        <v>-24.9</v>
      </c>
      <c r="AU14" s="4">
        <f>SUM(AA14:AD14)</f>
        <v>-20.799999999999997</v>
      </c>
      <c r="AV14" s="4">
        <f>SUM(AE14:AH14)</f>
        <v>-0.1</v>
      </c>
      <c r="AW14" s="18">
        <f>SUM(AI14:AL14)</f>
        <v>-0.1</v>
      </c>
      <c r="AX14" s="4">
        <f t="shared" ref="AW14:BA14" si="67">-AW17*0.01</f>
        <v>-3.6339529999999683E-2</v>
      </c>
      <c r="AY14" s="4">
        <f t="shared" si="67"/>
        <v>-0.30507446344000011</v>
      </c>
      <c r="AZ14" s="4">
        <f t="shared" si="67"/>
        <v>-0.71551736802751964</v>
      </c>
      <c r="BA14" s="4">
        <f t="shared" si="67"/>
        <v>-0.94136154996821875</v>
      </c>
      <c r="BB14" s="4">
        <f t="shared" ref="BB14" si="68">-BA17*0.01</f>
        <v>-1.1344491822454723</v>
      </c>
      <c r="BC14" s="4">
        <f t="shared" ref="BC14" si="69">-BB17*0.01</f>
        <v>-1.190842254376218</v>
      </c>
      <c r="BD14" s="4">
        <f t="shared" ref="BD14" si="70">-BC17*0.01</f>
        <v>-1.2475618374999986</v>
      </c>
      <c r="BE14" s="4">
        <f t="shared" ref="BE14" si="71">-BD17*0.01</f>
        <v>-1.3057357325359413</v>
      </c>
      <c r="BF14" s="4">
        <f t="shared" ref="BF14:BG14" si="72">-BE17*0.01</f>
        <v>-1.3654052591984174</v>
      </c>
      <c r="BG14" s="4">
        <f t="shared" si="72"/>
        <v>-1.4266037239314022</v>
      </c>
    </row>
    <row r="15" spans="2:59" s="1" customFormat="1" x14ac:dyDescent="0.3">
      <c r="B15" s="1" t="s">
        <v>31</v>
      </c>
      <c r="C15" s="7">
        <f t="shared" ref="C15:O15" si="73">C13-C14</f>
        <v>45.799999999999983</v>
      </c>
      <c r="D15" s="7">
        <f t="shared" si="73"/>
        <v>-32.000000000000014</v>
      </c>
      <c r="E15" s="7">
        <f t="shared" si="73"/>
        <v>-26.499999999999993</v>
      </c>
      <c r="F15" s="7">
        <f t="shared" si="73"/>
        <v>-1.9000000000000057</v>
      </c>
      <c r="G15" s="7">
        <f t="shared" si="73"/>
        <v>64.099999999999952</v>
      </c>
      <c r="H15" s="7">
        <f t="shared" si="73"/>
        <v>-23.100000000000016</v>
      </c>
      <c r="I15" s="7">
        <f t="shared" si="73"/>
        <v>-13.299999999999988</v>
      </c>
      <c r="J15" s="7">
        <f t="shared" si="73"/>
        <v>-29.000000000000011</v>
      </c>
      <c r="K15" s="7">
        <f t="shared" si="73"/>
        <v>72.500000000000028</v>
      </c>
      <c r="L15" s="7">
        <f t="shared" si="73"/>
        <v>-54.099999999999987</v>
      </c>
      <c r="M15" s="7">
        <f t="shared" si="73"/>
        <v>-56.89999999999997</v>
      </c>
      <c r="N15" s="7">
        <f t="shared" si="73"/>
        <v>18.400000000000006</v>
      </c>
      <c r="O15" s="7">
        <f t="shared" si="73"/>
        <v>141.50000000000003</v>
      </c>
      <c r="P15" s="7">
        <f t="shared" ref="P15:Q15" si="74">P13-P14</f>
        <v>10.700000000000012</v>
      </c>
      <c r="Q15" s="7">
        <f t="shared" si="74"/>
        <v>18.799999999999955</v>
      </c>
      <c r="R15" s="7">
        <f t="shared" ref="R15" si="75">R13-R14</f>
        <v>-14.000000000000018</v>
      </c>
      <c r="S15" s="7">
        <f t="shared" ref="S15:T15" si="76">S13-S14</f>
        <v>131.19999999999999</v>
      </c>
      <c r="T15" s="7">
        <f t="shared" si="76"/>
        <v>7.9000000000000226</v>
      </c>
      <c r="U15" s="7">
        <f t="shared" ref="U15" si="77">U13-U14</f>
        <v>-2.5999999999999996</v>
      </c>
      <c r="V15" s="7">
        <f t="shared" ref="V15:W15" si="78">V13-V14</f>
        <v>-67.499999999999943</v>
      </c>
      <c r="W15" s="7">
        <f t="shared" si="78"/>
        <v>111.80000000000001</v>
      </c>
      <c r="X15" s="7">
        <f t="shared" ref="X15" si="79">X13-X14</f>
        <v>-57.000000000000014</v>
      </c>
      <c r="Y15" s="7">
        <f t="shared" ref="Y15" si="80">Y13-Y14</f>
        <v>-17.799999999999983</v>
      </c>
      <c r="Z15" s="7">
        <f t="shared" ref="Z15:AA15" si="81">Z13-Z14</f>
        <v>-32.599999999999952</v>
      </c>
      <c r="AA15" s="7">
        <f t="shared" si="81"/>
        <v>92.899999999999991</v>
      </c>
      <c r="AB15" s="7">
        <f t="shared" ref="AB15" si="82">AB13-AB14</f>
        <v>-70.299999999999983</v>
      </c>
      <c r="AC15" s="7">
        <f t="shared" ref="AC15" si="83">AC13-AC14</f>
        <v>12.600000000000023</v>
      </c>
      <c r="AD15" s="7">
        <f t="shared" ref="AD15:AH15" si="84">AD13-AD14</f>
        <v>-62.300000000000004</v>
      </c>
      <c r="AE15" s="7">
        <f t="shared" si="84"/>
        <v>43.999999999999986</v>
      </c>
      <c r="AF15" s="7">
        <f t="shared" si="84"/>
        <v>-58.999999999999993</v>
      </c>
      <c r="AG15" s="7">
        <f t="shared" si="84"/>
        <v>-0.8000000000000056</v>
      </c>
      <c r="AH15" s="7">
        <f t="shared" si="84"/>
        <v>-34.400000000000027</v>
      </c>
      <c r="AI15" s="7">
        <f t="shared" ref="AI15:AL15" si="85">AI13-AI14</f>
        <v>73.361999999999995</v>
      </c>
      <c r="AJ15" s="7">
        <f t="shared" si="85"/>
        <v>-53.629599999999982</v>
      </c>
      <c r="AK15" s="7">
        <f t="shared" si="85"/>
        <v>3.1203600000000336</v>
      </c>
      <c r="AL15" s="7">
        <f t="shared" si="85"/>
        <v>-31.854689999999977</v>
      </c>
      <c r="AM15" s="7"/>
      <c r="AO15" s="7">
        <f>AO13-AO14</f>
        <v>-14.599999999999977</v>
      </c>
      <c r="AP15" s="7">
        <f>AP13-AP14</f>
        <v>-1.3000000000001144</v>
      </c>
      <c r="AQ15" s="7">
        <f>AQ13-AQ14</f>
        <v>-20.100000000000183</v>
      </c>
      <c r="AR15" s="7">
        <f t="shared" ref="AR15:BA15" si="86">AR13-AR14</f>
        <v>156.99999999999986</v>
      </c>
      <c r="AS15" s="7">
        <f t="shared" si="86"/>
        <v>68.999999999999957</v>
      </c>
      <c r="AT15" s="7">
        <f t="shared" si="86"/>
        <v>4.3999999999996575</v>
      </c>
      <c r="AU15" s="7">
        <f t="shared" si="86"/>
        <v>-27.09999999999998</v>
      </c>
      <c r="AV15" s="7">
        <f t="shared" si="86"/>
        <v>-50.199999999999953</v>
      </c>
      <c r="AW15" s="7">
        <f t="shared" si="86"/>
        <v>0.39755999999997582</v>
      </c>
      <c r="AX15" s="7">
        <f t="shared" si="86"/>
        <v>38.134307930000013</v>
      </c>
      <c r="AY15" s="7">
        <f t="shared" si="86"/>
        <v>89.439671003439955</v>
      </c>
      <c r="AZ15" s="7">
        <f t="shared" si="86"/>
        <v>117.67019374602734</v>
      </c>
      <c r="BA15" s="7">
        <f t="shared" si="86"/>
        <v>141.80614778068403</v>
      </c>
      <c r="BB15" s="7">
        <f t="shared" ref="BB15:BF15" si="87">BB13-BB14</f>
        <v>148.85528179702726</v>
      </c>
      <c r="BC15" s="7">
        <f t="shared" si="87"/>
        <v>155.94522968749982</v>
      </c>
      <c r="BD15" s="7">
        <f t="shared" si="87"/>
        <v>163.21696656699268</v>
      </c>
      <c r="BE15" s="7">
        <f t="shared" si="87"/>
        <v>170.67565739980216</v>
      </c>
      <c r="BF15" s="7">
        <f t="shared" si="87"/>
        <v>178.32546549142526</v>
      </c>
      <c r="BG15" s="7">
        <f t="shared" ref="BG15" si="88">BG13-BG14</f>
        <v>186.17063269373455</v>
      </c>
    </row>
    <row r="16" spans="2:59" x14ac:dyDescent="0.3">
      <c r="B16" t="s">
        <v>32</v>
      </c>
      <c r="C16" s="4">
        <v>0</v>
      </c>
      <c r="D16" s="4">
        <v>0.6</v>
      </c>
      <c r="E16" s="4">
        <v>0.5</v>
      </c>
      <c r="F16" s="4">
        <v>-0.1</v>
      </c>
      <c r="G16" s="4">
        <v>2.5</v>
      </c>
      <c r="H16" s="4">
        <v>-0.2</v>
      </c>
      <c r="I16" s="4">
        <v>0.8</v>
      </c>
      <c r="J16" s="4">
        <v>0.6</v>
      </c>
      <c r="K16" s="4">
        <v>1.7</v>
      </c>
      <c r="L16" s="4">
        <v>-1.8</v>
      </c>
      <c r="M16" s="4">
        <v>0.2</v>
      </c>
      <c r="N16" s="4">
        <v>0</v>
      </c>
      <c r="O16" s="4">
        <v>9.1</v>
      </c>
      <c r="P16" s="4">
        <v>-6.5</v>
      </c>
      <c r="Q16" s="4">
        <v>0.9</v>
      </c>
      <c r="R16" s="4">
        <v>-5.0999999999999996</v>
      </c>
      <c r="S16" s="4">
        <v>7.6</v>
      </c>
      <c r="T16" s="4">
        <v>-0.8</v>
      </c>
      <c r="U16" s="4">
        <v>-2.1</v>
      </c>
      <c r="V16" s="4">
        <v>-3.5</v>
      </c>
      <c r="W16" s="4">
        <v>36.5</v>
      </c>
      <c r="X16" s="4">
        <v>-26.4</v>
      </c>
      <c r="Y16" s="4">
        <v>5.9</v>
      </c>
      <c r="Z16" s="4">
        <v>-1.3</v>
      </c>
      <c r="AA16" s="4">
        <v>12</v>
      </c>
      <c r="AB16" s="4">
        <v>-0.7</v>
      </c>
      <c r="AC16" s="4">
        <v>8.9</v>
      </c>
      <c r="AD16" s="4">
        <v>-9.1999999999999993</v>
      </c>
      <c r="AE16" s="4">
        <v>-6.4</v>
      </c>
      <c r="AF16" s="4">
        <v>11</v>
      </c>
      <c r="AG16" s="4">
        <v>2.6</v>
      </c>
      <c r="AH16" s="4">
        <v>3.5</v>
      </c>
      <c r="AI16" s="4">
        <v>5</v>
      </c>
      <c r="AJ16" s="4">
        <f>AJ15*0.1</f>
        <v>-5.3629599999999984</v>
      </c>
      <c r="AK16" s="4">
        <f t="shared" ref="AK16:AL16" si="89">AK15*0.1</f>
        <v>0.31203600000000337</v>
      </c>
      <c r="AL16" s="4">
        <f t="shared" si="89"/>
        <v>-3.1854689999999977</v>
      </c>
      <c r="AM16" s="4"/>
      <c r="AO16" s="4">
        <f>SUM(C16:F16)</f>
        <v>1</v>
      </c>
      <c r="AP16" s="4">
        <f>SUM(G16:J16)</f>
        <v>3.6999999999999997</v>
      </c>
      <c r="AQ16" s="4">
        <f>SUM(K16:N16)</f>
        <v>9.9999999999999922E-2</v>
      </c>
      <c r="AR16" s="4">
        <f>SUM(O16:R16)</f>
        <v>-1.6</v>
      </c>
      <c r="AS16" s="4">
        <f>SUM(S16:V16)</f>
        <v>1.1999999999999993</v>
      </c>
      <c r="AT16" s="4">
        <f>SUM(W16:Z16)</f>
        <v>14.7</v>
      </c>
      <c r="AU16" s="4">
        <f>SUM(AA16:AD16)</f>
        <v>11.000000000000004</v>
      </c>
      <c r="AV16" s="4">
        <f>SUM(AE16:AH16)</f>
        <v>10.7</v>
      </c>
      <c r="AW16" s="18">
        <f>SUM(AI16:AL16)</f>
        <v>-3.2363929999999925</v>
      </c>
      <c r="AX16" s="4">
        <f t="shared" ref="AX16:BA16" si="90">AX15*0.2</f>
        <v>7.6268615860000031</v>
      </c>
      <c r="AY16" s="4">
        <f t="shared" si="90"/>
        <v>17.88793420068799</v>
      </c>
      <c r="AZ16" s="4">
        <f t="shared" si="90"/>
        <v>23.534038749205468</v>
      </c>
      <c r="BA16" s="4">
        <f t="shared" si="90"/>
        <v>28.361229556136806</v>
      </c>
      <c r="BB16" s="4">
        <f t="shared" ref="BB16:BF16" si="91">BB15*0.2</f>
        <v>29.771056359405453</v>
      </c>
      <c r="BC16" s="4">
        <f t="shared" si="91"/>
        <v>31.189045937499966</v>
      </c>
      <c r="BD16" s="4">
        <f t="shared" si="91"/>
        <v>32.643393313398541</v>
      </c>
      <c r="BE16" s="4">
        <f t="shared" si="91"/>
        <v>34.135131479960435</v>
      </c>
      <c r="BF16" s="4">
        <f t="shared" si="91"/>
        <v>35.665093098285055</v>
      </c>
      <c r="BG16" s="4">
        <f t="shared" ref="BG16" si="92">BG15*0.2</f>
        <v>37.234126538746914</v>
      </c>
    </row>
    <row r="17" spans="2:181" s="1" customFormat="1" x14ac:dyDescent="0.3">
      <c r="B17" s="1" t="s">
        <v>33</v>
      </c>
      <c r="C17" s="7">
        <f t="shared" ref="C17:M17" si="93">C15-C16</f>
        <v>45.799999999999983</v>
      </c>
      <c r="D17" s="7">
        <f t="shared" si="93"/>
        <v>-32.600000000000016</v>
      </c>
      <c r="E17" s="7">
        <f t="shared" si="93"/>
        <v>-26.999999999999993</v>
      </c>
      <c r="F17" s="7">
        <f t="shared" si="93"/>
        <v>-1.8000000000000056</v>
      </c>
      <c r="G17" s="7">
        <f t="shared" si="93"/>
        <v>61.599999999999952</v>
      </c>
      <c r="H17" s="7">
        <f t="shared" si="93"/>
        <v>-22.900000000000016</v>
      </c>
      <c r="I17" s="7">
        <f t="shared" si="93"/>
        <v>-14.099999999999989</v>
      </c>
      <c r="J17" s="7">
        <f t="shared" si="93"/>
        <v>-29.600000000000012</v>
      </c>
      <c r="K17" s="7">
        <f t="shared" si="93"/>
        <v>70.800000000000026</v>
      </c>
      <c r="L17" s="7">
        <f t="shared" si="93"/>
        <v>-52.29999999999999</v>
      </c>
      <c r="M17" s="7">
        <f t="shared" si="93"/>
        <v>-57.099999999999973</v>
      </c>
      <c r="N17" s="7">
        <f t="shared" ref="N17:O17" si="94">N15-N16</f>
        <v>18.400000000000006</v>
      </c>
      <c r="O17" s="7">
        <f t="shared" si="94"/>
        <v>132.40000000000003</v>
      </c>
      <c r="P17" s="7">
        <f t="shared" ref="P17:Q17" si="95">P15-P16</f>
        <v>17.20000000000001</v>
      </c>
      <c r="Q17" s="7">
        <f t="shared" si="95"/>
        <v>17.899999999999956</v>
      </c>
      <c r="R17" s="7">
        <f t="shared" ref="R17" si="96">R15-R16</f>
        <v>-8.9000000000000181</v>
      </c>
      <c r="S17" s="7">
        <f t="shared" ref="S17:T17" si="97">S15-S16</f>
        <v>123.6</v>
      </c>
      <c r="T17" s="7">
        <f t="shared" si="97"/>
        <v>8.7000000000000224</v>
      </c>
      <c r="U17" s="7">
        <f t="shared" ref="U17" si="98">U15-U16</f>
        <v>-0.49999999999999956</v>
      </c>
      <c r="V17" s="7">
        <f t="shared" ref="V17:W17" si="99">V15-V16</f>
        <v>-63.999999999999943</v>
      </c>
      <c r="W17" s="7">
        <f t="shared" si="99"/>
        <v>75.300000000000011</v>
      </c>
      <c r="X17" s="7">
        <f t="shared" ref="X17" si="100">X15-X16</f>
        <v>-30.600000000000016</v>
      </c>
      <c r="Y17" s="7">
        <f t="shared" ref="Y17" si="101">Y15-Y16</f>
        <v>-23.699999999999982</v>
      </c>
      <c r="Z17" s="7">
        <f t="shared" ref="Z17:AA17" si="102">Z15-Z16</f>
        <v>-31.299999999999951</v>
      </c>
      <c r="AA17" s="7">
        <f t="shared" si="102"/>
        <v>80.899999999999991</v>
      </c>
      <c r="AB17" s="7">
        <f t="shared" ref="AB17" si="103">AB15-AB16</f>
        <v>-69.59999999999998</v>
      </c>
      <c r="AC17" s="7">
        <f t="shared" ref="AC17" si="104">AC15-AC16</f>
        <v>3.7000000000000224</v>
      </c>
      <c r="AD17" s="7">
        <f t="shared" ref="AD17:AH17" si="105">AD15-AD16</f>
        <v>-53.100000000000009</v>
      </c>
      <c r="AE17" s="7">
        <f t="shared" si="105"/>
        <v>50.399999999999984</v>
      </c>
      <c r="AF17" s="7">
        <f t="shared" si="105"/>
        <v>-70</v>
      </c>
      <c r="AG17" s="7">
        <f t="shared" si="105"/>
        <v>-3.4000000000000057</v>
      </c>
      <c r="AH17" s="7">
        <f t="shared" si="105"/>
        <v>-37.900000000000027</v>
      </c>
      <c r="AI17" s="7">
        <f t="shared" ref="AI17:AL17" si="106">AI15-AI16</f>
        <v>68.361999999999995</v>
      </c>
      <c r="AJ17" s="7">
        <f t="shared" si="106"/>
        <v>-48.266639999999981</v>
      </c>
      <c r="AK17" s="7">
        <f t="shared" si="106"/>
        <v>2.80832400000003</v>
      </c>
      <c r="AL17" s="7">
        <f t="shared" si="106"/>
        <v>-28.669220999999979</v>
      </c>
      <c r="AM17" s="7"/>
      <c r="AN17" s="7"/>
      <c r="AO17" s="7">
        <f>AO15-AO16</f>
        <v>-15.599999999999977</v>
      </c>
      <c r="AP17" s="7">
        <f>AP15-AP16</f>
        <v>-5.0000000000001137</v>
      </c>
      <c r="AQ17" s="7">
        <f>AQ15-AQ16</f>
        <v>-20.200000000000184</v>
      </c>
      <c r="AR17" s="7">
        <f t="shared" ref="AR17:BA17" si="107">AR15-AR16</f>
        <v>158.59999999999985</v>
      </c>
      <c r="AS17" s="7">
        <f t="shared" si="107"/>
        <v>67.799999999999955</v>
      </c>
      <c r="AT17" s="7">
        <f t="shared" si="107"/>
        <v>-10.300000000000342</v>
      </c>
      <c r="AU17" s="7">
        <f t="shared" si="107"/>
        <v>-38.09999999999998</v>
      </c>
      <c r="AV17" s="7">
        <f t="shared" si="107"/>
        <v>-60.899999999999949</v>
      </c>
      <c r="AW17" s="7">
        <f t="shared" si="107"/>
        <v>3.6339529999999685</v>
      </c>
      <c r="AX17" s="7">
        <f t="shared" si="107"/>
        <v>30.507446344000009</v>
      </c>
      <c r="AY17" s="7">
        <f t="shared" si="107"/>
        <v>71.551736802751961</v>
      </c>
      <c r="AZ17" s="7">
        <f t="shared" si="107"/>
        <v>94.136154996821872</v>
      </c>
      <c r="BA17" s="7">
        <f t="shared" si="107"/>
        <v>113.44491822454722</v>
      </c>
      <c r="BB17" s="7">
        <f t="shared" ref="BB17:BF17" si="108">BB15-BB16</f>
        <v>119.08422543762181</v>
      </c>
      <c r="BC17" s="7">
        <f t="shared" si="108"/>
        <v>124.75618374999985</v>
      </c>
      <c r="BD17" s="7">
        <f t="shared" si="108"/>
        <v>130.57357325359413</v>
      </c>
      <c r="BE17" s="7">
        <f t="shared" si="108"/>
        <v>136.54052591984174</v>
      </c>
      <c r="BF17" s="7">
        <f t="shared" si="108"/>
        <v>142.66037239314022</v>
      </c>
      <c r="BG17" s="7">
        <f t="shared" ref="BG17" si="109">BG15-BG16</f>
        <v>148.93650615498763</v>
      </c>
      <c r="BH17" s="1">
        <f>BF17*(1+$BJ$26)</f>
        <v>141.23376866920881</v>
      </c>
      <c r="BI17" s="1">
        <f t="shared" ref="BI17:DT17" si="110">BH17*(1+$BJ$26)</f>
        <v>139.82143098251672</v>
      </c>
      <c r="BJ17" s="1">
        <f t="shared" si="110"/>
        <v>138.42321667269155</v>
      </c>
      <c r="BK17" s="1">
        <f t="shared" si="110"/>
        <v>137.03898450596463</v>
      </c>
      <c r="BL17" s="1">
        <f t="shared" si="110"/>
        <v>135.668594660905</v>
      </c>
      <c r="BM17" s="1">
        <f t="shared" si="110"/>
        <v>134.31190871429595</v>
      </c>
      <c r="BN17" s="1">
        <f t="shared" si="110"/>
        <v>132.968789627153</v>
      </c>
      <c r="BO17" s="1">
        <f t="shared" si="110"/>
        <v>131.63910173088146</v>
      </c>
      <c r="BP17" s="1">
        <f t="shared" si="110"/>
        <v>130.32271071357266</v>
      </c>
      <c r="BQ17" s="1">
        <f t="shared" si="110"/>
        <v>129.01948360643692</v>
      </c>
      <c r="BR17" s="1">
        <f t="shared" si="110"/>
        <v>127.72928877037255</v>
      </c>
      <c r="BS17" s="1">
        <f t="shared" si="110"/>
        <v>126.45199588266883</v>
      </c>
      <c r="BT17" s="1">
        <f t="shared" si="110"/>
        <v>125.18747592384213</v>
      </c>
      <c r="BU17" s="1">
        <f t="shared" si="110"/>
        <v>123.93560116460371</v>
      </c>
      <c r="BV17" s="1">
        <f t="shared" si="110"/>
        <v>122.69624515295767</v>
      </c>
      <c r="BW17" s="1">
        <f t="shared" si="110"/>
        <v>121.4692827014281</v>
      </c>
      <c r="BX17" s="1">
        <f t="shared" si="110"/>
        <v>120.25458987441382</v>
      </c>
      <c r="BY17" s="1">
        <f t="shared" si="110"/>
        <v>119.05204397566969</v>
      </c>
      <c r="BZ17" s="1">
        <f t="shared" si="110"/>
        <v>117.86152353591299</v>
      </c>
      <c r="CA17" s="1">
        <f t="shared" si="110"/>
        <v>116.68290830055386</v>
      </c>
      <c r="CB17" s="1">
        <f t="shared" si="110"/>
        <v>115.51607921754832</v>
      </c>
      <c r="CC17" s="1">
        <f t="shared" si="110"/>
        <v>114.36091842537284</v>
      </c>
      <c r="CD17" s="1">
        <f t="shared" si="110"/>
        <v>113.21730924111911</v>
      </c>
      <c r="CE17" s="1">
        <f t="shared" si="110"/>
        <v>112.08513614870792</v>
      </c>
      <c r="CF17" s="1">
        <f t="shared" si="110"/>
        <v>110.96428478722083</v>
      </c>
      <c r="CG17" s="1">
        <f t="shared" si="110"/>
        <v>109.85464193934862</v>
      </c>
      <c r="CH17" s="1">
        <f t="shared" si="110"/>
        <v>108.75609551995514</v>
      </c>
      <c r="CI17" s="1">
        <f t="shared" si="110"/>
        <v>107.66853456475559</v>
      </c>
      <c r="CJ17" s="1">
        <f t="shared" si="110"/>
        <v>106.59184921910803</v>
      </c>
      <c r="CK17" s="1">
        <f t="shared" si="110"/>
        <v>105.52593072691694</v>
      </c>
      <c r="CL17" s="1">
        <f t="shared" si="110"/>
        <v>104.47067141964777</v>
      </c>
      <c r="CM17" s="1">
        <f t="shared" si="110"/>
        <v>103.42596470545129</v>
      </c>
      <c r="CN17" s="1">
        <f t="shared" si="110"/>
        <v>102.39170505839678</v>
      </c>
      <c r="CO17" s="1">
        <f t="shared" si="110"/>
        <v>101.36778800781281</v>
      </c>
      <c r="CP17" s="1">
        <f t="shared" si="110"/>
        <v>100.35411012773467</v>
      </c>
      <c r="CQ17" s="1">
        <f t="shared" si="110"/>
        <v>99.350569026457322</v>
      </c>
      <c r="CR17" s="1">
        <f t="shared" si="110"/>
        <v>98.357063336192752</v>
      </c>
      <c r="CS17" s="1">
        <f t="shared" si="110"/>
        <v>97.373492702830831</v>
      </c>
      <c r="CT17" s="1">
        <f t="shared" si="110"/>
        <v>96.399757775802527</v>
      </c>
      <c r="CU17" s="1">
        <f t="shared" si="110"/>
        <v>95.435760198044505</v>
      </c>
      <c r="CV17" s="1">
        <f t="shared" si="110"/>
        <v>94.481402596064058</v>
      </c>
      <c r="CW17" s="1">
        <f t="shared" si="110"/>
        <v>93.536588570103419</v>
      </c>
      <c r="CX17" s="1">
        <f t="shared" si="110"/>
        <v>92.601222684402387</v>
      </c>
      <c r="CY17" s="1">
        <f t="shared" si="110"/>
        <v>91.675210457558364</v>
      </c>
      <c r="CZ17" s="1">
        <f t="shared" si="110"/>
        <v>90.758458352982785</v>
      </c>
      <c r="DA17" s="1">
        <f t="shared" si="110"/>
        <v>89.85087376945296</v>
      </c>
      <c r="DB17" s="1">
        <f t="shared" si="110"/>
        <v>88.952365031758433</v>
      </c>
      <c r="DC17" s="1">
        <f t="shared" si="110"/>
        <v>88.062841381440847</v>
      </c>
      <c r="DD17" s="1">
        <f t="shared" si="110"/>
        <v>87.182212967626441</v>
      </c>
      <c r="DE17" s="1">
        <f t="shared" si="110"/>
        <v>86.31039083795018</v>
      </c>
      <c r="DF17" s="1">
        <f t="shared" si="110"/>
        <v>85.44728692957068</v>
      </c>
      <c r="DG17" s="1">
        <f t="shared" si="110"/>
        <v>84.592814060274975</v>
      </c>
      <c r="DH17" s="1">
        <f t="shared" si="110"/>
        <v>83.746885919672224</v>
      </c>
      <c r="DI17" s="1">
        <f t="shared" si="110"/>
        <v>82.909417060475505</v>
      </c>
      <c r="DJ17" s="1">
        <f t="shared" si="110"/>
        <v>82.080322889870743</v>
      </c>
      <c r="DK17" s="1">
        <f t="shared" si="110"/>
        <v>81.259519660972032</v>
      </c>
      <c r="DL17" s="1">
        <f t="shared" si="110"/>
        <v>80.446924464362311</v>
      </c>
      <c r="DM17" s="1">
        <f t="shared" si="110"/>
        <v>79.642455219718684</v>
      </c>
      <c r="DN17" s="1">
        <f t="shared" si="110"/>
        <v>78.846030667521489</v>
      </c>
      <c r="DO17" s="1">
        <f t="shared" si="110"/>
        <v>78.05757036084627</v>
      </c>
      <c r="DP17" s="1">
        <f t="shared" si="110"/>
        <v>77.276994657237807</v>
      </c>
      <c r="DQ17" s="1">
        <f t="shared" si="110"/>
        <v>76.504224710665426</v>
      </c>
      <c r="DR17" s="1">
        <f t="shared" si="110"/>
        <v>75.739182463558777</v>
      </c>
      <c r="DS17" s="1">
        <f t="shared" si="110"/>
        <v>74.981790638923187</v>
      </c>
      <c r="DT17" s="1">
        <f t="shared" si="110"/>
        <v>74.231972732533947</v>
      </c>
      <c r="DU17" s="1">
        <f t="shared" ref="DU17:FY17" si="111">DT17*(1+$BJ$26)</f>
        <v>73.489653005208609</v>
      </c>
      <c r="DV17" s="1">
        <f t="shared" si="111"/>
        <v>72.754756475156526</v>
      </c>
      <c r="DW17" s="1">
        <f t="shared" si="111"/>
        <v>72.027208910404966</v>
      </c>
      <c r="DX17" s="1">
        <f t="shared" si="111"/>
        <v>71.306936821300908</v>
      </c>
      <c r="DY17" s="1">
        <f t="shared" si="111"/>
        <v>70.593867453087896</v>
      </c>
      <c r="DZ17" s="1">
        <f t="shared" si="111"/>
        <v>69.887928778557011</v>
      </c>
      <c r="EA17" s="1">
        <f t="shared" si="111"/>
        <v>69.189049490771438</v>
      </c>
      <c r="EB17" s="1">
        <f t="shared" si="111"/>
        <v>68.497158995863728</v>
      </c>
      <c r="EC17" s="1">
        <f t="shared" si="111"/>
        <v>67.812187405905092</v>
      </c>
      <c r="ED17" s="1">
        <f t="shared" si="111"/>
        <v>67.134065531846048</v>
      </c>
      <c r="EE17" s="1">
        <f t="shared" si="111"/>
        <v>66.462724876527588</v>
      </c>
      <c r="EF17" s="1">
        <f t="shared" si="111"/>
        <v>65.798097627762317</v>
      </c>
      <c r="EG17" s="1">
        <f t="shared" si="111"/>
        <v>65.140116651484689</v>
      </c>
      <c r="EH17" s="1">
        <f t="shared" si="111"/>
        <v>64.488715484969845</v>
      </c>
      <c r="EI17" s="1">
        <f t="shared" si="111"/>
        <v>63.843828330120147</v>
      </c>
      <c r="EJ17" s="1">
        <f t="shared" si="111"/>
        <v>63.205390046818941</v>
      </c>
      <c r="EK17" s="1">
        <f t="shared" si="111"/>
        <v>62.573336146350748</v>
      </c>
      <c r="EL17" s="1">
        <f t="shared" si="111"/>
        <v>61.947602784887238</v>
      </c>
      <c r="EM17" s="1">
        <f t="shared" si="111"/>
        <v>61.328126757038362</v>
      </c>
      <c r="EN17" s="1">
        <f t="shared" si="111"/>
        <v>60.714845489467976</v>
      </c>
      <c r="EO17" s="1">
        <f t="shared" si="111"/>
        <v>60.107697034573299</v>
      </c>
      <c r="EP17" s="1">
        <f t="shared" si="111"/>
        <v>59.506620064227562</v>
      </c>
      <c r="EQ17" s="1">
        <f t="shared" si="111"/>
        <v>58.911553863585283</v>
      </c>
      <c r="ER17" s="1">
        <f t="shared" si="111"/>
        <v>58.322438324949431</v>
      </c>
      <c r="ES17" s="1">
        <f t="shared" si="111"/>
        <v>57.739213941699937</v>
      </c>
      <c r="ET17" s="1">
        <f t="shared" si="111"/>
        <v>57.161821802282937</v>
      </c>
      <c r="EU17" s="1">
        <f t="shared" si="111"/>
        <v>56.590203584260109</v>
      </c>
      <c r="EV17" s="1">
        <f t="shared" si="111"/>
        <v>56.024301548417505</v>
      </c>
      <c r="EW17" s="1">
        <f t="shared" si="111"/>
        <v>55.464058532933329</v>
      </c>
      <c r="EX17" s="1">
        <f t="shared" si="111"/>
        <v>54.909417947603998</v>
      </c>
      <c r="EY17" s="1">
        <f t="shared" si="111"/>
        <v>54.360323768127955</v>
      </c>
      <c r="EZ17" s="1">
        <f t="shared" si="111"/>
        <v>53.816720530446673</v>
      </c>
      <c r="FA17" s="1">
        <f t="shared" si="111"/>
        <v>53.278553325142205</v>
      </c>
      <c r="FB17" s="1">
        <f t="shared" si="111"/>
        <v>52.745767791890785</v>
      </c>
      <c r="FC17" s="1">
        <f t="shared" si="111"/>
        <v>52.218310113971874</v>
      </c>
      <c r="FD17" s="1">
        <f t="shared" si="111"/>
        <v>51.696127012832157</v>
      </c>
      <c r="FE17" s="1">
        <f t="shared" si="111"/>
        <v>51.179165742703837</v>
      </c>
      <c r="FF17" s="1">
        <f t="shared" si="111"/>
        <v>50.667374085276798</v>
      </c>
      <c r="FG17" s="1">
        <f t="shared" si="111"/>
        <v>50.160700344424029</v>
      </c>
      <c r="FH17" s="1">
        <f t="shared" si="111"/>
        <v>49.659093340979787</v>
      </c>
      <c r="FI17" s="1">
        <f t="shared" si="111"/>
        <v>49.162502407569988</v>
      </c>
      <c r="FJ17" s="1">
        <f t="shared" si="111"/>
        <v>48.670877383494286</v>
      </c>
      <c r="FK17" s="1">
        <f t="shared" si="111"/>
        <v>48.184168609659345</v>
      </c>
      <c r="FL17" s="1">
        <f t="shared" si="111"/>
        <v>47.702326923562751</v>
      </c>
      <c r="FM17" s="1">
        <f t="shared" si="111"/>
        <v>47.225303654327121</v>
      </c>
      <c r="FN17" s="1">
        <f t="shared" si="111"/>
        <v>46.753050617783849</v>
      </c>
      <c r="FO17" s="1">
        <f t="shared" si="111"/>
        <v>46.285520111606012</v>
      </c>
      <c r="FP17" s="1">
        <f t="shared" si="111"/>
        <v>45.822664910489948</v>
      </c>
      <c r="FQ17" s="1">
        <f t="shared" si="111"/>
        <v>45.364438261385047</v>
      </c>
      <c r="FR17" s="1">
        <f t="shared" si="111"/>
        <v>44.910793878771194</v>
      </c>
      <c r="FS17" s="1">
        <f t="shared" si="111"/>
        <v>44.461685939983482</v>
      </c>
      <c r="FT17" s="1">
        <f t="shared" si="111"/>
        <v>44.017069080583646</v>
      </c>
      <c r="FU17" s="1">
        <f t="shared" si="111"/>
        <v>43.57689838977781</v>
      </c>
      <c r="FV17" s="1">
        <f t="shared" si="111"/>
        <v>43.141129405880029</v>
      </c>
      <c r="FW17" s="1">
        <f t="shared" si="111"/>
        <v>42.709718111821232</v>
      </c>
      <c r="FX17" s="1">
        <f t="shared" si="111"/>
        <v>42.282620930703018</v>
      </c>
      <c r="FY17" s="1">
        <f t="shared" si="111"/>
        <v>41.859794721395986</v>
      </c>
    </row>
    <row r="18" spans="2:181" x14ac:dyDescent="0.3">
      <c r="B18" t="s">
        <v>2</v>
      </c>
      <c r="C18" s="4">
        <v>111</v>
      </c>
      <c r="D18" s="4">
        <v>111</v>
      </c>
      <c r="E18" s="4">
        <v>111</v>
      </c>
      <c r="F18" s="4">
        <v>111</v>
      </c>
      <c r="G18" s="4">
        <v>111</v>
      </c>
      <c r="H18" s="4">
        <v>111</v>
      </c>
      <c r="I18" s="4">
        <v>111</v>
      </c>
      <c r="J18" s="4">
        <v>111</v>
      </c>
      <c r="K18" s="4">
        <v>111</v>
      </c>
      <c r="L18" s="4">
        <v>111</v>
      </c>
      <c r="M18" s="4">
        <v>111</v>
      </c>
      <c r="N18" s="4">
        <v>113</v>
      </c>
      <c r="O18" s="4">
        <v>113</v>
      </c>
      <c r="P18" s="4">
        <v>113</v>
      </c>
      <c r="Q18" s="4">
        <v>121.4</v>
      </c>
      <c r="R18" s="4">
        <v>121.4</v>
      </c>
      <c r="S18" s="4">
        <v>121.4</v>
      </c>
      <c r="T18" s="4">
        <v>121.4</v>
      </c>
      <c r="U18" s="4">
        <v>121.4</v>
      </c>
      <c r="V18" s="4">
        <v>121.4</v>
      </c>
      <c r="W18" s="4">
        <v>121.4</v>
      </c>
      <c r="X18" s="4">
        <v>121.4</v>
      </c>
      <c r="Y18" s="4">
        <v>121.4</v>
      </c>
      <c r="Z18" s="4">
        <v>121.4</v>
      </c>
      <c r="AA18" s="4">
        <v>121.4</v>
      </c>
      <c r="AB18" s="4">
        <v>121.4</v>
      </c>
      <c r="AC18" s="4">
        <v>121.4</v>
      </c>
      <c r="AD18" s="4">
        <v>121.4</v>
      </c>
      <c r="AE18" s="4">
        <f>119.1</f>
        <v>119.1</v>
      </c>
      <c r="AF18" s="4">
        <v>120.1</v>
      </c>
      <c r="AG18" s="4">
        <v>120.1</v>
      </c>
      <c r="AH18" s="4">
        <f>120.6</f>
        <v>120.6</v>
      </c>
      <c r="AI18" s="4">
        <f>120.6</f>
        <v>120.6</v>
      </c>
      <c r="AJ18" s="4">
        <f t="shared" ref="AJ18:AL18" si="112">120.6</f>
        <v>120.6</v>
      </c>
      <c r="AK18" s="4">
        <f t="shared" si="112"/>
        <v>120.6</v>
      </c>
      <c r="AL18" s="4">
        <f t="shared" si="112"/>
        <v>120.6</v>
      </c>
      <c r="AM18" s="4"/>
      <c r="AO18" s="4">
        <v>111</v>
      </c>
      <c r="AP18" s="4">
        <v>111</v>
      </c>
      <c r="AQ18" s="4">
        <v>113</v>
      </c>
      <c r="AR18" s="4">
        <v>113</v>
      </c>
      <c r="AS18" s="4">
        <v>113</v>
      </c>
      <c r="AT18" s="4">
        <v>113</v>
      </c>
      <c r="AU18" s="4">
        <v>121.4</v>
      </c>
      <c r="AV18" s="4">
        <f>120.6</f>
        <v>120.6</v>
      </c>
      <c r="AW18" s="4">
        <f>120.6</f>
        <v>120.6</v>
      </c>
      <c r="AX18" s="4">
        <f>120.6</f>
        <v>120.6</v>
      </c>
      <c r="AY18" s="4">
        <f>120.6</f>
        <v>120.6</v>
      </c>
      <c r="AZ18" s="4">
        <f>120.6</f>
        <v>120.6</v>
      </c>
      <c r="BA18" s="4">
        <f>120.6</f>
        <v>120.6</v>
      </c>
      <c r="BB18" s="4">
        <f>120.6</f>
        <v>120.6</v>
      </c>
      <c r="BC18" s="4">
        <f>120.6</f>
        <v>120.6</v>
      </c>
      <c r="BD18" s="4">
        <f>120.6</f>
        <v>120.6</v>
      </c>
      <c r="BE18" s="4">
        <f>120.6</f>
        <v>120.6</v>
      </c>
      <c r="BF18" s="4">
        <f>120.6</f>
        <v>120.6</v>
      </c>
      <c r="BG18" s="4">
        <f>120.6</f>
        <v>120.6</v>
      </c>
    </row>
    <row r="19" spans="2:181" s="1" customFormat="1" x14ac:dyDescent="0.3">
      <c r="B19" s="1" t="s">
        <v>34</v>
      </c>
      <c r="C19" s="9">
        <f t="shared" ref="C19:M19" si="113">C17/C18</f>
        <v>0.41261261261261245</v>
      </c>
      <c r="D19" s="9">
        <f t="shared" si="113"/>
        <v>-0.29369369369369386</v>
      </c>
      <c r="E19" s="9">
        <f t="shared" si="113"/>
        <v>-0.24324324324324317</v>
      </c>
      <c r="F19" s="9">
        <f t="shared" si="113"/>
        <v>-1.6216216216216266E-2</v>
      </c>
      <c r="G19" s="9">
        <f t="shared" si="113"/>
        <v>0.5549549549549545</v>
      </c>
      <c r="H19" s="9">
        <f t="shared" si="113"/>
        <v>-0.20630630630630645</v>
      </c>
      <c r="I19" s="9">
        <f t="shared" si="113"/>
        <v>-0.12702702702702692</v>
      </c>
      <c r="J19" s="9">
        <f t="shared" si="113"/>
        <v>-0.26666666666666677</v>
      </c>
      <c r="K19" s="9">
        <f t="shared" si="113"/>
        <v>0.6378378378378381</v>
      </c>
      <c r="L19" s="9">
        <f t="shared" si="113"/>
        <v>-0.47117117117117108</v>
      </c>
      <c r="M19" s="9">
        <f t="shared" si="113"/>
        <v>-0.51441441441441416</v>
      </c>
      <c r="N19" s="9">
        <f t="shared" ref="N19:O19" si="114">N17/N18</f>
        <v>0.1628318584070797</v>
      </c>
      <c r="O19" s="9">
        <f t="shared" si="114"/>
        <v>1.1716814159292039</v>
      </c>
      <c r="P19" s="9">
        <f t="shared" ref="P19:Q19" si="115">P17/P18</f>
        <v>0.15221238938053105</v>
      </c>
      <c r="Q19" s="9">
        <f t="shared" si="115"/>
        <v>0.14744645799011497</v>
      </c>
      <c r="R19" s="9">
        <f t="shared" ref="R19" si="116">R17/R18</f>
        <v>-7.331136738056028E-2</v>
      </c>
      <c r="S19" s="9">
        <f t="shared" ref="S19:T19" si="117">S17/S18</f>
        <v>1.0181219110378912</v>
      </c>
      <c r="T19" s="9">
        <f t="shared" si="117"/>
        <v>7.1663920922570193E-2</v>
      </c>
      <c r="U19" s="9">
        <f t="shared" ref="U19" si="118">U17/U18</f>
        <v>-4.1186161449752847E-3</v>
      </c>
      <c r="V19" s="9">
        <f t="shared" ref="V19:W19" si="119">V17/V18</f>
        <v>-0.52718286655683644</v>
      </c>
      <c r="W19" s="9">
        <f t="shared" si="119"/>
        <v>0.62026359143327847</v>
      </c>
      <c r="X19" s="9">
        <f t="shared" ref="X19" si="120">X17/X18</f>
        <v>-0.25205930807248778</v>
      </c>
      <c r="Y19" s="9">
        <f t="shared" ref="Y19" si="121">Y17/Y18</f>
        <v>-0.19522240527182849</v>
      </c>
      <c r="Z19" s="9">
        <f t="shared" ref="Z19:AA19" si="122">Z17/Z18</f>
        <v>-0.25782537067545264</v>
      </c>
      <c r="AA19" s="9">
        <f t="shared" si="122"/>
        <v>0.66639209225700158</v>
      </c>
      <c r="AB19" s="9">
        <f t="shared" ref="AB19" si="123">AB17/AB18</f>
        <v>-0.57331136738055999</v>
      </c>
      <c r="AC19" s="9">
        <f t="shared" ref="AC19" si="124">AC17/AC18</f>
        <v>3.0477759472817317E-2</v>
      </c>
      <c r="AD19" s="9">
        <f t="shared" ref="AD19:AH19" si="125">AD17/AD18</f>
        <v>-0.43739703459637569</v>
      </c>
      <c r="AE19" s="9">
        <f t="shared" si="125"/>
        <v>0.42317380352644823</v>
      </c>
      <c r="AF19" s="9">
        <f t="shared" si="125"/>
        <v>-0.5828476269775188</v>
      </c>
      <c r="AG19" s="9">
        <f t="shared" si="125"/>
        <v>-2.8309741881765244E-2</v>
      </c>
      <c r="AH19" s="9">
        <f t="shared" si="125"/>
        <v>-0.31426202321724733</v>
      </c>
      <c r="AI19" s="9">
        <f t="shared" ref="AI19:AL19" si="126">AI17/AI18</f>
        <v>0.56684908789386401</v>
      </c>
      <c r="AJ19" s="9">
        <f t="shared" si="126"/>
        <v>-0.40022089552238793</v>
      </c>
      <c r="AK19" s="9">
        <f t="shared" si="126"/>
        <v>2.3286268656716669E-2</v>
      </c>
      <c r="AL19" s="9">
        <f t="shared" si="126"/>
        <v>-0.23772156716417894</v>
      </c>
      <c r="AM19" s="9"/>
      <c r="AO19" s="9">
        <f>AO17/AO18</f>
        <v>-0.14054054054054033</v>
      </c>
      <c r="AP19" s="9">
        <f>AP17/AP18</f>
        <v>-4.504504504504607E-2</v>
      </c>
      <c r="AQ19" s="9">
        <f>AQ17/AQ18</f>
        <v>-0.17876106194690428</v>
      </c>
      <c r="AR19" s="9">
        <f t="shared" ref="AR19:BA19" si="127">AR17/AR18</f>
        <v>1.4035398230088483</v>
      </c>
      <c r="AS19" s="9">
        <f t="shared" si="127"/>
        <v>0.59999999999999964</v>
      </c>
      <c r="AT19" s="9">
        <f t="shared" si="127"/>
        <v>-9.1150442477879137E-2</v>
      </c>
      <c r="AU19" s="9">
        <f t="shared" si="127"/>
        <v>-0.31383855024711677</v>
      </c>
      <c r="AV19" s="9">
        <f t="shared" si="127"/>
        <v>-0.5049751243781091</v>
      </c>
      <c r="AW19" s="9">
        <f t="shared" si="127"/>
        <v>3.0132280265339706E-2</v>
      </c>
      <c r="AX19" s="9">
        <f t="shared" si="127"/>
        <v>0.2529639000331676</v>
      </c>
      <c r="AY19" s="9">
        <f t="shared" si="127"/>
        <v>0.59329798343907103</v>
      </c>
      <c r="AZ19" s="9">
        <f t="shared" si="127"/>
        <v>0.78056513264363081</v>
      </c>
      <c r="BA19" s="9">
        <f t="shared" si="127"/>
        <v>0.94067096371929704</v>
      </c>
      <c r="BB19" s="9">
        <f t="shared" ref="BB19:BF19" si="128">BB17/BB18</f>
        <v>0.98743138837165689</v>
      </c>
      <c r="BC19" s="9">
        <f t="shared" si="128"/>
        <v>1.034462551824211</v>
      </c>
      <c r="BD19" s="9">
        <f t="shared" si="128"/>
        <v>1.0826996123846944</v>
      </c>
      <c r="BE19" s="9">
        <f t="shared" si="128"/>
        <v>1.1321768318394838</v>
      </c>
      <c r="BF19" s="9">
        <f t="shared" si="128"/>
        <v>1.1829218274721411</v>
      </c>
      <c r="BG19" s="9">
        <f t="shared" ref="BG19" si="129">BG17/BG18</f>
        <v>1.2349627376035459</v>
      </c>
    </row>
    <row r="21" spans="2:181" x14ac:dyDescent="0.3">
      <c r="B21" t="s">
        <v>100</v>
      </c>
      <c r="AT21" s="11">
        <f t="shared" ref="AT21:AT23" si="130">AT3/AS3-1</f>
        <v>-5.5153773102491033E-2</v>
      </c>
      <c r="AU21" s="11">
        <f t="shared" ref="AU21:AU23" si="131">AU3/AT3-1</f>
        <v>-9.5716715633214933E-2</v>
      </c>
      <c r="AV21" s="11">
        <f t="shared" ref="AV21" si="132">AV3/AU3-1</f>
        <v>-4.0868673050615589E-2</v>
      </c>
    </row>
    <row r="22" spans="2:181" x14ac:dyDescent="0.3">
      <c r="B22" t="s">
        <v>101</v>
      </c>
      <c r="AT22" s="11">
        <f t="shared" si="130"/>
        <v>-4.0390440928980142E-2</v>
      </c>
      <c r="AU22" s="11">
        <f t="shared" si="131"/>
        <v>-6.1031217116801262E-2</v>
      </c>
      <c r="AV22" s="11">
        <f t="shared" ref="AV22:AV23" si="133">AV4/AU4-1</f>
        <v>-6.9107209562943583E-2</v>
      </c>
    </row>
    <row r="23" spans="2:181" x14ac:dyDescent="0.3">
      <c r="B23" t="s">
        <v>102</v>
      </c>
      <c r="AT23" s="11">
        <f t="shared" si="130"/>
        <v>-0.11008111239860952</v>
      </c>
      <c r="AU23" s="11">
        <f t="shared" si="131"/>
        <v>5.078125E-2</v>
      </c>
      <c r="AV23" s="11">
        <f t="shared" si="133"/>
        <v>-0.10532837670384143</v>
      </c>
    </row>
    <row r="24" spans="2:181" s="1" customFormat="1" x14ac:dyDescent="0.3">
      <c r="B24" s="1" t="s">
        <v>35</v>
      </c>
      <c r="G24" s="8">
        <f>G6/C6-1</f>
        <v>5.8422174840085273E-2</v>
      </c>
      <c r="H24" s="8">
        <f t="shared" ref="H24:N24" si="134">H6/D6-1</f>
        <v>0.12587038028923403</v>
      </c>
      <c r="I24" s="8">
        <f t="shared" si="134"/>
        <v>0.24808061420345506</v>
      </c>
      <c r="J24" s="8">
        <f t="shared" si="134"/>
        <v>7.8050567973616758E-2</v>
      </c>
      <c r="K24" s="8">
        <f t="shared" si="134"/>
        <v>0.13235294117647078</v>
      </c>
      <c r="L24" s="8">
        <f t="shared" si="134"/>
        <v>-0.16698382492863939</v>
      </c>
      <c r="M24" s="8">
        <f t="shared" si="134"/>
        <v>-4.152249134948105E-2</v>
      </c>
      <c r="N24" s="8">
        <f t="shared" si="134"/>
        <v>0.15499660095173362</v>
      </c>
      <c r="O24" s="8">
        <f t="shared" ref="O24" si="135">O6/K6-1</f>
        <v>0.14855008005692927</v>
      </c>
      <c r="P24" s="8">
        <f t="shared" ref="P24" si="136">P6/L6-1</f>
        <v>0.90119931467732717</v>
      </c>
      <c r="Q24" s="8">
        <f t="shared" ref="Q24" si="137">Q6/M6-1</f>
        <v>0.51905334937825898</v>
      </c>
      <c r="R24" s="8">
        <f t="shared" ref="R24" si="138">R6/N6-1</f>
        <v>5.768098881695094E-2</v>
      </c>
      <c r="S24" s="8">
        <f t="shared" ref="S24" si="139">S6/O6-1</f>
        <v>2.927509293680286E-2</v>
      </c>
      <c r="T24" s="8">
        <f t="shared" ref="T24" si="140">T6/P6-1</f>
        <v>0.2009612496245119</v>
      </c>
      <c r="U24" s="8">
        <f t="shared" ref="U24" si="141">U6/Q6-1</f>
        <v>-1.8220227092685448E-2</v>
      </c>
      <c r="V24" s="8">
        <f t="shared" ref="V24" si="142">V6/R6-1</f>
        <v>-0.11992209237618245</v>
      </c>
      <c r="W24" s="8">
        <f t="shared" ref="W24" si="143">W6/S6-1</f>
        <v>1.2189616252821667E-2</v>
      </c>
      <c r="X24" s="8">
        <f t="shared" ref="X24" si="144">X6/T6-1</f>
        <v>-0.23911955977988997</v>
      </c>
      <c r="Y24" s="8">
        <f t="shared" ref="Y24" si="145">Y6/U6-1</f>
        <v>4.3033889187733543E-3</v>
      </c>
      <c r="Z24" s="8">
        <f t="shared" ref="Z24" si="146">Z6/V6-1</f>
        <v>-3.54094214353462E-2</v>
      </c>
      <c r="AA24" s="8">
        <f t="shared" ref="AA24" si="147">AA6/W6-1</f>
        <v>-8.8760035682426519E-2</v>
      </c>
      <c r="AB24" s="8">
        <f t="shared" ref="AB24" si="148">AB6/X6-1</f>
        <v>-0.16929651545036162</v>
      </c>
      <c r="AC24" s="8">
        <f t="shared" ref="AC24" si="149">AC6/Y6-1</f>
        <v>6.3470808784145794E-2</v>
      </c>
      <c r="AD24" s="8">
        <f t="shared" ref="AD24" si="150">AD6/Z6-1</f>
        <v>-0.16289741068502139</v>
      </c>
      <c r="AE24" s="8">
        <f t="shared" ref="AE24" si="151">AE6/AA6-1</f>
        <v>-0.10115842714961654</v>
      </c>
      <c r="AF24" s="8">
        <f t="shared" ref="AF24" si="152">AF6/AB6-1</f>
        <v>2.8096557182429871E-2</v>
      </c>
      <c r="AG24" s="8">
        <f t="shared" ref="AG24" si="153">AG6/AC6-1</f>
        <v>-0.13170486023671624</v>
      </c>
      <c r="AH24" s="8">
        <f t="shared" ref="AH24" si="154">AH6/AD6-1</f>
        <v>0.1272513703993734</v>
      </c>
      <c r="AI24" s="8">
        <f t="shared" ref="AI24" si="155">AI6/AE6-1</f>
        <v>-2.8861862406970418E-2</v>
      </c>
      <c r="AJ24" s="8">
        <f t="shared" ref="AJ24" si="156">AJ6/AF6-1</f>
        <v>-1.0000000000000009E-2</v>
      </c>
      <c r="AK24" s="8">
        <f t="shared" ref="AK24" si="157">AK6/AG6-1</f>
        <v>7.0000000000000062E-2</v>
      </c>
      <c r="AL24" s="8">
        <f t="shared" ref="AL24" si="158">AL6/AH6-1</f>
        <v>9.000000000000008E-2</v>
      </c>
      <c r="AM24" s="8"/>
      <c r="AP24" s="8">
        <f>AP6/AO6-1</f>
        <v>0.10897097625329799</v>
      </c>
      <c r="AQ24" s="8">
        <f>AQ6/AP6-1</f>
        <v>5.1867713537949056E-2</v>
      </c>
      <c r="AR24" s="8">
        <f t="shared" ref="AR24:BA24" si="159">AR6/AQ6-1</f>
        <v>0.29427731282515257</v>
      </c>
      <c r="AS24" s="8">
        <f t="shared" si="159"/>
        <v>2.0855178841896693E-2</v>
      </c>
      <c r="AT24" s="8">
        <f t="shared" si="159"/>
        <v>-5.5409723807349986E-2</v>
      </c>
      <c r="AU24" s="8">
        <f t="shared" si="159"/>
        <v>-8.2885277593185425E-2</v>
      </c>
      <c r="AV24" s="8">
        <f t="shared" si="159"/>
        <v>-4.920624464791501E-2</v>
      </c>
      <c r="AW24" s="8">
        <f t="shared" si="159"/>
        <v>2.18574199806012E-2</v>
      </c>
      <c r="AX24" s="8">
        <f t="shared" si="159"/>
        <v>8.0000000000000071E-2</v>
      </c>
      <c r="AY24" s="8">
        <f t="shared" si="159"/>
        <v>5.0000000000000044E-2</v>
      </c>
      <c r="AZ24" s="8">
        <f t="shared" si="159"/>
        <v>3.0000000000000027E-2</v>
      </c>
      <c r="BA24" s="8">
        <f t="shared" si="159"/>
        <v>2.0000000000000018E-2</v>
      </c>
      <c r="BB24" s="8">
        <f t="shared" ref="BB24" si="160">BB6/BA6-1</f>
        <v>2.0000000000000018E-2</v>
      </c>
      <c r="BC24" s="8">
        <f t="shared" ref="BC24" si="161">BC6/BB6-1</f>
        <v>2.0000000000000018E-2</v>
      </c>
      <c r="BD24" s="8">
        <f t="shared" ref="BD24" si="162">BD6/BC6-1</f>
        <v>2.0000000000000018E-2</v>
      </c>
      <c r="BE24" s="8">
        <f t="shared" ref="BE24" si="163">BE6/BD6-1</f>
        <v>2.0000000000000018E-2</v>
      </c>
      <c r="BF24" s="8">
        <f t="shared" ref="BF24:BG24" si="164">BF6/BE6-1</f>
        <v>2.0000000000000018E-2</v>
      </c>
      <c r="BG24" s="8">
        <f t="shared" si="164"/>
        <v>2.0000000000000018E-2</v>
      </c>
    </row>
    <row r="25" spans="2:181" x14ac:dyDescent="0.3">
      <c r="B25" s="1" t="s">
        <v>36</v>
      </c>
      <c r="C25" s="11">
        <f>C8/C6</f>
        <v>0.41833688699360339</v>
      </c>
      <c r="D25" s="11">
        <f t="shared" ref="D25:N25" si="165">D8/D6</f>
        <v>0.43545795393679693</v>
      </c>
      <c r="E25" s="11">
        <f t="shared" si="165"/>
        <v>0.45825335892514396</v>
      </c>
      <c r="F25" s="11">
        <f t="shared" si="165"/>
        <v>0.42579699523635028</v>
      </c>
      <c r="G25" s="11">
        <f t="shared" si="165"/>
        <v>0.39343271555197412</v>
      </c>
      <c r="H25" s="11">
        <f t="shared" si="165"/>
        <v>0.43006660323501428</v>
      </c>
      <c r="I25" s="11">
        <f t="shared" si="165"/>
        <v>0.45098039215686275</v>
      </c>
      <c r="J25" s="11">
        <f t="shared" si="165"/>
        <v>0.42250169952413319</v>
      </c>
      <c r="K25" s="11">
        <f t="shared" si="165"/>
        <v>0.40491015833481592</v>
      </c>
      <c r="L25" s="11">
        <f t="shared" si="165"/>
        <v>0.41690462592804112</v>
      </c>
      <c r="M25" s="11">
        <f t="shared" si="165"/>
        <v>0.44043321299638993</v>
      </c>
      <c r="N25" s="11">
        <f t="shared" si="165"/>
        <v>0.47527957622130662</v>
      </c>
      <c r="O25" s="11">
        <f t="shared" ref="O25:R25" si="166">O8/O6</f>
        <v>0.46375464684014872</v>
      </c>
      <c r="P25" s="11">
        <f t="shared" si="166"/>
        <v>0.49774707119255029</v>
      </c>
      <c r="Q25" s="11">
        <f t="shared" si="166"/>
        <v>0.46976498547663054</v>
      </c>
      <c r="R25" s="11">
        <f t="shared" si="166"/>
        <v>0.46410684474123537</v>
      </c>
      <c r="S25" s="11">
        <f t="shared" ref="S25:AH25" si="167">S8/S6</f>
        <v>0.47765237020316026</v>
      </c>
      <c r="T25" s="11">
        <f t="shared" si="167"/>
        <v>0.44797398699349678</v>
      </c>
      <c r="U25" s="11">
        <f t="shared" si="167"/>
        <v>0.47310381925766543</v>
      </c>
      <c r="V25" s="11">
        <f t="shared" si="167"/>
        <v>0.39234903572557706</v>
      </c>
      <c r="W25" s="11">
        <f t="shared" si="167"/>
        <v>0.42387749033600952</v>
      </c>
      <c r="X25" s="11">
        <f t="shared" si="167"/>
        <v>0.4326101249178172</v>
      </c>
      <c r="Y25" s="11">
        <f t="shared" si="167"/>
        <v>0.46009641135511514</v>
      </c>
      <c r="Z25" s="11">
        <f t="shared" si="167"/>
        <v>0.41953457882661427</v>
      </c>
      <c r="AA25" s="11">
        <f t="shared" si="167"/>
        <v>0.46124979605155819</v>
      </c>
      <c r="AB25" s="11">
        <f t="shared" si="167"/>
        <v>0.44360902255639095</v>
      </c>
      <c r="AC25" s="11">
        <f t="shared" si="167"/>
        <v>0.48249811130697562</v>
      </c>
      <c r="AD25" s="11">
        <f t="shared" si="167"/>
        <v>0.40328895849647611</v>
      </c>
      <c r="AE25" s="11">
        <f t="shared" si="167"/>
        <v>0.438192049373752</v>
      </c>
      <c r="AF25" s="11">
        <f t="shared" si="167"/>
        <v>0.43764434180138573</v>
      </c>
      <c r="AG25" s="11">
        <f t="shared" si="167"/>
        <v>0.43445475638051045</v>
      </c>
      <c r="AH25" s="11">
        <f t="shared" si="167"/>
        <v>0.4369572768322334</v>
      </c>
      <c r="AI25" s="11">
        <f t="shared" ref="AI25:AL25" si="168">AI8/AI6</f>
        <v>0.45</v>
      </c>
      <c r="AJ25" s="11">
        <f t="shared" si="168"/>
        <v>0.44</v>
      </c>
      <c r="AK25" s="11">
        <f t="shared" si="168"/>
        <v>0.44000000000000006</v>
      </c>
      <c r="AL25" s="11">
        <f t="shared" si="168"/>
        <v>0.44000000000000006</v>
      </c>
      <c r="AM25" s="11"/>
      <c r="AO25" s="11">
        <f t="shared" ref="AO25:AQ25" si="169">AO8/AO6</f>
        <v>0.43025505716798595</v>
      </c>
      <c r="AP25" s="11">
        <f t="shared" si="169"/>
        <v>0.41819335395352519</v>
      </c>
      <c r="AQ25" s="11">
        <f t="shared" si="169"/>
        <v>0.4311995777727512</v>
      </c>
      <c r="AR25" s="11">
        <f t="shared" ref="AR25:BA25" si="170">AR8/AR6</f>
        <v>0.47174647559128502</v>
      </c>
      <c r="AS25" s="11">
        <f t="shared" si="170"/>
        <v>0.45451951609221641</v>
      </c>
      <c r="AT25" s="11">
        <f t="shared" si="170"/>
        <v>0.43285205098773621</v>
      </c>
      <c r="AU25" s="11">
        <f t="shared" si="170"/>
        <v>0.45412028193136156</v>
      </c>
      <c r="AV25" s="11">
        <f t="shared" si="170"/>
        <v>0.43695441319107664</v>
      </c>
      <c r="AW25" s="11">
        <f t="shared" si="170"/>
        <v>0.45</v>
      </c>
      <c r="AX25" s="11">
        <f t="shared" si="170"/>
        <v>0.46</v>
      </c>
      <c r="AY25" s="11">
        <f t="shared" si="170"/>
        <v>0.47</v>
      </c>
      <c r="AZ25" s="11">
        <f t="shared" si="170"/>
        <v>0.47000000000000003</v>
      </c>
      <c r="BA25" s="11">
        <f t="shared" si="170"/>
        <v>0.47</v>
      </c>
      <c r="BB25" s="11">
        <f t="shared" ref="BB25:BF25" si="171">BB8/BB6</f>
        <v>0.47</v>
      </c>
      <c r="BC25" s="11">
        <f t="shared" si="171"/>
        <v>0.47</v>
      </c>
      <c r="BD25" s="11">
        <f t="shared" si="171"/>
        <v>0.47000000000000003</v>
      </c>
      <c r="BE25" s="11">
        <f t="shared" si="171"/>
        <v>0.47</v>
      </c>
      <c r="BF25" s="11">
        <f t="shared" si="171"/>
        <v>0.47</v>
      </c>
      <c r="BG25" s="11">
        <f t="shared" ref="BG25" si="172">BG8/BG6</f>
        <v>0.47</v>
      </c>
    </row>
    <row r="26" spans="2:181" x14ac:dyDescent="0.3">
      <c r="B26" t="s">
        <v>37</v>
      </c>
      <c r="C26" s="11">
        <f>C13/C6</f>
        <v>9.8720682302771826E-2</v>
      </c>
      <c r="D26" s="11">
        <f t="shared" ref="D26:N26" si="173">D13/D6</f>
        <v>-0.18050348152115703</v>
      </c>
      <c r="E26" s="11">
        <f t="shared" si="173"/>
        <v>-0.10364683301343568</v>
      </c>
      <c r="F26" s="11">
        <f t="shared" si="173"/>
        <v>3.6643459142540974E-4</v>
      </c>
      <c r="G26" s="11">
        <f t="shared" si="173"/>
        <v>0.1379935535858178</v>
      </c>
      <c r="H26" s="11">
        <f t="shared" si="173"/>
        <v>-0.10941960038058998</v>
      </c>
      <c r="I26" s="11">
        <f t="shared" si="173"/>
        <v>-5.8439061899269465E-2</v>
      </c>
      <c r="J26" s="11">
        <f t="shared" si="173"/>
        <v>-8.4296397008837565E-2</v>
      </c>
      <c r="K26" s="11">
        <f t="shared" si="173"/>
        <v>0.12008539405799684</v>
      </c>
      <c r="L26" s="11">
        <f t="shared" si="173"/>
        <v>-0.30382638492290115</v>
      </c>
      <c r="M26" s="11">
        <f t="shared" si="173"/>
        <v>-0.22864019253910939</v>
      </c>
      <c r="N26" s="11">
        <f t="shared" si="173"/>
        <v>4.5320776927604486E-2</v>
      </c>
      <c r="O26" s="11">
        <f t="shared" ref="O26:R26" si="174">O13/O6</f>
        <v>0.21298017348203224</v>
      </c>
      <c r="P26" s="11">
        <f t="shared" si="174"/>
        <v>3.6948032442174865E-2</v>
      </c>
      <c r="Q26" s="11">
        <f t="shared" si="174"/>
        <v>4.4362292051755889E-2</v>
      </c>
      <c r="R26" s="11">
        <f t="shared" si="174"/>
        <v>-3.2554257095158648E-2</v>
      </c>
      <c r="S26" s="11">
        <f t="shared" ref="S26:AH26" si="175">S13/S6</f>
        <v>0.19969902182091798</v>
      </c>
      <c r="T26" s="11">
        <f t="shared" si="175"/>
        <v>2.5262631315657886E-2</v>
      </c>
      <c r="U26" s="11">
        <f t="shared" si="175"/>
        <v>1.8827326519634213E-2</v>
      </c>
      <c r="V26" s="11">
        <f t="shared" si="175"/>
        <v>-0.18969332911792583</v>
      </c>
      <c r="W26" s="11">
        <f t="shared" si="175"/>
        <v>0.12845673505798394</v>
      </c>
      <c r="X26" s="11">
        <f t="shared" si="175"/>
        <v>-0.18803418803418809</v>
      </c>
      <c r="Y26" s="11">
        <f t="shared" si="175"/>
        <v>-5.7043385109801781E-2</v>
      </c>
      <c r="Z26" s="11">
        <f t="shared" si="175"/>
        <v>-9.3084234677154862E-2</v>
      </c>
      <c r="AA26" s="11">
        <f t="shared" si="175"/>
        <v>0.13003752651329742</v>
      </c>
      <c r="AB26" s="11">
        <f t="shared" si="175"/>
        <v>-0.28017411950929949</v>
      </c>
      <c r="AC26" s="11">
        <f t="shared" si="175"/>
        <v>3.1730042810375274E-2</v>
      </c>
      <c r="AD26" s="11">
        <f t="shared" si="175"/>
        <v>-0.27173061863743148</v>
      </c>
      <c r="AE26" s="11">
        <f t="shared" si="175"/>
        <v>8.7493192956979465E-2</v>
      </c>
      <c r="AF26" s="11">
        <f t="shared" si="175"/>
        <v>-0.23518090839107003</v>
      </c>
      <c r="AG26" s="11">
        <f t="shared" si="175"/>
        <v>-8.4106728538283233E-3</v>
      </c>
      <c r="AH26" s="11">
        <f t="shared" si="175"/>
        <v>-0.11983327544286221</v>
      </c>
      <c r="AI26" s="11">
        <f t="shared" ref="AI26:AL26" si="176">AI13/AI6</f>
        <v>0.13693831775700935</v>
      </c>
      <c r="AJ26" s="11">
        <f t="shared" si="176"/>
        <v>-0.20851159788804124</v>
      </c>
      <c r="AK26" s="11">
        <f t="shared" si="176"/>
        <v>8.4577270854566469E-3</v>
      </c>
      <c r="AL26" s="11">
        <f t="shared" si="176"/>
        <v>-0.10150915678545359</v>
      </c>
      <c r="AM26" s="11"/>
      <c r="AO26" s="11">
        <f t="shared" ref="AO26:AQ26" si="177">AO13/AO6</f>
        <v>-7.8276165347405252E-3</v>
      </c>
      <c r="AP26" s="11">
        <f t="shared" si="177"/>
        <v>4.3619636767387475E-3</v>
      </c>
      <c r="AQ26" s="11">
        <f t="shared" si="177"/>
        <v>-2.0583578375933186E-2</v>
      </c>
      <c r="AR26" s="11">
        <f t="shared" ref="AR26:BA26" si="178">AR13/AR6</f>
        <v>9.02365140393801E-2</v>
      </c>
      <c r="AS26" s="11">
        <f t="shared" si="178"/>
        <v>5.1244008217301962E-2</v>
      </c>
      <c r="AT26" s="11">
        <f t="shared" si="178"/>
        <v>-1.2384462031051981E-2</v>
      </c>
      <c r="AU26" s="11">
        <f t="shared" si="178"/>
        <v>-3.1552598643040629E-2</v>
      </c>
      <c r="AV26" s="11">
        <f t="shared" si="178"/>
        <v>-3.48482749064708E-2</v>
      </c>
      <c r="AW26" s="11">
        <f t="shared" si="178"/>
        <v>2.0174256872608875E-4</v>
      </c>
      <c r="AX26" s="11">
        <f t="shared" si="178"/>
        <v>2.3916689096820758E-2</v>
      </c>
      <c r="AY26" s="11">
        <f t="shared" si="178"/>
        <v>5.329129141694184E-2</v>
      </c>
      <c r="AZ26" s="11">
        <f t="shared" si="178"/>
        <v>6.788757702049629E-2</v>
      </c>
      <c r="BA26" s="11">
        <f t="shared" si="178"/>
        <v>8.0163189010491423E-2</v>
      </c>
      <c r="BB26" s="11">
        <f t="shared" ref="BB26:BF26" si="179">BB13/BB6</f>
        <v>8.2416491079016038E-2</v>
      </c>
      <c r="BC26" s="11">
        <f t="shared" si="179"/>
        <v>8.4647701950790424E-2</v>
      </c>
      <c r="BD26" s="11">
        <f t="shared" si="179"/>
        <v>8.6857038206174852E-2</v>
      </c>
      <c r="BE26" s="11">
        <f t="shared" si="179"/>
        <v>8.9044714302192768E-2</v>
      </c>
      <c r="BF26" s="11">
        <f t="shared" si="179"/>
        <v>9.1210942593347652E-2</v>
      </c>
      <c r="BG26" s="11">
        <f t="shared" ref="BG26" si="180">BG13/BG6</f>
        <v>9.335593335223645E-2</v>
      </c>
      <c r="BI26" t="s">
        <v>40</v>
      </c>
      <c r="BJ26" s="11">
        <v>-0.01</v>
      </c>
    </row>
    <row r="27" spans="2:181" x14ac:dyDescent="0.3">
      <c r="B27" t="s">
        <v>39</v>
      </c>
      <c r="C27" s="11"/>
      <c r="D27" s="11"/>
      <c r="E27" s="11"/>
      <c r="F27" s="11"/>
      <c r="G27" s="11">
        <f t="shared" ref="G27:R27" si="181">G9/C9-1</f>
        <v>0.10746268656716418</v>
      </c>
      <c r="H27" s="11">
        <f t="shared" si="181"/>
        <v>0.13920454545454541</v>
      </c>
      <c r="I27" s="11">
        <f t="shared" si="181"/>
        <v>0.25423728813559321</v>
      </c>
      <c r="J27" s="11">
        <f t="shared" si="181"/>
        <v>0.30870712401055411</v>
      </c>
      <c r="K27" s="11">
        <f t="shared" si="181"/>
        <v>0.41509433962264142</v>
      </c>
      <c r="L27" s="11">
        <f t="shared" si="181"/>
        <v>0.23690773067331672</v>
      </c>
      <c r="M27" s="11">
        <f t="shared" si="181"/>
        <v>0.30180180180180183</v>
      </c>
      <c r="N27" s="11">
        <f t="shared" si="181"/>
        <v>0.10483870967741926</v>
      </c>
      <c r="O27" s="11">
        <f t="shared" si="181"/>
        <v>-3.8095238095238182E-3</v>
      </c>
      <c r="P27" s="11">
        <f t="shared" si="181"/>
        <v>0.13709677419354827</v>
      </c>
      <c r="Q27" s="11">
        <f t="shared" si="181"/>
        <v>-3.8062283737024138E-2</v>
      </c>
      <c r="R27" s="11">
        <f t="shared" si="181"/>
        <v>0.2007299270072993</v>
      </c>
      <c r="S27" s="11">
        <f t="shared" ref="S27" si="182">S9/O9-1</f>
        <v>0.17208413001912048</v>
      </c>
      <c r="T27" s="11">
        <f t="shared" ref="T27" si="183">T9/P9-1</f>
        <v>0.15070921985815611</v>
      </c>
      <c r="U27" s="11">
        <f t="shared" ref="U27" si="184">U9/Q9-1</f>
        <v>0.12410071942446033</v>
      </c>
      <c r="V27" s="11">
        <f t="shared" ref="V27" si="185">V9/R9-1</f>
        <v>2.2796352583586588E-2</v>
      </c>
      <c r="W27" s="11">
        <f t="shared" ref="W27" si="186">W9/S9-1</f>
        <v>0.25448613376835261</v>
      </c>
      <c r="X27" s="11">
        <f t="shared" ref="X27" si="187">X9/T9-1</f>
        <v>0.24499229583975324</v>
      </c>
      <c r="Y27" s="11">
        <f t="shared" ref="Y27" si="188">Y9/U9-1</f>
        <v>0.24479999999999991</v>
      </c>
      <c r="Z27" s="11">
        <f t="shared" ref="Z27" si="189">Z9/V9-1</f>
        <v>-2.6745913818722045E-2</v>
      </c>
      <c r="AA27" s="11">
        <f t="shared" ref="AA27" si="190">AA9/W9-1</f>
        <v>2.9908972691807589E-2</v>
      </c>
      <c r="AB27" s="11">
        <f t="shared" ref="AB27" si="191">AB9/X9-1</f>
        <v>-6.1881188118811936E-3</v>
      </c>
      <c r="AC27" s="11">
        <f t="shared" ref="AC27" si="192">AC9/Y9-1</f>
        <v>-4.6272493573264684E-2</v>
      </c>
      <c r="AD27" s="11">
        <f t="shared" ref="AD27" si="193">AD9/Z9-1</f>
        <v>8.0916030534351036E-2</v>
      </c>
      <c r="AE27" s="11">
        <f t="shared" ref="AE27" si="194">AE9/AA9-1</f>
        <v>2.020202020202011E-2</v>
      </c>
      <c r="AF27" s="11">
        <f t="shared" ref="AF27" si="195">AF9/AB9-1</f>
        <v>-3.6114570361145626E-2</v>
      </c>
      <c r="AG27" s="11">
        <f t="shared" ref="AG27" si="196">AG9/AC9-1</f>
        <v>-0.19407008086253374</v>
      </c>
      <c r="AH27" s="11">
        <f t="shared" ref="AH27" si="197">AH9/AD9-1</f>
        <v>-0.12429378531073443</v>
      </c>
      <c r="AI27" s="11">
        <f t="shared" ref="AI27" si="198">AI9/AE9-1</f>
        <v>-0.14000000000000001</v>
      </c>
      <c r="AJ27" s="11">
        <f t="shared" ref="AJ27" si="199">AJ9/AF9-1</f>
        <v>-5.0000000000000044E-2</v>
      </c>
      <c r="AK27" s="11">
        <f t="shared" ref="AK27" si="200">AK9/AG9-1</f>
        <v>3.0000000000000027E-2</v>
      </c>
      <c r="AL27" s="11">
        <f t="shared" ref="AL27" si="201">AL9/AH9-1</f>
        <v>7.0000000000000062E-2</v>
      </c>
      <c r="AM27" s="11"/>
      <c r="AO27" s="11"/>
      <c r="AP27" s="11">
        <f t="shared" ref="AP27:BA27" si="202">AP9/AO9-1</f>
        <v>0.20563380281690136</v>
      </c>
      <c r="AQ27" s="11">
        <f t="shared" si="202"/>
        <v>0.25408878504672905</v>
      </c>
      <c r="AR27" s="11">
        <f t="shared" si="202"/>
        <v>7.1727992547740982E-2</v>
      </c>
      <c r="AS27" s="11">
        <f t="shared" si="202"/>
        <v>0.11255975662755335</v>
      </c>
      <c r="AT27" s="11">
        <f t="shared" si="202"/>
        <v>0.17578125</v>
      </c>
      <c r="AU27" s="11">
        <f t="shared" si="202"/>
        <v>1.1627906976744207E-2</v>
      </c>
      <c r="AV27" s="11">
        <f t="shared" si="202"/>
        <v>-8.0459770114942541E-2</v>
      </c>
      <c r="AW27" s="11">
        <f t="shared" si="202"/>
        <v>-3.231428571428574E-2</v>
      </c>
      <c r="AX27" s="11">
        <f t="shared" si="202"/>
        <v>1.0000000000000009E-2</v>
      </c>
      <c r="AY27" s="11">
        <f t="shared" si="202"/>
        <v>1.0000000000000009E-2</v>
      </c>
      <c r="AZ27" s="11">
        <f t="shared" si="202"/>
        <v>1.0000000000000009E-2</v>
      </c>
      <c r="BA27" s="11">
        <f t="shared" si="202"/>
        <v>1.0000000000000009E-2</v>
      </c>
      <c r="BB27" s="11">
        <f t="shared" ref="BB27" si="203">BB9/BA9-1</f>
        <v>1.0000000000000009E-2</v>
      </c>
      <c r="BC27" s="11">
        <f t="shared" ref="BC27" si="204">BC9/BB9-1</f>
        <v>1.0000000000000009E-2</v>
      </c>
      <c r="BD27" s="11">
        <f t="shared" ref="BD27" si="205">BD9/BC9-1</f>
        <v>1.0000000000000009E-2</v>
      </c>
      <c r="BE27" s="11">
        <f t="shared" ref="BE27" si="206">BE9/BD9-1</f>
        <v>1.0000000000000009E-2</v>
      </c>
      <c r="BF27" s="11">
        <f t="shared" ref="BF27:BG27" si="207">BF9/BE9-1</f>
        <v>1.0000000000000009E-2</v>
      </c>
      <c r="BG27" s="11">
        <f t="shared" si="207"/>
        <v>1.0000000000000009E-2</v>
      </c>
      <c r="BI27" t="s">
        <v>41</v>
      </c>
      <c r="BJ27" s="11">
        <v>0.1</v>
      </c>
    </row>
    <row r="28" spans="2:181" x14ac:dyDescent="0.3">
      <c r="B28" t="s">
        <v>38</v>
      </c>
      <c r="C28" s="11">
        <f>C10/C6</f>
        <v>0.20042643923240938</v>
      </c>
      <c r="D28" s="11">
        <f t="shared" ref="D28:N28" si="208">D10/D6</f>
        <v>0.31708623460096413</v>
      </c>
      <c r="E28" s="11">
        <f t="shared" si="208"/>
        <v>0.29174664107485604</v>
      </c>
      <c r="F28" s="11">
        <f t="shared" si="208"/>
        <v>0.20813484792964457</v>
      </c>
      <c r="G28" s="11">
        <f t="shared" si="208"/>
        <v>0.13275584206285257</v>
      </c>
      <c r="H28" s="11">
        <f t="shared" si="208"/>
        <v>0.23501427212178877</v>
      </c>
      <c r="I28" s="11">
        <f t="shared" si="208"/>
        <v>0.23644752018454437</v>
      </c>
      <c r="J28" s="11">
        <f t="shared" si="208"/>
        <v>0.24099252209381375</v>
      </c>
      <c r="K28" s="11">
        <f t="shared" si="208"/>
        <v>0.13769791851983634</v>
      </c>
      <c r="L28" s="11">
        <f t="shared" si="208"/>
        <v>0.28840662478583667</v>
      </c>
      <c r="M28" s="11">
        <f t="shared" si="208"/>
        <v>0.31006819093461691</v>
      </c>
      <c r="N28" s="11">
        <f t="shared" si="208"/>
        <v>0.17157151265450263</v>
      </c>
      <c r="O28" s="11">
        <f t="shared" ref="O28:R28" si="209">O10/O6</f>
        <v>0.11524163568773235</v>
      </c>
      <c r="P28" s="11">
        <f t="shared" si="209"/>
        <v>0.17182337038149598</v>
      </c>
      <c r="Q28" s="11">
        <f t="shared" si="209"/>
        <v>0.17744916820702406</v>
      </c>
      <c r="R28" s="11">
        <f t="shared" si="209"/>
        <v>0.20367278797996663</v>
      </c>
      <c r="S28" s="11">
        <f t="shared" ref="S28:AH28" si="210">S10/S6</f>
        <v>0.12595936794582394</v>
      </c>
      <c r="T28" s="11">
        <f t="shared" si="210"/>
        <v>0.15007503751875936</v>
      </c>
      <c r="U28" s="11">
        <f t="shared" si="210"/>
        <v>0.17213555675094136</v>
      </c>
      <c r="V28" s="11">
        <f t="shared" si="210"/>
        <v>0.22952892823269047</v>
      </c>
      <c r="W28" s="11">
        <f t="shared" si="210"/>
        <v>0.11700862325304788</v>
      </c>
      <c r="X28" s="11">
        <f t="shared" si="210"/>
        <v>0.20907297830374755</v>
      </c>
      <c r="Y28" s="11">
        <f t="shared" si="210"/>
        <v>0.1783610069630423</v>
      </c>
      <c r="Z28" s="11">
        <f t="shared" si="210"/>
        <v>0.19206817436905932</v>
      </c>
      <c r="AA28" s="11">
        <f t="shared" si="210"/>
        <v>0.13705335291238374</v>
      </c>
      <c r="AB28" s="11">
        <f t="shared" si="210"/>
        <v>0.24455876533438861</v>
      </c>
      <c r="AC28" s="11">
        <f t="shared" si="210"/>
        <v>0.18030722739864011</v>
      </c>
      <c r="AD28" s="11">
        <f t="shared" si="210"/>
        <v>0.28660924040720437</v>
      </c>
      <c r="AE28" s="11">
        <f t="shared" si="210"/>
        <v>0.15719731348702123</v>
      </c>
      <c r="AF28" s="11">
        <f t="shared" si="210"/>
        <v>0.24711316397228639</v>
      </c>
      <c r="AG28" s="11">
        <f t="shared" si="210"/>
        <v>0.18155452436194897</v>
      </c>
      <c r="AH28" s="11">
        <f t="shared" si="210"/>
        <v>0.23549843695727685</v>
      </c>
      <c r="AI28" s="11">
        <f t="shared" ref="AI28:AL28" si="211">AI10/AI6</f>
        <v>0.14018691588785046</v>
      </c>
      <c r="AJ28" s="11">
        <f t="shared" si="211"/>
        <v>0.24</v>
      </c>
      <c r="AK28" s="11">
        <f t="shared" si="211"/>
        <v>0.17999999999999997</v>
      </c>
      <c r="AL28" s="11">
        <f t="shared" si="211"/>
        <v>0.23</v>
      </c>
      <c r="AM28" s="11"/>
      <c r="AO28" s="11">
        <f t="shared" ref="AO28:AQ28" si="212">AO10/AO6</f>
        <v>0.23817062445030784</v>
      </c>
      <c r="AP28" s="11">
        <f t="shared" si="212"/>
        <v>0.19644698231422003</v>
      </c>
      <c r="AQ28" s="11">
        <f t="shared" si="212"/>
        <v>0.19867300007539773</v>
      </c>
      <c r="AR28" s="11">
        <f t="shared" ref="AR28:BA28" si="213">AR10/AR6</f>
        <v>0.15845275544681348</v>
      </c>
      <c r="AS28" s="11">
        <f t="shared" si="213"/>
        <v>0.15995206573841586</v>
      </c>
      <c r="AT28" s="11">
        <f t="shared" si="213"/>
        <v>0.16160212650274877</v>
      </c>
      <c r="AU28" s="11">
        <f t="shared" si="213"/>
        <v>0.19142348988867666</v>
      </c>
      <c r="AV28" s="11">
        <f t="shared" si="213"/>
        <v>0.19481779132603572</v>
      </c>
      <c r="AW28" s="11">
        <f t="shared" si="213"/>
        <v>0.186659667554607</v>
      </c>
      <c r="AX28" s="11">
        <f t="shared" si="213"/>
        <v>0.18999999999999997</v>
      </c>
      <c r="AY28" s="11">
        <f t="shared" si="213"/>
        <v>0.18</v>
      </c>
      <c r="AZ28" s="11">
        <f t="shared" si="213"/>
        <v>0.17</v>
      </c>
      <c r="BA28" s="11">
        <f t="shared" si="213"/>
        <v>0.16</v>
      </c>
      <c r="BB28" s="11">
        <f t="shared" ref="BB28:BF28" si="214">BB10/BB6</f>
        <v>0.16</v>
      </c>
      <c r="BC28" s="11">
        <f t="shared" si="214"/>
        <v>0.16</v>
      </c>
      <c r="BD28" s="11">
        <f t="shared" si="214"/>
        <v>0.16</v>
      </c>
      <c r="BE28" s="11">
        <f t="shared" si="214"/>
        <v>0.16</v>
      </c>
      <c r="BF28" s="11">
        <f t="shared" si="214"/>
        <v>0.16</v>
      </c>
      <c r="BG28" s="11">
        <f t="shared" ref="BG28" si="215">BG10/BG6</f>
        <v>0.16</v>
      </c>
      <c r="BI28" t="s">
        <v>42</v>
      </c>
      <c r="BJ28" s="4">
        <f>NPV(BJ27,AW17:FY17)</f>
        <v>1024.2867249429244</v>
      </c>
    </row>
    <row r="29" spans="2:181" x14ac:dyDescent="0.3">
      <c r="B29" t="s">
        <v>54</v>
      </c>
      <c r="C29" s="11"/>
      <c r="D29" s="11"/>
      <c r="E29" s="11"/>
      <c r="F29" s="11"/>
      <c r="G29" s="11">
        <f t="shared" ref="G29:R29" si="216">G11/C11-1</f>
        <v>6.25E-2</v>
      </c>
      <c r="H29" s="11">
        <f t="shared" si="216"/>
        <v>0.16019417475728148</v>
      </c>
      <c r="I29" s="11">
        <f t="shared" si="216"/>
        <v>0.27272727272727293</v>
      </c>
      <c r="J29" s="11">
        <f t="shared" si="216"/>
        <v>0.33644859813084138</v>
      </c>
      <c r="K29" s="11">
        <f t="shared" si="216"/>
        <v>0.26890756302521002</v>
      </c>
      <c r="L29" s="11">
        <f t="shared" si="216"/>
        <v>9.205020920502105E-2</v>
      </c>
      <c r="M29" s="11">
        <f t="shared" si="216"/>
        <v>0.19172932330827064</v>
      </c>
      <c r="N29" s="11">
        <f t="shared" si="216"/>
        <v>0.15384615384615374</v>
      </c>
      <c r="O29" s="11">
        <f t="shared" si="216"/>
        <v>0.16556291390728495</v>
      </c>
      <c r="P29" s="11">
        <f t="shared" si="216"/>
        <v>0.52490421455938674</v>
      </c>
      <c r="Q29" s="11">
        <f t="shared" si="216"/>
        <v>0.20820189274447953</v>
      </c>
      <c r="R29" s="11">
        <f t="shared" si="216"/>
        <v>0.19696969696969702</v>
      </c>
      <c r="S29" s="11">
        <f t="shared" ref="S29" si="217">S11/O11-1</f>
        <v>0.12784090909090917</v>
      </c>
      <c r="T29" s="11">
        <f t="shared" ref="T29" si="218">T11/P11-1</f>
        <v>0.1080402010050252</v>
      </c>
      <c r="U29" s="11">
        <f t="shared" ref="U29" si="219">U11/Q11-1</f>
        <v>0.10704960835509136</v>
      </c>
      <c r="V29" s="11">
        <f t="shared" ref="V29" si="220">V11/R11-1</f>
        <v>0.11898734177215187</v>
      </c>
      <c r="W29" s="11">
        <f t="shared" ref="W29" si="221">W11/S11-1</f>
        <v>8.5642317380352662E-2</v>
      </c>
      <c r="X29" s="11">
        <f t="shared" ref="X29" si="222">X11/T11-1</f>
        <v>6.8027210884353817E-3</v>
      </c>
      <c r="Y29" s="11">
        <f t="shared" ref="Y29" si="223">Y11/U11-1</f>
        <v>0.14858490566037741</v>
      </c>
      <c r="Z29" s="11">
        <f t="shared" ref="Z29" si="224">Z11/V11-1</f>
        <v>-0.26923076923076938</v>
      </c>
      <c r="AA29" s="11">
        <f t="shared" ref="AA29" si="225">AA11/W11-1</f>
        <v>-7.6566125290023268E-2</v>
      </c>
      <c r="AB29" s="11">
        <f t="shared" ref="AB29" si="226">AB11/X11-1</f>
        <v>-8.1081081081081141E-2</v>
      </c>
      <c r="AC29" s="11">
        <f t="shared" ref="AC29" si="227">AC11/Y11-1</f>
        <v>-0.31827515400410678</v>
      </c>
      <c r="AD29" s="11">
        <f t="shared" ref="AD29" si="228">AD11/Z11-1</f>
        <v>-0.12074303405572751</v>
      </c>
      <c r="AE29" s="11">
        <f t="shared" ref="AE29" si="229">AE11/AA11-1</f>
        <v>-0.35175879396984921</v>
      </c>
      <c r="AF29" s="11">
        <f t="shared" ref="AF29" si="230">AF11/AB11-1</f>
        <v>-0.18627450980392146</v>
      </c>
      <c r="AG29" s="11">
        <f t="shared" ref="AG29" si="231">AG11/AC11-1</f>
        <v>-8.7349397590361533E-2</v>
      </c>
      <c r="AH29" s="11">
        <f t="shared" ref="AH29" si="232">AH11/AD11-1</f>
        <v>7.3943661971830998E-2</v>
      </c>
      <c r="AI29" s="11">
        <f t="shared" ref="AI29" si="233">AI11/AE11-1</f>
        <v>-0.10852713178294571</v>
      </c>
      <c r="AJ29" s="11">
        <f t="shared" ref="AJ29" si="234">AJ11/AF11-1</f>
        <v>-5.0000000000000044E-2</v>
      </c>
      <c r="AK29" s="11">
        <f t="shared" ref="AK29" si="235">AK11/AG11-1</f>
        <v>3.0000000000000027E-2</v>
      </c>
      <c r="AL29" s="11">
        <f t="shared" ref="AL29" si="236">AL11/AH11-1</f>
        <v>3.0000000000000027E-2</v>
      </c>
      <c r="AM29" s="11"/>
      <c r="AO29" s="11"/>
      <c r="AP29" s="11">
        <f t="shared" ref="AP29:BA29" si="237">AP11/AO11-1</f>
        <v>0.2063305978898009</v>
      </c>
      <c r="AQ29" s="11">
        <f t="shared" si="237"/>
        <v>0.17589893100097176</v>
      </c>
      <c r="AR29" s="11">
        <f t="shared" si="237"/>
        <v>0.26280991735537196</v>
      </c>
      <c r="AS29" s="11">
        <f t="shared" si="237"/>
        <v>0.11518324607329866</v>
      </c>
      <c r="AT29" s="11">
        <f t="shared" si="237"/>
        <v>-1.1150234741784226E-2</v>
      </c>
      <c r="AU29" s="11">
        <f t="shared" si="237"/>
        <v>-0.15608308605341248</v>
      </c>
      <c r="AV29" s="11">
        <f t="shared" si="237"/>
        <v>-0.15752461322081568</v>
      </c>
      <c r="AW29" s="11">
        <f t="shared" si="237"/>
        <v>-2.2003338898163416E-2</v>
      </c>
      <c r="AX29" s="11">
        <f t="shared" si="237"/>
        <v>1.0000000000000009E-2</v>
      </c>
      <c r="AY29" s="11">
        <f t="shared" si="237"/>
        <v>1.0000000000000009E-2</v>
      </c>
      <c r="AZ29" s="11">
        <f t="shared" si="237"/>
        <v>1.0000000000000009E-2</v>
      </c>
      <c r="BA29" s="11">
        <f t="shared" si="237"/>
        <v>1.0000000000000009E-2</v>
      </c>
      <c r="BB29" s="11">
        <f t="shared" ref="BB29" si="238">BB11/BA11-1</f>
        <v>1.0000000000000009E-2</v>
      </c>
      <c r="BC29" s="11">
        <f t="shared" ref="BC29" si="239">BC11/BB11-1</f>
        <v>1.0000000000000009E-2</v>
      </c>
      <c r="BD29" s="11">
        <f t="shared" ref="BD29" si="240">BD11/BC11-1</f>
        <v>1.0000000000000009E-2</v>
      </c>
      <c r="BE29" s="11">
        <f t="shared" ref="BE29" si="241">BE11/BD11-1</f>
        <v>1.0000000000000009E-2</v>
      </c>
      <c r="BF29" s="11">
        <f t="shared" ref="BF29:BG29" si="242">BF11/BE11-1</f>
        <v>1.0000000000000009E-2</v>
      </c>
      <c r="BG29" s="11">
        <f t="shared" si="242"/>
        <v>1.0000000000000009E-2</v>
      </c>
      <c r="BI29" t="s">
        <v>43</v>
      </c>
      <c r="BJ29" s="4">
        <f>Main!D8</f>
        <v>227.6</v>
      </c>
    </row>
    <row r="30" spans="2:181" x14ac:dyDescent="0.3">
      <c r="B30" t="s">
        <v>32</v>
      </c>
      <c r="C30" s="11">
        <f>C16/C15</f>
        <v>0</v>
      </c>
      <c r="D30" s="11">
        <f t="shared" ref="D30:N30" si="243">D16/D15</f>
        <v>-1.8749999999999992E-2</v>
      </c>
      <c r="E30" s="11">
        <f t="shared" si="243"/>
        <v>-1.8867924528301893E-2</v>
      </c>
      <c r="F30" s="11">
        <f t="shared" si="243"/>
        <v>5.2631578947368265E-2</v>
      </c>
      <c r="G30" s="11">
        <f t="shared" si="243"/>
        <v>3.9001560062402525E-2</v>
      </c>
      <c r="H30" s="11">
        <f t="shared" si="243"/>
        <v>8.6580086580086528E-3</v>
      </c>
      <c r="I30" s="11">
        <f t="shared" si="243"/>
        <v>-6.0150375939849683E-2</v>
      </c>
      <c r="J30" s="11">
        <f t="shared" si="243"/>
        <v>-2.0689655172413786E-2</v>
      </c>
      <c r="K30" s="11">
        <f t="shared" si="243"/>
        <v>2.3448275862068955E-2</v>
      </c>
      <c r="L30" s="11">
        <f t="shared" si="243"/>
        <v>3.3271719038817017E-2</v>
      </c>
      <c r="M30" s="11">
        <f t="shared" si="243"/>
        <v>-3.5149384885764519E-3</v>
      </c>
      <c r="N30" s="11">
        <f t="shared" si="243"/>
        <v>0</v>
      </c>
      <c r="O30" s="11">
        <f t="shared" ref="O30:R30" si="244">O16/O15</f>
        <v>6.4310954063604223E-2</v>
      </c>
      <c r="P30" s="11">
        <f t="shared" si="244"/>
        <v>-0.60747663551401798</v>
      </c>
      <c r="Q30" s="11">
        <f t="shared" si="244"/>
        <v>4.7872340425532033E-2</v>
      </c>
      <c r="R30" s="11">
        <f t="shared" si="244"/>
        <v>0.36428571428571382</v>
      </c>
      <c r="S30" s="11">
        <f t="shared" ref="S30:AH30" si="245">S16/S15</f>
        <v>5.7926829268292686E-2</v>
      </c>
      <c r="T30" s="11">
        <f t="shared" si="245"/>
        <v>-0.10126582278480985</v>
      </c>
      <c r="U30" s="11">
        <f t="shared" si="245"/>
        <v>0.80769230769230782</v>
      </c>
      <c r="V30" s="11">
        <f t="shared" si="245"/>
        <v>5.1851851851851899E-2</v>
      </c>
      <c r="W30" s="11">
        <f t="shared" si="245"/>
        <v>0.32647584973166366</v>
      </c>
      <c r="X30" s="11">
        <f t="shared" si="245"/>
        <v>0.46315789473684199</v>
      </c>
      <c r="Y30" s="11">
        <f t="shared" si="245"/>
        <v>-0.33146067415730368</v>
      </c>
      <c r="Z30" s="11">
        <f t="shared" si="245"/>
        <v>3.9877300613496994E-2</v>
      </c>
      <c r="AA30" s="11">
        <f t="shared" si="245"/>
        <v>0.12917115177610336</v>
      </c>
      <c r="AB30" s="11">
        <f t="shared" si="245"/>
        <v>9.9573257467994326E-3</v>
      </c>
      <c r="AC30" s="11">
        <f t="shared" si="245"/>
        <v>0.70634920634920506</v>
      </c>
      <c r="AD30" s="11">
        <f t="shared" si="245"/>
        <v>0.14767255216693417</v>
      </c>
      <c r="AE30" s="11">
        <f t="shared" si="245"/>
        <v>-0.1454545454545455</v>
      </c>
      <c r="AF30" s="11">
        <f t="shared" si="245"/>
        <v>-0.18644067796610173</v>
      </c>
      <c r="AG30" s="11">
        <f t="shared" si="245"/>
        <v>-3.2499999999999774</v>
      </c>
      <c r="AH30" s="11">
        <f t="shared" si="245"/>
        <v>-0.10174418604651154</v>
      </c>
      <c r="AI30" s="11">
        <f t="shared" ref="AI30:AL30" si="246">AI16/AI15</f>
        <v>6.8155175704042975E-2</v>
      </c>
      <c r="AJ30" s="11">
        <f t="shared" si="246"/>
        <v>0.1</v>
      </c>
      <c r="AK30" s="11">
        <f t="shared" si="246"/>
        <v>0.1</v>
      </c>
      <c r="AL30" s="11">
        <f t="shared" si="246"/>
        <v>0.1</v>
      </c>
      <c r="AM30" s="11"/>
      <c r="AO30" s="11">
        <f t="shared" ref="AO30:AQ30" si="247">AO16/AO15</f>
        <v>-6.8493150684931614E-2</v>
      </c>
      <c r="AP30" s="11">
        <f t="shared" si="247"/>
        <v>-2.8461538461535953</v>
      </c>
      <c r="AQ30" s="11">
        <f t="shared" si="247"/>
        <v>-4.9751243781094041E-3</v>
      </c>
      <c r="AR30" s="11">
        <f t="shared" ref="AR30:BA30" si="248">AR16/AR15</f>
        <v>-1.0191082802547781E-2</v>
      </c>
      <c r="AS30" s="11">
        <f t="shared" si="248"/>
        <v>1.7391304347826087E-2</v>
      </c>
      <c r="AT30" s="11">
        <f t="shared" si="248"/>
        <v>3.3409090909093506</v>
      </c>
      <c r="AU30" s="11">
        <f t="shared" si="248"/>
        <v>-0.40590405904059085</v>
      </c>
      <c r="AV30" s="11">
        <f t="shared" si="248"/>
        <v>-0.21314741035856591</v>
      </c>
      <c r="AW30" s="11">
        <f t="shared" si="248"/>
        <v>-8.1406404064800011</v>
      </c>
      <c r="AX30" s="11">
        <f t="shared" si="248"/>
        <v>0.2</v>
      </c>
      <c r="AY30" s="11">
        <f t="shared" si="248"/>
        <v>0.19999999999999998</v>
      </c>
      <c r="AZ30" s="11">
        <f t="shared" si="248"/>
        <v>0.2</v>
      </c>
      <c r="BA30" s="11">
        <f t="shared" si="248"/>
        <v>0.2</v>
      </c>
      <c r="BB30" s="11">
        <f t="shared" ref="BB30:BF30" si="249">BB16/BB15</f>
        <v>0.2</v>
      </c>
      <c r="BC30" s="11">
        <f t="shared" si="249"/>
        <v>0.2</v>
      </c>
      <c r="BD30" s="11">
        <f t="shared" si="249"/>
        <v>0.20000000000000004</v>
      </c>
      <c r="BE30" s="11">
        <f t="shared" si="249"/>
        <v>0.2</v>
      </c>
      <c r="BF30" s="11">
        <f t="shared" si="249"/>
        <v>0.2</v>
      </c>
      <c r="BG30" s="11">
        <f t="shared" ref="BG30" si="250">BG16/BG15</f>
        <v>0.2</v>
      </c>
      <c r="BI30" t="s">
        <v>44</v>
      </c>
      <c r="BJ30" s="4">
        <f>BJ28+BJ29</f>
        <v>1251.8867249429243</v>
      </c>
    </row>
    <row r="31" spans="2:181" x14ac:dyDescent="0.3">
      <c r="B31" t="s">
        <v>55</v>
      </c>
      <c r="C31" s="11">
        <f>C17/C6</f>
        <v>9.7654584221748358E-2</v>
      </c>
      <c r="D31" s="11">
        <f t="shared" ref="D31:BA31" si="251">D17/D6</f>
        <v>-0.17461167648634182</v>
      </c>
      <c r="E31" s="11">
        <f t="shared" si="251"/>
        <v>-0.12955854126679459</v>
      </c>
      <c r="F31" s="11">
        <f t="shared" si="251"/>
        <v>-6.5958226456577715E-3</v>
      </c>
      <c r="G31" s="11">
        <f t="shared" si="251"/>
        <v>0.12409347300564053</v>
      </c>
      <c r="H31" s="11">
        <f t="shared" si="251"/>
        <v>-0.10894386298763091</v>
      </c>
      <c r="I31" s="11">
        <f t="shared" si="251"/>
        <v>-5.420991926182233E-2</v>
      </c>
      <c r="J31" s="11">
        <f t="shared" si="251"/>
        <v>-0.10061182868796742</v>
      </c>
      <c r="K31" s="11">
        <f t="shared" si="251"/>
        <v>0.12595623554527668</v>
      </c>
      <c r="L31" s="11">
        <f t="shared" si="251"/>
        <v>-0.29868646487721295</v>
      </c>
      <c r="M31" s="11">
        <f t="shared" si="251"/>
        <v>-0.22904131568391484</v>
      </c>
      <c r="N31" s="11">
        <f t="shared" si="251"/>
        <v>5.4149499705709259E-2</v>
      </c>
      <c r="O31" s="11">
        <f t="shared" si="251"/>
        <v>0.20508054522924415</v>
      </c>
      <c r="P31" s="11">
        <f t="shared" si="251"/>
        <v>5.1667167317512801E-2</v>
      </c>
      <c r="Q31" s="11">
        <f t="shared" si="251"/>
        <v>4.7266965936097062E-2</v>
      </c>
      <c r="R31" s="11">
        <f t="shared" si="251"/>
        <v>-2.4763494713411292E-2</v>
      </c>
      <c r="S31" s="11">
        <f t="shared" ref="S31:AH31" si="252">S17/S6</f>
        <v>0.18600451467268622</v>
      </c>
      <c r="T31" s="11">
        <f t="shared" si="252"/>
        <v>2.1760880440220166E-2</v>
      </c>
      <c r="U31" s="11">
        <f t="shared" si="252"/>
        <v>-1.3448090371167283E-3</v>
      </c>
      <c r="V31" s="11">
        <f t="shared" si="252"/>
        <v>-0.20233955105912091</v>
      </c>
      <c r="W31" s="11">
        <f t="shared" si="252"/>
        <v>0.11195361284567353</v>
      </c>
      <c r="X31" s="11">
        <f t="shared" si="252"/>
        <v>-0.10059171597633142</v>
      </c>
      <c r="Y31" s="11">
        <f t="shared" si="252"/>
        <v>-6.3470808784145641E-2</v>
      </c>
      <c r="Z31" s="11">
        <f t="shared" si="252"/>
        <v>-0.10258931497869535</v>
      </c>
      <c r="AA31" s="11">
        <f t="shared" si="252"/>
        <v>0.1319954315549029</v>
      </c>
      <c r="AB31" s="11">
        <f t="shared" si="252"/>
        <v>-0.27542540561931139</v>
      </c>
      <c r="AC31" s="11">
        <f t="shared" si="252"/>
        <v>9.3175522538403981E-3</v>
      </c>
      <c r="AD31" s="11">
        <f t="shared" si="252"/>
        <v>-0.20790916209866878</v>
      </c>
      <c r="AE31" s="11">
        <f t="shared" si="252"/>
        <v>9.1486658195679776E-2</v>
      </c>
      <c r="AF31" s="11">
        <f t="shared" si="252"/>
        <v>-0.26943802925327176</v>
      </c>
      <c r="AG31" s="11">
        <f t="shared" si="252"/>
        <v>-9.8607888631090657E-3</v>
      </c>
      <c r="AH31" s="11">
        <f t="shared" si="252"/>
        <v>-0.1316429315734631</v>
      </c>
      <c r="AI31" s="11">
        <f t="shared" ref="AI31:AL31" si="253">AI17/AI6</f>
        <v>0.12777943925233645</v>
      </c>
      <c r="AJ31" s="11">
        <f t="shared" si="253"/>
        <v>-0.1876604380992371</v>
      </c>
      <c r="AK31" s="11">
        <f t="shared" si="253"/>
        <v>7.6119543769109814E-3</v>
      </c>
      <c r="AL31" s="11">
        <f t="shared" si="253"/>
        <v>-9.1358241106908239E-2</v>
      </c>
      <c r="AM31" s="11"/>
      <c r="AO31" s="11">
        <f t="shared" si="251"/>
        <v>-1.3720316622691272E-2</v>
      </c>
      <c r="AP31" s="11">
        <f t="shared" si="251"/>
        <v>-3.9654215243081249E-3</v>
      </c>
      <c r="AQ31" s="11">
        <f t="shared" si="251"/>
        <v>-1.5230340043730818E-2</v>
      </c>
      <c r="AR31" s="11">
        <f t="shared" si="251"/>
        <v>9.2391937550972775E-2</v>
      </c>
      <c r="AS31" s="11">
        <f t="shared" si="251"/>
        <v>3.8689796850034215E-2</v>
      </c>
      <c r="AT31" s="11">
        <f t="shared" si="251"/>
        <v>-6.222437020479879E-3</v>
      </c>
      <c r="AU31" s="11">
        <f t="shared" si="251"/>
        <v>-2.509716092484025E-2</v>
      </c>
      <c r="AV31" s="11">
        <f t="shared" si="251"/>
        <v>-4.2192046556740991E-2</v>
      </c>
      <c r="AW31" s="11">
        <f t="shared" si="251"/>
        <v>2.4637821375518535E-3</v>
      </c>
      <c r="AX31" s="11">
        <f t="shared" si="251"/>
        <v>1.9151601515512547E-2</v>
      </c>
      <c r="AY31" s="11">
        <f t="shared" si="251"/>
        <v>4.2778950097481186E-2</v>
      </c>
      <c r="AZ31" s="11">
        <f t="shared" si="251"/>
        <v>5.4642325306474553E-2</v>
      </c>
      <c r="BA31" s="11">
        <f t="shared" si="251"/>
        <v>6.4559118465698812E-2</v>
      </c>
      <c r="BB31" s="11">
        <f t="shared" ref="BB31:BF31" si="254">BB17/BB6</f>
        <v>6.6439538890394792E-2</v>
      </c>
      <c r="BC31" s="11">
        <f t="shared" si="254"/>
        <v>6.8239255983302105E-2</v>
      </c>
      <c r="BD31" s="11">
        <f t="shared" si="254"/>
        <v>7.0020840415789307E-2</v>
      </c>
      <c r="BE31" s="11">
        <f t="shared" si="254"/>
        <v>7.1784954503838844E-2</v>
      </c>
      <c r="BF31" s="11">
        <f t="shared" si="254"/>
        <v>7.3531773325688624E-2</v>
      </c>
      <c r="BG31" s="11">
        <f t="shared" ref="BG31" si="255">BG17/BG6</f>
        <v>7.5261466472578878E-2</v>
      </c>
      <c r="BI31" t="s">
        <v>45</v>
      </c>
      <c r="BJ31" s="5">
        <f>BJ30/BA18</f>
        <v>10.380486939825243</v>
      </c>
    </row>
    <row r="32" spans="2:181" x14ac:dyDescent="0.3">
      <c r="BI32" t="s">
        <v>46</v>
      </c>
      <c r="BJ32" s="5">
        <f>Main!D3</f>
        <v>16.64</v>
      </c>
    </row>
    <row r="33" spans="2:62" s="14" customFormat="1" x14ac:dyDescent="0.3">
      <c r="B33" s="14" t="s">
        <v>94</v>
      </c>
      <c r="AS33" s="15">
        <v>1188.4000000000001</v>
      </c>
      <c r="AT33" s="15">
        <f>1002.2</f>
        <v>1002.2</v>
      </c>
      <c r="AU33" s="15">
        <v>916.3</v>
      </c>
      <c r="AV33" s="15">
        <v>823.3</v>
      </c>
      <c r="BI33" s="1" t="s">
        <v>47</v>
      </c>
      <c r="BJ33" s="8">
        <f>BJ31/BJ32-1</f>
        <v>-0.37617265986627146</v>
      </c>
    </row>
    <row r="34" spans="2:62" x14ac:dyDescent="0.3">
      <c r="B34" t="s">
        <v>95</v>
      </c>
      <c r="AV34" s="16">
        <f>Main!D9/Model!AV33</f>
        <v>2.1610397182072147</v>
      </c>
      <c r="BI34" s="12" t="s">
        <v>48</v>
      </c>
      <c r="BJ34" s="13" t="s">
        <v>72</v>
      </c>
    </row>
    <row r="35" spans="2:62" x14ac:dyDescent="0.3">
      <c r="B35" t="s">
        <v>96</v>
      </c>
      <c r="AV35" s="11">
        <f>AV33/Main!D9-1</f>
        <v>-0.53725977751598486</v>
      </c>
    </row>
    <row r="37" spans="2:62" s="1" customFormat="1" x14ac:dyDescent="0.3">
      <c r="B37" s="1" t="s">
        <v>77</v>
      </c>
      <c r="AS37" s="7">
        <f>AS17</f>
        <v>67.799999999999955</v>
      </c>
      <c r="AT37" s="7">
        <f>AT17</f>
        <v>-10.300000000000342</v>
      </c>
      <c r="AU37" s="7">
        <f>AU17</f>
        <v>-38.09999999999998</v>
      </c>
      <c r="AV37" s="7">
        <f>AV17</f>
        <v>-60.899999999999949</v>
      </c>
      <c r="AW37" s="7">
        <f t="shared" ref="AW37:BF37" si="256">AW17</f>
        <v>3.6339529999999685</v>
      </c>
      <c r="AX37" s="7">
        <f t="shared" si="256"/>
        <v>30.507446344000009</v>
      </c>
      <c r="AY37" s="7">
        <f t="shared" si="256"/>
        <v>71.551736802751961</v>
      </c>
      <c r="AZ37" s="7">
        <f t="shared" si="256"/>
        <v>94.136154996821872</v>
      </c>
      <c r="BA37" s="7">
        <f t="shared" si="256"/>
        <v>113.44491822454722</v>
      </c>
      <c r="BB37" s="7">
        <f t="shared" si="256"/>
        <v>119.08422543762181</v>
      </c>
      <c r="BC37" s="7">
        <f t="shared" si="256"/>
        <v>124.75618374999985</v>
      </c>
      <c r="BD37" s="7">
        <f t="shared" si="256"/>
        <v>130.57357325359413</v>
      </c>
      <c r="BE37" s="7">
        <f t="shared" si="256"/>
        <v>136.54052591984174</v>
      </c>
      <c r="BF37" s="7">
        <f t="shared" si="256"/>
        <v>142.66037239314022</v>
      </c>
      <c r="BG37" s="7">
        <f t="shared" ref="BG37" si="257">BG17</f>
        <v>148.93650615498763</v>
      </c>
      <c r="BI37"/>
      <c r="BJ37"/>
    </row>
    <row r="38" spans="2:62" x14ac:dyDescent="0.3">
      <c r="B38" t="s">
        <v>78</v>
      </c>
      <c r="AS38" s="4">
        <v>38.5</v>
      </c>
      <c r="AT38" s="4">
        <v>49</v>
      </c>
      <c r="AU38" s="4">
        <v>84.3</v>
      </c>
      <c r="AV38" s="4">
        <v>81.599999999999994</v>
      </c>
      <c r="AW38" s="4">
        <f>AV38*0.95</f>
        <v>77.52</v>
      </c>
      <c r="AX38" s="4">
        <f>AW38*0.98</f>
        <v>75.9696</v>
      </c>
      <c r="AY38" s="4">
        <f>AX38*0.96</f>
        <v>72.930815999999993</v>
      </c>
      <c r="AZ38" s="4">
        <f t="shared" ref="AZ38:BF38" si="258">AY38*0.96</f>
        <v>70.013583359999984</v>
      </c>
      <c r="BA38" s="4">
        <f t="shared" si="258"/>
        <v>67.21304002559998</v>
      </c>
      <c r="BB38" s="4">
        <f t="shared" si="258"/>
        <v>64.524518424575973</v>
      </c>
      <c r="BC38" s="4">
        <f t="shared" si="258"/>
        <v>61.943537687592929</v>
      </c>
      <c r="BD38" s="4">
        <f t="shared" si="258"/>
        <v>59.465796180089207</v>
      </c>
      <c r="BE38" s="4">
        <f t="shared" si="258"/>
        <v>57.087164332885635</v>
      </c>
      <c r="BF38" s="4">
        <f t="shared" si="258"/>
        <v>54.803677759570206</v>
      </c>
      <c r="BG38" s="4">
        <f t="shared" ref="BG38" si="259">BF38*0.96</f>
        <v>52.611530649187394</v>
      </c>
    </row>
    <row r="39" spans="2:62" x14ac:dyDescent="0.3">
      <c r="B39" t="s">
        <v>79</v>
      </c>
      <c r="AS39" s="4">
        <v>0</v>
      </c>
      <c r="AT39" s="4">
        <v>5.5</v>
      </c>
      <c r="AU39" s="4">
        <v>52.4</v>
      </c>
      <c r="AV39" s="4">
        <v>62.3</v>
      </c>
      <c r="AW39" s="4">
        <f>AV39*1.02</f>
        <v>63.545999999999999</v>
      </c>
      <c r="AX39" s="4">
        <f t="shared" ref="AX39:BF39" si="260">AW39*1.02</f>
        <v>64.816919999999996</v>
      </c>
      <c r="AY39" s="4">
        <f t="shared" si="260"/>
        <v>66.113258399999992</v>
      </c>
      <c r="AZ39" s="4">
        <f t="shared" si="260"/>
        <v>67.435523567999994</v>
      </c>
      <c r="BA39" s="4">
        <f t="shared" si="260"/>
        <v>68.784234039360001</v>
      </c>
      <c r="BB39" s="4">
        <f t="shared" si="260"/>
        <v>70.159918720147203</v>
      </c>
      <c r="BC39" s="4">
        <f t="shared" si="260"/>
        <v>71.563117094550151</v>
      </c>
      <c r="BD39" s="4">
        <f t="shared" si="260"/>
        <v>72.99437943644115</v>
      </c>
      <c r="BE39" s="4">
        <f t="shared" si="260"/>
        <v>74.454267025169969</v>
      </c>
      <c r="BF39" s="4">
        <f t="shared" si="260"/>
        <v>75.943352365673363</v>
      </c>
      <c r="BG39" s="4">
        <f t="shared" ref="BG39" si="261">BF39*1.02</f>
        <v>77.462219412986826</v>
      </c>
    </row>
    <row r="40" spans="2:62" x14ac:dyDescent="0.3">
      <c r="B40" t="s">
        <v>80</v>
      </c>
      <c r="AS40" s="4">
        <v>75.599999999999994</v>
      </c>
      <c r="AT40" s="4">
        <v>76.900000000000006</v>
      </c>
      <c r="AU40" s="4">
        <v>8.9</v>
      </c>
      <c r="AV40" s="4">
        <v>8.1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0</v>
      </c>
      <c r="BC40" s="4">
        <v>0</v>
      </c>
      <c r="BD40" s="4">
        <v>0</v>
      </c>
      <c r="BE40" s="4">
        <v>0</v>
      </c>
      <c r="BF40" s="4">
        <v>0</v>
      </c>
      <c r="BG40" s="4">
        <v>0</v>
      </c>
    </row>
    <row r="41" spans="2:62" x14ac:dyDescent="0.3">
      <c r="B41" t="s">
        <v>81</v>
      </c>
      <c r="AS41" s="4">
        <v>6.3</v>
      </c>
      <c r="AT41" s="4">
        <v>20.6</v>
      </c>
      <c r="AU41" s="4">
        <v>2.2000000000000002</v>
      </c>
      <c r="AV41" s="4">
        <v>11.9</v>
      </c>
      <c r="AW41" s="4">
        <v>5</v>
      </c>
      <c r="AX41" s="4">
        <v>0</v>
      </c>
      <c r="AY41" s="4">
        <v>0</v>
      </c>
      <c r="AZ41" s="4">
        <v>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G41" s="4">
        <v>0</v>
      </c>
    </row>
    <row r="42" spans="2:62" x14ac:dyDescent="0.3">
      <c r="B42" t="s">
        <v>32</v>
      </c>
      <c r="AS42" s="4">
        <v>4.7</v>
      </c>
      <c r="AT42" s="4">
        <v>5.5</v>
      </c>
      <c r="AU42" s="4">
        <v>-18.899999999999999</v>
      </c>
      <c r="AV42" s="4">
        <v>0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0</v>
      </c>
      <c r="BC42" s="4">
        <v>0</v>
      </c>
      <c r="BD42" s="4">
        <v>0</v>
      </c>
      <c r="BE42" s="4">
        <v>0</v>
      </c>
      <c r="BF42" s="4">
        <v>0</v>
      </c>
      <c r="BG42" s="4">
        <v>0</v>
      </c>
    </row>
    <row r="43" spans="2:62" x14ac:dyDescent="0.3">
      <c r="B43" t="s">
        <v>82</v>
      </c>
      <c r="AS43" s="4">
        <v>-1.5</v>
      </c>
      <c r="AT43" s="4">
        <v>-0.6</v>
      </c>
      <c r="AU43" s="4">
        <v>3.7</v>
      </c>
      <c r="AV43" s="4">
        <v>3.8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G43" s="4">
        <v>0</v>
      </c>
    </row>
    <row r="44" spans="2:62" x14ac:dyDescent="0.3">
      <c r="B44" t="s">
        <v>83</v>
      </c>
      <c r="AS44" s="4">
        <v>10.8</v>
      </c>
      <c r="AT44" s="4">
        <v>-7.3</v>
      </c>
      <c r="AU44" s="4">
        <v>-7.3</v>
      </c>
      <c r="AV44" s="4">
        <v>2.4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0</v>
      </c>
      <c r="BC44" s="4">
        <v>0</v>
      </c>
      <c r="BD44" s="4">
        <v>0</v>
      </c>
      <c r="BE44" s="4">
        <v>0</v>
      </c>
      <c r="BF44" s="4">
        <v>0</v>
      </c>
      <c r="BG44" s="4">
        <v>0</v>
      </c>
    </row>
    <row r="45" spans="2:62" x14ac:dyDescent="0.3">
      <c r="B45" t="s">
        <v>84</v>
      </c>
      <c r="AS45" s="4">
        <v>-5.5</v>
      </c>
      <c r="AT45" s="4">
        <v>32.1</v>
      </c>
      <c r="AU45" s="4">
        <v>23</v>
      </c>
      <c r="AV45" s="4">
        <v>-21.9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0</v>
      </c>
      <c r="BC45" s="4">
        <v>0</v>
      </c>
      <c r="BD45" s="4">
        <v>0</v>
      </c>
      <c r="BE45" s="4">
        <v>0</v>
      </c>
      <c r="BF45" s="4">
        <v>0</v>
      </c>
      <c r="BG45" s="4">
        <v>0</v>
      </c>
    </row>
    <row r="46" spans="2:62" x14ac:dyDescent="0.3">
      <c r="B46" t="s">
        <v>85</v>
      </c>
      <c r="AS46" s="4">
        <v>-277.5</v>
      </c>
      <c r="AT46" s="4">
        <v>87</v>
      </c>
      <c r="AU46" s="4">
        <v>106.1</v>
      </c>
      <c r="AV46" s="4">
        <v>51.7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0</v>
      </c>
      <c r="BC46" s="4">
        <v>0</v>
      </c>
      <c r="BD46" s="4">
        <v>0</v>
      </c>
      <c r="BE46" s="4">
        <v>0</v>
      </c>
      <c r="BF46" s="4">
        <v>0</v>
      </c>
      <c r="BG46" s="4">
        <v>0</v>
      </c>
    </row>
    <row r="47" spans="2:62" x14ac:dyDescent="0.3">
      <c r="B47" t="s">
        <v>86</v>
      </c>
      <c r="AS47" s="4">
        <v>-16.600000000000001</v>
      </c>
      <c r="AT47" s="4">
        <v>10.5</v>
      </c>
      <c r="AU47" s="4">
        <v>-28.8</v>
      </c>
      <c r="AV47" s="4">
        <v>10.5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0</v>
      </c>
      <c r="BC47" s="4">
        <v>0</v>
      </c>
      <c r="BD47" s="4">
        <v>0</v>
      </c>
      <c r="BE47" s="4">
        <v>0</v>
      </c>
      <c r="BF47" s="4">
        <v>0</v>
      </c>
      <c r="BG47" s="4">
        <v>0</v>
      </c>
    </row>
    <row r="48" spans="2:62" x14ac:dyDescent="0.3">
      <c r="B48" t="s">
        <v>87</v>
      </c>
      <c r="AS48" s="4">
        <v>129.69999999999999</v>
      </c>
      <c r="AT48" s="4">
        <v>-162.30000000000001</v>
      </c>
      <c r="AU48" s="4">
        <v>-0.8</v>
      </c>
      <c r="AV48" s="4">
        <v>-14.4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0</v>
      </c>
      <c r="BC48" s="4">
        <v>0</v>
      </c>
      <c r="BD48" s="4">
        <v>0</v>
      </c>
      <c r="BE48" s="4">
        <v>0</v>
      </c>
      <c r="BF48" s="4">
        <v>0</v>
      </c>
      <c r="BG48" s="4">
        <v>0</v>
      </c>
    </row>
    <row r="49" spans="2:147" x14ac:dyDescent="0.3">
      <c r="B49" t="s">
        <v>88</v>
      </c>
      <c r="AS49" s="4">
        <v>-52.9</v>
      </c>
      <c r="AT49" s="4">
        <v>-2.2000000000000002</v>
      </c>
      <c r="AU49" s="4">
        <v>-6.8</v>
      </c>
      <c r="AV49" s="4">
        <v>5.2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G49" s="4">
        <v>0</v>
      </c>
      <c r="BI49" s="1"/>
      <c r="BJ49" s="1"/>
    </row>
    <row r="50" spans="2:147" x14ac:dyDescent="0.3">
      <c r="B50" t="s">
        <v>89</v>
      </c>
      <c r="AS50" s="4">
        <v>-1.7</v>
      </c>
      <c r="AT50" s="4">
        <v>-4.5999999999999996</v>
      </c>
      <c r="AU50" s="4">
        <v>0.3</v>
      </c>
      <c r="AV50" s="4">
        <v>-2.7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0</v>
      </c>
      <c r="BC50" s="4">
        <v>0</v>
      </c>
      <c r="BD50" s="4">
        <v>0</v>
      </c>
      <c r="BE50" s="4">
        <v>0</v>
      </c>
      <c r="BF50" s="4">
        <v>0</v>
      </c>
      <c r="BG50" s="4">
        <v>0</v>
      </c>
    </row>
    <row r="51" spans="2:147" x14ac:dyDescent="0.3">
      <c r="B51" t="s">
        <v>90</v>
      </c>
      <c r="AS51" s="4">
        <v>-5.5</v>
      </c>
      <c r="AT51" s="4">
        <v>0.6</v>
      </c>
      <c r="AU51" s="4">
        <v>9.6</v>
      </c>
      <c r="AV51" s="4">
        <v>-0.5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  <c r="BI51" s="1"/>
      <c r="BJ51" s="1"/>
    </row>
    <row r="52" spans="2:147" s="1" customFormat="1" x14ac:dyDescent="0.3">
      <c r="B52" s="1" t="s">
        <v>91</v>
      </c>
      <c r="AS52" s="7">
        <f>AS37+SUM(AS38:AS51)</f>
        <v>-27.800000000000054</v>
      </c>
      <c r="AT52" s="7">
        <f>AT37+SUM(AT38:AT51)</f>
        <v>100.39999999999964</v>
      </c>
      <c r="AU52" s="7">
        <f>AU37+SUM(AU38:AU51)</f>
        <v>189.79999999999995</v>
      </c>
      <c r="AV52" s="7">
        <f>AV37+SUM(AV38:AV51)</f>
        <v>137.10000000000002</v>
      </c>
      <c r="AW52" s="7">
        <f>AW37+SUM(AW38:AW51)</f>
        <v>149.69995299999997</v>
      </c>
      <c r="AX52" s="7">
        <f t="shared" ref="AX52:BG52" si="262">AX37+SUM(AX38:AX51)</f>
        <v>171.29396634400001</v>
      </c>
      <c r="AY52" s="7">
        <f t="shared" si="262"/>
        <v>210.59581120275197</v>
      </c>
      <c r="AZ52" s="7">
        <f t="shared" si="262"/>
        <v>231.58526192482185</v>
      </c>
      <c r="BA52" s="7">
        <f t="shared" si="262"/>
        <v>249.4421922895072</v>
      </c>
      <c r="BB52" s="7">
        <f t="shared" si="262"/>
        <v>253.76866258234497</v>
      </c>
      <c r="BC52" s="7">
        <f t="shared" si="262"/>
        <v>258.26283853214295</v>
      </c>
      <c r="BD52" s="7">
        <f t="shared" si="262"/>
        <v>263.0337488701245</v>
      </c>
      <c r="BE52" s="7">
        <f t="shared" si="262"/>
        <v>268.08195727789735</v>
      </c>
      <c r="BF52" s="7">
        <f t="shared" si="262"/>
        <v>273.40740251838378</v>
      </c>
      <c r="BG52" s="7">
        <f t="shared" si="262"/>
        <v>279.01025621716184</v>
      </c>
      <c r="BI52"/>
      <c r="BJ52"/>
    </row>
    <row r="53" spans="2:147" x14ac:dyDescent="0.3">
      <c r="B53" t="s">
        <v>92</v>
      </c>
      <c r="AS53" s="4">
        <v>46.2</v>
      </c>
      <c r="AT53" s="4">
        <v>50.3</v>
      </c>
      <c r="AU53" s="4">
        <v>55.2</v>
      </c>
      <c r="AV53" s="4">
        <v>28.7</v>
      </c>
      <c r="AW53" s="4">
        <v>40</v>
      </c>
      <c r="AX53" s="4">
        <f>AW53*1.05</f>
        <v>42</v>
      </c>
      <c r="AY53" s="4">
        <f t="shared" ref="AY53:BF53" si="263">AX53*1.05</f>
        <v>44.1</v>
      </c>
      <c r="AZ53" s="4">
        <f t="shared" si="263"/>
        <v>46.305000000000007</v>
      </c>
      <c r="BA53" s="4">
        <f t="shared" si="263"/>
        <v>48.620250000000006</v>
      </c>
      <c r="BB53" s="4">
        <f t="shared" si="263"/>
        <v>51.051262500000007</v>
      </c>
      <c r="BC53" s="4">
        <f t="shared" si="263"/>
        <v>53.603825625000013</v>
      </c>
      <c r="BD53" s="4">
        <f t="shared" si="263"/>
        <v>56.284016906250017</v>
      </c>
      <c r="BE53" s="4">
        <f t="shared" si="263"/>
        <v>59.098217751562522</v>
      </c>
      <c r="BF53" s="4">
        <f t="shared" si="263"/>
        <v>62.053128639140652</v>
      </c>
      <c r="BG53" s="4">
        <f t="shared" ref="BG53" si="264">BF53*1.05</f>
        <v>65.155785071097682</v>
      </c>
    </row>
    <row r="54" spans="2:147" s="1" customFormat="1" x14ac:dyDescent="0.3">
      <c r="B54" s="1" t="s">
        <v>93</v>
      </c>
      <c r="AS54" s="7">
        <f>AS52-AS53</f>
        <v>-74.000000000000057</v>
      </c>
      <c r="AT54" s="7">
        <f>AT52-AT53</f>
        <v>50.099999999999639</v>
      </c>
      <c r="AU54" s="7">
        <f>AU52-AU53</f>
        <v>134.59999999999997</v>
      </c>
      <c r="AV54" s="7">
        <f>AV52-AV53</f>
        <v>108.40000000000002</v>
      </c>
      <c r="AW54" s="7">
        <f>AW52-AW53</f>
        <v>109.69995299999997</v>
      </c>
      <c r="AX54" s="7">
        <f t="shared" ref="AX54:BG54" si="265">AX52-AX53</f>
        <v>129.29396634400001</v>
      </c>
      <c r="AY54" s="7">
        <f t="shared" si="265"/>
        <v>166.49581120275198</v>
      </c>
      <c r="AZ54" s="7">
        <f t="shared" si="265"/>
        <v>185.28026192482184</v>
      </c>
      <c r="BA54" s="7">
        <f t="shared" si="265"/>
        <v>200.82194228950721</v>
      </c>
      <c r="BB54" s="7">
        <f t="shared" si="265"/>
        <v>202.71740008234497</v>
      </c>
      <c r="BC54" s="7">
        <f t="shared" si="265"/>
        <v>204.65901290714294</v>
      </c>
      <c r="BD54" s="7">
        <f t="shared" si="265"/>
        <v>206.74973196387447</v>
      </c>
      <c r="BE54" s="7">
        <f t="shared" si="265"/>
        <v>208.98373952633483</v>
      </c>
      <c r="BF54" s="7">
        <f t="shared" si="265"/>
        <v>211.35427387924312</v>
      </c>
      <c r="BG54" s="7">
        <f t="shared" si="265"/>
        <v>213.85447114606416</v>
      </c>
      <c r="BH54" s="1">
        <f t="shared" ref="BH54:DS54" si="266">BG54*(1+$BJ$26)</f>
        <v>211.71592643460352</v>
      </c>
      <c r="BI54" s="1">
        <f t="shared" si="266"/>
        <v>209.59876717025747</v>
      </c>
      <c r="BJ54" s="1">
        <f t="shared" si="266"/>
        <v>207.5027794985549</v>
      </c>
      <c r="BK54" s="1">
        <f t="shared" si="266"/>
        <v>205.42775170356936</v>
      </c>
      <c r="BL54" s="1">
        <f t="shared" si="266"/>
        <v>203.37347418653366</v>
      </c>
      <c r="BM54" s="1">
        <f t="shared" si="266"/>
        <v>201.33973944466831</v>
      </c>
      <c r="BN54" s="1">
        <f t="shared" si="266"/>
        <v>199.32634205022163</v>
      </c>
      <c r="BO54" s="1">
        <f t="shared" si="266"/>
        <v>197.33307862971941</v>
      </c>
      <c r="BP54" s="1">
        <f t="shared" si="266"/>
        <v>195.35974784342221</v>
      </c>
      <c r="BQ54" s="1">
        <f t="shared" si="266"/>
        <v>193.40615036498798</v>
      </c>
      <c r="BR54" s="1">
        <f t="shared" si="266"/>
        <v>191.47208886133811</v>
      </c>
      <c r="BS54" s="1">
        <f t="shared" si="266"/>
        <v>189.55736797272473</v>
      </c>
      <c r="BT54" s="1">
        <f t="shared" si="266"/>
        <v>187.66179429299748</v>
      </c>
      <c r="BU54" s="1">
        <f t="shared" si="266"/>
        <v>185.7851763500675</v>
      </c>
      <c r="BV54" s="1">
        <f t="shared" si="266"/>
        <v>183.92732458656681</v>
      </c>
      <c r="BW54" s="1">
        <f t="shared" si="266"/>
        <v>182.08805134070113</v>
      </c>
      <c r="BX54" s="1">
        <f t="shared" si="266"/>
        <v>180.26717082729411</v>
      </c>
      <c r="BY54" s="1">
        <f t="shared" si="266"/>
        <v>178.46449911902116</v>
      </c>
      <c r="BZ54" s="1">
        <f t="shared" si="266"/>
        <v>176.67985412783094</v>
      </c>
      <c r="CA54" s="1">
        <f t="shared" si="266"/>
        <v>174.91305558655262</v>
      </c>
      <c r="CB54" s="1">
        <f t="shared" si="266"/>
        <v>173.1639250306871</v>
      </c>
      <c r="CC54" s="1">
        <f t="shared" si="266"/>
        <v>171.43228578038023</v>
      </c>
      <c r="CD54" s="1">
        <f t="shared" si="266"/>
        <v>169.71796292257642</v>
      </c>
      <c r="CE54" s="1">
        <f t="shared" si="266"/>
        <v>168.02078329335066</v>
      </c>
      <c r="CF54" s="1">
        <f t="shared" si="266"/>
        <v>166.34057546041714</v>
      </c>
      <c r="CG54" s="1">
        <f t="shared" si="266"/>
        <v>164.67716970581296</v>
      </c>
      <c r="CH54" s="1">
        <f t="shared" si="266"/>
        <v>163.03039800875482</v>
      </c>
      <c r="CI54" s="1">
        <f t="shared" si="266"/>
        <v>161.40009402866727</v>
      </c>
      <c r="CJ54" s="1">
        <f t="shared" si="266"/>
        <v>159.7860930883806</v>
      </c>
      <c r="CK54" s="1">
        <f t="shared" si="266"/>
        <v>158.1882321574968</v>
      </c>
      <c r="CL54" s="1">
        <f t="shared" si="266"/>
        <v>156.60634983592183</v>
      </c>
      <c r="CM54" s="1">
        <f t="shared" si="266"/>
        <v>155.04028633756261</v>
      </c>
      <c r="CN54" s="1">
        <f t="shared" si="266"/>
        <v>153.48988347418697</v>
      </c>
      <c r="CO54" s="1">
        <f t="shared" si="266"/>
        <v>151.95498463944509</v>
      </c>
      <c r="CP54" s="1">
        <f t="shared" si="266"/>
        <v>150.43543479305063</v>
      </c>
      <c r="CQ54" s="1">
        <f t="shared" si="266"/>
        <v>148.93108044512013</v>
      </c>
      <c r="CR54" s="1">
        <f t="shared" si="266"/>
        <v>147.44176964066892</v>
      </c>
      <c r="CS54" s="1">
        <f t="shared" si="266"/>
        <v>145.96735194426222</v>
      </c>
      <c r="CT54" s="1">
        <f t="shared" si="266"/>
        <v>144.5076784248196</v>
      </c>
      <c r="CU54" s="1">
        <f t="shared" si="266"/>
        <v>143.06260164057142</v>
      </c>
      <c r="CV54" s="1">
        <f t="shared" si="266"/>
        <v>141.6319756241657</v>
      </c>
      <c r="CW54" s="1">
        <f t="shared" si="266"/>
        <v>140.21565586792406</v>
      </c>
      <c r="CX54" s="1">
        <f t="shared" si="266"/>
        <v>138.8134993092448</v>
      </c>
      <c r="CY54" s="1">
        <f t="shared" si="266"/>
        <v>137.42536431615235</v>
      </c>
      <c r="CZ54" s="1">
        <f t="shared" si="266"/>
        <v>136.05111067299083</v>
      </c>
      <c r="DA54" s="1">
        <f t="shared" si="266"/>
        <v>134.69059956626091</v>
      </c>
      <c r="DB54" s="1">
        <f t="shared" si="266"/>
        <v>133.3436935705983</v>
      </c>
      <c r="DC54" s="1">
        <f t="shared" si="266"/>
        <v>132.01025663489233</v>
      </c>
      <c r="DD54" s="1">
        <f t="shared" si="266"/>
        <v>130.69015406854339</v>
      </c>
      <c r="DE54" s="1">
        <f t="shared" si="266"/>
        <v>129.38325252785796</v>
      </c>
      <c r="DF54" s="1">
        <f t="shared" si="266"/>
        <v>128.08942000257937</v>
      </c>
      <c r="DG54" s="1">
        <f t="shared" si="266"/>
        <v>126.80852580255358</v>
      </c>
      <c r="DH54" s="1">
        <f t="shared" si="266"/>
        <v>125.54044054452804</v>
      </c>
      <c r="DI54" s="1">
        <f t="shared" si="266"/>
        <v>124.28503613908276</v>
      </c>
      <c r="DJ54" s="1">
        <f t="shared" si="266"/>
        <v>123.04218577769194</v>
      </c>
      <c r="DK54" s="1">
        <f t="shared" si="266"/>
        <v>121.81176391991502</v>
      </c>
      <c r="DL54" s="1">
        <f t="shared" si="266"/>
        <v>120.59364628071587</v>
      </c>
      <c r="DM54" s="1">
        <f t="shared" si="266"/>
        <v>119.38770981790871</v>
      </c>
      <c r="DN54" s="1">
        <f t="shared" si="266"/>
        <v>118.19383271972963</v>
      </c>
      <c r="DO54" s="1">
        <f t="shared" si="266"/>
        <v>117.01189439253233</v>
      </c>
      <c r="DP54" s="1">
        <f t="shared" si="266"/>
        <v>115.841775448607</v>
      </c>
      <c r="DQ54" s="1">
        <f t="shared" si="266"/>
        <v>114.68335769412093</v>
      </c>
      <c r="DR54" s="1">
        <f t="shared" si="266"/>
        <v>113.53652411717972</v>
      </c>
      <c r="DS54" s="1">
        <f t="shared" si="266"/>
        <v>112.40115887600793</v>
      </c>
      <c r="DT54" s="1">
        <f t="shared" ref="DT54:EQ54" si="267">DS54*(1+$BJ$26)</f>
        <v>111.27714728724784</v>
      </c>
      <c r="DU54" s="1">
        <f t="shared" si="267"/>
        <v>110.16437581437536</v>
      </c>
      <c r="DV54" s="1">
        <f t="shared" si="267"/>
        <v>109.06273205623161</v>
      </c>
      <c r="DW54" s="1">
        <f t="shared" si="267"/>
        <v>107.97210473566929</v>
      </c>
      <c r="DX54" s="1">
        <f t="shared" si="267"/>
        <v>106.89238368831259</v>
      </c>
      <c r="DY54" s="1">
        <f t="shared" si="267"/>
        <v>105.82345985142946</v>
      </c>
      <c r="DZ54" s="1">
        <f t="shared" si="267"/>
        <v>104.76522525291517</v>
      </c>
      <c r="EA54" s="1">
        <f t="shared" si="267"/>
        <v>103.71757300038603</v>
      </c>
      <c r="EB54" s="1">
        <f t="shared" si="267"/>
        <v>102.68039727038216</v>
      </c>
      <c r="EC54" s="1">
        <f t="shared" si="267"/>
        <v>101.65359329767834</v>
      </c>
      <c r="ED54" s="1">
        <f t="shared" si="267"/>
        <v>100.63705736470156</v>
      </c>
      <c r="EE54" s="1">
        <f t="shared" si="267"/>
        <v>99.630686791054544</v>
      </c>
      <c r="EF54" s="1">
        <f t="shared" si="267"/>
        <v>98.634379923143996</v>
      </c>
      <c r="EG54" s="1">
        <f t="shared" si="267"/>
        <v>97.648036123912561</v>
      </c>
      <c r="EH54" s="1">
        <f t="shared" si="267"/>
        <v>96.671555762673435</v>
      </c>
      <c r="EI54" s="1">
        <f t="shared" si="267"/>
        <v>95.704840205046693</v>
      </c>
      <c r="EJ54" s="1">
        <f t="shared" si="267"/>
        <v>94.747791802996232</v>
      </c>
      <c r="EK54" s="1">
        <f t="shared" si="267"/>
        <v>93.800313884966272</v>
      </c>
      <c r="EL54" s="1">
        <f t="shared" si="267"/>
        <v>92.862310746116606</v>
      </c>
      <c r="EM54" s="1">
        <f t="shared" si="267"/>
        <v>91.933687638655442</v>
      </c>
      <c r="EN54" s="1">
        <f t="shared" si="267"/>
        <v>91.01435076226889</v>
      </c>
      <c r="EO54" s="1">
        <f t="shared" si="267"/>
        <v>90.104207254646198</v>
      </c>
      <c r="EP54" s="1">
        <f t="shared" si="267"/>
        <v>89.203165182099738</v>
      </c>
      <c r="EQ54" s="1">
        <f t="shared" si="267"/>
        <v>88.311133530278738</v>
      </c>
    </row>
    <row r="56" spans="2:147" x14ac:dyDescent="0.3">
      <c r="BI56" t="s">
        <v>42</v>
      </c>
      <c r="BJ56" s="4">
        <f>NPV(BJ27,AW54:EQ54)</f>
        <v>1818.4166107360506</v>
      </c>
    </row>
    <row r="57" spans="2:147" x14ac:dyDescent="0.3">
      <c r="BI57" t="s">
        <v>43</v>
      </c>
      <c r="BJ57" s="4">
        <f>Main!D8</f>
        <v>227.6</v>
      </c>
    </row>
    <row r="58" spans="2:147" x14ac:dyDescent="0.3">
      <c r="BI58" t="s">
        <v>44</v>
      </c>
      <c r="BJ58" s="4">
        <f>BJ56+BJ57</f>
        <v>2046.0166107360506</v>
      </c>
    </row>
    <row r="59" spans="2:147" x14ac:dyDescent="0.3">
      <c r="BI59" t="s">
        <v>45</v>
      </c>
      <c r="BJ59" s="5">
        <f>BJ58/BF18</f>
        <v>16.965311863483006</v>
      </c>
    </row>
    <row r="60" spans="2:147" x14ac:dyDescent="0.3">
      <c r="BI60" t="s">
        <v>46</v>
      </c>
      <c r="BJ60" s="5">
        <f>Main!D3</f>
        <v>16.64</v>
      </c>
    </row>
    <row r="61" spans="2:147" x14ac:dyDescent="0.3">
      <c r="BI61" s="1" t="s">
        <v>47</v>
      </c>
      <c r="BJ61" s="8">
        <f>BJ59/BJ60-1</f>
        <v>1.9549991795853705E-2</v>
      </c>
    </row>
  </sheetData>
  <phoneticPr fontId="3" type="noConversion"/>
  <pageMargins left="0.7" right="0.7" top="0.75" bottom="0.75" header="0.3" footer="0.3"/>
  <pageSetup paperSize="9" orientation="portrait" horizontalDpi="4294967293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2020-10-24T14:55:01Z</dcterms:created>
  <dcterms:modified xsi:type="dcterms:W3CDTF">2025-11-06T12:07:49Z</dcterms:modified>
</cp:coreProperties>
</file>