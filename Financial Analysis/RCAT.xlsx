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1C990B7-162D-4361-85DA-256662DB20D4}" xr6:coauthVersionLast="47" xr6:coauthVersionMax="47" xr10:uidLastSave="{00000000-0000-0000-0000-000000000000}"/>
  <bookViews>
    <workbookView xWindow="-108" yWindow="-108" windowWidth="23256" windowHeight="12576" xr2:uid="{274E4BE5-5FA1-49CC-A03D-A4474EC70AF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9" i="2" l="1"/>
  <c r="R7" i="2"/>
  <c r="Y7" i="2"/>
  <c r="Y3" i="2"/>
  <c r="X7" i="2"/>
  <c r="W7" i="2"/>
  <c r="V7" i="2"/>
  <c r="U7" i="2"/>
  <c r="T7" i="2"/>
  <c r="S7" i="2"/>
  <c r="Q7" i="2"/>
  <c r="R3" i="2"/>
  <c r="Q3" i="2"/>
  <c r="AB26" i="2" l="1"/>
  <c r="AB23" i="2"/>
  <c r="S3" i="2"/>
  <c r="R10" i="2"/>
  <c r="Q22" i="2"/>
  <c r="X8" i="2"/>
  <c r="Y8" i="2" s="1"/>
  <c r="W8" i="2"/>
  <c r="V8" i="2"/>
  <c r="U8" i="2"/>
  <c r="Y16" i="2"/>
  <c r="X16" i="2"/>
  <c r="W16" i="2"/>
  <c r="V16" i="2"/>
  <c r="U16" i="2"/>
  <c r="T16" i="2"/>
  <c r="S16" i="2"/>
  <c r="R16" i="2"/>
  <c r="Q16" i="2"/>
  <c r="R12" i="2"/>
  <c r="S12" i="2" s="1"/>
  <c r="T12" i="2" s="1"/>
  <c r="U12" i="2" s="1"/>
  <c r="V12" i="2" s="1"/>
  <c r="W12" i="2" s="1"/>
  <c r="X12" i="2" s="1"/>
  <c r="Y12" i="2" s="1"/>
  <c r="Q12" i="2"/>
  <c r="Q10" i="2"/>
  <c r="P12" i="2"/>
  <c r="P11" i="2"/>
  <c r="P24" i="2" s="1"/>
  <c r="P10" i="2"/>
  <c r="Q19" i="2"/>
  <c r="U23" i="2"/>
  <c r="T23" i="2"/>
  <c r="S23" i="2"/>
  <c r="R23" i="2"/>
  <c r="Q23" i="2"/>
  <c r="Y21" i="2"/>
  <c r="X21" i="2"/>
  <c r="W21" i="2"/>
  <c r="V21" i="2"/>
  <c r="U21" i="2"/>
  <c r="T21" i="2"/>
  <c r="S21" i="2"/>
  <c r="R21" i="2"/>
  <c r="Q21" i="2"/>
  <c r="P23" i="2"/>
  <c r="P21" i="2"/>
  <c r="P19" i="2"/>
  <c r="O26" i="2"/>
  <c r="O24" i="2"/>
  <c r="P22" i="2"/>
  <c r="O22" i="2"/>
  <c r="P20" i="2"/>
  <c r="O20" i="2"/>
  <c r="T8" i="2"/>
  <c r="S8" i="2"/>
  <c r="R8" i="2"/>
  <c r="Q8" i="2"/>
  <c r="P8" i="2"/>
  <c r="J23" i="2"/>
  <c r="P7" i="2"/>
  <c r="V6" i="2"/>
  <c r="W6" i="2" s="1"/>
  <c r="X6" i="2" s="1"/>
  <c r="Y6" i="2" s="1"/>
  <c r="U6" i="2"/>
  <c r="T6" i="2"/>
  <c r="S6" i="2"/>
  <c r="R6" i="2"/>
  <c r="Q6" i="2"/>
  <c r="P6" i="2"/>
  <c r="J21" i="2"/>
  <c r="P3" i="2"/>
  <c r="J19" i="2"/>
  <c r="J16" i="2"/>
  <c r="I16" i="2"/>
  <c r="P16" i="2"/>
  <c r="D4" i="1"/>
  <c r="S22" i="2" l="1"/>
  <c r="T3" i="2"/>
  <c r="R19" i="2"/>
  <c r="U3" i="2"/>
  <c r="V3" i="2" s="1"/>
  <c r="T19" i="2"/>
  <c r="S19" i="2"/>
  <c r="S10" i="2"/>
  <c r="R22" i="2"/>
  <c r="P13" i="2"/>
  <c r="P15" i="2" s="1"/>
  <c r="P5" i="2"/>
  <c r="P4" i="2" s="1"/>
  <c r="R5" i="2"/>
  <c r="R20" i="2" s="1"/>
  <c r="Q5" i="2"/>
  <c r="Q11" i="2" s="1"/>
  <c r="Q24" i="2" l="1"/>
  <c r="Q13" i="2"/>
  <c r="Q15" i="2" s="1"/>
  <c r="Q26" i="2" s="1"/>
  <c r="Q4" i="2"/>
  <c r="Q20" i="2"/>
  <c r="R11" i="2"/>
  <c r="R24" i="2" s="1"/>
  <c r="T10" i="2"/>
  <c r="T22" i="2"/>
  <c r="U19" i="2"/>
  <c r="V23" i="2"/>
  <c r="P26" i="2"/>
  <c r="P17" i="2"/>
  <c r="R4" i="2"/>
  <c r="S5" i="2"/>
  <c r="Q17" i="2" l="1"/>
  <c r="R13" i="2"/>
  <c r="R15" i="2" s="1"/>
  <c r="R26" i="2" s="1"/>
  <c r="V19" i="2"/>
  <c r="W3" i="2"/>
  <c r="X3" i="2" s="1"/>
  <c r="S4" i="2"/>
  <c r="S11" i="2"/>
  <c r="S20" i="2"/>
  <c r="U22" i="2"/>
  <c r="U10" i="2"/>
  <c r="W23" i="2"/>
  <c r="T5" i="2"/>
  <c r="R17" i="2" l="1"/>
  <c r="T4" i="2"/>
  <c r="T20" i="2"/>
  <c r="W19" i="2"/>
  <c r="S24" i="2"/>
  <c r="S13" i="2"/>
  <c r="S15" i="2" s="1"/>
  <c r="T11" i="2"/>
  <c r="V22" i="2"/>
  <c r="V10" i="2"/>
  <c r="X23" i="2"/>
  <c r="U5" i="2"/>
  <c r="U11" i="2" s="1"/>
  <c r="U13" i="2" l="1"/>
  <c r="U15" i="2" s="1"/>
  <c r="U24" i="2"/>
  <c r="X19" i="2"/>
  <c r="T13" i="2"/>
  <c r="T15" i="2" s="1"/>
  <c r="T24" i="2"/>
  <c r="S17" i="2"/>
  <c r="S26" i="2"/>
  <c r="W22" i="2"/>
  <c r="W10" i="2"/>
  <c r="U4" i="2"/>
  <c r="U20" i="2"/>
  <c r="Y23" i="2"/>
  <c r="V5" i="2"/>
  <c r="X22" i="2" l="1"/>
  <c r="X10" i="2"/>
  <c r="T26" i="2"/>
  <c r="T17" i="2"/>
  <c r="V4" i="2"/>
  <c r="V20" i="2"/>
  <c r="V11" i="2"/>
  <c r="W11" i="2"/>
  <c r="Y19" i="2"/>
  <c r="U17" i="2"/>
  <c r="U26" i="2"/>
  <c r="W5" i="2"/>
  <c r="V13" i="2" l="1"/>
  <c r="V15" i="2" s="1"/>
  <c r="V24" i="2"/>
  <c r="W24" i="2"/>
  <c r="W13" i="2"/>
  <c r="W15" i="2" s="1"/>
  <c r="W4" i="2"/>
  <c r="W20" i="2"/>
  <c r="Y22" i="2"/>
  <c r="Y10" i="2"/>
  <c r="X5" i="2"/>
  <c r="X11" i="2" s="1"/>
  <c r="X24" i="2" l="1"/>
  <c r="X13" i="2"/>
  <c r="X15" i="2" s="1"/>
  <c r="V26" i="2"/>
  <c r="V17" i="2"/>
  <c r="W17" i="2"/>
  <c r="W26" i="2"/>
  <c r="Y11" i="2"/>
  <c r="X4" i="2"/>
  <c r="X20" i="2"/>
  <c r="Y5" i="2"/>
  <c r="Y13" i="2" l="1"/>
  <c r="Y15" i="2" s="1"/>
  <c r="Y24" i="2"/>
  <c r="Y4" i="2"/>
  <c r="Y20" i="2"/>
  <c r="X26" i="2"/>
  <c r="X17" i="2"/>
  <c r="Z15" i="2" l="1"/>
  <c r="AA15" i="2" s="1"/>
  <c r="AB15" i="2" s="1"/>
  <c r="AC15" i="2" s="1"/>
  <c r="AD15" i="2" s="1"/>
  <c r="AE15" i="2" s="1"/>
  <c r="AF15" i="2" s="1"/>
  <c r="AG15" i="2" s="1"/>
  <c r="AH15" i="2" s="1"/>
  <c r="AI15" i="2" s="1"/>
  <c r="AJ15" i="2" s="1"/>
  <c r="AK15" i="2" s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AB22" i="2" s="1"/>
  <c r="AB24" i="2" s="1"/>
  <c r="AB25" i="2" s="1"/>
  <c r="AB27" i="2" s="1"/>
  <c r="Y17" i="2"/>
  <c r="Y26" i="2"/>
  <c r="O14" i="2" l="1"/>
  <c r="O12" i="2"/>
  <c r="O9" i="2"/>
  <c r="O8" i="2"/>
  <c r="O7" i="2"/>
  <c r="O6" i="2"/>
  <c r="O10" i="2" s="1"/>
  <c r="O4" i="2"/>
  <c r="O3" i="2"/>
  <c r="O16" i="2"/>
  <c r="J26" i="2"/>
  <c r="I26" i="2"/>
  <c r="J24" i="2"/>
  <c r="I24" i="2"/>
  <c r="J22" i="2"/>
  <c r="I22" i="2"/>
  <c r="J20" i="2"/>
  <c r="I20" i="2"/>
  <c r="J15" i="2"/>
  <c r="J17" i="2" s="1"/>
  <c r="I15" i="2"/>
  <c r="I17" i="2"/>
  <c r="J13" i="2"/>
  <c r="I13" i="2"/>
  <c r="J10" i="2"/>
  <c r="J11" i="2" s="1"/>
  <c r="I10" i="2"/>
  <c r="I11" i="2" s="1"/>
  <c r="J7" i="2"/>
  <c r="I7" i="2"/>
  <c r="J5" i="2"/>
  <c r="I5" i="2"/>
  <c r="J4" i="2"/>
  <c r="I4" i="2"/>
  <c r="G26" i="2"/>
  <c r="F26" i="2"/>
  <c r="G24" i="2"/>
  <c r="F24" i="2"/>
  <c r="G22" i="2"/>
  <c r="F22" i="2"/>
  <c r="H22" i="2"/>
  <c r="G20" i="2"/>
  <c r="F20" i="2"/>
  <c r="H20" i="2"/>
  <c r="F16" i="2"/>
  <c r="F10" i="2"/>
  <c r="F5" i="2"/>
  <c r="C16" i="2"/>
  <c r="C10" i="2"/>
  <c r="C5" i="2"/>
  <c r="G16" i="2"/>
  <c r="G10" i="2"/>
  <c r="G5" i="2"/>
  <c r="D16" i="2"/>
  <c r="D10" i="2"/>
  <c r="D5" i="2"/>
  <c r="H16" i="2"/>
  <c r="H10" i="2"/>
  <c r="H5" i="2"/>
  <c r="H11" i="2" s="1"/>
  <c r="H13" i="2" s="1"/>
  <c r="H15" i="2" s="1"/>
  <c r="H17" i="2" s="1"/>
  <c r="D8" i="1"/>
  <c r="D7" i="1"/>
  <c r="D6" i="1"/>
  <c r="D5" i="1"/>
  <c r="D9" i="1" s="1"/>
  <c r="F3" i="1"/>
  <c r="H31" i="2" l="1"/>
  <c r="H32" i="2"/>
  <c r="O5" i="2"/>
  <c r="O11" i="2" s="1"/>
  <c r="O13" i="2" s="1"/>
  <c r="O15" i="2" s="1"/>
  <c r="O17" i="2" s="1"/>
  <c r="H24" i="2"/>
  <c r="H26" i="2"/>
  <c r="F11" i="2"/>
  <c r="F13" i="2" s="1"/>
  <c r="F15" i="2" s="1"/>
  <c r="F17" i="2" s="1"/>
  <c r="C11" i="2"/>
  <c r="C13" i="2" s="1"/>
  <c r="C15" i="2" s="1"/>
  <c r="C17" i="2" s="1"/>
  <c r="G11" i="2"/>
  <c r="G13" i="2" s="1"/>
  <c r="G15" i="2" s="1"/>
  <c r="G17" i="2" s="1"/>
  <c r="D11" i="2"/>
  <c r="D13" i="2" s="1"/>
  <c r="D15" i="2" s="1"/>
  <c r="D17" i="2" s="1"/>
</calcChain>
</file>

<file path=xl/sharedStrings.xml><?xml version="1.0" encoding="utf-8"?>
<sst xmlns="http://schemas.openxmlformats.org/spreadsheetml/2006/main" count="58" uniqueCount="53">
  <si>
    <t>RCAT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</si>
  <si>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</si>
  <si>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</si>
  <si>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</si>
  <si>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</si>
  <si>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</si>
  <si>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</si>
  <si>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</si>
  <si>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</si>
  <si>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</si>
  <si>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</si>
  <si>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</si>
  <si>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</si>
  <si>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</si>
  <si>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</si>
  <si>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</si>
  <si>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S&amp;M</t>
  </si>
  <si>
    <t>G&amp;A</t>
  </si>
  <si>
    <t>Impairment</t>
  </si>
  <si>
    <t>Total opex</t>
  </si>
  <si>
    <t>Operating profit</t>
  </si>
  <si>
    <t>Net finance expense</t>
  </si>
  <si>
    <t>Pretax profit</t>
  </si>
  <si>
    <t>Taxes</t>
  </si>
  <si>
    <t>Net profit</t>
  </si>
  <si>
    <t>EPS</t>
  </si>
  <si>
    <t>Q124</t>
  </si>
  <si>
    <t>Q224</t>
  </si>
  <si>
    <t>Q324</t>
  </si>
  <si>
    <t>Q424</t>
  </si>
  <si>
    <t>Q125</t>
  </si>
  <si>
    <t>Q325</t>
  </si>
  <si>
    <t>Q425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</si>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</sst>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</xdr:colOff>
      <xdr:row>0</xdr:row>
      <xdr:rowOff>15240</xdr:rowOff>
    </xdr:from>
    <xdr:to>
      <xdr:col>8</xdr:col>
      <xdr:colOff>30480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A54AF62-9DC1-B773-6BE5-2358B7A9CA02}"/>
            </a:ext>
          </a:extLst>
        </xdr:cNvPr>
        <xdr:cNvCxnSpPr/>
      </xdr:nvCxnSpPr>
      <xdr:spPr>
        <a:xfrm>
          <a:off x="551688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</xdr:colOff>
      <xdr:row>0</xdr:row>
      <xdr:rowOff>7620</xdr:rowOff>
    </xdr:from>
    <xdr:to>
      <xdr:col>15</xdr:col>
      <xdr:colOff>38100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80500BF-E0D8-0D69-F83A-0815585D0FD6}"/>
            </a:ext>
          </a:extLst>
        </xdr:cNvPr>
        <xdr:cNvCxnSpPr/>
      </xdr:nvCxnSpPr>
      <xdr:spPr>
        <a:xfrm>
          <a:off x="97917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31BE5-8B4E-4198-A6A6-2A0A908B11CC}">
  <dimension ref="B2:G9"/>
  <sheetViews>
    <sheetView tabSelected="1"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5" bestFit="1" customWidth="1"/>
    <col min="6" max="7" width="11.21875" style="5" bestFit="1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11.52</v>
      </c>
      <c r="E3" s="6">
        <v>45933</v>
      </c>
      <c r="F3" s="6">
        <f ca="1">TODAY()</f>
        <v>45933</v>
      </c>
      <c r="G3" s="6">
        <v>45975</v>
      </c>
    </row>
    <row r="4" spans="2:7" x14ac:dyDescent="0.3">
      <c r="C4" s="1" t="s">
        <v>2</v>
      </c>
      <c r="D4" s="4">
        <f>99.8+18</f>
        <v>117.8</v>
      </c>
      <c r="E4" s="5" t="s">
        <v>11</v>
      </c>
    </row>
    <row r="5" spans="2:7" x14ac:dyDescent="0.3">
      <c r="C5" s="1" t="s">
        <v>3</v>
      </c>
      <c r="D5" s="4">
        <f>D3*D4</f>
        <v>1357.0559999999998</v>
      </c>
    </row>
    <row r="6" spans="2:7" x14ac:dyDescent="0.3">
      <c r="C6" s="1" t="s">
        <v>4</v>
      </c>
      <c r="D6" s="4">
        <f>65.9</f>
        <v>65.900000000000006</v>
      </c>
      <c r="E6" s="5" t="s">
        <v>11</v>
      </c>
    </row>
    <row r="7" spans="2:7" x14ac:dyDescent="0.3">
      <c r="C7" s="1" t="s">
        <v>5</v>
      </c>
      <c r="D7" s="4">
        <f>0.4+19.4</f>
        <v>19.799999999999997</v>
      </c>
      <c r="E7" s="5" t="s">
        <v>11</v>
      </c>
    </row>
    <row r="8" spans="2:7" x14ac:dyDescent="0.3">
      <c r="C8" s="1" t="s">
        <v>6</v>
      </c>
      <c r="D8" s="4">
        <f>D6-D7</f>
        <v>46.100000000000009</v>
      </c>
    </row>
    <row r="9" spans="2:7" x14ac:dyDescent="0.3">
      <c r="C9" s="1" t="s">
        <v>7</v>
      </c>
      <c r="D9" s="4">
        <f>D5-D8</f>
        <v>1310.9559999999999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894AD-87FB-4692-8DE7-D99492332738}">
  <dimension ref="B2:ED32"/>
  <sheetViews>
    <sheetView workbookViewId="0">
      <pane xSplit="2" ySplit="2" topLeftCell="C7" activePane="bottomRight" state="frozen"/>
      <selection pane="topRight" activeCell="C1" sqref="C1"/>
      <selection pane="bottomLeft" activeCell="A3" sqref="A3"/>
      <selection pane="bottomRight" activeCell="H31" sqref="H31"/>
    </sheetView>
  </sheetViews>
  <sheetFormatPr defaultRowHeight="14.4" x14ac:dyDescent="0.3"/>
  <cols>
    <col min="1" max="1" width="8.88671875" style="1"/>
    <col min="2" max="2" width="17.77734375" style="1" bestFit="1" customWidth="1"/>
    <col min="3" max="26" width="8.88671875" style="1"/>
    <col min="27" max="27" width="12" style="1" bestFit="1" customWidth="1"/>
    <col min="28" max="28" width="16.44140625" style="1" bestFit="1" customWidth="1"/>
    <col min="29" max="16384" width="8.88671875" style="1"/>
  </cols>
  <sheetData>
    <row r="2" spans="2:134" x14ac:dyDescent="0.3"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  <c r="H2" s="7" t="s">
        <v>11</v>
      </c>
      <c r="I2" s="7" t="s">
        <v>31</v>
      </c>
      <c r="J2" s="7" t="s">
        <v>32</v>
      </c>
      <c r="M2" s="1">
        <v>2023</v>
      </c>
      <c r="N2" s="1">
        <v>2024</v>
      </c>
      <c r="O2" s="1">
        <v>2025</v>
      </c>
      <c r="P2" s="1">
        <v>2026</v>
      </c>
      <c r="Q2" s="1">
        <v>2027</v>
      </c>
      <c r="R2" s="1">
        <v>2028</v>
      </c>
      <c r="S2" s="1">
        <v>2029</v>
      </c>
      <c r="T2" s="1">
        <v>2030</v>
      </c>
      <c r="U2" s="1">
        <v>2031</v>
      </c>
      <c r="V2" s="1">
        <v>2032</v>
      </c>
      <c r="W2" s="1">
        <v>2033</v>
      </c>
      <c r="X2" s="1">
        <v>2034</v>
      </c>
      <c r="Y2" s="1">
        <v>2035</v>
      </c>
    </row>
    <row r="3" spans="2:134" s="2" customFormat="1" x14ac:dyDescent="0.3">
      <c r="B3" s="2" t="s">
        <v>12</v>
      </c>
      <c r="C3" s="9">
        <v>6.6</v>
      </c>
      <c r="D3" s="9">
        <v>6.4</v>
      </c>
      <c r="F3" s="9">
        <v>1.5</v>
      </c>
      <c r="G3" s="9">
        <v>1.6</v>
      </c>
      <c r="H3" s="9">
        <v>3.2</v>
      </c>
      <c r="I3" s="9">
        <v>3.5</v>
      </c>
      <c r="J3" s="9">
        <v>4</v>
      </c>
      <c r="O3" s="9">
        <f>SUM(G3:J3)</f>
        <v>12.3</v>
      </c>
      <c r="P3" s="9">
        <f>O3*2.5</f>
        <v>30.75</v>
      </c>
      <c r="Q3" s="9">
        <f>P3*2.2</f>
        <v>67.650000000000006</v>
      </c>
      <c r="R3" s="9">
        <f>Q3*2</f>
        <v>135.30000000000001</v>
      </c>
      <c r="S3" s="9">
        <f>R3*1.8</f>
        <v>243.54000000000002</v>
      </c>
      <c r="T3" s="9">
        <f>S3*1.7</f>
        <v>414.01800000000003</v>
      </c>
      <c r="U3" s="9">
        <f>T3*1.5</f>
        <v>621.02700000000004</v>
      </c>
      <c r="V3" s="9">
        <f>U3*1.4</f>
        <v>869.43780000000004</v>
      </c>
      <c r="W3" s="9">
        <f t="shared" ref="W3" si="0">V3*1.3</f>
        <v>1130.2691400000001</v>
      </c>
      <c r="X3" s="9">
        <f>W3*1.2</f>
        <v>1356.3229680000002</v>
      </c>
      <c r="Y3" s="9">
        <f>X3*1.15</f>
        <v>1559.7714132000001</v>
      </c>
    </row>
    <row r="4" spans="2:134" x14ac:dyDescent="0.3">
      <c r="B4" s="1" t="s">
        <v>13</v>
      </c>
      <c r="C4" s="4">
        <v>5.5</v>
      </c>
      <c r="D4" s="4">
        <v>6.2</v>
      </c>
      <c r="F4" s="4">
        <v>1.6</v>
      </c>
      <c r="G4" s="4">
        <v>2.5</v>
      </c>
      <c r="H4" s="4">
        <v>2.8</v>
      </c>
      <c r="I4" s="4">
        <f>I3*0.85</f>
        <v>2.9750000000000001</v>
      </c>
      <c r="J4" s="4">
        <f t="shared" ref="J4" si="1">J3*0.85</f>
        <v>3.4</v>
      </c>
      <c r="O4" s="4">
        <f>SUM(G4:J4)</f>
        <v>11.675000000000001</v>
      </c>
      <c r="P4" s="4">
        <f>P3-P5</f>
        <v>24.907499999999999</v>
      </c>
      <c r="Q4" s="4">
        <f t="shared" ref="Q4:Y4" si="2">Q3-Q5</f>
        <v>51.414000000000001</v>
      </c>
      <c r="R4" s="4">
        <f t="shared" si="2"/>
        <v>98.769000000000005</v>
      </c>
      <c r="S4" s="4">
        <f t="shared" si="2"/>
        <v>175.34880000000001</v>
      </c>
      <c r="T4" s="4">
        <f t="shared" si="2"/>
        <v>289.81260000000003</v>
      </c>
      <c r="U4" s="4">
        <f t="shared" si="2"/>
        <v>434.71890000000008</v>
      </c>
      <c r="V4" s="4">
        <f t="shared" si="2"/>
        <v>608.60645999999997</v>
      </c>
      <c r="W4" s="4">
        <f t="shared" si="2"/>
        <v>791.18839800000001</v>
      </c>
      <c r="X4" s="4">
        <f t="shared" si="2"/>
        <v>949.4260776000001</v>
      </c>
      <c r="Y4" s="4">
        <f t="shared" si="2"/>
        <v>1091.83998924</v>
      </c>
    </row>
    <row r="5" spans="2:134" s="2" customFormat="1" x14ac:dyDescent="0.3">
      <c r="B5" s="2" t="s">
        <v>14</v>
      </c>
      <c r="C5" s="9">
        <f>C3-C4</f>
        <v>1.0999999999999996</v>
      </c>
      <c r="D5" s="9">
        <f>D3-D4</f>
        <v>0.20000000000000018</v>
      </c>
      <c r="F5" s="9">
        <f>F3-F4</f>
        <v>-0.10000000000000009</v>
      </c>
      <c r="G5" s="9">
        <f>G3-G4</f>
        <v>-0.89999999999999991</v>
      </c>
      <c r="H5" s="9">
        <f>H3-H4</f>
        <v>0.40000000000000036</v>
      </c>
      <c r="I5" s="9">
        <f t="shared" ref="I5:J5" si="3">I3-I4</f>
        <v>0.52499999999999991</v>
      </c>
      <c r="J5" s="9">
        <f t="shared" si="3"/>
        <v>0.60000000000000009</v>
      </c>
      <c r="O5" s="9">
        <f>O3-O4</f>
        <v>0.625</v>
      </c>
      <c r="P5" s="9">
        <f>P3*0.19</f>
        <v>5.8425000000000002</v>
      </c>
      <c r="Q5" s="9">
        <f>Q3*0.24</f>
        <v>16.236000000000001</v>
      </c>
      <c r="R5" s="9">
        <f>R3*0.27</f>
        <v>36.531000000000006</v>
      </c>
      <c r="S5" s="9">
        <f>S3*0.28</f>
        <v>68.191200000000009</v>
      </c>
      <c r="T5" s="9">
        <f>T3*0.3</f>
        <v>124.2054</v>
      </c>
      <c r="U5" s="9">
        <f t="shared" ref="U5:Y5" si="4">U3*0.3</f>
        <v>186.3081</v>
      </c>
      <c r="V5" s="9">
        <f t="shared" si="4"/>
        <v>260.83134000000001</v>
      </c>
      <c r="W5" s="9">
        <f t="shared" si="4"/>
        <v>339.08074200000004</v>
      </c>
      <c r="X5" s="9">
        <f t="shared" si="4"/>
        <v>406.89689040000002</v>
      </c>
      <c r="Y5" s="9">
        <f t="shared" si="4"/>
        <v>467.93142396000002</v>
      </c>
    </row>
    <row r="6" spans="2:134" x14ac:dyDescent="0.3">
      <c r="B6" s="1" t="s">
        <v>15</v>
      </c>
      <c r="C6" s="4">
        <v>2.7</v>
      </c>
      <c r="D6" s="4">
        <v>0.3</v>
      </c>
      <c r="F6" s="4">
        <v>2.2000000000000002</v>
      </c>
      <c r="G6" s="4">
        <v>3.4</v>
      </c>
      <c r="H6" s="4">
        <v>3.6</v>
      </c>
      <c r="I6" s="4">
        <v>3.8</v>
      </c>
      <c r="J6" s="4">
        <v>4</v>
      </c>
      <c r="O6" s="4">
        <f t="shared" ref="O6:O9" si="5">SUM(G6:J6)</f>
        <v>14.8</v>
      </c>
      <c r="P6" s="4">
        <f>O6*1.6</f>
        <v>23.680000000000003</v>
      </c>
      <c r="Q6" s="4">
        <f>P6*1.4</f>
        <v>33.152000000000001</v>
      </c>
      <c r="R6" s="4">
        <f>Q6*1.3</f>
        <v>43.0976</v>
      </c>
      <c r="S6" s="4">
        <f>R6*1.2</f>
        <v>51.717120000000001</v>
      </c>
      <c r="T6" s="4">
        <f>S6*1.1</f>
        <v>56.888832000000008</v>
      </c>
      <c r="U6" s="4">
        <f>T6*1.05</f>
        <v>59.733273600000011</v>
      </c>
      <c r="V6" s="4">
        <f t="shared" ref="V6:Y6" si="6">U6*1.05</f>
        <v>62.719937280000018</v>
      </c>
      <c r="W6" s="4">
        <f t="shared" si="6"/>
        <v>65.855934144000017</v>
      </c>
      <c r="X6" s="4">
        <f t="shared" si="6"/>
        <v>69.148730851200014</v>
      </c>
      <c r="Y6" s="4">
        <f t="shared" si="6"/>
        <v>72.606167393760018</v>
      </c>
    </row>
    <row r="7" spans="2:134" x14ac:dyDescent="0.3">
      <c r="B7" s="1" t="s">
        <v>16</v>
      </c>
      <c r="C7" s="4">
        <v>1.4</v>
      </c>
      <c r="D7" s="4">
        <v>2.2000000000000002</v>
      </c>
      <c r="F7" s="4">
        <v>2.2999999999999998</v>
      </c>
      <c r="G7" s="4">
        <v>3.3</v>
      </c>
      <c r="H7" s="4">
        <v>3.2</v>
      </c>
      <c r="I7" s="4">
        <f>I3*0.9</f>
        <v>3.15</v>
      </c>
      <c r="J7" s="4">
        <f>J3*0.85</f>
        <v>3.4</v>
      </c>
      <c r="O7" s="4">
        <f t="shared" si="5"/>
        <v>13.05</v>
      </c>
      <c r="P7" s="4">
        <f>P3*0.6</f>
        <v>18.45</v>
      </c>
      <c r="Q7" s="4">
        <f>Q3*0.4</f>
        <v>27.060000000000002</v>
      </c>
      <c r="R7" s="4">
        <f>R3*0.3</f>
        <v>40.590000000000003</v>
      </c>
      <c r="S7" s="4">
        <f>S3*0.2</f>
        <v>48.708000000000006</v>
      </c>
      <c r="T7" s="4">
        <f>T3*0.15</f>
        <v>62.102699999999999</v>
      </c>
      <c r="U7" s="4">
        <f>U3*0.13</f>
        <v>80.73351000000001</v>
      </c>
      <c r="V7" s="4">
        <f>V3*0.11</f>
        <v>95.638158000000004</v>
      </c>
      <c r="W7" s="4">
        <f>W3*0.1</f>
        <v>113.02691400000002</v>
      </c>
      <c r="X7" s="4">
        <f>X3*0.09</f>
        <v>122.06906712000001</v>
      </c>
      <c r="Y7" s="4">
        <f>Y3*0.09</f>
        <v>140.37942718799999</v>
      </c>
    </row>
    <row r="8" spans="2:134" x14ac:dyDescent="0.3">
      <c r="B8" s="1" t="s">
        <v>17</v>
      </c>
      <c r="C8" s="4">
        <v>3.1</v>
      </c>
      <c r="D8" s="4">
        <v>2.7</v>
      </c>
      <c r="F8" s="4">
        <v>4.5</v>
      </c>
      <c r="G8" s="4">
        <v>4.9000000000000004</v>
      </c>
      <c r="H8" s="4">
        <v>6.2</v>
      </c>
      <c r="I8" s="4">
        <v>6.5</v>
      </c>
      <c r="J8" s="4">
        <v>7.3</v>
      </c>
      <c r="O8" s="4">
        <f t="shared" si="5"/>
        <v>24.900000000000002</v>
      </c>
      <c r="P8" s="4">
        <f>O8*1.5</f>
        <v>37.35</v>
      </c>
      <c r="Q8" s="4">
        <f>P8*1.3</f>
        <v>48.555000000000007</v>
      </c>
      <c r="R8" s="4">
        <f>Q8*1.2</f>
        <v>58.266000000000005</v>
      </c>
      <c r="S8" s="4">
        <f>R8*1.15</f>
        <v>67.005899999999997</v>
      </c>
      <c r="T8" s="4">
        <f>S8*1.1</f>
        <v>73.706490000000002</v>
      </c>
      <c r="U8" s="4">
        <f>T8*1.05</f>
        <v>77.39181450000001</v>
      </c>
      <c r="V8" s="4">
        <f>U8*1.04</f>
        <v>80.487487080000008</v>
      </c>
      <c r="W8" s="4">
        <f>V8*1.03</f>
        <v>82.902111692400013</v>
      </c>
      <c r="X8" s="4">
        <f t="shared" ref="X8:Y8" si="7">W8*1.03</f>
        <v>85.389175043172017</v>
      </c>
      <c r="Y8" s="4">
        <f t="shared" si="7"/>
        <v>87.950850294467173</v>
      </c>
    </row>
    <row r="9" spans="2:134" x14ac:dyDescent="0.3">
      <c r="B9" s="1" t="s">
        <v>18</v>
      </c>
      <c r="C9" s="4">
        <v>0</v>
      </c>
      <c r="D9" s="4">
        <v>0.4</v>
      </c>
      <c r="F9" s="4">
        <v>0.4</v>
      </c>
      <c r="G9" s="4">
        <v>0</v>
      </c>
      <c r="H9" s="4">
        <v>0</v>
      </c>
      <c r="I9" s="4">
        <v>0</v>
      </c>
      <c r="J9" s="4">
        <v>0</v>
      </c>
      <c r="O9" s="4">
        <f t="shared" si="5"/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</row>
    <row r="10" spans="2:134" x14ac:dyDescent="0.3">
      <c r="B10" s="1" t="s">
        <v>19</v>
      </c>
      <c r="C10" s="4">
        <f>SUM(C6:C9)</f>
        <v>7.1999999999999993</v>
      </c>
      <c r="D10" s="4">
        <f>SUM(D6:D9)</f>
        <v>5.6000000000000005</v>
      </c>
      <c r="F10" s="4">
        <f>SUM(F6:F9)</f>
        <v>9.4</v>
      </c>
      <c r="G10" s="4">
        <f>SUM(G6:G9)</f>
        <v>11.6</v>
      </c>
      <c r="H10" s="4">
        <f>SUM(H6:H9)</f>
        <v>13</v>
      </c>
      <c r="I10" s="4">
        <f t="shared" ref="I10:J10" si="8">SUM(I6:I9)</f>
        <v>13.45</v>
      </c>
      <c r="J10" s="4">
        <f t="shared" si="8"/>
        <v>14.7</v>
      </c>
      <c r="O10" s="4">
        <f>SUM(O6:O9)</f>
        <v>52.75</v>
      </c>
      <c r="P10" s="4">
        <f>SUM(P6:P9)</f>
        <v>79.48</v>
      </c>
      <c r="Q10" s="4">
        <f t="shared" ref="Q10:Y10" si="9">SUM(Q6:Q9)</f>
        <v>108.76700000000001</v>
      </c>
      <c r="R10" s="4">
        <f t="shared" si="9"/>
        <v>141.95359999999999</v>
      </c>
      <c r="S10" s="4">
        <f t="shared" si="9"/>
        <v>167.43101999999999</v>
      </c>
      <c r="T10" s="4">
        <f t="shared" si="9"/>
        <v>192.69802200000001</v>
      </c>
      <c r="U10" s="4">
        <f t="shared" si="9"/>
        <v>217.85859810000002</v>
      </c>
      <c r="V10" s="4">
        <f t="shared" si="9"/>
        <v>238.84558236000004</v>
      </c>
      <c r="W10" s="4">
        <f t="shared" si="9"/>
        <v>261.78495983640005</v>
      </c>
      <c r="X10" s="4">
        <f t="shared" si="9"/>
        <v>276.60697301437204</v>
      </c>
      <c r="Y10" s="4">
        <f t="shared" si="9"/>
        <v>300.9364448762272</v>
      </c>
    </row>
    <row r="11" spans="2:134" s="2" customFormat="1" x14ac:dyDescent="0.3">
      <c r="B11" s="2" t="s">
        <v>20</v>
      </c>
      <c r="C11" s="9">
        <f>C5-C10</f>
        <v>-6.1</v>
      </c>
      <c r="D11" s="9">
        <f>D5-D10</f>
        <v>-5.4</v>
      </c>
      <c r="F11" s="9">
        <f>F5-F10</f>
        <v>-9.5</v>
      </c>
      <c r="G11" s="9">
        <f>G5-G10</f>
        <v>-12.5</v>
      </c>
      <c r="H11" s="9">
        <f>H5-H10</f>
        <v>-12.6</v>
      </c>
      <c r="I11" s="9">
        <f t="shared" ref="I11:J11" si="10">I5-I10</f>
        <v>-12.924999999999999</v>
      </c>
      <c r="J11" s="9">
        <f t="shared" si="10"/>
        <v>-14.1</v>
      </c>
      <c r="O11" s="9">
        <f>O5-O10</f>
        <v>-52.125</v>
      </c>
      <c r="P11" s="9">
        <f>P5-P10</f>
        <v>-73.637500000000003</v>
      </c>
      <c r="Q11" s="9">
        <f t="shared" ref="Q11:Y11" si="11">Q5-Q10</f>
        <v>-92.531000000000006</v>
      </c>
      <c r="R11" s="9">
        <f t="shared" si="11"/>
        <v>-105.42259999999999</v>
      </c>
      <c r="S11" s="9">
        <f t="shared" si="11"/>
        <v>-99.23981999999998</v>
      </c>
      <c r="T11" s="9">
        <f t="shared" si="11"/>
        <v>-68.492622000000011</v>
      </c>
      <c r="U11" s="9">
        <f t="shared" si="11"/>
        <v>-31.550498100000027</v>
      </c>
      <c r="V11" s="9">
        <f t="shared" si="11"/>
        <v>21.985757639999974</v>
      </c>
      <c r="W11" s="9">
        <f t="shared" si="11"/>
        <v>77.295782163599995</v>
      </c>
      <c r="X11" s="9">
        <f t="shared" si="11"/>
        <v>130.28991738562797</v>
      </c>
      <c r="Y11" s="9">
        <f t="shared" si="11"/>
        <v>166.99497908377282</v>
      </c>
    </row>
    <row r="12" spans="2:134" x14ac:dyDescent="0.3">
      <c r="B12" s="1" t="s">
        <v>21</v>
      </c>
      <c r="C12" s="4">
        <v>-0.6</v>
      </c>
      <c r="D12" s="4">
        <v>2.8</v>
      </c>
      <c r="F12" s="4">
        <v>4.2</v>
      </c>
      <c r="G12" s="4">
        <v>10.6</v>
      </c>
      <c r="H12" s="4">
        <v>0.6</v>
      </c>
      <c r="I12" s="4">
        <v>2</v>
      </c>
      <c r="J12" s="4">
        <v>4</v>
      </c>
      <c r="O12" s="4">
        <f>SUM(G12:J12)</f>
        <v>17.2</v>
      </c>
      <c r="P12" s="4">
        <f>O12*1.02</f>
        <v>17.544</v>
      </c>
      <c r="Q12" s="4">
        <f t="shared" ref="Q12:Y12" si="12">P12*1.02</f>
        <v>17.894880000000001</v>
      </c>
      <c r="R12" s="4">
        <f t="shared" si="12"/>
        <v>18.252777600000002</v>
      </c>
      <c r="S12" s="4">
        <f t="shared" si="12"/>
        <v>18.617833152000003</v>
      </c>
      <c r="T12" s="4">
        <f t="shared" si="12"/>
        <v>18.990189815040004</v>
      </c>
      <c r="U12" s="4">
        <f t="shared" si="12"/>
        <v>19.369993611340806</v>
      </c>
      <c r="V12" s="4">
        <f t="shared" si="12"/>
        <v>19.757393483567622</v>
      </c>
      <c r="W12" s="4">
        <f t="shared" si="12"/>
        <v>20.152541353238973</v>
      </c>
      <c r="X12" s="4">
        <f t="shared" si="12"/>
        <v>20.555592180303755</v>
      </c>
      <c r="Y12" s="4">
        <f t="shared" si="12"/>
        <v>20.966704023909831</v>
      </c>
    </row>
    <row r="13" spans="2:134" s="2" customFormat="1" x14ac:dyDescent="0.3">
      <c r="B13" s="2" t="s">
        <v>22</v>
      </c>
      <c r="C13" s="9">
        <f>C11-C12</f>
        <v>-5.5</v>
      </c>
      <c r="D13" s="9">
        <f>D11-D12</f>
        <v>-8.1999999999999993</v>
      </c>
      <c r="F13" s="9">
        <f>F11-F12</f>
        <v>-13.7</v>
      </c>
      <c r="G13" s="9">
        <f>G11-G12</f>
        <v>-23.1</v>
      </c>
      <c r="H13" s="9">
        <f>H11-H12</f>
        <v>-13.2</v>
      </c>
      <c r="I13" s="9">
        <f t="shared" ref="I13:J13" si="13">I11-I12</f>
        <v>-14.924999999999999</v>
      </c>
      <c r="J13" s="9">
        <f t="shared" si="13"/>
        <v>-18.100000000000001</v>
      </c>
      <c r="O13" s="9">
        <f>O11-O12</f>
        <v>-69.325000000000003</v>
      </c>
      <c r="P13" s="9">
        <f>P11-P12</f>
        <v>-91.1815</v>
      </c>
      <c r="Q13" s="9">
        <f t="shared" ref="Q13:Y13" si="14">Q11-Q12</f>
        <v>-110.42588000000001</v>
      </c>
      <c r="R13" s="9">
        <f t="shared" si="14"/>
        <v>-123.67537759999999</v>
      </c>
      <c r="S13" s="9">
        <f t="shared" si="14"/>
        <v>-117.85765315199998</v>
      </c>
      <c r="T13" s="9">
        <f t="shared" si="14"/>
        <v>-87.482811815040009</v>
      </c>
      <c r="U13" s="9">
        <f t="shared" si="14"/>
        <v>-50.92049171134083</v>
      </c>
      <c r="V13" s="9">
        <f t="shared" si="14"/>
        <v>2.2283641564323524</v>
      </c>
      <c r="W13" s="9">
        <f t="shared" si="14"/>
        <v>57.143240810361021</v>
      </c>
      <c r="X13" s="9">
        <f t="shared" si="14"/>
        <v>109.73432520532421</v>
      </c>
      <c r="Y13" s="9">
        <f t="shared" si="14"/>
        <v>146.02827505986298</v>
      </c>
    </row>
    <row r="14" spans="2:134" x14ac:dyDescent="0.3">
      <c r="B14" s="1" t="s">
        <v>23</v>
      </c>
      <c r="C14" s="4">
        <v>0</v>
      </c>
      <c r="D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O14" s="4">
        <f>SUM(G14:J14)</f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</row>
    <row r="15" spans="2:134" s="2" customFormat="1" x14ac:dyDescent="0.3">
      <c r="B15" s="2" t="s">
        <v>24</v>
      </c>
      <c r="C15" s="9">
        <f>C13-C14</f>
        <v>-5.5</v>
      </c>
      <c r="D15" s="9">
        <f>D13-D14</f>
        <v>-8.1999999999999993</v>
      </c>
      <c r="F15" s="9">
        <f>F13-F14</f>
        <v>-13.7</v>
      </c>
      <c r="G15" s="9">
        <f>G13-G14</f>
        <v>-23.1</v>
      </c>
      <c r="H15" s="9">
        <f>H13-H14</f>
        <v>-13.2</v>
      </c>
      <c r="I15" s="9">
        <f>I13-I14</f>
        <v>-14.924999999999999</v>
      </c>
      <c r="J15" s="9">
        <f>J13-J14</f>
        <v>-18.100000000000001</v>
      </c>
      <c r="O15" s="9">
        <f>O13-O14</f>
        <v>-69.325000000000003</v>
      </c>
      <c r="P15" s="9">
        <f>P13-P14</f>
        <v>-91.1815</v>
      </c>
      <c r="Q15" s="9">
        <f t="shared" ref="Q15:Y15" si="15">Q13-Q14</f>
        <v>-110.42588000000001</v>
      </c>
      <c r="R15" s="9">
        <f t="shared" si="15"/>
        <v>-123.67537759999999</v>
      </c>
      <c r="S15" s="9">
        <f t="shared" si="15"/>
        <v>-117.85765315199998</v>
      </c>
      <c r="T15" s="9">
        <f t="shared" si="15"/>
        <v>-87.482811815040009</v>
      </c>
      <c r="U15" s="9">
        <f t="shared" si="15"/>
        <v>-50.92049171134083</v>
      </c>
      <c r="V15" s="9">
        <f t="shared" si="15"/>
        <v>2.2283641564323524</v>
      </c>
      <c r="W15" s="9">
        <f t="shared" si="15"/>
        <v>57.143240810361021</v>
      </c>
      <c r="X15" s="9">
        <f t="shared" si="15"/>
        <v>109.73432520532421</v>
      </c>
      <c r="Y15" s="9">
        <f t="shared" si="15"/>
        <v>146.02827505986298</v>
      </c>
      <c r="Z15" s="2">
        <f>Y15*(1+$AB$20)</f>
        <v>144.56799230926435</v>
      </c>
      <c r="AA15" s="2">
        <f t="shared" ref="AA15:CL15" si="16">Z15*(1+$AB$20)</f>
        <v>143.1223123861717</v>
      </c>
      <c r="AB15" s="2">
        <f t="shared" si="16"/>
        <v>141.69108926230999</v>
      </c>
      <c r="AC15" s="2">
        <f t="shared" si="16"/>
        <v>140.27417836968689</v>
      </c>
      <c r="AD15" s="2">
        <f t="shared" si="16"/>
        <v>138.87143658599001</v>
      </c>
      <c r="AE15" s="2">
        <f t="shared" si="16"/>
        <v>137.48272222013011</v>
      </c>
      <c r="AF15" s="2">
        <f t="shared" si="16"/>
        <v>136.10789499792881</v>
      </c>
      <c r="AG15" s="2">
        <f t="shared" si="16"/>
        <v>134.74681604794952</v>
      </c>
      <c r="AH15" s="2">
        <f t="shared" si="16"/>
        <v>133.39934788747001</v>
      </c>
      <c r="AI15" s="2">
        <f t="shared" si="16"/>
        <v>132.06535440859531</v>
      </c>
      <c r="AJ15" s="2">
        <f t="shared" si="16"/>
        <v>130.74470086450935</v>
      </c>
      <c r="AK15" s="2">
        <f t="shared" si="16"/>
        <v>129.43725385586427</v>
      </c>
      <c r="AL15" s="2">
        <f t="shared" si="16"/>
        <v>128.14288131730564</v>
      </c>
      <c r="AM15" s="2">
        <f t="shared" si="16"/>
        <v>126.86145250413259</v>
      </c>
      <c r="AN15" s="2">
        <f t="shared" si="16"/>
        <v>125.59283797909126</v>
      </c>
      <c r="AO15" s="2">
        <f t="shared" si="16"/>
        <v>124.33690959930034</v>
      </c>
      <c r="AP15" s="2">
        <f t="shared" si="16"/>
        <v>123.09354050330734</v>
      </c>
      <c r="AQ15" s="2">
        <f t="shared" si="16"/>
        <v>121.86260509827426</v>
      </c>
      <c r="AR15" s="2">
        <f t="shared" si="16"/>
        <v>120.64397904729151</v>
      </c>
      <c r="AS15" s="2">
        <f t="shared" si="16"/>
        <v>119.4375392568186</v>
      </c>
      <c r="AT15" s="2">
        <f t="shared" si="16"/>
        <v>118.24316386425041</v>
      </c>
      <c r="AU15" s="2">
        <f t="shared" si="16"/>
        <v>117.06073222560791</v>
      </c>
      <c r="AV15" s="2">
        <f t="shared" si="16"/>
        <v>115.89012490335183</v>
      </c>
      <c r="AW15" s="2">
        <f t="shared" si="16"/>
        <v>114.73122365431831</v>
      </c>
      <c r="AX15" s="2">
        <f t="shared" si="16"/>
        <v>113.58391141777513</v>
      </c>
      <c r="AY15" s="2">
        <f t="shared" si="16"/>
        <v>112.44807230359737</v>
      </c>
      <c r="AZ15" s="2">
        <f t="shared" si="16"/>
        <v>111.3235915805614</v>
      </c>
      <c r="BA15" s="2">
        <f t="shared" si="16"/>
        <v>110.21035566475578</v>
      </c>
      <c r="BB15" s="2">
        <f t="shared" si="16"/>
        <v>109.10825210810822</v>
      </c>
      <c r="BC15" s="2">
        <f t="shared" si="16"/>
        <v>108.01716958702714</v>
      </c>
      <c r="BD15" s="2">
        <f t="shared" si="16"/>
        <v>106.93699789115686</v>
      </c>
      <c r="BE15" s="2">
        <f t="shared" si="16"/>
        <v>105.8676279122453</v>
      </c>
      <c r="BF15" s="2">
        <f t="shared" si="16"/>
        <v>104.80895163312285</v>
      </c>
      <c r="BG15" s="2">
        <f t="shared" si="16"/>
        <v>103.76086211679161</v>
      </c>
      <c r="BH15" s="2">
        <f t="shared" si="16"/>
        <v>102.72325349562369</v>
      </c>
      <c r="BI15" s="2">
        <f t="shared" si="16"/>
        <v>101.69602096066745</v>
      </c>
      <c r="BJ15" s="2">
        <f t="shared" si="16"/>
        <v>100.67906075106077</v>
      </c>
      <c r="BK15" s="2">
        <f t="shared" si="16"/>
        <v>99.672270143550165</v>
      </c>
      <c r="BL15" s="2">
        <f t="shared" si="16"/>
        <v>98.675547442114663</v>
      </c>
      <c r="BM15" s="2">
        <f t="shared" si="16"/>
        <v>97.688791967693518</v>
      </c>
      <c r="BN15" s="2">
        <f t="shared" si="16"/>
        <v>96.711904048016578</v>
      </c>
      <c r="BO15" s="2">
        <f t="shared" si="16"/>
        <v>95.744785007536407</v>
      </c>
      <c r="BP15" s="2">
        <f t="shared" si="16"/>
        <v>94.787337157461039</v>
      </c>
      <c r="BQ15" s="2">
        <f t="shared" si="16"/>
        <v>93.839463785886423</v>
      </c>
      <c r="BR15" s="2">
        <f t="shared" si="16"/>
        <v>92.90106914802756</v>
      </c>
      <c r="BS15" s="2">
        <f t="shared" si="16"/>
        <v>91.972058456547288</v>
      </c>
      <c r="BT15" s="2">
        <f t="shared" si="16"/>
        <v>91.05233787198182</v>
      </c>
      <c r="BU15" s="2">
        <f t="shared" si="16"/>
        <v>90.141814493262004</v>
      </c>
      <c r="BV15" s="2">
        <f t="shared" si="16"/>
        <v>89.240396348329384</v>
      </c>
      <c r="BW15" s="2">
        <f t="shared" si="16"/>
        <v>88.347992384846094</v>
      </c>
      <c r="BX15" s="2">
        <f t="shared" si="16"/>
        <v>87.464512460997639</v>
      </c>
      <c r="BY15" s="2">
        <f t="shared" si="16"/>
        <v>86.589867336387655</v>
      </c>
      <c r="BZ15" s="2">
        <f t="shared" si="16"/>
        <v>85.723968663023783</v>
      </c>
      <c r="CA15" s="2">
        <f t="shared" si="16"/>
        <v>84.866728976393546</v>
      </c>
      <c r="CB15" s="2">
        <f t="shared" si="16"/>
        <v>84.018061686629608</v>
      </c>
      <c r="CC15" s="2">
        <f t="shared" si="16"/>
        <v>83.177881069763316</v>
      </c>
      <c r="CD15" s="2">
        <f t="shared" si="16"/>
        <v>82.346102259065688</v>
      </c>
      <c r="CE15" s="2">
        <f t="shared" si="16"/>
        <v>81.522641236475025</v>
      </c>
      <c r="CF15" s="2">
        <f t="shared" si="16"/>
        <v>80.707414824110273</v>
      </c>
      <c r="CG15" s="2">
        <f t="shared" si="16"/>
        <v>79.900340675869174</v>
      </c>
      <c r="CH15" s="2">
        <f t="shared" si="16"/>
        <v>79.101337269110488</v>
      </c>
      <c r="CI15" s="2">
        <f t="shared" si="16"/>
        <v>78.310323896419376</v>
      </c>
      <c r="CJ15" s="2">
        <f t="shared" si="16"/>
        <v>77.527220657455189</v>
      </c>
      <c r="CK15" s="2">
        <f t="shared" si="16"/>
        <v>76.751948450880633</v>
      </c>
      <c r="CL15" s="2">
        <f t="shared" si="16"/>
        <v>75.984428966371823</v>
      </c>
      <c r="CM15" s="2">
        <f t="shared" ref="CM15:ED15" si="17">CL15*(1+$AB$20)</f>
        <v>75.224584676708105</v>
      </c>
      <c r="CN15" s="2">
        <f t="shared" si="17"/>
        <v>74.472338829941023</v>
      </c>
      <c r="CO15" s="2">
        <f t="shared" si="17"/>
        <v>73.727615441641618</v>
      </c>
      <c r="CP15" s="2">
        <f t="shared" si="17"/>
        <v>72.990339287225197</v>
      </c>
      <c r="CQ15" s="2">
        <f t="shared" si="17"/>
        <v>72.260435894352938</v>
      </c>
      <c r="CR15" s="2">
        <f t="shared" si="17"/>
        <v>71.53783153540941</v>
      </c>
      <c r="CS15" s="2">
        <f t="shared" si="17"/>
        <v>70.822453220055309</v>
      </c>
      <c r="CT15" s="2">
        <f t="shared" si="17"/>
        <v>70.114228687854748</v>
      </c>
      <c r="CU15" s="2">
        <f t="shared" si="17"/>
        <v>69.413086400976198</v>
      </c>
      <c r="CV15" s="2">
        <f t="shared" si="17"/>
        <v>68.718955536966433</v>
      </c>
      <c r="CW15" s="2">
        <f t="shared" si="17"/>
        <v>68.031765981596763</v>
      </c>
      <c r="CX15" s="2">
        <f t="shared" si="17"/>
        <v>67.351448321780794</v>
      </c>
      <c r="CY15" s="2">
        <f t="shared" si="17"/>
        <v>66.677933838562979</v>
      </c>
      <c r="CZ15" s="2">
        <f t="shared" si="17"/>
        <v>66.011154500177355</v>
      </c>
      <c r="DA15" s="2">
        <f t="shared" si="17"/>
        <v>65.351042955175586</v>
      </c>
      <c r="DB15" s="2">
        <f t="shared" si="17"/>
        <v>64.697532525623828</v>
      </c>
      <c r="DC15" s="2">
        <f t="shared" si="17"/>
        <v>64.050557200367592</v>
      </c>
      <c r="DD15" s="2">
        <f t="shared" si="17"/>
        <v>63.410051628363917</v>
      </c>
      <c r="DE15" s="2">
        <f t="shared" si="17"/>
        <v>62.775951112080278</v>
      </c>
      <c r="DF15" s="2">
        <f t="shared" si="17"/>
        <v>62.148191600959478</v>
      </c>
      <c r="DG15" s="2">
        <f t="shared" si="17"/>
        <v>61.526709684949886</v>
      </c>
      <c r="DH15" s="2">
        <f t="shared" si="17"/>
        <v>60.911442588100385</v>
      </c>
      <c r="DI15" s="2">
        <f t="shared" si="17"/>
        <v>60.302328162219382</v>
      </c>
      <c r="DJ15" s="2">
        <f t="shared" si="17"/>
        <v>59.69930488059719</v>
      </c>
      <c r="DK15" s="2">
        <f t="shared" si="17"/>
        <v>59.102311831791219</v>
      </c>
      <c r="DL15" s="2">
        <f t="shared" si="17"/>
        <v>58.511288713473306</v>
      </c>
      <c r="DM15" s="2">
        <f t="shared" si="17"/>
        <v>57.926175826338572</v>
      </c>
      <c r="DN15" s="2">
        <f t="shared" si="17"/>
        <v>57.346914068075186</v>
      </c>
      <c r="DO15" s="2">
        <f t="shared" si="17"/>
        <v>56.773444927394436</v>
      </c>
      <c r="DP15" s="2">
        <f t="shared" si="17"/>
        <v>56.205710478120494</v>
      </c>
      <c r="DQ15" s="2">
        <f t="shared" si="17"/>
        <v>55.643653373339291</v>
      </c>
      <c r="DR15" s="2">
        <f t="shared" si="17"/>
        <v>55.087216839605894</v>
      </c>
      <c r="DS15" s="2">
        <f t="shared" si="17"/>
        <v>54.536344671209832</v>
      </c>
      <c r="DT15" s="2">
        <f t="shared" si="17"/>
        <v>53.99098122449773</v>
      </c>
      <c r="DU15" s="2">
        <f t="shared" si="17"/>
        <v>53.451071412252752</v>
      </c>
      <c r="DV15" s="2">
        <f t="shared" si="17"/>
        <v>52.916560698130226</v>
      </c>
      <c r="DW15" s="2">
        <f t="shared" si="17"/>
        <v>52.387395091148925</v>
      </c>
      <c r="DX15" s="2">
        <f t="shared" si="17"/>
        <v>51.863521140237438</v>
      </c>
      <c r="DY15" s="2">
        <f t="shared" si="17"/>
        <v>51.344885928835062</v>
      </c>
      <c r="DZ15" s="2">
        <f t="shared" si="17"/>
        <v>50.831437069546709</v>
      </c>
      <c r="EA15" s="2">
        <f t="shared" si="17"/>
        <v>50.323122698851243</v>
      </c>
      <c r="EB15" s="2">
        <f t="shared" si="17"/>
        <v>49.819891471862732</v>
      </c>
      <c r="EC15" s="2">
        <f t="shared" si="17"/>
        <v>49.321692557144104</v>
      </c>
      <c r="ED15" s="2">
        <f t="shared" si="17"/>
        <v>48.828475631572665</v>
      </c>
    </row>
    <row r="16" spans="2:134" x14ac:dyDescent="0.3">
      <c r="B16" s="1" t="s">
        <v>2</v>
      </c>
      <c r="C16" s="4">
        <f>99.8</f>
        <v>99.8</v>
      </c>
      <c r="D16" s="4">
        <f>99.8</f>
        <v>99.8</v>
      </c>
      <c r="F16" s="4">
        <f>99.8</f>
        <v>99.8</v>
      </c>
      <c r="G16" s="4">
        <f>99.8</f>
        <v>99.8</v>
      </c>
      <c r="H16" s="4">
        <f>99.8</f>
        <v>99.8</v>
      </c>
      <c r="I16" s="4">
        <f>99.8+18</f>
        <v>117.8</v>
      </c>
      <c r="J16" s="4">
        <f>99.8+18</f>
        <v>117.8</v>
      </c>
      <c r="O16" s="4">
        <f>99.8</f>
        <v>99.8</v>
      </c>
      <c r="P16" s="4">
        <f>99.8+18</f>
        <v>117.8</v>
      </c>
      <c r="Q16" s="4">
        <f t="shared" ref="Q16:Y16" si="18">99.8+18</f>
        <v>117.8</v>
      </c>
      <c r="R16" s="4">
        <f t="shared" si="18"/>
        <v>117.8</v>
      </c>
      <c r="S16" s="4">
        <f t="shared" si="18"/>
        <v>117.8</v>
      </c>
      <c r="T16" s="4">
        <f t="shared" si="18"/>
        <v>117.8</v>
      </c>
      <c r="U16" s="4">
        <f t="shared" si="18"/>
        <v>117.8</v>
      </c>
      <c r="V16" s="4">
        <f t="shared" si="18"/>
        <v>117.8</v>
      </c>
      <c r="W16" s="4">
        <f t="shared" si="18"/>
        <v>117.8</v>
      </c>
      <c r="X16" s="4">
        <f t="shared" si="18"/>
        <v>117.8</v>
      </c>
      <c r="Y16" s="4">
        <f t="shared" si="18"/>
        <v>117.8</v>
      </c>
    </row>
    <row r="17" spans="2:28" x14ac:dyDescent="0.3">
      <c r="B17" s="1" t="s">
        <v>25</v>
      </c>
      <c r="C17" s="8">
        <f>C15/C16</f>
        <v>-5.5110220440881763E-2</v>
      </c>
      <c r="D17" s="8">
        <f>D15/D16</f>
        <v>-8.2164328657314628E-2</v>
      </c>
      <c r="F17" s="8">
        <f>F15/F16</f>
        <v>-0.13727454909819639</v>
      </c>
      <c r="G17" s="8">
        <f>G15/G16</f>
        <v>-0.23146292585170342</v>
      </c>
      <c r="H17" s="8">
        <f>H15/H16</f>
        <v>-0.13226452905811623</v>
      </c>
      <c r="I17" s="8">
        <f>I15/I16</f>
        <v>-0.12669779286926994</v>
      </c>
      <c r="J17" s="8">
        <f>J15/J16</f>
        <v>-0.1536502546689304</v>
      </c>
      <c r="O17" s="8">
        <f>O15/O16</f>
        <v>-0.69463927855711427</v>
      </c>
      <c r="P17" s="8">
        <f>P15/P16</f>
        <v>-0.77403650254668932</v>
      </c>
      <c r="Q17" s="8">
        <f t="shared" ref="Q17:Y17" si="19">Q15/Q16</f>
        <v>-0.93740135823429549</v>
      </c>
      <c r="R17" s="8">
        <f t="shared" si="19"/>
        <v>-1.0498758709677418</v>
      </c>
      <c r="S17" s="8">
        <f t="shared" si="19"/>
        <v>-1.0004894155517825</v>
      </c>
      <c r="T17" s="8">
        <f t="shared" si="19"/>
        <v>-0.74263847041629893</v>
      </c>
      <c r="U17" s="8">
        <f t="shared" si="19"/>
        <v>-0.43226223863617003</v>
      </c>
      <c r="V17" s="8">
        <f t="shared" si="19"/>
        <v>1.8916503874637967E-2</v>
      </c>
      <c r="W17" s="8">
        <f t="shared" si="19"/>
        <v>0.48508693387403246</v>
      </c>
      <c r="X17" s="8">
        <f t="shared" si="19"/>
        <v>0.93153077423874542</v>
      </c>
      <c r="Y17" s="8">
        <f t="shared" si="19"/>
        <v>1.2396288205421306</v>
      </c>
    </row>
    <row r="19" spans="2:28" x14ac:dyDescent="0.3">
      <c r="B19" s="1" t="s">
        <v>33</v>
      </c>
      <c r="J19" s="10">
        <f>J3/F3-1</f>
        <v>1.6666666666666665</v>
      </c>
      <c r="O19" s="10"/>
      <c r="P19" s="10">
        <f>P3/O3-1</f>
        <v>1.5</v>
      </c>
      <c r="Q19" s="10">
        <f t="shared" ref="Q19:Y19" si="20">Q3/P3-1</f>
        <v>1.2000000000000002</v>
      </c>
      <c r="R19" s="10">
        <f t="shared" si="20"/>
        <v>1</v>
      </c>
      <c r="S19" s="10">
        <f t="shared" si="20"/>
        <v>0.8</v>
      </c>
      <c r="T19" s="10">
        <f t="shared" si="20"/>
        <v>0.7</v>
      </c>
      <c r="U19" s="10">
        <f t="shared" si="20"/>
        <v>0.5</v>
      </c>
      <c r="V19" s="10">
        <f t="shared" si="20"/>
        <v>0.39999999999999991</v>
      </c>
      <c r="W19" s="10">
        <f t="shared" si="20"/>
        <v>0.30000000000000004</v>
      </c>
      <c r="X19" s="10">
        <f t="shared" si="20"/>
        <v>0.19999999999999996</v>
      </c>
      <c r="Y19" s="10">
        <f t="shared" si="20"/>
        <v>0.14999999999999991</v>
      </c>
    </row>
    <row r="20" spans="2:28" x14ac:dyDescent="0.3">
      <c r="B20" s="1" t="s">
        <v>34</v>
      </c>
      <c r="F20" s="10">
        <f t="shared" ref="F20:G20" si="21">F5/F3</f>
        <v>-6.6666666666666721E-2</v>
      </c>
      <c r="G20" s="10">
        <f t="shared" si="21"/>
        <v>-0.56249999999999989</v>
      </c>
      <c r="H20" s="10">
        <f>H5/H3</f>
        <v>0.12500000000000011</v>
      </c>
      <c r="I20" s="10">
        <f t="shared" ref="I20:J20" si="22">I5/I3</f>
        <v>0.14999999999999997</v>
      </c>
      <c r="J20" s="10">
        <f t="shared" si="22"/>
        <v>0.15000000000000002</v>
      </c>
      <c r="O20" s="10">
        <f t="shared" ref="O20:Y20" si="23">O5/O3</f>
        <v>5.08130081300813E-2</v>
      </c>
      <c r="P20" s="10">
        <f t="shared" si="23"/>
        <v>0.19</v>
      </c>
      <c r="Q20" s="10">
        <f t="shared" si="23"/>
        <v>0.24</v>
      </c>
      <c r="R20" s="10">
        <f t="shared" si="23"/>
        <v>0.27</v>
      </c>
      <c r="S20" s="10">
        <f t="shared" si="23"/>
        <v>0.28000000000000003</v>
      </c>
      <c r="T20" s="10">
        <f t="shared" si="23"/>
        <v>0.3</v>
      </c>
      <c r="U20" s="10">
        <f t="shared" si="23"/>
        <v>0.3</v>
      </c>
      <c r="V20" s="10">
        <f t="shared" si="23"/>
        <v>0.3</v>
      </c>
      <c r="W20" s="10">
        <f t="shared" si="23"/>
        <v>0.3</v>
      </c>
      <c r="X20" s="10">
        <f t="shared" si="23"/>
        <v>0.3</v>
      </c>
      <c r="Y20" s="10">
        <f t="shared" si="23"/>
        <v>0.3</v>
      </c>
      <c r="AA20" s="1" t="s">
        <v>40</v>
      </c>
      <c r="AB20" s="10">
        <v>-0.01</v>
      </c>
    </row>
    <row r="21" spans="2:28" x14ac:dyDescent="0.3">
      <c r="B21" s="1" t="s">
        <v>35</v>
      </c>
      <c r="J21" s="10">
        <f>J6/F6-1</f>
        <v>0.81818181818181812</v>
      </c>
      <c r="O21" s="10"/>
      <c r="P21" s="10">
        <f>P6/O6-1</f>
        <v>0.60000000000000009</v>
      </c>
      <c r="Q21" s="10">
        <f t="shared" ref="Q21:Y21" si="24">Q6/P6-1</f>
        <v>0.39999999999999991</v>
      </c>
      <c r="R21" s="10">
        <f t="shared" si="24"/>
        <v>0.30000000000000004</v>
      </c>
      <c r="S21" s="10">
        <f t="shared" si="24"/>
        <v>0.19999999999999996</v>
      </c>
      <c r="T21" s="10">
        <f t="shared" si="24"/>
        <v>0.10000000000000009</v>
      </c>
      <c r="U21" s="10">
        <f t="shared" si="24"/>
        <v>5.0000000000000044E-2</v>
      </c>
      <c r="V21" s="10">
        <f t="shared" si="24"/>
        <v>5.0000000000000044E-2</v>
      </c>
      <c r="W21" s="10">
        <f t="shared" si="24"/>
        <v>5.0000000000000044E-2</v>
      </c>
      <c r="X21" s="10">
        <f t="shared" si="24"/>
        <v>5.0000000000000044E-2</v>
      </c>
      <c r="Y21" s="10">
        <f t="shared" si="24"/>
        <v>5.0000000000000044E-2</v>
      </c>
      <c r="AA21" s="1" t="s">
        <v>41</v>
      </c>
      <c r="AB21" s="10">
        <v>0.11</v>
      </c>
    </row>
    <row r="22" spans="2:28" x14ac:dyDescent="0.3">
      <c r="B22" s="1" t="s">
        <v>36</v>
      </c>
      <c r="F22" s="10">
        <f t="shared" ref="F22:G22" si="25">F7/F3</f>
        <v>1.5333333333333332</v>
      </c>
      <c r="G22" s="10">
        <f t="shared" si="25"/>
        <v>2.0624999999999996</v>
      </c>
      <c r="H22" s="10">
        <f>H7/H3</f>
        <v>1</v>
      </c>
      <c r="I22" s="10">
        <f t="shared" ref="I22:J22" si="26">I7/I3</f>
        <v>0.9</v>
      </c>
      <c r="J22" s="10">
        <f t="shared" si="26"/>
        <v>0.85</v>
      </c>
      <c r="O22" s="10">
        <f t="shared" ref="O22:Y22" si="27">O7/O3</f>
        <v>1.0609756097560976</v>
      </c>
      <c r="P22" s="10">
        <f t="shared" si="27"/>
        <v>0.6</v>
      </c>
      <c r="Q22" s="10">
        <f t="shared" si="27"/>
        <v>0.4</v>
      </c>
      <c r="R22" s="10">
        <f t="shared" si="27"/>
        <v>0.3</v>
      </c>
      <c r="S22" s="10">
        <f t="shared" si="27"/>
        <v>0.2</v>
      </c>
      <c r="T22" s="10">
        <f t="shared" si="27"/>
        <v>0.15</v>
      </c>
      <c r="U22" s="10">
        <f t="shared" si="27"/>
        <v>0.13</v>
      </c>
      <c r="V22" s="10">
        <f t="shared" si="27"/>
        <v>0.11</v>
      </c>
      <c r="W22" s="10">
        <f t="shared" si="27"/>
        <v>0.1</v>
      </c>
      <c r="X22" s="10">
        <f t="shared" si="27"/>
        <v>0.09</v>
      </c>
      <c r="Y22" s="10">
        <f t="shared" si="27"/>
        <v>0.09</v>
      </c>
      <c r="AA22" s="1" t="s">
        <v>42</v>
      </c>
      <c r="AB22" s="4">
        <f>NPV(AB21,P15:ED15)</f>
        <v>125.50532601399057</v>
      </c>
    </row>
    <row r="23" spans="2:28" x14ac:dyDescent="0.3">
      <c r="B23" s="1" t="s">
        <v>37</v>
      </c>
      <c r="J23" s="10">
        <f>J8/F8-1</f>
        <v>0.62222222222222223</v>
      </c>
      <c r="O23" s="10"/>
      <c r="P23" s="10">
        <f>P8/O8-1</f>
        <v>0.5</v>
      </c>
      <c r="Q23" s="10">
        <f t="shared" ref="Q23:Y23" si="28">Q8/P8-1</f>
        <v>0.30000000000000004</v>
      </c>
      <c r="R23" s="10">
        <f t="shared" si="28"/>
        <v>0.19999999999999996</v>
      </c>
      <c r="S23" s="10">
        <f t="shared" si="28"/>
        <v>0.14999999999999991</v>
      </c>
      <c r="T23" s="10">
        <f t="shared" si="28"/>
        <v>0.10000000000000009</v>
      </c>
      <c r="U23" s="10">
        <f t="shared" si="28"/>
        <v>5.0000000000000044E-2</v>
      </c>
      <c r="V23" s="10">
        <f t="shared" si="28"/>
        <v>4.0000000000000036E-2</v>
      </c>
      <c r="W23" s="10">
        <f t="shared" si="28"/>
        <v>3.0000000000000027E-2</v>
      </c>
      <c r="X23" s="10">
        <f t="shared" si="28"/>
        <v>3.0000000000000027E-2</v>
      </c>
      <c r="Y23" s="10">
        <f t="shared" si="28"/>
        <v>3.0000000000000027E-2</v>
      </c>
      <c r="AA23" s="1" t="s">
        <v>43</v>
      </c>
      <c r="AB23" s="4">
        <f>Main!D8</f>
        <v>46.100000000000009</v>
      </c>
    </row>
    <row r="24" spans="2:28" x14ac:dyDescent="0.3">
      <c r="B24" s="1" t="s">
        <v>38</v>
      </c>
      <c r="F24" s="10">
        <f t="shared" ref="F24:G24" si="29">F11/F3</f>
        <v>-6.333333333333333</v>
      </c>
      <c r="G24" s="10">
        <f t="shared" si="29"/>
        <v>-7.8125</v>
      </c>
      <c r="H24" s="10">
        <f>H11/H3</f>
        <v>-3.9374999999999996</v>
      </c>
      <c r="I24" s="10">
        <f t="shared" ref="I24:J24" si="30">I11/I3</f>
        <v>-3.6928571428571426</v>
      </c>
      <c r="J24" s="10">
        <f t="shared" si="30"/>
        <v>-3.5249999999999999</v>
      </c>
      <c r="O24" s="10">
        <f t="shared" ref="O24:Y24" si="31">O11/O3</f>
        <v>-4.23780487804878</v>
      </c>
      <c r="P24" s="10">
        <f t="shared" si="31"/>
        <v>-2.3947154471544718</v>
      </c>
      <c r="Q24" s="10">
        <f t="shared" si="31"/>
        <v>-1.3677900960827789</v>
      </c>
      <c r="R24" s="10">
        <f t="shared" si="31"/>
        <v>-0.77917664449371749</v>
      </c>
      <c r="S24" s="10">
        <f t="shared" si="31"/>
        <v>-0.40748879034244878</v>
      </c>
      <c r="T24" s="10">
        <f t="shared" si="31"/>
        <v>-0.16543392316276107</v>
      </c>
      <c r="U24" s="10">
        <f t="shared" si="31"/>
        <v>-5.0803746213932764E-2</v>
      </c>
      <c r="V24" s="10">
        <f t="shared" si="31"/>
        <v>2.5287326637972233E-2</v>
      </c>
      <c r="W24" s="10">
        <f t="shared" si="31"/>
        <v>6.8387058823529398E-2</v>
      </c>
      <c r="X24" s="10">
        <f t="shared" si="31"/>
        <v>9.6061130320420823E-2</v>
      </c>
      <c r="Y24" s="10">
        <f t="shared" si="31"/>
        <v>0.10706375156675606</v>
      </c>
      <c r="AA24" s="1" t="s">
        <v>44</v>
      </c>
      <c r="AB24" s="4">
        <f>AB22+AB23</f>
        <v>171.60532601399058</v>
      </c>
    </row>
    <row r="25" spans="2:28" x14ac:dyDescent="0.3">
      <c r="B25" s="1" t="s">
        <v>23</v>
      </c>
      <c r="AA25" s="1" t="s">
        <v>45</v>
      </c>
      <c r="AB25" s="3">
        <f>AB24/Y16</f>
        <v>1.4567514941764905</v>
      </c>
    </row>
    <row r="26" spans="2:28" x14ac:dyDescent="0.3">
      <c r="B26" s="1" t="s">
        <v>39</v>
      </c>
      <c r="F26" s="10">
        <f t="shared" ref="F26:G26" si="32">F15/F3</f>
        <v>-9.1333333333333329</v>
      </c>
      <c r="G26" s="10">
        <f t="shared" si="32"/>
        <v>-14.4375</v>
      </c>
      <c r="H26" s="10">
        <f>H15/H3</f>
        <v>-4.1249999999999991</v>
      </c>
      <c r="I26" s="10">
        <f t="shared" ref="I26:J26" si="33">I15/I3</f>
        <v>-4.2642857142857142</v>
      </c>
      <c r="J26" s="10">
        <f t="shared" si="33"/>
        <v>-4.5250000000000004</v>
      </c>
      <c r="O26" s="10">
        <f t="shared" ref="O26:Y26" si="34">O15/O3</f>
        <v>-5.6361788617886175</v>
      </c>
      <c r="P26" s="10">
        <f t="shared" si="34"/>
        <v>-2.9652520325203251</v>
      </c>
      <c r="Q26" s="10">
        <f t="shared" si="34"/>
        <v>-1.6323116038433112</v>
      </c>
      <c r="R26" s="10">
        <f t="shared" si="34"/>
        <v>-0.91408261345158892</v>
      </c>
      <c r="S26" s="10">
        <f t="shared" si="34"/>
        <v>-0.48393550608524255</v>
      </c>
      <c r="T26" s="10">
        <f t="shared" si="34"/>
        <v>-0.21130195260843732</v>
      </c>
      <c r="U26" s="10">
        <f t="shared" si="34"/>
        <v>-8.1994006236992642E-2</v>
      </c>
      <c r="V26" s="10">
        <f t="shared" si="34"/>
        <v>2.5629943354571797E-3</v>
      </c>
      <c r="W26" s="10">
        <f t="shared" si="34"/>
        <v>5.0557198093863748E-2</v>
      </c>
      <c r="X26" s="10">
        <f t="shared" si="34"/>
        <v>8.0905748700205005E-2</v>
      </c>
      <c r="Y26" s="10">
        <f t="shared" si="34"/>
        <v>9.3621586999260292E-2</v>
      </c>
      <c r="AA26" s="1" t="s">
        <v>46</v>
      </c>
      <c r="AB26" s="3">
        <f>Main!D3</f>
        <v>11.52</v>
      </c>
    </row>
    <row r="27" spans="2:28" x14ac:dyDescent="0.3">
      <c r="AA27" s="2" t="s">
        <v>47</v>
      </c>
      <c r="AB27" s="11">
        <f>AB25/AB26-1</f>
        <v>-0.87354587724162402</v>
      </c>
    </row>
    <row r="28" spans="2:28" x14ac:dyDescent="0.3">
      <c r="AA28" s="1" t="s">
        <v>48</v>
      </c>
      <c r="AB28" s="7" t="s">
        <v>49</v>
      </c>
    </row>
    <row r="29" spans="2:28" s="12" customFormat="1" x14ac:dyDescent="0.3">
      <c r="B29" s="12" t="s">
        <v>50</v>
      </c>
      <c r="F29" s="12">
        <f>55.6</f>
        <v>55.6</v>
      </c>
      <c r="H29" s="12">
        <v>121.4</v>
      </c>
    </row>
    <row r="31" spans="2:28" x14ac:dyDescent="0.3">
      <c r="B31" s="1" t="s">
        <v>51</v>
      </c>
      <c r="H31" s="13">
        <f>Main!D9/Model!H29</f>
        <v>10.798649093904446</v>
      </c>
    </row>
    <row r="32" spans="2:28" x14ac:dyDescent="0.3">
      <c r="B32" s="1" t="s">
        <v>52</v>
      </c>
      <c r="H32" s="10">
        <f>H29/Main!D9-1</f>
        <v>-0.90739582411614117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2025-09-26T09:39:24Z</dcterms:created>
  <dcterms:modified xsi:type="dcterms:W3CDTF">2025-10-03T10:34:40Z</dcterms:modified>
</cp:coreProperties>
</file>