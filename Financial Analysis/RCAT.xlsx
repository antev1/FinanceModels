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BD9A9DCE-D65A-4535-8802-16EEF59C7B10}" xr6:coauthVersionLast="47" xr6:coauthVersionMax="47" xr10:uidLastSave="{00000000-0000-0000-0000-000000000000}"/>
  <bookViews>
    <workbookView xWindow="-108" yWindow="-108" windowWidth="23256" windowHeight="12576" activeTab="1" xr2:uid="{274E4BE5-5FA1-49CC-A03D-A4474EC70AF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2" i="2" l="1"/>
  <c r="P7" i="2"/>
  <c r="J7" i="2"/>
  <c r="Y3" i="2"/>
  <c r="X3" i="2"/>
  <c r="W3" i="2"/>
  <c r="V3" i="2"/>
  <c r="R3" i="2"/>
  <c r="Q3" i="2"/>
  <c r="Q5" i="2" s="1"/>
  <c r="P5" i="2"/>
  <c r="J3" i="2"/>
  <c r="N14" i="2"/>
  <c r="N12" i="2"/>
  <c r="N9" i="2"/>
  <c r="N8" i="2"/>
  <c r="N7" i="2"/>
  <c r="N6" i="2"/>
  <c r="N10" i="2" s="1"/>
  <c r="N4" i="2"/>
  <c r="N3" i="2"/>
  <c r="N5" i="2" s="1"/>
  <c r="N16" i="2"/>
  <c r="I23" i="2"/>
  <c r="I21" i="2"/>
  <c r="I19" i="2"/>
  <c r="E16" i="2"/>
  <c r="E10" i="2"/>
  <c r="E5" i="2"/>
  <c r="D7" i="1"/>
  <c r="D6" i="1"/>
  <c r="Y16" i="2"/>
  <c r="X16" i="2"/>
  <c r="W16" i="2"/>
  <c r="V16" i="2"/>
  <c r="U16" i="2"/>
  <c r="T16" i="2"/>
  <c r="S16" i="2"/>
  <c r="R16" i="2"/>
  <c r="Q16" i="2"/>
  <c r="P16" i="2"/>
  <c r="O16" i="2"/>
  <c r="J16" i="2"/>
  <c r="I16" i="2"/>
  <c r="D4" i="1"/>
  <c r="F29" i="2"/>
  <c r="N11" i="2" l="1"/>
  <c r="N13" i="2" s="1"/>
  <c r="N15" i="2" s="1"/>
  <c r="N17" i="2" s="1"/>
  <c r="E11" i="2"/>
  <c r="E13" i="2" s="1"/>
  <c r="E15" i="2" s="1"/>
  <c r="E17" i="2" s="1"/>
  <c r="AB26" i="2"/>
  <c r="J23" i="2"/>
  <c r="J21" i="2"/>
  <c r="J19" i="2"/>
  <c r="O14" i="2" l="1"/>
  <c r="O12" i="2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O9" i="2"/>
  <c r="O8" i="2"/>
  <c r="P8" i="2" s="1"/>
  <c r="O6" i="2"/>
  <c r="P6" i="2" s="1"/>
  <c r="O4" i="2"/>
  <c r="O3" i="2"/>
  <c r="P3" i="2" s="1"/>
  <c r="J22" i="2"/>
  <c r="O7" i="2"/>
  <c r="O22" i="2" s="1"/>
  <c r="J4" i="2"/>
  <c r="J5" i="2" s="1"/>
  <c r="J20" i="2" s="1"/>
  <c r="I5" i="2"/>
  <c r="I20" i="2" s="1"/>
  <c r="G26" i="2"/>
  <c r="F26" i="2"/>
  <c r="G24" i="2"/>
  <c r="F24" i="2"/>
  <c r="G22" i="2"/>
  <c r="F22" i="2"/>
  <c r="H22" i="2"/>
  <c r="G20" i="2"/>
  <c r="F20" i="2"/>
  <c r="H20" i="2"/>
  <c r="F16" i="2"/>
  <c r="F10" i="2"/>
  <c r="F5" i="2"/>
  <c r="C16" i="2"/>
  <c r="C10" i="2"/>
  <c r="C5" i="2"/>
  <c r="G16" i="2"/>
  <c r="G10" i="2"/>
  <c r="G5" i="2"/>
  <c r="D16" i="2"/>
  <c r="D10" i="2"/>
  <c r="D5" i="2"/>
  <c r="H16" i="2"/>
  <c r="H10" i="2"/>
  <c r="H5" i="2"/>
  <c r="H11" i="2" s="1"/>
  <c r="H13" i="2" s="1"/>
  <c r="H15" i="2" s="1"/>
  <c r="H17" i="2" s="1"/>
  <c r="D8" i="1"/>
  <c r="AB23" i="2" s="1"/>
  <c r="D5" i="1"/>
  <c r="F3" i="1"/>
  <c r="J10" i="2" l="1"/>
  <c r="J11" i="2" s="1"/>
  <c r="Q8" i="2"/>
  <c r="P23" i="2"/>
  <c r="Q6" i="2"/>
  <c r="P21" i="2"/>
  <c r="P19" i="2"/>
  <c r="I10" i="2"/>
  <c r="I11" i="2" s="1"/>
  <c r="I22" i="2"/>
  <c r="O10" i="2"/>
  <c r="D9" i="1"/>
  <c r="O5" i="2"/>
  <c r="H24" i="2"/>
  <c r="H26" i="2"/>
  <c r="F11" i="2"/>
  <c r="F13" i="2" s="1"/>
  <c r="F15" i="2" s="1"/>
  <c r="F17" i="2" s="1"/>
  <c r="C11" i="2"/>
  <c r="C13" i="2" s="1"/>
  <c r="C15" i="2" s="1"/>
  <c r="C17" i="2" s="1"/>
  <c r="G11" i="2"/>
  <c r="G13" i="2" s="1"/>
  <c r="G15" i="2" s="1"/>
  <c r="G17" i="2" s="1"/>
  <c r="D11" i="2"/>
  <c r="D13" i="2" s="1"/>
  <c r="D15" i="2" s="1"/>
  <c r="D17" i="2" s="1"/>
  <c r="O32" i="2" l="1"/>
  <c r="O31" i="2"/>
  <c r="J24" i="2"/>
  <c r="J13" i="2"/>
  <c r="J15" i="2" s="1"/>
  <c r="R8" i="2"/>
  <c r="Q23" i="2"/>
  <c r="R6" i="2"/>
  <c r="Q21" i="2"/>
  <c r="I24" i="2"/>
  <c r="I13" i="2"/>
  <c r="I15" i="2" s="1"/>
  <c r="R5" i="2"/>
  <c r="Q7" i="2"/>
  <c r="Q19" i="2"/>
  <c r="Q4" i="2"/>
  <c r="P4" i="2"/>
  <c r="P20" i="2"/>
  <c r="P22" i="2"/>
  <c r="P10" i="2"/>
  <c r="P11" i="2" s="1"/>
  <c r="O11" i="2"/>
  <c r="O20" i="2"/>
  <c r="J17" i="2" l="1"/>
  <c r="J26" i="2"/>
  <c r="S8" i="2"/>
  <c r="R23" i="2"/>
  <c r="S6" i="2"/>
  <c r="R21" i="2"/>
  <c r="P24" i="2"/>
  <c r="P13" i="2"/>
  <c r="P15" i="2" s="1"/>
  <c r="O13" i="2"/>
  <c r="O15" i="2" s="1"/>
  <c r="O24" i="2"/>
  <c r="I26" i="2"/>
  <c r="I17" i="2"/>
  <c r="Q20" i="2"/>
  <c r="Q10" i="2"/>
  <c r="Q11" i="2" s="1"/>
  <c r="Q22" i="2"/>
  <c r="R7" i="2"/>
  <c r="S3" i="2"/>
  <c r="R19" i="2"/>
  <c r="R4" i="2"/>
  <c r="S23" i="2" l="1"/>
  <c r="T8" i="2"/>
  <c r="T6" i="2"/>
  <c r="S21" i="2"/>
  <c r="R20" i="2"/>
  <c r="O17" i="2"/>
  <c r="O26" i="2"/>
  <c r="P17" i="2"/>
  <c r="P26" i="2"/>
  <c r="Q24" i="2"/>
  <c r="Q13" i="2"/>
  <c r="Q15" i="2" s="1"/>
  <c r="S7" i="2"/>
  <c r="T3" i="2"/>
  <c r="S19" i="2"/>
  <c r="S5" i="2"/>
  <c r="S4" i="2" s="1"/>
  <c r="R10" i="2"/>
  <c r="R11" i="2" s="1"/>
  <c r="R22" i="2"/>
  <c r="T23" i="2" l="1"/>
  <c r="U8" i="2"/>
  <c r="T21" i="2"/>
  <c r="U6" i="2"/>
  <c r="R24" i="2"/>
  <c r="R13" i="2"/>
  <c r="R15" i="2" s="1"/>
  <c r="Q26" i="2"/>
  <c r="Q17" i="2"/>
  <c r="S20" i="2"/>
  <c r="T7" i="2"/>
  <c r="U3" i="2"/>
  <c r="T19" i="2"/>
  <c r="T5" i="2"/>
  <c r="T4" i="2"/>
  <c r="S22" i="2"/>
  <c r="S10" i="2"/>
  <c r="S11" i="2" s="1"/>
  <c r="U23" i="2" l="1"/>
  <c r="V8" i="2"/>
  <c r="V6" i="2"/>
  <c r="U21" i="2"/>
  <c r="S24" i="2"/>
  <c r="S13" i="2"/>
  <c r="S15" i="2" s="1"/>
  <c r="U7" i="2"/>
  <c r="U19" i="2"/>
  <c r="U5" i="2"/>
  <c r="T10" i="2"/>
  <c r="T11" i="2" s="1"/>
  <c r="T22" i="2"/>
  <c r="R26" i="2"/>
  <c r="R17" i="2"/>
  <c r="T20" i="2"/>
  <c r="W8" i="2" l="1"/>
  <c r="V23" i="2"/>
  <c r="W6" i="2"/>
  <c r="V21" i="2"/>
  <c r="T24" i="2"/>
  <c r="T13" i="2"/>
  <c r="T15" i="2" s="1"/>
  <c r="U20" i="2"/>
  <c r="U4" i="2"/>
  <c r="U10" i="2"/>
  <c r="U11" i="2" s="1"/>
  <c r="U22" i="2"/>
  <c r="V7" i="2"/>
  <c r="V19" i="2"/>
  <c r="V5" i="2"/>
  <c r="V4" i="2" s="1"/>
  <c r="S17" i="2"/>
  <c r="S26" i="2"/>
  <c r="X8" i="2" l="1"/>
  <c r="W23" i="2"/>
  <c r="X6" i="2"/>
  <c r="W21" i="2"/>
  <c r="U13" i="2"/>
  <c r="U15" i="2" s="1"/>
  <c r="U24" i="2"/>
  <c r="V10" i="2"/>
  <c r="V11" i="2" s="1"/>
  <c r="V22" i="2"/>
  <c r="V20" i="2"/>
  <c r="W7" i="2"/>
  <c r="W19" i="2"/>
  <c r="W5" i="2"/>
  <c r="W4" i="2" s="1"/>
  <c r="T26" i="2"/>
  <c r="T17" i="2"/>
  <c r="Y8" i="2" l="1"/>
  <c r="Y23" i="2" s="1"/>
  <c r="X23" i="2"/>
  <c r="Y6" i="2"/>
  <c r="Y21" i="2" s="1"/>
  <c r="X21" i="2"/>
  <c r="V24" i="2"/>
  <c r="V13" i="2"/>
  <c r="V15" i="2" s="1"/>
  <c r="X7" i="2"/>
  <c r="X19" i="2"/>
  <c r="X5" i="2"/>
  <c r="X4" i="2" s="1"/>
  <c r="W10" i="2"/>
  <c r="W11" i="2" s="1"/>
  <c r="W22" i="2"/>
  <c r="W20" i="2"/>
  <c r="U17" i="2"/>
  <c r="U26" i="2"/>
  <c r="W24" i="2" l="1"/>
  <c r="W13" i="2"/>
  <c r="W15" i="2" s="1"/>
  <c r="X22" i="2"/>
  <c r="X10" i="2"/>
  <c r="X11" i="2" s="1"/>
  <c r="X20" i="2"/>
  <c r="Y7" i="2"/>
  <c r="Y19" i="2"/>
  <c r="Y5" i="2"/>
  <c r="Y4" i="2" s="1"/>
  <c r="V26" i="2"/>
  <c r="V17" i="2"/>
  <c r="W17" i="2" l="1"/>
  <c r="W26" i="2"/>
  <c r="Y22" i="2"/>
  <c r="Y10" i="2"/>
  <c r="Y11" i="2" s="1"/>
  <c r="X13" i="2"/>
  <c r="X15" i="2" s="1"/>
  <c r="X24" i="2"/>
  <c r="Y20" i="2"/>
  <c r="Y24" i="2" l="1"/>
  <c r="Y13" i="2"/>
  <c r="Y15" i="2" s="1"/>
  <c r="X26" i="2"/>
  <c r="X17" i="2"/>
  <c r="Y17" i="2" l="1"/>
  <c r="Y26" i="2"/>
  <c r="Z15" i="2"/>
  <c r="AA15" i="2" s="1"/>
  <c r="AB15" i="2" s="1"/>
  <c r="AC15" i="2" s="1"/>
  <c r="AD15" i="2" s="1"/>
  <c r="AE15" i="2" s="1"/>
  <c r="AF15" i="2" s="1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AB24" i="2" s="1"/>
  <c r="AB25" i="2" s="1"/>
  <c r="AB27" i="2" s="1"/>
</calcChain>
</file>

<file path=xl/sharedStrings.xml><?xml version="1.0" encoding="utf-8"?>
<sst xmlns="http://schemas.openxmlformats.org/spreadsheetml/2006/main" count="58" uniqueCount="53">
  <si>
    <t>RCAT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</si>
  <si>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</si>
  <si>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</si>
  <si>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</si>
  <si>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</si>
  <si>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</si>
  <si>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</si>
  <si>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</si>
  <si>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</si>
  <si>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</si>
  <si>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</si>
  <si>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Q225</t>
  </si>
  <si>
    <t>Revenue</t>
  </si>
  <si>
    <t>Cost of sales</t>
  </si>
  <si>
    <t>Gross profit</t>
  </si>
  <si>
    <t>R&amp;D</t>
  </si>
  <si>
    <t>S&amp;M</t>
  </si>
  <si>
    <t>G&amp;A</t>
  </si>
  <si>
    <t>Impairment</t>
  </si>
  <si>
    <t>Total opex</t>
  </si>
  <si>
    <t>Operating profit</t>
  </si>
  <si>
    <t>Net finance expense</t>
  </si>
  <si>
    <t>Pretax profit</t>
  </si>
  <si>
    <t>Taxes</t>
  </si>
  <si>
    <t>Net profit</t>
  </si>
  <si>
    <t>EPS</t>
  </si>
  <si>
    <t>Q124</t>
  </si>
  <si>
    <t>Q224</t>
  </si>
  <si>
    <t>Q324</t>
  </si>
  <si>
    <t>Q424</t>
  </si>
  <si>
    <t>Q125</t>
  </si>
  <si>
    <t>Q325</t>
  </si>
  <si>
    <t>Q425</t>
  </si>
  <si>
    <t>Revenue y/y</t>
  </si>
  <si>
    <t>Gross Margin</t>
  </si>
  <si>
    <t>R&amp;D y/y</t>
  </si>
  <si>
    <t>S&amp;M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</si>
  <si>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</si>
  <si>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</si>
  <si>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</si>
  <si>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</si>
  <si>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</si>
  <si>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</si>
  <si>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</si>
  <si>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</si>
  <si>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</si>
  <si>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</si>
  <si>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</si>
  <si>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</si>
  <si>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L+S/E</t>
  </si>
  <si>
    <t>EV/B</t>
  </si>
  <si>
    <t>B/EV</t>
  </si>
  <si>
    <t>Fairly 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</si>
</sst>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\x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5" fillId="2" borderId="1" xfId="0" applyFont="1" applyFill="1" applyBorder="1"/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0</xdr:row>
      <xdr:rowOff>15240</xdr:rowOff>
    </xdr:from>
    <xdr:to>
      <xdr:col>9</xdr:col>
      <xdr:colOff>30480</xdr:colOff>
      <xdr:row>33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A54AF62-9DC1-B773-6BE5-2358B7A9CA02}"/>
            </a:ext>
          </a:extLst>
        </xdr:cNvPr>
        <xdr:cNvCxnSpPr/>
      </xdr:nvCxnSpPr>
      <xdr:spPr>
        <a:xfrm>
          <a:off x="6126480" y="1524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0</xdr:row>
      <xdr:rowOff>7620</xdr:rowOff>
    </xdr:from>
    <xdr:to>
      <xdr:col>14</xdr:col>
      <xdr:colOff>38100</xdr:colOff>
      <xdr:row>33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80500BF-E0D8-0D69-F83A-0815585D0FD6}"/>
            </a:ext>
          </a:extLst>
        </xdr:cNvPr>
        <xdr:cNvCxnSpPr/>
      </xdr:nvCxnSpPr>
      <xdr:spPr>
        <a:xfrm>
          <a:off x="918210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1BE5-8B4E-4198-A6A6-2A0A908B11CC}">
  <dimension ref="B2:G9"/>
  <sheetViews>
    <sheetView workbookViewId="0">
      <selection activeCell="F3" sqref="F3"/>
    </sheetView>
  </sheetViews>
  <sheetFormatPr defaultRowHeight="14.4" x14ac:dyDescent="0.3"/>
  <cols>
    <col min="1" max="4" width="8.88671875" style="1"/>
    <col min="5" max="5" width="11.88671875" style="5" bestFit="1" customWidth="1"/>
    <col min="6" max="7" width="11.21875" style="5" bestFit="1" customWidth="1"/>
    <col min="8" max="16384" width="8.88671875" style="1"/>
  </cols>
  <sheetData>
    <row r="2" spans="2:7" x14ac:dyDescent="0.3">
      <c r="E2" s="5" t="s">
        <v>8</v>
      </c>
      <c r="F2" s="5" t="s">
        <v>9</v>
      </c>
      <c r="G2" s="5" t="s">
        <v>10</v>
      </c>
    </row>
    <row r="3" spans="2:7" x14ac:dyDescent="0.3">
      <c r="B3" s="2" t="s">
        <v>0</v>
      </c>
      <c r="C3" s="1" t="s">
        <v>1</v>
      </c>
      <c r="D3" s="3">
        <v>6.36</v>
      </c>
      <c r="E3" s="6">
        <v>45983</v>
      </c>
      <c r="F3" s="6">
        <f ca="1">TODAY()</f>
        <v>45983</v>
      </c>
      <c r="G3" s="6">
        <v>46078</v>
      </c>
    </row>
    <row r="4" spans="2:7" x14ac:dyDescent="0.3">
      <c r="C4" s="1" t="s">
        <v>2</v>
      </c>
      <c r="D4" s="4">
        <f>119.4</f>
        <v>119.4</v>
      </c>
      <c r="E4" s="5" t="s">
        <v>31</v>
      </c>
    </row>
    <row r="5" spans="2:7" x14ac:dyDescent="0.3">
      <c r="C5" s="1" t="s">
        <v>3</v>
      </c>
      <c r="D5" s="4">
        <f>D3*D4</f>
        <v>759.38400000000013</v>
      </c>
    </row>
    <row r="6" spans="2:7" x14ac:dyDescent="0.3">
      <c r="C6" s="1" t="s">
        <v>4</v>
      </c>
      <c r="D6" s="4">
        <f>206.4</f>
        <v>206.4</v>
      </c>
      <c r="E6" s="5" t="s">
        <v>31</v>
      </c>
    </row>
    <row r="7" spans="2:7" x14ac:dyDescent="0.3">
      <c r="C7" s="1" t="s">
        <v>5</v>
      </c>
      <c r="D7" s="4">
        <f>0.4+13.4</f>
        <v>13.8</v>
      </c>
      <c r="E7" s="5" t="s">
        <v>31</v>
      </c>
    </row>
    <row r="8" spans="2:7" x14ac:dyDescent="0.3">
      <c r="C8" s="1" t="s">
        <v>6</v>
      </c>
      <c r="D8" s="4">
        <f>D6-D7</f>
        <v>192.6</v>
      </c>
    </row>
    <row r="9" spans="2:7" x14ac:dyDescent="0.3">
      <c r="C9" s="1" t="s">
        <v>7</v>
      </c>
      <c r="D9" s="4">
        <f>D5-D8</f>
        <v>566.78400000000011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94AD-87FB-4692-8DE7-D99492332738}">
  <dimension ref="B2:ED32"/>
  <sheetViews>
    <sheetView tabSelected="1" workbookViewId="0">
      <pane xSplit="2" ySplit="2" topLeftCell="N6" activePane="bottomRight" state="frozen"/>
      <selection pane="topRight" activeCell="C1" sqref="C1"/>
      <selection pane="bottomLeft" activeCell="A3" sqref="A3"/>
      <selection pane="bottomRight" activeCell="Y31" sqref="Y31"/>
    </sheetView>
  </sheetViews>
  <sheetFormatPr defaultRowHeight="14.4" x14ac:dyDescent="0.3"/>
  <cols>
    <col min="1" max="1" width="8.88671875" style="1"/>
    <col min="2" max="2" width="17.77734375" style="1" bestFit="1" customWidth="1"/>
    <col min="3" max="26" width="8.88671875" style="1"/>
    <col min="27" max="27" width="12" style="1" bestFit="1" customWidth="1"/>
    <col min="28" max="28" width="16.44140625" style="1" bestFit="1" customWidth="1"/>
    <col min="29" max="16384" width="8.88671875" style="1"/>
  </cols>
  <sheetData>
    <row r="2" spans="2:134" x14ac:dyDescent="0.3"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11</v>
      </c>
      <c r="I2" s="7" t="s">
        <v>31</v>
      </c>
      <c r="J2" s="7" t="s">
        <v>32</v>
      </c>
      <c r="M2" s="1">
        <v>2023</v>
      </c>
      <c r="N2" s="1">
        <v>2024</v>
      </c>
      <c r="O2" s="1">
        <v>2025</v>
      </c>
      <c r="P2" s="1">
        <v>2026</v>
      </c>
      <c r="Q2" s="1">
        <v>2027</v>
      </c>
      <c r="R2" s="1">
        <v>2028</v>
      </c>
      <c r="S2" s="1">
        <v>2029</v>
      </c>
      <c r="T2" s="1">
        <v>2030</v>
      </c>
      <c r="U2" s="1">
        <v>2031</v>
      </c>
      <c r="V2" s="1">
        <v>2032</v>
      </c>
      <c r="W2" s="1">
        <v>2033</v>
      </c>
      <c r="X2" s="1">
        <v>2034</v>
      </c>
      <c r="Y2" s="1">
        <v>2035</v>
      </c>
    </row>
    <row r="3" spans="2:134" s="2" customFormat="1" x14ac:dyDescent="0.3">
      <c r="B3" s="2" t="s">
        <v>12</v>
      </c>
      <c r="C3" s="9">
        <v>6.6</v>
      </c>
      <c r="D3" s="9">
        <v>6.4</v>
      </c>
      <c r="E3" s="9">
        <v>1.3</v>
      </c>
      <c r="F3" s="9">
        <v>1.5</v>
      </c>
      <c r="G3" s="9">
        <v>1.6</v>
      </c>
      <c r="H3" s="9">
        <v>3.2</v>
      </c>
      <c r="I3" s="9">
        <v>9.6</v>
      </c>
      <c r="J3" s="9">
        <f>F3*6.5</f>
        <v>9.75</v>
      </c>
      <c r="N3" s="9">
        <f>SUM(C3:F3)</f>
        <v>15.8</v>
      </c>
      <c r="O3" s="9">
        <f>SUM(G3:J3)</f>
        <v>24.15</v>
      </c>
      <c r="P3" s="9">
        <f>O3*2.5</f>
        <v>60.375</v>
      </c>
      <c r="Q3" s="9">
        <f>P3*2</f>
        <v>120.75</v>
      </c>
      <c r="R3" s="9">
        <f>Q3*1.9</f>
        <v>229.42499999999998</v>
      </c>
      <c r="S3" s="9">
        <f>R3*1.8</f>
        <v>412.96499999999997</v>
      </c>
      <c r="T3" s="9">
        <f>S3*1.7</f>
        <v>702.04049999999995</v>
      </c>
      <c r="U3" s="9">
        <f>T3*1.5</f>
        <v>1053.0607499999999</v>
      </c>
      <c r="V3" s="9">
        <f>U3*1.35</f>
        <v>1421.6320125</v>
      </c>
      <c r="W3" s="9">
        <f>V3*1.25</f>
        <v>1777.040015625</v>
      </c>
      <c r="X3" s="9">
        <f>W3*1.18</f>
        <v>2096.9072184375</v>
      </c>
      <c r="Y3" s="9">
        <f>X3*1.12</f>
        <v>2348.5360846500002</v>
      </c>
    </row>
    <row r="4" spans="2:134" x14ac:dyDescent="0.3">
      <c r="B4" s="1" t="s">
        <v>13</v>
      </c>
      <c r="C4" s="4">
        <v>5.5</v>
      </c>
      <c r="D4" s="4">
        <v>6.2</v>
      </c>
      <c r="E4" s="4">
        <v>1.7</v>
      </c>
      <c r="F4" s="4">
        <v>1.6</v>
      </c>
      <c r="G4" s="4">
        <v>2.5</v>
      </c>
      <c r="H4" s="4">
        <v>2.8</v>
      </c>
      <c r="I4" s="4">
        <v>9</v>
      </c>
      <c r="J4" s="4">
        <f t="shared" ref="J4" si="0">J3*0.85</f>
        <v>8.2874999999999996</v>
      </c>
      <c r="N4" s="4">
        <f>SUM(C4:F4)</f>
        <v>14.999999999999998</v>
      </c>
      <c r="O4" s="4">
        <f>SUM(G4:J4)</f>
        <v>22.587499999999999</v>
      </c>
      <c r="P4" s="4">
        <f>P3-P5</f>
        <v>51.318750000000001</v>
      </c>
      <c r="Q4" s="4">
        <f t="shared" ref="Q4:Y4" si="1">Q3-Q5</f>
        <v>96.6</v>
      </c>
      <c r="R4" s="4">
        <f t="shared" si="1"/>
        <v>172.06874999999999</v>
      </c>
      <c r="S4" s="4">
        <f t="shared" si="1"/>
        <v>297.33479999999997</v>
      </c>
      <c r="T4" s="4">
        <f t="shared" si="1"/>
        <v>491.42834999999997</v>
      </c>
      <c r="U4" s="4">
        <f t="shared" si="1"/>
        <v>737.14252499999998</v>
      </c>
      <c r="V4" s="4">
        <f t="shared" si="1"/>
        <v>995.14240874999996</v>
      </c>
      <c r="W4" s="4">
        <f t="shared" si="1"/>
        <v>1243.9280109374999</v>
      </c>
      <c r="X4" s="4">
        <f t="shared" si="1"/>
        <v>1467.83505290625</v>
      </c>
      <c r="Y4" s="4">
        <f t="shared" si="1"/>
        <v>1643.9752592550003</v>
      </c>
    </row>
    <row r="5" spans="2:134" s="2" customFormat="1" x14ac:dyDescent="0.3">
      <c r="B5" s="2" t="s">
        <v>14</v>
      </c>
      <c r="C5" s="9">
        <f>C3-C4</f>
        <v>1.0999999999999996</v>
      </c>
      <c r="D5" s="9">
        <f>D3-D4</f>
        <v>0.20000000000000018</v>
      </c>
      <c r="E5" s="9">
        <f t="shared" ref="E5" si="2">E3-E4</f>
        <v>-0.39999999999999991</v>
      </c>
      <c r="F5" s="9">
        <f>F3-F4</f>
        <v>-0.10000000000000009</v>
      </c>
      <c r="G5" s="9">
        <f>G3-G4</f>
        <v>-0.89999999999999991</v>
      </c>
      <c r="H5" s="9">
        <f>H3-H4</f>
        <v>0.40000000000000036</v>
      </c>
      <c r="I5" s="9">
        <f t="shared" ref="I5:J5" si="3">I3-I4</f>
        <v>0.59999999999999964</v>
      </c>
      <c r="J5" s="9">
        <f t="shared" si="3"/>
        <v>1.4625000000000004</v>
      </c>
      <c r="N5" s="9">
        <f>N3-N4</f>
        <v>0.80000000000000249</v>
      </c>
      <c r="O5" s="9">
        <f>O3-O4</f>
        <v>1.5625</v>
      </c>
      <c r="P5" s="9">
        <f>P3*0.15</f>
        <v>9.0562500000000004</v>
      </c>
      <c r="Q5" s="9">
        <f>Q3*0.2</f>
        <v>24.150000000000002</v>
      </c>
      <c r="R5" s="9">
        <f>R3*0.25</f>
        <v>57.356249999999996</v>
      </c>
      <c r="S5" s="9">
        <f>S3*0.28</f>
        <v>115.6302</v>
      </c>
      <c r="T5" s="9">
        <f>T3*0.3</f>
        <v>210.61214999999999</v>
      </c>
      <c r="U5" s="9">
        <f t="shared" ref="U5:Y5" si="4">U3*0.3</f>
        <v>315.91822499999995</v>
      </c>
      <c r="V5" s="9">
        <f t="shared" si="4"/>
        <v>426.48960374999996</v>
      </c>
      <c r="W5" s="9">
        <f t="shared" si="4"/>
        <v>533.11200468749996</v>
      </c>
      <c r="X5" s="9">
        <f t="shared" si="4"/>
        <v>629.07216553124999</v>
      </c>
      <c r="Y5" s="9">
        <f t="shared" si="4"/>
        <v>704.56082539500005</v>
      </c>
    </row>
    <row r="6" spans="2:134" x14ac:dyDescent="0.3">
      <c r="B6" s="1" t="s">
        <v>15</v>
      </c>
      <c r="C6" s="4">
        <v>2.7</v>
      </c>
      <c r="D6" s="4">
        <v>0.3</v>
      </c>
      <c r="E6" s="4">
        <v>1.9</v>
      </c>
      <c r="F6" s="4">
        <v>2.2000000000000002</v>
      </c>
      <c r="G6" s="4">
        <v>3.4</v>
      </c>
      <c r="H6" s="4">
        <v>3.6</v>
      </c>
      <c r="I6" s="4">
        <v>6</v>
      </c>
      <c r="J6" s="4">
        <v>4</v>
      </c>
      <c r="N6" s="4">
        <f t="shared" ref="N6:N9" si="5">SUM(C6:F6)</f>
        <v>7.1000000000000005</v>
      </c>
      <c r="O6" s="4">
        <f t="shared" ref="O6:O9" si="6">SUM(G6:J6)</f>
        <v>17</v>
      </c>
      <c r="P6" s="4">
        <f>O6*1.6</f>
        <v>27.200000000000003</v>
      </c>
      <c r="Q6" s="4">
        <f>P6*1.4</f>
        <v>38.08</v>
      </c>
      <c r="R6" s="4">
        <f>Q6*1.3</f>
        <v>49.503999999999998</v>
      </c>
      <c r="S6" s="4">
        <f>R6*1.2</f>
        <v>59.404799999999994</v>
      </c>
      <c r="T6" s="4">
        <f>S6*1.1</f>
        <v>65.345280000000002</v>
      </c>
      <c r="U6" s="4">
        <f>T6*1.05</f>
        <v>68.612544</v>
      </c>
      <c r="V6" s="4">
        <f t="shared" ref="V6:Y6" si="7">U6*1.05</f>
        <v>72.043171200000003</v>
      </c>
      <c r="W6" s="4">
        <f t="shared" si="7"/>
        <v>75.64532976000001</v>
      </c>
      <c r="X6" s="4">
        <f t="shared" si="7"/>
        <v>79.427596248000015</v>
      </c>
      <c r="Y6" s="4">
        <f t="shared" si="7"/>
        <v>83.398976060400017</v>
      </c>
    </row>
    <row r="7" spans="2:134" x14ac:dyDescent="0.3">
      <c r="B7" s="1" t="s">
        <v>16</v>
      </c>
      <c r="C7" s="4">
        <v>1.4</v>
      </c>
      <c r="D7" s="4">
        <v>2.2000000000000002</v>
      </c>
      <c r="E7" s="4">
        <v>2</v>
      </c>
      <c r="F7" s="4">
        <v>2.2999999999999998</v>
      </c>
      <c r="G7" s="4">
        <v>3.3</v>
      </c>
      <c r="H7" s="4">
        <v>3.2</v>
      </c>
      <c r="I7" s="4">
        <v>3</v>
      </c>
      <c r="J7" s="4">
        <f>J3*0.4</f>
        <v>3.9000000000000004</v>
      </c>
      <c r="N7" s="4">
        <f t="shared" si="5"/>
        <v>7.8999999999999995</v>
      </c>
      <c r="O7" s="4">
        <f t="shared" si="6"/>
        <v>13.4</v>
      </c>
      <c r="P7" s="4">
        <f>P3*0.5</f>
        <v>30.1875</v>
      </c>
      <c r="Q7" s="4">
        <f>Q3*0.4</f>
        <v>48.300000000000004</v>
      </c>
      <c r="R7" s="4">
        <f>R3*0.3</f>
        <v>68.827499999999986</v>
      </c>
      <c r="S7" s="4">
        <f>S3*0.2</f>
        <v>82.593000000000004</v>
      </c>
      <c r="T7" s="4">
        <f>T3*0.15</f>
        <v>105.30607499999999</v>
      </c>
      <c r="U7" s="4">
        <f>U3*0.13</f>
        <v>136.8978975</v>
      </c>
      <c r="V7" s="4">
        <f>V3*0.11</f>
        <v>156.379521375</v>
      </c>
      <c r="W7" s="4">
        <f>W3*0.1</f>
        <v>177.70400156250003</v>
      </c>
      <c r="X7" s="4">
        <f>X3*0.09</f>
        <v>188.721649659375</v>
      </c>
      <c r="Y7" s="4">
        <f>Y3*0.09</f>
        <v>211.36824761850002</v>
      </c>
    </row>
    <row r="8" spans="2:134" x14ac:dyDescent="0.3">
      <c r="B8" s="1" t="s">
        <v>17</v>
      </c>
      <c r="C8" s="4">
        <v>3.1</v>
      </c>
      <c r="D8" s="4">
        <v>2.7</v>
      </c>
      <c r="E8" s="4">
        <v>4.0999999999999996</v>
      </c>
      <c r="F8" s="4">
        <v>4.5</v>
      </c>
      <c r="G8" s="4">
        <v>4.9000000000000004</v>
      </c>
      <c r="H8" s="4">
        <v>6.2</v>
      </c>
      <c r="I8" s="4">
        <v>9.1999999999999993</v>
      </c>
      <c r="J8" s="4">
        <v>7.3</v>
      </c>
      <c r="N8" s="4">
        <f t="shared" si="5"/>
        <v>14.4</v>
      </c>
      <c r="O8" s="4">
        <f t="shared" si="6"/>
        <v>27.6</v>
      </c>
      <c r="P8" s="4">
        <f>O8*1.5</f>
        <v>41.400000000000006</v>
      </c>
      <c r="Q8" s="4">
        <f>P8*1.3</f>
        <v>53.820000000000007</v>
      </c>
      <c r="R8" s="4">
        <f>Q8*1.2</f>
        <v>64.584000000000003</v>
      </c>
      <c r="S8" s="4">
        <f>R8*1.15</f>
        <v>74.271599999999992</v>
      </c>
      <c r="T8" s="4">
        <f>S8*1.1</f>
        <v>81.698759999999993</v>
      </c>
      <c r="U8" s="4">
        <f>T8*1.05</f>
        <v>85.783698000000001</v>
      </c>
      <c r="V8" s="4">
        <f>U8*1.04</f>
        <v>89.215045920000009</v>
      </c>
      <c r="W8" s="4">
        <f>V8*1.03</f>
        <v>91.891497297600012</v>
      </c>
      <c r="X8" s="4">
        <f t="shared" ref="X8:Y8" si="8">W8*1.03</f>
        <v>94.648242216528018</v>
      </c>
      <c r="Y8" s="4">
        <f t="shared" si="8"/>
        <v>97.487689483023857</v>
      </c>
    </row>
    <row r="9" spans="2:134" x14ac:dyDescent="0.3">
      <c r="B9" s="1" t="s">
        <v>18</v>
      </c>
      <c r="C9" s="4">
        <v>0</v>
      </c>
      <c r="D9" s="4">
        <v>0.4</v>
      </c>
      <c r="E9" s="4">
        <v>0.1</v>
      </c>
      <c r="F9" s="4">
        <v>0.4</v>
      </c>
      <c r="G9" s="4">
        <v>0</v>
      </c>
      <c r="H9" s="4">
        <v>0</v>
      </c>
      <c r="I9" s="4">
        <v>0</v>
      </c>
      <c r="J9" s="4">
        <v>0</v>
      </c>
      <c r="N9" s="4">
        <f t="shared" si="5"/>
        <v>0.9</v>
      </c>
      <c r="O9" s="4">
        <f t="shared" si="6"/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</row>
    <row r="10" spans="2:134" x14ac:dyDescent="0.3">
      <c r="B10" s="1" t="s">
        <v>19</v>
      </c>
      <c r="C10" s="4">
        <f>SUM(C6:C9)</f>
        <v>7.1999999999999993</v>
      </c>
      <c r="D10" s="4">
        <f>SUM(D6:D9)</f>
        <v>5.6000000000000005</v>
      </c>
      <c r="E10" s="4">
        <f t="shared" ref="E10" si="9">SUM(E6:E9)</f>
        <v>8.1</v>
      </c>
      <c r="F10" s="4">
        <f>SUM(F6:F9)</f>
        <v>9.4</v>
      </c>
      <c r="G10" s="4">
        <f>SUM(G6:G9)</f>
        <v>11.6</v>
      </c>
      <c r="H10" s="4">
        <f>SUM(H6:H9)</f>
        <v>13</v>
      </c>
      <c r="I10" s="4">
        <f t="shared" ref="I10:J10" si="10">SUM(I6:I9)</f>
        <v>18.2</v>
      </c>
      <c r="J10" s="4">
        <f t="shared" si="10"/>
        <v>15.2</v>
      </c>
      <c r="N10" s="4">
        <f>SUM(N6:N9)</f>
        <v>30.299999999999997</v>
      </c>
      <c r="O10" s="4">
        <f>SUM(O6:O9)</f>
        <v>58</v>
      </c>
      <c r="P10" s="4">
        <f>SUM(P6:P9)</f>
        <v>98.787500000000009</v>
      </c>
      <c r="Q10" s="4">
        <f t="shared" ref="Q10:Y10" si="11">SUM(Q6:Q9)</f>
        <v>140.19999999999999</v>
      </c>
      <c r="R10" s="4">
        <f t="shared" si="11"/>
        <v>182.91549999999998</v>
      </c>
      <c r="S10" s="4">
        <f t="shared" si="11"/>
        <v>216.26939999999996</v>
      </c>
      <c r="T10" s="4">
        <f t="shared" si="11"/>
        <v>252.35011499999999</v>
      </c>
      <c r="U10" s="4">
        <f t="shared" si="11"/>
        <v>291.29413950000003</v>
      </c>
      <c r="V10" s="4">
        <f t="shared" si="11"/>
        <v>317.63773849500001</v>
      </c>
      <c r="W10" s="4">
        <f t="shared" si="11"/>
        <v>345.24082862010005</v>
      </c>
      <c r="X10" s="4">
        <f t="shared" si="11"/>
        <v>362.79748812390301</v>
      </c>
      <c r="Y10" s="4">
        <f t="shared" si="11"/>
        <v>392.25491316192392</v>
      </c>
    </row>
    <row r="11" spans="2:134" s="2" customFormat="1" x14ac:dyDescent="0.3">
      <c r="B11" s="2" t="s">
        <v>20</v>
      </c>
      <c r="C11" s="9">
        <f>C5-C10</f>
        <v>-6.1</v>
      </c>
      <c r="D11" s="9">
        <f>D5-D10</f>
        <v>-5.4</v>
      </c>
      <c r="E11" s="9">
        <f t="shared" ref="E11" si="12">E5-E10</f>
        <v>-8.5</v>
      </c>
      <c r="F11" s="9">
        <f>F5-F10</f>
        <v>-9.5</v>
      </c>
      <c r="G11" s="9">
        <f>G5-G10</f>
        <v>-12.5</v>
      </c>
      <c r="H11" s="9">
        <f>H5-H10</f>
        <v>-12.6</v>
      </c>
      <c r="I11" s="9">
        <f t="shared" ref="I11:J11" si="13">I5-I10</f>
        <v>-17.600000000000001</v>
      </c>
      <c r="J11" s="9">
        <f t="shared" si="13"/>
        <v>-13.737499999999999</v>
      </c>
      <c r="N11" s="9">
        <f>N5-N10</f>
        <v>-29.499999999999993</v>
      </c>
      <c r="O11" s="9">
        <f>O5-O10</f>
        <v>-56.4375</v>
      </c>
      <c r="P11" s="9">
        <f>P5-P10</f>
        <v>-89.731250000000003</v>
      </c>
      <c r="Q11" s="9">
        <f t="shared" ref="Q11:Y11" si="14">Q5-Q10</f>
        <v>-116.04999999999998</v>
      </c>
      <c r="R11" s="9">
        <f t="shared" si="14"/>
        <v>-125.55924999999999</v>
      </c>
      <c r="S11" s="9">
        <f t="shared" si="14"/>
        <v>-100.63919999999996</v>
      </c>
      <c r="T11" s="9">
        <f t="shared" si="14"/>
        <v>-41.737965000000003</v>
      </c>
      <c r="U11" s="9">
        <f t="shared" si="14"/>
        <v>24.624085499999921</v>
      </c>
      <c r="V11" s="9">
        <f t="shared" si="14"/>
        <v>108.85186525499995</v>
      </c>
      <c r="W11" s="9">
        <f t="shared" si="14"/>
        <v>187.87117606739992</v>
      </c>
      <c r="X11" s="9">
        <f t="shared" si="14"/>
        <v>266.27467740734699</v>
      </c>
      <c r="Y11" s="9">
        <f t="shared" si="14"/>
        <v>312.30591223307613</v>
      </c>
    </row>
    <row r="12" spans="2:134" x14ac:dyDescent="0.3">
      <c r="B12" s="1" t="s">
        <v>21</v>
      </c>
      <c r="C12" s="4">
        <v>-0.6</v>
      </c>
      <c r="D12" s="4">
        <v>2.8</v>
      </c>
      <c r="E12" s="4">
        <v>4</v>
      </c>
      <c r="F12" s="4">
        <v>4.2</v>
      </c>
      <c r="G12" s="4">
        <v>10.6</v>
      </c>
      <c r="H12" s="4">
        <v>0.6</v>
      </c>
      <c r="I12" s="4">
        <v>-2.2000000000000002</v>
      </c>
      <c r="J12" s="4">
        <v>4</v>
      </c>
      <c r="N12" s="4">
        <f>SUM(C12:F12)</f>
        <v>10.399999999999999</v>
      </c>
      <c r="O12" s="4">
        <f>SUM(G12:J12)</f>
        <v>13</v>
      </c>
      <c r="P12" s="4">
        <f>O12*1.02</f>
        <v>13.26</v>
      </c>
      <c r="Q12" s="4">
        <f t="shared" ref="Q12:Y12" si="15">P12*1.02</f>
        <v>13.5252</v>
      </c>
      <c r="R12" s="4">
        <f t="shared" si="15"/>
        <v>13.795704000000001</v>
      </c>
      <c r="S12" s="4">
        <f t="shared" si="15"/>
        <v>14.07161808</v>
      </c>
      <c r="T12" s="4">
        <f t="shared" si="15"/>
        <v>14.353050441600001</v>
      </c>
      <c r="U12" s="4">
        <f t="shared" si="15"/>
        <v>14.640111450432</v>
      </c>
      <c r="V12" s="4">
        <f t="shared" si="15"/>
        <v>14.93291367944064</v>
      </c>
      <c r="W12" s="4">
        <f t="shared" si="15"/>
        <v>15.231571953029453</v>
      </c>
      <c r="X12" s="4">
        <f t="shared" si="15"/>
        <v>15.536203392090043</v>
      </c>
      <c r="Y12" s="4">
        <f t="shared" si="15"/>
        <v>15.846927459931845</v>
      </c>
    </row>
    <row r="13" spans="2:134" s="2" customFormat="1" x14ac:dyDescent="0.3">
      <c r="B13" s="2" t="s">
        <v>22</v>
      </c>
      <c r="C13" s="9">
        <f>C11-C12</f>
        <v>-5.5</v>
      </c>
      <c r="D13" s="9">
        <f>D11-D12</f>
        <v>-8.1999999999999993</v>
      </c>
      <c r="E13" s="9">
        <f t="shared" ref="E13" si="16">E11-E12</f>
        <v>-12.5</v>
      </c>
      <c r="F13" s="9">
        <f>F11-F12</f>
        <v>-13.7</v>
      </c>
      <c r="G13" s="9">
        <f>G11-G12</f>
        <v>-23.1</v>
      </c>
      <c r="H13" s="9">
        <f>H11-H12</f>
        <v>-13.2</v>
      </c>
      <c r="I13" s="9">
        <f t="shared" ref="I13:J13" si="17">I11-I12</f>
        <v>-15.400000000000002</v>
      </c>
      <c r="J13" s="9">
        <f t="shared" si="17"/>
        <v>-17.737499999999997</v>
      </c>
      <c r="N13" s="9">
        <f>N11-N12</f>
        <v>-39.899999999999991</v>
      </c>
      <c r="O13" s="9">
        <f>O11-O12</f>
        <v>-69.4375</v>
      </c>
      <c r="P13" s="9">
        <f>P11-P12</f>
        <v>-102.99125000000001</v>
      </c>
      <c r="Q13" s="9">
        <f t="shared" ref="Q13:Y13" si="18">Q11-Q12</f>
        <v>-129.5752</v>
      </c>
      <c r="R13" s="9">
        <f t="shared" si="18"/>
        <v>-139.35495399999999</v>
      </c>
      <c r="S13" s="9">
        <f t="shared" si="18"/>
        <v>-114.71081807999997</v>
      </c>
      <c r="T13" s="9">
        <f t="shared" si="18"/>
        <v>-56.091015441600007</v>
      </c>
      <c r="U13" s="9">
        <f t="shared" si="18"/>
        <v>9.9839740495679212</v>
      </c>
      <c r="V13" s="9">
        <f t="shared" si="18"/>
        <v>93.918951575559305</v>
      </c>
      <c r="W13" s="9">
        <f t="shared" si="18"/>
        <v>172.63960411437046</v>
      </c>
      <c r="X13" s="9">
        <f t="shared" si="18"/>
        <v>250.73847401525694</v>
      </c>
      <c r="Y13" s="9">
        <f t="shared" si="18"/>
        <v>296.45898477314427</v>
      </c>
    </row>
    <row r="14" spans="2:134" x14ac:dyDescent="0.3">
      <c r="B14" s="1" t="s">
        <v>23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0.7</v>
      </c>
      <c r="J14" s="4">
        <v>0</v>
      </c>
      <c r="N14" s="4">
        <f>SUM(C14:F14)</f>
        <v>0</v>
      </c>
      <c r="O14" s="4">
        <f>SUM(G14:J14)</f>
        <v>0.7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</row>
    <row r="15" spans="2:134" s="2" customFormat="1" x14ac:dyDescent="0.3">
      <c r="B15" s="2" t="s">
        <v>24</v>
      </c>
      <c r="C15" s="9">
        <f t="shared" ref="C15:J15" si="19">C13-C14</f>
        <v>-5.5</v>
      </c>
      <c r="D15" s="9">
        <f t="shared" si="19"/>
        <v>-8.1999999999999993</v>
      </c>
      <c r="E15" s="9">
        <f t="shared" si="19"/>
        <v>-12.5</v>
      </c>
      <c r="F15" s="9">
        <f t="shared" si="19"/>
        <v>-13.7</v>
      </c>
      <c r="G15" s="9">
        <f t="shared" si="19"/>
        <v>-23.1</v>
      </c>
      <c r="H15" s="9">
        <f t="shared" si="19"/>
        <v>-13.2</v>
      </c>
      <c r="I15" s="9">
        <f t="shared" si="19"/>
        <v>-16.100000000000001</v>
      </c>
      <c r="J15" s="9">
        <f t="shared" si="19"/>
        <v>-17.737499999999997</v>
      </c>
      <c r="N15" s="9">
        <f>N13-N14</f>
        <v>-39.899999999999991</v>
      </c>
      <c r="O15" s="9">
        <f>O13-O14</f>
        <v>-70.137500000000003</v>
      </c>
      <c r="P15" s="9">
        <f>P13-P14</f>
        <v>-102.99125000000001</v>
      </c>
      <c r="Q15" s="9">
        <f t="shared" ref="Q15:Y15" si="20">Q13-Q14</f>
        <v>-129.5752</v>
      </c>
      <c r="R15" s="9">
        <f t="shared" si="20"/>
        <v>-139.35495399999999</v>
      </c>
      <c r="S15" s="9">
        <f t="shared" si="20"/>
        <v>-114.71081807999997</v>
      </c>
      <c r="T15" s="9">
        <f t="shared" si="20"/>
        <v>-56.091015441600007</v>
      </c>
      <c r="U15" s="9">
        <f t="shared" si="20"/>
        <v>9.9839740495679212</v>
      </c>
      <c r="V15" s="9">
        <f t="shared" si="20"/>
        <v>93.918951575559305</v>
      </c>
      <c r="W15" s="9">
        <f t="shared" si="20"/>
        <v>172.63960411437046</v>
      </c>
      <c r="X15" s="9">
        <f t="shared" si="20"/>
        <v>250.73847401525694</v>
      </c>
      <c r="Y15" s="9">
        <f t="shared" si="20"/>
        <v>296.45898477314427</v>
      </c>
      <c r="Z15" s="2">
        <f>Y15*(1+$AB$20)</f>
        <v>293.49439492541285</v>
      </c>
      <c r="AA15" s="2">
        <f t="shared" ref="AA15:CL15" si="21">Z15*(1+$AB$20)</f>
        <v>290.5594509761587</v>
      </c>
      <c r="AB15" s="2">
        <f t="shared" si="21"/>
        <v>287.65385646639709</v>
      </c>
      <c r="AC15" s="2">
        <f t="shared" si="21"/>
        <v>284.77731790173311</v>
      </c>
      <c r="AD15" s="2">
        <f t="shared" si="21"/>
        <v>281.92954472271578</v>
      </c>
      <c r="AE15" s="2">
        <f t="shared" si="21"/>
        <v>279.11024927548863</v>
      </c>
      <c r="AF15" s="2">
        <f t="shared" si="21"/>
        <v>276.31914678273375</v>
      </c>
      <c r="AG15" s="2">
        <f t="shared" si="21"/>
        <v>273.55595531490644</v>
      </c>
      <c r="AH15" s="2">
        <f t="shared" si="21"/>
        <v>270.82039576175737</v>
      </c>
      <c r="AI15" s="2">
        <f t="shared" si="21"/>
        <v>268.1121918041398</v>
      </c>
      <c r="AJ15" s="2">
        <f t="shared" si="21"/>
        <v>265.43106988609838</v>
      </c>
      <c r="AK15" s="2">
        <f t="shared" si="21"/>
        <v>262.77675918723742</v>
      </c>
      <c r="AL15" s="2">
        <f t="shared" si="21"/>
        <v>260.14899159536503</v>
      </c>
      <c r="AM15" s="2">
        <f t="shared" si="21"/>
        <v>257.54750167941137</v>
      </c>
      <c r="AN15" s="2">
        <f t="shared" si="21"/>
        <v>254.97202666261725</v>
      </c>
      <c r="AO15" s="2">
        <f t="shared" si="21"/>
        <v>252.42230639599109</v>
      </c>
      <c r="AP15" s="2">
        <f t="shared" si="21"/>
        <v>249.89808333203118</v>
      </c>
      <c r="AQ15" s="2">
        <f t="shared" si="21"/>
        <v>247.39910249871087</v>
      </c>
      <c r="AR15" s="2">
        <f t="shared" si="21"/>
        <v>244.92511147372377</v>
      </c>
      <c r="AS15" s="2">
        <f t="shared" si="21"/>
        <v>242.47586035898652</v>
      </c>
      <c r="AT15" s="2">
        <f t="shared" si="21"/>
        <v>240.05110175539664</v>
      </c>
      <c r="AU15" s="2">
        <f t="shared" si="21"/>
        <v>237.65059073784266</v>
      </c>
      <c r="AV15" s="2">
        <f t="shared" si="21"/>
        <v>235.27408483046423</v>
      </c>
      <c r="AW15" s="2">
        <f t="shared" si="21"/>
        <v>232.92134398215958</v>
      </c>
      <c r="AX15" s="2">
        <f t="shared" si="21"/>
        <v>230.592130542338</v>
      </c>
      <c r="AY15" s="2">
        <f t="shared" si="21"/>
        <v>228.28620923691463</v>
      </c>
      <c r="AZ15" s="2">
        <f t="shared" si="21"/>
        <v>226.00334714454547</v>
      </c>
      <c r="BA15" s="2">
        <f t="shared" si="21"/>
        <v>223.7433136731</v>
      </c>
      <c r="BB15" s="2">
        <f t="shared" si="21"/>
        <v>221.50588053636901</v>
      </c>
      <c r="BC15" s="2">
        <f t="shared" si="21"/>
        <v>219.29082173100531</v>
      </c>
      <c r="BD15" s="2">
        <f t="shared" si="21"/>
        <v>217.09791351369526</v>
      </c>
      <c r="BE15" s="2">
        <f t="shared" si="21"/>
        <v>214.92693437855831</v>
      </c>
      <c r="BF15" s="2">
        <f t="shared" si="21"/>
        <v>212.77766503477272</v>
      </c>
      <c r="BG15" s="2">
        <f t="shared" si="21"/>
        <v>210.649888384425</v>
      </c>
      <c r="BH15" s="2">
        <f t="shared" si="21"/>
        <v>208.54338950058076</v>
      </c>
      <c r="BI15" s="2">
        <f t="shared" si="21"/>
        <v>206.45795560557494</v>
      </c>
      <c r="BJ15" s="2">
        <f t="shared" si="21"/>
        <v>204.39337604951919</v>
      </c>
      <c r="BK15" s="2">
        <f t="shared" si="21"/>
        <v>202.34944228902398</v>
      </c>
      <c r="BL15" s="2">
        <f t="shared" si="21"/>
        <v>200.32594786613373</v>
      </c>
      <c r="BM15" s="2">
        <f t="shared" si="21"/>
        <v>198.3226883874724</v>
      </c>
      <c r="BN15" s="2">
        <f t="shared" si="21"/>
        <v>196.33946150359768</v>
      </c>
      <c r="BO15" s="2">
        <f t="shared" si="21"/>
        <v>194.3760668885617</v>
      </c>
      <c r="BP15" s="2">
        <f t="shared" si="21"/>
        <v>192.43230621967606</v>
      </c>
      <c r="BQ15" s="2">
        <f t="shared" si="21"/>
        <v>190.50798315747932</v>
      </c>
      <c r="BR15" s="2">
        <f t="shared" si="21"/>
        <v>188.60290332590452</v>
      </c>
      <c r="BS15" s="2">
        <f t="shared" si="21"/>
        <v>186.71687429264549</v>
      </c>
      <c r="BT15" s="2">
        <f t="shared" si="21"/>
        <v>184.84970554971903</v>
      </c>
      <c r="BU15" s="2">
        <f t="shared" si="21"/>
        <v>183.00120849422183</v>
      </c>
      <c r="BV15" s="2">
        <f t="shared" si="21"/>
        <v>181.17119640927962</v>
      </c>
      <c r="BW15" s="2">
        <f t="shared" si="21"/>
        <v>179.35948444518681</v>
      </c>
      <c r="BX15" s="2">
        <f t="shared" si="21"/>
        <v>177.56588960073495</v>
      </c>
      <c r="BY15" s="2">
        <f t="shared" si="21"/>
        <v>175.79023070472761</v>
      </c>
      <c r="BZ15" s="2">
        <f t="shared" si="21"/>
        <v>174.03232839768032</v>
      </c>
      <c r="CA15" s="2">
        <f t="shared" si="21"/>
        <v>172.29200511370351</v>
      </c>
      <c r="CB15" s="2">
        <f t="shared" si="21"/>
        <v>170.56908506256647</v>
      </c>
      <c r="CC15" s="2">
        <f t="shared" si="21"/>
        <v>168.8633942119408</v>
      </c>
      <c r="CD15" s="2">
        <f t="shared" si="21"/>
        <v>167.17476026982138</v>
      </c>
      <c r="CE15" s="2">
        <f t="shared" si="21"/>
        <v>165.50301266712316</v>
      </c>
      <c r="CF15" s="2">
        <f t="shared" si="21"/>
        <v>163.84798254045194</v>
      </c>
      <c r="CG15" s="2">
        <f t="shared" si="21"/>
        <v>162.20950271504742</v>
      </c>
      <c r="CH15" s="2">
        <f t="shared" si="21"/>
        <v>160.58740768789696</v>
      </c>
      <c r="CI15" s="2">
        <f t="shared" si="21"/>
        <v>158.98153361101799</v>
      </c>
      <c r="CJ15" s="2">
        <f t="shared" si="21"/>
        <v>157.39171827490782</v>
      </c>
      <c r="CK15" s="2">
        <f t="shared" si="21"/>
        <v>155.81780109215873</v>
      </c>
      <c r="CL15" s="2">
        <f t="shared" si="21"/>
        <v>154.25962308123715</v>
      </c>
      <c r="CM15" s="2">
        <f t="shared" ref="CM15:ED15" si="22">CL15*(1+$AB$20)</f>
        <v>152.71702685042479</v>
      </c>
      <c r="CN15" s="2">
        <f t="shared" si="22"/>
        <v>151.18985658192054</v>
      </c>
      <c r="CO15" s="2">
        <f t="shared" si="22"/>
        <v>149.67795801610134</v>
      </c>
      <c r="CP15" s="2">
        <f t="shared" si="22"/>
        <v>148.18117843594032</v>
      </c>
      <c r="CQ15" s="2">
        <f t="shared" si="22"/>
        <v>146.69936665158093</v>
      </c>
      <c r="CR15" s="2">
        <f t="shared" si="22"/>
        <v>145.23237298506513</v>
      </c>
      <c r="CS15" s="2">
        <f t="shared" si="22"/>
        <v>143.78004925521446</v>
      </c>
      <c r="CT15" s="2">
        <f t="shared" si="22"/>
        <v>142.34224876266231</v>
      </c>
      <c r="CU15" s="2">
        <f t="shared" si="22"/>
        <v>140.91882627503568</v>
      </c>
      <c r="CV15" s="2">
        <f t="shared" si="22"/>
        <v>139.50963801228534</v>
      </c>
      <c r="CW15" s="2">
        <f t="shared" si="22"/>
        <v>138.11454163216249</v>
      </c>
      <c r="CX15" s="2">
        <f t="shared" si="22"/>
        <v>136.73339621584086</v>
      </c>
      <c r="CY15" s="2">
        <f t="shared" si="22"/>
        <v>135.36606225368246</v>
      </c>
      <c r="CZ15" s="2">
        <f t="shared" si="22"/>
        <v>134.01240163114562</v>
      </c>
      <c r="DA15" s="2">
        <f t="shared" si="22"/>
        <v>132.67227761483417</v>
      </c>
      <c r="DB15" s="2">
        <f t="shared" si="22"/>
        <v>131.34555483868584</v>
      </c>
      <c r="DC15" s="2">
        <f t="shared" si="22"/>
        <v>130.03209929029899</v>
      </c>
      <c r="DD15" s="2">
        <f t="shared" si="22"/>
        <v>128.731778297396</v>
      </c>
      <c r="DE15" s="2">
        <f t="shared" si="22"/>
        <v>127.44446051442205</v>
      </c>
      <c r="DF15" s="2">
        <f t="shared" si="22"/>
        <v>126.17001590927782</v>
      </c>
      <c r="DG15" s="2">
        <f t="shared" si="22"/>
        <v>124.90831575018504</v>
      </c>
      <c r="DH15" s="2">
        <f t="shared" si="22"/>
        <v>123.65923259268318</v>
      </c>
      <c r="DI15" s="2">
        <f t="shared" si="22"/>
        <v>122.42264026675635</v>
      </c>
      <c r="DJ15" s="2">
        <f t="shared" si="22"/>
        <v>121.19841386408878</v>
      </c>
      <c r="DK15" s="2">
        <f t="shared" si="22"/>
        <v>119.98642972544789</v>
      </c>
      <c r="DL15" s="2">
        <f t="shared" si="22"/>
        <v>118.78656542819341</v>
      </c>
      <c r="DM15" s="2">
        <f t="shared" si="22"/>
        <v>117.59869977391148</v>
      </c>
      <c r="DN15" s="2">
        <f t="shared" si="22"/>
        <v>116.42271277617236</v>
      </c>
      <c r="DO15" s="2">
        <f t="shared" si="22"/>
        <v>115.25848564841064</v>
      </c>
      <c r="DP15" s="2">
        <f t="shared" si="22"/>
        <v>114.10590079192653</v>
      </c>
      <c r="DQ15" s="2">
        <f t="shared" si="22"/>
        <v>112.96484178400726</v>
      </c>
      <c r="DR15" s="2">
        <f t="shared" si="22"/>
        <v>111.83519336616719</v>
      </c>
      <c r="DS15" s="2">
        <f t="shared" si="22"/>
        <v>110.71684143250552</v>
      </c>
      <c r="DT15" s="2">
        <f t="shared" si="22"/>
        <v>109.60967301818046</v>
      </c>
      <c r="DU15" s="2">
        <f t="shared" si="22"/>
        <v>108.51357628799866</v>
      </c>
      <c r="DV15" s="2">
        <f t="shared" si="22"/>
        <v>107.42844052511867</v>
      </c>
      <c r="DW15" s="2">
        <f t="shared" si="22"/>
        <v>106.35415611986748</v>
      </c>
      <c r="DX15" s="2">
        <f t="shared" si="22"/>
        <v>105.29061455866881</v>
      </c>
      <c r="DY15" s="2">
        <f t="shared" si="22"/>
        <v>104.23770841308212</v>
      </c>
      <c r="DZ15" s="2">
        <f t="shared" si="22"/>
        <v>103.1953313289513</v>
      </c>
      <c r="EA15" s="2">
        <f t="shared" si="22"/>
        <v>102.16337801566178</v>
      </c>
      <c r="EB15" s="2">
        <f t="shared" si="22"/>
        <v>101.14174423550516</v>
      </c>
      <c r="EC15" s="2">
        <f t="shared" si="22"/>
        <v>100.1303267931501</v>
      </c>
      <c r="ED15" s="2">
        <f t="shared" si="22"/>
        <v>99.129023525218599</v>
      </c>
    </row>
    <row r="16" spans="2:134" x14ac:dyDescent="0.3">
      <c r="B16" s="1" t="s">
        <v>2</v>
      </c>
      <c r="C16" s="4">
        <f>99.8</f>
        <v>99.8</v>
      </c>
      <c r="D16" s="4">
        <f>99.8</f>
        <v>99.8</v>
      </c>
      <c r="E16" s="4">
        <f>119.4</f>
        <v>119.4</v>
      </c>
      <c r="F16" s="4">
        <f>99.8</f>
        <v>99.8</v>
      </c>
      <c r="G16" s="4">
        <f>99.8</f>
        <v>99.8</v>
      </c>
      <c r="H16" s="4">
        <f>99.8</f>
        <v>99.8</v>
      </c>
      <c r="I16" s="4">
        <f>119.4</f>
        <v>119.4</v>
      </c>
      <c r="J16" s="4">
        <f>119.4</f>
        <v>119.4</v>
      </c>
      <c r="N16" s="4">
        <f t="shared" ref="N16:Y16" si="23">119.4</f>
        <v>119.4</v>
      </c>
      <c r="O16" s="4">
        <f t="shared" si="23"/>
        <v>119.4</v>
      </c>
      <c r="P16" s="4">
        <f t="shared" si="23"/>
        <v>119.4</v>
      </c>
      <c r="Q16" s="4">
        <f t="shared" si="23"/>
        <v>119.4</v>
      </c>
      <c r="R16" s="4">
        <f t="shared" si="23"/>
        <v>119.4</v>
      </c>
      <c r="S16" s="4">
        <f t="shared" si="23"/>
        <v>119.4</v>
      </c>
      <c r="T16" s="4">
        <f t="shared" si="23"/>
        <v>119.4</v>
      </c>
      <c r="U16" s="4">
        <f t="shared" si="23"/>
        <v>119.4</v>
      </c>
      <c r="V16" s="4">
        <f t="shared" si="23"/>
        <v>119.4</v>
      </c>
      <c r="W16" s="4">
        <f t="shared" si="23"/>
        <v>119.4</v>
      </c>
      <c r="X16" s="4">
        <f t="shared" si="23"/>
        <v>119.4</v>
      </c>
      <c r="Y16" s="4">
        <f t="shared" si="23"/>
        <v>119.4</v>
      </c>
    </row>
    <row r="17" spans="2:28" x14ac:dyDescent="0.3">
      <c r="B17" s="1" t="s">
        <v>25</v>
      </c>
      <c r="C17" s="8">
        <f t="shared" ref="C17:J17" si="24">C15/C16</f>
        <v>-5.5110220440881763E-2</v>
      </c>
      <c r="D17" s="8">
        <f t="shared" si="24"/>
        <v>-8.2164328657314628E-2</v>
      </c>
      <c r="E17" s="8">
        <f t="shared" si="24"/>
        <v>-0.10469011725293131</v>
      </c>
      <c r="F17" s="8">
        <f t="shared" si="24"/>
        <v>-0.13727454909819639</v>
      </c>
      <c r="G17" s="8">
        <f t="shared" si="24"/>
        <v>-0.23146292585170342</v>
      </c>
      <c r="H17" s="8">
        <f t="shared" si="24"/>
        <v>-0.13226452905811623</v>
      </c>
      <c r="I17" s="8">
        <f t="shared" si="24"/>
        <v>-0.13484087102177555</v>
      </c>
      <c r="J17" s="8">
        <f t="shared" si="24"/>
        <v>-0.14855527638190952</v>
      </c>
      <c r="N17" s="8">
        <f>N15/N16</f>
        <v>-0.33417085427135668</v>
      </c>
      <c r="O17" s="8">
        <f>O15/O16</f>
        <v>-0.58741624790619762</v>
      </c>
      <c r="P17" s="8">
        <f>P15/P16</f>
        <v>-0.86257328308207704</v>
      </c>
      <c r="Q17" s="8">
        <f t="shared" ref="Q17:Y17" si="25">Q15/Q16</f>
        <v>-1.0852194304857621</v>
      </c>
      <c r="R17" s="8">
        <f t="shared" si="25"/>
        <v>-1.167126917922948</v>
      </c>
      <c r="S17" s="8">
        <f t="shared" si="25"/>
        <v>-0.96072711959798962</v>
      </c>
      <c r="T17" s="8">
        <f t="shared" si="25"/>
        <v>-0.46977399867336689</v>
      </c>
      <c r="U17" s="8">
        <f t="shared" si="25"/>
        <v>8.3617873111959132E-2</v>
      </c>
      <c r="V17" s="8">
        <f t="shared" si="25"/>
        <v>0.78659088421741463</v>
      </c>
      <c r="W17" s="8">
        <f t="shared" si="25"/>
        <v>1.445892831778647</v>
      </c>
      <c r="X17" s="8">
        <f t="shared" si="25"/>
        <v>2.0999872195582658</v>
      </c>
      <c r="Y17" s="8">
        <f t="shared" si="25"/>
        <v>2.4829060701268362</v>
      </c>
    </row>
    <row r="19" spans="2:28" x14ac:dyDescent="0.3">
      <c r="B19" s="1" t="s">
        <v>33</v>
      </c>
      <c r="I19" s="10">
        <f>I3/E3-1</f>
        <v>6.3846153846153841</v>
      </c>
      <c r="J19" s="10">
        <f>J3/F3-1</f>
        <v>5.5</v>
      </c>
      <c r="O19" s="10"/>
      <c r="P19" s="10">
        <f>P3/O3-1</f>
        <v>1.5</v>
      </c>
      <c r="Q19" s="10">
        <f t="shared" ref="Q19:Y19" si="26">Q3/P3-1</f>
        <v>1</v>
      </c>
      <c r="R19" s="10">
        <f t="shared" si="26"/>
        <v>0.89999999999999991</v>
      </c>
      <c r="S19" s="10">
        <f t="shared" si="26"/>
        <v>0.8</v>
      </c>
      <c r="T19" s="10">
        <f t="shared" si="26"/>
        <v>0.7</v>
      </c>
      <c r="U19" s="10">
        <f t="shared" si="26"/>
        <v>0.5</v>
      </c>
      <c r="V19" s="10">
        <f t="shared" si="26"/>
        <v>0.35000000000000009</v>
      </c>
      <c r="W19" s="10">
        <f t="shared" si="26"/>
        <v>0.25</v>
      </c>
      <c r="X19" s="10">
        <f t="shared" si="26"/>
        <v>0.17999999999999994</v>
      </c>
      <c r="Y19" s="10">
        <f t="shared" si="26"/>
        <v>0.12000000000000011</v>
      </c>
    </row>
    <row r="20" spans="2:28" x14ac:dyDescent="0.3">
      <c r="B20" s="1" t="s">
        <v>34</v>
      </c>
      <c r="F20" s="10">
        <f t="shared" ref="F20:G20" si="27">F5/F3</f>
        <v>-6.6666666666666721E-2</v>
      </c>
      <c r="G20" s="10">
        <f t="shared" si="27"/>
        <v>-0.56249999999999989</v>
      </c>
      <c r="H20" s="10">
        <f>H5/H3</f>
        <v>0.12500000000000011</v>
      </c>
      <c r="I20" s="10">
        <f t="shared" ref="I20:J20" si="28">I5/I3</f>
        <v>6.2499999999999965E-2</v>
      </c>
      <c r="J20" s="10">
        <f t="shared" si="28"/>
        <v>0.15000000000000005</v>
      </c>
      <c r="O20" s="10">
        <f t="shared" ref="O20:Y20" si="29">O5/O3</f>
        <v>6.4699792960662528E-2</v>
      </c>
      <c r="P20" s="10">
        <f t="shared" si="29"/>
        <v>0.15</v>
      </c>
      <c r="Q20" s="10">
        <f t="shared" si="29"/>
        <v>0.2</v>
      </c>
      <c r="R20" s="10">
        <f t="shared" si="29"/>
        <v>0.25</v>
      </c>
      <c r="S20" s="10">
        <f t="shared" si="29"/>
        <v>0.28000000000000003</v>
      </c>
      <c r="T20" s="10">
        <f t="shared" si="29"/>
        <v>0.3</v>
      </c>
      <c r="U20" s="10">
        <f t="shared" si="29"/>
        <v>0.3</v>
      </c>
      <c r="V20" s="10">
        <f t="shared" si="29"/>
        <v>0.3</v>
      </c>
      <c r="W20" s="10">
        <f t="shared" si="29"/>
        <v>0.3</v>
      </c>
      <c r="X20" s="10">
        <f t="shared" si="29"/>
        <v>0.3</v>
      </c>
      <c r="Y20" s="10">
        <f t="shared" si="29"/>
        <v>0.3</v>
      </c>
      <c r="AA20" s="1" t="s">
        <v>40</v>
      </c>
      <c r="AB20" s="10">
        <v>-0.01</v>
      </c>
    </row>
    <row r="21" spans="2:28" x14ac:dyDescent="0.3">
      <c r="B21" s="1" t="s">
        <v>35</v>
      </c>
      <c r="I21" s="10">
        <f>I5/E5-1</f>
        <v>-2.4999999999999991</v>
      </c>
      <c r="J21" s="10">
        <f>J6/F6-1</f>
        <v>0.81818181818181812</v>
      </c>
      <c r="O21" s="10"/>
      <c r="P21" s="10">
        <f>P6/O6-1</f>
        <v>0.60000000000000009</v>
      </c>
      <c r="Q21" s="10">
        <f t="shared" ref="Q21:Y21" si="30">Q6/P6-1</f>
        <v>0.39999999999999969</v>
      </c>
      <c r="R21" s="10">
        <f t="shared" si="30"/>
        <v>0.30000000000000004</v>
      </c>
      <c r="S21" s="10">
        <f t="shared" si="30"/>
        <v>0.19999999999999996</v>
      </c>
      <c r="T21" s="10">
        <f t="shared" si="30"/>
        <v>0.10000000000000009</v>
      </c>
      <c r="U21" s="10">
        <f t="shared" si="30"/>
        <v>5.0000000000000044E-2</v>
      </c>
      <c r="V21" s="10">
        <f t="shared" si="30"/>
        <v>5.0000000000000044E-2</v>
      </c>
      <c r="W21" s="10">
        <f t="shared" si="30"/>
        <v>5.0000000000000044E-2</v>
      </c>
      <c r="X21" s="10">
        <f t="shared" si="30"/>
        <v>5.0000000000000044E-2</v>
      </c>
      <c r="Y21" s="10">
        <f t="shared" si="30"/>
        <v>5.0000000000000044E-2</v>
      </c>
      <c r="AA21" s="1" t="s">
        <v>41</v>
      </c>
      <c r="AB21" s="10">
        <v>0.11</v>
      </c>
    </row>
    <row r="22" spans="2:28" x14ac:dyDescent="0.3">
      <c r="B22" s="1" t="s">
        <v>36</v>
      </c>
      <c r="F22" s="10">
        <f t="shared" ref="F22:G22" si="31">F7/F3</f>
        <v>1.5333333333333332</v>
      </c>
      <c r="G22" s="10">
        <f t="shared" si="31"/>
        <v>2.0624999999999996</v>
      </c>
      <c r="H22" s="10">
        <f>H7/H3</f>
        <v>1</v>
      </c>
      <c r="I22" s="10">
        <f t="shared" ref="I22:J22" si="32">I7/I3</f>
        <v>0.3125</v>
      </c>
      <c r="J22" s="10">
        <f t="shared" si="32"/>
        <v>0.4</v>
      </c>
      <c r="O22" s="10">
        <f t="shared" ref="O22:Y22" si="33">O7/O3</f>
        <v>0.55486542443064191</v>
      </c>
      <c r="P22" s="10">
        <f t="shared" si="33"/>
        <v>0.5</v>
      </c>
      <c r="Q22" s="10">
        <f t="shared" si="33"/>
        <v>0.4</v>
      </c>
      <c r="R22" s="10">
        <f t="shared" si="33"/>
        <v>0.3</v>
      </c>
      <c r="S22" s="10">
        <f t="shared" si="33"/>
        <v>0.2</v>
      </c>
      <c r="T22" s="10">
        <f t="shared" si="33"/>
        <v>0.15</v>
      </c>
      <c r="U22" s="10">
        <f t="shared" si="33"/>
        <v>0.13</v>
      </c>
      <c r="V22" s="10">
        <f t="shared" si="33"/>
        <v>0.11</v>
      </c>
      <c r="W22" s="10">
        <f t="shared" si="33"/>
        <v>0.10000000000000002</v>
      </c>
      <c r="X22" s="10">
        <f t="shared" si="33"/>
        <v>0.09</v>
      </c>
      <c r="Y22" s="10">
        <f t="shared" si="33"/>
        <v>0.09</v>
      </c>
      <c r="AA22" s="1" t="s">
        <v>42</v>
      </c>
      <c r="AB22" s="4">
        <f>NPV(AB21,O15:ED15)</f>
        <v>640.04140600785081</v>
      </c>
    </row>
    <row r="23" spans="2:28" x14ac:dyDescent="0.3">
      <c r="B23" s="1" t="s">
        <v>37</v>
      </c>
      <c r="I23" s="10">
        <f>I7/E7-1</f>
        <v>0.5</v>
      </c>
      <c r="J23" s="10">
        <f>J8/F8-1</f>
        <v>0.62222222222222223</v>
      </c>
      <c r="O23" s="10"/>
      <c r="P23" s="10">
        <f>P8/O8-1</f>
        <v>0.50000000000000022</v>
      </c>
      <c r="Q23" s="10">
        <f t="shared" ref="Q23:Y23" si="34">Q8/P8-1</f>
        <v>0.30000000000000004</v>
      </c>
      <c r="R23" s="10">
        <f t="shared" si="34"/>
        <v>0.19999999999999996</v>
      </c>
      <c r="S23" s="10">
        <f t="shared" si="34"/>
        <v>0.14999999999999991</v>
      </c>
      <c r="T23" s="10">
        <f t="shared" si="34"/>
        <v>0.10000000000000009</v>
      </c>
      <c r="U23" s="10">
        <f t="shared" si="34"/>
        <v>5.0000000000000044E-2</v>
      </c>
      <c r="V23" s="10">
        <f t="shared" si="34"/>
        <v>4.0000000000000036E-2</v>
      </c>
      <c r="W23" s="10">
        <f t="shared" si="34"/>
        <v>3.0000000000000027E-2</v>
      </c>
      <c r="X23" s="10">
        <f t="shared" si="34"/>
        <v>3.0000000000000027E-2</v>
      </c>
      <c r="Y23" s="10">
        <f t="shared" si="34"/>
        <v>3.0000000000000027E-2</v>
      </c>
      <c r="AA23" s="1" t="s">
        <v>43</v>
      </c>
      <c r="AB23" s="4">
        <f>Main!D8</f>
        <v>192.6</v>
      </c>
    </row>
    <row r="24" spans="2:28" x14ac:dyDescent="0.3">
      <c r="B24" s="1" t="s">
        <v>38</v>
      </c>
      <c r="F24" s="10">
        <f t="shared" ref="F24:G24" si="35">F11/F3</f>
        <v>-6.333333333333333</v>
      </c>
      <c r="G24" s="10">
        <f t="shared" si="35"/>
        <v>-7.8125</v>
      </c>
      <c r="H24" s="10">
        <f>H11/H3</f>
        <v>-3.9374999999999996</v>
      </c>
      <c r="I24" s="10">
        <f t="shared" ref="I24:J24" si="36">I11/I3</f>
        <v>-1.8333333333333335</v>
      </c>
      <c r="J24" s="10">
        <f t="shared" si="36"/>
        <v>-1.4089743589743589</v>
      </c>
      <c r="O24" s="10">
        <f t="shared" ref="O24:Y24" si="37">O11/O3</f>
        <v>-2.3369565217391304</v>
      </c>
      <c r="P24" s="10">
        <f t="shared" si="37"/>
        <v>-1.4862318840579711</v>
      </c>
      <c r="Q24" s="10">
        <f t="shared" si="37"/>
        <v>-0.96107660455486532</v>
      </c>
      <c r="R24" s="10">
        <f t="shared" si="37"/>
        <v>-0.54727797755257712</v>
      </c>
      <c r="S24" s="10">
        <f t="shared" si="37"/>
        <v>-0.24369910282953752</v>
      </c>
      <c r="T24" s="10">
        <f t="shared" si="37"/>
        <v>-5.9452360654406698E-2</v>
      </c>
      <c r="U24" s="10">
        <f t="shared" si="37"/>
        <v>2.3383347541915244E-2</v>
      </c>
      <c r="V24" s="10">
        <f t="shared" si="37"/>
        <v>7.6568242905264455E-2</v>
      </c>
      <c r="W24" s="10">
        <f t="shared" si="37"/>
        <v>0.10572140999386782</v>
      </c>
      <c r="X24" s="10">
        <f t="shared" si="37"/>
        <v>0.12698448222509351</v>
      </c>
      <c r="Y24" s="10">
        <f t="shared" si="37"/>
        <v>0.13297897114474982</v>
      </c>
      <c r="AA24" s="1" t="s">
        <v>44</v>
      </c>
      <c r="AB24" s="4">
        <f>AB22+AB23</f>
        <v>832.64140600785083</v>
      </c>
    </row>
    <row r="25" spans="2:28" x14ac:dyDescent="0.3">
      <c r="B25" s="1" t="s">
        <v>23</v>
      </c>
      <c r="AA25" s="1" t="s">
        <v>45</v>
      </c>
      <c r="AB25" s="3">
        <f>AB24/Y16</f>
        <v>6.9735461139685997</v>
      </c>
    </row>
    <row r="26" spans="2:28" x14ac:dyDescent="0.3">
      <c r="B26" s="1" t="s">
        <v>39</v>
      </c>
      <c r="F26" s="10">
        <f t="shared" ref="F26:G26" si="38">F15/F3</f>
        <v>-9.1333333333333329</v>
      </c>
      <c r="G26" s="10">
        <f t="shared" si="38"/>
        <v>-14.4375</v>
      </c>
      <c r="H26" s="10">
        <f>H15/H3</f>
        <v>-4.1249999999999991</v>
      </c>
      <c r="I26" s="10">
        <f t="shared" ref="I26:J26" si="39">I15/I3</f>
        <v>-1.6770833333333335</v>
      </c>
      <c r="J26" s="10">
        <f t="shared" si="39"/>
        <v>-1.819230769230769</v>
      </c>
      <c r="O26" s="10">
        <f t="shared" ref="O26:Y26" si="40">O15/O3</f>
        <v>-2.90424430641822</v>
      </c>
      <c r="P26" s="10">
        <f t="shared" si="40"/>
        <v>-1.7058592132505177</v>
      </c>
      <c r="Q26" s="10">
        <f t="shared" si="40"/>
        <v>-1.0730865424430642</v>
      </c>
      <c r="R26" s="10">
        <f t="shared" si="40"/>
        <v>-0.60740962841887325</v>
      </c>
      <c r="S26" s="10">
        <f t="shared" si="40"/>
        <v>-0.27777370498710541</v>
      </c>
      <c r="T26" s="10">
        <f t="shared" si="40"/>
        <v>-7.9897121948947408E-2</v>
      </c>
      <c r="U26" s="10">
        <f t="shared" si="40"/>
        <v>9.4809098616275671E-3</v>
      </c>
      <c r="V26" s="10">
        <f t="shared" si="40"/>
        <v>6.6064178880158211E-2</v>
      </c>
      <c r="W26" s="10">
        <f t="shared" si="40"/>
        <v>9.7150093749381133E-2</v>
      </c>
      <c r="X26" s="10">
        <f t="shared" si="40"/>
        <v>0.1195753783527406</v>
      </c>
      <c r="Y26" s="10">
        <f t="shared" si="40"/>
        <v>0.126231394403857</v>
      </c>
      <c r="AA26" s="1" t="s">
        <v>46</v>
      </c>
      <c r="AB26" s="3">
        <f>Main!D3</f>
        <v>6.36</v>
      </c>
    </row>
    <row r="27" spans="2:28" x14ac:dyDescent="0.3">
      <c r="AA27" s="2" t="s">
        <v>47</v>
      </c>
      <c r="AB27" s="11">
        <f>AB25/AB26-1</f>
        <v>9.6469514774937037E-2</v>
      </c>
    </row>
    <row r="28" spans="2:28" x14ac:dyDescent="0.3">
      <c r="AA28" s="1" t="s">
        <v>48</v>
      </c>
      <c r="AB28" s="7" t="s">
        <v>52</v>
      </c>
    </row>
    <row r="29" spans="2:28" s="12" customFormat="1" x14ac:dyDescent="0.3">
      <c r="B29" s="12" t="s">
        <v>49</v>
      </c>
      <c r="F29" s="12">
        <f>55.6</f>
        <v>55.6</v>
      </c>
      <c r="H29" s="12">
        <v>121.4</v>
      </c>
      <c r="I29" s="12">
        <v>286</v>
      </c>
      <c r="O29" s="12">
        <v>286</v>
      </c>
    </row>
    <row r="31" spans="2:28" x14ac:dyDescent="0.3">
      <c r="B31" s="1" t="s">
        <v>50</v>
      </c>
      <c r="H31" s="13"/>
      <c r="I31" s="13"/>
      <c r="O31" s="13">
        <f>Main!$D$9/Model!O29</f>
        <v>1.9817622377622381</v>
      </c>
    </row>
    <row r="32" spans="2:28" x14ac:dyDescent="0.3">
      <c r="B32" s="1" t="s">
        <v>51</v>
      </c>
      <c r="H32" s="10"/>
      <c r="I32" s="10"/>
      <c r="O32" s="10">
        <f>O29/Main!$D$9-1</f>
        <v>-0.49539859981933165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2025-09-26T09:39:24Z</dcterms:created>
  <dcterms:modified xsi:type="dcterms:W3CDTF">2025-11-22T12:47:39Z</dcterms:modified>
</cp:coreProperties>
</file>