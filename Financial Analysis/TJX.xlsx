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DD1E2BEA-0EE6-4893-9616-ABB46D35F617}" xr6:coauthVersionLast="47" xr6:coauthVersionMax="47" xr10:uidLastSave="{00000000-0000-0000-0000-000000000000}"/>
  <bookViews>
    <workbookView xWindow="-108" yWindow="-108" windowWidth="23256" windowHeight="12576" activeTab="1" xr2:uid="{9B1FC1B8-76BD-435F-A8D0-7D91938D651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5" i="2" l="1"/>
  <c r="AX3" i="2"/>
  <c r="AW10" i="2"/>
  <c r="AW8" i="2"/>
  <c r="AW6" i="2"/>
  <c r="AW4" i="2"/>
  <c r="AW3" i="2"/>
  <c r="AL12" i="2"/>
  <c r="AL13" i="2" s="1"/>
  <c r="AK12" i="2"/>
  <c r="AK13" i="2" s="1"/>
  <c r="AL11" i="2"/>
  <c r="AK11" i="2"/>
  <c r="AL10" i="2"/>
  <c r="AK10" i="2"/>
  <c r="AK19" i="2" s="1"/>
  <c r="AL9" i="2"/>
  <c r="AL19" i="2" s="1"/>
  <c r="AK9" i="2"/>
  <c r="AL7" i="2"/>
  <c r="AK7" i="2"/>
  <c r="AJ7" i="2"/>
  <c r="AL6" i="2"/>
  <c r="AL18" i="2" s="1"/>
  <c r="AK6" i="2"/>
  <c r="AK18" i="2" s="1"/>
  <c r="AK5" i="2"/>
  <c r="AK4" i="2" s="1"/>
  <c r="AL5" i="2"/>
  <c r="AL4" i="2" s="1"/>
  <c r="AL3" i="2"/>
  <c r="AL15" i="2" s="1"/>
  <c r="AK3" i="2"/>
  <c r="AK15" i="2" s="1"/>
  <c r="D7" i="1"/>
  <c r="D6" i="1"/>
  <c r="AI12" i="2"/>
  <c r="AJ12" i="2"/>
  <c r="AI5" i="2"/>
  <c r="AI7" i="2" s="1"/>
  <c r="AI17" i="2" s="1"/>
  <c r="AJ5" i="2"/>
  <c r="AJ16" i="2" s="1"/>
  <c r="BG12" i="2"/>
  <c r="BF12" i="2"/>
  <c r="BE12" i="2"/>
  <c r="BD12" i="2"/>
  <c r="BC12" i="2"/>
  <c r="BB12" i="2"/>
  <c r="BA12" i="2"/>
  <c r="AZ12" i="2"/>
  <c r="AY12" i="2"/>
  <c r="AX12" i="2"/>
  <c r="AW12" i="2"/>
  <c r="D4" i="1"/>
  <c r="AA5" i="2"/>
  <c r="AA7" i="2" s="1"/>
  <c r="AA17" i="2" s="1"/>
  <c r="AD10" i="2"/>
  <c r="AD8" i="2"/>
  <c r="AD6" i="2"/>
  <c r="AD4" i="2"/>
  <c r="AD3" i="2"/>
  <c r="AH15" i="2" s="1"/>
  <c r="AH12" i="2"/>
  <c r="AH10" i="2"/>
  <c r="AH8" i="2"/>
  <c r="AH6" i="2"/>
  <c r="AH4" i="2"/>
  <c r="AH3" i="2"/>
  <c r="AE5" i="2"/>
  <c r="AE7" i="2" s="1"/>
  <c r="AB5" i="2"/>
  <c r="AB16" i="2" s="1"/>
  <c r="AF5" i="2"/>
  <c r="AF16" i="2" s="1"/>
  <c r="AC5" i="2"/>
  <c r="AC7" i="2" s="1"/>
  <c r="AK20" i="2"/>
  <c r="AG20" i="2"/>
  <c r="Z20" i="2"/>
  <c r="Y20" i="2"/>
  <c r="X20" i="2"/>
  <c r="W20" i="2"/>
  <c r="AG19" i="2"/>
  <c r="Z19" i="2"/>
  <c r="Y19" i="2"/>
  <c r="X19" i="2"/>
  <c r="W19" i="2"/>
  <c r="AJ18" i="2"/>
  <c r="AI18" i="2"/>
  <c r="AG18" i="2"/>
  <c r="AF18" i="2"/>
  <c r="AE18" i="2"/>
  <c r="AD18" i="2"/>
  <c r="AC18" i="2"/>
  <c r="AB18" i="2"/>
  <c r="AA18" i="2"/>
  <c r="Z18" i="2"/>
  <c r="Y18" i="2"/>
  <c r="X18" i="2"/>
  <c r="W18" i="2"/>
  <c r="AG17" i="2"/>
  <c r="Z17" i="2"/>
  <c r="Y17" i="2"/>
  <c r="X17" i="2"/>
  <c r="W17" i="2"/>
  <c r="AG16" i="2"/>
  <c r="Z16" i="2"/>
  <c r="Y16" i="2"/>
  <c r="X16" i="2"/>
  <c r="W16" i="2"/>
  <c r="AJ15" i="2"/>
  <c r="AI15" i="2"/>
  <c r="AG15" i="2"/>
  <c r="AF15" i="2"/>
  <c r="AE15" i="2"/>
  <c r="AC15" i="2"/>
  <c r="AB15" i="2"/>
  <c r="AA15" i="2"/>
  <c r="Z15" i="2"/>
  <c r="Y15" i="2"/>
  <c r="X15" i="2"/>
  <c r="W15" i="2"/>
  <c r="AS8" i="2"/>
  <c r="AT8" i="2"/>
  <c r="AT5" i="2"/>
  <c r="AO5" i="2"/>
  <c r="AU5" i="2"/>
  <c r="AV12" i="2"/>
  <c r="AV5" i="2"/>
  <c r="AG5" i="2"/>
  <c r="AG7" i="2" s="1"/>
  <c r="AG9" i="2" s="1"/>
  <c r="AG11" i="2" s="1"/>
  <c r="AG13" i="2" s="1"/>
  <c r="T6" i="2"/>
  <c r="U3" i="2"/>
  <c r="U5" i="2" s="1"/>
  <c r="U4" i="2" s="1"/>
  <c r="T3" i="2"/>
  <c r="T5" i="2" s="1"/>
  <c r="V3" i="2"/>
  <c r="V5" i="2" s="1"/>
  <c r="V4" i="2" s="1"/>
  <c r="S5" i="2"/>
  <c r="S18" i="2"/>
  <c r="T8" i="2"/>
  <c r="U8" i="2" s="1"/>
  <c r="V8" i="2" s="1"/>
  <c r="V6" i="2"/>
  <c r="U6" i="2"/>
  <c r="U18" i="2" s="1"/>
  <c r="R6" i="2"/>
  <c r="AR6" i="2" s="1"/>
  <c r="R5" i="2"/>
  <c r="BJ23" i="2"/>
  <c r="AR3" i="2"/>
  <c r="AR8" i="2"/>
  <c r="AQ10" i="2"/>
  <c r="AQ8" i="2"/>
  <c r="AQ6" i="2"/>
  <c r="AQ4" i="2"/>
  <c r="AQ3" i="2"/>
  <c r="AP10" i="2"/>
  <c r="AP8" i="2"/>
  <c r="AP4" i="2"/>
  <c r="AP3" i="2"/>
  <c r="AO10" i="2"/>
  <c r="AO8" i="2"/>
  <c r="AO4" i="2"/>
  <c r="AO3" i="2"/>
  <c r="Q18" i="2"/>
  <c r="P18" i="2"/>
  <c r="O18" i="2"/>
  <c r="N18" i="2"/>
  <c r="L18" i="2"/>
  <c r="K18" i="2"/>
  <c r="H18" i="2"/>
  <c r="G18" i="2"/>
  <c r="R15" i="2"/>
  <c r="Q15" i="2"/>
  <c r="P15" i="2"/>
  <c r="O15" i="2"/>
  <c r="N15" i="2"/>
  <c r="M15" i="2"/>
  <c r="L15" i="2"/>
  <c r="K15" i="2"/>
  <c r="J15" i="2"/>
  <c r="I15" i="2"/>
  <c r="H15" i="2"/>
  <c r="G15" i="2"/>
  <c r="F6" i="2"/>
  <c r="AO6" i="2" s="1"/>
  <c r="F5" i="2"/>
  <c r="C5" i="2"/>
  <c r="C7" i="2" s="1"/>
  <c r="C9" i="2" s="1"/>
  <c r="C11" i="2" s="1"/>
  <c r="C13" i="2" s="1"/>
  <c r="G5" i="2"/>
  <c r="G7" i="2" s="1"/>
  <c r="G9" i="2" s="1"/>
  <c r="G11" i="2" s="1"/>
  <c r="G13" i="2" s="1"/>
  <c r="D5" i="2"/>
  <c r="D7" i="2" s="1"/>
  <c r="D9" i="2" s="1"/>
  <c r="D11" i="2" s="1"/>
  <c r="D13" i="2" s="1"/>
  <c r="H5" i="2"/>
  <c r="H7" i="2" s="1"/>
  <c r="H9" i="2" s="1"/>
  <c r="H11" i="2" s="1"/>
  <c r="H13" i="2" s="1"/>
  <c r="E5" i="2"/>
  <c r="E7" i="2" s="1"/>
  <c r="E9" i="2" s="1"/>
  <c r="E11" i="2" s="1"/>
  <c r="E13" i="2" s="1"/>
  <c r="I6" i="2"/>
  <c r="AP6" i="2" s="1"/>
  <c r="I5" i="2"/>
  <c r="I16" i="2" s="1"/>
  <c r="J5" i="2"/>
  <c r="J7" i="2" s="1"/>
  <c r="J9" i="2" s="1"/>
  <c r="J11" i="2" s="1"/>
  <c r="J13" i="2" s="1"/>
  <c r="N5" i="2"/>
  <c r="N7" i="2" s="1"/>
  <c r="N9" i="2" s="1"/>
  <c r="N11" i="2" s="1"/>
  <c r="N13" i="2" s="1"/>
  <c r="K5" i="2"/>
  <c r="K7" i="2" s="1"/>
  <c r="K9" i="2" s="1"/>
  <c r="K11" i="2" s="1"/>
  <c r="K13" i="2" s="1"/>
  <c r="O5" i="2"/>
  <c r="O7" i="2" s="1"/>
  <c r="O9" i="2" s="1"/>
  <c r="O11" i="2" s="1"/>
  <c r="O13" i="2" s="1"/>
  <c r="L5" i="2"/>
  <c r="L7" i="2" s="1"/>
  <c r="L9" i="2" s="1"/>
  <c r="L11" i="2" s="1"/>
  <c r="L13" i="2" s="1"/>
  <c r="P5" i="2"/>
  <c r="P7" i="2" s="1"/>
  <c r="P9" i="2" s="1"/>
  <c r="P11" i="2" s="1"/>
  <c r="P13" i="2" s="1"/>
  <c r="M5" i="2"/>
  <c r="M7" i="2" s="1"/>
  <c r="M9" i="2" s="1"/>
  <c r="M11" i="2" s="1"/>
  <c r="M13" i="2" s="1"/>
  <c r="Q5" i="2"/>
  <c r="Q7" i="2" s="1"/>
  <c r="Q9" i="2" s="1"/>
  <c r="Q11" i="2" s="1"/>
  <c r="Q13" i="2" s="1"/>
  <c r="AL16" i="2" l="1"/>
  <c r="AL17" i="2"/>
  <c r="AL20" i="2"/>
  <c r="AK16" i="2"/>
  <c r="AK17" i="2"/>
  <c r="AI16" i="2"/>
  <c r="AI9" i="2"/>
  <c r="AJ17" i="2"/>
  <c r="AA16" i="2"/>
  <c r="AA9" i="2"/>
  <c r="AD15" i="2"/>
  <c r="AH18" i="2"/>
  <c r="AD5" i="2"/>
  <c r="AH5" i="2"/>
  <c r="AH16" i="2" s="1"/>
  <c r="AE9" i="2"/>
  <c r="AE17" i="2"/>
  <c r="AE16" i="2"/>
  <c r="AB7" i="2"/>
  <c r="AF7" i="2"/>
  <c r="AC16" i="2"/>
  <c r="AC17" i="2"/>
  <c r="AC9" i="2"/>
  <c r="V15" i="2"/>
  <c r="C20" i="2"/>
  <c r="O20" i="2"/>
  <c r="P20" i="2"/>
  <c r="G20" i="2"/>
  <c r="K20" i="2"/>
  <c r="AX6" i="2"/>
  <c r="AY6" i="2" s="1"/>
  <c r="Q20" i="2"/>
  <c r="H20" i="2"/>
  <c r="AP5" i="2"/>
  <c r="AP16" i="2" s="1"/>
  <c r="V18" i="2"/>
  <c r="J20" i="2"/>
  <c r="D20" i="2"/>
  <c r="L20" i="2"/>
  <c r="R18" i="2"/>
  <c r="E20" i="2"/>
  <c r="M20" i="2"/>
  <c r="U15" i="2"/>
  <c r="N20" i="2"/>
  <c r="T18" i="2"/>
  <c r="U7" i="2"/>
  <c r="U17" i="2" s="1"/>
  <c r="U16" i="2"/>
  <c r="V16" i="2"/>
  <c r="V7" i="2"/>
  <c r="V17" i="2" s="1"/>
  <c r="T4" i="2"/>
  <c r="T15" i="2"/>
  <c r="T16" i="2"/>
  <c r="T7" i="2"/>
  <c r="T17" i="2" s="1"/>
  <c r="S15" i="2"/>
  <c r="S16" i="2"/>
  <c r="N19" i="2"/>
  <c r="M16" i="2"/>
  <c r="Q16" i="2"/>
  <c r="Q17" i="2"/>
  <c r="F7" i="2"/>
  <c r="I18" i="2"/>
  <c r="AO16" i="2"/>
  <c r="M19" i="2"/>
  <c r="M18" i="2"/>
  <c r="Q19" i="2"/>
  <c r="F16" i="2"/>
  <c r="J17" i="2"/>
  <c r="N17" i="2"/>
  <c r="H17" i="2"/>
  <c r="L16" i="2"/>
  <c r="AP18" i="2"/>
  <c r="AQ18" i="2"/>
  <c r="L19" i="2"/>
  <c r="N16" i="2"/>
  <c r="P17" i="2"/>
  <c r="G19" i="2"/>
  <c r="O19" i="2"/>
  <c r="G16" i="2"/>
  <c r="O16" i="2"/>
  <c r="H19" i="2"/>
  <c r="P19" i="2"/>
  <c r="H16" i="2"/>
  <c r="P16" i="2"/>
  <c r="AR4" i="2"/>
  <c r="AR5" i="2" s="1"/>
  <c r="K17" i="2"/>
  <c r="AP15" i="2"/>
  <c r="J18" i="2"/>
  <c r="J19" i="2"/>
  <c r="C17" i="2"/>
  <c r="J16" i="2"/>
  <c r="D17" i="2"/>
  <c r="L17" i="2"/>
  <c r="AQ15" i="2"/>
  <c r="C19" i="2"/>
  <c r="K19" i="2"/>
  <c r="C16" i="2"/>
  <c r="K16" i="2"/>
  <c r="E17" i="2"/>
  <c r="M17" i="2"/>
  <c r="D19" i="2"/>
  <c r="D16" i="2"/>
  <c r="E19" i="2"/>
  <c r="E16" i="2"/>
  <c r="G17" i="2"/>
  <c r="O17" i="2"/>
  <c r="AR18" i="2"/>
  <c r="AR15" i="2"/>
  <c r="AQ5" i="2"/>
  <c r="I7" i="2"/>
  <c r="D8" i="1"/>
  <c r="BJ20" i="2" s="1"/>
  <c r="D5" i="1"/>
  <c r="F3" i="1"/>
  <c r="AI11" i="2" l="1"/>
  <c r="AI19" i="2"/>
  <c r="AJ9" i="2"/>
  <c r="AJ11" i="2" s="1"/>
  <c r="AY3" i="2"/>
  <c r="AX5" i="2"/>
  <c r="AA19" i="2"/>
  <c r="AA11" i="2"/>
  <c r="AD16" i="2"/>
  <c r="AD7" i="2"/>
  <c r="AH7" i="2"/>
  <c r="AH9" i="2" s="1"/>
  <c r="AH17" i="2"/>
  <c r="AE11" i="2"/>
  <c r="AE19" i="2"/>
  <c r="AB9" i="2"/>
  <c r="AB17" i="2"/>
  <c r="AF9" i="2"/>
  <c r="AF17" i="2"/>
  <c r="AC11" i="2"/>
  <c r="AC19" i="2"/>
  <c r="V9" i="2"/>
  <c r="V10" i="2" s="1"/>
  <c r="V19" i="2" s="1"/>
  <c r="AP7" i="2"/>
  <c r="AP9" i="2" s="1"/>
  <c r="AS18" i="2"/>
  <c r="AS15" i="2"/>
  <c r="AO7" i="2"/>
  <c r="AO9" i="2" s="1"/>
  <c r="AU18" i="2"/>
  <c r="U9" i="2"/>
  <c r="U10" i="2" s="1"/>
  <c r="U19" i="2" s="1"/>
  <c r="T9" i="2"/>
  <c r="T10" i="2" s="1"/>
  <c r="T19" i="2" s="1"/>
  <c r="AS5" i="2"/>
  <c r="S7" i="2"/>
  <c r="S9" i="2" s="1"/>
  <c r="AT18" i="2"/>
  <c r="D9" i="1"/>
  <c r="F9" i="2"/>
  <c r="F17" i="2"/>
  <c r="R7" i="2"/>
  <c r="R9" i="2" s="1"/>
  <c r="AR10" i="2" s="1"/>
  <c r="I9" i="2"/>
  <c r="I17" i="2"/>
  <c r="AQ7" i="2"/>
  <c r="AQ16" i="2"/>
  <c r="AT15" i="2"/>
  <c r="R16" i="2"/>
  <c r="AR7" i="2"/>
  <c r="AR16" i="2"/>
  <c r="AI20" i="2" l="1"/>
  <c r="AI13" i="2"/>
  <c r="AJ19" i="2"/>
  <c r="AJ20" i="2"/>
  <c r="AJ13" i="2"/>
  <c r="AZ3" i="2"/>
  <c r="AY5" i="2"/>
  <c r="AA13" i="2"/>
  <c r="AA20" i="2"/>
  <c r="AD9" i="2"/>
  <c r="AD17" i="2"/>
  <c r="AH11" i="2"/>
  <c r="AH19" i="2"/>
  <c r="AE13" i="2"/>
  <c r="AE20" i="2"/>
  <c r="AB11" i="2"/>
  <c r="AB19" i="2"/>
  <c r="AF11" i="2"/>
  <c r="AF19" i="2"/>
  <c r="AC13" i="2"/>
  <c r="AC20" i="2"/>
  <c r="AP17" i="2"/>
  <c r="V11" i="2"/>
  <c r="V20" i="2" s="1"/>
  <c r="AO17" i="2"/>
  <c r="U11" i="2"/>
  <c r="U13" i="2" s="1"/>
  <c r="T11" i="2"/>
  <c r="T13" i="2" s="1"/>
  <c r="S17" i="2"/>
  <c r="AS16" i="2"/>
  <c r="AS7" i="2"/>
  <c r="F11" i="2"/>
  <c r="F19" i="2"/>
  <c r="R17" i="2"/>
  <c r="AU15" i="2"/>
  <c r="AT16" i="2"/>
  <c r="AT7" i="2"/>
  <c r="R11" i="2"/>
  <c r="AP11" i="2"/>
  <c r="AP19" i="2"/>
  <c r="AQ9" i="2"/>
  <c r="AQ17" i="2"/>
  <c r="R19" i="2"/>
  <c r="I11" i="2"/>
  <c r="I19" i="2"/>
  <c r="AO11" i="2"/>
  <c r="AO19" i="2"/>
  <c r="AV18" i="2"/>
  <c r="AR17" i="2"/>
  <c r="AR9" i="2"/>
  <c r="BA3" i="2" l="1"/>
  <c r="AZ5" i="2"/>
  <c r="AD11" i="2"/>
  <c r="AD19" i="2"/>
  <c r="AH13" i="2"/>
  <c r="AH20" i="2"/>
  <c r="AB20" i="2"/>
  <c r="AB13" i="2"/>
  <c r="AF13" i="2"/>
  <c r="AF20" i="2"/>
  <c r="V13" i="2"/>
  <c r="R13" i="2"/>
  <c r="R20" i="2"/>
  <c r="AP13" i="2"/>
  <c r="AP20" i="2"/>
  <c r="AO13" i="2"/>
  <c r="AO20" i="2"/>
  <c r="I13" i="2"/>
  <c r="I20" i="2"/>
  <c r="F13" i="2"/>
  <c r="F20" i="2"/>
  <c r="U20" i="2"/>
  <c r="T20" i="2"/>
  <c r="AS9" i="2"/>
  <c r="AS17" i="2"/>
  <c r="S19" i="2"/>
  <c r="S11" i="2"/>
  <c r="AV15" i="2"/>
  <c r="AU16" i="2"/>
  <c r="AU7" i="2"/>
  <c r="AU17" i="2" s="1"/>
  <c r="AT17" i="2"/>
  <c r="AQ11" i="2"/>
  <c r="AQ19" i="2"/>
  <c r="AW18" i="2"/>
  <c r="AR11" i="2"/>
  <c r="AR19" i="2"/>
  <c r="BB3" i="2" l="1"/>
  <c r="BA5" i="2"/>
  <c r="AD13" i="2"/>
  <c r="AD20" i="2"/>
  <c r="AQ13" i="2"/>
  <c r="AQ20" i="2"/>
  <c r="AR13" i="2"/>
  <c r="AR20" i="2"/>
  <c r="S13" i="2"/>
  <c r="S20" i="2"/>
  <c r="AS19" i="2"/>
  <c r="AS11" i="2"/>
  <c r="AW15" i="2"/>
  <c r="AV16" i="2"/>
  <c r="AV7" i="2"/>
  <c r="AV17" i="2" s="1"/>
  <c r="AX18" i="2"/>
  <c r="BC3" i="2" l="1"/>
  <c r="BB5" i="2"/>
  <c r="AX4" i="2"/>
  <c r="AS20" i="2"/>
  <c r="AT9" i="2"/>
  <c r="AS13" i="2"/>
  <c r="AX15" i="2"/>
  <c r="AW16" i="2"/>
  <c r="AW7" i="2"/>
  <c r="AW17" i="2" s="1"/>
  <c r="AZ6" i="2"/>
  <c r="AY18" i="2"/>
  <c r="BD3" i="2" l="1"/>
  <c r="BC5" i="2"/>
  <c r="AT11" i="2"/>
  <c r="AT13" i="2" s="1"/>
  <c r="AY4" i="2"/>
  <c r="AY15" i="2"/>
  <c r="AX16" i="2"/>
  <c r="AX7" i="2"/>
  <c r="AX17" i="2" s="1"/>
  <c r="BA6" i="2"/>
  <c r="BB6" i="2" s="1"/>
  <c r="BC6" i="2" s="1"/>
  <c r="BD6" i="2" s="1"/>
  <c r="BE6" i="2" s="1"/>
  <c r="BF6" i="2" s="1"/>
  <c r="BG6" i="2" s="1"/>
  <c r="AZ18" i="2"/>
  <c r="BE3" i="2" l="1"/>
  <c r="BD5" i="2"/>
  <c r="AT19" i="2"/>
  <c r="AT20" i="2"/>
  <c r="AU9" i="2"/>
  <c r="AZ15" i="2"/>
  <c r="AY16" i="2"/>
  <c r="AY7" i="2"/>
  <c r="AY17" i="2" s="1"/>
  <c r="BA18" i="2"/>
  <c r="BF3" i="2" l="1"/>
  <c r="BE5" i="2"/>
  <c r="BC18" i="2"/>
  <c r="BC15" i="2"/>
  <c r="BC4" i="2"/>
  <c r="AU11" i="2"/>
  <c r="AU13" i="2" s="1"/>
  <c r="BA15" i="2"/>
  <c r="AZ16" i="2"/>
  <c r="AZ4" i="2"/>
  <c r="AZ7" i="2"/>
  <c r="AZ17" i="2" s="1"/>
  <c r="BB18" i="2"/>
  <c r="BG3" i="2" l="1"/>
  <c r="BG5" i="2" s="1"/>
  <c r="BF5" i="2"/>
  <c r="BD18" i="2"/>
  <c r="BC7" i="2"/>
  <c r="BC17" i="2" s="1"/>
  <c r="BC16" i="2"/>
  <c r="BD15" i="2"/>
  <c r="BD4" i="2"/>
  <c r="AU19" i="2"/>
  <c r="AU20" i="2"/>
  <c r="AV9" i="2"/>
  <c r="BA16" i="2"/>
  <c r="BA4" i="2"/>
  <c r="BA7" i="2"/>
  <c r="BA17" i="2" s="1"/>
  <c r="BB15" i="2"/>
  <c r="BE18" i="2" l="1"/>
  <c r="BE15" i="2"/>
  <c r="BD16" i="2"/>
  <c r="BD7" i="2"/>
  <c r="BD17" i="2" s="1"/>
  <c r="AV19" i="2"/>
  <c r="BB16" i="2"/>
  <c r="BB4" i="2"/>
  <c r="BB7" i="2"/>
  <c r="BB17" i="2" s="1"/>
  <c r="BG18" i="2" l="1"/>
  <c r="BF18" i="2"/>
  <c r="BE7" i="2"/>
  <c r="BE17" i="2" s="1"/>
  <c r="BE16" i="2"/>
  <c r="BE4" i="2"/>
  <c r="BF4" i="2"/>
  <c r="BF15" i="2"/>
  <c r="AV11" i="2"/>
  <c r="AW9" i="2" s="1"/>
  <c r="AW19" i="2" l="1"/>
  <c r="BG15" i="2"/>
  <c r="BG4" i="2"/>
  <c r="BF7" i="2"/>
  <c r="BF17" i="2" s="1"/>
  <c r="BF16" i="2"/>
  <c r="AV20" i="2"/>
  <c r="AV13" i="2"/>
  <c r="AW11" i="2" l="1"/>
  <c r="AW20" i="2" s="1"/>
  <c r="BG16" i="2"/>
  <c r="BG7" i="2"/>
  <c r="BG17" i="2" s="1"/>
  <c r="AX8" i="2" l="1"/>
  <c r="AX9" i="2" s="1"/>
  <c r="AX10" i="2" s="1"/>
  <c r="AX19" i="2" s="1"/>
  <c r="AW13" i="2"/>
  <c r="AX11" i="2" l="1"/>
  <c r="AX13" i="2" l="1"/>
  <c r="AX20" i="2"/>
  <c r="AY8" i="2"/>
  <c r="AY9" i="2" s="1"/>
  <c r="AY10" i="2" s="1"/>
  <c r="AY19" i="2" l="1"/>
  <c r="AY11" i="2" l="1"/>
  <c r="AY20" i="2" l="1"/>
  <c r="AZ8" i="2"/>
  <c r="AY13" i="2"/>
  <c r="AZ9" i="2" l="1"/>
  <c r="AZ10" i="2" s="1"/>
  <c r="AZ19" i="2" l="1"/>
  <c r="AZ11" i="2" l="1"/>
  <c r="AZ20" i="2" l="1"/>
  <c r="BA8" i="2"/>
  <c r="AZ13" i="2"/>
  <c r="BA9" i="2" l="1"/>
  <c r="BA10" i="2" s="1"/>
  <c r="BA19" i="2" l="1"/>
  <c r="BA11" i="2" l="1"/>
  <c r="BA20" i="2" s="1"/>
  <c r="BB8" i="2" l="1"/>
  <c r="BB9" i="2" s="1"/>
  <c r="BB10" i="2" s="1"/>
  <c r="BA13" i="2"/>
  <c r="BB19" i="2" l="1"/>
  <c r="BB11" i="2" l="1"/>
  <c r="BB20" i="2" l="1"/>
  <c r="BC8" i="2"/>
  <c r="BC9" i="2" s="1"/>
  <c r="BC10" i="2" s="1"/>
  <c r="BB13" i="2"/>
  <c r="BC19" i="2" l="1"/>
  <c r="BC11" i="2" l="1"/>
  <c r="BC20" i="2" s="1"/>
  <c r="BC13" i="2" l="1"/>
  <c r="BD8" i="2"/>
  <c r="BD9" i="2" s="1"/>
  <c r="BD10" i="2" l="1"/>
  <c r="BD11" i="2" s="1"/>
  <c r="BD20" i="2" s="1"/>
  <c r="BD19" i="2" l="1"/>
  <c r="BE8" i="2"/>
  <c r="BE9" i="2" s="1"/>
  <c r="BD13" i="2"/>
  <c r="BE10" i="2" l="1"/>
  <c r="BE19" i="2" s="1"/>
  <c r="BE11" i="2" l="1"/>
  <c r="BF8" i="2" s="1"/>
  <c r="BF9" i="2" s="1"/>
  <c r="BF10" i="2" s="1"/>
  <c r="BF19" i="2" s="1"/>
  <c r="BE20" i="2" l="1"/>
  <c r="BE13" i="2"/>
  <c r="BF11" i="2"/>
  <c r="BF20" i="2" s="1"/>
  <c r="BF13" i="2" l="1"/>
  <c r="BG8" i="2"/>
  <c r="BG9" i="2" s="1"/>
  <c r="BG10" i="2" s="1"/>
  <c r="BG19" i="2" s="1"/>
  <c r="BG11" i="2" l="1"/>
  <c r="BH11" i="2" s="1"/>
  <c r="BI11" i="2" s="1"/>
  <c r="BJ11" i="2" s="1"/>
  <c r="BK11" i="2" s="1"/>
  <c r="BL11" i="2" s="1"/>
  <c r="BM11" i="2" s="1"/>
  <c r="BN11" i="2" s="1"/>
  <c r="BO11" i="2" s="1"/>
  <c r="BP11" i="2" s="1"/>
  <c r="BQ11" i="2" s="1"/>
  <c r="BR11" i="2" s="1"/>
  <c r="BS11" i="2" s="1"/>
  <c r="BT11" i="2" s="1"/>
  <c r="BU11" i="2" s="1"/>
  <c r="BV11" i="2" s="1"/>
  <c r="BW11" i="2" s="1"/>
  <c r="BX11" i="2" s="1"/>
  <c r="BY11" i="2" s="1"/>
  <c r="BZ11" i="2" s="1"/>
  <c r="CA11" i="2" s="1"/>
  <c r="CB11" i="2" s="1"/>
  <c r="CC11" i="2" s="1"/>
  <c r="CD11" i="2" s="1"/>
  <c r="CE11" i="2" s="1"/>
  <c r="CF11" i="2" s="1"/>
  <c r="CG11" i="2" s="1"/>
  <c r="CH11" i="2" s="1"/>
  <c r="CI11" i="2" s="1"/>
  <c r="CJ11" i="2" s="1"/>
  <c r="CK11" i="2" s="1"/>
  <c r="CL11" i="2" s="1"/>
  <c r="CM11" i="2" s="1"/>
  <c r="CN11" i="2" s="1"/>
  <c r="CO11" i="2" s="1"/>
  <c r="CP11" i="2" s="1"/>
  <c r="CQ11" i="2" s="1"/>
  <c r="CR11" i="2" s="1"/>
  <c r="CS11" i="2" s="1"/>
  <c r="CT11" i="2" s="1"/>
  <c r="CU11" i="2" s="1"/>
  <c r="CV11" i="2" s="1"/>
  <c r="CW11" i="2" s="1"/>
  <c r="CX11" i="2" s="1"/>
  <c r="CY11" i="2" s="1"/>
  <c r="CZ11" i="2" s="1"/>
  <c r="DA11" i="2" s="1"/>
  <c r="DB11" i="2" s="1"/>
  <c r="DC11" i="2" s="1"/>
  <c r="DD11" i="2" s="1"/>
  <c r="DE11" i="2" s="1"/>
  <c r="DF11" i="2" s="1"/>
  <c r="DG11" i="2" s="1"/>
  <c r="DH11" i="2" s="1"/>
  <c r="DI11" i="2" s="1"/>
  <c r="DJ11" i="2" s="1"/>
  <c r="DK11" i="2" s="1"/>
  <c r="DL11" i="2" s="1"/>
  <c r="DM11" i="2" s="1"/>
  <c r="DN11" i="2" s="1"/>
  <c r="DO11" i="2" s="1"/>
  <c r="DP11" i="2" s="1"/>
  <c r="DQ11" i="2" s="1"/>
  <c r="DR11" i="2" s="1"/>
  <c r="DS11" i="2" s="1"/>
  <c r="DT11" i="2" s="1"/>
  <c r="DU11" i="2" s="1"/>
  <c r="DV11" i="2" s="1"/>
  <c r="DW11" i="2" s="1"/>
  <c r="DX11" i="2" s="1"/>
  <c r="DY11" i="2" s="1"/>
  <c r="DZ11" i="2" s="1"/>
  <c r="EA11" i="2" s="1"/>
  <c r="EB11" i="2" s="1"/>
  <c r="EC11" i="2" s="1"/>
  <c r="ED11" i="2" s="1"/>
  <c r="EE11" i="2" s="1"/>
  <c r="EF11" i="2" s="1"/>
  <c r="EG11" i="2" s="1"/>
  <c r="EH11" i="2" s="1"/>
  <c r="EI11" i="2" s="1"/>
  <c r="EJ11" i="2" s="1"/>
  <c r="EK11" i="2" s="1"/>
  <c r="EL11" i="2" s="1"/>
  <c r="EM11" i="2" s="1"/>
  <c r="EN11" i="2" s="1"/>
  <c r="EO11" i="2" s="1"/>
  <c r="EP11" i="2" s="1"/>
  <c r="EQ11" i="2" s="1"/>
  <c r="ER11" i="2" s="1"/>
  <c r="ES11" i="2" s="1"/>
  <c r="ET11" i="2" s="1"/>
  <c r="EU11" i="2" s="1"/>
  <c r="EV11" i="2" s="1"/>
  <c r="EW11" i="2" s="1"/>
  <c r="EX11" i="2" s="1"/>
  <c r="EY11" i="2" s="1"/>
  <c r="EZ11" i="2" s="1"/>
  <c r="FA11" i="2" s="1"/>
  <c r="FB11" i="2" s="1"/>
  <c r="FC11" i="2" s="1"/>
  <c r="FD11" i="2" s="1"/>
  <c r="FE11" i="2" s="1"/>
  <c r="FF11" i="2" s="1"/>
  <c r="FG11" i="2" s="1"/>
  <c r="FH11" i="2" s="1"/>
  <c r="FI11" i="2" s="1"/>
  <c r="FJ11" i="2" s="1"/>
  <c r="BJ19" i="2" s="1"/>
  <c r="BG20" i="2" l="1"/>
  <c r="BG13" i="2"/>
  <c r="BJ21" i="2"/>
  <c r="BJ22" i="2" s="1"/>
  <c r="BJ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</authors>
  <commentList>
    <comment ref="R6" authorId="0" shapeId="0" xr:uid="{2DA63629-94AD-4959-9BCB-D1FA4EB1F3E9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loss on extinguishment</t>
        </r>
      </text>
    </comment>
  </commentList>
</comments>
</file>

<file path=xl/sharedStrings.xml><?xml version="1.0" encoding="utf-8"?>
<sst xmlns="http://schemas.openxmlformats.org/spreadsheetml/2006/main" count="77" uniqueCount="72">
  <si>
    <t>TJX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</si>
  <si>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</si>
  <si>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</si>
  <si>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</si>
  <si>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</si>
  <si>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</si>
  <si>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</si>
  <si>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</si>
  <si>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</si>
  <si>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</si>
  <si>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</si>
  <si>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Revenue</t>
  </si>
  <si>
    <t>Q118</t>
  </si>
  <si>
    <t>Cost of sales</t>
  </si>
  <si>
    <t>Gross profit</t>
  </si>
  <si>
    <t>SG&amp;A</t>
  </si>
  <si>
    <t>Operating profit</t>
  </si>
  <si>
    <t>Net interest expense</t>
  </si>
  <si>
    <t>Pretax profit</t>
  </si>
  <si>
    <t>Taxes</t>
  </si>
  <si>
    <t>Net profit</t>
  </si>
  <si>
    <t>EPS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</si>
  <si>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</si>
  <si>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</si>
  <si>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</si>
  <si>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</si>
  <si>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</si>
  <si>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</si>
  <si>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</si>
  <si>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</si>
  <si>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</si>
  <si>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</si>
  <si>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</si>
  <si>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Q117</t>
  </si>
  <si>
    <t>Q217</t>
  </si>
  <si>
    <t>Q317</t>
  </si>
  <si>
    <t>Q417</t>
  </si>
  <si>
    <t>Gross Margin</t>
  </si>
  <si>
    <t>Revenue y/y</t>
  </si>
  <si>
    <t>Operating Margin</t>
  </si>
  <si>
    <t>SG&amp;A y/y</t>
  </si>
  <si>
    <t>Maturity</t>
  </si>
  <si>
    <t>Discount rate</t>
  </si>
  <si>
    <t>NPV</t>
  </si>
  <si>
    <t>Value</t>
  </si>
  <si>
    <t>Net cash</t>
  </si>
  <si>
    <t>Per share</t>
  </si>
  <si>
    <t>Current price</t>
  </si>
  <si>
    <t>Variance</t>
  </si>
  <si>
    <t>Consensus</t>
  </si>
  <si>
    <t>Q121</t>
  </si>
  <si>
    <t>Q221</t>
  </si>
  <si>
    <t>Q321</t>
  </si>
  <si>
    <t>Q421</t>
  </si>
  <si>
    <t>Net Margin</t>
  </si>
  <si>
    <t>Q424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</si>
  <si>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</si>
  <si>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</si>
  <si>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</si>
  <si>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</si>
  <si>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</si>
  <si>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</si>
  <si>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</si>
  <si>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</si>
  <si>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</si>
  <si>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</si>
  <si>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</si>
  <si>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</si>
  <si>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Q225</t>
  </si>
  <si>
    <t>Q325</t>
  </si>
  <si>
    <t>Q425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</si>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</sst>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4" fontId="1" fillId="0" borderId="0" xfId="0" applyNumberFormat="1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164" fontId="0" fillId="0" borderId="0" xfId="0" applyNumberForma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22860</xdr:colOff>
      <xdr:row>0</xdr:row>
      <xdr:rowOff>0</xdr:rowOff>
    </xdr:from>
    <xdr:to>
      <xdr:col>18</xdr:col>
      <xdr:colOff>22860</xdr:colOff>
      <xdr:row>31</xdr:row>
      <xdr:rowOff>160020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AEC64E8-8DC1-42EF-9BF0-53051D737F82}"/>
            </a:ext>
          </a:extLst>
        </xdr:cNvPr>
        <xdr:cNvCxnSpPr/>
      </xdr:nvCxnSpPr>
      <xdr:spPr>
        <a:xfrm>
          <a:off x="13449300" y="0"/>
          <a:ext cx="0" cy="5829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15240</xdr:colOff>
      <xdr:row>0</xdr:row>
      <xdr:rowOff>0</xdr:rowOff>
    </xdr:from>
    <xdr:to>
      <xdr:col>48</xdr:col>
      <xdr:colOff>15240</xdr:colOff>
      <xdr:row>33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BBAE769-D930-441C-8E3B-BFD0228D9253}"/>
            </a:ext>
          </a:extLst>
        </xdr:cNvPr>
        <xdr:cNvCxnSpPr/>
      </xdr:nvCxnSpPr>
      <xdr:spPr>
        <a:xfrm>
          <a:off x="35044380" y="0"/>
          <a:ext cx="0" cy="6111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30480</xdr:colOff>
      <xdr:row>0</xdr:row>
      <xdr:rowOff>15240</xdr:rowOff>
    </xdr:from>
    <xdr:to>
      <xdr:col>34</xdr:col>
      <xdr:colOff>30480</xdr:colOff>
      <xdr:row>32</xdr:row>
      <xdr:rowOff>30480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F4C9147-9596-F471-C86E-8DD38253EF4D}"/>
            </a:ext>
          </a:extLst>
        </xdr:cNvPr>
        <xdr:cNvCxnSpPr/>
      </xdr:nvCxnSpPr>
      <xdr:spPr>
        <a:xfrm>
          <a:off x="25039320" y="15240"/>
          <a:ext cx="0" cy="5867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0E80-52E5-45BA-A6BA-840905D99537}">
  <dimension ref="B2:G9"/>
  <sheetViews>
    <sheetView workbookViewId="0">
      <selection activeCell="D7" sqref="D7"/>
    </sheetView>
  </sheetViews>
  <sheetFormatPr defaultRowHeight="14.4" x14ac:dyDescent="0.3"/>
  <cols>
    <col min="5" max="7" width="15.77734375" style="2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11">
        <v>140.91</v>
      </c>
      <c r="E3" s="3">
        <v>45909</v>
      </c>
      <c r="F3" s="3">
        <f ca="1">TODAY()</f>
        <v>45909</v>
      </c>
      <c r="G3" s="3">
        <v>45980</v>
      </c>
    </row>
    <row r="4" spans="2:7" x14ac:dyDescent="0.3">
      <c r="C4" t="s">
        <v>2</v>
      </c>
      <c r="D4" s="4">
        <f>1112.9</f>
        <v>1112.9000000000001</v>
      </c>
      <c r="E4" s="2" t="s">
        <v>68</v>
      </c>
    </row>
    <row r="5" spans="2:7" x14ac:dyDescent="0.3">
      <c r="C5" t="s">
        <v>3</v>
      </c>
      <c r="D5" s="4">
        <f>D4*D3</f>
        <v>156818.739</v>
      </c>
    </row>
    <row r="6" spans="2:7" x14ac:dyDescent="0.3">
      <c r="C6" t="s">
        <v>4</v>
      </c>
      <c r="D6" s="4">
        <f>4639</f>
        <v>4639</v>
      </c>
      <c r="E6" s="2" t="s">
        <v>68</v>
      </c>
    </row>
    <row r="7" spans="2:7" x14ac:dyDescent="0.3">
      <c r="C7" t="s">
        <v>5</v>
      </c>
      <c r="D7" s="4">
        <f>2867</f>
        <v>2867</v>
      </c>
      <c r="E7" s="2" t="s">
        <v>68</v>
      </c>
    </row>
    <row r="8" spans="2:7" x14ac:dyDescent="0.3">
      <c r="C8" t="s">
        <v>6</v>
      </c>
      <c r="D8" s="4">
        <f>D6-D7</f>
        <v>1772</v>
      </c>
    </row>
    <row r="9" spans="2:7" x14ac:dyDescent="0.3">
      <c r="C9" t="s">
        <v>7</v>
      </c>
      <c r="D9" s="4">
        <f>D5-D8</f>
        <v>155046.739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201F-21F2-435A-955C-13AF54F943E3}">
  <dimension ref="B1:FJ25"/>
  <sheetViews>
    <sheetView tabSelected="1" workbookViewId="0">
      <pane xSplit="2" ySplit="2" topLeftCell="AO3" activePane="bottomRight" state="frozen"/>
      <selection pane="topRight" activeCell="C1" sqref="C1"/>
      <selection pane="bottomLeft" activeCell="A3" sqref="A3"/>
      <selection pane="bottomRight" activeCell="AO5" sqref="AO5"/>
    </sheetView>
  </sheetViews>
  <sheetFormatPr defaultRowHeight="14.4" x14ac:dyDescent="0.3"/>
  <cols>
    <col min="2" max="2" width="18" bestFit="1" customWidth="1"/>
    <col min="3" max="39" width="10.5546875" customWidth="1"/>
    <col min="41" max="59" width="10.5546875" bestFit="1" customWidth="1"/>
    <col min="61" max="61" width="11.88671875" bestFit="1" customWidth="1"/>
    <col min="62" max="62" width="16.21875" bestFit="1" customWidth="1"/>
  </cols>
  <sheetData>
    <row r="1" spans="2:166" x14ac:dyDescent="0.3">
      <c r="C1" s="6">
        <v>42855</v>
      </c>
      <c r="D1" s="6">
        <v>42947</v>
      </c>
      <c r="E1" s="6">
        <v>43039</v>
      </c>
      <c r="F1" s="6">
        <v>43131</v>
      </c>
      <c r="G1" s="6">
        <v>43220</v>
      </c>
      <c r="H1" s="6">
        <v>43312</v>
      </c>
      <c r="I1" s="6">
        <v>43404</v>
      </c>
      <c r="J1" s="6">
        <v>43496</v>
      </c>
      <c r="K1" s="6">
        <v>43585</v>
      </c>
      <c r="L1" s="6">
        <v>43677</v>
      </c>
      <c r="M1" s="6">
        <v>43769</v>
      </c>
      <c r="N1" s="6">
        <v>43861</v>
      </c>
      <c r="O1" s="6">
        <v>43951</v>
      </c>
      <c r="P1" s="6">
        <v>44043</v>
      </c>
      <c r="Q1" s="6">
        <v>44135</v>
      </c>
      <c r="R1" s="6">
        <v>44227</v>
      </c>
      <c r="S1" s="6">
        <v>44316</v>
      </c>
      <c r="T1" s="6">
        <v>44408</v>
      </c>
      <c r="U1" s="6">
        <v>44500</v>
      </c>
      <c r="V1" s="6">
        <v>44592</v>
      </c>
      <c r="W1" s="6">
        <v>44681</v>
      </c>
      <c r="X1" s="6">
        <v>44773</v>
      </c>
      <c r="Y1" s="6">
        <v>44865</v>
      </c>
      <c r="Z1" s="6">
        <v>44957</v>
      </c>
      <c r="AA1" s="6">
        <v>45046</v>
      </c>
      <c r="AB1" s="6">
        <v>45138</v>
      </c>
      <c r="AC1" s="6">
        <v>45230</v>
      </c>
      <c r="AD1" s="6">
        <v>45322</v>
      </c>
      <c r="AE1" s="6">
        <v>45412</v>
      </c>
      <c r="AF1" s="6">
        <v>45504</v>
      </c>
      <c r="AG1" s="6">
        <v>45596</v>
      </c>
      <c r="AH1" s="6">
        <v>45688</v>
      </c>
      <c r="AI1" s="6">
        <v>45777</v>
      </c>
      <c r="AJ1" s="6">
        <v>45869</v>
      </c>
      <c r="AK1" s="6">
        <v>45961</v>
      </c>
      <c r="AL1" s="6">
        <v>46053</v>
      </c>
      <c r="AM1" s="6"/>
      <c r="AO1" s="6">
        <v>43131</v>
      </c>
      <c r="AP1" s="6">
        <v>43496</v>
      </c>
      <c r="AQ1" s="6">
        <v>43861</v>
      </c>
      <c r="AR1" s="6">
        <v>44227</v>
      </c>
      <c r="AS1" s="6">
        <v>44592</v>
      </c>
      <c r="AT1" s="6">
        <v>44957</v>
      </c>
      <c r="AU1" s="6">
        <v>45322</v>
      </c>
      <c r="AV1" s="6">
        <v>45688</v>
      </c>
      <c r="AW1" s="6">
        <v>46053</v>
      </c>
      <c r="AX1" s="6">
        <v>46418</v>
      </c>
      <c r="AY1" s="6">
        <v>46783</v>
      </c>
      <c r="AZ1" s="6">
        <v>47149</v>
      </c>
      <c r="BA1" s="6">
        <v>47514</v>
      </c>
      <c r="BB1" s="6">
        <v>47879</v>
      </c>
      <c r="BC1" s="6">
        <v>48244</v>
      </c>
      <c r="BD1" s="6">
        <v>48610</v>
      </c>
      <c r="BE1" s="6">
        <v>48975</v>
      </c>
      <c r="BF1" s="6">
        <v>49340</v>
      </c>
      <c r="BG1" s="6">
        <v>49705</v>
      </c>
    </row>
    <row r="2" spans="2:166" x14ac:dyDescent="0.3">
      <c r="C2" s="5" t="s">
        <v>33</v>
      </c>
      <c r="D2" s="5" t="s">
        <v>34</v>
      </c>
      <c r="E2" s="5" t="s">
        <v>35</v>
      </c>
      <c r="F2" s="5" t="s">
        <v>36</v>
      </c>
      <c r="G2" s="5" t="s">
        <v>12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50</v>
      </c>
      <c r="T2" s="5" t="s">
        <v>51</v>
      </c>
      <c r="U2" s="5" t="s">
        <v>52</v>
      </c>
      <c r="V2" s="5" t="s">
        <v>53</v>
      </c>
      <c r="W2" s="5" t="s">
        <v>56</v>
      </c>
      <c r="X2" s="5" t="s">
        <v>57</v>
      </c>
      <c r="Y2" s="5" t="s">
        <v>58</v>
      </c>
      <c r="Z2" s="5" t="s">
        <v>59</v>
      </c>
      <c r="AA2" s="5" t="s">
        <v>60</v>
      </c>
      <c r="AB2" s="5" t="s">
        <v>61</v>
      </c>
      <c r="AC2" s="5" t="s">
        <v>62</v>
      </c>
      <c r="AD2" s="5" t="s">
        <v>63</v>
      </c>
      <c r="AE2" s="5" t="s">
        <v>64</v>
      </c>
      <c r="AF2" s="5" t="s">
        <v>65</v>
      </c>
      <c r="AG2" s="5" t="s">
        <v>66</v>
      </c>
      <c r="AH2" s="5" t="s">
        <v>55</v>
      </c>
      <c r="AI2" s="5" t="s">
        <v>67</v>
      </c>
      <c r="AJ2" s="5" t="s">
        <v>68</v>
      </c>
      <c r="AK2" s="5" t="s">
        <v>69</v>
      </c>
      <c r="AL2" s="5" t="s">
        <v>70</v>
      </c>
      <c r="AM2" s="5"/>
      <c r="AO2">
        <v>2017</v>
      </c>
      <c r="AP2">
        <v>2018</v>
      </c>
      <c r="AQ2">
        <v>2019</v>
      </c>
      <c r="AR2">
        <v>2020</v>
      </c>
      <c r="AS2">
        <v>2021</v>
      </c>
      <c r="AT2">
        <v>2022</v>
      </c>
      <c r="AU2">
        <v>2023</v>
      </c>
      <c r="AV2">
        <v>2024</v>
      </c>
      <c r="AW2">
        <v>2025</v>
      </c>
      <c r="AX2">
        <v>2026</v>
      </c>
      <c r="AY2">
        <v>2027</v>
      </c>
      <c r="AZ2">
        <v>2028</v>
      </c>
      <c r="BA2">
        <v>2029</v>
      </c>
      <c r="BB2">
        <v>2030</v>
      </c>
      <c r="BC2">
        <v>2031</v>
      </c>
      <c r="BD2">
        <v>2032</v>
      </c>
      <c r="BE2">
        <v>2033</v>
      </c>
      <c r="BF2">
        <v>2034</v>
      </c>
      <c r="BG2">
        <v>2035</v>
      </c>
    </row>
    <row r="3" spans="2:166" s="1" customFormat="1" x14ac:dyDescent="0.3">
      <c r="B3" s="1" t="s">
        <v>11</v>
      </c>
      <c r="C3" s="8">
        <v>7784</v>
      </c>
      <c r="D3" s="8">
        <v>8357.7000000000007</v>
      </c>
      <c r="E3" s="8">
        <v>8762.2000000000007</v>
      </c>
      <c r="F3" s="8">
        <v>10960.7</v>
      </c>
      <c r="G3" s="8">
        <v>8688.7000000000007</v>
      </c>
      <c r="H3" s="8">
        <v>9331.1</v>
      </c>
      <c r="I3" s="8">
        <v>9825.7999999999993</v>
      </c>
      <c r="J3" s="8">
        <v>11127.3</v>
      </c>
      <c r="K3" s="8">
        <v>9277.6</v>
      </c>
      <c r="L3" s="8">
        <v>9781.6</v>
      </c>
      <c r="M3" s="8">
        <v>10451.299999999999</v>
      </c>
      <c r="N3" s="8">
        <v>12206.5</v>
      </c>
      <c r="O3" s="8">
        <v>4408.8999999999996</v>
      </c>
      <c r="P3" s="8">
        <v>6667.6</v>
      </c>
      <c r="Q3" s="8">
        <v>10117.299999999999</v>
      </c>
      <c r="R3" s="8">
        <v>10943.2</v>
      </c>
      <c r="S3" s="8">
        <v>10086.700000000001</v>
      </c>
      <c r="T3" s="8">
        <f>L3*1.07</f>
        <v>10466.312000000002</v>
      </c>
      <c r="U3" s="8">
        <f>Q3*1.07</f>
        <v>10825.511</v>
      </c>
      <c r="V3" s="8">
        <f>R3*1.04</f>
        <v>11380.928000000002</v>
      </c>
      <c r="W3" s="8"/>
      <c r="X3" s="8"/>
      <c r="Y3" s="8"/>
      <c r="Z3" s="8"/>
      <c r="AA3" s="8">
        <v>11783</v>
      </c>
      <c r="AB3" s="8">
        <v>12758</v>
      </c>
      <c r="AC3" s="8">
        <v>13265</v>
      </c>
      <c r="AD3" s="8">
        <f>AU3-AC3-AB3-AA3</f>
        <v>16411</v>
      </c>
      <c r="AE3" s="8">
        <v>12479</v>
      </c>
      <c r="AF3" s="8">
        <v>13468</v>
      </c>
      <c r="AG3" s="8">
        <v>14063</v>
      </c>
      <c r="AH3" s="8">
        <f>AV3-AG3-AF3-AE3</f>
        <v>16350</v>
      </c>
      <c r="AI3" s="8">
        <v>13111</v>
      </c>
      <c r="AJ3" s="8">
        <v>14401</v>
      </c>
      <c r="AK3" s="8">
        <f>AG3*1.06</f>
        <v>14906.78</v>
      </c>
      <c r="AL3" s="8">
        <f>AH3*1.01</f>
        <v>16513.5</v>
      </c>
      <c r="AM3" s="8"/>
      <c r="AO3" s="8">
        <f>SUM(C3:F3)</f>
        <v>35864.600000000006</v>
      </c>
      <c r="AP3" s="8">
        <f>SUM(G3:J3)</f>
        <v>38972.9</v>
      </c>
      <c r="AQ3" s="8">
        <f>SUM(K3:N3)</f>
        <v>41717</v>
      </c>
      <c r="AR3" s="8">
        <f>SUM(O3:R3)</f>
        <v>32137</v>
      </c>
      <c r="AS3" s="8">
        <v>48550</v>
      </c>
      <c r="AT3" s="8">
        <v>49936</v>
      </c>
      <c r="AU3" s="8">
        <v>54217</v>
      </c>
      <c r="AV3" s="8">
        <v>56360</v>
      </c>
      <c r="AW3" s="8">
        <f>SUM(AI3:AL3)</f>
        <v>58932.28</v>
      </c>
      <c r="AX3" s="8">
        <f>AW3*1.03</f>
        <v>60700.248399999997</v>
      </c>
      <c r="AY3" s="8">
        <f t="shared" ref="AY3:BB3" si="0">AX3*1.02</f>
        <v>61914.253367999998</v>
      </c>
      <c r="AZ3" s="8">
        <f t="shared" si="0"/>
        <v>63152.538435360002</v>
      </c>
      <c r="BA3" s="8">
        <f t="shared" si="0"/>
        <v>64415.589204067204</v>
      </c>
      <c r="BB3" s="8">
        <f t="shared" si="0"/>
        <v>65703.900988148554</v>
      </c>
      <c r="BC3" s="8">
        <f>BB3*1.01</f>
        <v>66360.939998030037</v>
      </c>
      <c r="BD3" s="8">
        <f t="shared" ref="BD3:BG3" si="1">BC3*1.01</f>
        <v>67024.549398010335</v>
      </c>
      <c r="BE3" s="8">
        <f t="shared" si="1"/>
        <v>67694.794891990445</v>
      </c>
      <c r="BF3" s="8">
        <f t="shared" si="1"/>
        <v>68371.742840910345</v>
      </c>
      <c r="BG3" s="8">
        <f t="shared" si="1"/>
        <v>69055.460269319447</v>
      </c>
    </row>
    <row r="4" spans="2:166" x14ac:dyDescent="0.3">
      <c r="B4" t="s">
        <v>13</v>
      </c>
      <c r="C4" s="4">
        <v>5530.1</v>
      </c>
      <c r="D4" s="4">
        <v>5972.7</v>
      </c>
      <c r="E4" s="4">
        <v>6150</v>
      </c>
      <c r="F4" s="4">
        <v>7849.4</v>
      </c>
      <c r="G4" s="4">
        <v>6178.2</v>
      </c>
      <c r="H4" s="4">
        <v>6635.8</v>
      </c>
      <c r="I4" s="4">
        <v>6983.5</v>
      </c>
      <c r="J4" s="4">
        <v>8033.6</v>
      </c>
      <c r="K4" s="4">
        <v>6637.9</v>
      </c>
      <c r="L4" s="4">
        <v>7026.1</v>
      </c>
      <c r="M4" s="4">
        <v>7440</v>
      </c>
      <c r="N4" s="4">
        <v>8741.7999999999993</v>
      </c>
      <c r="O4" s="4">
        <v>4414.7</v>
      </c>
      <c r="P4" s="4">
        <v>5174.5</v>
      </c>
      <c r="Q4" s="4">
        <v>7062.3</v>
      </c>
      <c r="R4" s="4">
        <v>7882.6</v>
      </c>
      <c r="S4" s="4">
        <v>7255.6</v>
      </c>
      <c r="T4" s="4">
        <f t="shared" ref="T4:V4" si="2">T3-T5</f>
        <v>7535.7446400000008</v>
      </c>
      <c r="U4" s="4">
        <f t="shared" si="2"/>
        <v>7686.1128100000005</v>
      </c>
      <c r="V4" s="4">
        <f t="shared" si="2"/>
        <v>8080.458880000002</v>
      </c>
      <c r="W4" s="4"/>
      <c r="X4" s="4"/>
      <c r="Y4" s="4"/>
      <c r="Z4" s="4"/>
      <c r="AA4" s="4">
        <v>8374</v>
      </c>
      <c r="AB4" s="4">
        <v>8910</v>
      </c>
      <c r="AC4" s="4">
        <v>9139</v>
      </c>
      <c r="AD4" s="4">
        <f>AU4-AC4-AB4-AA4</f>
        <v>11528</v>
      </c>
      <c r="AE4" s="4">
        <v>8739</v>
      </c>
      <c r="AF4" s="4">
        <v>9380</v>
      </c>
      <c r="AG4" s="4">
        <v>9622</v>
      </c>
      <c r="AH4" s="4">
        <f>AV4-AG4-AF4-AE4</f>
        <v>11371</v>
      </c>
      <c r="AI4" s="4">
        <v>9246</v>
      </c>
      <c r="AJ4" s="4">
        <v>9976</v>
      </c>
      <c r="AK4" s="4">
        <f>AK3-AK5</f>
        <v>10136.610400000001</v>
      </c>
      <c r="AL4" s="4">
        <f>AL3-AL5</f>
        <v>11559.45</v>
      </c>
      <c r="AM4" s="4"/>
      <c r="AO4" s="4">
        <f>SUM(C4:F4)</f>
        <v>25502.199999999997</v>
      </c>
      <c r="AP4" s="4">
        <f>SUM(G4:J4)</f>
        <v>27831.1</v>
      </c>
      <c r="AQ4" s="4">
        <f>SUM(K4:N4)</f>
        <v>29845.8</v>
      </c>
      <c r="AR4" s="4">
        <f>SUM(O4:R4)</f>
        <v>24534.1</v>
      </c>
      <c r="AS4" s="4">
        <v>34714</v>
      </c>
      <c r="AT4" s="4">
        <v>36149</v>
      </c>
      <c r="AU4" s="4">
        <v>37951</v>
      </c>
      <c r="AV4" s="4">
        <v>39112</v>
      </c>
      <c r="AW4" s="12">
        <f>SUM(AI4:AL4)</f>
        <v>40918.060400000002</v>
      </c>
      <c r="AX4" s="4">
        <f t="shared" ref="AW4:BB4" si="3">AX3-AX5</f>
        <v>41276.168911999994</v>
      </c>
      <c r="AY4" s="4">
        <f t="shared" si="3"/>
        <v>42101.692290239997</v>
      </c>
      <c r="AZ4" s="4">
        <f t="shared" si="3"/>
        <v>42943.726136044803</v>
      </c>
      <c r="BA4" s="4">
        <f t="shared" si="3"/>
        <v>43802.600658765703</v>
      </c>
      <c r="BB4" s="4">
        <f t="shared" si="3"/>
        <v>44678.652671941018</v>
      </c>
      <c r="BC4" s="4">
        <f t="shared" ref="BC4:BG4" si="4">BC3-BC5</f>
        <v>45125.439198660424</v>
      </c>
      <c r="BD4" s="4">
        <f t="shared" si="4"/>
        <v>45576.693590647032</v>
      </c>
      <c r="BE4" s="4">
        <f t="shared" si="4"/>
        <v>46032.460526553506</v>
      </c>
      <c r="BF4" s="4">
        <f t="shared" si="4"/>
        <v>46492.785131819037</v>
      </c>
      <c r="BG4" s="4">
        <f t="shared" si="4"/>
        <v>46957.712983137222</v>
      </c>
    </row>
    <row r="5" spans="2:166" s="1" customFormat="1" x14ac:dyDescent="0.3">
      <c r="B5" s="1" t="s">
        <v>14</v>
      </c>
      <c r="C5" s="8">
        <f t="shared" ref="C5:S5" si="5">C3-C4</f>
        <v>2253.8999999999996</v>
      </c>
      <c r="D5" s="8">
        <f t="shared" si="5"/>
        <v>2385.0000000000009</v>
      </c>
      <c r="E5" s="8">
        <f t="shared" si="5"/>
        <v>2612.2000000000007</v>
      </c>
      <c r="F5" s="8">
        <f t="shared" si="5"/>
        <v>3111.3000000000011</v>
      </c>
      <c r="G5" s="8">
        <f t="shared" si="5"/>
        <v>2510.5000000000009</v>
      </c>
      <c r="H5" s="8">
        <f t="shared" si="5"/>
        <v>2695.3</v>
      </c>
      <c r="I5" s="8">
        <f t="shared" si="5"/>
        <v>2842.2999999999993</v>
      </c>
      <c r="J5" s="8">
        <f t="shared" si="5"/>
        <v>3093.6999999999989</v>
      </c>
      <c r="K5" s="8">
        <f t="shared" si="5"/>
        <v>2639.7000000000007</v>
      </c>
      <c r="L5" s="8">
        <f t="shared" si="5"/>
        <v>2755.5</v>
      </c>
      <c r="M5" s="8">
        <f t="shared" si="5"/>
        <v>3011.2999999999993</v>
      </c>
      <c r="N5" s="8">
        <f t="shared" si="5"/>
        <v>3464.7000000000007</v>
      </c>
      <c r="O5" s="8">
        <f t="shared" si="5"/>
        <v>-5.8000000000001819</v>
      </c>
      <c r="P5" s="8">
        <f t="shared" si="5"/>
        <v>1493.1000000000004</v>
      </c>
      <c r="Q5" s="8">
        <f t="shared" si="5"/>
        <v>3054.9999999999991</v>
      </c>
      <c r="R5" s="8">
        <f t="shared" si="5"/>
        <v>3060.6000000000004</v>
      </c>
      <c r="S5" s="8">
        <f t="shared" si="5"/>
        <v>2831.1000000000004</v>
      </c>
      <c r="T5" s="8">
        <f>T3*0.28</f>
        <v>2930.5673600000009</v>
      </c>
      <c r="U5" s="8">
        <f t="shared" ref="U5:V5" si="6">U3*0.29</f>
        <v>3139.3981899999999</v>
      </c>
      <c r="V5" s="8">
        <f t="shared" si="6"/>
        <v>3300.4691200000002</v>
      </c>
      <c r="W5" s="8"/>
      <c r="X5" s="8"/>
      <c r="Y5" s="8"/>
      <c r="Z5" s="8"/>
      <c r="AA5" s="8">
        <f t="shared" ref="AA5:AB5" si="7">AA3-AA4</f>
        <v>3409</v>
      </c>
      <c r="AB5" s="8">
        <f t="shared" si="7"/>
        <v>3848</v>
      </c>
      <c r="AC5" s="8">
        <f t="shared" ref="AC5:AD5" si="8">AC3-AC4</f>
        <v>4126</v>
      </c>
      <c r="AD5" s="8">
        <f t="shared" si="8"/>
        <v>4883</v>
      </c>
      <c r="AE5" s="8">
        <f t="shared" ref="AE5" si="9">AE3-AE4</f>
        <v>3740</v>
      </c>
      <c r="AF5" s="8">
        <f t="shared" ref="AF5" si="10">AF3-AF4</f>
        <v>4088</v>
      </c>
      <c r="AG5" s="8">
        <f t="shared" ref="AG5:AH5" si="11">AG3-AG4</f>
        <v>4441</v>
      </c>
      <c r="AH5" s="8">
        <f t="shared" si="11"/>
        <v>4979</v>
      </c>
      <c r="AI5" s="8">
        <f t="shared" ref="AI5:AJ5" si="12">AI3-AI4</f>
        <v>3865</v>
      </c>
      <c r="AJ5" s="8">
        <f t="shared" si="12"/>
        <v>4425</v>
      </c>
      <c r="AK5" s="8">
        <f>AK3*0.32</f>
        <v>4770.1696000000002</v>
      </c>
      <c r="AL5" s="8">
        <f>AL3*0.3</f>
        <v>4954.05</v>
      </c>
      <c r="AM5" s="8"/>
      <c r="AO5" s="8">
        <f t="shared" ref="AO5:AW5" si="13">AO3-AO4</f>
        <v>10362.400000000009</v>
      </c>
      <c r="AP5" s="8">
        <f t="shared" si="13"/>
        <v>11141.800000000003</v>
      </c>
      <c r="AQ5" s="8">
        <f t="shared" si="13"/>
        <v>11871.2</v>
      </c>
      <c r="AR5" s="8">
        <f t="shared" si="13"/>
        <v>7602.9000000000015</v>
      </c>
      <c r="AS5" s="8">
        <f t="shared" si="13"/>
        <v>13836</v>
      </c>
      <c r="AT5" s="8">
        <f t="shared" si="13"/>
        <v>13787</v>
      </c>
      <c r="AU5" s="8">
        <f t="shared" si="13"/>
        <v>16266</v>
      </c>
      <c r="AV5" s="8">
        <f t="shared" si="13"/>
        <v>17248</v>
      </c>
      <c r="AW5" s="8">
        <f t="shared" si="13"/>
        <v>18014.219599999997</v>
      </c>
      <c r="AX5" s="8">
        <f>AX3*0.32</f>
        <v>19424.079487999999</v>
      </c>
      <c r="AY5" s="8">
        <f t="shared" ref="AY5:BG5" si="14">AY3*0.32</f>
        <v>19812.561077760001</v>
      </c>
      <c r="AZ5" s="8">
        <f t="shared" si="14"/>
        <v>20208.812299315203</v>
      </c>
      <c r="BA5" s="8">
        <f t="shared" si="14"/>
        <v>20612.988545301505</v>
      </c>
      <c r="BB5" s="8">
        <f t="shared" si="14"/>
        <v>21025.248316207537</v>
      </c>
      <c r="BC5" s="8">
        <f t="shared" si="14"/>
        <v>21235.500799369613</v>
      </c>
      <c r="BD5" s="8">
        <f t="shared" si="14"/>
        <v>21447.855807363307</v>
      </c>
      <c r="BE5" s="8">
        <f t="shared" si="14"/>
        <v>21662.334365436942</v>
      </c>
      <c r="BF5" s="8">
        <f t="shared" si="14"/>
        <v>21878.957709091312</v>
      </c>
      <c r="BG5" s="8">
        <f t="shared" si="14"/>
        <v>22097.747286182224</v>
      </c>
    </row>
    <row r="6" spans="2:166" x14ac:dyDescent="0.3">
      <c r="B6" t="s">
        <v>15</v>
      </c>
      <c r="C6" s="4">
        <v>1411.6</v>
      </c>
      <c r="D6" s="4">
        <v>1483.6</v>
      </c>
      <c r="E6" s="4">
        <v>1584.2</v>
      </c>
      <c r="F6" s="4">
        <f>1895.6+99.3</f>
        <v>1994.8999999999999</v>
      </c>
      <c r="G6" s="4">
        <v>1550.8</v>
      </c>
      <c r="H6" s="4">
        <v>1699.7</v>
      </c>
      <c r="I6" s="4">
        <f>1756.4+36.1</f>
        <v>1792.5</v>
      </c>
      <c r="J6" s="4">
        <v>1916.6</v>
      </c>
      <c r="K6" s="4">
        <v>1702.4</v>
      </c>
      <c r="L6" s="4">
        <v>1731.3</v>
      </c>
      <c r="M6" s="4">
        <v>1885.9</v>
      </c>
      <c r="N6" s="4">
        <v>2135.3000000000002</v>
      </c>
      <c r="O6" s="4">
        <v>1313.9</v>
      </c>
      <c r="P6" s="4">
        <v>1527.8</v>
      </c>
      <c r="Q6" s="4">
        <v>1986.1</v>
      </c>
      <c r="R6" s="4">
        <f>2193.1+312.2</f>
        <v>2505.2999999999997</v>
      </c>
      <c r="S6" s="4">
        <v>2065</v>
      </c>
      <c r="T6" s="4">
        <f>L6*1.2</f>
        <v>2077.56</v>
      </c>
      <c r="U6" s="4">
        <f>Q6*1.05</f>
        <v>2085.4050000000002</v>
      </c>
      <c r="V6" s="4">
        <f>N6*1.07</f>
        <v>2284.7710000000002</v>
      </c>
      <c r="W6" s="4"/>
      <c r="X6" s="4"/>
      <c r="Y6" s="4"/>
      <c r="Z6" s="4"/>
      <c r="AA6" s="4">
        <v>2238</v>
      </c>
      <c r="AB6" s="4">
        <v>2559</v>
      </c>
      <c r="AC6" s="4">
        <v>2578</v>
      </c>
      <c r="AD6" s="4">
        <f>AU6-AC6-AB6-AA6</f>
        <v>3094</v>
      </c>
      <c r="AE6" s="4">
        <v>2400</v>
      </c>
      <c r="AF6" s="4">
        <v>2666</v>
      </c>
      <c r="AG6" s="4">
        <v>2748</v>
      </c>
      <c r="AH6" s="4">
        <f>AV6-AG6-AF6-AE6</f>
        <v>3132</v>
      </c>
      <c r="AI6" s="4">
        <v>2549</v>
      </c>
      <c r="AJ6" s="4">
        <v>2805</v>
      </c>
      <c r="AK6" s="4">
        <f>AG6*1.05</f>
        <v>2885.4</v>
      </c>
      <c r="AL6" s="4">
        <f>AH6*1.01</f>
        <v>3163.32</v>
      </c>
      <c r="AM6" s="4"/>
      <c r="AO6" s="4">
        <f>SUM(C6:F6)</f>
        <v>6474.2999999999993</v>
      </c>
      <c r="AP6" s="4">
        <f>SUM(G6:J6)</f>
        <v>6959.6</v>
      </c>
      <c r="AQ6" s="4">
        <f>SUM(K6:N6)</f>
        <v>7454.9000000000005</v>
      </c>
      <c r="AR6" s="4">
        <f>SUM(O6:R6)</f>
        <v>7333.0999999999985</v>
      </c>
      <c r="AS6" s="4">
        <v>9081</v>
      </c>
      <c r="AT6" s="4">
        <v>8927</v>
      </c>
      <c r="AU6" s="4">
        <v>10469</v>
      </c>
      <c r="AV6" s="4">
        <v>10946</v>
      </c>
      <c r="AW6" s="12">
        <f>SUM(AI6:AL6)</f>
        <v>11402.72</v>
      </c>
      <c r="AX6" s="4">
        <f t="shared" ref="AX6" si="15">AW6*1.03</f>
        <v>11744.801599999999</v>
      </c>
      <c r="AY6" s="4">
        <f>AX6*1.02</f>
        <v>11979.697631999999</v>
      </c>
      <c r="AZ6" s="4">
        <f>AY6*1.02</f>
        <v>12219.291584639999</v>
      </c>
      <c r="BA6" s="4">
        <f>AZ6*1.02</f>
        <v>12463.677416332799</v>
      </c>
      <c r="BB6" s="4">
        <f>BA6*1.01</f>
        <v>12588.314190496127</v>
      </c>
      <c r="BC6" s="4">
        <f t="shared" ref="BC6:BG6" si="16">BB6*1.01</f>
        <v>12714.197332401089</v>
      </c>
      <c r="BD6" s="4">
        <f t="shared" si="16"/>
        <v>12841.3393057251</v>
      </c>
      <c r="BE6" s="4">
        <f t="shared" si="16"/>
        <v>12969.752698782351</v>
      </c>
      <c r="BF6" s="4">
        <f t="shared" si="16"/>
        <v>13099.450225770175</v>
      </c>
      <c r="BG6" s="4">
        <f t="shared" si="16"/>
        <v>13230.444728027876</v>
      </c>
    </row>
    <row r="7" spans="2:166" s="1" customFormat="1" x14ac:dyDescent="0.3">
      <c r="B7" s="1" t="s">
        <v>16</v>
      </c>
      <c r="C7" s="8">
        <f t="shared" ref="C7:V7" si="17">C5-C6</f>
        <v>842.29999999999973</v>
      </c>
      <c r="D7" s="8">
        <f t="shared" si="17"/>
        <v>901.400000000001</v>
      </c>
      <c r="E7" s="8">
        <f t="shared" si="17"/>
        <v>1028.0000000000007</v>
      </c>
      <c r="F7" s="8">
        <f t="shared" si="17"/>
        <v>1116.4000000000012</v>
      </c>
      <c r="G7" s="8">
        <f t="shared" si="17"/>
        <v>959.70000000000095</v>
      </c>
      <c r="H7" s="8">
        <f t="shared" si="17"/>
        <v>995.60000000000014</v>
      </c>
      <c r="I7" s="8">
        <f t="shared" si="17"/>
        <v>1049.7999999999993</v>
      </c>
      <c r="J7" s="8">
        <f t="shared" si="17"/>
        <v>1177.099999999999</v>
      </c>
      <c r="K7" s="8">
        <f t="shared" si="17"/>
        <v>937.30000000000064</v>
      </c>
      <c r="L7" s="8">
        <f t="shared" si="17"/>
        <v>1024.2</v>
      </c>
      <c r="M7" s="8">
        <f t="shared" si="17"/>
        <v>1125.3999999999992</v>
      </c>
      <c r="N7" s="8">
        <f t="shared" si="17"/>
        <v>1329.4000000000005</v>
      </c>
      <c r="O7" s="8">
        <f t="shared" si="17"/>
        <v>-1319.7000000000003</v>
      </c>
      <c r="P7" s="8">
        <f t="shared" si="17"/>
        <v>-34.699999999999591</v>
      </c>
      <c r="Q7" s="8">
        <f t="shared" si="17"/>
        <v>1068.8999999999992</v>
      </c>
      <c r="R7" s="8">
        <f t="shared" si="17"/>
        <v>555.30000000000064</v>
      </c>
      <c r="S7" s="8">
        <f t="shared" si="17"/>
        <v>766.10000000000036</v>
      </c>
      <c r="T7" s="8">
        <f t="shared" si="17"/>
        <v>853.00736000000097</v>
      </c>
      <c r="U7" s="8">
        <f t="shared" si="17"/>
        <v>1053.9931899999997</v>
      </c>
      <c r="V7" s="8">
        <f t="shared" si="17"/>
        <v>1015.69812</v>
      </c>
      <c r="W7" s="8"/>
      <c r="X7" s="8"/>
      <c r="Y7" s="8"/>
      <c r="Z7" s="8"/>
      <c r="AA7" s="8">
        <f t="shared" ref="AA7:AB7" si="18">AA5-AA6</f>
        <v>1171</v>
      </c>
      <c r="AB7" s="8">
        <f t="shared" si="18"/>
        <v>1289</v>
      </c>
      <c r="AC7" s="8">
        <f t="shared" ref="AC7:AD7" si="19">AC5-AC6</f>
        <v>1548</v>
      </c>
      <c r="AD7" s="8">
        <f t="shared" si="19"/>
        <v>1789</v>
      </c>
      <c r="AE7" s="8">
        <f t="shared" ref="AE7" si="20">AE5-AE6</f>
        <v>1340</v>
      </c>
      <c r="AF7" s="8">
        <f t="shared" ref="AF7" si="21">AF5-AF6</f>
        <v>1422</v>
      </c>
      <c r="AG7" s="8">
        <f t="shared" ref="AG7:AH7" si="22">AG5-AG6</f>
        <v>1693</v>
      </c>
      <c r="AH7" s="8">
        <f t="shared" si="22"/>
        <v>1847</v>
      </c>
      <c r="AI7" s="8">
        <f t="shared" ref="AI7:AL7" si="23">AI5-AI6</f>
        <v>1316</v>
      </c>
      <c r="AJ7" s="8">
        <f t="shared" si="23"/>
        <v>1620</v>
      </c>
      <c r="AK7" s="8">
        <f t="shared" si="23"/>
        <v>1884.7696000000001</v>
      </c>
      <c r="AL7" s="8">
        <f t="shared" si="23"/>
        <v>1790.73</v>
      </c>
      <c r="AM7" s="8"/>
      <c r="AO7" s="8">
        <f>AO5-AO6</f>
        <v>3888.1000000000095</v>
      </c>
      <c r="AP7" s="8">
        <f>AP5-AP6</f>
        <v>4182.2000000000025</v>
      </c>
      <c r="AQ7" s="8">
        <f>AQ5-AQ6</f>
        <v>4416.3</v>
      </c>
      <c r="AR7" s="8">
        <f>AR5-AR6</f>
        <v>269.80000000000291</v>
      </c>
      <c r="AS7" s="8">
        <f t="shared" ref="AS7:BB7" si="24">AS5-AS6</f>
        <v>4755</v>
      </c>
      <c r="AT7" s="8">
        <f t="shared" si="24"/>
        <v>4860</v>
      </c>
      <c r="AU7" s="8">
        <f t="shared" si="24"/>
        <v>5797</v>
      </c>
      <c r="AV7" s="8">
        <f t="shared" si="24"/>
        <v>6302</v>
      </c>
      <c r="AW7" s="8">
        <f t="shared" si="24"/>
        <v>6611.4995999999974</v>
      </c>
      <c r="AX7" s="8">
        <f t="shared" si="24"/>
        <v>7679.2778880000005</v>
      </c>
      <c r="AY7" s="8">
        <f t="shared" si="24"/>
        <v>7832.8634457600019</v>
      </c>
      <c r="AZ7" s="8">
        <f t="shared" si="24"/>
        <v>7989.5207146752036</v>
      </c>
      <c r="BA7" s="8">
        <f t="shared" si="24"/>
        <v>8149.3111289687058</v>
      </c>
      <c r="BB7" s="8">
        <f t="shared" si="24"/>
        <v>8436.9341257114102</v>
      </c>
      <c r="BC7" s="8">
        <f t="shared" ref="BC7:BG7" si="25">BC5-BC6</f>
        <v>8521.3034669685239</v>
      </c>
      <c r="BD7" s="8">
        <f t="shared" si="25"/>
        <v>8606.516501638207</v>
      </c>
      <c r="BE7" s="8">
        <f t="shared" si="25"/>
        <v>8692.5816666545907</v>
      </c>
      <c r="BF7" s="8">
        <f t="shared" si="25"/>
        <v>8779.5074833211365</v>
      </c>
      <c r="BG7" s="8">
        <f t="shared" si="25"/>
        <v>8867.3025581543479</v>
      </c>
    </row>
    <row r="8" spans="2:166" x14ac:dyDescent="0.3">
      <c r="B8" t="s">
        <v>17</v>
      </c>
      <c r="C8" s="4">
        <v>9.8000000000000007</v>
      </c>
      <c r="D8" s="4">
        <v>9.6999999999999993</v>
      </c>
      <c r="E8" s="4">
        <v>8</v>
      </c>
      <c r="F8" s="4">
        <v>4.0999999999999996</v>
      </c>
      <c r="G8" s="4">
        <v>4.0999999999999996</v>
      </c>
      <c r="H8" s="4">
        <v>3</v>
      </c>
      <c r="I8" s="4">
        <v>3.2</v>
      </c>
      <c r="J8" s="4">
        <v>-1.5</v>
      </c>
      <c r="K8" s="4">
        <v>0.1</v>
      </c>
      <c r="L8" s="4">
        <v>2.9</v>
      </c>
      <c r="M8" s="4">
        <v>3.3</v>
      </c>
      <c r="N8" s="4">
        <v>3.1</v>
      </c>
      <c r="O8" s="4">
        <v>23.4</v>
      </c>
      <c r="P8" s="4">
        <v>57.3</v>
      </c>
      <c r="Q8" s="4">
        <v>52.9</v>
      </c>
      <c r="R8" s="4">
        <v>47.1</v>
      </c>
      <c r="S8" s="4">
        <v>44.7</v>
      </c>
      <c r="T8" s="4">
        <f t="shared" ref="T8:V8" si="26">S8*0.9</f>
        <v>40.230000000000004</v>
      </c>
      <c r="U8" s="4">
        <f t="shared" si="26"/>
        <v>36.207000000000008</v>
      </c>
      <c r="V8" s="4">
        <f t="shared" si="26"/>
        <v>32.586300000000008</v>
      </c>
      <c r="W8" s="4"/>
      <c r="X8" s="4"/>
      <c r="Y8" s="4"/>
      <c r="Z8" s="4"/>
      <c r="AA8" s="4">
        <v>-37</v>
      </c>
      <c r="AB8" s="4">
        <v>-38</v>
      </c>
      <c r="AC8" s="4">
        <v>-41</v>
      </c>
      <c r="AD8" s="4">
        <f>AU8-AC8-AB8-AA8</f>
        <v>-54</v>
      </c>
      <c r="AE8" s="4">
        <v>-50</v>
      </c>
      <c r="AF8" s="4">
        <v>-46</v>
      </c>
      <c r="AG8" s="4">
        <v>-43</v>
      </c>
      <c r="AH8" s="4">
        <f>AV8-AG8-AF8-AE8</f>
        <v>-42</v>
      </c>
      <c r="AI8" s="4">
        <v>-30</v>
      </c>
      <c r="AJ8" s="4">
        <v>-27</v>
      </c>
      <c r="AK8" s="4">
        <v>-30</v>
      </c>
      <c r="AL8" s="4">
        <v>-30</v>
      </c>
      <c r="AM8" s="4"/>
      <c r="AO8" s="4">
        <f>SUM(C8:F8)</f>
        <v>31.6</v>
      </c>
      <c r="AP8" s="4">
        <f>SUM(G8:J8)</f>
        <v>8.8000000000000007</v>
      </c>
      <c r="AQ8" s="4">
        <f>SUM(K8:N8)</f>
        <v>9.4</v>
      </c>
      <c r="AR8" s="4">
        <f>SUM(O8:R8)</f>
        <v>180.7</v>
      </c>
      <c r="AS8" s="4">
        <f>242+115</f>
        <v>357</v>
      </c>
      <c r="AT8" s="4">
        <f>218+6</f>
        <v>224</v>
      </c>
      <c r="AU8" s="4">
        <v>-170</v>
      </c>
      <c r="AV8" s="4">
        <v>-181</v>
      </c>
      <c r="AW8" s="12">
        <f>SUM(AI8:AL8)</f>
        <v>-117</v>
      </c>
      <c r="AX8" s="4">
        <f>(-AW11*0.01)</f>
        <v>-50.806246999999978</v>
      </c>
      <c r="AY8" s="4">
        <f t="shared" ref="AY8:BB8" si="27">(-AX11*0.01)</f>
        <v>-57.975631012500003</v>
      </c>
      <c r="AZ8" s="4">
        <f t="shared" si="27"/>
        <v>-59.181293075793768</v>
      </c>
      <c r="BA8" s="4">
        <f t="shared" si="27"/>
        <v>-60.365265058132479</v>
      </c>
      <c r="BB8" s="4">
        <f t="shared" si="27"/>
        <v>-61.572572955201288</v>
      </c>
      <c r="BC8" s="4">
        <f t="shared" ref="BC8" si="28">(-BB11*0.01)</f>
        <v>-63.738800239999584</v>
      </c>
      <c r="BD8" s="4">
        <f t="shared" ref="BD8" si="29">(-BC11*0.01)</f>
        <v>-64.387817004063933</v>
      </c>
      <c r="BE8" s="4">
        <f t="shared" ref="BE8" si="30">(-BD11*0.01)</f>
        <v>-65.031782389817039</v>
      </c>
      <c r="BF8" s="4">
        <f t="shared" ref="BF8" si="31">(-BE11*0.01)</f>
        <v>-65.682100867833057</v>
      </c>
      <c r="BG8" s="4">
        <f t="shared" ref="BG8" si="32">(-BF11*0.01)</f>
        <v>-66.338921881417264</v>
      </c>
    </row>
    <row r="9" spans="2:166" s="1" customFormat="1" x14ac:dyDescent="0.3">
      <c r="B9" s="1" t="s">
        <v>18</v>
      </c>
      <c r="C9" s="8">
        <f t="shared" ref="C9:V9" si="33">C7-C8</f>
        <v>832.49999999999977</v>
      </c>
      <c r="D9" s="8">
        <f t="shared" si="33"/>
        <v>891.70000000000095</v>
      </c>
      <c r="E9" s="8">
        <f t="shared" si="33"/>
        <v>1020.0000000000007</v>
      </c>
      <c r="F9" s="8">
        <f t="shared" si="33"/>
        <v>1112.3000000000013</v>
      </c>
      <c r="G9" s="8">
        <f t="shared" si="33"/>
        <v>955.60000000000093</v>
      </c>
      <c r="H9" s="8">
        <f t="shared" si="33"/>
        <v>992.60000000000014</v>
      </c>
      <c r="I9" s="8">
        <f t="shared" si="33"/>
        <v>1046.5999999999992</v>
      </c>
      <c r="J9" s="8">
        <f t="shared" si="33"/>
        <v>1178.599999999999</v>
      </c>
      <c r="K9" s="8">
        <f t="shared" si="33"/>
        <v>937.20000000000061</v>
      </c>
      <c r="L9" s="8">
        <f t="shared" si="33"/>
        <v>1021.3000000000001</v>
      </c>
      <c r="M9" s="8">
        <f t="shared" si="33"/>
        <v>1122.0999999999992</v>
      </c>
      <c r="N9" s="8">
        <f t="shared" si="33"/>
        <v>1326.3000000000006</v>
      </c>
      <c r="O9" s="8">
        <f t="shared" si="33"/>
        <v>-1343.1000000000004</v>
      </c>
      <c r="P9" s="8">
        <f t="shared" si="33"/>
        <v>-91.999999999999588</v>
      </c>
      <c r="Q9" s="8">
        <f t="shared" si="33"/>
        <v>1015.9999999999992</v>
      </c>
      <c r="R9" s="8">
        <f t="shared" si="33"/>
        <v>508.20000000000061</v>
      </c>
      <c r="S9" s="8">
        <f t="shared" si="33"/>
        <v>721.40000000000032</v>
      </c>
      <c r="T9" s="8">
        <f t="shared" si="33"/>
        <v>812.77736000000095</v>
      </c>
      <c r="U9" s="8">
        <f t="shared" si="33"/>
        <v>1017.7861899999997</v>
      </c>
      <c r="V9" s="8">
        <f t="shared" si="33"/>
        <v>983.11181999999997</v>
      </c>
      <c r="W9" s="8"/>
      <c r="X9" s="8"/>
      <c r="Y9" s="8"/>
      <c r="Z9" s="8"/>
      <c r="AA9" s="8">
        <f t="shared" ref="AA9:AB9" si="34">AA7-AA8</f>
        <v>1208</v>
      </c>
      <c r="AB9" s="8">
        <f t="shared" si="34"/>
        <v>1327</v>
      </c>
      <c r="AC9" s="8">
        <f t="shared" ref="AC9:AD9" si="35">AC7-AC8</f>
        <v>1589</v>
      </c>
      <c r="AD9" s="8">
        <f t="shared" si="35"/>
        <v>1843</v>
      </c>
      <c r="AE9" s="8">
        <f t="shared" ref="AE9" si="36">AE7-AE8</f>
        <v>1390</v>
      </c>
      <c r="AF9" s="8">
        <f t="shared" ref="AF9" si="37">AF7-AF8</f>
        <v>1468</v>
      </c>
      <c r="AG9" s="8">
        <f t="shared" ref="AG9:AH9" si="38">AG7-AG8</f>
        <v>1736</v>
      </c>
      <c r="AH9" s="8">
        <f t="shared" si="38"/>
        <v>1889</v>
      </c>
      <c r="AI9" s="8">
        <f t="shared" ref="AI9:AL9" si="39">AI7-AI8</f>
        <v>1346</v>
      </c>
      <c r="AJ9" s="8">
        <f t="shared" si="39"/>
        <v>1647</v>
      </c>
      <c r="AK9" s="8">
        <f t="shared" si="39"/>
        <v>1914.7696000000001</v>
      </c>
      <c r="AL9" s="8">
        <f t="shared" si="39"/>
        <v>1820.73</v>
      </c>
      <c r="AM9" s="8"/>
      <c r="AO9" s="8">
        <f>AO7-AO8</f>
        <v>3856.5000000000095</v>
      </c>
      <c r="AP9" s="8">
        <f>AP7-AP8</f>
        <v>4173.4000000000024</v>
      </c>
      <c r="AQ9" s="8">
        <f>AQ7-AQ8</f>
        <v>4406.9000000000005</v>
      </c>
      <c r="AR9" s="8">
        <f>AR7-AR8</f>
        <v>89.100000000002922</v>
      </c>
      <c r="AS9" s="8">
        <f t="shared" ref="AS9:BB9" si="40">AS7-AS8</f>
        <v>4398</v>
      </c>
      <c r="AT9" s="8">
        <f t="shared" si="40"/>
        <v>4636</v>
      </c>
      <c r="AU9" s="8">
        <f t="shared" si="40"/>
        <v>5967</v>
      </c>
      <c r="AV9" s="8">
        <f t="shared" si="40"/>
        <v>6483</v>
      </c>
      <c r="AW9" s="8">
        <f t="shared" si="40"/>
        <v>6728.4995999999974</v>
      </c>
      <c r="AX9" s="8">
        <f t="shared" si="40"/>
        <v>7730.0841350000001</v>
      </c>
      <c r="AY9" s="8">
        <f t="shared" si="40"/>
        <v>7890.8390767725023</v>
      </c>
      <c r="AZ9" s="8">
        <f t="shared" si="40"/>
        <v>8048.7020077509978</v>
      </c>
      <c r="BA9" s="8">
        <f t="shared" si="40"/>
        <v>8209.6763940268374</v>
      </c>
      <c r="BB9" s="8">
        <f t="shared" si="40"/>
        <v>8498.5066986666116</v>
      </c>
      <c r="BC9" s="8">
        <f t="shared" ref="BC9:BG9" si="41">BC7-BC8</f>
        <v>8585.0422672085242</v>
      </c>
      <c r="BD9" s="8">
        <f t="shared" si="41"/>
        <v>8670.9043186422714</v>
      </c>
      <c r="BE9" s="8">
        <f t="shared" si="41"/>
        <v>8757.6134490444074</v>
      </c>
      <c r="BF9" s="8">
        <f t="shared" si="41"/>
        <v>8845.1895841889691</v>
      </c>
      <c r="BG9" s="8">
        <f t="shared" si="41"/>
        <v>8933.6414800357652</v>
      </c>
    </row>
    <row r="10" spans="2:166" x14ac:dyDescent="0.3">
      <c r="B10" t="s">
        <v>19</v>
      </c>
      <c r="C10" s="4">
        <v>296.2</v>
      </c>
      <c r="D10" s="4">
        <v>338.7</v>
      </c>
      <c r="E10" s="4">
        <v>378.6</v>
      </c>
      <c r="F10" s="4">
        <v>235.1</v>
      </c>
      <c r="G10" s="4">
        <v>239.2</v>
      </c>
      <c r="H10" s="4">
        <v>252.9</v>
      </c>
      <c r="I10" s="4">
        <v>284.3</v>
      </c>
      <c r="J10" s="4">
        <v>337</v>
      </c>
      <c r="K10" s="4">
        <v>236.3</v>
      </c>
      <c r="L10" s="4">
        <v>262.3</v>
      </c>
      <c r="M10" s="4">
        <v>293.89999999999998</v>
      </c>
      <c r="N10" s="4">
        <v>341.5</v>
      </c>
      <c r="O10" s="4">
        <v>-455.4</v>
      </c>
      <c r="P10" s="4">
        <v>122.2</v>
      </c>
      <c r="Q10" s="4">
        <v>149.30000000000001</v>
      </c>
      <c r="R10" s="4">
        <v>182.6</v>
      </c>
      <c r="S10" s="4">
        <v>187.4</v>
      </c>
      <c r="T10" s="4">
        <f t="shared" ref="T10:V10" si="42">T9*0.27</f>
        <v>219.44988720000026</v>
      </c>
      <c r="U10" s="4">
        <f t="shared" si="42"/>
        <v>274.80227129999992</v>
      </c>
      <c r="V10" s="4">
        <f t="shared" si="42"/>
        <v>265.4401914</v>
      </c>
      <c r="W10" s="4"/>
      <c r="X10" s="4"/>
      <c r="Y10" s="4"/>
      <c r="Z10" s="4"/>
      <c r="AA10" s="4">
        <v>317</v>
      </c>
      <c r="AB10" s="4">
        <v>338</v>
      </c>
      <c r="AC10" s="4">
        <v>398</v>
      </c>
      <c r="AD10" s="4">
        <f>AU10-AC10-AB10-AA10</f>
        <v>440</v>
      </c>
      <c r="AE10" s="4">
        <v>320</v>
      </c>
      <c r="AF10" s="4">
        <v>369</v>
      </c>
      <c r="AG10" s="4">
        <v>439</v>
      </c>
      <c r="AH10" s="4">
        <f>AV10-AG10-AF10-AE10</f>
        <v>491</v>
      </c>
      <c r="AI10" s="4">
        <v>310</v>
      </c>
      <c r="AJ10" s="4">
        <v>404</v>
      </c>
      <c r="AK10" s="4">
        <f>AK9*0.25</f>
        <v>478.69240000000002</v>
      </c>
      <c r="AL10" s="4">
        <f>AL9*0.25</f>
        <v>455.1825</v>
      </c>
      <c r="AM10" s="4"/>
      <c r="AO10" s="4">
        <f>SUM(C10:F10)</f>
        <v>1248.5999999999999</v>
      </c>
      <c r="AP10" s="4">
        <f>SUM(G10:J10)</f>
        <v>1113.4000000000001</v>
      </c>
      <c r="AQ10" s="4">
        <f>SUM(K10:N10)</f>
        <v>1134</v>
      </c>
      <c r="AR10" s="4">
        <f>SUM(O10:R10)</f>
        <v>-1.2999999999999829</v>
      </c>
      <c r="AS10" s="4">
        <v>1115</v>
      </c>
      <c r="AT10" s="4">
        <v>1138</v>
      </c>
      <c r="AU10" s="4">
        <v>1493</v>
      </c>
      <c r="AV10" s="4">
        <v>1619</v>
      </c>
      <c r="AW10" s="12">
        <f>SUM(AI10:AL10)</f>
        <v>1647.8748999999998</v>
      </c>
      <c r="AX10" s="4">
        <f t="shared" ref="AX10:BG10" si="43">AX9*0.25</f>
        <v>1932.52103375</v>
      </c>
      <c r="AY10" s="4">
        <f t="shared" si="43"/>
        <v>1972.7097691931256</v>
      </c>
      <c r="AZ10" s="4">
        <f t="shared" si="43"/>
        <v>2012.1755019377495</v>
      </c>
      <c r="BA10" s="4">
        <f t="shared" si="43"/>
        <v>2052.4190985067094</v>
      </c>
      <c r="BB10" s="4">
        <f t="shared" si="43"/>
        <v>2124.6266746666529</v>
      </c>
      <c r="BC10" s="4">
        <f t="shared" si="43"/>
        <v>2146.2605668021311</v>
      </c>
      <c r="BD10" s="4">
        <f t="shared" si="43"/>
        <v>2167.7260796605678</v>
      </c>
      <c r="BE10" s="4">
        <f t="shared" si="43"/>
        <v>2189.4033622611018</v>
      </c>
      <c r="BF10" s="4">
        <f t="shared" si="43"/>
        <v>2211.2973960472423</v>
      </c>
      <c r="BG10" s="4">
        <f t="shared" si="43"/>
        <v>2233.4103700089413</v>
      </c>
    </row>
    <row r="11" spans="2:166" s="1" customFormat="1" x14ac:dyDescent="0.3">
      <c r="B11" s="1" t="s">
        <v>20</v>
      </c>
      <c r="C11" s="8">
        <f t="shared" ref="C11:Q11" si="44">C9-C10</f>
        <v>536.29999999999973</v>
      </c>
      <c r="D11" s="8">
        <f t="shared" si="44"/>
        <v>553.00000000000091</v>
      </c>
      <c r="E11" s="8">
        <f t="shared" si="44"/>
        <v>641.40000000000066</v>
      </c>
      <c r="F11" s="8">
        <f t="shared" si="44"/>
        <v>877.2000000000013</v>
      </c>
      <c r="G11" s="8">
        <f t="shared" si="44"/>
        <v>716.400000000001</v>
      </c>
      <c r="H11" s="8">
        <f t="shared" si="44"/>
        <v>739.70000000000016</v>
      </c>
      <c r="I11" s="8">
        <f t="shared" si="44"/>
        <v>762.29999999999927</v>
      </c>
      <c r="J11" s="8">
        <f t="shared" si="44"/>
        <v>841.599999999999</v>
      </c>
      <c r="K11" s="8">
        <f t="shared" si="44"/>
        <v>700.90000000000055</v>
      </c>
      <c r="L11" s="8">
        <f t="shared" si="44"/>
        <v>759</v>
      </c>
      <c r="M11" s="8">
        <f t="shared" si="44"/>
        <v>828.19999999999925</v>
      </c>
      <c r="N11" s="8">
        <f t="shared" si="44"/>
        <v>984.80000000000064</v>
      </c>
      <c r="O11" s="8">
        <f t="shared" si="44"/>
        <v>-887.70000000000039</v>
      </c>
      <c r="P11" s="8">
        <f t="shared" si="44"/>
        <v>-214.19999999999959</v>
      </c>
      <c r="Q11" s="8">
        <f t="shared" si="44"/>
        <v>866.69999999999914</v>
      </c>
      <c r="R11" s="8">
        <f t="shared" ref="R11:V11" si="45">R9-R10</f>
        <v>325.60000000000059</v>
      </c>
      <c r="S11" s="8">
        <f t="shared" si="45"/>
        <v>534.00000000000034</v>
      </c>
      <c r="T11" s="8">
        <f t="shared" si="45"/>
        <v>593.32747280000069</v>
      </c>
      <c r="U11" s="8">
        <f t="shared" si="45"/>
        <v>742.98391869999978</v>
      </c>
      <c r="V11" s="8">
        <f t="shared" si="45"/>
        <v>717.67162859999996</v>
      </c>
      <c r="W11" s="8"/>
      <c r="X11" s="8"/>
      <c r="Y11" s="8"/>
      <c r="Z11" s="8"/>
      <c r="AA11" s="8">
        <f t="shared" ref="AA11:AB11" si="46">AA9-AA10</f>
        <v>891</v>
      </c>
      <c r="AB11" s="8">
        <f t="shared" si="46"/>
        <v>989</v>
      </c>
      <c r="AC11" s="8">
        <f t="shared" ref="AC11:AD11" si="47">AC9-AC10</f>
        <v>1191</v>
      </c>
      <c r="AD11" s="8">
        <f t="shared" si="47"/>
        <v>1403</v>
      </c>
      <c r="AE11" s="8">
        <f t="shared" ref="AE11" si="48">AE9-AE10</f>
        <v>1070</v>
      </c>
      <c r="AF11" s="8">
        <f t="shared" ref="AF11" si="49">AF9-AF10</f>
        <v>1099</v>
      </c>
      <c r="AG11" s="8">
        <f t="shared" ref="AG11:AH11" si="50">AG9-AG10</f>
        <v>1297</v>
      </c>
      <c r="AH11" s="8">
        <f t="shared" si="50"/>
        <v>1398</v>
      </c>
      <c r="AI11" s="8">
        <f t="shared" ref="AI11:AJ11" si="51">AI9-AI10</f>
        <v>1036</v>
      </c>
      <c r="AJ11" s="8">
        <f t="shared" si="51"/>
        <v>1243</v>
      </c>
      <c r="AK11" s="8">
        <f t="shared" ref="AK11:AL11" si="52">AK9-AK10</f>
        <v>1436.0772000000002</v>
      </c>
      <c r="AL11" s="8">
        <f t="shared" si="52"/>
        <v>1365.5475000000001</v>
      </c>
      <c r="AM11" s="8"/>
      <c r="AO11" s="8">
        <f>AO9-AO10</f>
        <v>2607.9000000000096</v>
      </c>
      <c r="AP11" s="8">
        <f>AP9-AP10</f>
        <v>3060.0000000000023</v>
      </c>
      <c r="AQ11" s="8">
        <f>AQ9-AQ10</f>
        <v>3272.9000000000005</v>
      </c>
      <c r="AR11" s="8">
        <f>AR9-AR10</f>
        <v>90.400000000002905</v>
      </c>
      <c r="AS11" s="8">
        <f t="shared" ref="AS11:BB11" si="53">AS9-AS10</f>
        <v>3283</v>
      </c>
      <c r="AT11" s="8">
        <f t="shared" si="53"/>
        <v>3498</v>
      </c>
      <c r="AU11" s="8">
        <f t="shared" si="53"/>
        <v>4474</v>
      </c>
      <c r="AV11" s="8">
        <f t="shared" si="53"/>
        <v>4864</v>
      </c>
      <c r="AW11" s="8">
        <f t="shared" si="53"/>
        <v>5080.6246999999976</v>
      </c>
      <c r="AX11" s="8">
        <f t="shared" si="53"/>
        <v>5797.5631012499998</v>
      </c>
      <c r="AY11" s="8">
        <f t="shared" si="53"/>
        <v>5918.1293075793765</v>
      </c>
      <c r="AZ11" s="8">
        <f t="shared" si="53"/>
        <v>6036.5265058132481</v>
      </c>
      <c r="BA11" s="8">
        <f t="shared" si="53"/>
        <v>6157.2572955201285</v>
      </c>
      <c r="BB11" s="8">
        <f t="shared" si="53"/>
        <v>6373.8800239999582</v>
      </c>
      <c r="BC11" s="8">
        <f t="shared" ref="BC11:BG11" si="54">BC9-BC10</f>
        <v>6438.7817004063927</v>
      </c>
      <c r="BD11" s="8">
        <f t="shared" si="54"/>
        <v>6503.1782389817035</v>
      </c>
      <c r="BE11" s="8">
        <f t="shared" si="54"/>
        <v>6568.2100867833051</v>
      </c>
      <c r="BF11" s="8">
        <f t="shared" si="54"/>
        <v>6633.8921881417264</v>
      </c>
      <c r="BG11" s="8">
        <f t="shared" si="54"/>
        <v>6700.2311100268234</v>
      </c>
      <c r="BH11" s="1">
        <f>BG11*(1+$BJ$17)</f>
        <v>6633.2287989265551</v>
      </c>
      <c r="BI11" s="1">
        <f t="shared" ref="BI11:DT11" si="55">BH11*(1+$BJ$17)</f>
        <v>6566.8965109372893</v>
      </c>
      <c r="BJ11" s="1">
        <f t="shared" si="55"/>
        <v>6501.2275458279164</v>
      </c>
      <c r="BK11" s="1">
        <f t="shared" si="55"/>
        <v>6436.2152703696374</v>
      </c>
      <c r="BL11" s="1">
        <f t="shared" si="55"/>
        <v>6371.8531176659408</v>
      </c>
      <c r="BM11" s="1">
        <f t="shared" si="55"/>
        <v>6308.134586489281</v>
      </c>
      <c r="BN11" s="1">
        <f t="shared" si="55"/>
        <v>6245.0532406243883</v>
      </c>
      <c r="BO11" s="1">
        <f t="shared" si="55"/>
        <v>6182.6027082181445</v>
      </c>
      <c r="BP11" s="1">
        <f t="shared" si="55"/>
        <v>6120.7766811359634</v>
      </c>
      <c r="BQ11" s="1">
        <f t="shared" si="55"/>
        <v>6059.5689143246036</v>
      </c>
      <c r="BR11" s="1">
        <f t="shared" si="55"/>
        <v>5998.9732251813575</v>
      </c>
      <c r="BS11" s="1">
        <f t="shared" si="55"/>
        <v>5938.9834929295439</v>
      </c>
      <c r="BT11" s="1">
        <f t="shared" si="55"/>
        <v>5879.5936580002481</v>
      </c>
      <c r="BU11" s="1">
        <f t="shared" si="55"/>
        <v>5820.7977214202456</v>
      </c>
      <c r="BV11" s="1">
        <f t="shared" si="55"/>
        <v>5762.5897442060432</v>
      </c>
      <c r="BW11" s="1">
        <f t="shared" si="55"/>
        <v>5704.9638467639825</v>
      </c>
      <c r="BX11" s="1">
        <f t="shared" si="55"/>
        <v>5647.9142082963426</v>
      </c>
      <c r="BY11" s="1">
        <f t="shared" si="55"/>
        <v>5591.4350662133793</v>
      </c>
      <c r="BZ11" s="1">
        <f t="shared" si="55"/>
        <v>5535.5207155512453</v>
      </c>
      <c r="CA11" s="1">
        <f t="shared" si="55"/>
        <v>5480.165508395733</v>
      </c>
      <c r="CB11" s="1">
        <f t="shared" si="55"/>
        <v>5425.3638533117755</v>
      </c>
      <c r="CC11" s="1">
        <f t="shared" si="55"/>
        <v>5371.1102147786578</v>
      </c>
      <c r="CD11" s="1">
        <f t="shared" si="55"/>
        <v>5317.3991126308711</v>
      </c>
      <c r="CE11" s="1">
        <f t="shared" si="55"/>
        <v>5264.2251215045626</v>
      </c>
      <c r="CF11" s="1">
        <f t="shared" si="55"/>
        <v>5211.5828702895169</v>
      </c>
      <c r="CG11" s="1">
        <f t="shared" si="55"/>
        <v>5159.4670415866212</v>
      </c>
      <c r="CH11" s="1">
        <f t="shared" si="55"/>
        <v>5107.8723711707553</v>
      </c>
      <c r="CI11" s="1">
        <f t="shared" si="55"/>
        <v>5056.7936474590479</v>
      </c>
      <c r="CJ11" s="1">
        <f t="shared" si="55"/>
        <v>5006.2257109844577</v>
      </c>
      <c r="CK11" s="1">
        <f t="shared" si="55"/>
        <v>4956.163453874613</v>
      </c>
      <c r="CL11" s="1">
        <f t="shared" si="55"/>
        <v>4906.6018193358668</v>
      </c>
      <c r="CM11" s="1">
        <f t="shared" si="55"/>
        <v>4857.5358011425078</v>
      </c>
      <c r="CN11" s="1">
        <f t="shared" si="55"/>
        <v>4808.9604431310827</v>
      </c>
      <c r="CO11" s="1">
        <f t="shared" si="55"/>
        <v>4760.8708386997714</v>
      </c>
      <c r="CP11" s="1">
        <f t="shared" si="55"/>
        <v>4713.2621303127735</v>
      </c>
      <c r="CQ11" s="1">
        <f t="shared" si="55"/>
        <v>4666.1295090096455</v>
      </c>
      <c r="CR11" s="1">
        <f t="shared" si="55"/>
        <v>4619.4682139195493</v>
      </c>
      <c r="CS11" s="1">
        <f t="shared" si="55"/>
        <v>4573.2735317803536</v>
      </c>
      <c r="CT11" s="1">
        <f t="shared" si="55"/>
        <v>4527.5407964625501</v>
      </c>
      <c r="CU11" s="1">
        <f t="shared" si="55"/>
        <v>4482.2653884979245</v>
      </c>
      <c r="CV11" s="1">
        <f t="shared" si="55"/>
        <v>4437.4427346129451</v>
      </c>
      <c r="CW11" s="1">
        <f t="shared" si="55"/>
        <v>4393.0683072668153</v>
      </c>
      <c r="CX11" s="1">
        <f t="shared" si="55"/>
        <v>4349.1376241941471</v>
      </c>
      <c r="CY11" s="1">
        <f t="shared" si="55"/>
        <v>4305.6462479522052</v>
      </c>
      <c r="CZ11" s="1">
        <f t="shared" si="55"/>
        <v>4262.5897854726827</v>
      </c>
      <c r="DA11" s="1">
        <f t="shared" si="55"/>
        <v>4219.9638876179561</v>
      </c>
      <c r="DB11" s="1">
        <f t="shared" si="55"/>
        <v>4177.7642487417761</v>
      </c>
      <c r="DC11" s="1">
        <f t="shared" si="55"/>
        <v>4135.9866062543579</v>
      </c>
      <c r="DD11" s="1">
        <f t="shared" si="55"/>
        <v>4094.6267401918144</v>
      </c>
      <c r="DE11" s="1">
        <f t="shared" si="55"/>
        <v>4053.6804727898962</v>
      </c>
      <c r="DF11" s="1">
        <f t="shared" si="55"/>
        <v>4013.1436680619972</v>
      </c>
      <c r="DG11" s="1">
        <f t="shared" si="55"/>
        <v>3973.0122313813772</v>
      </c>
      <c r="DH11" s="1">
        <f t="shared" si="55"/>
        <v>3933.2821090675634</v>
      </c>
      <c r="DI11" s="1">
        <f t="shared" si="55"/>
        <v>3893.9492879768877</v>
      </c>
      <c r="DJ11" s="1">
        <f t="shared" si="55"/>
        <v>3855.009795097119</v>
      </c>
      <c r="DK11" s="1">
        <f t="shared" si="55"/>
        <v>3816.4596971461478</v>
      </c>
      <c r="DL11" s="1">
        <f t="shared" si="55"/>
        <v>3778.2951001746865</v>
      </c>
      <c r="DM11" s="1">
        <f t="shared" si="55"/>
        <v>3740.5121491729396</v>
      </c>
      <c r="DN11" s="1">
        <f t="shared" si="55"/>
        <v>3703.1070276812102</v>
      </c>
      <c r="DO11" s="1">
        <f t="shared" si="55"/>
        <v>3666.0759574043982</v>
      </c>
      <c r="DP11" s="1">
        <f t="shared" si="55"/>
        <v>3629.4151978303544</v>
      </c>
      <c r="DQ11" s="1">
        <f t="shared" si="55"/>
        <v>3593.1210458520509</v>
      </c>
      <c r="DR11" s="1">
        <f t="shared" si="55"/>
        <v>3557.1898353935303</v>
      </c>
      <c r="DS11" s="1">
        <f t="shared" si="55"/>
        <v>3521.6179370395948</v>
      </c>
      <c r="DT11" s="1">
        <f t="shared" si="55"/>
        <v>3486.401757669199</v>
      </c>
      <c r="DU11" s="1">
        <f t="shared" ref="DU11:FJ11" si="56">DT11*(1+$BJ$17)</f>
        <v>3451.5377400925072</v>
      </c>
      <c r="DV11" s="1">
        <f t="shared" si="56"/>
        <v>3417.0223626915822</v>
      </c>
      <c r="DW11" s="1">
        <f t="shared" si="56"/>
        <v>3382.8521390646665</v>
      </c>
      <c r="DX11" s="1">
        <f t="shared" si="56"/>
        <v>3349.02361767402</v>
      </c>
      <c r="DY11" s="1">
        <f t="shared" si="56"/>
        <v>3315.5333814972796</v>
      </c>
      <c r="DZ11" s="1">
        <f t="shared" si="56"/>
        <v>3282.3780476823067</v>
      </c>
      <c r="EA11" s="1">
        <f t="shared" si="56"/>
        <v>3249.5542672054835</v>
      </c>
      <c r="EB11" s="1">
        <f t="shared" si="56"/>
        <v>3217.0587245334286</v>
      </c>
      <c r="EC11" s="1">
        <f t="shared" si="56"/>
        <v>3184.8881372880942</v>
      </c>
      <c r="ED11" s="1">
        <f t="shared" si="56"/>
        <v>3153.0392559152133</v>
      </c>
      <c r="EE11" s="1">
        <f t="shared" si="56"/>
        <v>3121.5088633560613</v>
      </c>
      <c r="EF11" s="1">
        <f t="shared" si="56"/>
        <v>3090.2937747225005</v>
      </c>
      <c r="EG11" s="1">
        <f t="shared" si="56"/>
        <v>3059.3908369752753</v>
      </c>
      <c r="EH11" s="1">
        <f t="shared" si="56"/>
        <v>3028.7969286055227</v>
      </c>
      <c r="EI11" s="1">
        <f t="shared" si="56"/>
        <v>2998.5089593194675</v>
      </c>
      <c r="EJ11" s="1">
        <f t="shared" si="56"/>
        <v>2968.523869726273</v>
      </c>
      <c r="EK11" s="1">
        <f t="shared" si="56"/>
        <v>2938.8386310290102</v>
      </c>
      <c r="EL11" s="1">
        <f t="shared" si="56"/>
        <v>2909.4502447187201</v>
      </c>
      <c r="EM11" s="1">
        <f t="shared" si="56"/>
        <v>2880.355742271533</v>
      </c>
      <c r="EN11" s="1">
        <f t="shared" si="56"/>
        <v>2851.5521848488179</v>
      </c>
      <c r="EO11" s="1">
        <f t="shared" si="56"/>
        <v>2823.0366630003296</v>
      </c>
      <c r="EP11" s="1">
        <f t="shared" si="56"/>
        <v>2794.8062963703264</v>
      </c>
      <c r="EQ11" s="1">
        <f t="shared" si="56"/>
        <v>2766.8582334066232</v>
      </c>
      <c r="ER11" s="1">
        <f t="shared" si="56"/>
        <v>2739.1896510725569</v>
      </c>
      <c r="ES11" s="1">
        <f t="shared" si="56"/>
        <v>2711.7977545618314</v>
      </c>
      <c r="ET11" s="1">
        <f t="shared" si="56"/>
        <v>2684.6797770162129</v>
      </c>
      <c r="EU11" s="1">
        <f t="shared" si="56"/>
        <v>2657.8329792460509</v>
      </c>
      <c r="EV11" s="1">
        <f t="shared" si="56"/>
        <v>2631.2546494535904</v>
      </c>
      <c r="EW11" s="1">
        <f t="shared" si="56"/>
        <v>2604.9421029590544</v>
      </c>
      <c r="EX11" s="1">
        <f t="shared" si="56"/>
        <v>2578.8926819294638</v>
      </c>
      <c r="EY11" s="1">
        <f t="shared" si="56"/>
        <v>2553.103755110169</v>
      </c>
      <c r="EZ11" s="1">
        <f t="shared" si="56"/>
        <v>2527.5727175590673</v>
      </c>
      <c r="FA11" s="1">
        <f t="shared" si="56"/>
        <v>2502.2969903834764</v>
      </c>
      <c r="FB11" s="1">
        <f t="shared" si="56"/>
        <v>2477.2740204796419</v>
      </c>
      <c r="FC11" s="1">
        <f t="shared" si="56"/>
        <v>2452.5012802748456</v>
      </c>
      <c r="FD11" s="1">
        <f t="shared" si="56"/>
        <v>2427.9762674720973</v>
      </c>
      <c r="FE11" s="1">
        <f t="shared" si="56"/>
        <v>2403.6965047973763</v>
      </c>
      <c r="FF11" s="1">
        <f t="shared" si="56"/>
        <v>2379.6595397494025</v>
      </c>
      <c r="FG11" s="1">
        <f t="shared" si="56"/>
        <v>2355.8629443519085</v>
      </c>
      <c r="FH11" s="1">
        <f t="shared" si="56"/>
        <v>2332.3043149083892</v>
      </c>
      <c r="FI11" s="1">
        <f t="shared" si="56"/>
        <v>2308.9812717593054</v>
      </c>
      <c r="FJ11" s="1">
        <f t="shared" si="56"/>
        <v>2285.8914590417126</v>
      </c>
    </row>
    <row r="12" spans="2:166" x14ac:dyDescent="0.3">
      <c r="B12" t="s">
        <v>2</v>
      </c>
      <c r="C12" s="4">
        <v>1201</v>
      </c>
      <c r="D12" s="4">
        <v>1201</v>
      </c>
      <c r="E12" s="4">
        <v>1201</v>
      </c>
      <c r="F12" s="4">
        <v>1201</v>
      </c>
      <c r="G12" s="4">
        <v>1201</v>
      </c>
      <c r="H12" s="4">
        <v>1201</v>
      </c>
      <c r="I12" s="4">
        <v>1201</v>
      </c>
      <c r="J12" s="4">
        <v>1201</v>
      </c>
      <c r="K12" s="4">
        <v>1201</v>
      </c>
      <c r="L12" s="4">
        <v>1201</v>
      </c>
      <c r="M12" s="4">
        <v>1201</v>
      </c>
      <c r="N12" s="4">
        <v>1201</v>
      </c>
      <c r="O12" s="4">
        <v>1201</v>
      </c>
      <c r="P12" s="4">
        <v>1201</v>
      </c>
      <c r="Q12" s="4">
        <v>1201</v>
      </c>
      <c r="R12" s="4">
        <v>1201</v>
      </c>
      <c r="S12" s="4">
        <v>1221.5</v>
      </c>
      <c r="T12" s="4">
        <v>1221.5</v>
      </c>
      <c r="U12" s="4">
        <v>1221.5</v>
      </c>
      <c r="V12" s="4">
        <v>1221.5</v>
      </c>
      <c r="W12" s="4"/>
      <c r="X12" s="4"/>
      <c r="Y12" s="4"/>
      <c r="Z12" s="4"/>
      <c r="AA12" s="4">
        <v>1153</v>
      </c>
      <c r="AB12" s="4">
        <v>1148</v>
      </c>
      <c r="AC12" s="4">
        <v>1144</v>
      </c>
      <c r="AD12" s="4">
        <v>1146</v>
      </c>
      <c r="AE12" s="4">
        <v>1132</v>
      </c>
      <c r="AF12" s="4">
        <v>1130</v>
      </c>
      <c r="AG12" s="4">
        <v>1127</v>
      </c>
      <c r="AH12" s="4">
        <f>1117.1</f>
        <v>1117.0999999999999</v>
      </c>
      <c r="AI12" s="4">
        <f>1115.6</f>
        <v>1115.5999999999999</v>
      </c>
      <c r="AJ12" s="4">
        <f>1112.9</f>
        <v>1112.9000000000001</v>
      </c>
      <c r="AK12" s="4">
        <f t="shared" ref="AK12:AL12" si="57">1112.9</f>
        <v>1112.9000000000001</v>
      </c>
      <c r="AL12" s="4">
        <f t="shared" si="57"/>
        <v>1112.9000000000001</v>
      </c>
      <c r="AM12" s="4"/>
      <c r="AO12" s="4">
        <v>1201</v>
      </c>
      <c r="AP12" s="4">
        <v>1201</v>
      </c>
      <c r="AQ12" s="4">
        <v>1201</v>
      </c>
      <c r="AR12" s="4">
        <v>1201</v>
      </c>
      <c r="AS12" s="4">
        <v>1200</v>
      </c>
      <c r="AT12" s="4">
        <v>1166</v>
      </c>
      <c r="AU12" s="4">
        <v>1146</v>
      </c>
      <c r="AV12" s="4">
        <f t="shared" ref="AV12:BG12" si="58">1117.1</f>
        <v>1117.0999999999999</v>
      </c>
      <c r="AW12" s="4">
        <f>1112.9</f>
        <v>1112.9000000000001</v>
      </c>
      <c r="AX12" s="4">
        <f>1112.9</f>
        <v>1112.9000000000001</v>
      </c>
      <c r="AY12" s="4">
        <f>1112.9</f>
        <v>1112.9000000000001</v>
      </c>
      <c r="AZ12" s="4">
        <f>1112.9</f>
        <v>1112.9000000000001</v>
      </c>
      <c r="BA12" s="4">
        <f>1112.9</f>
        <v>1112.9000000000001</v>
      </c>
      <c r="BB12" s="4">
        <f>1112.9</f>
        <v>1112.9000000000001</v>
      </c>
      <c r="BC12" s="4">
        <f>1112.9</f>
        <v>1112.9000000000001</v>
      </c>
      <c r="BD12" s="4">
        <f>1112.9</f>
        <v>1112.9000000000001</v>
      </c>
      <c r="BE12" s="4">
        <f>1112.9</f>
        <v>1112.9000000000001</v>
      </c>
      <c r="BF12" s="4">
        <f>1112.9</f>
        <v>1112.9000000000001</v>
      </c>
      <c r="BG12" s="4">
        <f>1112.9</f>
        <v>1112.9000000000001</v>
      </c>
    </row>
    <row r="13" spans="2:166" s="1" customFormat="1" x14ac:dyDescent="0.3">
      <c r="B13" s="1" t="s">
        <v>21</v>
      </c>
      <c r="C13" s="7">
        <f t="shared" ref="C13:Q13" si="59">C11/C12</f>
        <v>0.4465445462114902</v>
      </c>
      <c r="D13" s="7">
        <f t="shared" si="59"/>
        <v>0.46044962531224054</v>
      </c>
      <c r="E13" s="7">
        <f t="shared" si="59"/>
        <v>0.53405495420482985</v>
      </c>
      <c r="F13" s="7">
        <f t="shared" si="59"/>
        <v>0.73039134054954313</v>
      </c>
      <c r="G13" s="7">
        <f t="shared" si="59"/>
        <v>0.59650291423813573</v>
      </c>
      <c r="H13" s="7">
        <f t="shared" si="59"/>
        <v>0.61590341382181524</v>
      </c>
      <c r="I13" s="7">
        <f t="shared" si="59"/>
        <v>0.63472106577851728</v>
      </c>
      <c r="J13" s="7">
        <f t="shared" si="59"/>
        <v>0.70074937552039884</v>
      </c>
      <c r="K13" s="7">
        <f t="shared" si="59"/>
        <v>0.5835970024979189</v>
      </c>
      <c r="L13" s="7">
        <f t="shared" si="59"/>
        <v>0.63197335553705247</v>
      </c>
      <c r="M13" s="7">
        <f t="shared" si="59"/>
        <v>0.68959200666111509</v>
      </c>
      <c r="N13" s="7">
        <f t="shared" si="59"/>
        <v>0.81998334721065835</v>
      </c>
      <c r="O13" s="7">
        <f t="shared" si="59"/>
        <v>-0.73913405495420514</v>
      </c>
      <c r="P13" s="7">
        <f t="shared" si="59"/>
        <v>-0.1783513738551204</v>
      </c>
      <c r="Q13" s="7">
        <f t="shared" si="59"/>
        <v>0.72164862614487857</v>
      </c>
      <c r="R13" s="7">
        <f t="shared" ref="R13:V13" si="60">R11/R12</f>
        <v>0.27110741049125781</v>
      </c>
      <c r="S13" s="7">
        <f t="shared" si="60"/>
        <v>0.43716741711011081</v>
      </c>
      <c r="T13" s="7">
        <f t="shared" si="60"/>
        <v>0.48573677674989824</v>
      </c>
      <c r="U13" s="7">
        <f t="shared" si="60"/>
        <v>0.60825535710192369</v>
      </c>
      <c r="V13" s="7">
        <f t="shared" si="60"/>
        <v>0.58753305656979116</v>
      </c>
      <c r="W13" s="7"/>
      <c r="X13" s="7"/>
      <c r="Y13" s="7"/>
      <c r="Z13" s="7"/>
      <c r="AA13" s="7">
        <f t="shared" ref="AA13:AB13" si="61">AA11/AA12</f>
        <v>0.77276669557675626</v>
      </c>
      <c r="AB13" s="7">
        <f t="shared" si="61"/>
        <v>0.86149825783972123</v>
      </c>
      <c r="AC13" s="7">
        <f t="shared" ref="AC13:AD13" si="62">AC11/AC12</f>
        <v>1.041083916083916</v>
      </c>
      <c r="AD13" s="7">
        <f t="shared" si="62"/>
        <v>1.2242582897033158</v>
      </c>
      <c r="AE13" s="7">
        <f t="shared" ref="AE13" si="63">AE11/AE12</f>
        <v>0.94522968197879864</v>
      </c>
      <c r="AF13" s="7">
        <f t="shared" ref="AF13" si="64">AF11/AF12</f>
        <v>0.97256637168141591</v>
      </c>
      <c r="AG13" s="7">
        <f t="shared" ref="AG13:AH13" si="65">AG11/AG12</f>
        <v>1.1508429458740017</v>
      </c>
      <c r="AH13" s="7">
        <f t="shared" si="65"/>
        <v>1.2514546593859099</v>
      </c>
      <c r="AI13" s="7">
        <f t="shared" ref="AI13:AJ13" si="66">AI11/AI12</f>
        <v>0.92864826102545728</v>
      </c>
      <c r="AJ13" s="7">
        <f t="shared" si="66"/>
        <v>1.1169017881211249</v>
      </c>
      <c r="AK13" s="7">
        <f t="shared" ref="AK13:AL13" si="67">AK11/AK12</f>
        <v>1.2903919489621709</v>
      </c>
      <c r="AL13" s="7">
        <f t="shared" si="67"/>
        <v>1.2270172522239196</v>
      </c>
      <c r="AM13" s="7"/>
      <c r="AO13" s="7">
        <f>AO11/AO12</f>
        <v>2.1714404662781095</v>
      </c>
      <c r="AP13" s="7">
        <f>AP11/AP12</f>
        <v>2.5478767693588695</v>
      </c>
      <c r="AQ13" s="7">
        <f>AQ11/AQ12</f>
        <v>2.725145711906745</v>
      </c>
      <c r="AR13" s="7">
        <f>AR11/AR12</f>
        <v>7.5270607826813413E-2</v>
      </c>
      <c r="AS13" s="7">
        <f t="shared" ref="AS13:BB13" si="68">AS11/AS12</f>
        <v>2.7358333333333333</v>
      </c>
      <c r="AT13" s="7">
        <f t="shared" si="68"/>
        <v>3</v>
      </c>
      <c r="AU13" s="7">
        <f t="shared" si="68"/>
        <v>3.9040139616055844</v>
      </c>
      <c r="AV13" s="7">
        <f t="shared" si="68"/>
        <v>4.3541312326559849</v>
      </c>
      <c r="AW13" s="7">
        <f t="shared" si="68"/>
        <v>4.5652122382963407</v>
      </c>
      <c r="AX13" s="7">
        <f t="shared" si="68"/>
        <v>5.2094196255278993</v>
      </c>
      <c r="AY13" s="7">
        <f t="shared" si="68"/>
        <v>5.3177547916069514</v>
      </c>
      <c r="AZ13" s="7">
        <f t="shared" si="68"/>
        <v>5.4241409882408549</v>
      </c>
      <c r="BA13" s="7">
        <f t="shared" si="68"/>
        <v>5.5326240412616841</v>
      </c>
      <c r="BB13" s="7">
        <f t="shared" si="68"/>
        <v>5.7272711151046432</v>
      </c>
      <c r="BC13" s="7">
        <f t="shared" ref="BC13:BG13" si="69">BC11/BC12</f>
        <v>5.7855887325064179</v>
      </c>
      <c r="BD13" s="7">
        <f t="shared" si="69"/>
        <v>5.843452456628361</v>
      </c>
      <c r="BE13" s="7">
        <f t="shared" si="69"/>
        <v>5.9018870399706218</v>
      </c>
      <c r="BF13" s="7">
        <f t="shared" si="69"/>
        <v>5.9609059108111477</v>
      </c>
      <c r="BG13" s="7">
        <f t="shared" si="69"/>
        <v>6.0205149699225649</v>
      </c>
    </row>
    <row r="15" spans="2:166" x14ac:dyDescent="0.3">
      <c r="B15" s="1" t="s">
        <v>38</v>
      </c>
      <c r="G15" s="9">
        <f>G3/C3-1</f>
        <v>0.11622559095580698</v>
      </c>
      <c r="H15" s="9">
        <f t="shared" ref="H15:R15" si="70">H3/D3-1</f>
        <v>0.11646744917860175</v>
      </c>
      <c r="I15" s="9">
        <f t="shared" si="70"/>
        <v>0.12138504028668584</v>
      </c>
      <c r="J15" s="9">
        <f t="shared" si="70"/>
        <v>1.5199759139470803E-2</v>
      </c>
      <c r="K15" s="9">
        <f t="shared" si="70"/>
        <v>6.7777688261765334E-2</v>
      </c>
      <c r="L15" s="9">
        <f t="shared" si="70"/>
        <v>4.8279409715896282E-2</v>
      </c>
      <c r="M15" s="9">
        <f t="shared" si="70"/>
        <v>6.3658938712369384E-2</v>
      </c>
      <c r="N15" s="9">
        <f t="shared" si="70"/>
        <v>9.698669039209884E-2</v>
      </c>
      <c r="O15" s="9">
        <f t="shared" si="70"/>
        <v>-0.52478011554712434</v>
      </c>
      <c r="P15" s="9">
        <f t="shared" si="70"/>
        <v>-0.3183528257135847</v>
      </c>
      <c r="Q15" s="9">
        <f t="shared" si="70"/>
        <v>-3.1957746883162885E-2</v>
      </c>
      <c r="R15" s="9">
        <f t="shared" si="70"/>
        <v>-0.10349404006062335</v>
      </c>
      <c r="S15" s="9">
        <f t="shared" ref="S15" si="71">S3/O3-1</f>
        <v>1.2878042142030894</v>
      </c>
      <c r="T15" s="9">
        <f t="shared" ref="T15" si="72">T3/P3-1</f>
        <v>0.56972703821465021</v>
      </c>
      <c r="U15" s="9">
        <f t="shared" ref="U15" si="73">U3/Q3-1</f>
        <v>7.0000000000000062E-2</v>
      </c>
      <c r="V15" s="9">
        <f t="shared" ref="V15" si="74">V3/R3-1</f>
        <v>4.0000000000000036E-2</v>
      </c>
      <c r="W15" s="9">
        <f t="shared" ref="W15" si="75">W3/S3-1</f>
        <v>-1</v>
      </c>
      <c r="X15" s="9">
        <f t="shared" ref="X15" si="76">X3/T3-1</f>
        <v>-1</v>
      </c>
      <c r="Y15" s="9">
        <f t="shared" ref="Y15" si="77">Y3/U3-1</f>
        <v>-1</v>
      </c>
      <c r="Z15" s="9">
        <f t="shared" ref="Z15" si="78">Z3/V3-1</f>
        <v>-1</v>
      </c>
      <c r="AA15" s="9" t="e">
        <f t="shared" ref="AA15" si="79">AA3/W3-1</f>
        <v>#DIV/0!</v>
      </c>
      <c r="AB15" s="9" t="e">
        <f t="shared" ref="AB15" si="80">AB3/X3-1</f>
        <v>#DIV/0!</v>
      </c>
      <c r="AC15" s="9" t="e">
        <f t="shared" ref="AC15" si="81">AC3/Y3-1</f>
        <v>#DIV/0!</v>
      </c>
      <c r="AD15" s="9" t="e">
        <f t="shared" ref="AD15" si="82">AD3/Z3-1</f>
        <v>#DIV/0!</v>
      </c>
      <c r="AE15" s="9">
        <f t="shared" ref="AE15" si="83">AE3/AA3-1</f>
        <v>5.9068149028260963E-2</v>
      </c>
      <c r="AF15" s="9">
        <f t="shared" ref="AF15" si="84">AF3/AB3-1</f>
        <v>5.5651356011914066E-2</v>
      </c>
      <c r="AG15" s="9">
        <f t="shared" ref="AG15" si="85">AG3/AC3-1</f>
        <v>6.0158311345646531E-2</v>
      </c>
      <c r="AH15" s="9">
        <f t="shared" ref="AH15" si="86">AH3/AD3-1</f>
        <v>-3.7170190725732688E-3</v>
      </c>
      <c r="AI15" s="9">
        <f t="shared" ref="AI15" si="87">AI3/AE3-1</f>
        <v>5.0645083740684438E-2</v>
      </c>
      <c r="AJ15" s="9">
        <f t="shared" ref="AJ15" si="88">AJ3/AF3-1</f>
        <v>6.9275319275319269E-2</v>
      </c>
      <c r="AK15" s="9">
        <f t="shared" ref="AK15" si="89">AK3/AG3-1</f>
        <v>6.0000000000000053E-2</v>
      </c>
      <c r="AL15" s="9">
        <f t="shared" ref="AL15" si="90">AL3/AH3-1</f>
        <v>1.0000000000000009E-2</v>
      </c>
      <c r="AM15" s="9"/>
      <c r="AP15" s="9">
        <f>AP3/AO3-1</f>
        <v>8.666763326511373E-2</v>
      </c>
      <c r="AQ15" s="9">
        <f t="shared" ref="AQ15:BB15" si="91">AQ3/AP3-1</f>
        <v>7.0410464707527431E-2</v>
      </c>
      <c r="AR15" s="9">
        <f t="shared" si="91"/>
        <v>-0.22964259174916701</v>
      </c>
      <c r="AS15" s="9">
        <f t="shared" si="91"/>
        <v>0.51071973115100966</v>
      </c>
      <c r="AT15" s="9">
        <f t="shared" si="91"/>
        <v>2.854788877445924E-2</v>
      </c>
      <c r="AU15" s="9">
        <f t="shared" si="91"/>
        <v>8.5729734059596385E-2</v>
      </c>
      <c r="AV15" s="9">
        <f t="shared" si="91"/>
        <v>3.9526347824483166E-2</v>
      </c>
      <c r="AW15" s="9">
        <f t="shared" si="91"/>
        <v>4.5640170333569818E-2</v>
      </c>
      <c r="AX15" s="9">
        <f t="shared" si="91"/>
        <v>3.0000000000000027E-2</v>
      </c>
      <c r="AY15" s="9">
        <f t="shared" si="91"/>
        <v>2.0000000000000018E-2</v>
      </c>
      <c r="AZ15" s="9">
        <f t="shared" si="91"/>
        <v>2.0000000000000018E-2</v>
      </c>
      <c r="BA15" s="9">
        <f t="shared" si="91"/>
        <v>2.0000000000000018E-2</v>
      </c>
      <c r="BB15" s="9">
        <f t="shared" si="91"/>
        <v>2.0000000000000018E-2</v>
      </c>
      <c r="BC15" s="9">
        <f t="shared" ref="BC15" si="92">BC3/BB3-1</f>
        <v>1.0000000000000009E-2</v>
      </c>
      <c r="BD15" s="9">
        <f t="shared" ref="BD15" si="93">BD3/BC3-1</f>
        <v>1.0000000000000009E-2</v>
      </c>
      <c r="BE15" s="9">
        <f t="shared" ref="BE15" si="94">BE3/BD3-1</f>
        <v>1.0000000000000009E-2</v>
      </c>
      <c r="BF15" s="9">
        <f t="shared" ref="BF15" si="95">BF3/BE3-1</f>
        <v>1.0000000000000009E-2</v>
      </c>
      <c r="BG15" s="9">
        <f t="shared" ref="BG15" si="96">BG3/BF3-1</f>
        <v>1.0000000000000009E-2</v>
      </c>
    </row>
    <row r="16" spans="2:166" x14ac:dyDescent="0.3">
      <c r="B16" s="1" t="s">
        <v>37</v>
      </c>
      <c r="C16" s="9">
        <f>C5/C3</f>
        <v>0.28955549845837614</v>
      </c>
      <c r="D16" s="9">
        <f t="shared" ref="D16:R16" si="97">D5/D3</f>
        <v>0.28536559101188136</v>
      </c>
      <c r="E16" s="9">
        <f t="shared" si="97"/>
        <v>0.29812147634155811</v>
      </c>
      <c r="F16" s="9">
        <f t="shared" si="97"/>
        <v>0.28385960750681988</v>
      </c>
      <c r="G16" s="9">
        <f t="shared" si="97"/>
        <v>0.28893850633581558</v>
      </c>
      <c r="H16" s="9">
        <f t="shared" si="97"/>
        <v>0.28885126083741469</v>
      </c>
      <c r="I16" s="9">
        <f t="shared" si="97"/>
        <v>0.28926906714974859</v>
      </c>
      <c r="J16" s="9">
        <f t="shared" si="97"/>
        <v>0.27802791333027771</v>
      </c>
      <c r="K16" s="9">
        <f t="shared" si="97"/>
        <v>0.28452401483142198</v>
      </c>
      <c r="L16" s="9">
        <f t="shared" si="97"/>
        <v>0.2817023799787356</v>
      </c>
      <c r="M16" s="9">
        <f t="shared" si="97"/>
        <v>0.2881268358960129</v>
      </c>
      <c r="N16" s="9">
        <f t="shared" si="97"/>
        <v>0.28384057674189989</v>
      </c>
      <c r="O16" s="9">
        <f t="shared" si="97"/>
        <v>-1.3155208782236346E-3</v>
      </c>
      <c r="P16" s="9">
        <f t="shared" si="97"/>
        <v>0.22393364928909956</v>
      </c>
      <c r="Q16" s="9">
        <f t="shared" si="97"/>
        <v>0.30195803228133983</v>
      </c>
      <c r="R16" s="9">
        <f t="shared" si="97"/>
        <v>0.27968053220264638</v>
      </c>
      <c r="S16" s="9">
        <f t="shared" ref="S16:V16" si="98">S5/S3</f>
        <v>0.28067653444635016</v>
      </c>
      <c r="T16" s="9">
        <f t="shared" si="98"/>
        <v>0.28000000000000003</v>
      </c>
      <c r="U16" s="9">
        <f t="shared" si="98"/>
        <v>0.28999999999999998</v>
      </c>
      <c r="V16" s="9">
        <f t="shared" si="98"/>
        <v>0.28999999999999998</v>
      </c>
      <c r="W16" s="9" t="e">
        <f t="shared" ref="W16:AL16" si="99">W5/W3</f>
        <v>#DIV/0!</v>
      </c>
      <c r="X16" s="9" t="e">
        <f t="shared" si="99"/>
        <v>#DIV/0!</v>
      </c>
      <c r="Y16" s="9" t="e">
        <f t="shared" si="99"/>
        <v>#DIV/0!</v>
      </c>
      <c r="Z16" s="9" t="e">
        <f t="shared" si="99"/>
        <v>#DIV/0!</v>
      </c>
      <c r="AA16" s="9">
        <f t="shared" si="99"/>
        <v>0.28931511499618096</v>
      </c>
      <c r="AB16" s="9">
        <f t="shared" si="99"/>
        <v>0.30161467314626117</v>
      </c>
      <c r="AC16" s="9">
        <f t="shared" si="99"/>
        <v>0.31104410101771579</v>
      </c>
      <c r="AD16" s="9">
        <f t="shared" si="99"/>
        <v>0.29754433002254588</v>
      </c>
      <c r="AE16" s="9">
        <f t="shared" si="99"/>
        <v>0.29970350188316369</v>
      </c>
      <c r="AF16" s="9">
        <f t="shared" si="99"/>
        <v>0.30353430353430355</v>
      </c>
      <c r="AG16" s="9">
        <f t="shared" si="99"/>
        <v>0.31579321624120033</v>
      </c>
      <c r="AH16" s="9">
        <f t="shared" si="99"/>
        <v>0.30452599388379203</v>
      </c>
      <c r="AI16" s="9">
        <f t="shared" si="99"/>
        <v>0.29479063381893067</v>
      </c>
      <c r="AJ16" s="9">
        <f t="shared" si="99"/>
        <v>0.30727032844941321</v>
      </c>
      <c r="AK16" s="9">
        <f t="shared" si="99"/>
        <v>0.32</v>
      </c>
      <c r="AL16" s="9">
        <f t="shared" si="99"/>
        <v>0.3</v>
      </c>
      <c r="AM16" s="9"/>
      <c r="AO16" s="9">
        <f t="shared" ref="AO16:BB16" si="100">AO5/AO3</f>
        <v>0.28893114659023122</v>
      </c>
      <c r="AP16" s="9">
        <f t="shared" si="100"/>
        <v>0.28588583348942476</v>
      </c>
      <c r="AQ16" s="9">
        <f t="shared" si="100"/>
        <v>0.28456504542512645</v>
      </c>
      <c r="AR16" s="9">
        <f t="shared" si="100"/>
        <v>0.23657777639480976</v>
      </c>
      <c r="AS16" s="9">
        <f t="shared" si="100"/>
        <v>0.28498455200823891</v>
      </c>
      <c r="AT16" s="9">
        <f t="shared" si="100"/>
        <v>0.27609339955142581</v>
      </c>
      <c r="AU16" s="9">
        <f t="shared" si="100"/>
        <v>0.30001659995942231</v>
      </c>
      <c r="AV16" s="9">
        <f t="shared" si="100"/>
        <v>0.30603264726756563</v>
      </c>
      <c r="AW16" s="9">
        <f t="shared" si="100"/>
        <v>0.3056766105095543</v>
      </c>
      <c r="AX16" s="9">
        <f t="shared" si="100"/>
        <v>0.32</v>
      </c>
      <c r="AY16" s="9">
        <f t="shared" si="100"/>
        <v>0.32</v>
      </c>
      <c r="AZ16" s="9">
        <f t="shared" si="100"/>
        <v>0.32000000000000006</v>
      </c>
      <c r="BA16" s="9">
        <f t="shared" si="100"/>
        <v>0.32</v>
      </c>
      <c r="BB16" s="9">
        <f t="shared" si="100"/>
        <v>0.32</v>
      </c>
      <c r="BC16" s="9">
        <f t="shared" ref="BC16:BG16" si="101">BC5/BC3</f>
        <v>0.32</v>
      </c>
      <c r="BD16" s="9">
        <f t="shared" si="101"/>
        <v>0.32</v>
      </c>
      <c r="BE16" s="9">
        <f t="shared" si="101"/>
        <v>0.32</v>
      </c>
      <c r="BF16" s="9">
        <f t="shared" si="101"/>
        <v>0.32</v>
      </c>
      <c r="BG16" s="9">
        <f t="shared" si="101"/>
        <v>0.32</v>
      </c>
    </row>
    <row r="17" spans="2:62" x14ac:dyDescent="0.3">
      <c r="B17" t="s">
        <v>39</v>
      </c>
      <c r="C17" s="9">
        <f>C7/C3</f>
        <v>0.10820914696813974</v>
      </c>
      <c r="D17" s="9">
        <f t="shared" ref="D17:R17" si="102">D7/D3</f>
        <v>0.10785263888390358</v>
      </c>
      <c r="E17" s="9">
        <f t="shared" si="102"/>
        <v>0.11732213371071198</v>
      </c>
      <c r="F17" s="9">
        <f t="shared" si="102"/>
        <v>0.10185480854325007</v>
      </c>
      <c r="G17" s="9">
        <f t="shared" si="102"/>
        <v>0.11045380781935167</v>
      </c>
      <c r="H17" s="9">
        <f t="shared" si="102"/>
        <v>0.10669695962962567</v>
      </c>
      <c r="I17" s="9">
        <f t="shared" si="102"/>
        <v>0.10684117323780246</v>
      </c>
      <c r="J17" s="9">
        <f t="shared" si="102"/>
        <v>0.10578487144230847</v>
      </c>
      <c r="K17" s="9">
        <f t="shared" si="102"/>
        <v>0.10102828317668369</v>
      </c>
      <c r="L17" s="9">
        <f t="shared" si="102"/>
        <v>0.1047067964341212</v>
      </c>
      <c r="M17" s="9">
        <f t="shared" si="102"/>
        <v>0.10768038425841754</v>
      </c>
      <c r="N17" s="9">
        <f t="shared" si="102"/>
        <v>0.10890918772784997</v>
      </c>
      <c r="O17" s="9">
        <f t="shared" si="102"/>
        <v>-0.2993263625847718</v>
      </c>
      <c r="P17" s="9">
        <f t="shared" si="102"/>
        <v>-5.2042714020036577E-3</v>
      </c>
      <c r="Q17" s="9">
        <f t="shared" si="102"/>
        <v>0.10565071708855121</v>
      </c>
      <c r="R17" s="9">
        <f t="shared" si="102"/>
        <v>5.0743840924044208E-2</v>
      </c>
      <c r="S17" s="9">
        <f t="shared" ref="S17:V17" si="103">S7/S3</f>
        <v>7.5951500490745269E-2</v>
      </c>
      <c r="T17" s="9">
        <f t="shared" si="103"/>
        <v>8.1500280136881154E-2</v>
      </c>
      <c r="U17" s="9">
        <f t="shared" si="103"/>
        <v>9.7361980418291541E-2</v>
      </c>
      <c r="V17" s="9">
        <f t="shared" si="103"/>
        <v>8.9245632693572954E-2</v>
      </c>
      <c r="W17" s="9" t="e">
        <f t="shared" ref="W17:AL17" si="104">W7/W3</f>
        <v>#DIV/0!</v>
      </c>
      <c r="X17" s="9" t="e">
        <f t="shared" si="104"/>
        <v>#DIV/0!</v>
      </c>
      <c r="Y17" s="9" t="e">
        <f t="shared" si="104"/>
        <v>#DIV/0!</v>
      </c>
      <c r="Z17" s="9" t="e">
        <f t="shared" si="104"/>
        <v>#DIV/0!</v>
      </c>
      <c r="AA17" s="9">
        <f t="shared" si="104"/>
        <v>9.9380463379444964E-2</v>
      </c>
      <c r="AB17" s="9">
        <f t="shared" si="104"/>
        <v>0.1010346449286722</v>
      </c>
      <c r="AC17" s="9">
        <f t="shared" si="104"/>
        <v>0.11669807764794572</v>
      </c>
      <c r="AD17" s="9">
        <f t="shared" si="104"/>
        <v>0.10901224788251783</v>
      </c>
      <c r="AE17" s="9">
        <f t="shared" si="104"/>
        <v>0.10738039907043834</v>
      </c>
      <c r="AF17" s="9">
        <f t="shared" si="104"/>
        <v>0.10558360558360558</v>
      </c>
      <c r="AG17" s="9">
        <f t="shared" si="104"/>
        <v>0.12038683069046434</v>
      </c>
      <c r="AH17" s="9">
        <f t="shared" si="104"/>
        <v>0.11296636085626911</v>
      </c>
      <c r="AI17" s="9">
        <f t="shared" si="104"/>
        <v>0.10037373198077949</v>
      </c>
      <c r="AJ17" s="9">
        <f t="shared" si="104"/>
        <v>0.11249218804249705</v>
      </c>
      <c r="AK17" s="9">
        <f t="shared" si="104"/>
        <v>0.12643707091672379</v>
      </c>
      <c r="AL17" s="9">
        <f t="shared" si="104"/>
        <v>0.10844036697247707</v>
      </c>
      <c r="AM17" s="9"/>
      <c r="AO17" s="9">
        <f t="shared" ref="AO17:BB17" si="105">AO7/AO3</f>
        <v>0.10841052179586581</v>
      </c>
      <c r="AP17" s="9">
        <f t="shared" si="105"/>
        <v>0.10731046445093904</v>
      </c>
      <c r="AQ17" s="9">
        <f t="shared" si="105"/>
        <v>0.10586331711292758</v>
      </c>
      <c r="AR17" s="9">
        <f t="shared" si="105"/>
        <v>8.3953075893830453E-3</v>
      </c>
      <c r="AS17" s="9">
        <f t="shared" si="105"/>
        <v>9.794026776519052E-2</v>
      </c>
      <c r="AT17" s="9">
        <f t="shared" si="105"/>
        <v>9.7324575456584433E-2</v>
      </c>
      <c r="AU17" s="9">
        <f t="shared" si="105"/>
        <v>0.10692218307910803</v>
      </c>
      <c r="AV17" s="9">
        <f t="shared" si="105"/>
        <v>0.11181689141234918</v>
      </c>
      <c r="AW17" s="9">
        <f t="shared" si="105"/>
        <v>0.11218808435716381</v>
      </c>
      <c r="AX17" s="9">
        <f t="shared" si="105"/>
        <v>0.1265114738476095</v>
      </c>
      <c r="AY17" s="9">
        <f t="shared" si="105"/>
        <v>0.12651147384760952</v>
      </c>
      <c r="AZ17" s="9">
        <f t="shared" si="105"/>
        <v>0.12651147384760955</v>
      </c>
      <c r="BA17" s="9">
        <f t="shared" si="105"/>
        <v>0.12651147384760952</v>
      </c>
      <c r="BB17" s="9">
        <f t="shared" si="105"/>
        <v>0.12840842018243689</v>
      </c>
      <c r="BC17" s="9">
        <f t="shared" ref="BC17:BG17" si="106">BC7/BC3</f>
        <v>0.12840842018243689</v>
      </c>
      <c r="BD17" s="9">
        <f t="shared" si="106"/>
        <v>0.12840842018243687</v>
      </c>
      <c r="BE17" s="9">
        <f t="shared" si="106"/>
        <v>0.12840842018243687</v>
      </c>
      <c r="BF17" s="9">
        <f t="shared" si="106"/>
        <v>0.12840842018243689</v>
      </c>
      <c r="BG17" s="9">
        <f t="shared" si="106"/>
        <v>0.12840842018243689</v>
      </c>
      <c r="BI17" t="s">
        <v>41</v>
      </c>
      <c r="BJ17" s="9">
        <v>-0.01</v>
      </c>
    </row>
    <row r="18" spans="2:62" x14ac:dyDescent="0.3">
      <c r="B18" t="s">
        <v>40</v>
      </c>
      <c r="G18" s="9">
        <f t="shared" ref="G18:R18" si="107">G6/C6-1</f>
        <v>9.861150467554558E-2</v>
      </c>
      <c r="H18" s="9">
        <f t="shared" si="107"/>
        <v>0.14565920733351323</v>
      </c>
      <c r="I18" s="9">
        <f t="shared" si="107"/>
        <v>0.13148592349450827</v>
      </c>
      <c r="J18" s="9">
        <f t="shared" si="107"/>
        <v>-3.9250087723695426E-2</v>
      </c>
      <c r="K18" s="9">
        <f t="shared" si="107"/>
        <v>9.7755996904823395E-2</v>
      </c>
      <c r="L18" s="9">
        <f t="shared" si="107"/>
        <v>1.8591516149908838E-2</v>
      </c>
      <c r="M18" s="9">
        <f t="shared" si="107"/>
        <v>5.2105997210599719E-2</v>
      </c>
      <c r="N18" s="9">
        <f t="shared" si="107"/>
        <v>0.11410831681101974</v>
      </c>
      <c r="O18" s="9">
        <f t="shared" si="107"/>
        <v>-0.2282072368421052</v>
      </c>
      <c r="P18" s="9">
        <f t="shared" si="107"/>
        <v>-0.11754173164673942</v>
      </c>
      <c r="Q18" s="9">
        <f t="shared" si="107"/>
        <v>5.3131131024974687E-2</v>
      </c>
      <c r="R18" s="9">
        <f t="shared" si="107"/>
        <v>0.17327775956540048</v>
      </c>
      <c r="S18" s="9">
        <f t="shared" ref="S18" si="108">S6/O6-1</f>
        <v>0.57165689930740538</v>
      </c>
      <c r="T18" s="9">
        <f t="shared" ref="T18" si="109">T6/P6-1</f>
        <v>0.35983767508836229</v>
      </c>
      <c r="U18" s="9">
        <f t="shared" ref="U18" si="110">U6/Q6-1</f>
        <v>5.0000000000000044E-2</v>
      </c>
      <c r="V18" s="9">
        <f t="shared" ref="V18" si="111">V6/R6-1</f>
        <v>-8.80249870275015E-2</v>
      </c>
      <c r="W18" s="9">
        <f t="shared" ref="W18" si="112">W6/S6-1</f>
        <v>-1</v>
      </c>
      <c r="X18" s="9">
        <f t="shared" ref="X18" si="113">X6/T6-1</f>
        <v>-1</v>
      </c>
      <c r="Y18" s="9">
        <f t="shared" ref="Y18" si="114">Y6/U6-1</f>
        <v>-1</v>
      </c>
      <c r="Z18" s="9">
        <f t="shared" ref="Z18" si="115">Z6/V6-1</f>
        <v>-1</v>
      </c>
      <c r="AA18" s="9" t="e">
        <f t="shared" ref="AA18" si="116">AA6/W6-1</f>
        <v>#DIV/0!</v>
      </c>
      <c r="AB18" s="9" t="e">
        <f t="shared" ref="AB18" si="117">AB6/X6-1</f>
        <v>#DIV/0!</v>
      </c>
      <c r="AC18" s="9" t="e">
        <f t="shared" ref="AC18" si="118">AC6/Y6-1</f>
        <v>#DIV/0!</v>
      </c>
      <c r="AD18" s="9" t="e">
        <f t="shared" ref="AD18" si="119">AD6/Z6-1</f>
        <v>#DIV/0!</v>
      </c>
      <c r="AE18" s="9">
        <f t="shared" ref="AE18" si="120">AE6/AA6-1</f>
        <v>7.2386058981233292E-2</v>
      </c>
      <c r="AF18" s="9">
        <f t="shared" ref="AF18" si="121">AF6/AB6-1</f>
        <v>4.1813208284486203E-2</v>
      </c>
      <c r="AG18" s="9">
        <f t="shared" ref="AG18" si="122">AG6/AC6-1</f>
        <v>6.5942591155934815E-2</v>
      </c>
      <c r="AH18" s="9">
        <f t="shared" ref="AH18" si="123">AH6/AD6-1</f>
        <v>1.2281835811247532E-2</v>
      </c>
      <c r="AI18" s="9">
        <f t="shared" ref="AI18" si="124">AI6/AE6-1</f>
        <v>6.2083333333333268E-2</v>
      </c>
      <c r="AJ18" s="9">
        <f t="shared" ref="AJ18" si="125">AJ6/AF6-1</f>
        <v>5.2138034508627085E-2</v>
      </c>
      <c r="AK18" s="9">
        <f t="shared" ref="AK18" si="126">AK6/AG6-1</f>
        <v>5.0000000000000044E-2</v>
      </c>
      <c r="AL18" s="9">
        <f t="shared" ref="AL18" si="127">AL6/AH6-1</f>
        <v>1.0000000000000009E-2</v>
      </c>
      <c r="AM18" s="9"/>
      <c r="AP18" s="9">
        <f t="shared" ref="AP18:BB18" si="128">AP6/AO6-1</f>
        <v>7.4957910507699843E-2</v>
      </c>
      <c r="AQ18" s="9">
        <f t="shared" si="128"/>
        <v>7.1167883211678884E-2</v>
      </c>
      <c r="AR18" s="9">
        <f t="shared" si="128"/>
        <v>-1.6338247327261524E-2</v>
      </c>
      <c r="AS18" s="9">
        <f t="shared" si="128"/>
        <v>0.23835758410494901</v>
      </c>
      <c r="AT18" s="9">
        <f t="shared" si="128"/>
        <v>-1.6958484748375691E-2</v>
      </c>
      <c r="AU18" s="9">
        <f t="shared" si="128"/>
        <v>0.17273440125462081</v>
      </c>
      <c r="AV18" s="9">
        <f t="shared" si="128"/>
        <v>4.5563091030661917E-2</v>
      </c>
      <c r="AW18" s="9">
        <f t="shared" si="128"/>
        <v>4.1724830988488781E-2</v>
      </c>
      <c r="AX18" s="9">
        <f t="shared" si="128"/>
        <v>3.0000000000000027E-2</v>
      </c>
      <c r="AY18" s="9">
        <f t="shared" si="128"/>
        <v>2.0000000000000018E-2</v>
      </c>
      <c r="AZ18" s="9">
        <f t="shared" si="128"/>
        <v>2.0000000000000018E-2</v>
      </c>
      <c r="BA18" s="9">
        <f t="shared" si="128"/>
        <v>2.0000000000000018E-2</v>
      </c>
      <c r="BB18" s="9">
        <f t="shared" si="128"/>
        <v>1.0000000000000009E-2</v>
      </c>
      <c r="BC18" s="9">
        <f t="shared" ref="BC18" si="129">BC6/BB6-1</f>
        <v>1.0000000000000009E-2</v>
      </c>
      <c r="BD18" s="9">
        <f t="shared" ref="BD18" si="130">BD6/BC6-1</f>
        <v>1.0000000000000009E-2</v>
      </c>
      <c r="BE18" s="9">
        <f t="shared" ref="BE18" si="131">BE6/BD6-1</f>
        <v>1.0000000000000009E-2</v>
      </c>
      <c r="BF18" s="9">
        <f t="shared" ref="BF18" si="132">BF6/BE6-1</f>
        <v>1.0000000000000009E-2</v>
      </c>
      <c r="BG18" s="9">
        <f t="shared" ref="BG18" si="133">BG6/BF6-1</f>
        <v>1.0000000000000009E-2</v>
      </c>
      <c r="BI18" t="s">
        <v>42</v>
      </c>
      <c r="BJ18" s="9">
        <v>7.0000000000000007E-2</v>
      </c>
    </row>
    <row r="19" spans="2:62" x14ac:dyDescent="0.3">
      <c r="B19" t="s">
        <v>19</v>
      </c>
      <c r="C19" s="9">
        <f>C10/C9</f>
        <v>0.3557957957957959</v>
      </c>
      <c r="D19" s="9">
        <f t="shared" ref="D19:BB19" si="134">D10/D9</f>
        <v>0.37983626780307234</v>
      </c>
      <c r="E19" s="9">
        <f t="shared" si="134"/>
        <v>0.37117647058823505</v>
      </c>
      <c r="F19" s="9">
        <f t="shared" si="134"/>
        <v>0.21136384069046096</v>
      </c>
      <c r="G19" s="9">
        <f t="shared" si="134"/>
        <v>0.25031393888656317</v>
      </c>
      <c r="H19" s="9">
        <f t="shared" si="134"/>
        <v>0.25478541204916377</v>
      </c>
      <c r="I19" s="9">
        <f t="shared" si="134"/>
        <v>0.27164150582839691</v>
      </c>
      <c r="J19" s="9">
        <f t="shared" si="134"/>
        <v>0.28593246224333979</v>
      </c>
      <c r="K19" s="9">
        <f t="shared" si="134"/>
        <v>0.2521340162185231</v>
      </c>
      <c r="L19" s="9">
        <f t="shared" si="134"/>
        <v>0.25682953098991479</v>
      </c>
      <c r="M19" s="9">
        <f t="shared" si="134"/>
        <v>0.26191961500757527</v>
      </c>
      <c r="N19" s="9">
        <f t="shared" si="134"/>
        <v>0.25748322400663487</v>
      </c>
      <c r="O19" s="9">
        <f t="shared" si="134"/>
        <v>0.33906633906633898</v>
      </c>
      <c r="P19" s="9">
        <f t="shared" si="134"/>
        <v>-1.3282608695652234</v>
      </c>
      <c r="Q19" s="9">
        <f t="shared" si="134"/>
        <v>0.14694881889763792</v>
      </c>
      <c r="R19" s="9">
        <f t="shared" si="134"/>
        <v>0.35930735930735885</v>
      </c>
      <c r="S19" s="9">
        <f t="shared" ref="S19:V19" si="135">S10/S9</f>
        <v>0.25977266426393114</v>
      </c>
      <c r="T19" s="9">
        <f t="shared" si="135"/>
        <v>0.27</v>
      </c>
      <c r="U19" s="9">
        <f t="shared" si="135"/>
        <v>0.27</v>
      </c>
      <c r="V19" s="9">
        <f t="shared" si="135"/>
        <v>0.27</v>
      </c>
      <c r="W19" s="9" t="e">
        <f t="shared" ref="W19:AL19" si="136">W10/W9</f>
        <v>#DIV/0!</v>
      </c>
      <c r="X19" s="9" t="e">
        <f t="shared" si="136"/>
        <v>#DIV/0!</v>
      </c>
      <c r="Y19" s="9" t="e">
        <f t="shared" si="136"/>
        <v>#DIV/0!</v>
      </c>
      <c r="Z19" s="9" t="e">
        <f t="shared" si="136"/>
        <v>#DIV/0!</v>
      </c>
      <c r="AA19" s="9">
        <f t="shared" si="136"/>
        <v>0.26241721854304634</v>
      </c>
      <c r="AB19" s="9">
        <f t="shared" si="136"/>
        <v>0.25470987189148453</v>
      </c>
      <c r="AC19" s="9">
        <f t="shared" si="136"/>
        <v>0.25047199496538702</v>
      </c>
      <c r="AD19" s="9">
        <f t="shared" si="136"/>
        <v>0.23874118285404233</v>
      </c>
      <c r="AE19" s="9">
        <f t="shared" si="136"/>
        <v>0.23021582733812951</v>
      </c>
      <c r="AF19" s="9">
        <f t="shared" si="136"/>
        <v>0.25136239782016351</v>
      </c>
      <c r="AG19" s="9">
        <f t="shared" si="136"/>
        <v>0.25288018433179721</v>
      </c>
      <c r="AH19" s="9">
        <f t="shared" si="136"/>
        <v>0.25992588671254629</v>
      </c>
      <c r="AI19" s="9">
        <f t="shared" si="136"/>
        <v>0.23031203566121841</v>
      </c>
      <c r="AJ19" s="9">
        <f t="shared" si="136"/>
        <v>0.24529447480267152</v>
      </c>
      <c r="AK19" s="9">
        <f t="shared" si="136"/>
        <v>0.25</v>
      </c>
      <c r="AL19" s="9">
        <f t="shared" si="136"/>
        <v>0.25</v>
      </c>
      <c r="AM19" s="9"/>
      <c r="AO19" s="9">
        <f t="shared" si="134"/>
        <v>0.32376507195643633</v>
      </c>
      <c r="AP19" s="9">
        <f t="shared" si="134"/>
        <v>0.26678487564096409</v>
      </c>
      <c r="AQ19" s="9">
        <f t="shared" si="134"/>
        <v>0.25732374231319066</v>
      </c>
      <c r="AR19" s="9">
        <f t="shared" si="134"/>
        <v>-1.4590347923680587E-2</v>
      </c>
      <c r="AS19" s="9">
        <f t="shared" si="134"/>
        <v>0.25352432924056389</v>
      </c>
      <c r="AT19" s="9">
        <f t="shared" si="134"/>
        <v>0.24547023295944781</v>
      </c>
      <c r="AU19" s="9">
        <f t="shared" si="134"/>
        <v>0.25020948550360317</v>
      </c>
      <c r="AV19" s="9">
        <f t="shared" si="134"/>
        <v>0.24973006324232608</v>
      </c>
      <c r="AW19" s="9">
        <f t="shared" si="134"/>
        <v>0.24490971211471876</v>
      </c>
      <c r="AX19" s="9">
        <f t="shared" si="134"/>
        <v>0.25</v>
      </c>
      <c r="AY19" s="9">
        <f t="shared" si="134"/>
        <v>0.25</v>
      </c>
      <c r="AZ19" s="9">
        <f t="shared" si="134"/>
        <v>0.25</v>
      </c>
      <c r="BA19" s="9">
        <f t="shared" si="134"/>
        <v>0.25</v>
      </c>
      <c r="BB19" s="9">
        <f t="shared" si="134"/>
        <v>0.25</v>
      </c>
      <c r="BC19" s="9">
        <f t="shared" ref="BC19:BG19" si="137">BC10/BC9</f>
        <v>0.25</v>
      </c>
      <c r="BD19" s="9">
        <f t="shared" si="137"/>
        <v>0.25</v>
      </c>
      <c r="BE19" s="9">
        <f t="shared" si="137"/>
        <v>0.25</v>
      </c>
      <c r="BF19" s="9">
        <f t="shared" si="137"/>
        <v>0.25</v>
      </c>
      <c r="BG19" s="9">
        <f t="shared" si="137"/>
        <v>0.25</v>
      </c>
      <c r="BI19" t="s">
        <v>43</v>
      </c>
      <c r="BJ19" s="4">
        <f>NPV(BJ18,AW11:FJ11)</f>
        <v>85191.222395441408</v>
      </c>
    </row>
    <row r="20" spans="2:62" x14ac:dyDescent="0.3">
      <c r="B20" t="s">
        <v>54</v>
      </c>
      <c r="C20" s="9">
        <f>C11/C3</f>
        <v>6.889773895169575E-2</v>
      </c>
      <c r="D20" s="9">
        <f t="shared" ref="D20:BB20" si="138">D11/D3</f>
        <v>6.6166529069002347E-2</v>
      </c>
      <c r="E20" s="9">
        <f t="shared" si="138"/>
        <v>7.3200794321060997E-2</v>
      </c>
      <c r="F20" s="9">
        <f t="shared" si="138"/>
        <v>8.0031384856806706E-2</v>
      </c>
      <c r="G20" s="9">
        <f t="shared" si="138"/>
        <v>8.2451920310288182E-2</v>
      </c>
      <c r="H20" s="9">
        <f t="shared" si="138"/>
        <v>7.9272540214980022E-2</v>
      </c>
      <c r="I20" s="9">
        <f t="shared" si="138"/>
        <v>7.758146919334806E-2</v>
      </c>
      <c r="J20" s="9">
        <f t="shared" si="138"/>
        <v>7.5633801551139898E-2</v>
      </c>
      <c r="K20" s="9">
        <f t="shared" si="138"/>
        <v>7.5547555402259256E-2</v>
      </c>
      <c r="L20" s="9">
        <f t="shared" si="138"/>
        <v>7.7594667539052919E-2</v>
      </c>
      <c r="M20" s="9">
        <f t="shared" si="138"/>
        <v>7.9243730445016342E-2</v>
      </c>
      <c r="N20" s="9">
        <f t="shared" si="138"/>
        <v>8.0678327120796353E-2</v>
      </c>
      <c r="O20" s="9">
        <f t="shared" si="138"/>
        <v>-0.20134273855156626</v>
      </c>
      <c r="P20" s="9">
        <f t="shared" si="138"/>
        <v>-3.2125502429659787E-2</v>
      </c>
      <c r="Q20" s="9">
        <f t="shared" si="138"/>
        <v>8.5665147816116866E-2</v>
      </c>
      <c r="R20" s="9">
        <f t="shared" si="138"/>
        <v>2.9753636961766264E-2</v>
      </c>
      <c r="S20" s="9">
        <f t="shared" si="138"/>
        <v>5.2941001516848947E-2</v>
      </c>
      <c r="T20" s="9">
        <f t="shared" si="138"/>
        <v>5.6689259101009082E-2</v>
      </c>
      <c r="U20" s="9">
        <f t="shared" si="138"/>
        <v>6.8632687981195512E-2</v>
      </c>
      <c r="V20" s="9">
        <f t="shared" si="138"/>
        <v>6.3059148480686278E-2</v>
      </c>
      <c r="W20" s="9" t="e">
        <f t="shared" ref="W20:AL20" si="139">W11/W3</f>
        <v>#DIV/0!</v>
      </c>
      <c r="X20" s="9" t="e">
        <f t="shared" si="139"/>
        <v>#DIV/0!</v>
      </c>
      <c r="Y20" s="9" t="e">
        <f t="shared" si="139"/>
        <v>#DIV/0!</v>
      </c>
      <c r="Z20" s="9" t="e">
        <f t="shared" si="139"/>
        <v>#DIV/0!</v>
      </c>
      <c r="AA20" s="9">
        <f t="shared" si="139"/>
        <v>7.5617414919799716E-2</v>
      </c>
      <c r="AB20" s="9">
        <f t="shared" si="139"/>
        <v>7.7519987458849346E-2</v>
      </c>
      <c r="AC20" s="9">
        <f t="shared" si="139"/>
        <v>8.9785148888051267E-2</v>
      </c>
      <c r="AD20" s="9">
        <f t="shared" si="139"/>
        <v>8.5491438669185307E-2</v>
      </c>
      <c r="AE20" s="9">
        <f t="shared" si="139"/>
        <v>8.5744050004006728E-2</v>
      </c>
      <c r="AF20" s="9">
        <f t="shared" si="139"/>
        <v>8.1600831600831605E-2</v>
      </c>
      <c r="AG20" s="9">
        <f t="shared" si="139"/>
        <v>9.2227831899310247E-2</v>
      </c>
      <c r="AH20" s="9">
        <f t="shared" si="139"/>
        <v>8.5504587155963305E-2</v>
      </c>
      <c r="AI20" s="9">
        <f t="shared" si="139"/>
        <v>7.901761879337961E-2</v>
      </c>
      <c r="AJ20" s="9">
        <f t="shared" si="139"/>
        <v>8.6313450454829521E-2</v>
      </c>
      <c r="AK20" s="9">
        <f t="shared" si="139"/>
        <v>9.633718348295206E-2</v>
      </c>
      <c r="AL20" s="9">
        <f t="shared" si="139"/>
        <v>8.2692796802616056E-2</v>
      </c>
      <c r="AM20" s="9"/>
      <c r="AO20" s="9">
        <f t="shared" si="138"/>
        <v>7.2715156449535454E-2</v>
      </c>
      <c r="AP20" s="9">
        <f t="shared" si="138"/>
        <v>7.8516097082844807E-2</v>
      </c>
      <c r="AQ20" s="9">
        <f t="shared" si="138"/>
        <v>7.8454826569504046E-2</v>
      </c>
      <c r="AR20" s="9">
        <f t="shared" si="138"/>
        <v>2.8129570277251425E-3</v>
      </c>
      <c r="AS20" s="9">
        <f t="shared" si="138"/>
        <v>6.7621009268795051E-2</v>
      </c>
      <c r="AT20" s="9">
        <f t="shared" si="138"/>
        <v>7.0049663569368786E-2</v>
      </c>
      <c r="AU20" s="9">
        <f t="shared" si="138"/>
        <v>8.2520242728295556E-2</v>
      </c>
      <c r="AV20" s="9">
        <f t="shared" si="138"/>
        <v>8.6302342086586228E-2</v>
      </c>
      <c r="AW20" s="9">
        <f t="shared" si="138"/>
        <v>8.621123601530431E-2</v>
      </c>
      <c r="AX20" s="9">
        <f t="shared" si="138"/>
        <v>9.5511357104265157E-2</v>
      </c>
      <c r="AY20" s="9">
        <f t="shared" si="138"/>
        <v>9.5585894776179681E-2</v>
      </c>
      <c r="AZ20" s="9">
        <f t="shared" si="138"/>
        <v>9.5586442847296713E-2</v>
      </c>
      <c r="BA20" s="9">
        <f t="shared" si="138"/>
        <v>9.5586446877231376E-2</v>
      </c>
      <c r="BB20" s="9">
        <f t="shared" si="138"/>
        <v>9.7009156657983778E-2</v>
      </c>
      <c r="BC20" s="9">
        <f t="shared" ref="BC20:BG20" si="140">BC11/BC3</f>
        <v>9.7026680161515666E-2</v>
      </c>
      <c r="BD20" s="9">
        <f t="shared" si="140"/>
        <v>9.7026810286541879E-2</v>
      </c>
      <c r="BE20" s="9">
        <f t="shared" si="140"/>
        <v>9.7026811252816814E-2</v>
      </c>
      <c r="BF20" s="9">
        <f t="shared" si="140"/>
        <v>9.702681125999213E-2</v>
      </c>
      <c r="BG20" s="9">
        <f t="shared" si="140"/>
        <v>9.702681126004542E-2</v>
      </c>
      <c r="BI20" t="s">
        <v>45</v>
      </c>
      <c r="BJ20" s="4">
        <f>Main!D8</f>
        <v>1772</v>
      </c>
    </row>
    <row r="21" spans="2:62" x14ac:dyDescent="0.3">
      <c r="BI21" t="s">
        <v>44</v>
      </c>
      <c r="BJ21" s="4">
        <f>BJ19+BJ20</f>
        <v>86963.222395441408</v>
      </c>
    </row>
    <row r="22" spans="2:62" x14ac:dyDescent="0.3">
      <c r="BI22" t="s">
        <v>46</v>
      </c>
      <c r="BJ22" s="11">
        <f>BJ21/BB12</f>
        <v>78.141092996173427</v>
      </c>
    </row>
    <row r="23" spans="2:62" x14ac:dyDescent="0.3">
      <c r="BI23" t="s">
        <v>47</v>
      </c>
      <c r="BJ23" s="11">
        <f>Main!D3</f>
        <v>140.91</v>
      </c>
    </row>
    <row r="24" spans="2:62" x14ac:dyDescent="0.3">
      <c r="BI24" s="1" t="s">
        <v>48</v>
      </c>
      <c r="BJ24" s="10">
        <f>BJ22/BJ23-1</f>
        <v>-0.44545388548595966</v>
      </c>
    </row>
    <row r="25" spans="2:62" x14ac:dyDescent="0.3">
      <c r="BI25" t="s">
        <v>49</v>
      </c>
      <c r="BJ25" s="5" t="s">
        <v>71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2021-01-06T08:54:52Z</dcterms:created>
  <dcterms:modified xsi:type="dcterms:W3CDTF">2025-09-09T11:28:56Z</dcterms:modified>
</cp:coreProperties>
</file>