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2B96168-D5CA-4F4F-87B1-DE88D9700F2F}" xr6:coauthVersionLast="47" xr6:coauthVersionMax="47" xr10:uidLastSave="{00000000-0000-0000-0000-000000000000}"/>
  <bookViews>
    <workbookView xWindow="-108" yWindow="-108" windowWidth="23256" windowHeight="12576" activeTab="1" xr2:uid="{22A8C101-2C37-4C84-8F61-6F009BD8F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2" l="1"/>
  <c r="AG7" i="2"/>
  <c r="AH7" i="2" s="1"/>
  <c r="AI7" i="2" s="1"/>
  <c r="AJ7" i="2" s="1"/>
  <c r="AF7" i="2"/>
  <c r="AA8" i="2"/>
  <c r="AA10" i="2" s="1"/>
  <c r="Z7" i="2"/>
  <c r="AA7" i="2" s="1"/>
  <c r="I26" i="2"/>
  <c r="I5" i="2"/>
  <c r="I24" i="2" s="1"/>
  <c r="M26" i="2"/>
  <c r="M23" i="2"/>
  <c r="M5" i="2"/>
  <c r="M24" i="2" s="1"/>
  <c r="J26" i="2"/>
  <c r="J5" i="2"/>
  <c r="J24" i="2" s="1"/>
  <c r="N26" i="2"/>
  <c r="N23" i="2"/>
  <c r="N5" i="2"/>
  <c r="N24" i="2" s="1"/>
  <c r="P26" i="2"/>
  <c r="L26" i="2"/>
  <c r="O26" i="2"/>
  <c r="K26" i="2"/>
  <c r="O24" i="2"/>
  <c r="O23" i="2"/>
  <c r="K24" i="2"/>
  <c r="K5" i="2"/>
  <c r="O5" i="2"/>
  <c r="L24" i="2"/>
  <c r="P23" i="2"/>
  <c r="P24" i="2"/>
  <c r="L5" i="2"/>
  <c r="Z10" i="2"/>
  <c r="Z8" i="2"/>
  <c r="X10" i="2"/>
  <c r="W10" i="2"/>
  <c r="V10" i="2"/>
  <c r="U10" i="2"/>
  <c r="T10" i="2"/>
  <c r="Y10" i="2"/>
  <c r="X8" i="2"/>
  <c r="W8" i="2"/>
  <c r="V8" i="2"/>
  <c r="U8" i="2"/>
  <c r="T8" i="2"/>
  <c r="Y8" i="2"/>
  <c r="P5" i="2"/>
  <c r="AJ20" i="2"/>
  <c r="AI20" i="2"/>
  <c r="AH20" i="2"/>
  <c r="AG20" i="2"/>
  <c r="AF20" i="2"/>
  <c r="AE20" i="2"/>
  <c r="AD20" i="2"/>
  <c r="AC20" i="2"/>
  <c r="AB20" i="2"/>
  <c r="AA20" i="2"/>
  <c r="Z20" i="2"/>
  <c r="D4" i="1"/>
  <c r="Z3" i="2"/>
  <c r="Z23" i="2" s="1"/>
  <c r="AM30" i="2"/>
  <c r="AM27" i="2"/>
  <c r="Y23" i="2"/>
  <c r="Z14" i="2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A12" i="2"/>
  <c r="AB12" i="2" s="1"/>
  <c r="AC12" i="2" s="1"/>
  <c r="AD12" i="2" s="1"/>
  <c r="AE12" i="2" s="1"/>
  <c r="AF12" i="2" s="1"/>
  <c r="AG12" i="2" s="1"/>
  <c r="AH12" i="2" s="1"/>
  <c r="AI12" i="2" s="1"/>
  <c r="AJ12" i="2" s="1"/>
  <c r="Z13" i="2"/>
  <c r="Z15" i="2" s="1"/>
  <c r="AA6" i="2"/>
  <c r="AB6" i="2" s="1"/>
  <c r="Z9" i="2"/>
  <c r="Z6" i="2"/>
  <c r="X25" i="2"/>
  <c r="W25" i="2"/>
  <c r="V25" i="2"/>
  <c r="U25" i="2"/>
  <c r="Y25" i="2"/>
  <c r="X23" i="2"/>
  <c r="W23" i="2"/>
  <c r="V23" i="2"/>
  <c r="U23" i="2"/>
  <c r="T15" i="2"/>
  <c r="T5" i="2"/>
  <c r="T24" i="2" s="1"/>
  <c r="U15" i="2"/>
  <c r="U5" i="2"/>
  <c r="U24" i="2" s="1"/>
  <c r="V15" i="2"/>
  <c r="V5" i="2"/>
  <c r="V24" i="2" s="1"/>
  <c r="W15" i="2"/>
  <c r="W5" i="2"/>
  <c r="W24" i="2" s="1"/>
  <c r="Y15" i="2"/>
  <c r="Y5" i="2"/>
  <c r="Y24" i="2" s="1"/>
  <c r="X15" i="2"/>
  <c r="X5" i="2"/>
  <c r="X24" i="2" s="1"/>
  <c r="D8" i="1"/>
  <c r="D6" i="1"/>
  <c r="D7" i="1"/>
  <c r="D5" i="1"/>
  <c r="D9" i="1" s="1"/>
  <c r="F3" i="1"/>
  <c r="AB8" i="2" l="1"/>
  <c r="Y11" i="2"/>
  <c r="Y26" i="2" s="1"/>
  <c r="AB7" i="2"/>
  <c r="AA25" i="2"/>
  <c r="AA13" i="2"/>
  <c r="AB13" i="2" s="1"/>
  <c r="AC13" i="2" s="1"/>
  <c r="AD13" i="2" s="1"/>
  <c r="AE13" i="2" s="1"/>
  <c r="AF13" i="2" s="1"/>
  <c r="AG13" i="2" s="1"/>
  <c r="AH13" i="2" s="1"/>
  <c r="AI13" i="2" s="1"/>
  <c r="AJ13" i="2" s="1"/>
  <c r="AJ15" i="2" s="1"/>
  <c r="Z25" i="2"/>
  <c r="Z4" i="2"/>
  <c r="Z5" i="2"/>
  <c r="Z24" i="2" s="1"/>
  <c r="AA3" i="2"/>
  <c r="AC3" i="2" s="1"/>
  <c r="AC15" i="2"/>
  <c r="AH15" i="2"/>
  <c r="AD15" i="2"/>
  <c r="AC6" i="2"/>
  <c r="T11" i="2"/>
  <c r="U11" i="2"/>
  <c r="V11" i="2"/>
  <c r="W11" i="2"/>
  <c r="X11" i="2"/>
  <c r="AC8" i="2" l="1"/>
  <c r="AB10" i="2"/>
  <c r="Y16" i="2"/>
  <c r="Y19" i="2" s="1"/>
  <c r="Y21" i="2" s="1"/>
  <c r="AB15" i="2"/>
  <c r="T16" i="2"/>
  <c r="T26" i="2"/>
  <c r="AC7" i="2"/>
  <c r="AB25" i="2"/>
  <c r="X16" i="2"/>
  <c r="X26" i="2"/>
  <c r="W16" i="2"/>
  <c r="W26" i="2"/>
  <c r="AF15" i="2"/>
  <c r="AG15" i="2"/>
  <c r="AI15" i="2"/>
  <c r="V16" i="2"/>
  <c r="V26" i="2"/>
  <c r="AA15" i="2"/>
  <c r="U16" i="2"/>
  <c r="U26" i="2"/>
  <c r="AE15" i="2"/>
  <c r="Z11" i="2"/>
  <c r="Z26" i="2" s="1"/>
  <c r="AA5" i="2"/>
  <c r="AA11" i="2" s="1"/>
  <c r="AA26" i="2" s="1"/>
  <c r="AA23" i="2"/>
  <c r="AB5" i="2"/>
  <c r="AB24" i="2" s="1"/>
  <c r="AB23" i="2"/>
  <c r="AD3" i="2"/>
  <c r="AC23" i="2"/>
  <c r="AD6" i="2"/>
  <c r="AC5" i="2"/>
  <c r="AC24" i="2" s="1"/>
  <c r="AD8" i="2" l="1"/>
  <c r="AC10" i="2"/>
  <c r="Y27" i="2"/>
  <c r="Y28" i="2"/>
  <c r="AB4" i="2"/>
  <c r="AA24" i="2"/>
  <c r="U19" i="2"/>
  <c r="U27" i="2"/>
  <c r="T19" i="2"/>
  <c r="T27" i="2"/>
  <c r="W19" i="2"/>
  <c r="W27" i="2"/>
  <c r="AC25" i="2"/>
  <c r="AD7" i="2"/>
  <c r="AC11" i="2"/>
  <c r="AC26" i="2" s="1"/>
  <c r="V19" i="2"/>
  <c r="V27" i="2"/>
  <c r="X19" i="2"/>
  <c r="X27" i="2"/>
  <c r="AA4" i="2"/>
  <c r="Z16" i="2"/>
  <c r="Z18" i="2" s="1"/>
  <c r="AB11" i="2"/>
  <c r="AB26" i="2" s="1"/>
  <c r="AC4" i="2"/>
  <c r="AA16" i="2"/>
  <c r="AA18" i="2" s="1"/>
  <c r="AE3" i="2"/>
  <c r="AD23" i="2"/>
  <c r="AE6" i="2"/>
  <c r="AD5" i="2"/>
  <c r="AD24" i="2" s="1"/>
  <c r="AE8" i="2" l="1"/>
  <c r="AD10" i="2"/>
  <c r="AD11" i="2" s="1"/>
  <c r="AD26" i="2" s="1"/>
  <c r="AB16" i="2"/>
  <c r="AB18" i="2" s="1"/>
  <c r="V21" i="2"/>
  <c r="V28" i="2"/>
  <c r="U21" i="2"/>
  <c r="U28" i="2"/>
  <c r="AE7" i="2"/>
  <c r="AD25" i="2"/>
  <c r="X21" i="2"/>
  <c r="X28" i="2"/>
  <c r="T21" i="2"/>
  <c r="T28" i="2"/>
  <c r="W21" i="2"/>
  <c r="W28" i="2"/>
  <c r="Z17" i="2"/>
  <c r="Z27" i="2" s="1"/>
  <c r="AA17" i="2"/>
  <c r="AA27" i="2" s="1"/>
  <c r="AF3" i="2"/>
  <c r="AE23" i="2"/>
  <c r="AC16" i="2"/>
  <c r="AD4" i="2"/>
  <c r="AF6" i="2"/>
  <c r="AE5" i="2"/>
  <c r="AE24" i="2" s="1"/>
  <c r="AF8" i="2" l="1"/>
  <c r="AE10" i="2"/>
  <c r="AB17" i="2"/>
  <c r="AB27" i="2" s="1"/>
  <c r="AE25" i="2"/>
  <c r="AD16" i="2"/>
  <c r="AD18" i="2" s="1"/>
  <c r="Z19" i="2"/>
  <c r="Z21" i="2" s="1"/>
  <c r="Z28" i="2"/>
  <c r="AC17" i="2"/>
  <c r="AC27" i="2" s="1"/>
  <c r="AC18" i="2"/>
  <c r="AE4" i="2"/>
  <c r="AE11" i="2"/>
  <c r="AE26" i="2" s="1"/>
  <c r="AA19" i="2"/>
  <c r="AA28" i="2" s="1"/>
  <c r="AG3" i="2"/>
  <c r="AF23" i="2"/>
  <c r="AG6" i="2"/>
  <c r="AF5" i="2"/>
  <c r="AF24" i="2" s="1"/>
  <c r="AG8" i="2" l="1"/>
  <c r="AF10" i="2"/>
  <c r="AB19" i="2"/>
  <c r="AB28" i="2" s="1"/>
  <c r="AE16" i="2"/>
  <c r="AE18" i="2" s="1"/>
  <c r="AF25" i="2"/>
  <c r="AD17" i="2"/>
  <c r="AD27" i="2" s="1"/>
  <c r="AC19" i="2"/>
  <c r="AC28" i="2" s="1"/>
  <c r="AF4" i="2"/>
  <c r="AA21" i="2"/>
  <c r="AF11" i="2"/>
  <c r="AF26" i="2" s="1"/>
  <c r="AH3" i="2"/>
  <c r="AG23" i="2"/>
  <c r="AH6" i="2"/>
  <c r="AG5" i="2"/>
  <c r="AG24" i="2" s="1"/>
  <c r="AH8" i="2" l="1"/>
  <c r="AG10" i="2"/>
  <c r="AG11" i="2" s="1"/>
  <c r="AG26" i="2" s="1"/>
  <c r="AB21" i="2"/>
  <c r="AD19" i="2"/>
  <c r="AD21" i="2" s="1"/>
  <c r="AE17" i="2"/>
  <c r="AE27" i="2" s="1"/>
  <c r="AG25" i="2"/>
  <c r="AC21" i="2"/>
  <c r="AG4" i="2"/>
  <c r="AI3" i="2"/>
  <c r="AH23" i="2"/>
  <c r="AF16" i="2"/>
  <c r="AF17" i="2" s="1"/>
  <c r="AF27" i="2" s="1"/>
  <c r="AI6" i="2"/>
  <c r="AH5" i="2"/>
  <c r="AH24" i="2" s="1"/>
  <c r="AI8" i="2" l="1"/>
  <c r="AH10" i="2"/>
  <c r="AD28" i="2"/>
  <c r="AG16" i="2"/>
  <c r="AG17" i="2" s="1"/>
  <c r="AG27" i="2" s="1"/>
  <c r="AH25" i="2"/>
  <c r="AH11" i="2"/>
  <c r="AE19" i="2"/>
  <c r="AH4" i="2"/>
  <c r="AF18" i="2"/>
  <c r="AF19" i="2" s="1"/>
  <c r="AF28" i="2" s="1"/>
  <c r="AJ3" i="2"/>
  <c r="AJ5" i="2" s="1"/>
  <c r="AJ24" i="2" s="1"/>
  <c r="AI23" i="2"/>
  <c r="AJ6" i="2"/>
  <c r="AI5" i="2"/>
  <c r="AI24" i="2" s="1"/>
  <c r="AJ8" i="2" l="1"/>
  <c r="AJ10" i="2" s="1"/>
  <c r="AI10" i="2"/>
  <c r="AG18" i="2"/>
  <c r="AG19" i="2" s="1"/>
  <c r="AH26" i="2"/>
  <c r="AH16" i="2"/>
  <c r="AH17" i="2" s="1"/>
  <c r="AH27" i="2" s="1"/>
  <c r="AE28" i="2"/>
  <c r="AE21" i="2"/>
  <c r="AJ25" i="2"/>
  <c r="AI25" i="2"/>
  <c r="AF21" i="2"/>
  <c r="AI11" i="2"/>
  <c r="AI26" i="2" s="1"/>
  <c r="AI4" i="2"/>
  <c r="AJ23" i="2"/>
  <c r="AJ4" i="2"/>
  <c r="AJ11" i="2" l="1"/>
  <c r="AJ16" i="2" s="1"/>
  <c r="AJ18" i="2" s="1"/>
  <c r="AH18" i="2"/>
  <c r="AH19" i="2" s="1"/>
  <c r="AI16" i="2"/>
  <c r="AI17" i="2" s="1"/>
  <c r="AI27" i="2" s="1"/>
  <c r="AG21" i="2"/>
  <c r="AG28" i="2"/>
  <c r="AJ17" i="2" l="1"/>
  <c r="AJ27" i="2" s="1"/>
  <c r="AJ26" i="2"/>
  <c r="AI18" i="2"/>
  <c r="AI19" i="2" s="1"/>
  <c r="AH21" i="2"/>
  <c r="AH28" i="2"/>
  <c r="AJ19" i="2" l="1"/>
  <c r="AK19" i="2" s="1"/>
  <c r="AI28" i="2"/>
  <c r="AI21" i="2"/>
  <c r="AJ21" i="2" l="1"/>
  <c r="AJ28" i="2"/>
  <c r="AL19" i="2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AM26" i="2" s="1"/>
  <c r="AM28" i="2" s="1"/>
  <c r="AM29" i="2" s="1"/>
  <c r="AM31" i="2" s="1"/>
</calcChain>
</file>

<file path=xl/sharedStrings.xml><?xml version="1.0" encoding="utf-8"?>
<sst xmlns="http://schemas.openxmlformats.org/spreadsheetml/2006/main" count="65" uniqueCount="60">
  <si>
    <t>LDO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</si>
  <si>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</si>
  <si>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</si>
  <si>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</si>
  <si>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</si>
  <si>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</si>
  <si>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</si>
  <si>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</si>
  <si>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</si>
  <si>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</si>
  <si>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</si>
  <si>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</si>
  <si>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Revenue</t>
  </si>
  <si>
    <t>Cost of sales</t>
  </si>
  <si>
    <t>Gross profit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</si>
  <si>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</si>
  <si>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</si>
  <si>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</si>
  <si>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</si>
  <si>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</si>
  <si>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</si>
  <si>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</si>
  <si>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</si>
  <si>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</si>
  <si>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</si>
  <si>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</si>
  <si>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</si>
  <si>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</si>
  <si>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</si>
  <si>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</si>
  <si>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Other operating income</t>
  </si>
  <si>
    <t>D&amp;A</t>
  </si>
  <si>
    <t>Other operating expenses</t>
  </si>
  <si>
    <t>Operating profit</t>
  </si>
  <si>
    <t>Finance income</t>
  </si>
  <si>
    <t>Finance expense</t>
  </si>
  <si>
    <t>Investment income</t>
  </si>
  <si>
    <t>Net finance expense</t>
  </si>
  <si>
    <t>Pretax profit</t>
  </si>
  <si>
    <t>Total operating expenses</t>
  </si>
  <si>
    <t>Taxes</t>
  </si>
  <si>
    <t>MI</t>
  </si>
  <si>
    <t>Net profit</t>
  </si>
  <si>
    <t>EPS</t>
  </si>
  <si>
    <t>Revenue y/y</t>
  </si>
  <si>
    <t>Gross Margin</t>
  </si>
  <si>
    <t>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</si>
  <si>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</si>
  <si>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</si>
  <si>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</si>
  <si>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</si>
  <si>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</si>
  <si>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</si>
  <si>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</si>
  <si>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</si>
  <si>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</si>
  <si>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</si>
  <si>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</si>
  <si>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Fairly valued</t>
  </si>
  <si>
    <t>Net operating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</si>
</sst>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2" fillId="2" borderId="1" xfId="0" applyFont="1" applyFill="1" applyBorder="1"/>
    <xf numFmtId="3" fontId="2" fillId="2" borderId="1" xfId="0" applyNumberFormat="1" applyFont="1" applyFill="1" applyBorder="1"/>
    <xf numFmtId="3" fontId="3" fillId="2" borderId="1" xfId="0" applyNumberFormat="1" applyFont="1" applyFill="1" applyBorder="1"/>
    <xf numFmtId="2" fontId="3" fillId="2" borderId="1" xfId="0" applyNumberFormat="1" applyFont="1" applyFill="1" applyBorder="1"/>
    <xf numFmtId="9" fontId="3" fillId="2" borderId="1" xfId="0" applyNumberFormat="1" applyFont="1" applyFill="1" applyBorder="1"/>
    <xf numFmtId="164" fontId="3" fillId="2" borderId="1" xfId="0" applyNumberFormat="1" applyFont="1" applyFill="1" applyBorder="1"/>
    <xf numFmtId="9" fontId="2" fillId="2" borderId="1" xfId="0" applyNumberFormat="1" applyFont="1" applyFill="1" applyBorder="1"/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15240</xdr:colOff>
      <xdr:row>0</xdr:row>
      <xdr:rowOff>15240</xdr:rowOff>
    </xdr:from>
    <xdr:to>
      <xdr:col>25</xdr:col>
      <xdr:colOff>15240</xdr:colOff>
      <xdr:row>34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ABA9BE-BDF5-4311-E17B-FB0AF696CB06}"/>
            </a:ext>
          </a:extLst>
        </xdr:cNvPr>
        <xdr:cNvCxnSpPr/>
      </xdr:nvCxnSpPr>
      <xdr:spPr>
        <a:xfrm>
          <a:off x="16162020" y="1524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5CD2-7C34-4F22-A04C-77A646E7C1B3}">
  <dimension ref="B2:G9"/>
  <sheetViews>
    <sheetView workbookViewId="0">
      <selection activeCell="D4" sqref="D4"/>
    </sheetView>
  </sheetViews>
  <sheetFormatPr defaultRowHeight="14.4" x14ac:dyDescent="0.3"/>
  <cols>
    <col min="1" max="3" width="8.88671875" style="1"/>
    <col min="4" max="4" width="10.44140625" style="1" bestFit="1" customWidth="1"/>
    <col min="5" max="7" width="13.5546875" style="10" customWidth="1"/>
    <col min="8" max="16384" width="8.88671875" style="1"/>
  </cols>
  <sheetData>
    <row r="2" spans="2:7" x14ac:dyDescent="0.3">
      <c r="E2" s="10" t="s">
        <v>8</v>
      </c>
      <c r="F2" s="10" t="s">
        <v>9</v>
      </c>
      <c r="G2" s="10" t="s">
        <v>10</v>
      </c>
    </row>
    <row r="3" spans="2:7" x14ac:dyDescent="0.3">
      <c r="B3" s="3" t="s">
        <v>0</v>
      </c>
      <c r="C3" s="1" t="s">
        <v>1</v>
      </c>
      <c r="D3" s="8">
        <v>47.27</v>
      </c>
      <c r="E3" s="11">
        <v>45904</v>
      </c>
      <c r="F3" s="11">
        <f ca="1">TODAY()</f>
        <v>45904</v>
      </c>
      <c r="G3" s="11">
        <v>45868</v>
      </c>
    </row>
    <row r="4" spans="2:7" x14ac:dyDescent="0.3">
      <c r="C4" s="1" t="s">
        <v>2</v>
      </c>
      <c r="D4" s="5">
        <f>576.4</f>
        <v>576.4</v>
      </c>
      <c r="E4" s="10" t="s">
        <v>11</v>
      </c>
    </row>
    <row r="5" spans="2:7" x14ac:dyDescent="0.3">
      <c r="C5" s="1" t="s">
        <v>3</v>
      </c>
      <c r="D5" s="5">
        <f>D3*D4</f>
        <v>27246.428</v>
      </c>
    </row>
    <row r="6" spans="2:7" x14ac:dyDescent="0.3">
      <c r="C6" s="1" t="s">
        <v>4</v>
      </c>
      <c r="D6" s="5">
        <f>2556+1877</f>
        <v>4433</v>
      </c>
      <c r="E6" s="10" t="s">
        <v>11</v>
      </c>
    </row>
    <row r="7" spans="2:7" x14ac:dyDescent="0.3">
      <c r="C7" s="1" t="s">
        <v>5</v>
      </c>
      <c r="D7" s="5">
        <f>2327+2373</f>
        <v>4700</v>
      </c>
      <c r="E7" s="10" t="s">
        <v>11</v>
      </c>
    </row>
    <row r="8" spans="2:7" x14ac:dyDescent="0.3">
      <c r="C8" s="1" t="s">
        <v>6</v>
      </c>
      <c r="D8" s="5">
        <f>D6-D7</f>
        <v>-267</v>
      </c>
    </row>
    <row r="9" spans="2:7" x14ac:dyDescent="0.3">
      <c r="C9" s="1" t="s">
        <v>7</v>
      </c>
      <c r="D9" s="5">
        <f>D5-D8</f>
        <v>27513.428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318-0973-4389-8D9D-A6FE019E4DEA}">
  <dimension ref="B2:EL32"/>
  <sheetViews>
    <sheetView tabSelected="1" workbookViewId="0">
      <pane xSplit="2" ySplit="2" topLeftCell="V6" activePane="bottomRight" state="frozen"/>
      <selection pane="topRight" activeCell="C1" sqref="C1"/>
      <selection pane="bottomLeft" activeCell="A3" sqref="A3"/>
      <selection pane="bottomRight" activeCell="AM32" sqref="AM32"/>
    </sheetView>
  </sheetViews>
  <sheetFormatPr defaultRowHeight="14.4" x14ac:dyDescent="0.3"/>
  <cols>
    <col min="1" max="1" width="8.88671875" style="1"/>
    <col min="2" max="2" width="22.109375" style="1" bestFit="1" customWidth="1"/>
    <col min="3" max="37" width="8.88671875" style="1"/>
    <col min="38" max="38" width="11.88671875" style="1" bestFit="1" customWidth="1"/>
    <col min="39" max="39" width="13.33203125" style="1" customWidth="1"/>
    <col min="40" max="16384" width="8.88671875" style="1"/>
  </cols>
  <sheetData>
    <row r="2" spans="2:36" x14ac:dyDescent="0.3"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11</v>
      </c>
      <c r="O2" s="2" t="s">
        <v>26</v>
      </c>
      <c r="P2" s="2" t="s">
        <v>27</v>
      </c>
      <c r="Q2" s="2" t="s">
        <v>28</v>
      </c>
      <c r="R2" s="2" t="s">
        <v>29</v>
      </c>
      <c r="T2" s="1">
        <v>2019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36" s="3" customFormat="1" x14ac:dyDescent="0.3">
      <c r="B3" s="3" t="s">
        <v>12</v>
      </c>
      <c r="I3" s="4">
        <v>3375</v>
      </c>
      <c r="J3" s="4">
        <v>5022</v>
      </c>
      <c r="K3" s="4">
        <v>3664</v>
      </c>
      <c r="L3" s="4">
        <v>4321</v>
      </c>
      <c r="M3" s="4">
        <v>4091</v>
      </c>
      <c r="N3" s="4">
        <v>5687</v>
      </c>
      <c r="O3" s="4">
        <v>4159</v>
      </c>
      <c r="P3" s="4">
        <v>4760</v>
      </c>
      <c r="T3" s="4">
        <v>13784</v>
      </c>
      <c r="U3" s="4">
        <v>13410</v>
      </c>
      <c r="V3" s="4">
        <v>14135</v>
      </c>
      <c r="W3" s="4">
        <v>14713</v>
      </c>
      <c r="X3" s="4">
        <v>15291</v>
      </c>
      <c r="Y3" s="4">
        <v>17763</v>
      </c>
      <c r="Z3" s="4">
        <f>Y3*1.14</f>
        <v>20249.82</v>
      </c>
      <c r="AA3" s="4">
        <f>Z3*1.1</f>
        <v>22274.802</v>
      </c>
      <c r="AB3" s="4">
        <f>AA3*1.06</f>
        <v>23611.290120000001</v>
      </c>
      <c r="AC3" s="4">
        <f>AB3*1.04</f>
        <v>24555.741724800002</v>
      </c>
      <c r="AD3" s="4">
        <f>AC3*1.03</f>
        <v>25292.413976544001</v>
      </c>
      <c r="AE3" s="4">
        <f>AD3*1.02</f>
        <v>25798.262256074882</v>
      </c>
      <c r="AF3" s="4">
        <f t="shared" ref="AF3:AJ3" si="0">AE3*1.02</f>
        <v>26314.227501196379</v>
      </c>
      <c r="AG3" s="4">
        <f t="shared" si="0"/>
        <v>26840.512051220307</v>
      </c>
      <c r="AH3" s="4">
        <f t="shared" si="0"/>
        <v>27377.322292244713</v>
      </c>
      <c r="AI3" s="4">
        <f t="shared" si="0"/>
        <v>27924.868738089608</v>
      </c>
      <c r="AJ3" s="4">
        <f t="shared" si="0"/>
        <v>28483.3661128514</v>
      </c>
    </row>
    <row r="4" spans="2:36" x14ac:dyDescent="0.3">
      <c r="B4" s="1" t="s">
        <v>13</v>
      </c>
      <c r="I4" s="5">
        <v>3022</v>
      </c>
      <c r="J4" s="5">
        <v>4309</v>
      </c>
      <c r="K4" s="5">
        <v>3319</v>
      </c>
      <c r="L4" s="5">
        <v>3874</v>
      </c>
      <c r="M4" s="5">
        <v>3670</v>
      </c>
      <c r="N4" s="5">
        <v>4904</v>
      </c>
      <c r="O4" s="5">
        <v>3792</v>
      </c>
      <c r="P4" s="5">
        <v>4257</v>
      </c>
      <c r="T4" s="5">
        <v>12136</v>
      </c>
      <c r="U4" s="5">
        <v>11984</v>
      </c>
      <c r="V4" s="5">
        <v>12770</v>
      </c>
      <c r="W4" s="5">
        <v>13154</v>
      </c>
      <c r="X4" s="5">
        <v>13641</v>
      </c>
      <c r="Y4" s="5">
        <v>15747</v>
      </c>
      <c r="Z4" s="5">
        <f>Z3-Z5</f>
        <v>18022.339800000002</v>
      </c>
      <c r="AA4" s="5">
        <f t="shared" ref="AA4:AJ4" si="1">AA3-AA5</f>
        <v>19824.573779999999</v>
      </c>
      <c r="AB4" s="5">
        <f t="shared" si="1"/>
        <v>21014.048206800002</v>
      </c>
      <c r="AC4" s="5">
        <f t="shared" si="1"/>
        <v>21854.610135072002</v>
      </c>
      <c r="AD4" s="5">
        <f t="shared" si="1"/>
        <v>22510.24843912416</v>
      </c>
      <c r="AE4" s="5">
        <f t="shared" si="1"/>
        <v>22960.453407906643</v>
      </c>
      <c r="AF4" s="5">
        <f t="shared" si="1"/>
        <v>23419.662476064776</v>
      </c>
      <c r="AG4" s="5">
        <f t="shared" si="1"/>
        <v>23888.055725586073</v>
      </c>
      <c r="AH4" s="5">
        <f t="shared" si="1"/>
        <v>24365.816840097796</v>
      </c>
      <c r="AI4" s="5">
        <f t="shared" si="1"/>
        <v>24853.133176899752</v>
      </c>
      <c r="AJ4" s="5">
        <f t="shared" si="1"/>
        <v>25350.195840437744</v>
      </c>
    </row>
    <row r="5" spans="2:36" s="3" customFormat="1" x14ac:dyDescent="0.3">
      <c r="B5" s="3" t="s">
        <v>14</v>
      </c>
      <c r="I5" s="4">
        <f t="shared" ref="I5" si="2">I3-I4</f>
        <v>353</v>
      </c>
      <c r="J5" s="4">
        <f t="shared" ref="J5" si="3">J3-J4</f>
        <v>713</v>
      </c>
      <c r="K5" s="4">
        <f t="shared" ref="K5" si="4">K3-K4</f>
        <v>345</v>
      </c>
      <c r="L5" s="4">
        <f t="shared" ref="L5" si="5">L3-L4</f>
        <v>447</v>
      </c>
      <c r="M5" s="4">
        <f t="shared" ref="M5:N5" si="6">M3-M4</f>
        <v>421</v>
      </c>
      <c r="N5" s="4">
        <f t="shared" si="6"/>
        <v>783</v>
      </c>
      <c r="O5" s="4">
        <f t="shared" ref="O5:P5" si="7">O3-O4</f>
        <v>367</v>
      </c>
      <c r="P5" s="4">
        <f t="shared" si="7"/>
        <v>503</v>
      </c>
      <c r="T5" s="4">
        <f t="shared" ref="T5:Y5" si="8">T3-T4</f>
        <v>1648</v>
      </c>
      <c r="U5" s="4">
        <f t="shared" si="8"/>
        <v>1426</v>
      </c>
      <c r="V5" s="4">
        <f t="shared" si="8"/>
        <v>1365</v>
      </c>
      <c r="W5" s="4">
        <f t="shared" si="8"/>
        <v>1559</v>
      </c>
      <c r="X5" s="4">
        <f t="shared" si="8"/>
        <v>1650</v>
      </c>
      <c r="Y5" s="4">
        <f t="shared" si="8"/>
        <v>2016</v>
      </c>
      <c r="Z5" s="4">
        <f>Z3*0.11</f>
        <v>2227.4802</v>
      </c>
      <c r="AA5" s="4">
        <f t="shared" ref="AA5:AJ5" si="9">AA3*0.11</f>
        <v>2450.22822</v>
      </c>
      <c r="AB5" s="4">
        <f t="shared" si="9"/>
        <v>2597.2419132</v>
      </c>
      <c r="AC5" s="4">
        <f t="shared" si="9"/>
        <v>2701.1315897280001</v>
      </c>
      <c r="AD5" s="4">
        <f t="shared" si="9"/>
        <v>2782.1655374198403</v>
      </c>
      <c r="AE5" s="4">
        <f t="shared" si="9"/>
        <v>2837.8088481682371</v>
      </c>
      <c r="AF5" s="4">
        <f t="shared" si="9"/>
        <v>2894.5650251316019</v>
      </c>
      <c r="AG5" s="4">
        <f t="shared" si="9"/>
        <v>2952.456325634234</v>
      </c>
      <c r="AH5" s="4">
        <f t="shared" si="9"/>
        <v>3011.5054521469183</v>
      </c>
      <c r="AI5" s="4">
        <f t="shared" si="9"/>
        <v>3071.735561189857</v>
      </c>
      <c r="AJ5" s="4">
        <f t="shared" si="9"/>
        <v>3133.1702724136539</v>
      </c>
    </row>
    <row r="6" spans="2:36" x14ac:dyDescent="0.3">
      <c r="B6" s="1" t="s">
        <v>30</v>
      </c>
      <c r="P6" s="5"/>
      <c r="T6" s="5">
        <v>-551</v>
      </c>
      <c r="U6" s="5">
        <v>-655</v>
      </c>
      <c r="V6" s="5">
        <v>-573</v>
      </c>
      <c r="W6" s="5">
        <v>-775</v>
      </c>
      <c r="X6" s="5">
        <v>-650</v>
      </c>
      <c r="Y6" s="5">
        <v>-779</v>
      </c>
      <c r="Z6" s="5">
        <f>Y6*1.01</f>
        <v>-786.79</v>
      </c>
      <c r="AA6" s="5">
        <f>Z6*1.02</f>
        <v>-802.5258</v>
      </c>
      <c r="AB6" s="5">
        <f t="shared" ref="AB6:AJ6" si="10">AA6*1.02</f>
        <v>-818.57631600000002</v>
      </c>
      <c r="AC6" s="5">
        <f t="shared" si="10"/>
        <v>-834.94784232000006</v>
      </c>
      <c r="AD6" s="5">
        <f t="shared" si="10"/>
        <v>-851.64679916640011</v>
      </c>
      <c r="AE6" s="5">
        <f t="shared" si="10"/>
        <v>-868.67973514972812</v>
      </c>
      <c r="AF6" s="5">
        <f t="shared" si="10"/>
        <v>-886.05332985272264</v>
      </c>
      <c r="AG6" s="5">
        <f t="shared" si="10"/>
        <v>-903.7743964497771</v>
      </c>
      <c r="AH6" s="5">
        <f t="shared" si="10"/>
        <v>-921.84988437877269</v>
      </c>
      <c r="AI6" s="5">
        <f t="shared" si="10"/>
        <v>-940.2868820663482</v>
      </c>
      <c r="AJ6" s="5">
        <f t="shared" si="10"/>
        <v>-959.09261970767523</v>
      </c>
    </row>
    <row r="7" spans="2:36" x14ac:dyDescent="0.3">
      <c r="B7" s="1" t="s">
        <v>32</v>
      </c>
      <c r="P7" s="5"/>
      <c r="T7" s="5">
        <v>587</v>
      </c>
      <c r="U7" s="5">
        <v>792</v>
      </c>
      <c r="V7" s="5">
        <v>626</v>
      </c>
      <c r="W7" s="5">
        <v>878</v>
      </c>
      <c r="X7" s="5">
        <v>724</v>
      </c>
      <c r="Y7" s="5">
        <v>838</v>
      </c>
      <c r="Z7" s="5">
        <f>Y7*1.05</f>
        <v>879.90000000000009</v>
      </c>
      <c r="AA7" s="5">
        <f>Z7*1.04</f>
        <v>915.09600000000012</v>
      </c>
      <c r="AB7" s="5">
        <f>AA7*1.03</f>
        <v>942.54888000000017</v>
      </c>
      <c r="AC7" s="5">
        <f>AB7*1.02</f>
        <v>961.39985760000013</v>
      </c>
      <c r="AD7" s="5">
        <f t="shared" ref="AD7:AJ7" si="11">AC7*1.02</f>
        <v>980.62785475200019</v>
      </c>
      <c r="AE7" s="5">
        <f t="shared" si="11"/>
        <v>1000.2404118470403</v>
      </c>
      <c r="AF7" s="5">
        <f>AE7*1.01</f>
        <v>1010.2428159655107</v>
      </c>
      <c r="AG7" s="5">
        <f t="shared" ref="AG7:AJ7" si="12">AF7*1.01</f>
        <v>1020.3452441251658</v>
      </c>
      <c r="AH7" s="5">
        <f t="shared" si="12"/>
        <v>1030.5486965664174</v>
      </c>
      <c r="AI7" s="5">
        <f t="shared" si="12"/>
        <v>1040.8541835320816</v>
      </c>
      <c r="AJ7" s="5">
        <f t="shared" si="12"/>
        <v>1051.2627253674025</v>
      </c>
    </row>
    <row r="8" spans="2:36" x14ac:dyDescent="0.3">
      <c r="B8" s="1" t="s">
        <v>59</v>
      </c>
      <c r="P8" s="5"/>
      <c r="T8" s="5">
        <f t="shared" ref="T8:X8" si="13">SUM(T6:T7)</f>
        <v>36</v>
      </c>
      <c r="U8" s="5">
        <f t="shared" si="13"/>
        <v>137</v>
      </c>
      <c r="V8" s="5">
        <f t="shared" si="13"/>
        <v>53</v>
      </c>
      <c r="W8" s="5">
        <f t="shared" si="13"/>
        <v>103</v>
      </c>
      <c r="X8" s="5">
        <f t="shared" si="13"/>
        <v>74</v>
      </c>
      <c r="Y8" s="5">
        <f>SUM(Y6:Y7)</f>
        <v>59</v>
      </c>
      <c r="Z8" s="5">
        <f>Y8*1.05</f>
        <v>61.95</v>
      </c>
      <c r="AA8" s="5">
        <f>AA6+AA7</f>
        <v>112.57020000000011</v>
      </c>
      <c r="AB8" s="5">
        <f t="shared" ref="AA8:AJ8" si="14">AA8*1.05</f>
        <v>118.19871000000012</v>
      </c>
      <c r="AC8" s="5">
        <f t="shared" si="14"/>
        <v>124.10864550000014</v>
      </c>
      <c r="AD8" s="5">
        <f t="shared" si="14"/>
        <v>130.31407777500016</v>
      </c>
      <c r="AE8" s="5">
        <f t="shared" si="14"/>
        <v>136.82978166375017</v>
      </c>
      <c r="AF8" s="5">
        <f t="shared" si="14"/>
        <v>143.67127074693769</v>
      </c>
      <c r="AG8" s="5">
        <f t="shared" si="14"/>
        <v>150.85483428428458</v>
      </c>
      <c r="AH8" s="5">
        <f t="shared" si="14"/>
        <v>158.39757599849881</v>
      </c>
      <c r="AI8" s="5">
        <f t="shared" si="14"/>
        <v>166.31745479842377</v>
      </c>
      <c r="AJ8" s="5">
        <f t="shared" si="14"/>
        <v>174.63332753834496</v>
      </c>
    </row>
    <row r="9" spans="2:36" x14ac:dyDescent="0.3">
      <c r="B9" s="1" t="s">
        <v>31</v>
      </c>
      <c r="P9" s="5"/>
      <c r="T9" s="5">
        <v>619</v>
      </c>
      <c r="U9" s="5">
        <v>795</v>
      </c>
      <c r="V9" s="5">
        <v>525</v>
      </c>
      <c r="W9" s="5">
        <v>627</v>
      </c>
      <c r="X9" s="5">
        <v>645</v>
      </c>
      <c r="Y9" s="5">
        <v>777</v>
      </c>
      <c r="Z9" s="5">
        <f t="shared" ref="Z9" si="15">Y9*1.14</f>
        <v>885.78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</row>
    <row r="10" spans="2:36" x14ac:dyDescent="0.3">
      <c r="B10" s="1" t="s">
        <v>39</v>
      </c>
      <c r="P10" s="5"/>
      <c r="T10" s="5">
        <f t="shared" ref="T10:X10" si="16">SUM(T8:T9)</f>
        <v>655</v>
      </c>
      <c r="U10" s="5">
        <f t="shared" si="16"/>
        <v>932</v>
      </c>
      <c r="V10" s="5">
        <f t="shared" si="16"/>
        <v>578</v>
      </c>
      <c r="W10" s="5">
        <f t="shared" si="16"/>
        <v>730</v>
      </c>
      <c r="X10" s="5">
        <f t="shared" si="16"/>
        <v>719</v>
      </c>
      <c r="Y10" s="5">
        <f>SUM(Y8:Y9)</f>
        <v>836</v>
      </c>
      <c r="Z10" s="5">
        <f t="shared" ref="Z10:AJ10" si="17">SUM(Z8:Z9)</f>
        <v>947.73</v>
      </c>
      <c r="AA10" s="5">
        <f t="shared" si="17"/>
        <v>112.57020000000011</v>
      </c>
      <c r="AB10" s="5">
        <f t="shared" si="17"/>
        <v>118.19871000000012</v>
      </c>
      <c r="AC10" s="5">
        <f t="shared" si="17"/>
        <v>124.10864550000014</v>
      </c>
      <c r="AD10" s="5">
        <f t="shared" si="17"/>
        <v>130.31407777500016</v>
      </c>
      <c r="AE10" s="5">
        <f t="shared" si="17"/>
        <v>136.82978166375017</v>
      </c>
      <c r="AF10" s="5">
        <f t="shared" si="17"/>
        <v>143.67127074693769</v>
      </c>
      <c r="AG10" s="5">
        <f t="shared" si="17"/>
        <v>150.85483428428458</v>
      </c>
      <c r="AH10" s="5">
        <f t="shared" si="17"/>
        <v>158.39757599849881</v>
      </c>
      <c r="AI10" s="5">
        <f t="shared" si="17"/>
        <v>166.31745479842377</v>
      </c>
      <c r="AJ10" s="5">
        <f t="shared" si="17"/>
        <v>174.63332753834496</v>
      </c>
    </row>
    <row r="11" spans="2:36" s="3" customFormat="1" x14ac:dyDescent="0.3">
      <c r="B11" s="3" t="s">
        <v>33</v>
      </c>
      <c r="I11" s="3">
        <v>169</v>
      </c>
      <c r="J11" s="3">
        <v>548</v>
      </c>
      <c r="K11" s="3">
        <v>188</v>
      </c>
      <c r="L11" s="3">
        <v>222</v>
      </c>
      <c r="M11" s="3">
        <v>263</v>
      </c>
      <c r="N11" s="3">
        <v>635</v>
      </c>
      <c r="O11" s="3">
        <v>211</v>
      </c>
      <c r="P11" s="4">
        <v>243</v>
      </c>
      <c r="T11" s="4">
        <f>T5-T10</f>
        <v>993</v>
      </c>
      <c r="U11" s="4">
        <f>U5-U10</f>
        <v>494</v>
      </c>
      <c r="V11" s="4">
        <f>V5-V10</f>
        <v>787</v>
      </c>
      <c r="W11" s="4">
        <f>W5-W10</f>
        <v>829</v>
      </c>
      <c r="X11" s="4">
        <f>X5-X10</f>
        <v>931</v>
      </c>
      <c r="Y11" s="4">
        <f>Y5-Y10</f>
        <v>1180</v>
      </c>
      <c r="Z11" s="4">
        <f>Z5-Z10</f>
        <v>1279.7501999999999</v>
      </c>
      <c r="AA11" s="4">
        <f>AA5-AA10</f>
        <v>2337.6580199999999</v>
      </c>
      <c r="AB11" s="4">
        <f>AB5-AB10</f>
        <v>2479.0432031999999</v>
      </c>
      <c r="AC11" s="4">
        <f>AC5-AC10</f>
        <v>2577.0229442280001</v>
      </c>
      <c r="AD11" s="4">
        <f>AD5-AD10</f>
        <v>2651.8514596448404</v>
      </c>
      <c r="AE11" s="4">
        <f>AE5-AE10</f>
        <v>2700.979066504487</v>
      </c>
      <c r="AF11" s="4">
        <f>AF5-AF10</f>
        <v>2750.8937543846641</v>
      </c>
      <c r="AG11" s="4">
        <f>AG5-AG10</f>
        <v>2801.6014913499494</v>
      </c>
      <c r="AH11" s="4">
        <f>AH5-AH10</f>
        <v>2853.1078761484196</v>
      </c>
      <c r="AI11" s="4">
        <f>AI5-AI10</f>
        <v>2905.4181063914334</v>
      </c>
      <c r="AJ11" s="4">
        <f>AJ5-AJ10</f>
        <v>2958.536944875309</v>
      </c>
    </row>
    <row r="12" spans="2:36" x14ac:dyDescent="0.3">
      <c r="B12" s="1" t="s">
        <v>34</v>
      </c>
      <c r="P12" s="5"/>
      <c r="T12" s="5">
        <v>-168</v>
      </c>
      <c r="U12" s="5">
        <v>-147</v>
      </c>
      <c r="V12" s="5">
        <v>-137</v>
      </c>
      <c r="W12" s="5">
        <v>-392</v>
      </c>
      <c r="X12" s="5">
        <v>-166</v>
      </c>
      <c r="Y12" s="5">
        <v>-534</v>
      </c>
      <c r="Z12" s="5">
        <v>-350</v>
      </c>
      <c r="AA12" s="5">
        <f>Z12*1.02</f>
        <v>-357</v>
      </c>
      <c r="AB12" s="5">
        <f t="shared" ref="AB12:AJ12" si="18">AA12*1.02</f>
        <v>-364.14</v>
      </c>
      <c r="AC12" s="5">
        <f t="shared" si="18"/>
        <v>-371.4228</v>
      </c>
      <c r="AD12" s="5">
        <f t="shared" si="18"/>
        <v>-378.85125599999998</v>
      </c>
      <c r="AE12" s="5">
        <f t="shared" si="18"/>
        <v>-386.42828112000001</v>
      </c>
      <c r="AF12" s="5">
        <f t="shared" si="18"/>
        <v>-394.15684674240003</v>
      </c>
      <c r="AG12" s="5">
        <f t="shared" si="18"/>
        <v>-402.03998367724802</v>
      </c>
      <c r="AH12" s="5">
        <f t="shared" si="18"/>
        <v>-410.08078335079301</v>
      </c>
      <c r="AI12" s="5">
        <f t="shared" si="18"/>
        <v>-418.28239901780887</v>
      </c>
      <c r="AJ12" s="5">
        <f t="shared" si="18"/>
        <v>-426.64804699816506</v>
      </c>
    </row>
    <row r="13" spans="2:36" x14ac:dyDescent="0.3">
      <c r="B13" s="1" t="s">
        <v>35</v>
      </c>
      <c r="P13" s="5"/>
      <c r="T13" s="5">
        <v>475</v>
      </c>
      <c r="U13" s="5">
        <v>414</v>
      </c>
      <c r="V13" s="5">
        <v>309</v>
      </c>
      <c r="W13" s="5">
        <v>380</v>
      </c>
      <c r="X13" s="5">
        <v>421</v>
      </c>
      <c r="Y13" s="5">
        <v>389</v>
      </c>
      <c r="Z13" s="5">
        <f>Y13*1.02</f>
        <v>396.78000000000003</v>
      </c>
      <c r="AA13" s="5">
        <f t="shared" ref="AA13:AJ13" si="19">Z13*1.02</f>
        <v>404.71560000000005</v>
      </c>
      <c r="AB13" s="5">
        <f t="shared" si="19"/>
        <v>412.80991200000005</v>
      </c>
      <c r="AC13" s="5">
        <f t="shared" si="19"/>
        <v>421.06611024000006</v>
      </c>
      <c r="AD13" s="5">
        <f t="shared" si="19"/>
        <v>429.48743244480005</v>
      </c>
      <c r="AE13" s="5">
        <f t="shared" si="19"/>
        <v>438.07718109369608</v>
      </c>
      <c r="AF13" s="5">
        <f t="shared" si="19"/>
        <v>446.83872471557004</v>
      </c>
      <c r="AG13" s="5">
        <f t="shared" si="19"/>
        <v>455.77549920988145</v>
      </c>
      <c r="AH13" s="5">
        <f t="shared" si="19"/>
        <v>464.89100919407906</v>
      </c>
      <c r="AI13" s="5">
        <f t="shared" si="19"/>
        <v>474.18882937796064</v>
      </c>
      <c r="AJ13" s="5">
        <f t="shared" si="19"/>
        <v>483.67260596551989</v>
      </c>
    </row>
    <row r="14" spans="2:36" x14ac:dyDescent="0.3">
      <c r="B14" s="1" t="s">
        <v>36</v>
      </c>
      <c r="P14" s="5"/>
      <c r="T14" s="5">
        <v>-183</v>
      </c>
      <c r="U14" s="5">
        <v>-26</v>
      </c>
      <c r="V14" s="5">
        <v>-138</v>
      </c>
      <c r="W14" s="5">
        <v>-142</v>
      </c>
      <c r="X14" s="5">
        <v>-148</v>
      </c>
      <c r="Y14" s="5">
        <v>-121</v>
      </c>
      <c r="Z14" s="5">
        <f>Y14*1.02</f>
        <v>-123.42</v>
      </c>
      <c r="AA14" s="5">
        <f t="shared" ref="AA14:AJ14" si="20">Z14*1.02</f>
        <v>-125.8884</v>
      </c>
      <c r="AB14" s="5">
        <f t="shared" si="20"/>
        <v>-128.40616800000001</v>
      </c>
      <c r="AC14" s="5">
        <f t="shared" si="20"/>
        <v>-130.97429136000002</v>
      </c>
      <c r="AD14" s="5">
        <f t="shared" si="20"/>
        <v>-133.59377718720003</v>
      </c>
      <c r="AE14" s="5">
        <f t="shared" si="20"/>
        <v>-136.26565273094403</v>
      </c>
      <c r="AF14" s="5">
        <f t="shared" si="20"/>
        <v>-138.99096578556291</v>
      </c>
      <c r="AG14" s="5">
        <f t="shared" si="20"/>
        <v>-141.77078510127416</v>
      </c>
      <c r="AH14" s="5">
        <f t="shared" si="20"/>
        <v>-144.60620080329963</v>
      </c>
      <c r="AI14" s="5">
        <f t="shared" si="20"/>
        <v>-147.49832481936562</v>
      </c>
      <c r="AJ14" s="5">
        <f t="shared" si="20"/>
        <v>-150.44829131575293</v>
      </c>
    </row>
    <row r="15" spans="2:36" x14ac:dyDescent="0.3">
      <c r="B15" s="1" t="s">
        <v>37</v>
      </c>
      <c r="P15" s="5"/>
      <c r="T15" s="5">
        <f t="shared" ref="T15:Y15" si="21">SUM(T12:T14)</f>
        <v>124</v>
      </c>
      <c r="U15" s="5">
        <f t="shared" si="21"/>
        <v>241</v>
      </c>
      <c r="V15" s="5">
        <f t="shared" si="21"/>
        <v>34</v>
      </c>
      <c r="W15" s="5">
        <f t="shared" si="21"/>
        <v>-154</v>
      </c>
      <c r="X15" s="5">
        <f t="shared" si="21"/>
        <v>107</v>
      </c>
      <c r="Y15" s="5">
        <f t="shared" si="21"/>
        <v>-266</v>
      </c>
      <c r="Z15" s="5">
        <f t="shared" ref="Z15:AJ15" si="22">SUM(Z12:Z14)</f>
        <v>-76.639999999999972</v>
      </c>
      <c r="AA15" s="5">
        <f t="shared" si="22"/>
        <v>-78.172799999999953</v>
      </c>
      <c r="AB15" s="5">
        <f t="shared" si="22"/>
        <v>-79.736255999999941</v>
      </c>
      <c r="AC15" s="5">
        <f t="shared" si="22"/>
        <v>-81.330981119999961</v>
      </c>
      <c r="AD15" s="5">
        <f t="shared" si="22"/>
        <v>-82.957600742399961</v>
      </c>
      <c r="AE15" s="5">
        <f t="shared" si="22"/>
        <v>-84.616752757247951</v>
      </c>
      <c r="AF15" s="5">
        <f t="shared" si="22"/>
        <v>-86.309087812392903</v>
      </c>
      <c r="AG15" s="5">
        <f t="shared" si="22"/>
        <v>-88.035269568640729</v>
      </c>
      <c r="AH15" s="5">
        <f t="shared" si="22"/>
        <v>-89.795974960013581</v>
      </c>
      <c r="AI15" s="5">
        <f t="shared" si="22"/>
        <v>-91.591894459213847</v>
      </c>
      <c r="AJ15" s="5">
        <f t="shared" si="22"/>
        <v>-93.42373234839809</v>
      </c>
    </row>
    <row r="16" spans="2:36" s="3" customFormat="1" x14ac:dyDescent="0.3">
      <c r="B16" s="3" t="s">
        <v>38</v>
      </c>
      <c r="P16" s="4"/>
      <c r="T16" s="4">
        <f t="shared" ref="T16:Y16" si="23">T11-T15</f>
        <v>869</v>
      </c>
      <c r="U16" s="4">
        <f t="shared" si="23"/>
        <v>253</v>
      </c>
      <c r="V16" s="4">
        <f t="shared" si="23"/>
        <v>753</v>
      </c>
      <c r="W16" s="4">
        <f t="shared" si="23"/>
        <v>983</v>
      </c>
      <c r="X16" s="4">
        <f t="shared" si="23"/>
        <v>824</v>
      </c>
      <c r="Y16" s="4">
        <f t="shared" si="23"/>
        <v>1446</v>
      </c>
      <c r="Z16" s="4">
        <f t="shared" ref="Z16:AJ16" si="24">Z11-Z15</f>
        <v>1356.3901999999998</v>
      </c>
      <c r="AA16" s="4">
        <f t="shared" si="24"/>
        <v>2415.8308199999997</v>
      </c>
      <c r="AB16" s="4">
        <f t="shared" si="24"/>
        <v>2558.7794592</v>
      </c>
      <c r="AC16" s="4">
        <f t="shared" si="24"/>
        <v>2658.3539253480003</v>
      </c>
      <c r="AD16" s="4">
        <f t="shared" si="24"/>
        <v>2734.8090603872402</v>
      </c>
      <c r="AE16" s="4">
        <f t="shared" si="24"/>
        <v>2785.595819261735</v>
      </c>
      <c r="AF16" s="4">
        <f t="shared" si="24"/>
        <v>2837.2028421970572</v>
      </c>
      <c r="AG16" s="4">
        <f t="shared" si="24"/>
        <v>2889.63676091859</v>
      </c>
      <c r="AH16" s="4">
        <f t="shared" si="24"/>
        <v>2942.9038511084332</v>
      </c>
      <c r="AI16" s="4">
        <f t="shared" si="24"/>
        <v>2997.0100008506474</v>
      </c>
      <c r="AJ16" s="4">
        <f t="shared" si="24"/>
        <v>3051.9606772237071</v>
      </c>
    </row>
    <row r="17" spans="2:142" x14ac:dyDescent="0.3">
      <c r="B17" s="1" t="s">
        <v>40</v>
      </c>
      <c r="P17" s="5"/>
      <c r="T17" s="5">
        <v>147</v>
      </c>
      <c r="U17" s="5">
        <v>12</v>
      </c>
      <c r="V17" s="5">
        <v>166</v>
      </c>
      <c r="W17" s="5">
        <v>51</v>
      </c>
      <c r="X17" s="5">
        <v>129</v>
      </c>
      <c r="Y17" s="5">
        <v>289</v>
      </c>
      <c r="Z17" s="5">
        <f>Z16*0.18</f>
        <v>244.15023599999995</v>
      </c>
      <c r="AA17" s="5">
        <f t="shared" ref="AA17:AJ17" si="25">AA16*0.18</f>
        <v>434.84954759999994</v>
      </c>
      <c r="AB17" s="5">
        <f t="shared" si="25"/>
        <v>460.58030265599996</v>
      </c>
      <c r="AC17" s="5">
        <f t="shared" si="25"/>
        <v>478.50370656264005</v>
      </c>
      <c r="AD17" s="5">
        <f t="shared" si="25"/>
        <v>492.26563086970322</v>
      </c>
      <c r="AE17" s="5">
        <f t="shared" si="25"/>
        <v>501.40724746711226</v>
      </c>
      <c r="AF17" s="5">
        <f t="shared" si="25"/>
        <v>510.69651159547027</v>
      </c>
      <c r="AG17" s="5">
        <f t="shared" si="25"/>
        <v>520.13461696534614</v>
      </c>
      <c r="AH17" s="5">
        <f t="shared" si="25"/>
        <v>529.72269319951795</v>
      </c>
      <c r="AI17" s="5">
        <f t="shared" si="25"/>
        <v>539.46180015311654</v>
      </c>
      <c r="AJ17" s="5">
        <f t="shared" si="25"/>
        <v>549.35292190026723</v>
      </c>
    </row>
    <row r="18" spans="2:142" x14ac:dyDescent="0.3">
      <c r="B18" s="1" t="s">
        <v>41</v>
      </c>
      <c r="P18" s="5"/>
      <c r="T18" s="5">
        <v>-101</v>
      </c>
      <c r="U18" s="5">
        <v>2</v>
      </c>
      <c r="V18" s="5">
        <v>1</v>
      </c>
      <c r="W18" s="5">
        <v>5</v>
      </c>
      <c r="X18" s="5">
        <v>37</v>
      </c>
      <c r="Y18" s="5">
        <v>85</v>
      </c>
      <c r="Z18" s="5">
        <f>Z16*0.07</f>
        <v>94.947313999999992</v>
      </c>
      <c r="AA18" s="5">
        <f t="shared" ref="AA18:AJ18" si="26">AA16*0.07</f>
        <v>169.10815739999998</v>
      </c>
      <c r="AB18" s="5">
        <f t="shared" si="26"/>
        <v>179.11456214400002</v>
      </c>
      <c r="AC18" s="5">
        <f t="shared" si="26"/>
        <v>186.08477477436003</v>
      </c>
      <c r="AD18" s="5">
        <f t="shared" si="26"/>
        <v>191.43663422710682</v>
      </c>
      <c r="AE18" s="5">
        <f t="shared" si="26"/>
        <v>194.99170734832146</v>
      </c>
      <c r="AF18" s="5">
        <f t="shared" si="26"/>
        <v>198.60419895379403</v>
      </c>
      <c r="AG18" s="5">
        <f t="shared" si="26"/>
        <v>202.27457326430132</v>
      </c>
      <c r="AH18" s="5">
        <f t="shared" si="26"/>
        <v>206.00326957759034</v>
      </c>
      <c r="AI18" s="5">
        <f t="shared" si="26"/>
        <v>209.79070005954534</v>
      </c>
      <c r="AJ18" s="5">
        <f t="shared" si="26"/>
        <v>213.63724740565951</v>
      </c>
    </row>
    <row r="19" spans="2:142" s="3" customFormat="1" x14ac:dyDescent="0.3">
      <c r="B19" s="3" t="s">
        <v>42</v>
      </c>
      <c r="I19" s="3">
        <v>82</v>
      </c>
      <c r="J19" s="3">
        <v>380</v>
      </c>
      <c r="K19" s="3">
        <v>93</v>
      </c>
      <c r="L19" s="3">
        <v>79</v>
      </c>
      <c r="M19" s="3">
        <v>153</v>
      </c>
      <c r="N19" s="3">
        <v>395</v>
      </c>
      <c r="O19" s="3">
        <v>115</v>
      </c>
      <c r="P19" s="4">
        <v>124</v>
      </c>
      <c r="T19" s="4">
        <f t="shared" ref="T19:Y19" si="27">T16-T17-T18</f>
        <v>823</v>
      </c>
      <c r="U19" s="4">
        <f t="shared" si="27"/>
        <v>239</v>
      </c>
      <c r="V19" s="4">
        <f t="shared" si="27"/>
        <v>586</v>
      </c>
      <c r="W19" s="4">
        <f t="shared" si="27"/>
        <v>927</v>
      </c>
      <c r="X19" s="4">
        <f t="shared" si="27"/>
        <v>658</v>
      </c>
      <c r="Y19" s="4">
        <f t="shared" si="27"/>
        <v>1072</v>
      </c>
      <c r="Z19" s="4">
        <f t="shared" ref="Z19:AJ19" si="28">Z16-Z17-Z18</f>
        <v>1017.2926499999999</v>
      </c>
      <c r="AA19" s="4">
        <f t="shared" si="28"/>
        <v>1811.8731149999999</v>
      </c>
      <c r="AB19" s="4">
        <f t="shared" si="28"/>
        <v>1919.0845944000002</v>
      </c>
      <c r="AC19" s="4">
        <f t="shared" si="28"/>
        <v>1993.765444011</v>
      </c>
      <c r="AD19" s="4">
        <f t="shared" si="28"/>
        <v>2051.10679529043</v>
      </c>
      <c r="AE19" s="4">
        <f t="shared" si="28"/>
        <v>2089.1968644463009</v>
      </c>
      <c r="AF19" s="4">
        <f t="shared" si="28"/>
        <v>2127.9021316477929</v>
      </c>
      <c r="AG19" s="4">
        <f t="shared" si="28"/>
        <v>2167.2275706889427</v>
      </c>
      <c r="AH19" s="4">
        <f t="shared" si="28"/>
        <v>2207.177888331325</v>
      </c>
      <c r="AI19" s="4">
        <f t="shared" si="28"/>
        <v>2247.7575006379852</v>
      </c>
      <c r="AJ19" s="4">
        <f t="shared" si="28"/>
        <v>2288.9705079177807</v>
      </c>
      <c r="AK19" s="3">
        <f>AJ19*(1+$AM$24)</f>
        <v>2266.0808028386027</v>
      </c>
      <c r="AL19" s="3">
        <f t="shared" ref="AL19:CW19" si="29">AK19*(1+$AM$24)</f>
        <v>2243.4199948102168</v>
      </c>
      <c r="AM19" s="3">
        <f t="shared" si="29"/>
        <v>2220.9857948621147</v>
      </c>
      <c r="AN19" s="3">
        <f t="shared" si="29"/>
        <v>2198.7759369134938</v>
      </c>
      <c r="AO19" s="3">
        <f t="shared" si="29"/>
        <v>2176.7881775443589</v>
      </c>
      <c r="AP19" s="3">
        <f t="shared" si="29"/>
        <v>2155.0202957689153</v>
      </c>
      <c r="AQ19" s="3">
        <f t="shared" si="29"/>
        <v>2133.4700928112261</v>
      </c>
      <c r="AR19" s="3">
        <f t="shared" si="29"/>
        <v>2112.1353918831137</v>
      </c>
      <c r="AS19" s="3">
        <f t="shared" si="29"/>
        <v>2091.0140379642826</v>
      </c>
      <c r="AT19" s="3">
        <f t="shared" si="29"/>
        <v>2070.1038975846395</v>
      </c>
      <c r="AU19" s="3">
        <f t="shared" si="29"/>
        <v>2049.4028586087929</v>
      </c>
      <c r="AV19" s="3">
        <f t="shared" si="29"/>
        <v>2028.9088300227049</v>
      </c>
      <c r="AW19" s="3">
        <f t="shared" si="29"/>
        <v>2008.6197417224778</v>
      </c>
      <c r="AX19" s="3">
        <f t="shared" si="29"/>
        <v>1988.5335443052529</v>
      </c>
      <c r="AY19" s="3">
        <f t="shared" si="29"/>
        <v>1968.6482088622004</v>
      </c>
      <c r="AZ19" s="3">
        <f t="shared" si="29"/>
        <v>1948.9617267735784</v>
      </c>
      <c r="BA19" s="3">
        <f t="shared" si="29"/>
        <v>1929.4721095058426</v>
      </c>
      <c r="BB19" s="3">
        <f t="shared" si="29"/>
        <v>1910.177388410784</v>
      </c>
      <c r="BC19" s="3">
        <f t="shared" si="29"/>
        <v>1891.0756145266762</v>
      </c>
      <c r="BD19" s="3">
        <f t="shared" si="29"/>
        <v>1872.1648583814094</v>
      </c>
      <c r="BE19" s="3">
        <f t="shared" si="29"/>
        <v>1853.4432097975953</v>
      </c>
      <c r="BF19" s="3">
        <f t="shared" si="29"/>
        <v>1834.9087776996193</v>
      </c>
      <c r="BG19" s="3">
        <f t="shared" si="29"/>
        <v>1816.5596899226232</v>
      </c>
      <c r="BH19" s="3">
        <f t="shared" si="29"/>
        <v>1798.3940930233969</v>
      </c>
      <c r="BI19" s="3">
        <f t="shared" si="29"/>
        <v>1780.4101520931629</v>
      </c>
      <c r="BJ19" s="3">
        <f t="shared" si="29"/>
        <v>1762.6060505722312</v>
      </c>
      <c r="BK19" s="3">
        <f t="shared" si="29"/>
        <v>1744.9799900665089</v>
      </c>
      <c r="BL19" s="3">
        <f t="shared" si="29"/>
        <v>1727.5301901658438</v>
      </c>
      <c r="BM19" s="3">
        <f t="shared" si="29"/>
        <v>1710.2548882641854</v>
      </c>
      <c r="BN19" s="3">
        <f t="shared" si="29"/>
        <v>1693.1523393815435</v>
      </c>
      <c r="BO19" s="3">
        <f t="shared" si="29"/>
        <v>1676.220815987728</v>
      </c>
      <c r="BP19" s="3">
        <f t="shared" si="29"/>
        <v>1659.4586078278508</v>
      </c>
      <c r="BQ19" s="3">
        <f t="shared" si="29"/>
        <v>1642.8640217495722</v>
      </c>
      <c r="BR19" s="3">
        <f t="shared" si="29"/>
        <v>1626.4353815320765</v>
      </c>
      <c r="BS19" s="3">
        <f t="shared" si="29"/>
        <v>1610.1710277167556</v>
      </c>
      <c r="BT19" s="3">
        <f t="shared" si="29"/>
        <v>1594.0693174395881</v>
      </c>
      <c r="BU19" s="3">
        <f t="shared" si="29"/>
        <v>1578.1286242651922</v>
      </c>
      <c r="BV19" s="3">
        <f t="shared" si="29"/>
        <v>1562.3473380225403</v>
      </c>
      <c r="BW19" s="3">
        <f t="shared" si="29"/>
        <v>1546.7238646423148</v>
      </c>
      <c r="BX19" s="3">
        <f t="shared" si="29"/>
        <v>1531.2566259958917</v>
      </c>
      <c r="BY19" s="3">
        <f t="shared" si="29"/>
        <v>1515.9440597359328</v>
      </c>
      <c r="BZ19" s="3">
        <f t="shared" si="29"/>
        <v>1500.7846191385734</v>
      </c>
      <c r="CA19" s="3">
        <f t="shared" si="29"/>
        <v>1485.7767729471875</v>
      </c>
      <c r="CB19" s="3">
        <f t="shared" si="29"/>
        <v>1470.9190052177157</v>
      </c>
      <c r="CC19" s="3">
        <f t="shared" si="29"/>
        <v>1456.2098151655387</v>
      </c>
      <c r="CD19" s="3">
        <f t="shared" si="29"/>
        <v>1441.6477170138833</v>
      </c>
      <c r="CE19" s="3">
        <f t="shared" si="29"/>
        <v>1427.2312398437443</v>
      </c>
      <c r="CF19" s="3">
        <f t="shared" si="29"/>
        <v>1412.9589274453069</v>
      </c>
      <c r="CG19" s="3">
        <f t="shared" si="29"/>
        <v>1398.8293381708538</v>
      </c>
      <c r="CH19" s="3">
        <f t="shared" si="29"/>
        <v>1384.8410447891454</v>
      </c>
      <c r="CI19" s="3">
        <f t="shared" si="29"/>
        <v>1370.992634341254</v>
      </c>
      <c r="CJ19" s="3">
        <f t="shared" si="29"/>
        <v>1357.2827079978415</v>
      </c>
      <c r="CK19" s="3">
        <f t="shared" si="29"/>
        <v>1343.7098809178631</v>
      </c>
      <c r="CL19" s="3">
        <f t="shared" si="29"/>
        <v>1330.2727821086844</v>
      </c>
      <c r="CM19" s="3">
        <f t="shared" si="29"/>
        <v>1316.9700542875976</v>
      </c>
      <c r="CN19" s="3">
        <f t="shared" si="29"/>
        <v>1303.8003537447216</v>
      </c>
      <c r="CO19" s="3">
        <f t="shared" si="29"/>
        <v>1290.7623502072745</v>
      </c>
      <c r="CP19" s="3">
        <f t="shared" si="29"/>
        <v>1277.8547267052018</v>
      </c>
      <c r="CQ19" s="3">
        <f t="shared" si="29"/>
        <v>1265.0761794381497</v>
      </c>
      <c r="CR19" s="3">
        <f t="shared" si="29"/>
        <v>1252.4254176437682</v>
      </c>
      <c r="CS19" s="3">
        <f t="shared" si="29"/>
        <v>1239.9011634673307</v>
      </c>
      <c r="CT19" s="3">
        <f t="shared" si="29"/>
        <v>1227.5021518326573</v>
      </c>
      <c r="CU19" s="3">
        <f t="shared" si="29"/>
        <v>1215.2271303143307</v>
      </c>
      <c r="CV19" s="3">
        <f t="shared" si="29"/>
        <v>1203.0748590111873</v>
      </c>
      <c r="CW19" s="3">
        <f t="shared" si="29"/>
        <v>1191.0441104210754</v>
      </c>
      <c r="CX19" s="3">
        <f t="shared" ref="CX19:EL19" si="30">CW19*(1+$AM$24)</f>
        <v>1179.1336693168646</v>
      </c>
      <c r="CY19" s="3">
        <f t="shared" si="30"/>
        <v>1167.3423326236959</v>
      </c>
      <c r="CZ19" s="3">
        <f t="shared" si="30"/>
        <v>1155.6689092974589</v>
      </c>
      <c r="DA19" s="3">
        <f t="shared" si="30"/>
        <v>1144.1122202044842</v>
      </c>
      <c r="DB19" s="3">
        <f t="shared" si="30"/>
        <v>1132.6710980024393</v>
      </c>
      <c r="DC19" s="3">
        <f t="shared" si="30"/>
        <v>1121.3443870224148</v>
      </c>
      <c r="DD19" s="3">
        <f t="shared" si="30"/>
        <v>1110.1309431521906</v>
      </c>
      <c r="DE19" s="3">
        <f t="shared" si="30"/>
        <v>1099.0296337206687</v>
      </c>
      <c r="DF19" s="3">
        <f t="shared" si="30"/>
        <v>1088.039337383462</v>
      </c>
      <c r="DG19" s="3">
        <f t="shared" si="30"/>
        <v>1077.1589440096275</v>
      </c>
      <c r="DH19" s="3">
        <f t="shared" si="30"/>
        <v>1066.3873545695312</v>
      </c>
      <c r="DI19" s="3">
        <f t="shared" si="30"/>
        <v>1055.7234810238358</v>
      </c>
      <c r="DJ19" s="3">
        <f t="shared" si="30"/>
        <v>1045.1662462135973</v>
      </c>
      <c r="DK19" s="3">
        <f t="shared" si="30"/>
        <v>1034.7145837514613</v>
      </c>
      <c r="DL19" s="3">
        <f t="shared" si="30"/>
        <v>1024.3674379139468</v>
      </c>
      <c r="DM19" s="3">
        <f t="shared" si="30"/>
        <v>1014.1237635348073</v>
      </c>
      <c r="DN19" s="3">
        <f t="shared" si="30"/>
        <v>1003.9825258994592</v>
      </c>
      <c r="DO19" s="3">
        <f t="shared" si="30"/>
        <v>993.94270064046464</v>
      </c>
      <c r="DP19" s="3">
        <f t="shared" si="30"/>
        <v>984.00327363405995</v>
      </c>
      <c r="DQ19" s="3">
        <f t="shared" si="30"/>
        <v>974.16324089771933</v>
      </c>
      <c r="DR19" s="3">
        <f t="shared" si="30"/>
        <v>964.42160848874209</v>
      </c>
      <c r="DS19" s="3">
        <f t="shared" si="30"/>
        <v>954.77739240385472</v>
      </c>
      <c r="DT19" s="3">
        <f t="shared" si="30"/>
        <v>945.22961847981617</v>
      </c>
      <c r="DU19" s="3">
        <f t="shared" si="30"/>
        <v>935.77732229501805</v>
      </c>
      <c r="DV19" s="3">
        <f t="shared" si="30"/>
        <v>926.41954907206787</v>
      </c>
      <c r="DW19" s="3">
        <f t="shared" si="30"/>
        <v>917.15535358134719</v>
      </c>
      <c r="DX19" s="3">
        <f t="shared" si="30"/>
        <v>907.98380004553371</v>
      </c>
      <c r="DY19" s="3">
        <f t="shared" si="30"/>
        <v>898.9039620450784</v>
      </c>
      <c r="DZ19" s="3">
        <f t="shared" si="30"/>
        <v>889.91492242462766</v>
      </c>
      <c r="EA19" s="3">
        <f t="shared" si="30"/>
        <v>881.01577320038143</v>
      </c>
      <c r="EB19" s="3">
        <f t="shared" si="30"/>
        <v>872.20561546837757</v>
      </c>
      <c r="EC19" s="3">
        <f t="shared" si="30"/>
        <v>863.48355931369383</v>
      </c>
      <c r="ED19" s="3">
        <f t="shared" si="30"/>
        <v>854.8487237205569</v>
      </c>
      <c r="EE19" s="3">
        <f t="shared" si="30"/>
        <v>846.30023648335134</v>
      </c>
      <c r="EF19" s="3">
        <f t="shared" si="30"/>
        <v>837.83723411851781</v>
      </c>
      <c r="EG19" s="3">
        <f t="shared" si="30"/>
        <v>829.45886177733257</v>
      </c>
      <c r="EH19" s="3">
        <f t="shared" si="30"/>
        <v>821.16427315955923</v>
      </c>
      <c r="EI19" s="3">
        <f t="shared" si="30"/>
        <v>812.95263042796364</v>
      </c>
      <c r="EJ19" s="3">
        <f t="shared" si="30"/>
        <v>804.82310412368395</v>
      </c>
      <c r="EK19" s="3">
        <f t="shared" si="30"/>
        <v>796.77487308244713</v>
      </c>
      <c r="EL19" s="3">
        <f t="shared" si="30"/>
        <v>788.80712435162263</v>
      </c>
    </row>
    <row r="20" spans="2:142" x14ac:dyDescent="0.3">
      <c r="B20" s="1" t="s">
        <v>2</v>
      </c>
      <c r="P20" s="5"/>
      <c r="T20" s="5">
        <v>575.6</v>
      </c>
      <c r="U20" s="5">
        <v>575.6</v>
      </c>
      <c r="V20" s="5">
        <v>575.6</v>
      </c>
      <c r="W20" s="5">
        <v>575.6</v>
      </c>
      <c r="X20" s="5">
        <v>575.6</v>
      </c>
      <c r="Y20" s="5">
        <v>575.6</v>
      </c>
      <c r="Z20" s="5">
        <f>576.4</f>
        <v>576.4</v>
      </c>
      <c r="AA20" s="5">
        <f>576.4</f>
        <v>576.4</v>
      </c>
      <c r="AB20" s="5">
        <f>576.4</f>
        <v>576.4</v>
      </c>
      <c r="AC20" s="5">
        <f>576.4</f>
        <v>576.4</v>
      </c>
      <c r="AD20" s="5">
        <f>576.4</f>
        <v>576.4</v>
      </c>
      <c r="AE20" s="5">
        <f>576.4</f>
        <v>576.4</v>
      </c>
      <c r="AF20" s="5">
        <f>576.4</f>
        <v>576.4</v>
      </c>
      <c r="AG20" s="5">
        <f>576.4</f>
        <v>576.4</v>
      </c>
      <c r="AH20" s="5">
        <f>576.4</f>
        <v>576.4</v>
      </c>
      <c r="AI20" s="5">
        <f>576.4</f>
        <v>576.4</v>
      </c>
      <c r="AJ20" s="5">
        <f>576.4</f>
        <v>576.4</v>
      </c>
    </row>
    <row r="21" spans="2:142" x14ac:dyDescent="0.3">
      <c r="B21" s="1" t="s">
        <v>43</v>
      </c>
      <c r="P21" s="6"/>
      <c r="T21" s="6">
        <f t="shared" ref="T21:Y21" si="31">T19/T20</f>
        <v>1.4298123697011813</v>
      </c>
      <c r="U21" s="6">
        <f t="shared" si="31"/>
        <v>0.41521890201528838</v>
      </c>
      <c r="V21" s="6">
        <f t="shared" si="31"/>
        <v>1.0180681028492007</v>
      </c>
      <c r="W21" s="6">
        <f t="shared" si="31"/>
        <v>1.6104933981931897</v>
      </c>
      <c r="X21" s="6">
        <f t="shared" si="31"/>
        <v>1.1431549687282836</v>
      </c>
      <c r="Y21" s="6">
        <f t="shared" si="31"/>
        <v>1.862404447533009</v>
      </c>
      <c r="Z21" s="6">
        <f t="shared" ref="Z21:AJ21" si="32">Z19/Z20</f>
        <v>1.7649074427480915</v>
      </c>
      <c r="AA21" s="6">
        <f t="shared" si="32"/>
        <v>3.1434301092990977</v>
      </c>
      <c r="AB21" s="6">
        <f t="shared" si="32"/>
        <v>3.3294319819569749</v>
      </c>
      <c r="AC21" s="6">
        <f t="shared" si="32"/>
        <v>3.458996259561069</v>
      </c>
      <c r="AD21" s="6">
        <f t="shared" si="32"/>
        <v>3.5584781320097676</v>
      </c>
      <c r="AE21" s="6">
        <f t="shared" si="32"/>
        <v>3.6245608335293218</v>
      </c>
      <c r="AF21" s="6">
        <f t="shared" si="32"/>
        <v>3.6917108460232355</v>
      </c>
      <c r="AG21" s="6">
        <f t="shared" si="32"/>
        <v>3.7599367985581935</v>
      </c>
      <c r="AH21" s="6">
        <f t="shared" si="32"/>
        <v>3.8292468569245752</v>
      </c>
      <c r="AI21" s="6">
        <f t="shared" si="32"/>
        <v>3.8996486825780452</v>
      </c>
      <c r="AJ21" s="6">
        <f t="shared" si="32"/>
        <v>3.9711493891703342</v>
      </c>
    </row>
    <row r="23" spans="2:142" x14ac:dyDescent="0.3">
      <c r="B23" s="1" t="s">
        <v>44</v>
      </c>
      <c r="I23" s="7"/>
      <c r="J23" s="7"/>
      <c r="M23" s="7">
        <f>M3/I3-1</f>
        <v>0.2121481481481482</v>
      </c>
      <c r="N23" s="7">
        <f>N3/J3-1</f>
        <v>0.13241736360015932</v>
      </c>
      <c r="O23" s="7">
        <f>O3/K3-1</f>
        <v>0.13509825327510927</v>
      </c>
      <c r="P23" s="7">
        <f>P3/L3-1</f>
        <v>0.10159685258042117</v>
      </c>
      <c r="U23" s="7">
        <f>U3/T3-1</f>
        <v>-2.7132907719094601E-2</v>
      </c>
      <c r="V23" s="7">
        <f>V3/U3-1</f>
        <v>5.4064131245339375E-2</v>
      </c>
      <c r="W23" s="7">
        <f>W3/V3-1</f>
        <v>4.0891404315528845E-2</v>
      </c>
      <c r="X23" s="7">
        <f>X3/W3-1</f>
        <v>3.9284986066743688E-2</v>
      </c>
      <c r="Y23" s="7">
        <f>Y3/X3-1</f>
        <v>0.1616637237590739</v>
      </c>
      <c r="Z23" s="7">
        <f>Z3/Y3-1</f>
        <v>0.1399999999999999</v>
      </c>
      <c r="AA23" s="7">
        <f>AA3/Z3-1</f>
        <v>0.10000000000000009</v>
      </c>
      <c r="AB23" s="7">
        <f>AB3/AA3-1</f>
        <v>6.0000000000000053E-2</v>
      </c>
      <c r="AC23" s="7">
        <f>AC3/AB3-1</f>
        <v>4.0000000000000036E-2</v>
      </c>
      <c r="AD23" s="7">
        <f>AD3/AC3-1</f>
        <v>3.0000000000000027E-2</v>
      </c>
      <c r="AE23" s="7">
        <f>AE3/AD3-1</f>
        <v>2.0000000000000018E-2</v>
      </c>
      <c r="AF23" s="7">
        <f>AF3/AE3-1</f>
        <v>2.0000000000000018E-2</v>
      </c>
      <c r="AG23" s="7">
        <f>AG3/AF3-1</f>
        <v>2.0000000000000018E-2</v>
      </c>
      <c r="AH23" s="7">
        <f>AH3/AG3-1</f>
        <v>2.0000000000000018E-2</v>
      </c>
      <c r="AI23" s="7">
        <f>AI3/AH3-1</f>
        <v>2.0000000000000018E-2</v>
      </c>
      <c r="AJ23" s="7">
        <f>AJ3/AI3-1</f>
        <v>2.0000000000000018E-2</v>
      </c>
    </row>
    <row r="24" spans="2:142" x14ac:dyDescent="0.3">
      <c r="B24" s="1" t="s">
        <v>45</v>
      </c>
      <c r="I24" s="7">
        <f>I5/I3</f>
        <v>0.1045925925925926</v>
      </c>
      <c r="J24" s="7">
        <f>J5/J3</f>
        <v>0.1419753086419753</v>
      </c>
      <c r="K24" s="7">
        <f>K5/K3</f>
        <v>9.4159388646288214E-2</v>
      </c>
      <c r="L24" s="7">
        <f>L5/L3</f>
        <v>0.10344827586206896</v>
      </c>
      <c r="M24" s="7">
        <f>M5/M3</f>
        <v>0.10290882424835003</v>
      </c>
      <c r="N24" s="7">
        <f>N5/N3</f>
        <v>0.13768243362053806</v>
      </c>
      <c r="O24" s="7">
        <f>O5/O3</f>
        <v>8.8242365953354177E-2</v>
      </c>
      <c r="P24" s="7">
        <f>P5/P3</f>
        <v>0.10567226890756302</v>
      </c>
      <c r="T24" s="7">
        <f>T5/T3</f>
        <v>0.1195589088798607</v>
      </c>
      <c r="U24" s="7">
        <f>U5/U3</f>
        <v>0.10633855331841909</v>
      </c>
      <c r="V24" s="7">
        <f>V5/V3</f>
        <v>9.6568800848956485E-2</v>
      </c>
      <c r="W24" s="7">
        <f>W5/W3</f>
        <v>0.10596071501393325</v>
      </c>
      <c r="X24" s="7">
        <f>X5/X3</f>
        <v>0.10790661173239161</v>
      </c>
      <c r="Y24" s="7">
        <f>Y5/Y3</f>
        <v>0.11349434217193041</v>
      </c>
      <c r="Z24" s="7">
        <f>Z5/Z3</f>
        <v>0.11</v>
      </c>
      <c r="AA24" s="7">
        <f>AA5/AA3</f>
        <v>0.11</v>
      </c>
      <c r="AB24" s="7">
        <f>AB5/AB3</f>
        <v>0.10999999999999999</v>
      </c>
      <c r="AC24" s="7">
        <f>AC5/AC3</f>
        <v>0.11</v>
      </c>
      <c r="AD24" s="7">
        <f>AD5/AD3</f>
        <v>0.11000000000000001</v>
      </c>
      <c r="AE24" s="7">
        <f>AE5/AE3</f>
        <v>0.11</v>
      </c>
      <c r="AF24" s="7">
        <f>AF5/AF3</f>
        <v>0.11000000000000001</v>
      </c>
      <c r="AG24" s="7">
        <f>AG5/AG3</f>
        <v>0.11000000000000001</v>
      </c>
      <c r="AH24" s="7">
        <f>AH5/AH3</f>
        <v>0.11</v>
      </c>
      <c r="AI24" s="7">
        <f>AI5/AI3</f>
        <v>0.11</v>
      </c>
      <c r="AJ24" s="7">
        <f>AJ5/AJ3</f>
        <v>0.11</v>
      </c>
      <c r="AL24" s="1" t="s">
        <v>49</v>
      </c>
      <c r="AM24" s="7">
        <v>-0.01</v>
      </c>
    </row>
    <row r="25" spans="2:142" x14ac:dyDescent="0.3">
      <c r="B25" s="1" t="s">
        <v>46</v>
      </c>
      <c r="T25" s="7"/>
      <c r="U25" s="7">
        <f>U7/T7-1</f>
        <v>0.34923339011925036</v>
      </c>
      <c r="V25" s="7">
        <f>V7/U7-1</f>
        <v>-0.20959595959595956</v>
      </c>
      <c r="W25" s="7">
        <f>W7/V7-1</f>
        <v>0.40255591054313089</v>
      </c>
      <c r="X25" s="7">
        <f>X7/W7-1</f>
        <v>-0.17539863325740324</v>
      </c>
      <c r="Y25" s="7">
        <f>Y7/X7-1</f>
        <v>0.15745856353591159</v>
      </c>
      <c r="Z25" s="7">
        <f>Z7/Y7-1</f>
        <v>5.0000000000000044E-2</v>
      </c>
      <c r="AA25" s="7">
        <f>AA7/Z7-1</f>
        <v>4.0000000000000036E-2</v>
      </c>
      <c r="AB25" s="7">
        <f>AB7/AA7-1</f>
        <v>3.0000000000000027E-2</v>
      </c>
      <c r="AC25" s="7">
        <f>AC7/AB7-1</f>
        <v>2.0000000000000018E-2</v>
      </c>
      <c r="AD25" s="7">
        <f>AD7/AC7-1</f>
        <v>2.0000000000000018E-2</v>
      </c>
      <c r="AE25" s="7">
        <f>AE7/AD7-1</f>
        <v>2.0000000000000018E-2</v>
      </c>
      <c r="AF25" s="7">
        <f>AF7/AE7-1</f>
        <v>1.0000000000000009E-2</v>
      </c>
      <c r="AG25" s="7">
        <f>AG7/AF7-1</f>
        <v>1.0000000000000009E-2</v>
      </c>
      <c r="AH25" s="7">
        <f>AH7/AG7-1</f>
        <v>1.0000000000000009E-2</v>
      </c>
      <c r="AI25" s="7">
        <f>AI7/AH7-1</f>
        <v>1.0000000000000009E-2</v>
      </c>
      <c r="AJ25" s="7">
        <f>AJ7/AI7-1</f>
        <v>1.0000000000000009E-2</v>
      </c>
      <c r="AL25" s="1" t="s">
        <v>50</v>
      </c>
      <c r="AM25" s="7">
        <v>0.08</v>
      </c>
    </row>
    <row r="26" spans="2:142" x14ac:dyDescent="0.3">
      <c r="B26" s="1" t="s">
        <v>47</v>
      </c>
      <c r="I26" s="7">
        <f>I11/I3</f>
        <v>5.0074074074074076E-2</v>
      </c>
      <c r="J26" s="7">
        <f>J11/J3</f>
        <v>0.10911987256073277</v>
      </c>
      <c r="K26" s="7">
        <f>K11/K3</f>
        <v>5.1310043668122272E-2</v>
      </c>
      <c r="L26" s="7">
        <f>L11/L3</f>
        <v>5.1376996065725523E-2</v>
      </c>
      <c r="M26" s="7">
        <f>M11/M3</f>
        <v>6.4287460278660474E-2</v>
      </c>
      <c r="N26" s="7">
        <f>N11/N3</f>
        <v>0.11165816775101108</v>
      </c>
      <c r="O26" s="7">
        <f>O11/O3</f>
        <v>5.0733349362827605E-2</v>
      </c>
      <c r="P26" s="7">
        <f>P11/P3</f>
        <v>5.1050420168067226E-2</v>
      </c>
      <c r="T26" s="7">
        <f>T11/T3</f>
        <v>7.2040046430644225E-2</v>
      </c>
      <c r="U26" s="7">
        <f>U11/U3</f>
        <v>3.6838180462341538E-2</v>
      </c>
      <c r="V26" s="7">
        <f>V11/V3</f>
        <v>5.567739653342766E-2</v>
      </c>
      <c r="W26" s="7">
        <f>W11/W3</f>
        <v>5.6344729151090872E-2</v>
      </c>
      <c r="X26" s="7">
        <f>X11/X3</f>
        <v>6.0885488195670655E-2</v>
      </c>
      <c r="Y26" s="7">
        <f>Y11/Y3</f>
        <v>6.6430220120475142E-2</v>
      </c>
      <c r="Z26" s="7">
        <f>Z11/Z3</f>
        <v>6.3198102501651865E-2</v>
      </c>
      <c r="AA26" s="7">
        <f>AA11/AA3</f>
        <v>0.10494629851255242</v>
      </c>
      <c r="AB26" s="7">
        <f>AB11/AB3</f>
        <v>0.10499397494167929</v>
      </c>
      <c r="AC26" s="7">
        <f>AC11/AC3</f>
        <v>0.1049458400853493</v>
      </c>
      <c r="AD26" s="7">
        <f>AD11/AD3</f>
        <v>0.10484770105788035</v>
      </c>
      <c r="AE26" s="7">
        <f>AE11/AE3</f>
        <v>0.10469616285370036</v>
      </c>
      <c r="AF26" s="7">
        <f>AF11/AF3</f>
        <v>0.10454016764351506</v>
      </c>
      <c r="AG26" s="7">
        <f>AG11/AG3</f>
        <v>0.10437958433891258</v>
      </c>
      <c r="AH26" s="7">
        <f>AH11/AH3</f>
        <v>0.10421427799593941</v>
      </c>
      <c r="AI26" s="7">
        <f>AI11/AI3</f>
        <v>0.10404410970170234</v>
      </c>
      <c r="AJ26" s="7">
        <f>AJ11/AJ3</f>
        <v>0.10386893645763476</v>
      </c>
      <c r="AL26" s="1" t="s">
        <v>51</v>
      </c>
      <c r="AM26" s="5">
        <f>NPV(AM25,Z19:EL19)</f>
        <v>24533.850076089067</v>
      </c>
    </row>
    <row r="27" spans="2:142" x14ac:dyDescent="0.3">
      <c r="B27" s="1" t="s">
        <v>40</v>
      </c>
      <c r="T27" s="7">
        <f t="shared" ref="T27:X27" si="33">T17/T16</f>
        <v>0.16915995397008055</v>
      </c>
      <c r="U27" s="7">
        <f t="shared" si="33"/>
        <v>4.7430830039525688E-2</v>
      </c>
      <c r="V27" s="7">
        <f t="shared" si="33"/>
        <v>0.22045152722443559</v>
      </c>
      <c r="W27" s="7">
        <f t="shared" si="33"/>
        <v>5.188199389623601E-2</v>
      </c>
      <c r="X27" s="7">
        <f t="shared" si="33"/>
        <v>0.15655339805825244</v>
      </c>
      <c r="Y27" s="7">
        <f>Y17/Y16</f>
        <v>0.19986168741355465</v>
      </c>
      <c r="Z27" s="7">
        <f t="shared" ref="Z27:AJ27" si="34">Z17/Z16</f>
        <v>0.18</v>
      </c>
      <c r="AA27" s="7">
        <f t="shared" si="34"/>
        <v>0.18</v>
      </c>
      <c r="AB27" s="7">
        <f t="shared" si="34"/>
        <v>0.18</v>
      </c>
      <c r="AC27" s="7">
        <f t="shared" si="34"/>
        <v>0.18</v>
      </c>
      <c r="AD27" s="7">
        <f t="shared" si="34"/>
        <v>0.18</v>
      </c>
      <c r="AE27" s="7">
        <f t="shared" si="34"/>
        <v>0.18</v>
      </c>
      <c r="AF27" s="7">
        <f t="shared" si="34"/>
        <v>0.18</v>
      </c>
      <c r="AG27" s="7">
        <f t="shared" si="34"/>
        <v>0.18</v>
      </c>
      <c r="AH27" s="7">
        <f t="shared" si="34"/>
        <v>0.18</v>
      </c>
      <c r="AI27" s="7">
        <f t="shared" si="34"/>
        <v>0.18</v>
      </c>
      <c r="AJ27" s="7">
        <f t="shared" si="34"/>
        <v>0.18</v>
      </c>
      <c r="AL27" s="1" t="s">
        <v>52</v>
      </c>
      <c r="AM27" s="5">
        <f>Main!D8</f>
        <v>-267</v>
      </c>
    </row>
    <row r="28" spans="2:142" x14ac:dyDescent="0.3">
      <c r="B28" s="1" t="s">
        <v>48</v>
      </c>
      <c r="T28" s="7">
        <f>T19/T3</f>
        <v>5.9706906558328499E-2</v>
      </c>
      <c r="U28" s="7">
        <f>U19/U3</f>
        <v>1.7822520507084265E-2</v>
      </c>
      <c r="V28" s="7">
        <f>V19/V3</f>
        <v>4.145737530951539E-2</v>
      </c>
      <c r="W28" s="7">
        <f>W19/W3</f>
        <v>6.3005505335417655E-2</v>
      </c>
      <c r="X28" s="7">
        <f>X19/X3</f>
        <v>4.3031848799947682E-2</v>
      </c>
      <c r="Y28" s="7">
        <f>Y19/Y3</f>
        <v>6.0350166075550299E-2</v>
      </c>
      <c r="Z28" s="7">
        <f>Z19/Z3</f>
        <v>5.023712062625741E-2</v>
      </c>
      <c r="AA28" s="7">
        <f>AA19/AA3</f>
        <v>8.1341828088976942E-2</v>
      </c>
      <c r="AB28" s="7">
        <f>AB19/AB3</f>
        <v>8.1278260723857479E-2</v>
      </c>
      <c r="AC28" s="7">
        <f>AC19/AC3</f>
        <v>8.119345228319462E-2</v>
      </c>
      <c r="AD28" s="7">
        <f>AD19/AD3</f>
        <v>8.1095730806581431E-2</v>
      </c>
      <c r="AE28" s="7">
        <f>AE19/AE3</f>
        <v>8.0982077153446422E-2</v>
      </c>
      <c r="AF28" s="7">
        <f>AF19/AF3</f>
        <v>8.0865080745807477E-2</v>
      </c>
      <c r="AG28" s="7">
        <f>AG19/AG3</f>
        <v>8.0744643267355601E-2</v>
      </c>
      <c r="AH28" s="7">
        <f>AH19/AH3</f>
        <v>8.0620663510125729E-2</v>
      </c>
      <c r="AI28" s="7">
        <f>AI19/AI3</f>
        <v>8.0493037289447913E-2</v>
      </c>
      <c r="AJ28" s="7">
        <f>AJ19/AJ3</f>
        <v>8.0361657356397248E-2</v>
      </c>
      <c r="AL28" s="1" t="s">
        <v>53</v>
      </c>
      <c r="AM28" s="5">
        <f>AM26+AM27</f>
        <v>24266.850076089067</v>
      </c>
    </row>
    <row r="29" spans="2:142" x14ac:dyDescent="0.3">
      <c r="AL29" s="1" t="s">
        <v>54</v>
      </c>
      <c r="AM29" s="8">
        <f>AM28/AJ20</f>
        <v>42.10071144359658</v>
      </c>
    </row>
    <row r="30" spans="2:142" x14ac:dyDescent="0.3">
      <c r="AL30" s="1" t="s">
        <v>55</v>
      </c>
      <c r="AM30" s="8">
        <f>Main!D3</f>
        <v>47.27</v>
      </c>
    </row>
    <row r="31" spans="2:142" x14ac:dyDescent="0.3">
      <c r="AL31" s="3" t="s">
        <v>56</v>
      </c>
      <c r="AM31" s="9">
        <f>AM29/AM30-1</f>
        <v>-0.10935664388414268</v>
      </c>
    </row>
    <row r="32" spans="2:142" x14ac:dyDescent="0.3">
      <c r="AL32" s="1" t="s">
        <v>57</v>
      </c>
      <c r="AM32" s="2" t="s">
        <v>58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2025-03-20T12:22:44Z</dcterms:created>
  <dcterms:modified xsi:type="dcterms:W3CDTF">2025-09-04T15:30:04Z</dcterms:modified>
</cp:coreProperties>
</file>