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E8FE619-CF00-4115-A818-16CF5045EE81}" xr6:coauthVersionLast="47" xr6:coauthVersionMax="47" xr10:uidLastSave="{00000000-0000-0000-0000-000000000000}"/>
  <bookViews>
    <workbookView xWindow="-108" yWindow="-108" windowWidth="23256" windowHeight="12576" activeTab="1" xr2:uid="{BFE532A1-2353-49AA-A72E-D2C0AD0DD88D}"/>
  </bookViews>
  <sheets>
    <sheet name="Main" sheetId="1" r:id="rId1"/>
    <sheet name="Model" sheetId="2" r:id="rId2"/>
    <sheet name="Earn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T20" i="2" l="1"/>
  <c r="BH3" i="2"/>
  <c r="AL5" i="2"/>
  <c r="D7" i="1"/>
  <c r="D6" i="1"/>
  <c r="AV22" i="2"/>
  <c r="AU22" i="2"/>
  <c r="AT22" i="2"/>
  <c r="AS22" i="2"/>
  <c r="AV21" i="2"/>
  <c r="AU21" i="2"/>
  <c r="AT21" i="2"/>
  <c r="AS21" i="2"/>
  <c r="AV20" i="2"/>
  <c r="AU20" i="2"/>
  <c r="AT20" i="2"/>
  <c r="AS20" i="2"/>
  <c r="AV17" i="2"/>
  <c r="AU17" i="2"/>
  <c r="AT17" i="2"/>
  <c r="AS17" i="2"/>
  <c r="AR21" i="2"/>
  <c r="AU14" i="2"/>
  <c r="AU5" i="2"/>
  <c r="AU9" i="2" s="1"/>
  <c r="AU11" i="2" s="1"/>
  <c r="AU13" i="2" s="1"/>
  <c r="AU24" i="2" s="1"/>
  <c r="AR14" i="2"/>
  <c r="AR5" i="2"/>
  <c r="AR9" i="2" s="1"/>
  <c r="AR11" i="2" s="1"/>
  <c r="AR13" i="2" s="1"/>
  <c r="AT14" i="2"/>
  <c r="AT5" i="2"/>
  <c r="AT9" i="2" s="1"/>
  <c r="AT11" i="2" s="1"/>
  <c r="AT13" i="2" s="1"/>
  <c r="AS14" i="2"/>
  <c r="AS5" i="2"/>
  <c r="AS9" i="2" s="1"/>
  <c r="AS11" i="2" s="1"/>
  <c r="AS13" i="2" s="1"/>
  <c r="AS24" i="2" s="1"/>
  <c r="AX22" i="2"/>
  <c r="AW22" i="2"/>
  <c r="AX21" i="2"/>
  <c r="AW21" i="2"/>
  <c r="AX20" i="2"/>
  <c r="AW20" i="2"/>
  <c r="AX17" i="2"/>
  <c r="AW17" i="2"/>
  <c r="AV14" i="2"/>
  <c r="AV5" i="2"/>
  <c r="AV9" i="2" s="1"/>
  <c r="AV11" i="2" s="1"/>
  <c r="AV13" i="2" s="1"/>
  <c r="AV24" i="2" s="1"/>
  <c r="AW14" i="2"/>
  <c r="AW5" i="2"/>
  <c r="AW9" i="2" s="1"/>
  <c r="AW11" i="2" s="1"/>
  <c r="AW13" i="2" s="1"/>
  <c r="AW24" i="2" s="1"/>
  <c r="AX14" i="2"/>
  <c r="AX5" i="2"/>
  <c r="AX9" i="2" s="1"/>
  <c r="AX11" i="2" s="1"/>
  <c r="AX13" i="2" s="1"/>
  <c r="AK12" i="2"/>
  <c r="AK5" i="2"/>
  <c r="BQ14" i="2"/>
  <c r="BP14" i="2"/>
  <c r="BO14" i="2"/>
  <c r="BN14" i="2"/>
  <c r="BM14" i="2"/>
  <c r="BL14" i="2"/>
  <c r="BK14" i="2"/>
  <c r="BJ14" i="2"/>
  <c r="BI14" i="2"/>
  <c r="BH14" i="2"/>
  <c r="BG14" i="2"/>
  <c r="AL14" i="2"/>
  <c r="AK14" i="2"/>
  <c r="D4" i="1"/>
  <c r="P14" i="3"/>
  <c r="P13" i="3"/>
  <c r="P12" i="3"/>
  <c r="O15" i="3"/>
  <c r="O14" i="3"/>
  <c r="O13" i="3"/>
  <c r="O12" i="3"/>
  <c r="N15" i="3"/>
  <c r="N14" i="3"/>
  <c r="N13" i="3"/>
  <c r="N12" i="3"/>
  <c r="M15" i="3"/>
  <c r="M14" i="3"/>
  <c r="M13" i="3"/>
  <c r="M12" i="3"/>
  <c r="L15" i="3"/>
  <c r="L14" i="3"/>
  <c r="L13" i="3"/>
  <c r="L12" i="3"/>
  <c r="W8" i="3"/>
  <c r="V8" i="3"/>
  <c r="U8" i="3"/>
  <c r="T8" i="3"/>
  <c r="S8" i="3"/>
  <c r="R8" i="3"/>
  <c r="W7" i="3"/>
  <c r="V7" i="3"/>
  <c r="U7" i="3"/>
  <c r="T7" i="3"/>
  <c r="S7" i="3"/>
  <c r="R7" i="3"/>
  <c r="W6" i="3"/>
  <c r="V6" i="3"/>
  <c r="U6" i="3"/>
  <c r="T6" i="3"/>
  <c r="S6" i="3"/>
  <c r="R6" i="3"/>
  <c r="W5" i="3"/>
  <c r="V5" i="3"/>
  <c r="U5" i="3"/>
  <c r="T5" i="3"/>
  <c r="S5" i="3"/>
  <c r="R5" i="3"/>
  <c r="AR19" i="2" l="1"/>
  <c r="AU19" i="2"/>
  <c r="AT15" i="2"/>
  <c r="AU23" i="2"/>
  <c r="AS18" i="2"/>
  <c r="AS19" i="2"/>
  <c r="AS15" i="2"/>
  <c r="AR18" i="2"/>
  <c r="AV19" i="2"/>
  <c r="AV23" i="2"/>
  <c r="AT18" i="2"/>
  <c r="AT24" i="2"/>
  <c r="AR23" i="2"/>
  <c r="AU18" i="2"/>
  <c r="AR15" i="2"/>
  <c r="AR24" i="2"/>
  <c r="AV18" i="2"/>
  <c r="AS23" i="2"/>
  <c r="AV15" i="2"/>
  <c r="AU15" i="2"/>
  <c r="AT19" i="2"/>
  <c r="AT23" i="2"/>
  <c r="AX18" i="2"/>
  <c r="AX23" i="2"/>
  <c r="AX15" i="2"/>
  <c r="AW18" i="2"/>
  <c r="AW23" i="2"/>
  <c r="AW19" i="2"/>
  <c r="AX24" i="2"/>
  <c r="AW15" i="2"/>
  <c r="AX19" i="2"/>
  <c r="BT24" i="2"/>
  <c r="AJ5" i="2"/>
  <c r="AJ20" i="2"/>
  <c r="AI5" i="2"/>
  <c r="BG10" i="2"/>
  <c r="AK22" i="2"/>
  <c r="AI22" i="2"/>
  <c r="AJ21" i="2"/>
  <c r="AI20" i="2"/>
  <c r="AJ17" i="2"/>
  <c r="AJ22" i="2"/>
  <c r="BF14" i="2"/>
  <c r="AH14" i="2"/>
  <c r="AH8" i="2"/>
  <c r="AL22" i="2" s="1"/>
  <c r="AH5" i="2"/>
  <c r="AG14" i="2"/>
  <c r="AH20" i="2"/>
  <c r="AG20" i="2"/>
  <c r="AG5" i="2"/>
  <c r="AF5" i="2"/>
  <c r="AF22" i="2"/>
  <c r="BE12" i="2"/>
  <c r="BE10" i="2"/>
  <c r="BE8" i="2"/>
  <c r="BE7" i="2"/>
  <c r="BE6" i="2"/>
  <c r="BE4" i="2"/>
  <c r="BE3" i="2"/>
  <c r="BD12" i="2"/>
  <c r="BD10" i="2"/>
  <c r="BD8" i="2"/>
  <c r="BD7" i="2"/>
  <c r="BD6" i="2"/>
  <c r="BD4" i="2"/>
  <c r="BD3" i="2"/>
  <c r="BF10" i="2"/>
  <c r="AF20" i="2"/>
  <c r="AE22" i="2"/>
  <c r="AD22" i="2"/>
  <c r="AC22" i="2"/>
  <c r="AB22" i="2"/>
  <c r="AA22" i="2"/>
  <c r="Z22" i="2"/>
  <c r="Y22" i="2"/>
  <c r="X22" i="2"/>
  <c r="W22" i="2"/>
  <c r="AE21" i="2"/>
  <c r="AD21" i="2"/>
  <c r="AC21" i="2"/>
  <c r="AB21" i="2"/>
  <c r="AA21" i="2"/>
  <c r="Z21" i="2"/>
  <c r="Y21" i="2"/>
  <c r="X21" i="2"/>
  <c r="W21" i="2"/>
  <c r="AE20" i="2"/>
  <c r="AD20" i="2"/>
  <c r="AC20" i="2"/>
  <c r="AB20" i="2"/>
  <c r="AA20" i="2"/>
  <c r="Z20" i="2"/>
  <c r="Y20" i="2"/>
  <c r="X20" i="2"/>
  <c r="W20" i="2"/>
  <c r="AE17" i="2"/>
  <c r="AD17" i="2"/>
  <c r="AC17" i="2"/>
  <c r="AB17" i="2"/>
  <c r="AA17" i="2"/>
  <c r="Z17" i="2"/>
  <c r="Y17" i="2"/>
  <c r="X17" i="2"/>
  <c r="W17" i="2"/>
  <c r="T5" i="2"/>
  <c r="T9" i="2" s="1"/>
  <c r="T11" i="2" s="1"/>
  <c r="T13" i="2" s="1"/>
  <c r="T15" i="2" s="1"/>
  <c r="U5" i="2"/>
  <c r="U9" i="2" s="1"/>
  <c r="U11" i="2" s="1"/>
  <c r="U13" i="2" s="1"/>
  <c r="U15" i="2" s="1"/>
  <c r="V5" i="2"/>
  <c r="V9" i="2" s="1"/>
  <c r="V11" i="2" s="1"/>
  <c r="V13" i="2" s="1"/>
  <c r="V15" i="2" s="1"/>
  <c r="W5" i="2"/>
  <c r="W9" i="2" s="1"/>
  <c r="W11" i="2" s="1"/>
  <c r="W13" i="2" s="1"/>
  <c r="W15" i="2" s="1"/>
  <c r="X5" i="2"/>
  <c r="X9" i="2" s="1"/>
  <c r="X11" i="2" s="1"/>
  <c r="X13" i="2" s="1"/>
  <c r="X15" i="2" s="1"/>
  <c r="AB5" i="2"/>
  <c r="AB9" i="2" s="1"/>
  <c r="AB11" i="2" s="1"/>
  <c r="AB13" i="2" s="1"/>
  <c r="AB15" i="2" s="1"/>
  <c r="Y5" i="2"/>
  <c r="Y9" i="2" s="1"/>
  <c r="Y11" i="2" s="1"/>
  <c r="Y13" i="2" s="1"/>
  <c r="Y15" i="2" s="1"/>
  <c r="AC5" i="2"/>
  <c r="AC9" i="2" s="1"/>
  <c r="AC11" i="2" s="1"/>
  <c r="AC13" i="2" s="1"/>
  <c r="AC15" i="2" s="1"/>
  <c r="Z5" i="2"/>
  <c r="Z9" i="2" s="1"/>
  <c r="Z11" i="2" s="1"/>
  <c r="Z13" i="2" s="1"/>
  <c r="Z15" i="2" s="1"/>
  <c r="AD5" i="2"/>
  <c r="AD9" i="2" s="1"/>
  <c r="AD11" i="2" s="1"/>
  <c r="AD13" i="2" s="1"/>
  <c r="AD15" i="2" s="1"/>
  <c r="AA5" i="2"/>
  <c r="AA9" i="2" s="1"/>
  <c r="AA11" i="2" s="1"/>
  <c r="AA13" i="2" s="1"/>
  <c r="AA15" i="2" s="1"/>
  <c r="AE5" i="2"/>
  <c r="AE9" i="2" s="1"/>
  <c r="AE11" i="2" s="1"/>
  <c r="AE13" i="2" s="1"/>
  <c r="AE15" i="2" s="1"/>
  <c r="S5" i="2"/>
  <c r="BD5" i="2" l="1"/>
  <c r="V24" i="2"/>
  <c r="AA24" i="2"/>
  <c r="Y24" i="2"/>
  <c r="AB24" i="2"/>
  <c r="X18" i="2"/>
  <c r="BG8" i="2"/>
  <c r="BH8" i="2" s="1"/>
  <c r="BI8" i="2" s="1"/>
  <c r="BJ8" i="2" s="1"/>
  <c r="BK8" i="2" s="1"/>
  <c r="BL8" i="2" s="1"/>
  <c r="BM8" i="2" s="1"/>
  <c r="BN8" i="2" s="1"/>
  <c r="BO8" i="2" s="1"/>
  <c r="BP8" i="2" s="1"/>
  <c r="BQ8" i="2" s="1"/>
  <c r="T24" i="2"/>
  <c r="AD19" i="2"/>
  <c r="U24" i="2"/>
  <c r="AC24" i="2"/>
  <c r="AD24" i="2"/>
  <c r="W24" i="2"/>
  <c r="AE24" i="2"/>
  <c r="X24" i="2"/>
  <c r="Z24" i="2"/>
  <c r="AL17" i="2"/>
  <c r="AL9" i="2"/>
  <c r="AL20" i="2"/>
  <c r="BG6" i="2"/>
  <c r="BH6" i="2" s="1"/>
  <c r="BI6" i="2" s="1"/>
  <c r="BJ6" i="2" s="1"/>
  <c r="AK20" i="2"/>
  <c r="AK9" i="2"/>
  <c r="AK17" i="2"/>
  <c r="BG4" i="2"/>
  <c r="BG3" i="2"/>
  <c r="AJ9" i="2"/>
  <c r="AI9" i="2"/>
  <c r="AI11" i="2" s="1"/>
  <c r="AI21" i="2"/>
  <c r="AJ18" i="2"/>
  <c r="AI18" i="2"/>
  <c r="AK18" i="2"/>
  <c r="AL18" i="2"/>
  <c r="AI17" i="2"/>
  <c r="Z23" i="2"/>
  <c r="AE19" i="2"/>
  <c r="W19" i="2"/>
  <c r="BF4" i="2"/>
  <c r="W18" i="2"/>
  <c r="AE18" i="2"/>
  <c r="AD18" i="2"/>
  <c r="AC19" i="2"/>
  <c r="Y23" i="2"/>
  <c r="AA23" i="2"/>
  <c r="Y18" i="2"/>
  <c r="X19" i="2"/>
  <c r="AB23" i="2"/>
  <c r="BF3" i="2"/>
  <c r="Z18" i="2"/>
  <c r="Y19" i="2"/>
  <c r="AC23" i="2"/>
  <c r="AA18" i="2"/>
  <c r="Z19" i="2"/>
  <c r="AD23" i="2"/>
  <c r="AB18" i="2"/>
  <c r="AA19" i="2"/>
  <c r="W23" i="2"/>
  <c r="AC18" i="2"/>
  <c r="AB19" i="2"/>
  <c r="X23" i="2"/>
  <c r="AH21" i="2"/>
  <c r="AH9" i="2"/>
  <c r="AH11" i="2" s="1"/>
  <c r="AH23" i="2" s="1"/>
  <c r="BF6" i="2"/>
  <c r="AG9" i="2"/>
  <c r="AG11" i="2" s="1"/>
  <c r="AG23" i="2" s="1"/>
  <c r="AF9" i="2"/>
  <c r="AF11" i="2" s="1"/>
  <c r="AG22" i="2"/>
  <c r="AH22" i="2"/>
  <c r="BF8" i="2"/>
  <c r="AE23" i="2"/>
  <c r="BF7" i="2"/>
  <c r="AG18" i="2"/>
  <c r="AF18" i="2"/>
  <c r="AH18" i="2"/>
  <c r="AH17" i="2"/>
  <c r="AG21" i="2"/>
  <c r="AG17" i="2"/>
  <c r="AF21" i="2"/>
  <c r="AF17" i="2"/>
  <c r="BE14" i="2"/>
  <c r="BD14" i="2"/>
  <c r="S14" i="2"/>
  <c r="AI19" i="2" l="1"/>
  <c r="AL21" i="2"/>
  <c r="BG17" i="2"/>
  <c r="BI3" i="2"/>
  <c r="BJ3" i="2" s="1"/>
  <c r="BK3" i="2" s="1"/>
  <c r="BL3" i="2" s="1"/>
  <c r="AL11" i="2"/>
  <c r="AL19" i="2"/>
  <c r="BK6" i="2"/>
  <c r="BL6" i="2" s="1"/>
  <c r="BM6" i="2" s="1"/>
  <c r="BN6" i="2" s="1"/>
  <c r="BO6" i="2" s="1"/>
  <c r="BP6" i="2" s="1"/>
  <c r="BQ6" i="2" s="1"/>
  <c r="AK11" i="2"/>
  <c r="AK23" i="2" s="1"/>
  <c r="AK19" i="2"/>
  <c r="AK21" i="2"/>
  <c r="BG7" i="2"/>
  <c r="AJ11" i="2"/>
  <c r="AJ19" i="2"/>
  <c r="AI13" i="2"/>
  <c r="AG19" i="2"/>
  <c r="AH13" i="2"/>
  <c r="AH19" i="2"/>
  <c r="AG13" i="2"/>
  <c r="BF12" i="2"/>
  <c r="AF19" i="2"/>
  <c r="BC6" i="2"/>
  <c r="BC8" i="2"/>
  <c r="BC3" i="2"/>
  <c r="U22" i="2"/>
  <c r="V22" i="2"/>
  <c r="T22" i="2"/>
  <c r="S22" i="2"/>
  <c r="BC7" i="2"/>
  <c r="V20" i="2"/>
  <c r="U20" i="2"/>
  <c r="S20" i="2"/>
  <c r="U17" i="2"/>
  <c r="T17" i="2"/>
  <c r="T20" i="2"/>
  <c r="R5" i="2"/>
  <c r="AI15" i="2" l="1"/>
  <c r="AI24" i="2"/>
  <c r="AH15" i="2"/>
  <c r="AH24" i="2"/>
  <c r="AG15" i="2"/>
  <c r="AG24" i="2"/>
  <c r="BH7" i="2"/>
  <c r="BI7" i="2"/>
  <c r="AL23" i="2"/>
  <c r="AK13" i="2"/>
  <c r="AJ23" i="2"/>
  <c r="BJ7" i="2"/>
  <c r="BK7" i="2"/>
  <c r="AI23" i="2"/>
  <c r="BG5" i="2"/>
  <c r="AF13" i="2"/>
  <c r="AF23" i="2"/>
  <c r="T19" i="2"/>
  <c r="S9" i="2"/>
  <c r="S19" i="2" s="1"/>
  <c r="V19" i="2"/>
  <c r="S21" i="2"/>
  <c r="V21" i="2"/>
  <c r="V17" i="2"/>
  <c r="V18" i="2"/>
  <c r="T18" i="2"/>
  <c r="U18" i="2"/>
  <c r="T21" i="2"/>
  <c r="U21" i="2"/>
  <c r="U19" i="2"/>
  <c r="S17" i="2"/>
  <c r="S18" i="2"/>
  <c r="R22" i="2"/>
  <c r="Q22" i="2"/>
  <c r="P22" i="2"/>
  <c r="O22" i="2"/>
  <c r="N22" i="2"/>
  <c r="M22" i="2"/>
  <c r="L22" i="2"/>
  <c r="K22" i="2"/>
  <c r="J22" i="2"/>
  <c r="I22" i="2"/>
  <c r="H22" i="2"/>
  <c r="G22" i="2"/>
  <c r="R20" i="2"/>
  <c r="Q20" i="2"/>
  <c r="P20" i="2"/>
  <c r="O20" i="2"/>
  <c r="N20" i="2"/>
  <c r="M20" i="2"/>
  <c r="L20" i="2"/>
  <c r="K20" i="2"/>
  <c r="J20" i="2"/>
  <c r="I20" i="2"/>
  <c r="H20" i="2"/>
  <c r="G20" i="2"/>
  <c r="Q5" i="2"/>
  <c r="AF15" i="2" l="1"/>
  <c r="AF24" i="2"/>
  <c r="AK15" i="2"/>
  <c r="AK24" i="2"/>
  <c r="AL13" i="2"/>
  <c r="BG12" i="2"/>
  <c r="AJ13" i="2"/>
  <c r="BH5" i="2"/>
  <c r="BM20" i="2"/>
  <c r="BC4" i="2"/>
  <c r="BC5" i="2" s="1"/>
  <c r="BB6" i="2"/>
  <c r="BB8" i="2"/>
  <c r="BA12" i="2"/>
  <c r="BA10" i="2"/>
  <c r="BA8" i="2"/>
  <c r="BA7" i="2"/>
  <c r="BA6" i="2"/>
  <c r="BA4" i="2"/>
  <c r="BA3" i="2"/>
  <c r="AZ10" i="2"/>
  <c r="AZ8" i="2"/>
  <c r="AZ7" i="2"/>
  <c r="AZ6" i="2"/>
  <c r="AZ4" i="2"/>
  <c r="AZ3" i="2"/>
  <c r="AY10" i="2"/>
  <c r="AY8" i="2"/>
  <c r="AY22" i="2" s="1"/>
  <c r="AY7" i="2"/>
  <c r="AY6" i="2"/>
  <c r="AY20" i="2" s="1"/>
  <c r="AY4" i="2"/>
  <c r="AY3" i="2"/>
  <c r="AY17" i="2" s="1"/>
  <c r="R17" i="2"/>
  <c r="Q17" i="2"/>
  <c r="P17" i="2"/>
  <c r="O17" i="2"/>
  <c r="N17" i="2"/>
  <c r="M17" i="2"/>
  <c r="L17" i="2"/>
  <c r="K17" i="2"/>
  <c r="J17" i="2"/>
  <c r="I17" i="2"/>
  <c r="H17" i="2"/>
  <c r="G17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E5" i="2"/>
  <c r="E9" i="2" s="1"/>
  <c r="E11" i="2" s="1"/>
  <c r="E13" i="2" s="1"/>
  <c r="F12" i="2"/>
  <c r="F5" i="2"/>
  <c r="F9" i="2" s="1"/>
  <c r="F11" i="2" s="1"/>
  <c r="D12" i="2"/>
  <c r="D5" i="2"/>
  <c r="D9" i="2" s="1"/>
  <c r="D11" i="2" s="1"/>
  <c r="H5" i="2"/>
  <c r="H9" i="2" s="1"/>
  <c r="H11" i="2" s="1"/>
  <c r="H13" i="2" s="1"/>
  <c r="C12" i="2"/>
  <c r="C5" i="2"/>
  <c r="C9" i="2" s="1"/>
  <c r="C11" i="2" s="1"/>
  <c r="G12" i="2"/>
  <c r="G5" i="2"/>
  <c r="G9" i="2" s="1"/>
  <c r="G11" i="2" s="1"/>
  <c r="I5" i="2"/>
  <c r="I9" i="2" s="1"/>
  <c r="I11" i="2" s="1"/>
  <c r="I13" i="2" s="1"/>
  <c r="M5" i="2"/>
  <c r="M9" i="2" s="1"/>
  <c r="M11" i="2" s="1"/>
  <c r="M13" i="2" s="1"/>
  <c r="J5" i="2"/>
  <c r="J9" i="2" s="1"/>
  <c r="J11" i="2" s="1"/>
  <c r="J13" i="2" s="1"/>
  <c r="N5" i="2"/>
  <c r="N9" i="2" s="1"/>
  <c r="N11" i="2" s="1"/>
  <c r="N13" i="2" s="1"/>
  <c r="K5" i="2"/>
  <c r="K9" i="2" s="1"/>
  <c r="K11" i="2" s="1"/>
  <c r="K13" i="2" s="1"/>
  <c r="O5" i="2"/>
  <c r="O9" i="2" s="1"/>
  <c r="O11" i="2" s="1"/>
  <c r="O13" i="2" s="1"/>
  <c r="L5" i="2"/>
  <c r="L9" i="2" s="1"/>
  <c r="L11" i="2" s="1"/>
  <c r="L13" i="2" s="1"/>
  <c r="L24" i="2" s="1"/>
  <c r="P14" i="2"/>
  <c r="AY14" i="2" s="1"/>
  <c r="P5" i="2"/>
  <c r="P18" i="2" s="1"/>
  <c r="D8" i="1"/>
  <c r="BT21" i="2" s="1"/>
  <c r="D5" i="1"/>
  <c r="F3" i="1"/>
  <c r="AY21" i="2" l="1"/>
  <c r="N15" i="2"/>
  <c r="N24" i="2"/>
  <c r="J15" i="2"/>
  <c r="J24" i="2"/>
  <c r="AJ15" i="2"/>
  <c r="AJ24" i="2"/>
  <c r="M15" i="2"/>
  <c r="M24" i="2"/>
  <c r="K15" i="2"/>
  <c r="K24" i="2"/>
  <c r="H15" i="2"/>
  <c r="H24" i="2"/>
  <c r="I15" i="2"/>
  <c r="I24" i="2"/>
  <c r="E15" i="2"/>
  <c r="E24" i="2"/>
  <c r="O15" i="2"/>
  <c r="O24" i="2"/>
  <c r="AL15" i="2"/>
  <c r="AL24" i="2"/>
  <c r="BI5" i="2"/>
  <c r="BN20" i="2"/>
  <c r="AZ20" i="2"/>
  <c r="BA22" i="2"/>
  <c r="G18" i="2"/>
  <c r="BA17" i="2"/>
  <c r="AY12" i="2"/>
  <c r="D23" i="2"/>
  <c r="AY5" i="2"/>
  <c r="AY18" i="2" s="1"/>
  <c r="AZ21" i="2"/>
  <c r="AZ22" i="2"/>
  <c r="F18" i="2"/>
  <c r="BB22" i="2"/>
  <c r="BB20" i="2"/>
  <c r="BA20" i="2"/>
  <c r="BA21" i="2"/>
  <c r="N18" i="2"/>
  <c r="F19" i="2"/>
  <c r="H19" i="2"/>
  <c r="F23" i="2"/>
  <c r="C23" i="2"/>
  <c r="G23" i="2"/>
  <c r="C13" i="2"/>
  <c r="E18" i="2"/>
  <c r="AZ17" i="2"/>
  <c r="D9" i="1"/>
  <c r="D18" i="2"/>
  <c r="L18" i="2"/>
  <c r="N19" i="2"/>
  <c r="J23" i="2"/>
  <c r="M18" i="2"/>
  <c r="G19" i="2"/>
  <c r="O19" i="2"/>
  <c r="K23" i="2"/>
  <c r="L23" i="2"/>
  <c r="O18" i="2"/>
  <c r="I19" i="2"/>
  <c r="E23" i="2"/>
  <c r="M23" i="2"/>
  <c r="Q9" i="2"/>
  <c r="Q19" i="2" s="1"/>
  <c r="P9" i="2"/>
  <c r="H18" i="2"/>
  <c r="J19" i="2"/>
  <c r="N23" i="2"/>
  <c r="AZ12" i="2"/>
  <c r="I18" i="2"/>
  <c r="C19" i="2"/>
  <c r="K19" i="2"/>
  <c r="O23" i="2"/>
  <c r="J18" i="2"/>
  <c r="D19" i="2"/>
  <c r="L19" i="2"/>
  <c r="H23" i="2"/>
  <c r="AZ5" i="2"/>
  <c r="AZ18" i="2" s="1"/>
  <c r="R21" i="2"/>
  <c r="C18" i="2"/>
  <c r="K18" i="2"/>
  <c r="E19" i="2"/>
  <c r="M19" i="2"/>
  <c r="I23" i="2"/>
  <c r="BB3" i="2"/>
  <c r="AZ14" i="2"/>
  <c r="BA14" i="2" s="1"/>
  <c r="BB14" i="2" s="1"/>
  <c r="BC14" i="2" s="1"/>
  <c r="BA5" i="2"/>
  <c r="F13" i="2"/>
  <c r="D13" i="2"/>
  <c r="G13" i="2"/>
  <c r="L15" i="2"/>
  <c r="G15" i="2" l="1"/>
  <c r="G24" i="2"/>
  <c r="D15" i="2"/>
  <c r="D24" i="2"/>
  <c r="F15" i="2"/>
  <c r="F24" i="2"/>
  <c r="C15" i="2"/>
  <c r="C24" i="2"/>
  <c r="BJ5" i="2"/>
  <c r="BO20" i="2"/>
  <c r="AY9" i="2"/>
  <c r="AY19" i="2" s="1"/>
  <c r="BC17" i="2"/>
  <c r="BC21" i="2"/>
  <c r="BC22" i="2"/>
  <c r="BC20" i="2"/>
  <c r="AZ9" i="2"/>
  <c r="AZ11" i="2" s="1"/>
  <c r="R9" i="2"/>
  <c r="R19" i="2" s="1"/>
  <c r="Q11" i="2"/>
  <c r="Q23" i="2" s="1"/>
  <c r="BA9" i="2"/>
  <c r="BA18" i="2"/>
  <c r="BB17" i="2"/>
  <c r="P19" i="2"/>
  <c r="P11" i="2"/>
  <c r="R18" i="2"/>
  <c r="BB7" i="2"/>
  <c r="BB21" i="2" s="1"/>
  <c r="BK5" i="2" l="1"/>
  <c r="BQ20" i="2"/>
  <c r="BP20" i="2"/>
  <c r="AY11" i="2"/>
  <c r="BD20" i="2"/>
  <c r="BD22" i="2"/>
  <c r="AZ13" i="2"/>
  <c r="AZ23" i="2"/>
  <c r="AZ19" i="2"/>
  <c r="BD21" i="2"/>
  <c r="BD17" i="2"/>
  <c r="P23" i="2"/>
  <c r="P13" i="2"/>
  <c r="BA11" i="2"/>
  <c r="BA19" i="2"/>
  <c r="BC9" i="2"/>
  <c r="BC18" i="2"/>
  <c r="Q13" i="2"/>
  <c r="Q24" i="2" s="1"/>
  <c r="AY13" i="2" l="1"/>
  <c r="AY24" i="2" s="1"/>
  <c r="AY23" i="2"/>
  <c r="P15" i="2"/>
  <c r="P24" i="2"/>
  <c r="AZ15" i="2"/>
  <c r="AZ24" i="2"/>
  <c r="BL7" i="2"/>
  <c r="BM3" i="2"/>
  <c r="BL5" i="2"/>
  <c r="Q15" i="2"/>
  <c r="BE22" i="2"/>
  <c r="BE20" i="2"/>
  <c r="BA13" i="2"/>
  <c r="BA23" i="2"/>
  <c r="BE21" i="2"/>
  <c r="BE17" i="2"/>
  <c r="BC19" i="2"/>
  <c r="BD18" i="2"/>
  <c r="BD9" i="2"/>
  <c r="AY15" i="2" l="1"/>
  <c r="BA15" i="2"/>
  <c r="BA24" i="2"/>
  <c r="BN3" i="2"/>
  <c r="BM7" i="2"/>
  <c r="BM5" i="2"/>
  <c r="BF20" i="2"/>
  <c r="BF22" i="2"/>
  <c r="BB10" i="2"/>
  <c r="R11" i="2"/>
  <c r="BD19" i="2"/>
  <c r="BF21" i="2"/>
  <c r="BF17" i="2"/>
  <c r="BN7" i="2" l="1"/>
  <c r="BO3" i="2"/>
  <c r="BP3" i="2" s="1"/>
  <c r="BQ3" i="2" s="1"/>
  <c r="BN5" i="2"/>
  <c r="BG20" i="2"/>
  <c r="BG22" i="2"/>
  <c r="R13" i="2"/>
  <c r="R24" i="2" s="1"/>
  <c r="BB12" i="2"/>
  <c r="R23" i="2"/>
  <c r="BG21" i="2"/>
  <c r="BO7" i="2" l="1"/>
  <c r="BP7" i="2"/>
  <c r="BO5" i="2"/>
  <c r="R15" i="2"/>
  <c r="S11" i="2"/>
  <c r="BH22" i="2"/>
  <c r="BH20" i="2"/>
  <c r="BG18" i="2"/>
  <c r="BG9" i="2"/>
  <c r="BH21" i="2"/>
  <c r="BH17" i="2"/>
  <c r="BQ7" i="2" l="1"/>
  <c r="BP5" i="2"/>
  <c r="S23" i="2"/>
  <c r="S13" i="2"/>
  <c r="S24" i="2" s="1"/>
  <c r="BI20" i="2"/>
  <c r="BI22" i="2"/>
  <c r="BH18" i="2"/>
  <c r="BH9" i="2"/>
  <c r="BI17" i="2"/>
  <c r="BI21" i="2"/>
  <c r="BI4" i="2"/>
  <c r="BH4" i="2"/>
  <c r="BG19" i="2"/>
  <c r="BB4" i="2"/>
  <c r="BB5" i="2" s="1"/>
  <c r="Q18" i="2"/>
  <c r="BQ5" i="2" l="1"/>
  <c r="S15" i="2"/>
  <c r="BJ22" i="2"/>
  <c r="BJ20" i="2"/>
  <c r="BI18" i="2"/>
  <c r="BI9" i="2"/>
  <c r="BJ21" i="2"/>
  <c r="BJ17" i="2"/>
  <c r="BH19" i="2"/>
  <c r="BB18" i="2"/>
  <c r="BB9" i="2"/>
  <c r="BL20" i="2" l="1"/>
  <c r="BK20" i="2"/>
  <c r="BK22" i="2"/>
  <c r="BK21" i="2"/>
  <c r="BK17" i="2"/>
  <c r="BJ18" i="2"/>
  <c r="BJ9" i="2"/>
  <c r="BJ4" i="2"/>
  <c r="BI19" i="2"/>
  <c r="BB11" i="2"/>
  <c r="BB19" i="2"/>
  <c r="BL22" i="2" l="1"/>
  <c r="T23" i="2"/>
  <c r="BJ19" i="2"/>
  <c r="BL21" i="2"/>
  <c r="BL17" i="2"/>
  <c r="BK18" i="2"/>
  <c r="BK9" i="2"/>
  <c r="BK4" i="2"/>
  <c r="BB13" i="2"/>
  <c r="BB24" i="2" s="1"/>
  <c r="BB23" i="2"/>
  <c r="BM22" i="2" l="1"/>
  <c r="BM4" i="2"/>
  <c r="BM17" i="2"/>
  <c r="BM21" i="2"/>
  <c r="BL18" i="2"/>
  <c r="BL9" i="2"/>
  <c r="BL4" i="2"/>
  <c r="BK19" i="2"/>
  <c r="BB15" i="2"/>
  <c r="BN22" i="2" l="1"/>
  <c r="BN21" i="2"/>
  <c r="BN4" i="2"/>
  <c r="BN17" i="2"/>
  <c r="BM18" i="2"/>
  <c r="BM9" i="2"/>
  <c r="BM19" i="2" s="1"/>
  <c r="BL19" i="2"/>
  <c r="BO22" i="2" l="1"/>
  <c r="BO17" i="2"/>
  <c r="BO21" i="2"/>
  <c r="BO4" i="2"/>
  <c r="BN18" i="2"/>
  <c r="BN9" i="2"/>
  <c r="BN19" i="2" s="1"/>
  <c r="U23" i="2"/>
  <c r="BQ22" i="2" l="1"/>
  <c r="BP22" i="2"/>
  <c r="BP21" i="2"/>
  <c r="BP4" i="2"/>
  <c r="BP17" i="2"/>
  <c r="BO18" i="2"/>
  <c r="BO9" i="2"/>
  <c r="BO19" i="2" s="1"/>
  <c r="BC10" i="2"/>
  <c r="BC11" i="2" s="1"/>
  <c r="BQ17" i="2" l="1"/>
  <c r="BQ21" i="2"/>
  <c r="BQ4" i="2"/>
  <c r="BP18" i="2"/>
  <c r="BP9" i="2"/>
  <c r="BP19" i="2" s="1"/>
  <c r="V23" i="2"/>
  <c r="BC12" i="2"/>
  <c r="BC23" i="2" s="1"/>
  <c r="BQ9" i="2" l="1"/>
  <c r="BQ19" i="2" s="1"/>
  <c r="BQ18" i="2"/>
  <c r="BC13" i="2"/>
  <c r="BC24" i="2" s="1"/>
  <c r="BD11" i="2" l="1"/>
  <c r="BD23" i="2" s="1"/>
  <c r="BC15" i="2"/>
  <c r="BD13" i="2" l="1"/>
  <c r="BD24" i="2" s="1"/>
  <c r="BD15" i="2" l="1"/>
  <c r="BE5" i="2" l="1"/>
  <c r="BE9" i="2" s="1"/>
  <c r="BE18" i="2" l="1"/>
  <c r="BE11" i="2"/>
  <c r="BE19" i="2"/>
  <c r="BE23" i="2" l="1"/>
  <c r="BE13" i="2"/>
  <c r="BE24" i="2" s="1"/>
  <c r="BE15" i="2" l="1"/>
  <c r="BF5" i="2"/>
  <c r="BF18" i="2" s="1"/>
  <c r="BF9" i="2" l="1"/>
  <c r="BF19" i="2" s="1"/>
  <c r="BF11" i="2" l="1"/>
  <c r="BF23" i="2" s="1"/>
  <c r="BF13" i="2" l="1"/>
  <c r="BF24" i="2" s="1"/>
  <c r="BG11" i="2" l="1"/>
  <c r="BF15" i="2"/>
  <c r="BG23" i="2" l="1"/>
  <c r="BG13" i="2" l="1"/>
  <c r="BG24" i="2" s="1"/>
  <c r="BG15" i="2" l="1"/>
  <c r="BH10" i="2"/>
  <c r="BH11" i="2" s="1"/>
  <c r="BH12" i="2" s="1"/>
  <c r="BH23" i="2" l="1"/>
  <c r="BH13" i="2" l="1"/>
  <c r="BH24" i="2" s="1"/>
  <c r="BI10" i="2" l="1"/>
  <c r="BI11" i="2" s="1"/>
  <c r="BI12" i="2" s="1"/>
  <c r="BH15" i="2"/>
  <c r="BI23" i="2" l="1"/>
  <c r="BI13" i="2" l="1"/>
  <c r="BI24" i="2" s="1"/>
  <c r="BI15" i="2" l="1"/>
  <c r="BJ10" i="2"/>
  <c r="BJ11" i="2" s="1"/>
  <c r="BJ12" i="2" s="1"/>
  <c r="BJ23" i="2" l="1"/>
  <c r="BJ13" i="2" l="1"/>
  <c r="BJ24" i="2" s="1"/>
  <c r="BK10" i="2" l="1"/>
  <c r="BK11" i="2" s="1"/>
  <c r="BK12" i="2" s="1"/>
  <c r="BJ15" i="2"/>
  <c r="BK23" i="2" l="1"/>
  <c r="BK13" i="2" l="1"/>
  <c r="BL10" i="2" l="1"/>
  <c r="BL11" i="2" s="1"/>
  <c r="BL12" i="2" s="1"/>
  <c r="BK24" i="2"/>
  <c r="BK15" i="2"/>
  <c r="BL13" i="2" l="1"/>
  <c r="BM10" i="2" s="1"/>
  <c r="BM11" i="2" s="1"/>
  <c r="BM12" i="2" s="1"/>
  <c r="BM23" i="2" s="1"/>
  <c r="BL23" i="2"/>
  <c r="BL15" i="2" l="1"/>
  <c r="BL24" i="2"/>
  <c r="BM13" i="2"/>
  <c r="BN10" i="2" l="1"/>
  <c r="BN11" i="2" s="1"/>
  <c r="BN12" i="2" s="1"/>
  <c r="BN23" i="2" s="1"/>
  <c r="BM24" i="2"/>
  <c r="BM15" i="2"/>
  <c r="BN13" i="2" l="1"/>
  <c r="BN24" i="2" s="1"/>
  <c r="BN15" i="2" l="1"/>
  <c r="BO10" i="2"/>
  <c r="BO11" i="2" s="1"/>
  <c r="BO12" i="2" s="1"/>
  <c r="BO23" i="2" l="1"/>
  <c r="BO13" i="2" l="1"/>
  <c r="BO15" i="2" l="1"/>
  <c r="BO24" i="2"/>
  <c r="BP10" i="2"/>
  <c r="BP11" i="2" s="1"/>
  <c r="BP12" i="2" s="1"/>
  <c r="BP23" i="2" l="1"/>
  <c r="BP13" i="2" l="1"/>
  <c r="BP15" i="2" l="1"/>
  <c r="BP24" i="2"/>
  <c r="BQ10" i="2"/>
  <c r="BQ11" i="2" s="1"/>
  <c r="BQ12" i="2" s="1"/>
  <c r="BQ23" i="2" l="1"/>
  <c r="BQ13" i="2" l="1"/>
  <c r="BQ15" i="2" l="1"/>
  <c r="BQ24" i="2"/>
  <c r="BR13" i="2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FJ13" i="2" s="1"/>
  <c r="FK13" i="2" s="1"/>
  <c r="FL13" i="2" s="1"/>
  <c r="FM13" i="2" s="1"/>
  <c r="FN13" i="2" s="1"/>
  <c r="FO13" i="2" s="1"/>
  <c r="FP13" i="2" s="1"/>
  <c r="FQ13" i="2" s="1"/>
  <c r="FR13" i="2" s="1"/>
  <c r="FS13" i="2" s="1"/>
  <c r="FT13" i="2" s="1"/>
  <c r="BT22" i="2" l="1"/>
  <c r="BT23" i="2" s="1"/>
  <c r="BT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  <author>Anton</author>
  </authors>
  <commentList>
    <comment ref="AH8" authorId="0" shapeId="0" xr:uid="{E1944BFE-642E-47B4-974A-1E9A69D49A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GAAP 761 billion due to  a decrease in the accrued losses for certain legal proceedings</t>
        </r>
      </text>
    </comment>
    <comment ref="F12" authorId="1" shapeId="0" xr:uid="{BBE335B3-6CDC-4ABD-9C1C-0F083E9C09DB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K12" authorId="0" shapeId="0" xr:uid="{2884C3D2-24EC-46C8-AB47-9FAF4B1AEF0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Provision for income taxes includes a one-time, non-cash income tax charge of $15.93 billion accrued in the third quarter of 2025 related to the implementation of the One Big Beautiful Bill Act. For more information, see the section entitled "Provision for Income Taxes - One-Time, Non-Cash Charge Impact" in this press release (Q325 8K)</t>
        </r>
      </text>
    </comment>
  </commentList>
</comments>
</file>

<file path=xl/sharedStrings.xml><?xml version="1.0" encoding="utf-8"?>
<sst xmlns="http://schemas.openxmlformats.org/spreadsheetml/2006/main" count="184" uniqueCount="158">
  <si>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</si>
  <si>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</si>
  <si>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</si>
  <si>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</si>
  <si>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</si>
  <si>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</si>
  <si>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</si>
  <si>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</si>
  <si>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</si>
  <si>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</si>
  <si>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</si>
  <si>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</si>
  <si>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</si>
  <si>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</si>
  <si>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</si>
  <si>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</si>
  <si>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</si>
  <si>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</si>
  <si>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</si>
  <si>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</si>
  <si>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</si>
  <si>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</si>
  <si>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</si>
  <si>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</si>
  <si>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</si>
  <si>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</si>
  <si>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</si>
  <si>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R&amp;D</t>
  </si>
  <si>
    <t>S&amp;M</t>
  </si>
  <si>
    <t>G&amp;A</t>
  </si>
  <si>
    <t>Gross profit</t>
  </si>
  <si>
    <t>Operating profit</t>
  </si>
  <si>
    <t>Interest income</t>
  </si>
  <si>
    <t>Pretax profit</t>
  </si>
  <si>
    <t>Taxes</t>
  </si>
  <si>
    <t>Net profit</t>
  </si>
  <si>
    <t>EPS</t>
  </si>
  <si>
    <t>Gross Margin</t>
  </si>
  <si>
    <t>S&amp;M Margin</t>
  </si>
  <si>
    <t>Operating Margin</t>
  </si>
  <si>
    <t>Tax rate</t>
  </si>
  <si>
    <t>Revenue y/y</t>
  </si>
  <si>
    <t>recalculate revenue more effectively with ARPU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</si>
  <si>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</si>
  <si>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</si>
  <si>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</si>
  <si>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</si>
  <si>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</si>
  <si>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</si>
  <si>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</si>
  <si>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</si>
  <si>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Facebook</t>
  </si>
  <si>
    <t>Instagram</t>
  </si>
  <si>
    <t>Messenger</t>
  </si>
  <si>
    <t>WhatsApp</t>
  </si>
  <si>
    <t>Oculus</t>
  </si>
  <si>
    <t>Description</t>
  </si>
  <si>
    <t>Social media network</t>
  </si>
  <si>
    <t>Messaging application</t>
  </si>
  <si>
    <t>Virtual reality product</t>
  </si>
  <si>
    <t>Product/Service</t>
  </si>
  <si>
    <t>Competitors</t>
  </si>
  <si>
    <t>Tencent, Bytedance, Twitter, Snap, Google, Amazon</t>
  </si>
  <si>
    <t>Apple, Twitter, Tencent, Snap</t>
  </si>
  <si>
    <t>Tencent, Bytedance, Twitter, Snap, Google, Amazon, regional social networks</t>
  </si>
  <si>
    <t>Apple, Twitter, Tencent, Snap, regional messaging apps</t>
  </si>
  <si>
    <t>VR product developers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</si>
  <si>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</si>
  <si>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</si>
  <si>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</si>
  <si>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</si>
  <si>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</si>
  <si>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</si>
  <si>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</si>
  <si>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</si>
  <si>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</si>
  <si>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</si>
  <si>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</si>
  <si>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</si>
  <si>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</si>
  <si>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</si>
  <si>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</si>
  <si>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</si>
  <si>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</si>
  <si>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</si>
  <si>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</si>
  <si>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</si>
  <si>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</si>
  <si>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</si>
  <si>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</si>
  <si>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</si>
  <si>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META</t>
  </si>
  <si>
    <t>Slightly undervalued</t>
  </si>
  <si>
    <t>Net Margin</t>
  </si>
  <si>
    <t>as of 8/10/25</t>
  </si>
  <si>
    <t>Q1 (Mar)</t>
  </si>
  <si>
    <t>Q2 (Jun)</t>
  </si>
  <si>
    <t>Q3 (Sep)</t>
  </si>
  <si>
    <t>Q4 (Dec)</t>
  </si>
  <si>
    <t>-</t>
  </si>
  <si>
    <t>Annual</t>
  </si>
  <si>
    <t>27.91B</t>
  </si>
  <si>
    <t>28.82B</t>
  </si>
  <si>
    <t>27.71B</t>
  </si>
  <si>
    <t>32.16B</t>
  </si>
  <si>
    <t>116.61B</t>
  </si>
  <si>
    <t>134.90B</t>
  </si>
  <si>
    <t>164.50B</t>
  </si>
  <si>
    <t>196.76B</t>
  </si>
  <si>
    <t>229.39B</t>
  </si>
  <si>
    <t>28.64B</t>
  </si>
  <si>
    <t>32.00B</t>
  </si>
  <si>
    <t>34.15B</t>
  </si>
  <si>
    <t>40.11B</t>
  </si>
  <si>
    <t>42.31B</t>
  </si>
  <si>
    <t>47.52B</t>
  </si>
  <si>
    <t>49.34B</t>
  </si>
  <si>
    <t>57.09B</t>
  </si>
  <si>
    <t>36.45B</t>
  </si>
  <si>
    <t>39.07B</t>
  </si>
  <si>
    <t>40.59B</t>
  </si>
  <si>
    <t>48.38B</t>
  </si>
  <si>
    <t>50.51B</t>
  </si>
  <si>
    <t>55.30B</t>
  </si>
  <si>
    <t>57.20B</t>
  </si>
  <si>
    <t>66.52B</t>
  </si>
  <si>
    <t>58.04B</t>
  </si>
  <si>
    <t>64.18B</t>
  </si>
  <si>
    <t>66.39B</t>
  </si>
  <si>
    <t>Net Income</t>
  </si>
  <si>
    <t>7.46B</t>
  </si>
  <si>
    <t>16.86B</t>
  </si>
  <si>
    <t>21.02B</t>
  </si>
  <si>
    <t>20.52B</t>
  </si>
  <si>
    <t>6.69B</t>
  </si>
  <si>
    <t>4.39B</t>
  </si>
  <si>
    <t>4.65B</t>
  </si>
  <si>
    <t>5.71B</t>
  </si>
  <si>
    <t>11.58B</t>
  </si>
  <si>
    <t>14.02B</t>
  </si>
  <si>
    <t>13.46B</t>
  </si>
  <si>
    <t>15.69B</t>
  </si>
  <si>
    <t>20.84B</t>
  </si>
  <si>
    <t>18.02B</t>
  </si>
  <si>
    <t>7.79B</t>
  </si>
  <si>
    <t>12.37B</t>
  </si>
  <si>
    <t>16.64B</t>
  </si>
  <si>
    <t>18.34B</t>
  </si>
  <si>
    <t>17.00B</t>
  </si>
  <si>
    <t>18.70B</t>
  </si>
  <si>
    <t>18.38B</t>
  </si>
  <si>
    <t>22.35B</t>
  </si>
  <si>
    <t>20.39B</t>
  </si>
  <si>
    <t>Q325 8K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</si>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</sst>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[$$-409]#,##0"/>
    <numFmt numFmtId="166" formatCode="0.0%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5" tint="0.59999389629810485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59999389629810485"/>
      </right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59999389629810485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0" xfId="0" applyNumberFormat="1"/>
    <xf numFmtId="0" fontId="6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right"/>
    </xf>
    <xf numFmtId="0" fontId="7" fillId="2" borderId="11" xfId="0" applyFont="1" applyFill="1" applyBorder="1" applyAlignment="1">
      <alignment horizontal="right"/>
    </xf>
    <xf numFmtId="0" fontId="7" fillId="3" borderId="12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right" vertical="center"/>
    </xf>
    <xf numFmtId="0" fontId="7" fillId="3" borderId="13" xfId="0" applyFont="1" applyFill="1" applyBorder="1" applyAlignment="1">
      <alignment horizontal="right" vertical="center"/>
    </xf>
    <xf numFmtId="0" fontId="7" fillId="3" borderId="14" xfId="0" applyFont="1" applyFill="1" applyBorder="1" applyAlignment="1">
      <alignment horizontal="right" vertical="center"/>
    </xf>
    <xf numFmtId="0" fontId="7" fillId="3" borderId="15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right" vertical="center"/>
    </xf>
    <xf numFmtId="0" fontId="7" fillId="3" borderId="16" xfId="0" applyFont="1" applyFill="1" applyBorder="1" applyAlignment="1">
      <alignment horizontal="right" vertical="center"/>
    </xf>
    <xf numFmtId="0" fontId="7" fillId="3" borderId="17" xfId="0" applyFont="1" applyFill="1" applyBorder="1" applyAlignment="1">
      <alignment horizontal="right" vertical="center"/>
    </xf>
    <xf numFmtId="0" fontId="7" fillId="3" borderId="17" xfId="0" quotePrefix="1" applyFont="1" applyFill="1" applyBorder="1" applyAlignment="1">
      <alignment horizontal="right" vertical="center"/>
    </xf>
    <xf numFmtId="0" fontId="7" fillId="3" borderId="18" xfId="0" applyFont="1" applyFill="1" applyBorder="1" applyAlignment="1">
      <alignment horizontal="center"/>
    </xf>
    <xf numFmtId="0" fontId="8" fillId="3" borderId="19" xfId="0" applyFont="1" applyFill="1" applyBorder="1" applyAlignment="1">
      <alignment horizontal="right" vertical="center"/>
    </xf>
    <xf numFmtId="0" fontId="7" fillId="3" borderId="19" xfId="0" applyFont="1" applyFill="1" applyBorder="1" applyAlignment="1">
      <alignment horizontal="right" vertical="center"/>
    </xf>
    <xf numFmtId="0" fontId="7" fillId="3" borderId="20" xfId="0" quotePrefix="1" applyFont="1" applyFill="1" applyBorder="1" applyAlignment="1">
      <alignment horizontal="right"/>
    </xf>
    <xf numFmtId="0" fontId="9" fillId="0" borderId="0" xfId="0" applyFont="1" applyAlignment="1">
      <alignment vertical="center"/>
    </xf>
    <xf numFmtId="10" fontId="9" fillId="0" borderId="0" xfId="0" applyNumberFormat="1" applyFont="1" applyAlignment="1">
      <alignment vertical="center"/>
    </xf>
    <xf numFmtId="9" fontId="9" fillId="0" borderId="0" xfId="0" applyNumberFormat="1" applyFont="1" applyAlignment="1">
      <alignment vertical="center"/>
    </xf>
    <xf numFmtId="166" fontId="8" fillId="3" borderId="13" xfId="0" applyNumberFormat="1" applyFont="1" applyFill="1" applyBorder="1" applyAlignment="1">
      <alignment horizontal="right" vertical="center"/>
    </xf>
    <xf numFmtId="166" fontId="7" fillId="3" borderId="13" xfId="0" applyNumberFormat="1" applyFont="1" applyFill="1" applyBorder="1" applyAlignment="1">
      <alignment horizontal="right" vertical="center"/>
    </xf>
    <xf numFmtId="166" fontId="8" fillId="3" borderId="16" xfId="0" applyNumberFormat="1" applyFont="1" applyFill="1" applyBorder="1" applyAlignment="1">
      <alignment horizontal="right" vertical="center"/>
    </xf>
    <xf numFmtId="166" fontId="8" fillId="3" borderId="19" xfId="0" applyNumberFormat="1" applyFont="1" applyFill="1" applyBorder="1" applyAlignment="1">
      <alignment horizontal="right" vertical="center"/>
    </xf>
    <xf numFmtId="166" fontId="7" fillId="3" borderId="19" xfId="0" applyNumberFormat="1" applyFont="1" applyFill="1" applyBorder="1" applyAlignment="1">
      <alignment horizontal="right" vertical="center"/>
    </xf>
    <xf numFmtId="166" fontId="8" fillId="3" borderId="21" xfId="0" applyNumberFormat="1" applyFont="1" applyFill="1" applyBorder="1" applyAlignment="1">
      <alignment horizontal="right" vertical="center"/>
    </xf>
    <xf numFmtId="166" fontId="7" fillId="3" borderId="21" xfId="0" applyNumberFormat="1" applyFont="1" applyFill="1" applyBorder="1" applyAlignment="1">
      <alignment horizontal="right" vertical="center"/>
    </xf>
    <xf numFmtId="166" fontId="7" fillId="3" borderId="22" xfId="0" applyNumberFormat="1" applyFont="1" applyFill="1" applyBorder="1" applyAlignment="1">
      <alignment horizontal="right" vertical="center"/>
    </xf>
    <xf numFmtId="166" fontId="7" fillId="3" borderId="23" xfId="0" applyNumberFormat="1" applyFont="1" applyFill="1" applyBorder="1" applyAlignment="1">
      <alignment horizontal="right" vertical="center"/>
    </xf>
    <xf numFmtId="166" fontId="7" fillId="3" borderId="24" xfId="0" quotePrefix="1" applyNumberFormat="1" applyFont="1" applyFill="1" applyBorder="1" applyAlignment="1">
      <alignment horizontal="right" vertical="center"/>
    </xf>
    <xf numFmtId="0" fontId="0" fillId="0" borderId="25" xfId="0" applyBorder="1"/>
    <xf numFmtId="0" fontId="7" fillId="3" borderId="2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38100</xdr:colOff>
      <xdr:row>0</xdr:row>
      <xdr:rowOff>0</xdr:rowOff>
    </xdr:from>
    <xdr:to>
      <xdr:col>38</xdr:col>
      <xdr:colOff>38100</xdr:colOff>
      <xdr:row>35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3D94EBE-3869-4FA9-B617-BAD3D67826D4}"/>
            </a:ext>
          </a:extLst>
        </xdr:cNvPr>
        <xdr:cNvCxnSpPr/>
      </xdr:nvCxnSpPr>
      <xdr:spPr>
        <a:xfrm>
          <a:off x="23637240" y="0"/>
          <a:ext cx="0" cy="6477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22860</xdr:colOff>
      <xdr:row>0</xdr:row>
      <xdr:rowOff>0</xdr:rowOff>
    </xdr:from>
    <xdr:to>
      <xdr:col>59</xdr:col>
      <xdr:colOff>22860</xdr:colOff>
      <xdr:row>33</xdr:row>
      <xdr:rowOff>76200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3A0A4B3-BBBD-4E6E-8546-183853E8AB10}"/>
            </a:ext>
          </a:extLst>
        </xdr:cNvPr>
        <xdr:cNvCxnSpPr/>
      </xdr:nvCxnSpPr>
      <xdr:spPr>
        <a:xfrm>
          <a:off x="364236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0E0E7-EF61-4826-BB53-1423A2545910}">
  <dimension ref="B2:K9"/>
  <sheetViews>
    <sheetView workbookViewId="0">
      <selection activeCell="E7" sqref="E7"/>
    </sheetView>
  </sheetViews>
  <sheetFormatPr defaultRowHeight="14.4"/>
  <cols>
    <col min="5" max="6" width="15.77734375" style="3" customWidth="1"/>
    <col min="7" max="7" width="15.77734375" style="1" customWidth="1"/>
    <col min="9" max="9" width="14" bestFit="1" customWidth="1"/>
    <col min="10" max="10" width="19.109375" bestFit="1" customWidth="1"/>
    <col min="11" max="11" width="64.6640625" bestFit="1" customWidth="1"/>
  </cols>
  <sheetData>
    <row r="2" spans="2:11">
      <c r="E2" s="1" t="s">
        <v>7</v>
      </c>
      <c r="F2" s="1" t="s">
        <v>8</v>
      </c>
      <c r="G2" s="1" t="s">
        <v>68</v>
      </c>
      <c r="I2" s="11" t="s">
        <v>60</v>
      </c>
      <c r="J2" s="12" t="s">
        <v>56</v>
      </c>
      <c r="K2" s="13" t="s">
        <v>61</v>
      </c>
    </row>
    <row r="3" spans="2:11">
      <c r="B3" s="6" t="s">
        <v>91</v>
      </c>
      <c r="C3" t="s">
        <v>0</v>
      </c>
      <c r="D3" s="5">
        <v>726.51</v>
      </c>
      <c r="E3" s="2">
        <v>46052</v>
      </c>
      <c r="F3" s="2">
        <f ca="1">TODAY()</f>
        <v>46059</v>
      </c>
      <c r="G3" s="2">
        <v>46141</v>
      </c>
      <c r="I3" s="14" t="s">
        <v>51</v>
      </c>
      <c r="J3" s="15" t="s">
        <v>57</v>
      </c>
      <c r="K3" s="16" t="s">
        <v>64</v>
      </c>
    </row>
    <row r="4" spans="2:11">
      <c r="C4" t="s">
        <v>1</v>
      </c>
      <c r="D4" s="4">
        <f>2517</f>
        <v>2517</v>
      </c>
      <c r="E4" s="1" t="s">
        <v>153</v>
      </c>
      <c r="F4" s="1"/>
      <c r="I4" s="14" t="s">
        <v>52</v>
      </c>
      <c r="J4" s="15" t="s">
        <v>57</v>
      </c>
      <c r="K4" s="16" t="s">
        <v>62</v>
      </c>
    </row>
    <row r="5" spans="2:11">
      <c r="C5" t="s">
        <v>2</v>
      </c>
      <c r="D5" s="4">
        <f>D3*D4</f>
        <v>1828625.67</v>
      </c>
      <c r="E5" s="1"/>
      <c r="F5" s="1"/>
      <c r="I5" s="14" t="s">
        <v>53</v>
      </c>
      <c r="J5" s="15" t="s">
        <v>58</v>
      </c>
      <c r="K5" s="16" t="s">
        <v>65</v>
      </c>
    </row>
    <row r="6" spans="2:11">
      <c r="C6" t="s">
        <v>3</v>
      </c>
      <c r="D6" s="4">
        <f>35873+45719+27524</f>
        <v>109116</v>
      </c>
      <c r="E6" s="1" t="s">
        <v>90</v>
      </c>
      <c r="F6" s="1"/>
      <c r="I6" s="14" t="s">
        <v>54</v>
      </c>
      <c r="J6" s="15" t="s">
        <v>58</v>
      </c>
      <c r="K6" s="16" t="s">
        <v>63</v>
      </c>
    </row>
    <row r="7" spans="2:11">
      <c r="C7" t="s">
        <v>4</v>
      </c>
      <c r="D7" s="4">
        <f>58744</f>
        <v>58744</v>
      </c>
      <c r="E7" s="1" t="s">
        <v>90</v>
      </c>
      <c r="F7" s="1"/>
      <c r="I7" s="17" t="s">
        <v>55</v>
      </c>
      <c r="J7" s="18" t="s">
        <v>59</v>
      </c>
      <c r="K7" s="19" t="s">
        <v>66</v>
      </c>
    </row>
    <row r="8" spans="2:11">
      <c r="C8" t="s">
        <v>5</v>
      </c>
      <c r="D8" s="4">
        <f>D6-D7</f>
        <v>50372</v>
      </c>
      <c r="E8" s="1"/>
      <c r="F8" s="1"/>
    </row>
    <row r="9" spans="2:11">
      <c r="C9" t="s">
        <v>6</v>
      </c>
      <c r="D9" s="4">
        <f>D5-D8</f>
        <v>1778253.67</v>
      </c>
      <c r="E9" s="1"/>
      <c r="F9" s="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6CAC-9C85-445D-A50B-99FA437D4B08}">
  <dimension ref="B2:FT26"/>
  <sheetViews>
    <sheetView tabSelected="1" workbookViewId="0">
      <pane xSplit="2" ySplit="2" topLeftCell="BC3" activePane="bottomRight" state="frozen"/>
      <selection pane="topRight" activeCell="C1" sqref="C1"/>
      <selection pane="bottomLeft" activeCell="A3" sqref="A3"/>
      <selection pane="bottomRight" activeCell="BT27" sqref="BT27"/>
    </sheetView>
  </sheetViews>
  <sheetFormatPr defaultRowHeight="14.4"/>
  <cols>
    <col min="2" max="2" width="15.21875" bestFit="1" customWidth="1"/>
    <col min="66" max="67" width="8.88671875" customWidth="1"/>
    <col min="71" max="71" width="12" bestFit="1" customWidth="1"/>
    <col min="72" max="72" width="17.33203125" bestFit="1" customWidth="1"/>
  </cols>
  <sheetData>
    <row r="2" spans="2:176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</v>
      </c>
      <c r="Q2" s="3" t="s">
        <v>24</v>
      </c>
      <c r="R2" s="3" t="s">
        <v>25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3" t="s">
        <v>154</v>
      </c>
      <c r="AN2" s="3" t="s">
        <v>155</v>
      </c>
      <c r="AO2" s="3" t="s">
        <v>156</v>
      </c>
      <c r="AP2" s="3" t="s">
        <v>157</v>
      </c>
      <c r="AQ2" s="3"/>
      <c r="AR2">
        <v>2010</v>
      </c>
      <c r="AS2">
        <v>2011</v>
      </c>
      <c r="AT2">
        <v>2012</v>
      </c>
      <c r="AU2">
        <v>2013</v>
      </c>
      <c r="AV2">
        <v>2014</v>
      </c>
      <c r="AW2">
        <v>2015</v>
      </c>
      <c r="AX2">
        <v>2016</v>
      </c>
      <c r="AY2">
        <v>2017</v>
      </c>
      <c r="AZ2">
        <v>2018</v>
      </c>
      <c r="BA2">
        <v>2019</v>
      </c>
      <c r="BB2">
        <v>2020</v>
      </c>
      <c r="BC2">
        <v>2021</v>
      </c>
      <c r="BD2">
        <v>2022</v>
      </c>
      <c r="BE2">
        <v>2023</v>
      </c>
      <c r="BF2">
        <v>2024</v>
      </c>
      <c r="BG2">
        <v>2025</v>
      </c>
      <c r="BH2">
        <v>2026</v>
      </c>
      <c r="BI2">
        <v>2027</v>
      </c>
      <c r="BJ2">
        <v>2028</v>
      </c>
      <c r="BK2">
        <v>2029</v>
      </c>
      <c r="BL2">
        <v>2030</v>
      </c>
      <c r="BM2">
        <v>2031</v>
      </c>
      <c r="BN2">
        <v>2032</v>
      </c>
      <c r="BO2">
        <v>2033</v>
      </c>
      <c r="BP2">
        <v>2034</v>
      </c>
      <c r="BQ2">
        <v>2035</v>
      </c>
    </row>
    <row r="3" spans="2:176" s="6" customFormat="1">
      <c r="B3" s="6" t="s">
        <v>10</v>
      </c>
      <c r="C3" s="8">
        <v>8032</v>
      </c>
      <c r="D3" s="8">
        <v>9321</v>
      </c>
      <c r="E3" s="8">
        <v>10328</v>
      </c>
      <c r="F3" s="8">
        <v>12972</v>
      </c>
      <c r="G3" s="8">
        <v>11966</v>
      </c>
      <c r="H3" s="8">
        <v>13231</v>
      </c>
      <c r="I3" s="8">
        <v>13727</v>
      </c>
      <c r="J3" s="8">
        <v>16914</v>
      </c>
      <c r="K3" s="8">
        <v>15077</v>
      </c>
      <c r="L3" s="8">
        <v>16866</v>
      </c>
      <c r="M3" s="8">
        <v>17652</v>
      </c>
      <c r="N3" s="8">
        <v>21082</v>
      </c>
      <c r="O3" s="8">
        <v>17737</v>
      </c>
      <c r="P3" s="8">
        <v>18687</v>
      </c>
      <c r="Q3" s="8">
        <v>21470</v>
      </c>
      <c r="R3" s="8">
        <v>28072</v>
      </c>
      <c r="S3" s="8">
        <v>26171</v>
      </c>
      <c r="T3" s="8">
        <v>29077</v>
      </c>
      <c r="U3" s="8">
        <v>29010</v>
      </c>
      <c r="V3" s="8">
        <v>33671</v>
      </c>
      <c r="W3" s="8">
        <v>27908</v>
      </c>
      <c r="X3" s="8">
        <v>28822</v>
      </c>
      <c r="Y3" s="8">
        <v>27714</v>
      </c>
      <c r="Z3" s="8">
        <v>32165</v>
      </c>
      <c r="AA3" s="8">
        <v>28645</v>
      </c>
      <c r="AB3" s="8">
        <v>31999</v>
      </c>
      <c r="AC3" s="8">
        <v>34416</v>
      </c>
      <c r="AD3" s="8">
        <v>40111</v>
      </c>
      <c r="AE3" s="8">
        <v>36455</v>
      </c>
      <c r="AF3" s="8">
        <v>39071</v>
      </c>
      <c r="AG3" s="8">
        <v>40589</v>
      </c>
      <c r="AH3" s="8">
        <v>48385</v>
      </c>
      <c r="AI3" s="8">
        <v>42314</v>
      </c>
      <c r="AJ3" s="8">
        <v>47516</v>
      </c>
      <c r="AK3" s="8">
        <v>51242</v>
      </c>
      <c r="AL3" s="8">
        <v>59893</v>
      </c>
      <c r="AM3" s="8"/>
      <c r="AN3" s="8"/>
      <c r="AO3" s="8"/>
      <c r="AP3" s="8"/>
      <c r="AQ3" s="8"/>
      <c r="AR3" s="8">
        <v>1974</v>
      </c>
      <c r="AS3" s="8">
        <v>3711</v>
      </c>
      <c r="AT3" s="8">
        <v>5089</v>
      </c>
      <c r="AU3" s="8">
        <v>7872</v>
      </c>
      <c r="AV3" s="8">
        <v>12466</v>
      </c>
      <c r="AW3" s="8">
        <v>17928</v>
      </c>
      <c r="AX3" s="8">
        <v>27638</v>
      </c>
      <c r="AY3" s="8">
        <f>SUM(C3:F3)</f>
        <v>40653</v>
      </c>
      <c r="AZ3" s="8">
        <f>SUM(G3:J3)</f>
        <v>55838</v>
      </c>
      <c r="BA3" s="8">
        <f>SUM(K3:N3)</f>
        <v>70677</v>
      </c>
      <c r="BB3" s="8">
        <f>SUM(O3:R3)</f>
        <v>85966</v>
      </c>
      <c r="BC3" s="8">
        <f>SUM(S3:V3)</f>
        <v>117929</v>
      </c>
      <c r="BD3" s="8">
        <f>SUM(W3:Z3)</f>
        <v>116609</v>
      </c>
      <c r="BE3" s="8">
        <f>SUM(AA3:AD3)</f>
        <v>135171</v>
      </c>
      <c r="BF3" s="8">
        <f>SUM(AE3:AH3)</f>
        <v>164500</v>
      </c>
      <c r="BG3" s="8">
        <f>SUM(AI3:AL3)</f>
        <v>200965</v>
      </c>
      <c r="BH3" s="8">
        <f>BG3*1.15</f>
        <v>231109.74999999997</v>
      </c>
      <c r="BI3" s="8">
        <f>BH3*1.08</f>
        <v>249598.53</v>
      </c>
      <c r="BJ3" s="8">
        <f>BI3*1.06</f>
        <v>264574.44180000003</v>
      </c>
      <c r="BK3" s="8">
        <f>BJ3*1.04</f>
        <v>275157.41947200004</v>
      </c>
      <c r="BL3" s="8">
        <f>BK3*1.03</f>
        <v>283412.14205616002</v>
      </c>
      <c r="BM3" s="8">
        <f t="shared" ref="BM3" si="0">BL3*1.02</f>
        <v>289080.38489728322</v>
      </c>
      <c r="BN3" s="8">
        <f t="shared" ref="BN3" si="1">BM3*1.02</f>
        <v>294861.99259522889</v>
      </c>
      <c r="BO3" s="8">
        <f t="shared" ref="BO3" si="2">BN3*1.02</f>
        <v>300759.23244713346</v>
      </c>
      <c r="BP3" s="8">
        <f t="shared" ref="BP3" si="3">BO3*1.02</f>
        <v>306774.41709607613</v>
      </c>
      <c r="BQ3" s="8">
        <f t="shared" ref="BQ3" si="4">BP3*1.02</f>
        <v>312909.90543799766</v>
      </c>
    </row>
    <row r="4" spans="2:176">
      <c r="B4" t="s">
        <v>26</v>
      </c>
      <c r="C4" s="4">
        <v>1159</v>
      </c>
      <c r="D4" s="4">
        <v>1237</v>
      </c>
      <c r="E4" s="4">
        <v>1448</v>
      </c>
      <c r="F4" s="4">
        <v>1611</v>
      </c>
      <c r="G4" s="4">
        <v>1927</v>
      </c>
      <c r="H4" s="4">
        <v>2214</v>
      </c>
      <c r="I4" s="4">
        <v>2418</v>
      </c>
      <c r="J4" s="4">
        <v>2796</v>
      </c>
      <c r="K4" s="4">
        <v>2816</v>
      </c>
      <c r="L4" s="4">
        <v>3307</v>
      </c>
      <c r="M4" s="4">
        <v>3155</v>
      </c>
      <c r="N4" s="4">
        <v>3492</v>
      </c>
      <c r="O4" s="4">
        <v>3459</v>
      </c>
      <c r="P4" s="4">
        <v>3829</v>
      </c>
      <c r="Q4" s="4">
        <v>4194</v>
      </c>
      <c r="R4" s="4">
        <v>5210</v>
      </c>
      <c r="S4" s="4">
        <v>5131</v>
      </c>
      <c r="T4" s="4">
        <v>5399</v>
      </c>
      <c r="U4" s="4">
        <v>5771</v>
      </c>
      <c r="V4" s="4">
        <v>6348</v>
      </c>
      <c r="W4" s="4">
        <v>6005</v>
      </c>
      <c r="X4" s="4">
        <v>5192</v>
      </c>
      <c r="Y4" s="4">
        <v>5716</v>
      </c>
      <c r="Z4" s="4">
        <v>8336</v>
      </c>
      <c r="AA4" s="4">
        <v>6108</v>
      </c>
      <c r="AB4" s="4">
        <v>5945</v>
      </c>
      <c r="AC4" s="4">
        <v>6210</v>
      </c>
      <c r="AD4" s="4">
        <v>7695</v>
      </c>
      <c r="AE4" s="4">
        <v>6640</v>
      </c>
      <c r="AF4" s="4">
        <v>7308</v>
      </c>
      <c r="AG4" s="4">
        <v>7375</v>
      </c>
      <c r="AH4" s="4">
        <v>8839</v>
      </c>
      <c r="AI4" s="4">
        <v>7572</v>
      </c>
      <c r="AJ4" s="4">
        <v>8491</v>
      </c>
      <c r="AK4" s="4">
        <v>9206</v>
      </c>
      <c r="AL4" s="4">
        <v>10905</v>
      </c>
      <c r="AM4" s="4"/>
      <c r="AN4" s="4"/>
      <c r="AO4" s="4"/>
      <c r="AP4" s="4"/>
      <c r="AQ4" s="4"/>
      <c r="AR4" s="4">
        <v>493</v>
      </c>
      <c r="AS4" s="4">
        <v>860</v>
      </c>
      <c r="AT4" s="4">
        <v>1364</v>
      </c>
      <c r="AU4" s="4">
        <v>1875</v>
      </c>
      <c r="AV4" s="4">
        <v>2153</v>
      </c>
      <c r="AW4" s="4">
        <v>2867</v>
      </c>
      <c r="AX4" s="4">
        <v>3789</v>
      </c>
      <c r="AY4" s="4">
        <f>SUM(C4:F4)</f>
        <v>5455</v>
      </c>
      <c r="AZ4" s="4">
        <f>SUM(G4:J4)</f>
        <v>9355</v>
      </c>
      <c r="BA4" s="4">
        <f>SUM(K4:N4)</f>
        <v>12770</v>
      </c>
      <c r="BB4" s="4">
        <f>SUM(O4:R4)</f>
        <v>16692</v>
      </c>
      <c r="BC4" s="4">
        <f>SUM(S4:V4)</f>
        <v>22649</v>
      </c>
      <c r="BD4" s="4">
        <f>SUM(W4:Z4)</f>
        <v>25249</v>
      </c>
      <c r="BE4" s="4">
        <f>SUM(AA4:AD4)</f>
        <v>25958</v>
      </c>
      <c r="BF4" s="4">
        <f>SUM(AE4:AH4)</f>
        <v>30162</v>
      </c>
      <c r="BG4" s="4">
        <f>SUM(AI4:AL4)</f>
        <v>36174</v>
      </c>
      <c r="BH4" s="4">
        <f t="shared" ref="BH4:BL4" si="5">BH3-BH5</f>
        <v>41599.755000000005</v>
      </c>
      <c r="BI4" s="4">
        <f t="shared" si="5"/>
        <v>44927.735400000005</v>
      </c>
      <c r="BJ4" s="4">
        <f t="shared" si="5"/>
        <v>47623.399524000008</v>
      </c>
      <c r="BK4" s="4">
        <f t="shared" si="5"/>
        <v>49528.335504960007</v>
      </c>
      <c r="BL4" s="4">
        <f t="shared" si="5"/>
        <v>51014.185570108821</v>
      </c>
      <c r="BM4" s="4">
        <f t="shared" ref="BM4:BQ4" si="6">BM3-BM5</f>
        <v>52034.469281511003</v>
      </c>
      <c r="BN4" s="4">
        <f t="shared" si="6"/>
        <v>53075.158667141222</v>
      </c>
      <c r="BO4" s="4">
        <f t="shared" si="6"/>
        <v>54136.661840484041</v>
      </c>
      <c r="BP4" s="4">
        <f t="shared" si="6"/>
        <v>55219.39507729371</v>
      </c>
      <c r="BQ4" s="4">
        <f t="shared" si="6"/>
        <v>56323.78297883959</v>
      </c>
    </row>
    <row r="5" spans="2:176" s="6" customFormat="1">
      <c r="B5" s="6" t="s">
        <v>30</v>
      </c>
      <c r="C5" s="8">
        <f t="shared" ref="C5:S5" si="7">C3-C4</f>
        <v>6873</v>
      </c>
      <c r="D5" s="8">
        <f t="shared" si="7"/>
        <v>8084</v>
      </c>
      <c r="E5" s="8">
        <f t="shared" si="7"/>
        <v>8880</v>
      </c>
      <c r="F5" s="8">
        <f t="shared" si="7"/>
        <v>11361</v>
      </c>
      <c r="G5" s="8">
        <f t="shared" si="7"/>
        <v>10039</v>
      </c>
      <c r="H5" s="8">
        <f t="shared" si="7"/>
        <v>11017</v>
      </c>
      <c r="I5" s="8">
        <f t="shared" si="7"/>
        <v>11309</v>
      </c>
      <c r="J5" s="8">
        <f t="shared" si="7"/>
        <v>14118</v>
      </c>
      <c r="K5" s="8">
        <f t="shared" si="7"/>
        <v>12261</v>
      </c>
      <c r="L5" s="8">
        <f t="shared" si="7"/>
        <v>13559</v>
      </c>
      <c r="M5" s="8">
        <f t="shared" si="7"/>
        <v>14497</v>
      </c>
      <c r="N5" s="8">
        <f t="shared" si="7"/>
        <v>17590</v>
      </c>
      <c r="O5" s="8">
        <f t="shared" si="7"/>
        <v>14278</v>
      </c>
      <c r="P5" s="8">
        <f t="shared" si="7"/>
        <v>14858</v>
      </c>
      <c r="Q5" s="8">
        <f t="shared" si="7"/>
        <v>17276</v>
      </c>
      <c r="R5" s="8">
        <f t="shared" si="7"/>
        <v>22862</v>
      </c>
      <c r="S5" s="8">
        <f t="shared" si="7"/>
        <v>21040</v>
      </c>
      <c r="T5" s="8">
        <f t="shared" ref="T5:U5" si="8">T3-T4</f>
        <v>23678</v>
      </c>
      <c r="U5" s="8">
        <f t="shared" si="8"/>
        <v>23239</v>
      </c>
      <c r="V5" s="8">
        <f t="shared" ref="V5" si="9">V3-V4</f>
        <v>27323</v>
      </c>
      <c r="W5" s="8">
        <f t="shared" ref="W5:X5" si="10">W3-W4</f>
        <v>21903</v>
      </c>
      <c r="X5" s="8">
        <f t="shared" si="10"/>
        <v>23630</v>
      </c>
      <c r="Y5" s="8">
        <f t="shared" ref="Y5" si="11">Y3-Y4</f>
        <v>21998</v>
      </c>
      <c r="Z5" s="8">
        <f t="shared" ref="Z5" si="12">Z3-Z4</f>
        <v>23829</v>
      </c>
      <c r="AA5" s="8">
        <f t="shared" ref="AA5:AC5" si="13">AA3-AA4</f>
        <v>22537</v>
      </c>
      <c r="AB5" s="8">
        <f t="shared" si="13"/>
        <v>26054</v>
      </c>
      <c r="AC5" s="8">
        <f t="shared" si="13"/>
        <v>28206</v>
      </c>
      <c r="AD5" s="8">
        <f t="shared" ref="AD5" si="14">AD3-AD4</f>
        <v>32416</v>
      </c>
      <c r="AE5" s="8">
        <f t="shared" ref="AE5:AL5" si="15">AE3-AE4</f>
        <v>29815</v>
      </c>
      <c r="AF5" s="8">
        <f t="shared" si="15"/>
        <v>31763</v>
      </c>
      <c r="AG5" s="8">
        <f t="shared" si="15"/>
        <v>33214</v>
      </c>
      <c r="AH5" s="8">
        <f t="shared" si="15"/>
        <v>39546</v>
      </c>
      <c r="AI5" s="8">
        <f t="shared" si="15"/>
        <v>34742</v>
      </c>
      <c r="AJ5" s="8">
        <f t="shared" si="15"/>
        <v>39025</v>
      </c>
      <c r="AK5" s="8">
        <f t="shared" si="15"/>
        <v>42036</v>
      </c>
      <c r="AL5" s="8">
        <f t="shared" si="15"/>
        <v>48988</v>
      </c>
      <c r="AM5" s="8"/>
      <c r="AN5" s="8"/>
      <c r="AO5" s="8"/>
      <c r="AP5" s="8"/>
      <c r="AQ5" s="8"/>
      <c r="AR5" s="8">
        <f t="shared" ref="AR5" si="16">AR3-AR4</f>
        <v>1481</v>
      </c>
      <c r="AS5" s="8">
        <f t="shared" ref="AS5:AT5" si="17">AS3-AS4</f>
        <v>2851</v>
      </c>
      <c r="AT5" s="8">
        <f t="shared" si="17"/>
        <v>3725</v>
      </c>
      <c r="AU5" s="8">
        <f t="shared" ref="AU5" si="18">AU3-AU4</f>
        <v>5997</v>
      </c>
      <c r="AV5" s="8">
        <f t="shared" ref="AV5" si="19">AV3-AV4</f>
        <v>10313</v>
      </c>
      <c r="AW5" s="8">
        <f t="shared" ref="AW5:AX5" si="20">AW3-AW4</f>
        <v>15061</v>
      </c>
      <c r="AX5" s="8">
        <f t="shared" si="20"/>
        <v>23849</v>
      </c>
      <c r="AY5" s="8">
        <f t="shared" ref="AY5:BF5" si="21">AY3-AY4</f>
        <v>35198</v>
      </c>
      <c r="AZ5" s="8">
        <f t="shared" si="21"/>
        <v>46483</v>
      </c>
      <c r="BA5" s="8">
        <f t="shared" si="21"/>
        <v>57907</v>
      </c>
      <c r="BB5" s="8">
        <f t="shared" si="21"/>
        <v>69274</v>
      </c>
      <c r="BC5" s="8">
        <f t="shared" si="21"/>
        <v>95280</v>
      </c>
      <c r="BD5" s="8">
        <f t="shared" si="21"/>
        <v>91360</v>
      </c>
      <c r="BE5" s="8">
        <f t="shared" si="21"/>
        <v>109213</v>
      </c>
      <c r="BF5" s="8">
        <f t="shared" si="21"/>
        <v>134338</v>
      </c>
      <c r="BG5" s="8">
        <f>BG3*0.82</f>
        <v>164791.29999999999</v>
      </c>
      <c r="BH5" s="8">
        <f t="shared" ref="BH5:BQ5" si="22">BH3*0.82</f>
        <v>189509.99499999997</v>
      </c>
      <c r="BI5" s="8">
        <f t="shared" si="22"/>
        <v>204670.79459999999</v>
      </c>
      <c r="BJ5" s="8">
        <f t="shared" si="22"/>
        <v>216951.04227600002</v>
      </c>
      <c r="BK5" s="8">
        <f t="shared" si="22"/>
        <v>225629.08396704003</v>
      </c>
      <c r="BL5" s="8">
        <f t="shared" si="22"/>
        <v>232397.9564860512</v>
      </c>
      <c r="BM5" s="8">
        <f t="shared" si="22"/>
        <v>237045.91561577222</v>
      </c>
      <c r="BN5" s="8">
        <f t="shared" si="22"/>
        <v>241786.83392808767</v>
      </c>
      <c r="BO5" s="8">
        <f t="shared" si="22"/>
        <v>246622.57060664942</v>
      </c>
      <c r="BP5" s="8">
        <f t="shared" si="22"/>
        <v>251555.02201878242</v>
      </c>
      <c r="BQ5" s="8">
        <f t="shared" si="22"/>
        <v>256586.12245915807</v>
      </c>
    </row>
    <row r="6" spans="2:176">
      <c r="B6" t="s">
        <v>27</v>
      </c>
      <c r="C6" s="4">
        <v>1834</v>
      </c>
      <c r="D6" s="4">
        <v>1919</v>
      </c>
      <c r="E6" s="4">
        <v>2052</v>
      </c>
      <c r="F6" s="4">
        <v>1949</v>
      </c>
      <c r="G6" s="4">
        <v>2238</v>
      </c>
      <c r="H6" s="4">
        <v>2523</v>
      </c>
      <c r="I6" s="4">
        <v>2657</v>
      </c>
      <c r="J6" s="4">
        <v>2855</v>
      </c>
      <c r="K6" s="4">
        <v>2860</v>
      </c>
      <c r="L6" s="4">
        <v>3315</v>
      </c>
      <c r="M6" s="4">
        <v>3548</v>
      </c>
      <c r="N6" s="4">
        <v>3877</v>
      </c>
      <c r="O6" s="4">
        <v>4015</v>
      </c>
      <c r="P6" s="4">
        <v>4462</v>
      </c>
      <c r="Q6" s="4">
        <v>4763</v>
      </c>
      <c r="R6" s="4">
        <v>5208</v>
      </c>
      <c r="S6" s="4">
        <v>5197</v>
      </c>
      <c r="T6" s="4">
        <v>6096</v>
      </c>
      <c r="U6" s="4">
        <v>6316</v>
      </c>
      <c r="V6" s="4">
        <v>7046</v>
      </c>
      <c r="W6" s="4">
        <v>7707</v>
      </c>
      <c r="X6" s="4">
        <v>8690</v>
      </c>
      <c r="Y6" s="4">
        <v>9170</v>
      </c>
      <c r="Z6" s="4">
        <v>9771</v>
      </c>
      <c r="AA6" s="4">
        <v>9381</v>
      </c>
      <c r="AB6" s="4">
        <v>9344</v>
      </c>
      <c r="AC6" s="4">
        <v>9241</v>
      </c>
      <c r="AD6" s="4">
        <v>10517</v>
      </c>
      <c r="AE6" s="4">
        <v>9978</v>
      </c>
      <c r="AF6" s="4">
        <v>10537</v>
      </c>
      <c r="AG6" s="4">
        <v>11177</v>
      </c>
      <c r="AH6" s="4">
        <v>12180</v>
      </c>
      <c r="AI6" s="4">
        <v>12150</v>
      </c>
      <c r="AJ6" s="4">
        <v>12942</v>
      </c>
      <c r="AK6" s="4">
        <v>15144</v>
      </c>
      <c r="AL6" s="4">
        <v>17136</v>
      </c>
      <c r="AM6" s="4"/>
      <c r="AN6" s="4"/>
      <c r="AO6" s="4"/>
      <c r="AP6" s="4"/>
      <c r="AQ6" s="4"/>
      <c r="AR6" s="4">
        <v>144</v>
      </c>
      <c r="AS6" s="4">
        <v>388</v>
      </c>
      <c r="AT6" s="4">
        <v>1399</v>
      </c>
      <c r="AU6" s="4">
        <v>1415</v>
      </c>
      <c r="AV6" s="4">
        <v>2666</v>
      </c>
      <c r="AW6" s="4">
        <v>4816</v>
      </c>
      <c r="AX6" s="4">
        <v>5919</v>
      </c>
      <c r="AY6" s="4">
        <f>SUM(C6:F6)</f>
        <v>7754</v>
      </c>
      <c r="AZ6" s="4">
        <f>SUM(G6:J6)</f>
        <v>10273</v>
      </c>
      <c r="BA6" s="4">
        <f>SUM(K6:N6)</f>
        <v>13600</v>
      </c>
      <c r="BB6" s="4">
        <f>SUM(O6:R6)</f>
        <v>18448</v>
      </c>
      <c r="BC6" s="4">
        <f>SUM(S6:V6)</f>
        <v>24655</v>
      </c>
      <c r="BD6" s="4">
        <f>SUM(W6:Z6)</f>
        <v>35338</v>
      </c>
      <c r="BE6" s="4">
        <f>SUM(AA6:AD6)</f>
        <v>38483</v>
      </c>
      <c r="BF6" s="4">
        <f>SUM(AE6:AH6)</f>
        <v>43872</v>
      </c>
      <c r="BG6" s="4">
        <f>SUM(AI6:AL6)</f>
        <v>57372</v>
      </c>
      <c r="BH6" s="4">
        <f>BG6*1.14</f>
        <v>65404.079999999994</v>
      </c>
      <c r="BI6" s="4">
        <f>BH6*1.06</f>
        <v>69328.324800000002</v>
      </c>
      <c r="BJ6" s="4">
        <f>BI6*1.04</f>
        <v>72101.457792000001</v>
      </c>
      <c r="BK6" s="4">
        <f t="shared" ref="BK6:BL6" si="23">BJ6*1.03</f>
        <v>74264.501525760003</v>
      </c>
      <c r="BL6" s="4">
        <f t="shared" si="23"/>
        <v>76492.436571532802</v>
      </c>
      <c r="BM6" s="4">
        <f>BL6*1.02</f>
        <v>78022.285302963457</v>
      </c>
      <c r="BN6" s="4">
        <f t="shared" ref="BN6:BQ6" si="24">BM6*1.02</f>
        <v>79582.731009022726</v>
      </c>
      <c r="BO6" s="4">
        <f t="shared" si="24"/>
        <v>81174.385629203185</v>
      </c>
      <c r="BP6" s="4">
        <f t="shared" si="24"/>
        <v>82797.873341787257</v>
      </c>
      <c r="BQ6" s="4">
        <f t="shared" si="24"/>
        <v>84453.83080862301</v>
      </c>
    </row>
    <row r="7" spans="2:176">
      <c r="B7" t="s">
        <v>28</v>
      </c>
      <c r="C7" s="4">
        <v>1057</v>
      </c>
      <c r="D7" s="4">
        <v>1124</v>
      </c>
      <c r="E7" s="4">
        <v>1170</v>
      </c>
      <c r="F7" s="4">
        <v>1374</v>
      </c>
      <c r="G7" s="4">
        <v>1595</v>
      </c>
      <c r="H7" s="4">
        <v>1855</v>
      </c>
      <c r="I7" s="4">
        <v>1928</v>
      </c>
      <c r="J7" s="4">
        <v>2467</v>
      </c>
      <c r="K7" s="4">
        <v>2020</v>
      </c>
      <c r="L7" s="4">
        <v>2414</v>
      </c>
      <c r="M7" s="4">
        <v>2416</v>
      </c>
      <c r="N7" s="4">
        <v>3026</v>
      </c>
      <c r="O7" s="4">
        <v>2787</v>
      </c>
      <c r="P7" s="4">
        <v>2840</v>
      </c>
      <c r="Q7" s="4">
        <v>2683</v>
      </c>
      <c r="R7" s="4">
        <v>3280</v>
      </c>
      <c r="S7" s="4">
        <v>2843</v>
      </c>
      <c r="T7" s="4">
        <v>3259</v>
      </c>
      <c r="U7" s="4">
        <v>3554</v>
      </c>
      <c r="V7" s="4">
        <v>4387</v>
      </c>
      <c r="W7" s="4">
        <v>3312</v>
      </c>
      <c r="X7" s="4">
        <v>3595</v>
      </c>
      <c r="Y7" s="4">
        <v>3780</v>
      </c>
      <c r="Z7" s="4">
        <v>4574</v>
      </c>
      <c r="AA7" s="4">
        <v>3044</v>
      </c>
      <c r="AB7" s="4">
        <v>3154</v>
      </c>
      <c r="AC7" s="4">
        <v>2877</v>
      </c>
      <c r="AD7" s="4">
        <v>3226</v>
      </c>
      <c r="AE7" s="4">
        <v>2564</v>
      </c>
      <c r="AF7" s="4">
        <v>2721</v>
      </c>
      <c r="AG7" s="4">
        <v>2822</v>
      </c>
      <c r="AH7" s="4">
        <v>3240</v>
      </c>
      <c r="AI7" s="4">
        <v>2757</v>
      </c>
      <c r="AJ7" s="4">
        <v>2979</v>
      </c>
      <c r="AK7" s="4">
        <v>2845</v>
      </c>
      <c r="AL7" s="4">
        <v>3410</v>
      </c>
      <c r="AM7" s="4"/>
      <c r="AN7" s="4"/>
      <c r="AO7" s="4"/>
      <c r="AP7" s="4"/>
      <c r="AQ7" s="4"/>
      <c r="AR7" s="4">
        <v>167</v>
      </c>
      <c r="AS7" s="4">
        <v>393</v>
      </c>
      <c r="AT7" s="4">
        <v>896</v>
      </c>
      <c r="AU7" s="4">
        <v>997</v>
      </c>
      <c r="AV7" s="4">
        <v>1680</v>
      </c>
      <c r="AW7" s="4">
        <v>2725</v>
      </c>
      <c r="AX7" s="4">
        <v>3772</v>
      </c>
      <c r="AY7" s="4">
        <f>SUM(C7:F7)</f>
        <v>4725</v>
      </c>
      <c r="AZ7" s="4">
        <f>SUM(G7:J7)</f>
        <v>7845</v>
      </c>
      <c r="BA7" s="4">
        <f>SUM(K7:N7)</f>
        <v>9876</v>
      </c>
      <c r="BB7" s="4">
        <f>SUM(O7:R7)</f>
        <v>11590</v>
      </c>
      <c r="BC7" s="4">
        <f>SUM(S7:V7)</f>
        <v>14043</v>
      </c>
      <c r="BD7" s="4">
        <f>SUM(W7:Z7)</f>
        <v>15261</v>
      </c>
      <c r="BE7" s="4">
        <f>SUM(AA7:AD7)</f>
        <v>12301</v>
      </c>
      <c r="BF7" s="4">
        <f>SUM(AE7:AH7)</f>
        <v>11347</v>
      </c>
      <c r="BG7" s="4">
        <f>SUM(AI7:AL7)</f>
        <v>11991</v>
      </c>
      <c r="BH7" s="4">
        <f>BH3*0.065</f>
        <v>15022.133749999999</v>
      </c>
      <c r="BI7" s="4">
        <f t="shared" ref="BI7:BQ7" si="25">BI3*0.065</f>
        <v>16223.90445</v>
      </c>
      <c r="BJ7" s="4">
        <f t="shared" si="25"/>
        <v>17197.338717000002</v>
      </c>
      <c r="BK7" s="4">
        <f t="shared" si="25"/>
        <v>17885.232265680002</v>
      </c>
      <c r="BL7" s="4">
        <f t="shared" si="25"/>
        <v>18421.789233650401</v>
      </c>
      <c r="BM7" s="4">
        <f t="shared" si="25"/>
        <v>18790.22501832341</v>
      </c>
      <c r="BN7" s="4">
        <f t="shared" si="25"/>
        <v>19166.02951868988</v>
      </c>
      <c r="BO7" s="4">
        <f t="shared" si="25"/>
        <v>19549.350109063675</v>
      </c>
      <c r="BP7" s="4">
        <f t="shared" si="25"/>
        <v>19940.337111244949</v>
      </c>
      <c r="BQ7" s="4">
        <f t="shared" si="25"/>
        <v>20339.14385346985</v>
      </c>
    </row>
    <row r="8" spans="2:176">
      <c r="B8" t="s">
        <v>29</v>
      </c>
      <c r="C8" s="4">
        <v>655</v>
      </c>
      <c r="D8" s="4">
        <v>640</v>
      </c>
      <c r="E8" s="4">
        <v>536</v>
      </c>
      <c r="F8" s="4">
        <v>686</v>
      </c>
      <c r="G8" s="4">
        <v>757</v>
      </c>
      <c r="H8" s="4">
        <v>776</v>
      </c>
      <c r="I8" s="4">
        <v>943</v>
      </c>
      <c r="J8" s="4">
        <v>976</v>
      </c>
      <c r="K8" s="4">
        <v>4064</v>
      </c>
      <c r="L8" s="4">
        <v>3224</v>
      </c>
      <c r="M8" s="4">
        <v>1348</v>
      </c>
      <c r="N8" s="4">
        <v>1829</v>
      </c>
      <c r="O8" s="4">
        <v>1583</v>
      </c>
      <c r="P8" s="4">
        <v>1593</v>
      </c>
      <c r="Q8" s="4">
        <v>1790</v>
      </c>
      <c r="R8" s="4">
        <v>1599</v>
      </c>
      <c r="S8" s="4">
        <v>1622</v>
      </c>
      <c r="T8" s="4">
        <v>1956</v>
      </c>
      <c r="U8" s="4">
        <v>2946</v>
      </c>
      <c r="V8" s="4">
        <v>3305</v>
      </c>
      <c r="W8" s="4">
        <v>2360</v>
      </c>
      <c r="X8" s="4">
        <v>2987</v>
      </c>
      <c r="Y8" s="4">
        <v>3384</v>
      </c>
      <c r="Z8" s="4">
        <v>3085</v>
      </c>
      <c r="AA8" s="4">
        <v>2885</v>
      </c>
      <c r="AB8" s="4">
        <v>4164</v>
      </c>
      <c r="AC8" s="4">
        <v>2070</v>
      </c>
      <c r="AD8" s="4">
        <v>2289</v>
      </c>
      <c r="AE8" s="4">
        <v>3455</v>
      </c>
      <c r="AF8" s="4">
        <v>3658</v>
      </c>
      <c r="AG8" s="4">
        <v>1865</v>
      </c>
      <c r="AH8" s="4">
        <f>761+1550</f>
        <v>2311</v>
      </c>
      <c r="AI8" s="4">
        <v>2280</v>
      </c>
      <c r="AJ8" s="4">
        <v>2663</v>
      </c>
      <c r="AK8" s="4">
        <v>3512</v>
      </c>
      <c r="AL8" s="4">
        <v>3697</v>
      </c>
      <c r="AM8" s="4"/>
      <c r="AN8" s="4"/>
      <c r="AO8" s="4"/>
      <c r="AP8" s="4"/>
      <c r="AQ8" s="4"/>
      <c r="AR8" s="4">
        <v>138</v>
      </c>
      <c r="AS8" s="4">
        <v>314</v>
      </c>
      <c r="AT8" s="4">
        <v>892</v>
      </c>
      <c r="AU8" s="4">
        <v>781</v>
      </c>
      <c r="AV8" s="4">
        <v>973</v>
      </c>
      <c r="AW8" s="4">
        <v>1295</v>
      </c>
      <c r="AX8" s="4">
        <v>1731</v>
      </c>
      <c r="AY8" s="4">
        <f>SUM(C8:F8)</f>
        <v>2517</v>
      </c>
      <c r="AZ8" s="4">
        <f>SUM(G8:J8)</f>
        <v>3452</v>
      </c>
      <c r="BA8" s="4">
        <f>SUM(K8:N8)</f>
        <v>10465</v>
      </c>
      <c r="BB8" s="4">
        <f>SUM(O8:R8)</f>
        <v>6565</v>
      </c>
      <c r="BC8" s="4">
        <f>SUM(S8:V8)</f>
        <v>9829</v>
      </c>
      <c r="BD8" s="4">
        <f>SUM(W8:Z8)</f>
        <v>11816</v>
      </c>
      <c r="BE8" s="4">
        <f>SUM(AA8:AD8)</f>
        <v>11408</v>
      </c>
      <c r="BF8" s="4">
        <f>SUM(AE8:AH8)</f>
        <v>11289</v>
      </c>
      <c r="BG8" s="4">
        <f>SUM(AI8:AL8)</f>
        <v>12152</v>
      </c>
      <c r="BH8" s="4">
        <f>BG8*1.14</f>
        <v>13853.279999999999</v>
      </c>
      <c r="BI8" s="4">
        <f>BH8*1.05</f>
        <v>14545.944</v>
      </c>
      <c r="BJ8" s="4">
        <f>BI8*1.03</f>
        <v>14982.322319999999</v>
      </c>
      <c r="BK8" s="4">
        <f>BJ8*1.02</f>
        <v>15281.968766399999</v>
      </c>
      <c r="BL8" s="4">
        <f t="shared" ref="BL8:BQ8" si="26">BK8*1.02</f>
        <v>15587.608141728</v>
      </c>
      <c r="BM8" s="4">
        <f t="shared" si="26"/>
        <v>15899.36030456256</v>
      </c>
      <c r="BN8" s="4">
        <f t="shared" si="26"/>
        <v>16217.347510653812</v>
      </c>
      <c r="BO8" s="4">
        <f t="shared" si="26"/>
        <v>16541.694460866889</v>
      </c>
      <c r="BP8" s="4">
        <f t="shared" si="26"/>
        <v>16872.528350084227</v>
      </c>
      <c r="BQ8" s="4">
        <f t="shared" si="26"/>
        <v>17209.978917085911</v>
      </c>
    </row>
    <row r="9" spans="2:176" s="6" customFormat="1">
      <c r="B9" s="6" t="s">
        <v>31</v>
      </c>
      <c r="C9" s="8">
        <f t="shared" ref="C9:V9" si="27">C5-C6-C7-C8</f>
        <v>3327</v>
      </c>
      <c r="D9" s="8">
        <f t="shared" si="27"/>
        <v>4401</v>
      </c>
      <c r="E9" s="8">
        <f t="shared" si="27"/>
        <v>5122</v>
      </c>
      <c r="F9" s="8">
        <f t="shared" si="27"/>
        <v>7352</v>
      </c>
      <c r="G9" s="8">
        <f t="shared" si="27"/>
        <v>5449</v>
      </c>
      <c r="H9" s="8">
        <f t="shared" si="27"/>
        <v>5863</v>
      </c>
      <c r="I9" s="8">
        <f t="shared" si="27"/>
        <v>5781</v>
      </c>
      <c r="J9" s="8">
        <f t="shared" si="27"/>
        <v>7820</v>
      </c>
      <c r="K9" s="8">
        <f t="shared" si="27"/>
        <v>3317</v>
      </c>
      <c r="L9" s="8">
        <f t="shared" si="27"/>
        <v>4606</v>
      </c>
      <c r="M9" s="8">
        <f t="shared" si="27"/>
        <v>7185</v>
      </c>
      <c r="N9" s="8">
        <f t="shared" si="27"/>
        <v>8858</v>
      </c>
      <c r="O9" s="8">
        <f t="shared" si="27"/>
        <v>5893</v>
      </c>
      <c r="P9" s="8">
        <f t="shared" si="27"/>
        <v>5963</v>
      </c>
      <c r="Q9" s="8">
        <f t="shared" si="27"/>
        <v>8040</v>
      </c>
      <c r="R9" s="8">
        <f t="shared" si="27"/>
        <v>12775</v>
      </c>
      <c r="S9" s="8">
        <f t="shared" si="27"/>
        <v>11378</v>
      </c>
      <c r="T9" s="8">
        <f t="shared" ref="T9:U9" si="28">T5-T6-T7-T8</f>
        <v>12367</v>
      </c>
      <c r="U9" s="8">
        <f t="shared" si="28"/>
        <v>10423</v>
      </c>
      <c r="V9" s="8">
        <f t="shared" si="27"/>
        <v>12585</v>
      </c>
      <c r="W9" s="8">
        <f t="shared" ref="W9:X9" si="29">W5-W6-W7-W8</f>
        <v>8524</v>
      </c>
      <c r="X9" s="8">
        <f t="shared" si="29"/>
        <v>8358</v>
      </c>
      <c r="Y9" s="8">
        <f t="shared" ref="Y9" si="30">Y5-Y6-Y7-Y8</f>
        <v>5664</v>
      </c>
      <c r="Z9" s="8">
        <f t="shared" ref="Z9" si="31">Z5-Z6-Z7-Z8</f>
        <v>6399</v>
      </c>
      <c r="AA9" s="8">
        <f t="shared" ref="AA9:AC9" si="32">AA5-AA6-AA7-AA8</f>
        <v>7227</v>
      </c>
      <c r="AB9" s="8">
        <f t="shared" si="32"/>
        <v>9392</v>
      </c>
      <c r="AC9" s="8">
        <f t="shared" si="32"/>
        <v>14018</v>
      </c>
      <c r="AD9" s="8">
        <f t="shared" ref="AD9" si="33">AD5-AD6-AD7-AD8</f>
        <v>16384</v>
      </c>
      <c r="AE9" s="8">
        <f t="shared" ref="AE9:AL9" si="34">AE5-AE6-AE7-AE8</f>
        <v>13818</v>
      </c>
      <c r="AF9" s="8">
        <f t="shared" si="34"/>
        <v>14847</v>
      </c>
      <c r="AG9" s="8">
        <f t="shared" si="34"/>
        <v>17350</v>
      </c>
      <c r="AH9" s="8">
        <f t="shared" si="34"/>
        <v>21815</v>
      </c>
      <c r="AI9" s="8">
        <f t="shared" si="34"/>
        <v>17555</v>
      </c>
      <c r="AJ9" s="8">
        <f t="shared" si="34"/>
        <v>20441</v>
      </c>
      <c r="AK9" s="8">
        <f t="shared" si="34"/>
        <v>20535</v>
      </c>
      <c r="AL9" s="8">
        <f t="shared" si="34"/>
        <v>24745</v>
      </c>
      <c r="AM9" s="8"/>
      <c r="AN9" s="8"/>
      <c r="AO9" s="8"/>
      <c r="AP9" s="8"/>
      <c r="AQ9" s="8"/>
      <c r="AR9" s="8">
        <f t="shared" ref="AR9:BB9" si="35">AR5-AR6-AR7-AR8</f>
        <v>1032</v>
      </c>
      <c r="AS9" s="8">
        <f t="shared" si="35"/>
        <v>1756</v>
      </c>
      <c r="AT9" s="8">
        <f t="shared" si="35"/>
        <v>538</v>
      </c>
      <c r="AU9" s="8">
        <f t="shared" si="35"/>
        <v>2804</v>
      </c>
      <c r="AV9" s="8">
        <f t="shared" si="35"/>
        <v>4994</v>
      </c>
      <c r="AW9" s="8">
        <f t="shared" si="35"/>
        <v>6225</v>
      </c>
      <c r="AX9" s="8">
        <f t="shared" si="35"/>
        <v>12427</v>
      </c>
      <c r="AY9" s="8">
        <f t="shared" si="35"/>
        <v>20202</v>
      </c>
      <c r="AZ9" s="8">
        <f t="shared" si="35"/>
        <v>24913</v>
      </c>
      <c r="BA9" s="8">
        <f t="shared" si="35"/>
        <v>23966</v>
      </c>
      <c r="BB9" s="8">
        <f t="shared" si="35"/>
        <v>32671</v>
      </c>
      <c r="BC9" s="8">
        <f t="shared" ref="BC9:BL9" si="36">BC5-BC6-BC7-BC8</f>
        <v>46753</v>
      </c>
      <c r="BD9" s="8">
        <f t="shared" si="36"/>
        <v>28945</v>
      </c>
      <c r="BE9" s="8">
        <f t="shared" si="36"/>
        <v>47021</v>
      </c>
      <c r="BF9" s="8">
        <f t="shared" si="36"/>
        <v>67830</v>
      </c>
      <c r="BG9" s="8">
        <f t="shared" si="36"/>
        <v>83276.299999999988</v>
      </c>
      <c r="BH9" s="8">
        <f t="shared" si="36"/>
        <v>95230.501249999987</v>
      </c>
      <c r="BI9" s="8">
        <f t="shared" si="36"/>
        <v>104572.62134999999</v>
      </c>
      <c r="BJ9" s="8">
        <f t="shared" si="36"/>
        <v>112669.92344700001</v>
      </c>
      <c r="BK9" s="8">
        <f t="shared" si="36"/>
        <v>118197.38140920001</v>
      </c>
      <c r="BL9" s="8">
        <f t="shared" si="36"/>
        <v>121896.12253913999</v>
      </c>
      <c r="BM9" s="8">
        <f t="shared" ref="BM9:BQ9" si="37">BM5-BM6-BM7-BM8</f>
        <v>124334.0449899228</v>
      </c>
      <c r="BN9" s="8">
        <f t="shared" si="37"/>
        <v>126820.72588972125</v>
      </c>
      <c r="BO9" s="8">
        <f t="shared" si="37"/>
        <v>129357.14040751566</v>
      </c>
      <c r="BP9" s="8">
        <f t="shared" si="37"/>
        <v>131944.28321566599</v>
      </c>
      <c r="BQ9" s="8">
        <f t="shared" si="37"/>
        <v>134583.16887997932</v>
      </c>
    </row>
    <row r="10" spans="2:176">
      <c r="B10" t="s">
        <v>32</v>
      </c>
      <c r="C10" s="4">
        <v>-81</v>
      </c>
      <c r="D10" s="4">
        <v>-87</v>
      </c>
      <c r="E10" s="4">
        <v>-114</v>
      </c>
      <c r="F10" s="4">
        <v>-110</v>
      </c>
      <c r="G10" s="4">
        <v>-161</v>
      </c>
      <c r="H10" s="4">
        <v>-5</v>
      </c>
      <c r="I10" s="4">
        <v>-131</v>
      </c>
      <c r="J10" s="4">
        <v>-151</v>
      </c>
      <c r="K10" s="4">
        <v>-165</v>
      </c>
      <c r="L10" s="4">
        <v>-206</v>
      </c>
      <c r="M10" s="4">
        <v>-144</v>
      </c>
      <c r="N10" s="4">
        <v>-311</v>
      </c>
      <c r="O10" s="4">
        <v>32</v>
      </c>
      <c r="P10" s="4">
        <v>-168</v>
      </c>
      <c r="Q10" s="4">
        <v>-93</v>
      </c>
      <c r="R10" s="4">
        <v>-280</v>
      </c>
      <c r="S10" s="4">
        <v>-125</v>
      </c>
      <c r="T10" s="4">
        <v>-146</v>
      </c>
      <c r="U10" s="4">
        <v>-142</v>
      </c>
      <c r="V10" s="4">
        <v>-117</v>
      </c>
      <c r="W10" s="4">
        <v>-384</v>
      </c>
      <c r="X10" s="4">
        <v>172</v>
      </c>
      <c r="Y10" s="4">
        <v>88</v>
      </c>
      <c r="Z10" s="4">
        <v>250</v>
      </c>
      <c r="AA10" s="4">
        <v>-80</v>
      </c>
      <c r="AB10" s="4">
        <v>99</v>
      </c>
      <c r="AC10" s="4">
        <v>-272</v>
      </c>
      <c r="AD10" s="4">
        <v>-424</v>
      </c>
      <c r="AE10" s="4">
        <v>-365</v>
      </c>
      <c r="AF10" s="4">
        <v>-259</v>
      </c>
      <c r="AG10" s="4">
        <v>-472</v>
      </c>
      <c r="AH10" s="4">
        <v>-188</v>
      </c>
      <c r="AI10" s="4">
        <v>-827</v>
      </c>
      <c r="AJ10" s="4">
        <v>-93</v>
      </c>
      <c r="AK10" s="4">
        <v>-1128</v>
      </c>
      <c r="AL10" s="4">
        <v>-609</v>
      </c>
      <c r="AM10" s="4"/>
      <c r="AN10" s="4"/>
      <c r="AO10" s="4"/>
      <c r="AP10" s="4"/>
      <c r="AQ10" s="4"/>
      <c r="AR10" s="4">
        <v>24</v>
      </c>
      <c r="AS10" s="4">
        <v>61</v>
      </c>
      <c r="AT10" s="4">
        <v>44</v>
      </c>
      <c r="AU10" s="4">
        <v>50</v>
      </c>
      <c r="AV10" s="4">
        <v>84</v>
      </c>
      <c r="AW10" s="4">
        <v>31</v>
      </c>
      <c r="AX10" s="4">
        <v>-91</v>
      </c>
      <c r="AY10" s="4">
        <f>SUM(C10:F10)</f>
        <v>-392</v>
      </c>
      <c r="AZ10" s="4">
        <f>SUM(G10:J10)</f>
        <v>-448</v>
      </c>
      <c r="BA10" s="4">
        <f>SUM(K10:N10)</f>
        <v>-826</v>
      </c>
      <c r="BB10" s="4">
        <f>SUM(O10:R10)</f>
        <v>-509</v>
      </c>
      <c r="BC10" s="4">
        <f>SUM(S10:V10)</f>
        <v>-530</v>
      </c>
      <c r="BD10" s="4">
        <f>SUM(W10:Z10)</f>
        <v>126</v>
      </c>
      <c r="BE10" s="4">
        <f>SUM(AA10:AD10)</f>
        <v>-677</v>
      </c>
      <c r="BF10" s="4">
        <f>SUM(AE10:AH10)</f>
        <v>-1284</v>
      </c>
      <c r="BG10" s="4">
        <f>SUM(AI10:AL10)</f>
        <v>-2657</v>
      </c>
      <c r="BH10" s="4">
        <f t="shared" ref="BH10:BL10" si="38">-BG13*0.02</f>
        <v>-1527.7659999999998</v>
      </c>
      <c r="BI10" s="4">
        <f t="shared" si="38"/>
        <v>-1702.9455035999999</v>
      </c>
      <c r="BJ10" s="4">
        <f t="shared" si="38"/>
        <v>-1870.4499766233598</v>
      </c>
      <c r="BK10" s="4">
        <f t="shared" si="38"/>
        <v>-2015.9105722557713</v>
      </c>
      <c r="BL10" s="4">
        <f t="shared" si="38"/>
        <v>-2115.7539388736218</v>
      </c>
      <c r="BM10" s="4">
        <f t="shared" ref="BM10" si="39">-BL13*0.02</f>
        <v>-2182.6090260130395</v>
      </c>
      <c r="BN10" s="4">
        <f t="shared" ref="BN10" si="40">-BM13*0.02</f>
        <v>-2226.6931106804709</v>
      </c>
      <c r="BO10" s="4">
        <f t="shared" ref="BO10" si="41">-BN13*0.02</f>
        <v>-2271.2345744070703</v>
      </c>
      <c r="BP10" s="4">
        <f t="shared" ref="BP10" si="42">-BO13*0.02</f>
        <v>-2316.6593996818401</v>
      </c>
      <c r="BQ10" s="4">
        <f t="shared" ref="BQ10" si="43">-BP13*0.02</f>
        <v>-2362.9925900301218</v>
      </c>
    </row>
    <row r="11" spans="2:176" s="6" customFormat="1">
      <c r="B11" s="6" t="s">
        <v>33</v>
      </c>
      <c r="C11" s="8">
        <f t="shared" ref="C11:P11" si="44">C9-C10</f>
        <v>3408</v>
      </c>
      <c r="D11" s="8">
        <f t="shared" si="44"/>
        <v>4488</v>
      </c>
      <c r="E11" s="8">
        <f t="shared" si="44"/>
        <v>5236</v>
      </c>
      <c r="F11" s="8">
        <f t="shared" si="44"/>
        <v>7462</v>
      </c>
      <c r="G11" s="8">
        <f t="shared" si="44"/>
        <v>5610</v>
      </c>
      <c r="H11" s="8">
        <f t="shared" si="44"/>
        <v>5868</v>
      </c>
      <c r="I11" s="8">
        <f t="shared" si="44"/>
        <v>5912</v>
      </c>
      <c r="J11" s="8">
        <f t="shared" si="44"/>
        <v>7971</v>
      </c>
      <c r="K11" s="8">
        <f t="shared" si="44"/>
        <v>3482</v>
      </c>
      <c r="L11" s="8">
        <f t="shared" si="44"/>
        <v>4812</v>
      </c>
      <c r="M11" s="8">
        <f t="shared" si="44"/>
        <v>7329</v>
      </c>
      <c r="N11" s="8">
        <f t="shared" si="44"/>
        <v>9169</v>
      </c>
      <c r="O11" s="8">
        <f t="shared" si="44"/>
        <v>5861</v>
      </c>
      <c r="P11" s="8">
        <f t="shared" si="44"/>
        <v>6131</v>
      </c>
      <c r="Q11" s="8">
        <f t="shared" ref="Q11:V11" si="45">Q9-Q10</f>
        <v>8133</v>
      </c>
      <c r="R11" s="8">
        <f t="shared" si="45"/>
        <v>13055</v>
      </c>
      <c r="S11" s="8">
        <f t="shared" si="45"/>
        <v>11503</v>
      </c>
      <c r="T11" s="8">
        <f t="shared" ref="T11:U11" si="46">T9-T10</f>
        <v>12513</v>
      </c>
      <c r="U11" s="8">
        <f t="shared" si="46"/>
        <v>10565</v>
      </c>
      <c r="V11" s="8">
        <f t="shared" si="45"/>
        <v>12702</v>
      </c>
      <c r="W11" s="8">
        <f t="shared" ref="W11:X11" si="47">W9-W10</f>
        <v>8908</v>
      </c>
      <c r="X11" s="8">
        <f t="shared" si="47"/>
        <v>8186</v>
      </c>
      <c r="Y11" s="8">
        <f t="shared" ref="Y11" si="48">Y9-Y10</f>
        <v>5576</v>
      </c>
      <c r="Z11" s="8">
        <f t="shared" ref="Z11" si="49">Z9-Z10</f>
        <v>6149</v>
      </c>
      <c r="AA11" s="8">
        <f t="shared" ref="AA11:AC11" si="50">AA9-AA10</f>
        <v>7307</v>
      </c>
      <c r="AB11" s="8">
        <f t="shared" si="50"/>
        <v>9293</v>
      </c>
      <c r="AC11" s="8">
        <f t="shared" si="50"/>
        <v>14290</v>
      </c>
      <c r="AD11" s="8">
        <f t="shared" ref="AD11" si="51">AD9-AD10</f>
        <v>16808</v>
      </c>
      <c r="AE11" s="8">
        <f t="shared" ref="AE11:AL11" si="52">AE9-AE10</f>
        <v>14183</v>
      </c>
      <c r="AF11" s="8">
        <f t="shared" si="52"/>
        <v>15106</v>
      </c>
      <c r="AG11" s="8">
        <f t="shared" si="52"/>
        <v>17822</v>
      </c>
      <c r="AH11" s="8">
        <f t="shared" si="52"/>
        <v>22003</v>
      </c>
      <c r="AI11" s="8">
        <f t="shared" si="52"/>
        <v>18382</v>
      </c>
      <c r="AJ11" s="8">
        <f t="shared" si="52"/>
        <v>20534</v>
      </c>
      <c r="AK11" s="8">
        <f t="shared" si="52"/>
        <v>21663</v>
      </c>
      <c r="AL11" s="8">
        <f t="shared" si="52"/>
        <v>25354</v>
      </c>
      <c r="AM11" s="8"/>
      <c r="AN11" s="8"/>
      <c r="AO11" s="8"/>
      <c r="AP11" s="8"/>
      <c r="AQ11" s="8"/>
      <c r="AR11" s="8">
        <f t="shared" ref="AR11:BB11" si="53">AR9-AR10</f>
        <v>1008</v>
      </c>
      <c r="AS11" s="8">
        <f t="shared" si="53"/>
        <v>1695</v>
      </c>
      <c r="AT11" s="8">
        <f t="shared" si="53"/>
        <v>494</v>
      </c>
      <c r="AU11" s="8">
        <f t="shared" si="53"/>
        <v>2754</v>
      </c>
      <c r="AV11" s="8">
        <f t="shared" si="53"/>
        <v>4910</v>
      </c>
      <c r="AW11" s="8">
        <f t="shared" si="53"/>
        <v>6194</v>
      </c>
      <c r="AX11" s="8">
        <f t="shared" si="53"/>
        <v>12518</v>
      </c>
      <c r="AY11" s="8">
        <f t="shared" si="53"/>
        <v>20594</v>
      </c>
      <c r="AZ11" s="8">
        <f t="shared" si="53"/>
        <v>25361</v>
      </c>
      <c r="BA11" s="8">
        <f t="shared" si="53"/>
        <v>24792</v>
      </c>
      <c r="BB11" s="8">
        <f t="shared" si="53"/>
        <v>33180</v>
      </c>
      <c r="BC11" s="8">
        <f t="shared" ref="BC11:BL11" si="54">BC9-BC10</f>
        <v>47283</v>
      </c>
      <c r="BD11" s="8">
        <f t="shared" si="54"/>
        <v>28819</v>
      </c>
      <c r="BE11" s="8">
        <f t="shared" si="54"/>
        <v>47698</v>
      </c>
      <c r="BF11" s="8">
        <f t="shared" si="54"/>
        <v>69114</v>
      </c>
      <c r="BG11" s="8">
        <f t="shared" si="54"/>
        <v>85933.299999999988</v>
      </c>
      <c r="BH11" s="8">
        <f t="shared" si="54"/>
        <v>96758.26724999999</v>
      </c>
      <c r="BI11" s="8">
        <f t="shared" si="54"/>
        <v>106275.56685359999</v>
      </c>
      <c r="BJ11" s="8">
        <f t="shared" si="54"/>
        <v>114540.37342362337</v>
      </c>
      <c r="BK11" s="8">
        <f t="shared" si="54"/>
        <v>120213.29198145578</v>
      </c>
      <c r="BL11" s="8">
        <f t="shared" si="54"/>
        <v>124011.87647801361</v>
      </c>
      <c r="BM11" s="8">
        <f t="shared" ref="BM11:BQ11" si="55">BM9-BM10</f>
        <v>126516.65401593584</v>
      </c>
      <c r="BN11" s="8">
        <f t="shared" si="55"/>
        <v>129047.41900040171</v>
      </c>
      <c r="BO11" s="8">
        <f t="shared" si="55"/>
        <v>131628.37498192274</v>
      </c>
      <c r="BP11" s="8">
        <f t="shared" si="55"/>
        <v>134260.94261534783</v>
      </c>
      <c r="BQ11" s="8">
        <f t="shared" si="55"/>
        <v>136946.16147000945</v>
      </c>
    </row>
    <row r="12" spans="2:176">
      <c r="B12" t="s">
        <v>34</v>
      </c>
      <c r="C12" s="4">
        <f>344+5</f>
        <v>349</v>
      </c>
      <c r="D12" s="4">
        <f>594+4</f>
        <v>598</v>
      </c>
      <c r="E12" s="4">
        <v>529</v>
      </c>
      <c r="F12" s="4">
        <f>1644+2270</f>
        <v>3914</v>
      </c>
      <c r="G12" s="4">
        <f>622+1</f>
        <v>623</v>
      </c>
      <c r="H12" s="4">
        <v>762</v>
      </c>
      <c r="I12" s="4">
        <v>775</v>
      </c>
      <c r="J12" s="4">
        <v>1089</v>
      </c>
      <c r="K12" s="4">
        <v>1053</v>
      </c>
      <c r="L12" s="4">
        <v>2216</v>
      </c>
      <c r="M12" s="4">
        <v>1238</v>
      </c>
      <c r="N12" s="4">
        <v>1820</v>
      </c>
      <c r="O12" s="4">
        <v>959</v>
      </c>
      <c r="P12" s="4">
        <v>953</v>
      </c>
      <c r="Q12" s="4">
        <v>287</v>
      </c>
      <c r="R12" s="4">
        <v>1836</v>
      </c>
      <c r="S12" s="4">
        <v>2006</v>
      </c>
      <c r="T12" s="4">
        <v>2119</v>
      </c>
      <c r="U12" s="4">
        <v>1371</v>
      </c>
      <c r="V12" s="4">
        <v>2417</v>
      </c>
      <c r="W12" s="4">
        <v>1443</v>
      </c>
      <c r="X12" s="4">
        <v>1499</v>
      </c>
      <c r="Y12" s="4">
        <v>1181</v>
      </c>
      <c r="Z12" s="4">
        <v>1497</v>
      </c>
      <c r="AA12" s="4">
        <v>1598</v>
      </c>
      <c r="AB12" s="4">
        <v>1505</v>
      </c>
      <c r="AC12" s="4">
        <v>2437</v>
      </c>
      <c r="AD12" s="4">
        <v>2791</v>
      </c>
      <c r="AE12" s="4">
        <v>1814</v>
      </c>
      <c r="AF12" s="4">
        <v>1641</v>
      </c>
      <c r="AG12" s="4">
        <v>2134</v>
      </c>
      <c r="AH12" s="4">
        <v>2715</v>
      </c>
      <c r="AI12" s="4">
        <v>1738</v>
      </c>
      <c r="AJ12" s="4">
        <v>2197</v>
      </c>
      <c r="AK12" s="4">
        <f>18954-15930</f>
        <v>3024</v>
      </c>
      <c r="AL12" s="4">
        <v>2586</v>
      </c>
      <c r="AM12" s="4"/>
      <c r="AN12" s="4"/>
      <c r="AO12" s="4"/>
      <c r="AP12" s="4"/>
      <c r="AQ12" s="4"/>
      <c r="AR12" s="4">
        <v>402</v>
      </c>
      <c r="AS12" s="4">
        <v>695</v>
      </c>
      <c r="AT12" s="4">
        <v>441</v>
      </c>
      <c r="AU12" s="4">
        <v>1254</v>
      </c>
      <c r="AV12" s="4">
        <v>1970</v>
      </c>
      <c r="AW12" s="4">
        <v>2506</v>
      </c>
      <c r="AX12" s="4">
        <v>2301</v>
      </c>
      <c r="AY12" s="4">
        <f>SUM(C12:F12)</f>
        <v>5390</v>
      </c>
      <c r="AZ12" s="4">
        <f>SUM(G12:J12)</f>
        <v>3249</v>
      </c>
      <c r="BA12" s="4">
        <f>SUM(K12:N12)</f>
        <v>6327</v>
      </c>
      <c r="BB12" s="4">
        <f>SUM(O12:R12)</f>
        <v>4035</v>
      </c>
      <c r="BC12" s="4">
        <f>SUM(S12:V12)</f>
        <v>7913</v>
      </c>
      <c r="BD12" s="4">
        <f>SUM(W12:Z12)</f>
        <v>5620</v>
      </c>
      <c r="BE12" s="4">
        <f>SUM(AA12:AD12)</f>
        <v>8331</v>
      </c>
      <c r="BF12" s="4">
        <f>SUM(AE12:AH12)</f>
        <v>8304</v>
      </c>
      <c r="BG12" s="4">
        <f>SUM(AI12:AL12)</f>
        <v>9545</v>
      </c>
      <c r="BH12" s="4">
        <f>BH11*0.12</f>
        <v>11610.992069999998</v>
      </c>
      <c r="BI12" s="4">
        <f t="shared" ref="BI12:BQ12" si="56">BI11*0.12</f>
        <v>12753.068022431999</v>
      </c>
      <c r="BJ12" s="4">
        <f t="shared" si="56"/>
        <v>13744.844810834804</v>
      </c>
      <c r="BK12" s="4">
        <f t="shared" si="56"/>
        <v>14425.595037774694</v>
      </c>
      <c r="BL12" s="4">
        <f t="shared" si="56"/>
        <v>14881.425177361632</v>
      </c>
      <c r="BM12" s="4">
        <f t="shared" si="56"/>
        <v>15181.9984819123</v>
      </c>
      <c r="BN12" s="4">
        <f t="shared" si="56"/>
        <v>15485.690280048206</v>
      </c>
      <c r="BO12" s="4">
        <f t="shared" si="56"/>
        <v>15795.404997830728</v>
      </c>
      <c r="BP12" s="4">
        <f t="shared" si="56"/>
        <v>16111.313113841739</v>
      </c>
      <c r="BQ12" s="4">
        <f t="shared" si="56"/>
        <v>16433.539376401135</v>
      </c>
    </row>
    <row r="13" spans="2:176" s="6" customFormat="1">
      <c r="B13" s="6" t="s">
        <v>35</v>
      </c>
      <c r="C13" s="8">
        <f t="shared" ref="C13:P13" si="57">C11-C12</f>
        <v>3059</v>
      </c>
      <c r="D13" s="8">
        <f t="shared" si="57"/>
        <v>3890</v>
      </c>
      <c r="E13" s="8">
        <f t="shared" si="57"/>
        <v>4707</v>
      </c>
      <c r="F13" s="8">
        <f t="shared" si="57"/>
        <v>3548</v>
      </c>
      <c r="G13" s="8">
        <f t="shared" si="57"/>
        <v>4987</v>
      </c>
      <c r="H13" s="8">
        <f t="shared" si="57"/>
        <v>5106</v>
      </c>
      <c r="I13" s="8">
        <f t="shared" si="57"/>
        <v>5137</v>
      </c>
      <c r="J13" s="8">
        <f t="shared" si="57"/>
        <v>6882</v>
      </c>
      <c r="K13" s="8">
        <f t="shared" si="57"/>
        <v>2429</v>
      </c>
      <c r="L13" s="8">
        <f t="shared" si="57"/>
        <v>2596</v>
      </c>
      <c r="M13" s="8">
        <f t="shared" si="57"/>
        <v>6091</v>
      </c>
      <c r="N13" s="8">
        <f t="shared" si="57"/>
        <v>7349</v>
      </c>
      <c r="O13" s="8">
        <f t="shared" si="57"/>
        <v>4902</v>
      </c>
      <c r="P13" s="8">
        <f t="shared" si="57"/>
        <v>5178</v>
      </c>
      <c r="Q13" s="8">
        <f t="shared" ref="Q13:R13" si="58">Q11-Q12</f>
        <v>7846</v>
      </c>
      <c r="R13" s="8">
        <f t="shared" si="58"/>
        <v>11219</v>
      </c>
      <c r="S13" s="8">
        <f t="shared" ref="S13:V13" si="59">S11-S12</f>
        <v>9497</v>
      </c>
      <c r="T13" s="8">
        <f t="shared" ref="T13:U13" si="60">T11-T12</f>
        <v>10394</v>
      </c>
      <c r="U13" s="8">
        <f t="shared" si="60"/>
        <v>9194</v>
      </c>
      <c r="V13" s="8">
        <f t="shared" si="59"/>
        <v>10285</v>
      </c>
      <c r="W13" s="8">
        <f t="shared" ref="W13:X13" si="61">W11-W12</f>
        <v>7465</v>
      </c>
      <c r="X13" s="8">
        <f t="shared" si="61"/>
        <v>6687</v>
      </c>
      <c r="Y13" s="8">
        <f t="shared" ref="Y13" si="62">Y11-Y12</f>
        <v>4395</v>
      </c>
      <c r="Z13" s="8">
        <f t="shared" ref="Z13" si="63">Z11-Z12</f>
        <v>4652</v>
      </c>
      <c r="AA13" s="8">
        <f t="shared" ref="AA13:AC13" si="64">AA11-AA12</f>
        <v>5709</v>
      </c>
      <c r="AB13" s="8">
        <f t="shared" si="64"/>
        <v>7788</v>
      </c>
      <c r="AC13" s="8">
        <f t="shared" si="64"/>
        <v>11853</v>
      </c>
      <c r="AD13" s="8">
        <f t="shared" ref="AD13" si="65">AD11-AD12</f>
        <v>14017</v>
      </c>
      <c r="AE13" s="8">
        <f t="shared" ref="AE13" si="66">AE11-AE12</f>
        <v>12369</v>
      </c>
      <c r="AF13" s="8">
        <f t="shared" ref="AF13:AH13" si="67">AF11-AF12</f>
        <v>13465</v>
      </c>
      <c r="AG13" s="8">
        <f t="shared" si="67"/>
        <v>15688</v>
      </c>
      <c r="AH13" s="8">
        <f t="shared" si="67"/>
        <v>19288</v>
      </c>
      <c r="AI13" s="8">
        <f t="shared" ref="AI13:AL13" si="68">AI11-AI12</f>
        <v>16644</v>
      </c>
      <c r="AJ13" s="8">
        <f t="shared" si="68"/>
        <v>18337</v>
      </c>
      <c r="AK13" s="8">
        <f t="shared" si="68"/>
        <v>18639</v>
      </c>
      <c r="AL13" s="8">
        <f t="shared" si="68"/>
        <v>22768</v>
      </c>
      <c r="AM13" s="8"/>
      <c r="AN13" s="8"/>
      <c r="AO13" s="8"/>
      <c r="AP13" s="8"/>
      <c r="AQ13" s="8"/>
      <c r="AR13" s="8">
        <f t="shared" ref="AR13:BB13" si="69">AR11-AR12</f>
        <v>606</v>
      </c>
      <c r="AS13" s="8">
        <f t="shared" si="69"/>
        <v>1000</v>
      </c>
      <c r="AT13" s="8">
        <f t="shared" si="69"/>
        <v>53</v>
      </c>
      <c r="AU13" s="8">
        <f t="shared" si="69"/>
        <v>1500</v>
      </c>
      <c r="AV13" s="8">
        <f t="shared" si="69"/>
        <v>2940</v>
      </c>
      <c r="AW13" s="8">
        <f t="shared" si="69"/>
        <v>3688</v>
      </c>
      <c r="AX13" s="8">
        <f t="shared" si="69"/>
        <v>10217</v>
      </c>
      <c r="AY13" s="8">
        <f t="shared" si="69"/>
        <v>15204</v>
      </c>
      <c r="AZ13" s="8">
        <f t="shared" si="69"/>
        <v>22112</v>
      </c>
      <c r="BA13" s="8">
        <f t="shared" si="69"/>
        <v>18465</v>
      </c>
      <c r="BB13" s="8">
        <f t="shared" si="69"/>
        <v>29145</v>
      </c>
      <c r="BC13" s="8">
        <f t="shared" ref="BC13:BL13" si="70">BC11-BC12</f>
        <v>39370</v>
      </c>
      <c r="BD13" s="8">
        <f t="shared" si="70"/>
        <v>23199</v>
      </c>
      <c r="BE13" s="8">
        <f t="shared" si="70"/>
        <v>39367</v>
      </c>
      <c r="BF13" s="8">
        <f t="shared" si="70"/>
        <v>60810</v>
      </c>
      <c r="BG13" s="8">
        <f t="shared" si="70"/>
        <v>76388.299999999988</v>
      </c>
      <c r="BH13" s="8">
        <f t="shared" si="70"/>
        <v>85147.275179999997</v>
      </c>
      <c r="BI13" s="8">
        <f t="shared" si="70"/>
        <v>93522.498831167992</v>
      </c>
      <c r="BJ13" s="8">
        <f t="shared" si="70"/>
        <v>100795.52861278856</v>
      </c>
      <c r="BK13" s="8">
        <f t="shared" si="70"/>
        <v>105787.69694368109</v>
      </c>
      <c r="BL13" s="8">
        <f t="shared" si="70"/>
        <v>109130.45130065198</v>
      </c>
      <c r="BM13" s="8">
        <f t="shared" ref="BM13:BQ13" si="71">BM11-BM12</f>
        <v>111334.65553402354</v>
      </c>
      <c r="BN13" s="8">
        <f t="shared" si="71"/>
        <v>113561.72872035351</v>
      </c>
      <c r="BO13" s="8">
        <f t="shared" si="71"/>
        <v>115832.96998409201</v>
      </c>
      <c r="BP13" s="8">
        <f t="shared" si="71"/>
        <v>118149.62950150609</v>
      </c>
      <c r="BQ13" s="8">
        <f t="shared" si="71"/>
        <v>120512.62209360831</v>
      </c>
      <c r="BR13" s="6">
        <f>BQ13*(1+$BT$18)</f>
        <v>119307.49587267223</v>
      </c>
      <c r="BS13" s="6">
        <f t="shared" ref="BS13:ED13" si="72">BR13*(1+$BT$18)</f>
        <v>118114.42091394551</v>
      </c>
      <c r="BT13" s="6">
        <f t="shared" si="72"/>
        <v>116933.27670480605</v>
      </c>
      <c r="BU13" s="6">
        <f t="shared" si="72"/>
        <v>115763.94393775798</v>
      </c>
      <c r="BV13" s="6">
        <f t="shared" si="72"/>
        <v>114606.3044983804</v>
      </c>
      <c r="BW13" s="6">
        <f t="shared" si="72"/>
        <v>113460.24145339659</v>
      </c>
      <c r="BX13" s="6">
        <f t="shared" si="72"/>
        <v>112325.63903886263</v>
      </c>
      <c r="BY13" s="6">
        <f t="shared" si="72"/>
        <v>111202.382648474</v>
      </c>
      <c r="BZ13" s="6">
        <f t="shared" si="72"/>
        <v>110090.35882198926</v>
      </c>
      <c r="CA13" s="6">
        <f t="shared" si="72"/>
        <v>108989.45523376936</v>
      </c>
      <c r="CB13" s="6">
        <f t="shared" si="72"/>
        <v>107899.56068143167</v>
      </c>
      <c r="CC13" s="6">
        <f t="shared" si="72"/>
        <v>106820.56507461735</v>
      </c>
      <c r="CD13" s="6">
        <f t="shared" si="72"/>
        <v>105752.35942387118</v>
      </c>
      <c r="CE13" s="6">
        <f t="shared" si="72"/>
        <v>104694.83582963247</v>
      </c>
      <c r="CF13" s="6">
        <f t="shared" si="72"/>
        <v>103647.88747133614</v>
      </c>
      <c r="CG13" s="6">
        <f t="shared" si="72"/>
        <v>102611.40859662279</v>
      </c>
      <c r="CH13" s="6">
        <f t="shared" si="72"/>
        <v>101585.29451065656</v>
      </c>
      <c r="CI13" s="6">
        <f t="shared" si="72"/>
        <v>100569.44156554999</v>
      </c>
      <c r="CJ13" s="6">
        <f t="shared" si="72"/>
        <v>99563.747149894494</v>
      </c>
      <c r="CK13" s="6">
        <f t="shared" si="72"/>
        <v>98568.109678395544</v>
      </c>
      <c r="CL13" s="6">
        <f t="shared" si="72"/>
        <v>97582.428581611588</v>
      </c>
      <c r="CM13" s="6">
        <f t="shared" si="72"/>
        <v>96606.604295795478</v>
      </c>
      <c r="CN13" s="6">
        <f t="shared" si="72"/>
        <v>95640.538252837519</v>
      </c>
      <c r="CO13" s="6">
        <f t="shared" si="72"/>
        <v>94684.132870309142</v>
      </c>
      <c r="CP13" s="6">
        <f t="shared" si="72"/>
        <v>93737.291541606057</v>
      </c>
      <c r="CQ13" s="6">
        <f t="shared" si="72"/>
        <v>92799.918626189989</v>
      </c>
      <c r="CR13" s="6">
        <f t="shared" si="72"/>
        <v>91871.919439928082</v>
      </c>
      <c r="CS13" s="6">
        <f t="shared" si="72"/>
        <v>90953.200245528802</v>
      </c>
      <c r="CT13" s="6">
        <f t="shared" si="72"/>
        <v>90043.668243073509</v>
      </c>
      <c r="CU13" s="6">
        <f t="shared" si="72"/>
        <v>89143.231560642773</v>
      </c>
      <c r="CV13" s="6">
        <f t="shared" si="72"/>
        <v>88251.799245036338</v>
      </c>
      <c r="CW13" s="6">
        <f t="shared" si="72"/>
        <v>87369.281252585977</v>
      </c>
      <c r="CX13" s="6">
        <f t="shared" si="72"/>
        <v>86495.588440060121</v>
      </c>
      <c r="CY13" s="6">
        <f t="shared" si="72"/>
        <v>85630.632555659526</v>
      </c>
      <c r="CZ13" s="6">
        <f t="shared" si="72"/>
        <v>84774.326230102932</v>
      </c>
      <c r="DA13" s="6">
        <f t="shared" si="72"/>
        <v>83926.582967801907</v>
      </c>
      <c r="DB13" s="6">
        <f t="shared" si="72"/>
        <v>83087.317138123894</v>
      </c>
      <c r="DC13" s="6">
        <f t="shared" si="72"/>
        <v>82256.443966742649</v>
      </c>
      <c r="DD13" s="6">
        <f t="shared" si="72"/>
        <v>81433.879527075216</v>
      </c>
      <c r="DE13" s="6">
        <f t="shared" si="72"/>
        <v>80619.54073180446</v>
      </c>
      <c r="DF13" s="6">
        <f t="shared" si="72"/>
        <v>79813.345324486421</v>
      </c>
      <c r="DG13" s="6">
        <f t="shared" si="72"/>
        <v>79015.211871241554</v>
      </c>
      <c r="DH13" s="6">
        <f t="shared" si="72"/>
        <v>78225.059752529138</v>
      </c>
      <c r="DI13" s="6">
        <f t="shared" si="72"/>
        <v>77442.809155003852</v>
      </c>
      <c r="DJ13" s="6">
        <f t="shared" si="72"/>
        <v>76668.381063453809</v>
      </c>
      <c r="DK13" s="6">
        <f t="shared" si="72"/>
        <v>75901.697252819271</v>
      </c>
      <c r="DL13" s="6">
        <f t="shared" si="72"/>
        <v>75142.680280291082</v>
      </c>
      <c r="DM13" s="6">
        <f t="shared" si="72"/>
        <v>74391.253477488164</v>
      </c>
      <c r="DN13" s="6">
        <f t="shared" si="72"/>
        <v>73647.340942713286</v>
      </c>
      <c r="DO13" s="6">
        <f t="shared" si="72"/>
        <v>72910.867533286146</v>
      </c>
      <c r="DP13" s="6">
        <f t="shared" si="72"/>
        <v>72181.758857953289</v>
      </c>
      <c r="DQ13" s="6">
        <f t="shared" si="72"/>
        <v>71459.941269373754</v>
      </c>
      <c r="DR13" s="6">
        <f t="shared" si="72"/>
        <v>70745.34185668001</v>
      </c>
      <c r="DS13" s="6">
        <f t="shared" si="72"/>
        <v>70037.888438113208</v>
      </c>
      <c r="DT13" s="6">
        <f t="shared" si="72"/>
        <v>69337.509553732074</v>
      </c>
      <c r="DU13" s="6">
        <f t="shared" si="72"/>
        <v>68644.134458194749</v>
      </c>
      <c r="DV13" s="6">
        <f t="shared" si="72"/>
        <v>67957.693113612797</v>
      </c>
      <c r="DW13" s="6">
        <f t="shared" si="72"/>
        <v>67278.116182476675</v>
      </c>
      <c r="DX13" s="6">
        <f t="shared" si="72"/>
        <v>66605.33502065191</v>
      </c>
      <c r="DY13" s="6">
        <f t="shared" si="72"/>
        <v>65939.281670445387</v>
      </c>
      <c r="DZ13" s="6">
        <f t="shared" si="72"/>
        <v>65279.888853740929</v>
      </c>
      <c r="EA13" s="6">
        <f t="shared" si="72"/>
        <v>64627.089965203522</v>
      </c>
      <c r="EB13" s="6">
        <f t="shared" si="72"/>
        <v>63980.819065551485</v>
      </c>
      <c r="EC13" s="6">
        <f t="shared" si="72"/>
        <v>63341.010874895968</v>
      </c>
      <c r="ED13" s="6">
        <f t="shared" si="72"/>
        <v>62707.600766147007</v>
      </c>
      <c r="EE13" s="6">
        <f t="shared" ref="EE13:FT13" si="73">ED13*(1+$BT$18)</f>
        <v>62080.524758485539</v>
      </c>
      <c r="EF13" s="6">
        <f t="shared" si="73"/>
        <v>61459.719510900686</v>
      </c>
      <c r="EG13" s="6">
        <f t="shared" si="73"/>
        <v>60845.122315791676</v>
      </c>
      <c r="EH13" s="6">
        <f t="shared" si="73"/>
        <v>60236.671092633762</v>
      </c>
      <c r="EI13" s="6">
        <f t="shared" si="73"/>
        <v>59634.304381707421</v>
      </c>
      <c r="EJ13" s="6">
        <f t="shared" si="73"/>
        <v>59037.961337890345</v>
      </c>
      <c r="EK13" s="6">
        <f t="shared" si="73"/>
        <v>58447.581724511438</v>
      </c>
      <c r="EL13" s="6">
        <f t="shared" si="73"/>
        <v>57863.105907266319</v>
      </c>
      <c r="EM13" s="6">
        <f t="shared" si="73"/>
        <v>57284.474848193655</v>
      </c>
      <c r="EN13" s="6">
        <f t="shared" si="73"/>
        <v>56711.630099711721</v>
      </c>
      <c r="EO13" s="6">
        <f t="shared" si="73"/>
        <v>56144.513798714601</v>
      </c>
      <c r="EP13" s="6">
        <f t="shared" si="73"/>
        <v>55583.068660727455</v>
      </c>
      <c r="EQ13" s="6">
        <f t="shared" si="73"/>
        <v>55027.23797412018</v>
      </c>
      <c r="ER13" s="6">
        <f t="shared" si="73"/>
        <v>54476.965594378977</v>
      </c>
      <c r="ES13" s="6">
        <f t="shared" si="73"/>
        <v>53932.195938435187</v>
      </c>
      <c r="ET13" s="6">
        <f t="shared" si="73"/>
        <v>53392.873979050833</v>
      </c>
      <c r="EU13" s="6">
        <f t="shared" si="73"/>
        <v>52858.945239260327</v>
      </c>
      <c r="EV13" s="6">
        <f t="shared" si="73"/>
        <v>52330.355786867724</v>
      </c>
      <c r="EW13" s="6">
        <f t="shared" si="73"/>
        <v>51807.052228999048</v>
      </c>
      <c r="EX13" s="6">
        <f t="shared" si="73"/>
        <v>51288.981706709055</v>
      </c>
      <c r="EY13" s="6">
        <f t="shared" si="73"/>
        <v>50776.091889641961</v>
      </c>
      <c r="EZ13" s="6">
        <f t="shared" si="73"/>
        <v>50268.330970745541</v>
      </c>
      <c r="FA13" s="6">
        <f t="shared" si="73"/>
        <v>49765.647661038085</v>
      </c>
      <c r="FB13" s="6">
        <f t="shared" si="73"/>
        <v>49267.991184427701</v>
      </c>
      <c r="FC13" s="6">
        <f t="shared" si="73"/>
        <v>48775.311272583422</v>
      </c>
      <c r="FD13" s="6">
        <f t="shared" si="73"/>
        <v>48287.558159857588</v>
      </c>
      <c r="FE13" s="6">
        <f t="shared" si="73"/>
        <v>47804.682578259009</v>
      </c>
      <c r="FF13" s="6">
        <f t="shared" si="73"/>
        <v>47326.635752476417</v>
      </c>
      <c r="FG13" s="6">
        <f t="shared" si="73"/>
        <v>46853.369394951653</v>
      </c>
      <c r="FH13" s="6">
        <f t="shared" si="73"/>
        <v>46384.835701002135</v>
      </c>
      <c r="FI13" s="6">
        <f t="shared" si="73"/>
        <v>45920.987343992114</v>
      </c>
      <c r="FJ13" s="6">
        <f t="shared" si="73"/>
        <v>45461.777470552195</v>
      </c>
      <c r="FK13" s="6">
        <f t="shared" si="73"/>
        <v>45007.159695846676</v>
      </c>
      <c r="FL13" s="6">
        <f t="shared" si="73"/>
        <v>44557.088098888205</v>
      </c>
      <c r="FM13" s="6">
        <f t="shared" si="73"/>
        <v>44111.517217899323</v>
      </c>
      <c r="FN13" s="6">
        <f t="shared" si="73"/>
        <v>43670.40204572033</v>
      </c>
      <c r="FO13" s="6">
        <f t="shared" si="73"/>
        <v>43233.698025263126</v>
      </c>
      <c r="FP13" s="6">
        <f t="shared" si="73"/>
        <v>42801.361045010497</v>
      </c>
      <c r="FQ13" s="6">
        <f t="shared" si="73"/>
        <v>42373.34743456039</v>
      </c>
      <c r="FR13" s="6">
        <f t="shared" si="73"/>
        <v>41949.613960214789</v>
      </c>
      <c r="FS13" s="6">
        <f t="shared" si="73"/>
        <v>41530.117820612642</v>
      </c>
      <c r="FT13" s="6">
        <f t="shared" si="73"/>
        <v>41114.816642406513</v>
      </c>
    </row>
    <row r="14" spans="2:176">
      <c r="B14" t="s">
        <v>1</v>
      </c>
      <c r="C14" s="4">
        <v>2848.8</v>
      </c>
      <c r="D14" s="4">
        <v>2848.8</v>
      </c>
      <c r="E14" s="4">
        <v>2848.8</v>
      </c>
      <c r="F14" s="4">
        <v>2848.8</v>
      </c>
      <c r="G14" s="4">
        <v>2848.8</v>
      </c>
      <c r="H14" s="4">
        <v>2848.8</v>
      </c>
      <c r="I14" s="4">
        <v>2848.8</v>
      </c>
      <c r="J14" s="4">
        <v>2848.8</v>
      </c>
      <c r="K14" s="4">
        <v>2848.8</v>
      </c>
      <c r="L14" s="4">
        <v>2848.8</v>
      </c>
      <c r="M14" s="4">
        <v>2848.8</v>
      </c>
      <c r="N14" s="4">
        <v>2848.8</v>
      </c>
      <c r="O14" s="4">
        <v>2848.8</v>
      </c>
      <c r="P14" s="4">
        <f>Main!D4</f>
        <v>2517</v>
      </c>
      <c r="Q14" s="4">
        <v>2848.8</v>
      </c>
      <c r="R14" s="4">
        <v>2848.8</v>
      </c>
      <c r="S14" s="4">
        <f>2396+439.4</f>
        <v>2835.4</v>
      </c>
      <c r="T14" s="4">
        <v>2834</v>
      </c>
      <c r="U14" s="4">
        <v>2814</v>
      </c>
      <c r="V14" s="4">
        <v>2765</v>
      </c>
      <c r="W14" s="4">
        <v>2725</v>
      </c>
      <c r="X14" s="4">
        <v>2704</v>
      </c>
      <c r="Y14" s="4">
        <v>2682</v>
      </c>
      <c r="Z14" s="4">
        <v>2638</v>
      </c>
      <c r="AA14" s="4">
        <v>2587</v>
      </c>
      <c r="AB14" s="4">
        <v>2568</v>
      </c>
      <c r="AC14" s="4">
        <v>2576</v>
      </c>
      <c r="AD14" s="4">
        <v>2566</v>
      </c>
      <c r="AE14" s="4">
        <v>2545</v>
      </c>
      <c r="AF14" s="4">
        <v>2545</v>
      </c>
      <c r="AG14" s="4">
        <f>2180+344.5</f>
        <v>2524.5</v>
      </c>
      <c r="AH14" s="4">
        <f>2189.9+343.8</f>
        <v>2533.7000000000003</v>
      </c>
      <c r="AI14" s="4">
        <v>2527</v>
      </c>
      <c r="AJ14" s="4">
        <v>2518</v>
      </c>
      <c r="AK14" s="4">
        <f>2517</f>
        <v>2517</v>
      </c>
      <c r="AL14" s="4">
        <f>2517</f>
        <v>2517</v>
      </c>
      <c r="AM14" s="4"/>
      <c r="AN14" s="4"/>
      <c r="AO14" s="4"/>
      <c r="AP14" s="4"/>
      <c r="AQ14" s="4"/>
      <c r="AR14" s="4">
        <f t="shared" ref="AR14:AY14" si="74">I14</f>
        <v>2848.8</v>
      </c>
      <c r="AS14" s="4">
        <f t="shared" si="74"/>
        <v>2848.8</v>
      </c>
      <c r="AT14" s="4">
        <f t="shared" si="74"/>
        <v>2848.8</v>
      </c>
      <c r="AU14" s="4">
        <f t="shared" si="74"/>
        <v>2848.8</v>
      </c>
      <c r="AV14" s="4">
        <f t="shared" si="74"/>
        <v>2848.8</v>
      </c>
      <c r="AW14" s="4">
        <f t="shared" si="74"/>
        <v>2848.8</v>
      </c>
      <c r="AX14" s="4">
        <f t="shared" si="74"/>
        <v>2848.8</v>
      </c>
      <c r="AY14" s="4">
        <f t="shared" si="74"/>
        <v>2517</v>
      </c>
      <c r="AZ14" s="4">
        <f>AY14</f>
        <v>2517</v>
      </c>
      <c r="BA14" s="4">
        <f>AZ14</f>
        <v>2517</v>
      </c>
      <c r="BB14" s="4">
        <f>BA14</f>
        <v>2517</v>
      </c>
      <c r="BC14" s="4">
        <f t="shared" ref="BC14" si="75">BB14</f>
        <v>2517</v>
      </c>
      <c r="BD14" s="4">
        <f t="shared" ref="BD14:BE14" si="76">2396+439.4</f>
        <v>2835.4</v>
      </c>
      <c r="BE14" s="4">
        <f t="shared" si="76"/>
        <v>2835.4</v>
      </c>
      <c r="BF14" s="4">
        <f t="shared" ref="BF14" si="77">2189.9+343.8</f>
        <v>2533.7000000000003</v>
      </c>
      <c r="BG14" s="4">
        <f>2517</f>
        <v>2517</v>
      </c>
      <c r="BH14" s="4">
        <f>2517</f>
        <v>2517</v>
      </c>
      <c r="BI14" s="4">
        <f>2517</f>
        <v>2517</v>
      </c>
      <c r="BJ14" s="4">
        <f>2517</f>
        <v>2517</v>
      </c>
      <c r="BK14" s="4">
        <f>2517</f>
        <v>2517</v>
      </c>
      <c r="BL14" s="4">
        <f>2517</f>
        <v>2517</v>
      </c>
      <c r="BM14" s="4">
        <f>2517</f>
        <v>2517</v>
      </c>
      <c r="BN14" s="4">
        <f>2517</f>
        <v>2517</v>
      </c>
      <c r="BO14" s="4">
        <f>2517</f>
        <v>2517</v>
      </c>
      <c r="BP14" s="4">
        <f>2517</f>
        <v>2517</v>
      </c>
      <c r="BQ14" s="4">
        <f>2517</f>
        <v>2517</v>
      </c>
    </row>
    <row r="15" spans="2:176" s="6" customFormat="1">
      <c r="B15" s="6" t="s">
        <v>36</v>
      </c>
      <c r="C15" s="7">
        <f t="shared" ref="C15:P15" si="78">C13/C14</f>
        <v>1.0737854535242908</v>
      </c>
      <c r="D15" s="7">
        <f t="shared" si="78"/>
        <v>1.3654872226902555</v>
      </c>
      <c r="E15" s="7">
        <f t="shared" si="78"/>
        <v>1.6522746419545071</v>
      </c>
      <c r="F15" s="7">
        <f t="shared" si="78"/>
        <v>1.2454366750912664</v>
      </c>
      <c r="G15" s="7">
        <f t="shared" si="78"/>
        <v>1.7505616399887671</v>
      </c>
      <c r="H15" s="7">
        <f t="shared" si="78"/>
        <v>1.7923336141533277</v>
      </c>
      <c r="I15" s="7">
        <f t="shared" si="78"/>
        <v>1.8032153889356921</v>
      </c>
      <c r="J15" s="7">
        <f t="shared" si="78"/>
        <v>2.4157540016849199</v>
      </c>
      <c r="K15" s="7">
        <f t="shared" si="78"/>
        <v>0.85263970794720578</v>
      </c>
      <c r="L15" s="7">
        <f t="shared" si="78"/>
        <v>0.91126088177478226</v>
      </c>
      <c r="M15" s="7">
        <f t="shared" si="78"/>
        <v>2.1380932322381354</v>
      </c>
      <c r="N15" s="7">
        <f t="shared" si="78"/>
        <v>2.5796826734063463</v>
      </c>
      <c r="O15" s="7">
        <f t="shared" si="78"/>
        <v>1.7207245155855095</v>
      </c>
      <c r="P15" s="7">
        <f t="shared" si="78"/>
        <v>2.0572109654350417</v>
      </c>
      <c r="Q15" s="7">
        <f t="shared" ref="Q15:R15" si="79">Q13/Q14</f>
        <v>2.754142094917158</v>
      </c>
      <c r="R15" s="7">
        <f t="shared" si="79"/>
        <v>3.9381493962370118</v>
      </c>
      <c r="S15" s="7">
        <f t="shared" ref="S15:V15" si="80">S13/S14</f>
        <v>3.3494392325597797</v>
      </c>
      <c r="T15" s="7">
        <f t="shared" ref="T15:U15" si="81">T13/T14</f>
        <v>3.667607621736062</v>
      </c>
      <c r="U15" s="7">
        <f t="shared" si="81"/>
        <v>3.2672352523098791</v>
      </c>
      <c r="V15" s="7">
        <f t="shared" si="80"/>
        <v>3.7197106690777577</v>
      </c>
      <c r="W15" s="7">
        <f t="shared" ref="W15:X15" si="82">W13/W14</f>
        <v>2.7394495412844035</v>
      </c>
      <c r="X15" s="7">
        <f t="shared" si="82"/>
        <v>2.4730029585798818</v>
      </c>
      <c r="Y15" s="7">
        <f t="shared" ref="Y15" si="83">Y13/Y14</f>
        <v>1.638702460850112</v>
      </c>
      <c r="Z15" s="7">
        <f t="shared" ref="Z15" si="84">Z13/Z14</f>
        <v>1.7634571645185746</v>
      </c>
      <c r="AA15" s="7">
        <f t="shared" ref="AA15:AC15" si="85">AA13/AA14</f>
        <v>2.206803247004252</v>
      </c>
      <c r="AB15" s="7">
        <f t="shared" si="85"/>
        <v>3.0327102803738319</v>
      </c>
      <c r="AC15" s="7">
        <f t="shared" si="85"/>
        <v>4.6013198757763973</v>
      </c>
      <c r="AD15" s="7">
        <f t="shared" ref="AD15" si="86">AD13/AD14</f>
        <v>5.4625876851130162</v>
      </c>
      <c r="AE15" s="7">
        <f t="shared" ref="AE15" si="87">AE13/AE14</f>
        <v>4.8601178781925345</v>
      </c>
      <c r="AF15" s="7">
        <f t="shared" ref="AF15:AH15" si="88">AF13/AF14</f>
        <v>5.2907662082514735</v>
      </c>
      <c r="AG15" s="7">
        <f t="shared" si="88"/>
        <v>6.2142998613586853</v>
      </c>
      <c r="AH15" s="7">
        <f t="shared" si="88"/>
        <v>7.6125823893910081</v>
      </c>
      <c r="AI15" s="7">
        <f t="shared" ref="AI15:AL15" si="89">AI13/AI14</f>
        <v>6.5864661654135341</v>
      </c>
      <c r="AJ15" s="7">
        <f t="shared" si="89"/>
        <v>7.2823669579030978</v>
      </c>
      <c r="AK15" s="7">
        <f t="shared" si="89"/>
        <v>7.4052443384982123</v>
      </c>
      <c r="AL15" s="7">
        <f t="shared" si="89"/>
        <v>9.0456893126738187</v>
      </c>
      <c r="AM15" s="7"/>
      <c r="AN15" s="7"/>
      <c r="AO15" s="7"/>
      <c r="AP15" s="7"/>
      <c r="AQ15" s="7"/>
      <c r="AR15" s="7">
        <f t="shared" ref="AR15:BB15" si="90">AR13/AR14</f>
        <v>0.21272114574557707</v>
      </c>
      <c r="AS15" s="7">
        <f t="shared" si="90"/>
        <v>0.35102499297950013</v>
      </c>
      <c r="AT15" s="7">
        <f t="shared" si="90"/>
        <v>1.8604324627913508E-2</v>
      </c>
      <c r="AU15" s="7">
        <f t="shared" si="90"/>
        <v>0.52653748946925016</v>
      </c>
      <c r="AV15" s="7">
        <f t="shared" si="90"/>
        <v>1.0320134793597304</v>
      </c>
      <c r="AW15" s="7">
        <f t="shared" si="90"/>
        <v>1.2945801741083964</v>
      </c>
      <c r="AX15" s="7">
        <f t="shared" si="90"/>
        <v>3.5864223532715527</v>
      </c>
      <c r="AY15" s="7">
        <f t="shared" si="90"/>
        <v>6.0405244338498214</v>
      </c>
      <c r="AZ15" s="7">
        <f t="shared" si="90"/>
        <v>8.7850615812475166</v>
      </c>
      <c r="BA15" s="7">
        <f t="shared" si="90"/>
        <v>7.33611442193087</v>
      </c>
      <c r="BB15" s="7">
        <f t="shared" si="90"/>
        <v>11.579261025029798</v>
      </c>
      <c r="BC15" s="7">
        <f t="shared" ref="BC15:BL15" si="91">BC13/BC14</f>
        <v>15.641636869288837</v>
      </c>
      <c r="BD15" s="7">
        <f t="shared" si="91"/>
        <v>8.1819143683430902</v>
      </c>
      <c r="BE15" s="7">
        <f t="shared" si="91"/>
        <v>13.884108062354517</v>
      </c>
      <c r="BF15" s="7">
        <f t="shared" si="91"/>
        <v>24.000473615660887</v>
      </c>
      <c r="BG15" s="7">
        <f t="shared" si="91"/>
        <v>30.348947159316641</v>
      </c>
      <c r="BH15" s="7">
        <f t="shared" si="91"/>
        <v>33.828873730631706</v>
      </c>
      <c r="BI15" s="7">
        <f t="shared" si="91"/>
        <v>37.156336444643621</v>
      </c>
      <c r="BJ15" s="7">
        <f t="shared" si="91"/>
        <v>40.045899329673645</v>
      </c>
      <c r="BK15" s="7">
        <f t="shared" si="91"/>
        <v>42.029279675677827</v>
      </c>
      <c r="BL15" s="7">
        <f t="shared" si="91"/>
        <v>43.357350536611833</v>
      </c>
      <c r="BM15" s="7">
        <f t="shared" ref="BM15:BQ15" si="92">BM13/BM14</f>
        <v>44.233077288050673</v>
      </c>
      <c r="BN15" s="7">
        <f t="shared" si="92"/>
        <v>45.117889837248114</v>
      </c>
      <c r="BO15" s="7">
        <f t="shared" si="92"/>
        <v>46.020250291653561</v>
      </c>
      <c r="BP15" s="7">
        <f t="shared" si="92"/>
        <v>46.940655344261458</v>
      </c>
      <c r="BQ15" s="7">
        <f t="shared" si="92"/>
        <v>47.879468451969927</v>
      </c>
    </row>
    <row r="17" spans="2:72">
      <c r="B17" s="6" t="s">
        <v>41</v>
      </c>
      <c r="G17" s="9">
        <f>G3/C3-1</f>
        <v>0.48979083665338652</v>
      </c>
      <c r="H17" s="9">
        <f t="shared" ref="H17:R17" si="93">H3/D3-1</f>
        <v>0.41948288810213485</v>
      </c>
      <c r="I17" s="9">
        <f t="shared" si="93"/>
        <v>0.32910534469403574</v>
      </c>
      <c r="J17" s="9">
        <f t="shared" si="93"/>
        <v>0.30388529139685483</v>
      </c>
      <c r="K17" s="9">
        <f t="shared" si="93"/>
        <v>0.25998662878154777</v>
      </c>
      <c r="L17" s="9">
        <f t="shared" si="93"/>
        <v>0.27473358022825178</v>
      </c>
      <c r="M17" s="9">
        <f t="shared" si="93"/>
        <v>0.2859328331026445</v>
      </c>
      <c r="N17" s="9">
        <f t="shared" si="93"/>
        <v>0.2464230814709707</v>
      </c>
      <c r="O17" s="9">
        <f t="shared" si="93"/>
        <v>0.17642767128739134</v>
      </c>
      <c r="P17" s="9">
        <f t="shared" si="93"/>
        <v>0.10796869441479906</v>
      </c>
      <c r="Q17" s="9">
        <f t="shared" si="93"/>
        <v>0.21629277135735325</v>
      </c>
      <c r="R17" s="9">
        <f t="shared" si="93"/>
        <v>0.33156247035385644</v>
      </c>
      <c r="S17" s="9">
        <f t="shared" ref="S17" si="94">S3/O3-1</f>
        <v>0.47550318543158365</v>
      </c>
      <c r="T17" s="9">
        <f t="shared" ref="T17" si="95">T3/P3-1</f>
        <v>0.5560014983678494</v>
      </c>
      <c r="U17" s="9">
        <f t="shared" ref="U17" si="96">U3/Q3-1</f>
        <v>0.35118770377270603</v>
      </c>
      <c r="V17" s="9">
        <f t="shared" ref="V17" si="97">V3/R3-1</f>
        <v>0.19945141065830718</v>
      </c>
      <c r="W17" s="9">
        <f t="shared" ref="W17" si="98">W3/S3-1</f>
        <v>6.6371174200450911E-2</v>
      </c>
      <c r="X17" s="9">
        <f t="shared" ref="X17" si="99">X3/T3-1</f>
        <v>-8.7698180692643568E-3</v>
      </c>
      <c r="Y17" s="9">
        <f t="shared" ref="Y17" si="100">Y3/U3-1</f>
        <v>-4.4674250258531556E-2</v>
      </c>
      <c r="Z17" s="9">
        <f t="shared" ref="Z17" si="101">Z3/V3-1</f>
        <v>-4.4726916337501144E-2</v>
      </c>
      <c r="AA17" s="9">
        <f t="shared" ref="AA17" si="102">AA3/W3-1</f>
        <v>2.6408198366060009E-2</v>
      </c>
      <c r="AB17" s="9">
        <f t="shared" ref="AB17" si="103">AB3/X3-1</f>
        <v>0.11022829782804799</v>
      </c>
      <c r="AC17" s="9">
        <f t="shared" ref="AC17" si="104">AC3/Y3-1</f>
        <v>0.24182723533232298</v>
      </c>
      <c r="AD17" s="9">
        <f t="shared" ref="AD17" si="105">AD3/Z3-1</f>
        <v>0.24703870666873939</v>
      </c>
      <c r="AE17" s="9">
        <f t="shared" ref="AE17" si="106">AE3/AA3-1</f>
        <v>0.27264793157619138</v>
      </c>
      <c r="AF17" s="9">
        <f t="shared" ref="AF17" si="107">AF3/AB3-1</f>
        <v>0.2210069064658271</v>
      </c>
      <c r="AG17" s="9">
        <f t="shared" ref="AG17" si="108">AG3/AC3-1</f>
        <v>0.17936424918642491</v>
      </c>
      <c r="AH17" s="9">
        <f t="shared" ref="AH17" si="109">AH3/AD3-1</f>
        <v>0.20627757971628724</v>
      </c>
      <c r="AI17" s="9">
        <f t="shared" ref="AI17" si="110">AI3/AE3-1</f>
        <v>0.16071869428062002</v>
      </c>
      <c r="AJ17" s="9">
        <f t="shared" ref="AJ17" si="111">AJ3/AF3-1</f>
        <v>0.21614496685521223</v>
      </c>
      <c r="AK17" s="9">
        <f t="shared" ref="AK17" si="112">AK3/AG3-1</f>
        <v>0.26246027248761972</v>
      </c>
      <c r="AL17" s="9">
        <f t="shared" ref="AL17" si="113">AL3/AH3-1</f>
        <v>0.23784230649994842</v>
      </c>
      <c r="AM17" s="9"/>
      <c r="AN17" s="9"/>
      <c r="AO17" s="9"/>
      <c r="AP17" s="9"/>
      <c r="AQ17" s="9"/>
      <c r="AR17" s="9"/>
      <c r="AS17" s="9">
        <f t="shared" ref="AS17:AV17" si="114">AS3/AR3-1</f>
        <v>0.87993920972644379</v>
      </c>
      <c r="AT17" s="9">
        <f t="shared" si="114"/>
        <v>0.37132848288870934</v>
      </c>
      <c r="AU17" s="9">
        <f t="shared" si="114"/>
        <v>0.5468657889565729</v>
      </c>
      <c r="AV17" s="9">
        <f t="shared" si="114"/>
        <v>0.58358739837398366</v>
      </c>
      <c r="AW17" s="9">
        <f t="shared" ref="AW17:AY17" si="115">AW3/AV3-1</f>
        <v>0.43815177282207607</v>
      </c>
      <c r="AX17" s="9">
        <f t="shared" si="115"/>
        <v>0.54161088799643009</v>
      </c>
      <c r="AY17" s="9">
        <f t="shared" si="115"/>
        <v>0.47090961719371882</v>
      </c>
      <c r="AZ17" s="9">
        <f>AZ3/AY3-1</f>
        <v>0.37352716896661997</v>
      </c>
      <c r="BA17" s="9">
        <f t="shared" ref="BA17:BL17" si="116">BA3/AZ3-1</f>
        <v>0.26575092231097108</v>
      </c>
      <c r="BB17" s="9">
        <f t="shared" si="116"/>
        <v>0.21632214157363783</v>
      </c>
      <c r="BC17" s="9">
        <f t="shared" si="116"/>
        <v>0.37180978526394148</v>
      </c>
      <c r="BD17" s="9">
        <f t="shared" si="116"/>
        <v>-1.1193175554782941E-2</v>
      </c>
      <c r="BE17" s="9">
        <f t="shared" si="116"/>
        <v>0.15918153830321846</v>
      </c>
      <c r="BF17" s="9">
        <f t="shared" si="116"/>
        <v>0.21697701430040461</v>
      </c>
      <c r="BG17" s="9">
        <f t="shared" si="116"/>
        <v>0.22167173252279637</v>
      </c>
      <c r="BH17" s="9">
        <f t="shared" si="116"/>
        <v>0.14999999999999991</v>
      </c>
      <c r="BI17" s="9">
        <f t="shared" si="116"/>
        <v>8.0000000000000071E-2</v>
      </c>
      <c r="BJ17" s="9">
        <f t="shared" si="116"/>
        <v>6.0000000000000053E-2</v>
      </c>
      <c r="BK17" s="9">
        <f t="shared" si="116"/>
        <v>4.0000000000000036E-2</v>
      </c>
      <c r="BL17" s="9">
        <f t="shared" si="116"/>
        <v>3.0000000000000027E-2</v>
      </c>
      <c r="BM17" s="9">
        <f t="shared" ref="BM17" si="117">BM3/BL3-1</f>
        <v>2.0000000000000018E-2</v>
      </c>
      <c r="BN17" s="9">
        <f t="shared" ref="BN17" si="118">BN3/BM3-1</f>
        <v>2.0000000000000018E-2</v>
      </c>
      <c r="BO17" s="9">
        <f t="shared" ref="BO17" si="119">BO3/BN3-1</f>
        <v>2.0000000000000018E-2</v>
      </c>
      <c r="BP17" s="9">
        <f t="shared" ref="BP17" si="120">BP3/BO3-1</f>
        <v>2.0000000000000018E-2</v>
      </c>
      <c r="BQ17" s="9">
        <f t="shared" ref="BQ17" si="121">BQ3/BP3-1</f>
        <v>2.0000000000000018E-2</v>
      </c>
    </row>
    <row r="18" spans="2:72">
      <c r="B18" s="6" t="s">
        <v>37</v>
      </c>
      <c r="C18" s="9">
        <f>C5/C3</f>
        <v>0.85570219123505975</v>
      </c>
      <c r="D18" s="9">
        <f t="shared" ref="D18:R18" si="122">D5/D3</f>
        <v>0.86728891749812254</v>
      </c>
      <c r="E18" s="9">
        <f t="shared" si="122"/>
        <v>0.85979860573199074</v>
      </c>
      <c r="F18" s="9">
        <f t="shared" si="122"/>
        <v>0.87580943570767811</v>
      </c>
      <c r="G18" s="9">
        <f t="shared" si="122"/>
        <v>0.8389603877653351</v>
      </c>
      <c r="H18" s="9">
        <f t="shared" si="122"/>
        <v>0.83266570931902351</v>
      </c>
      <c r="I18" s="9">
        <f t="shared" si="122"/>
        <v>0.82385080498288044</v>
      </c>
      <c r="J18" s="9">
        <f t="shared" si="122"/>
        <v>0.83469315360056762</v>
      </c>
      <c r="K18" s="9">
        <f t="shared" si="122"/>
        <v>0.81322544272733299</v>
      </c>
      <c r="L18" s="9">
        <f t="shared" si="122"/>
        <v>0.80392505632633704</v>
      </c>
      <c r="M18" s="9">
        <f t="shared" si="122"/>
        <v>0.82126671198731027</v>
      </c>
      <c r="N18" s="9">
        <f t="shared" si="122"/>
        <v>0.83436106631249407</v>
      </c>
      <c r="O18" s="9">
        <f t="shared" si="122"/>
        <v>0.80498393189378137</v>
      </c>
      <c r="P18" s="9">
        <f t="shared" si="122"/>
        <v>0.7950981966072671</v>
      </c>
      <c r="Q18" s="9">
        <f t="shared" si="122"/>
        <v>0.80465766185374943</v>
      </c>
      <c r="R18" s="9">
        <f t="shared" si="122"/>
        <v>0.81440581362211462</v>
      </c>
      <c r="S18" s="9">
        <f t="shared" ref="S18:V18" si="123">S5/S3</f>
        <v>0.80394329601467274</v>
      </c>
      <c r="T18" s="9">
        <f t="shared" si="123"/>
        <v>0.81432059703545756</v>
      </c>
      <c r="U18" s="9">
        <f t="shared" si="123"/>
        <v>0.80106859703550504</v>
      </c>
      <c r="V18" s="9">
        <f t="shared" si="123"/>
        <v>0.81146981081642955</v>
      </c>
      <c r="W18" s="9">
        <f t="shared" ref="W18:AE18" si="124">W5/W3</f>
        <v>0.78482872294682526</v>
      </c>
      <c r="X18" s="9">
        <f t="shared" si="124"/>
        <v>0.81985982929706469</v>
      </c>
      <c r="Y18" s="9">
        <f t="shared" si="124"/>
        <v>0.79375045103557773</v>
      </c>
      <c r="Z18" s="9">
        <f t="shared" si="124"/>
        <v>0.74083631276231932</v>
      </c>
      <c r="AA18" s="9">
        <f t="shared" si="124"/>
        <v>0.7867690696456624</v>
      </c>
      <c r="AB18" s="9">
        <f t="shared" si="124"/>
        <v>0.81421294415450485</v>
      </c>
      <c r="AC18" s="9">
        <f t="shared" si="124"/>
        <v>0.81956066945606698</v>
      </c>
      <c r="AD18" s="9">
        <f t="shared" si="124"/>
        <v>0.80815736331679588</v>
      </c>
      <c r="AE18" s="9">
        <f t="shared" si="124"/>
        <v>0.81785763269784661</v>
      </c>
      <c r="AF18" s="9">
        <f t="shared" ref="AF18:AH18" si="125">AF5/AF3</f>
        <v>0.81295590079598679</v>
      </c>
      <c r="AG18" s="9">
        <f t="shared" si="125"/>
        <v>0.81830052477272164</v>
      </c>
      <c r="AH18" s="9">
        <f t="shared" si="125"/>
        <v>0.81731941717474421</v>
      </c>
      <c r="AI18" s="9">
        <f t="shared" ref="AI18:AL18" si="126">AI5/AI3</f>
        <v>0.82105213404546962</v>
      </c>
      <c r="AJ18" s="9">
        <f t="shared" si="126"/>
        <v>0.82130229817324696</v>
      </c>
      <c r="AK18" s="9">
        <f t="shared" si="126"/>
        <v>0.82034268763904605</v>
      </c>
      <c r="AL18" s="9">
        <f t="shared" si="126"/>
        <v>0.8179253001185447</v>
      </c>
      <c r="AM18" s="9"/>
      <c r="AN18" s="9"/>
      <c r="AO18" s="9"/>
      <c r="AP18" s="9"/>
      <c r="AQ18" s="9"/>
      <c r="AR18" s="9">
        <f t="shared" ref="AR18:AV18" si="127">AR5/AR3</f>
        <v>0.75025329280648434</v>
      </c>
      <c r="AS18" s="9">
        <f t="shared" si="127"/>
        <v>0.76825653462678523</v>
      </c>
      <c r="AT18" s="9">
        <f t="shared" si="127"/>
        <v>0.73197091766555311</v>
      </c>
      <c r="AU18" s="9">
        <f t="shared" si="127"/>
        <v>0.76181402439024393</v>
      </c>
      <c r="AV18" s="9">
        <f t="shared" si="127"/>
        <v>0.82729022942403341</v>
      </c>
      <c r="AW18" s="9">
        <f t="shared" ref="AW18:AY18" si="128">AW5/AW3</f>
        <v>0.84008255243195007</v>
      </c>
      <c r="AX18" s="9">
        <f t="shared" si="128"/>
        <v>0.86290614371517471</v>
      </c>
      <c r="AY18" s="9">
        <f t="shared" si="128"/>
        <v>0.86581556096721024</v>
      </c>
      <c r="AZ18" s="9">
        <f t="shared" ref="AZ18:BL18" si="129">AZ5/AZ3</f>
        <v>0.8324617643898421</v>
      </c>
      <c r="BA18" s="9">
        <f t="shared" si="129"/>
        <v>0.81931887318363827</v>
      </c>
      <c r="BB18" s="9">
        <f t="shared" si="129"/>
        <v>0.80583021194425708</v>
      </c>
      <c r="BC18" s="9">
        <f t="shared" si="129"/>
        <v>0.80794376277251567</v>
      </c>
      <c r="BD18" s="9">
        <f t="shared" si="129"/>
        <v>0.78347297378418479</v>
      </c>
      <c r="BE18" s="9">
        <f t="shared" si="129"/>
        <v>0.80796176694705224</v>
      </c>
      <c r="BF18" s="9">
        <f t="shared" si="129"/>
        <v>0.81664437689969605</v>
      </c>
      <c r="BG18" s="9">
        <f t="shared" si="129"/>
        <v>0.82</v>
      </c>
      <c r="BH18" s="9">
        <f t="shared" si="129"/>
        <v>0.82</v>
      </c>
      <c r="BI18" s="9">
        <f t="shared" si="129"/>
        <v>0.82</v>
      </c>
      <c r="BJ18" s="9">
        <f t="shared" si="129"/>
        <v>0.82</v>
      </c>
      <c r="BK18" s="9">
        <f t="shared" si="129"/>
        <v>0.82</v>
      </c>
      <c r="BL18" s="9">
        <f t="shared" si="129"/>
        <v>0.82</v>
      </c>
      <c r="BM18" s="9">
        <f t="shared" ref="BM18:BQ18" si="130">BM5/BM3</f>
        <v>0.82</v>
      </c>
      <c r="BN18" s="9">
        <f t="shared" si="130"/>
        <v>0.82</v>
      </c>
      <c r="BO18" s="9">
        <f t="shared" si="130"/>
        <v>0.82</v>
      </c>
      <c r="BP18" s="9">
        <f t="shared" si="130"/>
        <v>0.82</v>
      </c>
      <c r="BQ18" s="9">
        <f t="shared" si="130"/>
        <v>0.82</v>
      </c>
      <c r="BS18" t="s">
        <v>43</v>
      </c>
      <c r="BT18" s="9">
        <v>-0.01</v>
      </c>
    </row>
    <row r="19" spans="2:72">
      <c r="B19" t="s">
        <v>39</v>
      </c>
      <c r="C19" s="9">
        <f>C9/C3</f>
        <v>0.41421812749003983</v>
      </c>
      <c r="D19" s="9">
        <f t="shared" ref="D19:R19" si="131">D9/D3</f>
        <v>0.47215963952365625</v>
      </c>
      <c r="E19" s="9">
        <f t="shared" si="131"/>
        <v>0.49593338497288925</v>
      </c>
      <c r="F19" s="9">
        <f t="shared" si="131"/>
        <v>0.56675917360468697</v>
      </c>
      <c r="G19" s="9">
        <f t="shared" si="131"/>
        <v>0.45537355841551064</v>
      </c>
      <c r="H19" s="9">
        <f t="shared" si="131"/>
        <v>0.44312599198851182</v>
      </c>
      <c r="I19" s="9">
        <f t="shared" si="131"/>
        <v>0.42114081736723247</v>
      </c>
      <c r="J19" s="9">
        <f t="shared" si="131"/>
        <v>0.46233889085964291</v>
      </c>
      <c r="K19" s="9">
        <f t="shared" si="131"/>
        <v>0.22000397957153281</v>
      </c>
      <c r="L19" s="9">
        <f t="shared" si="131"/>
        <v>0.27309379817384088</v>
      </c>
      <c r="M19" s="9">
        <f t="shared" si="131"/>
        <v>0.40703602991162474</v>
      </c>
      <c r="N19" s="9">
        <f t="shared" si="131"/>
        <v>0.42016886443411439</v>
      </c>
      <c r="O19" s="9">
        <f t="shared" si="131"/>
        <v>0.33224333314540228</v>
      </c>
      <c r="P19" s="9">
        <f t="shared" si="131"/>
        <v>0.31909883876491679</v>
      </c>
      <c r="Q19" s="9">
        <f t="shared" si="131"/>
        <v>0.37447601304145317</v>
      </c>
      <c r="R19" s="9">
        <f t="shared" si="131"/>
        <v>0.45507979481333716</v>
      </c>
      <c r="S19" s="9">
        <f t="shared" ref="S19:V19" si="132">S9/S3</f>
        <v>0.43475602766420846</v>
      </c>
      <c r="T19" s="9">
        <f t="shared" si="132"/>
        <v>0.42531898063761736</v>
      </c>
      <c r="U19" s="9">
        <f t="shared" si="132"/>
        <v>0.35928990003447087</v>
      </c>
      <c r="V19" s="9">
        <f t="shared" si="132"/>
        <v>0.37376377297971547</v>
      </c>
      <c r="W19" s="9">
        <f t="shared" ref="W19:AE19" si="133">W9/W3</f>
        <v>0.30543213415508097</v>
      </c>
      <c r="X19" s="9">
        <f t="shared" si="133"/>
        <v>0.28998681562695161</v>
      </c>
      <c r="Y19" s="9">
        <f t="shared" si="133"/>
        <v>0.20437324096124701</v>
      </c>
      <c r="Z19" s="9">
        <f t="shared" si="133"/>
        <v>0.19894295041193844</v>
      </c>
      <c r="AA19" s="9">
        <f t="shared" si="133"/>
        <v>0.25229533950078548</v>
      </c>
      <c r="AB19" s="9">
        <f t="shared" si="133"/>
        <v>0.29350917216163003</v>
      </c>
      <c r="AC19" s="9">
        <f t="shared" si="133"/>
        <v>0.40731055323105531</v>
      </c>
      <c r="AD19" s="9">
        <f t="shared" si="133"/>
        <v>0.4084665054473835</v>
      </c>
      <c r="AE19" s="9">
        <f t="shared" si="133"/>
        <v>0.37904265532848719</v>
      </c>
      <c r="AF19" s="9">
        <f t="shared" ref="AF19:AH19" si="134">AF9/AF3</f>
        <v>0.38000051188861306</v>
      </c>
      <c r="AG19" s="9">
        <f t="shared" si="134"/>
        <v>0.4274557146024785</v>
      </c>
      <c r="AH19" s="9">
        <f t="shared" si="134"/>
        <v>0.45086287072439807</v>
      </c>
      <c r="AI19" s="9">
        <f t="shared" ref="AI19:AL19" si="135">AI9/AI3</f>
        <v>0.41487450961856598</v>
      </c>
      <c r="AJ19" s="9">
        <f t="shared" si="135"/>
        <v>0.43019193534809325</v>
      </c>
      <c r="AK19" s="9">
        <f t="shared" si="135"/>
        <v>0.4007454822216151</v>
      </c>
      <c r="AL19" s="9">
        <f t="shared" si="135"/>
        <v>0.41315345699831368</v>
      </c>
      <c r="AM19" s="9"/>
      <c r="AN19" s="9"/>
      <c r="AO19" s="9"/>
      <c r="AP19" s="9"/>
      <c r="AQ19" s="9"/>
      <c r="AR19" s="9">
        <f t="shared" ref="AR19:AV19" si="136">AR9/AR3</f>
        <v>0.52279635258358659</v>
      </c>
      <c r="AS19" s="9">
        <f t="shared" si="136"/>
        <v>0.47318781999461063</v>
      </c>
      <c r="AT19" s="9">
        <f t="shared" si="136"/>
        <v>0.10571821575948123</v>
      </c>
      <c r="AU19" s="9">
        <f t="shared" si="136"/>
        <v>0.35619918699186992</v>
      </c>
      <c r="AV19" s="9">
        <f t="shared" si="136"/>
        <v>0.40060965827049577</v>
      </c>
      <c r="AW19" s="9">
        <f t="shared" ref="AW19:AY19" si="137">AW9/AW3</f>
        <v>0.34722222222222221</v>
      </c>
      <c r="AX19" s="9">
        <f t="shared" si="137"/>
        <v>0.44963456111151312</v>
      </c>
      <c r="AY19" s="9">
        <f t="shared" si="137"/>
        <v>0.49693749538779425</v>
      </c>
      <c r="AZ19" s="9">
        <f t="shared" ref="AZ19:BL19" si="138">AZ9/AZ3</f>
        <v>0.44616569361366809</v>
      </c>
      <c r="BA19" s="9">
        <f t="shared" si="138"/>
        <v>0.33909192523734738</v>
      </c>
      <c r="BB19" s="9">
        <f t="shared" si="138"/>
        <v>0.38004559942302774</v>
      </c>
      <c r="BC19" s="9">
        <f t="shared" si="138"/>
        <v>0.39645040660058173</v>
      </c>
      <c r="BD19" s="9">
        <f t="shared" si="138"/>
        <v>0.24822269293107735</v>
      </c>
      <c r="BE19" s="9">
        <f t="shared" si="138"/>
        <v>0.34786307713932724</v>
      </c>
      <c r="BF19" s="9">
        <f t="shared" si="138"/>
        <v>0.41234042553191491</v>
      </c>
      <c r="BG19" s="9">
        <f t="shared" si="138"/>
        <v>0.41438210633692429</v>
      </c>
      <c r="BH19" s="9">
        <f t="shared" si="138"/>
        <v>0.4120574802664102</v>
      </c>
      <c r="BI19" s="9">
        <f t="shared" si="138"/>
        <v>0.4189632901684156</v>
      </c>
      <c r="BJ19" s="9">
        <f t="shared" si="138"/>
        <v>0.42585339188647209</v>
      </c>
      <c r="BK19" s="9">
        <f t="shared" si="138"/>
        <v>0.42956276314848835</v>
      </c>
      <c r="BL19" s="9">
        <f t="shared" si="138"/>
        <v>0.43010197677058398</v>
      </c>
      <c r="BM19" s="9">
        <f t="shared" ref="BM19:BQ19" si="139">BM9/BM3</f>
        <v>0.43010197677058404</v>
      </c>
      <c r="BN19" s="9">
        <f t="shared" si="139"/>
        <v>0.43010197677058398</v>
      </c>
      <c r="BO19" s="9">
        <f t="shared" si="139"/>
        <v>0.43010197677058398</v>
      </c>
      <c r="BP19" s="9">
        <f t="shared" si="139"/>
        <v>0.43010197677058404</v>
      </c>
      <c r="BQ19" s="9">
        <f t="shared" si="139"/>
        <v>0.43010197677058404</v>
      </c>
      <c r="BS19" t="s">
        <v>44</v>
      </c>
      <c r="BT19" s="9">
        <v>0.05</v>
      </c>
    </row>
    <row r="20" spans="2:72">
      <c r="B20" t="s">
        <v>69</v>
      </c>
      <c r="C20" s="9"/>
      <c r="D20" s="9"/>
      <c r="E20" s="9"/>
      <c r="F20" s="9"/>
      <c r="G20" s="9">
        <f t="shared" ref="G20:R20" si="140">G6/C6-1</f>
        <v>0.22028353326063255</v>
      </c>
      <c r="H20" s="9">
        <f t="shared" si="140"/>
        <v>0.31474726420010413</v>
      </c>
      <c r="I20" s="9">
        <f t="shared" si="140"/>
        <v>0.29483430799220267</v>
      </c>
      <c r="J20" s="9">
        <f t="shared" si="140"/>
        <v>0.46485377116469984</v>
      </c>
      <c r="K20" s="9">
        <f t="shared" si="140"/>
        <v>0.27792672028596965</v>
      </c>
      <c r="L20" s="9">
        <f t="shared" si="140"/>
        <v>0.31391200951248521</v>
      </c>
      <c r="M20" s="9">
        <f t="shared" si="140"/>
        <v>0.33534060971019941</v>
      </c>
      <c r="N20" s="9">
        <f t="shared" si="140"/>
        <v>0.35796847635726792</v>
      </c>
      <c r="O20" s="9">
        <f t="shared" si="140"/>
        <v>0.40384615384615374</v>
      </c>
      <c r="P20" s="9">
        <f t="shared" si="140"/>
        <v>0.34600301659125199</v>
      </c>
      <c r="Q20" s="9">
        <f t="shared" si="140"/>
        <v>0.34244644870349483</v>
      </c>
      <c r="R20" s="9">
        <f t="shared" si="140"/>
        <v>0.34330668042300738</v>
      </c>
      <c r="S20" s="9">
        <f t="shared" ref="S20" si="141">S6/O6-1</f>
        <v>0.29439601494396017</v>
      </c>
      <c r="T20" s="9">
        <f t="shared" ref="T20" si="142">T6/P6-1</f>
        <v>0.36620349619004933</v>
      </c>
      <c r="U20" s="9">
        <f t="shared" ref="U20" si="143">U6/Q6-1</f>
        <v>0.32605500734830994</v>
      </c>
      <c r="V20" s="9">
        <f t="shared" ref="V20" si="144">V6/R6-1</f>
        <v>0.35291858678955457</v>
      </c>
      <c r="W20" s="9">
        <f t="shared" ref="W20" si="145">W6/S6-1</f>
        <v>0.48297094477583213</v>
      </c>
      <c r="X20" s="9">
        <f t="shared" ref="X20" si="146">X6/T6-1</f>
        <v>0.42552493438320216</v>
      </c>
      <c r="Y20" s="9">
        <f t="shared" ref="Y20" si="147">Y6/U6-1</f>
        <v>0.45186827105763139</v>
      </c>
      <c r="Z20" s="9">
        <f t="shared" ref="Z20" si="148">Z6/V6-1</f>
        <v>0.38674425205790519</v>
      </c>
      <c r="AA20" s="9">
        <f t="shared" ref="AA20" si="149">AA6/W6-1</f>
        <v>0.21720513818606468</v>
      </c>
      <c r="AB20" s="9">
        <f t="shared" ref="AB20" si="150">AB6/X6-1</f>
        <v>7.5258918296893018E-2</v>
      </c>
      <c r="AC20" s="9">
        <f t="shared" ref="AC20" si="151">AC6/Y6-1</f>
        <v>7.7426390403489975E-3</v>
      </c>
      <c r="AD20" s="9">
        <f t="shared" ref="AD20" si="152">AD6/Z6-1</f>
        <v>7.6348377852829774E-2</v>
      </c>
      <c r="AE20" s="9">
        <f t="shared" ref="AE20" si="153">AE6/AA6-1</f>
        <v>6.3639270866645337E-2</v>
      </c>
      <c r="AF20" s="9">
        <f t="shared" ref="AF20" si="154">AF6/AB6-1</f>
        <v>0.12767551369863006</v>
      </c>
      <c r="AG20" s="9">
        <f t="shared" ref="AG20" si="155">AG6/AC6-1</f>
        <v>0.20950113624066669</v>
      </c>
      <c r="AH20" s="9">
        <f t="shared" ref="AH20" si="156">AH6/AD6-1</f>
        <v>0.15812494057240656</v>
      </c>
      <c r="AI20" s="9">
        <f t="shared" ref="AI20" si="157">AI6/AE6-1</f>
        <v>0.21767889356584491</v>
      </c>
      <c r="AJ20" s="9">
        <f t="shared" ref="AJ20" si="158">AJ6/AF6-1</f>
        <v>0.22824333301698774</v>
      </c>
      <c r="AK20" s="9">
        <f t="shared" ref="AK20" si="159">AK6/AG6-1</f>
        <v>0.35492529301243625</v>
      </c>
      <c r="AL20" s="9">
        <f t="shared" ref="AL20" si="160">AL6/AH6-1</f>
        <v>0.40689655172413786</v>
      </c>
      <c r="AM20" s="9"/>
      <c r="AN20" s="9"/>
      <c r="AO20" s="9"/>
      <c r="AP20" s="9"/>
      <c r="AQ20" s="9"/>
      <c r="AR20" s="9"/>
      <c r="AS20" s="9">
        <f t="shared" ref="AS20" si="161">AS6/AR6-1</f>
        <v>1.6944444444444446</v>
      </c>
      <c r="AT20" s="9">
        <f t="shared" ref="AT20" si="162">AT6/AS6-1</f>
        <v>2.6056701030927836</v>
      </c>
      <c r="AU20" s="9">
        <f t="shared" ref="AU20" si="163">AU6/AT6-1</f>
        <v>1.1436740528949274E-2</v>
      </c>
      <c r="AV20" s="9">
        <f t="shared" ref="AV20" si="164">AV6/AU6-1</f>
        <v>0.88409893992932864</v>
      </c>
      <c r="AW20" s="9">
        <f t="shared" ref="AW20" si="165">AW6/AV6-1</f>
        <v>0.80645161290322576</v>
      </c>
      <c r="AX20" s="9">
        <f t="shared" ref="AX20" si="166">AX6/AW6-1</f>
        <v>0.22902823920265791</v>
      </c>
      <c r="AY20" s="9">
        <f t="shared" ref="AY20" si="167">AY6/AX6-1</f>
        <v>0.31001858422030759</v>
      </c>
      <c r="AZ20" s="9">
        <f t="shared" ref="AZ20:BL20" si="168">AZ6/AY6-1</f>
        <v>0.3248645860201187</v>
      </c>
      <c r="BA20" s="9">
        <f t="shared" si="168"/>
        <v>0.32385865861968277</v>
      </c>
      <c r="BB20" s="9">
        <f t="shared" si="168"/>
        <v>0.35647058823529409</v>
      </c>
      <c r="BC20" s="9">
        <f t="shared" si="168"/>
        <v>0.3364592367736341</v>
      </c>
      <c r="BD20" s="9">
        <f t="shared" si="168"/>
        <v>0.43329953356317175</v>
      </c>
      <c r="BE20" s="9">
        <f t="shared" si="168"/>
        <v>8.8997679551757303E-2</v>
      </c>
      <c r="BF20" s="9">
        <f t="shared" si="168"/>
        <v>0.14003585999012547</v>
      </c>
      <c r="BG20" s="9">
        <f t="shared" si="168"/>
        <v>0.30771334792122529</v>
      </c>
      <c r="BH20" s="9">
        <f t="shared" si="168"/>
        <v>0.1399999999999999</v>
      </c>
      <c r="BI20" s="9">
        <f t="shared" si="168"/>
        <v>6.0000000000000053E-2</v>
      </c>
      <c r="BJ20" s="9">
        <f t="shared" si="168"/>
        <v>4.0000000000000036E-2</v>
      </c>
      <c r="BK20" s="9">
        <f t="shared" si="168"/>
        <v>3.0000000000000027E-2</v>
      </c>
      <c r="BL20" s="9">
        <f t="shared" si="168"/>
        <v>3.0000000000000027E-2</v>
      </c>
      <c r="BM20" s="9">
        <f t="shared" ref="BM20" si="169">BM6/BL6-1</f>
        <v>2.0000000000000018E-2</v>
      </c>
      <c r="BN20" s="9">
        <f t="shared" ref="BN20" si="170">BN6/BM6-1</f>
        <v>2.0000000000000018E-2</v>
      </c>
      <c r="BO20" s="9">
        <f t="shared" ref="BO20" si="171">BO6/BN6-1</f>
        <v>2.0000000000000018E-2</v>
      </c>
      <c r="BP20" s="9">
        <f t="shared" ref="BP20" si="172">BP6/BO6-1</f>
        <v>2.0000000000000018E-2</v>
      </c>
      <c r="BQ20" s="9">
        <f t="shared" ref="BQ20" si="173">BQ6/BP6-1</f>
        <v>2.0000000000000018E-2</v>
      </c>
      <c r="BS20" t="s">
        <v>45</v>
      </c>
      <c r="BT20" s="20">
        <f>NPV(BT19,BH13:FT13)</f>
        <v>2036350.4827568533</v>
      </c>
    </row>
    <row r="21" spans="2:72">
      <c r="B21" t="s">
        <v>38</v>
      </c>
      <c r="C21" s="9">
        <f>C7/C3</f>
        <v>0.13159860557768924</v>
      </c>
      <c r="D21" s="9">
        <f t="shared" ref="D21:R21" si="174">D7/D3</f>
        <v>0.12058791975109967</v>
      </c>
      <c r="E21" s="9">
        <f t="shared" si="174"/>
        <v>0.11328427575522851</v>
      </c>
      <c r="F21" s="9">
        <f t="shared" si="174"/>
        <v>0.1059204440333025</v>
      </c>
      <c r="G21" s="9">
        <f t="shared" si="174"/>
        <v>0.13329433394618084</v>
      </c>
      <c r="H21" s="9">
        <f t="shared" si="174"/>
        <v>0.14020104300506386</v>
      </c>
      <c r="I21" s="9">
        <f t="shared" si="174"/>
        <v>0.14045312158519704</v>
      </c>
      <c r="J21" s="9">
        <f t="shared" si="174"/>
        <v>0.14585550431595129</v>
      </c>
      <c r="K21" s="9">
        <f t="shared" si="174"/>
        <v>0.13397890827087616</v>
      </c>
      <c r="L21" s="9">
        <f t="shared" si="174"/>
        <v>0.14312818688485712</v>
      </c>
      <c r="M21" s="9">
        <f t="shared" si="174"/>
        <v>0.13686834353047814</v>
      </c>
      <c r="N21" s="9">
        <f t="shared" si="174"/>
        <v>0.14353476899724885</v>
      </c>
      <c r="O21" s="9">
        <f t="shared" si="174"/>
        <v>0.15712916502226984</v>
      </c>
      <c r="P21" s="9">
        <f t="shared" si="174"/>
        <v>0.15197731042971049</v>
      </c>
      <c r="Q21" s="9">
        <f t="shared" si="174"/>
        <v>0.12496506753609687</v>
      </c>
      <c r="R21" s="9">
        <f t="shared" si="174"/>
        <v>0.11684240524365916</v>
      </c>
      <c r="S21" s="9">
        <f t="shared" ref="S21:V21" si="175">S7/S3</f>
        <v>0.10863169156700164</v>
      </c>
      <c r="T21" s="9">
        <f t="shared" si="175"/>
        <v>0.1120817140695395</v>
      </c>
      <c r="U21" s="9">
        <f t="shared" si="175"/>
        <v>0.1225094794898311</v>
      </c>
      <c r="V21" s="9">
        <f t="shared" si="175"/>
        <v>0.13029016067238872</v>
      </c>
      <c r="W21" s="9">
        <f t="shared" ref="W21:AE21" si="176">W7/W3</f>
        <v>0.11867564855955282</v>
      </c>
      <c r="X21" s="9">
        <f t="shared" si="176"/>
        <v>0.12473110818125044</v>
      </c>
      <c r="Y21" s="9">
        <f t="shared" si="176"/>
        <v>0.13639315869235766</v>
      </c>
      <c r="Z21" s="9">
        <f t="shared" si="176"/>
        <v>0.142204259288046</v>
      </c>
      <c r="AA21" s="9">
        <f t="shared" si="176"/>
        <v>0.10626636411241054</v>
      </c>
      <c r="AB21" s="9">
        <f t="shared" si="176"/>
        <v>9.8565580174380454E-2</v>
      </c>
      <c r="AC21" s="9">
        <f t="shared" si="176"/>
        <v>8.3594839609483967E-2</v>
      </c>
      <c r="AD21" s="9">
        <f t="shared" si="176"/>
        <v>8.0426815586746775E-2</v>
      </c>
      <c r="AE21" s="9">
        <f t="shared" si="176"/>
        <v>7.0333287614867651E-2</v>
      </c>
      <c r="AF21" s="9">
        <f t="shared" ref="AF21:AH21" si="177">AF7/AF3</f>
        <v>6.9642445803793099E-2</v>
      </c>
      <c r="AG21" s="9">
        <f t="shared" si="177"/>
        <v>6.9526226317475182E-2</v>
      </c>
      <c r="AH21" s="9">
        <f t="shared" si="177"/>
        <v>6.6962901725741444E-2</v>
      </c>
      <c r="AI21" s="9">
        <f t="shared" ref="AI21:AL21" si="178">AI7/AI3</f>
        <v>6.5155740416883295E-2</v>
      </c>
      <c r="AJ21" s="9">
        <f t="shared" si="178"/>
        <v>6.269467126862531E-2</v>
      </c>
      <c r="AK21" s="9">
        <f t="shared" si="178"/>
        <v>5.5520861793060379E-2</v>
      </c>
      <c r="AL21" s="9">
        <f t="shared" si="178"/>
        <v>5.6934867179803984E-2</v>
      </c>
      <c r="AM21" s="9"/>
      <c r="AN21" s="9"/>
      <c r="AO21" s="9"/>
      <c r="AP21" s="9"/>
      <c r="AQ21" s="9"/>
      <c r="AR21" s="9">
        <f t="shared" ref="AR21:AV21" si="179">AR7/AR3</f>
        <v>8.4599797365754806E-2</v>
      </c>
      <c r="AS21" s="9">
        <f t="shared" si="179"/>
        <v>0.1059013742926435</v>
      </c>
      <c r="AT21" s="9">
        <f t="shared" si="179"/>
        <v>0.17606602475928473</v>
      </c>
      <c r="AU21" s="9">
        <f t="shared" si="179"/>
        <v>0.12665142276422764</v>
      </c>
      <c r="AV21" s="9">
        <f t="shared" si="179"/>
        <v>0.13476656505695492</v>
      </c>
      <c r="AW21" s="9">
        <f t="shared" ref="AW21:AY21" si="180">AW7/AW3</f>
        <v>0.15199687639446677</v>
      </c>
      <c r="AX21" s="9">
        <f t="shared" si="180"/>
        <v>0.13647876112598595</v>
      </c>
      <c r="AY21" s="9">
        <f t="shared" si="180"/>
        <v>0.1162275846800974</v>
      </c>
      <c r="AZ21" s="9">
        <f t="shared" ref="AZ21:BL21" si="181">AZ7/AZ3</f>
        <v>0.14049571976073641</v>
      </c>
      <c r="BA21" s="9">
        <f t="shared" si="181"/>
        <v>0.13973428413769684</v>
      </c>
      <c r="BB21" s="9">
        <f t="shared" si="181"/>
        <v>0.13482074308447525</v>
      </c>
      <c r="BC21" s="9">
        <f t="shared" si="181"/>
        <v>0.11908012448167965</v>
      </c>
      <c r="BD21" s="9">
        <f t="shared" si="181"/>
        <v>0.13087326021147597</v>
      </c>
      <c r="BE21" s="9">
        <f t="shared" si="181"/>
        <v>9.1003247738050325E-2</v>
      </c>
      <c r="BF21" s="9">
        <f t="shared" si="181"/>
        <v>6.8978723404255315E-2</v>
      </c>
      <c r="BG21" s="9">
        <f t="shared" si="181"/>
        <v>5.9667106212524572E-2</v>
      </c>
      <c r="BH21" s="9">
        <f t="shared" si="181"/>
        <v>6.5000000000000002E-2</v>
      </c>
      <c r="BI21" s="9">
        <f t="shared" si="181"/>
        <v>6.5000000000000002E-2</v>
      </c>
      <c r="BJ21" s="9">
        <f t="shared" si="181"/>
        <v>6.5000000000000002E-2</v>
      </c>
      <c r="BK21" s="9">
        <f t="shared" si="181"/>
        <v>6.5000000000000002E-2</v>
      </c>
      <c r="BL21" s="9">
        <f t="shared" si="181"/>
        <v>6.5000000000000002E-2</v>
      </c>
      <c r="BM21" s="9">
        <f t="shared" ref="BM21:BQ21" si="182">BM7/BM3</f>
        <v>6.5000000000000002E-2</v>
      </c>
      <c r="BN21" s="9">
        <f t="shared" si="182"/>
        <v>6.5000000000000002E-2</v>
      </c>
      <c r="BO21" s="9">
        <f t="shared" si="182"/>
        <v>6.5000000000000002E-2</v>
      </c>
      <c r="BP21" s="9">
        <f t="shared" si="182"/>
        <v>6.5000000000000002E-2</v>
      </c>
      <c r="BQ21" s="9">
        <f t="shared" si="182"/>
        <v>6.5000000000000002E-2</v>
      </c>
      <c r="BS21" t="s">
        <v>46</v>
      </c>
      <c r="BT21" s="20">
        <f>Main!D8</f>
        <v>50372</v>
      </c>
    </row>
    <row r="22" spans="2:72">
      <c r="B22" t="s">
        <v>70</v>
      </c>
      <c r="C22" s="9"/>
      <c r="D22" s="9"/>
      <c r="E22" s="9"/>
      <c r="F22" s="9"/>
      <c r="G22" s="9">
        <f t="shared" ref="G22" si="183">G8/C8-1</f>
        <v>0.1557251908396946</v>
      </c>
      <c r="H22" s="9">
        <f t="shared" ref="H22" si="184">H8/D8-1</f>
        <v>0.21249999999999991</v>
      </c>
      <c r="I22" s="9">
        <f t="shared" ref="I22" si="185">I8/E8-1</f>
        <v>0.75932835820895517</v>
      </c>
      <c r="J22" s="9">
        <f t="shared" ref="J22" si="186">J8/F8-1</f>
        <v>0.42274052478134116</v>
      </c>
      <c r="K22" s="9">
        <f t="shared" ref="K22" si="187">K8/G8-1</f>
        <v>4.3685601056803174</v>
      </c>
      <c r="L22" s="9">
        <f t="shared" ref="L22" si="188">L8/H8-1</f>
        <v>3.1546391752577323</v>
      </c>
      <c r="M22" s="9">
        <f t="shared" ref="M22" si="189">M8/I8-1</f>
        <v>0.42948038176033942</v>
      </c>
      <c r="N22" s="9">
        <f t="shared" ref="N22" si="190">N8/J8-1</f>
        <v>0.87397540983606548</v>
      </c>
      <c r="O22" s="9">
        <f t="shared" ref="O22" si="191">O8/K8-1</f>
        <v>-0.6104822834645669</v>
      </c>
      <c r="P22" s="9">
        <f t="shared" ref="P22" si="192">P8/L8-1</f>
        <v>-0.50589330024813894</v>
      </c>
      <c r="Q22" s="9">
        <f t="shared" ref="Q22" si="193">Q8/M8-1</f>
        <v>0.32789317507418403</v>
      </c>
      <c r="R22" s="9">
        <f t="shared" ref="R22" si="194">R8/N8-1</f>
        <v>-0.12575177692728268</v>
      </c>
      <c r="S22" s="9">
        <f t="shared" ref="S22" si="195">S8/O8-1</f>
        <v>2.4636765634870494E-2</v>
      </c>
      <c r="T22" s="9">
        <f t="shared" ref="T22" si="196">T8/P8-1</f>
        <v>0.22787193973634645</v>
      </c>
      <c r="U22" s="9">
        <f t="shared" ref="U22" si="197">U8/Q8-1</f>
        <v>0.64581005586592188</v>
      </c>
      <c r="V22" s="9">
        <f t="shared" ref="V22" si="198">V8/R8-1</f>
        <v>1.0669168230143842</v>
      </c>
      <c r="W22" s="9">
        <f t="shared" ref="W22" si="199">W8/S8-1</f>
        <v>0.45499383477188649</v>
      </c>
      <c r="X22" s="9">
        <f t="shared" ref="X22" si="200">X8/T8-1</f>
        <v>0.52709611451942751</v>
      </c>
      <c r="Y22" s="9">
        <f t="shared" ref="Y22" si="201">Y8/U8-1</f>
        <v>0.14867617107942976</v>
      </c>
      <c r="Z22" s="9">
        <f t="shared" ref="Z22" si="202">Z8/V8-1</f>
        <v>-6.656580937972767E-2</v>
      </c>
      <c r="AA22" s="9">
        <f t="shared" ref="AA22" si="203">AA8/W8-1</f>
        <v>0.22245762711864403</v>
      </c>
      <c r="AB22" s="9">
        <f t="shared" ref="AB22" si="204">AB8/X8-1</f>
        <v>0.39404084365584202</v>
      </c>
      <c r="AC22" s="9">
        <f t="shared" ref="AC22" si="205">AC8/Y8-1</f>
        <v>-0.38829787234042556</v>
      </c>
      <c r="AD22" s="9">
        <f t="shared" ref="AD22" si="206">AD8/Z8-1</f>
        <v>-0.25802269043760129</v>
      </c>
      <c r="AE22" s="9">
        <f t="shared" ref="AE22" si="207">AE8/AA8-1</f>
        <v>0.19757365684575401</v>
      </c>
      <c r="AF22" s="9">
        <f t="shared" ref="AF22" si="208">AF8/AB8-1</f>
        <v>-0.12151777137367914</v>
      </c>
      <c r="AG22" s="9">
        <f t="shared" ref="AG22" si="209">AG8/AC8-1</f>
        <v>-9.9033816425120769E-2</v>
      </c>
      <c r="AH22" s="9">
        <f t="shared" ref="AH22" si="210">AH8/AD8-1</f>
        <v>9.6111839231105556E-3</v>
      </c>
      <c r="AI22" s="9">
        <f t="shared" ref="AI22" si="211">AI8/AE8-1</f>
        <v>-0.34008683068017365</v>
      </c>
      <c r="AJ22" s="9">
        <f t="shared" ref="AJ22" si="212">AJ8/AF8-1</f>
        <v>-0.27200656096227449</v>
      </c>
      <c r="AK22" s="9">
        <f t="shared" ref="AK22" si="213">AK8/AG8-1</f>
        <v>0.88310991957104568</v>
      </c>
      <c r="AL22" s="9">
        <f t="shared" ref="AL22" si="214">AL8/AH8-1</f>
        <v>0.59974037213327569</v>
      </c>
      <c r="AM22" s="9"/>
      <c r="AN22" s="9"/>
      <c r="AO22" s="9"/>
      <c r="AP22" s="9"/>
      <c r="AQ22" s="9"/>
      <c r="AR22" s="9"/>
      <c r="AS22" s="9">
        <f t="shared" ref="AS22" si="215">AS8/AR8-1</f>
        <v>1.2753623188405796</v>
      </c>
      <c r="AT22" s="9">
        <f t="shared" ref="AT22" si="216">AT8/AS8-1</f>
        <v>1.8407643312101909</v>
      </c>
      <c r="AU22" s="9">
        <f t="shared" ref="AU22" si="217">AU8/AT8-1</f>
        <v>-0.12443946188340804</v>
      </c>
      <c r="AV22" s="9">
        <f t="shared" ref="AV22" si="218">AV8/AU8-1</f>
        <v>0.24583866837387958</v>
      </c>
      <c r="AW22" s="9">
        <f t="shared" ref="AW22" si="219">AW8/AV8-1</f>
        <v>0.33093525179856109</v>
      </c>
      <c r="AX22" s="9">
        <f t="shared" ref="AX22" si="220">AX8/AW8-1</f>
        <v>0.33667953667953676</v>
      </c>
      <c r="AY22" s="9">
        <f t="shared" ref="AY22" si="221">AY8/AX8-1</f>
        <v>0.45407279029462733</v>
      </c>
      <c r="AZ22" s="9">
        <f t="shared" ref="AZ22:BL22" si="222">AZ8/AY8-1</f>
        <v>0.37147397695669437</v>
      </c>
      <c r="BA22" s="9">
        <f t="shared" si="222"/>
        <v>2.0315758980301273</v>
      </c>
      <c r="BB22" s="9">
        <f t="shared" si="222"/>
        <v>-0.37267080745341619</v>
      </c>
      <c r="BC22" s="9">
        <f t="shared" si="222"/>
        <v>0.49718202589489713</v>
      </c>
      <c r="BD22" s="9">
        <f t="shared" si="222"/>
        <v>0.20215688269406851</v>
      </c>
      <c r="BE22" s="9">
        <f t="shared" si="222"/>
        <v>-3.4529451591063021E-2</v>
      </c>
      <c r="BF22" s="9">
        <f t="shared" si="222"/>
        <v>-1.0431276297335201E-2</v>
      </c>
      <c r="BG22" s="9">
        <f t="shared" si="222"/>
        <v>7.6446097971476723E-2</v>
      </c>
      <c r="BH22" s="9">
        <f t="shared" si="222"/>
        <v>0.1399999999999999</v>
      </c>
      <c r="BI22" s="9">
        <f t="shared" si="222"/>
        <v>5.0000000000000044E-2</v>
      </c>
      <c r="BJ22" s="9">
        <f t="shared" si="222"/>
        <v>3.0000000000000027E-2</v>
      </c>
      <c r="BK22" s="9">
        <f t="shared" si="222"/>
        <v>2.0000000000000018E-2</v>
      </c>
      <c r="BL22" s="9">
        <f t="shared" si="222"/>
        <v>2.0000000000000018E-2</v>
      </c>
      <c r="BM22" s="9">
        <f t="shared" ref="BM22" si="223">BM8/BL8-1</f>
        <v>2.0000000000000018E-2</v>
      </c>
      <c r="BN22" s="9">
        <f t="shared" ref="BN22" si="224">BN8/BM8-1</f>
        <v>2.0000000000000018E-2</v>
      </c>
      <c r="BO22" s="9">
        <f t="shared" ref="BO22" si="225">BO8/BN8-1</f>
        <v>2.0000000000000018E-2</v>
      </c>
      <c r="BP22" s="9">
        <f t="shared" ref="BP22" si="226">BP8/BO8-1</f>
        <v>2.0000000000000018E-2</v>
      </c>
      <c r="BQ22" s="9">
        <f t="shared" ref="BQ22" si="227">BQ8/BP8-1</f>
        <v>2.0000000000000018E-2</v>
      </c>
      <c r="BS22" t="s">
        <v>47</v>
      </c>
      <c r="BT22" s="20">
        <f>BT20+BT21</f>
        <v>2086722.4827568533</v>
      </c>
    </row>
    <row r="23" spans="2:72">
      <c r="B23" t="s">
        <v>40</v>
      </c>
      <c r="C23" s="9">
        <f>C12/C11</f>
        <v>0.10240610328638497</v>
      </c>
      <c r="D23" s="9">
        <f t="shared" ref="D23:R23" si="228">D12/D11</f>
        <v>0.13324420677361853</v>
      </c>
      <c r="E23" s="9">
        <f t="shared" si="228"/>
        <v>0.10103132161955691</v>
      </c>
      <c r="F23" s="9">
        <f t="shared" si="228"/>
        <v>0.52452425623157328</v>
      </c>
      <c r="G23" s="9">
        <f t="shared" si="228"/>
        <v>0.11105169340463458</v>
      </c>
      <c r="H23" s="9">
        <f t="shared" si="228"/>
        <v>0.12985685071574643</v>
      </c>
      <c r="I23" s="9">
        <f t="shared" si="228"/>
        <v>0.13108930987821379</v>
      </c>
      <c r="J23" s="9">
        <f t="shared" si="228"/>
        <v>0.13662024840045164</v>
      </c>
      <c r="K23" s="9">
        <f t="shared" si="228"/>
        <v>0.30241240666283747</v>
      </c>
      <c r="L23" s="9">
        <f t="shared" si="228"/>
        <v>0.46051537822111388</v>
      </c>
      <c r="M23" s="9">
        <f t="shared" si="228"/>
        <v>0.16891799699822621</v>
      </c>
      <c r="N23" s="9">
        <f t="shared" si="228"/>
        <v>0.19849492856363835</v>
      </c>
      <c r="O23" s="9">
        <f t="shared" si="228"/>
        <v>0.16362395495649207</v>
      </c>
      <c r="P23" s="9">
        <f t="shared" si="228"/>
        <v>0.15543956940140272</v>
      </c>
      <c r="Q23" s="9">
        <f t="shared" si="228"/>
        <v>3.5288331488995447E-2</v>
      </c>
      <c r="R23" s="9">
        <f t="shared" si="228"/>
        <v>0.14063577173496744</v>
      </c>
      <c r="S23" s="9">
        <f t="shared" ref="S23:V23" si="229">S12/S11</f>
        <v>0.17438928975049986</v>
      </c>
      <c r="T23" s="9">
        <f t="shared" si="229"/>
        <v>0.16934388236234316</v>
      </c>
      <c r="U23" s="9">
        <f t="shared" si="229"/>
        <v>0.12976810222432561</v>
      </c>
      <c r="V23" s="9">
        <f t="shared" si="229"/>
        <v>0.19028499448905684</v>
      </c>
      <c r="W23" s="9">
        <f t="shared" ref="W23:AE23" si="230">W12/W11</f>
        <v>0.1619892231701841</v>
      </c>
      <c r="X23" s="9">
        <f t="shared" si="230"/>
        <v>0.18311751771316884</v>
      </c>
      <c r="Y23" s="9">
        <f t="shared" si="230"/>
        <v>0.21180057388809181</v>
      </c>
      <c r="Z23" s="9">
        <f t="shared" si="230"/>
        <v>0.24345422019840623</v>
      </c>
      <c r="AA23" s="9">
        <f t="shared" si="230"/>
        <v>0.21869440262761736</v>
      </c>
      <c r="AB23" s="9">
        <f t="shared" si="230"/>
        <v>0.16194985472936618</v>
      </c>
      <c r="AC23" s="9">
        <f t="shared" si="230"/>
        <v>0.17053883834849545</v>
      </c>
      <c r="AD23" s="9">
        <f t="shared" si="230"/>
        <v>0.16605188005711566</v>
      </c>
      <c r="AE23" s="9">
        <f t="shared" si="230"/>
        <v>0.12789959811041388</v>
      </c>
      <c r="AF23" s="9">
        <f t="shared" ref="AF23:AH23" si="231">AF12/AF11</f>
        <v>0.10863233152389778</v>
      </c>
      <c r="AG23" s="9">
        <f t="shared" si="231"/>
        <v>0.11973964762652901</v>
      </c>
      <c r="AH23" s="9">
        <f t="shared" si="231"/>
        <v>0.12339226469117848</v>
      </c>
      <c r="AI23" s="9">
        <f t="shared" ref="AI23:AL23" si="232">AI12/AI11</f>
        <v>9.4549015341094556E-2</v>
      </c>
      <c r="AJ23" s="9">
        <f t="shared" si="232"/>
        <v>0.10699327943897925</v>
      </c>
      <c r="AK23" s="9">
        <f t="shared" si="232"/>
        <v>0.13959285417532197</v>
      </c>
      <c r="AL23" s="9">
        <f t="shared" si="232"/>
        <v>0.10199574031710973</v>
      </c>
      <c r="AM23" s="9"/>
      <c r="AN23" s="9"/>
      <c r="AO23" s="9"/>
      <c r="AP23" s="9"/>
      <c r="AQ23" s="9"/>
      <c r="AR23" s="9">
        <f t="shared" ref="AR23:AV23" si="233">AR12/AR11</f>
        <v>0.39880952380952384</v>
      </c>
      <c r="AS23" s="9">
        <f t="shared" si="233"/>
        <v>0.41002949852507375</v>
      </c>
      <c r="AT23" s="9">
        <f t="shared" si="233"/>
        <v>0.89271255060728749</v>
      </c>
      <c r="AU23" s="9">
        <f t="shared" si="233"/>
        <v>0.45533769063180829</v>
      </c>
      <c r="AV23" s="9">
        <f t="shared" si="233"/>
        <v>0.40122199592668023</v>
      </c>
      <c r="AW23" s="9">
        <f t="shared" ref="AW23:AY23" si="234">AW12/AW11</f>
        <v>0.4045850823377462</v>
      </c>
      <c r="AX23" s="9">
        <f t="shared" si="234"/>
        <v>0.18381530595941845</v>
      </c>
      <c r="AY23" s="9">
        <f t="shared" si="234"/>
        <v>0.26172671651937457</v>
      </c>
      <c r="AZ23" s="9">
        <f t="shared" ref="AZ23:BL23" si="235">AZ12/AZ11</f>
        <v>0.12811009029612397</v>
      </c>
      <c r="BA23" s="9">
        <f t="shared" si="235"/>
        <v>0.25520329138431752</v>
      </c>
      <c r="BB23" s="9">
        <f t="shared" si="235"/>
        <v>0.12160940325497288</v>
      </c>
      <c r="BC23" s="9">
        <f t="shared" si="235"/>
        <v>0.1673540173000867</v>
      </c>
      <c r="BD23" s="9">
        <f t="shared" si="235"/>
        <v>0.19501023630243935</v>
      </c>
      <c r="BE23" s="9">
        <f t="shared" si="235"/>
        <v>0.17466141137993207</v>
      </c>
      <c r="BF23" s="9">
        <f t="shared" si="235"/>
        <v>0.1201493185172324</v>
      </c>
      <c r="BG23" s="9">
        <f t="shared" si="235"/>
        <v>0.11107451942378567</v>
      </c>
      <c r="BH23" s="9">
        <f t="shared" si="235"/>
        <v>0.12</v>
      </c>
      <c r="BI23" s="9">
        <f t="shared" si="235"/>
        <v>0.12</v>
      </c>
      <c r="BJ23" s="9">
        <f t="shared" si="235"/>
        <v>0.12</v>
      </c>
      <c r="BK23" s="9">
        <f t="shared" si="235"/>
        <v>0.12</v>
      </c>
      <c r="BL23" s="9">
        <f t="shared" si="235"/>
        <v>0.12</v>
      </c>
      <c r="BM23" s="9">
        <f t="shared" ref="BM23:BQ23" si="236">BM12/BM11</f>
        <v>0.12</v>
      </c>
      <c r="BN23" s="9">
        <f t="shared" si="236"/>
        <v>0.12</v>
      </c>
      <c r="BO23" s="9">
        <f t="shared" si="236"/>
        <v>0.12</v>
      </c>
      <c r="BP23" s="9">
        <f t="shared" si="236"/>
        <v>0.12</v>
      </c>
      <c r="BQ23" s="9">
        <f t="shared" si="236"/>
        <v>0.12000000000000001</v>
      </c>
      <c r="BS23" t="s">
        <v>48</v>
      </c>
      <c r="BT23" s="5">
        <f>BT22/BL14</f>
        <v>829.05144328838037</v>
      </c>
    </row>
    <row r="24" spans="2:72">
      <c r="B24" t="s">
        <v>93</v>
      </c>
      <c r="C24" s="9">
        <f>C13/C3</f>
        <v>0.38085159362549803</v>
      </c>
      <c r="D24" s="9">
        <f t="shared" ref="D24:AL24" si="237">D13/D3</f>
        <v>0.41733719557987342</v>
      </c>
      <c r="E24" s="9">
        <f t="shared" si="237"/>
        <v>0.4557513555383424</v>
      </c>
      <c r="F24" s="9">
        <f t="shared" si="237"/>
        <v>0.2735121800801727</v>
      </c>
      <c r="G24" s="9">
        <f t="shared" si="237"/>
        <v>0.41676416513454789</v>
      </c>
      <c r="H24" s="9">
        <f t="shared" si="237"/>
        <v>0.38591187363011109</v>
      </c>
      <c r="I24" s="9">
        <f t="shared" si="237"/>
        <v>0.37422597799956292</v>
      </c>
      <c r="J24" s="9">
        <f t="shared" si="237"/>
        <v>0.40688187300461154</v>
      </c>
      <c r="K24" s="9">
        <f t="shared" si="237"/>
        <v>0.16110632088611793</v>
      </c>
      <c r="L24" s="9">
        <f t="shared" si="237"/>
        <v>0.15391912723823076</v>
      </c>
      <c r="M24" s="9">
        <f t="shared" si="237"/>
        <v>0.34506004985270788</v>
      </c>
      <c r="N24" s="9">
        <f t="shared" si="237"/>
        <v>0.34859121525471964</v>
      </c>
      <c r="O24" s="9">
        <f t="shared" si="237"/>
        <v>0.27637142696059086</v>
      </c>
      <c r="P24" s="9">
        <f t="shared" si="237"/>
        <v>0.27709102584684542</v>
      </c>
      <c r="Q24" s="9">
        <f t="shared" si="237"/>
        <v>0.3654401490451793</v>
      </c>
      <c r="R24" s="9">
        <f t="shared" si="237"/>
        <v>0.39965089769165002</v>
      </c>
      <c r="S24" s="9">
        <f t="shared" si="237"/>
        <v>0.36288257995491191</v>
      </c>
      <c r="T24" s="9">
        <f t="shared" si="237"/>
        <v>0.35746466279189737</v>
      </c>
      <c r="U24" s="9">
        <f t="shared" si="237"/>
        <v>0.31692519820751464</v>
      </c>
      <c r="V24" s="9">
        <f t="shared" si="237"/>
        <v>0.30545573342045085</v>
      </c>
      <c r="W24" s="9">
        <f t="shared" si="237"/>
        <v>0.26748602551239786</v>
      </c>
      <c r="X24" s="9">
        <f t="shared" si="237"/>
        <v>0.23201026993269031</v>
      </c>
      <c r="Y24" s="9">
        <f t="shared" si="237"/>
        <v>0.15858410911452694</v>
      </c>
      <c r="Z24" s="9">
        <f t="shared" si="237"/>
        <v>0.1446292554018343</v>
      </c>
      <c r="AA24" s="9">
        <f t="shared" si="237"/>
        <v>0.19930179787048349</v>
      </c>
      <c r="AB24" s="9">
        <f t="shared" si="237"/>
        <v>0.24338260570642833</v>
      </c>
      <c r="AC24" s="9">
        <f t="shared" si="237"/>
        <v>0.34440376569037656</v>
      </c>
      <c r="AD24" s="9">
        <f t="shared" si="237"/>
        <v>0.34945526164892421</v>
      </c>
      <c r="AE24" s="9">
        <f t="shared" si="237"/>
        <v>0.33929502125908656</v>
      </c>
      <c r="AF24" s="9">
        <f t="shared" si="237"/>
        <v>0.34462900872770086</v>
      </c>
      <c r="AG24" s="9">
        <f t="shared" si="237"/>
        <v>0.38650865998176848</v>
      </c>
      <c r="AH24" s="9">
        <f t="shared" si="237"/>
        <v>0.39863594089077192</v>
      </c>
      <c r="AI24" s="9">
        <f t="shared" si="237"/>
        <v>0.39334499220116276</v>
      </c>
      <c r="AJ24" s="9">
        <f t="shared" si="237"/>
        <v>0.38591211381429413</v>
      </c>
      <c r="AK24" s="9">
        <f t="shared" si="237"/>
        <v>0.36374458452051051</v>
      </c>
      <c r="AL24" s="9">
        <f t="shared" si="237"/>
        <v>0.3801445911876179</v>
      </c>
      <c r="AM24" s="9"/>
      <c r="AN24" s="9"/>
      <c r="AO24" s="9"/>
      <c r="AP24" s="9"/>
      <c r="AQ24" s="9"/>
      <c r="AR24" s="9">
        <f t="shared" ref="AR24:AV24" si="238">AR13/AR3</f>
        <v>0.30699088145896658</v>
      </c>
      <c r="AS24" s="9">
        <f t="shared" si="238"/>
        <v>0.2694691457828079</v>
      </c>
      <c r="AT24" s="9">
        <f t="shared" si="238"/>
        <v>1.0414619768127334E-2</v>
      </c>
      <c r="AU24" s="9">
        <f t="shared" si="238"/>
        <v>0.19054878048780488</v>
      </c>
      <c r="AV24" s="9">
        <f t="shared" si="238"/>
        <v>0.2358414888496711</v>
      </c>
      <c r="AW24" s="9">
        <f t="shared" ref="AW24:AY24" si="239">AW13/AW3</f>
        <v>0.20571173583221777</v>
      </c>
      <c r="AX24" s="9">
        <f t="shared" si="239"/>
        <v>0.36967219046240685</v>
      </c>
      <c r="AY24" s="9">
        <f t="shared" si="239"/>
        <v>0.37399453914840231</v>
      </c>
      <c r="AZ24" s="9">
        <f t="shared" ref="AZ24:BQ24" si="240">AZ13/AZ3</f>
        <v>0.39600272216053584</v>
      </c>
      <c r="BA24" s="9">
        <f t="shared" si="240"/>
        <v>0.26125896684918715</v>
      </c>
      <c r="BB24" s="9">
        <f t="shared" si="240"/>
        <v>0.33902938370983876</v>
      </c>
      <c r="BC24" s="9">
        <f t="shared" si="240"/>
        <v>0.33384494059985248</v>
      </c>
      <c r="BD24" s="9">
        <f t="shared" si="240"/>
        <v>0.19894690804311846</v>
      </c>
      <c r="BE24" s="9">
        <f t="shared" si="240"/>
        <v>0.29123850530069317</v>
      </c>
      <c r="BF24" s="9">
        <f t="shared" si="240"/>
        <v>0.36966565349544073</v>
      </c>
      <c r="BG24" s="9">
        <f t="shared" si="240"/>
        <v>0.38010748140223416</v>
      </c>
      <c r="BH24" s="9">
        <f t="shared" si="240"/>
        <v>0.36842787974111868</v>
      </c>
      <c r="BI24" s="9">
        <f t="shared" si="240"/>
        <v>0.37469170524028322</v>
      </c>
      <c r="BJ24" s="9">
        <f t="shared" si="240"/>
        <v>0.38097228109804726</v>
      </c>
      <c r="BK24" s="9">
        <f t="shared" si="240"/>
        <v>0.38446245478925212</v>
      </c>
      <c r="BL24" s="9">
        <f t="shared" si="240"/>
        <v>0.38505919509626035</v>
      </c>
      <c r="BM24" s="9">
        <f t="shared" si="240"/>
        <v>0.38513389821859845</v>
      </c>
      <c r="BN24" s="9">
        <f t="shared" si="240"/>
        <v>0.38513518721365053</v>
      </c>
      <c r="BO24" s="9">
        <f t="shared" si="240"/>
        <v>0.38513520945513374</v>
      </c>
      <c r="BP24" s="9">
        <f t="shared" si="240"/>
        <v>0.38513520983890842</v>
      </c>
      <c r="BQ24" s="9">
        <f t="shared" si="240"/>
        <v>0.38513520984553046</v>
      </c>
      <c r="BS24" t="s">
        <v>49</v>
      </c>
      <c r="BT24" s="5">
        <f>Main!D3</f>
        <v>726.51</v>
      </c>
    </row>
    <row r="25" spans="2:72">
      <c r="C25" t="s">
        <v>42</v>
      </c>
      <c r="BS25" s="6" t="s">
        <v>50</v>
      </c>
      <c r="BT25" s="10">
        <f>BT23/BT24-1</f>
        <v>0.14114250772650117</v>
      </c>
    </row>
    <row r="26" spans="2:72">
      <c r="BS26" t="s">
        <v>67</v>
      </c>
      <c r="BT26" s="3" t="s">
        <v>92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FD22F-6DC0-487C-A29A-CD9585335F7B}">
  <dimension ref="B2:W91"/>
  <sheetViews>
    <sheetView workbookViewId="0">
      <selection activeCell="F23" sqref="F23"/>
    </sheetView>
  </sheetViews>
  <sheetFormatPr defaultRowHeight="14.4"/>
  <cols>
    <col min="10" max="10" width="10.21875" bestFit="1" customWidth="1"/>
  </cols>
  <sheetData>
    <row r="2" spans="2:23">
      <c r="B2" t="s">
        <v>94</v>
      </c>
    </row>
    <row r="4" spans="2:23">
      <c r="B4" s="21" t="s">
        <v>10</v>
      </c>
      <c r="C4" s="22">
        <v>2022</v>
      </c>
      <c r="D4" s="22">
        <v>2023</v>
      </c>
      <c r="E4" s="22">
        <v>2024</v>
      </c>
      <c r="F4" s="22">
        <v>2025</v>
      </c>
      <c r="G4" s="22">
        <v>2026</v>
      </c>
      <c r="H4" s="23">
        <v>2027</v>
      </c>
      <c r="J4" s="21" t="s">
        <v>129</v>
      </c>
      <c r="K4" s="22">
        <v>2022</v>
      </c>
      <c r="L4" s="22">
        <v>2023</v>
      </c>
      <c r="M4" s="22">
        <v>2024</v>
      </c>
      <c r="N4" s="22">
        <v>2025</v>
      </c>
      <c r="O4" s="22">
        <v>2026</v>
      </c>
      <c r="P4" s="23">
        <v>2027</v>
      </c>
    </row>
    <row r="5" spans="2:23">
      <c r="B5" s="24" t="s">
        <v>95</v>
      </c>
      <c r="C5" s="25" t="s">
        <v>101</v>
      </c>
      <c r="D5" s="25" t="s">
        <v>110</v>
      </c>
      <c r="E5" s="25" t="s">
        <v>118</v>
      </c>
      <c r="F5" s="25" t="s">
        <v>114</v>
      </c>
      <c r="G5" s="26" t="s">
        <v>122</v>
      </c>
      <c r="H5" s="27" t="s">
        <v>126</v>
      </c>
      <c r="J5" s="24" t="s">
        <v>95</v>
      </c>
      <c r="K5" s="25" t="s">
        <v>130</v>
      </c>
      <c r="L5" s="25" t="s">
        <v>137</v>
      </c>
      <c r="M5" s="25" t="s">
        <v>145</v>
      </c>
      <c r="N5" s="25" t="s">
        <v>146</v>
      </c>
      <c r="O5" s="26" t="s">
        <v>131</v>
      </c>
      <c r="P5" s="27" t="s">
        <v>143</v>
      </c>
      <c r="R5" s="25" t="str">
        <f>LEFT(K5,4)</f>
        <v>7.46</v>
      </c>
      <c r="S5" s="25" t="str">
        <f t="shared" ref="S5:S8" si="0">LEFT(L5,4)</f>
        <v>5.71</v>
      </c>
      <c r="T5" s="25" t="str">
        <f t="shared" ref="T5:T8" si="1">LEFT(M5,4)</f>
        <v>12.3</v>
      </c>
      <c r="U5" s="25" t="str">
        <f t="shared" ref="U5:U8" si="2">LEFT(N5,4)</f>
        <v>16.6</v>
      </c>
      <c r="V5" s="25" t="str">
        <f t="shared" ref="V5:V8" si="3">LEFT(O5,4)</f>
        <v>16.8</v>
      </c>
      <c r="W5" s="25" t="str">
        <f t="shared" ref="W5:W8" si="4">LEFT(P5,4)</f>
        <v>18.0</v>
      </c>
    </row>
    <row r="6" spans="2:23">
      <c r="B6" s="28" t="s">
        <v>96</v>
      </c>
      <c r="C6" s="29" t="s">
        <v>102</v>
      </c>
      <c r="D6" s="29" t="s">
        <v>111</v>
      </c>
      <c r="E6" s="29" t="s">
        <v>119</v>
      </c>
      <c r="F6" s="29" t="s">
        <v>115</v>
      </c>
      <c r="G6" s="30" t="s">
        <v>123</v>
      </c>
      <c r="H6" s="31" t="s">
        <v>127</v>
      </c>
      <c r="J6" s="28" t="s">
        <v>96</v>
      </c>
      <c r="K6" s="29" t="s">
        <v>134</v>
      </c>
      <c r="L6" s="29" t="s">
        <v>144</v>
      </c>
      <c r="M6" s="29" t="s">
        <v>140</v>
      </c>
      <c r="N6" s="29" t="s">
        <v>147</v>
      </c>
      <c r="O6" s="30" t="s">
        <v>149</v>
      </c>
      <c r="P6" s="31" t="s">
        <v>132</v>
      </c>
      <c r="R6" s="25" t="str">
        <f t="shared" ref="R6:R8" si="5">LEFT(K6,4)</f>
        <v>6.69</v>
      </c>
      <c r="S6" s="25" t="str">
        <f t="shared" si="0"/>
        <v>7.79</v>
      </c>
      <c r="T6" s="25" t="str">
        <f t="shared" si="1"/>
        <v>13.4</v>
      </c>
      <c r="U6" s="25" t="str">
        <f t="shared" si="2"/>
        <v>18.3</v>
      </c>
      <c r="V6" s="25" t="str">
        <f t="shared" si="3"/>
        <v>18.7</v>
      </c>
      <c r="W6" s="25" t="str">
        <f t="shared" si="4"/>
        <v>21.0</v>
      </c>
    </row>
    <row r="7" spans="2:23">
      <c r="B7" s="28" t="s">
        <v>97</v>
      </c>
      <c r="C7" s="29" t="s">
        <v>103</v>
      </c>
      <c r="D7" s="29" t="s">
        <v>112</v>
      </c>
      <c r="E7" s="29" t="s">
        <v>120</v>
      </c>
      <c r="F7" s="30" t="s">
        <v>116</v>
      </c>
      <c r="G7" s="30" t="s">
        <v>124</v>
      </c>
      <c r="H7" s="31" t="s">
        <v>128</v>
      </c>
      <c r="J7" s="28" t="s">
        <v>97</v>
      </c>
      <c r="K7" s="29" t="s">
        <v>135</v>
      </c>
      <c r="L7" s="29" t="s">
        <v>138</v>
      </c>
      <c r="M7" s="29" t="s">
        <v>141</v>
      </c>
      <c r="N7" s="30" t="s">
        <v>148</v>
      </c>
      <c r="O7" s="30" t="s">
        <v>150</v>
      </c>
      <c r="P7" s="31" t="s">
        <v>152</v>
      </c>
      <c r="R7" s="25" t="str">
        <f t="shared" si="5"/>
        <v>4.39</v>
      </c>
      <c r="S7" s="25" t="str">
        <f t="shared" si="0"/>
        <v>11.5</v>
      </c>
      <c r="T7" s="25" t="str">
        <f t="shared" si="1"/>
        <v>15.6</v>
      </c>
      <c r="U7" s="25" t="str">
        <f t="shared" si="2"/>
        <v>17.0</v>
      </c>
      <c r="V7" s="25" t="str">
        <f t="shared" si="3"/>
        <v>18.3</v>
      </c>
      <c r="W7" s="25" t="str">
        <f t="shared" si="4"/>
        <v>20.3</v>
      </c>
    </row>
    <row r="8" spans="2:23">
      <c r="B8" s="28" t="s">
        <v>98</v>
      </c>
      <c r="C8" s="29" t="s">
        <v>104</v>
      </c>
      <c r="D8" s="29" t="s">
        <v>113</v>
      </c>
      <c r="E8" s="29" t="s">
        <v>121</v>
      </c>
      <c r="F8" s="30" t="s">
        <v>117</v>
      </c>
      <c r="G8" s="30" t="s">
        <v>125</v>
      </c>
      <c r="H8" s="32" t="s">
        <v>99</v>
      </c>
      <c r="J8" s="28" t="s">
        <v>98</v>
      </c>
      <c r="K8" s="29" t="s">
        <v>136</v>
      </c>
      <c r="L8" s="29" t="s">
        <v>139</v>
      </c>
      <c r="M8" s="29" t="s">
        <v>142</v>
      </c>
      <c r="N8" s="30" t="s">
        <v>133</v>
      </c>
      <c r="O8" s="30" t="s">
        <v>151</v>
      </c>
      <c r="P8" s="32" t="s">
        <v>99</v>
      </c>
      <c r="R8" s="25" t="str">
        <f t="shared" si="5"/>
        <v>4.65</v>
      </c>
      <c r="S8" s="25" t="str">
        <f t="shared" si="0"/>
        <v>14.0</v>
      </c>
      <c r="T8" s="25" t="str">
        <f t="shared" si="1"/>
        <v>20.8</v>
      </c>
      <c r="U8" s="25" t="str">
        <f t="shared" si="2"/>
        <v>20.5</v>
      </c>
      <c r="V8" s="25" t="str">
        <f t="shared" si="3"/>
        <v>22.3</v>
      </c>
      <c r="W8" s="25" t="str">
        <f t="shared" si="4"/>
        <v>-</v>
      </c>
    </row>
    <row r="9" spans="2:23">
      <c r="B9" s="28"/>
      <c r="C9" s="29"/>
      <c r="D9" s="29"/>
      <c r="E9" s="29"/>
      <c r="F9" s="30"/>
      <c r="G9" s="30"/>
      <c r="H9" s="32"/>
      <c r="J9" s="28"/>
      <c r="K9" s="29"/>
      <c r="L9" s="29"/>
      <c r="M9" s="29"/>
      <c r="N9" s="30"/>
      <c r="O9" s="30"/>
      <c r="P9" s="32"/>
    </row>
    <row r="10" spans="2:23">
      <c r="B10" s="33" t="s">
        <v>100</v>
      </c>
      <c r="C10" s="34" t="s">
        <v>105</v>
      </c>
      <c r="D10" s="34" t="s">
        <v>106</v>
      </c>
      <c r="E10" s="34" t="s">
        <v>107</v>
      </c>
      <c r="F10" s="35" t="s">
        <v>108</v>
      </c>
      <c r="G10" s="35" t="s">
        <v>109</v>
      </c>
      <c r="H10" s="36" t="s">
        <v>99</v>
      </c>
      <c r="J10" s="33" t="s">
        <v>100</v>
      </c>
      <c r="K10" s="34" t="s">
        <v>105</v>
      </c>
      <c r="L10" s="34" t="s">
        <v>106</v>
      </c>
      <c r="M10" s="34" t="s">
        <v>107</v>
      </c>
      <c r="N10" s="35" t="s">
        <v>108</v>
      </c>
      <c r="O10" s="35" t="s">
        <v>109</v>
      </c>
      <c r="P10" s="36" t="s">
        <v>99</v>
      </c>
    </row>
    <row r="12" spans="2:23">
      <c r="J12" s="51" t="s">
        <v>95</v>
      </c>
      <c r="K12" s="45">
        <v>-0.21340000000000001</v>
      </c>
      <c r="L12" s="45">
        <f>S5/R5-1</f>
        <v>-0.23458445040214482</v>
      </c>
      <c r="M12" s="45">
        <f t="shared" ref="M12:M15" si="6">T5/S5-1</f>
        <v>1.1541155866900175</v>
      </c>
      <c r="N12" s="45">
        <f t="shared" ref="N12:P15" si="7">U5/T5-1</f>
        <v>0.34959349593495936</v>
      </c>
      <c r="O12" s="46">
        <f t="shared" si="7"/>
        <v>1.2048192771084265E-2</v>
      </c>
      <c r="P12" s="47">
        <f t="shared" si="7"/>
        <v>7.1428571428571397E-2</v>
      </c>
    </row>
    <row r="13" spans="2:23">
      <c r="J13" s="28" t="s">
        <v>96</v>
      </c>
      <c r="K13" s="42">
        <v>-0.35699999999999998</v>
      </c>
      <c r="L13" s="40">
        <f t="shared" ref="L13:L15" si="8">S6/R6-1</f>
        <v>0.16442451420029891</v>
      </c>
      <c r="M13" s="40">
        <f t="shared" si="6"/>
        <v>0.72015404364569968</v>
      </c>
      <c r="N13" s="40">
        <f t="shared" si="7"/>
        <v>0.36567164179104483</v>
      </c>
      <c r="O13" s="41">
        <f t="shared" si="7"/>
        <v>2.1857923497267784E-2</v>
      </c>
      <c r="P13" s="48">
        <f t="shared" si="7"/>
        <v>0.12299465240641716</v>
      </c>
    </row>
    <row r="14" spans="2:23">
      <c r="J14" s="28" t="s">
        <v>97</v>
      </c>
      <c r="K14" s="42">
        <v>-0.52200000000000002</v>
      </c>
      <c r="L14" s="40">
        <f t="shared" si="8"/>
        <v>1.619589977220957</v>
      </c>
      <c r="M14" s="40">
        <f t="shared" si="6"/>
        <v>0.35652173913043472</v>
      </c>
      <c r="N14" s="41">
        <f t="shared" si="7"/>
        <v>8.9743589743589869E-2</v>
      </c>
      <c r="O14" s="41">
        <f t="shared" si="7"/>
        <v>7.6470588235294068E-2</v>
      </c>
      <c r="P14" s="48">
        <f t="shared" si="7"/>
        <v>0.1092896174863387</v>
      </c>
      <c r="S14" s="50"/>
    </row>
    <row r="15" spans="2:23">
      <c r="J15" s="28" t="s">
        <v>98</v>
      </c>
      <c r="K15" s="42">
        <v>-0.54800000000000004</v>
      </c>
      <c r="L15" s="40">
        <f t="shared" si="8"/>
        <v>2.010752688172043</v>
      </c>
      <c r="M15" s="40">
        <f t="shared" si="6"/>
        <v>0.48571428571428577</v>
      </c>
      <c r="N15" s="41">
        <f t="shared" si="7"/>
        <v>-1.4423076923076983E-2</v>
      </c>
      <c r="O15" s="41">
        <f t="shared" si="7"/>
        <v>8.7804878048780566E-2</v>
      </c>
      <c r="P15" s="49" t="s">
        <v>99</v>
      </c>
    </row>
    <row r="16" spans="2:23">
      <c r="J16" s="28"/>
      <c r="K16" s="29"/>
      <c r="L16" s="29"/>
      <c r="M16" s="29"/>
      <c r="N16" s="30"/>
      <c r="O16" s="30"/>
      <c r="P16" s="32"/>
    </row>
    <row r="17" spans="10:16">
      <c r="J17" s="33" t="s">
        <v>100</v>
      </c>
      <c r="K17" s="43">
        <v>-0.41399999999999998</v>
      </c>
      <c r="L17" s="43">
        <v>0.68500000000000005</v>
      </c>
      <c r="M17" s="43">
        <v>0.59499999999999997</v>
      </c>
      <c r="N17" s="44">
        <v>0.16300000000000001</v>
      </c>
      <c r="O17" s="44">
        <v>5.7000000000000002E-2</v>
      </c>
      <c r="P17" s="36" t="s">
        <v>99</v>
      </c>
    </row>
    <row r="18" spans="10:16">
      <c r="J18" s="37"/>
    </row>
    <row r="19" spans="10:16">
      <c r="J19" s="37"/>
    </row>
    <row r="20" spans="10:16">
      <c r="J20" s="37"/>
    </row>
    <row r="21" spans="10:16">
      <c r="J21" s="37"/>
    </row>
    <row r="22" spans="10:16">
      <c r="J22" s="37"/>
    </row>
    <row r="23" spans="10:16">
      <c r="J23" s="37"/>
    </row>
    <row r="24" spans="10:16">
      <c r="J24" s="37"/>
    </row>
    <row r="25" spans="10:16">
      <c r="J25" s="38"/>
    </row>
    <row r="26" spans="10:16">
      <c r="J26" s="38"/>
    </row>
    <row r="27" spans="10:16">
      <c r="J27" s="38"/>
    </row>
    <row r="28" spans="10:16">
      <c r="J28" s="37"/>
    </row>
    <row r="29" spans="10:16">
      <c r="J29" s="37"/>
    </row>
    <row r="30" spans="10:16">
      <c r="J30" s="37"/>
    </row>
    <row r="31" spans="10:16">
      <c r="J31" s="37"/>
    </row>
    <row r="32" spans="10:16">
      <c r="J32" s="37"/>
    </row>
    <row r="33" spans="10:10">
      <c r="J33" s="38"/>
    </row>
    <row r="34" spans="10:10">
      <c r="J34" s="37"/>
    </row>
    <row r="35" spans="10:10">
      <c r="J35" s="37"/>
    </row>
    <row r="36" spans="10:10">
      <c r="J36" s="37"/>
    </row>
    <row r="37" spans="10:10">
      <c r="J37" s="37"/>
    </row>
    <row r="38" spans="10:10">
      <c r="J38" s="38"/>
    </row>
    <row r="39" spans="10:10">
      <c r="J39" s="38"/>
    </row>
    <row r="40" spans="10:10">
      <c r="J40" s="37"/>
    </row>
    <row r="41" spans="10:10">
      <c r="J41" s="37"/>
    </row>
    <row r="42" spans="10:10">
      <c r="J42" s="37"/>
    </row>
    <row r="43" spans="10:10">
      <c r="J43" s="38"/>
    </row>
    <row r="44" spans="10:10">
      <c r="J44" s="37"/>
    </row>
    <row r="45" spans="10:10">
      <c r="J45" s="38"/>
    </row>
    <row r="46" spans="10:10">
      <c r="J46" s="37"/>
    </row>
    <row r="47" spans="10:10">
      <c r="J47" s="37"/>
    </row>
    <row r="48" spans="10:10">
      <c r="J48" s="37"/>
    </row>
    <row r="49" spans="10:10">
      <c r="J49" s="38"/>
    </row>
    <row r="50" spans="10:10">
      <c r="J50" s="38"/>
    </row>
    <row r="51" spans="10:10">
      <c r="J51" s="38"/>
    </row>
    <row r="52" spans="10:10">
      <c r="J52" s="38"/>
    </row>
    <row r="53" spans="10:10">
      <c r="J53" s="37"/>
    </row>
    <row r="54" spans="10:10">
      <c r="J54" s="37"/>
    </row>
    <row r="55" spans="10:10">
      <c r="J55" s="37"/>
    </row>
    <row r="56" spans="10:10">
      <c r="J56" s="37"/>
    </row>
    <row r="57" spans="10:10">
      <c r="J57" s="37"/>
    </row>
    <row r="58" spans="10:10">
      <c r="J58" s="37"/>
    </row>
    <row r="59" spans="10:10">
      <c r="J59" s="37"/>
    </row>
    <row r="60" spans="10:10">
      <c r="J60" s="37"/>
    </row>
    <row r="61" spans="10:10">
      <c r="J61" s="37"/>
    </row>
    <row r="62" spans="10:10">
      <c r="J62" s="37"/>
    </row>
    <row r="63" spans="10:10">
      <c r="J63" s="37"/>
    </row>
    <row r="64" spans="10:10">
      <c r="J64" s="37"/>
    </row>
    <row r="65" spans="10:10">
      <c r="J65" s="37"/>
    </row>
    <row r="66" spans="10:10">
      <c r="J66" s="37"/>
    </row>
    <row r="67" spans="10:10">
      <c r="J67" s="37"/>
    </row>
    <row r="68" spans="10:10">
      <c r="J68" s="37"/>
    </row>
    <row r="69" spans="10:10">
      <c r="J69" s="37"/>
    </row>
    <row r="70" spans="10:10">
      <c r="J70" s="37"/>
    </row>
    <row r="71" spans="10:10">
      <c r="J71" s="37"/>
    </row>
    <row r="72" spans="10:10">
      <c r="J72" s="37"/>
    </row>
    <row r="73" spans="10:10">
      <c r="J73" s="37"/>
    </row>
    <row r="74" spans="10:10">
      <c r="J74" s="37"/>
    </row>
    <row r="75" spans="10:10">
      <c r="J75" s="37"/>
    </row>
    <row r="76" spans="10:10">
      <c r="J76" s="37"/>
    </row>
    <row r="77" spans="10:10">
      <c r="J77" s="37"/>
    </row>
    <row r="78" spans="10:10">
      <c r="J78" s="37"/>
    </row>
    <row r="79" spans="10:10">
      <c r="J79" s="37"/>
    </row>
    <row r="80" spans="10:10">
      <c r="J80" s="38"/>
    </row>
    <row r="81" spans="10:10">
      <c r="J81" s="37"/>
    </row>
    <row r="82" spans="10:10">
      <c r="J82" s="38"/>
    </row>
    <row r="83" spans="10:10">
      <c r="J83" s="38"/>
    </row>
    <row r="84" spans="10:10">
      <c r="J84" s="38"/>
    </row>
    <row r="85" spans="10:10">
      <c r="J85" s="38"/>
    </row>
    <row r="86" spans="10:10">
      <c r="J86" s="37"/>
    </row>
    <row r="87" spans="10:10">
      <c r="J87" s="38"/>
    </row>
    <row r="88" spans="10:10">
      <c r="J88" s="38"/>
    </row>
    <row r="89" spans="10:10">
      <c r="J89" s="38"/>
    </row>
    <row r="90" spans="10:10">
      <c r="J90" s="37"/>
    </row>
    <row r="91" spans="10:10">
      <c r="J9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Earnings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2020-10-14T15:27:31Z</dcterms:created>
  <dcterms:modified xsi:type="dcterms:W3CDTF">2026-02-06T10:43:07Z</dcterms:modified>
</cp:coreProperties>
</file>