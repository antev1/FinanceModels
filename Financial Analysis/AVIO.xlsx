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3D3AE887-ECB7-42FA-8D70-E621095D1C06}" xr6:coauthVersionLast="47" xr6:coauthVersionMax="47" xr10:uidLastSave="{00000000-0000-0000-0000-000000000000}"/>
  <bookViews>
    <workbookView xWindow="-108" yWindow="-108" windowWidth="23256" windowHeight="12576" xr2:uid="{AF31F9F5-56F7-484C-B94A-A647121F0EB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E30" i="2"/>
  <c r="E26" i="2"/>
  <c r="I42" i="2"/>
  <c r="I40" i="2"/>
  <c r="I38" i="2"/>
  <c r="I35" i="2"/>
  <c r="I31" i="2"/>
  <c r="I30" i="2"/>
  <c r="I26" i="2"/>
  <c r="F3" i="1"/>
  <c r="E31" i="2" l="1"/>
  <c r="E35" i="2" s="1"/>
  <c r="E38" i="2" s="1"/>
  <c r="E40" i="2" s="1"/>
  <c r="E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D4" authorId="0" shapeId="0" xr:uid="{D4D5F790-753B-4D99-9C5B-7A3FE98DE9AD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unsure on this</t>
        </r>
      </text>
    </comment>
  </commentList>
</comments>
</file>

<file path=xl/sharedStrings.xml><?xml version="1.0" encoding="utf-8"?>
<sst xmlns="http://schemas.openxmlformats.org/spreadsheetml/2006/main" count="65" uniqueCount="42">
  <si>
    <t>AVIO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</si>
  <si>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</si>
  <si>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</si>
  <si>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</si>
  <si>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</si>
  <si>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</si>
  <si>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</si>
  <si>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</si>
  <si>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</si>
  <si>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</si>
  <si>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</si>
  <si>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</si>
  <si>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</si>
  <si>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</si>
  <si>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</si>
  <si>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</si>
  <si>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</si>
  <si>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</si>
  <si>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</si>
  <si>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</si>
  <si>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</si>
  <si>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</si>
  <si>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</si>
  <si>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</si>
  <si>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Other income</t>
  </si>
  <si>
    <t>Total revenue</t>
  </si>
  <si>
    <t>Material cost</t>
  </si>
  <si>
    <t>Service cost</t>
  </si>
  <si>
    <t>Personnel cost</t>
  </si>
  <si>
    <t>Total cost of sales</t>
  </si>
  <si>
    <t>Gross profit</t>
  </si>
  <si>
    <t>D&amp;A</t>
  </si>
  <si>
    <t>Operating costs</t>
  </si>
  <si>
    <t>Equity income</t>
  </si>
  <si>
    <t>EBIT</t>
  </si>
  <si>
    <t>Finance income</t>
  </si>
  <si>
    <t>Finance expense</t>
  </si>
  <si>
    <t>Pretax profit</t>
  </si>
  <si>
    <t>Taxes</t>
  </si>
  <si>
    <t>Net profit</t>
  </si>
  <si>
    <t>EPS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</si>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</sst>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10]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4" fontId="2" fillId="2" borderId="1" xfId="0" applyNumberFormat="1" applyFont="1" applyFill="1" applyBorder="1"/>
    <xf numFmtId="3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A402-B9A2-4334-AF12-79DC3A675760}">
  <dimension ref="B2:G9"/>
  <sheetViews>
    <sheetView tabSelected="1" workbookViewId="0">
      <selection activeCell="D10" sqref="D10"/>
    </sheetView>
  </sheetViews>
  <sheetFormatPr defaultRowHeight="14.4" x14ac:dyDescent="0.3"/>
  <cols>
    <col min="1" max="4" width="8.88671875" style="1"/>
    <col min="5" max="5" width="11.88671875" style="5" bestFit="1" customWidth="1"/>
    <col min="6" max="7" width="11.21875" style="5" bestFit="1" customWidth="1"/>
    <col min="8" max="16384" width="8.88671875" style="1"/>
  </cols>
  <sheetData>
    <row r="2" spans="2:7" x14ac:dyDescent="0.3">
      <c r="E2" s="5" t="s">
        <v>8</v>
      </c>
      <c r="F2" s="5" t="s">
        <v>9</v>
      </c>
      <c r="G2" s="5" t="s">
        <v>10</v>
      </c>
    </row>
    <row r="3" spans="2:7" x14ac:dyDescent="0.3">
      <c r="B3" s="2" t="s">
        <v>0</v>
      </c>
      <c r="C3" s="1" t="s">
        <v>1</v>
      </c>
      <c r="D3" s="3">
        <v>36.200000000000003</v>
      </c>
      <c r="E3" s="6">
        <v>46078</v>
      </c>
      <c r="F3" s="6">
        <f ca="1">TODAY()</f>
        <v>46078</v>
      </c>
      <c r="G3" s="6">
        <v>46097</v>
      </c>
    </row>
    <row r="4" spans="2:7" x14ac:dyDescent="0.3">
      <c r="C4" s="1" t="s">
        <v>2</v>
      </c>
      <c r="D4" s="9">
        <v>25.7</v>
      </c>
      <c r="E4" s="5" t="s">
        <v>18</v>
      </c>
    </row>
    <row r="5" spans="2:7" x14ac:dyDescent="0.3">
      <c r="C5" s="1" t="s">
        <v>3</v>
      </c>
      <c r="D5" s="9">
        <f>D3*D4</f>
        <v>930.34</v>
      </c>
    </row>
    <row r="6" spans="2:7" x14ac:dyDescent="0.3">
      <c r="C6" s="1" t="s">
        <v>4</v>
      </c>
      <c r="D6" s="9">
        <f>58.4+16.2</f>
        <v>74.599999999999994</v>
      </c>
      <c r="E6" s="5" t="s">
        <v>18</v>
      </c>
    </row>
    <row r="7" spans="2:7" x14ac:dyDescent="0.3">
      <c r="C7" s="1" t="s">
        <v>5</v>
      </c>
      <c r="D7" s="9">
        <f>0</f>
        <v>0</v>
      </c>
      <c r="E7" s="5" t="s">
        <v>18</v>
      </c>
    </row>
    <row r="8" spans="2:7" x14ac:dyDescent="0.3">
      <c r="C8" s="1" t="s">
        <v>6</v>
      </c>
      <c r="D8" s="9">
        <f>D6-D7</f>
        <v>74.599999999999994</v>
      </c>
    </row>
    <row r="9" spans="2:7" x14ac:dyDescent="0.3">
      <c r="C9" s="1" t="s">
        <v>7</v>
      </c>
      <c r="D9" s="9">
        <f>D5-D8</f>
        <v>855.74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C758-BE19-49FC-B9AA-F4D664B529AB}">
  <dimension ref="B2:N42"/>
  <sheetViews>
    <sheetView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E40" sqref="E40"/>
    </sheetView>
  </sheetViews>
  <sheetFormatPr defaultRowHeight="14.4" x14ac:dyDescent="0.3"/>
  <cols>
    <col min="1" max="1" width="8.88671875" style="1"/>
    <col min="2" max="2" width="15.88671875" style="1" bestFit="1" customWidth="1"/>
    <col min="3" max="16384" width="8.88671875" style="1"/>
  </cols>
  <sheetData>
    <row r="2" spans="2:14" x14ac:dyDescent="0.3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</row>
    <row r="3" spans="2:14" x14ac:dyDescent="0.3">
      <c r="B3" s="1" t="s">
        <v>11</v>
      </c>
    </row>
    <row r="4" spans="2:14" x14ac:dyDescent="0.3">
      <c r="B4" s="1" t="s">
        <v>24</v>
      </c>
    </row>
    <row r="5" spans="2:14" s="2" customFormat="1" x14ac:dyDescent="0.3">
      <c r="B5" s="2" t="s">
        <v>25</v>
      </c>
    </row>
    <row r="6" spans="2:14" x14ac:dyDescent="0.3">
      <c r="B6" s="1" t="s">
        <v>26</v>
      </c>
    </row>
    <row r="7" spans="2:14" x14ac:dyDescent="0.3">
      <c r="B7" s="1" t="s">
        <v>27</v>
      </c>
    </row>
    <row r="8" spans="2:14" x14ac:dyDescent="0.3">
      <c r="B8" s="1" t="s">
        <v>28</v>
      </c>
    </row>
    <row r="9" spans="2:14" x14ac:dyDescent="0.3">
      <c r="B9" s="1" t="s">
        <v>29</v>
      </c>
    </row>
    <row r="10" spans="2:14" s="2" customFormat="1" x14ac:dyDescent="0.3">
      <c r="B10" s="2" t="s">
        <v>30</v>
      </c>
    </row>
    <row r="11" spans="2:14" x14ac:dyDescent="0.3">
      <c r="B11" s="1" t="s">
        <v>31</v>
      </c>
    </row>
    <row r="12" spans="2:14" x14ac:dyDescent="0.3">
      <c r="B12" s="1" t="s">
        <v>32</v>
      </c>
    </row>
    <row r="13" spans="2:14" x14ac:dyDescent="0.3">
      <c r="B13" s="1" t="s">
        <v>33</v>
      </c>
    </row>
    <row r="14" spans="2:14" s="2" customFormat="1" x14ac:dyDescent="0.3">
      <c r="B14" s="2" t="s">
        <v>34</v>
      </c>
    </row>
    <row r="15" spans="2:14" x14ac:dyDescent="0.3">
      <c r="B15" s="1" t="s">
        <v>35</v>
      </c>
    </row>
    <row r="16" spans="2:14" x14ac:dyDescent="0.3">
      <c r="B16" s="1" t="s">
        <v>36</v>
      </c>
    </row>
    <row r="17" spans="2:9" s="2" customFormat="1" x14ac:dyDescent="0.3">
      <c r="B17" s="2" t="s">
        <v>37</v>
      </c>
    </row>
    <row r="18" spans="2:9" x14ac:dyDescent="0.3">
      <c r="B18" s="1" t="s">
        <v>38</v>
      </c>
    </row>
    <row r="19" spans="2:9" s="2" customFormat="1" x14ac:dyDescent="0.3">
      <c r="B19" s="2" t="s">
        <v>39</v>
      </c>
    </row>
    <row r="20" spans="2:9" x14ac:dyDescent="0.3">
      <c r="B20" s="1" t="s">
        <v>2</v>
      </c>
    </row>
    <row r="21" spans="2:9" x14ac:dyDescent="0.3">
      <c r="B21" s="1" t="s">
        <v>40</v>
      </c>
    </row>
    <row r="23" spans="2:9" x14ac:dyDescent="0.3">
      <c r="B23" s="7" t="s">
        <v>41</v>
      </c>
    </row>
    <row r="24" spans="2:9" x14ac:dyDescent="0.3">
      <c r="B24" s="1" t="s">
        <v>11</v>
      </c>
      <c r="E24" s="9">
        <v>307.89999999999998</v>
      </c>
      <c r="I24" s="9">
        <v>376.5</v>
      </c>
    </row>
    <row r="25" spans="2:9" x14ac:dyDescent="0.3">
      <c r="B25" s="1" t="s">
        <v>24</v>
      </c>
      <c r="E25" s="9">
        <v>4</v>
      </c>
      <c r="I25" s="9">
        <v>4.9000000000000004</v>
      </c>
    </row>
    <row r="26" spans="2:9" x14ac:dyDescent="0.3">
      <c r="B26" s="2" t="s">
        <v>25</v>
      </c>
      <c r="E26" s="9">
        <f>E24+E25</f>
        <v>311.89999999999998</v>
      </c>
      <c r="I26" s="9">
        <f>I24+I25</f>
        <v>381.4</v>
      </c>
    </row>
    <row r="27" spans="2:9" x14ac:dyDescent="0.3">
      <c r="B27" s="1" t="s">
        <v>26</v>
      </c>
      <c r="E27" s="9">
        <v>90.1</v>
      </c>
      <c r="I27" s="9">
        <v>111.7</v>
      </c>
    </row>
    <row r="28" spans="2:9" x14ac:dyDescent="0.3">
      <c r="B28" s="1" t="s">
        <v>27</v>
      </c>
      <c r="E28" s="9">
        <v>127.4</v>
      </c>
      <c r="I28" s="9">
        <v>159.5</v>
      </c>
    </row>
    <row r="29" spans="2:9" x14ac:dyDescent="0.3">
      <c r="B29" s="1" t="s">
        <v>28</v>
      </c>
      <c r="E29" s="9">
        <v>79.099999999999994</v>
      </c>
      <c r="I29" s="9">
        <v>91.7</v>
      </c>
    </row>
    <row r="30" spans="2:9" x14ac:dyDescent="0.3">
      <c r="B30" s="1" t="s">
        <v>29</v>
      </c>
      <c r="E30" s="9">
        <f>SUM(E27:E29)</f>
        <v>296.60000000000002</v>
      </c>
      <c r="I30" s="9">
        <f>SUM(I27:I29)</f>
        <v>362.9</v>
      </c>
    </row>
    <row r="31" spans="2:9" x14ac:dyDescent="0.3">
      <c r="B31" s="2" t="s">
        <v>30</v>
      </c>
      <c r="E31" s="9">
        <f>E26-E30</f>
        <v>15.299999999999955</v>
      </c>
      <c r="I31" s="9">
        <f>I26-I30</f>
        <v>18.5</v>
      </c>
    </row>
    <row r="32" spans="2:9" x14ac:dyDescent="0.3">
      <c r="B32" s="1" t="s">
        <v>31</v>
      </c>
      <c r="E32" s="9">
        <v>12.7</v>
      </c>
      <c r="I32" s="9">
        <v>15</v>
      </c>
    </row>
    <row r="33" spans="2:9" x14ac:dyDescent="0.3">
      <c r="B33" s="1" t="s">
        <v>32</v>
      </c>
      <c r="E33" s="9">
        <v>3.7</v>
      </c>
      <c r="I33" s="9">
        <v>3.9</v>
      </c>
    </row>
    <row r="34" spans="2:9" x14ac:dyDescent="0.3">
      <c r="B34" s="1" t="s">
        <v>33</v>
      </c>
      <c r="E34" s="9">
        <v>-0.6</v>
      </c>
      <c r="I34" s="9">
        <v>-0.5</v>
      </c>
    </row>
    <row r="35" spans="2:9" x14ac:dyDescent="0.3">
      <c r="B35" s="2" t="s">
        <v>34</v>
      </c>
      <c r="E35" s="9">
        <f>E31-E32-E33-E34</f>
        <v>-0.50000000000004496</v>
      </c>
      <c r="I35" s="9">
        <f>I31-I32-I33-I34</f>
        <v>0.10000000000000009</v>
      </c>
    </row>
    <row r="36" spans="2:9" x14ac:dyDescent="0.3">
      <c r="B36" s="1" t="s">
        <v>35</v>
      </c>
      <c r="E36" s="9">
        <v>-0.5</v>
      </c>
      <c r="I36" s="9">
        <v>-1</v>
      </c>
    </row>
    <row r="37" spans="2:9" x14ac:dyDescent="0.3">
      <c r="B37" s="1" t="s">
        <v>36</v>
      </c>
      <c r="E37" s="9">
        <v>0.7</v>
      </c>
      <c r="I37" s="9">
        <v>0.5</v>
      </c>
    </row>
    <row r="38" spans="2:9" x14ac:dyDescent="0.3">
      <c r="B38" s="2" t="s">
        <v>37</v>
      </c>
      <c r="E38" s="9">
        <f>E35-E36-E37</f>
        <v>-0.70000000000004492</v>
      </c>
      <c r="I38" s="9">
        <f>I35-I36-I37</f>
        <v>0.60000000000000009</v>
      </c>
    </row>
    <row r="39" spans="2:9" x14ac:dyDescent="0.3">
      <c r="B39" s="1" t="s">
        <v>38</v>
      </c>
      <c r="E39" s="9">
        <v>1.4</v>
      </c>
      <c r="I39" s="9">
        <v>0.1</v>
      </c>
    </row>
    <row r="40" spans="2:9" x14ac:dyDescent="0.3">
      <c r="B40" s="2" t="s">
        <v>39</v>
      </c>
      <c r="E40" s="9">
        <f>E38-E39</f>
        <v>-2.1000000000000449</v>
      </c>
      <c r="I40" s="9">
        <f>I38-I39</f>
        <v>0.50000000000000011</v>
      </c>
    </row>
    <row r="41" spans="2:9" x14ac:dyDescent="0.3">
      <c r="B41" s="1" t="s">
        <v>2</v>
      </c>
      <c r="E41" s="9"/>
      <c r="I41" s="9"/>
    </row>
    <row r="42" spans="2:9" x14ac:dyDescent="0.3">
      <c r="B42" s="1" t="s">
        <v>40</v>
      </c>
      <c r="E42" s="8" t="e">
        <f>E40/E41</f>
        <v>#DIV/0!</v>
      </c>
      <c r="I42" s="8" t="e">
        <f>I40/I41</f>
        <v>#DIV/0!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2026-02-25T17:42:26Z</dcterms:created>
  <dcterms:modified xsi:type="dcterms:W3CDTF">2026-02-25T18:16:59Z</dcterms:modified>
</cp:coreProperties>
</file>