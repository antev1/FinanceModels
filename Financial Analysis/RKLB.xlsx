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4DA37ED-9235-48D0-A65C-71AD0463EE76}" xr6:coauthVersionLast="47" xr6:coauthVersionMax="47" xr10:uidLastSave="{00000000-0000-0000-0000-000000000000}"/>
  <bookViews>
    <workbookView xWindow="-108" yWindow="-108" windowWidth="23256" windowHeight="12576" xr2:uid="{7785D2BD-1134-4E1E-8E32-DCB36011BAE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8" i="2" l="1"/>
  <c r="AE8" i="2"/>
  <c r="AD8" i="2"/>
  <c r="AC8" i="2"/>
  <c r="AB8" i="2"/>
  <c r="AA8" i="2"/>
  <c r="Z8" i="2"/>
  <c r="Y8" i="2"/>
  <c r="X8" i="2"/>
  <c r="W8" i="2"/>
  <c r="N8" i="2"/>
  <c r="M8" i="2"/>
  <c r="M5" i="2"/>
  <c r="N5" i="2"/>
  <c r="L25" i="2"/>
  <c r="K25" i="2"/>
  <c r="L24" i="2"/>
  <c r="K24" i="2"/>
  <c r="G8" i="2"/>
  <c r="G9" i="2" s="1"/>
  <c r="G29" i="2" s="1"/>
  <c r="G5" i="2"/>
  <c r="M26" i="2"/>
  <c r="K17" i="2"/>
  <c r="K8" i="2"/>
  <c r="K5" i="2"/>
  <c r="K26" i="2"/>
  <c r="K21" i="2"/>
  <c r="H8" i="2"/>
  <c r="H9" i="2" s="1"/>
  <c r="H29" i="2" s="1"/>
  <c r="H5" i="2"/>
  <c r="AF21" i="2"/>
  <c r="AE21" i="2"/>
  <c r="AD21" i="2"/>
  <c r="AC21" i="2"/>
  <c r="AB21" i="2"/>
  <c r="AA21" i="2"/>
  <c r="Z21" i="2"/>
  <c r="Y21" i="2"/>
  <c r="X21" i="2"/>
  <c r="W21" i="2"/>
  <c r="V21" i="2"/>
  <c r="N21" i="2"/>
  <c r="M21" i="2"/>
  <c r="L21" i="2"/>
  <c r="L17" i="2"/>
  <c r="L8" i="2"/>
  <c r="L5" i="2"/>
  <c r="D7" i="1"/>
  <c r="D6" i="1"/>
  <c r="D8" i="1" s="1"/>
  <c r="AI28" i="2" s="1"/>
  <c r="D4" i="1"/>
  <c r="AI31" i="2"/>
  <c r="W10" i="2"/>
  <c r="X10" i="2" s="1"/>
  <c r="V30" i="2"/>
  <c r="V16" i="2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V15" i="2"/>
  <c r="V14" i="2"/>
  <c r="W14" i="2" s="1"/>
  <c r="V11" i="2"/>
  <c r="W11" i="2" s="1"/>
  <c r="V10" i="2"/>
  <c r="N31" i="2"/>
  <c r="M31" i="2"/>
  <c r="L31" i="2"/>
  <c r="K31" i="2"/>
  <c r="N30" i="2"/>
  <c r="M30" i="2"/>
  <c r="L30" i="2"/>
  <c r="K30" i="2"/>
  <c r="N12" i="2"/>
  <c r="M12" i="2"/>
  <c r="L12" i="2"/>
  <c r="K12" i="2"/>
  <c r="N11" i="2"/>
  <c r="M11" i="2"/>
  <c r="N10" i="2"/>
  <c r="M10" i="2"/>
  <c r="J31" i="2"/>
  <c r="I31" i="2"/>
  <c r="H31" i="2"/>
  <c r="G31" i="2"/>
  <c r="I30" i="2"/>
  <c r="H30" i="2"/>
  <c r="G30" i="2"/>
  <c r="J30" i="2"/>
  <c r="I26" i="2"/>
  <c r="H26" i="2"/>
  <c r="G26" i="2"/>
  <c r="I34" i="2"/>
  <c r="F34" i="2"/>
  <c r="E34" i="2"/>
  <c r="D34" i="2"/>
  <c r="C34" i="2"/>
  <c r="I33" i="2"/>
  <c r="F33" i="2"/>
  <c r="E33" i="2"/>
  <c r="D33" i="2"/>
  <c r="C33" i="2"/>
  <c r="I32" i="2"/>
  <c r="F32" i="2"/>
  <c r="E32" i="2"/>
  <c r="D32" i="2"/>
  <c r="C32" i="2"/>
  <c r="I29" i="2"/>
  <c r="F29" i="2"/>
  <c r="E29" i="2"/>
  <c r="D29" i="2"/>
  <c r="C29" i="2"/>
  <c r="J19" i="2"/>
  <c r="J16" i="2"/>
  <c r="J15" i="2"/>
  <c r="J14" i="2"/>
  <c r="J11" i="2"/>
  <c r="J10" i="2"/>
  <c r="J12" i="2" s="1"/>
  <c r="J5" i="2"/>
  <c r="J17" i="2"/>
  <c r="F19" i="2"/>
  <c r="F16" i="2"/>
  <c r="F15" i="2"/>
  <c r="F14" i="2"/>
  <c r="F11" i="2"/>
  <c r="F10" i="2"/>
  <c r="F8" i="2"/>
  <c r="F5" i="2"/>
  <c r="F17" i="2"/>
  <c r="F12" i="2"/>
  <c r="C17" i="2"/>
  <c r="C12" i="2"/>
  <c r="C9" i="2"/>
  <c r="G17" i="2"/>
  <c r="G12" i="2"/>
  <c r="D17" i="2"/>
  <c r="D12" i="2"/>
  <c r="D9" i="2"/>
  <c r="H17" i="2"/>
  <c r="H12" i="2"/>
  <c r="E17" i="2"/>
  <c r="E12" i="2"/>
  <c r="E9" i="2"/>
  <c r="I17" i="2"/>
  <c r="I12" i="2"/>
  <c r="I9" i="2"/>
  <c r="Q16" i="2"/>
  <c r="Q17" i="2" s="1"/>
  <c r="Q12" i="2"/>
  <c r="Q9" i="2"/>
  <c r="Q29" i="2" s="1"/>
  <c r="R34" i="2"/>
  <c r="R33" i="2"/>
  <c r="R32" i="2"/>
  <c r="R31" i="2"/>
  <c r="R30" i="2"/>
  <c r="R29" i="2"/>
  <c r="R26" i="2"/>
  <c r="R16" i="2"/>
  <c r="R17" i="2" s="1"/>
  <c r="R12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T25" i="2"/>
  <c r="T24" i="2"/>
  <c r="U34" i="2"/>
  <c r="U33" i="2"/>
  <c r="U32" i="2"/>
  <c r="U31" i="2"/>
  <c r="U30" i="2"/>
  <c r="U29" i="2"/>
  <c r="U28" i="2"/>
  <c r="U25" i="2"/>
  <c r="S16" i="2"/>
  <c r="S17" i="2"/>
  <c r="S12" i="2"/>
  <c r="S8" i="2"/>
  <c r="S5" i="2"/>
  <c r="T17" i="2"/>
  <c r="T12" i="2"/>
  <c r="T8" i="2"/>
  <c r="T5" i="2"/>
  <c r="U17" i="2"/>
  <c r="U12" i="2"/>
  <c r="U8" i="2"/>
  <c r="U3" i="2"/>
  <c r="U27" i="2" s="1"/>
  <c r="D5" i="1"/>
  <c r="F3" i="1"/>
  <c r="M9" i="2" l="1"/>
  <c r="M29" i="2" s="1"/>
  <c r="K9" i="2"/>
  <c r="K29" i="2" s="1"/>
  <c r="J8" i="2"/>
  <c r="J9" i="2" s="1"/>
  <c r="N26" i="2"/>
  <c r="N9" i="2"/>
  <c r="N29" i="2" s="1"/>
  <c r="J26" i="2"/>
  <c r="X14" i="2"/>
  <c r="W17" i="2"/>
  <c r="V17" i="2"/>
  <c r="X11" i="2"/>
  <c r="Y11" i="2" s="1"/>
  <c r="Z11" i="2" s="1"/>
  <c r="AA11" i="2" s="1"/>
  <c r="AB11" i="2" s="1"/>
  <c r="AC11" i="2" s="1"/>
  <c r="AD11" i="2" s="1"/>
  <c r="AE11" i="2" s="1"/>
  <c r="AF11" i="2" s="1"/>
  <c r="W12" i="2"/>
  <c r="V31" i="2"/>
  <c r="V12" i="2"/>
  <c r="Y10" i="2"/>
  <c r="X12" i="2"/>
  <c r="V5" i="2"/>
  <c r="L26" i="2"/>
  <c r="L9" i="2"/>
  <c r="L29" i="2" s="1"/>
  <c r="D9" i="1"/>
  <c r="Y31" i="2"/>
  <c r="X31" i="2"/>
  <c r="W31" i="2"/>
  <c r="Y30" i="2"/>
  <c r="X30" i="2"/>
  <c r="W30" i="2"/>
  <c r="L13" i="2"/>
  <c r="F9" i="2"/>
  <c r="F13" i="2" s="1"/>
  <c r="F18" i="2" s="1"/>
  <c r="F20" i="2" s="1"/>
  <c r="F22" i="2" s="1"/>
  <c r="C13" i="2"/>
  <c r="C18" i="2" s="1"/>
  <c r="C20" i="2" s="1"/>
  <c r="C22" i="2" s="1"/>
  <c r="G13" i="2"/>
  <c r="D13" i="2"/>
  <c r="D18" i="2" s="1"/>
  <c r="D20" i="2" s="1"/>
  <c r="D22" i="2" s="1"/>
  <c r="H13" i="2"/>
  <c r="E13" i="2"/>
  <c r="E18" i="2" s="1"/>
  <c r="E20" i="2" s="1"/>
  <c r="E22" i="2" s="1"/>
  <c r="I13" i="2"/>
  <c r="I18" i="2" s="1"/>
  <c r="I20" i="2" s="1"/>
  <c r="I22" i="2" s="1"/>
  <c r="Q13" i="2"/>
  <c r="Q32" i="2" s="1"/>
  <c r="R9" i="2"/>
  <c r="R13" i="2" s="1"/>
  <c r="R18" i="2" s="1"/>
  <c r="R20" i="2" s="1"/>
  <c r="R22" i="2" s="1"/>
  <c r="S26" i="2"/>
  <c r="U5" i="2"/>
  <c r="U24" i="2"/>
  <c r="S9" i="2"/>
  <c r="S13" i="2" s="1"/>
  <c r="S18" i="2" s="1"/>
  <c r="S20" i="2" s="1"/>
  <c r="S22" i="2" s="1"/>
  <c r="T9" i="2"/>
  <c r="T13" i="2" s="1"/>
  <c r="T18" i="2" s="1"/>
  <c r="T20" i="2" s="1"/>
  <c r="T22" i="2" s="1"/>
  <c r="G18" i="2" l="1"/>
  <c r="G32" i="2"/>
  <c r="V26" i="2"/>
  <c r="W5" i="2"/>
  <c r="X5" i="2" s="1"/>
  <c r="Y5" i="2" s="1"/>
  <c r="Z5" i="2" s="1"/>
  <c r="AA5" i="2" s="1"/>
  <c r="M13" i="2"/>
  <c r="M18" i="2" s="1"/>
  <c r="N13" i="2"/>
  <c r="N32" i="2" s="1"/>
  <c r="M32" i="2"/>
  <c r="K13" i="2"/>
  <c r="K18" i="2" s="1"/>
  <c r="V8" i="2"/>
  <c r="V9" i="2" s="1"/>
  <c r="J13" i="2"/>
  <c r="J18" i="2" s="1"/>
  <c r="J29" i="2"/>
  <c r="H18" i="2"/>
  <c r="H32" i="2"/>
  <c r="Y14" i="2"/>
  <c r="X17" i="2"/>
  <c r="Y12" i="2"/>
  <c r="Z10" i="2"/>
  <c r="Z30" i="2" s="1"/>
  <c r="L18" i="2"/>
  <c r="L32" i="2"/>
  <c r="Z31" i="2"/>
  <c r="Q18" i="2"/>
  <c r="Q20" i="2" s="1"/>
  <c r="U9" i="2"/>
  <c r="U26" i="2"/>
  <c r="W26" i="2" l="1"/>
  <c r="G20" i="2"/>
  <c r="G33" i="2"/>
  <c r="AB5" i="2"/>
  <c r="AC5" i="2" s="1"/>
  <c r="AD5" i="2" s="1"/>
  <c r="AE5" i="2" s="1"/>
  <c r="AF5" i="2" s="1"/>
  <c r="N18" i="2"/>
  <c r="N19" i="2" s="1"/>
  <c r="N33" i="2" s="1"/>
  <c r="M19" i="2"/>
  <c r="M33" i="2" s="1"/>
  <c r="X9" i="2"/>
  <c r="W9" i="2"/>
  <c r="W13" i="2" s="1"/>
  <c r="V29" i="2"/>
  <c r="V13" i="2"/>
  <c r="V18" i="2" s="1"/>
  <c r="K32" i="2"/>
  <c r="K33" i="2"/>
  <c r="J32" i="2"/>
  <c r="H20" i="2"/>
  <c r="H33" i="2"/>
  <c r="Z14" i="2"/>
  <c r="Y17" i="2"/>
  <c r="Z12" i="2"/>
  <c r="AA10" i="2"/>
  <c r="AA30" i="2" s="1"/>
  <c r="AA31" i="2"/>
  <c r="J20" i="2"/>
  <c r="J33" i="2"/>
  <c r="Q33" i="2"/>
  <c r="Q22" i="2"/>
  <c r="Q34" i="2"/>
  <c r="U13" i="2"/>
  <c r="U18" i="2" s="1"/>
  <c r="U20" i="2" s="1"/>
  <c r="U22" i="2" s="1"/>
  <c r="N20" i="2" l="1"/>
  <c r="N22" i="2" s="1"/>
  <c r="G22" i="2"/>
  <c r="G34" i="2"/>
  <c r="M20" i="2"/>
  <c r="M34" i="2" s="1"/>
  <c r="Y9" i="2"/>
  <c r="X26" i="2"/>
  <c r="W29" i="2"/>
  <c r="V32" i="2"/>
  <c r="K20" i="2"/>
  <c r="K22" i="2" s="1"/>
  <c r="H22" i="2"/>
  <c r="H34" i="2"/>
  <c r="AA14" i="2"/>
  <c r="Z17" i="2"/>
  <c r="AB10" i="2"/>
  <c r="AA12" i="2"/>
  <c r="V19" i="2"/>
  <c r="L33" i="2"/>
  <c r="L20" i="2"/>
  <c r="X13" i="2"/>
  <c r="X29" i="2"/>
  <c r="W32" i="2"/>
  <c r="W18" i="2"/>
  <c r="AB31" i="2"/>
  <c r="AB30" i="2"/>
  <c r="J22" i="2"/>
  <c r="J34" i="2"/>
  <c r="N34" i="2" l="1"/>
  <c r="M22" i="2"/>
  <c r="Z9" i="2"/>
  <c r="Y26" i="2"/>
  <c r="K34" i="2"/>
  <c r="AB14" i="2"/>
  <c r="AA17" i="2"/>
  <c r="AC10" i="2"/>
  <c r="AC30" i="2" s="1"/>
  <c r="AB12" i="2"/>
  <c r="V20" i="2"/>
  <c r="V33" i="2"/>
  <c r="Y13" i="2"/>
  <c r="Y29" i="2"/>
  <c r="X32" i="2"/>
  <c r="X18" i="2"/>
  <c r="W19" i="2"/>
  <c r="W33" i="2" s="1"/>
  <c r="L22" i="2"/>
  <c r="L34" i="2"/>
  <c r="AC31" i="2"/>
  <c r="AA9" i="2" l="1"/>
  <c r="Z26" i="2"/>
  <c r="AC14" i="2"/>
  <c r="AB17" i="2"/>
  <c r="AD10" i="2"/>
  <c r="AD30" i="2" s="1"/>
  <c r="AC12" i="2"/>
  <c r="Y18" i="2"/>
  <c r="Y32" i="2"/>
  <c r="Z13" i="2"/>
  <c r="Z29" i="2"/>
  <c r="W20" i="2"/>
  <c r="X19" i="2"/>
  <c r="X33" i="2" s="1"/>
  <c r="V22" i="2"/>
  <c r="V34" i="2"/>
  <c r="AD31" i="2"/>
  <c r="AB26" i="2" l="1"/>
  <c r="AA26" i="2"/>
  <c r="AD14" i="2"/>
  <c r="AC17" i="2"/>
  <c r="AE10" i="2"/>
  <c r="AE30" i="2" s="1"/>
  <c r="AD12" i="2"/>
  <c r="W22" i="2"/>
  <c r="W34" i="2"/>
  <c r="Z18" i="2"/>
  <c r="Z32" i="2"/>
  <c r="AA13" i="2"/>
  <c r="AA29" i="2"/>
  <c r="X20" i="2"/>
  <c r="Y19" i="2"/>
  <c r="Y33" i="2" s="1"/>
  <c r="AF31" i="2"/>
  <c r="AE31" i="2"/>
  <c r="AB9" i="2" l="1"/>
  <c r="AB29" i="2" s="1"/>
  <c r="AE14" i="2"/>
  <c r="AD17" i="2"/>
  <c r="AF10" i="2"/>
  <c r="AE12" i="2"/>
  <c r="AA18" i="2"/>
  <c r="AA32" i="2"/>
  <c r="Y20" i="2"/>
  <c r="Z19" i="2"/>
  <c r="Z33" i="2" s="1"/>
  <c r="X22" i="2"/>
  <c r="X34" i="2"/>
  <c r="AB13" i="2" l="1"/>
  <c r="AB18" i="2" s="1"/>
  <c r="AC26" i="2"/>
  <c r="AC9" i="2"/>
  <c r="AC29" i="2" s="1"/>
  <c r="Z20" i="2"/>
  <c r="Z22" i="2" s="1"/>
  <c r="AF14" i="2"/>
  <c r="AF17" i="2" s="1"/>
  <c r="AE17" i="2"/>
  <c r="AF12" i="2"/>
  <c r="AF30" i="2"/>
  <c r="AD9" i="2"/>
  <c r="AD26" i="2"/>
  <c r="Y22" i="2"/>
  <c r="Y34" i="2"/>
  <c r="AA19" i="2"/>
  <c r="AA33" i="2" s="1"/>
  <c r="AC13" i="2" l="1"/>
  <c r="AC32" i="2" s="1"/>
  <c r="AB32" i="2"/>
  <c r="AA20" i="2"/>
  <c r="AA34" i="2" s="1"/>
  <c r="Z34" i="2"/>
  <c r="AD13" i="2"/>
  <c r="AD29" i="2"/>
  <c r="AE9" i="2"/>
  <c r="AE26" i="2"/>
  <c r="AB19" i="2"/>
  <c r="AB33" i="2" s="1"/>
  <c r="AC18" i="2" l="1"/>
  <c r="AC19" i="2" s="1"/>
  <c r="AC33" i="2" s="1"/>
  <c r="AA22" i="2"/>
  <c r="AB20" i="2"/>
  <c r="AB22" i="2" s="1"/>
  <c r="AE13" i="2"/>
  <c r="AE29" i="2"/>
  <c r="AF9" i="2"/>
  <c r="AF26" i="2"/>
  <c r="AD18" i="2"/>
  <c r="AD32" i="2"/>
  <c r="AB34" i="2" l="1"/>
  <c r="AF13" i="2"/>
  <c r="AF29" i="2"/>
  <c r="AC20" i="2"/>
  <c r="AD19" i="2"/>
  <c r="AD33" i="2" s="1"/>
  <c r="AE18" i="2"/>
  <c r="AE32" i="2"/>
  <c r="AE19" i="2" l="1"/>
  <c r="AE33" i="2" s="1"/>
  <c r="AC22" i="2"/>
  <c r="AC34" i="2"/>
  <c r="AD20" i="2"/>
  <c r="AF18" i="2"/>
  <c r="AF32" i="2"/>
  <c r="AD22" i="2" l="1"/>
  <c r="AD34" i="2"/>
  <c r="AE20" i="2"/>
  <c r="AF19" i="2"/>
  <c r="AF33" i="2" s="1"/>
  <c r="AF20" i="2" l="1"/>
  <c r="AE22" i="2"/>
  <c r="AE34" i="2"/>
  <c r="AF34" i="2" l="1"/>
  <c r="AF22" i="2"/>
  <c r="AG20" i="2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AI27" i="2" s="1"/>
  <c r="AI29" i="2" s="1"/>
  <c r="AI30" i="2" s="1"/>
  <c r="AI32" i="2" s="1"/>
</calcChain>
</file>

<file path=xl/sharedStrings.xml><?xml version="1.0" encoding="utf-8"?>
<sst xmlns="http://schemas.openxmlformats.org/spreadsheetml/2006/main" count="67" uniqueCount="60">
  <si>
    <t>RKLB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</si>
  <si>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</si>
  <si>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</si>
  <si>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</si>
  <si>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</si>
  <si>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</si>
  <si>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</si>
  <si>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</si>
  <si>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</si>
  <si>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</si>
  <si>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</si>
  <si>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</si>
  <si>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Product revenue</t>
  </si>
  <si>
    <t>Service revenue</t>
  </si>
  <si>
    <t>Total revenue</t>
  </si>
  <si>
    <t>Product cost</t>
  </si>
  <si>
    <t>Service cost</t>
  </si>
  <si>
    <t>Total cost of sales</t>
  </si>
  <si>
    <t>R&amp;D</t>
  </si>
  <si>
    <t>SG&amp;A</t>
  </si>
  <si>
    <t>Total operating expense</t>
  </si>
  <si>
    <t>Operating profit</t>
  </si>
  <si>
    <t>Interest expense</t>
  </si>
  <si>
    <t>Finance expense</t>
  </si>
  <si>
    <t>Other income</t>
  </si>
  <si>
    <t>Total other expense</t>
  </si>
  <si>
    <t>Pretax profit</t>
  </si>
  <si>
    <t>Taxes</t>
  </si>
  <si>
    <t>Net profit</t>
  </si>
  <si>
    <t>EPS</t>
  </si>
  <si>
    <t>Gross profit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</si>
  <si>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</si>
  <si>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</si>
  <si>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</si>
  <si>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</si>
  <si>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</si>
  <si>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</si>
  <si>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</si>
  <si>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</si>
  <si>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</si>
  <si>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</si>
  <si>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</si>
  <si>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Revenue y/y</t>
  </si>
  <si>
    <t>Product Margin</t>
  </si>
  <si>
    <t>Service Margin</t>
  </si>
  <si>
    <t>R&amp;D y/y</t>
  </si>
  <si>
    <t>SG&amp;A y/y</t>
  </si>
  <si>
    <t>Operating Margin</t>
  </si>
  <si>
    <t>Net Margin</t>
  </si>
  <si>
    <t>Gross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</si>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</sst>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30480</xdr:colOff>
      <xdr:row>0</xdr:row>
      <xdr:rowOff>0</xdr:rowOff>
    </xdr:from>
    <xdr:to>
      <xdr:col>21</xdr:col>
      <xdr:colOff>30480</xdr:colOff>
      <xdr:row>39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3A6A21A-3492-3AC4-3FB4-114FC7726EA4}"/>
            </a:ext>
          </a:extLst>
        </xdr:cNvPr>
        <xdr:cNvCxnSpPr/>
      </xdr:nvCxnSpPr>
      <xdr:spPr>
        <a:xfrm>
          <a:off x="13647420" y="0"/>
          <a:ext cx="0" cy="723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0</xdr:row>
      <xdr:rowOff>0</xdr:rowOff>
    </xdr:from>
    <xdr:to>
      <xdr:col>10</xdr:col>
      <xdr:colOff>22860</xdr:colOff>
      <xdr:row>39</xdr:row>
      <xdr:rowOff>53340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D82BBA3-1965-070F-449C-9816C72BD04D}"/>
            </a:ext>
          </a:extLst>
        </xdr:cNvPr>
        <xdr:cNvCxnSpPr/>
      </xdr:nvCxnSpPr>
      <xdr:spPr>
        <a:xfrm>
          <a:off x="6934200" y="0"/>
          <a:ext cx="0" cy="7185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56A3-7E21-46FB-8D89-17D1D428DDB4}">
  <dimension ref="B2:G9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7" width="13.1093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53.74</v>
      </c>
      <c r="E3" s="4">
        <v>45923</v>
      </c>
      <c r="F3" s="4">
        <f ca="1">TODAY()</f>
        <v>45923</v>
      </c>
      <c r="G3" s="4">
        <v>45979</v>
      </c>
    </row>
    <row r="4" spans="2:7" x14ac:dyDescent="0.3">
      <c r="C4" s="1" t="s">
        <v>2</v>
      </c>
      <c r="D4" s="6">
        <f>479.4</f>
        <v>479.4</v>
      </c>
      <c r="E4" s="3" t="s">
        <v>36</v>
      </c>
    </row>
    <row r="5" spans="2:7" x14ac:dyDescent="0.3">
      <c r="C5" s="1" t="s">
        <v>3</v>
      </c>
      <c r="D5" s="6">
        <f>D3*D4</f>
        <v>25762.955999999998</v>
      </c>
    </row>
    <row r="6" spans="2:7" x14ac:dyDescent="0.3">
      <c r="C6" s="1" t="s">
        <v>4</v>
      </c>
      <c r="D6" s="6">
        <f>564.1+124.1+61.2</f>
        <v>749.40000000000009</v>
      </c>
      <c r="E6" s="3" t="s">
        <v>36</v>
      </c>
    </row>
    <row r="7" spans="2:7" x14ac:dyDescent="0.3">
      <c r="C7" s="1" t="s">
        <v>5</v>
      </c>
      <c r="D7" s="6">
        <f>16.5+346.5+53.7</f>
        <v>416.7</v>
      </c>
      <c r="E7" s="3" t="s">
        <v>36</v>
      </c>
    </row>
    <row r="8" spans="2:7" x14ac:dyDescent="0.3">
      <c r="C8" s="1" t="s">
        <v>6</v>
      </c>
      <c r="D8" s="6">
        <f>D6-D7</f>
        <v>332.7000000000001</v>
      </c>
    </row>
    <row r="9" spans="2:7" x14ac:dyDescent="0.3">
      <c r="C9" s="1" t="s">
        <v>7</v>
      </c>
      <c r="D9" s="6">
        <f>D5-D8</f>
        <v>25430.255999999998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1FAA-67BC-4AC9-9052-F0705C3700A8}">
  <dimension ref="B2:EJ34"/>
  <sheetViews>
    <sheetView workbookViewId="0">
      <pane xSplit="2" ySplit="2" topLeftCell="T7" activePane="bottomRight" state="frozen"/>
      <selection pane="topRight" activeCell="C1" sqref="C1"/>
      <selection pane="bottomLeft" activeCell="A3" sqref="A3"/>
      <selection pane="bottomRight" activeCell="AI27" sqref="AI27"/>
    </sheetView>
  </sheetViews>
  <sheetFormatPr defaultRowHeight="14.4" x14ac:dyDescent="0.3"/>
  <cols>
    <col min="1" max="1" width="8.88671875" style="1"/>
    <col min="2" max="2" width="20.77734375" style="1" bestFit="1" customWidth="1"/>
    <col min="3" max="33" width="8.88671875" style="1"/>
    <col min="34" max="34" width="11.88671875" style="1" bestFit="1" customWidth="1"/>
    <col min="35" max="35" width="16.6640625" style="1" customWidth="1"/>
    <col min="36" max="16384" width="8.88671875" style="1"/>
  </cols>
  <sheetData>
    <row r="2" spans="2:32" x14ac:dyDescent="0.3"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11</v>
      </c>
      <c r="K2" s="7" t="s">
        <v>38</v>
      </c>
      <c r="L2" s="7" t="s">
        <v>39</v>
      </c>
      <c r="M2" s="7" t="s">
        <v>40</v>
      </c>
      <c r="N2" s="7" t="s">
        <v>41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 x14ac:dyDescent="0.3">
      <c r="B3" s="1" t="s">
        <v>12</v>
      </c>
      <c r="G3" s="6">
        <v>54.1</v>
      </c>
      <c r="H3" s="6">
        <v>72.3</v>
      </c>
      <c r="K3" s="6">
        <v>80.8</v>
      </c>
      <c r="L3" s="6">
        <v>92.7</v>
      </c>
      <c r="M3" s="1">
        <v>100</v>
      </c>
      <c r="N3" s="1">
        <v>130</v>
      </c>
      <c r="R3" s="6"/>
      <c r="S3" s="6">
        <v>133.1</v>
      </c>
      <c r="T3" s="6">
        <v>156.6</v>
      </c>
      <c r="U3" s="6">
        <f>289.9</f>
        <v>289.89999999999998</v>
      </c>
      <c r="V3" s="6"/>
    </row>
    <row r="4" spans="2:32" x14ac:dyDescent="0.3">
      <c r="B4" s="1" t="s">
        <v>13</v>
      </c>
      <c r="G4" s="6">
        <v>38.6</v>
      </c>
      <c r="H4" s="6">
        <v>34</v>
      </c>
      <c r="K4" s="6">
        <v>41.8</v>
      </c>
      <c r="L4" s="6">
        <v>51.8</v>
      </c>
      <c r="M4" s="1">
        <v>57</v>
      </c>
      <c r="N4" s="1">
        <v>65</v>
      </c>
      <c r="R4" s="6"/>
      <c r="S4" s="6">
        <v>77.900000000000006</v>
      </c>
      <c r="T4" s="6">
        <v>88</v>
      </c>
      <c r="U4" s="6">
        <v>146.4</v>
      </c>
      <c r="V4" s="6"/>
    </row>
    <row r="5" spans="2:32" s="2" customFormat="1" x14ac:dyDescent="0.3">
      <c r="B5" s="2" t="s">
        <v>14</v>
      </c>
      <c r="C5" s="9">
        <v>54.9</v>
      </c>
      <c r="D5" s="9">
        <v>62</v>
      </c>
      <c r="E5" s="9">
        <v>67.7</v>
      </c>
      <c r="F5" s="9">
        <f>T5-E5-D5-C5</f>
        <v>59.999999999999979</v>
      </c>
      <c r="G5" s="9">
        <f>SUM(G3:G4)</f>
        <v>92.7</v>
      </c>
      <c r="H5" s="9">
        <f>SUM(H3:H4)</f>
        <v>106.3</v>
      </c>
      <c r="I5" s="9">
        <v>104.8</v>
      </c>
      <c r="J5" s="9">
        <f>U5-I5-H5-G5</f>
        <v>132.49999999999994</v>
      </c>
      <c r="K5" s="9">
        <f>K3+K4</f>
        <v>122.6</v>
      </c>
      <c r="L5" s="9">
        <f>L3+L4</f>
        <v>144.5</v>
      </c>
      <c r="M5" s="9">
        <f>SUM(M3:M4)</f>
        <v>157</v>
      </c>
      <c r="N5" s="9">
        <f>SUM(N3:N4)</f>
        <v>195</v>
      </c>
      <c r="Q5" s="9">
        <v>35.200000000000003</v>
      </c>
      <c r="R5" s="9">
        <v>62.2</v>
      </c>
      <c r="S5" s="9">
        <f>S3+S4</f>
        <v>211</v>
      </c>
      <c r="T5" s="9">
        <f>T3+T4</f>
        <v>244.6</v>
      </c>
      <c r="U5" s="9">
        <f>U3+U4</f>
        <v>436.29999999999995</v>
      </c>
      <c r="V5" s="9">
        <f>SUM(K5:N5)</f>
        <v>619.1</v>
      </c>
      <c r="W5" s="9">
        <f>V5*1.35</f>
        <v>835.78500000000008</v>
      </c>
      <c r="X5" s="9">
        <f>W5*1.3</f>
        <v>1086.5205000000001</v>
      </c>
      <c r="Y5" s="9">
        <f>X5*1.25</f>
        <v>1358.1506250000002</v>
      </c>
      <c r="Z5" s="9">
        <f>Y5*1.35</f>
        <v>1833.5033437500003</v>
      </c>
      <c r="AA5" s="9">
        <f>Z5*1.5</f>
        <v>2750.2550156250004</v>
      </c>
      <c r="AB5" s="9">
        <f>AA5*1.35</f>
        <v>3712.8442710937506</v>
      </c>
      <c r="AC5" s="9">
        <f>AB5*1.25</f>
        <v>4641.0553388671888</v>
      </c>
      <c r="AD5" s="9">
        <f>AC5*1.2</f>
        <v>5569.266406640626</v>
      </c>
      <c r="AE5" s="9">
        <f>AD5*1.15</f>
        <v>6404.6563676367196</v>
      </c>
      <c r="AF5" s="9">
        <f>AE5*1.1</f>
        <v>7045.1220044003921</v>
      </c>
    </row>
    <row r="6" spans="2:32" x14ac:dyDescent="0.3">
      <c r="B6" s="1" t="s">
        <v>15</v>
      </c>
      <c r="C6" s="6"/>
      <c r="D6" s="6"/>
      <c r="E6" s="6"/>
      <c r="F6" s="6"/>
      <c r="G6" s="6">
        <v>40.799999999999997</v>
      </c>
      <c r="H6" s="6">
        <v>53.9</v>
      </c>
      <c r="I6" s="6"/>
      <c r="J6" s="6"/>
      <c r="K6" s="6">
        <v>53.9</v>
      </c>
      <c r="L6" s="6">
        <v>61.7</v>
      </c>
      <c r="M6" s="6"/>
      <c r="N6" s="6"/>
      <c r="Q6" s="6"/>
      <c r="R6" s="6"/>
      <c r="S6" s="6">
        <v>105</v>
      </c>
      <c r="T6" s="6">
        <v>115.3</v>
      </c>
      <c r="U6" s="6">
        <v>213.8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2:32" x14ac:dyDescent="0.3">
      <c r="B7" s="1" t="s">
        <v>16</v>
      </c>
      <c r="C7" s="6"/>
      <c r="D7" s="6"/>
      <c r="E7" s="6"/>
      <c r="F7" s="6"/>
      <c r="G7" s="6">
        <v>27.8</v>
      </c>
      <c r="H7" s="6">
        <v>25.1</v>
      </c>
      <c r="I7" s="6"/>
      <c r="J7" s="6"/>
      <c r="K7" s="6">
        <v>33.5</v>
      </c>
      <c r="L7" s="6">
        <v>36.4</v>
      </c>
      <c r="M7" s="6"/>
      <c r="N7" s="6"/>
      <c r="Q7" s="6"/>
      <c r="R7" s="6"/>
      <c r="S7" s="6">
        <v>87</v>
      </c>
      <c r="T7" s="6">
        <v>77.8</v>
      </c>
      <c r="U7" s="6">
        <v>106.2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2:32" x14ac:dyDescent="0.3">
      <c r="B8" s="1" t="s">
        <v>17</v>
      </c>
      <c r="C8" s="6">
        <v>48.5</v>
      </c>
      <c r="D8" s="6">
        <v>47.5</v>
      </c>
      <c r="E8" s="6">
        <v>52.7</v>
      </c>
      <c r="F8" s="6">
        <f>T8-E8-D8-C8</f>
        <v>44.399999999999977</v>
      </c>
      <c r="G8" s="6">
        <f>SUM(G6:G7)</f>
        <v>68.599999999999994</v>
      </c>
      <c r="H8" s="6">
        <f>SUM(H6:H7)</f>
        <v>79</v>
      </c>
      <c r="I8" s="6">
        <v>76.8</v>
      </c>
      <c r="J8" s="6">
        <f>U8-I8-H8-G8</f>
        <v>95.6</v>
      </c>
      <c r="K8" s="6">
        <f>SUM(K6:K7)</f>
        <v>87.4</v>
      </c>
      <c r="L8" s="6">
        <f>SUM(L6:L7)</f>
        <v>98.1</v>
      </c>
      <c r="M8" s="6">
        <f>M5*0.68</f>
        <v>106.76</v>
      </c>
      <c r="N8" s="6">
        <f>N5*0.68</f>
        <v>132.60000000000002</v>
      </c>
      <c r="Q8" s="6">
        <v>47</v>
      </c>
      <c r="R8" s="6">
        <v>64.099999999999994</v>
      </c>
      <c r="S8" s="6">
        <f>S6+S7</f>
        <v>192</v>
      </c>
      <c r="T8" s="6">
        <f>T6+T7</f>
        <v>193.1</v>
      </c>
      <c r="U8" s="6">
        <f>U6+U7</f>
        <v>320</v>
      </c>
      <c r="V8" s="6">
        <f>SUM(K8:N8)</f>
        <v>424.86</v>
      </c>
      <c r="W8" s="6">
        <f>W5*0.68</f>
        <v>568.33380000000011</v>
      </c>
      <c r="X8" s="6">
        <f>X5*0.67</f>
        <v>727.96873500000015</v>
      </c>
      <c r="Y8" s="6">
        <f t="shared" ref="Y8:AF8" si="0">Y5*0.67</f>
        <v>909.96091875000025</v>
      </c>
      <c r="Z8" s="6">
        <f t="shared" si="0"/>
        <v>1228.4472403125003</v>
      </c>
      <c r="AA8" s="6">
        <f t="shared" si="0"/>
        <v>1842.6708604687503</v>
      </c>
      <c r="AB8" s="6">
        <f t="shared" si="0"/>
        <v>2487.6056616328133</v>
      </c>
      <c r="AC8" s="6">
        <f t="shared" si="0"/>
        <v>3109.5070770410166</v>
      </c>
      <c r="AD8" s="6">
        <f t="shared" si="0"/>
        <v>3731.4084924492195</v>
      </c>
      <c r="AE8" s="6">
        <f t="shared" si="0"/>
        <v>4291.1197663166022</v>
      </c>
      <c r="AF8" s="6">
        <f t="shared" si="0"/>
        <v>4720.2317429482628</v>
      </c>
    </row>
    <row r="9" spans="2:32" s="2" customFormat="1" x14ac:dyDescent="0.3">
      <c r="B9" s="2" t="s">
        <v>30</v>
      </c>
      <c r="C9" s="9">
        <f t="shared" ref="C9:J9" si="1">C5-C8</f>
        <v>6.3999999999999986</v>
      </c>
      <c r="D9" s="9">
        <f t="shared" si="1"/>
        <v>14.5</v>
      </c>
      <c r="E9" s="9">
        <f t="shared" si="1"/>
        <v>15</v>
      </c>
      <c r="F9" s="9">
        <f t="shared" si="1"/>
        <v>15.600000000000001</v>
      </c>
      <c r="G9" s="9">
        <f t="shared" si="1"/>
        <v>24.100000000000009</v>
      </c>
      <c r="H9" s="9">
        <f t="shared" si="1"/>
        <v>27.299999999999997</v>
      </c>
      <c r="I9" s="9">
        <f t="shared" si="1"/>
        <v>28</v>
      </c>
      <c r="J9" s="9">
        <f t="shared" si="1"/>
        <v>36.899999999999949</v>
      </c>
      <c r="K9" s="9">
        <f t="shared" ref="K9:N9" si="2">K5-K8</f>
        <v>35.199999999999989</v>
      </c>
      <c r="L9" s="9">
        <f t="shared" si="2"/>
        <v>46.400000000000006</v>
      </c>
      <c r="M9" s="9">
        <f t="shared" si="2"/>
        <v>50.239999999999995</v>
      </c>
      <c r="N9" s="9">
        <f t="shared" si="2"/>
        <v>62.399999999999977</v>
      </c>
      <c r="Q9" s="9">
        <f t="shared" ref="Q9:V9" si="3">Q5-Q8</f>
        <v>-11.799999999999997</v>
      </c>
      <c r="R9" s="9">
        <f t="shared" si="3"/>
        <v>-1.8999999999999915</v>
      </c>
      <c r="S9" s="9">
        <f t="shared" si="3"/>
        <v>19</v>
      </c>
      <c r="T9" s="9">
        <f t="shared" si="3"/>
        <v>51.5</v>
      </c>
      <c r="U9" s="9">
        <f t="shared" si="3"/>
        <v>116.29999999999995</v>
      </c>
      <c r="V9" s="9">
        <f t="shared" si="3"/>
        <v>194.24</v>
      </c>
      <c r="W9" s="9">
        <f t="shared" ref="W9:AF9" si="4">W5-W8</f>
        <v>267.45119999999997</v>
      </c>
      <c r="X9" s="9">
        <f t="shared" si="4"/>
        <v>358.55176499999993</v>
      </c>
      <c r="Y9" s="9">
        <f t="shared" si="4"/>
        <v>448.18970624999997</v>
      </c>
      <c r="Z9" s="9">
        <f t="shared" si="4"/>
        <v>605.05610343750004</v>
      </c>
      <c r="AA9" s="9">
        <f t="shared" si="4"/>
        <v>907.58415515625006</v>
      </c>
      <c r="AB9" s="9">
        <f t="shared" si="4"/>
        <v>1225.2386094609374</v>
      </c>
      <c r="AC9" s="9">
        <f t="shared" si="4"/>
        <v>1531.5482618261722</v>
      </c>
      <c r="AD9" s="9">
        <f t="shared" si="4"/>
        <v>1837.8579141914065</v>
      </c>
      <c r="AE9" s="9">
        <f t="shared" si="4"/>
        <v>2113.5366013201174</v>
      </c>
      <c r="AF9" s="9">
        <f t="shared" si="4"/>
        <v>2324.8902614521294</v>
      </c>
    </row>
    <row r="10" spans="2:32" x14ac:dyDescent="0.3">
      <c r="B10" s="1" t="s">
        <v>18</v>
      </c>
      <c r="C10" s="6">
        <v>23.9</v>
      </c>
      <c r="D10" s="6">
        <v>31</v>
      </c>
      <c r="E10" s="6">
        <v>26.6</v>
      </c>
      <c r="F10" s="6">
        <f t="shared" ref="F10:F11" si="5">T10-E10-D10-C10</f>
        <v>37.6</v>
      </c>
      <c r="G10" s="6">
        <v>38.5</v>
      </c>
      <c r="H10" s="6">
        <v>39.9</v>
      </c>
      <c r="I10" s="6">
        <v>47.7</v>
      </c>
      <c r="J10" s="6">
        <f t="shared" ref="J10:J11" si="6">U10-I10-H10-G10</f>
        <v>48.300000000000011</v>
      </c>
      <c r="K10" s="6">
        <v>55.1</v>
      </c>
      <c r="L10" s="6">
        <v>66.099999999999994</v>
      </c>
      <c r="M10" s="6">
        <f t="shared" ref="M10:N10" si="7">I10*1.3</f>
        <v>62.010000000000005</v>
      </c>
      <c r="N10" s="6">
        <f t="shared" si="7"/>
        <v>62.79000000000002</v>
      </c>
      <c r="Q10" s="6">
        <v>19.100000000000001</v>
      </c>
      <c r="R10" s="6">
        <v>41.8</v>
      </c>
      <c r="S10" s="6">
        <v>65.2</v>
      </c>
      <c r="T10" s="6">
        <v>119.1</v>
      </c>
      <c r="U10" s="6">
        <v>174.4</v>
      </c>
      <c r="V10" s="6">
        <f t="shared" ref="V10:V11" si="8">SUM(K10:N10)</f>
        <v>246</v>
      </c>
      <c r="W10" s="6">
        <f>V10*1.2</f>
        <v>295.2</v>
      </c>
      <c r="X10" s="6">
        <f>W10*1.15</f>
        <v>339.47999999999996</v>
      </c>
      <c r="Y10" s="6">
        <f>X10*1.1</f>
        <v>373.428</v>
      </c>
      <c r="Z10" s="6">
        <f>Y10*1.05</f>
        <v>392.0994</v>
      </c>
      <c r="AA10" s="6">
        <f t="shared" ref="AA10:AF10" si="9">Z10*1.05</f>
        <v>411.70437000000004</v>
      </c>
      <c r="AB10" s="6">
        <f t="shared" si="9"/>
        <v>432.28958850000004</v>
      </c>
      <c r="AC10" s="6">
        <f t="shared" si="9"/>
        <v>453.90406792500005</v>
      </c>
      <c r="AD10" s="6">
        <f t="shared" si="9"/>
        <v>476.59927132125006</v>
      </c>
      <c r="AE10" s="6">
        <f t="shared" si="9"/>
        <v>500.42923488731259</v>
      </c>
      <c r="AF10" s="6">
        <f t="shared" si="9"/>
        <v>525.45069663167828</v>
      </c>
    </row>
    <row r="11" spans="2:32" x14ac:dyDescent="0.3">
      <c r="B11" s="1" t="s">
        <v>19</v>
      </c>
      <c r="C11" s="6">
        <v>28.5</v>
      </c>
      <c r="D11" s="6">
        <v>28.7</v>
      </c>
      <c r="E11" s="6">
        <v>27.2</v>
      </c>
      <c r="F11" s="6">
        <f t="shared" si="5"/>
        <v>25.899999999999991</v>
      </c>
      <c r="G11" s="6">
        <v>28.7</v>
      </c>
      <c r="H11" s="6">
        <v>30.5</v>
      </c>
      <c r="I11" s="6">
        <v>32.200000000000003</v>
      </c>
      <c r="J11" s="6">
        <f t="shared" si="6"/>
        <v>40.199999999999989</v>
      </c>
      <c r="K11" s="6">
        <v>39.299999999999997</v>
      </c>
      <c r="L11" s="6">
        <v>40</v>
      </c>
      <c r="M11" s="6">
        <f t="shared" ref="M11" si="10">I11*1.5</f>
        <v>48.300000000000004</v>
      </c>
      <c r="N11" s="6">
        <f>J11*1.35</f>
        <v>54.269999999999989</v>
      </c>
      <c r="Q11" s="6">
        <v>24</v>
      </c>
      <c r="R11" s="6">
        <v>58.4</v>
      </c>
      <c r="S11" s="6">
        <v>89</v>
      </c>
      <c r="T11" s="6">
        <v>110.3</v>
      </c>
      <c r="U11" s="6">
        <v>131.6</v>
      </c>
      <c r="V11" s="6">
        <f t="shared" si="8"/>
        <v>181.86999999999998</v>
      </c>
      <c r="W11" s="6">
        <f>V11*1.3</f>
        <v>236.43099999999998</v>
      </c>
      <c r="X11" s="6">
        <f>W11*1.25</f>
        <v>295.53874999999999</v>
      </c>
      <c r="Y11" s="6">
        <f>X11*1.2</f>
        <v>354.6465</v>
      </c>
      <c r="Z11" s="6">
        <f>Y11*1.1</f>
        <v>390.11115000000001</v>
      </c>
      <c r="AA11" s="6">
        <f>Z11*1.05</f>
        <v>409.61670750000002</v>
      </c>
      <c r="AB11" s="6">
        <f t="shared" ref="AB11:AF11" si="11">AA11*1.05</f>
        <v>430.09754287500004</v>
      </c>
      <c r="AC11" s="6">
        <f t="shared" si="11"/>
        <v>451.60242001875008</v>
      </c>
      <c r="AD11" s="6">
        <f t="shared" si="11"/>
        <v>474.18254101968762</v>
      </c>
      <c r="AE11" s="6">
        <f t="shared" si="11"/>
        <v>497.89166807067204</v>
      </c>
      <c r="AF11" s="6">
        <f t="shared" si="11"/>
        <v>522.78625147420564</v>
      </c>
    </row>
    <row r="12" spans="2:32" x14ac:dyDescent="0.3">
      <c r="B12" s="1" t="s">
        <v>20</v>
      </c>
      <c r="C12" s="6">
        <f t="shared" ref="C12:J12" si="12">SUM(C10:C11)</f>
        <v>52.4</v>
      </c>
      <c r="D12" s="6">
        <f t="shared" si="12"/>
        <v>59.7</v>
      </c>
      <c r="E12" s="6">
        <f t="shared" si="12"/>
        <v>53.8</v>
      </c>
      <c r="F12" s="6">
        <f t="shared" si="12"/>
        <v>63.499999999999993</v>
      </c>
      <c r="G12" s="6">
        <f t="shared" si="12"/>
        <v>67.2</v>
      </c>
      <c r="H12" s="6">
        <f t="shared" si="12"/>
        <v>70.400000000000006</v>
      </c>
      <c r="I12" s="6">
        <f t="shared" si="12"/>
        <v>79.900000000000006</v>
      </c>
      <c r="J12" s="6">
        <f t="shared" si="12"/>
        <v>88.5</v>
      </c>
      <c r="K12" s="6">
        <f t="shared" ref="K12:N12" si="13">SUM(K10:K11)</f>
        <v>94.4</v>
      </c>
      <c r="L12" s="6">
        <f t="shared" si="13"/>
        <v>106.1</v>
      </c>
      <c r="M12" s="6">
        <f t="shared" si="13"/>
        <v>110.31</v>
      </c>
      <c r="N12" s="6">
        <f t="shared" si="13"/>
        <v>117.06</v>
      </c>
      <c r="Q12" s="6">
        <f t="shared" ref="Q12:V12" si="14">SUM(Q10:Q11)</f>
        <v>43.1</v>
      </c>
      <c r="R12" s="6">
        <f t="shared" si="14"/>
        <v>100.19999999999999</v>
      </c>
      <c r="S12" s="6">
        <f t="shared" si="14"/>
        <v>154.19999999999999</v>
      </c>
      <c r="T12" s="6">
        <f t="shared" si="14"/>
        <v>229.39999999999998</v>
      </c>
      <c r="U12" s="6">
        <f t="shared" si="14"/>
        <v>306</v>
      </c>
      <c r="V12" s="6">
        <f t="shared" si="14"/>
        <v>427.87</v>
      </c>
      <c r="W12" s="6">
        <f t="shared" ref="W12:AF12" si="15">SUM(W10:W11)</f>
        <v>531.63099999999997</v>
      </c>
      <c r="X12" s="6">
        <f t="shared" si="15"/>
        <v>635.01874999999995</v>
      </c>
      <c r="Y12" s="6">
        <f t="shared" si="15"/>
        <v>728.07449999999994</v>
      </c>
      <c r="Z12" s="6">
        <f t="shared" si="15"/>
        <v>782.21055000000001</v>
      </c>
      <c r="AA12" s="6">
        <f t="shared" si="15"/>
        <v>821.3210775</v>
      </c>
      <c r="AB12" s="6">
        <f t="shared" si="15"/>
        <v>862.38713137500008</v>
      </c>
      <c r="AC12" s="6">
        <f t="shared" si="15"/>
        <v>905.50648794375013</v>
      </c>
      <c r="AD12" s="6">
        <f t="shared" si="15"/>
        <v>950.78181234093768</v>
      </c>
      <c r="AE12" s="6">
        <f t="shared" si="15"/>
        <v>998.32090295798457</v>
      </c>
      <c r="AF12" s="6">
        <f t="shared" si="15"/>
        <v>1048.236948105884</v>
      </c>
    </row>
    <row r="13" spans="2:32" s="2" customFormat="1" x14ac:dyDescent="0.3">
      <c r="B13" s="2" t="s">
        <v>21</v>
      </c>
      <c r="C13" s="9">
        <f t="shared" ref="C13:J13" si="16">C9-C12</f>
        <v>-46</v>
      </c>
      <c r="D13" s="9">
        <f t="shared" si="16"/>
        <v>-45.2</v>
      </c>
      <c r="E13" s="9">
        <f t="shared" si="16"/>
        <v>-38.799999999999997</v>
      </c>
      <c r="F13" s="9">
        <f t="shared" si="16"/>
        <v>-47.899999999999991</v>
      </c>
      <c r="G13" s="9">
        <f t="shared" si="16"/>
        <v>-43.099999999999994</v>
      </c>
      <c r="H13" s="9">
        <f t="shared" si="16"/>
        <v>-43.100000000000009</v>
      </c>
      <c r="I13" s="9">
        <f t="shared" si="16"/>
        <v>-51.900000000000006</v>
      </c>
      <c r="J13" s="9">
        <f t="shared" si="16"/>
        <v>-51.600000000000051</v>
      </c>
      <c r="K13" s="9">
        <f t="shared" ref="K13:N13" si="17">K9-K12</f>
        <v>-59.200000000000017</v>
      </c>
      <c r="L13" s="9">
        <f t="shared" si="17"/>
        <v>-59.699999999999989</v>
      </c>
      <c r="M13" s="9">
        <f t="shared" si="17"/>
        <v>-60.070000000000007</v>
      </c>
      <c r="N13" s="9">
        <f t="shared" si="17"/>
        <v>-54.660000000000025</v>
      </c>
      <c r="Q13" s="9">
        <f t="shared" ref="Q13:V13" si="18">Q9-Q12</f>
        <v>-54.9</v>
      </c>
      <c r="R13" s="9">
        <f t="shared" si="18"/>
        <v>-102.09999999999998</v>
      </c>
      <c r="S13" s="9">
        <f t="shared" si="18"/>
        <v>-135.19999999999999</v>
      </c>
      <c r="T13" s="9">
        <f t="shared" si="18"/>
        <v>-177.89999999999998</v>
      </c>
      <c r="U13" s="9">
        <f t="shared" si="18"/>
        <v>-189.70000000000005</v>
      </c>
      <c r="V13" s="9">
        <f t="shared" si="18"/>
        <v>-233.63</v>
      </c>
      <c r="W13" s="9">
        <f t="shared" ref="W13:AF13" si="19">W9-W12</f>
        <v>-264.1798</v>
      </c>
      <c r="X13" s="9">
        <f t="shared" si="19"/>
        <v>-276.46698500000002</v>
      </c>
      <c r="Y13" s="9">
        <f t="shared" si="19"/>
        <v>-279.88479374999997</v>
      </c>
      <c r="Z13" s="9">
        <f t="shared" si="19"/>
        <v>-177.15444656249997</v>
      </c>
      <c r="AA13" s="9">
        <f t="shared" si="19"/>
        <v>86.263077656250061</v>
      </c>
      <c r="AB13" s="9">
        <f t="shared" si="19"/>
        <v>362.85147808593729</v>
      </c>
      <c r="AC13" s="9">
        <f t="shared" si="19"/>
        <v>626.04177388242204</v>
      </c>
      <c r="AD13" s="9">
        <f t="shared" si="19"/>
        <v>887.07610185046883</v>
      </c>
      <c r="AE13" s="9">
        <f t="shared" si="19"/>
        <v>1115.2156983621328</v>
      </c>
      <c r="AF13" s="9">
        <f t="shared" si="19"/>
        <v>1276.6533133462453</v>
      </c>
    </row>
    <row r="14" spans="2:32" x14ac:dyDescent="0.3">
      <c r="B14" s="1" t="s">
        <v>22</v>
      </c>
      <c r="C14" s="6">
        <v>0.7</v>
      </c>
      <c r="D14" s="6">
        <v>0.7</v>
      </c>
      <c r="E14" s="6">
        <v>0.1</v>
      </c>
      <c r="F14" s="6">
        <f t="shared" ref="F14:F16" si="20">T14-E14-D14-C14</f>
        <v>2.7</v>
      </c>
      <c r="G14" s="6">
        <v>0.9</v>
      </c>
      <c r="H14" s="6">
        <v>0.8</v>
      </c>
      <c r="I14" s="6">
        <v>0.5</v>
      </c>
      <c r="J14" s="6">
        <f t="shared" ref="J14:J16" si="21">U14-I14-H14-G14</f>
        <v>1.8000000000000003</v>
      </c>
      <c r="K14" s="6">
        <v>2.6</v>
      </c>
      <c r="L14" s="6">
        <v>2.4</v>
      </c>
      <c r="M14" s="6">
        <v>2</v>
      </c>
      <c r="N14" s="6">
        <v>2</v>
      </c>
      <c r="Q14" s="6">
        <v>-0.2</v>
      </c>
      <c r="R14" s="6">
        <v>6.1</v>
      </c>
      <c r="S14" s="6">
        <v>7.8</v>
      </c>
      <c r="T14" s="6">
        <v>4.2</v>
      </c>
      <c r="U14" s="6">
        <v>4</v>
      </c>
      <c r="V14" s="6">
        <f t="shared" ref="V14:V16" si="22">SUM(K14:N14)</f>
        <v>9</v>
      </c>
      <c r="W14" s="6">
        <f>V14*1.15</f>
        <v>10.35</v>
      </c>
      <c r="X14" s="6">
        <f t="shared" ref="X14:AF14" si="23">W14*1.15</f>
        <v>11.902499999999998</v>
      </c>
      <c r="Y14" s="6">
        <f t="shared" si="23"/>
        <v>13.687874999999996</v>
      </c>
      <c r="Z14" s="6">
        <f t="shared" si="23"/>
        <v>15.741056249999994</v>
      </c>
      <c r="AA14" s="6">
        <f t="shared" si="23"/>
        <v>18.102214687499991</v>
      </c>
      <c r="AB14" s="6">
        <f t="shared" si="23"/>
        <v>20.817546890624989</v>
      </c>
      <c r="AC14" s="6">
        <f t="shared" si="23"/>
        <v>23.940178924218735</v>
      </c>
      <c r="AD14" s="6">
        <f t="shared" si="23"/>
        <v>27.531205762851542</v>
      </c>
      <c r="AE14" s="6">
        <f t="shared" si="23"/>
        <v>31.660886627279272</v>
      </c>
      <c r="AF14" s="6">
        <f t="shared" si="23"/>
        <v>36.410019621371163</v>
      </c>
    </row>
    <row r="15" spans="2:32" x14ac:dyDescent="0.3">
      <c r="B15" s="1" t="s">
        <v>23</v>
      </c>
      <c r="C15" s="6">
        <v>-0.1</v>
      </c>
      <c r="D15" s="6">
        <v>0.1</v>
      </c>
      <c r="E15" s="6">
        <v>-1.2</v>
      </c>
      <c r="F15" s="6">
        <f t="shared" si="20"/>
        <v>1.7</v>
      </c>
      <c r="G15" s="6">
        <v>-0.3</v>
      </c>
      <c r="H15" s="6">
        <v>0.3</v>
      </c>
      <c r="I15" s="6">
        <v>0.5</v>
      </c>
      <c r="J15" s="6">
        <f t="shared" si="21"/>
        <v>-0.39999999999999997</v>
      </c>
      <c r="K15" s="6">
        <v>0.1</v>
      </c>
      <c r="L15" s="6">
        <v>0.5</v>
      </c>
      <c r="M15" s="6">
        <v>0</v>
      </c>
      <c r="N15" s="6">
        <v>0</v>
      </c>
      <c r="Q15" s="6">
        <v>-2.4</v>
      </c>
      <c r="R15" s="6">
        <v>0.6</v>
      </c>
      <c r="S15" s="6">
        <v>4.4000000000000004</v>
      </c>
      <c r="T15" s="6">
        <v>0.5</v>
      </c>
      <c r="U15" s="6">
        <v>0.1</v>
      </c>
      <c r="V15" s="6">
        <f t="shared" si="22"/>
        <v>0.6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2:32" x14ac:dyDescent="0.3">
      <c r="B16" s="1" t="s">
        <v>24</v>
      </c>
      <c r="C16" s="6">
        <v>-1.5</v>
      </c>
      <c r="D16" s="6">
        <v>-0.9</v>
      </c>
      <c r="E16" s="6">
        <v>0.4</v>
      </c>
      <c r="F16" s="6">
        <f t="shared" si="20"/>
        <v>-1.7000000000000006</v>
      </c>
      <c r="G16" s="6">
        <v>0.6</v>
      </c>
      <c r="H16" s="6">
        <v>-1.9</v>
      </c>
      <c r="I16" s="6">
        <v>-1.8</v>
      </c>
      <c r="J16" s="6">
        <f t="shared" si="21"/>
        <v>-1.3000000000000007</v>
      </c>
      <c r="K16" s="6">
        <v>-0.5</v>
      </c>
      <c r="L16" s="6">
        <v>1</v>
      </c>
      <c r="M16" s="6">
        <v>-1</v>
      </c>
      <c r="N16" s="6">
        <v>-1</v>
      </c>
      <c r="Q16" s="6">
        <f>2.4-0.2</f>
        <v>2.1999999999999997</v>
      </c>
      <c r="R16" s="6">
        <f>15.3+0.8</f>
        <v>16.100000000000001</v>
      </c>
      <c r="S16" s="6">
        <f>-13.5-1</f>
        <v>-14.5</v>
      </c>
      <c r="T16" s="6">
        <v>-3.7</v>
      </c>
      <c r="U16" s="6">
        <v>-4.4000000000000004</v>
      </c>
      <c r="V16" s="6">
        <f t="shared" si="22"/>
        <v>-1.5</v>
      </c>
      <c r="W16" s="6">
        <f>V16*1.15</f>
        <v>-1.7249999999999999</v>
      </c>
      <c r="X16" s="6">
        <f t="shared" ref="X16:AF16" si="24">W16*1.15</f>
        <v>-1.9837499999999997</v>
      </c>
      <c r="Y16" s="6">
        <f t="shared" si="24"/>
        <v>-2.2813124999999994</v>
      </c>
      <c r="Z16" s="6">
        <f t="shared" si="24"/>
        <v>-2.6235093749999989</v>
      </c>
      <c r="AA16" s="6">
        <f t="shared" si="24"/>
        <v>-3.0170357812499984</v>
      </c>
      <c r="AB16" s="6">
        <f t="shared" si="24"/>
        <v>-3.4695911484374977</v>
      </c>
      <c r="AC16" s="6">
        <f t="shared" si="24"/>
        <v>-3.9900298207031222</v>
      </c>
      <c r="AD16" s="6">
        <f t="shared" si="24"/>
        <v>-4.58853429380859</v>
      </c>
      <c r="AE16" s="6">
        <f t="shared" si="24"/>
        <v>-5.276814437879878</v>
      </c>
      <c r="AF16" s="6">
        <f t="shared" si="24"/>
        <v>-6.0683366035618596</v>
      </c>
    </row>
    <row r="17" spans="2:140" x14ac:dyDescent="0.3">
      <c r="B17" s="1" t="s">
        <v>25</v>
      </c>
      <c r="C17" s="6">
        <f t="shared" ref="C17:L17" si="25">SUM(C14:C16)</f>
        <v>-0.9</v>
      </c>
      <c r="D17" s="6">
        <f t="shared" si="25"/>
        <v>-0.10000000000000009</v>
      </c>
      <c r="E17" s="6">
        <f t="shared" si="25"/>
        <v>-0.69999999999999984</v>
      </c>
      <c r="F17" s="6">
        <f t="shared" si="25"/>
        <v>2.6999999999999997</v>
      </c>
      <c r="G17" s="6">
        <f t="shared" si="25"/>
        <v>1.2000000000000002</v>
      </c>
      <c r="H17" s="6">
        <f t="shared" si="25"/>
        <v>-0.79999999999999982</v>
      </c>
      <c r="I17" s="6">
        <f t="shared" si="25"/>
        <v>-0.8</v>
      </c>
      <c r="J17" s="6">
        <f t="shared" si="25"/>
        <v>9.9999999999999645E-2</v>
      </c>
      <c r="K17" s="6">
        <f t="shared" si="25"/>
        <v>2.2000000000000002</v>
      </c>
      <c r="L17" s="6">
        <f t="shared" si="25"/>
        <v>3.9</v>
      </c>
      <c r="M17" s="6">
        <v>0</v>
      </c>
      <c r="N17" s="6">
        <v>0</v>
      </c>
      <c r="Q17" s="6">
        <f t="shared" ref="Q17:W17" si="26">SUM(Q14:Q16)</f>
        <v>-0.40000000000000036</v>
      </c>
      <c r="R17" s="6">
        <f t="shared" si="26"/>
        <v>22.8</v>
      </c>
      <c r="S17" s="6">
        <f t="shared" si="26"/>
        <v>-2.3000000000000007</v>
      </c>
      <c r="T17" s="6">
        <f t="shared" si="26"/>
        <v>1</v>
      </c>
      <c r="U17" s="6">
        <f t="shared" si="26"/>
        <v>-0.30000000000000071</v>
      </c>
      <c r="V17" s="6">
        <f t="shared" si="26"/>
        <v>8.1</v>
      </c>
      <c r="W17" s="6">
        <f t="shared" si="26"/>
        <v>8.625</v>
      </c>
      <c r="X17" s="6">
        <f t="shared" ref="X17:AF17" si="27">SUM(X14:X16)</f>
        <v>9.9187499999999993</v>
      </c>
      <c r="Y17" s="6">
        <f t="shared" si="27"/>
        <v>11.406562499999996</v>
      </c>
      <c r="Z17" s="6">
        <f t="shared" si="27"/>
        <v>13.117546874999995</v>
      </c>
      <c r="AA17" s="6">
        <f t="shared" si="27"/>
        <v>15.085178906249993</v>
      </c>
      <c r="AB17" s="6">
        <f t="shared" si="27"/>
        <v>17.347955742187491</v>
      </c>
      <c r="AC17" s="6">
        <f t="shared" si="27"/>
        <v>19.950149103515614</v>
      </c>
      <c r="AD17" s="6">
        <f t="shared" si="27"/>
        <v>22.942671469042953</v>
      </c>
      <c r="AE17" s="6">
        <f t="shared" si="27"/>
        <v>26.384072189399394</v>
      </c>
      <c r="AF17" s="6">
        <f t="shared" si="27"/>
        <v>30.341683017809302</v>
      </c>
    </row>
    <row r="18" spans="2:140" s="2" customFormat="1" x14ac:dyDescent="0.3">
      <c r="B18" s="2" t="s">
        <v>26</v>
      </c>
      <c r="C18" s="9">
        <f t="shared" ref="C18:J18" si="28">C13-C17</f>
        <v>-45.1</v>
      </c>
      <c r="D18" s="9">
        <f t="shared" si="28"/>
        <v>-45.1</v>
      </c>
      <c r="E18" s="9">
        <f t="shared" si="28"/>
        <v>-38.099999999999994</v>
      </c>
      <c r="F18" s="9">
        <f t="shared" si="28"/>
        <v>-50.599999999999994</v>
      </c>
      <c r="G18" s="9">
        <f t="shared" si="28"/>
        <v>-44.3</v>
      </c>
      <c r="H18" s="9">
        <f t="shared" si="28"/>
        <v>-42.300000000000011</v>
      </c>
      <c r="I18" s="9">
        <f t="shared" si="28"/>
        <v>-51.100000000000009</v>
      </c>
      <c r="J18" s="9">
        <f t="shared" si="28"/>
        <v>-51.700000000000053</v>
      </c>
      <c r="K18" s="9">
        <f t="shared" ref="K18:N18" si="29">K13-K17</f>
        <v>-61.40000000000002</v>
      </c>
      <c r="L18" s="9">
        <f t="shared" si="29"/>
        <v>-63.599999999999987</v>
      </c>
      <c r="M18" s="9">
        <f t="shared" si="29"/>
        <v>-60.070000000000007</v>
      </c>
      <c r="N18" s="9">
        <f t="shared" si="29"/>
        <v>-54.660000000000025</v>
      </c>
      <c r="Q18" s="9">
        <f t="shared" ref="Q18:W18" si="30">Q13-Q17</f>
        <v>-54.5</v>
      </c>
      <c r="R18" s="9">
        <f t="shared" si="30"/>
        <v>-124.89999999999998</v>
      </c>
      <c r="S18" s="9">
        <f t="shared" si="30"/>
        <v>-132.89999999999998</v>
      </c>
      <c r="T18" s="9">
        <f t="shared" si="30"/>
        <v>-178.89999999999998</v>
      </c>
      <c r="U18" s="9">
        <f t="shared" si="30"/>
        <v>-189.40000000000003</v>
      </c>
      <c r="V18" s="9">
        <f t="shared" si="30"/>
        <v>-241.73</v>
      </c>
      <c r="W18" s="9">
        <f t="shared" si="30"/>
        <v>-272.8048</v>
      </c>
      <c r="X18" s="9">
        <f t="shared" ref="X18:AF18" si="31">X13-X17</f>
        <v>-286.38573500000001</v>
      </c>
      <c r="Y18" s="9">
        <f t="shared" si="31"/>
        <v>-291.29135624999998</v>
      </c>
      <c r="Z18" s="9">
        <f t="shared" si="31"/>
        <v>-190.27199343749996</v>
      </c>
      <c r="AA18" s="9">
        <f t="shared" si="31"/>
        <v>71.177898750000068</v>
      </c>
      <c r="AB18" s="9">
        <f t="shared" si="31"/>
        <v>345.50352234374981</v>
      </c>
      <c r="AC18" s="9">
        <f t="shared" si="31"/>
        <v>606.09162477890641</v>
      </c>
      <c r="AD18" s="9">
        <f t="shared" si="31"/>
        <v>864.13343038142591</v>
      </c>
      <c r="AE18" s="9">
        <f t="shared" si="31"/>
        <v>1088.8316261727334</v>
      </c>
      <c r="AF18" s="9">
        <f t="shared" si="31"/>
        <v>1246.311630328436</v>
      </c>
    </row>
    <row r="19" spans="2:140" x14ac:dyDescent="0.3">
      <c r="B19" s="1" t="s">
        <v>27</v>
      </c>
      <c r="C19" s="6">
        <v>0.5</v>
      </c>
      <c r="D19" s="6">
        <v>0.8</v>
      </c>
      <c r="E19" s="6">
        <v>1.4</v>
      </c>
      <c r="F19" s="6">
        <f>T19-E19-D19-C19</f>
        <v>1.0000000000000002</v>
      </c>
      <c r="G19" s="6">
        <v>0</v>
      </c>
      <c r="H19" s="6">
        <v>-0.9</v>
      </c>
      <c r="I19" s="6">
        <v>0.9</v>
      </c>
      <c r="J19" s="6">
        <f>U19-I19-H19-G19</f>
        <v>0.8</v>
      </c>
      <c r="K19" s="6">
        <v>-0.8</v>
      </c>
      <c r="L19" s="6">
        <v>2.9</v>
      </c>
      <c r="M19" s="6">
        <f t="shared" ref="M19:N19" si="32">M18*0.01</f>
        <v>-0.60070000000000012</v>
      </c>
      <c r="N19" s="6">
        <f t="shared" si="32"/>
        <v>-0.54660000000000031</v>
      </c>
      <c r="Q19" s="6">
        <v>0.5</v>
      </c>
      <c r="R19" s="6">
        <v>-7.5</v>
      </c>
      <c r="S19" s="6">
        <v>3</v>
      </c>
      <c r="T19" s="6">
        <v>3.7</v>
      </c>
      <c r="U19" s="6">
        <v>0.8</v>
      </c>
      <c r="V19" s="6">
        <f>SUM(K19:N19)</f>
        <v>0.9526999999999991</v>
      </c>
      <c r="W19" s="6">
        <f>W18*0.01</f>
        <v>-2.7280480000000003</v>
      </c>
      <c r="X19" s="6">
        <f t="shared" ref="X19:AF19" si="33">X18*0.01</f>
        <v>-2.86385735</v>
      </c>
      <c r="Y19" s="6">
        <f t="shared" si="33"/>
        <v>-2.9129135625</v>
      </c>
      <c r="Z19" s="6">
        <f t="shared" si="33"/>
        <v>-1.9027199343749996</v>
      </c>
      <c r="AA19" s="6">
        <f t="shared" si="33"/>
        <v>0.71177898750000068</v>
      </c>
      <c r="AB19" s="6">
        <f t="shared" si="33"/>
        <v>3.4550352234374984</v>
      </c>
      <c r="AC19" s="6">
        <f t="shared" si="33"/>
        <v>6.0609162477890646</v>
      </c>
      <c r="AD19" s="6">
        <f t="shared" si="33"/>
        <v>8.6413343038142596</v>
      </c>
      <c r="AE19" s="6">
        <f t="shared" si="33"/>
        <v>10.888316261727335</v>
      </c>
      <c r="AF19" s="6">
        <f t="shared" si="33"/>
        <v>12.463116303284361</v>
      </c>
    </row>
    <row r="20" spans="2:140" s="2" customFormat="1" x14ac:dyDescent="0.3">
      <c r="B20" s="2" t="s">
        <v>28</v>
      </c>
      <c r="C20" s="9">
        <f t="shared" ref="C20:J20" si="34">C18-C19</f>
        <v>-45.6</v>
      </c>
      <c r="D20" s="9">
        <f t="shared" si="34"/>
        <v>-45.9</v>
      </c>
      <c r="E20" s="9">
        <f t="shared" si="34"/>
        <v>-39.499999999999993</v>
      </c>
      <c r="F20" s="9">
        <f t="shared" si="34"/>
        <v>-51.599999999999994</v>
      </c>
      <c r="G20" s="9">
        <f t="shared" si="34"/>
        <v>-44.3</v>
      </c>
      <c r="H20" s="9">
        <f t="shared" si="34"/>
        <v>-41.400000000000013</v>
      </c>
      <c r="I20" s="9">
        <f t="shared" si="34"/>
        <v>-52.000000000000007</v>
      </c>
      <c r="J20" s="9">
        <f t="shared" si="34"/>
        <v>-52.50000000000005</v>
      </c>
      <c r="K20" s="9">
        <f t="shared" ref="K20:N20" si="35">K18-K19</f>
        <v>-60.600000000000023</v>
      </c>
      <c r="L20" s="9">
        <f t="shared" si="35"/>
        <v>-66.499999999999986</v>
      </c>
      <c r="M20" s="9">
        <f t="shared" si="35"/>
        <v>-59.469300000000004</v>
      </c>
      <c r="N20" s="9">
        <f t="shared" si="35"/>
        <v>-54.113400000000027</v>
      </c>
      <c r="Q20" s="9">
        <f t="shared" ref="Q20:W20" si="36">Q18-Q19</f>
        <v>-55</v>
      </c>
      <c r="R20" s="9">
        <f t="shared" si="36"/>
        <v>-117.39999999999998</v>
      </c>
      <c r="S20" s="9">
        <f t="shared" si="36"/>
        <v>-135.89999999999998</v>
      </c>
      <c r="T20" s="9">
        <f t="shared" si="36"/>
        <v>-182.59999999999997</v>
      </c>
      <c r="U20" s="9">
        <f t="shared" si="36"/>
        <v>-190.20000000000005</v>
      </c>
      <c r="V20" s="9">
        <f t="shared" si="36"/>
        <v>-242.68269999999998</v>
      </c>
      <c r="W20" s="9">
        <f t="shared" si="36"/>
        <v>-270.076752</v>
      </c>
      <c r="X20" s="9">
        <f t="shared" ref="X20:AF20" si="37">X18-X19</f>
        <v>-283.52187765000002</v>
      </c>
      <c r="Y20" s="9">
        <f t="shared" si="37"/>
        <v>-288.37844268749996</v>
      </c>
      <c r="Z20" s="9">
        <f t="shared" si="37"/>
        <v>-188.36927350312496</v>
      </c>
      <c r="AA20" s="9">
        <f t="shared" si="37"/>
        <v>70.466119762500071</v>
      </c>
      <c r="AB20" s="9">
        <f t="shared" si="37"/>
        <v>342.0484871203123</v>
      </c>
      <c r="AC20" s="9">
        <f t="shared" si="37"/>
        <v>600.0307085311174</v>
      </c>
      <c r="AD20" s="9">
        <f t="shared" si="37"/>
        <v>855.49209607761168</v>
      </c>
      <c r="AE20" s="9">
        <f t="shared" si="37"/>
        <v>1077.9433099110061</v>
      </c>
      <c r="AF20" s="9">
        <f t="shared" si="37"/>
        <v>1233.8485140251516</v>
      </c>
      <c r="AG20" s="2">
        <f>AF20*(1+$AI$25)</f>
        <v>1221.5100288849001</v>
      </c>
      <c r="AH20" s="2">
        <f t="shared" ref="AH20:CS20" si="38">AG20*(1+$AI$25)</f>
        <v>1209.294928596051</v>
      </c>
      <c r="AI20" s="2">
        <f t="shared" si="38"/>
        <v>1197.2019793100906</v>
      </c>
      <c r="AJ20" s="2">
        <f t="shared" si="38"/>
        <v>1185.2299595169895</v>
      </c>
      <c r="AK20" s="2">
        <f t="shared" si="38"/>
        <v>1173.3776599218197</v>
      </c>
      <c r="AL20" s="2">
        <f t="shared" si="38"/>
        <v>1161.6438833226016</v>
      </c>
      <c r="AM20" s="2">
        <f t="shared" si="38"/>
        <v>1150.0274444893755</v>
      </c>
      <c r="AN20" s="2">
        <f t="shared" si="38"/>
        <v>1138.5271700444816</v>
      </c>
      <c r="AO20" s="2">
        <f t="shared" si="38"/>
        <v>1127.1418983440369</v>
      </c>
      <c r="AP20" s="2">
        <f t="shared" si="38"/>
        <v>1115.8704793605966</v>
      </c>
      <c r="AQ20" s="2">
        <f t="shared" si="38"/>
        <v>1104.7117745669907</v>
      </c>
      <c r="AR20" s="2">
        <f t="shared" si="38"/>
        <v>1093.6646568213207</v>
      </c>
      <c r="AS20" s="2">
        <f t="shared" si="38"/>
        <v>1082.7280102531074</v>
      </c>
      <c r="AT20" s="2">
        <f t="shared" si="38"/>
        <v>1071.9007301505762</v>
      </c>
      <c r="AU20" s="2">
        <f t="shared" si="38"/>
        <v>1061.1817228490704</v>
      </c>
      <c r="AV20" s="2">
        <f t="shared" si="38"/>
        <v>1050.5699056205797</v>
      </c>
      <c r="AW20" s="2">
        <f t="shared" si="38"/>
        <v>1040.0642065643738</v>
      </c>
      <c r="AX20" s="2">
        <f t="shared" si="38"/>
        <v>1029.66356449873</v>
      </c>
      <c r="AY20" s="2">
        <f t="shared" si="38"/>
        <v>1019.3669288537427</v>
      </c>
      <c r="AZ20" s="2">
        <f t="shared" si="38"/>
        <v>1009.1732595652053</v>
      </c>
      <c r="BA20" s="2">
        <f t="shared" si="38"/>
        <v>999.08152696955324</v>
      </c>
      <c r="BB20" s="2">
        <f t="shared" si="38"/>
        <v>989.09071169985771</v>
      </c>
      <c r="BC20" s="2">
        <f t="shared" si="38"/>
        <v>979.19980458285909</v>
      </c>
      <c r="BD20" s="2">
        <f t="shared" si="38"/>
        <v>969.40780653703052</v>
      </c>
      <c r="BE20" s="2">
        <f t="shared" si="38"/>
        <v>959.71372847166026</v>
      </c>
      <c r="BF20" s="2">
        <f t="shared" si="38"/>
        <v>950.11659118694365</v>
      </c>
      <c r="BG20" s="2">
        <f t="shared" si="38"/>
        <v>940.61542527507424</v>
      </c>
      <c r="BH20" s="2">
        <f t="shared" si="38"/>
        <v>931.20927102232349</v>
      </c>
      <c r="BI20" s="2">
        <f t="shared" si="38"/>
        <v>921.89717831210021</v>
      </c>
      <c r="BJ20" s="2">
        <f t="shared" si="38"/>
        <v>912.67820652897922</v>
      </c>
      <c r="BK20" s="2">
        <f t="shared" si="38"/>
        <v>903.55142446368939</v>
      </c>
      <c r="BL20" s="2">
        <f t="shared" si="38"/>
        <v>894.51591021905244</v>
      </c>
      <c r="BM20" s="2">
        <f t="shared" si="38"/>
        <v>885.57075111686186</v>
      </c>
      <c r="BN20" s="2">
        <f t="shared" si="38"/>
        <v>876.71504360569327</v>
      </c>
      <c r="BO20" s="2">
        <f t="shared" si="38"/>
        <v>867.94789316963636</v>
      </c>
      <c r="BP20" s="2">
        <f t="shared" si="38"/>
        <v>859.26841423793996</v>
      </c>
      <c r="BQ20" s="2">
        <f t="shared" si="38"/>
        <v>850.67573009556054</v>
      </c>
      <c r="BR20" s="2">
        <f t="shared" si="38"/>
        <v>842.16897279460488</v>
      </c>
      <c r="BS20" s="2">
        <f t="shared" si="38"/>
        <v>833.74728306665884</v>
      </c>
      <c r="BT20" s="2">
        <f t="shared" si="38"/>
        <v>825.40981023599227</v>
      </c>
      <c r="BU20" s="2">
        <f t="shared" si="38"/>
        <v>817.15571213363239</v>
      </c>
      <c r="BV20" s="2">
        <f t="shared" si="38"/>
        <v>808.98415501229601</v>
      </c>
      <c r="BW20" s="2">
        <f t="shared" si="38"/>
        <v>800.89431346217305</v>
      </c>
      <c r="BX20" s="2">
        <f t="shared" si="38"/>
        <v>792.8853703275513</v>
      </c>
      <c r="BY20" s="2">
        <f t="shared" si="38"/>
        <v>784.95651662427576</v>
      </c>
      <c r="BZ20" s="2">
        <f t="shared" si="38"/>
        <v>777.106951458033</v>
      </c>
      <c r="CA20" s="2">
        <f t="shared" si="38"/>
        <v>769.3358819434527</v>
      </c>
      <c r="CB20" s="2">
        <f t="shared" si="38"/>
        <v>761.64252312401823</v>
      </c>
      <c r="CC20" s="2">
        <f t="shared" si="38"/>
        <v>754.02609789277801</v>
      </c>
      <c r="CD20" s="2">
        <f t="shared" si="38"/>
        <v>746.48583691385022</v>
      </c>
      <c r="CE20" s="2">
        <f t="shared" si="38"/>
        <v>739.02097854471174</v>
      </c>
      <c r="CF20" s="2">
        <f t="shared" si="38"/>
        <v>731.63076875926458</v>
      </c>
      <c r="CG20" s="2">
        <f t="shared" si="38"/>
        <v>724.31446107167199</v>
      </c>
      <c r="CH20" s="2">
        <f t="shared" si="38"/>
        <v>717.07131646095525</v>
      </c>
      <c r="CI20" s="2">
        <f t="shared" si="38"/>
        <v>709.90060329634571</v>
      </c>
      <c r="CJ20" s="2">
        <f t="shared" si="38"/>
        <v>702.80159726338229</v>
      </c>
      <c r="CK20" s="2">
        <f t="shared" si="38"/>
        <v>695.77358129074844</v>
      </c>
      <c r="CL20" s="2">
        <f t="shared" si="38"/>
        <v>688.81584547784098</v>
      </c>
      <c r="CM20" s="2">
        <f t="shared" si="38"/>
        <v>681.92768702306262</v>
      </c>
      <c r="CN20" s="2">
        <f t="shared" si="38"/>
        <v>675.10841015283199</v>
      </c>
      <c r="CO20" s="2">
        <f t="shared" si="38"/>
        <v>668.35732605130363</v>
      </c>
      <c r="CP20" s="2">
        <f t="shared" si="38"/>
        <v>661.67375279079056</v>
      </c>
      <c r="CQ20" s="2">
        <f t="shared" si="38"/>
        <v>655.0570152628826</v>
      </c>
      <c r="CR20" s="2">
        <f t="shared" si="38"/>
        <v>648.50644511025382</v>
      </c>
      <c r="CS20" s="2">
        <f t="shared" si="38"/>
        <v>642.0213806591513</v>
      </c>
      <c r="CT20" s="2">
        <f t="shared" ref="CT20:EJ20" si="39">CS20*(1+$AI$25)</f>
        <v>635.6011668525598</v>
      </c>
      <c r="CU20" s="2">
        <f t="shared" si="39"/>
        <v>629.24515518403416</v>
      </c>
      <c r="CV20" s="2">
        <f t="shared" si="39"/>
        <v>622.95270363219379</v>
      </c>
      <c r="CW20" s="2">
        <f t="shared" si="39"/>
        <v>616.72317659587179</v>
      </c>
      <c r="CX20" s="2">
        <f t="shared" si="39"/>
        <v>610.55594482991307</v>
      </c>
      <c r="CY20" s="2">
        <f t="shared" si="39"/>
        <v>604.45038538161396</v>
      </c>
      <c r="CZ20" s="2">
        <f t="shared" si="39"/>
        <v>598.40588152779776</v>
      </c>
      <c r="DA20" s="2">
        <f t="shared" si="39"/>
        <v>592.42182271251977</v>
      </c>
      <c r="DB20" s="2">
        <f t="shared" si="39"/>
        <v>586.49760448539462</v>
      </c>
      <c r="DC20" s="2">
        <f t="shared" si="39"/>
        <v>580.63262844054066</v>
      </c>
      <c r="DD20" s="2">
        <f t="shared" si="39"/>
        <v>574.82630215613528</v>
      </c>
      <c r="DE20" s="2">
        <f t="shared" si="39"/>
        <v>569.07803913457394</v>
      </c>
      <c r="DF20" s="2">
        <f t="shared" si="39"/>
        <v>563.38725874322824</v>
      </c>
      <c r="DG20" s="2">
        <f t="shared" si="39"/>
        <v>557.75338615579597</v>
      </c>
      <c r="DH20" s="2">
        <f t="shared" si="39"/>
        <v>552.17585229423798</v>
      </c>
      <c r="DI20" s="2">
        <f t="shared" si="39"/>
        <v>546.65409377129561</v>
      </c>
      <c r="DJ20" s="2">
        <f t="shared" si="39"/>
        <v>541.18755283358269</v>
      </c>
      <c r="DK20" s="2">
        <f t="shared" si="39"/>
        <v>535.77567730524686</v>
      </c>
      <c r="DL20" s="2">
        <f t="shared" si="39"/>
        <v>530.41792053219433</v>
      </c>
      <c r="DM20" s="2">
        <f t="shared" si="39"/>
        <v>525.1137413268724</v>
      </c>
      <c r="DN20" s="2">
        <f t="shared" si="39"/>
        <v>519.86260391360372</v>
      </c>
      <c r="DO20" s="2">
        <f t="shared" si="39"/>
        <v>514.66397787446772</v>
      </c>
      <c r="DP20" s="2">
        <f t="shared" si="39"/>
        <v>509.51733809572306</v>
      </c>
      <c r="DQ20" s="2">
        <f t="shared" si="39"/>
        <v>504.42216471476581</v>
      </c>
      <c r="DR20" s="2">
        <f t="shared" si="39"/>
        <v>499.37794306761816</v>
      </c>
      <c r="DS20" s="2">
        <f t="shared" si="39"/>
        <v>494.38416363694199</v>
      </c>
      <c r="DT20" s="2">
        <f t="shared" si="39"/>
        <v>489.44032200057256</v>
      </c>
      <c r="DU20" s="2">
        <f t="shared" si="39"/>
        <v>484.54591878056681</v>
      </c>
      <c r="DV20" s="2">
        <f t="shared" si="39"/>
        <v>479.70045959276115</v>
      </c>
      <c r="DW20" s="2">
        <f t="shared" si="39"/>
        <v>474.90345499683355</v>
      </c>
      <c r="DX20" s="2">
        <f t="shared" si="39"/>
        <v>470.15442044686523</v>
      </c>
      <c r="DY20" s="2">
        <f t="shared" si="39"/>
        <v>465.4528762423966</v>
      </c>
      <c r="DZ20" s="2">
        <f t="shared" si="39"/>
        <v>460.79834747997262</v>
      </c>
      <c r="EA20" s="2">
        <f t="shared" si="39"/>
        <v>456.19036400517291</v>
      </c>
      <c r="EB20" s="2">
        <f t="shared" si="39"/>
        <v>451.62846036512116</v>
      </c>
      <c r="EC20" s="2">
        <f t="shared" si="39"/>
        <v>447.11217576146993</v>
      </c>
      <c r="ED20" s="2">
        <f t="shared" si="39"/>
        <v>442.64105400385523</v>
      </c>
      <c r="EE20" s="2">
        <f t="shared" si="39"/>
        <v>438.21464346381669</v>
      </c>
      <c r="EF20" s="2">
        <f t="shared" si="39"/>
        <v>433.83249702917851</v>
      </c>
      <c r="EG20" s="2">
        <f t="shared" si="39"/>
        <v>429.4941720588867</v>
      </c>
      <c r="EH20" s="2">
        <f t="shared" si="39"/>
        <v>425.19923033829781</v>
      </c>
      <c r="EI20" s="2">
        <f t="shared" si="39"/>
        <v>420.94723803491485</v>
      </c>
      <c r="EJ20" s="2">
        <f t="shared" si="39"/>
        <v>416.73776565456569</v>
      </c>
    </row>
    <row r="21" spans="2:140" x14ac:dyDescent="0.3">
      <c r="B21" s="1" t="s">
        <v>2</v>
      </c>
      <c r="C21" s="6">
        <v>209.9</v>
      </c>
      <c r="D21" s="6">
        <v>209.9</v>
      </c>
      <c r="E21" s="6">
        <v>209.9</v>
      </c>
      <c r="F21" s="6">
        <v>209.9</v>
      </c>
      <c r="G21" s="6">
        <v>209.9</v>
      </c>
      <c r="H21" s="6">
        <v>209.9</v>
      </c>
      <c r="I21" s="6">
        <v>209.9</v>
      </c>
      <c r="J21" s="6">
        <v>209.9</v>
      </c>
      <c r="K21" s="6">
        <f>461.4</f>
        <v>461.4</v>
      </c>
      <c r="L21" s="6">
        <f>479.4</f>
        <v>479.4</v>
      </c>
      <c r="M21" s="6">
        <f>479.4</f>
        <v>479.4</v>
      </c>
      <c r="N21" s="6">
        <f>479.4</f>
        <v>479.4</v>
      </c>
      <c r="Q21" s="6">
        <v>75.400000000000006</v>
      </c>
      <c r="R21" s="6">
        <v>209.9</v>
      </c>
      <c r="S21" s="6">
        <v>466.2</v>
      </c>
      <c r="T21" s="6">
        <v>481.8</v>
      </c>
      <c r="U21" s="6">
        <v>495.9</v>
      </c>
      <c r="V21" s="6">
        <f t="shared" ref="V21:AF21" si="40">479.4</f>
        <v>479.4</v>
      </c>
      <c r="W21" s="6">
        <f t="shared" si="40"/>
        <v>479.4</v>
      </c>
      <c r="X21" s="6">
        <f t="shared" si="40"/>
        <v>479.4</v>
      </c>
      <c r="Y21" s="6">
        <f t="shared" si="40"/>
        <v>479.4</v>
      </c>
      <c r="Z21" s="6">
        <f t="shared" si="40"/>
        <v>479.4</v>
      </c>
      <c r="AA21" s="6">
        <f t="shared" si="40"/>
        <v>479.4</v>
      </c>
      <c r="AB21" s="6">
        <f t="shared" si="40"/>
        <v>479.4</v>
      </c>
      <c r="AC21" s="6">
        <f t="shared" si="40"/>
        <v>479.4</v>
      </c>
      <c r="AD21" s="6">
        <f t="shared" si="40"/>
        <v>479.4</v>
      </c>
      <c r="AE21" s="6">
        <f t="shared" si="40"/>
        <v>479.4</v>
      </c>
      <c r="AF21" s="6">
        <f t="shared" si="40"/>
        <v>479.4</v>
      </c>
    </row>
    <row r="22" spans="2:140" x14ac:dyDescent="0.3">
      <c r="B22" s="1" t="s">
        <v>29</v>
      </c>
      <c r="C22" s="8">
        <f t="shared" ref="C22:J22" si="41">C20/C21</f>
        <v>-0.21724630776560266</v>
      </c>
      <c r="D22" s="8">
        <f t="shared" si="41"/>
        <v>-0.21867555979037637</v>
      </c>
      <c r="E22" s="8">
        <f t="shared" si="41"/>
        <v>-0.18818484992853737</v>
      </c>
      <c r="F22" s="8">
        <f t="shared" si="41"/>
        <v>-0.24583134826107667</v>
      </c>
      <c r="G22" s="8">
        <f t="shared" si="41"/>
        <v>-0.21105288232491662</v>
      </c>
      <c r="H22" s="8">
        <f t="shared" si="41"/>
        <v>-0.19723677941877091</v>
      </c>
      <c r="I22" s="8">
        <f t="shared" si="41"/>
        <v>-0.24773701762744166</v>
      </c>
      <c r="J22" s="8">
        <f t="shared" si="41"/>
        <v>-0.25011910433539802</v>
      </c>
      <c r="K22" s="8">
        <f t="shared" ref="K22:N22" si="42">K20/K21</f>
        <v>-0.13133940182054621</v>
      </c>
      <c r="L22" s="8">
        <f t="shared" si="42"/>
        <v>-0.13871506049228199</v>
      </c>
      <c r="M22" s="8">
        <f t="shared" si="42"/>
        <v>-0.12404943679599501</v>
      </c>
      <c r="N22" s="8">
        <f t="shared" si="42"/>
        <v>-0.11287734668335425</v>
      </c>
      <c r="Q22" s="8">
        <f t="shared" ref="Q22:W22" si="43">Q20/Q21</f>
        <v>-0.72944297082228116</v>
      </c>
      <c r="R22" s="8">
        <f t="shared" si="43"/>
        <v>-0.55931395902810854</v>
      </c>
      <c r="S22" s="8">
        <f t="shared" si="43"/>
        <v>-0.29150579150579148</v>
      </c>
      <c r="T22" s="8">
        <f t="shared" si="43"/>
        <v>-0.37899543378995426</v>
      </c>
      <c r="U22" s="8">
        <f t="shared" si="43"/>
        <v>-0.38354506957047801</v>
      </c>
      <c r="V22" s="8">
        <f t="shared" si="43"/>
        <v>-0.50622173550271166</v>
      </c>
      <c r="W22" s="8">
        <f t="shared" si="43"/>
        <v>-0.56336410513141433</v>
      </c>
      <c r="X22" s="8">
        <f t="shared" ref="X22:AF22" si="44">X20/X21</f>
        <v>-0.59140984073842306</v>
      </c>
      <c r="Y22" s="8">
        <f t="shared" si="44"/>
        <v>-0.60154034770025022</v>
      </c>
      <c r="Z22" s="8">
        <f t="shared" si="44"/>
        <v>-0.39292714539658941</v>
      </c>
      <c r="AA22" s="8">
        <f t="shared" si="44"/>
        <v>0.14698815136107651</v>
      </c>
      <c r="AB22" s="8">
        <f t="shared" si="44"/>
        <v>0.71349288093515295</v>
      </c>
      <c r="AC22" s="8">
        <f t="shared" si="44"/>
        <v>1.2516285117461774</v>
      </c>
      <c r="AD22" s="8">
        <f t="shared" si="44"/>
        <v>1.7845058324522565</v>
      </c>
      <c r="AE22" s="8">
        <f t="shared" si="44"/>
        <v>2.2485258863391868</v>
      </c>
      <c r="AF22" s="8">
        <f t="shared" si="44"/>
        <v>2.5737349061851309</v>
      </c>
    </row>
    <row r="24" spans="2:140" x14ac:dyDescent="0.3">
      <c r="B24" s="1" t="s">
        <v>12</v>
      </c>
      <c r="C24" s="10"/>
      <c r="D24" s="10"/>
      <c r="E24" s="10"/>
      <c r="F24" s="10"/>
      <c r="G24" s="10"/>
      <c r="H24" s="10"/>
      <c r="I24" s="10"/>
      <c r="J24" s="10"/>
      <c r="K24" s="10">
        <f t="shared" ref="K24:K25" si="45">K3/G3-1</f>
        <v>0.49353049907578539</v>
      </c>
      <c r="L24" s="10">
        <f t="shared" ref="L24:L25" si="46">L3/H3-1</f>
        <v>0.28215767634854783</v>
      </c>
      <c r="Q24" s="10"/>
      <c r="R24" s="10"/>
      <c r="S24" s="10"/>
      <c r="T24" s="10">
        <f t="shared" ref="T24" si="47">T3/S3-1</f>
        <v>0.17655897821187083</v>
      </c>
      <c r="U24" s="10">
        <f>U3/T3-1</f>
        <v>0.85121328224776494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2:140" x14ac:dyDescent="0.3">
      <c r="B25" s="1" t="s">
        <v>13</v>
      </c>
      <c r="C25" s="10"/>
      <c r="D25" s="10"/>
      <c r="E25" s="10"/>
      <c r="F25" s="10"/>
      <c r="G25" s="10"/>
      <c r="H25" s="10"/>
      <c r="I25" s="10"/>
      <c r="J25" s="10"/>
      <c r="K25" s="10">
        <f t="shared" si="45"/>
        <v>8.2901554404144928E-2</v>
      </c>
      <c r="L25" s="10">
        <f t="shared" si="46"/>
        <v>0.5235294117647058</v>
      </c>
      <c r="Q25" s="10"/>
      <c r="R25" s="10"/>
      <c r="S25" s="10"/>
      <c r="T25" s="10">
        <f t="shared" ref="S25:U26" si="48">T4/S4-1</f>
        <v>0.12965340179717577</v>
      </c>
      <c r="U25" s="10">
        <f t="shared" si="48"/>
        <v>0.6636363636363638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H25" s="1" t="s">
        <v>50</v>
      </c>
      <c r="AI25" s="10">
        <v>-0.01</v>
      </c>
    </row>
    <row r="26" spans="2:140" x14ac:dyDescent="0.3">
      <c r="B26" s="1" t="s">
        <v>42</v>
      </c>
      <c r="C26" s="11"/>
      <c r="D26" s="11"/>
      <c r="E26" s="11"/>
      <c r="F26" s="11"/>
      <c r="G26" s="11">
        <f t="shared" ref="G26:I26" si="49">G5/C5-1</f>
        <v>0.68852459016393452</v>
      </c>
      <c r="H26" s="11">
        <f t="shared" si="49"/>
        <v>0.71451612903225792</v>
      </c>
      <c r="I26" s="11">
        <f t="shared" si="49"/>
        <v>0.5480059084194977</v>
      </c>
      <c r="J26" s="11">
        <f>J5/F5-1</f>
        <v>1.208333333333333</v>
      </c>
      <c r="K26" s="11">
        <f t="shared" ref="K26:N26" si="50">K5/G5-1</f>
        <v>0.32254584681769138</v>
      </c>
      <c r="L26" s="11">
        <f t="shared" si="50"/>
        <v>0.35936030103480721</v>
      </c>
      <c r="M26" s="11">
        <f t="shared" si="50"/>
        <v>0.49809160305343525</v>
      </c>
      <c r="N26" s="11">
        <f t="shared" si="50"/>
        <v>0.47169811320754773</v>
      </c>
      <c r="Q26" s="11"/>
      <c r="R26" s="11">
        <f t="shared" ref="R26" si="51">R5/Q5-1</f>
        <v>0.76704545454545459</v>
      </c>
      <c r="S26" s="11">
        <f t="shared" si="48"/>
        <v>2.3922829581993565</v>
      </c>
      <c r="T26" s="11">
        <f t="shared" si="48"/>
        <v>0.15924170616113731</v>
      </c>
      <c r="U26" s="11">
        <f t="shared" si="48"/>
        <v>0.78372853638593609</v>
      </c>
      <c r="V26" s="11">
        <f t="shared" ref="V26:AF26" si="52">V5/U5-1</f>
        <v>0.41897776759110728</v>
      </c>
      <c r="W26" s="11">
        <f t="shared" si="52"/>
        <v>0.35000000000000009</v>
      </c>
      <c r="X26" s="11">
        <f t="shared" si="52"/>
        <v>0.30000000000000004</v>
      </c>
      <c r="Y26" s="11">
        <f t="shared" si="52"/>
        <v>0.25</v>
      </c>
      <c r="Z26" s="11">
        <f t="shared" si="52"/>
        <v>0.35000000000000009</v>
      </c>
      <c r="AA26" s="11">
        <f t="shared" si="52"/>
        <v>0.5</v>
      </c>
      <c r="AB26" s="11">
        <f t="shared" si="52"/>
        <v>0.35000000000000009</v>
      </c>
      <c r="AC26" s="11">
        <f t="shared" si="52"/>
        <v>0.25000000000000022</v>
      </c>
      <c r="AD26" s="11">
        <f t="shared" si="52"/>
        <v>0.19999999999999996</v>
      </c>
      <c r="AE26" s="11">
        <f t="shared" si="52"/>
        <v>0.14999999999999991</v>
      </c>
      <c r="AF26" s="11">
        <f t="shared" si="52"/>
        <v>0.10000000000000009</v>
      </c>
      <c r="AH26" s="1" t="s">
        <v>51</v>
      </c>
      <c r="AI26" s="10">
        <v>0.08</v>
      </c>
    </row>
    <row r="27" spans="2:140" x14ac:dyDescent="0.3">
      <c r="B27" s="1" t="s">
        <v>43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Q27" s="10"/>
      <c r="R27" s="10"/>
      <c r="S27" s="10">
        <f t="shared" ref="S27:T27" si="53">(S3-S6)/S3</f>
        <v>0.21111945905334331</v>
      </c>
      <c r="T27" s="10">
        <f t="shared" si="53"/>
        <v>0.26372924648786716</v>
      </c>
      <c r="U27" s="10">
        <f>(U3-U6)/U3</f>
        <v>0.262504311831666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H27" s="1" t="s">
        <v>52</v>
      </c>
      <c r="AI27" s="6">
        <f>NPV(AI26,V20:EJ20)</f>
        <v>6823.5657501858814</v>
      </c>
    </row>
    <row r="28" spans="2:140" x14ac:dyDescent="0.3">
      <c r="B28" s="1" t="s">
        <v>44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Q28" s="10"/>
      <c r="R28" s="10"/>
      <c r="S28" s="10">
        <f t="shared" ref="S28:T28" si="54">(S4-S7)/S4</f>
        <v>-0.11681643132220788</v>
      </c>
      <c r="T28" s="10">
        <f t="shared" si="54"/>
        <v>0.11590909090909095</v>
      </c>
      <c r="U28" s="10">
        <f>(U4-U7)/U4</f>
        <v>0.27459016393442626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H28" s="1" t="s">
        <v>53</v>
      </c>
      <c r="AI28" s="6">
        <f>Main!D8</f>
        <v>332.7000000000001</v>
      </c>
    </row>
    <row r="29" spans="2:140" x14ac:dyDescent="0.3">
      <c r="B29" s="1" t="s">
        <v>49</v>
      </c>
      <c r="C29" s="10">
        <f t="shared" ref="C29:J29" si="55">C9/C5</f>
        <v>0.11657559198542802</v>
      </c>
      <c r="D29" s="10">
        <f t="shared" si="55"/>
        <v>0.23387096774193547</v>
      </c>
      <c r="E29" s="10">
        <f t="shared" si="55"/>
        <v>0.22156573116691283</v>
      </c>
      <c r="F29" s="10">
        <f t="shared" si="55"/>
        <v>0.26000000000000012</v>
      </c>
      <c r="G29" s="10">
        <f t="shared" si="55"/>
        <v>0.25997842502696877</v>
      </c>
      <c r="H29" s="10">
        <f t="shared" si="55"/>
        <v>0.25682031984948256</v>
      </c>
      <c r="I29" s="10">
        <f t="shared" si="55"/>
        <v>0.26717557251908397</v>
      </c>
      <c r="J29" s="10">
        <f t="shared" si="55"/>
        <v>0.27849056603773559</v>
      </c>
      <c r="K29" s="10">
        <f t="shared" ref="K29:N29" si="56">K9/K5</f>
        <v>0.28711256117455131</v>
      </c>
      <c r="L29" s="10">
        <f t="shared" si="56"/>
        <v>0.32110726643598619</v>
      </c>
      <c r="M29" s="10">
        <f t="shared" si="56"/>
        <v>0.31999999999999995</v>
      </c>
      <c r="N29" s="10">
        <f t="shared" si="56"/>
        <v>0.3199999999999999</v>
      </c>
      <c r="Q29" s="10">
        <f t="shared" ref="Q29:R29" si="57">Q9/Q5</f>
        <v>-0.3352272727272726</v>
      </c>
      <c r="R29" s="10">
        <f t="shared" si="57"/>
        <v>-3.054662379421208E-2</v>
      </c>
      <c r="S29" s="10">
        <f t="shared" ref="S29:T29" si="58">S9/S5</f>
        <v>9.004739336492891E-2</v>
      </c>
      <c r="T29" s="10">
        <f t="shared" si="58"/>
        <v>0.21054783319705642</v>
      </c>
      <c r="U29" s="10">
        <f>U9/U5</f>
        <v>0.26655970662388256</v>
      </c>
      <c r="V29" s="10">
        <f t="shared" ref="V29:AF29" si="59">V9/V5</f>
        <v>0.31374575997415605</v>
      </c>
      <c r="W29" s="10">
        <f t="shared" si="59"/>
        <v>0.31999999999999995</v>
      </c>
      <c r="X29" s="10">
        <f t="shared" si="59"/>
        <v>0.3299999999999999</v>
      </c>
      <c r="Y29" s="10">
        <f t="shared" si="59"/>
        <v>0.3299999999999999</v>
      </c>
      <c r="Z29" s="10">
        <f t="shared" si="59"/>
        <v>0.32999999999999996</v>
      </c>
      <c r="AA29" s="10">
        <f t="shared" si="59"/>
        <v>0.32999999999999996</v>
      </c>
      <c r="AB29" s="10">
        <f t="shared" si="59"/>
        <v>0.3299999999999999</v>
      </c>
      <c r="AC29" s="10">
        <f t="shared" si="59"/>
        <v>0.32999999999999996</v>
      </c>
      <c r="AD29" s="10">
        <f t="shared" si="59"/>
        <v>0.33</v>
      </c>
      <c r="AE29" s="10">
        <f t="shared" si="59"/>
        <v>0.32999999999999996</v>
      </c>
      <c r="AF29" s="10">
        <f t="shared" si="59"/>
        <v>0.33</v>
      </c>
      <c r="AH29" s="1" t="s">
        <v>54</v>
      </c>
      <c r="AI29" s="6">
        <f>AI27+AI28</f>
        <v>7156.2657501858812</v>
      </c>
    </row>
    <row r="30" spans="2:140" x14ac:dyDescent="0.3">
      <c r="B30" s="1" t="s">
        <v>45</v>
      </c>
      <c r="C30" s="10"/>
      <c r="D30" s="10"/>
      <c r="E30" s="10"/>
      <c r="F30" s="10"/>
      <c r="G30" s="10">
        <f t="shared" ref="G30:I30" si="60">G10/C10-1</f>
        <v>0.61087866108786626</v>
      </c>
      <c r="H30" s="10">
        <f t="shared" si="60"/>
        <v>0.2870967741935484</v>
      </c>
      <c r="I30" s="10">
        <f t="shared" si="60"/>
        <v>0.79323308270676685</v>
      </c>
      <c r="J30" s="10">
        <f>J10/F10-1</f>
        <v>0.28457446808510656</v>
      </c>
      <c r="K30" s="10">
        <f t="shared" ref="K30:N31" si="61">K10/G10-1</f>
        <v>0.43116883116883131</v>
      </c>
      <c r="L30" s="10">
        <f t="shared" si="61"/>
        <v>0.65664160401002492</v>
      </c>
      <c r="M30" s="10">
        <f t="shared" si="61"/>
        <v>0.30000000000000004</v>
      </c>
      <c r="N30" s="10">
        <f t="shared" si="61"/>
        <v>0.30000000000000004</v>
      </c>
      <c r="Q30" s="10"/>
      <c r="R30" s="10">
        <f t="shared" ref="R30" si="62">R10/Q10-1</f>
        <v>1.1884816753926697</v>
      </c>
      <c r="S30" s="10">
        <f t="shared" ref="S30:T30" si="63">S10/R10-1</f>
        <v>0.55980861244019153</v>
      </c>
      <c r="T30" s="10">
        <f t="shared" si="63"/>
        <v>0.82668711656441696</v>
      </c>
      <c r="U30" s="10">
        <f>U10/T10-1</f>
        <v>0.46431570109151976</v>
      </c>
      <c r="V30" s="10">
        <f t="shared" ref="V30:AF30" si="64">V10/U10-1</f>
        <v>0.41055045871559637</v>
      </c>
      <c r="W30" s="10">
        <f t="shared" si="64"/>
        <v>0.19999999999999996</v>
      </c>
      <c r="X30" s="10">
        <f t="shared" si="64"/>
        <v>0.14999999999999991</v>
      </c>
      <c r="Y30" s="10">
        <f t="shared" si="64"/>
        <v>0.10000000000000009</v>
      </c>
      <c r="Z30" s="10">
        <f t="shared" si="64"/>
        <v>5.0000000000000044E-2</v>
      </c>
      <c r="AA30" s="10">
        <f t="shared" si="64"/>
        <v>5.0000000000000044E-2</v>
      </c>
      <c r="AB30" s="10">
        <f t="shared" si="64"/>
        <v>5.0000000000000044E-2</v>
      </c>
      <c r="AC30" s="10">
        <f t="shared" si="64"/>
        <v>5.0000000000000044E-2</v>
      </c>
      <c r="AD30" s="10">
        <f t="shared" si="64"/>
        <v>5.0000000000000044E-2</v>
      </c>
      <c r="AE30" s="10">
        <f t="shared" si="64"/>
        <v>5.0000000000000044E-2</v>
      </c>
      <c r="AF30" s="10">
        <f t="shared" si="64"/>
        <v>5.0000000000000044E-2</v>
      </c>
      <c r="AH30" s="1" t="s">
        <v>55</v>
      </c>
      <c r="AI30" s="5">
        <f>AI29/AF21</f>
        <v>14.927546412569631</v>
      </c>
    </row>
    <row r="31" spans="2:140" x14ac:dyDescent="0.3">
      <c r="B31" s="1" t="s">
        <v>46</v>
      </c>
      <c r="C31" s="10"/>
      <c r="D31" s="10"/>
      <c r="E31" s="10"/>
      <c r="F31" s="10"/>
      <c r="G31" s="10">
        <f t="shared" ref="G31:J31" si="65">G11/C11-1</f>
        <v>7.0175438596491446E-3</v>
      </c>
      <c r="H31" s="10">
        <f t="shared" si="65"/>
        <v>6.2717770034843134E-2</v>
      </c>
      <c r="I31" s="10">
        <f t="shared" si="65"/>
        <v>0.18382352941176494</v>
      </c>
      <c r="J31" s="10">
        <f t="shared" si="65"/>
        <v>0.55212355212355213</v>
      </c>
      <c r="K31" s="10">
        <f t="shared" si="61"/>
        <v>0.36933797909407651</v>
      </c>
      <c r="L31" s="10">
        <f t="shared" si="61"/>
        <v>0.31147540983606548</v>
      </c>
      <c r="M31" s="10">
        <f t="shared" si="61"/>
        <v>0.5</v>
      </c>
      <c r="N31" s="10">
        <f t="shared" si="61"/>
        <v>0.35000000000000009</v>
      </c>
      <c r="Q31" s="10"/>
      <c r="R31" s="10">
        <f t="shared" ref="R31" si="66">R11/Q11-1</f>
        <v>1.4333333333333331</v>
      </c>
      <c r="S31" s="10">
        <f t="shared" ref="S31:T31" si="67">S11/R11-1</f>
        <v>0.52397260273972601</v>
      </c>
      <c r="T31" s="10">
        <f t="shared" si="67"/>
        <v>0.23932584269662915</v>
      </c>
      <c r="U31" s="10">
        <f>U11/T11-1</f>
        <v>0.19310970081595635</v>
      </c>
      <c r="V31" s="10">
        <f t="shared" ref="V31:AF31" si="68">V11/U11-1</f>
        <v>0.38199088145896654</v>
      </c>
      <c r="W31" s="10">
        <f t="shared" si="68"/>
        <v>0.30000000000000004</v>
      </c>
      <c r="X31" s="10">
        <f t="shared" si="68"/>
        <v>0.25</v>
      </c>
      <c r="Y31" s="10">
        <f t="shared" si="68"/>
        <v>0.19999999999999996</v>
      </c>
      <c r="Z31" s="10">
        <f t="shared" si="68"/>
        <v>0.10000000000000009</v>
      </c>
      <c r="AA31" s="10">
        <f t="shared" si="68"/>
        <v>5.0000000000000044E-2</v>
      </c>
      <c r="AB31" s="10">
        <f t="shared" si="68"/>
        <v>5.0000000000000044E-2</v>
      </c>
      <c r="AC31" s="10">
        <f t="shared" si="68"/>
        <v>5.0000000000000044E-2</v>
      </c>
      <c r="AD31" s="10">
        <f t="shared" si="68"/>
        <v>5.0000000000000044E-2</v>
      </c>
      <c r="AE31" s="10">
        <f t="shared" si="68"/>
        <v>5.0000000000000044E-2</v>
      </c>
      <c r="AF31" s="10">
        <f t="shared" si="68"/>
        <v>5.0000000000000044E-2</v>
      </c>
      <c r="AH31" s="1" t="s">
        <v>56</v>
      </c>
      <c r="AI31" s="5">
        <f>Main!D3</f>
        <v>53.74</v>
      </c>
    </row>
    <row r="32" spans="2:140" x14ac:dyDescent="0.3">
      <c r="B32" s="1" t="s">
        <v>47</v>
      </c>
      <c r="C32" s="10">
        <f t="shared" ref="C32:J32" si="69">C13/C5</f>
        <v>-0.83788706739526408</v>
      </c>
      <c r="D32" s="10">
        <f t="shared" si="69"/>
        <v>-0.72903225806451621</v>
      </c>
      <c r="E32" s="10">
        <f t="shared" si="69"/>
        <v>-0.57311669128508114</v>
      </c>
      <c r="F32" s="10">
        <f t="shared" si="69"/>
        <v>-0.79833333333333345</v>
      </c>
      <c r="G32" s="10">
        <f t="shared" si="69"/>
        <v>-0.46494066882416391</v>
      </c>
      <c r="H32" s="10">
        <f t="shared" si="69"/>
        <v>-0.40545625587958617</v>
      </c>
      <c r="I32" s="10">
        <f t="shared" si="69"/>
        <v>-0.49522900763358785</v>
      </c>
      <c r="J32" s="10">
        <f t="shared" si="69"/>
        <v>-0.3894339622641515</v>
      </c>
      <c r="K32" s="10">
        <f t="shared" ref="K32:N32" si="70">K13/K5</f>
        <v>-0.48287112561174567</v>
      </c>
      <c r="L32" s="10">
        <f t="shared" si="70"/>
        <v>-0.41314878892733559</v>
      </c>
      <c r="M32" s="10">
        <f t="shared" si="70"/>
        <v>-0.3826114649681529</v>
      </c>
      <c r="N32" s="10">
        <f t="shared" si="70"/>
        <v>-0.28030769230769242</v>
      </c>
      <c r="Q32" s="10">
        <f t="shared" ref="Q32:R32" si="71">Q13/Q5</f>
        <v>-1.5596590909090908</v>
      </c>
      <c r="R32" s="10">
        <f t="shared" si="71"/>
        <v>-1.6414790996784563</v>
      </c>
      <c r="S32" s="10">
        <f t="shared" ref="S32:T32" si="72">S13/S5</f>
        <v>-0.64075829383886251</v>
      </c>
      <c r="T32" s="10">
        <f t="shared" si="72"/>
        <v>-0.72730989370400645</v>
      </c>
      <c r="U32" s="10">
        <f>U13/U5</f>
        <v>-0.43479257391702969</v>
      </c>
      <c r="V32" s="10">
        <f t="shared" ref="V32:AF32" si="73">V13/V5</f>
        <v>-0.37737037635277015</v>
      </c>
      <c r="W32" s="10">
        <f t="shared" si="73"/>
        <v>-0.31608583547204122</v>
      </c>
      <c r="X32" s="10">
        <f t="shared" si="73"/>
        <v>-0.254451696953716</v>
      </c>
      <c r="Y32" s="10">
        <f t="shared" si="73"/>
        <v>-0.20607787427848803</v>
      </c>
      <c r="Z32" s="10">
        <f t="shared" si="73"/>
        <v>-9.6620738198476455E-2</v>
      </c>
      <c r="AA32" s="10">
        <f t="shared" si="73"/>
        <v>3.1365483261066474E-2</v>
      </c>
      <c r="AB32" s="10">
        <f t="shared" si="73"/>
        <v>9.7728709203051614E-2</v>
      </c>
      <c r="AC32" s="10">
        <f t="shared" si="73"/>
        <v>0.13489211573056342</v>
      </c>
      <c r="AD32" s="10">
        <f t="shared" si="73"/>
        <v>0.15928060126424298</v>
      </c>
      <c r="AE32" s="10">
        <f t="shared" si="73"/>
        <v>0.1741257663717001</v>
      </c>
      <c r="AF32" s="10">
        <f t="shared" si="73"/>
        <v>0.18121095880935009</v>
      </c>
      <c r="AH32" s="2" t="s">
        <v>57</v>
      </c>
      <c r="AI32" s="11">
        <f>AI30/AI31-1</f>
        <v>-0.72222652749219152</v>
      </c>
    </row>
    <row r="33" spans="2:35" x14ac:dyDescent="0.3">
      <c r="B33" s="1" t="s">
        <v>27</v>
      </c>
      <c r="C33" s="10">
        <f t="shared" ref="C33:J33" si="74">C19/C18</f>
        <v>-1.1086474501108647E-2</v>
      </c>
      <c r="D33" s="10">
        <f t="shared" si="74"/>
        <v>-1.7738359201773836E-2</v>
      </c>
      <c r="E33" s="10">
        <f t="shared" si="74"/>
        <v>-3.6745406824146988E-2</v>
      </c>
      <c r="F33" s="10">
        <f t="shared" si="74"/>
        <v>-1.9762845849802379E-2</v>
      </c>
      <c r="G33" s="10">
        <f t="shared" si="74"/>
        <v>0</v>
      </c>
      <c r="H33" s="10">
        <f t="shared" si="74"/>
        <v>2.1276595744680847E-2</v>
      </c>
      <c r="I33" s="10">
        <f t="shared" si="74"/>
        <v>-1.7612524461839529E-2</v>
      </c>
      <c r="J33" s="10">
        <f t="shared" si="74"/>
        <v>-1.5473887814313331E-2</v>
      </c>
      <c r="K33" s="10">
        <f t="shared" ref="K33:N33" si="75">K19/K18</f>
        <v>1.3029315960912049E-2</v>
      </c>
      <c r="L33" s="10">
        <f t="shared" si="75"/>
        <v>-4.559748427672957E-2</v>
      </c>
      <c r="M33" s="10">
        <f t="shared" si="75"/>
        <v>0.01</v>
      </c>
      <c r="N33" s="10">
        <f t="shared" si="75"/>
        <v>0.01</v>
      </c>
      <c r="Q33" s="10">
        <f t="shared" ref="Q33:R33" si="76">Q19/Q18</f>
        <v>-9.1743119266055051E-3</v>
      </c>
      <c r="R33" s="10">
        <f t="shared" si="76"/>
        <v>6.0048038430744605E-2</v>
      </c>
      <c r="S33" s="10">
        <f t="shared" ref="S33:T33" si="77">S19/S18</f>
        <v>-2.2573363431151246E-2</v>
      </c>
      <c r="T33" s="10">
        <f t="shared" si="77"/>
        <v>-2.0681945220793745E-2</v>
      </c>
      <c r="U33" s="10">
        <f>U19/U18</f>
        <v>-4.2238648363252373E-3</v>
      </c>
      <c r="V33" s="10">
        <f t="shared" ref="V33:AF33" si="78">V19/V18</f>
        <v>-3.9411740371488816E-3</v>
      </c>
      <c r="W33" s="10">
        <f t="shared" si="78"/>
        <v>0.01</v>
      </c>
      <c r="X33" s="10">
        <f t="shared" si="78"/>
        <v>0.01</v>
      </c>
      <c r="Y33" s="10">
        <f t="shared" si="78"/>
        <v>0.01</v>
      </c>
      <c r="Z33" s="10">
        <f t="shared" si="78"/>
        <v>0.01</v>
      </c>
      <c r="AA33" s="10">
        <f t="shared" si="78"/>
        <v>0.01</v>
      </c>
      <c r="AB33" s="10">
        <f t="shared" si="78"/>
        <v>0.01</v>
      </c>
      <c r="AC33" s="10">
        <f t="shared" si="78"/>
        <v>0.01</v>
      </c>
      <c r="AD33" s="10">
        <f t="shared" si="78"/>
        <v>0.01</v>
      </c>
      <c r="AE33" s="10">
        <f t="shared" si="78"/>
        <v>0.01</v>
      </c>
      <c r="AF33" s="10">
        <f t="shared" si="78"/>
        <v>0.01</v>
      </c>
      <c r="AH33" s="1" t="s">
        <v>58</v>
      </c>
      <c r="AI33" s="7" t="s">
        <v>59</v>
      </c>
    </row>
    <row r="34" spans="2:35" x14ac:dyDescent="0.3">
      <c r="B34" s="1" t="s">
        <v>48</v>
      </c>
      <c r="C34" s="10">
        <f t="shared" ref="C34:J34" si="79">C20/C5</f>
        <v>-0.8306010928961749</v>
      </c>
      <c r="D34" s="10">
        <f t="shared" si="79"/>
        <v>-0.74032258064516132</v>
      </c>
      <c r="E34" s="10">
        <f t="shared" si="79"/>
        <v>-0.58345642540620368</v>
      </c>
      <c r="F34" s="10">
        <f t="shared" si="79"/>
        <v>-0.86000000000000021</v>
      </c>
      <c r="G34" s="10">
        <f t="shared" si="79"/>
        <v>-0.47788565264293414</v>
      </c>
      <c r="H34" s="10">
        <f t="shared" si="79"/>
        <v>-0.38946378174976493</v>
      </c>
      <c r="I34" s="10">
        <f t="shared" si="79"/>
        <v>-0.49618320610687033</v>
      </c>
      <c r="J34" s="10">
        <f t="shared" si="79"/>
        <v>-0.39622641509434015</v>
      </c>
      <c r="K34" s="10">
        <f t="shared" ref="K34:N34" si="80">K20/K5</f>
        <v>-0.49429037520391539</v>
      </c>
      <c r="L34" s="10">
        <f t="shared" si="80"/>
        <v>-0.46020761245674729</v>
      </c>
      <c r="M34" s="10">
        <f t="shared" si="80"/>
        <v>-0.37878535031847138</v>
      </c>
      <c r="N34" s="10">
        <f t="shared" si="80"/>
        <v>-0.27750461538461552</v>
      </c>
      <c r="Q34" s="10">
        <f t="shared" ref="Q34:R34" si="81">Q20/Q5</f>
        <v>-1.5624999999999998</v>
      </c>
      <c r="R34" s="10">
        <f t="shared" si="81"/>
        <v>-1.8874598070739546</v>
      </c>
      <c r="S34" s="10">
        <f t="shared" ref="S34:T34" si="82">S20/S5</f>
        <v>-0.64407582938388619</v>
      </c>
      <c r="T34" s="10">
        <f t="shared" si="82"/>
        <v>-0.74652493867538827</v>
      </c>
      <c r="U34" s="10">
        <f>U20/U5</f>
        <v>-0.43593857437542988</v>
      </c>
      <c r="V34" s="10">
        <f t="shared" ref="V34:AF34" si="83">V20/V5</f>
        <v>-0.39199273138426743</v>
      </c>
      <c r="W34" s="10">
        <f t="shared" si="83"/>
        <v>-0.32314142034135568</v>
      </c>
      <c r="X34" s="10">
        <f t="shared" si="83"/>
        <v>-0.26094480283620974</v>
      </c>
      <c r="Y34" s="10">
        <f t="shared" si="83"/>
        <v>-0.21233170855957151</v>
      </c>
      <c r="Z34" s="10">
        <f t="shared" si="83"/>
        <v>-0.1027373493183055</v>
      </c>
      <c r="AA34" s="10">
        <f t="shared" si="83"/>
        <v>2.5621667577065219E-2</v>
      </c>
      <c r="AB34" s="10">
        <f t="shared" si="83"/>
        <v>9.21257295339106E-2</v>
      </c>
      <c r="AC34" s="10">
        <f t="shared" si="83"/>
        <v>0.12928755740231612</v>
      </c>
      <c r="AD34" s="10">
        <f t="shared" si="83"/>
        <v>0.15360947629611479</v>
      </c>
      <c r="AE34" s="10">
        <f t="shared" si="83"/>
        <v>0.16830618975249734</v>
      </c>
      <c r="AF34" s="10">
        <f t="shared" si="83"/>
        <v>0.17513515213143055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2025-04-24T13:16:39Z</dcterms:created>
  <dcterms:modified xsi:type="dcterms:W3CDTF">2025-09-23T19:14:02Z</dcterms:modified>
</cp:coreProperties>
</file>