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D286FF6-C7C5-4A30-A0C2-AC5E6F01C047}" xr6:coauthVersionLast="47" xr6:coauthVersionMax="47" xr10:uidLastSave="{00000000-0000-0000-0000-000000000000}"/>
  <bookViews>
    <workbookView xWindow="-108" yWindow="-108" windowWidth="23256" windowHeight="12576" activeTab="1" xr2:uid="{4E1C87E7-E382-44AE-8697-EE947DCD8A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5" i="2" l="1"/>
  <c r="Y5" i="2"/>
  <c r="Z14" i="2"/>
  <c r="Y14" i="2"/>
  <c r="N22" i="2"/>
  <c r="M22" i="2"/>
  <c r="L22" i="2"/>
  <c r="N21" i="2"/>
  <c r="N23" i="2" s="1"/>
  <c r="M21" i="2"/>
  <c r="M23" i="2" s="1"/>
  <c r="L21" i="2"/>
  <c r="L23" i="2" s="1"/>
  <c r="N20" i="2"/>
  <c r="M20" i="2"/>
  <c r="L20" i="2"/>
  <c r="X20" i="2" s="1"/>
  <c r="N18" i="2"/>
  <c r="N19" i="2" s="1"/>
  <c r="N33" i="2" s="1"/>
  <c r="M18" i="2"/>
  <c r="M19" i="2" s="1"/>
  <c r="M33" i="2" s="1"/>
  <c r="L18" i="2"/>
  <c r="L19" i="2" s="1"/>
  <c r="M15" i="2"/>
  <c r="M32" i="2" s="1"/>
  <c r="N14" i="2"/>
  <c r="N15" i="2" s="1"/>
  <c r="N32" i="2" s="1"/>
  <c r="M14" i="2"/>
  <c r="L14" i="2"/>
  <c r="L15" i="2" s="1"/>
  <c r="L32" i="2" s="1"/>
  <c r="L10" i="2"/>
  <c r="N10" i="2"/>
  <c r="N31" i="2" s="1"/>
  <c r="M10" i="2"/>
  <c r="M31" i="2" s="1"/>
  <c r="X10" i="2"/>
  <c r="L31" i="2"/>
  <c r="N9" i="2"/>
  <c r="N30" i="2" s="1"/>
  <c r="M9" i="2"/>
  <c r="M30" i="2" s="1"/>
  <c r="L9" i="2"/>
  <c r="L30" i="2" s="1"/>
  <c r="N8" i="2"/>
  <c r="M8" i="2"/>
  <c r="L8" i="2"/>
  <c r="L29" i="2" s="1"/>
  <c r="N34" i="2"/>
  <c r="L34" i="2"/>
  <c r="N29" i="2"/>
  <c r="M29" i="2"/>
  <c r="N28" i="2"/>
  <c r="M28" i="2"/>
  <c r="L28" i="2"/>
  <c r="N27" i="2"/>
  <c r="M27" i="2"/>
  <c r="L27" i="2"/>
  <c r="N26" i="2"/>
  <c r="M26" i="2"/>
  <c r="L26" i="2"/>
  <c r="N25" i="2"/>
  <c r="M25" i="2"/>
  <c r="L25" i="2"/>
  <c r="X26" i="2"/>
  <c r="X25" i="2"/>
  <c r="X17" i="2"/>
  <c r="X16" i="2"/>
  <c r="X13" i="2"/>
  <c r="X12" i="2"/>
  <c r="X11" i="2"/>
  <c r="X8" i="2"/>
  <c r="X29" i="2" s="1"/>
  <c r="X6" i="2"/>
  <c r="X7" i="2" s="1"/>
  <c r="X5" i="2"/>
  <c r="X4" i="2"/>
  <c r="X3" i="2"/>
  <c r="N7" i="2"/>
  <c r="M7" i="2"/>
  <c r="M6" i="2" s="1"/>
  <c r="L7" i="2"/>
  <c r="N6" i="2"/>
  <c r="L6" i="2"/>
  <c r="N5" i="2"/>
  <c r="M5" i="2"/>
  <c r="L5" i="2"/>
  <c r="N4" i="2"/>
  <c r="M4" i="2"/>
  <c r="L4" i="2"/>
  <c r="N3" i="2"/>
  <c r="M3" i="2"/>
  <c r="L3" i="2"/>
  <c r="K18" i="2"/>
  <c r="K14" i="2"/>
  <c r="K5" i="2"/>
  <c r="K27" i="2" s="1"/>
  <c r="AG22" i="2"/>
  <c r="AF22" i="2"/>
  <c r="AE22" i="2"/>
  <c r="AD22" i="2"/>
  <c r="AC22" i="2"/>
  <c r="AB22" i="2"/>
  <c r="AA22" i="2"/>
  <c r="Z22" i="2"/>
  <c r="Y22" i="2"/>
  <c r="X22" i="2"/>
  <c r="K22" i="2"/>
  <c r="D4" i="1"/>
  <c r="D5" i="1" s="1"/>
  <c r="D9" i="1" s="1"/>
  <c r="AK34" i="2"/>
  <c r="AK31" i="2"/>
  <c r="X27" i="2"/>
  <c r="V34" i="2"/>
  <c r="U34" i="2"/>
  <c r="T34" i="2"/>
  <c r="S34" i="2"/>
  <c r="V33" i="2"/>
  <c r="U33" i="2"/>
  <c r="T33" i="2"/>
  <c r="S33" i="2"/>
  <c r="V32" i="2"/>
  <c r="U32" i="2"/>
  <c r="T32" i="2"/>
  <c r="S32" i="2"/>
  <c r="V31" i="2"/>
  <c r="U31" i="2"/>
  <c r="T31" i="2"/>
  <c r="V30" i="2"/>
  <c r="U30" i="2"/>
  <c r="T30" i="2"/>
  <c r="V29" i="2"/>
  <c r="U29" i="2"/>
  <c r="T29" i="2"/>
  <c r="S29" i="2"/>
  <c r="V28" i="2"/>
  <c r="U28" i="2"/>
  <c r="T28" i="2"/>
  <c r="S28" i="2"/>
  <c r="V27" i="2"/>
  <c r="U27" i="2"/>
  <c r="T27" i="2"/>
  <c r="V26" i="2"/>
  <c r="U26" i="2"/>
  <c r="T26" i="2"/>
  <c r="V25" i="2"/>
  <c r="U25" i="2"/>
  <c r="T25" i="2"/>
  <c r="W31" i="2"/>
  <c r="W30" i="2"/>
  <c r="W27" i="2"/>
  <c r="W26" i="2"/>
  <c r="W25" i="2"/>
  <c r="W34" i="2"/>
  <c r="W33" i="2"/>
  <c r="W32" i="2"/>
  <c r="W29" i="2"/>
  <c r="W28" i="2"/>
  <c r="J27" i="2"/>
  <c r="I27" i="2"/>
  <c r="H27" i="2"/>
  <c r="G27" i="2"/>
  <c r="K26" i="2"/>
  <c r="J26" i="2"/>
  <c r="I26" i="2"/>
  <c r="H26" i="2"/>
  <c r="G26" i="2"/>
  <c r="J25" i="2"/>
  <c r="I25" i="2"/>
  <c r="H25" i="2"/>
  <c r="G25" i="2"/>
  <c r="K25" i="2"/>
  <c r="J34" i="2"/>
  <c r="I34" i="2"/>
  <c r="H34" i="2"/>
  <c r="G34" i="2"/>
  <c r="F34" i="2"/>
  <c r="E34" i="2"/>
  <c r="D34" i="2"/>
  <c r="C34" i="2"/>
  <c r="J33" i="2"/>
  <c r="I33" i="2"/>
  <c r="H33" i="2"/>
  <c r="G33" i="2"/>
  <c r="F33" i="2"/>
  <c r="E33" i="2"/>
  <c r="D33" i="2"/>
  <c r="C33" i="2"/>
  <c r="J32" i="2"/>
  <c r="I32" i="2"/>
  <c r="H32" i="2"/>
  <c r="G32" i="2"/>
  <c r="F32" i="2"/>
  <c r="E32" i="2"/>
  <c r="D32" i="2"/>
  <c r="C32" i="2"/>
  <c r="J31" i="2"/>
  <c r="I31" i="2"/>
  <c r="H31" i="2"/>
  <c r="G31" i="2"/>
  <c r="J30" i="2"/>
  <c r="I30" i="2"/>
  <c r="H30" i="2"/>
  <c r="G30" i="2"/>
  <c r="J29" i="2"/>
  <c r="I29" i="2"/>
  <c r="H29" i="2"/>
  <c r="G29" i="2"/>
  <c r="F29" i="2"/>
  <c r="E29" i="2"/>
  <c r="D29" i="2"/>
  <c r="C29" i="2"/>
  <c r="J28" i="2"/>
  <c r="I28" i="2"/>
  <c r="H28" i="2"/>
  <c r="G28" i="2"/>
  <c r="F28" i="2"/>
  <c r="E28" i="2"/>
  <c r="D28" i="2"/>
  <c r="C28" i="2"/>
  <c r="K31" i="2"/>
  <c r="K30" i="2"/>
  <c r="K29" i="2"/>
  <c r="K28" i="2"/>
  <c r="F18" i="2"/>
  <c r="F14" i="2"/>
  <c r="F5" i="2"/>
  <c r="F7" i="2" s="1"/>
  <c r="J18" i="2"/>
  <c r="J14" i="2"/>
  <c r="J5" i="2"/>
  <c r="J7" i="2" s="1"/>
  <c r="E18" i="2"/>
  <c r="E14" i="2"/>
  <c r="E5" i="2"/>
  <c r="E7" i="2" s="1"/>
  <c r="E15" i="2" s="1"/>
  <c r="E19" i="2" s="1"/>
  <c r="E21" i="2" s="1"/>
  <c r="E23" i="2" s="1"/>
  <c r="D18" i="2"/>
  <c r="D14" i="2"/>
  <c r="D5" i="2"/>
  <c r="D7" i="2" s="1"/>
  <c r="D15" i="2" s="1"/>
  <c r="D19" i="2" s="1"/>
  <c r="D21" i="2" s="1"/>
  <c r="D23" i="2" s="1"/>
  <c r="I18" i="2"/>
  <c r="I14" i="2"/>
  <c r="I7" i="2"/>
  <c r="I15" i="2" s="1"/>
  <c r="I19" i="2" s="1"/>
  <c r="I21" i="2" s="1"/>
  <c r="I23" i="2" s="1"/>
  <c r="I5" i="2"/>
  <c r="H18" i="2"/>
  <c r="H14" i="2"/>
  <c r="H5" i="2"/>
  <c r="H7" i="2" s="1"/>
  <c r="H15" i="2" s="1"/>
  <c r="H19" i="2" s="1"/>
  <c r="H21" i="2" s="1"/>
  <c r="H23" i="2" s="1"/>
  <c r="C7" i="2"/>
  <c r="G7" i="2"/>
  <c r="C18" i="2"/>
  <c r="C14" i="2"/>
  <c r="C5" i="2"/>
  <c r="G18" i="2"/>
  <c r="G14" i="2"/>
  <c r="G5" i="2"/>
  <c r="K7" i="2"/>
  <c r="S18" i="2"/>
  <c r="S14" i="2"/>
  <c r="S5" i="2"/>
  <c r="S7" i="2" s="1"/>
  <c r="W18" i="2"/>
  <c r="V18" i="2"/>
  <c r="U18" i="2"/>
  <c r="T18" i="2"/>
  <c r="T14" i="2"/>
  <c r="T5" i="2"/>
  <c r="T7" i="2" s="1"/>
  <c r="U14" i="2"/>
  <c r="U5" i="2"/>
  <c r="U7" i="2" s="1"/>
  <c r="V14" i="2"/>
  <c r="V5" i="2"/>
  <c r="V7" i="2" s="1"/>
  <c r="W14" i="2"/>
  <c r="W5" i="2"/>
  <c r="W7" i="2" s="1"/>
  <c r="D8" i="1"/>
  <c r="D7" i="1"/>
  <c r="D6" i="1"/>
  <c r="F3" i="1"/>
  <c r="Z27" i="2" l="1"/>
  <c r="Z7" i="2"/>
  <c r="Y7" i="2"/>
  <c r="M34" i="2"/>
  <c r="L33" i="2"/>
  <c r="X18" i="2"/>
  <c r="Y18" i="2" s="1"/>
  <c r="Z18" i="2" s="1"/>
  <c r="AA18" i="2" s="1"/>
  <c r="AB18" i="2" s="1"/>
  <c r="AC18" i="2" s="1"/>
  <c r="X9" i="2"/>
  <c r="X14" i="2" s="1"/>
  <c r="AA14" i="2" s="1"/>
  <c r="AB14" i="2" s="1"/>
  <c r="AC14" i="2" s="1"/>
  <c r="AD14" i="2" s="1"/>
  <c r="AE14" i="2" s="1"/>
  <c r="AF14" i="2" s="1"/>
  <c r="AG14" i="2" s="1"/>
  <c r="X28" i="2"/>
  <c r="Z29" i="2"/>
  <c r="Y27" i="2"/>
  <c r="Y29" i="2"/>
  <c r="K15" i="2"/>
  <c r="K32" i="2" s="1"/>
  <c r="AA5" i="2"/>
  <c r="AA7" i="2" s="1"/>
  <c r="F15" i="2"/>
  <c r="F19" i="2" s="1"/>
  <c r="F21" i="2" s="1"/>
  <c r="F23" i="2" s="1"/>
  <c r="J15" i="2"/>
  <c r="J19" i="2" s="1"/>
  <c r="J21" i="2" s="1"/>
  <c r="J23" i="2" s="1"/>
  <c r="C15" i="2"/>
  <c r="C19" i="2" s="1"/>
  <c r="C21" i="2" s="1"/>
  <c r="C23" i="2" s="1"/>
  <c r="G15" i="2"/>
  <c r="G19" i="2" s="1"/>
  <c r="G21" i="2" s="1"/>
  <c r="G23" i="2" s="1"/>
  <c r="W15" i="2"/>
  <c r="W19" i="2" s="1"/>
  <c r="W21" i="2" s="1"/>
  <c r="W23" i="2" s="1"/>
  <c r="S15" i="2"/>
  <c r="S19" i="2" s="1"/>
  <c r="S21" i="2" s="1"/>
  <c r="S23" i="2" s="1"/>
  <c r="T15" i="2"/>
  <c r="T19" i="2" s="1"/>
  <c r="U15" i="2"/>
  <c r="V15" i="2"/>
  <c r="K19" i="2" l="1"/>
  <c r="X15" i="2"/>
  <c r="X19" i="2" s="1"/>
  <c r="X21" i="2" s="1"/>
  <c r="X34" i="2" s="1"/>
  <c r="Z15" i="2"/>
  <c r="Z28" i="2"/>
  <c r="AA29" i="2"/>
  <c r="AA27" i="2"/>
  <c r="Y15" i="2"/>
  <c r="Y28" i="2"/>
  <c r="K21" i="2"/>
  <c r="K33" i="2"/>
  <c r="AD18" i="2"/>
  <c r="Y6" i="2"/>
  <c r="Z6" i="2"/>
  <c r="AB5" i="2"/>
  <c r="AB7" i="2" s="1"/>
  <c r="V19" i="2"/>
  <c r="V21" i="2" s="1"/>
  <c r="V23" i="2" s="1"/>
  <c r="U19" i="2"/>
  <c r="U21" i="2" s="1"/>
  <c r="U23" i="2" s="1"/>
  <c r="T21" i="2"/>
  <c r="T23" i="2" s="1"/>
  <c r="X33" i="2" l="1"/>
  <c r="X23" i="2"/>
  <c r="X32" i="2"/>
  <c r="Z32" i="2"/>
  <c r="Z19" i="2"/>
  <c r="AA15" i="2"/>
  <c r="AA28" i="2"/>
  <c r="AB29" i="2"/>
  <c r="AB27" i="2"/>
  <c r="Y19" i="2"/>
  <c r="Y20" i="2" s="1"/>
  <c r="Y32" i="2"/>
  <c r="K23" i="2"/>
  <c r="K34" i="2"/>
  <c r="AE18" i="2"/>
  <c r="AC5" i="2"/>
  <c r="AC7" i="2" s="1"/>
  <c r="AA6" i="2"/>
  <c r="Y21" i="2" l="1"/>
  <c r="Y33" i="2"/>
  <c r="AC27" i="2"/>
  <c r="AC29" i="2"/>
  <c r="AB15" i="2"/>
  <c r="AB28" i="2"/>
  <c r="AA32" i="2"/>
  <c r="AA19" i="2"/>
  <c r="AA20" i="2" s="1"/>
  <c r="Z20" i="2"/>
  <c r="Z33" i="2" s="1"/>
  <c r="AF18" i="2"/>
  <c r="AB6" i="2"/>
  <c r="AC28" i="2"/>
  <c r="AD5" i="2"/>
  <c r="AD7" i="2" s="1"/>
  <c r="AA21" i="2" l="1"/>
  <c r="AA33" i="2"/>
  <c r="AB32" i="2"/>
  <c r="AB19" i="2"/>
  <c r="AD29" i="2"/>
  <c r="AD27" i="2"/>
  <c r="Z21" i="2"/>
  <c r="Y34" i="2"/>
  <c r="Y23" i="2"/>
  <c r="AG18" i="2"/>
  <c r="AC6" i="2"/>
  <c r="AC15" i="2"/>
  <c r="AE5" i="2"/>
  <c r="AE7" i="2" s="1"/>
  <c r="Z23" i="2" l="1"/>
  <c r="Z34" i="2"/>
  <c r="AC32" i="2"/>
  <c r="AC19" i="2"/>
  <c r="AB20" i="2"/>
  <c r="AB33" i="2" s="1"/>
  <c r="AD15" i="2"/>
  <c r="AD28" i="2"/>
  <c r="AE29" i="2"/>
  <c r="AE27" i="2"/>
  <c r="AA23" i="2"/>
  <c r="AA34" i="2"/>
  <c r="AD6" i="2"/>
  <c r="AF5" i="2"/>
  <c r="AF7" i="2" s="1"/>
  <c r="AB21" i="2" l="1"/>
  <c r="AD32" i="2"/>
  <c r="AD19" i="2"/>
  <c r="AC20" i="2"/>
  <c r="AC33" i="2" s="1"/>
  <c r="AE15" i="2"/>
  <c r="AE28" i="2"/>
  <c r="AF29" i="2"/>
  <c r="AF27" i="2"/>
  <c r="AE6" i="2"/>
  <c r="AG5" i="2"/>
  <c r="AG7" i="2" s="1"/>
  <c r="AF6" i="2"/>
  <c r="AE32" i="2" l="1"/>
  <c r="AE19" i="2"/>
  <c r="AD20" i="2"/>
  <c r="AD33" i="2" s="1"/>
  <c r="AB23" i="2"/>
  <c r="AB34" i="2"/>
  <c r="AF15" i="2"/>
  <c r="AF28" i="2"/>
  <c r="AC21" i="2"/>
  <c r="AG28" i="2"/>
  <c r="AG29" i="2"/>
  <c r="AG27" i="2"/>
  <c r="AG6" i="2" l="1"/>
  <c r="AC23" i="2"/>
  <c r="AC34" i="2"/>
  <c r="AF32" i="2"/>
  <c r="AF19" i="2"/>
  <c r="AF20" i="2" s="1"/>
  <c r="AG15" i="2"/>
  <c r="AD21" i="2"/>
  <c r="AE20" i="2"/>
  <c r="AE33" i="2" s="1"/>
  <c r="AD23" i="2" l="1"/>
  <c r="AD34" i="2"/>
  <c r="AE21" i="2"/>
  <c r="AG32" i="2"/>
  <c r="AG19" i="2"/>
  <c r="AG20" i="2" s="1"/>
  <c r="AF21" i="2"/>
  <c r="AF33" i="2"/>
  <c r="AE23" i="2" l="1"/>
  <c r="AE34" i="2"/>
  <c r="AF23" i="2"/>
  <c r="AF34" i="2"/>
  <c r="AG21" i="2"/>
  <c r="AG33" i="2"/>
  <c r="AG23" i="2" l="1"/>
  <c r="AH21" i="2"/>
  <c r="AI21" i="2" s="1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AK30" i="2" s="1"/>
  <c r="AK32" i="2" s="1"/>
  <c r="AK33" i="2" s="1"/>
  <c r="AK35" i="2" s="1"/>
  <c r="AG34" i="2"/>
</calcChain>
</file>

<file path=xl/sharedStrings.xml><?xml version="1.0" encoding="utf-8"?>
<sst xmlns="http://schemas.openxmlformats.org/spreadsheetml/2006/main" count="67" uniqueCount="62">
  <si>
    <t>TTWO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</si>
  <si>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</si>
  <si>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</si>
  <si>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</si>
  <si>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</si>
  <si>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</si>
  <si>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</si>
  <si>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</si>
  <si>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</si>
  <si>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</si>
  <si>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</si>
  <si>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Game revenue</t>
  </si>
  <si>
    <t>Ad revenue</t>
  </si>
  <si>
    <t>Total revenue</t>
  </si>
  <si>
    <t>Cost of sales</t>
  </si>
  <si>
    <t>Gross profit</t>
  </si>
  <si>
    <t>S&amp;M</t>
  </si>
  <si>
    <t>G&amp;A</t>
  </si>
  <si>
    <t>R&amp;D</t>
  </si>
  <si>
    <t>D&amp;A</t>
  </si>
  <si>
    <t>Impairment</t>
  </si>
  <si>
    <t>Restructuring</t>
  </si>
  <si>
    <t>Total operating expenses</t>
  </si>
  <si>
    <t>Net finance expense</t>
  </si>
  <si>
    <t>Q425</t>
  </si>
  <si>
    <t>Operating profit</t>
  </si>
  <si>
    <t>Pretax profit</t>
  </si>
  <si>
    <t>Taxes</t>
  </si>
  <si>
    <t>Net profit</t>
  </si>
  <si>
    <t>EPS</t>
  </si>
  <si>
    <t>Interest expense</t>
  </si>
  <si>
    <t>Finance expense</t>
  </si>
  <si>
    <t>Q124</t>
  </si>
  <si>
    <t>Q224</t>
  </si>
  <si>
    <t>Q324</t>
  </si>
  <si>
    <t>Q424</t>
  </si>
  <si>
    <t>Q125</t>
  </si>
  <si>
    <t>Q225</t>
  </si>
  <si>
    <t>Q325</t>
  </si>
  <si>
    <t>Q126</t>
  </si>
  <si>
    <t>Q226</t>
  </si>
  <si>
    <t>Q326</t>
  </si>
  <si>
    <t>Q426</t>
  </si>
  <si>
    <t>Game revenue y/y</t>
  </si>
  <si>
    <t>Ad revenue y/y</t>
  </si>
  <si>
    <t>Revenue y/y</t>
  </si>
  <si>
    <t>Gross Margin</t>
  </si>
  <si>
    <t>S&amp;M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</si>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</sst>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1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0</xdr:row>
      <xdr:rowOff>7620</xdr:rowOff>
    </xdr:from>
    <xdr:to>
      <xdr:col>10</xdr:col>
      <xdr:colOff>22860</xdr:colOff>
      <xdr:row>41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7DB976E-1776-6576-6DAF-40785B641D8A}"/>
            </a:ext>
          </a:extLst>
        </xdr:cNvPr>
        <xdr:cNvCxnSpPr/>
      </xdr:nvCxnSpPr>
      <xdr:spPr>
        <a:xfrm>
          <a:off x="6995160" y="7620"/>
          <a:ext cx="0" cy="7597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22860</xdr:colOff>
      <xdr:row>0</xdr:row>
      <xdr:rowOff>7620</xdr:rowOff>
    </xdr:from>
    <xdr:to>
      <xdr:col>23</xdr:col>
      <xdr:colOff>22860</xdr:colOff>
      <xdr:row>39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DFD7B83-D6D6-FFEC-ECC9-9A29F128453F}"/>
            </a:ext>
          </a:extLst>
        </xdr:cNvPr>
        <xdr:cNvCxnSpPr/>
      </xdr:nvCxnSpPr>
      <xdr:spPr>
        <a:xfrm>
          <a:off x="1572006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F0880-1223-42DD-8AC1-D1A0E99578BB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249.98</v>
      </c>
      <c r="E3" s="4">
        <v>45909</v>
      </c>
      <c r="F3" s="4">
        <f ca="1">TODAY()</f>
        <v>45909</v>
      </c>
      <c r="G3" s="4">
        <v>45967</v>
      </c>
    </row>
    <row r="4" spans="2:7" x14ac:dyDescent="0.3">
      <c r="C4" s="1" t="s">
        <v>2</v>
      </c>
      <c r="D4" s="6">
        <f>184.5</f>
        <v>184.5</v>
      </c>
      <c r="E4" s="3" t="s">
        <v>36</v>
      </c>
    </row>
    <row r="5" spans="2:7" x14ac:dyDescent="0.3">
      <c r="C5" s="1" t="s">
        <v>3</v>
      </c>
      <c r="D5" s="6">
        <f>D3*D4</f>
        <v>46121.31</v>
      </c>
    </row>
    <row r="6" spans="2:7" x14ac:dyDescent="0.3">
      <c r="C6" s="1" t="s">
        <v>4</v>
      </c>
      <c r="D6" s="6">
        <f>1456.1+9.4</f>
        <v>1465.5</v>
      </c>
      <c r="E6" s="3" t="s">
        <v>24</v>
      </c>
    </row>
    <row r="7" spans="2:7" x14ac:dyDescent="0.3">
      <c r="C7" s="1" t="s">
        <v>5</v>
      </c>
      <c r="D7" s="6">
        <f>1148.5+2512.6</f>
        <v>3661.1</v>
      </c>
      <c r="E7" s="3" t="s">
        <v>24</v>
      </c>
    </row>
    <row r="8" spans="2:7" x14ac:dyDescent="0.3">
      <c r="C8" s="1" t="s">
        <v>6</v>
      </c>
      <c r="D8" s="6">
        <f>D6-D7</f>
        <v>-2195.6</v>
      </c>
    </row>
    <row r="9" spans="2:7" x14ac:dyDescent="0.3">
      <c r="C9" s="1" t="s">
        <v>7</v>
      </c>
      <c r="D9" s="6">
        <f>D5-D8</f>
        <v>48316.909999999996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33550-BAD9-4A45-9FE2-1AAD49518AF3}">
  <dimension ref="B1:EI36"/>
  <sheetViews>
    <sheetView tabSelected="1" workbookViewId="0">
      <pane xSplit="2" ySplit="2" topLeftCell="Z13" activePane="bottomRight" state="frozen"/>
      <selection pane="topRight" activeCell="C1" sqref="C1"/>
      <selection pane="bottomLeft" activeCell="A3" sqref="A3"/>
      <selection pane="bottomRight" activeCell="AJ13" sqref="AJ13"/>
    </sheetView>
  </sheetViews>
  <sheetFormatPr defaultRowHeight="14.4" x14ac:dyDescent="0.3"/>
  <cols>
    <col min="1" max="1" width="8.88671875" style="1"/>
    <col min="2" max="2" width="21.6640625" style="1" bestFit="1" customWidth="1"/>
    <col min="3" max="14" width="10.5546875" style="1" bestFit="1" customWidth="1"/>
    <col min="15" max="16" width="8.88671875" style="1"/>
    <col min="17" max="33" width="10.5546875" style="1" bestFit="1" customWidth="1"/>
    <col min="34" max="35" width="8.88671875" style="1"/>
    <col min="36" max="36" width="12" style="1" bestFit="1" customWidth="1"/>
    <col min="37" max="37" width="16.44140625" style="1" bestFit="1" customWidth="1"/>
    <col min="38" max="16384" width="8.88671875" style="1"/>
  </cols>
  <sheetData>
    <row r="1" spans="2:33" x14ac:dyDescent="0.3">
      <c r="C1" s="7">
        <v>45107</v>
      </c>
      <c r="D1" s="7">
        <v>45199</v>
      </c>
      <c r="E1" s="7">
        <v>45291</v>
      </c>
      <c r="F1" s="7">
        <v>45382</v>
      </c>
      <c r="G1" s="7">
        <v>45473</v>
      </c>
      <c r="H1" s="7">
        <v>45565</v>
      </c>
      <c r="I1" s="7">
        <v>45657</v>
      </c>
      <c r="J1" s="7">
        <v>45747</v>
      </c>
      <c r="K1" s="7">
        <v>45838</v>
      </c>
      <c r="L1" s="7">
        <v>45930</v>
      </c>
      <c r="M1" s="7">
        <v>46022</v>
      </c>
      <c r="N1" s="7">
        <v>46112</v>
      </c>
      <c r="Q1" s="7">
        <v>43555</v>
      </c>
      <c r="R1" s="7">
        <v>43921</v>
      </c>
      <c r="S1" s="7">
        <v>44286</v>
      </c>
      <c r="T1" s="7">
        <v>44651</v>
      </c>
      <c r="U1" s="7">
        <v>45016</v>
      </c>
      <c r="V1" s="7">
        <v>45382</v>
      </c>
      <c r="W1" s="7">
        <v>45747</v>
      </c>
      <c r="X1" s="7">
        <v>46112</v>
      </c>
      <c r="Y1" s="7">
        <v>46477</v>
      </c>
      <c r="Z1" s="7">
        <v>46843</v>
      </c>
      <c r="AA1" s="7">
        <v>47208</v>
      </c>
      <c r="AB1" s="7">
        <v>47573</v>
      </c>
      <c r="AC1" s="7">
        <v>47938</v>
      </c>
      <c r="AD1" s="7">
        <v>48304</v>
      </c>
      <c r="AE1" s="7">
        <v>48669</v>
      </c>
      <c r="AF1" s="7">
        <v>49034</v>
      </c>
      <c r="AG1" s="7">
        <v>49399</v>
      </c>
    </row>
    <row r="2" spans="2:33" x14ac:dyDescent="0.3">
      <c r="C2" s="10" t="s">
        <v>32</v>
      </c>
      <c r="D2" s="10" t="s">
        <v>33</v>
      </c>
      <c r="E2" s="10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24</v>
      </c>
      <c r="K2" s="10" t="s">
        <v>39</v>
      </c>
      <c r="L2" s="10" t="s">
        <v>40</v>
      </c>
      <c r="M2" s="10" t="s">
        <v>41</v>
      </c>
      <c r="N2" s="10" t="s">
        <v>42</v>
      </c>
      <c r="Q2" s="1">
        <v>2019</v>
      </c>
      <c r="R2" s="1">
        <v>2020</v>
      </c>
      <c r="S2" s="1">
        <v>2021</v>
      </c>
      <c r="T2" s="1">
        <v>2022</v>
      </c>
      <c r="U2" s="1">
        <v>2023</v>
      </c>
      <c r="V2" s="1">
        <v>2024</v>
      </c>
      <c r="W2" s="1">
        <v>2025</v>
      </c>
      <c r="X2" s="1">
        <v>2026</v>
      </c>
      <c r="Y2" s="1">
        <v>2027</v>
      </c>
      <c r="Z2" s="1">
        <v>2028</v>
      </c>
      <c r="AA2" s="1">
        <v>2029</v>
      </c>
      <c r="AB2" s="1">
        <v>2030</v>
      </c>
      <c r="AC2" s="1">
        <v>2031</v>
      </c>
      <c r="AD2" s="1">
        <v>2032</v>
      </c>
      <c r="AE2" s="1">
        <v>2033</v>
      </c>
      <c r="AF2" s="1">
        <v>2034</v>
      </c>
      <c r="AG2" s="1">
        <v>2035</v>
      </c>
    </row>
    <row r="3" spans="2:33" x14ac:dyDescent="0.3">
      <c r="B3" s="1" t="s">
        <v>11</v>
      </c>
      <c r="C3" s="6">
        <v>1096.0999999999999</v>
      </c>
      <c r="D3" s="6">
        <v>1128.5999999999999</v>
      </c>
      <c r="E3" s="6">
        <v>1208.2</v>
      </c>
      <c r="F3" s="6">
        <v>1260.5999999999999</v>
      </c>
      <c r="G3" s="6">
        <v>1216.7</v>
      </c>
      <c r="H3" s="6">
        <v>1233.9000000000001</v>
      </c>
      <c r="I3" s="6">
        <v>1243.0999999999999</v>
      </c>
      <c r="J3" s="6">
        <v>1473.8</v>
      </c>
      <c r="K3" s="6">
        <v>1382.5</v>
      </c>
      <c r="L3" s="6">
        <f>H3*1.13</f>
        <v>1394.307</v>
      </c>
      <c r="M3" s="6">
        <f>I3*1.12</f>
        <v>1392.2719999999999</v>
      </c>
      <c r="N3" s="6">
        <f>J3*1.02</f>
        <v>1503.2760000000001</v>
      </c>
      <c r="S3" s="6">
        <v>3319.7</v>
      </c>
      <c r="T3" s="6">
        <v>3423.2</v>
      </c>
      <c r="U3" s="6">
        <v>4735.6000000000004</v>
      </c>
      <c r="V3" s="6">
        <v>4693.5</v>
      </c>
      <c r="W3" s="6">
        <v>5167.5</v>
      </c>
      <c r="X3" s="6">
        <f>SUM(K3:N3)</f>
        <v>5672.3549999999996</v>
      </c>
      <c r="Y3" s="6"/>
      <c r="Z3" s="6"/>
      <c r="AA3" s="6"/>
      <c r="AB3" s="6"/>
      <c r="AC3" s="6"/>
      <c r="AD3" s="6"/>
      <c r="AE3" s="6"/>
      <c r="AF3" s="6"/>
      <c r="AG3" s="6"/>
    </row>
    <row r="4" spans="2:33" x14ac:dyDescent="0.3">
      <c r="B4" s="1" t="s">
        <v>12</v>
      </c>
      <c r="C4" s="6">
        <v>188.6</v>
      </c>
      <c r="D4" s="6">
        <v>170.6</v>
      </c>
      <c r="E4" s="6">
        <v>158.1</v>
      </c>
      <c r="F4" s="6">
        <v>138.80000000000001</v>
      </c>
      <c r="G4" s="6">
        <v>121.5</v>
      </c>
      <c r="H4" s="6">
        <v>119.2</v>
      </c>
      <c r="I4" s="6">
        <v>116.7</v>
      </c>
      <c r="J4" s="6">
        <v>108.7</v>
      </c>
      <c r="K4" s="6">
        <v>121.3</v>
      </c>
      <c r="L4" s="6">
        <f>H4*1.05</f>
        <v>125.16000000000001</v>
      </c>
      <c r="M4" s="6">
        <f t="shared" ref="M4" si="0">I4*1.05</f>
        <v>122.53500000000001</v>
      </c>
      <c r="N4" s="6">
        <f>J4*1.2</f>
        <v>130.44</v>
      </c>
      <c r="S4" s="6">
        <v>53.1</v>
      </c>
      <c r="T4" s="6">
        <v>81.599999999999994</v>
      </c>
      <c r="U4" s="6">
        <v>614.29999999999995</v>
      </c>
      <c r="V4" s="6">
        <v>656.1</v>
      </c>
      <c r="W4" s="6">
        <v>466.1</v>
      </c>
      <c r="X4" s="6">
        <f>SUM(K4:N4)</f>
        <v>499.435</v>
      </c>
      <c r="Y4" s="6"/>
      <c r="Z4" s="6"/>
      <c r="AA4" s="6"/>
      <c r="AB4" s="6"/>
      <c r="AC4" s="6"/>
      <c r="AD4" s="6"/>
      <c r="AE4" s="6"/>
      <c r="AF4" s="6"/>
      <c r="AG4" s="6"/>
    </row>
    <row r="5" spans="2:33" s="2" customFormat="1" x14ac:dyDescent="0.3">
      <c r="B5" s="2" t="s">
        <v>13</v>
      </c>
      <c r="C5" s="9">
        <f t="shared" ref="C5:K5" si="1">C3+C4</f>
        <v>1284.6999999999998</v>
      </c>
      <c r="D5" s="9">
        <f t="shared" si="1"/>
        <v>1299.1999999999998</v>
      </c>
      <c r="E5" s="9">
        <f t="shared" si="1"/>
        <v>1366.3</v>
      </c>
      <c r="F5" s="9">
        <f t="shared" si="1"/>
        <v>1399.3999999999999</v>
      </c>
      <c r="G5" s="9">
        <f t="shared" si="1"/>
        <v>1338.2</v>
      </c>
      <c r="H5" s="9">
        <f t="shared" si="1"/>
        <v>1353.1000000000001</v>
      </c>
      <c r="I5" s="9">
        <f t="shared" si="1"/>
        <v>1359.8</v>
      </c>
      <c r="J5" s="9">
        <f t="shared" si="1"/>
        <v>1582.5</v>
      </c>
      <c r="K5" s="9">
        <f t="shared" si="1"/>
        <v>1503.8</v>
      </c>
      <c r="L5" s="9">
        <f t="shared" ref="L5" si="2">L3+L4</f>
        <v>1519.4670000000001</v>
      </c>
      <c r="M5" s="9">
        <f t="shared" ref="M5" si="3">M3+M4</f>
        <v>1514.807</v>
      </c>
      <c r="N5" s="9">
        <f t="shared" ref="N5" si="4">N3+N4</f>
        <v>1633.7160000000001</v>
      </c>
      <c r="S5" s="9">
        <f t="shared" ref="S5:X5" si="5">S3+S4</f>
        <v>3372.7999999999997</v>
      </c>
      <c r="T5" s="9">
        <f t="shared" si="5"/>
        <v>3504.7999999999997</v>
      </c>
      <c r="U5" s="9">
        <f t="shared" si="5"/>
        <v>5349.9000000000005</v>
      </c>
      <c r="V5" s="9">
        <f t="shared" si="5"/>
        <v>5349.6</v>
      </c>
      <c r="W5" s="9">
        <f t="shared" si="5"/>
        <v>5633.6</v>
      </c>
      <c r="X5" s="9">
        <f t="shared" si="5"/>
        <v>6171.79</v>
      </c>
      <c r="Y5" s="9">
        <f>X5*1.7</f>
        <v>10492.043</v>
      </c>
      <c r="Z5" s="9">
        <f>Y5*0.93</f>
        <v>9757.5999900000006</v>
      </c>
      <c r="AA5" s="9">
        <f>Z5*1.02</f>
        <v>9952.751989800001</v>
      </c>
      <c r="AB5" s="9">
        <f>AA5*1.01</f>
        <v>10052.279509698001</v>
      </c>
      <c r="AC5" s="9">
        <f t="shared" ref="AC5:AG5" si="6">AB5*1.01</f>
        <v>10152.802304794981</v>
      </c>
      <c r="AD5" s="9">
        <f t="shared" si="6"/>
        <v>10254.33032784293</v>
      </c>
      <c r="AE5" s="9">
        <f t="shared" si="6"/>
        <v>10356.87363112136</v>
      </c>
      <c r="AF5" s="9">
        <f t="shared" si="6"/>
        <v>10460.442367432574</v>
      </c>
      <c r="AG5" s="9">
        <f t="shared" si="6"/>
        <v>10565.046791106899</v>
      </c>
    </row>
    <row r="6" spans="2:33" x14ac:dyDescent="0.3">
      <c r="B6" s="1" t="s">
        <v>14</v>
      </c>
      <c r="C6" s="6">
        <v>605.5</v>
      </c>
      <c r="D6" s="6">
        <v>883.8</v>
      </c>
      <c r="E6" s="6">
        <v>688.2</v>
      </c>
      <c r="F6" s="6">
        <v>930.3</v>
      </c>
      <c r="G6" s="6">
        <v>567.1</v>
      </c>
      <c r="H6" s="6">
        <v>625.20000000000005</v>
      </c>
      <c r="I6" s="6">
        <v>599.9</v>
      </c>
      <c r="J6" s="6">
        <v>779.2</v>
      </c>
      <c r="K6" s="6">
        <v>558.79999999999995</v>
      </c>
      <c r="L6" s="6">
        <f>L5-L7</f>
        <v>653.37081000000012</v>
      </c>
      <c r="M6" s="6">
        <f t="shared" ref="M6:N6" si="7">M5-M7</f>
        <v>651.36701000000005</v>
      </c>
      <c r="N6" s="6">
        <f t="shared" si="7"/>
        <v>702.49788000000012</v>
      </c>
      <c r="S6" s="6">
        <v>1535.1</v>
      </c>
      <c r="T6" s="6">
        <v>1535.4</v>
      </c>
      <c r="U6" s="6">
        <v>3064.6</v>
      </c>
      <c r="V6" s="6">
        <v>3107.8</v>
      </c>
      <c r="W6" s="6">
        <v>2571.4</v>
      </c>
      <c r="X6" s="6">
        <f>SUM(K6:N6)</f>
        <v>2566.0357000000004</v>
      </c>
      <c r="Y6" s="6">
        <f>Y5-Y7</f>
        <v>4406.6580600000007</v>
      </c>
      <c r="Z6" s="6">
        <f t="shared" ref="Z6:AG6" si="8">Z5-Z7</f>
        <v>4098.1919958000008</v>
      </c>
      <c r="AA6" s="6">
        <f t="shared" si="8"/>
        <v>4180.1558357160011</v>
      </c>
      <c r="AB6" s="6">
        <f t="shared" si="8"/>
        <v>4221.9573940731607</v>
      </c>
      <c r="AC6" s="6">
        <f t="shared" si="8"/>
        <v>4264.1769680138923</v>
      </c>
      <c r="AD6" s="6">
        <f t="shared" si="8"/>
        <v>4306.8187376940314</v>
      </c>
      <c r="AE6" s="6">
        <f t="shared" si="8"/>
        <v>4349.8869250709713</v>
      </c>
      <c r="AF6" s="6">
        <f t="shared" si="8"/>
        <v>4393.3857943216817</v>
      </c>
      <c r="AG6" s="6">
        <f t="shared" si="8"/>
        <v>4437.3196522648977</v>
      </c>
    </row>
    <row r="7" spans="2:33" s="2" customFormat="1" x14ac:dyDescent="0.3">
      <c r="B7" s="2" t="s">
        <v>15</v>
      </c>
      <c r="C7" s="9">
        <f t="shared" ref="C7:K7" si="9">C5-C6</f>
        <v>679.19999999999982</v>
      </c>
      <c r="D7" s="9">
        <f t="shared" si="9"/>
        <v>415.39999999999986</v>
      </c>
      <c r="E7" s="9">
        <f t="shared" si="9"/>
        <v>678.09999999999991</v>
      </c>
      <c r="F7" s="9">
        <f t="shared" si="9"/>
        <v>469.09999999999991</v>
      </c>
      <c r="G7" s="9">
        <f t="shared" si="9"/>
        <v>771.1</v>
      </c>
      <c r="H7" s="9">
        <f t="shared" si="9"/>
        <v>727.90000000000009</v>
      </c>
      <c r="I7" s="9">
        <f t="shared" si="9"/>
        <v>759.9</v>
      </c>
      <c r="J7" s="9">
        <f t="shared" si="9"/>
        <v>803.3</v>
      </c>
      <c r="K7" s="9">
        <f t="shared" si="9"/>
        <v>945</v>
      </c>
      <c r="L7" s="9">
        <f>L5*0.57</f>
        <v>866.09618999999998</v>
      </c>
      <c r="M7" s="9">
        <f t="shared" ref="M7:N7" si="10">M5*0.57</f>
        <v>863.43998999999997</v>
      </c>
      <c r="N7" s="9">
        <f t="shared" si="10"/>
        <v>931.21812</v>
      </c>
      <c r="S7" s="9">
        <f t="shared" ref="S7:X7" si="11">S5-S6</f>
        <v>1837.6999999999998</v>
      </c>
      <c r="T7" s="9">
        <f t="shared" si="11"/>
        <v>1969.3999999999996</v>
      </c>
      <c r="U7" s="9">
        <f t="shared" si="11"/>
        <v>2285.3000000000006</v>
      </c>
      <c r="V7" s="9">
        <f t="shared" si="11"/>
        <v>2241.8000000000002</v>
      </c>
      <c r="W7" s="9">
        <f t="shared" si="11"/>
        <v>3062.2000000000003</v>
      </c>
      <c r="X7" s="9">
        <f t="shared" si="11"/>
        <v>3605.7542999999996</v>
      </c>
      <c r="Y7" s="9">
        <f>Y5*0.58</f>
        <v>6085.384939999999</v>
      </c>
      <c r="Z7" s="9">
        <f t="shared" ref="Z7:AG7" si="12">Z5*0.58</f>
        <v>5659.4079941999998</v>
      </c>
      <c r="AA7" s="9">
        <f t="shared" si="12"/>
        <v>5772.5961540839999</v>
      </c>
      <c r="AB7" s="9">
        <f t="shared" si="12"/>
        <v>5830.3221156248401</v>
      </c>
      <c r="AC7" s="9">
        <f t="shared" si="12"/>
        <v>5888.6253367810887</v>
      </c>
      <c r="AD7" s="9">
        <f t="shared" si="12"/>
        <v>5947.5115901488989</v>
      </c>
      <c r="AE7" s="9">
        <f t="shared" si="12"/>
        <v>6006.9867060503884</v>
      </c>
      <c r="AF7" s="9">
        <f t="shared" si="12"/>
        <v>6067.0565731108918</v>
      </c>
      <c r="AG7" s="9">
        <f t="shared" si="12"/>
        <v>6127.7271388420013</v>
      </c>
    </row>
    <row r="8" spans="2:33" x14ac:dyDescent="0.3">
      <c r="B8" s="1" t="s">
        <v>16</v>
      </c>
      <c r="C8" s="6">
        <v>399.4</v>
      </c>
      <c r="D8" s="6">
        <v>334.6</v>
      </c>
      <c r="E8" s="6">
        <v>367.3</v>
      </c>
      <c r="F8" s="6">
        <v>448.8</v>
      </c>
      <c r="G8" s="6">
        <v>431.4</v>
      </c>
      <c r="H8" s="6">
        <v>461.3</v>
      </c>
      <c r="I8" s="6">
        <v>388.9</v>
      </c>
      <c r="J8" s="6">
        <v>402.1</v>
      </c>
      <c r="K8" s="6">
        <v>408.8</v>
      </c>
      <c r="L8" s="6">
        <f>L5*0.27</f>
        <v>410.25609000000003</v>
      </c>
      <c r="M8" s="6">
        <f t="shared" ref="M8:N8" si="13">M5*0.27</f>
        <v>408.99789000000004</v>
      </c>
      <c r="N8" s="6">
        <f t="shared" si="13"/>
        <v>441.10332000000005</v>
      </c>
      <c r="S8" s="6">
        <v>445</v>
      </c>
      <c r="T8" s="6">
        <v>516.4</v>
      </c>
      <c r="U8" s="6">
        <v>1586.5</v>
      </c>
      <c r="V8" s="6">
        <v>1550.2</v>
      </c>
      <c r="W8" s="6">
        <v>1683.7</v>
      </c>
      <c r="X8" s="6">
        <f t="shared" ref="X8:X13" si="14">SUM(K8:N8)</f>
        <v>1669.1573000000003</v>
      </c>
      <c r="Y8" s="6"/>
      <c r="Z8" s="6"/>
      <c r="AA8" s="6"/>
      <c r="AB8" s="6"/>
      <c r="AC8" s="6"/>
      <c r="AD8" s="6"/>
      <c r="AE8" s="6"/>
      <c r="AF8" s="6"/>
      <c r="AG8" s="6"/>
    </row>
    <row r="9" spans="2:33" x14ac:dyDescent="0.3">
      <c r="B9" s="1" t="s">
        <v>17</v>
      </c>
      <c r="C9" s="6">
        <v>238.6</v>
      </c>
      <c r="D9" s="6">
        <v>232.1</v>
      </c>
      <c r="E9" s="6">
        <v>232</v>
      </c>
      <c r="F9" s="6">
        <v>245.5</v>
      </c>
      <c r="G9" s="6">
        <v>219.8</v>
      </c>
      <c r="H9" s="6">
        <v>246.7</v>
      </c>
      <c r="I9" s="6">
        <v>240.9</v>
      </c>
      <c r="J9" s="6">
        <v>297.8</v>
      </c>
      <c r="K9" s="6">
        <v>261.39999999999998</v>
      </c>
      <c r="L9" s="6">
        <f>H9*1.15</f>
        <v>283.70499999999998</v>
      </c>
      <c r="M9" s="6">
        <f>I9*1.13</f>
        <v>272.21699999999998</v>
      </c>
      <c r="N9" s="6">
        <f>J9*1.07</f>
        <v>318.64600000000002</v>
      </c>
      <c r="S9" s="6">
        <v>317.3</v>
      </c>
      <c r="T9" s="6">
        <v>406.6</v>
      </c>
      <c r="U9" s="6">
        <v>887.6</v>
      </c>
      <c r="V9" s="6">
        <v>948.2</v>
      </c>
      <c r="W9" s="6">
        <v>1005.2</v>
      </c>
      <c r="X9" s="6">
        <f t="shared" si="14"/>
        <v>1135.9680000000001</v>
      </c>
      <c r="Y9" s="6"/>
      <c r="Z9" s="6"/>
      <c r="AA9" s="6"/>
      <c r="AB9" s="6"/>
      <c r="AC9" s="6"/>
      <c r="AD9" s="6"/>
      <c r="AE9" s="6"/>
      <c r="AF9" s="6"/>
      <c r="AG9" s="6"/>
    </row>
    <row r="10" spans="2:33" x14ac:dyDescent="0.3">
      <c r="B10" s="1" t="s">
        <v>18</v>
      </c>
      <c r="C10" s="6">
        <v>197.9</v>
      </c>
      <c r="D10" s="6">
        <v>178.3</v>
      </c>
      <c r="E10" s="6">
        <v>165</v>
      </c>
      <c r="F10" s="6">
        <v>175</v>
      </c>
      <c r="G10" s="6">
        <v>210.5</v>
      </c>
      <c r="H10" s="6">
        <v>253</v>
      </c>
      <c r="I10" s="6">
        <v>189.6</v>
      </c>
      <c r="J10" s="6">
        <v>230.2</v>
      </c>
      <c r="K10" s="6">
        <v>207</v>
      </c>
      <c r="L10" s="6">
        <f>H10*0.95</f>
        <v>240.35</v>
      </c>
      <c r="M10" s="6">
        <f t="shared" ref="M10:N10" si="15">I10*1.02</f>
        <v>193.392</v>
      </c>
      <c r="N10" s="6">
        <f t="shared" si="15"/>
        <v>234.804</v>
      </c>
      <c r="S10" s="6">
        <v>390.4</v>
      </c>
      <c r="T10" s="6">
        <v>511.7</v>
      </c>
      <c r="U10" s="6">
        <v>839.5</v>
      </c>
      <c r="V10" s="6">
        <v>716.1</v>
      </c>
      <c r="W10" s="6">
        <v>883.3</v>
      </c>
      <c r="X10" s="6">
        <f t="shared" si="14"/>
        <v>875.54599999999994</v>
      </c>
      <c r="Y10" s="6"/>
      <c r="Z10" s="6"/>
      <c r="AA10" s="6"/>
      <c r="AB10" s="6"/>
      <c r="AC10" s="6"/>
      <c r="AD10" s="6"/>
      <c r="AE10" s="6"/>
      <c r="AF10" s="6"/>
      <c r="AG10" s="6"/>
    </row>
    <row r="11" spans="2:33" x14ac:dyDescent="0.3">
      <c r="B11" s="1" t="s">
        <v>19</v>
      </c>
      <c r="C11" s="6">
        <v>40.4</v>
      </c>
      <c r="D11" s="6">
        <v>45.3</v>
      </c>
      <c r="E11" s="6">
        <v>42.6</v>
      </c>
      <c r="F11" s="6">
        <v>42.9</v>
      </c>
      <c r="G11" s="6">
        <v>44.8</v>
      </c>
      <c r="H11" s="6">
        <v>47.3</v>
      </c>
      <c r="I11" s="6">
        <v>49.5</v>
      </c>
      <c r="J11" s="6">
        <v>87.8</v>
      </c>
      <c r="K11" s="6">
        <v>50.4</v>
      </c>
      <c r="L11" s="6">
        <v>50</v>
      </c>
      <c r="M11" s="6">
        <v>50</v>
      </c>
      <c r="N11" s="6">
        <v>90</v>
      </c>
      <c r="S11" s="6">
        <v>55.6</v>
      </c>
      <c r="T11" s="6">
        <v>61.1</v>
      </c>
      <c r="U11" s="6">
        <v>122.3</v>
      </c>
      <c r="V11" s="6">
        <v>171.2</v>
      </c>
      <c r="W11" s="6">
        <v>229.4</v>
      </c>
      <c r="X11" s="6">
        <f t="shared" si="14"/>
        <v>240.4</v>
      </c>
      <c r="Y11" s="6"/>
      <c r="Z11" s="6"/>
      <c r="AA11" s="6"/>
      <c r="AB11" s="6"/>
      <c r="AC11" s="6"/>
      <c r="AD11" s="6"/>
      <c r="AE11" s="6"/>
      <c r="AF11" s="6"/>
      <c r="AG11" s="6"/>
    </row>
    <row r="12" spans="2:33" x14ac:dyDescent="0.3">
      <c r="B12" s="1" t="s">
        <v>20</v>
      </c>
      <c r="C12" s="6">
        <v>0</v>
      </c>
      <c r="D12" s="6">
        <v>165.4</v>
      </c>
      <c r="E12" s="6">
        <v>0</v>
      </c>
      <c r="F12" s="6">
        <v>2176.6999999999998</v>
      </c>
      <c r="G12" s="6">
        <v>0</v>
      </c>
      <c r="H12" s="6">
        <v>0</v>
      </c>
      <c r="I12" s="6">
        <v>0</v>
      </c>
      <c r="J12" s="6">
        <v>3545.2</v>
      </c>
      <c r="K12" s="6">
        <v>0</v>
      </c>
      <c r="L12" s="6">
        <v>0</v>
      </c>
      <c r="M12" s="6">
        <v>0</v>
      </c>
      <c r="N12" s="6">
        <v>0</v>
      </c>
      <c r="S12" s="6">
        <v>0</v>
      </c>
      <c r="T12" s="6">
        <v>0</v>
      </c>
      <c r="U12" s="6">
        <v>0</v>
      </c>
      <c r="V12" s="6">
        <v>2342.1</v>
      </c>
      <c r="W12" s="6">
        <v>3545.2</v>
      </c>
      <c r="X12" s="6">
        <f t="shared" si="14"/>
        <v>0</v>
      </c>
      <c r="Y12" s="6"/>
      <c r="Z12" s="6"/>
      <c r="AA12" s="6"/>
      <c r="AB12" s="6"/>
      <c r="AC12" s="6"/>
      <c r="AD12" s="6"/>
      <c r="AE12" s="6"/>
      <c r="AF12" s="6"/>
      <c r="AG12" s="6"/>
    </row>
    <row r="13" spans="2:33" x14ac:dyDescent="0.3">
      <c r="B13" s="1" t="s">
        <v>21</v>
      </c>
      <c r="C13" s="6">
        <v>7.2</v>
      </c>
      <c r="D13" s="6">
        <v>3.4</v>
      </c>
      <c r="E13" s="6">
        <v>0.7</v>
      </c>
      <c r="F13" s="6">
        <v>93.3</v>
      </c>
      <c r="G13" s="6">
        <v>49.5</v>
      </c>
      <c r="H13" s="6">
        <v>16.8</v>
      </c>
      <c r="I13" s="6">
        <v>23.1</v>
      </c>
      <c r="J13" s="6">
        <v>17.100000000000001</v>
      </c>
      <c r="K13" s="6">
        <v>-4.2</v>
      </c>
      <c r="L13" s="6">
        <v>0</v>
      </c>
      <c r="M13" s="6">
        <v>0</v>
      </c>
      <c r="N13" s="6">
        <v>0</v>
      </c>
      <c r="S13" s="6">
        <v>0</v>
      </c>
      <c r="T13" s="6">
        <v>0</v>
      </c>
      <c r="U13" s="6">
        <v>14.6</v>
      </c>
      <c r="V13" s="6">
        <v>104.6</v>
      </c>
      <c r="W13" s="6">
        <v>106.5</v>
      </c>
      <c r="X13" s="6">
        <f t="shared" si="14"/>
        <v>-4.2</v>
      </c>
      <c r="Y13" s="6"/>
      <c r="Z13" s="6"/>
      <c r="AA13" s="6"/>
      <c r="AB13" s="6"/>
      <c r="AC13" s="6"/>
      <c r="AD13" s="6"/>
      <c r="AE13" s="6"/>
      <c r="AF13" s="6"/>
      <c r="AG13" s="6"/>
    </row>
    <row r="14" spans="2:33" x14ac:dyDescent="0.3">
      <c r="B14" s="1" t="s">
        <v>22</v>
      </c>
      <c r="C14" s="6">
        <f t="shared" ref="C14:K14" si="16">SUM(C8:C13)</f>
        <v>883.5</v>
      </c>
      <c r="D14" s="6">
        <f t="shared" si="16"/>
        <v>959.09999999999991</v>
      </c>
      <c r="E14" s="6">
        <f t="shared" si="16"/>
        <v>807.6</v>
      </c>
      <c r="F14" s="6">
        <f t="shared" si="16"/>
        <v>3182.2</v>
      </c>
      <c r="G14" s="6">
        <f t="shared" si="16"/>
        <v>956</v>
      </c>
      <c r="H14" s="6">
        <f t="shared" si="16"/>
        <v>1025.0999999999999</v>
      </c>
      <c r="I14" s="6">
        <f t="shared" si="16"/>
        <v>892</v>
      </c>
      <c r="J14" s="6">
        <f t="shared" si="16"/>
        <v>4580.2000000000007</v>
      </c>
      <c r="K14" s="6">
        <f t="shared" si="16"/>
        <v>923.4</v>
      </c>
      <c r="L14" s="6">
        <f t="shared" ref="L14" si="17">SUM(L8:L13)</f>
        <v>984.31109000000004</v>
      </c>
      <c r="M14" s="6">
        <f t="shared" ref="M14" si="18">SUM(M8:M13)</f>
        <v>924.60689000000002</v>
      </c>
      <c r="N14" s="6">
        <f t="shared" ref="N14" si="19">SUM(N8:N13)</f>
        <v>1084.55332</v>
      </c>
      <c r="S14" s="6">
        <f t="shared" ref="S14:X14" si="20">SUM(S8:S13)</f>
        <v>1208.2999999999997</v>
      </c>
      <c r="T14" s="6">
        <f t="shared" si="20"/>
        <v>1495.8</v>
      </c>
      <c r="U14" s="6">
        <f t="shared" si="20"/>
        <v>3450.5</v>
      </c>
      <c r="V14" s="6">
        <f t="shared" si="20"/>
        <v>5832.4</v>
      </c>
      <c r="W14" s="6">
        <f t="shared" si="20"/>
        <v>7453.2999999999993</v>
      </c>
      <c r="X14" s="6">
        <f t="shared" si="20"/>
        <v>3916.8713000000007</v>
      </c>
      <c r="Y14" s="6">
        <f>X14*1.1</f>
        <v>4308.558430000001</v>
      </c>
      <c r="Z14" s="6">
        <f>Y14*0.95</f>
        <v>4093.1305085000008</v>
      </c>
      <c r="AA14" s="6">
        <f>Z14*1.02</f>
        <v>4174.9931186700005</v>
      </c>
      <c r="AB14" s="6">
        <f>AA14*1.01</f>
        <v>4216.743049856701</v>
      </c>
      <c r="AC14" s="6">
        <f t="shared" ref="AC14:AG14" si="21">AB14*1.01</f>
        <v>4258.9104803552682</v>
      </c>
      <c r="AD14" s="6">
        <f t="shared" si="21"/>
        <v>4301.499585158821</v>
      </c>
      <c r="AE14" s="6">
        <f t="shared" si="21"/>
        <v>4344.5145810104095</v>
      </c>
      <c r="AF14" s="6">
        <f t="shared" si="21"/>
        <v>4387.9597268205134</v>
      </c>
      <c r="AG14" s="6">
        <f t="shared" si="21"/>
        <v>4431.839324088719</v>
      </c>
    </row>
    <row r="15" spans="2:33" s="2" customFormat="1" x14ac:dyDescent="0.3">
      <c r="B15" s="2" t="s">
        <v>25</v>
      </c>
      <c r="C15" s="9">
        <f t="shared" ref="C15:K15" si="22">C7-C14</f>
        <v>-204.30000000000018</v>
      </c>
      <c r="D15" s="9">
        <f t="shared" si="22"/>
        <v>-543.70000000000005</v>
      </c>
      <c r="E15" s="9">
        <f t="shared" si="22"/>
        <v>-129.50000000000011</v>
      </c>
      <c r="F15" s="9">
        <f t="shared" si="22"/>
        <v>-2713.1</v>
      </c>
      <c r="G15" s="9">
        <f t="shared" si="22"/>
        <v>-184.89999999999998</v>
      </c>
      <c r="H15" s="9">
        <f t="shared" si="22"/>
        <v>-297.19999999999982</v>
      </c>
      <c r="I15" s="9">
        <f t="shared" si="22"/>
        <v>-132.10000000000002</v>
      </c>
      <c r="J15" s="9">
        <f t="shared" si="22"/>
        <v>-3776.9000000000005</v>
      </c>
      <c r="K15" s="9">
        <f t="shared" si="22"/>
        <v>21.600000000000023</v>
      </c>
      <c r="L15" s="9">
        <f t="shared" ref="L15" si="23">L7-L14</f>
        <v>-118.21490000000006</v>
      </c>
      <c r="M15" s="9">
        <f t="shared" ref="M15" si="24">M7-M14</f>
        <v>-61.166900000000055</v>
      </c>
      <c r="N15" s="9">
        <f t="shared" ref="N15" si="25">N7-N14</f>
        <v>-153.33519999999999</v>
      </c>
      <c r="S15" s="9">
        <f t="shared" ref="S15:X15" si="26">S7-S14</f>
        <v>629.40000000000009</v>
      </c>
      <c r="T15" s="9">
        <f t="shared" si="26"/>
        <v>473.59999999999968</v>
      </c>
      <c r="U15" s="9">
        <f t="shared" si="26"/>
        <v>-1165.1999999999994</v>
      </c>
      <c r="V15" s="9">
        <f t="shared" si="26"/>
        <v>-3590.5999999999995</v>
      </c>
      <c r="W15" s="9">
        <f t="shared" si="26"/>
        <v>-4391.0999999999985</v>
      </c>
      <c r="X15" s="9">
        <f t="shared" si="26"/>
        <v>-311.1170000000011</v>
      </c>
      <c r="Y15" s="9">
        <f t="shared" ref="Y15:AG15" si="27">Y7-Y14</f>
        <v>1776.8265099999981</v>
      </c>
      <c r="Z15" s="9">
        <f t="shared" si="27"/>
        <v>1566.277485699999</v>
      </c>
      <c r="AA15" s="9">
        <f t="shared" si="27"/>
        <v>1597.6030354139994</v>
      </c>
      <c r="AB15" s="9">
        <f t="shared" si="27"/>
        <v>1613.5790657681391</v>
      </c>
      <c r="AC15" s="9">
        <f t="shared" si="27"/>
        <v>1629.7148564258205</v>
      </c>
      <c r="AD15" s="9">
        <f t="shared" si="27"/>
        <v>1646.0120049900779</v>
      </c>
      <c r="AE15" s="9">
        <f t="shared" si="27"/>
        <v>1662.4721250399789</v>
      </c>
      <c r="AF15" s="9">
        <f t="shared" si="27"/>
        <v>1679.0968462903784</v>
      </c>
      <c r="AG15" s="9">
        <f t="shared" si="27"/>
        <v>1695.8878147532823</v>
      </c>
    </row>
    <row r="16" spans="2:33" x14ac:dyDescent="0.3">
      <c r="B16" s="1" t="s">
        <v>30</v>
      </c>
      <c r="C16" s="6">
        <v>25.4</v>
      </c>
      <c r="D16" s="6">
        <v>31.1</v>
      </c>
      <c r="E16" s="6">
        <v>22.5</v>
      </c>
      <c r="F16" s="6">
        <v>24.6</v>
      </c>
      <c r="G16" s="6">
        <v>24.2</v>
      </c>
      <c r="H16" s="6">
        <v>25.9</v>
      </c>
      <c r="I16" s="6">
        <v>21</v>
      </c>
      <c r="J16" s="6">
        <v>22.2</v>
      </c>
      <c r="K16" s="6">
        <v>35.4</v>
      </c>
      <c r="L16" s="6">
        <v>35</v>
      </c>
      <c r="M16" s="6">
        <v>35</v>
      </c>
      <c r="N16" s="6">
        <v>35</v>
      </c>
      <c r="S16" s="6">
        <v>-8.8000000000000007</v>
      </c>
      <c r="T16" s="6">
        <v>14.2</v>
      </c>
      <c r="U16" s="6">
        <v>141.9</v>
      </c>
      <c r="V16" s="6">
        <v>103.6</v>
      </c>
      <c r="W16" s="6">
        <v>93.3</v>
      </c>
      <c r="X16" s="6">
        <f t="shared" ref="X16:X17" si="28">SUM(K16:N16)</f>
        <v>140.4</v>
      </c>
      <c r="Y16" s="6"/>
      <c r="Z16" s="6"/>
      <c r="AA16" s="6"/>
      <c r="AB16" s="6"/>
      <c r="AC16" s="6"/>
      <c r="AD16" s="6"/>
      <c r="AE16" s="6"/>
      <c r="AF16" s="6"/>
      <c r="AG16" s="6"/>
    </row>
    <row r="17" spans="2:139" x14ac:dyDescent="0.3">
      <c r="B17" s="1" t="s">
        <v>31</v>
      </c>
      <c r="C17" s="6">
        <v>-0.8</v>
      </c>
      <c r="D17" s="6">
        <v>2.2000000000000002</v>
      </c>
      <c r="E17" s="6">
        <v>0.3</v>
      </c>
      <c r="F17" s="6">
        <v>6.9</v>
      </c>
      <c r="G17" s="6">
        <v>3.1</v>
      </c>
      <c r="H17" s="6">
        <v>1.2</v>
      </c>
      <c r="I17" s="6">
        <v>-0.2</v>
      </c>
      <c r="J17" s="6">
        <v>2.8</v>
      </c>
      <c r="K17" s="6">
        <v>0</v>
      </c>
      <c r="L17" s="6">
        <v>0</v>
      </c>
      <c r="M17" s="6">
        <v>0</v>
      </c>
      <c r="N17" s="6">
        <v>0</v>
      </c>
      <c r="S17" s="6">
        <v>-39.6</v>
      </c>
      <c r="T17" s="6">
        <v>-6</v>
      </c>
      <c r="U17" s="6">
        <v>31</v>
      </c>
      <c r="V17" s="6">
        <v>8.6</v>
      </c>
      <c r="W17" s="6">
        <v>6.9</v>
      </c>
      <c r="X17" s="6">
        <f t="shared" si="28"/>
        <v>0</v>
      </c>
      <c r="Y17" s="6"/>
      <c r="Z17" s="6"/>
      <c r="AA17" s="6"/>
      <c r="AB17" s="6"/>
      <c r="AC17" s="6"/>
      <c r="AD17" s="6"/>
      <c r="AE17" s="6"/>
      <c r="AF17" s="6"/>
      <c r="AG17" s="6"/>
    </row>
    <row r="18" spans="2:139" x14ac:dyDescent="0.3">
      <c r="B18" s="1" t="s">
        <v>23</v>
      </c>
      <c r="C18" s="6">
        <f t="shared" ref="C18:K18" si="29">SUM(C16:C17)</f>
        <v>24.599999999999998</v>
      </c>
      <c r="D18" s="6">
        <f t="shared" si="29"/>
        <v>33.300000000000004</v>
      </c>
      <c r="E18" s="6">
        <f t="shared" si="29"/>
        <v>22.8</v>
      </c>
      <c r="F18" s="6">
        <f t="shared" si="29"/>
        <v>31.5</v>
      </c>
      <c r="G18" s="6">
        <f t="shared" si="29"/>
        <v>27.3</v>
      </c>
      <c r="H18" s="6">
        <f t="shared" si="29"/>
        <v>27.099999999999998</v>
      </c>
      <c r="I18" s="6">
        <f t="shared" si="29"/>
        <v>20.8</v>
      </c>
      <c r="J18" s="6">
        <f t="shared" si="29"/>
        <v>25</v>
      </c>
      <c r="K18" s="6">
        <f t="shared" si="29"/>
        <v>35.4</v>
      </c>
      <c r="L18" s="6">
        <f t="shared" ref="L18" si="30">SUM(L16:L17)</f>
        <v>35</v>
      </c>
      <c r="M18" s="6">
        <f t="shared" ref="M18" si="31">SUM(M16:M17)</f>
        <v>35</v>
      </c>
      <c r="N18" s="6">
        <f t="shared" ref="N18" si="32">SUM(N16:N17)</f>
        <v>35</v>
      </c>
      <c r="S18" s="6">
        <f>SUM(S16:S17)</f>
        <v>-48.400000000000006</v>
      </c>
      <c r="T18" s="6">
        <f>SUM(T16:T17)</f>
        <v>8.1999999999999993</v>
      </c>
      <c r="U18" s="6">
        <f t="shared" ref="U18:X18" si="33">SUM(U16:U17)</f>
        <v>172.9</v>
      </c>
      <c r="V18" s="6">
        <f t="shared" si="33"/>
        <v>112.19999999999999</v>
      </c>
      <c r="W18" s="6">
        <f t="shared" si="33"/>
        <v>100.2</v>
      </c>
      <c r="X18" s="6">
        <f t="shared" si="33"/>
        <v>140.4</v>
      </c>
      <c r="Y18" s="6">
        <f>X18*1.02</f>
        <v>143.208</v>
      </c>
      <c r="Z18" s="6">
        <f t="shared" ref="Z18:AG18" si="34">Y18*1.02</f>
        <v>146.07216</v>
      </c>
      <c r="AA18" s="6">
        <f t="shared" si="34"/>
        <v>148.9936032</v>
      </c>
      <c r="AB18" s="6">
        <f t="shared" si="34"/>
        <v>151.973475264</v>
      </c>
      <c r="AC18" s="6">
        <f t="shared" si="34"/>
        <v>155.01294476928001</v>
      </c>
      <c r="AD18" s="6">
        <f t="shared" si="34"/>
        <v>158.1132036646656</v>
      </c>
      <c r="AE18" s="6">
        <f t="shared" si="34"/>
        <v>161.27546773795891</v>
      </c>
      <c r="AF18" s="6">
        <f t="shared" si="34"/>
        <v>164.50097709271807</v>
      </c>
      <c r="AG18" s="6">
        <f t="shared" si="34"/>
        <v>167.79099663457245</v>
      </c>
    </row>
    <row r="19" spans="2:139" s="2" customFormat="1" x14ac:dyDescent="0.3">
      <c r="B19" s="2" t="s">
        <v>26</v>
      </c>
      <c r="C19" s="9">
        <f t="shared" ref="C19:K19" si="35">C15-C18</f>
        <v>-228.90000000000018</v>
      </c>
      <c r="D19" s="9">
        <f t="shared" si="35"/>
        <v>-577</v>
      </c>
      <c r="E19" s="9">
        <f t="shared" si="35"/>
        <v>-152.30000000000013</v>
      </c>
      <c r="F19" s="9">
        <f t="shared" si="35"/>
        <v>-2744.6</v>
      </c>
      <c r="G19" s="9">
        <f t="shared" si="35"/>
        <v>-212.2</v>
      </c>
      <c r="H19" s="9">
        <f t="shared" si="35"/>
        <v>-324.29999999999984</v>
      </c>
      <c r="I19" s="9">
        <f t="shared" si="35"/>
        <v>-152.90000000000003</v>
      </c>
      <c r="J19" s="9">
        <f t="shared" si="35"/>
        <v>-3801.9000000000005</v>
      </c>
      <c r="K19" s="9">
        <f t="shared" si="35"/>
        <v>-13.799999999999976</v>
      </c>
      <c r="L19" s="9">
        <f t="shared" ref="L19" si="36">L15-L18</f>
        <v>-153.21490000000006</v>
      </c>
      <c r="M19" s="9">
        <f t="shared" ref="M19" si="37">M15-M18</f>
        <v>-96.166900000000055</v>
      </c>
      <c r="N19" s="9">
        <f t="shared" ref="N19" si="38">N15-N18</f>
        <v>-188.33519999999999</v>
      </c>
      <c r="S19" s="9">
        <f>S15-S18</f>
        <v>677.80000000000007</v>
      </c>
      <c r="T19" s="9">
        <f>T15-T18</f>
        <v>465.39999999999969</v>
      </c>
      <c r="U19" s="9">
        <f t="shared" ref="U19:W19" si="39">U15-U18</f>
        <v>-1338.0999999999995</v>
      </c>
      <c r="V19" s="9">
        <f t="shared" si="39"/>
        <v>-3702.7999999999993</v>
      </c>
      <c r="W19" s="9">
        <f t="shared" si="39"/>
        <v>-4491.2999999999984</v>
      </c>
      <c r="X19" s="9">
        <f>X15-X18</f>
        <v>-451.51700000000108</v>
      </c>
      <c r="Y19" s="9">
        <f>Y15-Y18</f>
        <v>1633.618509999998</v>
      </c>
      <c r="Z19" s="9">
        <f t="shared" ref="Z19:AG19" si="40">Z15-Z18</f>
        <v>1420.2053256999991</v>
      </c>
      <c r="AA19" s="9">
        <f t="shared" si="40"/>
        <v>1448.6094322139993</v>
      </c>
      <c r="AB19" s="9">
        <f t="shared" si="40"/>
        <v>1461.6055905041392</v>
      </c>
      <c r="AC19" s="9">
        <f t="shared" si="40"/>
        <v>1474.7019116565405</v>
      </c>
      <c r="AD19" s="9">
        <f t="shared" si="40"/>
        <v>1487.8988013254123</v>
      </c>
      <c r="AE19" s="9">
        <f t="shared" si="40"/>
        <v>1501.19665730202</v>
      </c>
      <c r="AF19" s="9">
        <f t="shared" si="40"/>
        <v>1514.5958691976602</v>
      </c>
      <c r="AG19" s="9">
        <f t="shared" si="40"/>
        <v>1528.09681811871</v>
      </c>
    </row>
    <row r="20" spans="2:139" x14ac:dyDescent="0.3">
      <c r="B20" s="1" t="s">
        <v>27</v>
      </c>
      <c r="C20" s="6">
        <v>-22.9</v>
      </c>
      <c r="D20" s="6">
        <v>-33.4</v>
      </c>
      <c r="E20" s="6">
        <v>-60.7</v>
      </c>
      <c r="F20" s="6">
        <v>158.4</v>
      </c>
      <c r="G20" s="6">
        <v>49.8</v>
      </c>
      <c r="H20" s="6">
        <v>41.2</v>
      </c>
      <c r="I20" s="6">
        <v>-27.7</v>
      </c>
      <c r="J20" s="6">
        <v>-75.7</v>
      </c>
      <c r="K20" s="6">
        <v>-1.9</v>
      </c>
      <c r="L20" s="6">
        <f>L19*0.1</f>
        <v>-15.321490000000006</v>
      </c>
      <c r="M20" s="6">
        <f t="shared" ref="M20:N20" si="41">M19*0.1</f>
        <v>-9.6166900000000055</v>
      </c>
      <c r="N20" s="6">
        <f t="shared" si="41"/>
        <v>-18.83352</v>
      </c>
      <c r="S20" s="6">
        <v>88.9</v>
      </c>
      <c r="T20" s="6">
        <v>47.4</v>
      </c>
      <c r="U20" s="6">
        <v>-213.4</v>
      </c>
      <c r="V20" s="6">
        <v>41.4</v>
      </c>
      <c r="W20" s="6">
        <v>-12.4</v>
      </c>
      <c r="X20" s="6">
        <f t="shared" ref="X20" si="42">SUM(K20:N20)</f>
        <v>-45.671700000000016</v>
      </c>
      <c r="Y20" s="6">
        <f>Y19*0.15</f>
        <v>245.04277649999969</v>
      </c>
      <c r="Z20" s="6">
        <f t="shared" ref="Z20:AG20" si="43">Z19*0.15</f>
        <v>213.03079885499986</v>
      </c>
      <c r="AA20" s="6">
        <f t="shared" si="43"/>
        <v>217.29141483209989</v>
      </c>
      <c r="AB20" s="6">
        <f t="shared" si="43"/>
        <v>219.24083857562087</v>
      </c>
      <c r="AC20" s="6">
        <f t="shared" si="43"/>
        <v>221.20528674848106</v>
      </c>
      <c r="AD20" s="6">
        <f t="shared" si="43"/>
        <v>223.18482019881182</v>
      </c>
      <c r="AE20" s="6">
        <f t="shared" si="43"/>
        <v>225.17949859530299</v>
      </c>
      <c r="AF20" s="6">
        <f t="shared" si="43"/>
        <v>227.18938037964904</v>
      </c>
      <c r="AG20" s="6">
        <f t="shared" si="43"/>
        <v>229.21452271780649</v>
      </c>
    </row>
    <row r="21" spans="2:139" s="2" customFormat="1" x14ac:dyDescent="0.3">
      <c r="B21" s="2" t="s">
        <v>28</v>
      </c>
      <c r="C21" s="9">
        <f t="shared" ref="C21:K21" si="44">C19-C20</f>
        <v>-206.00000000000017</v>
      </c>
      <c r="D21" s="9">
        <f t="shared" si="44"/>
        <v>-543.6</v>
      </c>
      <c r="E21" s="9">
        <f t="shared" si="44"/>
        <v>-91.600000000000122</v>
      </c>
      <c r="F21" s="9">
        <f t="shared" si="44"/>
        <v>-2903</v>
      </c>
      <c r="G21" s="9">
        <f t="shared" si="44"/>
        <v>-262</v>
      </c>
      <c r="H21" s="9">
        <f t="shared" si="44"/>
        <v>-365.49999999999983</v>
      </c>
      <c r="I21" s="9">
        <f t="shared" si="44"/>
        <v>-125.20000000000003</v>
      </c>
      <c r="J21" s="9">
        <f t="shared" si="44"/>
        <v>-3726.2000000000007</v>
      </c>
      <c r="K21" s="9">
        <f t="shared" si="44"/>
        <v>-11.899999999999975</v>
      </c>
      <c r="L21" s="9">
        <f t="shared" ref="L21" si="45">L19-L20</f>
        <v>-137.89341000000005</v>
      </c>
      <c r="M21" s="9">
        <f t="shared" ref="M21" si="46">M19-M20</f>
        <v>-86.55021000000005</v>
      </c>
      <c r="N21" s="9">
        <f t="shared" ref="N21" si="47">N19-N20</f>
        <v>-169.50167999999999</v>
      </c>
      <c r="S21" s="9">
        <f t="shared" ref="S21:Y21" si="48">S19-S20</f>
        <v>588.90000000000009</v>
      </c>
      <c r="T21" s="9">
        <f t="shared" si="48"/>
        <v>417.99999999999972</v>
      </c>
      <c r="U21" s="9">
        <f t="shared" si="48"/>
        <v>-1124.6999999999994</v>
      </c>
      <c r="V21" s="9">
        <f t="shared" si="48"/>
        <v>-3744.1999999999994</v>
      </c>
      <c r="W21" s="9">
        <f t="shared" si="48"/>
        <v>-4478.8999999999987</v>
      </c>
      <c r="X21" s="9">
        <f t="shared" si="48"/>
        <v>-405.84530000000109</v>
      </c>
      <c r="Y21" s="9">
        <f t="shared" si="48"/>
        <v>1388.5757334999983</v>
      </c>
      <c r="Z21" s="9">
        <f t="shared" ref="Z21:AG21" si="49">Z19-Z20</f>
        <v>1207.1745268449993</v>
      </c>
      <c r="AA21" s="9">
        <f t="shared" si="49"/>
        <v>1231.3180173818994</v>
      </c>
      <c r="AB21" s="9">
        <f t="shared" si="49"/>
        <v>1242.3647519285182</v>
      </c>
      <c r="AC21" s="9">
        <f t="shared" si="49"/>
        <v>1253.4966249080594</v>
      </c>
      <c r="AD21" s="9">
        <f t="shared" si="49"/>
        <v>1264.7139811266004</v>
      </c>
      <c r="AE21" s="9">
        <f t="shared" si="49"/>
        <v>1276.0171587067171</v>
      </c>
      <c r="AF21" s="9">
        <f t="shared" si="49"/>
        <v>1287.4064888180112</v>
      </c>
      <c r="AG21" s="9">
        <f t="shared" si="49"/>
        <v>1298.8822954009036</v>
      </c>
      <c r="AH21" s="2">
        <f>AG21*(1+$AK$28)</f>
        <v>1285.8934724468945</v>
      </c>
      <c r="AI21" s="2">
        <f t="shared" ref="AI21:CT21" si="50">AH21*(1+$AK$28)</f>
        <v>1273.0345377224255</v>
      </c>
      <c r="AJ21" s="2">
        <f t="shared" si="50"/>
        <v>1260.3041923452013</v>
      </c>
      <c r="AK21" s="2">
        <f t="shared" si="50"/>
        <v>1247.7011504217492</v>
      </c>
      <c r="AL21" s="2">
        <f t="shared" si="50"/>
        <v>1235.2241389175317</v>
      </c>
      <c r="AM21" s="2">
        <f t="shared" si="50"/>
        <v>1222.8718975283564</v>
      </c>
      <c r="AN21" s="2">
        <f t="shared" si="50"/>
        <v>1210.6431785530729</v>
      </c>
      <c r="AO21" s="2">
        <f t="shared" si="50"/>
        <v>1198.5367467675421</v>
      </c>
      <c r="AP21" s="2">
        <f t="shared" si="50"/>
        <v>1186.5513792998668</v>
      </c>
      <c r="AQ21" s="2">
        <f t="shared" si="50"/>
        <v>1174.6858655068681</v>
      </c>
      <c r="AR21" s="2">
        <f t="shared" si="50"/>
        <v>1162.9390068517994</v>
      </c>
      <c r="AS21" s="2">
        <f t="shared" si="50"/>
        <v>1151.3096167832814</v>
      </c>
      <c r="AT21" s="2">
        <f t="shared" si="50"/>
        <v>1139.7965206154486</v>
      </c>
      <c r="AU21" s="2">
        <f t="shared" si="50"/>
        <v>1128.398555409294</v>
      </c>
      <c r="AV21" s="2">
        <f t="shared" si="50"/>
        <v>1117.1145698552011</v>
      </c>
      <c r="AW21" s="2">
        <f t="shared" si="50"/>
        <v>1105.9434241566491</v>
      </c>
      <c r="AX21" s="2">
        <f t="shared" si="50"/>
        <v>1094.8839899150826</v>
      </c>
      <c r="AY21" s="2">
        <f t="shared" si="50"/>
        <v>1083.9351500159316</v>
      </c>
      <c r="AZ21" s="2">
        <f t="shared" si="50"/>
        <v>1073.0957985157722</v>
      </c>
      <c r="BA21" s="2">
        <f t="shared" si="50"/>
        <v>1062.3648405306144</v>
      </c>
      <c r="BB21" s="2">
        <f t="shared" si="50"/>
        <v>1051.7411921253083</v>
      </c>
      <c r="BC21" s="2">
        <f t="shared" si="50"/>
        <v>1041.2237802040552</v>
      </c>
      <c r="BD21" s="2">
        <f t="shared" si="50"/>
        <v>1030.8115424020145</v>
      </c>
      <c r="BE21" s="2">
        <f t="shared" si="50"/>
        <v>1020.5034269779944</v>
      </c>
      <c r="BF21" s="2">
        <f t="shared" si="50"/>
        <v>1010.2983927082145</v>
      </c>
      <c r="BG21" s="2">
        <f t="shared" si="50"/>
        <v>1000.1954087811323</v>
      </c>
      <c r="BH21" s="2">
        <f t="shared" si="50"/>
        <v>990.19345469332097</v>
      </c>
      <c r="BI21" s="2">
        <f t="shared" si="50"/>
        <v>980.29152014638771</v>
      </c>
      <c r="BJ21" s="2">
        <f t="shared" si="50"/>
        <v>970.48860494492385</v>
      </c>
      <c r="BK21" s="2">
        <f t="shared" si="50"/>
        <v>960.78371889547464</v>
      </c>
      <c r="BL21" s="2">
        <f t="shared" si="50"/>
        <v>951.17588170651993</v>
      </c>
      <c r="BM21" s="2">
        <f t="shared" si="50"/>
        <v>941.66412288945469</v>
      </c>
      <c r="BN21" s="2">
        <f t="shared" si="50"/>
        <v>932.24748166056008</v>
      </c>
      <c r="BO21" s="2">
        <f t="shared" si="50"/>
        <v>922.92500684395452</v>
      </c>
      <c r="BP21" s="2">
        <f t="shared" si="50"/>
        <v>913.69575677551495</v>
      </c>
      <c r="BQ21" s="2">
        <f t="shared" si="50"/>
        <v>904.55879920775976</v>
      </c>
      <c r="BR21" s="2">
        <f t="shared" si="50"/>
        <v>895.51321121568219</v>
      </c>
      <c r="BS21" s="2">
        <f t="shared" si="50"/>
        <v>886.55807910352542</v>
      </c>
      <c r="BT21" s="2">
        <f t="shared" si="50"/>
        <v>877.6924983124901</v>
      </c>
      <c r="BU21" s="2">
        <f t="shared" si="50"/>
        <v>868.9155733293652</v>
      </c>
      <c r="BV21" s="2">
        <f t="shared" si="50"/>
        <v>860.22641759607154</v>
      </c>
      <c r="BW21" s="2">
        <f t="shared" si="50"/>
        <v>851.62415342011082</v>
      </c>
      <c r="BX21" s="2">
        <f t="shared" si="50"/>
        <v>843.10791188590974</v>
      </c>
      <c r="BY21" s="2">
        <f t="shared" si="50"/>
        <v>834.67683276705066</v>
      </c>
      <c r="BZ21" s="2">
        <f t="shared" si="50"/>
        <v>826.33006443938018</v>
      </c>
      <c r="CA21" s="2">
        <f t="shared" si="50"/>
        <v>818.0667637949864</v>
      </c>
      <c r="CB21" s="2">
        <f t="shared" si="50"/>
        <v>809.88609615703649</v>
      </c>
      <c r="CC21" s="2">
        <f t="shared" si="50"/>
        <v>801.78723519546611</v>
      </c>
      <c r="CD21" s="2">
        <f t="shared" si="50"/>
        <v>793.76936284351143</v>
      </c>
      <c r="CE21" s="2">
        <f t="shared" si="50"/>
        <v>785.83166921507632</v>
      </c>
      <c r="CF21" s="2">
        <f t="shared" si="50"/>
        <v>777.97335252292555</v>
      </c>
      <c r="CG21" s="2">
        <f t="shared" si="50"/>
        <v>770.19361899769626</v>
      </c>
      <c r="CH21" s="2">
        <f t="shared" si="50"/>
        <v>762.49168280771926</v>
      </c>
      <c r="CI21" s="2">
        <f t="shared" si="50"/>
        <v>754.86676597964208</v>
      </c>
      <c r="CJ21" s="2">
        <f t="shared" si="50"/>
        <v>747.3180983198456</v>
      </c>
      <c r="CK21" s="2">
        <f t="shared" si="50"/>
        <v>739.84491733664709</v>
      </c>
      <c r="CL21" s="2">
        <f t="shared" si="50"/>
        <v>732.44646816328066</v>
      </c>
      <c r="CM21" s="2">
        <f t="shared" si="50"/>
        <v>725.12200348164788</v>
      </c>
      <c r="CN21" s="2">
        <f t="shared" si="50"/>
        <v>717.87078344683141</v>
      </c>
      <c r="CO21" s="2">
        <f t="shared" si="50"/>
        <v>710.69207561236306</v>
      </c>
      <c r="CP21" s="2">
        <f t="shared" si="50"/>
        <v>703.58515485623946</v>
      </c>
      <c r="CQ21" s="2">
        <f t="shared" si="50"/>
        <v>696.54930330767706</v>
      </c>
      <c r="CR21" s="2">
        <f t="shared" si="50"/>
        <v>689.5838102746003</v>
      </c>
      <c r="CS21" s="2">
        <f t="shared" si="50"/>
        <v>682.68797217185431</v>
      </c>
      <c r="CT21" s="2">
        <f t="shared" si="50"/>
        <v>675.86109245013574</v>
      </c>
      <c r="CU21" s="2">
        <f t="shared" ref="CU21:EI21" si="51">CT21*(1+$AK$28)</f>
        <v>669.1024815256344</v>
      </c>
      <c r="CV21" s="2">
        <f t="shared" si="51"/>
        <v>662.41145671037805</v>
      </c>
      <c r="CW21" s="2">
        <f t="shared" si="51"/>
        <v>655.78734214327426</v>
      </c>
      <c r="CX21" s="2">
        <f t="shared" si="51"/>
        <v>649.2294687218415</v>
      </c>
      <c r="CY21" s="2">
        <f t="shared" si="51"/>
        <v>642.73717403462308</v>
      </c>
      <c r="CZ21" s="2">
        <f t="shared" si="51"/>
        <v>636.30980229427689</v>
      </c>
      <c r="DA21" s="2">
        <f t="shared" si="51"/>
        <v>629.94670427133417</v>
      </c>
      <c r="DB21" s="2">
        <f t="shared" si="51"/>
        <v>623.64723722862084</v>
      </c>
      <c r="DC21" s="2">
        <f t="shared" si="51"/>
        <v>617.41076485633459</v>
      </c>
      <c r="DD21" s="2">
        <f t="shared" si="51"/>
        <v>611.23665720777126</v>
      </c>
      <c r="DE21" s="2">
        <f t="shared" si="51"/>
        <v>605.12429063569357</v>
      </c>
      <c r="DF21" s="2">
        <f t="shared" si="51"/>
        <v>599.07304772933662</v>
      </c>
      <c r="DG21" s="2">
        <f t="shared" si="51"/>
        <v>593.08231725204325</v>
      </c>
      <c r="DH21" s="2">
        <f t="shared" si="51"/>
        <v>587.15149407952276</v>
      </c>
      <c r="DI21" s="2">
        <f t="shared" si="51"/>
        <v>581.27997913872753</v>
      </c>
      <c r="DJ21" s="2">
        <f t="shared" si="51"/>
        <v>575.46717934734022</v>
      </c>
      <c r="DK21" s="2">
        <f t="shared" si="51"/>
        <v>569.71250755386677</v>
      </c>
      <c r="DL21" s="2">
        <f t="shared" si="51"/>
        <v>564.01538247832809</v>
      </c>
      <c r="DM21" s="2">
        <f t="shared" si="51"/>
        <v>558.37522865354481</v>
      </c>
      <c r="DN21" s="2">
        <f t="shared" si="51"/>
        <v>552.79147636700941</v>
      </c>
      <c r="DO21" s="2">
        <f t="shared" si="51"/>
        <v>547.26356160333933</v>
      </c>
      <c r="DP21" s="2">
        <f t="shared" si="51"/>
        <v>541.79092598730597</v>
      </c>
      <c r="DQ21" s="2">
        <f t="shared" si="51"/>
        <v>536.37301672743286</v>
      </c>
      <c r="DR21" s="2">
        <f t="shared" si="51"/>
        <v>531.00928656015856</v>
      </c>
      <c r="DS21" s="2">
        <f t="shared" si="51"/>
        <v>525.69919369455693</v>
      </c>
      <c r="DT21" s="2">
        <f t="shared" si="51"/>
        <v>520.44220175761131</v>
      </c>
      <c r="DU21" s="2">
        <f t="shared" si="51"/>
        <v>515.23777974003519</v>
      </c>
      <c r="DV21" s="2">
        <f t="shared" si="51"/>
        <v>510.08540194263486</v>
      </c>
      <c r="DW21" s="2">
        <f t="shared" si="51"/>
        <v>504.98454792320848</v>
      </c>
      <c r="DX21" s="2">
        <f t="shared" si="51"/>
        <v>499.93470244397639</v>
      </c>
      <c r="DY21" s="2">
        <f t="shared" si="51"/>
        <v>494.93535541953662</v>
      </c>
      <c r="DZ21" s="2">
        <f t="shared" si="51"/>
        <v>489.98600186534122</v>
      </c>
      <c r="EA21" s="2">
        <f t="shared" si="51"/>
        <v>485.08614184668778</v>
      </c>
      <c r="EB21" s="2">
        <f t="shared" si="51"/>
        <v>480.2352804282209</v>
      </c>
      <c r="EC21" s="2">
        <f t="shared" si="51"/>
        <v>475.43292762393867</v>
      </c>
      <c r="ED21" s="2">
        <f t="shared" si="51"/>
        <v>470.67859834769928</v>
      </c>
      <c r="EE21" s="2">
        <f t="shared" si="51"/>
        <v>465.97181236422227</v>
      </c>
      <c r="EF21" s="2">
        <f t="shared" si="51"/>
        <v>461.31209424058005</v>
      </c>
      <c r="EG21" s="2">
        <f t="shared" si="51"/>
        <v>456.69897329817422</v>
      </c>
      <c r="EH21" s="2">
        <f t="shared" si="51"/>
        <v>452.13198356519246</v>
      </c>
      <c r="EI21" s="2">
        <f t="shared" si="51"/>
        <v>447.61066372954053</v>
      </c>
    </row>
    <row r="22" spans="2:139" x14ac:dyDescent="0.3">
      <c r="B22" s="1" t="s">
        <v>2</v>
      </c>
      <c r="C22" s="6">
        <v>177.4</v>
      </c>
      <c r="D22" s="6">
        <v>177.4</v>
      </c>
      <c r="E22" s="6">
        <v>177.4</v>
      </c>
      <c r="F22" s="6">
        <v>177.4</v>
      </c>
      <c r="G22" s="6">
        <v>177.4</v>
      </c>
      <c r="H22" s="6">
        <v>177.4</v>
      </c>
      <c r="I22" s="6">
        <v>177.4</v>
      </c>
      <c r="J22" s="6">
        <v>177.4</v>
      </c>
      <c r="K22" s="6">
        <f>184.5</f>
        <v>184.5</v>
      </c>
      <c r="L22" s="6">
        <f t="shared" ref="L22:N22" si="52">184.5</f>
        <v>184.5</v>
      </c>
      <c r="M22" s="6">
        <f t="shared" si="52"/>
        <v>184.5</v>
      </c>
      <c r="N22" s="6">
        <f t="shared" si="52"/>
        <v>184.5</v>
      </c>
      <c r="S22" s="6">
        <v>177.4</v>
      </c>
      <c r="T22" s="6">
        <v>177.4</v>
      </c>
      <c r="U22" s="6">
        <v>177.4</v>
      </c>
      <c r="V22" s="6">
        <v>177.4</v>
      </c>
      <c r="W22" s="6">
        <v>177.4</v>
      </c>
      <c r="X22" s="6">
        <f t="shared" ref="X22:AG22" si="53">184.5</f>
        <v>184.5</v>
      </c>
      <c r="Y22" s="6">
        <f t="shared" si="53"/>
        <v>184.5</v>
      </c>
      <c r="Z22" s="6">
        <f t="shared" si="53"/>
        <v>184.5</v>
      </c>
      <c r="AA22" s="6">
        <f t="shared" si="53"/>
        <v>184.5</v>
      </c>
      <c r="AB22" s="6">
        <f t="shared" si="53"/>
        <v>184.5</v>
      </c>
      <c r="AC22" s="6">
        <f t="shared" si="53"/>
        <v>184.5</v>
      </c>
      <c r="AD22" s="6">
        <f t="shared" si="53"/>
        <v>184.5</v>
      </c>
      <c r="AE22" s="6">
        <f t="shared" si="53"/>
        <v>184.5</v>
      </c>
      <c r="AF22" s="6">
        <f t="shared" si="53"/>
        <v>184.5</v>
      </c>
      <c r="AG22" s="6">
        <f t="shared" si="53"/>
        <v>184.5</v>
      </c>
    </row>
    <row r="23" spans="2:139" x14ac:dyDescent="0.3">
      <c r="B23" s="1" t="s">
        <v>29</v>
      </c>
      <c r="C23" s="8">
        <f t="shared" ref="C23:K23" si="54">C21/C22</f>
        <v>-1.1612175873731689</v>
      </c>
      <c r="D23" s="8">
        <f t="shared" si="54"/>
        <v>-3.0642615558060879</v>
      </c>
      <c r="E23" s="8">
        <f t="shared" si="54"/>
        <v>-0.51634723788049675</v>
      </c>
      <c r="F23" s="8">
        <f t="shared" si="54"/>
        <v>-16.364148816234497</v>
      </c>
      <c r="G23" s="8">
        <f t="shared" si="54"/>
        <v>-1.4768883878241261</v>
      </c>
      <c r="H23" s="8">
        <f t="shared" si="54"/>
        <v>-2.06031567080045</v>
      </c>
      <c r="I23" s="8">
        <f t="shared" si="54"/>
        <v>-0.70574971815107113</v>
      </c>
      <c r="J23" s="8">
        <f t="shared" si="54"/>
        <v>-21.004509582863587</v>
      </c>
      <c r="K23" s="8">
        <f t="shared" si="54"/>
        <v>-6.4498644986449735E-2</v>
      </c>
      <c r="L23" s="8">
        <f t="shared" ref="L23" si="55">L21/L22</f>
        <v>-0.7473897560975612</v>
      </c>
      <c r="M23" s="8">
        <f t="shared" ref="M23" si="56">M21/M22</f>
        <v>-0.46910682926829295</v>
      </c>
      <c r="N23" s="8">
        <f t="shared" ref="N23" si="57">N21/N22</f>
        <v>-0.91870829268292675</v>
      </c>
      <c r="S23" s="8">
        <f t="shared" ref="S23:Y23" si="58">S21/S22</f>
        <v>3.3196166854565958</v>
      </c>
      <c r="T23" s="8">
        <f t="shared" si="58"/>
        <v>2.3562570462232229</v>
      </c>
      <c r="U23" s="8">
        <f t="shared" si="58"/>
        <v>-6.3399098083427248</v>
      </c>
      <c r="V23" s="8">
        <f t="shared" si="58"/>
        <v>-21.105975197294246</v>
      </c>
      <c r="W23" s="8">
        <f t="shared" si="58"/>
        <v>-25.247463359639227</v>
      </c>
      <c r="X23" s="8">
        <f t="shared" si="58"/>
        <v>-2.1997035230352364</v>
      </c>
      <c r="Y23" s="8">
        <f t="shared" si="58"/>
        <v>7.526155737127362</v>
      </c>
      <c r="Z23" s="8">
        <f t="shared" ref="Z23:AG23" si="59">Z21/Z22</f>
        <v>6.542951365013546</v>
      </c>
      <c r="AA23" s="8">
        <f t="shared" si="59"/>
        <v>6.6738103923138175</v>
      </c>
      <c r="AB23" s="8">
        <f t="shared" si="59"/>
        <v>6.733684292295492</v>
      </c>
      <c r="AC23" s="8">
        <f t="shared" si="59"/>
        <v>6.7940196471981542</v>
      </c>
      <c r="AD23" s="8">
        <f t="shared" si="59"/>
        <v>6.8548183258894326</v>
      </c>
      <c r="AE23" s="8">
        <f t="shared" si="59"/>
        <v>6.9160821610120164</v>
      </c>
      <c r="AF23" s="8">
        <f t="shared" si="59"/>
        <v>6.9778129475230957</v>
      </c>
      <c r="AG23" s="8">
        <f t="shared" si="59"/>
        <v>7.0400124411973088</v>
      </c>
    </row>
    <row r="25" spans="2:139" x14ac:dyDescent="0.3">
      <c r="B25" s="1" t="s">
        <v>43</v>
      </c>
      <c r="C25" s="11"/>
      <c r="D25" s="11"/>
      <c r="E25" s="11"/>
      <c r="F25" s="11"/>
      <c r="G25" s="11">
        <f t="shared" ref="G25:J25" si="60">G3/C3-1</f>
        <v>0.11002645744001471</v>
      </c>
      <c r="H25" s="11">
        <f t="shared" si="60"/>
        <v>9.3301435406698774E-2</v>
      </c>
      <c r="I25" s="11">
        <f t="shared" si="60"/>
        <v>2.8885946035424492E-2</v>
      </c>
      <c r="J25" s="11">
        <f t="shared" si="60"/>
        <v>0.16912581310487074</v>
      </c>
      <c r="K25" s="11">
        <f>K3/G3-1</f>
        <v>0.13627023917152958</v>
      </c>
      <c r="L25" s="11">
        <f t="shared" ref="L25:N27" si="61">L3/H3-1</f>
        <v>0.12999999999999989</v>
      </c>
      <c r="M25" s="11">
        <f t="shared" si="61"/>
        <v>0.12000000000000011</v>
      </c>
      <c r="N25" s="11">
        <f t="shared" si="61"/>
        <v>2.0000000000000018E-2</v>
      </c>
      <c r="S25" s="11"/>
      <c r="T25" s="11">
        <f t="shared" ref="T25:V25" si="62">T3/S3-1</f>
        <v>3.1177516040606035E-2</v>
      </c>
      <c r="U25" s="11">
        <f t="shared" si="62"/>
        <v>0.38338396821687337</v>
      </c>
      <c r="V25" s="11">
        <f t="shared" si="62"/>
        <v>-8.8901089619056739E-3</v>
      </c>
      <c r="W25" s="11">
        <f>W3/V3-1</f>
        <v>0.10099073186321506</v>
      </c>
      <c r="X25" s="11">
        <f t="shared" ref="X25:X26" si="63">X3/W3-1</f>
        <v>9.7698113207547177E-2</v>
      </c>
    </row>
    <row r="26" spans="2:139" x14ac:dyDescent="0.3">
      <c r="B26" s="1" t="s">
        <v>44</v>
      </c>
      <c r="C26" s="11"/>
      <c r="D26" s="11"/>
      <c r="E26" s="11"/>
      <c r="F26" s="11"/>
      <c r="G26" s="11">
        <f t="shared" ref="G26:K26" si="64">G4/C4-1</f>
        <v>-0.35577942735949097</v>
      </c>
      <c r="H26" s="11">
        <f t="shared" si="64"/>
        <v>-0.30128956623681125</v>
      </c>
      <c r="I26" s="11">
        <f t="shared" si="64"/>
        <v>-0.26185958254269448</v>
      </c>
      <c r="J26" s="11">
        <f t="shared" si="64"/>
        <v>-0.21685878962536032</v>
      </c>
      <c r="K26" s="11">
        <f t="shared" si="64"/>
        <v>-1.6460905349794386E-3</v>
      </c>
      <c r="L26" s="11">
        <f t="shared" si="61"/>
        <v>5.0000000000000044E-2</v>
      </c>
      <c r="M26" s="11">
        <f t="shared" si="61"/>
        <v>5.0000000000000044E-2</v>
      </c>
      <c r="N26" s="11">
        <f t="shared" si="61"/>
        <v>0.19999999999999996</v>
      </c>
      <c r="S26" s="11"/>
      <c r="T26" s="11">
        <f t="shared" ref="T26:V26" si="65">T4/S4-1</f>
        <v>0.53672316384180774</v>
      </c>
      <c r="U26" s="11">
        <f t="shared" si="65"/>
        <v>6.528186274509804</v>
      </c>
      <c r="V26" s="11">
        <f t="shared" si="65"/>
        <v>6.8044929187693448E-2</v>
      </c>
      <c r="W26" s="11">
        <f>W4/V4-1</f>
        <v>-0.28959000152415793</v>
      </c>
      <c r="X26" s="11">
        <f t="shared" si="63"/>
        <v>7.1518987341772089E-2</v>
      </c>
    </row>
    <row r="27" spans="2:139" x14ac:dyDescent="0.3">
      <c r="B27" s="1" t="s">
        <v>45</v>
      </c>
      <c r="C27" s="11"/>
      <c r="D27" s="11"/>
      <c r="E27" s="11"/>
      <c r="F27" s="11"/>
      <c r="G27" s="11">
        <f t="shared" ref="G27:K27" si="66">G5/C5-1</f>
        <v>4.1643963571261988E-2</v>
      </c>
      <c r="H27" s="11">
        <f t="shared" si="66"/>
        <v>4.1487068965517571E-2</v>
      </c>
      <c r="I27" s="11">
        <f t="shared" si="66"/>
        <v>-4.7573739295908579E-3</v>
      </c>
      <c r="J27" s="11">
        <f t="shared" si="66"/>
        <v>0.13084178933828805</v>
      </c>
      <c r="K27" s="11">
        <f t="shared" si="66"/>
        <v>0.123748318636975</v>
      </c>
      <c r="L27" s="11">
        <f t="shared" si="61"/>
        <v>0.12295247949153798</v>
      </c>
      <c r="M27" s="11">
        <f t="shared" si="61"/>
        <v>0.11399249889689655</v>
      </c>
      <c r="N27" s="11">
        <f t="shared" si="61"/>
        <v>3.2363981042654144E-2</v>
      </c>
      <c r="S27" s="11"/>
      <c r="T27" s="11">
        <f t="shared" ref="T27:V27" si="67">T5/S5-1</f>
        <v>3.9136622390891773E-2</v>
      </c>
      <c r="U27" s="11">
        <f t="shared" si="67"/>
        <v>0.52644944076694844</v>
      </c>
      <c r="V27" s="11">
        <f t="shared" si="67"/>
        <v>-5.6075814501288512E-5</v>
      </c>
      <c r="W27" s="11">
        <f>W5/V5-1</f>
        <v>5.3088081351876815E-2</v>
      </c>
      <c r="X27" s="11">
        <f>X5/W5-1</f>
        <v>9.553216415790966E-2</v>
      </c>
      <c r="Y27" s="11">
        <f t="shared" ref="Y27:AG27" si="68">Y5/X5-1</f>
        <v>0.7</v>
      </c>
      <c r="Z27" s="11">
        <f t="shared" si="68"/>
        <v>-6.9999999999999951E-2</v>
      </c>
      <c r="AA27" s="11">
        <f t="shared" si="68"/>
        <v>2.0000000000000018E-2</v>
      </c>
      <c r="AB27" s="11">
        <f t="shared" si="68"/>
        <v>1.0000000000000009E-2</v>
      </c>
      <c r="AC27" s="11">
        <f t="shared" si="68"/>
        <v>1.0000000000000009E-2</v>
      </c>
      <c r="AD27" s="11">
        <f t="shared" si="68"/>
        <v>1.0000000000000009E-2</v>
      </c>
      <c r="AE27" s="11">
        <f t="shared" si="68"/>
        <v>1.0000000000000009E-2</v>
      </c>
      <c r="AF27" s="11">
        <f t="shared" si="68"/>
        <v>1.0000000000000009E-2</v>
      </c>
      <c r="AG27" s="11">
        <f t="shared" si="68"/>
        <v>1.0000000000000009E-2</v>
      </c>
    </row>
    <row r="28" spans="2:139" x14ac:dyDescent="0.3">
      <c r="B28" s="1" t="s">
        <v>46</v>
      </c>
      <c r="C28" s="11">
        <f t="shared" ref="C28:J28" si="69">C7/C5</f>
        <v>0.52868373939441105</v>
      </c>
      <c r="D28" s="11">
        <f t="shared" si="69"/>
        <v>0.31973522167487678</v>
      </c>
      <c r="E28" s="11">
        <f t="shared" si="69"/>
        <v>0.49630388640854861</v>
      </c>
      <c r="F28" s="11">
        <f t="shared" si="69"/>
        <v>0.33521509218236384</v>
      </c>
      <c r="G28" s="11">
        <f t="shared" si="69"/>
        <v>0.57622179046480348</v>
      </c>
      <c r="H28" s="11">
        <f t="shared" si="69"/>
        <v>0.53794989283866679</v>
      </c>
      <c r="I28" s="11">
        <f t="shared" si="69"/>
        <v>0.55883218120311806</v>
      </c>
      <c r="J28" s="11">
        <f t="shared" si="69"/>
        <v>0.50761453396524481</v>
      </c>
      <c r="K28" s="11">
        <f>K7/K5</f>
        <v>0.62840803298310943</v>
      </c>
      <c r="L28" s="11">
        <f t="shared" ref="L28:N28" si="70">L7/L5</f>
        <v>0.56999999999999995</v>
      </c>
      <c r="M28" s="11">
        <f t="shared" si="70"/>
        <v>0.56999999999999995</v>
      </c>
      <c r="N28" s="11">
        <f t="shared" si="70"/>
        <v>0.56999999999999995</v>
      </c>
      <c r="S28" s="11">
        <f t="shared" ref="S28:V28" si="71">S7/S5</f>
        <v>0.54485887096774188</v>
      </c>
      <c r="T28" s="11">
        <f t="shared" si="71"/>
        <v>0.56191508787947952</v>
      </c>
      <c r="U28" s="11">
        <f t="shared" si="71"/>
        <v>0.4271668629320175</v>
      </c>
      <c r="V28" s="11">
        <f t="shared" si="71"/>
        <v>0.41905936892477941</v>
      </c>
      <c r="W28" s="11">
        <f>W7/W5</f>
        <v>0.54356006816245384</v>
      </c>
      <c r="X28" s="11">
        <f>X7/X5</f>
        <v>0.58423152764433006</v>
      </c>
      <c r="Y28" s="11">
        <f t="shared" ref="Y28:AG28" si="72">Y7/Y5</f>
        <v>0.57999999999999996</v>
      </c>
      <c r="Z28" s="11">
        <f t="shared" si="72"/>
        <v>0.57999999999999996</v>
      </c>
      <c r="AA28" s="11">
        <f t="shared" si="72"/>
        <v>0.57999999999999996</v>
      </c>
      <c r="AB28" s="11">
        <f t="shared" si="72"/>
        <v>0.57999999999999996</v>
      </c>
      <c r="AC28" s="11">
        <f t="shared" si="72"/>
        <v>0.57999999999999996</v>
      </c>
      <c r="AD28" s="11">
        <f t="shared" si="72"/>
        <v>0.57999999999999996</v>
      </c>
      <c r="AE28" s="11">
        <f t="shared" si="72"/>
        <v>0.57999999999999996</v>
      </c>
      <c r="AF28" s="11">
        <f t="shared" si="72"/>
        <v>0.57999999999999996</v>
      </c>
      <c r="AG28" s="11">
        <f t="shared" si="72"/>
        <v>0.57999999999999996</v>
      </c>
      <c r="AJ28" s="1" t="s">
        <v>52</v>
      </c>
      <c r="AK28" s="11">
        <v>-0.01</v>
      </c>
    </row>
    <row r="29" spans="2:139" x14ac:dyDescent="0.3">
      <c r="B29" s="1" t="s">
        <v>47</v>
      </c>
      <c r="C29" s="11">
        <f t="shared" ref="C29:J29" si="73">C8/C5</f>
        <v>0.31088970187592435</v>
      </c>
      <c r="D29" s="11">
        <f t="shared" si="73"/>
        <v>0.25754310344827591</v>
      </c>
      <c r="E29" s="11">
        <f t="shared" si="73"/>
        <v>0.2688282222059577</v>
      </c>
      <c r="F29" s="11">
        <f t="shared" si="73"/>
        <v>0.32070887523224245</v>
      </c>
      <c r="G29" s="11">
        <f t="shared" si="73"/>
        <v>0.32237333731878642</v>
      </c>
      <c r="H29" s="11">
        <f t="shared" si="73"/>
        <v>0.34092084842214171</v>
      </c>
      <c r="I29" s="11">
        <f t="shared" si="73"/>
        <v>0.28599794087365787</v>
      </c>
      <c r="J29" s="11">
        <f t="shared" si="73"/>
        <v>0.25409162717219591</v>
      </c>
      <c r="K29" s="11">
        <f>K8/K5</f>
        <v>0.27184466019417475</v>
      </c>
      <c r="L29" s="11">
        <f t="shared" ref="L29:N29" si="74">L8/L5</f>
        <v>0.27</v>
      </c>
      <c r="M29" s="11">
        <f t="shared" si="74"/>
        <v>0.27</v>
      </c>
      <c r="N29" s="11">
        <f t="shared" si="74"/>
        <v>0.27</v>
      </c>
      <c r="S29" s="11">
        <f t="shared" ref="S29:V29" si="75">S8/S5</f>
        <v>0.1319378557874763</v>
      </c>
      <c r="T29" s="11">
        <f t="shared" si="75"/>
        <v>0.14734078977402421</v>
      </c>
      <c r="U29" s="11">
        <f t="shared" si="75"/>
        <v>0.2965475990205424</v>
      </c>
      <c r="V29" s="11">
        <f t="shared" si="75"/>
        <v>0.28977867504112453</v>
      </c>
      <c r="W29" s="11">
        <f>W8/W5</f>
        <v>0.29886750923033228</v>
      </c>
      <c r="X29" s="11">
        <f>X8/X5</f>
        <v>0.27044946441794038</v>
      </c>
      <c r="Y29" s="11">
        <f t="shared" ref="Y29:AG29" si="76">Y8/Y5</f>
        <v>0</v>
      </c>
      <c r="Z29" s="11">
        <f t="shared" si="76"/>
        <v>0</v>
      </c>
      <c r="AA29" s="11">
        <f t="shared" si="76"/>
        <v>0</v>
      </c>
      <c r="AB29" s="11">
        <f t="shared" si="76"/>
        <v>0</v>
      </c>
      <c r="AC29" s="11">
        <f t="shared" si="76"/>
        <v>0</v>
      </c>
      <c r="AD29" s="11">
        <f t="shared" si="76"/>
        <v>0</v>
      </c>
      <c r="AE29" s="11">
        <f t="shared" si="76"/>
        <v>0</v>
      </c>
      <c r="AF29" s="11">
        <f t="shared" si="76"/>
        <v>0</v>
      </c>
      <c r="AG29" s="11">
        <f t="shared" si="76"/>
        <v>0</v>
      </c>
      <c r="AJ29" s="1" t="s">
        <v>53</v>
      </c>
      <c r="AK29" s="11">
        <v>7.0000000000000007E-2</v>
      </c>
    </row>
    <row r="30" spans="2:139" x14ac:dyDescent="0.3">
      <c r="B30" s="1" t="s">
        <v>48</v>
      </c>
      <c r="C30" s="11"/>
      <c r="D30" s="11"/>
      <c r="E30" s="11"/>
      <c r="F30" s="11"/>
      <c r="G30" s="11">
        <f t="shared" ref="G30:J30" si="77">G9/C9-1</f>
        <v>-7.8792958927074497E-2</v>
      </c>
      <c r="H30" s="11">
        <f t="shared" si="77"/>
        <v>6.2903920723826001E-2</v>
      </c>
      <c r="I30" s="11">
        <f t="shared" si="77"/>
        <v>3.8362068965517304E-2</v>
      </c>
      <c r="J30" s="11">
        <f t="shared" si="77"/>
        <v>0.21303462321792255</v>
      </c>
      <c r="K30" s="11">
        <f>K9/G9-1</f>
        <v>0.18926296633302986</v>
      </c>
      <c r="L30" s="11">
        <f t="shared" ref="L30:N30" si="78">L9/H9-1</f>
        <v>0.14999999999999991</v>
      </c>
      <c r="M30" s="11">
        <f t="shared" si="78"/>
        <v>0.12999999999999989</v>
      </c>
      <c r="N30" s="11">
        <f t="shared" si="78"/>
        <v>7.0000000000000062E-2</v>
      </c>
      <c r="S30" s="11"/>
      <c r="T30" s="11">
        <f t="shared" ref="T30:V30" si="79">T9/S9-1</f>
        <v>0.2814371257485031</v>
      </c>
      <c r="U30" s="11">
        <f t="shared" si="79"/>
        <v>1.1829808165272997</v>
      </c>
      <c r="V30" s="11">
        <f t="shared" si="79"/>
        <v>6.8273997296079303E-2</v>
      </c>
      <c r="W30" s="11">
        <f>W9/V9-1</f>
        <v>6.0113900021092626E-2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J30" s="1" t="s">
        <v>54</v>
      </c>
      <c r="AK30" s="6">
        <f>NPV(AK29,X21:EI21)</f>
        <v>15539.047632985568</v>
      </c>
    </row>
    <row r="31" spans="2:139" x14ac:dyDescent="0.3">
      <c r="B31" s="1" t="s">
        <v>49</v>
      </c>
      <c r="C31" s="11"/>
      <c r="D31" s="11"/>
      <c r="E31" s="11"/>
      <c r="F31" s="11"/>
      <c r="G31" s="11">
        <f t="shared" ref="G31:J31" si="80">G10/C10-1</f>
        <v>6.3668519454269878E-2</v>
      </c>
      <c r="H31" s="11">
        <f t="shared" si="80"/>
        <v>0.41895681435782373</v>
      </c>
      <c r="I31" s="11">
        <f t="shared" si="80"/>
        <v>0.14909090909090916</v>
      </c>
      <c r="J31" s="11">
        <f t="shared" si="80"/>
        <v>0.31542857142857139</v>
      </c>
      <c r="K31" s="11">
        <f>K10/G10-1</f>
        <v>-1.6627078384798155E-2</v>
      </c>
      <c r="L31" s="11">
        <f t="shared" ref="L31:N31" si="81">L10/H10-1</f>
        <v>-5.0000000000000044E-2</v>
      </c>
      <c r="M31" s="11">
        <f t="shared" si="81"/>
        <v>2.0000000000000018E-2</v>
      </c>
      <c r="N31" s="11">
        <f t="shared" si="81"/>
        <v>2.0000000000000018E-2</v>
      </c>
      <c r="S31" s="11"/>
      <c r="T31" s="11">
        <f t="shared" ref="T31:V31" si="82">T10/S10-1</f>
        <v>0.31070696721311486</v>
      </c>
      <c r="U31" s="11">
        <f t="shared" si="82"/>
        <v>0.64060973226499907</v>
      </c>
      <c r="V31" s="11">
        <f t="shared" si="82"/>
        <v>-0.14699225729600951</v>
      </c>
      <c r="W31" s="11">
        <f>W10/V10-1</f>
        <v>0.23348694316436247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J31" s="1" t="s">
        <v>55</v>
      </c>
      <c r="AK31" s="6">
        <f>Main!D8</f>
        <v>-2195.6</v>
      </c>
    </row>
    <row r="32" spans="2:139" x14ac:dyDescent="0.3">
      <c r="B32" s="1" t="s">
        <v>50</v>
      </c>
      <c r="C32" s="11">
        <f t="shared" ref="C32:J32" si="83">C15/C5</f>
        <v>-0.15902545341324839</v>
      </c>
      <c r="D32" s="11">
        <f t="shared" si="83"/>
        <v>-0.41848830049261093</v>
      </c>
      <c r="E32" s="11">
        <f t="shared" si="83"/>
        <v>-9.4781526751079648E-2</v>
      </c>
      <c r="F32" s="11">
        <f t="shared" si="83"/>
        <v>-1.938759468343576</v>
      </c>
      <c r="G32" s="11">
        <f t="shared" si="83"/>
        <v>-0.1381706770288447</v>
      </c>
      <c r="H32" s="11">
        <f t="shared" si="83"/>
        <v>-0.21964378094745385</v>
      </c>
      <c r="I32" s="11">
        <f t="shared" si="83"/>
        <v>-9.7146639211648789E-2</v>
      </c>
      <c r="J32" s="11">
        <f t="shared" si="83"/>
        <v>-2.3866666666666672</v>
      </c>
      <c r="K32" s="11">
        <f>K15/K5</f>
        <v>1.4363612182471088E-2</v>
      </c>
      <c r="L32" s="11">
        <f t="shared" ref="L32:N32" si="84">L15/L5</f>
        <v>-7.7800241795313779E-2</v>
      </c>
      <c r="M32" s="11">
        <f t="shared" si="84"/>
        <v>-4.0379335453295404E-2</v>
      </c>
      <c r="N32" s="11">
        <f t="shared" si="84"/>
        <v>-9.3856704592475054E-2</v>
      </c>
      <c r="S32" s="11">
        <f t="shared" ref="S32:V32" si="85">S15/S5</f>
        <v>0.18661053130929794</v>
      </c>
      <c r="T32" s="11">
        <f t="shared" si="85"/>
        <v>0.13512896598950003</v>
      </c>
      <c r="U32" s="11">
        <f t="shared" si="85"/>
        <v>-0.21779846352268253</v>
      </c>
      <c r="V32" s="11">
        <f t="shared" si="85"/>
        <v>-0.67119036937341092</v>
      </c>
      <c r="W32" s="11">
        <f>W15/W5</f>
        <v>-0.77944831013916471</v>
      </c>
      <c r="X32" s="11">
        <f>X15/X5</f>
        <v>-5.0409524627377328E-2</v>
      </c>
      <c r="Y32" s="11">
        <f t="shared" ref="Y32:AG32" si="86">Y15/Y5</f>
        <v>0.16934990735360103</v>
      </c>
      <c r="Z32" s="11">
        <f t="shared" si="86"/>
        <v>0.16051872256550651</v>
      </c>
      <c r="AA32" s="11">
        <f t="shared" si="86"/>
        <v>0.16051872256550653</v>
      </c>
      <c r="AB32" s="11">
        <f t="shared" si="86"/>
        <v>0.16051872256550651</v>
      </c>
      <c r="AC32" s="11">
        <f t="shared" si="86"/>
        <v>0.16051872256550651</v>
      </c>
      <c r="AD32" s="11">
        <f t="shared" si="86"/>
        <v>0.16051872256550642</v>
      </c>
      <c r="AE32" s="11">
        <f t="shared" si="86"/>
        <v>0.16051872256550645</v>
      </c>
      <c r="AF32" s="11">
        <f t="shared" si="86"/>
        <v>0.16051872256550642</v>
      </c>
      <c r="AG32" s="11">
        <f t="shared" si="86"/>
        <v>0.16051872256550642</v>
      </c>
      <c r="AJ32" s="1" t="s">
        <v>56</v>
      </c>
      <c r="AK32" s="6">
        <f>AK30+AK31</f>
        <v>13343.447632985568</v>
      </c>
    </row>
    <row r="33" spans="2:37" x14ac:dyDescent="0.3">
      <c r="B33" s="1" t="s">
        <v>27</v>
      </c>
      <c r="C33" s="11">
        <f t="shared" ref="C33:J33" si="87">C20/C19</f>
        <v>0.10004368719965041</v>
      </c>
      <c r="D33" s="11">
        <f t="shared" si="87"/>
        <v>5.7885615251299823E-2</v>
      </c>
      <c r="E33" s="11">
        <f t="shared" si="87"/>
        <v>0.39855548260013102</v>
      </c>
      <c r="F33" s="11">
        <f t="shared" si="87"/>
        <v>-5.7713327989506673E-2</v>
      </c>
      <c r="G33" s="11">
        <f t="shared" si="87"/>
        <v>-0.23468426013195098</v>
      </c>
      <c r="H33" s="11">
        <f t="shared" si="87"/>
        <v>-0.1270428615479495</v>
      </c>
      <c r="I33" s="11">
        <f t="shared" si="87"/>
        <v>0.18116415958142573</v>
      </c>
      <c r="J33" s="11">
        <f t="shared" si="87"/>
        <v>1.9911097083037427E-2</v>
      </c>
      <c r="K33" s="11">
        <f>K20/K19</f>
        <v>0.13768115942029008</v>
      </c>
      <c r="L33" s="11">
        <f t="shared" ref="L33:N33" si="88">L20/L19</f>
        <v>0.1</v>
      </c>
      <c r="M33" s="11">
        <f t="shared" si="88"/>
        <v>0.1</v>
      </c>
      <c r="N33" s="11">
        <f t="shared" si="88"/>
        <v>0.1</v>
      </c>
      <c r="S33" s="11">
        <f t="shared" ref="S33:V33" si="89">S20/S19</f>
        <v>0.13115963411035703</v>
      </c>
      <c r="T33" s="11">
        <f t="shared" si="89"/>
        <v>0.10184787279759354</v>
      </c>
      <c r="U33" s="11">
        <f t="shared" si="89"/>
        <v>0.15947985950227941</v>
      </c>
      <c r="V33" s="11">
        <f t="shared" si="89"/>
        <v>-1.118072809765583E-2</v>
      </c>
      <c r="W33" s="11">
        <f>W20/W19</f>
        <v>2.7608932825685223E-3</v>
      </c>
      <c r="X33" s="11">
        <f>X20/X19</f>
        <v>0.10115167313744534</v>
      </c>
      <c r="Y33" s="11">
        <f t="shared" ref="Y33:AG33" si="90">Y20/Y19</f>
        <v>0.15</v>
      </c>
      <c r="Z33" s="11">
        <f t="shared" si="90"/>
        <v>0.15</v>
      </c>
      <c r="AA33" s="11">
        <f t="shared" si="90"/>
        <v>0.15</v>
      </c>
      <c r="AB33" s="11">
        <f t="shared" si="90"/>
        <v>0.15</v>
      </c>
      <c r="AC33" s="11">
        <f t="shared" si="90"/>
        <v>0.15</v>
      </c>
      <c r="AD33" s="11">
        <f t="shared" si="90"/>
        <v>0.15</v>
      </c>
      <c r="AE33" s="11">
        <f t="shared" si="90"/>
        <v>0.15</v>
      </c>
      <c r="AF33" s="11">
        <f t="shared" si="90"/>
        <v>0.15</v>
      </c>
      <c r="AG33" s="11">
        <f t="shared" si="90"/>
        <v>0.15</v>
      </c>
      <c r="AJ33" s="1" t="s">
        <v>57</v>
      </c>
      <c r="AK33" s="5">
        <f>AK32/AG22</f>
        <v>72.322209392875706</v>
      </c>
    </row>
    <row r="34" spans="2:37" x14ac:dyDescent="0.3">
      <c r="B34" s="1" t="s">
        <v>51</v>
      </c>
      <c r="C34" s="11">
        <f t="shared" ref="C34:J34" si="91">C21/C5</f>
        <v>-0.16034871954541932</v>
      </c>
      <c r="D34" s="11">
        <f t="shared" si="91"/>
        <v>-0.41841133004926118</v>
      </c>
      <c r="E34" s="11">
        <f t="shared" si="91"/>
        <v>-6.704237722315752E-2</v>
      </c>
      <c r="F34" s="11">
        <f t="shared" si="91"/>
        <v>-2.0744604830641706</v>
      </c>
      <c r="G34" s="11">
        <f t="shared" si="91"/>
        <v>-0.19578538335076967</v>
      </c>
      <c r="H34" s="11">
        <f t="shared" si="91"/>
        <v>-0.2701204641194293</v>
      </c>
      <c r="I34" s="11">
        <f t="shared" si="91"/>
        <v>-9.207236358287986E-2</v>
      </c>
      <c r="J34" s="11">
        <f t="shared" si="91"/>
        <v>-2.3546287519747242</v>
      </c>
      <c r="K34" s="11">
        <f>K21/K5</f>
        <v>-7.9132863412687705E-3</v>
      </c>
      <c r="L34" s="11">
        <f t="shared" ref="L34:N34" si="92">L21/L5</f>
        <v>-9.0751171298883118E-2</v>
      </c>
      <c r="M34" s="11">
        <f t="shared" si="92"/>
        <v>-5.7136130213287929E-2</v>
      </c>
      <c r="N34" s="11">
        <f t="shared" si="92"/>
        <v>-0.10375223110993587</v>
      </c>
      <c r="S34" s="11">
        <f t="shared" ref="S34:V34" si="93">S21/S5</f>
        <v>0.17460270398481978</v>
      </c>
      <c r="T34" s="11">
        <f t="shared" si="93"/>
        <v>0.11926500798904352</v>
      </c>
      <c r="U34" s="11">
        <f t="shared" si="93"/>
        <v>-0.21022822856501977</v>
      </c>
      <c r="V34" s="11">
        <f t="shared" si="93"/>
        <v>-0.69990279647076403</v>
      </c>
      <c r="W34" s="11">
        <f>W21/W5</f>
        <v>-0.79503337120136297</v>
      </c>
      <c r="X34" s="11">
        <f>X21/X5</f>
        <v>-6.575811879535777E-2</v>
      </c>
      <c r="Y34" s="11">
        <f t="shared" ref="Y34:AG34" si="94">Y21/Y5</f>
        <v>0.1323456007090324</v>
      </c>
      <c r="Z34" s="11">
        <f t="shared" si="94"/>
        <v>0.12371633681255254</v>
      </c>
      <c r="AA34" s="11">
        <f t="shared" si="94"/>
        <v>0.12371633681255254</v>
      </c>
      <c r="AB34" s="11">
        <f t="shared" si="94"/>
        <v>0.12359035089801661</v>
      </c>
      <c r="AC34" s="11">
        <f t="shared" si="94"/>
        <v>0.12346311759818825</v>
      </c>
      <c r="AD34" s="11">
        <f t="shared" si="94"/>
        <v>0.12333462456271796</v>
      </c>
      <c r="AE34" s="11">
        <f t="shared" si="94"/>
        <v>0.12320485931897579</v>
      </c>
      <c r="AF34" s="11">
        <f t="shared" si="94"/>
        <v>0.12307380927084006</v>
      </c>
      <c r="AG34" s="11">
        <f t="shared" si="94"/>
        <v>0.12294146169747534</v>
      </c>
      <c r="AJ34" s="1" t="s">
        <v>58</v>
      </c>
      <c r="AK34" s="5">
        <f>Main!D3</f>
        <v>249.98</v>
      </c>
    </row>
    <row r="35" spans="2:37" x14ac:dyDescent="0.3">
      <c r="AJ35" s="2" t="s">
        <v>59</v>
      </c>
      <c r="AK35" s="12">
        <f>AK33/AK34-1</f>
        <v>-0.71068801746989474</v>
      </c>
    </row>
    <row r="36" spans="2:37" x14ac:dyDescent="0.3">
      <c r="AJ36" s="1" t="s">
        <v>60</v>
      </c>
      <c r="AK36" s="10" t="s">
        <v>61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2025-07-17T14:40:33Z</dcterms:created>
  <dcterms:modified xsi:type="dcterms:W3CDTF">2025-09-09T08:23:14Z</dcterms:modified>
</cp:coreProperties>
</file>