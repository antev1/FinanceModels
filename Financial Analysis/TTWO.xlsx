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4FAEED1A-D483-4E6F-8E7D-C37B7D03FCFD}" xr6:coauthVersionLast="47" xr6:coauthVersionMax="47" xr10:uidLastSave="{00000000-0000-0000-0000-000000000000}"/>
  <bookViews>
    <workbookView xWindow="-108" yWindow="-108" windowWidth="23256" windowHeight="12576" activeTab="1" xr2:uid="{4E1C87E7-E382-44AE-8697-EE947DCD8AC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2" l="1"/>
  <c r="N30" i="2" s="1"/>
  <c r="N8" i="2"/>
  <c r="N3" i="2"/>
  <c r="N25" i="2" s="1"/>
  <c r="M7" i="2"/>
  <c r="D7" i="1"/>
  <c r="D6" i="1"/>
  <c r="M25" i="2"/>
  <c r="L7" i="2"/>
  <c r="AG22" i="2"/>
  <c r="AF22" i="2"/>
  <c r="AE22" i="2"/>
  <c r="AD22" i="2"/>
  <c r="AC22" i="2"/>
  <c r="AB22" i="2"/>
  <c r="AA22" i="2"/>
  <c r="Z22" i="2"/>
  <c r="Y22" i="2"/>
  <c r="X22" i="2"/>
  <c r="N22" i="2"/>
  <c r="M22" i="2"/>
  <c r="L22" i="2"/>
  <c r="D4" i="1"/>
  <c r="N18" i="2"/>
  <c r="M18" i="2"/>
  <c r="L18" i="2"/>
  <c r="N10" i="2"/>
  <c r="N31" i="2" s="1"/>
  <c r="M31" i="2"/>
  <c r="X10" i="2"/>
  <c r="L31" i="2"/>
  <c r="M30" i="2"/>
  <c r="L30" i="2"/>
  <c r="N26" i="2"/>
  <c r="M26" i="2"/>
  <c r="L26" i="2"/>
  <c r="L25" i="2"/>
  <c r="X17" i="2"/>
  <c r="X16" i="2"/>
  <c r="X13" i="2"/>
  <c r="X12" i="2"/>
  <c r="X11" i="2"/>
  <c r="X4" i="2"/>
  <c r="X26" i="2" s="1"/>
  <c r="L5" i="2"/>
  <c r="L28" i="2" s="1"/>
  <c r="N4" i="2"/>
  <c r="K18" i="2"/>
  <c r="K14" i="2"/>
  <c r="K5" i="2"/>
  <c r="K27" i="2" s="1"/>
  <c r="K22" i="2"/>
  <c r="D5" i="1"/>
  <c r="AK34" i="2"/>
  <c r="V34" i="2"/>
  <c r="U34" i="2"/>
  <c r="T34" i="2"/>
  <c r="S34" i="2"/>
  <c r="V33" i="2"/>
  <c r="U33" i="2"/>
  <c r="T33" i="2"/>
  <c r="S33" i="2"/>
  <c r="V32" i="2"/>
  <c r="U32" i="2"/>
  <c r="T32" i="2"/>
  <c r="S32" i="2"/>
  <c r="V31" i="2"/>
  <c r="U31" i="2"/>
  <c r="T31" i="2"/>
  <c r="V30" i="2"/>
  <c r="U30" i="2"/>
  <c r="T30" i="2"/>
  <c r="V29" i="2"/>
  <c r="U29" i="2"/>
  <c r="T29" i="2"/>
  <c r="S29" i="2"/>
  <c r="V28" i="2"/>
  <c r="U28" i="2"/>
  <c r="T28" i="2"/>
  <c r="S28" i="2"/>
  <c r="V27" i="2"/>
  <c r="U27" i="2"/>
  <c r="T27" i="2"/>
  <c r="V26" i="2"/>
  <c r="U26" i="2"/>
  <c r="T26" i="2"/>
  <c r="V25" i="2"/>
  <c r="U25" i="2"/>
  <c r="T25" i="2"/>
  <c r="W31" i="2"/>
  <c r="W30" i="2"/>
  <c r="W27" i="2"/>
  <c r="W26" i="2"/>
  <c r="W25" i="2"/>
  <c r="W34" i="2"/>
  <c r="W33" i="2"/>
  <c r="W32" i="2"/>
  <c r="W29" i="2"/>
  <c r="W28" i="2"/>
  <c r="J27" i="2"/>
  <c r="I27" i="2"/>
  <c r="H27" i="2"/>
  <c r="G27" i="2"/>
  <c r="K26" i="2"/>
  <c r="J26" i="2"/>
  <c r="I26" i="2"/>
  <c r="H26" i="2"/>
  <c r="G26" i="2"/>
  <c r="J25" i="2"/>
  <c r="I25" i="2"/>
  <c r="H25" i="2"/>
  <c r="G25" i="2"/>
  <c r="K25" i="2"/>
  <c r="J34" i="2"/>
  <c r="I34" i="2"/>
  <c r="H34" i="2"/>
  <c r="G34" i="2"/>
  <c r="F34" i="2"/>
  <c r="E34" i="2"/>
  <c r="D34" i="2"/>
  <c r="C34" i="2"/>
  <c r="J33" i="2"/>
  <c r="I33" i="2"/>
  <c r="H33" i="2"/>
  <c r="G33" i="2"/>
  <c r="F33" i="2"/>
  <c r="E33" i="2"/>
  <c r="D33" i="2"/>
  <c r="C33" i="2"/>
  <c r="J32" i="2"/>
  <c r="I32" i="2"/>
  <c r="H32" i="2"/>
  <c r="G32" i="2"/>
  <c r="F32" i="2"/>
  <c r="E32" i="2"/>
  <c r="D32" i="2"/>
  <c r="C32" i="2"/>
  <c r="J31" i="2"/>
  <c r="I31" i="2"/>
  <c r="H31" i="2"/>
  <c r="G31" i="2"/>
  <c r="J30" i="2"/>
  <c r="I30" i="2"/>
  <c r="H30" i="2"/>
  <c r="G30" i="2"/>
  <c r="J29" i="2"/>
  <c r="I29" i="2"/>
  <c r="H29" i="2"/>
  <c r="G29" i="2"/>
  <c r="F29" i="2"/>
  <c r="E29" i="2"/>
  <c r="D29" i="2"/>
  <c r="C29" i="2"/>
  <c r="J28" i="2"/>
  <c r="I28" i="2"/>
  <c r="H28" i="2"/>
  <c r="G28" i="2"/>
  <c r="F28" i="2"/>
  <c r="E28" i="2"/>
  <c r="D28" i="2"/>
  <c r="C28" i="2"/>
  <c r="K31" i="2"/>
  <c r="K30" i="2"/>
  <c r="K29" i="2"/>
  <c r="K28" i="2"/>
  <c r="F18" i="2"/>
  <c r="F14" i="2"/>
  <c r="F5" i="2"/>
  <c r="F7" i="2" s="1"/>
  <c r="J18" i="2"/>
  <c r="J14" i="2"/>
  <c r="J5" i="2"/>
  <c r="J7" i="2" s="1"/>
  <c r="E18" i="2"/>
  <c r="E14" i="2"/>
  <c r="E5" i="2"/>
  <c r="E7" i="2" s="1"/>
  <c r="E15" i="2" s="1"/>
  <c r="E19" i="2" s="1"/>
  <c r="E21" i="2" s="1"/>
  <c r="E23" i="2" s="1"/>
  <c r="D18" i="2"/>
  <c r="D14" i="2"/>
  <c r="D5" i="2"/>
  <c r="D7" i="2" s="1"/>
  <c r="D15" i="2" s="1"/>
  <c r="D19" i="2" s="1"/>
  <c r="D21" i="2" s="1"/>
  <c r="D23" i="2" s="1"/>
  <c r="I18" i="2"/>
  <c r="I14" i="2"/>
  <c r="I7" i="2"/>
  <c r="I15" i="2" s="1"/>
  <c r="I19" i="2" s="1"/>
  <c r="I21" i="2" s="1"/>
  <c r="I23" i="2" s="1"/>
  <c r="I5" i="2"/>
  <c r="H18" i="2"/>
  <c r="H14" i="2"/>
  <c r="H5" i="2"/>
  <c r="H7" i="2" s="1"/>
  <c r="H15" i="2" s="1"/>
  <c r="H19" i="2" s="1"/>
  <c r="H21" i="2" s="1"/>
  <c r="H23" i="2" s="1"/>
  <c r="C7" i="2"/>
  <c r="G7" i="2"/>
  <c r="C18" i="2"/>
  <c r="C14" i="2"/>
  <c r="C5" i="2"/>
  <c r="G18" i="2"/>
  <c r="G14" i="2"/>
  <c r="G5" i="2"/>
  <c r="K7" i="2"/>
  <c r="S18" i="2"/>
  <c r="S14" i="2"/>
  <c r="S5" i="2"/>
  <c r="S7" i="2" s="1"/>
  <c r="W18" i="2"/>
  <c r="V18" i="2"/>
  <c r="U18" i="2"/>
  <c r="T18" i="2"/>
  <c r="T14" i="2"/>
  <c r="T5" i="2"/>
  <c r="T7" i="2" s="1"/>
  <c r="U14" i="2"/>
  <c r="U5" i="2"/>
  <c r="U7" i="2" s="1"/>
  <c r="V14" i="2"/>
  <c r="V5" i="2"/>
  <c r="V7" i="2" s="1"/>
  <c r="W14" i="2"/>
  <c r="W5" i="2"/>
  <c r="W7" i="2" s="1"/>
  <c r="F3" i="1"/>
  <c r="N5" i="2" l="1"/>
  <c r="N29" i="2" s="1"/>
  <c r="X3" i="2"/>
  <c r="X25" i="2" s="1"/>
  <c r="D8" i="1"/>
  <c r="AK31" i="2" s="1"/>
  <c r="M5" i="2"/>
  <c r="M29" i="2" s="1"/>
  <c r="M14" i="2"/>
  <c r="L27" i="2"/>
  <c r="X18" i="2"/>
  <c r="Y18" i="2" s="1"/>
  <c r="Z18" i="2" s="1"/>
  <c r="AA18" i="2" s="1"/>
  <c r="AB18" i="2" s="1"/>
  <c r="AC18" i="2" s="1"/>
  <c r="X9" i="2"/>
  <c r="K15" i="2"/>
  <c r="K32" i="2" s="1"/>
  <c r="F15" i="2"/>
  <c r="F19" i="2" s="1"/>
  <c r="F21" i="2" s="1"/>
  <c r="F23" i="2" s="1"/>
  <c r="J15" i="2"/>
  <c r="J19" i="2" s="1"/>
  <c r="J21" i="2" s="1"/>
  <c r="J23" i="2" s="1"/>
  <c r="C15" i="2"/>
  <c r="C19" i="2" s="1"/>
  <c r="C21" i="2" s="1"/>
  <c r="C23" i="2" s="1"/>
  <c r="G15" i="2"/>
  <c r="G19" i="2" s="1"/>
  <c r="G21" i="2" s="1"/>
  <c r="G23" i="2" s="1"/>
  <c r="W15" i="2"/>
  <c r="W19" i="2" s="1"/>
  <c r="W21" i="2" s="1"/>
  <c r="W23" i="2" s="1"/>
  <c r="S15" i="2"/>
  <c r="S19" i="2" s="1"/>
  <c r="S21" i="2" s="1"/>
  <c r="S23" i="2" s="1"/>
  <c r="T15" i="2"/>
  <c r="T19" i="2" s="1"/>
  <c r="U15" i="2"/>
  <c r="V15" i="2"/>
  <c r="N7" i="2" l="1"/>
  <c r="N14" i="2"/>
  <c r="X5" i="2"/>
  <c r="Y5" i="2" s="1"/>
  <c r="Z5" i="2" s="1"/>
  <c r="N27" i="2"/>
  <c r="D9" i="1"/>
  <c r="M27" i="2"/>
  <c r="M15" i="2"/>
  <c r="M28" i="2"/>
  <c r="L29" i="2"/>
  <c r="X8" i="2"/>
  <c r="L14" i="2"/>
  <c r="L15" i="2" s="1"/>
  <c r="K19" i="2"/>
  <c r="K21" i="2"/>
  <c r="K33" i="2"/>
  <c r="AD18" i="2"/>
  <c r="V19" i="2"/>
  <c r="V21" i="2" s="1"/>
  <c r="V23" i="2" s="1"/>
  <c r="U19" i="2"/>
  <c r="U21" i="2" s="1"/>
  <c r="U23" i="2" s="1"/>
  <c r="T21" i="2"/>
  <c r="T23" i="2" s="1"/>
  <c r="X29" i="2" l="1"/>
  <c r="X27" i="2"/>
  <c r="M32" i="2"/>
  <c r="M19" i="2"/>
  <c r="X14" i="2"/>
  <c r="Y14" i="2" s="1"/>
  <c r="Z14" i="2" s="1"/>
  <c r="AA14" i="2" s="1"/>
  <c r="AB14" i="2" s="1"/>
  <c r="AC14" i="2" s="1"/>
  <c r="AD14" i="2" s="1"/>
  <c r="AE14" i="2" s="1"/>
  <c r="AF14" i="2" s="1"/>
  <c r="AG14" i="2" s="1"/>
  <c r="L32" i="2"/>
  <c r="L19" i="2"/>
  <c r="Y7" i="2"/>
  <c r="Y27" i="2"/>
  <c r="Y29" i="2"/>
  <c r="K23" i="2"/>
  <c r="K34" i="2"/>
  <c r="AE18" i="2"/>
  <c r="M33" i="2" l="1"/>
  <c r="L21" i="2"/>
  <c r="Y6" i="2"/>
  <c r="Y28" i="2"/>
  <c r="Y15" i="2"/>
  <c r="Z29" i="2"/>
  <c r="AA5" i="2"/>
  <c r="Z27" i="2"/>
  <c r="Z7" i="2"/>
  <c r="Z6" i="2" s="1"/>
  <c r="AF18" i="2"/>
  <c r="M21" i="2" l="1"/>
  <c r="L23" i="2"/>
  <c r="L34" i="2"/>
  <c r="Y19" i="2"/>
  <c r="Y32" i="2"/>
  <c r="Z15" i="2"/>
  <c r="Z28" i="2"/>
  <c r="L33" i="2"/>
  <c r="AA7" i="2"/>
  <c r="AA6" i="2" s="1"/>
  <c r="AA29" i="2"/>
  <c r="AB5" i="2"/>
  <c r="AA27" i="2"/>
  <c r="AG18" i="2"/>
  <c r="M34" i="2" l="1"/>
  <c r="M23" i="2"/>
  <c r="Z32" i="2"/>
  <c r="Z19" i="2"/>
  <c r="AB7" i="2"/>
  <c r="AB6" i="2" s="1"/>
  <c r="AC5" i="2"/>
  <c r="AB29" i="2"/>
  <c r="AB27" i="2"/>
  <c r="Y20" i="2"/>
  <c r="Y33" i="2" s="1"/>
  <c r="AA15" i="2"/>
  <c r="AA28" i="2"/>
  <c r="Y21" i="2" l="1"/>
  <c r="Y34" i="2" s="1"/>
  <c r="AC7" i="2"/>
  <c r="AC6" i="2" s="1"/>
  <c r="AC27" i="2"/>
  <c r="AC29" i="2"/>
  <c r="AD5" i="2"/>
  <c r="AB15" i="2"/>
  <c r="AB28" i="2"/>
  <c r="AA32" i="2"/>
  <c r="AA19" i="2"/>
  <c r="Z20" i="2"/>
  <c r="Z33" i="2" s="1"/>
  <c r="Y23" i="2" l="1"/>
  <c r="Z21" i="2"/>
  <c r="Z34" i="2" s="1"/>
  <c r="AD7" i="2"/>
  <c r="AD6" i="2" s="1"/>
  <c r="AE5" i="2"/>
  <c r="AD29" i="2"/>
  <c r="AD27" i="2"/>
  <c r="AA20" i="2"/>
  <c r="AA33" i="2" s="1"/>
  <c r="AC28" i="2"/>
  <c r="AC15" i="2"/>
  <c r="AB19" i="2"/>
  <c r="AB32" i="2"/>
  <c r="Z23" i="2" l="1"/>
  <c r="AA21" i="2"/>
  <c r="AA23" i="2" s="1"/>
  <c r="AC32" i="2"/>
  <c r="AC19" i="2"/>
  <c r="AD15" i="2"/>
  <c r="AD28" i="2"/>
  <c r="AB20" i="2"/>
  <c r="AB33" i="2" s="1"/>
  <c r="AE7" i="2"/>
  <c r="AE6" i="2" s="1"/>
  <c r="AF5" i="2"/>
  <c r="AE29" i="2"/>
  <c r="AE27" i="2"/>
  <c r="AA34" i="2" l="1"/>
  <c r="AB21" i="2"/>
  <c r="AB34" i="2" s="1"/>
  <c r="AD32" i="2"/>
  <c r="AD19" i="2"/>
  <c r="AC20" i="2"/>
  <c r="AC33" i="2" s="1"/>
  <c r="AF7" i="2"/>
  <c r="AG5" i="2"/>
  <c r="AF27" i="2"/>
  <c r="AF29" i="2"/>
  <c r="AE28" i="2"/>
  <c r="AE15" i="2"/>
  <c r="AB23" i="2" l="1"/>
  <c r="AC21" i="2"/>
  <c r="AD20" i="2"/>
  <c r="AD33" i="2" s="1"/>
  <c r="AF15" i="2"/>
  <c r="AF28" i="2"/>
  <c r="AE19" i="2"/>
  <c r="AE32" i="2"/>
  <c r="AG7" i="2"/>
  <c r="AG29" i="2"/>
  <c r="AG27" i="2"/>
  <c r="AF6" i="2"/>
  <c r="AD21" i="2" l="1"/>
  <c r="AD23" i="2" s="1"/>
  <c r="AG28" i="2"/>
  <c r="AG15" i="2"/>
  <c r="AF32" i="2"/>
  <c r="AF19" i="2"/>
  <c r="AE20" i="2"/>
  <c r="AE33" i="2" s="1"/>
  <c r="AG6" i="2"/>
  <c r="AC23" i="2"/>
  <c r="AC34" i="2"/>
  <c r="AD34" i="2" l="1"/>
  <c r="AE21" i="2"/>
  <c r="AE23" i="2" s="1"/>
  <c r="AF20" i="2"/>
  <c r="AF33" i="2" s="1"/>
  <c r="AG32" i="2"/>
  <c r="AG19" i="2"/>
  <c r="AE34" i="2" l="1"/>
  <c r="AG20" i="2"/>
  <c r="AG33" i="2" s="1"/>
  <c r="AF21" i="2"/>
  <c r="AG21" i="2" l="1"/>
  <c r="AG23" i="2" s="1"/>
  <c r="AF23" i="2"/>
  <c r="AF34" i="2"/>
  <c r="AH21" i="2" l="1"/>
  <c r="AI21" i="2" s="1"/>
  <c r="AJ21" i="2" s="1"/>
  <c r="AK21" i="2" s="1"/>
  <c r="AL21" i="2" s="1"/>
  <c r="AM21" i="2" s="1"/>
  <c r="AN21" i="2" s="1"/>
  <c r="AO21" i="2" s="1"/>
  <c r="AP21" i="2" s="1"/>
  <c r="AQ21" i="2" s="1"/>
  <c r="AR21" i="2" s="1"/>
  <c r="AS21" i="2" s="1"/>
  <c r="AT21" i="2" s="1"/>
  <c r="AU21" i="2" s="1"/>
  <c r="AV21" i="2" s="1"/>
  <c r="AW21" i="2" s="1"/>
  <c r="AX21" i="2" s="1"/>
  <c r="AY21" i="2" s="1"/>
  <c r="AZ21" i="2" s="1"/>
  <c r="BA21" i="2" s="1"/>
  <c r="BB21" i="2" s="1"/>
  <c r="BC21" i="2" s="1"/>
  <c r="BD21" i="2" s="1"/>
  <c r="BE21" i="2" s="1"/>
  <c r="BF21" i="2" s="1"/>
  <c r="BG21" i="2" s="1"/>
  <c r="BH21" i="2" s="1"/>
  <c r="BI21" i="2" s="1"/>
  <c r="BJ21" i="2" s="1"/>
  <c r="BK21" i="2" s="1"/>
  <c r="BL21" i="2" s="1"/>
  <c r="BM21" i="2" s="1"/>
  <c r="BN21" i="2" s="1"/>
  <c r="BO21" i="2" s="1"/>
  <c r="BP21" i="2" s="1"/>
  <c r="BQ21" i="2" s="1"/>
  <c r="BR21" i="2" s="1"/>
  <c r="BS21" i="2" s="1"/>
  <c r="BT21" i="2" s="1"/>
  <c r="BU21" i="2" s="1"/>
  <c r="BV21" i="2" s="1"/>
  <c r="BW21" i="2" s="1"/>
  <c r="BX21" i="2" s="1"/>
  <c r="BY21" i="2" s="1"/>
  <c r="BZ21" i="2" s="1"/>
  <c r="CA21" i="2" s="1"/>
  <c r="CB21" i="2" s="1"/>
  <c r="CC21" i="2" s="1"/>
  <c r="CD21" i="2" s="1"/>
  <c r="CE21" i="2" s="1"/>
  <c r="CF21" i="2" s="1"/>
  <c r="CG21" i="2" s="1"/>
  <c r="CH21" i="2" s="1"/>
  <c r="CI21" i="2" s="1"/>
  <c r="CJ21" i="2" s="1"/>
  <c r="CK21" i="2" s="1"/>
  <c r="CL21" i="2" s="1"/>
  <c r="CM21" i="2" s="1"/>
  <c r="CN21" i="2" s="1"/>
  <c r="CO21" i="2" s="1"/>
  <c r="CP21" i="2" s="1"/>
  <c r="CQ21" i="2" s="1"/>
  <c r="CR21" i="2" s="1"/>
  <c r="CS21" i="2" s="1"/>
  <c r="CT21" i="2" s="1"/>
  <c r="CU21" i="2" s="1"/>
  <c r="CV21" i="2" s="1"/>
  <c r="CW21" i="2" s="1"/>
  <c r="CX21" i="2" s="1"/>
  <c r="CY21" i="2" s="1"/>
  <c r="CZ21" i="2" s="1"/>
  <c r="DA21" i="2" s="1"/>
  <c r="DB21" i="2" s="1"/>
  <c r="DC21" i="2" s="1"/>
  <c r="DD21" i="2" s="1"/>
  <c r="DE21" i="2" s="1"/>
  <c r="DF21" i="2" s="1"/>
  <c r="DG21" i="2" s="1"/>
  <c r="DH21" i="2" s="1"/>
  <c r="DI21" i="2" s="1"/>
  <c r="DJ21" i="2" s="1"/>
  <c r="DK21" i="2" s="1"/>
  <c r="DL21" i="2" s="1"/>
  <c r="DM21" i="2" s="1"/>
  <c r="DN21" i="2" s="1"/>
  <c r="DO21" i="2" s="1"/>
  <c r="DP21" i="2" s="1"/>
  <c r="DQ21" i="2" s="1"/>
  <c r="DR21" i="2" s="1"/>
  <c r="DS21" i="2" s="1"/>
  <c r="DT21" i="2" s="1"/>
  <c r="DU21" i="2" s="1"/>
  <c r="DV21" i="2" s="1"/>
  <c r="DW21" i="2" s="1"/>
  <c r="DX21" i="2" s="1"/>
  <c r="DY21" i="2" s="1"/>
  <c r="DZ21" i="2" s="1"/>
  <c r="EA21" i="2" s="1"/>
  <c r="EB21" i="2" s="1"/>
  <c r="EC21" i="2" s="1"/>
  <c r="ED21" i="2" s="1"/>
  <c r="EE21" i="2" s="1"/>
  <c r="EF21" i="2" s="1"/>
  <c r="EG21" i="2" s="1"/>
  <c r="EH21" i="2" s="1"/>
  <c r="EI21" i="2" s="1"/>
  <c r="AG34" i="2"/>
  <c r="N15" i="2" l="1"/>
  <c r="N32" i="2" s="1"/>
  <c r="N6" i="2"/>
  <c r="X6" i="2" s="1"/>
  <c r="X7" i="2" s="1"/>
  <c r="N28" i="2"/>
  <c r="N19" i="2" l="1"/>
  <c r="N20" i="2" s="1"/>
  <c r="N33" i="2" s="1"/>
  <c r="X28" i="2"/>
  <c r="X15" i="2"/>
  <c r="N21" i="2" l="1"/>
  <c r="N23" i="2" s="1"/>
  <c r="X20" i="2"/>
  <c r="X19" i="2"/>
  <c r="X32" i="2"/>
  <c r="X33" i="2" l="1"/>
  <c r="N34" i="2"/>
  <c r="X21" i="2"/>
  <c r="AK30" i="2" s="1"/>
  <c r="AK32" i="2" s="1"/>
  <c r="AK33" i="2" s="1"/>
  <c r="AK35" i="2" s="1"/>
  <c r="X34" i="2" l="1"/>
  <c r="X23" i="2"/>
</calcChain>
</file>

<file path=xl/sharedStrings.xml><?xml version="1.0" encoding="utf-8"?>
<sst xmlns="http://schemas.openxmlformats.org/spreadsheetml/2006/main" count="67" uniqueCount="62">
  <si>
    <t>TTWO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</si>
  <si>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</si>
  <si>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</si>
  <si>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</si>
  <si>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</si>
  <si>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</si>
  <si>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</si>
  <si>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</si>
  <si>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</si>
  <si>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</si>
  <si>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</si>
  <si>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Game revenue</t>
  </si>
  <si>
    <t>Ad revenue</t>
  </si>
  <si>
    <t>Total revenue</t>
  </si>
  <si>
    <t>Cost of sales</t>
  </si>
  <si>
    <t>Gross profit</t>
  </si>
  <si>
    <t>S&amp;M</t>
  </si>
  <si>
    <t>G&amp;A</t>
  </si>
  <si>
    <t>R&amp;D</t>
  </si>
  <si>
    <t>D&amp;A</t>
  </si>
  <si>
    <t>Impairment</t>
  </si>
  <si>
    <t>Restructuring</t>
  </si>
  <si>
    <t>Total operating expenses</t>
  </si>
  <si>
    <t>Net finance expense</t>
  </si>
  <si>
    <t>Q425</t>
  </si>
  <si>
    <t>Operating profit</t>
  </si>
  <si>
    <t>Pretax profit</t>
  </si>
  <si>
    <t>Taxes</t>
  </si>
  <si>
    <t>Net profit</t>
  </si>
  <si>
    <t>EPS</t>
  </si>
  <si>
    <t>Interest expense</t>
  </si>
  <si>
    <t>Finance expense</t>
  </si>
  <si>
    <t>Q124</t>
  </si>
  <si>
    <t>Q224</t>
  </si>
  <si>
    <t>Q324</t>
  </si>
  <si>
    <t>Q424</t>
  </si>
  <si>
    <t>Q125</t>
  </si>
  <si>
    <t>Q225</t>
  </si>
  <si>
    <t>Q325</t>
  </si>
  <si>
    <t>Q126</t>
  </si>
  <si>
    <t>Q226</t>
  </si>
  <si>
    <t>Q326</t>
  </si>
  <si>
    <t>Q426</t>
  </si>
  <si>
    <t>Game revenue y/y</t>
  </si>
  <si>
    <t>Ad revenue y/y</t>
  </si>
  <si>
    <t>Revenue y/y</t>
  </si>
  <si>
    <t>Gross Margin</t>
  </si>
  <si>
    <t>S&amp;M Margin</t>
  </si>
  <si>
    <t>G&amp;A y/y</t>
  </si>
  <si>
    <t>R&amp;D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</si>
  <si>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</si>
  <si>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</si>
  <si>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</si>
  <si>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</si>
  <si>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</si>
  <si>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</si>
  <si>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</si>
  <si>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</si>
  <si>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</si>
  <si>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</si>
  <si>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</si>
  <si>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Heavily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</si>
</sst>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14" fontId="2" fillId="2" borderId="1" xfId="0" applyNumberFormat="1" applyFont="1" applyFill="1" applyBorder="1"/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9" fontId="2" fillId="2" borderId="1" xfId="0" applyNumberFormat="1" applyFont="1" applyFill="1" applyBorder="1"/>
    <xf numFmtId="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0</xdr:row>
      <xdr:rowOff>7620</xdr:rowOff>
    </xdr:from>
    <xdr:to>
      <xdr:col>13</xdr:col>
      <xdr:colOff>38100</xdr:colOff>
      <xdr:row>41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7DB976E-1776-6576-6DAF-40785B641D8A}"/>
            </a:ext>
          </a:extLst>
        </xdr:cNvPr>
        <xdr:cNvCxnSpPr/>
      </xdr:nvCxnSpPr>
      <xdr:spPr>
        <a:xfrm>
          <a:off x="10096500" y="7620"/>
          <a:ext cx="0" cy="7597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22860</xdr:colOff>
      <xdr:row>0</xdr:row>
      <xdr:rowOff>7620</xdr:rowOff>
    </xdr:from>
    <xdr:to>
      <xdr:col>23</xdr:col>
      <xdr:colOff>22860</xdr:colOff>
      <xdr:row>39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DFD7B83-D6D6-FFEC-ECC9-9A29F128453F}"/>
            </a:ext>
          </a:extLst>
        </xdr:cNvPr>
        <xdr:cNvCxnSpPr/>
      </xdr:nvCxnSpPr>
      <xdr:spPr>
        <a:xfrm>
          <a:off x="15720060" y="7620"/>
          <a:ext cx="0" cy="7231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0880-1223-42DD-8AC1-D1A0E99578BB}">
  <dimension ref="B2:G9"/>
  <sheetViews>
    <sheetView workbookViewId="0">
      <selection activeCell="E7" sqref="E7"/>
    </sheetView>
  </sheetViews>
  <sheetFormatPr defaultRowHeight="14.4" x14ac:dyDescent="0.3"/>
  <cols>
    <col min="1" max="4" width="8.88671875" style="1"/>
    <col min="5" max="5" width="11.88671875" style="3" bestFit="1" customWidth="1"/>
    <col min="6" max="7" width="11.21875" style="3" bestFit="1" customWidth="1"/>
    <col min="8" max="16384" width="8.88671875" style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2" t="s">
        <v>0</v>
      </c>
      <c r="C3" s="1" t="s">
        <v>1</v>
      </c>
      <c r="D3" s="5">
        <v>223.03</v>
      </c>
      <c r="E3" s="4">
        <v>46057</v>
      </c>
      <c r="F3" s="4">
        <f ca="1">TODAY()</f>
        <v>46059</v>
      </c>
      <c r="G3" s="4">
        <v>46156</v>
      </c>
    </row>
    <row r="4" spans="2:7" x14ac:dyDescent="0.3">
      <c r="C4" s="1" t="s">
        <v>2</v>
      </c>
      <c r="D4" s="6">
        <f>184.6</f>
        <v>184.6</v>
      </c>
      <c r="E4" s="3" t="s">
        <v>36</v>
      </c>
    </row>
    <row r="5" spans="2:7" x14ac:dyDescent="0.3">
      <c r="C5" s="1" t="s">
        <v>3</v>
      </c>
      <c r="D5" s="6">
        <f>D3*D4</f>
        <v>41171.337999999996</v>
      </c>
    </row>
    <row r="6" spans="2:7" x14ac:dyDescent="0.3">
      <c r="C6" s="1" t="s">
        <v>4</v>
      </c>
      <c r="D6" s="6">
        <f>2160+199+78.6</f>
        <v>2437.6</v>
      </c>
      <c r="E6" s="3" t="s">
        <v>41</v>
      </c>
    </row>
    <row r="7" spans="2:7" x14ac:dyDescent="0.3">
      <c r="C7" s="1" t="s">
        <v>5</v>
      </c>
      <c r="D7" s="6">
        <f>582.2+2487</f>
        <v>3069.2</v>
      </c>
      <c r="E7" s="3" t="s">
        <v>41</v>
      </c>
    </row>
    <row r="8" spans="2:7" x14ac:dyDescent="0.3">
      <c r="C8" s="1" t="s">
        <v>6</v>
      </c>
      <c r="D8" s="6">
        <f>D6-D7</f>
        <v>-631.59999999999991</v>
      </c>
    </row>
    <row r="9" spans="2:7" x14ac:dyDescent="0.3">
      <c r="C9" s="1" t="s">
        <v>7</v>
      </c>
      <c r="D9" s="6">
        <f>D5-D8</f>
        <v>41802.937999999995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3550-BAD9-4A45-9FE2-1AAD49518AF3}">
  <dimension ref="B1:EI36"/>
  <sheetViews>
    <sheetView tabSelected="1" workbookViewId="0">
      <pane xSplit="2" ySplit="2" topLeftCell="V30" activePane="bottomRight" state="frozen"/>
      <selection pane="topRight" activeCell="C1" sqref="C1"/>
      <selection pane="bottomLeft" activeCell="A3" sqref="A3"/>
      <selection pane="bottomRight" activeCell="AK56" sqref="AK56"/>
    </sheetView>
  </sheetViews>
  <sheetFormatPr defaultRowHeight="14.4" x14ac:dyDescent="0.3"/>
  <cols>
    <col min="1" max="1" width="8.88671875" style="1"/>
    <col min="2" max="2" width="21.6640625" style="1" bestFit="1" customWidth="1"/>
    <col min="3" max="14" width="10.5546875" style="1" bestFit="1" customWidth="1"/>
    <col min="15" max="16" width="8.88671875" style="1"/>
    <col min="17" max="33" width="10.5546875" style="1" bestFit="1" customWidth="1"/>
    <col min="34" max="35" width="8.88671875" style="1"/>
    <col min="36" max="36" width="12" style="1" bestFit="1" customWidth="1"/>
    <col min="37" max="37" width="16.44140625" style="1" bestFit="1" customWidth="1"/>
    <col min="38" max="16384" width="8.88671875" style="1"/>
  </cols>
  <sheetData>
    <row r="1" spans="2:33" x14ac:dyDescent="0.3">
      <c r="C1" s="7">
        <v>45107</v>
      </c>
      <c r="D1" s="7">
        <v>45199</v>
      </c>
      <c r="E1" s="7">
        <v>45291</v>
      </c>
      <c r="F1" s="7">
        <v>45382</v>
      </c>
      <c r="G1" s="7">
        <v>45473</v>
      </c>
      <c r="H1" s="7">
        <v>45565</v>
      </c>
      <c r="I1" s="7">
        <v>45657</v>
      </c>
      <c r="J1" s="7">
        <v>45747</v>
      </c>
      <c r="K1" s="7">
        <v>45838</v>
      </c>
      <c r="L1" s="7">
        <v>45930</v>
      </c>
      <c r="M1" s="7">
        <v>46022</v>
      </c>
      <c r="N1" s="7">
        <v>46112</v>
      </c>
      <c r="Q1" s="7">
        <v>43555</v>
      </c>
      <c r="R1" s="7">
        <v>43921</v>
      </c>
      <c r="S1" s="7">
        <v>44286</v>
      </c>
      <c r="T1" s="7">
        <v>44651</v>
      </c>
      <c r="U1" s="7">
        <v>45016</v>
      </c>
      <c r="V1" s="7">
        <v>45382</v>
      </c>
      <c r="W1" s="7">
        <v>45747</v>
      </c>
      <c r="X1" s="7">
        <v>46112</v>
      </c>
      <c r="Y1" s="7">
        <v>46477</v>
      </c>
      <c r="Z1" s="7">
        <v>46843</v>
      </c>
      <c r="AA1" s="7">
        <v>47208</v>
      </c>
      <c r="AB1" s="7">
        <v>47573</v>
      </c>
      <c r="AC1" s="7">
        <v>47938</v>
      </c>
      <c r="AD1" s="7">
        <v>48304</v>
      </c>
      <c r="AE1" s="7">
        <v>48669</v>
      </c>
      <c r="AF1" s="7">
        <v>49034</v>
      </c>
      <c r="AG1" s="7">
        <v>49399</v>
      </c>
    </row>
    <row r="2" spans="2:33" x14ac:dyDescent="0.3">
      <c r="C2" s="10" t="s">
        <v>32</v>
      </c>
      <c r="D2" s="10" t="s">
        <v>33</v>
      </c>
      <c r="E2" s="10" t="s">
        <v>34</v>
      </c>
      <c r="F2" s="10" t="s">
        <v>35</v>
      </c>
      <c r="G2" s="10" t="s">
        <v>36</v>
      </c>
      <c r="H2" s="10" t="s">
        <v>37</v>
      </c>
      <c r="I2" s="10" t="s">
        <v>38</v>
      </c>
      <c r="J2" s="10" t="s">
        <v>24</v>
      </c>
      <c r="K2" s="10" t="s">
        <v>39</v>
      </c>
      <c r="L2" s="10" t="s">
        <v>40</v>
      </c>
      <c r="M2" s="10" t="s">
        <v>41</v>
      </c>
      <c r="N2" s="10" t="s">
        <v>42</v>
      </c>
      <c r="Q2" s="1">
        <v>2019</v>
      </c>
      <c r="R2" s="1">
        <v>2020</v>
      </c>
      <c r="S2" s="1">
        <v>2021</v>
      </c>
      <c r="T2" s="1">
        <v>2022</v>
      </c>
      <c r="U2" s="1">
        <v>2023</v>
      </c>
      <c r="V2" s="1">
        <v>2024</v>
      </c>
      <c r="W2" s="1">
        <v>2025</v>
      </c>
      <c r="X2" s="1">
        <v>2026</v>
      </c>
      <c r="Y2" s="1">
        <v>2027</v>
      </c>
      <c r="Z2" s="1">
        <v>2028</v>
      </c>
      <c r="AA2" s="1">
        <v>2029</v>
      </c>
      <c r="AB2" s="1">
        <v>2030</v>
      </c>
      <c r="AC2" s="1">
        <v>2031</v>
      </c>
      <c r="AD2" s="1">
        <v>2032</v>
      </c>
      <c r="AE2" s="1">
        <v>2033</v>
      </c>
      <c r="AF2" s="1">
        <v>2034</v>
      </c>
      <c r="AG2" s="1">
        <v>2035</v>
      </c>
    </row>
    <row r="3" spans="2:33" x14ac:dyDescent="0.3">
      <c r="B3" s="1" t="s">
        <v>11</v>
      </c>
      <c r="C3" s="6">
        <v>1096.0999999999999</v>
      </c>
      <c r="D3" s="6">
        <v>1128.5999999999999</v>
      </c>
      <c r="E3" s="6">
        <v>1208.2</v>
      </c>
      <c r="F3" s="6">
        <v>1260.5999999999999</v>
      </c>
      <c r="G3" s="6">
        <v>1216.7</v>
      </c>
      <c r="H3" s="6">
        <v>1233.9000000000001</v>
      </c>
      <c r="I3" s="6">
        <v>1243.0999999999999</v>
      </c>
      <c r="J3" s="6">
        <v>1473.8</v>
      </c>
      <c r="K3" s="6">
        <v>1382.5</v>
      </c>
      <c r="L3" s="6">
        <v>1640.9</v>
      </c>
      <c r="M3" s="6">
        <v>1570.3</v>
      </c>
      <c r="N3" s="6">
        <f>J3*1.02</f>
        <v>1503.2760000000001</v>
      </c>
      <c r="S3" s="6">
        <v>3319.7</v>
      </c>
      <c r="T3" s="6">
        <v>3423.2</v>
      </c>
      <c r="U3" s="6">
        <v>4735.6000000000004</v>
      </c>
      <c r="V3" s="6">
        <v>4693.5</v>
      </c>
      <c r="W3" s="6">
        <v>5167.5</v>
      </c>
      <c r="X3" s="6">
        <f>SUM(K3:N3)</f>
        <v>6096.9759999999997</v>
      </c>
      <c r="Y3" s="6"/>
      <c r="Z3" s="6"/>
      <c r="AA3" s="6"/>
      <c r="AB3" s="6"/>
      <c r="AC3" s="6"/>
      <c r="AD3" s="6"/>
      <c r="AE3" s="6"/>
      <c r="AF3" s="6"/>
      <c r="AG3" s="6"/>
    </row>
    <row r="4" spans="2:33" x14ac:dyDescent="0.3">
      <c r="B4" s="1" t="s">
        <v>12</v>
      </c>
      <c r="C4" s="6">
        <v>188.6</v>
      </c>
      <c r="D4" s="6">
        <v>170.6</v>
      </c>
      <c r="E4" s="6">
        <v>158.1</v>
      </c>
      <c r="F4" s="6">
        <v>138.80000000000001</v>
      </c>
      <c r="G4" s="6">
        <v>121.5</v>
      </c>
      <c r="H4" s="6">
        <v>119.2</v>
      </c>
      <c r="I4" s="6">
        <v>116.7</v>
      </c>
      <c r="J4" s="6">
        <v>108.7</v>
      </c>
      <c r="K4" s="6">
        <v>121.3</v>
      </c>
      <c r="L4" s="6">
        <v>132.9</v>
      </c>
      <c r="M4" s="6">
        <v>128.69999999999999</v>
      </c>
      <c r="N4" s="6">
        <f>J4*1.2</f>
        <v>130.44</v>
      </c>
      <c r="S4" s="6">
        <v>53.1</v>
      </c>
      <c r="T4" s="6">
        <v>81.599999999999994</v>
      </c>
      <c r="U4" s="6">
        <v>614.29999999999995</v>
      </c>
      <c r="V4" s="6">
        <v>656.1</v>
      </c>
      <c r="W4" s="6">
        <v>466.1</v>
      </c>
      <c r="X4" s="6">
        <f>SUM(K4:N4)</f>
        <v>513.33999999999992</v>
      </c>
      <c r="Y4" s="6"/>
      <c r="Z4" s="6"/>
      <c r="AA4" s="6"/>
      <c r="AB4" s="6"/>
      <c r="AC4" s="6"/>
      <c r="AD4" s="6"/>
      <c r="AE4" s="6"/>
      <c r="AF4" s="6"/>
      <c r="AG4" s="6"/>
    </row>
    <row r="5" spans="2:33" s="2" customFormat="1" x14ac:dyDescent="0.3">
      <c r="B5" s="2" t="s">
        <v>13</v>
      </c>
      <c r="C5" s="9">
        <f t="shared" ref="C5:K5" si="0">C3+C4</f>
        <v>1284.6999999999998</v>
      </c>
      <c r="D5" s="9">
        <f t="shared" si="0"/>
        <v>1299.1999999999998</v>
      </c>
      <c r="E5" s="9">
        <f t="shared" si="0"/>
        <v>1366.3</v>
      </c>
      <c r="F5" s="9">
        <f t="shared" si="0"/>
        <v>1399.3999999999999</v>
      </c>
      <c r="G5" s="9">
        <f t="shared" si="0"/>
        <v>1338.2</v>
      </c>
      <c r="H5" s="9">
        <f t="shared" si="0"/>
        <v>1353.1000000000001</v>
      </c>
      <c r="I5" s="9">
        <f t="shared" si="0"/>
        <v>1359.8</v>
      </c>
      <c r="J5" s="9">
        <f t="shared" si="0"/>
        <v>1582.5</v>
      </c>
      <c r="K5" s="9">
        <f t="shared" si="0"/>
        <v>1503.8</v>
      </c>
      <c r="L5" s="9">
        <f t="shared" ref="L5" si="1">L3+L4</f>
        <v>1773.8000000000002</v>
      </c>
      <c r="M5" s="9">
        <f t="shared" ref="M5" si="2">M3+M4</f>
        <v>1699</v>
      </c>
      <c r="N5" s="9">
        <f t="shared" ref="N5" si="3">N3+N4</f>
        <v>1633.7160000000001</v>
      </c>
      <c r="S5" s="9">
        <f t="shared" ref="S5:X5" si="4">S3+S4</f>
        <v>3372.7999999999997</v>
      </c>
      <c r="T5" s="9">
        <f t="shared" si="4"/>
        <v>3504.7999999999997</v>
      </c>
      <c r="U5" s="9">
        <f t="shared" si="4"/>
        <v>5349.9000000000005</v>
      </c>
      <c r="V5" s="9">
        <f t="shared" si="4"/>
        <v>5349.6</v>
      </c>
      <c r="W5" s="9">
        <f t="shared" si="4"/>
        <v>5633.6</v>
      </c>
      <c r="X5" s="9">
        <f t="shared" si="4"/>
        <v>6610.3159999999998</v>
      </c>
      <c r="Y5" s="9">
        <f>X5*1.4</f>
        <v>9254.4423999999999</v>
      </c>
      <c r="Z5" s="9">
        <f>Y5*1.15</f>
        <v>10642.608759999999</v>
      </c>
      <c r="AA5" s="9">
        <f>Z5*1.02</f>
        <v>10855.460935199999</v>
      </c>
      <c r="AB5" s="9">
        <f>AA5*1.01</f>
        <v>10964.015544551999</v>
      </c>
      <c r="AC5" s="9">
        <f t="shared" ref="AC5:AG5" si="5">AB5*1.01</f>
        <v>11073.65569999752</v>
      </c>
      <c r="AD5" s="9">
        <f t="shared" si="5"/>
        <v>11184.392256997495</v>
      </c>
      <c r="AE5" s="9">
        <f t="shared" si="5"/>
        <v>11296.23617956747</v>
      </c>
      <c r="AF5" s="9">
        <f t="shared" si="5"/>
        <v>11409.198541363145</v>
      </c>
      <c r="AG5" s="9">
        <f t="shared" si="5"/>
        <v>11523.290526776776</v>
      </c>
    </row>
    <row r="6" spans="2:33" x14ac:dyDescent="0.3">
      <c r="B6" s="1" t="s">
        <v>14</v>
      </c>
      <c r="C6" s="6">
        <v>605.5</v>
      </c>
      <c r="D6" s="6">
        <v>883.8</v>
      </c>
      <c r="E6" s="6">
        <v>688.2</v>
      </c>
      <c r="F6" s="6">
        <v>930.3</v>
      </c>
      <c r="G6" s="6">
        <v>567.1</v>
      </c>
      <c r="H6" s="6">
        <v>625.20000000000005</v>
      </c>
      <c r="I6" s="6">
        <v>599.9</v>
      </c>
      <c r="J6" s="6">
        <v>779.2</v>
      </c>
      <c r="K6" s="6">
        <v>558.79999999999995</v>
      </c>
      <c r="L6" s="6">
        <v>793.3</v>
      </c>
      <c r="M6" s="6">
        <v>753.5</v>
      </c>
      <c r="N6" s="6">
        <f t="shared" ref="N6" si="6">N5-N7</f>
        <v>702.49788000000012</v>
      </c>
      <c r="S6" s="6">
        <v>1535.1</v>
      </c>
      <c r="T6" s="6">
        <v>1535.4</v>
      </c>
      <c r="U6" s="6">
        <v>3064.6</v>
      </c>
      <c r="V6" s="6">
        <v>3107.8</v>
      </c>
      <c r="W6" s="6">
        <v>2571.4</v>
      </c>
      <c r="X6" s="6">
        <f>SUM(K6:N6)</f>
        <v>2808.0978800000003</v>
      </c>
      <c r="Y6" s="6">
        <f>Y5-Y7</f>
        <v>3886.8658080000005</v>
      </c>
      <c r="Z6" s="6">
        <f t="shared" ref="Z6:AG6" si="7">Z5-Z7</f>
        <v>4469.8956791999999</v>
      </c>
      <c r="AA6" s="6">
        <f t="shared" si="7"/>
        <v>4559.2935927839999</v>
      </c>
      <c r="AB6" s="6">
        <f t="shared" si="7"/>
        <v>4604.8865287118406</v>
      </c>
      <c r="AC6" s="6">
        <f t="shared" si="7"/>
        <v>4650.9353939989587</v>
      </c>
      <c r="AD6" s="6">
        <f t="shared" si="7"/>
        <v>4697.4447479389482</v>
      </c>
      <c r="AE6" s="6">
        <f t="shared" si="7"/>
        <v>4744.4191954183379</v>
      </c>
      <c r="AF6" s="6">
        <f t="shared" si="7"/>
        <v>4791.8633873725212</v>
      </c>
      <c r="AG6" s="6">
        <f t="shared" si="7"/>
        <v>4839.7820212462466</v>
      </c>
    </row>
    <row r="7" spans="2:33" s="2" customFormat="1" x14ac:dyDescent="0.3">
      <c r="B7" s="2" t="s">
        <v>15</v>
      </c>
      <c r="C7" s="9">
        <f t="shared" ref="C7:M7" si="8">C5-C6</f>
        <v>679.19999999999982</v>
      </c>
      <c r="D7" s="9">
        <f t="shared" si="8"/>
        <v>415.39999999999986</v>
      </c>
      <c r="E7" s="9">
        <f t="shared" si="8"/>
        <v>678.09999999999991</v>
      </c>
      <c r="F7" s="9">
        <f t="shared" si="8"/>
        <v>469.09999999999991</v>
      </c>
      <c r="G7" s="9">
        <f t="shared" si="8"/>
        <v>771.1</v>
      </c>
      <c r="H7" s="9">
        <f t="shared" si="8"/>
        <v>727.90000000000009</v>
      </c>
      <c r="I7" s="9">
        <f t="shared" si="8"/>
        <v>759.9</v>
      </c>
      <c r="J7" s="9">
        <f t="shared" si="8"/>
        <v>803.3</v>
      </c>
      <c r="K7" s="9">
        <f t="shared" si="8"/>
        <v>945</v>
      </c>
      <c r="L7" s="9">
        <f t="shared" si="8"/>
        <v>980.50000000000023</v>
      </c>
      <c r="M7" s="9">
        <f t="shared" si="8"/>
        <v>945.5</v>
      </c>
      <c r="N7" s="9">
        <f t="shared" ref="N7" si="9">N5*0.57</f>
        <v>931.21812</v>
      </c>
      <c r="S7" s="9">
        <f t="shared" ref="S7:X7" si="10">S5-S6</f>
        <v>1837.6999999999998</v>
      </c>
      <c r="T7" s="9">
        <f t="shared" si="10"/>
        <v>1969.3999999999996</v>
      </c>
      <c r="U7" s="9">
        <f t="shared" si="10"/>
        <v>2285.3000000000006</v>
      </c>
      <c r="V7" s="9">
        <f t="shared" si="10"/>
        <v>2241.8000000000002</v>
      </c>
      <c r="W7" s="9">
        <f t="shared" si="10"/>
        <v>3062.2000000000003</v>
      </c>
      <c r="X7" s="9">
        <f t="shared" si="10"/>
        <v>3802.2181199999995</v>
      </c>
      <c r="Y7" s="9">
        <f>Y5*0.58</f>
        <v>5367.5765919999994</v>
      </c>
      <c r="Z7" s="9">
        <f t="shared" ref="Z7:AG7" si="11">Z5*0.58</f>
        <v>6172.7130807999993</v>
      </c>
      <c r="AA7" s="9">
        <f t="shared" si="11"/>
        <v>6296.167342415999</v>
      </c>
      <c r="AB7" s="9">
        <f t="shared" si="11"/>
        <v>6359.1290158401589</v>
      </c>
      <c r="AC7" s="9">
        <f t="shared" si="11"/>
        <v>6422.7203059985613</v>
      </c>
      <c r="AD7" s="9">
        <f t="shared" si="11"/>
        <v>6486.9475090585465</v>
      </c>
      <c r="AE7" s="9">
        <f t="shared" si="11"/>
        <v>6551.8169841491317</v>
      </c>
      <c r="AF7" s="9">
        <f t="shared" si="11"/>
        <v>6617.3351539906234</v>
      </c>
      <c r="AG7" s="9">
        <f t="shared" si="11"/>
        <v>6683.5085055305299</v>
      </c>
    </row>
    <row r="8" spans="2:33" x14ac:dyDescent="0.3">
      <c r="B8" s="1" t="s">
        <v>16</v>
      </c>
      <c r="C8" s="6">
        <v>399.4</v>
      </c>
      <c r="D8" s="6">
        <v>334.6</v>
      </c>
      <c r="E8" s="6">
        <v>367.3</v>
      </c>
      <c r="F8" s="6">
        <v>448.8</v>
      </c>
      <c r="G8" s="6">
        <v>431.4</v>
      </c>
      <c r="H8" s="6">
        <v>461.3</v>
      </c>
      <c r="I8" s="6">
        <v>388.9</v>
      </c>
      <c r="J8" s="6">
        <v>402.1</v>
      </c>
      <c r="K8" s="6">
        <v>408.8</v>
      </c>
      <c r="L8" s="6">
        <v>536.6</v>
      </c>
      <c r="M8" s="6">
        <v>433.2</v>
      </c>
      <c r="N8" s="6">
        <f>N5*0.25</f>
        <v>408.42900000000003</v>
      </c>
      <c r="S8" s="6">
        <v>445</v>
      </c>
      <c r="T8" s="6">
        <v>516.4</v>
      </c>
      <c r="U8" s="6">
        <v>1586.5</v>
      </c>
      <c r="V8" s="6">
        <v>1550.2</v>
      </c>
      <c r="W8" s="6">
        <v>1683.7</v>
      </c>
      <c r="X8" s="6">
        <f t="shared" ref="X8:X13" si="12">SUM(K8:N8)</f>
        <v>1787.0290000000002</v>
      </c>
      <c r="Y8" s="6"/>
      <c r="Z8" s="6"/>
      <c r="AA8" s="6"/>
      <c r="AB8" s="6"/>
      <c r="AC8" s="6"/>
      <c r="AD8" s="6"/>
      <c r="AE8" s="6"/>
      <c r="AF8" s="6"/>
      <c r="AG8" s="6"/>
    </row>
    <row r="9" spans="2:33" x14ac:dyDescent="0.3">
      <c r="B9" s="1" t="s">
        <v>17</v>
      </c>
      <c r="C9" s="6">
        <v>238.6</v>
      </c>
      <c r="D9" s="6">
        <v>232.1</v>
      </c>
      <c r="E9" s="6">
        <v>232</v>
      </c>
      <c r="F9" s="6">
        <v>245.5</v>
      </c>
      <c r="G9" s="6">
        <v>219.8</v>
      </c>
      <c r="H9" s="6">
        <v>246.7</v>
      </c>
      <c r="I9" s="6">
        <v>240.9</v>
      </c>
      <c r="J9" s="6">
        <v>297.8</v>
      </c>
      <c r="K9" s="6">
        <v>261.39999999999998</v>
      </c>
      <c r="L9" s="6">
        <v>268</v>
      </c>
      <c r="M9" s="6">
        <v>282.7</v>
      </c>
      <c r="N9" s="6">
        <f>J9*1.02</f>
        <v>303.75600000000003</v>
      </c>
      <c r="S9" s="6">
        <v>317.3</v>
      </c>
      <c r="T9" s="6">
        <v>406.6</v>
      </c>
      <c r="U9" s="6">
        <v>887.6</v>
      </c>
      <c r="V9" s="6">
        <v>948.2</v>
      </c>
      <c r="W9" s="6">
        <v>1005.2</v>
      </c>
      <c r="X9" s="6">
        <f t="shared" si="12"/>
        <v>1115.856</v>
      </c>
      <c r="Y9" s="6"/>
      <c r="Z9" s="6"/>
      <c r="AA9" s="6"/>
      <c r="AB9" s="6"/>
      <c r="AC9" s="6"/>
      <c r="AD9" s="6"/>
      <c r="AE9" s="6"/>
      <c r="AF9" s="6"/>
      <c r="AG9" s="6"/>
    </row>
    <row r="10" spans="2:33" x14ac:dyDescent="0.3">
      <c r="B10" s="1" t="s">
        <v>18</v>
      </c>
      <c r="C10" s="6">
        <v>197.9</v>
      </c>
      <c r="D10" s="6">
        <v>178.3</v>
      </c>
      <c r="E10" s="6">
        <v>165</v>
      </c>
      <c r="F10" s="6">
        <v>175</v>
      </c>
      <c r="G10" s="6">
        <v>210.5</v>
      </c>
      <c r="H10" s="6">
        <v>253</v>
      </c>
      <c r="I10" s="6">
        <v>189.6</v>
      </c>
      <c r="J10" s="6">
        <v>230.2</v>
      </c>
      <c r="K10" s="6">
        <v>207</v>
      </c>
      <c r="L10" s="6">
        <v>225</v>
      </c>
      <c r="M10" s="6">
        <v>218.6</v>
      </c>
      <c r="N10" s="6">
        <f t="shared" ref="N10" si="13">J10*1.02</f>
        <v>234.804</v>
      </c>
      <c r="S10" s="6">
        <v>390.4</v>
      </c>
      <c r="T10" s="6">
        <v>511.7</v>
      </c>
      <c r="U10" s="6">
        <v>839.5</v>
      </c>
      <c r="V10" s="6">
        <v>716.1</v>
      </c>
      <c r="W10" s="6">
        <v>883.3</v>
      </c>
      <c r="X10" s="6">
        <f t="shared" si="12"/>
        <v>885.404</v>
      </c>
      <c r="Y10" s="6"/>
      <c r="Z10" s="6"/>
      <c r="AA10" s="6"/>
      <c r="AB10" s="6"/>
      <c r="AC10" s="6"/>
      <c r="AD10" s="6"/>
      <c r="AE10" s="6"/>
      <c r="AF10" s="6"/>
      <c r="AG10" s="6"/>
    </row>
    <row r="11" spans="2:33" x14ac:dyDescent="0.3">
      <c r="B11" s="1" t="s">
        <v>19</v>
      </c>
      <c r="C11" s="6">
        <v>40.4</v>
      </c>
      <c r="D11" s="6">
        <v>45.3</v>
      </c>
      <c r="E11" s="6">
        <v>42.6</v>
      </c>
      <c r="F11" s="6">
        <v>42.9</v>
      </c>
      <c r="G11" s="6">
        <v>44.8</v>
      </c>
      <c r="H11" s="6">
        <v>47.3</v>
      </c>
      <c r="I11" s="6">
        <v>49.5</v>
      </c>
      <c r="J11" s="6">
        <v>87.8</v>
      </c>
      <c r="K11" s="6">
        <v>50.4</v>
      </c>
      <c r="L11" s="6">
        <v>48.8</v>
      </c>
      <c r="M11" s="6">
        <v>49.1</v>
      </c>
      <c r="N11" s="6">
        <v>88</v>
      </c>
      <c r="S11" s="6">
        <v>55.6</v>
      </c>
      <c r="T11" s="6">
        <v>61.1</v>
      </c>
      <c r="U11" s="6">
        <v>122.3</v>
      </c>
      <c r="V11" s="6">
        <v>171.2</v>
      </c>
      <c r="W11" s="6">
        <v>229.4</v>
      </c>
      <c r="X11" s="6">
        <f t="shared" si="12"/>
        <v>236.29999999999998</v>
      </c>
      <c r="Y11" s="6"/>
      <c r="Z11" s="6"/>
      <c r="AA11" s="6"/>
      <c r="AB11" s="6"/>
      <c r="AC11" s="6"/>
      <c r="AD11" s="6"/>
      <c r="AE11" s="6"/>
      <c r="AF11" s="6"/>
      <c r="AG11" s="6"/>
    </row>
    <row r="12" spans="2:33" x14ac:dyDescent="0.3">
      <c r="B12" s="1" t="s">
        <v>20</v>
      </c>
      <c r="C12" s="6">
        <v>0</v>
      </c>
      <c r="D12" s="6">
        <v>165.4</v>
      </c>
      <c r="E12" s="6">
        <v>0</v>
      </c>
      <c r="F12" s="6">
        <v>2176.6999999999998</v>
      </c>
      <c r="G12" s="6">
        <v>0</v>
      </c>
      <c r="H12" s="6">
        <v>0</v>
      </c>
      <c r="I12" s="6">
        <v>0</v>
      </c>
      <c r="J12" s="6">
        <v>3545.2</v>
      </c>
      <c r="K12" s="6">
        <v>0</v>
      </c>
      <c r="L12" s="6">
        <v>0</v>
      </c>
      <c r="M12" s="6">
        <v>0</v>
      </c>
      <c r="N12" s="6">
        <v>0</v>
      </c>
      <c r="S12" s="6">
        <v>0</v>
      </c>
      <c r="T12" s="6">
        <v>0</v>
      </c>
      <c r="U12" s="6">
        <v>0</v>
      </c>
      <c r="V12" s="6">
        <v>2342.1</v>
      </c>
      <c r="W12" s="6">
        <v>3545.2</v>
      </c>
      <c r="X12" s="6">
        <f t="shared" si="12"/>
        <v>0</v>
      </c>
      <c r="Y12" s="6"/>
      <c r="Z12" s="6"/>
      <c r="AA12" s="6"/>
      <c r="AB12" s="6"/>
      <c r="AC12" s="6"/>
      <c r="AD12" s="6"/>
      <c r="AE12" s="6"/>
      <c r="AF12" s="6"/>
      <c r="AG12" s="6"/>
    </row>
    <row r="13" spans="2:33" x14ac:dyDescent="0.3">
      <c r="B13" s="1" t="s">
        <v>21</v>
      </c>
      <c r="C13" s="6">
        <v>7.2</v>
      </c>
      <c r="D13" s="6">
        <v>3.4</v>
      </c>
      <c r="E13" s="6">
        <v>0.7</v>
      </c>
      <c r="F13" s="6">
        <v>93.3</v>
      </c>
      <c r="G13" s="6">
        <v>49.5</v>
      </c>
      <c r="H13" s="6">
        <v>16.8</v>
      </c>
      <c r="I13" s="6">
        <v>23.1</v>
      </c>
      <c r="J13" s="6">
        <v>17.100000000000001</v>
      </c>
      <c r="K13" s="6">
        <v>-4.2</v>
      </c>
      <c r="L13" s="6">
        <v>0.1</v>
      </c>
      <c r="M13" s="6">
        <v>0.6</v>
      </c>
      <c r="N13" s="6">
        <v>0</v>
      </c>
      <c r="S13" s="6">
        <v>0</v>
      </c>
      <c r="T13" s="6">
        <v>0</v>
      </c>
      <c r="U13" s="6">
        <v>14.6</v>
      </c>
      <c r="V13" s="6">
        <v>104.6</v>
      </c>
      <c r="W13" s="6">
        <v>106.5</v>
      </c>
      <c r="X13" s="6">
        <f t="shared" si="12"/>
        <v>-3.5000000000000004</v>
      </c>
      <c r="Y13" s="6"/>
      <c r="Z13" s="6"/>
      <c r="AA13" s="6"/>
      <c r="AB13" s="6"/>
      <c r="AC13" s="6"/>
      <c r="AD13" s="6"/>
      <c r="AE13" s="6"/>
      <c r="AF13" s="6"/>
      <c r="AG13" s="6"/>
    </row>
    <row r="14" spans="2:33" x14ac:dyDescent="0.3">
      <c r="B14" s="1" t="s">
        <v>22</v>
      </c>
      <c r="C14" s="6">
        <f t="shared" ref="C14:K14" si="14">SUM(C8:C13)</f>
        <v>883.5</v>
      </c>
      <c r="D14" s="6">
        <f t="shared" si="14"/>
        <v>959.09999999999991</v>
      </c>
      <c r="E14" s="6">
        <f t="shared" si="14"/>
        <v>807.6</v>
      </c>
      <c r="F14" s="6">
        <f t="shared" si="14"/>
        <v>3182.2</v>
      </c>
      <c r="G14" s="6">
        <f t="shared" si="14"/>
        <v>956</v>
      </c>
      <c r="H14" s="6">
        <f t="shared" si="14"/>
        <v>1025.0999999999999</v>
      </c>
      <c r="I14" s="6">
        <f t="shared" si="14"/>
        <v>892</v>
      </c>
      <c r="J14" s="6">
        <f t="shared" si="14"/>
        <v>4580.2000000000007</v>
      </c>
      <c r="K14" s="6">
        <f t="shared" si="14"/>
        <v>923.4</v>
      </c>
      <c r="L14" s="6">
        <f t="shared" ref="L14" si="15">SUM(L8:L13)</f>
        <v>1078.4999999999998</v>
      </c>
      <c r="M14" s="6">
        <f t="shared" ref="M14" si="16">SUM(M8:M13)</f>
        <v>984.2</v>
      </c>
      <c r="N14" s="6">
        <f t="shared" ref="N14" si="17">SUM(N8:N13)</f>
        <v>1034.989</v>
      </c>
      <c r="S14" s="6">
        <f t="shared" ref="S14:X14" si="18">SUM(S8:S13)</f>
        <v>1208.2999999999997</v>
      </c>
      <c r="T14" s="6">
        <f t="shared" si="18"/>
        <v>1495.8</v>
      </c>
      <c r="U14" s="6">
        <f t="shared" si="18"/>
        <v>3450.5</v>
      </c>
      <c r="V14" s="6">
        <f t="shared" si="18"/>
        <v>5832.4</v>
      </c>
      <c r="W14" s="6">
        <f t="shared" si="18"/>
        <v>7453.2999999999993</v>
      </c>
      <c r="X14" s="6">
        <f t="shared" si="18"/>
        <v>4021.0890000000004</v>
      </c>
      <c r="Y14" s="6">
        <f>X14*1.1</f>
        <v>4423.197900000001</v>
      </c>
      <c r="Z14" s="6">
        <f>Y14*0.95</f>
        <v>4202.0380050000003</v>
      </c>
      <c r="AA14" s="6">
        <f>Z14*1.02</f>
        <v>4286.0787651000001</v>
      </c>
      <c r="AB14" s="6">
        <f>AA14*1.01</f>
        <v>4328.9395527510005</v>
      </c>
      <c r="AC14" s="6">
        <f t="shared" ref="AC14:AG14" si="19">AB14*1.01</f>
        <v>4372.2289482785109</v>
      </c>
      <c r="AD14" s="6">
        <f t="shared" si="19"/>
        <v>4415.9512377612964</v>
      </c>
      <c r="AE14" s="6">
        <f t="shared" si="19"/>
        <v>4460.1107501389097</v>
      </c>
      <c r="AF14" s="6">
        <f t="shared" si="19"/>
        <v>4504.7118576402991</v>
      </c>
      <c r="AG14" s="6">
        <f t="shared" si="19"/>
        <v>4549.7589762167017</v>
      </c>
    </row>
    <row r="15" spans="2:33" s="2" customFormat="1" x14ac:dyDescent="0.3">
      <c r="B15" s="2" t="s">
        <v>25</v>
      </c>
      <c r="C15" s="9">
        <f t="shared" ref="C15:K15" si="20">C7-C14</f>
        <v>-204.30000000000018</v>
      </c>
      <c r="D15" s="9">
        <f t="shared" si="20"/>
        <v>-543.70000000000005</v>
      </c>
      <c r="E15" s="9">
        <f t="shared" si="20"/>
        <v>-129.50000000000011</v>
      </c>
      <c r="F15" s="9">
        <f t="shared" si="20"/>
        <v>-2713.1</v>
      </c>
      <c r="G15" s="9">
        <f t="shared" si="20"/>
        <v>-184.89999999999998</v>
      </c>
      <c r="H15" s="9">
        <f t="shared" si="20"/>
        <v>-297.19999999999982</v>
      </c>
      <c r="I15" s="9">
        <f t="shared" si="20"/>
        <v>-132.10000000000002</v>
      </c>
      <c r="J15" s="9">
        <f t="shared" si="20"/>
        <v>-3776.9000000000005</v>
      </c>
      <c r="K15" s="9">
        <f t="shared" si="20"/>
        <v>21.600000000000023</v>
      </c>
      <c r="L15" s="9">
        <f t="shared" ref="L15" si="21">L7-L14</f>
        <v>-97.999999999999545</v>
      </c>
      <c r="M15" s="9">
        <f t="shared" ref="M15" si="22">M7-M14</f>
        <v>-38.700000000000045</v>
      </c>
      <c r="N15" s="9">
        <f t="shared" ref="N15" si="23">N7-N14</f>
        <v>-103.77088000000003</v>
      </c>
      <c r="S15" s="9">
        <f t="shared" ref="S15:X15" si="24">S7-S14</f>
        <v>629.40000000000009</v>
      </c>
      <c r="T15" s="9">
        <f t="shared" si="24"/>
        <v>473.59999999999968</v>
      </c>
      <c r="U15" s="9">
        <f t="shared" si="24"/>
        <v>-1165.1999999999994</v>
      </c>
      <c r="V15" s="9">
        <f t="shared" si="24"/>
        <v>-3590.5999999999995</v>
      </c>
      <c r="W15" s="9">
        <f t="shared" si="24"/>
        <v>-4391.0999999999985</v>
      </c>
      <c r="X15" s="9">
        <f t="shared" si="24"/>
        <v>-218.87088000000085</v>
      </c>
      <c r="Y15" s="9">
        <f t="shared" ref="Y15:AG15" si="25">Y7-Y14</f>
        <v>944.37869199999841</v>
      </c>
      <c r="Z15" s="9">
        <f t="shared" si="25"/>
        <v>1970.6750757999989</v>
      </c>
      <c r="AA15" s="9">
        <f t="shared" si="25"/>
        <v>2010.0885773159989</v>
      </c>
      <c r="AB15" s="9">
        <f t="shared" si="25"/>
        <v>2030.1894630891584</v>
      </c>
      <c r="AC15" s="9">
        <f t="shared" si="25"/>
        <v>2050.4913577200505</v>
      </c>
      <c r="AD15" s="9">
        <f t="shared" si="25"/>
        <v>2070.9962712972501</v>
      </c>
      <c r="AE15" s="9">
        <f t="shared" si="25"/>
        <v>2091.706234010222</v>
      </c>
      <c r="AF15" s="9">
        <f t="shared" si="25"/>
        <v>2112.6232963503244</v>
      </c>
      <c r="AG15" s="9">
        <f t="shared" si="25"/>
        <v>2133.7495293138281</v>
      </c>
    </row>
    <row r="16" spans="2:33" x14ac:dyDescent="0.3">
      <c r="B16" s="1" t="s">
        <v>30</v>
      </c>
      <c r="C16" s="6">
        <v>25.4</v>
      </c>
      <c r="D16" s="6">
        <v>31.1</v>
      </c>
      <c r="E16" s="6">
        <v>22.5</v>
      </c>
      <c r="F16" s="6">
        <v>24.6</v>
      </c>
      <c r="G16" s="6">
        <v>24.2</v>
      </c>
      <c r="H16" s="6">
        <v>25.9</v>
      </c>
      <c r="I16" s="6">
        <v>21</v>
      </c>
      <c r="J16" s="6">
        <v>22.2</v>
      </c>
      <c r="K16" s="6">
        <v>35.4</v>
      </c>
      <c r="L16" s="6">
        <v>17.5</v>
      </c>
      <c r="M16" s="6">
        <v>17.100000000000001</v>
      </c>
      <c r="N16" s="6">
        <v>26</v>
      </c>
      <c r="S16" s="6">
        <v>-8.8000000000000007</v>
      </c>
      <c r="T16" s="6">
        <v>14.2</v>
      </c>
      <c r="U16" s="6">
        <v>141.9</v>
      </c>
      <c r="V16" s="6">
        <v>103.6</v>
      </c>
      <c r="W16" s="6">
        <v>93.3</v>
      </c>
      <c r="X16" s="6">
        <f t="shared" ref="X16:X17" si="26">SUM(K16:N16)</f>
        <v>96</v>
      </c>
      <c r="Y16" s="6"/>
      <c r="Z16" s="6"/>
      <c r="AA16" s="6"/>
      <c r="AB16" s="6"/>
      <c r="AC16" s="6"/>
      <c r="AD16" s="6"/>
      <c r="AE16" s="6"/>
      <c r="AF16" s="6"/>
      <c r="AG16" s="6"/>
    </row>
    <row r="17" spans="2:139" x14ac:dyDescent="0.3">
      <c r="B17" s="1" t="s">
        <v>31</v>
      </c>
      <c r="C17" s="6">
        <v>-0.8</v>
      </c>
      <c r="D17" s="6">
        <v>2.2000000000000002</v>
      </c>
      <c r="E17" s="6">
        <v>0.3</v>
      </c>
      <c r="F17" s="6">
        <v>6.9</v>
      </c>
      <c r="G17" s="6">
        <v>3.1</v>
      </c>
      <c r="H17" s="6">
        <v>1.2</v>
      </c>
      <c r="I17" s="6">
        <v>-0.2</v>
      </c>
      <c r="J17" s="6">
        <v>2.8</v>
      </c>
      <c r="K17" s="6">
        <v>0</v>
      </c>
      <c r="L17" s="6">
        <v>0</v>
      </c>
      <c r="M17" s="6">
        <v>0</v>
      </c>
      <c r="N17" s="6">
        <v>0</v>
      </c>
      <c r="S17" s="6">
        <v>-39.6</v>
      </c>
      <c r="T17" s="6">
        <v>-6</v>
      </c>
      <c r="U17" s="6">
        <v>31</v>
      </c>
      <c r="V17" s="6">
        <v>8.6</v>
      </c>
      <c r="W17" s="6">
        <v>6.9</v>
      </c>
      <c r="X17" s="6">
        <f t="shared" si="26"/>
        <v>0</v>
      </c>
      <c r="Y17" s="6"/>
      <c r="Z17" s="6"/>
      <c r="AA17" s="6"/>
      <c r="AB17" s="6"/>
      <c r="AC17" s="6"/>
      <c r="AD17" s="6"/>
      <c r="AE17" s="6"/>
      <c r="AF17" s="6"/>
      <c r="AG17" s="6"/>
    </row>
    <row r="18" spans="2:139" x14ac:dyDescent="0.3">
      <c r="B18" s="1" t="s">
        <v>23</v>
      </c>
      <c r="C18" s="6">
        <f t="shared" ref="C18:K18" si="27">SUM(C16:C17)</f>
        <v>24.599999999999998</v>
      </c>
      <c r="D18" s="6">
        <f t="shared" si="27"/>
        <v>33.300000000000004</v>
      </c>
      <c r="E18" s="6">
        <f t="shared" si="27"/>
        <v>22.8</v>
      </c>
      <c r="F18" s="6">
        <f t="shared" si="27"/>
        <v>31.5</v>
      </c>
      <c r="G18" s="6">
        <f t="shared" si="27"/>
        <v>27.3</v>
      </c>
      <c r="H18" s="6">
        <f t="shared" si="27"/>
        <v>27.099999999999998</v>
      </c>
      <c r="I18" s="6">
        <f t="shared" si="27"/>
        <v>20.8</v>
      </c>
      <c r="J18" s="6">
        <f t="shared" si="27"/>
        <v>25</v>
      </c>
      <c r="K18" s="6">
        <f t="shared" si="27"/>
        <v>35.4</v>
      </c>
      <c r="L18" s="6">
        <f t="shared" ref="L18" si="28">SUM(L16:L17)</f>
        <v>17.5</v>
      </c>
      <c r="M18" s="6">
        <f t="shared" ref="M18" si="29">SUM(M16:M17)</f>
        <v>17.100000000000001</v>
      </c>
      <c r="N18" s="6">
        <f t="shared" ref="N18" si="30">SUM(N16:N17)</f>
        <v>26</v>
      </c>
      <c r="S18" s="6">
        <f>SUM(S16:S17)</f>
        <v>-48.400000000000006</v>
      </c>
      <c r="T18" s="6">
        <f>SUM(T16:T17)</f>
        <v>8.1999999999999993</v>
      </c>
      <c r="U18" s="6">
        <f t="shared" ref="U18:X18" si="31">SUM(U16:U17)</f>
        <v>172.9</v>
      </c>
      <c r="V18" s="6">
        <f t="shared" si="31"/>
        <v>112.19999999999999</v>
      </c>
      <c r="W18" s="6">
        <f t="shared" si="31"/>
        <v>100.2</v>
      </c>
      <c r="X18" s="6">
        <f t="shared" si="31"/>
        <v>96</v>
      </c>
      <c r="Y18" s="6">
        <f>X18*1.02</f>
        <v>97.92</v>
      </c>
      <c r="Z18" s="6">
        <f t="shared" ref="Z18:AG18" si="32">Y18*1.02</f>
        <v>99.878399999999999</v>
      </c>
      <c r="AA18" s="6">
        <f t="shared" si="32"/>
        <v>101.875968</v>
      </c>
      <c r="AB18" s="6">
        <f t="shared" si="32"/>
        <v>103.91348736</v>
      </c>
      <c r="AC18" s="6">
        <f t="shared" si="32"/>
        <v>105.9917571072</v>
      </c>
      <c r="AD18" s="6">
        <f t="shared" si="32"/>
        <v>108.111592249344</v>
      </c>
      <c r="AE18" s="6">
        <f t="shared" si="32"/>
        <v>110.27382409433088</v>
      </c>
      <c r="AF18" s="6">
        <f t="shared" si="32"/>
        <v>112.4793005762175</v>
      </c>
      <c r="AG18" s="6">
        <f t="shared" si="32"/>
        <v>114.72888658774185</v>
      </c>
    </row>
    <row r="19" spans="2:139" s="2" customFormat="1" x14ac:dyDescent="0.3">
      <c r="B19" s="2" t="s">
        <v>26</v>
      </c>
      <c r="C19" s="9">
        <f t="shared" ref="C19:K19" si="33">C15-C18</f>
        <v>-228.90000000000018</v>
      </c>
      <c r="D19" s="9">
        <f t="shared" si="33"/>
        <v>-577</v>
      </c>
      <c r="E19" s="9">
        <f t="shared" si="33"/>
        <v>-152.30000000000013</v>
      </c>
      <c r="F19" s="9">
        <f t="shared" si="33"/>
        <v>-2744.6</v>
      </c>
      <c r="G19" s="9">
        <f t="shared" si="33"/>
        <v>-212.2</v>
      </c>
      <c r="H19" s="9">
        <f t="shared" si="33"/>
        <v>-324.29999999999984</v>
      </c>
      <c r="I19" s="9">
        <f t="shared" si="33"/>
        <v>-152.90000000000003</v>
      </c>
      <c r="J19" s="9">
        <f t="shared" si="33"/>
        <v>-3801.9000000000005</v>
      </c>
      <c r="K19" s="9">
        <f t="shared" si="33"/>
        <v>-13.799999999999976</v>
      </c>
      <c r="L19" s="9">
        <f t="shared" ref="L19" si="34">L15-L18</f>
        <v>-115.49999999999955</v>
      </c>
      <c r="M19" s="9">
        <f t="shared" ref="M19" si="35">M15-M18</f>
        <v>-55.800000000000047</v>
      </c>
      <c r="N19" s="9">
        <f t="shared" ref="N19" si="36">N15-N18</f>
        <v>-129.77088000000003</v>
      </c>
      <c r="S19" s="9">
        <f>S15-S18</f>
        <v>677.80000000000007</v>
      </c>
      <c r="T19" s="9">
        <f>T15-T18</f>
        <v>465.39999999999969</v>
      </c>
      <c r="U19" s="9">
        <f t="shared" ref="U19:W19" si="37">U15-U18</f>
        <v>-1338.0999999999995</v>
      </c>
      <c r="V19" s="9">
        <f t="shared" si="37"/>
        <v>-3702.7999999999993</v>
      </c>
      <c r="W19" s="9">
        <f t="shared" si="37"/>
        <v>-4491.2999999999984</v>
      </c>
      <c r="X19" s="9">
        <f>X15-X18</f>
        <v>-314.87088000000085</v>
      </c>
      <c r="Y19" s="9">
        <f>Y15-Y18</f>
        <v>846.45869199999845</v>
      </c>
      <c r="Z19" s="9">
        <f t="shared" ref="Z19:AG19" si="38">Z15-Z18</f>
        <v>1870.7966757999989</v>
      </c>
      <c r="AA19" s="9">
        <f t="shared" si="38"/>
        <v>1908.2126093159989</v>
      </c>
      <c r="AB19" s="9">
        <f t="shared" si="38"/>
        <v>1926.2759757291583</v>
      </c>
      <c r="AC19" s="9">
        <f t="shared" si="38"/>
        <v>1944.4996006128504</v>
      </c>
      <c r="AD19" s="9">
        <f t="shared" si="38"/>
        <v>1962.884679047906</v>
      </c>
      <c r="AE19" s="9">
        <f t="shared" si="38"/>
        <v>1981.4324099158912</v>
      </c>
      <c r="AF19" s="9">
        <f t="shared" si="38"/>
        <v>2000.1439957741068</v>
      </c>
      <c r="AG19" s="9">
        <f t="shared" si="38"/>
        <v>2019.0206427260862</v>
      </c>
    </row>
    <row r="20" spans="2:139" x14ac:dyDescent="0.3">
      <c r="B20" s="1" t="s">
        <v>27</v>
      </c>
      <c r="C20" s="6">
        <v>-22.9</v>
      </c>
      <c r="D20" s="6">
        <v>-33.4</v>
      </c>
      <c r="E20" s="6">
        <v>-60.7</v>
      </c>
      <c r="F20" s="6">
        <v>158.4</v>
      </c>
      <c r="G20" s="6">
        <v>49.8</v>
      </c>
      <c r="H20" s="6">
        <v>41.2</v>
      </c>
      <c r="I20" s="6">
        <v>-27.7</v>
      </c>
      <c r="J20" s="6">
        <v>-75.7</v>
      </c>
      <c r="K20" s="6">
        <v>-1.9</v>
      </c>
      <c r="L20" s="6">
        <v>18.399999999999999</v>
      </c>
      <c r="M20" s="6">
        <v>37.1</v>
      </c>
      <c r="N20" s="6">
        <f t="shared" ref="N20" si="39">N19*0.1</f>
        <v>-12.977088000000004</v>
      </c>
      <c r="S20" s="6">
        <v>88.9</v>
      </c>
      <c r="T20" s="6">
        <v>47.4</v>
      </c>
      <c r="U20" s="6">
        <v>-213.4</v>
      </c>
      <c r="V20" s="6">
        <v>41.4</v>
      </c>
      <c r="W20" s="6">
        <v>-12.4</v>
      </c>
      <c r="X20" s="6">
        <f t="shared" ref="X20" si="40">SUM(K20:N20)</f>
        <v>40.622911999999999</v>
      </c>
      <c r="Y20" s="6">
        <f>Y19*0.15</f>
        <v>126.96880379999976</v>
      </c>
      <c r="Z20" s="6">
        <f t="shared" ref="Z20:AG20" si="41">Z19*0.15</f>
        <v>280.6195013699998</v>
      </c>
      <c r="AA20" s="6">
        <f t="shared" si="41"/>
        <v>286.23189139739981</v>
      </c>
      <c r="AB20" s="6">
        <f t="shared" si="41"/>
        <v>288.94139635937375</v>
      </c>
      <c r="AC20" s="6">
        <f t="shared" si="41"/>
        <v>291.67494009192757</v>
      </c>
      <c r="AD20" s="6">
        <f t="shared" si="41"/>
        <v>294.43270185718592</v>
      </c>
      <c r="AE20" s="6">
        <f t="shared" si="41"/>
        <v>297.21486148738364</v>
      </c>
      <c r="AF20" s="6">
        <f t="shared" si="41"/>
        <v>300.02159936611599</v>
      </c>
      <c r="AG20" s="6">
        <f t="shared" si="41"/>
        <v>302.8530964089129</v>
      </c>
    </row>
    <row r="21" spans="2:139" s="2" customFormat="1" x14ac:dyDescent="0.3">
      <c r="B21" s="2" t="s">
        <v>28</v>
      </c>
      <c r="C21" s="9">
        <f t="shared" ref="C21:K21" si="42">C19-C20</f>
        <v>-206.00000000000017</v>
      </c>
      <c r="D21" s="9">
        <f t="shared" si="42"/>
        <v>-543.6</v>
      </c>
      <c r="E21" s="9">
        <f t="shared" si="42"/>
        <v>-91.600000000000122</v>
      </c>
      <c r="F21" s="9">
        <f t="shared" si="42"/>
        <v>-2903</v>
      </c>
      <c r="G21" s="9">
        <f t="shared" si="42"/>
        <v>-262</v>
      </c>
      <c r="H21" s="9">
        <f t="shared" si="42"/>
        <v>-365.49999999999983</v>
      </c>
      <c r="I21" s="9">
        <f t="shared" si="42"/>
        <v>-125.20000000000003</v>
      </c>
      <c r="J21" s="9">
        <f t="shared" si="42"/>
        <v>-3726.2000000000007</v>
      </c>
      <c r="K21" s="9">
        <f t="shared" si="42"/>
        <v>-11.899999999999975</v>
      </c>
      <c r="L21" s="9">
        <f t="shared" ref="L21" si="43">L19-L20</f>
        <v>-133.89999999999955</v>
      </c>
      <c r="M21" s="9">
        <f t="shared" ref="M21" si="44">M19-M20</f>
        <v>-92.900000000000048</v>
      </c>
      <c r="N21" s="9">
        <f t="shared" ref="N21" si="45">N19-N20</f>
        <v>-116.79379200000002</v>
      </c>
      <c r="S21" s="9">
        <f t="shared" ref="S21:Y21" si="46">S19-S20</f>
        <v>588.90000000000009</v>
      </c>
      <c r="T21" s="9">
        <f t="shared" si="46"/>
        <v>417.99999999999972</v>
      </c>
      <c r="U21" s="9">
        <f t="shared" si="46"/>
        <v>-1124.6999999999994</v>
      </c>
      <c r="V21" s="9">
        <f t="shared" si="46"/>
        <v>-3744.1999999999994</v>
      </c>
      <c r="W21" s="9">
        <f t="shared" si="46"/>
        <v>-4478.8999999999987</v>
      </c>
      <c r="X21" s="9">
        <f t="shared" si="46"/>
        <v>-355.49379200000084</v>
      </c>
      <c r="Y21" s="9">
        <f t="shared" si="46"/>
        <v>719.48988819999863</v>
      </c>
      <c r="Z21" s="9">
        <f t="shared" ref="Z21:AG21" si="47">Z19-Z20</f>
        <v>1590.177174429999</v>
      </c>
      <c r="AA21" s="9">
        <f t="shared" si="47"/>
        <v>1621.9807179185991</v>
      </c>
      <c r="AB21" s="9">
        <f t="shared" si="47"/>
        <v>1637.3345793697845</v>
      </c>
      <c r="AC21" s="9">
        <f t="shared" si="47"/>
        <v>1652.8246605209229</v>
      </c>
      <c r="AD21" s="9">
        <f t="shared" si="47"/>
        <v>1668.4519771907201</v>
      </c>
      <c r="AE21" s="9">
        <f t="shared" si="47"/>
        <v>1684.2175484285076</v>
      </c>
      <c r="AF21" s="9">
        <f t="shared" si="47"/>
        <v>1700.1223964079909</v>
      </c>
      <c r="AG21" s="9">
        <f t="shared" si="47"/>
        <v>1716.1675463171732</v>
      </c>
      <c r="AH21" s="2">
        <f>AG21*(1+$AK$28)</f>
        <v>1699.0058708540014</v>
      </c>
      <c r="AI21" s="2">
        <f t="shared" ref="AI21:CT21" si="48">AH21*(1+$AK$28)</f>
        <v>1682.0158121454613</v>
      </c>
      <c r="AJ21" s="2">
        <f t="shared" si="48"/>
        <v>1665.1956540240067</v>
      </c>
      <c r="AK21" s="2">
        <f t="shared" si="48"/>
        <v>1648.5436974837667</v>
      </c>
      <c r="AL21" s="2">
        <f t="shared" si="48"/>
        <v>1632.0582605089289</v>
      </c>
      <c r="AM21" s="2">
        <f t="shared" si="48"/>
        <v>1615.7376779038395</v>
      </c>
      <c r="AN21" s="2">
        <f t="shared" si="48"/>
        <v>1599.5803011248011</v>
      </c>
      <c r="AO21" s="2">
        <f t="shared" si="48"/>
        <v>1583.5844981135531</v>
      </c>
      <c r="AP21" s="2">
        <f t="shared" si="48"/>
        <v>1567.7486531324175</v>
      </c>
      <c r="AQ21" s="2">
        <f t="shared" si="48"/>
        <v>1552.0711666010934</v>
      </c>
      <c r="AR21" s="2">
        <f t="shared" si="48"/>
        <v>1536.5504549350824</v>
      </c>
      <c r="AS21" s="2">
        <f t="shared" si="48"/>
        <v>1521.1849503857316</v>
      </c>
      <c r="AT21" s="2">
        <f t="shared" si="48"/>
        <v>1505.9731008818742</v>
      </c>
      <c r="AU21" s="2">
        <f t="shared" si="48"/>
        <v>1490.9133698730554</v>
      </c>
      <c r="AV21" s="2">
        <f t="shared" si="48"/>
        <v>1476.0042361743249</v>
      </c>
      <c r="AW21" s="2">
        <f t="shared" si="48"/>
        <v>1461.2441938125817</v>
      </c>
      <c r="AX21" s="2">
        <f t="shared" si="48"/>
        <v>1446.6317518744559</v>
      </c>
      <c r="AY21" s="2">
        <f t="shared" si="48"/>
        <v>1432.1654343557113</v>
      </c>
      <c r="AZ21" s="2">
        <f t="shared" si="48"/>
        <v>1417.8437800121542</v>
      </c>
      <c r="BA21" s="2">
        <f t="shared" si="48"/>
        <v>1403.6653422120326</v>
      </c>
      <c r="BB21" s="2">
        <f t="shared" si="48"/>
        <v>1389.6286887899123</v>
      </c>
      <c r="BC21" s="2">
        <f t="shared" si="48"/>
        <v>1375.7324019020132</v>
      </c>
      <c r="BD21" s="2">
        <f t="shared" si="48"/>
        <v>1361.975077882993</v>
      </c>
      <c r="BE21" s="2">
        <f t="shared" si="48"/>
        <v>1348.3553271041631</v>
      </c>
      <c r="BF21" s="2">
        <f t="shared" si="48"/>
        <v>1334.8717738331213</v>
      </c>
      <c r="BG21" s="2">
        <f t="shared" si="48"/>
        <v>1321.52305609479</v>
      </c>
      <c r="BH21" s="2">
        <f t="shared" si="48"/>
        <v>1308.3078255338421</v>
      </c>
      <c r="BI21" s="2">
        <f t="shared" si="48"/>
        <v>1295.2247472785036</v>
      </c>
      <c r="BJ21" s="2">
        <f t="shared" si="48"/>
        <v>1282.2724998057186</v>
      </c>
      <c r="BK21" s="2">
        <f t="shared" si="48"/>
        <v>1269.4497748076615</v>
      </c>
      <c r="BL21" s="2">
        <f t="shared" si="48"/>
        <v>1256.7552770595848</v>
      </c>
      <c r="BM21" s="2">
        <f t="shared" si="48"/>
        <v>1244.1877242889889</v>
      </c>
      <c r="BN21" s="2">
        <f t="shared" si="48"/>
        <v>1231.745847046099</v>
      </c>
      <c r="BO21" s="2">
        <f t="shared" si="48"/>
        <v>1219.4283885756381</v>
      </c>
      <c r="BP21" s="2">
        <f t="shared" si="48"/>
        <v>1207.2341046898816</v>
      </c>
      <c r="BQ21" s="2">
        <f t="shared" si="48"/>
        <v>1195.1617636429828</v>
      </c>
      <c r="BR21" s="2">
        <f t="shared" si="48"/>
        <v>1183.210146006553</v>
      </c>
      <c r="BS21" s="2">
        <f t="shared" si="48"/>
        <v>1171.3780445464874</v>
      </c>
      <c r="BT21" s="2">
        <f t="shared" si="48"/>
        <v>1159.6642641010226</v>
      </c>
      <c r="BU21" s="2">
        <f t="shared" si="48"/>
        <v>1148.0676214600123</v>
      </c>
      <c r="BV21" s="2">
        <f t="shared" si="48"/>
        <v>1136.5869452454122</v>
      </c>
      <c r="BW21" s="2">
        <f t="shared" si="48"/>
        <v>1125.2210757929581</v>
      </c>
      <c r="BX21" s="2">
        <f t="shared" si="48"/>
        <v>1113.9688650350286</v>
      </c>
      <c r="BY21" s="2">
        <f t="shared" si="48"/>
        <v>1102.8291763846782</v>
      </c>
      <c r="BZ21" s="2">
        <f t="shared" si="48"/>
        <v>1091.8008846208315</v>
      </c>
      <c r="CA21" s="2">
        <f t="shared" si="48"/>
        <v>1080.8828757746232</v>
      </c>
      <c r="CB21" s="2">
        <f t="shared" si="48"/>
        <v>1070.0740470168771</v>
      </c>
      <c r="CC21" s="2">
        <f t="shared" si="48"/>
        <v>1059.3733065467084</v>
      </c>
      <c r="CD21" s="2">
        <f t="shared" si="48"/>
        <v>1048.7795734812412</v>
      </c>
      <c r="CE21" s="2">
        <f t="shared" si="48"/>
        <v>1038.2917777464288</v>
      </c>
      <c r="CF21" s="2">
        <f t="shared" si="48"/>
        <v>1027.9088599689644</v>
      </c>
      <c r="CG21" s="2">
        <f t="shared" si="48"/>
        <v>1017.6297713692747</v>
      </c>
      <c r="CH21" s="2">
        <f t="shared" si="48"/>
        <v>1007.453473655582</v>
      </c>
      <c r="CI21" s="2">
        <f t="shared" si="48"/>
        <v>997.37893891902615</v>
      </c>
      <c r="CJ21" s="2">
        <f t="shared" si="48"/>
        <v>987.40514952983585</v>
      </c>
      <c r="CK21" s="2">
        <f t="shared" si="48"/>
        <v>977.53109803453754</v>
      </c>
      <c r="CL21" s="2">
        <f t="shared" si="48"/>
        <v>967.75578705419218</v>
      </c>
      <c r="CM21" s="2">
        <f t="shared" si="48"/>
        <v>958.07822918365025</v>
      </c>
      <c r="CN21" s="2">
        <f t="shared" si="48"/>
        <v>948.49744689181375</v>
      </c>
      <c r="CO21" s="2">
        <f t="shared" si="48"/>
        <v>939.0124724228956</v>
      </c>
      <c r="CP21" s="2">
        <f t="shared" si="48"/>
        <v>929.62234769866666</v>
      </c>
      <c r="CQ21" s="2">
        <f t="shared" si="48"/>
        <v>920.32612422167995</v>
      </c>
      <c r="CR21" s="2">
        <f t="shared" si="48"/>
        <v>911.12286297946309</v>
      </c>
      <c r="CS21" s="2">
        <f t="shared" si="48"/>
        <v>902.0116343496685</v>
      </c>
      <c r="CT21" s="2">
        <f t="shared" si="48"/>
        <v>892.99151800617176</v>
      </c>
      <c r="CU21" s="2">
        <f t="shared" ref="CU21:EI21" si="49">CT21*(1+$AK$28)</f>
        <v>884.06160282611006</v>
      </c>
      <c r="CV21" s="2">
        <f t="shared" si="49"/>
        <v>875.22098679784892</v>
      </c>
      <c r="CW21" s="2">
        <f t="shared" si="49"/>
        <v>866.46877692987039</v>
      </c>
      <c r="CX21" s="2">
        <f t="shared" si="49"/>
        <v>857.80408916057172</v>
      </c>
      <c r="CY21" s="2">
        <f t="shared" si="49"/>
        <v>849.226048268966</v>
      </c>
      <c r="CZ21" s="2">
        <f t="shared" si="49"/>
        <v>840.73378778627637</v>
      </c>
      <c r="DA21" s="2">
        <f t="shared" si="49"/>
        <v>832.32644990841357</v>
      </c>
      <c r="DB21" s="2">
        <f t="shared" si="49"/>
        <v>824.00318540932938</v>
      </c>
      <c r="DC21" s="2">
        <f t="shared" si="49"/>
        <v>815.76315355523604</v>
      </c>
      <c r="DD21" s="2">
        <f t="shared" si="49"/>
        <v>807.60552201968369</v>
      </c>
      <c r="DE21" s="2">
        <f t="shared" si="49"/>
        <v>799.52946679948684</v>
      </c>
      <c r="DF21" s="2">
        <f t="shared" si="49"/>
        <v>791.53417213149191</v>
      </c>
      <c r="DG21" s="2">
        <f t="shared" si="49"/>
        <v>783.618830410177</v>
      </c>
      <c r="DH21" s="2">
        <f t="shared" si="49"/>
        <v>775.78264210607517</v>
      </c>
      <c r="DI21" s="2">
        <f t="shared" si="49"/>
        <v>768.02481568501446</v>
      </c>
      <c r="DJ21" s="2">
        <f t="shared" si="49"/>
        <v>760.34456752816436</v>
      </c>
      <c r="DK21" s="2">
        <f t="shared" si="49"/>
        <v>752.74112185288266</v>
      </c>
      <c r="DL21" s="2">
        <f t="shared" si="49"/>
        <v>745.21371063435379</v>
      </c>
      <c r="DM21" s="2">
        <f t="shared" si="49"/>
        <v>737.76157352801022</v>
      </c>
      <c r="DN21" s="2">
        <f t="shared" si="49"/>
        <v>730.38395779273014</v>
      </c>
      <c r="DO21" s="2">
        <f t="shared" si="49"/>
        <v>723.08011821480284</v>
      </c>
      <c r="DP21" s="2">
        <f t="shared" si="49"/>
        <v>715.84931703265477</v>
      </c>
      <c r="DQ21" s="2">
        <f t="shared" si="49"/>
        <v>708.69082386232822</v>
      </c>
      <c r="DR21" s="2">
        <f t="shared" si="49"/>
        <v>701.60391562370489</v>
      </c>
      <c r="DS21" s="2">
        <f t="shared" si="49"/>
        <v>694.58787646746782</v>
      </c>
      <c r="DT21" s="2">
        <f t="shared" si="49"/>
        <v>687.64199770279311</v>
      </c>
      <c r="DU21" s="2">
        <f t="shared" si="49"/>
        <v>680.76557772576518</v>
      </c>
      <c r="DV21" s="2">
        <f t="shared" si="49"/>
        <v>673.95792194850753</v>
      </c>
      <c r="DW21" s="2">
        <f t="shared" si="49"/>
        <v>667.21834272902242</v>
      </c>
      <c r="DX21" s="2">
        <f t="shared" si="49"/>
        <v>660.54615930173225</v>
      </c>
      <c r="DY21" s="2">
        <f t="shared" si="49"/>
        <v>653.94069770871488</v>
      </c>
      <c r="DZ21" s="2">
        <f t="shared" si="49"/>
        <v>647.40129073162768</v>
      </c>
      <c r="EA21" s="2">
        <f t="shared" si="49"/>
        <v>640.92727782431143</v>
      </c>
      <c r="EB21" s="2">
        <f t="shared" si="49"/>
        <v>634.51800504606831</v>
      </c>
      <c r="EC21" s="2">
        <f t="shared" si="49"/>
        <v>628.17282499560758</v>
      </c>
      <c r="ED21" s="2">
        <f t="shared" si="49"/>
        <v>621.89109674565145</v>
      </c>
      <c r="EE21" s="2">
        <f t="shared" si="49"/>
        <v>615.67218577819494</v>
      </c>
      <c r="EF21" s="2">
        <f t="shared" si="49"/>
        <v>609.51546392041303</v>
      </c>
      <c r="EG21" s="2">
        <f t="shared" si="49"/>
        <v>603.42030928120892</v>
      </c>
      <c r="EH21" s="2">
        <f t="shared" si="49"/>
        <v>597.38610618839687</v>
      </c>
      <c r="EI21" s="2">
        <f t="shared" si="49"/>
        <v>591.41224512651286</v>
      </c>
    </row>
    <row r="22" spans="2:139" x14ac:dyDescent="0.3">
      <c r="B22" s="1" t="s">
        <v>2</v>
      </c>
      <c r="C22" s="6">
        <v>177.4</v>
      </c>
      <c r="D22" s="6">
        <v>177.4</v>
      </c>
      <c r="E22" s="6">
        <v>177.4</v>
      </c>
      <c r="F22" s="6">
        <v>177.4</v>
      </c>
      <c r="G22" s="6">
        <v>177.4</v>
      </c>
      <c r="H22" s="6">
        <v>177.4</v>
      </c>
      <c r="I22" s="6">
        <v>177.4</v>
      </c>
      <c r="J22" s="6">
        <v>177.4</v>
      </c>
      <c r="K22" s="6">
        <f>184.5</f>
        <v>184.5</v>
      </c>
      <c r="L22" s="6">
        <f>184.6</f>
        <v>184.6</v>
      </c>
      <c r="M22" s="6">
        <f>184.6</f>
        <v>184.6</v>
      </c>
      <c r="N22" s="6">
        <f>184.6</f>
        <v>184.6</v>
      </c>
      <c r="S22" s="6">
        <v>177.4</v>
      </c>
      <c r="T22" s="6">
        <v>177.4</v>
      </c>
      <c r="U22" s="6">
        <v>177.4</v>
      </c>
      <c r="V22" s="6">
        <v>177.4</v>
      </c>
      <c r="W22" s="6">
        <v>177.4</v>
      </c>
      <c r="X22" s="6">
        <f t="shared" ref="X22:AG22" si="50">184.6</f>
        <v>184.6</v>
      </c>
      <c r="Y22" s="6">
        <f t="shared" si="50"/>
        <v>184.6</v>
      </c>
      <c r="Z22" s="6">
        <f t="shared" si="50"/>
        <v>184.6</v>
      </c>
      <c r="AA22" s="6">
        <f t="shared" si="50"/>
        <v>184.6</v>
      </c>
      <c r="AB22" s="6">
        <f t="shared" si="50"/>
        <v>184.6</v>
      </c>
      <c r="AC22" s="6">
        <f t="shared" si="50"/>
        <v>184.6</v>
      </c>
      <c r="AD22" s="6">
        <f t="shared" si="50"/>
        <v>184.6</v>
      </c>
      <c r="AE22" s="6">
        <f t="shared" si="50"/>
        <v>184.6</v>
      </c>
      <c r="AF22" s="6">
        <f t="shared" si="50"/>
        <v>184.6</v>
      </c>
      <c r="AG22" s="6">
        <f t="shared" si="50"/>
        <v>184.6</v>
      </c>
    </row>
    <row r="23" spans="2:139" x14ac:dyDescent="0.3">
      <c r="B23" s="1" t="s">
        <v>29</v>
      </c>
      <c r="C23" s="8">
        <f t="shared" ref="C23:K23" si="51">C21/C22</f>
        <v>-1.1612175873731689</v>
      </c>
      <c r="D23" s="8">
        <f t="shared" si="51"/>
        <v>-3.0642615558060879</v>
      </c>
      <c r="E23" s="8">
        <f t="shared" si="51"/>
        <v>-0.51634723788049675</v>
      </c>
      <c r="F23" s="8">
        <f t="shared" si="51"/>
        <v>-16.364148816234497</v>
      </c>
      <c r="G23" s="8">
        <f t="shared" si="51"/>
        <v>-1.4768883878241261</v>
      </c>
      <c r="H23" s="8">
        <f t="shared" si="51"/>
        <v>-2.06031567080045</v>
      </c>
      <c r="I23" s="8">
        <f t="shared" si="51"/>
        <v>-0.70574971815107113</v>
      </c>
      <c r="J23" s="8">
        <f t="shared" si="51"/>
        <v>-21.004509582863587</v>
      </c>
      <c r="K23" s="8">
        <f t="shared" si="51"/>
        <v>-6.4498644986449735E-2</v>
      </c>
      <c r="L23" s="8">
        <f t="shared" ref="L23" si="52">L21/L22</f>
        <v>-0.72535211267605393</v>
      </c>
      <c r="M23" s="8">
        <f t="shared" ref="M23" si="53">M21/M22</f>
        <v>-0.5032502708559049</v>
      </c>
      <c r="N23" s="8">
        <f t="shared" ref="N23" si="54">N21/N22</f>
        <v>-0.63268576381365127</v>
      </c>
      <c r="S23" s="8">
        <f t="shared" ref="S23:Y23" si="55">S21/S22</f>
        <v>3.3196166854565958</v>
      </c>
      <c r="T23" s="8">
        <f t="shared" si="55"/>
        <v>2.3562570462232229</v>
      </c>
      <c r="U23" s="8">
        <f t="shared" si="55"/>
        <v>-6.3399098083427248</v>
      </c>
      <c r="V23" s="8">
        <f t="shared" si="55"/>
        <v>-21.105975197294246</v>
      </c>
      <c r="W23" s="8">
        <f t="shared" si="55"/>
        <v>-25.247463359639227</v>
      </c>
      <c r="X23" s="8">
        <f t="shared" si="55"/>
        <v>-1.9257518526543924</v>
      </c>
      <c r="Y23" s="8">
        <f t="shared" si="55"/>
        <v>3.8975616912242614</v>
      </c>
      <c r="Z23" s="8">
        <f t="shared" ref="Z23:AG23" si="56">Z21/Z22</f>
        <v>8.6141775429577407</v>
      </c>
      <c r="AA23" s="8">
        <f t="shared" si="56"/>
        <v>8.7864610938168966</v>
      </c>
      <c r="AB23" s="8">
        <f t="shared" si="56"/>
        <v>8.8696347744842061</v>
      </c>
      <c r="AC23" s="8">
        <f t="shared" si="56"/>
        <v>8.9535463733527791</v>
      </c>
      <c r="AD23" s="8">
        <f t="shared" si="56"/>
        <v>9.0382013932325034</v>
      </c>
      <c r="AE23" s="8">
        <f t="shared" si="56"/>
        <v>9.1236053544339519</v>
      </c>
      <c r="AF23" s="8">
        <f t="shared" si="56"/>
        <v>9.209763794192801</v>
      </c>
      <c r="AG23" s="8">
        <f t="shared" si="56"/>
        <v>9.2966822660735282</v>
      </c>
    </row>
    <row r="25" spans="2:139" x14ac:dyDescent="0.3">
      <c r="B25" s="1" t="s">
        <v>43</v>
      </c>
      <c r="C25" s="11"/>
      <c r="D25" s="11"/>
      <c r="E25" s="11"/>
      <c r="F25" s="11"/>
      <c r="G25" s="11">
        <f t="shared" ref="G25:J25" si="57">G3/C3-1</f>
        <v>0.11002645744001471</v>
      </c>
      <c r="H25" s="11">
        <f t="shared" si="57"/>
        <v>9.3301435406698774E-2</v>
      </c>
      <c r="I25" s="11">
        <f t="shared" si="57"/>
        <v>2.8885946035424492E-2</v>
      </c>
      <c r="J25" s="11">
        <f t="shared" si="57"/>
        <v>0.16912581310487074</v>
      </c>
      <c r="K25" s="11">
        <f>K3/G3-1</f>
        <v>0.13627023917152958</v>
      </c>
      <c r="L25" s="11">
        <f t="shared" ref="L25:N27" si="58">L3/H3-1</f>
        <v>0.32984844801037361</v>
      </c>
      <c r="M25" s="11">
        <f t="shared" si="58"/>
        <v>0.26321293540342694</v>
      </c>
      <c r="N25" s="11">
        <f t="shared" si="58"/>
        <v>2.0000000000000018E-2</v>
      </c>
      <c r="S25" s="11"/>
      <c r="T25" s="11">
        <f t="shared" ref="T25:V25" si="59">T3/S3-1</f>
        <v>3.1177516040606035E-2</v>
      </c>
      <c r="U25" s="11">
        <f t="shared" si="59"/>
        <v>0.38338396821687337</v>
      </c>
      <c r="V25" s="11">
        <f t="shared" si="59"/>
        <v>-8.8901089619056739E-3</v>
      </c>
      <c r="W25" s="11">
        <f>W3/V3-1</f>
        <v>0.10099073186321506</v>
      </c>
      <c r="X25" s="11">
        <f t="shared" ref="X25:X26" si="60">X3/W3-1</f>
        <v>0.17986956942428645</v>
      </c>
    </row>
    <row r="26" spans="2:139" x14ac:dyDescent="0.3">
      <c r="B26" s="1" t="s">
        <v>44</v>
      </c>
      <c r="C26" s="11"/>
      <c r="D26" s="11"/>
      <c r="E26" s="11"/>
      <c r="F26" s="11"/>
      <c r="G26" s="11">
        <f t="shared" ref="G26:K26" si="61">G4/C4-1</f>
        <v>-0.35577942735949097</v>
      </c>
      <c r="H26" s="11">
        <f t="shared" si="61"/>
        <v>-0.30128956623681125</v>
      </c>
      <c r="I26" s="11">
        <f t="shared" si="61"/>
        <v>-0.26185958254269448</v>
      </c>
      <c r="J26" s="11">
        <f t="shared" si="61"/>
        <v>-0.21685878962536032</v>
      </c>
      <c r="K26" s="11">
        <f t="shared" si="61"/>
        <v>-1.6460905349794386E-3</v>
      </c>
      <c r="L26" s="11">
        <f t="shared" si="58"/>
        <v>0.11493288590604034</v>
      </c>
      <c r="M26" s="11">
        <f t="shared" si="58"/>
        <v>0.10282776349614386</v>
      </c>
      <c r="N26" s="11">
        <f t="shared" si="58"/>
        <v>0.19999999999999996</v>
      </c>
      <c r="S26" s="11"/>
      <c r="T26" s="11">
        <f t="shared" ref="T26:V26" si="62">T4/S4-1</f>
        <v>0.53672316384180774</v>
      </c>
      <c r="U26" s="11">
        <f t="shared" si="62"/>
        <v>6.528186274509804</v>
      </c>
      <c r="V26" s="11">
        <f t="shared" si="62"/>
        <v>6.8044929187693448E-2</v>
      </c>
      <c r="W26" s="11">
        <f>W4/V4-1</f>
        <v>-0.28959000152415793</v>
      </c>
      <c r="X26" s="11">
        <f t="shared" si="60"/>
        <v>0.10135164127869523</v>
      </c>
    </row>
    <row r="27" spans="2:139" x14ac:dyDescent="0.3">
      <c r="B27" s="1" t="s">
        <v>45</v>
      </c>
      <c r="C27" s="11"/>
      <c r="D27" s="11"/>
      <c r="E27" s="11"/>
      <c r="F27" s="11"/>
      <c r="G27" s="11">
        <f t="shared" ref="G27:K27" si="63">G5/C5-1</f>
        <v>4.1643963571261988E-2</v>
      </c>
      <c r="H27" s="11">
        <f t="shared" si="63"/>
        <v>4.1487068965517571E-2</v>
      </c>
      <c r="I27" s="11">
        <f t="shared" si="63"/>
        <v>-4.7573739295908579E-3</v>
      </c>
      <c r="J27" s="11">
        <f t="shared" si="63"/>
        <v>0.13084178933828805</v>
      </c>
      <c r="K27" s="11">
        <f t="shared" si="63"/>
        <v>0.123748318636975</v>
      </c>
      <c r="L27" s="11">
        <f t="shared" si="58"/>
        <v>0.31091567511639928</v>
      </c>
      <c r="M27" s="11">
        <f t="shared" si="58"/>
        <v>0.2494484483012207</v>
      </c>
      <c r="N27" s="11">
        <f t="shared" si="58"/>
        <v>3.2363981042654144E-2</v>
      </c>
      <c r="S27" s="11"/>
      <c r="T27" s="11">
        <f t="shared" ref="T27:V27" si="64">T5/S5-1</f>
        <v>3.9136622390891773E-2</v>
      </c>
      <c r="U27" s="11">
        <f t="shared" si="64"/>
        <v>0.52644944076694844</v>
      </c>
      <c r="V27" s="11">
        <f t="shared" si="64"/>
        <v>-5.6075814501288512E-5</v>
      </c>
      <c r="W27" s="11">
        <f>W5/V5-1</f>
        <v>5.3088081351876815E-2</v>
      </c>
      <c r="X27" s="11">
        <f>X5/W5-1</f>
        <v>0.17337333143993172</v>
      </c>
      <c r="Y27" s="11">
        <f t="shared" ref="Y27:AG27" si="65">Y5/X5-1</f>
        <v>0.40000000000000013</v>
      </c>
      <c r="Z27" s="11">
        <f t="shared" si="65"/>
        <v>0.14999999999999991</v>
      </c>
      <c r="AA27" s="11">
        <f t="shared" si="65"/>
        <v>2.0000000000000018E-2</v>
      </c>
      <c r="AB27" s="11">
        <f t="shared" si="65"/>
        <v>1.0000000000000009E-2</v>
      </c>
      <c r="AC27" s="11">
        <f t="shared" si="65"/>
        <v>1.0000000000000009E-2</v>
      </c>
      <c r="AD27" s="11">
        <f t="shared" si="65"/>
        <v>1.0000000000000009E-2</v>
      </c>
      <c r="AE27" s="11">
        <f t="shared" si="65"/>
        <v>1.0000000000000009E-2</v>
      </c>
      <c r="AF27" s="11">
        <f t="shared" si="65"/>
        <v>1.0000000000000009E-2</v>
      </c>
      <c r="AG27" s="11">
        <f t="shared" si="65"/>
        <v>1.0000000000000009E-2</v>
      </c>
    </row>
    <row r="28" spans="2:139" x14ac:dyDescent="0.3">
      <c r="B28" s="1" t="s">
        <v>46</v>
      </c>
      <c r="C28" s="11">
        <f t="shared" ref="C28:J28" si="66">C7/C5</f>
        <v>0.52868373939441105</v>
      </c>
      <c r="D28" s="11">
        <f t="shared" si="66"/>
        <v>0.31973522167487678</v>
      </c>
      <c r="E28" s="11">
        <f t="shared" si="66"/>
        <v>0.49630388640854861</v>
      </c>
      <c r="F28" s="11">
        <f t="shared" si="66"/>
        <v>0.33521509218236384</v>
      </c>
      <c r="G28" s="11">
        <f t="shared" si="66"/>
        <v>0.57622179046480348</v>
      </c>
      <c r="H28" s="11">
        <f t="shared" si="66"/>
        <v>0.53794989283866679</v>
      </c>
      <c r="I28" s="11">
        <f t="shared" si="66"/>
        <v>0.55883218120311806</v>
      </c>
      <c r="J28" s="11">
        <f t="shared" si="66"/>
        <v>0.50761453396524481</v>
      </c>
      <c r="K28" s="11">
        <f>K7/K5</f>
        <v>0.62840803298310943</v>
      </c>
      <c r="L28" s="11">
        <f t="shared" ref="L28:N28" si="67">L7/L5</f>
        <v>0.55276806855338823</v>
      </c>
      <c r="M28" s="11">
        <f t="shared" si="67"/>
        <v>0.55650382577987056</v>
      </c>
      <c r="N28" s="11">
        <f t="shared" si="67"/>
        <v>0.56999999999999995</v>
      </c>
      <c r="S28" s="11">
        <f t="shared" ref="S28:V28" si="68">S7/S5</f>
        <v>0.54485887096774188</v>
      </c>
      <c r="T28" s="11">
        <f t="shared" si="68"/>
        <v>0.56191508787947952</v>
      </c>
      <c r="U28" s="11">
        <f t="shared" si="68"/>
        <v>0.4271668629320175</v>
      </c>
      <c r="V28" s="11">
        <f t="shared" si="68"/>
        <v>0.41905936892477941</v>
      </c>
      <c r="W28" s="11">
        <f>W7/W5</f>
        <v>0.54356006816245384</v>
      </c>
      <c r="X28" s="11">
        <f>X7/X5</f>
        <v>0.57519460794309984</v>
      </c>
      <c r="Y28" s="11">
        <f t="shared" ref="Y28:AG28" si="69">Y7/Y5</f>
        <v>0.57999999999999996</v>
      </c>
      <c r="Z28" s="11">
        <f t="shared" si="69"/>
        <v>0.57999999999999996</v>
      </c>
      <c r="AA28" s="11">
        <f t="shared" si="69"/>
        <v>0.57999999999999996</v>
      </c>
      <c r="AB28" s="11">
        <f t="shared" si="69"/>
        <v>0.57999999999999996</v>
      </c>
      <c r="AC28" s="11">
        <f t="shared" si="69"/>
        <v>0.57999999999999996</v>
      </c>
      <c r="AD28" s="11">
        <f t="shared" si="69"/>
        <v>0.57999999999999996</v>
      </c>
      <c r="AE28" s="11">
        <f t="shared" si="69"/>
        <v>0.57999999999999996</v>
      </c>
      <c r="AF28" s="11">
        <f t="shared" si="69"/>
        <v>0.57999999999999996</v>
      </c>
      <c r="AG28" s="11">
        <f t="shared" si="69"/>
        <v>0.57999999999999996</v>
      </c>
      <c r="AJ28" s="1" t="s">
        <v>52</v>
      </c>
      <c r="AK28" s="11">
        <v>-0.01</v>
      </c>
    </row>
    <row r="29" spans="2:139" x14ac:dyDescent="0.3">
      <c r="B29" s="1" t="s">
        <v>47</v>
      </c>
      <c r="C29" s="11">
        <f t="shared" ref="C29:J29" si="70">C8/C5</f>
        <v>0.31088970187592435</v>
      </c>
      <c r="D29" s="11">
        <f t="shared" si="70"/>
        <v>0.25754310344827591</v>
      </c>
      <c r="E29" s="11">
        <f t="shared" si="70"/>
        <v>0.2688282222059577</v>
      </c>
      <c r="F29" s="11">
        <f t="shared" si="70"/>
        <v>0.32070887523224245</v>
      </c>
      <c r="G29" s="11">
        <f t="shared" si="70"/>
        <v>0.32237333731878642</v>
      </c>
      <c r="H29" s="11">
        <f t="shared" si="70"/>
        <v>0.34092084842214171</v>
      </c>
      <c r="I29" s="11">
        <f t="shared" si="70"/>
        <v>0.28599794087365787</v>
      </c>
      <c r="J29" s="11">
        <f t="shared" si="70"/>
        <v>0.25409162717219591</v>
      </c>
      <c r="K29" s="11">
        <f>K8/K5</f>
        <v>0.27184466019417475</v>
      </c>
      <c r="L29" s="11">
        <f t="shared" ref="L29:N29" si="71">L8/L5</f>
        <v>0.3025143759161123</v>
      </c>
      <c r="M29" s="11">
        <f t="shared" si="71"/>
        <v>0.25497351383166567</v>
      </c>
      <c r="N29" s="11">
        <f t="shared" si="71"/>
        <v>0.25</v>
      </c>
      <c r="S29" s="11">
        <f t="shared" ref="S29:V29" si="72">S8/S5</f>
        <v>0.1319378557874763</v>
      </c>
      <c r="T29" s="11">
        <f t="shared" si="72"/>
        <v>0.14734078977402421</v>
      </c>
      <c r="U29" s="11">
        <f t="shared" si="72"/>
        <v>0.2965475990205424</v>
      </c>
      <c r="V29" s="11">
        <f t="shared" si="72"/>
        <v>0.28977867504112453</v>
      </c>
      <c r="W29" s="11">
        <f>W8/W5</f>
        <v>0.29886750923033228</v>
      </c>
      <c r="X29" s="11">
        <f>X8/X5</f>
        <v>0.27033942098985891</v>
      </c>
      <c r="Y29" s="11">
        <f t="shared" ref="Y29:AG29" si="73">Y8/Y5</f>
        <v>0</v>
      </c>
      <c r="Z29" s="11">
        <f t="shared" si="73"/>
        <v>0</v>
      </c>
      <c r="AA29" s="11">
        <f t="shared" si="73"/>
        <v>0</v>
      </c>
      <c r="AB29" s="11">
        <f t="shared" si="73"/>
        <v>0</v>
      </c>
      <c r="AC29" s="11">
        <f t="shared" si="73"/>
        <v>0</v>
      </c>
      <c r="AD29" s="11">
        <f t="shared" si="73"/>
        <v>0</v>
      </c>
      <c r="AE29" s="11">
        <f t="shared" si="73"/>
        <v>0</v>
      </c>
      <c r="AF29" s="11">
        <f t="shared" si="73"/>
        <v>0</v>
      </c>
      <c r="AG29" s="11">
        <f t="shared" si="73"/>
        <v>0</v>
      </c>
      <c r="AJ29" s="1" t="s">
        <v>53</v>
      </c>
      <c r="AK29" s="11">
        <v>0.08</v>
      </c>
    </row>
    <row r="30" spans="2:139" x14ac:dyDescent="0.3">
      <c r="B30" s="1" t="s">
        <v>48</v>
      </c>
      <c r="C30" s="11"/>
      <c r="D30" s="11"/>
      <c r="E30" s="11"/>
      <c r="F30" s="11"/>
      <c r="G30" s="11">
        <f t="shared" ref="G30:J30" si="74">G9/C9-1</f>
        <v>-7.8792958927074497E-2</v>
      </c>
      <c r="H30" s="11">
        <f t="shared" si="74"/>
        <v>6.2903920723826001E-2</v>
      </c>
      <c r="I30" s="11">
        <f t="shared" si="74"/>
        <v>3.8362068965517304E-2</v>
      </c>
      <c r="J30" s="11">
        <f t="shared" si="74"/>
        <v>0.21303462321792255</v>
      </c>
      <c r="K30" s="11">
        <f>K9/G9-1</f>
        <v>0.18926296633302986</v>
      </c>
      <c r="L30" s="11">
        <f t="shared" ref="L30:N30" si="75">L9/H9-1</f>
        <v>8.6339683826510027E-2</v>
      </c>
      <c r="M30" s="11">
        <f t="shared" si="75"/>
        <v>0.1735159817351597</v>
      </c>
      <c r="N30" s="11">
        <f t="shared" si="75"/>
        <v>2.0000000000000018E-2</v>
      </c>
      <c r="S30" s="11"/>
      <c r="T30" s="11">
        <f t="shared" ref="T30:V30" si="76">T9/S9-1</f>
        <v>0.2814371257485031</v>
      </c>
      <c r="U30" s="11">
        <f t="shared" si="76"/>
        <v>1.1829808165272997</v>
      </c>
      <c r="V30" s="11">
        <f t="shared" si="76"/>
        <v>6.8273997296079303E-2</v>
      </c>
      <c r="W30" s="11">
        <f>W9/V9-1</f>
        <v>6.0113900021092626E-2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J30" s="1" t="s">
        <v>54</v>
      </c>
      <c r="AK30" s="6">
        <f>NPV(AK29,X21:EI21)</f>
        <v>17170.215017972558</v>
      </c>
    </row>
    <row r="31" spans="2:139" x14ac:dyDescent="0.3">
      <c r="B31" s="1" t="s">
        <v>49</v>
      </c>
      <c r="C31" s="11"/>
      <c r="D31" s="11"/>
      <c r="E31" s="11"/>
      <c r="F31" s="11"/>
      <c r="G31" s="11">
        <f t="shared" ref="G31:J31" si="77">G10/C10-1</f>
        <v>6.3668519454269878E-2</v>
      </c>
      <c r="H31" s="11">
        <f t="shared" si="77"/>
        <v>0.41895681435782373</v>
      </c>
      <c r="I31" s="11">
        <f t="shared" si="77"/>
        <v>0.14909090909090916</v>
      </c>
      <c r="J31" s="11">
        <f t="shared" si="77"/>
        <v>0.31542857142857139</v>
      </c>
      <c r="K31" s="11">
        <f>K10/G10-1</f>
        <v>-1.6627078384798155E-2</v>
      </c>
      <c r="L31" s="11">
        <f t="shared" ref="L31:N31" si="78">L10/H10-1</f>
        <v>-0.11067193675889331</v>
      </c>
      <c r="M31" s="11">
        <f t="shared" si="78"/>
        <v>0.15295358649789037</v>
      </c>
      <c r="N31" s="11">
        <f t="shared" si="78"/>
        <v>2.0000000000000018E-2</v>
      </c>
      <c r="S31" s="11"/>
      <c r="T31" s="11">
        <f t="shared" ref="T31:V31" si="79">T10/S10-1</f>
        <v>0.31070696721311486</v>
      </c>
      <c r="U31" s="11">
        <f t="shared" si="79"/>
        <v>0.64060973226499907</v>
      </c>
      <c r="V31" s="11">
        <f t="shared" si="79"/>
        <v>-0.14699225729600951</v>
      </c>
      <c r="W31" s="11">
        <f>W10/V10-1</f>
        <v>0.23348694316436247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J31" s="1" t="s">
        <v>55</v>
      </c>
      <c r="AK31" s="6">
        <f>Main!D8</f>
        <v>-631.59999999999991</v>
      </c>
    </row>
    <row r="32" spans="2:139" x14ac:dyDescent="0.3">
      <c r="B32" s="1" t="s">
        <v>50</v>
      </c>
      <c r="C32" s="11">
        <f t="shared" ref="C32:J32" si="80">C15/C5</f>
        <v>-0.15902545341324839</v>
      </c>
      <c r="D32" s="11">
        <f t="shared" si="80"/>
        <v>-0.41848830049261093</v>
      </c>
      <c r="E32" s="11">
        <f t="shared" si="80"/>
        <v>-9.4781526751079648E-2</v>
      </c>
      <c r="F32" s="11">
        <f t="shared" si="80"/>
        <v>-1.938759468343576</v>
      </c>
      <c r="G32" s="11">
        <f t="shared" si="80"/>
        <v>-0.1381706770288447</v>
      </c>
      <c r="H32" s="11">
        <f t="shared" si="80"/>
        <v>-0.21964378094745385</v>
      </c>
      <c r="I32" s="11">
        <f t="shared" si="80"/>
        <v>-9.7146639211648789E-2</v>
      </c>
      <c r="J32" s="11">
        <f t="shared" si="80"/>
        <v>-2.3866666666666672</v>
      </c>
      <c r="K32" s="11">
        <f>K15/K5</f>
        <v>1.4363612182471088E-2</v>
      </c>
      <c r="L32" s="11">
        <f t="shared" ref="L32:N32" si="81">L15/L5</f>
        <v>-5.5248618784530128E-2</v>
      </c>
      <c r="M32" s="11">
        <f t="shared" si="81"/>
        <v>-2.2778104767510327E-2</v>
      </c>
      <c r="N32" s="11">
        <f t="shared" si="81"/>
        <v>-6.3518310404011485E-2</v>
      </c>
      <c r="S32" s="11">
        <f t="shared" ref="S32:V32" si="82">S15/S5</f>
        <v>0.18661053130929794</v>
      </c>
      <c r="T32" s="11">
        <f t="shared" si="82"/>
        <v>0.13512896598950003</v>
      </c>
      <c r="U32" s="11">
        <f t="shared" si="82"/>
        <v>-0.21779846352268253</v>
      </c>
      <c r="V32" s="11">
        <f t="shared" si="82"/>
        <v>-0.67119036937341092</v>
      </c>
      <c r="W32" s="11">
        <f>W15/W5</f>
        <v>-0.77944831013916471</v>
      </c>
      <c r="X32" s="11">
        <f>X15/X5</f>
        <v>-3.3110501827749363E-2</v>
      </c>
      <c r="Y32" s="11">
        <f t="shared" ref="Y32:AG32" si="83">Y15/Y5</f>
        <v>0.10204598518004698</v>
      </c>
      <c r="Z32" s="11">
        <f t="shared" si="83"/>
        <v>0.18516842254003887</v>
      </c>
      <c r="AA32" s="11">
        <f t="shared" si="83"/>
        <v>0.18516842254003887</v>
      </c>
      <c r="AB32" s="11">
        <f t="shared" si="83"/>
        <v>0.18516842254003882</v>
      </c>
      <c r="AC32" s="11">
        <f t="shared" si="83"/>
        <v>0.18516842254003885</v>
      </c>
      <c r="AD32" s="11">
        <f t="shared" si="83"/>
        <v>0.18516842254003879</v>
      </c>
      <c r="AE32" s="11">
        <f t="shared" si="83"/>
        <v>0.18516842254003874</v>
      </c>
      <c r="AF32" s="11">
        <f t="shared" si="83"/>
        <v>0.18516842254003874</v>
      </c>
      <c r="AG32" s="11">
        <f t="shared" si="83"/>
        <v>0.18516842254003876</v>
      </c>
      <c r="AJ32" s="1" t="s">
        <v>56</v>
      </c>
      <c r="AK32" s="6">
        <f>AK30+AK31</f>
        <v>16538.615017972559</v>
      </c>
    </row>
    <row r="33" spans="2:37" x14ac:dyDescent="0.3">
      <c r="B33" s="1" t="s">
        <v>27</v>
      </c>
      <c r="C33" s="11">
        <f t="shared" ref="C33:J33" si="84">C20/C19</f>
        <v>0.10004368719965041</v>
      </c>
      <c r="D33" s="11">
        <f t="shared" si="84"/>
        <v>5.7885615251299823E-2</v>
      </c>
      <c r="E33" s="11">
        <f t="shared" si="84"/>
        <v>0.39855548260013102</v>
      </c>
      <c r="F33" s="11">
        <f t="shared" si="84"/>
        <v>-5.7713327989506673E-2</v>
      </c>
      <c r="G33" s="11">
        <f t="shared" si="84"/>
        <v>-0.23468426013195098</v>
      </c>
      <c r="H33" s="11">
        <f t="shared" si="84"/>
        <v>-0.1270428615479495</v>
      </c>
      <c r="I33" s="11">
        <f t="shared" si="84"/>
        <v>0.18116415958142573</v>
      </c>
      <c r="J33" s="11">
        <f t="shared" si="84"/>
        <v>1.9911097083037427E-2</v>
      </c>
      <c r="K33" s="11">
        <f>K20/K19</f>
        <v>0.13768115942029008</v>
      </c>
      <c r="L33" s="11">
        <f t="shared" ref="L33:N33" si="85">L20/L19</f>
        <v>-0.15930735930735992</v>
      </c>
      <c r="M33" s="11">
        <f t="shared" si="85"/>
        <v>-0.66487455197132561</v>
      </c>
      <c r="N33" s="11">
        <f t="shared" si="85"/>
        <v>0.1</v>
      </c>
      <c r="S33" s="11">
        <f t="shared" ref="S33:V33" si="86">S20/S19</f>
        <v>0.13115963411035703</v>
      </c>
      <c r="T33" s="11">
        <f t="shared" si="86"/>
        <v>0.10184787279759354</v>
      </c>
      <c r="U33" s="11">
        <f t="shared" si="86"/>
        <v>0.15947985950227941</v>
      </c>
      <c r="V33" s="11">
        <f t="shared" si="86"/>
        <v>-1.118072809765583E-2</v>
      </c>
      <c r="W33" s="11">
        <f>W20/W19</f>
        <v>2.7608932825685223E-3</v>
      </c>
      <c r="X33" s="11">
        <f>X20/X19</f>
        <v>-0.12901450905844292</v>
      </c>
      <c r="Y33" s="11">
        <f t="shared" ref="Y33:AG33" si="87">Y20/Y19</f>
        <v>0.15</v>
      </c>
      <c r="Z33" s="11">
        <f t="shared" si="87"/>
        <v>0.15</v>
      </c>
      <c r="AA33" s="11">
        <f t="shared" si="87"/>
        <v>0.15</v>
      </c>
      <c r="AB33" s="11">
        <f t="shared" si="87"/>
        <v>0.15</v>
      </c>
      <c r="AC33" s="11">
        <f t="shared" si="87"/>
        <v>0.15</v>
      </c>
      <c r="AD33" s="11">
        <f t="shared" si="87"/>
        <v>0.15</v>
      </c>
      <c r="AE33" s="11">
        <f t="shared" si="87"/>
        <v>0.15</v>
      </c>
      <c r="AF33" s="11">
        <f t="shared" si="87"/>
        <v>0.15</v>
      </c>
      <c r="AG33" s="11">
        <f t="shared" si="87"/>
        <v>0.15</v>
      </c>
      <c r="AJ33" s="1" t="s">
        <v>57</v>
      </c>
      <c r="AK33" s="5">
        <f>AK32/AG22</f>
        <v>89.591630649905525</v>
      </c>
    </row>
    <row r="34" spans="2:37" x14ac:dyDescent="0.3">
      <c r="B34" s="1" t="s">
        <v>51</v>
      </c>
      <c r="C34" s="11">
        <f t="shared" ref="C34:J34" si="88">C21/C5</f>
        <v>-0.16034871954541932</v>
      </c>
      <c r="D34" s="11">
        <f t="shared" si="88"/>
        <v>-0.41841133004926118</v>
      </c>
      <c r="E34" s="11">
        <f t="shared" si="88"/>
        <v>-6.704237722315752E-2</v>
      </c>
      <c r="F34" s="11">
        <f t="shared" si="88"/>
        <v>-2.0744604830641706</v>
      </c>
      <c r="G34" s="11">
        <f t="shared" si="88"/>
        <v>-0.19578538335076967</v>
      </c>
      <c r="H34" s="11">
        <f t="shared" si="88"/>
        <v>-0.2701204641194293</v>
      </c>
      <c r="I34" s="11">
        <f t="shared" si="88"/>
        <v>-9.207236358287986E-2</v>
      </c>
      <c r="J34" s="11">
        <f t="shared" si="88"/>
        <v>-2.3546287519747242</v>
      </c>
      <c r="K34" s="11">
        <f>K21/K5</f>
        <v>-7.9132863412687705E-3</v>
      </c>
      <c r="L34" s="11">
        <f t="shared" ref="L34:N34" si="89">L21/L5</f>
        <v>-7.5487653624985648E-2</v>
      </c>
      <c r="M34" s="11">
        <f t="shared" si="89"/>
        <v>-5.4679223072395554E-2</v>
      </c>
      <c r="N34" s="11">
        <f t="shared" si="89"/>
        <v>-7.1489654260593644E-2</v>
      </c>
      <c r="S34" s="11">
        <f t="shared" ref="S34:V34" si="90">S21/S5</f>
        <v>0.17460270398481978</v>
      </c>
      <c r="T34" s="11">
        <f t="shared" si="90"/>
        <v>0.11926500798904352</v>
      </c>
      <c r="U34" s="11">
        <f t="shared" si="90"/>
        <v>-0.21022822856501977</v>
      </c>
      <c r="V34" s="11">
        <f t="shared" si="90"/>
        <v>-0.69990279647076403</v>
      </c>
      <c r="W34" s="11">
        <f>W21/W5</f>
        <v>-0.79503337120136297</v>
      </c>
      <c r="X34" s="11">
        <f>X21/X5</f>
        <v>-5.3778638116544028E-2</v>
      </c>
      <c r="Y34" s="11">
        <f t="shared" ref="Y34:AG34" si="91">Y21/Y5</f>
        <v>7.7745352675164803E-2</v>
      </c>
      <c r="Z34" s="11">
        <f t="shared" si="91"/>
        <v>0.14941610748735248</v>
      </c>
      <c r="AA34" s="11">
        <f t="shared" si="91"/>
        <v>0.14941610748735251</v>
      </c>
      <c r="AB34" s="11">
        <f t="shared" si="91"/>
        <v>0.14933712677773184</v>
      </c>
      <c r="AC34" s="11">
        <f t="shared" si="91"/>
        <v>0.1492573640808873</v>
      </c>
      <c r="AD34" s="11">
        <f t="shared" si="91"/>
        <v>0.14917681165437094</v>
      </c>
      <c r="AE34" s="11">
        <f t="shared" si="91"/>
        <v>0.14909546167907725</v>
      </c>
      <c r="AF34" s="11">
        <f t="shared" si="91"/>
        <v>0.14901330625848364</v>
      </c>
      <c r="AG34" s="11">
        <f t="shared" si="91"/>
        <v>0.14893033741788414</v>
      </c>
      <c r="AJ34" s="1" t="s">
        <v>58</v>
      </c>
      <c r="AK34" s="5">
        <f>Main!D3</f>
        <v>223.03</v>
      </c>
    </row>
    <row r="35" spans="2:37" x14ac:dyDescent="0.3">
      <c r="AJ35" s="2" t="s">
        <v>59</v>
      </c>
      <c r="AK35" s="12">
        <f>AK33/AK34-1</f>
        <v>-0.598297849392882</v>
      </c>
    </row>
    <row r="36" spans="2:37" x14ac:dyDescent="0.3">
      <c r="AJ36" s="1" t="s">
        <v>60</v>
      </c>
      <c r="AK36" s="10" t="s">
        <v>61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2025-07-17T14:40:33Z</dcterms:created>
  <dcterms:modified xsi:type="dcterms:W3CDTF">2026-02-06T11:08:31Z</dcterms:modified>
</cp:coreProperties>
</file>