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25CD275-8FCF-402F-A101-2256FC154E15}" xr6:coauthVersionLast="47" xr6:coauthVersionMax="47" xr10:uidLastSave="{00000000-0000-0000-0000-000000000000}"/>
  <bookViews>
    <workbookView xWindow="-108" yWindow="-108" windowWidth="23256" windowHeight="12576" activeTab="1" xr2:uid="{0C5083B5-BD04-437F-9545-422299EC63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2" l="1"/>
  <c r="Z7" i="2"/>
  <c r="N7" i="2"/>
  <c r="AB13" i="2"/>
  <c r="AA13" i="2"/>
  <c r="N15" i="2"/>
  <c r="N13" i="2"/>
  <c r="D5" i="1"/>
  <c r="D7" i="1"/>
  <c r="D6" i="1"/>
  <c r="I7" i="2"/>
  <c r="M7" i="2"/>
  <c r="M15" i="2"/>
  <c r="I13" i="2"/>
  <c r="I32" i="2" s="1"/>
  <c r="M29" i="2"/>
  <c r="L42" i="2"/>
  <c r="M19" i="2"/>
  <c r="L15" i="2"/>
  <c r="L33" i="2" s="1"/>
  <c r="AM39" i="2"/>
  <c r="L29" i="2"/>
  <c r="L24" i="2"/>
  <c r="L19" i="2"/>
  <c r="L34" i="2"/>
  <c r="Z27" i="2"/>
  <c r="Z23" i="2"/>
  <c r="Z22" i="2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Z18" i="2"/>
  <c r="Z17" i="2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L32" i="2"/>
  <c r="Y35" i="2"/>
  <c r="X35" i="2"/>
  <c r="W35" i="2"/>
  <c r="Y34" i="2"/>
  <c r="X34" i="2"/>
  <c r="Y32" i="2"/>
  <c r="X32" i="2"/>
  <c r="W32" i="2"/>
  <c r="V32" i="2"/>
  <c r="U32" i="2"/>
  <c r="L35" i="2"/>
  <c r="M34" i="2"/>
  <c r="H35" i="2"/>
  <c r="G35" i="2"/>
  <c r="E35" i="2"/>
  <c r="D35" i="2"/>
  <c r="I34" i="2"/>
  <c r="H34" i="2"/>
  <c r="H32" i="2"/>
  <c r="K35" i="2"/>
  <c r="K34" i="2"/>
  <c r="K32" i="2"/>
  <c r="J27" i="2"/>
  <c r="J26" i="2"/>
  <c r="J23" i="2"/>
  <c r="J22" i="2"/>
  <c r="J21" i="2"/>
  <c r="N24" i="2" s="1"/>
  <c r="J18" i="2"/>
  <c r="J17" i="2"/>
  <c r="J16" i="2"/>
  <c r="N19" i="2" s="1"/>
  <c r="J14" i="2"/>
  <c r="J29" i="2"/>
  <c r="D29" i="2"/>
  <c r="D24" i="2"/>
  <c r="D19" i="2"/>
  <c r="D15" i="2"/>
  <c r="D33" i="2" s="1"/>
  <c r="H29" i="2"/>
  <c r="H24" i="2"/>
  <c r="H19" i="2"/>
  <c r="H15" i="2"/>
  <c r="H33" i="2" s="1"/>
  <c r="E18" i="2"/>
  <c r="E19" i="2" s="1"/>
  <c r="E29" i="2"/>
  <c r="E24" i="2"/>
  <c r="E15" i="2"/>
  <c r="E33" i="2" s="1"/>
  <c r="I29" i="2"/>
  <c r="I24" i="2"/>
  <c r="I19" i="2"/>
  <c r="T16" i="2"/>
  <c r="T35" i="2" s="1"/>
  <c r="T29" i="2"/>
  <c r="T24" i="2"/>
  <c r="T15" i="2"/>
  <c r="T33" i="2" s="1"/>
  <c r="U16" i="2"/>
  <c r="U35" i="2" s="1"/>
  <c r="U29" i="2"/>
  <c r="U24" i="2"/>
  <c r="U15" i="2"/>
  <c r="U33" i="2" s="1"/>
  <c r="V16" i="2"/>
  <c r="V35" i="2" s="1"/>
  <c r="V29" i="2"/>
  <c r="V24" i="2"/>
  <c r="V15" i="2"/>
  <c r="V33" i="2" s="1"/>
  <c r="W29" i="2"/>
  <c r="W24" i="2"/>
  <c r="W19" i="2"/>
  <c r="W15" i="2"/>
  <c r="W33" i="2" s="1"/>
  <c r="X18" i="2"/>
  <c r="X19" i="2" s="1"/>
  <c r="X29" i="2"/>
  <c r="X24" i="2"/>
  <c r="X15" i="2"/>
  <c r="X33" i="2" s="1"/>
  <c r="Y19" i="2"/>
  <c r="K19" i="2"/>
  <c r="G19" i="2"/>
  <c r="Y29" i="2"/>
  <c r="Y24" i="2"/>
  <c r="Y15" i="2"/>
  <c r="Y33" i="2" s="1"/>
  <c r="G29" i="2"/>
  <c r="G24" i="2"/>
  <c r="G15" i="2"/>
  <c r="K29" i="2"/>
  <c r="K24" i="2"/>
  <c r="K15" i="2"/>
  <c r="K33" i="2" s="1"/>
  <c r="F3" i="1"/>
  <c r="D8" i="1" l="1"/>
  <c r="AM36" i="2" s="1"/>
  <c r="U19" i="2"/>
  <c r="U20" i="2" s="1"/>
  <c r="V34" i="2"/>
  <c r="I35" i="2"/>
  <c r="I15" i="2"/>
  <c r="I33" i="2" s="1"/>
  <c r="Z13" i="2"/>
  <c r="Y20" i="2"/>
  <c r="Y36" i="2" s="1"/>
  <c r="K20" i="2"/>
  <c r="K36" i="2" s="1"/>
  <c r="G20" i="2"/>
  <c r="G36" i="2" s="1"/>
  <c r="W34" i="2"/>
  <c r="Z21" i="2"/>
  <c r="AA21" i="2" s="1"/>
  <c r="AA24" i="2" s="1"/>
  <c r="U34" i="2"/>
  <c r="V19" i="2"/>
  <c r="V20" i="2" s="1"/>
  <c r="T19" i="2"/>
  <c r="T20" i="2" s="1"/>
  <c r="J19" i="2"/>
  <c r="G33" i="2"/>
  <c r="M24" i="2"/>
  <c r="M20" i="2"/>
  <c r="M36" i="2" s="1"/>
  <c r="N34" i="2"/>
  <c r="Z16" i="2"/>
  <c r="AA16" i="2" s="1"/>
  <c r="AB16" i="2" s="1"/>
  <c r="AB34" i="2" s="1"/>
  <c r="M35" i="2"/>
  <c r="L20" i="2"/>
  <c r="L36" i="2" s="1"/>
  <c r="M33" i="2"/>
  <c r="M32" i="2"/>
  <c r="J24" i="2"/>
  <c r="D20" i="2"/>
  <c r="H20" i="2"/>
  <c r="E20" i="2"/>
  <c r="W20" i="2"/>
  <c r="X20" i="2"/>
  <c r="J35" i="2" l="1"/>
  <c r="G25" i="2"/>
  <c r="G28" i="2" s="1"/>
  <c r="D9" i="1"/>
  <c r="Z45" i="2" s="1"/>
  <c r="N35" i="2"/>
  <c r="K25" i="2"/>
  <c r="K28" i="2" s="1"/>
  <c r="J15" i="2"/>
  <c r="J20" i="2" s="1"/>
  <c r="J36" i="2" s="1"/>
  <c r="Y25" i="2"/>
  <c r="Y37" i="2" s="1"/>
  <c r="N32" i="2"/>
  <c r="N33" i="2"/>
  <c r="I20" i="2"/>
  <c r="I25" i="2" s="1"/>
  <c r="AB21" i="2"/>
  <c r="AC21" i="2" s="1"/>
  <c r="AC24" i="2" s="1"/>
  <c r="Z24" i="2"/>
  <c r="V25" i="2"/>
  <c r="V36" i="2"/>
  <c r="T25" i="2"/>
  <c r="T36" i="2"/>
  <c r="X25" i="2"/>
  <c r="X36" i="2"/>
  <c r="Z32" i="2"/>
  <c r="W25" i="2"/>
  <c r="W36" i="2"/>
  <c r="M25" i="2"/>
  <c r="M37" i="2" s="1"/>
  <c r="E25" i="2"/>
  <c r="E36" i="2"/>
  <c r="D25" i="2"/>
  <c r="D36" i="2"/>
  <c r="U25" i="2"/>
  <c r="U36" i="2"/>
  <c r="J33" i="2"/>
  <c r="H25" i="2"/>
  <c r="H36" i="2"/>
  <c r="Z35" i="2"/>
  <c r="AA19" i="2"/>
  <c r="AA34" i="2"/>
  <c r="Z34" i="2"/>
  <c r="Z19" i="2"/>
  <c r="AC16" i="2"/>
  <c r="AB19" i="2"/>
  <c r="L25" i="2"/>
  <c r="L37" i="2" s="1"/>
  <c r="K37" i="2" l="1"/>
  <c r="Y28" i="2"/>
  <c r="Y38" i="2" s="1"/>
  <c r="G37" i="2"/>
  <c r="AA15" i="2"/>
  <c r="AA20" i="2" s="1"/>
  <c r="AA36" i="2" s="1"/>
  <c r="AA35" i="2"/>
  <c r="Z44" i="2"/>
  <c r="I36" i="2"/>
  <c r="AA32" i="2"/>
  <c r="N20" i="2"/>
  <c r="N36" i="2" s="1"/>
  <c r="Z14" i="2"/>
  <c r="Z15" i="2" s="1"/>
  <c r="Z33" i="2" s="1"/>
  <c r="J25" i="2"/>
  <c r="J28" i="2" s="1"/>
  <c r="AB24" i="2"/>
  <c r="AD21" i="2"/>
  <c r="AE21" i="2" s="1"/>
  <c r="AE24" i="2" s="1"/>
  <c r="U28" i="2"/>
  <c r="U37" i="2"/>
  <c r="G30" i="2"/>
  <c r="G38" i="2"/>
  <c r="M28" i="2"/>
  <c r="V28" i="2"/>
  <c r="V37" i="2"/>
  <c r="H28" i="2"/>
  <c r="H37" i="2"/>
  <c r="X28" i="2"/>
  <c r="X37" i="2"/>
  <c r="T28" i="2"/>
  <c r="T37" i="2"/>
  <c r="D28" i="2"/>
  <c r="D37" i="2"/>
  <c r="I28" i="2"/>
  <c r="I37" i="2"/>
  <c r="W28" i="2"/>
  <c r="W37" i="2"/>
  <c r="E28" i="2"/>
  <c r="E37" i="2"/>
  <c r="Y30" i="2"/>
  <c r="AC19" i="2"/>
  <c r="AD16" i="2"/>
  <c r="AC34" i="2"/>
  <c r="L28" i="2"/>
  <c r="L38" i="2" s="1"/>
  <c r="K30" i="2"/>
  <c r="K38" i="2"/>
  <c r="N25" i="2" l="1"/>
  <c r="N28" i="2" s="1"/>
  <c r="AA14" i="2"/>
  <c r="AA33" i="2"/>
  <c r="AB35" i="2"/>
  <c r="AB15" i="2"/>
  <c r="AB20" i="2" s="1"/>
  <c r="AB25" i="2" s="1"/>
  <c r="AB26" i="2" s="1"/>
  <c r="AB32" i="2"/>
  <c r="AC13" i="2"/>
  <c r="J37" i="2"/>
  <c r="Z20" i="2"/>
  <c r="Z25" i="2" s="1"/>
  <c r="AA25" i="2"/>
  <c r="AD24" i="2"/>
  <c r="AF21" i="2"/>
  <c r="AG21" i="2" s="1"/>
  <c r="J30" i="2"/>
  <c r="J38" i="2"/>
  <c r="E30" i="2"/>
  <c r="E38" i="2"/>
  <c r="U30" i="2"/>
  <c r="U38" i="2"/>
  <c r="V30" i="2"/>
  <c r="V38" i="2"/>
  <c r="W30" i="2"/>
  <c r="W38" i="2"/>
  <c r="M30" i="2"/>
  <c r="M38" i="2"/>
  <c r="D30" i="2"/>
  <c r="D38" i="2"/>
  <c r="H30" i="2"/>
  <c r="H38" i="2"/>
  <c r="T30" i="2"/>
  <c r="T38" i="2"/>
  <c r="X30" i="2"/>
  <c r="X38" i="2"/>
  <c r="I30" i="2"/>
  <c r="I38" i="2"/>
  <c r="L30" i="2"/>
  <c r="AD19" i="2"/>
  <c r="AE16" i="2"/>
  <c r="AF16" i="2" s="1"/>
  <c r="AG16" i="2" s="1"/>
  <c r="AH16" i="2" s="1"/>
  <c r="AI16" i="2" s="1"/>
  <c r="AJ16" i="2" s="1"/>
  <c r="AD34" i="2"/>
  <c r="Z36" i="2" l="1"/>
  <c r="AD13" i="2"/>
  <c r="AC15" i="2"/>
  <c r="AC33" i="2" s="1"/>
  <c r="AC32" i="2"/>
  <c r="AC35" i="2"/>
  <c r="AA26" i="2"/>
  <c r="AA28" i="2" s="1"/>
  <c r="AB36" i="2"/>
  <c r="AB33" i="2"/>
  <c r="AB14" i="2"/>
  <c r="AF24" i="2"/>
  <c r="N30" i="2"/>
  <c r="N38" i="2"/>
  <c r="N37" i="2"/>
  <c r="Z26" i="2"/>
  <c r="AE19" i="2"/>
  <c r="AE34" i="2"/>
  <c r="AB37" i="2"/>
  <c r="AG24" i="2"/>
  <c r="AH21" i="2"/>
  <c r="AC14" i="2" l="1"/>
  <c r="AC20" i="2"/>
  <c r="AC36" i="2" s="1"/>
  <c r="AD15" i="2"/>
  <c r="AE13" i="2"/>
  <c r="AD32" i="2"/>
  <c r="AD35" i="2"/>
  <c r="AA30" i="2"/>
  <c r="AA38" i="2"/>
  <c r="AA37" i="2"/>
  <c r="Z28" i="2"/>
  <c r="Z37" i="2"/>
  <c r="AB28" i="2"/>
  <c r="AB30" i="2" s="1"/>
  <c r="AF19" i="2"/>
  <c r="AF34" i="2"/>
  <c r="AI21" i="2"/>
  <c r="AH24" i="2"/>
  <c r="AC25" i="2" l="1"/>
  <c r="AC26" i="2" s="1"/>
  <c r="AC37" i="2" s="1"/>
  <c r="AD20" i="2"/>
  <c r="AD33" i="2"/>
  <c r="AD14" i="2"/>
  <c r="AE15" i="2"/>
  <c r="AE14" i="2" s="1"/>
  <c r="AE35" i="2"/>
  <c r="AF13" i="2"/>
  <c r="AE32" i="2"/>
  <c r="Z30" i="2"/>
  <c r="Z38" i="2"/>
  <c r="AB38" i="2"/>
  <c r="AG19" i="2"/>
  <c r="AG34" i="2"/>
  <c r="AJ21" i="2"/>
  <c r="AJ24" i="2" s="1"/>
  <c r="AI24" i="2"/>
  <c r="AC28" i="2" l="1"/>
  <c r="AC30" i="2" s="1"/>
  <c r="AF15" i="2"/>
  <c r="AG13" i="2"/>
  <c r="AF32" i="2"/>
  <c r="AF35" i="2"/>
  <c r="AE20" i="2"/>
  <c r="AE33" i="2"/>
  <c r="AD36" i="2"/>
  <c r="AD25" i="2"/>
  <c r="AD26" i="2" s="1"/>
  <c r="AD37" i="2" s="1"/>
  <c r="AH19" i="2"/>
  <c r="AH34" i="2"/>
  <c r="AC38" i="2" l="1"/>
  <c r="AF20" i="2"/>
  <c r="AF33" i="2"/>
  <c r="AE25" i="2"/>
  <c r="AE26" i="2" s="1"/>
  <c r="AE37" i="2" s="1"/>
  <c r="AE36" i="2"/>
  <c r="AD28" i="2"/>
  <c r="AD30" i="2" s="1"/>
  <c r="AF14" i="2"/>
  <c r="AG15" i="2"/>
  <c r="AG35" i="2"/>
  <c r="AH13" i="2"/>
  <c r="AG32" i="2"/>
  <c r="AI19" i="2"/>
  <c r="AI34" i="2"/>
  <c r="AE28" i="2" l="1"/>
  <c r="AE30" i="2" s="1"/>
  <c r="AF25" i="2"/>
  <c r="AF26" i="2" s="1"/>
  <c r="AF37" i="2" s="1"/>
  <c r="AF36" i="2"/>
  <c r="AH15" i="2"/>
  <c r="AH14" i="2" s="1"/>
  <c r="AI13" i="2"/>
  <c r="AH35" i="2"/>
  <c r="AH32" i="2"/>
  <c r="AG14" i="2"/>
  <c r="AG20" i="2"/>
  <c r="AG33" i="2"/>
  <c r="AD38" i="2"/>
  <c r="AJ34" i="2"/>
  <c r="AJ19" i="2"/>
  <c r="AE38" i="2" l="1"/>
  <c r="AH20" i="2"/>
  <c r="AH33" i="2"/>
  <c r="AG36" i="2"/>
  <c r="AG25" i="2"/>
  <c r="AG26" i="2" s="1"/>
  <c r="AG37" i="2" s="1"/>
  <c r="AF28" i="2"/>
  <c r="AF30" i="2" s="1"/>
  <c r="AI15" i="2"/>
  <c r="AI32" i="2"/>
  <c r="AJ13" i="2"/>
  <c r="AI35" i="2"/>
  <c r="AG28" i="2" l="1"/>
  <c r="AG30" i="2" s="1"/>
  <c r="AH36" i="2"/>
  <c r="AH25" i="2"/>
  <c r="AH26" i="2" s="1"/>
  <c r="AH37" i="2" s="1"/>
  <c r="AI33" i="2"/>
  <c r="AI20" i="2"/>
  <c r="AJ15" i="2"/>
  <c r="AJ14" i="2" s="1"/>
  <c r="AJ35" i="2"/>
  <c r="AJ32" i="2"/>
  <c r="AF38" i="2"/>
  <c r="AI14" i="2"/>
  <c r="AG38" i="2" l="1"/>
  <c r="AH28" i="2"/>
  <c r="AH30" i="2" s="1"/>
  <c r="AJ20" i="2"/>
  <c r="AJ33" i="2"/>
  <c r="AI36" i="2"/>
  <c r="AI25" i="2"/>
  <c r="AI26" i="2" s="1"/>
  <c r="AI37" i="2" s="1"/>
  <c r="AH38" i="2" l="1"/>
  <c r="AJ25" i="2"/>
  <c r="AJ26" i="2" s="1"/>
  <c r="AJ37" i="2" s="1"/>
  <c r="AJ36" i="2"/>
  <c r="AI28" i="2"/>
  <c r="AI30" i="2" s="1"/>
  <c r="AI38" i="2" l="1"/>
  <c r="AJ28" i="2"/>
  <c r="AK28" i="2" s="1"/>
  <c r="AL28" i="2" s="1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EL28" i="2" s="1"/>
  <c r="EM28" i="2" s="1"/>
  <c r="EN28" i="2" s="1"/>
  <c r="EO28" i="2" s="1"/>
  <c r="EP28" i="2" s="1"/>
  <c r="EQ28" i="2" s="1"/>
  <c r="AM35" i="2" s="1"/>
  <c r="AM37" i="2" s="1"/>
  <c r="AM38" i="2" s="1"/>
  <c r="AM40" i="2" s="1"/>
  <c r="AJ30" i="2" l="1"/>
  <c r="AJ38" i="2"/>
</calcChain>
</file>

<file path=xl/sharedStrings.xml><?xml version="1.0" encoding="utf-8"?>
<sst xmlns="http://schemas.openxmlformats.org/spreadsheetml/2006/main" count="79" uniqueCount="70">
  <si>
    <t>LDOS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</si>
  <si>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</si>
  <si>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</si>
  <si>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</si>
  <si>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</si>
  <si>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</si>
  <si>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</si>
  <si>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</si>
  <si>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</si>
  <si>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</si>
  <si>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</si>
  <si>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</si>
  <si>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Revenue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</si>
  <si>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</si>
  <si>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</si>
  <si>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</si>
  <si>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</si>
  <si>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</si>
  <si>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</si>
  <si>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</si>
  <si>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</si>
  <si>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</si>
  <si>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</si>
  <si>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</si>
  <si>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Cost of sales</t>
  </si>
  <si>
    <t>Gross profit</t>
  </si>
  <si>
    <t>SG&amp;A</t>
  </si>
  <si>
    <t>Restructuring</t>
  </si>
  <si>
    <t>Operating profit</t>
  </si>
  <si>
    <t>Investment income</t>
  </si>
  <si>
    <t>Interest expense</t>
  </si>
  <si>
    <t>Other expense</t>
  </si>
  <si>
    <t>Net finance expense</t>
  </si>
  <si>
    <t>Pretax profit</t>
  </si>
  <si>
    <t>Taxes</t>
  </si>
  <si>
    <t>MI</t>
  </si>
  <si>
    <t>Net profit</t>
  </si>
  <si>
    <t>EPS</t>
  </si>
  <si>
    <t>Total operating expense</t>
  </si>
  <si>
    <t>Impairment</t>
  </si>
  <si>
    <t>Revenue y/y</t>
  </si>
  <si>
    <t>Gross Margin</t>
  </si>
  <si>
    <t>SG&amp;A y/y</t>
  </si>
  <si>
    <t>SG&amp;A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</si>
  <si>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</si>
  <si>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</si>
  <si>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</si>
  <si>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</si>
  <si>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</si>
  <si>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</si>
  <si>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</si>
  <si>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</si>
  <si>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</si>
  <si>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</si>
  <si>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</si>
  <si>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</si>
  <si>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</si>
  <si>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</si>
  <si>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</si>
  <si>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National Security</t>
  </si>
  <si>
    <t>Health &amp; Civil</t>
  </si>
  <si>
    <t>Commercial</t>
  </si>
  <si>
    <t>Defense Systems</t>
  </si>
  <si>
    <t>Total backlog</t>
  </si>
  <si>
    <r>
      <t xml:space="preserve">Hardware primes (LMT, NOC Aeronautics, RTX Missiles): funded backlog is often </t>
    </r>
    <r>
      <rPr>
        <b/>
        <sz val="11"/>
        <color theme="0"/>
        <rFont val="Calibri"/>
        <family val="2"/>
        <scheme val="minor"/>
      </rPr>
      <t>1–3× annual revenue</t>
    </r>
    <r>
      <rPr>
        <sz val="11"/>
        <color theme="0"/>
        <rFont val="Calibri"/>
        <family val="2"/>
        <scheme val="minor"/>
      </rPr>
      <t xml:space="preserve"> (long-cycle builds).</t>
    </r>
  </si>
  <si>
    <r>
      <t xml:space="preserve">Gov’t IT/mission services (LDOS, GDMS IT, SAIC): funded backlog is commonly </t>
    </r>
    <r>
      <rPr>
        <b/>
        <sz val="11"/>
        <color theme="0"/>
        <rFont val="Calibri"/>
        <family val="2"/>
        <scheme val="minor"/>
      </rPr>
      <t>0.3–0.8× revenue</t>
    </r>
    <r>
      <rPr>
        <sz val="11"/>
        <color theme="0"/>
        <rFont val="Calibri"/>
        <family val="2"/>
        <scheme val="minor"/>
      </rPr>
      <t xml:space="preserve">, while </t>
    </r>
    <r>
      <rPr>
        <b/>
        <sz val="11"/>
        <color theme="0"/>
        <rFont val="Calibri"/>
        <family val="2"/>
        <scheme val="minor"/>
      </rPr>
      <t>total (incl. unfunded)</t>
    </r>
    <r>
      <rPr>
        <sz val="11"/>
        <color theme="0"/>
        <rFont val="Calibri"/>
        <family val="2"/>
        <scheme val="minor"/>
      </rPr>
      <t xml:space="preserve"> can be </t>
    </r>
    <r>
      <rPr>
        <b/>
        <sz val="11"/>
        <color theme="0"/>
        <rFont val="Calibri"/>
        <family val="2"/>
        <scheme val="minor"/>
      </rPr>
      <t>2–5×</t>
    </r>
    <r>
      <rPr>
        <sz val="11"/>
        <color theme="0"/>
        <rFont val="Calibri"/>
        <family val="2"/>
        <scheme val="minor"/>
      </rPr>
      <t>.</t>
    </r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</si>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</sst>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</xdr:colOff>
      <xdr:row>0</xdr:row>
      <xdr:rowOff>15240</xdr:rowOff>
    </xdr:from>
    <xdr:to>
      <xdr:col>14</xdr:col>
      <xdr:colOff>15240</xdr:colOff>
      <xdr:row>42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42FAA2-02E2-857B-04FD-519522FAC86C}"/>
            </a:ext>
          </a:extLst>
        </xdr:cNvPr>
        <xdr:cNvCxnSpPr/>
      </xdr:nvCxnSpPr>
      <xdr:spPr>
        <a:xfrm>
          <a:off x="9364980" y="15240"/>
          <a:ext cx="0" cy="7696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0</xdr:rowOff>
    </xdr:from>
    <xdr:to>
      <xdr:col>25</xdr:col>
      <xdr:colOff>22860</xdr:colOff>
      <xdr:row>43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DE2F845-05BF-DC0B-0166-CD2117A92869}"/>
            </a:ext>
          </a:extLst>
        </xdr:cNvPr>
        <xdr:cNvCxnSpPr/>
      </xdr:nvCxnSpPr>
      <xdr:spPr>
        <a:xfrm>
          <a:off x="136398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4B044-18BB-4D71-9CA3-EAA4AE336F6C}">
  <dimension ref="B2:K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1.77734375" style="3" customWidth="1"/>
    <col min="8" max="16384" width="8.88671875" style="1"/>
  </cols>
  <sheetData>
    <row r="2" spans="2:11" x14ac:dyDescent="0.3">
      <c r="E2" s="3" t="s">
        <v>8</v>
      </c>
      <c r="F2" s="3" t="s">
        <v>9</v>
      </c>
      <c r="G2" s="3" t="s">
        <v>10</v>
      </c>
    </row>
    <row r="3" spans="2:11" x14ac:dyDescent="0.3">
      <c r="B3" s="2" t="s">
        <v>0</v>
      </c>
      <c r="C3" s="1" t="s">
        <v>1</v>
      </c>
      <c r="D3" s="5">
        <v>172.3</v>
      </c>
      <c r="E3" s="4">
        <v>46070</v>
      </c>
      <c r="F3" s="4">
        <f ca="1">TODAY()</f>
        <v>46072</v>
      </c>
      <c r="G3" s="4">
        <v>46147</v>
      </c>
    </row>
    <row r="4" spans="2:11" x14ac:dyDescent="0.3">
      <c r="C4" s="1" t="s">
        <v>2</v>
      </c>
      <c r="D4" s="6">
        <v>127</v>
      </c>
      <c r="E4" s="3" t="s">
        <v>23</v>
      </c>
    </row>
    <row r="5" spans="2:11" x14ac:dyDescent="0.3">
      <c r="C5" s="1" t="s">
        <v>3</v>
      </c>
      <c r="D5" s="6">
        <f>D3*D4</f>
        <v>21882.100000000002</v>
      </c>
    </row>
    <row r="6" spans="2:11" x14ac:dyDescent="0.3">
      <c r="C6" s="1" t="s">
        <v>4</v>
      </c>
      <c r="D6" s="6">
        <f>1108</f>
        <v>1108</v>
      </c>
      <c r="E6" s="3" t="s">
        <v>23</v>
      </c>
    </row>
    <row r="7" spans="2:11" x14ac:dyDescent="0.3">
      <c r="C7" s="1" t="s">
        <v>5</v>
      </c>
      <c r="D7" s="6">
        <f>20+4628</f>
        <v>4648</v>
      </c>
      <c r="E7" s="3" t="s">
        <v>23</v>
      </c>
      <c r="K7" s="18" t="s">
        <v>64</v>
      </c>
    </row>
    <row r="8" spans="2:11" x14ac:dyDescent="0.3">
      <c r="C8" s="1" t="s">
        <v>6</v>
      </c>
      <c r="D8" s="6">
        <f>D6-D7</f>
        <v>-3540</v>
      </c>
      <c r="K8" s="19"/>
    </row>
    <row r="9" spans="2:11" x14ac:dyDescent="0.3">
      <c r="C9" s="1" t="s">
        <v>7</v>
      </c>
      <c r="D9" s="6">
        <f>D5-D8</f>
        <v>25422.100000000002</v>
      </c>
      <c r="K9" s="20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4293-D96C-4AE6-8EBE-24AD359410D0}">
  <dimension ref="B2:EQ45"/>
  <sheetViews>
    <sheetView tabSelected="1" workbookViewId="0">
      <pane xSplit="2" ySplit="2" topLeftCell="L23" activePane="bottomRight" state="frozen"/>
      <selection pane="topRight" activeCell="C1" sqref="C1"/>
      <selection pane="bottomLeft" activeCell="A3" sqref="A3"/>
      <selection pane="bottomRight" activeCell="X49" sqref="X49"/>
    </sheetView>
  </sheetViews>
  <sheetFormatPr defaultRowHeight="14.4" x14ac:dyDescent="0.3"/>
  <cols>
    <col min="1" max="1" width="8.88671875" style="1"/>
    <col min="2" max="2" width="20.77734375" style="1" bestFit="1" customWidth="1"/>
    <col min="3" max="37" width="8.88671875" style="1"/>
    <col min="38" max="38" width="13.109375" style="1" customWidth="1"/>
    <col min="39" max="39" width="16.5546875" style="1" customWidth="1"/>
    <col min="40" max="16384" width="8.88671875" style="1"/>
  </cols>
  <sheetData>
    <row r="2" spans="2:36" x14ac:dyDescent="0.3"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11</v>
      </c>
      <c r="L2" s="7" t="s">
        <v>21</v>
      </c>
      <c r="M2" s="7" t="s">
        <v>22</v>
      </c>
      <c r="N2" s="7" t="s">
        <v>23</v>
      </c>
      <c r="O2" s="7" t="s">
        <v>66</v>
      </c>
      <c r="P2" s="7" t="s">
        <v>67</v>
      </c>
      <c r="Q2" s="7" t="s">
        <v>68</v>
      </c>
      <c r="R2" s="7" t="s">
        <v>69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59</v>
      </c>
      <c r="C3" s="7"/>
      <c r="D3" s="7"/>
      <c r="E3" s="7"/>
      <c r="F3" s="7"/>
      <c r="G3" s="7"/>
      <c r="H3" s="7"/>
      <c r="I3" s="15">
        <v>3323</v>
      </c>
      <c r="J3" s="7"/>
      <c r="K3" s="7"/>
      <c r="L3" s="7"/>
      <c r="M3" s="15">
        <v>3203</v>
      </c>
      <c r="N3" s="15">
        <v>2749</v>
      </c>
      <c r="O3" s="7"/>
      <c r="P3" s="7"/>
      <c r="Q3" s="7"/>
      <c r="R3" s="7"/>
      <c r="Z3" s="15">
        <v>2749</v>
      </c>
    </row>
    <row r="4" spans="2:36" x14ac:dyDescent="0.3">
      <c r="B4" s="1" t="s">
        <v>60</v>
      </c>
      <c r="C4" s="7"/>
      <c r="D4" s="7"/>
      <c r="E4" s="7"/>
      <c r="F4" s="7"/>
      <c r="G4" s="7"/>
      <c r="H4" s="7"/>
      <c r="I4" s="15">
        <v>1536</v>
      </c>
      <c r="J4" s="7"/>
      <c r="K4" s="7"/>
      <c r="L4" s="7"/>
      <c r="M4" s="15">
        <v>1866</v>
      </c>
      <c r="N4" s="15">
        <v>2745</v>
      </c>
      <c r="O4" s="7"/>
      <c r="P4" s="7"/>
      <c r="Q4" s="7"/>
      <c r="R4" s="7"/>
      <c r="Z4" s="15">
        <v>2745</v>
      </c>
    </row>
    <row r="5" spans="2:36" x14ac:dyDescent="0.3">
      <c r="B5" s="1" t="s">
        <v>61</v>
      </c>
      <c r="C5" s="7"/>
      <c r="D5" s="7"/>
      <c r="E5" s="7"/>
      <c r="F5" s="7"/>
      <c r="G5" s="7"/>
      <c r="H5" s="7"/>
      <c r="I5" s="15">
        <v>2631</v>
      </c>
      <c r="J5" s="7"/>
      <c r="K5" s="7"/>
      <c r="L5" s="7"/>
      <c r="M5" s="15">
        <v>2549</v>
      </c>
      <c r="N5" s="15">
        <v>2588</v>
      </c>
      <c r="O5" s="7"/>
      <c r="P5" s="7"/>
      <c r="Q5" s="7"/>
      <c r="R5" s="7"/>
      <c r="Z5" s="15">
        <v>2588</v>
      </c>
    </row>
    <row r="6" spans="2:36" x14ac:dyDescent="0.3">
      <c r="B6" s="1" t="s">
        <v>62</v>
      </c>
      <c r="C6" s="7"/>
      <c r="D6" s="7"/>
      <c r="E6" s="7"/>
      <c r="F6" s="7"/>
      <c r="G6" s="7"/>
      <c r="H6" s="7"/>
      <c r="I6" s="15">
        <v>1602</v>
      </c>
      <c r="J6" s="7"/>
      <c r="K6" s="7"/>
      <c r="L6" s="7"/>
      <c r="M6" s="15">
        <v>1446</v>
      </c>
      <c r="N6" s="15">
        <v>1603</v>
      </c>
      <c r="O6" s="7"/>
      <c r="P6" s="7"/>
      <c r="Q6" s="7"/>
      <c r="R6" s="7"/>
      <c r="Z6" s="15">
        <v>1603</v>
      </c>
    </row>
    <row r="7" spans="2:36" s="2" customFormat="1" x14ac:dyDescent="0.3">
      <c r="B7" s="2" t="s">
        <v>63</v>
      </c>
      <c r="C7" s="16"/>
      <c r="D7" s="16"/>
      <c r="E7" s="16"/>
      <c r="F7" s="16"/>
      <c r="G7" s="16"/>
      <c r="H7" s="16"/>
      <c r="I7" s="17">
        <f>SUM(I3:I6)</f>
        <v>9092</v>
      </c>
      <c r="J7" s="16"/>
      <c r="K7" s="16"/>
      <c r="L7" s="16"/>
      <c r="M7" s="17">
        <f>SUM(M3:M6)</f>
        <v>9064</v>
      </c>
      <c r="N7" s="17">
        <f>SUM(N3:N6)</f>
        <v>9685</v>
      </c>
      <c r="O7" s="16"/>
      <c r="P7" s="16"/>
      <c r="Q7" s="16"/>
      <c r="R7" s="16"/>
      <c r="Z7" s="17">
        <f>SUM(Z3:Z6)</f>
        <v>9685</v>
      </c>
    </row>
    <row r="8" spans="2:36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</row>
    <row r="9" spans="2:36" x14ac:dyDescent="0.3">
      <c r="B9" s="1" t="s">
        <v>59</v>
      </c>
      <c r="C9" s="7"/>
      <c r="D9" s="7"/>
      <c r="E9" s="7"/>
      <c r="F9" s="7"/>
      <c r="G9" s="7"/>
      <c r="H9" s="7"/>
      <c r="I9" s="15">
        <v>1865</v>
      </c>
      <c r="J9" s="15">
        <v>1894</v>
      </c>
      <c r="K9" s="7"/>
      <c r="L9" s="7"/>
      <c r="M9" s="15">
        <v>2015</v>
      </c>
      <c r="N9" s="15">
        <v>1846</v>
      </c>
      <c r="O9" s="7"/>
      <c r="P9" s="7"/>
      <c r="Q9" s="7"/>
      <c r="R9" s="7"/>
    </row>
    <row r="10" spans="2:36" x14ac:dyDescent="0.3">
      <c r="B10" s="1" t="s">
        <v>60</v>
      </c>
      <c r="C10" s="7"/>
      <c r="D10" s="7"/>
      <c r="E10" s="7"/>
      <c r="F10" s="7"/>
      <c r="G10" s="7"/>
      <c r="H10" s="7"/>
      <c r="I10" s="15">
        <v>1225</v>
      </c>
      <c r="J10" s="15">
        <v>1328</v>
      </c>
      <c r="K10" s="7"/>
      <c r="L10" s="7"/>
      <c r="M10" s="15">
        <v>1301</v>
      </c>
      <c r="N10" s="15">
        <v>1205</v>
      </c>
      <c r="O10" s="7"/>
      <c r="P10" s="7"/>
      <c r="Q10" s="7"/>
      <c r="R10" s="7"/>
    </row>
    <row r="11" spans="2:36" x14ac:dyDescent="0.3">
      <c r="B11" s="1" t="s">
        <v>61</v>
      </c>
      <c r="C11" s="7"/>
      <c r="D11" s="7"/>
      <c r="E11" s="7"/>
      <c r="F11" s="7"/>
      <c r="G11" s="7"/>
      <c r="H11" s="7"/>
      <c r="I11" s="15">
        <v>578</v>
      </c>
      <c r="J11" s="15">
        <v>604</v>
      </c>
      <c r="K11" s="7"/>
      <c r="L11" s="7"/>
      <c r="M11" s="15">
        <v>571</v>
      </c>
      <c r="N11" s="15">
        <v>610</v>
      </c>
      <c r="O11" s="7"/>
      <c r="P11" s="7"/>
      <c r="Q11" s="7"/>
      <c r="R11" s="7"/>
    </row>
    <row r="12" spans="2:36" x14ac:dyDescent="0.3">
      <c r="B12" s="1" t="s">
        <v>62</v>
      </c>
      <c r="C12" s="7"/>
      <c r="D12" s="7"/>
      <c r="E12" s="7"/>
      <c r="F12" s="7"/>
      <c r="G12" s="7"/>
      <c r="H12" s="7"/>
      <c r="I12" s="15">
        <v>522</v>
      </c>
      <c r="J12" s="15">
        <v>539</v>
      </c>
      <c r="K12" s="7"/>
      <c r="L12" s="7"/>
      <c r="M12" s="15">
        <v>582</v>
      </c>
      <c r="N12" s="15">
        <v>546</v>
      </c>
      <c r="O12" s="7"/>
      <c r="P12" s="7"/>
      <c r="Q12" s="7"/>
      <c r="R12" s="7"/>
    </row>
    <row r="13" spans="2:36" s="2" customFormat="1" x14ac:dyDescent="0.3">
      <c r="B13" s="2" t="s">
        <v>12</v>
      </c>
      <c r="D13" s="9">
        <v>3838</v>
      </c>
      <c r="E13" s="9">
        <v>3921</v>
      </c>
      <c r="G13" s="9">
        <v>3975</v>
      </c>
      <c r="H13" s="9">
        <v>4132</v>
      </c>
      <c r="I13" s="9">
        <f>SUM(I9:I12)</f>
        <v>4190</v>
      </c>
      <c r="J13" s="9">
        <f>SUM(J9:J12)</f>
        <v>4365</v>
      </c>
      <c r="K13" s="9">
        <v>4245</v>
      </c>
      <c r="L13" s="9">
        <v>4253</v>
      </c>
      <c r="M13" s="9">
        <v>4469</v>
      </c>
      <c r="N13" s="9">
        <f>SUM(N9:N12)</f>
        <v>4207</v>
      </c>
      <c r="O13" s="9"/>
      <c r="P13" s="9"/>
      <c r="Q13" s="9"/>
      <c r="R13" s="9"/>
      <c r="T13" s="9">
        <v>11094</v>
      </c>
      <c r="U13" s="9">
        <v>12297</v>
      </c>
      <c r="V13" s="9">
        <v>13737</v>
      </c>
      <c r="W13" s="9">
        <v>14396</v>
      </c>
      <c r="X13" s="9">
        <v>15438</v>
      </c>
      <c r="Y13" s="9">
        <v>16662</v>
      </c>
      <c r="Z13" s="9">
        <f>SUM(K13:N13)</f>
        <v>17174</v>
      </c>
      <c r="AA13" s="9">
        <f>Z13*1.03</f>
        <v>17689.22</v>
      </c>
      <c r="AB13" s="9">
        <f>AA13*1.03</f>
        <v>18219.8966</v>
      </c>
      <c r="AC13" s="9">
        <f>AB13*1.03</f>
        <v>18766.493498</v>
      </c>
      <c r="AD13" s="9">
        <f>AC13*1.02</f>
        <v>19141.823367960002</v>
      </c>
      <c r="AE13" s="9">
        <f>AD13*1.02</f>
        <v>19524.659835319202</v>
      </c>
      <c r="AF13" s="9">
        <f>AE13*1.01</f>
        <v>19719.906433672393</v>
      </c>
      <c r="AG13" s="9">
        <f t="shared" ref="AG13:AJ13" si="0">AF13*1.01</f>
        <v>19917.105498009118</v>
      </c>
      <c r="AH13" s="9">
        <f t="shared" si="0"/>
        <v>20116.276552989209</v>
      </c>
      <c r="AI13" s="9">
        <f t="shared" si="0"/>
        <v>20317.4393185191</v>
      </c>
      <c r="AJ13" s="9">
        <f t="shared" si="0"/>
        <v>20520.613711704293</v>
      </c>
    </row>
    <row r="14" spans="2:36" x14ac:dyDescent="0.3">
      <c r="B14" s="1" t="s">
        <v>24</v>
      </c>
      <c r="D14" s="6">
        <v>3271</v>
      </c>
      <c r="E14" s="6">
        <v>3334</v>
      </c>
      <c r="G14" s="6">
        <v>3337</v>
      </c>
      <c r="H14" s="6">
        <v>3427</v>
      </c>
      <c r="I14" s="6">
        <v>3428</v>
      </c>
      <c r="J14" s="6">
        <f>Y14-I14-H14-G14</f>
        <v>3672</v>
      </c>
      <c r="K14" s="6">
        <v>3488</v>
      </c>
      <c r="L14" s="6">
        <v>3471</v>
      </c>
      <c r="M14" s="6">
        <v>3648</v>
      </c>
      <c r="N14" s="6">
        <v>3468</v>
      </c>
      <c r="O14" s="6"/>
      <c r="P14" s="6"/>
      <c r="Q14" s="6"/>
      <c r="R14" s="6"/>
      <c r="T14" s="6">
        <v>9546</v>
      </c>
      <c r="U14" s="6">
        <v>10560</v>
      </c>
      <c r="V14" s="6">
        <v>11723</v>
      </c>
      <c r="W14" s="6">
        <v>12312</v>
      </c>
      <c r="X14" s="6">
        <v>13194</v>
      </c>
      <c r="Y14" s="6">
        <v>13864</v>
      </c>
      <c r="Z14" s="6">
        <f>SUM(K14:N14)</f>
        <v>14075</v>
      </c>
      <c r="AA14" s="6">
        <f>AA13-AA15</f>
        <v>14505.160400000001</v>
      </c>
      <c r="AB14" s="6">
        <f t="shared" ref="AB14:AJ14" si="1">AB13-AB15</f>
        <v>14940.315212</v>
      </c>
      <c r="AC14" s="6">
        <f t="shared" si="1"/>
        <v>15388.52466836</v>
      </c>
      <c r="AD14" s="6">
        <f t="shared" si="1"/>
        <v>15696.295161727201</v>
      </c>
      <c r="AE14" s="6">
        <f t="shared" si="1"/>
        <v>16010.221064961746</v>
      </c>
      <c r="AF14" s="6">
        <f t="shared" si="1"/>
        <v>16170.323275611363</v>
      </c>
      <c r="AG14" s="6">
        <f t="shared" si="1"/>
        <v>16332.026508367477</v>
      </c>
      <c r="AH14" s="6">
        <f t="shared" si="1"/>
        <v>16495.346773451151</v>
      </c>
      <c r="AI14" s="6">
        <f t="shared" si="1"/>
        <v>16660.300241185661</v>
      </c>
      <c r="AJ14" s="6">
        <f t="shared" si="1"/>
        <v>16826.90324359752</v>
      </c>
    </row>
    <row r="15" spans="2:36" s="2" customFormat="1" x14ac:dyDescent="0.3">
      <c r="B15" s="2" t="s">
        <v>25</v>
      </c>
      <c r="D15" s="9">
        <f>D13-D14</f>
        <v>567</v>
      </c>
      <c r="E15" s="9">
        <f>E13-E14</f>
        <v>587</v>
      </c>
      <c r="G15" s="9">
        <f t="shared" ref="G15:N15" si="2">G13-G14</f>
        <v>638</v>
      </c>
      <c r="H15" s="9">
        <f t="shared" si="2"/>
        <v>705</v>
      </c>
      <c r="I15" s="9">
        <f t="shared" si="2"/>
        <v>762</v>
      </c>
      <c r="J15" s="9">
        <f t="shared" si="2"/>
        <v>693</v>
      </c>
      <c r="K15" s="9">
        <f t="shared" si="2"/>
        <v>757</v>
      </c>
      <c r="L15" s="9">
        <f t="shared" si="2"/>
        <v>782</v>
      </c>
      <c r="M15" s="9">
        <f t="shared" si="2"/>
        <v>821</v>
      </c>
      <c r="N15" s="9">
        <f t="shared" si="2"/>
        <v>739</v>
      </c>
      <c r="O15" s="9"/>
      <c r="P15" s="9"/>
      <c r="Q15" s="9"/>
      <c r="R15" s="9"/>
      <c r="T15" s="9">
        <f t="shared" ref="T15:Z15" si="3">T13-T14</f>
        <v>1548</v>
      </c>
      <c r="U15" s="9">
        <f t="shared" si="3"/>
        <v>1737</v>
      </c>
      <c r="V15" s="9">
        <f t="shared" si="3"/>
        <v>2014</v>
      </c>
      <c r="W15" s="9">
        <f t="shared" si="3"/>
        <v>2084</v>
      </c>
      <c r="X15" s="9">
        <f t="shared" si="3"/>
        <v>2244</v>
      </c>
      <c r="Y15" s="9">
        <f t="shared" si="3"/>
        <v>2798</v>
      </c>
      <c r="Z15" s="9">
        <f t="shared" si="3"/>
        <v>3099</v>
      </c>
      <c r="AA15" s="9">
        <f>AA13*0.18</f>
        <v>3184.0596</v>
      </c>
      <c r="AB15" s="9">
        <f t="shared" ref="AB15:AJ15" si="4">AB13*0.18</f>
        <v>3279.5813880000001</v>
      </c>
      <c r="AC15" s="9">
        <f t="shared" si="4"/>
        <v>3377.96882964</v>
      </c>
      <c r="AD15" s="9">
        <f t="shared" si="4"/>
        <v>3445.5282062328001</v>
      </c>
      <c r="AE15" s="9">
        <f t="shared" si="4"/>
        <v>3514.4387703574562</v>
      </c>
      <c r="AF15" s="9">
        <f t="shared" si="4"/>
        <v>3549.5831580610306</v>
      </c>
      <c r="AG15" s="9">
        <f t="shared" si="4"/>
        <v>3585.0789896416409</v>
      </c>
      <c r="AH15" s="9">
        <f t="shared" si="4"/>
        <v>3620.9297795380576</v>
      </c>
      <c r="AI15" s="9">
        <f t="shared" si="4"/>
        <v>3657.1390773334379</v>
      </c>
      <c r="AJ15" s="9">
        <f t="shared" si="4"/>
        <v>3693.7104681067726</v>
      </c>
    </row>
    <row r="16" spans="2:36" x14ac:dyDescent="0.3">
      <c r="B16" s="1" t="s">
        <v>26</v>
      </c>
      <c r="D16" s="6">
        <v>237</v>
      </c>
      <c r="E16" s="6">
        <v>239</v>
      </c>
      <c r="G16" s="6">
        <v>226</v>
      </c>
      <c r="H16" s="6">
        <v>231</v>
      </c>
      <c r="I16" s="6">
        <v>247</v>
      </c>
      <c r="J16" s="6">
        <f t="shared" ref="J16:J18" si="5">Y16-I16-H16-G16</f>
        <v>279</v>
      </c>
      <c r="K16" s="6">
        <v>230</v>
      </c>
      <c r="L16" s="6">
        <v>217</v>
      </c>
      <c r="M16" s="6">
        <v>286</v>
      </c>
      <c r="N16" s="6">
        <v>266</v>
      </c>
      <c r="O16" s="6"/>
      <c r="P16" s="6"/>
      <c r="Q16" s="6"/>
      <c r="R16" s="6"/>
      <c r="T16" s="6">
        <f>689-40</f>
        <v>649</v>
      </c>
      <c r="U16" s="6">
        <f>770-68</f>
        <v>702</v>
      </c>
      <c r="V16" s="6">
        <f>860-9</f>
        <v>851</v>
      </c>
      <c r="W16" s="6">
        <v>951</v>
      </c>
      <c r="X16" s="6">
        <v>942</v>
      </c>
      <c r="Y16" s="6">
        <v>983</v>
      </c>
      <c r="Z16" s="6">
        <f t="shared" ref="Z16:Z18" si="6">SUM(K16:N16)</f>
        <v>999</v>
      </c>
      <c r="AA16" s="6">
        <f>Z16*1.02</f>
        <v>1018.98</v>
      </c>
      <c r="AB16" s="6">
        <f t="shared" ref="AB16:AE16" si="7">AA16*1.02</f>
        <v>1039.3596</v>
      </c>
      <c r="AC16" s="6">
        <f t="shared" si="7"/>
        <v>1060.146792</v>
      </c>
      <c r="AD16" s="6">
        <f t="shared" si="7"/>
        <v>1081.34972784</v>
      </c>
      <c r="AE16" s="6">
        <f t="shared" si="7"/>
        <v>1102.9767223968001</v>
      </c>
      <c r="AF16" s="6">
        <f>AE16*1.01</f>
        <v>1114.0064896207682</v>
      </c>
      <c r="AG16" s="6">
        <f t="shared" ref="AG16:AJ16" si="8">AF16*1.01</f>
        <v>1125.1465545169758</v>
      </c>
      <c r="AH16" s="6">
        <f t="shared" si="8"/>
        <v>1136.3980200621456</v>
      </c>
      <c r="AI16" s="6">
        <f t="shared" si="8"/>
        <v>1147.7620002627671</v>
      </c>
      <c r="AJ16" s="6">
        <f t="shared" si="8"/>
        <v>1159.2396202653947</v>
      </c>
    </row>
    <row r="17" spans="2:147" x14ac:dyDescent="0.3">
      <c r="B17" s="1" t="s">
        <v>27</v>
      </c>
      <c r="D17" s="6">
        <v>6</v>
      </c>
      <c r="E17" s="6">
        <v>5</v>
      </c>
      <c r="G17" s="6">
        <v>4</v>
      </c>
      <c r="H17" s="6">
        <v>7</v>
      </c>
      <c r="I17" s="6">
        <v>3</v>
      </c>
      <c r="J17" s="6">
        <f t="shared" si="5"/>
        <v>2</v>
      </c>
      <c r="K17" s="6">
        <v>4</v>
      </c>
      <c r="L17" s="6">
        <v>2</v>
      </c>
      <c r="M17" s="6">
        <v>4</v>
      </c>
      <c r="N17" s="6">
        <v>8</v>
      </c>
      <c r="O17" s="6"/>
      <c r="P17" s="6"/>
      <c r="Q17" s="6"/>
      <c r="R17" s="6"/>
      <c r="T17" s="6">
        <v>5</v>
      </c>
      <c r="U17" s="6">
        <v>39</v>
      </c>
      <c r="V17" s="6">
        <v>27</v>
      </c>
      <c r="W17" s="6">
        <v>17</v>
      </c>
      <c r="X17" s="6">
        <v>24</v>
      </c>
      <c r="Y17" s="6">
        <v>16</v>
      </c>
      <c r="Z17" s="6">
        <f t="shared" si="6"/>
        <v>18</v>
      </c>
      <c r="AA17" s="6">
        <f>Z17*1.01</f>
        <v>18.18</v>
      </c>
      <c r="AB17" s="6">
        <f t="shared" ref="AB17:AJ17" si="9">AA17*1.01</f>
        <v>18.361799999999999</v>
      </c>
      <c r="AC17" s="6">
        <f t="shared" si="9"/>
        <v>18.545417999999998</v>
      </c>
      <c r="AD17" s="6">
        <f t="shared" si="9"/>
        <v>18.730872179999999</v>
      </c>
      <c r="AE17" s="6">
        <f t="shared" si="9"/>
        <v>18.9181809018</v>
      </c>
      <c r="AF17" s="6">
        <f t="shared" si="9"/>
        <v>19.107362710817998</v>
      </c>
      <c r="AG17" s="6">
        <f t="shared" si="9"/>
        <v>19.29843633792618</v>
      </c>
      <c r="AH17" s="6">
        <f t="shared" si="9"/>
        <v>19.491420701305444</v>
      </c>
      <c r="AI17" s="6">
        <f t="shared" si="9"/>
        <v>19.6863349083185</v>
      </c>
      <c r="AJ17" s="6">
        <f t="shared" si="9"/>
        <v>19.883198257401684</v>
      </c>
    </row>
    <row r="18" spans="2:147" x14ac:dyDescent="0.3">
      <c r="B18" s="1" t="s">
        <v>39</v>
      </c>
      <c r="D18" s="6">
        <v>0</v>
      </c>
      <c r="E18" s="6">
        <f>599+88</f>
        <v>687</v>
      </c>
      <c r="G18" s="6"/>
      <c r="H18" s="6">
        <v>0</v>
      </c>
      <c r="I18" s="6">
        <v>6</v>
      </c>
      <c r="J18" s="6">
        <f t="shared" si="5"/>
        <v>5</v>
      </c>
      <c r="K18" s="6"/>
      <c r="L18" s="6">
        <v>0</v>
      </c>
      <c r="M18" s="6">
        <v>4</v>
      </c>
      <c r="N18" s="6">
        <v>1</v>
      </c>
      <c r="O18" s="6"/>
      <c r="P18" s="6"/>
      <c r="Q18" s="6"/>
      <c r="R18" s="6"/>
      <c r="T18" s="6">
        <v>0</v>
      </c>
      <c r="U18" s="6">
        <v>12</v>
      </c>
      <c r="V18" s="6">
        <v>4</v>
      </c>
      <c r="W18" s="6">
        <v>40</v>
      </c>
      <c r="X18" s="6">
        <f>596+91</f>
        <v>687</v>
      </c>
      <c r="Y18" s="6">
        <v>11</v>
      </c>
      <c r="Z18" s="6">
        <f t="shared" si="6"/>
        <v>5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</row>
    <row r="19" spans="2:147" x14ac:dyDescent="0.3">
      <c r="B19" s="1" t="s">
        <v>38</v>
      </c>
      <c r="D19" s="6">
        <f>SUM(D16:D18)</f>
        <v>243</v>
      </c>
      <c r="E19" s="6">
        <f>SUM(E16:E18)</f>
        <v>931</v>
      </c>
      <c r="G19" s="6">
        <f>SUM(G16:G18)</f>
        <v>230</v>
      </c>
      <c r="H19" s="6">
        <f>SUM(H16:H18)</f>
        <v>238</v>
      </c>
      <c r="I19" s="6">
        <f>SUM(I16:I18)</f>
        <v>256</v>
      </c>
      <c r="J19" s="6">
        <f>SUM(J16:J18)</f>
        <v>286</v>
      </c>
      <c r="K19" s="6">
        <f>SUM(K16:K18)</f>
        <v>234</v>
      </c>
      <c r="L19" s="6">
        <f t="shared" ref="L19:N19" si="10">SUM(L16:L18)</f>
        <v>219</v>
      </c>
      <c r="M19" s="6">
        <f t="shared" si="10"/>
        <v>294</v>
      </c>
      <c r="N19" s="6">
        <f t="shared" si="10"/>
        <v>275</v>
      </c>
      <c r="O19" s="6"/>
      <c r="P19" s="6"/>
      <c r="Q19" s="6"/>
      <c r="R19" s="6"/>
      <c r="T19" s="6">
        <f t="shared" ref="T19:AA19" si="11">SUM(T16:T18)</f>
        <v>654</v>
      </c>
      <c r="U19" s="6">
        <f t="shared" si="11"/>
        <v>753</v>
      </c>
      <c r="V19" s="6">
        <f t="shared" si="11"/>
        <v>882</v>
      </c>
      <c r="W19" s="6">
        <f t="shared" si="11"/>
        <v>1008</v>
      </c>
      <c r="X19" s="6">
        <f t="shared" si="11"/>
        <v>1653</v>
      </c>
      <c r="Y19" s="6">
        <f t="shared" si="11"/>
        <v>1010</v>
      </c>
      <c r="Z19" s="6">
        <f t="shared" si="11"/>
        <v>1022</v>
      </c>
      <c r="AA19" s="6">
        <f t="shared" si="11"/>
        <v>1037.1600000000001</v>
      </c>
      <c r="AB19" s="6">
        <f t="shared" ref="AB19:AJ19" si="12">SUM(AB16:AB18)</f>
        <v>1057.7213999999999</v>
      </c>
      <c r="AC19" s="6">
        <f t="shared" si="12"/>
        <v>1078.6922099999999</v>
      </c>
      <c r="AD19" s="6">
        <f t="shared" si="12"/>
        <v>1100.08060002</v>
      </c>
      <c r="AE19" s="6">
        <f t="shared" si="12"/>
        <v>1121.8949032986002</v>
      </c>
      <c r="AF19" s="6">
        <f t="shared" si="12"/>
        <v>1133.1138523315863</v>
      </c>
      <c r="AG19" s="6">
        <f t="shared" si="12"/>
        <v>1144.444990854902</v>
      </c>
      <c r="AH19" s="6">
        <f t="shared" si="12"/>
        <v>1155.8894407634511</v>
      </c>
      <c r="AI19" s="6">
        <f t="shared" si="12"/>
        <v>1167.4483351710855</v>
      </c>
      <c r="AJ19" s="6">
        <f t="shared" si="12"/>
        <v>1179.1228185227965</v>
      </c>
    </row>
    <row r="20" spans="2:147" s="2" customFormat="1" x14ac:dyDescent="0.3">
      <c r="B20" s="2" t="s">
        <v>28</v>
      </c>
      <c r="D20" s="9">
        <f>D15-D19</f>
        <v>324</v>
      </c>
      <c r="E20" s="9">
        <f>E15-E19</f>
        <v>-344</v>
      </c>
      <c r="G20" s="9">
        <f>G15-G19</f>
        <v>408</v>
      </c>
      <c r="H20" s="9">
        <f>H15-H19</f>
        <v>467</v>
      </c>
      <c r="I20" s="9">
        <f>I15-I19</f>
        <v>506</v>
      </c>
      <c r="J20" s="9">
        <f>J15-J19</f>
        <v>407</v>
      </c>
      <c r="K20" s="9">
        <f>K15-K19</f>
        <v>523</v>
      </c>
      <c r="L20" s="9">
        <f t="shared" ref="L20:N20" si="13">L15-L19</f>
        <v>563</v>
      </c>
      <c r="M20" s="9">
        <f t="shared" si="13"/>
        <v>527</v>
      </c>
      <c r="N20" s="9">
        <f t="shared" si="13"/>
        <v>464</v>
      </c>
      <c r="O20" s="9"/>
      <c r="P20" s="9"/>
      <c r="Q20" s="9"/>
      <c r="R20" s="9"/>
      <c r="T20" s="9">
        <f t="shared" ref="T20:AA20" si="14">T15-T19</f>
        <v>894</v>
      </c>
      <c r="U20" s="9">
        <f t="shared" si="14"/>
        <v>984</v>
      </c>
      <c r="V20" s="9">
        <f t="shared" si="14"/>
        <v>1132</v>
      </c>
      <c r="W20" s="9">
        <f t="shared" si="14"/>
        <v>1076</v>
      </c>
      <c r="X20" s="9">
        <f t="shared" si="14"/>
        <v>591</v>
      </c>
      <c r="Y20" s="9">
        <f t="shared" si="14"/>
        <v>1788</v>
      </c>
      <c r="Z20" s="9">
        <f t="shared" si="14"/>
        <v>2077</v>
      </c>
      <c r="AA20" s="9">
        <f t="shared" si="14"/>
        <v>2146.8995999999997</v>
      </c>
      <c r="AB20" s="9">
        <f t="shared" ref="AB20:AJ20" si="15">AB15-AB19</f>
        <v>2221.8599880000002</v>
      </c>
      <c r="AC20" s="9">
        <f t="shared" si="15"/>
        <v>2299.2766196399998</v>
      </c>
      <c r="AD20" s="9">
        <f t="shared" si="15"/>
        <v>2345.4476062128001</v>
      </c>
      <c r="AE20" s="9">
        <f t="shared" si="15"/>
        <v>2392.543867058856</v>
      </c>
      <c r="AF20" s="9">
        <f t="shared" si="15"/>
        <v>2416.4693057294444</v>
      </c>
      <c r="AG20" s="9">
        <f t="shared" si="15"/>
        <v>2440.6339987867386</v>
      </c>
      <c r="AH20" s="9">
        <f t="shared" si="15"/>
        <v>2465.0403387746064</v>
      </c>
      <c r="AI20" s="9">
        <f t="shared" si="15"/>
        <v>2489.6907421623523</v>
      </c>
      <c r="AJ20" s="9">
        <f t="shared" si="15"/>
        <v>2514.5876495839761</v>
      </c>
    </row>
    <row r="21" spans="2:147" x14ac:dyDescent="0.3">
      <c r="B21" s="1" t="s">
        <v>29</v>
      </c>
      <c r="D21" s="6">
        <v>-7</v>
      </c>
      <c r="E21" s="6">
        <v>-8</v>
      </c>
      <c r="G21" s="6">
        <v>-7</v>
      </c>
      <c r="H21" s="6">
        <v>-8</v>
      </c>
      <c r="I21" s="6">
        <v>-10</v>
      </c>
      <c r="J21" s="6">
        <f t="shared" ref="J21:J22" si="16">Y21-I21-H21-G21</f>
        <v>-14</v>
      </c>
      <c r="K21" s="6">
        <v>-7</v>
      </c>
      <c r="L21" s="6">
        <v>-8</v>
      </c>
      <c r="M21" s="6">
        <v>-8</v>
      </c>
      <c r="N21" s="6">
        <v>-9</v>
      </c>
      <c r="O21" s="6"/>
      <c r="P21" s="6"/>
      <c r="Q21" s="6"/>
      <c r="R21" s="6"/>
      <c r="T21" s="6">
        <v>-18</v>
      </c>
      <c r="U21" s="6">
        <v>-14</v>
      </c>
      <c r="V21" s="6">
        <v>-20</v>
      </c>
      <c r="W21" s="6">
        <v>-12</v>
      </c>
      <c r="X21" s="6">
        <v>-30</v>
      </c>
      <c r="Y21" s="6">
        <v>-39</v>
      </c>
      <c r="Z21" s="6">
        <f t="shared" ref="Z21:Z23" si="17">SUM(K21:N21)</f>
        <v>-32</v>
      </c>
      <c r="AA21" s="6">
        <f>Z21*1.03</f>
        <v>-32.96</v>
      </c>
      <c r="AB21" s="6">
        <f t="shared" ref="AB21:AJ21" si="18">AA21*1.03</f>
        <v>-33.948799999999999</v>
      </c>
      <c r="AC21" s="6">
        <f t="shared" si="18"/>
        <v>-34.967264</v>
      </c>
      <c r="AD21" s="6">
        <f t="shared" si="18"/>
        <v>-36.016281920000004</v>
      </c>
      <c r="AE21" s="6">
        <f t="shared" si="18"/>
        <v>-37.096770377600002</v>
      </c>
      <c r="AF21" s="6">
        <f t="shared" si="18"/>
        <v>-38.209673488928004</v>
      </c>
      <c r="AG21" s="6">
        <f t="shared" si="18"/>
        <v>-39.355963693595847</v>
      </c>
      <c r="AH21" s="6">
        <f t="shared" si="18"/>
        <v>-40.536642604403724</v>
      </c>
      <c r="AI21" s="6">
        <f t="shared" si="18"/>
        <v>-41.752741882535837</v>
      </c>
      <c r="AJ21" s="6">
        <f t="shared" si="18"/>
        <v>-43.005324139011911</v>
      </c>
    </row>
    <row r="22" spans="2:147" x14ac:dyDescent="0.3">
      <c r="B22" s="1" t="s">
        <v>30</v>
      </c>
      <c r="D22" s="6">
        <v>56</v>
      </c>
      <c r="E22" s="6">
        <v>53</v>
      </c>
      <c r="G22" s="6">
        <v>49</v>
      </c>
      <c r="H22" s="6">
        <v>51</v>
      </c>
      <c r="I22" s="6">
        <v>46</v>
      </c>
      <c r="J22" s="6">
        <f t="shared" si="16"/>
        <v>47</v>
      </c>
      <c r="K22" s="6">
        <v>49</v>
      </c>
      <c r="L22" s="6">
        <v>55</v>
      </c>
      <c r="M22" s="6">
        <v>51</v>
      </c>
      <c r="N22" s="6">
        <v>48</v>
      </c>
      <c r="O22" s="6"/>
      <c r="P22" s="6"/>
      <c r="Q22" s="6"/>
      <c r="R22" s="6"/>
      <c r="T22" s="6">
        <v>133</v>
      </c>
      <c r="U22" s="6">
        <v>179</v>
      </c>
      <c r="V22" s="6">
        <v>184</v>
      </c>
      <c r="W22" s="6">
        <v>199</v>
      </c>
      <c r="X22" s="6">
        <v>212</v>
      </c>
      <c r="Y22" s="6">
        <v>193</v>
      </c>
      <c r="Z22" s="6">
        <f t="shared" si="17"/>
        <v>203</v>
      </c>
      <c r="AA22" s="6">
        <f>Z22*1.03</f>
        <v>209.09</v>
      </c>
      <c r="AB22" s="6">
        <f t="shared" ref="AB22:AJ22" si="19">AA22*1.03</f>
        <v>215.36270000000002</v>
      </c>
      <c r="AC22" s="6">
        <f t="shared" si="19"/>
        <v>221.82358100000002</v>
      </c>
      <c r="AD22" s="6">
        <f t="shared" si="19"/>
        <v>228.47828843000002</v>
      </c>
      <c r="AE22" s="6">
        <f t="shared" si="19"/>
        <v>235.33263708290002</v>
      </c>
      <c r="AF22" s="6">
        <f t="shared" si="19"/>
        <v>242.39261619538703</v>
      </c>
      <c r="AG22" s="6">
        <f t="shared" si="19"/>
        <v>249.66439468124867</v>
      </c>
      <c r="AH22" s="6">
        <f t="shared" si="19"/>
        <v>257.15432652168613</v>
      </c>
      <c r="AI22" s="6">
        <f t="shared" si="19"/>
        <v>264.86895631733671</v>
      </c>
      <c r="AJ22" s="6">
        <f t="shared" si="19"/>
        <v>272.81502500685684</v>
      </c>
    </row>
    <row r="23" spans="2:147" x14ac:dyDescent="0.3">
      <c r="B23" s="1" t="s">
        <v>31</v>
      </c>
      <c r="D23" s="6">
        <v>1</v>
      </c>
      <c r="E23" s="6">
        <v>-1</v>
      </c>
      <c r="G23" s="6">
        <v>-2</v>
      </c>
      <c r="H23" s="6">
        <v>-2</v>
      </c>
      <c r="I23" s="6">
        <v>0</v>
      </c>
      <c r="J23" s="6">
        <f>Y23-I23-H23-G23</f>
        <v>-1</v>
      </c>
      <c r="K23" s="6">
        <v>3</v>
      </c>
      <c r="L23" s="6">
        <v>-2</v>
      </c>
      <c r="M23" s="6">
        <v>0</v>
      </c>
      <c r="N23" s="6">
        <v>-4</v>
      </c>
      <c r="O23" s="6"/>
      <c r="P23" s="6"/>
      <c r="Q23" s="6"/>
      <c r="R23" s="6"/>
      <c r="T23" s="6">
        <v>-87</v>
      </c>
      <c r="U23" s="6">
        <v>38</v>
      </c>
      <c r="V23" s="6">
        <v>1</v>
      </c>
      <c r="W23" s="6">
        <v>3</v>
      </c>
      <c r="X23" s="6">
        <v>6</v>
      </c>
      <c r="Y23" s="6">
        <v>-5</v>
      </c>
      <c r="Z23" s="6">
        <f t="shared" si="17"/>
        <v>-3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0</v>
      </c>
      <c r="AJ23" s="6">
        <v>0</v>
      </c>
    </row>
    <row r="24" spans="2:147" x14ac:dyDescent="0.3">
      <c r="B24" s="1" t="s">
        <v>32</v>
      </c>
      <c r="D24" s="6">
        <f>SUM(D21:D23)</f>
        <v>50</v>
      </c>
      <c r="E24" s="6">
        <f>SUM(E21:E23)</f>
        <v>44</v>
      </c>
      <c r="G24" s="6">
        <f t="shared" ref="G24:L24" si="20">SUM(G21:G23)</f>
        <v>40</v>
      </c>
      <c r="H24" s="6">
        <f t="shared" si="20"/>
        <v>41</v>
      </c>
      <c r="I24" s="6">
        <f t="shared" si="20"/>
        <v>36</v>
      </c>
      <c r="J24" s="6">
        <f t="shared" si="20"/>
        <v>32</v>
      </c>
      <c r="K24" s="6">
        <f t="shared" si="20"/>
        <v>45</v>
      </c>
      <c r="L24" s="6">
        <f t="shared" si="20"/>
        <v>45</v>
      </c>
      <c r="M24" s="6">
        <f t="shared" ref="M24:N24" si="21">SUM(M21:M23)</f>
        <v>43</v>
      </c>
      <c r="N24" s="6">
        <f t="shared" si="21"/>
        <v>35</v>
      </c>
      <c r="O24" s="6"/>
      <c r="P24" s="6"/>
      <c r="Q24" s="6"/>
      <c r="R24" s="6"/>
      <c r="T24" s="6">
        <f t="shared" ref="T24:AA24" si="22">SUM(T21:T23)</f>
        <v>28</v>
      </c>
      <c r="U24" s="6">
        <f t="shared" si="22"/>
        <v>203</v>
      </c>
      <c r="V24" s="6">
        <f t="shared" si="22"/>
        <v>165</v>
      </c>
      <c r="W24" s="6">
        <f t="shared" si="22"/>
        <v>190</v>
      </c>
      <c r="X24" s="6">
        <f t="shared" si="22"/>
        <v>188</v>
      </c>
      <c r="Y24" s="6">
        <f t="shared" si="22"/>
        <v>149</v>
      </c>
      <c r="Z24" s="6">
        <f t="shared" si="22"/>
        <v>168</v>
      </c>
      <c r="AA24" s="6">
        <f t="shared" si="22"/>
        <v>176.13</v>
      </c>
      <c r="AB24" s="6">
        <f t="shared" ref="AB24:AJ24" si="23">SUM(AB21:AB23)</f>
        <v>181.41390000000001</v>
      </c>
      <c r="AC24" s="6">
        <f t="shared" si="23"/>
        <v>186.85631700000002</v>
      </c>
      <c r="AD24" s="6">
        <f t="shared" si="23"/>
        <v>192.46200651000001</v>
      </c>
      <c r="AE24" s="6">
        <f t="shared" si="23"/>
        <v>198.23586670530003</v>
      </c>
      <c r="AF24" s="6">
        <f t="shared" si="23"/>
        <v>204.18294270645902</v>
      </c>
      <c r="AG24" s="6">
        <f t="shared" si="23"/>
        <v>210.30843098765283</v>
      </c>
      <c r="AH24" s="6">
        <f t="shared" si="23"/>
        <v>216.61768391728242</v>
      </c>
      <c r="AI24" s="6">
        <f t="shared" si="23"/>
        <v>223.11621443480087</v>
      </c>
      <c r="AJ24" s="6">
        <f t="shared" si="23"/>
        <v>229.80970086784492</v>
      </c>
    </row>
    <row r="25" spans="2:147" s="2" customFormat="1" x14ac:dyDescent="0.3">
      <c r="B25" s="2" t="s">
        <v>33</v>
      </c>
      <c r="D25" s="9">
        <f>D20-D24</f>
        <v>274</v>
      </c>
      <c r="E25" s="9">
        <f>E20-E24</f>
        <v>-388</v>
      </c>
      <c r="G25" s="9">
        <f t="shared" ref="G25:L25" si="24">G20-G24</f>
        <v>368</v>
      </c>
      <c r="H25" s="9">
        <f t="shared" si="24"/>
        <v>426</v>
      </c>
      <c r="I25" s="9">
        <f t="shared" si="24"/>
        <v>470</v>
      </c>
      <c r="J25" s="9">
        <f t="shared" si="24"/>
        <v>375</v>
      </c>
      <c r="K25" s="9">
        <f t="shared" si="24"/>
        <v>478</v>
      </c>
      <c r="L25" s="9">
        <f t="shared" si="24"/>
        <v>518</v>
      </c>
      <c r="M25" s="9">
        <f t="shared" ref="M25:N25" si="25">M20-M24</f>
        <v>484</v>
      </c>
      <c r="N25" s="9">
        <f t="shared" si="25"/>
        <v>429</v>
      </c>
      <c r="O25" s="9"/>
      <c r="P25" s="9"/>
      <c r="Q25" s="9"/>
      <c r="R25" s="9"/>
      <c r="T25" s="9">
        <f t="shared" ref="T25:AA25" si="26">T20-T24</f>
        <v>866</v>
      </c>
      <c r="U25" s="9">
        <f t="shared" si="26"/>
        <v>781</v>
      </c>
      <c r="V25" s="9">
        <f t="shared" si="26"/>
        <v>967</v>
      </c>
      <c r="W25" s="9">
        <f t="shared" si="26"/>
        <v>886</v>
      </c>
      <c r="X25" s="9">
        <f t="shared" si="26"/>
        <v>403</v>
      </c>
      <c r="Y25" s="9">
        <f t="shared" si="26"/>
        <v>1639</v>
      </c>
      <c r="Z25" s="9">
        <f t="shared" si="26"/>
        <v>1909</v>
      </c>
      <c r="AA25" s="9">
        <f t="shared" si="26"/>
        <v>1970.7695999999996</v>
      </c>
      <c r="AB25" s="9">
        <f t="shared" ref="AB25:AJ25" si="27">AB20-AB24</f>
        <v>2040.4460880000001</v>
      </c>
      <c r="AC25" s="9">
        <f t="shared" si="27"/>
        <v>2112.4203026399996</v>
      </c>
      <c r="AD25" s="9">
        <f t="shared" si="27"/>
        <v>2152.9855997028003</v>
      </c>
      <c r="AE25" s="9">
        <f t="shared" si="27"/>
        <v>2194.3080003535561</v>
      </c>
      <c r="AF25" s="9">
        <f t="shared" si="27"/>
        <v>2212.2863630229854</v>
      </c>
      <c r="AG25" s="9">
        <f t="shared" si="27"/>
        <v>2230.325567799086</v>
      </c>
      <c r="AH25" s="9">
        <f t="shared" si="27"/>
        <v>2248.4226548573242</v>
      </c>
      <c r="AI25" s="9">
        <f t="shared" si="27"/>
        <v>2266.5745277275514</v>
      </c>
      <c r="AJ25" s="9">
        <f t="shared" si="27"/>
        <v>2284.777948716131</v>
      </c>
    </row>
    <row r="26" spans="2:147" x14ac:dyDescent="0.3">
      <c r="B26" s="1" t="s">
        <v>34</v>
      </c>
      <c r="D26" s="6">
        <v>64</v>
      </c>
      <c r="E26" s="6">
        <v>8</v>
      </c>
      <c r="G26" s="6">
        <v>85</v>
      </c>
      <c r="H26" s="6">
        <v>102</v>
      </c>
      <c r="I26" s="6">
        <v>108</v>
      </c>
      <c r="J26" s="6">
        <f t="shared" ref="J26:J27" si="28">Y26-I26-H26-G26</f>
        <v>93</v>
      </c>
      <c r="K26" s="6">
        <v>113</v>
      </c>
      <c r="L26" s="6">
        <v>125</v>
      </c>
      <c r="M26" s="6">
        <v>115</v>
      </c>
      <c r="N26" s="6">
        <v>94</v>
      </c>
      <c r="O26" s="6"/>
      <c r="P26" s="6"/>
      <c r="Q26" s="6"/>
      <c r="R26" s="6"/>
      <c r="T26" s="6">
        <v>196</v>
      </c>
      <c r="U26" s="6">
        <v>152</v>
      </c>
      <c r="V26" s="6">
        <v>208</v>
      </c>
      <c r="W26" s="6">
        <v>193</v>
      </c>
      <c r="X26" s="6">
        <v>195</v>
      </c>
      <c r="Y26" s="6">
        <v>388</v>
      </c>
      <c r="Z26" s="6">
        <f t="shared" ref="Z26:Z27" si="29">SUM(K26:N26)</f>
        <v>447</v>
      </c>
      <c r="AA26" s="6">
        <f>AA25*0.23</f>
        <v>453.27700799999991</v>
      </c>
      <c r="AB26" s="6">
        <f t="shared" ref="AB26:AJ26" si="30">AB25*0.23</f>
        <v>469.30260024000006</v>
      </c>
      <c r="AC26" s="6">
        <f t="shared" si="30"/>
        <v>485.85666960719993</v>
      </c>
      <c r="AD26" s="6">
        <f t="shared" si="30"/>
        <v>495.18668793164409</v>
      </c>
      <c r="AE26" s="6">
        <f t="shared" si="30"/>
        <v>504.6908400813179</v>
      </c>
      <c r="AF26" s="6">
        <f t="shared" si="30"/>
        <v>508.82586349528668</v>
      </c>
      <c r="AG26" s="6">
        <f t="shared" si="30"/>
        <v>512.97488059378975</v>
      </c>
      <c r="AH26" s="6">
        <f t="shared" si="30"/>
        <v>517.13721061718456</v>
      </c>
      <c r="AI26" s="6">
        <f t="shared" si="30"/>
        <v>521.31214137733684</v>
      </c>
      <c r="AJ26" s="6">
        <f t="shared" si="30"/>
        <v>525.49892820471018</v>
      </c>
    </row>
    <row r="27" spans="2:147" x14ac:dyDescent="0.3">
      <c r="B27" s="1" t="s">
        <v>35</v>
      </c>
      <c r="D27" s="6">
        <v>3</v>
      </c>
      <c r="E27" s="6">
        <v>3</v>
      </c>
      <c r="G27" s="6">
        <v>-1</v>
      </c>
      <c r="H27" s="6">
        <v>2</v>
      </c>
      <c r="I27" s="6">
        <v>-2</v>
      </c>
      <c r="J27" s="6">
        <f t="shared" si="28"/>
        <v>-2</v>
      </c>
      <c r="K27" s="6">
        <v>2</v>
      </c>
      <c r="L27" s="6">
        <v>2</v>
      </c>
      <c r="M27" s="6">
        <v>2</v>
      </c>
      <c r="N27" s="6">
        <v>8</v>
      </c>
      <c r="O27" s="6"/>
      <c r="P27" s="6"/>
      <c r="Q27" s="6"/>
      <c r="R27" s="6"/>
      <c r="T27" s="6">
        <v>3</v>
      </c>
      <c r="U27" s="6">
        <v>1</v>
      </c>
      <c r="V27" s="6">
        <v>6</v>
      </c>
      <c r="W27" s="6">
        <v>8</v>
      </c>
      <c r="X27" s="6">
        <v>9</v>
      </c>
      <c r="Y27" s="6">
        <v>-3</v>
      </c>
      <c r="Z27" s="6">
        <f t="shared" si="29"/>
        <v>14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</row>
    <row r="28" spans="2:147" s="2" customFormat="1" x14ac:dyDescent="0.3">
      <c r="B28" s="2" t="s">
        <v>36</v>
      </c>
      <c r="D28" s="9">
        <f>D25-D26-D27</f>
        <v>207</v>
      </c>
      <c r="E28" s="9">
        <f>E25-E26-E27</f>
        <v>-399</v>
      </c>
      <c r="G28" s="9">
        <f t="shared" ref="G28:L28" si="31">G25-G26-G27</f>
        <v>284</v>
      </c>
      <c r="H28" s="9">
        <f t="shared" si="31"/>
        <v>322</v>
      </c>
      <c r="I28" s="9">
        <f t="shared" si="31"/>
        <v>364</v>
      </c>
      <c r="J28" s="9">
        <f t="shared" si="31"/>
        <v>284</v>
      </c>
      <c r="K28" s="9">
        <f t="shared" si="31"/>
        <v>363</v>
      </c>
      <c r="L28" s="9">
        <f t="shared" si="31"/>
        <v>391</v>
      </c>
      <c r="M28" s="9">
        <f t="shared" ref="M28:N28" si="32">M25-M26-M27</f>
        <v>367</v>
      </c>
      <c r="N28" s="9">
        <f t="shared" si="32"/>
        <v>327</v>
      </c>
      <c r="O28" s="9"/>
      <c r="P28" s="9"/>
      <c r="Q28" s="9"/>
      <c r="R28" s="9"/>
      <c r="T28" s="9">
        <f t="shared" ref="T28:AA28" si="33">T25-T26-T27</f>
        <v>667</v>
      </c>
      <c r="U28" s="9">
        <f t="shared" si="33"/>
        <v>628</v>
      </c>
      <c r="V28" s="9">
        <f t="shared" si="33"/>
        <v>753</v>
      </c>
      <c r="W28" s="9">
        <f t="shared" si="33"/>
        <v>685</v>
      </c>
      <c r="X28" s="9">
        <f t="shared" si="33"/>
        <v>199</v>
      </c>
      <c r="Y28" s="9">
        <f t="shared" si="33"/>
        <v>1254</v>
      </c>
      <c r="Z28" s="9">
        <f t="shared" si="33"/>
        <v>1448</v>
      </c>
      <c r="AA28" s="9">
        <f t="shared" si="33"/>
        <v>1517.4925919999996</v>
      </c>
      <c r="AB28" s="9">
        <f t="shared" ref="AB28:AJ28" si="34">AB25-AB26-AB27</f>
        <v>1571.14348776</v>
      </c>
      <c r="AC28" s="9">
        <f t="shared" si="34"/>
        <v>1626.5636330327998</v>
      </c>
      <c r="AD28" s="9">
        <f t="shared" si="34"/>
        <v>1657.7989117711563</v>
      </c>
      <c r="AE28" s="9">
        <f t="shared" si="34"/>
        <v>1689.6171602722382</v>
      </c>
      <c r="AF28" s="9">
        <f t="shared" si="34"/>
        <v>1703.4604995276986</v>
      </c>
      <c r="AG28" s="9">
        <f t="shared" si="34"/>
        <v>1717.3506872052963</v>
      </c>
      <c r="AH28" s="9">
        <f t="shared" si="34"/>
        <v>1731.2854442401397</v>
      </c>
      <c r="AI28" s="9">
        <f t="shared" si="34"/>
        <v>1745.2623863502145</v>
      </c>
      <c r="AJ28" s="9">
        <f t="shared" si="34"/>
        <v>1759.2790205114209</v>
      </c>
      <c r="AK28" s="2">
        <f>AJ28*(1+$AM$33)</f>
        <v>1741.6862303063067</v>
      </c>
      <c r="AL28" s="2">
        <f t="shared" ref="AL28:CW28" si="35">AK28*(1+$AM$33)</f>
        <v>1724.2693680032437</v>
      </c>
      <c r="AM28" s="2">
        <f t="shared" si="35"/>
        <v>1707.0266743232112</v>
      </c>
      <c r="AN28" s="2">
        <f t="shared" si="35"/>
        <v>1689.956407579979</v>
      </c>
      <c r="AO28" s="2">
        <f t="shared" si="35"/>
        <v>1673.0568435041791</v>
      </c>
      <c r="AP28" s="2">
        <f t="shared" si="35"/>
        <v>1656.3262750691374</v>
      </c>
      <c r="AQ28" s="2">
        <f t="shared" si="35"/>
        <v>1639.763012318446</v>
      </c>
      <c r="AR28" s="2">
        <f t="shared" si="35"/>
        <v>1623.3653821952616</v>
      </c>
      <c r="AS28" s="2">
        <f t="shared" si="35"/>
        <v>1607.131728373309</v>
      </c>
      <c r="AT28" s="2">
        <f t="shared" si="35"/>
        <v>1591.0604110895758</v>
      </c>
      <c r="AU28" s="2">
        <f t="shared" si="35"/>
        <v>1575.1498069786801</v>
      </c>
      <c r="AV28" s="2">
        <f t="shared" si="35"/>
        <v>1559.3983089088933</v>
      </c>
      <c r="AW28" s="2">
        <f t="shared" si="35"/>
        <v>1543.8043258198045</v>
      </c>
      <c r="AX28" s="2">
        <f t="shared" si="35"/>
        <v>1528.3662825616063</v>
      </c>
      <c r="AY28" s="2">
        <f t="shared" si="35"/>
        <v>1513.0826197359902</v>
      </c>
      <c r="AZ28" s="2">
        <f t="shared" si="35"/>
        <v>1497.9517935386302</v>
      </c>
      <c r="BA28" s="2">
        <f t="shared" si="35"/>
        <v>1482.9722756032438</v>
      </c>
      <c r="BB28" s="2">
        <f t="shared" si="35"/>
        <v>1468.1425528472114</v>
      </c>
      <c r="BC28" s="2">
        <f t="shared" si="35"/>
        <v>1453.4611273187393</v>
      </c>
      <c r="BD28" s="2">
        <f t="shared" si="35"/>
        <v>1438.9265160455518</v>
      </c>
      <c r="BE28" s="2">
        <f t="shared" si="35"/>
        <v>1424.5372508850962</v>
      </c>
      <c r="BF28" s="2">
        <f t="shared" si="35"/>
        <v>1410.2918783762452</v>
      </c>
      <c r="BG28" s="2">
        <f t="shared" si="35"/>
        <v>1396.1889595924827</v>
      </c>
      <c r="BH28" s="2">
        <f t="shared" si="35"/>
        <v>1382.2270699965579</v>
      </c>
      <c r="BI28" s="2">
        <f t="shared" si="35"/>
        <v>1368.4047992965923</v>
      </c>
      <c r="BJ28" s="2">
        <f t="shared" si="35"/>
        <v>1354.7207513036262</v>
      </c>
      <c r="BK28" s="2">
        <f t="shared" si="35"/>
        <v>1341.17354379059</v>
      </c>
      <c r="BL28" s="2">
        <f t="shared" si="35"/>
        <v>1327.7618083526841</v>
      </c>
      <c r="BM28" s="2">
        <f t="shared" si="35"/>
        <v>1314.4841902691571</v>
      </c>
      <c r="BN28" s="2">
        <f t="shared" si="35"/>
        <v>1301.3393483664656</v>
      </c>
      <c r="BO28" s="2">
        <f t="shared" si="35"/>
        <v>1288.3259548828009</v>
      </c>
      <c r="BP28" s="2">
        <f t="shared" si="35"/>
        <v>1275.442695333973</v>
      </c>
      <c r="BQ28" s="2">
        <f t="shared" si="35"/>
        <v>1262.6882683806332</v>
      </c>
      <c r="BR28" s="2">
        <f t="shared" si="35"/>
        <v>1250.0613856968268</v>
      </c>
      <c r="BS28" s="2">
        <f t="shared" si="35"/>
        <v>1237.5607718398585</v>
      </c>
      <c r="BT28" s="2">
        <f t="shared" si="35"/>
        <v>1225.1851641214598</v>
      </c>
      <c r="BU28" s="2">
        <f t="shared" si="35"/>
        <v>1212.9333124802451</v>
      </c>
      <c r="BV28" s="2">
        <f t="shared" si="35"/>
        <v>1200.8039793554426</v>
      </c>
      <c r="BW28" s="2">
        <f t="shared" si="35"/>
        <v>1188.7959395618882</v>
      </c>
      <c r="BX28" s="2">
        <f t="shared" si="35"/>
        <v>1176.9079801662692</v>
      </c>
      <c r="BY28" s="2">
        <f t="shared" si="35"/>
        <v>1165.1389003646066</v>
      </c>
      <c r="BZ28" s="2">
        <f t="shared" si="35"/>
        <v>1153.4875113609605</v>
      </c>
      <c r="CA28" s="2">
        <f t="shared" si="35"/>
        <v>1141.9526362473509</v>
      </c>
      <c r="CB28" s="2">
        <f t="shared" si="35"/>
        <v>1130.5331098848774</v>
      </c>
      <c r="CC28" s="2">
        <f t="shared" si="35"/>
        <v>1119.2277787860287</v>
      </c>
      <c r="CD28" s="2">
        <f t="shared" si="35"/>
        <v>1108.0355009981683</v>
      </c>
      <c r="CE28" s="2">
        <f t="shared" si="35"/>
        <v>1096.9551459881866</v>
      </c>
      <c r="CF28" s="2">
        <f t="shared" si="35"/>
        <v>1085.9855945283048</v>
      </c>
      <c r="CG28" s="2">
        <f t="shared" si="35"/>
        <v>1075.1257385830218</v>
      </c>
      <c r="CH28" s="2">
        <f t="shared" si="35"/>
        <v>1064.3744811971915</v>
      </c>
      <c r="CI28" s="2">
        <f t="shared" si="35"/>
        <v>1053.7307363852196</v>
      </c>
      <c r="CJ28" s="2">
        <f t="shared" si="35"/>
        <v>1043.1934290213674</v>
      </c>
      <c r="CK28" s="2">
        <f t="shared" si="35"/>
        <v>1032.7614947311538</v>
      </c>
      <c r="CL28" s="2">
        <f t="shared" si="35"/>
        <v>1022.4338797838423</v>
      </c>
      <c r="CM28" s="2">
        <f t="shared" si="35"/>
        <v>1012.2095409860038</v>
      </c>
      <c r="CN28" s="2">
        <f t="shared" si="35"/>
        <v>1002.0874455761438</v>
      </c>
      <c r="CO28" s="2">
        <f t="shared" si="35"/>
        <v>992.06657112038226</v>
      </c>
      <c r="CP28" s="2">
        <f t="shared" si="35"/>
        <v>982.14590540917845</v>
      </c>
      <c r="CQ28" s="2">
        <f t="shared" si="35"/>
        <v>972.32444635508671</v>
      </c>
      <c r="CR28" s="2">
        <f t="shared" si="35"/>
        <v>962.60120189153588</v>
      </c>
      <c r="CS28" s="2">
        <f t="shared" si="35"/>
        <v>952.97518987262049</v>
      </c>
      <c r="CT28" s="2">
        <f t="shared" si="35"/>
        <v>943.44543797389429</v>
      </c>
      <c r="CU28" s="2">
        <f t="shared" si="35"/>
        <v>934.01098359415539</v>
      </c>
      <c r="CV28" s="2">
        <f t="shared" si="35"/>
        <v>924.67087375821382</v>
      </c>
      <c r="CW28" s="2">
        <f t="shared" si="35"/>
        <v>915.42416502063168</v>
      </c>
      <c r="CX28" s="2">
        <f t="shared" ref="CX28:EQ28" si="36">CW28*(1+$AM$33)</f>
        <v>906.26992337042532</v>
      </c>
      <c r="CY28" s="2">
        <f t="shared" si="36"/>
        <v>897.20722413672104</v>
      </c>
      <c r="CZ28" s="2">
        <f t="shared" si="36"/>
        <v>888.23515189535385</v>
      </c>
      <c r="DA28" s="2">
        <f t="shared" si="36"/>
        <v>879.3528003764003</v>
      </c>
      <c r="DB28" s="2">
        <f t="shared" si="36"/>
        <v>870.55927237263631</v>
      </c>
      <c r="DC28" s="2">
        <f t="shared" si="36"/>
        <v>861.85367964890997</v>
      </c>
      <c r="DD28" s="2">
        <f t="shared" si="36"/>
        <v>853.23514285242084</v>
      </c>
      <c r="DE28" s="2">
        <f t="shared" si="36"/>
        <v>844.70279142389666</v>
      </c>
      <c r="DF28" s="2">
        <f t="shared" si="36"/>
        <v>836.25576350965764</v>
      </c>
      <c r="DG28" s="2">
        <f t="shared" si="36"/>
        <v>827.89320587456109</v>
      </c>
      <c r="DH28" s="2">
        <f t="shared" si="36"/>
        <v>819.61427381581552</v>
      </c>
      <c r="DI28" s="2">
        <f t="shared" si="36"/>
        <v>811.41813107765734</v>
      </c>
      <c r="DJ28" s="2">
        <f t="shared" si="36"/>
        <v>803.30394976688081</v>
      </c>
      <c r="DK28" s="2">
        <f t="shared" si="36"/>
        <v>795.27091026921198</v>
      </c>
      <c r="DL28" s="2">
        <f t="shared" si="36"/>
        <v>787.31820116651988</v>
      </c>
      <c r="DM28" s="2">
        <f t="shared" si="36"/>
        <v>779.44501915485466</v>
      </c>
      <c r="DN28" s="2">
        <f t="shared" si="36"/>
        <v>771.65056896330611</v>
      </c>
      <c r="DO28" s="2">
        <f t="shared" si="36"/>
        <v>763.93406327367302</v>
      </c>
      <c r="DP28" s="2">
        <f t="shared" si="36"/>
        <v>756.29472264093624</v>
      </c>
      <c r="DQ28" s="2">
        <f t="shared" si="36"/>
        <v>748.73177541452685</v>
      </c>
      <c r="DR28" s="2">
        <f t="shared" si="36"/>
        <v>741.24445766038161</v>
      </c>
      <c r="DS28" s="2">
        <f t="shared" si="36"/>
        <v>733.83201308377784</v>
      </c>
      <c r="DT28" s="2">
        <f t="shared" si="36"/>
        <v>726.49369295294002</v>
      </c>
      <c r="DU28" s="2">
        <f t="shared" si="36"/>
        <v>719.2287560234106</v>
      </c>
      <c r="DV28" s="2">
        <f t="shared" si="36"/>
        <v>712.03646846317645</v>
      </c>
      <c r="DW28" s="2">
        <f t="shared" si="36"/>
        <v>704.91610377854465</v>
      </c>
      <c r="DX28" s="2">
        <f t="shared" si="36"/>
        <v>697.86694274075921</v>
      </c>
      <c r="DY28" s="2">
        <f t="shared" si="36"/>
        <v>690.88827331335165</v>
      </c>
      <c r="DZ28" s="2">
        <f t="shared" si="36"/>
        <v>683.97939058021814</v>
      </c>
      <c r="EA28" s="2">
        <f t="shared" si="36"/>
        <v>677.139596674416</v>
      </c>
      <c r="EB28" s="2">
        <f t="shared" si="36"/>
        <v>670.3682007076718</v>
      </c>
      <c r="EC28" s="2">
        <f t="shared" si="36"/>
        <v>663.66451870059507</v>
      </c>
      <c r="ED28" s="2">
        <f t="shared" si="36"/>
        <v>657.02787351358916</v>
      </c>
      <c r="EE28" s="2">
        <f t="shared" si="36"/>
        <v>650.45759477845331</v>
      </c>
      <c r="EF28" s="2">
        <f t="shared" si="36"/>
        <v>643.95301883066873</v>
      </c>
      <c r="EG28" s="2">
        <f t="shared" si="36"/>
        <v>637.51348864236206</v>
      </c>
      <c r="EH28" s="2">
        <f t="shared" si="36"/>
        <v>631.1383537559384</v>
      </c>
      <c r="EI28" s="2">
        <f t="shared" si="36"/>
        <v>624.82697021837896</v>
      </c>
      <c r="EJ28" s="2">
        <f t="shared" si="36"/>
        <v>618.57870051619511</v>
      </c>
      <c r="EK28" s="2">
        <f t="shared" si="36"/>
        <v>612.39291351103316</v>
      </c>
      <c r="EL28" s="2">
        <f t="shared" si="36"/>
        <v>606.26898437592286</v>
      </c>
      <c r="EM28" s="2">
        <f t="shared" si="36"/>
        <v>600.20629453216361</v>
      </c>
      <c r="EN28" s="2">
        <f t="shared" si="36"/>
        <v>594.20423158684196</v>
      </c>
      <c r="EO28" s="2">
        <f t="shared" si="36"/>
        <v>588.26218927097352</v>
      </c>
      <c r="EP28" s="2">
        <f t="shared" si="36"/>
        <v>582.3795673782638</v>
      </c>
      <c r="EQ28" s="2">
        <f t="shared" si="36"/>
        <v>576.55577170448112</v>
      </c>
    </row>
    <row r="29" spans="2:147" x14ac:dyDescent="0.3">
      <c r="B29" s="1" t="s">
        <v>2</v>
      </c>
      <c r="D29" s="6">
        <f>128.7</f>
        <v>128.69999999999999</v>
      </c>
      <c r="E29" s="6">
        <f>128.7</f>
        <v>128.69999999999999</v>
      </c>
      <c r="G29" s="6">
        <f t="shared" ref="G29:L29" si="37">128.7</f>
        <v>128.69999999999999</v>
      </c>
      <c r="H29" s="6">
        <f t="shared" si="37"/>
        <v>128.69999999999999</v>
      </c>
      <c r="I29" s="6">
        <f t="shared" si="37"/>
        <v>128.69999999999999</v>
      </c>
      <c r="J29" s="6">
        <f t="shared" si="37"/>
        <v>128.69999999999999</v>
      </c>
      <c r="K29" s="6">
        <f t="shared" si="37"/>
        <v>128.69999999999999</v>
      </c>
      <c r="L29" s="6">
        <f t="shared" si="37"/>
        <v>128.69999999999999</v>
      </c>
      <c r="M29" s="6">
        <f>127.9</f>
        <v>127.9</v>
      </c>
      <c r="N29" s="6">
        <v>127</v>
      </c>
      <c r="O29" s="6"/>
      <c r="P29" s="6"/>
      <c r="Q29" s="6"/>
      <c r="R29" s="6"/>
      <c r="T29" s="6">
        <f t="shared" ref="T29:Y29" si="38">128.7</f>
        <v>128.69999999999999</v>
      </c>
      <c r="U29" s="6">
        <f t="shared" si="38"/>
        <v>128.69999999999999</v>
      </c>
      <c r="V29" s="6">
        <f t="shared" si="38"/>
        <v>128.69999999999999</v>
      </c>
      <c r="W29" s="6">
        <f t="shared" si="38"/>
        <v>128.69999999999999</v>
      </c>
      <c r="X29" s="6">
        <f t="shared" si="38"/>
        <v>128.69999999999999</v>
      </c>
      <c r="Y29" s="6">
        <f t="shared" si="38"/>
        <v>128.69999999999999</v>
      </c>
      <c r="Z29" s="6">
        <v>127</v>
      </c>
      <c r="AA29" s="6">
        <v>127</v>
      </c>
      <c r="AB29" s="6">
        <v>127</v>
      </c>
      <c r="AC29" s="6">
        <v>127</v>
      </c>
      <c r="AD29" s="6">
        <v>127</v>
      </c>
      <c r="AE29" s="6">
        <v>127</v>
      </c>
      <c r="AF29" s="6">
        <v>127</v>
      </c>
      <c r="AG29" s="6">
        <v>127</v>
      </c>
      <c r="AH29" s="6">
        <v>127</v>
      </c>
      <c r="AI29" s="6">
        <v>127</v>
      </c>
      <c r="AJ29" s="6">
        <v>127</v>
      </c>
    </row>
    <row r="30" spans="2:147" x14ac:dyDescent="0.3">
      <c r="B30" s="1" t="s">
        <v>37</v>
      </c>
      <c r="D30" s="8">
        <f>D28/D29</f>
        <v>1.6083916083916086</v>
      </c>
      <c r="E30" s="8">
        <f>E28/E29</f>
        <v>-3.1002331002331007</v>
      </c>
      <c r="G30" s="8">
        <f t="shared" ref="G30:L30" si="39">G28/G29</f>
        <v>2.2066822066822067</v>
      </c>
      <c r="H30" s="8">
        <f t="shared" si="39"/>
        <v>2.5019425019425023</v>
      </c>
      <c r="I30" s="8">
        <f t="shared" si="39"/>
        <v>2.8282828282828287</v>
      </c>
      <c r="J30" s="8">
        <f t="shared" si="39"/>
        <v>2.2066822066822067</v>
      </c>
      <c r="K30" s="8">
        <f t="shared" si="39"/>
        <v>2.8205128205128207</v>
      </c>
      <c r="L30" s="8">
        <f t="shared" si="39"/>
        <v>3.0380730380730383</v>
      </c>
      <c r="M30" s="8">
        <f t="shared" ref="M30:N30" si="40">M28/M29</f>
        <v>2.8694292415949958</v>
      </c>
      <c r="N30" s="8">
        <f t="shared" si="40"/>
        <v>2.5748031496062991</v>
      </c>
      <c r="O30" s="8"/>
      <c r="P30" s="8"/>
      <c r="Q30" s="8"/>
      <c r="R30" s="8"/>
      <c r="T30" s="8">
        <f t="shared" ref="T30:AA30" si="41">T28/T29</f>
        <v>5.1825951825951835</v>
      </c>
      <c r="U30" s="8">
        <f t="shared" si="41"/>
        <v>4.8795648795648798</v>
      </c>
      <c r="V30" s="8">
        <f t="shared" si="41"/>
        <v>5.8508158508158514</v>
      </c>
      <c r="W30" s="8">
        <f t="shared" si="41"/>
        <v>5.3224553224553226</v>
      </c>
      <c r="X30" s="8">
        <f t="shared" si="41"/>
        <v>1.5462315462315463</v>
      </c>
      <c r="Y30" s="8">
        <f t="shared" si="41"/>
        <v>9.7435897435897445</v>
      </c>
      <c r="Z30" s="8">
        <f t="shared" si="41"/>
        <v>11.401574803149606</v>
      </c>
      <c r="AA30" s="8">
        <f t="shared" si="41"/>
        <v>11.948760566929131</v>
      </c>
      <c r="AB30" s="8">
        <f t="shared" ref="AB30:AJ30" si="42">AB28/AB29</f>
        <v>12.371208565039369</v>
      </c>
      <c r="AC30" s="8">
        <f t="shared" si="42"/>
        <v>12.807587661675589</v>
      </c>
      <c r="AD30" s="8">
        <f t="shared" si="42"/>
        <v>13.053534738355562</v>
      </c>
      <c r="AE30" s="8">
        <f t="shared" si="42"/>
        <v>13.30407212812786</v>
      </c>
      <c r="AF30" s="8">
        <f t="shared" si="42"/>
        <v>13.413074799430698</v>
      </c>
      <c r="AG30" s="8">
        <f t="shared" si="42"/>
        <v>13.522446355947215</v>
      </c>
      <c r="AH30" s="8">
        <f t="shared" si="42"/>
        <v>13.632168852284565</v>
      </c>
      <c r="AI30" s="8">
        <f t="shared" si="42"/>
        <v>13.742223514568618</v>
      </c>
      <c r="AJ30" s="8">
        <f t="shared" si="42"/>
        <v>13.852590712688354</v>
      </c>
    </row>
    <row r="32" spans="2:147" x14ac:dyDescent="0.3">
      <c r="B32" s="1" t="s">
        <v>40</v>
      </c>
      <c r="D32" s="10"/>
      <c r="E32" s="10"/>
      <c r="F32" s="10"/>
      <c r="G32" s="10"/>
      <c r="H32" s="10">
        <f t="shared" ref="H32:I32" si="43">H13/D13-1</f>
        <v>7.6602397081813489E-2</v>
      </c>
      <c r="I32" s="10">
        <f t="shared" si="43"/>
        <v>6.8604947717419096E-2</v>
      </c>
      <c r="J32" s="10"/>
      <c r="K32" s="10">
        <f>K13/G13-1</f>
        <v>6.7924528301886777E-2</v>
      </c>
      <c r="L32" s="10">
        <f t="shared" ref="L32:N32" si="44">L13/H13-1</f>
        <v>2.9283639883833423E-2</v>
      </c>
      <c r="M32" s="10">
        <f t="shared" si="44"/>
        <v>6.658711217183777E-2</v>
      </c>
      <c r="N32" s="10">
        <f t="shared" si="44"/>
        <v>-3.6197021764032056E-2</v>
      </c>
      <c r="O32" s="10"/>
      <c r="P32" s="10"/>
      <c r="Q32" s="10"/>
      <c r="R32" s="10"/>
      <c r="T32" s="10"/>
      <c r="U32" s="10">
        <f>U13/T13-1</f>
        <v>0.10843699296917242</v>
      </c>
      <c r="V32" s="10">
        <f t="shared" ref="V32:AJ32" si="45">V13/U13-1</f>
        <v>0.11710173212978781</v>
      </c>
      <c r="W32" s="10">
        <f t="shared" si="45"/>
        <v>4.797262866710339E-2</v>
      </c>
      <c r="X32" s="10">
        <f t="shared" si="45"/>
        <v>7.2381217004723553E-2</v>
      </c>
      <c r="Y32" s="10">
        <f t="shared" si="45"/>
        <v>7.9284881461329171E-2</v>
      </c>
      <c r="Z32" s="10">
        <f t="shared" si="45"/>
        <v>3.0728604009122584E-2</v>
      </c>
      <c r="AA32" s="10">
        <f t="shared" si="45"/>
        <v>3.0000000000000027E-2</v>
      </c>
      <c r="AB32" s="10">
        <f t="shared" si="45"/>
        <v>3.0000000000000027E-2</v>
      </c>
      <c r="AC32" s="10">
        <f t="shared" si="45"/>
        <v>3.0000000000000027E-2</v>
      </c>
      <c r="AD32" s="10">
        <f t="shared" si="45"/>
        <v>2.0000000000000018E-2</v>
      </c>
      <c r="AE32" s="10">
        <f t="shared" si="45"/>
        <v>2.0000000000000018E-2</v>
      </c>
      <c r="AF32" s="10">
        <f t="shared" si="45"/>
        <v>1.0000000000000009E-2</v>
      </c>
      <c r="AG32" s="10">
        <f t="shared" si="45"/>
        <v>1.0000000000000009E-2</v>
      </c>
      <c r="AH32" s="10">
        <f t="shared" si="45"/>
        <v>1.0000000000000009E-2</v>
      </c>
      <c r="AI32" s="10">
        <f t="shared" si="45"/>
        <v>1.0000000000000009E-2</v>
      </c>
      <c r="AJ32" s="10">
        <f t="shared" si="45"/>
        <v>1.0000000000000009E-2</v>
      </c>
    </row>
    <row r="33" spans="2:39" x14ac:dyDescent="0.3">
      <c r="B33" s="1" t="s">
        <v>41</v>
      </c>
      <c r="D33" s="10">
        <f t="shared" ref="D33:J33" si="46">D15/D13</f>
        <v>0.14773319437206878</v>
      </c>
      <c r="E33" s="10">
        <f t="shared" si="46"/>
        <v>0.14970670747258352</v>
      </c>
      <c r="F33" s="10"/>
      <c r="G33" s="10">
        <f t="shared" si="46"/>
        <v>0.16050314465408805</v>
      </c>
      <c r="H33" s="10">
        <f t="shared" si="46"/>
        <v>0.17061955469506293</v>
      </c>
      <c r="I33" s="10">
        <f t="shared" si="46"/>
        <v>0.18186157517899762</v>
      </c>
      <c r="J33" s="10">
        <f t="shared" si="46"/>
        <v>0.15876288659793814</v>
      </c>
      <c r="K33" s="10">
        <f>K15/K13</f>
        <v>0.17832744405182568</v>
      </c>
      <c r="L33" s="10">
        <f t="shared" ref="L33:N33" si="47">L15/L13</f>
        <v>0.1838702092640489</v>
      </c>
      <c r="M33" s="10">
        <f t="shared" si="47"/>
        <v>0.18371000223763706</v>
      </c>
      <c r="N33" s="10">
        <f t="shared" si="47"/>
        <v>0.17565961492750179</v>
      </c>
      <c r="O33" s="10"/>
      <c r="P33" s="10"/>
      <c r="Q33" s="10"/>
      <c r="R33" s="10"/>
      <c r="T33" s="10">
        <f>T15/T13</f>
        <v>0.13953488372093023</v>
      </c>
      <c r="U33" s="10">
        <f>U15/U13</f>
        <v>0.14125396438155649</v>
      </c>
      <c r="V33" s="10">
        <f t="shared" ref="V33:AJ33" si="48">V15/V13</f>
        <v>0.14661134163208853</v>
      </c>
      <c r="W33" s="10">
        <f t="shared" si="48"/>
        <v>0.14476243400944708</v>
      </c>
      <c r="X33" s="10">
        <f t="shared" si="48"/>
        <v>0.14535561601243685</v>
      </c>
      <c r="Y33" s="10">
        <f t="shared" si="48"/>
        <v>0.16792701956547834</v>
      </c>
      <c r="Z33" s="10">
        <f t="shared" si="48"/>
        <v>0.18044718760917666</v>
      </c>
      <c r="AA33" s="10">
        <f t="shared" si="48"/>
        <v>0.18</v>
      </c>
      <c r="AB33" s="10">
        <f t="shared" si="48"/>
        <v>0.18</v>
      </c>
      <c r="AC33" s="10">
        <f t="shared" si="48"/>
        <v>0.18</v>
      </c>
      <c r="AD33" s="10">
        <f t="shared" si="48"/>
        <v>0.18</v>
      </c>
      <c r="AE33" s="10">
        <f t="shared" si="48"/>
        <v>0.18</v>
      </c>
      <c r="AF33" s="10">
        <f t="shared" si="48"/>
        <v>0.18</v>
      </c>
      <c r="AG33" s="10">
        <f t="shared" si="48"/>
        <v>0.18</v>
      </c>
      <c r="AH33" s="10">
        <f t="shared" si="48"/>
        <v>0.18</v>
      </c>
      <c r="AI33" s="10">
        <f t="shared" si="48"/>
        <v>0.18</v>
      </c>
      <c r="AJ33" s="10">
        <f t="shared" si="48"/>
        <v>0.18</v>
      </c>
      <c r="AL33" s="1" t="s">
        <v>46</v>
      </c>
      <c r="AM33" s="10">
        <v>-0.01</v>
      </c>
    </row>
    <row r="34" spans="2:39" x14ac:dyDescent="0.3">
      <c r="B34" s="1" t="s">
        <v>42</v>
      </c>
      <c r="D34" s="10"/>
      <c r="E34" s="10"/>
      <c r="F34" s="10"/>
      <c r="G34" s="10"/>
      <c r="H34" s="10">
        <f t="shared" ref="H34:I34" si="49">H16/D16-1</f>
        <v>-2.5316455696202556E-2</v>
      </c>
      <c r="I34" s="10">
        <f t="shared" si="49"/>
        <v>3.3472803347280422E-2</v>
      </c>
      <c r="J34" s="10"/>
      <c r="K34" s="10">
        <f>K16/G16-1</f>
        <v>1.7699115044247815E-2</v>
      </c>
      <c r="L34" s="10">
        <f t="shared" ref="L34:N34" si="50">L16/H16-1</f>
        <v>-6.0606060606060552E-2</v>
      </c>
      <c r="M34" s="10">
        <f t="shared" si="50"/>
        <v>0.15789473684210531</v>
      </c>
      <c r="N34" s="10">
        <f t="shared" si="50"/>
        <v>-4.6594982078853042E-2</v>
      </c>
      <c r="O34" s="10"/>
      <c r="P34" s="10"/>
      <c r="Q34" s="10"/>
      <c r="R34" s="10"/>
      <c r="T34" s="10"/>
      <c r="U34" s="10">
        <f>U16/T16-1</f>
        <v>8.1664098613251079E-2</v>
      </c>
      <c r="V34" s="10">
        <f t="shared" ref="V34:AJ34" si="51">V16/U16-1</f>
        <v>0.21225071225071224</v>
      </c>
      <c r="W34" s="10">
        <f t="shared" si="51"/>
        <v>0.11750881316098716</v>
      </c>
      <c r="X34" s="10">
        <f t="shared" si="51"/>
        <v>-9.4637223974763929E-3</v>
      </c>
      <c r="Y34" s="10">
        <f t="shared" si="51"/>
        <v>4.3524416135881205E-2</v>
      </c>
      <c r="Z34" s="10">
        <f t="shared" si="51"/>
        <v>1.6276703967446515E-2</v>
      </c>
      <c r="AA34" s="10">
        <f t="shared" si="51"/>
        <v>2.0000000000000018E-2</v>
      </c>
      <c r="AB34" s="10">
        <f t="shared" si="51"/>
        <v>2.0000000000000018E-2</v>
      </c>
      <c r="AC34" s="10">
        <f t="shared" si="51"/>
        <v>2.0000000000000018E-2</v>
      </c>
      <c r="AD34" s="10">
        <f t="shared" si="51"/>
        <v>2.0000000000000018E-2</v>
      </c>
      <c r="AE34" s="10">
        <f t="shared" si="51"/>
        <v>2.0000000000000018E-2</v>
      </c>
      <c r="AF34" s="10">
        <f t="shared" si="51"/>
        <v>1.0000000000000009E-2</v>
      </c>
      <c r="AG34" s="10">
        <f t="shared" si="51"/>
        <v>1.0000000000000009E-2</v>
      </c>
      <c r="AH34" s="10">
        <f t="shared" si="51"/>
        <v>1.0000000000000009E-2</v>
      </c>
      <c r="AI34" s="10">
        <f t="shared" si="51"/>
        <v>1.0000000000000009E-2</v>
      </c>
      <c r="AJ34" s="10">
        <f t="shared" si="51"/>
        <v>1.0000000000000009E-2</v>
      </c>
      <c r="AL34" s="1" t="s">
        <v>47</v>
      </c>
      <c r="AM34" s="10">
        <v>0.08</v>
      </c>
    </row>
    <row r="35" spans="2:39" x14ac:dyDescent="0.3">
      <c r="B35" s="1" t="s">
        <v>43</v>
      </c>
      <c r="D35" s="10">
        <f t="shared" ref="D35:J35" si="52">D16/D13</f>
        <v>6.175091193329859E-2</v>
      </c>
      <c r="E35" s="10">
        <f t="shared" si="52"/>
        <v>6.0953838306554452E-2</v>
      </c>
      <c r="F35" s="10"/>
      <c r="G35" s="10">
        <f t="shared" si="52"/>
        <v>5.6855345911949684E-2</v>
      </c>
      <c r="H35" s="10">
        <f t="shared" si="52"/>
        <v>5.5905130687318491E-2</v>
      </c>
      <c r="I35" s="10">
        <f t="shared" si="52"/>
        <v>5.8949880668257758E-2</v>
      </c>
      <c r="J35" s="10">
        <f t="shared" si="52"/>
        <v>6.3917525773195871E-2</v>
      </c>
      <c r="K35" s="10">
        <f>K16/K13</f>
        <v>5.418138987043581E-2</v>
      </c>
      <c r="L35" s="10">
        <f t="shared" ref="L35:N35" si="53">L16/L13</f>
        <v>5.1022807430049374E-2</v>
      </c>
      <c r="M35" s="10">
        <f t="shared" si="53"/>
        <v>6.3996419780711564E-2</v>
      </c>
      <c r="N35" s="10">
        <f t="shared" si="53"/>
        <v>6.3227953410981697E-2</v>
      </c>
      <c r="O35" s="10"/>
      <c r="P35" s="10"/>
      <c r="Q35" s="10"/>
      <c r="R35" s="10"/>
      <c r="T35" s="10">
        <f>T16/T13</f>
        <v>5.8500090138813771E-2</v>
      </c>
      <c r="U35" s="10">
        <f>U16/U13</f>
        <v>5.7087094413271533E-2</v>
      </c>
      <c r="V35" s="10">
        <f t="shared" ref="V35:AJ35" si="54">V16/V13</f>
        <v>6.1949479507898378E-2</v>
      </c>
      <c r="W35" s="10">
        <f t="shared" si="54"/>
        <v>6.6060016671297586E-2</v>
      </c>
      <c r="X35" s="10">
        <f t="shared" si="54"/>
        <v>6.1018266614846481E-2</v>
      </c>
      <c r="Y35" s="10">
        <f t="shared" si="54"/>
        <v>5.8996519025327092E-2</v>
      </c>
      <c r="Z35" s="10">
        <f t="shared" si="54"/>
        <v>5.8169325724933038E-2</v>
      </c>
      <c r="AA35" s="10">
        <f t="shared" si="54"/>
        <v>5.7604574989739511E-2</v>
      </c>
      <c r="AB35" s="10">
        <f t="shared" si="54"/>
        <v>5.704530727139253E-2</v>
      </c>
      <c r="AC35" s="10">
        <f t="shared" si="54"/>
        <v>5.6491469336718815E-2</v>
      </c>
      <c r="AD35" s="10">
        <f t="shared" si="54"/>
        <v>5.6491469336718808E-2</v>
      </c>
      <c r="AE35" s="10">
        <f t="shared" si="54"/>
        <v>5.6491469336718815E-2</v>
      </c>
      <c r="AF35" s="10">
        <f t="shared" si="54"/>
        <v>5.6491469336718822E-2</v>
      </c>
      <c r="AG35" s="10">
        <f t="shared" si="54"/>
        <v>5.6491469336718815E-2</v>
      </c>
      <c r="AH35" s="10">
        <f t="shared" si="54"/>
        <v>5.6491469336718815E-2</v>
      </c>
      <c r="AI35" s="10">
        <f t="shared" si="54"/>
        <v>5.6491469336718822E-2</v>
      </c>
      <c r="AJ35" s="10">
        <f t="shared" si="54"/>
        <v>5.6491469336718815E-2</v>
      </c>
      <c r="AL35" s="1" t="s">
        <v>48</v>
      </c>
      <c r="AM35" s="6">
        <f>NPV(AM34,Z28:EQ28)</f>
        <v>19927.575722691061</v>
      </c>
    </row>
    <row r="36" spans="2:39" x14ac:dyDescent="0.3">
      <c r="B36" s="1" t="s">
        <v>44</v>
      </c>
      <c r="D36" s="10">
        <f t="shared" ref="D36:J36" si="55">D20/D13</f>
        <v>8.4418968212610732E-2</v>
      </c>
      <c r="E36" s="10">
        <f t="shared" si="55"/>
        <v>-8.7732721244580467E-2</v>
      </c>
      <c r="F36" s="10"/>
      <c r="G36" s="10">
        <f t="shared" si="55"/>
        <v>0.10264150943396226</v>
      </c>
      <c r="H36" s="10">
        <f t="shared" si="55"/>
        <v>0.11302032913843175</v>
      </c>
      <c r="I36" s="10">
        <f t="shared" si="55"/>
        <v>0.12076372315035799</v>
      </c>
      <c r="J36" s="10">
        <f t="shared" si="55"/>
        <v>9.3241695303550975E-2</v>
      </c>
      <c r="K36" s="10">
        <f>K20/K13</f>
        <v>0.1232037691401649</v>
      </c>
      <c r="L36" s="10">
        <f t="shared" ref="L36:N36" si="56">L20/L13</f>
        <v>0.13237714554432164</v>
      </c>
      <c r="M36" s="10">
        <f t="shared" si="56"/>
        <v>0.11792347281270978</v>
      </c>
      <c r="N36" s="10">
        <f t="shared" si="56"/>
        <v>0.11029236985975754</v>
      </c>
      <c r="O36" s="10"/>
      <c r="P36" s="10"/>
      <c r="Q36" s="10"/>
      <c r="R36" s="10"/>
      <c r="T36" s="10">
        <f>T20/T13</f>
        <v>8.0584099513250407E-2</v>
      </c>
      <c r="U36" s="10">
        <f>U20/U13</f>
        <v>8.0019516955354961E-2</v>
      </c>
      <c r="V36" s="10">
        <f t="shared" ref="V36:AJ36" si="57">V20/V13</f>
        <v>8.2405183082186792E-2</v>
      </c>
      <c r="W36" s="10">
        <f t="shared" si="57"/>
        <v>7.4742984162267295E-2</v>
      </c>
      <c r="X36" s="10">
        <f t="shared" si="57"/>
        <v>3.8282160901671199E-2</v>
      </c>
      <c r="Y36" s="10">
        <f t="shared" si="57"/>
        <v>0.10731004681310767</v>
      </c>
      <c r="Z36" s="10">
        <f t="shared" si="57"/>
        <v>0.12093862815884476</v>
      </c>
      <c r="AA36" s="10">
        <f t="shared" si="57"/>
        <v>0.12136768042909747</v>
      </c>
      <c r="AB36" s="10">
        <f t="shared" si="57"/>
        <v>0.12194690435290396</v>
      </c>
      <c r="AC36" s="10">
        <f t="shared" si="57"/>
        <v>0.122520310993902</v>
      </c>
      <c r="AD36" s="10">
        <f t="shared" si="57"/>
        <v>0.12252999942203317</v>
      </c>
      <c r="AE36" s="10">
        <f t="shared" si="57"/>
        <v>0.12253959286557481</v>
      </c>
      <c r="AF36" s="10">
        <f t="shared" si="57"/>
        <v>0.12253959286557481</v>
      </c>
      <c r="AG36" s="10">
        <f t="shared" si="57"/>
        <v>0.1225395928655748</v>
      </c>
      <c r="AH36" s="10">
        <f t="shared" si="57"/>
        <v>0.12253959286557481</v>
      </c>
      <c r="AI36" s="10">
        <f t="shared" si="57"/>
        <v>0.12253959286557481</v>
      </c>
      <c r="AJ36" s="10">
        <f t="shared" si="57"/>
        <v>0.12253959286557482</v>
      </c>
      <c r="AL36" s="1" t="s">
        <v>49</v>
      </c>
      <c r="AM36" s="6">
        <f>Main!D8</f>
        <v>-3540</v>
      </c>
    </row>
    <row r="37" spans="2:39" x14ac:dyDescent="0.3">
      <c r="B37" s="1" t="s">
        <v>34</v>
      </c>
      <c r="D37" s="10">
        <f t="shared" ref="D37:J37" si="58">D26/D25</f>
        <v>0.23357664233576642</v>
      </c>
      <c r="E37" s="10">
        <f t="shared" si="58"/>
        <v>-2.0618556701030927E-2</v>
      </c>
      <c r="F37" s="10"/>
      <c r="G37" s="10">
        <f t="shared" si="58"/>
        <v>0.23097826086956522</v>
      </c>
      <c r="H37" s="10">
        <f t="shared" si="58"/>
        <v>0.23943661971830985</v>
      </c>
      <c r="I37" s="10">
        <f t="shared" si="58"/>
        <v>0.22978723404255319</v>
      </c>
      <c r="J37" s="10">
        <f t="shared" si="58"/>
        <v>0.248</v>
      </c>
      <c r="K37" s="10">
        <f>K26/K25</f>
        <v>0.23640167364016737</v>
      </c>
      <c r="L37" s="10">
        <f t="shared" ref="L37:N37" si="59">L26/L25</f>
        <v>0.2413127413127413</v>
      </c>
      <c r="M37" s="10">
        <f t="shared" si="59"/>
        <v>0.23760330578512398</v>
      </c>
      <c r="N37" s="10">
        <f t="shared" si="59"/>
        <v>0.21911421911421911</v>
      </c>
      <c r="O37" s="10"/>
      <c r="P37" s="10"/>
      <c r="Q37" s="10"/>
      <c r="R37" s="10"/>
      <c r="T37" s="10">
        <f>T26/T25</f>
        <v>0.22632794457274827</v>
      </c>
      <c r="U37" s="10">
        <f>U26/U25</f>
        <v>0.1946222791293214</v>
      </c>
      <c r="V37" s="10">
        <f t="shared" ref="V37:AJ37" si="60">V26/V25</f>
        <v>0.21509824198552224</v>
      </c>
      <c r="W37" s="10">
        <f t="shared" si="60"/>
        <v>0.21783295711060949</v>
      </c>
      <c r="X37" s="10">
        <f t="shared" si="60"/>
        <v>0.4838709677419355</v>
      </c>
      <c r="Y37" s="10">
        <f t="shared" si="60"/>
        <v>0.23672971323978034</v>
      </c>
      <c r="Z37" s="10">
        <f t="shared" si="60"/>
        <v>0.23415400733368255</v>
      </c>
      <c r="AA37" s="10">
        <f t="shared" si="60"/>
        <v>0.23</v>
      </c>
      <c r="AB37" s="10">
        <f t="shared" si="60"/>
        <v>0.23</v>
      </c>
      <c r="AC37" s="10">
        <f t="shared" si="60"/>
        <v>0.23</v>
      </c>
      <c r="AD37" s="10">
        <f t="shared" si="60"/>
        <v>0.23</v>
      </c>
      <c r="AE37" s="10">
        <f t="shared" si="60"/>
        <v>0.23</v>
      </c>
      <c r="AF37" s="10">
        <f t="shared" si="60"/>
        <v>0.23</v>
      </c>
      <c r="AG37" s="10">
        <f t="shared" si="60"/>
        <v>0.22999999999999998</v>
      </c>
      <c r="AH37" s="10">
        <f t="shared" si="60"/>
        <v>0.22999999999999998</v>
      </c>
      <c r="AI37" s="10">
        <f t="shared" si="60"/>
        <v>0.23</v>
      </c>
      <c r="AJ37" s="10">
        <f t="shared" si="60"/>
        <v>0.23</v>
      </c>
      <c r="AL37" s="1" t="s">
        <v>50</v>
      </c>
      <c r="AM37" s="6">
        <f>AM35+AM36</f>
        <v>16387.575722691061</v>
      </c>
    </row>
    <row r="38" spans="2:39" x14ac:dyDescent="0.3">
      <c r="B38" s="1" t="s">
        <v>45</v>
      </c>
      <c r="D38" s="10">
        <f t="shared" ref="D38:J38" si="61">D28/D13</f>
        <v>5.3934340802501306E-2</v>
      </c>
      <c r="E38" s="10">
        <f t="shared" si="61"/>
        <v>-0.10175975516449885</v>
      </c>
      <c r="F38" s="10"/>
      <c r="G38" s="10">
        <f t="shared" si="61"/>
        <v>7.1446540880503145E-2</v>
      </c>
      <c r="H38" s="10">
        <f t="shared" si="61"/>
        <v>7.7928363988383348E-2</v>
      </c>
      <c r="I38" s="10">
        <f t="shared" si="61"/>
        <v>8.6873508353221954E-2</v>
      </c>
      <c r="J38" s="10">
        <f t="shared" si="61"/>
        <v>6.5063001145475377E-2</v>
      </c>
      <c r="K38" s="10">
        <f>K28/K13</f>
        <v>8.5512367491166072E-2</v>
      </c>
      <c r="L38" s="10">
        <f t="shared" ref="L38:N38" si="62">L28/L13</f>
        <v>9.193510463202445E-2</v>
      </c>
      <c r="M38" s="10">
        <f t="shared" si="62"/>
        <v>8.2121279928395616E-2</v>
      </c>
      <c r="N38" s="10">
        <f t="shared" si="62"/>
        <v>7.7727596862372239E-2</v>
      </c>
      <c r="O38" s="10"/>
      <c r="P38" s="10"/>
      <c r="Q38" s="10"/>
      <c r="R38" s="10"/>
      <c r="T38" s="10">
        <f>T28/T13</f>
        <v>6.0122588786731566E-2</v>
      </c>
      <c r="U38" s="10">
        <f>U28/U13</f>
        <v>5.1069366512157439E-2</v>
      </c>
      <c r="V38" s="10">
        <f t="shared" ref="V38:AJ38" si="63">V28/V13</f>
        <v>5.4815461891242631E-2</v>
      </c>
      <c r="W38" s="10">
        <f t="shared" si="63"/>
        <v>4.7582661850514033E-2</v>
      </c>
      <c r="X38" s="10">
        <f t="shared" si="63"/>
        <v>1.28902707604612E-2</v>
      </c>
      <c r="Y38" s="10">
        <f t="shared" si="63"/>
        <v>7.5261073100468132E-2</v>
      </c>
      <c r="Z38" s="10">
        <f t="shared" si="63"/>
        <v>8.4313497146849894E-2</v>
      </c>
      <c r="AA38" s="10">
        <f t="shared" si="63"/>
        <v>8.5786291990262969E-2</v>
      </c>
      <c r="AB38" s="10">
        <f t="shared" si="63"/>
        <v>8.6232294411593968E-2</v>
      </c>
      <c r="AC38" s="10">
        <f t="shared" si="63"/>
        <v>8.6673817525162455E-2</v>
      </c>
      <c r="AD38" s="10">
        <f t="shared" si="63"/>
        <v>8.6606112693841691E-2</v>
      </c>
      <c r="AE38" s="10">
        <f t="shared" si="63"/>
        <v>8.6537597813396941E-2</v>
      </c>
      <c r="AF38" s="10">
        <f t="shared" si="63"/>
        <v>8.6382788136305927E-2</v>
      </c>
      <c r="AG38" s="10">
        <f t="shared" si="63"/>
        <v>8.6224912921054719E-2</v>
      </c>
      <c r="AH38" s="10">
        <f t="shared" si="63"/>
        <v>8.6063911463917342E-2</v>
      </c>
      <c r="AI38" s="10">
        <f t="shared" si="63"/>
        <v>8.5899721859113862E-2</v>
      </c>
      <c r="AJ38" s="10">
        <f t="shared" si="63"/>
        <v>8.5732280975007347E-2</v>
      </c>
      <c r="AL38" s="1" t="s">
        <v>51</v>
      </c>
      <c r="AM38" s="5">
        <f>AM37/AJ29-1</f>
        <v>128.03602931252803</v>
      </c>
    </row>
    <row r="39" spans="2:39" x14ac:dyDescent="0.3">
      <c r="AL39" s="1" t="s">
        <v>52</v>
      </c>
      <c r="AM39" s="5">
        <f>Main!D3</f>
        <v>172.3</v>
      </c>
    </row>
    <row r="40" spans="2:39" x14ac:dyDescent="0.3">
      <c r="AL40" s="2" t="s">
        <v>53</v>
      </c>
      <c r="AM40" s="11">
        <f>AM38/AM39-1</f>
        <v>-0.25690058437302365</v>
      </c>
    </row>
    <row r="41" spans="2:39" x14ac:dyDescent="0.3">
      <c r="AL41" s="1" t="s">
        <v>54</v>
      </c>
      <c r="AM41" s="7" t="s">
        <v>55</v>
      </c>
    </row>
    <row r="42" spans="2:39" s="12" customFormat="1" x14ac:dyDescent="0.3">
      <c r="B42" s="12" t="s">
        <v>56</v>
      </c>
      <c r="L42" s="14">
        <f>13549</f>
        <v>13549</v>
      </c>
      <c r="M42" s="14">
        <v>13542</v>
      </c>
      <c r="N42" s="14">
        <v>13542</v>
      </c>
      <c r="Z42" s="14">
        <v>13542</v>
      </c>
    </row>
    <row r="44" spans="2:39" x14ac:dyDescent="0.3">
      <c r="B44" s="1" t="s">
        <v>57</v>
      </c>
      <c r="L44" s="13"/>
      <c r="Z44" s="13">
        <f>Main!$D$9/Model!Z42</f>
        <v>1.8772780977699013</v>
      </c>
    </row>
    <row r="45" spans="2:39" x14ac:dyDescent="0.3">
      <c r="B45" s="1" t="s">
        <v>58</v>
      </c>
      <c r="L45" s="10"/>
      <c r="Z45" s="10">
        <f>Z42/Main!$D$9-1</f>
        <v>-0.46731387257543633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2025-07-30T17:46:39Z</dcterms:created>
  <dcterms:modified xsi:type="dcterms:W3CDTF">2026-02-19T08:59:17Z</dcterms:modified>
</cp:coreProperties>
</file>