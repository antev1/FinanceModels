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A07593CC-4F62-4C71-B08E-9E5F6108365D}" xr6:coauthVersionLast="47" xr6:coauthVersionMax="47" xr10:uidLastSave="{00000000-0000-0000-0000-000000000000}"/>
  <bookViews>
    <workbookView xWindow="-108" yWindow="-108" windowWidth="23256" windowHeight="12576" xr2:uid="{0C5083B5-BD04-437F-9545-422299EC636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5" i="2" l="1"/>
  <c r="AE15" i="2"/>
  <c r="AD15" i="2"/>
  <c r="AC15" i="2"/>
  <c r="AB15" i="2"/>
  <c r="AA15" i="2"/>
  <c r="Z15" i="2"/>
  <c r="Y15" i="2"/>
  <c r="X15" i="2"/>
  <c r="W15" i="2"/>
  <c r="V7" i="2"/>
  <c r="I7" i="2"/>
  <c r="M7" i="2"/>
  <c r="V45" i="2"/>
  <c r="V44" i="2"/>
  <c r="M15" i="2"/>
  <c r="I13" i="2"/>
  <c r="I32" i="2" s="1"/>
  <c r="D7" i="1"/>
  <c r="D8" i="1"/>
  <c r="AI36" i="2" s="1"/>
  <c r="D6" i="1"/>
  <c r="AF29" i="2"/>
  <c r="AE29" i="2"/>
  <c r="AD29" i="2"/>
  <c r="AC29" i="2"/>
  <c r="AB29" i="2"/>
  <c r="AA29" i="2"/>
  <c r="Z29" i="2"/>
  <c r="Y29" i="2"/>
  <c r="X29" i="2"/>
  <c r="W29" i="2"/>
  <c r="V29" i="2"/>
  <c r="N29" i="2"/>
  <c r="M29" i="2"/>
  <c r="D4" i="1"/>
  <c r="L42" i="2"/>
  <c r="M19" i="2"/>
  <c r="L15" i="2"/>
  <c r="L33" i="2" s="1"/>
  <c r="AI39" i="2"/>
  <c r="L29" i="2"/>
  <c r="L24" i="2"/>
  <c r="L19" i="2"/>
  <c r="L34" i="2"/>
  <c r="V27" i="2"/>
  <c r="V23" i="2"/>
  <c r="V22" i="2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V18" i="2"/>
  <c r="V17" i="2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L32" i="2"/>
  <c r="U35" i="2"/>
  <c r="T35" i="2"/>
  <c r="S35" i="2"/>
  <c r="U34" i="2"/>
  <c r="T34" i="2"/>
  <c r="U32" i="2"/>
  <c r="T32" i="2"/>
  <c r="S32" i="2"/>
  <c r="R32" i="2"/>
  <c r="Q32" i="2"/>
  <c r="L35" i="2"/>
  <c r="M34" i="2"/>
  <c r="H35" i="2"/>
  <c r="G35" i="2"/>
  <c r="E35" i="2"/>
  <c r="D35" i="2"/>
  <c r="I34" i="2"/>
  <c r="H34" i="2"/>
  <c r="H32" i="2"/>
  <c r="K35" i="2"/>
  <c r="K34" i="2"/>
  <c r="K32" i="2"/>
  <c r="J27" i="2"/>
  <c r="J26" i="2"/>
  <c r="J23" i="2"/>
  <c r="J22" i="2"/>
  <c r="J21" i="2"/>
  <c r="N21" i="2" s="1"/>
  <c r="N24" i="2" s="1"/>
  <c r="J18" i="2"/>
  <c r="J17" i="2"/>
  <c r="J16" i="2"/>
  <c r="N16" i="2" s="1"/>
  <c r="N19" i="2" s="1"/>
  <c r="J14" i="2"/>
  <c r="J29" i="2"/>
  <c r="D29" i="2"/>
  <c r="D24" i="2"/>
  <c r="D19" i="2"/>
  <c r="D15" i="2"/>
  <c r="D33" i="2" s="1"/>
  <c r="H29" i="2"/>
  <c r="H24" i="2"/>
  <c r="H19" i="2"/>
  <c r="H15" i="2"/>
  <c r="H33" i="2" s="1"/>
  <c r="E18" i="2"/>
  <c r="E19" i="2" s="1"/>
  <c r="E29" i="2"/>
  <c r="E24" i="2"/>
  <c r="E15" i="2"/>
  <c r="E33" i="2" s="1"/>
  <c r="I29" i="2"/>
  <c r="I24" i="2"/>
  <c r="I19" i="2"/>
  <c r="P16" i="2"/>
  <c r="P35" i="2" s="1"/>
  <c r="P29" i="2"/>
  <c r="P24" i="2"/>
  <c r="P15" i="2"/>
  <c r="P33" i="2" s="1"/>
  <c r="Q16" i="2"/>
  <c r="Q35" i="2" s="1"/>
  <c r="Q29" i="2"/>
  <c r="Q24" i="2"/>
  <c r="Q15" i="2"/>
  <c r="Q33" i="2" s="1"/>
  <c r="R16" i="2"/>
  <c r="R35" i="2" s="1"/>
  <c r="R29" i="2"/>
  <c r="R24" i="2"/>
  <c r="R15" i="2"/>
  <c r="R33" i="2" s="1"/>
  <c r="S29" i="2"/>
  <c r="S24" i="2"/>
  <c r="S19" i="2"/>
  <c r="S15" i="2"/>
  <c r="S33" i="2" s="1"/>
  <c r="T18" i="2"/>
  <c r="T19" i="2" s="1"/>
  <c r="T29" i="2"/>
  <c r="T24" i="2"/>
  <c r="T15" i="2"/>
  <c r="T33" i="2" s="1"/>
  <c r="U19" i="2"/>
  <c r="K19" i="2"/>
  <c r="G19" i="2"/>
  <c r="U29" i="2"/>
  <c r="U24" i="2"/>
  <c r="U15" i="2"/>
  <c r="U33" i="2" s="1"/>
  <c r="G29" i="2"/>
  <c r="G24" i="2"/>
  <c r="G15" i="2"/>
  <c r="K29" i="2"/>
  <c r="K24" i="2"/>
  <c r="K15" i="2"/>
  <c r="K33" i="2" s="1"/>
  <c r="D5" i="1"/>
  <c r="F3" i="1"/>
  <c r="Q19" i="2" l="1"/>
  <c r="R34" i="2"/>
  <c r="I35" i="2"/>
  <c r="I15" i="2"/>
  <c r="I33" i="2" s="1"/>
  <c r="J13" i="2"/>
  <c r="N13" i="2" s="1"/>
  <c r="V13" i="2" s="1"/>
  <c r="J35" i="2"/>
  <c r="U20" i="2"/>
  <c r="U36" i="2" s="1"/>
  <c r="K20" i="2"/>
  <c r="K36" i="2" s="1"/>
  <c r="G20" i="2"/>
  <c r="G36" i="2" s="1"/>
  <c r="S34" i="2"/>
  <c r="V21" i="2"/>
  <c r="W21" i="2" s="1"/>
  <c r="W24" i="2" s="1"/>
  <c r="Q34" i="2"/>
  <c r="R19" i="2"/>
  <c r="R20" i="2" s="1"/>
  <c r="P19" i="2"/>
  <c r="P20" i="2" s="1"/>
  <c r="J19" i="2"/>
  <c r="G33" i="2"/>
  <c r="M24" i="2"/>
  <c r="M20" i="2"/>
  <c r="M36" i="2" s="1"/>
  <c r="N34" i="2"/>
  <c r="V16" i="2"/>
  <c r="W16" i="2" s="1"/>
  <c r="X16" i="2" s="1"/>
  <c r="X34" i="2" s="1"/>
  <c r="M35" i="2"/>
  <c r="L20" i="2"/>
  <c r="L36" i="2" s="1"/>
  <c r="D9" i="1"/>
  <c r="M33" i="2"/>
  <c r="M32" i="2"/>
  <c r="J24" i="2"/>
  <c r="D20" i="2"/>
  <c r="H20" i="2"/>
  <c r="E20" i="2"/>
  <c r="Q20" i="2"/>
  <c r="S20" i="2"/>
  <c r="T20" i="2"/>
  <c r="G25" i="2"/>
  <c r="N35" i="2" l="1"/>
  <c r="K25" i="2"/>
  <c r="J15" i="2"/>
  <c r="W13" i="2"/>
  <c r="W33" i="2" s="1"/>
  <c r="U25" i="2"/>
  <c r="U37" i="2" s="1"/>
  <c r="N32" i="2"/>
  <c r="N15" i="2"/>
  <c r="N33" i="2" s="1"/>
  <c r="I20" i="2"/>
  <c r="I25" i="2" s="1"/>
  <c r="X21" i="2"/>
  <c r="Y21" i="2" s="1"/>
  <c r="Y24" i="2" s="1"/>
  <c r="V24" i="2"/>
  <c r="R25" i="2"/>
  <c r="R36" i="2"/>
  <c r="P25" i="2"/>
  <c r="P36" i="2"/>
  <c r="U28" i="2"/>
  <c r="T25" i="2"/>
  <c r="T36" i="2"/>
  <c r="V32" i="2"/>
  <c r="S25" i="2"/>
  <c r="S36" i="2"/>
  <c r="M25" i="2"/>
  <c r="M37" i="2" s="1"/>
  <c r="E25" i="2"/>
  <c r="E36" i="2"/>
  <c r="D25" i="2"/>
  <c r="D36" i="2"/>
  <c r="Q25" i="2"/>
  <c r="Q36" i="2"/>
  <c r="J20" i="2"/>
  <c r="J36" i="2" s="1"/>
  <c r="J33" i="2"/>
  <c r="G28" i="2"/>
  <c r="G37" i="2"/>
  <c r="H25" i="2"/>
  <c r="H36" i="2"/>
  <c r="V35" i="2"/>
  <c r="W35" i="2"/>
  <c r="W19" i="2"/>
  <c r="W34" i="2"/>
  <c r="V34" i="2"/>
  <c r="V19" i="2"/>
  <c r="Y16" i="2"/>
  <c r="X19" i="2"/>
  <c r="L25" i="2"/>
  <c r="L37" i="2" s="1"/>
  <c r="K28" i="2"/>
  <c r="K37" i="2"/>
  <c r="X13" i="2" l="1"/>
  <c r="X35" i="2" s="1"/>
  <c r="I36" i="2"/>
  <c r="W32" i="2"/>
  <c r="N20" i="2"/>
  <c r="N36" i="2" s="1"/>
  <c r="N14" i="2"/>
  <c r="V14" i="2" s="1"/>
  <c r="V15" i="2" s="1"/>
  <c r="V33" i="2" s="1"/>
  <c r="W14" i="2"/>
  <c r="J25" i="2"/>
  <c r="J28" i="2" s="1"/>
  <c r="W20" i="2"/>
  <c r="W36" i="2" s="1"/>
  <c r="X24" i="2"/>
  <c r="Z21" i="2"/>
  <c r="AA21" i="2" s="1"/>
  <c r="AA24" i="2" s="1"/>
  <c r="Q28" i="2"/>
  <c r="Q37" i="2"/>
  <c r="G30" i="2"/>
  <c r="G38" i="2"/>
  <c r="M28" i="2"/>
  <c r="R28" i="2"/>
  <c r="R37" i="2"/>
  <c r="H28" i="2"/>
  <c r="H37" i="2"/>
  <c r="N25" i="2"/>
  <c r="T28" i="2"/>
  <c r="T37" i="2"/>
  <c r="P28" i="2"/>
  <c r="P37" i="2"/>
  <c r="D28" i="2"/>
  <c r="D37" i="2"/>
  <c r="I28" i="2"/>
  <c r="I37" i="2"/>
  <c r="S28" i="2"/>
  <c r="S37" i="2"/>
  <c r="E28" i="2"/>
  <c r="E37" i="2"/>
  <c r="U30" i="2"/>
  <c r="U38" i="2"/>
  <c r="Y19" i="2"/>
  <c r="Z16" i="2"/>
  <c r="Y34" i="2"/>
  <c r="L28" i="2"/>
  <c r="L38" i="2" s="1"/>
  <c r="K30" i="2"/>
  <c r="K38" i="2"/>
  <c r="X20" i="2" l="1"/>
  <c r="X25" i="2" s="1"/>
  <c r="X26" i="2" s="1"/>
  <c r="X32" i="2"/>
  <c r="Y13" i="2"/>
  <c r="Z13" i="2" s="1"/>
  <c r="J37" i="2"/>
  <c r="V20" i="2"/>
  <c r="V25" i="2" s="1"/>
  <c r="W25" i="2"/>
  <c r="Z24" i="2"/>
  <c r="Y35" i="2"/>
  <c r="Y32" i="2"/>
  <c r="Y33" i="2"/>
  <c r="AB21" i="2"/>
  <c r="AC21" i="2" s="1"/>
  <c r="V36" i="2"/>
  <c r="J30" i="2"/>
  <c r="J38" i="2"/>
  <c r="E30" i="2"/>
  <c r="E38" i="2"/>
  <c r="Q30" i="2"/>
  <c r="Q38" i="2"/>
  <c r="R30" i="2"/>
  <c r="R38" i="2"/>
  <c r="S30" i="2"/>
  <c r="S38" i="2"/>
  <c r="M30" i="2"/>
  <c r="M38" i="2"/>
  <c r="D30" i="2"/>
  <c r="D38" i="2"/>
  <c r="H30" i="2"/>
  <c r="H38" i="2"/>
  <c r="P30" i="2"/>
  <c r="P38" i="2"/>
  <c r="T30" i="2"/>
  <c r="T38" i="2"/>
  <c r="N26" i="2"/>
  <c r="N28" i="2" s="1"/>
  <c r="I30" i="2"/>
  <c r="I38" i="2"/>
  <c r="L30" i="2"/>
  <c r="Z19" i="2"/>
  <c r="AA16" i="2"/>
  <c r="AB16" i="2" s="1"/>
  <c r="AC16" i="2" s="1"/>
  <c r="AD16" i="2" s="1"/>
  <c r="AE16" i="2" s="1"/>
  <c r="AF16" i="2" s="1"/>
  <c r="Z34" i="2"/>
  <c r="AA13" i="2"/>
  <c r="Z32" i="2"/>
  <c r="Z35" i="2"/>
  <c r="W26" i="2" l="1"/>
  <c r="W28" i="2" s="1"/>
  <c r="X36" i="2"/>
  <c r="X33" i="2"/>
  <c r="X14" i="2"/>
  <c r="AB24" i="2"/>
  <c r="Y20" i="2"/>
  <c r="Y36" i="2" s="1"/>
  <c r="Y14" i="2"/>
  <c r="N30" i="2"/>
  <c r="N38" i="2"/>
  <c r="N37" i="2"/>
  <c r="V26" i="2"/>
  <c r="AB13" i="2"/>
  <c r="AA14" i="2"/>
  <c r="AA19" i="2"/>
  <c r="AA34" i="2"/>
  <c r="Z14" i="2"/>
  <c r="Z20" i="2"/>
  <c r="Z33" i="2"/>
  <c r="X37" i="2"/>
  <c r="AA35" i="2"/>
  <c r="AA32" i="2"/>
  <c r="AC24" i="2"/>
  <c r="AD21" i="2"/>
  <c r="W30" i="2" l="1"/>
  <c r="W38" i="2"/>
  <c r="W37" i="2"/>
  <c r="Y25" i="2"/>
  <c r="V28" i="2"/>
  <c r="V37" i="2"/>
  <c r="AC13" i="2"/>
  <c r="AB14" i="2"/>
  <c r="X28" i="2"/>
  <c r="X30" i="2" s="1"/>
  <c r="AB19" i="2"/>
  <c r="AB34" i="2"/>
  <c r="AB32" i="2"/>
  <c r="AB35" i="2"/>
  <c r="Z36" i="2"/>
  <c r="Z25" i="2"/>
  <c r="Z26" i="2" s="1"/>
  <c r="AA20" i="2"/>
  <c r="AA33" i="2"/>
  <c r="AE21" i="2"/>
  <c r="AD24" i="2"/>
  <c r="Y37" i="2" l="1"/>
  <c r="Y26" i="2"/>
  <c r="V30" i="2"/>
  <c r="V38" i="2"/>
  <c r="AD13" i="2"/>
  <c r="X38" i="2"/>
  <c r="AC19" i="2"/>
  <c r="AC34" i="2"/>
  <c r="AC32" i="2"/>
  <c r="AC35" i="2"/>
  <c r="AA36" i="2"/>
  <c r="AA25" i="2"/>
  <c r="AA26" i="2" s="1"/>
  <c r="Z37" i="2"/>
  <c r="Y28" i="2"/>
  <c r="AB20" i="2"/>
  <c r="AB33" i="2"/>
  <c r="AF21" i="2"/>
  <c r="AF24" i="2" s="1"/>
  <c r="AE24" i="2"/>
  <c r="AE13" i="2" l="1"/>
  <c r="Z28" i="2"/>
  <c r="Z30" i="2" s="1"/>
  <c r="AD19" i="2"/>
  <c r="AD34" i="2"/>
  <c r="AC20" i="2"/>
  <c r="AC33" i="2"/>
  <c r="AA37" i="2"/>
  <c r="AB36" i="2"/>
  <c r="AB25" i="2"/>
  <c r="AB26" i="2" s="1"/>
  <c r="AC14" i="2"/>
  <c r="AD14" i="2"/>
  <c r="AD32" i="2"/>
  <c r="AD35" i="2"/>
  <c r="Y38" i="2"/>
  <c r="Y30" i="2"/>
  <c r="AF13" i="2" l="1"/>
  <c r="Z38" i="2"/>
  <c r="AE19" i="2"/>
  <c r="AE34" i="2"/>
  <c r="AD20" i="2"/>
  <c r="AD33" i="2"/>
  <c r="AE14" i="2"/>
  <c r="AE32" i="2"/>
  <c r="AE35" i="2"/>
  <c r="AA28" i="2"/>
  <c r="AB37" i="2"/>
  <c r="AC36" i="2"/>
  <c r="AC25" i="2"/>
  <c r="AC26" i="2" s="1"/>
  <c r="AB28" i="2" l="1"/>
  <c r="AB30" i="2" s="1"/>
  <c r="AF34" i="2"/>
  <c r="AF19" i="2"/>
  <c r="AF35" i="2"/>
  <c r="AF32" i="2"/>
  <c r="AE20" i="2"/>
  <c r="AE33" i="2"/>
  <c r="AA30" i="2"/>
  <c r="AA38" i="2"/>
  <c r="AC37" i="2"/>
  <c r="AD36" i="2"/>
  <c r="AD25" i="2"/>
  <c r="AD26" i="2" s="1"/>
  <c r="AB38" i="2" l="1"/>
  <c r="AE36" i="2"/>
  <c r="AE25" i="2"/>
  <c r="AE26" i="2" s="1"/>
  <c r="AC28" i="2"/>
  <c r="AD37" i="2"/>
  <c r="AF20" i="2"/>
  <c r="AF33" i="2"/>
  <c r="AF14" i="2"/>
  <c r="AD28" i="2" l="1"/>
  <c r="AD30" i="2" s="1"/>
  <c r="AF25" i="2"/>
  <c r="AF26" i="2" s="1"/>
  <c r="AF36" i="2"/>
  <c r="AC38" i="2"/>
  <c r="AC30" i="2"/>
  <c r="AE37" i="2"/>
  <c r="AE28" i="2" l="1"/>
  <c r="AE30" i="2" s="1"/>
  <c r="AD38" i="2"/>
  <c r="AF37" i="2"/>
  <c r="AE38" i="2" l="1"/>
  <c r="AF28" i="2"/>
  <c r="AG28" i="2" l="1"/>
  <c r="AH28" i="2" s="1"/>
  <c r="AI28" i="2" s="1"/>
  <c r="AJ28" i="2" s="1"/>
  <c r="AK28" i="2" s="1"/>
  <c r="AL28" i="2" s="1"/>
  <c r="AM28" i="2" s="1"/>
  <c r="AN28" i="2" s="1"/>
  <c r="AO28" i="2" s="1"/>
  <c r="AP28" i="2" s="1"/>
  <c r="AQ28" i="2" s="1"/>
  <c r="AR28" i="2" s="1"/>
  <c r="AS28" i="2" s="1"/>
  <c r="AT28" i="2" s="1"/>
  <c r="AU28" i="2" s="1"/>
  <c r="AV28" i="2" s="1"/>
  <c r="AW28" i="2" s="1"/>
  <c r="AX28" i="2" s="1"/>
  <c r="AY28" i="2" s="1"/>
  <c r="AZ28" i="2" s="1"/>
  <c r="BA28" i="2" s="1"/>
  <c r="BB28" i="2" s="1"/>
  <c r="BC28" i="2" s="1"/>
  <c r="BD28" i="2" s="1"/>
  <c r="BE28" i="2" s="1"/>
  <c r="BF28" i="2" s="1"/>
  <c r="BG28" i="2" s="1"/>
  <c r="BH28" i="2" s="1"/>
  <c r="BI28" i="2" s="1"/>
  <c r="BJ28" i="2" s="1"/>
  <c r="BK28" i="2" s="1"/>
  <c r="BL28" i="2" s="1"/>
  <c r="BM28" i="2" s="1"/>
  <c r="BN28" i="2" s="1"/>
  <c r="BO28" i="2" s="1"/>
  <c r="BP28" i="2" s="1"/>
  <c r="BQ28" i="2" s="1"/>
  <c r="BR28" i="2" s="1"/>
  <c r="BS28" i="2" s="1"/>
  <c r="BT28" i="2" s="1"/>
  <c r="BU28" i="2" s="1"/>
  <c r="BV28" i="2" s="1"/>
  <c r="BW28" i="2" s="1"/>
  <c r="BX28" i="2" s="1"/>
  <c r="BY28" i="2" s="1"/>
  <c r="BZ28" i="2" s="1"/>
  <c r="CA28" i="2" s="1"/>
  <c r="CB28" i="2" s="1"/>
  <c r="CC28" i="2" s="1"/>
  <c r="CD28" i="2" s="1"/>
  <c r="CE28" i="2" s="1"/>
  <c r="CF28" i="2" s="1"/>
  <c r="CG28" i="2" s="1"/>
  <c r="CH28" i="2" s="1"/>
  <c r="CI28" i="2" s="1"/>
  <c r="CJ28" i="2" s="1"/>
  <c r="CK28" i="2" s="1"/>
  <c r="CL28" i="2" s="1"/>
  <c r="CM28" i="2" s="1"/>
  <c r="CN28" i="2" s="1"/>
  <c r="CO28" i="2" s="1"/>
  <c r="CP28" i="2" s="1"/>
  <c r="CQ28" i="2" s="1"/>
  <c r="CR28" i="2" s="1"/>
  <c r="CS28" i="2" s="1"/>
  <c r="CT28" i="2" s="1"/>
  <c r="CU28" i="2" s="1"/>
  <c r="CV28" i="2" s="1"/>
  <c r="CW28" i="2" s="1"/>
  <c r="CX28" i="2" s="1"/>
  <c r="CY28" i="2" s="1"/>
  <c r="CZ28" i="2" s="1"/>
  <c r="DA28" i="2" s="1"/>
  <c r="DB28" i="2" s="1"/>
  <c r="DC28" i="2" s="1"/>
  <c r="DD28" i="2" s="1"/>
  <c r="DE28" i="2" s="1"/>
  <c r="DF28" i="2" s="1"/>
  <c r="DG28" i="2" s="1"/>
  <c r="DH28" i="2" s="1"/>
  <c r="DI28" i="2" s="1"/>
  <c r="DJ28" i="2" s="1"/>
  <c r="DK28" i="2" s="1"/>
  <c r="DL28" i="2" s="1"/>
  <c r="DM28" i="2" s="1"/>
  <c r="DN28" i="2" s="1"/>
  <c r="DO28" i="2" s="1"/>
  <c r="DP28" i="2" s="1"/>
  <c r="DQ28" i="2" s="1"/>
  <c r="DR28" i="2" s="1"/>
  <c r="DS28" i="2" s="1"/>
  <c r="DT28" i="2" s="1"/>
  <c r="DU28" i="2" s="1"/>
  <c r="DV28" i="2" s="1"/>
  <c r="DW28" i="2" s="1"/>
  <c r="DX28" i="2" s="1"/>
  <c r="DY28" i="2" s="1"/>
  <c r="DZ28" i="2" s="1"/>
  <c r="EA28" i="2" s="1"/>
  <c r="EB28" i="2" s="1"/>
  <c r="EC28" i="2" s="1"/>
  <c r="ED28" i="2" s="1"/>
  <c r="EE28" i="2" s="1"/>
  <c r="EF28" i="2" s="1"/>
  <c r="EG28" i="2" s="1"/>
  <c r="EH28" i="2" s="1"/>
  <c r="EI28" i="2" s="1"/>
  <c r="EJ28" i="2" s="1"/>
  <c r="EK28" i="2" s="1"/>
  <c r="EL28" i="2" s="1"/>
  <c r="EM28" i="2" s="1"/>
  <c r="AI35" i="2" s="1"/>
  <c r="AI37" i="2" s="1"/>
  <c r="AI38" i="2" s="1"/>
  <c r="AI40" i="2" s="1"/>
  <c r="AF30" i="2"/>
  <c r="AF38" i="2"/>
</calcChain>
</file>

<file path=xl/sharedStrings.xml><?xml version="1.0" encoding="utf-8"?>
<sst xmlns="http://schemas.openxmlformats.org/spreadsheetml/2006/main" count="75" uniqueCount="66">
  <si>
    <t>LDOS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</si>
  <si>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</si>
  <si>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</si>
  <si>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</si>
  <si>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</si>
  <si>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</si>
  <si>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</si>
  <si>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</si>
  <si>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</si>
  <si>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</si>
  <si>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</si>
  <si>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</si>
  <si>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Revenue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</si>
  <si>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</si>
  <si>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</si>
  <si>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</si>
  <si>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</si>
  <si>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</si>
  <si>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</si>
  <si>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</si>
  <si>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</si>
  <si>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</si>
  <si>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</si>
  <si>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</si>
  <si>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Cost of sales</t>
  </si>
  <si>
    <t>Gross profit</t>
  </si>
  <si>
    <t>SG&amp;A</t>
  </si>
  <si>
    <t>Restructuring</t>
  </si>
  <si>
    <t>Operating profit</t>
  </si>
  <si>
    <t>Investment income</t>
  </si>
  <si>
    <t>Interest expense</t>
  </si>
  <si>
    <t>Other expense</t>
  </si>
  <si>
    <t>Net finance expense</t>
  </si>
  <si>
    <t>Pretax profit</t>
  </si>
  <si>
    <t>Taxes</t>
  </si>
  <si>
    <t>MI</t>
  </si>
  <si>
    <t>Net profit</t>
  </si>
  <si>
    <t>EPS</t>
  </si>
  <si>
    <t>Total operating expense</t>
  </si>
  <si>
    <t>Impairment</t>
  </si>
  <si>
    <t>Revenue y/y</t>
  </si>
  <si>
    <t>Gross Margin</t>
  </si>
  <si>
    <t>SG&amp;A y/y</t>
  </si>
  <si>
    <t>SG&amp;A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</si>
  <si>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</si>
  <si>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</si>
  <si>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</si>
  <si>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</si>
  <si>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</si>
  <si>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</si>
  <si>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</si>
  <si>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</si>
  <si>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</si>
  <si>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</si>
  <si>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</si>
  <si>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</si>
  <si>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</si>
  <si>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</si>
  <si>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</si>
  <si>
    <t>National Security</t>
  </si>
  <si>
    <t>Health &amp; Civil</t>
  </si>
  <si>
    <t>Commercial</t>
  </si>
  <si>
    <t>Defense Systems</t>
  </si>
  <si>
    <t>Total backlog</t>
  </si>
  <si>
    <r>
      <t xml:space="preserve">Hardware primes (LMT, NOC Aeronautics, RTX Missiles): funded backlog is often </t>
    </r>
    <r>
      <rPr>
        <b/>
        <sz val="11"/>
        <color theme="1"/>
        <rFont val="Calibri"/>
        <family val="2"/>
        <scheme val="minor"/>
      </rPr>
      <t>1–3× annual revenue</t>
    </r>
    <r>
      <rPr>
        <sz val="11"/>
        <color theme="1"/>
        <rFont val="Calibri"/>
        <family val="2"/>
        <scheme val="minor"/>
      </rPr>
      <t xml:space="preserve"> (long-cycle builds).</t>
    </r>
  </si>
  <si>
    <r>
      <t xml:space="preserve">Gov’t IT/mission services (LDOS, GDMS IT, SAIC): funded backlog is commonly </t>
    </r>
    <r>
      <rPr>
        <b/>
        <sz val="11"/>
        <color theme="1"/>
        <rFont val="Calibri"/>
        <family val="2"/>
        <scheme val="minor"/>
      </rPr>
      <t>0.3–0.8× revenue</t>
    </r>
    <r>
      <rPr>
        <sz val="11"/>
        <color theme="1"/>
        <rFont val="Calibri"/>
        <family val="2"/>
        <scheme val="minor"/>
      </rPr>
      <t xml:space="preserve">, while </t>
    </r>
    <r>
      <rPr>
        <b/>
        <sz val="11"/>
        <color theme="1"/>
        <rFont val="Calibri"/>
        <family val="2"/>
        <scheme val="minor"/>
      </rPr>
      <t>total (incl. unfunded)</t>
    </r>
    <r>
      <rPr>
        <sz val="11"/>
        <color theme="1"/>
        <rFont val="Calibri"/>
        <family val="2"/>
        <scheme val="minor"/>
      </rPr>
      <t xml:space="preserve"> can be </t>
    </r>
    <r>
      <rPr>
        <b/>
        <sz val="11"/>
        <color theme="1"/>
        <rFont val="Calibri"/>
        <family val="2"/>
        <scheme val="minor"/>
      </rPr>
      <t>2–5×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</si>
</sst>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5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</xdr:colOff>
      <xdr:row>0</xdr:row>
      <xdr:rowOff>15240</xdr:rowOff>
    </xdr:from>
    <xdr:to>
      <xdr:col>13</xdr:col>
      <xdr:colOff>22860</xdr:colOff>
      <xdr:row>42</xdr:row>
      <xdr:rowOff>30480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42FAA2-02E2-857B-04FD-519522FAC86C}"/>
            </a:ext>
          </a:extLst>
        </xdr:cNvPr>
        <xdr:cNvCxnSpPr/>
      </xdr:nvCxnSpPr>
      <xdr:spPr>
        <a:xfrm>
          <a:off x="8763000" y="15240"/>
          <a:ext cx="0" cy="65989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22860</xdr:colOff>
      <xdr:row>0</xdr:row>
      <xdr:rowOff>0</xdr:rowOff>
    </xdr:from>
    <xdr:to>
      <xdr:col>21</xdr:col>
      <xdr:colOff>22860</xdr:colOff>
      <xdr:row>43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DE2F845-05BF-DC0B-0166-CD2117A92869}"/>
            </a:ext>
          </a:extLst>
        </xdr:cNvPr>
        <xdr:cNvCxnSpPr/>
      </xdr:nvCxnSpPr>
      <xdr:spPr>
        <a:xfrm>
          <a:off x="1363980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4B044-18BB-4D71-9CA3-EAA4AE336F6C}">
  <dimension ref="B2:K9"/>
  <sheetViews>
    <sheetView tabSelected="1" workbookViewId="0">
      <selection activeCell="K8" sqref="K8"/>
    </sheetView>
  </sheetViews>
  <sheetFormatPr defaultRowHeight="14.4" x14ac:dyDescent="0.3"/>
  <cols>
    <col min="1" max="4" width="8.88671875" style="1"/>
    <col min="5" max="7" width="11.77734375" style="3" customWidth="1"/>
    <col min="8" max="16384" width="8.88671875" style="1"/>
  </cols>
  <sheetData>
    <row r="2" spans="2:11" x14ac:dyDescent="0.3">
      <c r="E2" s="3" t="s">
        <v>8</v>
      </c>
      <c r="F2" s="3" t="s">
        <v>9</v>
      </c>
      <c r="G2" s="3" t="s">
        <v>10</v>
      </c>
    </row>
    <row r="3" spans="2:11" x14ac:dyDescent="0.3">
      <c r="B3" s="2" t="s">
        <v>0</v>
      </c>
      <c r="C3" s="1" t="s">
        <v>1</v>
      </c>
      <c r="D3" s="5">
        <v>190.36</v>
      </c>
      <c r="E3" s="4">
        <v>45988</v>
      </c>
      <c r="F3" s="4">
        <f ca="1">TODAY()</f>
        <v>45988</v>
      </c>
      <c r="G3" s="4">
        <v>46070</v>
      </c>
    </row>
    <row r="4" spans="2:11" x14ac:dyDescent="0.3">
      <c r="C4" s="1" t="s">
        <v>2</v>
      </c>
      <c r="D4" s="6">
        <f>127.9</f>
        <v>127.9</v>
      </c>
      <c r="E4" s="3" t="s">
        <v>22</v>
      </c>
    </row>
    <row r="5" spans="2:11" x14ac:dyDescent="0.3">
      <c r="C5" s="1" t="s">
        <v>3</v>
      </c>
      <c r="D5" s="6">
        <f>D3*D4</f>
        <v>24347.044000000002</v>
      </c>
    </row>
    <row r="6" spans="2:11" x14ac:dyDescent="0.3">
      <c r="C6" s="1" t="s">
        <v>4</v>
      </c>
      <c r="D6" s="6">
        <f>974</f>
        <v>974</v>
      </c>
      <c r="E6" s="3" t="s">
        <v>22</v>
      </c>
    </row>
    <row r="7" spans="2:11" x14ac:dyDescent="0.3">
      <c r="C7" s="1" t="s">
        <v>5</v>
      </c>
      <c r="D7" s="6">
        <f>19+4632</f>
        <v>4651</v>
      </c>
      <c r="E7" s="3" t="s">
        <v>22</v>
      </c>
      <c r="K7" t="s">
        <v>64</v>
      </c>
    </row>
    <row r="8" spans="2:11" x14ac:dyDescent="0.3">
      <c r="C8" s="1" t="s">
        <v>6</v>
      </c>
      <c r="D8" s="6">
        <f>D6-D7</f>
        <v>-3677</v>
      </c>
      <c r="K8"/>
    </row>
    <row r="9" spans="2:11" x14ac:dyDescent="0.3">
      <c r="C9" s="1" t="s">
        <v>7</v>
      </c>
      <c r="D9" s="6">
        <f>D5-D8</f>
        <v>28024.044000000002</v>
      </c>
      <c r="K9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44293-D96C-4AE6-8EBE-24AD359410D0}">
  <dimension ref="B2:EM45"/>
  <sheetViews>
    <sheetView workbookViewId="0">
      <pane xSplit="2" ySplit="2" topLeftCell="R12" activePane="bottomRight" state="frozen"/>
      <selection pane="topRight" activeCell="C1" sqref="C1"/>
      <selection pane="bottomLeft" activeCell="A3" sqref="A3"/>
      <selection pane="bottomRight" activeCell="W16" sqref="W16"/>
    </sheetView>
  </sheetViews>
  <sheetFormatPr defaultRowHeight="14.4" x14ac:dyDescent="0.3"/>
  <cols>
    <col min="1" max="1" width="8.88671875" style="1"/>
    <col min="2" max="2" width="20.77734375" style="1" bestFit="1" customWidth="1"/>
    <col min="3" max="33" width="8.88671875" style="1"/>
    <col min="34" max="34" width="13.109375" style="1" customWidth="1"/>
    <col min="35" max="35" width="16.5546875" style="1" customWidth="1"/>
    <col min="36" max="16384" width="8.88671875" style="1"/>
  </cols>
  <sheetData>
    <row r="2" spans="2:32" x14ac:dyDescent="0.3"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20</v>
      </c>
      <c r="K2" s="7" t="s">
        <v>11</v>
      </c>
      <c r="L2" s="7" t="s">
        <v>21</v>
      </c>
      <c r="M2" s="7" t="s">
        <v>22</v>
      </c>
      <c r="N2" s="7" t="s">
        <v>23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x14ac:dyDescent="0.3">
      <c r="B3" s="1" t="s">
        <v>59</v>
      </c>
      <c r="C3" s="7"/>
      <c r="D3" s="7"/>
      <c r="E3" s="7"/>
      <c r="F3" s="7"/>
      <c r="G3" s="7"/>
      <c r="H3" s="7"/>
      <c r="I3" s="15">
        <v>3323</v>
      </c>
      <c r="J3" s="7"/>
      <c r="K3" s="7"/>
      <c r="L3" s="7"/>
      <c r="M3" s="15">
        <v>3203</v>
      </c>
      <c r="N3" s="7"/>
      <c r="V3" s="15">
        <v>3203</v>
      </c>
    </row>
    <row r="4" spans="2:32" x14ac:dyDescent="0.3">
      <c r="B4" s="1" t="s">
        <v>60</v>
      </c>
      <c r="C4" s="7"/>
      <c r="D4" s="7"/>
      <c r="E4" s="7"/>
      <c r="F4" s="7"/>
      <c r="G4" s="7"/>
      <c r="H4" s="7"/>
      <c r="I4" s="15">
        <v>1536</v>
      </c>
      <c r="J4" s="7"/>
      <c r="K4" s="7"/>
      <c r="L4" s="7"/>
      <c r="M4" s="15">
        <v>1866</v>
      </c>
      <c r="N4" s="7"/>
      <c r="V4" s="15">
        <v>1866</v>
      </c>
    </row>
    <row r="5" spans="2:32" x14ac:dyDescent="0.3">
      <c r="B5" s="1" t="s">
        <v>61</v>
      </c>
      <c r="C5" s="7"/>
      <c r="D5" s="7"/>
      <c r="E5" s="7"/>
      <c r="F5" s="7"/>
      <c r="G5" s="7"/>
      <c r="H5" s="7"/>
      <c r="I5" s="15">
        <v>2631</v>
      </c>
      <c r="J5" s="7"/>
      <c r="K5" s="7"/>
      <c r="L5" s="7"/>
      <c r="M5" s="15">
        <v>2549</v>
      </c>
      <c r="N5" s="7"/>
      <c r="V5" s="15">
        <v>2549</v>
      </c>
    </row>
    <row r="6" spans="2:32" x14ac:dyDescent="0.3">
      <c r="B6" s="1" t="s">
        <v>62</v>
      </c>
      <c r="C6" s="7"/>
      <c r="D6" s="7"/>
      <c r="E6" s="7"/>
      <c r="F6" s="7"/>
      <c r="G6" s="7"/>
      <c r="H6" s="7"/>
      <c r="I6" s="15">
        <v>1602</v>
      </c>
      <c r="J6" s="7"/>
      <c r="K6" s="7"/>
      <c r="L6" s="7"/>
      <c r="M6" s="15">
        <v>1446</v>
      </c>
      <c r="N6" s="7"/>
      <c r="V6" s="15">
        <v>1446</v>
      </c>
    </row>
    <row r="7" spans="2:32" s="2" customFormat="1" x14ac:dyDescent="0.3">
      <c r="B7" s="2" t="s">
        <v>63</v>
      </c>
      <c r="C7" s="16"/>
      <c r="D7" s="16"/>
      <c r="E7" s="16"/>
      <c r="F7" s="16"/>
      <c r="G7" s="16"/>
      <c r="H7" s="16"/>
      <c r="I7" s="17">
        <f>SUM(I3:I6)</f>
        <v>9092</v>
      </c>
      <c r="J7" s="16"/>
      <c r="K7" s="16"/>
      <c r="L7" s="16"/>
      <c r="M7" s="17">
        <f>SUM(M3:M6)</f>
        <v>9064</v>
      </c>
      <c r="N7" s="16"/>
      <c r="V7" s="17">
        <f>SUM(V3:V6)</f>
        <v>9064</v>
      </c>
    </row>
    <row r="8" spans="2:32" x14ac:dyDescent="0.3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2:32" x14ac:dyDescent="0.3">
      <c r="B9" s="1" t="s">
        <v>59</v>
      </c>
      <c r="C9" s="7"/>
      <c r="D9" s="7"/>
      <c r="E9" s="7"/>
      <c r="F9" s="7"/>
      <c r="G9" s="7"/>
      <c r="H9" s="7"/>
      <c r="I9" s="15">
        <v>1865</v>
      </c>
      <c r="J9" s="7"/>
      <c r="K9" s="7"/>
      <c r="L9" s="7"/>
      <c r="M9" s="15">
        <v>2015</v>
      </c>
      <c r="N9" s="7"/>
    </row>
    <row r="10" spans="2:32" x14ac:dyDescent="0.3">
      <c r="B10" s="1" t="s">
        <v>60</v>
      </c>
      <c r="C10" s="7"/>
      <c r="D10" s="7"/>
      <c r="E10" s="7"/>
      <c r="F10" s="7"/>
      <c r="G10" s="7"/>
      <c r="H10" s="7"/>
      <c r="I10" s="15">
        <v>1225</v>
      </c>
      <c r="J10" s="7"/>
      <c r="K10" s="7"/>
      <c r="L10" s="7"/>
      <c r="M10" s="15">
        <v>1301</v>
      </c>
      <c r="N10" s="7"/>
    </row>
    <row r="11" spans="2:32" x14ac:dyDescent="0.3">
      <c r="B11" s="1" t="s">
        <v>61</v>
      </c>
      <c r="C11" s="7"/>
      <c r="D11" s="7"/>
      <c r="E11" s="7"/>
      <c r="F11" s="7"/>
      <c r="G11" s="7"/>
      <c r="H11" s="7"/>
      <c r="I11" s="15">
        <v>578</v>
      </c>
      <c r="J11" s="7"/>
      <c r="K11" s="7"/>
      <c r="L11" s="7"/>
      <c r="M11" s="15">
        <v>571</v>
      </c>
      <c r="N11" s="7"/>
    </row>
    <row r="12" spans="2:32" x14ac:dyDescent="0.3">
      <c r="B12" s="1" t="s">
        <v>62</v>
      </c>
      <c r="C12" s="7"/>
      <c r="D12" s="7"/>
      <c r="E12" s="7"/>
      <c r="F12" s="7"/>
      <c r="G12" s="7"/>
      <c r="H12" s="7"/>
      <c r="I12" s="15">
        <v>522</v>
      </c>
      <c r="J12" s="7"/>
      <c r="K12" s="7"/>
      <c r="L12" s="7"/>
      <c r="M12" s="15">
        <v>582</v>
      </c>
      <c r="N12" s="7"/>
    </row>
    <row r="13" spans="2:32" s="2" customFormat="1" x14ac:dyDescent="0.3">
      <c r="B13" s="2" t="s">
        <v>12</v>
      </c>
      <c r="D13" s="9">
        <v>3838</v>
      </c>
      <c r="E13" s="9">
        <v>3921</v>
      </c>
      <c r="G13" s="9">
        <v>3975</v>
      </c>
      <c r="H13" s="9">
        <v>4132</v>
      </c>
      <c r="I13" s="9">
        <f>SUM(I9:I12)</f>
        <v>4190</v>
      </c>
      <c r="J13" s="9">
        <f>U13-I13-H13-G13</f>
        <v>4365</v>
      </c>
      <c r="K13" s="9">
        <v>4245</v>
      </c>
      <c r="L13" s="9">
        <v>4253</v>
      </c>
      <c r="M13" s="9">
        <v>4469</v>
      </c>
      <c r="N13" s="9">
        <f t="shared" ref="N13" si="0">J13*1.07</f>
        <v>4670.55</v>
      </c>
      <c r="P13" s="9">
        <v>11094</v>
      </c>
      <c r="Q13" s="9">
        <v>12297</v>
      </c>
      <c r="R13" s="9">
        <v>13737</v>
      </c>
      <c r="S13" s="9">
        <v>14396</v>
      </c>
      <c r="T13" s="9">
        <v>15438</v>
      </c>
      <c r="U13" s="9">
        <v>16662</v>
      </c>
      <c r="V13" s="9">
        <f>SUM(K13:N13)</f>
        <v>17637.55</v>
      </c>
      <c r="W13" s="9">
        <f>V13*1.05</f>
        <v>18519.427500000002</v>
      </c>
      <c r="X13" s="9">
        <f>W13*1.04</f>
        <v>19260.204600000001</v>
      </c>
      <c r="Y13" s="9">
        <f>X13*1.03</f>
        <v>19838.010738000001</v>
      </c>
      <c r="Z13" s="9">
        <f>Y13*1.02</f>
        <v>20234.770952760002</v>
      </c>
      <c r="AA13" s="9">
        <f>Z13*1.02</f>
        <v>20639.466371815201</v>
      </c>
      <c r="AB13" s="9">
        <f>AA13*1.01</f>
        <v>20845.861035533351</v>
      </c>
      <c r="AC13" s="9">
        <f t="shared" ref="AC13:AF13" si="1">AB13*1.01</f>
        <v>21054.319645888685</v>
      </c>
      <c r="AD13" s="9">
        <f t="shared" si="1"/>
        <v>21264.862842347571</v>
      </c>
      <c r="AE13" s="9">
        <f t="shared" si="1"/>
        <v>21477.511470771045</v>
      </c>
      <c r="AF13" s="9">
        <f t="shared" si="1"/>
        <v>21692.286585478756</v>
      </c>
    </row>
    <row r="14" spans="2:32" x14ac:dyDescent="0.3">
      <c r="B14" s="1" t="s">
        <v>24</v>
      </c>
      <c r="D14" s="6">
        <v>3271</v>
      </c>
      <c r="E14" s="6">
        <v>3334</v>
      </c>
      <c r="G14" s="6">
        <v>3337</v>
      </c>
      <c r="H14" s="6">
        <v>3427</v>
      </c>
      <c r="I14" s="6">
        <v>3428</v>
      </c>
      <c r="J14" s="6">
        <f>U14-I14-H14-G14</f>
        <v>3672</v>
      </c>
      <c r="K14" s="6">
        <v>3488</v>
      </c>
      <c r="L14" s="6">
        <v>3471</v>
      </c>
      <c r="M14" s="6">
        <v>3648</v>
      </c>
      <c r="N14" s="6">
        <f t="shared" ref="N14" si="2">N13-N15</f>
        <v>3876.5565000000001</v>
      </c>
      <c r="P14" s="6">
        <v>9546</v>
      </c>
      <c r="Q14" s="6">
        <v>10560</v>
      </c>
      <c r="R14" s="6">
        <v>11723</v>
      </c>
      <c r="S14" s="6">
        <v>12312</v>
      </c>
      <c r="T14" s="6">
        <v>13194</v>
      </c>
      <c r="U14" s="6">
        <v>13864</v>
      </c>
      <c r="V14" s="6">
        <f>SUM(K14:N14)</f>
        <v>14483.556500000001</v>
      </c>
      <c r="W14" s="6">
        <f>W13-W15</f>
        <v>15185.930550000001</v>
      </c>
      <c r="X14" s="6">
        <f t="shared" ref="X14:AF14" si="3">X13-X15</f>
        <v>15793.367772000001</v>
      </c>
      <c r="Y14" s="6">
        <f t="shared" si="3"/>
        <v>16267.168805160001</v>
      </c>
      <c r="Z14" s="6">
        <f t="shared" si="3"/>
        <v>16592.512181263202</v>
      </c>
      <c r="AA14" s="6">
        <f t="shared" si="3"/>
        <v>16924.362424888466</v>
      </c>
      <c r="AB14" s="6">
        <f t="shared" si="3"/>
        <v>17093.60604913735</v>
      </c>
      <c r="AC14" s="6">
        <f t="shared" si="3"/>
        <v>17264.542109628721</v>
      </c>
      <c r="AD14" s="6">
        <f t="shared" si="3"/>
        <v>17437.187530725008</v>
      </c>
      <c r="AE14" s="6">
        <f t="shared" si="3"/>
        <v>17611.559406032258</v>
      </c>
      <c r="AF14" s="6">
        <f t="shared" si="3"/>
        <v>17787.675000092579</v>
      </c>
    </row>
    <row r="15" spans="2:32" s="2" customFormat="1" x14ac:dyDescent="0.3">
      <c r="B15" s="2" t="s">
        <v>25</v>
      </c>
      <c r="D15" s="9">
        <f>D13-D14</f>
        <v>567</v>
      </c>
      <c r="E15" s="9">
        <f>E13-E14</f>
        <v>587</v>
      </c>
      <c r="G15" s="9">
        <f t="shared" ref="G15:M15" si="4">G13-G14</f>
        <v>638</v>
      </c>
      <c r="H15" s="9">
        <f t="shared" si="4"/>
        <v>705</v>
      </c>
      <c r="I15" s="9">
        <f t="shared" si="4"/>
        <v>762</v>
      </c>
      <c r="J15" s="9">
        <f t="shared" si="4"/>
        <v>693</v>
      </c>
      <c r="K15" s="9">
        <f t="shared" si="4"/>
        <v>757</v>
      </c>
      <c r="L15" s="9">
        <f t="shared" si="4"/>
        <v>782</v>
      </c>
      <c r="M15" s="9">
        <f t="shared" si="4"/>
        <v>821</v>
      </c>
      <c r="N15" s="9">
        <f t="shared" ref="N15" si="5">N13*0.17</f>
        <v>793.99350000000004</v>
      </c>
      <c r="P15" s="9">
        <f t="shared" ref="P15:V15" si="6">P13-P14</f>
        <v>1548</v>
      </c>
      <c r="Q15" s="9">
        <f t="shared" si="6"/>
        <v>1737</v>
      </c>
      <c r="R15" s="9">
        <f t="shared" si="6"/>
        <v>2014</v>
      </c>
      <c r="S15" s="9">
        <f t="shared" si="6"/>
        <v>2084</v>
      </c>
      <c r="T15" s="9">
        <f t="shared" si="6"/>
        <v>2244</v>
      </c>
      <c r="U15" s="9">
        <f t="shared" si="6"/>
        <v>2798</v>
      </c>
      <c r="V15" s="9">
        <f t="shared" si="6"/>
        <v>3153.9934999999987</v>
      </c>
      <c r="W15" s="9">
        <f>W13*0.18</f>
        <v>3333.4969500000002</v>
      </c>
      <c r="X15" s="9">
        <f t="shared" ref="X15:AF15" si="7">X13*0.18</f>
        <v>3466.836828</v>
      </c>
      <c r="Y15" s="9">
        <f t="shared" si="7"/>
        <v>3570.84193284</v>
      </c>
      <c r="Z15" s="9">
        <f t="shared" si="7"/>
        <v>3642.2587714968004</v>
      </c>
      <c r="AA15" s="9">
        <f t="shared" si="7"/>
        <v>3715.1039469267362</v>
      </c>
      <c r="AB15" s="9">
        <f t="shared" si="7"/>
        <v>3752.254986396003</v>
      </c>
      <c r="AC15" s="9">
        <f t="shared" si="7"/>
        <v>3789.7775362599632</v>
      </c>
      <c r="AD15" s="9">
        <f t="shared" si="7"/>
        <v>3827.6753116225627</v>
      </c>
      <c r="AE15" s="9">
        <f t="shared" si="7"/>
        <v>3865.9520647387881</v>
      </c>
      <c r="AF15" s="9">
        <f t="shared" si="7"/>
        <v>3904.6115853861761</v>
      </c>
    </row>
    <row r="16" spans="2:32" x14ac:dyDescent="0.3">
      <c r="B16" s="1" t="s">
        <v>26</v>
      </c>
      <c r="D16" s="6">
        <v>237</v>
      </c>
      <c r="E16" s="6">
        <v>239</v>
      </c>
      <c r="G16" s="6">
        <v>226</v>
      </c>
      <c r="H16" s="6">
        <v>231</v>
      </c>
      <c r="I16" s="6">
        <v>247</v>
      </c>
      <c r="J16" s="6">
        <f t="shared" ref="J16:J18" si="8">U16-I16-H16-G16</f>
        <v>279</v>
      </c>
      <c r="K16" s="6">
        <v>230</v>
      </c>
      <c r="L16" s="6">
        <v>217</v>
      </c>
      <c r="M16" s="6">
        <v>286</v>
      </c>
      <c r="N16" s="6">
        <f>J16*1.01</f>
        <v>281.79000000000002</v>
      </c>
      <c r="P16" s="6">
        <f>689-40</f>
        <v>649</v>
      </c>
      <c r="Q16" s="6">
        <f>770-68</f>
        <v>702</v>
      </c>
      <c r="R16" s="6">
        <f>860-9</f>
        <v>851</v>
      </c>
      <c r="S16" s="6">
        <v>951</v>
      </c>
      <c r="T16" s="6">
        <v>942</v>
      </c>
      <c r="U16" s="6">
        <v>983</v>
      </c>
      <c r="V16" s="6">
        <f t="shared" ref="V16:V18" si="9">SUM(K16:N16)</f>
        <v>1014.79</v>
      </c>
      <c r="W16" s="6">
        <f>V16*1.02</f>
        <v>1035.0858000000001</v>
      </c>
      <c r="X16" s="6">
        <f t="shared" ref="X16:AA16" si="10">W16*1.02</f>
        <v>1055.7875160000001</v>
      </c>
      <c r="Y16" s="6">
        <f t="shared" si="10"/>
        <v>1076.9032663200001</v>
      </c>
      <c r="Z16" s="6">
        <f t="shared" si="10"/>
        <v>1098.4413316464002</v>
      </c>
      <c r="AA16" s="6">
        <f t="shared" si="10"/>
        <v>1120.4101582793282</v>
      </c>
      <c r="AB16" s="6">
        <f>AA16*1.01</f>
        <v>1131.6142598621216</v>
      </c>
      <c r="AC16" s="6">
        <f t="shared" ref="AC16:AF16" si="11">AB16*1.01</f>
        <v>1142.9304024607427</v>
      </c>
      <c r="AD16" s="6">
        <f t="shared" si="11"/>
        <v>1154.3597064853502</v>
      </c>
      <c r="AE16" s="6">
        <f t="shared" si="11"/>
        <v>1165.9033035502036</v>
      </c>
      <c r="AF16" s="6">
        <f t="shared" si="11"/>
        <v>1177.5623365857057</v>
      </c>
    </row>
    <row r="17" spans="2:143" x14ac:dyDescent="0.3">
      <c r="B17" s="1" t="s">
        <v>27</v>
      </c>
      <c r="D17" s="6">
        <v>6</v>
      </c>
      <c r="E17" s="6">
        <v>5</v>
      </c>
      <c r="G17" s="6">
        <v>4</v>
      </c>
      <c r="H17" s="6">
        <v>7</v>
      </c>
      <c r="I17" s="6">
        <v>3</v>
      </c>
      <c r="J17" s="6">
        <f t="shared" si="8"/>
        <v>2</v>
      </c>
      <c r="K17" s="6">
        <v>4</v>
      </c>
      <c r="L17" s="6">
        <v>2</v>
      </c>
      <c r="M17" s="6">
        <v>4</v>
      </c>
      <c r="N17" s="6">
        <v>4</v>
      </c>
      <c r="P17" s="6">
        <v>5</v>
      </c>
      <c r="Q17" s="6">
        <v>39</v>
      </c>
      <c r="R17" s="6">
        <v>27</v>
      </c>
      <c r="S17" s="6">
        <v>17</v>
      </c>
      <c r="T17" s="6">
        <v>24</v>
      </c>
      <c r="U17" s="6">
        <v>16</v>
      </c>
      <c r="V17" s="6">
        <f t="shared" si="9"/>
        <v>14</v>
      </c>
      <c r="W17" s="6">
        <f>V17*1.01</f>
        <v>14.14</v>
      </c>
      <c r="X17" s="6">
        <f t="shared" ref="X17:AF17" si="12">W17*1.01</f>
        <v>14.281400000000001</v>
      </c>
      <c r="Y17" s="6">
        <f t="shared" si="12"/>
        <v>14.424214000000001</v>
      </c>
      <c r="Z17" s="6">
        <f t="shared" si="12"/>
        <v>14.56845614</v>
      </c>
      <c r="AA17" s="6">
        <f t="shared" si="12"/>
        <v>14.7141407014</v>
      </c>
      <c r="AB17" s="6">
        <f t="shared" si="12"/>
        <v>14.861282108414001</v>
      </c>
      <c r="AC17" s="6">
        <f t="shared" si="12"/>
        <v>15.00989492949814</v>
      </c>
      <c r="AD17" s="6">
        <f t="shared" si="12"/>
        <v>15.159993878793122</v>
      </c>
      <c r="AE17" s="6">
        <f t="shared" si="12"/>
        <v>15.311593817581054</v>
      </c>
      <c r="AF17" s="6">
        <f t="shared" si="12"/>
        <v>15.464709755756864</v>
      </c>
    </row>
    <row r="18" spans="2:143" x14ac:dyDescent="0.3">
      <c r="B18" s="1" t="s">
        <v>39</v>
      </c>
      <c r="D18" s="6">
        <v>0</v>
      </c>
      <c r="E18" s="6">
        <f>599+88</f>
        <v>687</v>
      </c>
      <c r="G18" s="6"/>
      <c r="H18" s="6">
        <v>0</v>
      </c>
      <c r="I18" s="6">
        <v>6</v>
      </c>
      <c r="J18" s="6">
        <f t="shared" si="8"/>
        <v>5</v>
      </c>
      <c r="K18" s="6"/>
      <c r="L18" s="6">
        <v>0</v>
      </c>
      <c r="M18" s="6">
        <v>4</v>
      </c>
      <c r="N18" s="6">
        <v>0</v>
      </c>
      <c r="P18" s="6">
        <v>0</v>
      </c>
      <c r="Q18" s="6">
        <v>12</v>
      </c>
      <c r="R18" s="6">
        <v>4</v>
      </c>
      <c r="S18" s="6">
        <v>40</v>
      </c>
      <c r="T18" s="6">
        <f>596+91</f>
        <v>687</v>
      </c>
      <c r="U18" s="6">
        <v>11</v>
      </c>
      <c r="V18" s="6">
        <f t="shared" si="9"/>
        <v>4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</row>
    <row r="19" spans="2:143" x14ac:dyDescent="0.3">
      <c r="B19" s="1" t="s">
        <v>38</v>
      </c>
      <c r="D19" s="6">
        <f>SUM(D16:D18)</f>
        <v>243</v>
      </c>
      <c r="E19" s="6">
        <f>SUM(E16:E18)</f>
        <v>931</v>
      </c>
      <c r="G19" s="6">
        <f>SUM(G16:G18)</f>
        <v>230</v>
      </c>
      <c r="H19" s="6">
        <f>SUM(H16:H18)</f>
        <v>238</v>
      </c>
      <c r="I19" s="6">
        <f>SUM(I16:I18)</f>
        <v>256</v>
      </c>
      <c r="J19" s="6">
        <f>SUM(J16:J18)</f>
        <v>286</v>
      </c>
      <c r="K19" s="6">
        <f>SUM(K16:K18)</f>
        <v>234</v>
      </c>
      <c r="L19" s="6">
        <f t="shared" ref="L19:N19" si="13">SUM(L16:L18)</f>
        <v>219</v>
      </c>
      <c r="M19" s="6">
        <f t="shared" si="13"/>
        <v>294</v>
      </c>
      <c r="N19" s="6">
        <f t="shared" si="13"/>
        <v>285.79000000000002</v>
      </c>
      <c r="P19" s="6">
        <f t="shared" ref="P19:W19" si="14">SUM(P16:P18)</f>
        <v>654</v>
      </c>
      <c r="Q19" s="6">
        <f t="shared" si="14"/>
        <v>753</v>
      </c>
      <c r="R19" s="6">
        <f t="shared" si="14"/>
        <v>882</v>
      </c>
      <c r="S19" s="6">
        <f t="shared" si="14"/>
        <v>1008</v>
      </c>
      <c r="T19" s="6">
        <f t="shared" si="14"/>
        <v>1653</v>
      </c>
      <c r="U19" s="6">
        <f t="shared" si="14"/>
        <v>1010</v>
      </c>
      <c r="V19" s="6">
        <f t="shared" si="14"/>
        <v>1032.79</v>
      </c>
      <c r="W19" s="6">
        <f t="shared" si="14"/>
        <v>1049.2258000000002</v>
      </c>
      <c r="X19" s="6">
        <f t="shared" ref="X19:AF19" si="15">SUM(X16:X18)</f>
        <v>1070.0689160000002</v>
      </c>
      <c r="Y19" s="6">
        <f t="shared" si="15"/>
        <v>1091.3274803199999</v>
      </c>
      <c r="Z19" s="6">
        <f t="shared" si="15"/>
        <v>1113.0097877864002</v>
      </c>
      <c r="AA19" s="6">
        <f t="shared" si="15"/>
        <v>1135.1242989807283</v>
      </c>
      <c r="AB19" s="6">
        <f t="shared" si="15"/>
        <v>1146.4755419705355</v>
      </c>
      <c r="AC19" s="6">
        <f t="shared" si="15"/>
        <v>1157.9402973902409</v>
      </c>
      <c r="AD19" s="6">
        <f t="shared" si="15"/>
        <v>1169.5197003641433</v>
      </c>
      <c r="AE19" s="6">
        <f t="shared" si="15"/>
        <v>1181.2148973677847</v>
      </c>
      <c r="AF19" s="6">
        <f t="shared" si="15"/>
        <v>1193.0270463414624</v>
      </c>
    </row>
    <row r="20" spans="2:143" s="2" customFormat="1" x14ac:dyDescent="0.3">
      <c r="B20" s="2" t="s">
        <v>28</v>
      </c>
      <c r="D20" s="9">
        <f>D15-D19</f>
        <v>324</v>
      </c>
      <c r="E20" s="9">
        <f>E15-E19</f>
        <v>-344</v>
      </c>
      <c r="G20" s="9">
        <f>G15-G19</f>
        <v>408</v>
      </c>
      <c r="H20" s="9">
        <f>H15-H19</f>
        <v>467</v>
      </c>
      <c r="I20" s="9">
        <f>I15-I19</f>
        <v>506</v>
      </c>
      <c r="J20" s="9">
        <f>J15-J19</f>
        <v>407</v>
      </c>
      <c r="K20" s="9">
        <f>K15-K19</f>
        <v>523</v>
      </c>
      <c r="L20" s="9">
        <f t="shared" ref="L20:N20" si="16">L15-L19</f>
        <v>563</v>
      </c>
      <c r="M20" s="9">
        <f t="shared" si="16"/>
        <v>527</v>
      </c>
      <c r="N20" s="9">
        <f t="shared" si="16"/>
        <v>508.20350000000002</v>
      </c>
      <c r="P20" s="9">
        <f t="shared" ref="P20:W20" si="17">P15-P19</f>
        <v>894</v>
      </c>
      <c r="Q20" s="9">
        <f t="shared" si="17"/>
        <v>984</v>
      </c>
      <c r="R20" s="9">
        <f t="shared" si="17"/>
        <v>1132</v>
      </c>
      <c r="S20" s="9">
        <f t="shared" si="17"/>
        <v>1076</v>
      </c>
      <c r="T20" s="9">
        <f t="shared" si="17"/>
        <v>591</v>
      </c>
      <c r="U20" s="9">
        <f t="shared" si="17"/>
        <v>1788</v>
      </c>
      <c r="V20" s="9">
        <f t="shared" si="17"/>
        <v>2121.2034999999987</v>
      </c>
      <c r="W20" s="9">
        <f t="shared" si="17"/>
        <v>2284.27115</v>
      </c>
      <c r="X20" s="9">
        <f t="shared" ref="X20:AF20" si="18">X15-X19</f>
        <v>2396.7679119999998</v>
      </c>
      <c r="Y20" s="9">
        <f t="shared" si="18"/>
        <v>2479.5144525200003</v>
      </c>
      <c r="Z20" s="9">
        <f t="shared" si="18"/>
        <v>2529.2489837104004</v>
      </c>
      <c r="AA20" s="9">
        <f t="shared" si="18"/>
        <v>2579.9796479460078</v>
      </c>
      <c r="AB20" s="9">
        <f t="shared" si="18"/>
        <v>2605.7794444254678</v>
      </c>
      <c r="AC20" s="9">
        <f t="shared" si="18"/>
        <v>2631.8372388697226</v>
      </c>
      <c r="AD20" s="9">
        <f t="shared" si="18"/>
        <v>2658.1556112584194</v>
      </c>
      <c r="AE20" s="9">
        <f t="shared" si="18"/>
        <v>2684.7371673710031</v>
      </c>
      <c r="AF20" s="9">
        <f t="shared" si="18"/>
        <v>2711.5845390447139</v>
      </c>
    </row>
    <row r="21" spans="2:143" x14ac:dyDescent="0.3">
      <c r="B21" s="1" t="s">
        <v>29</v>
      </c>
      <c r="D21" s="6">
        <v>-7</v>
      </c>
      <c r="E21" s="6">
        <v>-8</v>
      </c>
      <c r="G21" s="6">
        <v>-7</v>
      </c>
      <c r="H21" s="6">
        <v>-8</v>
      </c>
      <c r="I21" s="6">
        <v>-10</v>
      </c>
      <c r="J21" s="6">
        <f t="shared" ref="J21:J22" si="19">U21-I21-H21-G21</f>
        <v>-14</v>
      </c>
      <c r="K21" s="6">
        <v>-7</v>
      </c>
      <c r="L21" s="6">
        <v>-8</v>
      </c>
      <c r="M21" s="6">
        <v>-8</v>
      </c>
      <c r="N21" s="6">
        <f t="shared" ref="N21" si="20">J21*1.03</f>
        <v>-14.42</v>
      </c>
      <c r="P21" s="6">
        <v>-18</v>
      </c>
      <c r="Q21" s="6">
        <v>-14</v>
      </c>
      <c r="R21" s="6">
        <v>-20</v>
      </c>
      <c r="S21" s="6">
        <v>-12</v>
      </c>
      <c r="T21" s="6">
        <v>-30</v>
      </c>
      <c r="U21" s="6">
        <v>-39</v>
      </c>
      <c r="V21" s="6">
        <f t="shared" ref="V21:V23" si="21">SUM(K21:N21)</f>
        <v>-37.42</v>
      </c>
      <c r="W21" s="6">
        <f>V21*1.03</f>
        <v>-38.5426</v>
      </c>
      <c r="X21" s="6">
        <f t="shared" ref="X21:AF21" si="22">W21*1.03</f>
        <v>-39.698878000000001</v>
      </c>
      <c r="Y21" s="6">
        <f t="shared" si="22"/>
        <v>-40.889844340000003</v>
      </c>
      <c r="Z21" s="6">
        <f t="shared" si="22"/>
        <v>-42.116539670200005</v>
      </c>
      <c r="AA21" s="6">
        <f t="shared" si="22"/>
        <v>-43.380035860306009</v>
      </c>
      <c r="AB21" s="6">
        <f t="shared" si="22"/>
        <v>-44.68143693611519</v>
      </c>
      <c r="AC21" s="6">
        <f t="shared" si="22"/>
        <v>-46.021880044198646</v>
      </c>
      <c r="AD21" s="6">
        <f t="shared" si="22"/>
        <v>-47.402536445524603</v>
      </c>
      <c r="AE21" s="6">
        <f t="shared" si="22"/>
        <v>-48.824612538890342</v>
      </c>
      <c r="AF21" s="6">
        <f t="shared" si="22"/>
        <v>-50.289350915057057</v>
      </c>
    </row>
    <row r="22" spans="2:143" x14ac:dyDescent="0.3">
      <c r="B22" s="1" t="s">
        <v>30</v>
      </c>
      <c r="D22" s="6">
        <v>56</v>
      </c>
      <c r="E22" s="6">
        <v>53</v>
      </c>
      <c r="G22" s="6">
        <v>49</v>
      </c>
      <c r="H22" s="6">
        <v>51</v>
      </c>
      <c r="I22" s="6">
        <v>46</v>
      </c>
      <c r="J22" s="6">
        <f t="shared" si="19"/>
        <v>47</v>
      </c>
      <c r="K22" s="6">
        <v>49</v>
      </c>
      <c r="L22" s="6">
        <v>55</v>
      </c>
      <c r="M22" s="6">
        <v>51</v>
      </c>
      <c r="N22" s="6">
        <v>50</v>
      </c>
      <c r="P22" s="6">
        <v>133</v>
      </c>
      <c r="Q22" s="6">
        <v>179</v>
      </c>
      <c r="R22" s="6">
        <v>184</v>
      </c>
      <c r="S22" s="6">
        <v>199</v>
      </c>
      <c r="T22" s="6">
        <v>212</v>
      </c>
      <c r="U22" s="6">
        <v>193</v>
      </c>
      <c r="V22" s="6">
        <f t="shared" si="21"/>
        <v>205</v>
      </c>
      <c r="W22" s="6">
        <f>V22*1.03</f>
        <v>211.15</v>
      </c>
      <c r="X22" s="6">
        <f t="shared" ref="X22:AF22" si="23">W22*1.03</f>
        <v>217.48450000000003</v>
      </c>
      <c r="Y22" s="6">
        <f t="shared" si="23"/>
        <v>224.00903500000004</v>
      </c>
      <c r="Z22" s="6">
        <f t="shared" si="23"/>
        <v>230.72930605000005</v>
      </c>
      <c r="AA22" s="6">
        <f t="shared" si="23"/>
        <v>237.65118523150005</v>
      </c>
      <c r="AB22" s="6">
        <f t="shared" si="23"/>
        <v>244.78072078844505</v>
      </c>
      <c r="AC22" s="6">
        <f t="shared" si="23"/>
        <v>252.12414241209842</v>
      </c>
      <c r="AD22" s="6">
        <f t="shared" si="23"/>
        <v>259.68786668446137</v>
      </c>
      <c r="AE22" s="6">
        <f t="shared" si="23"/>
        <v>267.47850268499519</v>
      </c>
      <c r="AF22" s="6">
        <f t="shared" si="23"/>
        <v>275.50285776554506</v>
      </c>
    </row>
    <row r="23" spans="2:143" x14ac:dyDescent="0.3">
      <c r="B23" s="1" t="s">
        <v>31</v>
      </c>
      <c r="D23" s="6">
        <v>1</v>
      </c>
      <c r="E23" s="6">
        <v>-1</v>
      </c>
      <c r="G23" s="6">
        <v>-2</v>
      </c>
      <c r="H23" s="6">
        <v>-2</v>
      </c>
      <c r="I23" s="6">
        <v>0</v>
      </c>
      <c r="J23" s="6">
        <f>U23-I23-H23-G23</f>
        <v>-1</v>
      </c>
      <c r="K23" s="6">
        <v>3</v>
      </c>
      <c r="L23" s="6">
        <v>-2</v>
      </c>
      <c r="M23" s="6">
        <v>0</v>
      </c>
      <c r="N23" s="6">
        <v>0</v>
      </c>
      <c r="P23" s="6">
        <v>-87</v>
      </c>
      <c r="Q23" s="6">
        <v>38</v>
      </c>
      <c r="R23" s="6">
        <v>1</v>
      </c>
      <c r="S23" s="6">
        <v>3</v>
      </c>
      <c r="T23" s="6">
        <v>6</v>
      </c>
      <c r="U23" s="6">
        <v>-5</v>
      </c>
      <c r="V23" s="6">
        <f t="shared" si="21"/>
        <v>1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</row>
    <row r="24" spans="2:143" x14ac:dyDescent="0.3">
      <c r="B24" s="1" t="s">
        <v>32</v>
      </c>
      <c r="D24" s="6">
        <f>SUM(D21:D23)</f>
        <v>50</v>
      </c>
      <c r="E24" s="6">
        <f>SUM(E21:E23)</f>
        <v>44</v>
      </c>
      <c r="G24" s="6">
        <f t="shared" ref="G24:L24" si="24">SUM(G21:G23)</f>
        <v>40</v>
      </c>
      <c r="H24" s="6">
        <f t="shared" si="24"/>
        <v>41</v>
      </c>
      <c r="I24" s="6">
        <f t="shared" si="24"/>
        <v>36</v>
      </c>
      <c r="J24" s="6">
        <f t="shared" si="24"/>
        <v>32</v>
      </c>
      <c r="K24" s="6">
        <f t="shared" si="24"/>
        <v>45</v>
      </c>
      <c r="L24" s="6">
        <f t="shared" si="24"/>
        <v>45</v>
      </c>
      <c r="M24" s="6">
        <f t="shared" ref="M24:N24" si="25">SUM(M21:M23)</f>
        <v>43</v>
      </c>
      <c r="N24" s="6">
        <f t="shared" si="25"/>
        <v>35.58</v>
      </c>
      <c r="P24" s="6">
        <f t="shared" ref="P24:W24" si="26">SUM(P21:P23)</f>
        <v>28</v>
      </c>
      <c r="Q24" s="6">
        <f t="shared" si="26"/>
        <v>203</v>
      </c>
      <c r="R24" s="6">
        <f t="shared" si="26"/>
        <v>165</v>
      </c>
      <c r="S24" s="6">
        <f t="shared" si="26"/>
        <v>190</v>
      </c>
      <c r="T24" s="6">
        <f t="shared" si="26"/>
        <v>188</v>
      </c>
      <c r="U24" s="6">
        <f t="shared" si="26"/>
        <v>149</v>
      </c>
      <c r="V24" s="6">
        <f t="shared" si="26"/>
        <v>168.57999999999998</v>
      </c>
      <c r="W24" s="6">
        <f t="shared" si="26"/>
        <v>172.60740000000001</v>
      </c>
      <c r="X24" s="6">
        <f t="shared" ref="X24:AF24" si="27">SUM(X21:X23)</f>
        <v>177.78562200000002</v>
      </c>
      <c r="Y24" s="6">
        <f t="shared" si="27"/>
        <v>183.11919066000004</v>
      </c>
      <c r="Z24" s="6">
        <f t="shared" si="27"/>
        <v>188.61276637980004</v>
      </c>
      <c r="AA24" s="6">
        <f t="shared" si="27"/>
        <v>194.27114937119404</v>
      </c>
      <c r="AB24" s="6">
        <f t="shared" si="27"/>
        <v>200.09928385232985</v>
      </c>
      <c r="AC24" s="6">
        <f t="shared" si="27"/>
        <v>206.10226236789978</v>
      </c>
      <c r="AD24" s="6">
        <f t="shared" si="27"/>
        <v>212.28533023893675</v>
      </c>
      <c r="AE24" s="6">
        <f t="shared" si="27"/>
        <v>218.65389014610486</v>
      </c>
      <c r="AF24" s="6">
        <f t="shared" si="27"/>
        <v>225.21350685048799</v>
      </c>
    </row>
    <row r="25" spans="2:143" s="2" customFormat="1" x14ac:dyDescent="0.3">
      <c r="B25" s="2" t="s">
        <v>33</v>
      </c>
      <c r="D25" s="9">
        <f>D20-D24</f>
        <v>274</v>
      </c>
      <c r="E25" s="9">
        <f>E20-E24</f>
        <v>-388</v>
      </c>
      <c r="G25" s="9">
        <f t="shared" ref="G25:L25" si="28">G20-G24</f>
        <v>368</v>
      </c>
      <c r="H25" s="9">
        <f t="shared" si="28"/>
        <v>426</v>
      </c>
      <c r="I25" s="9">
        <f t="shared" si="28"/>
        <v>470</v>
      </c>
      <c r="J25" s="9">
        <f t="shared" si="28"/>
        <v>375</v>
      </c>
      <c r="K25" s="9">
        <f t="shared" si="28"/>
        <v>478</v>
      </c>
      <c r="L25" s="9">
        <f t="shared" si="28"/>
        <v>518</v>
      </c>
      <c r="M25" s="9">
        <f t="shared" ref="M25:N25" si="29">M20-M24</f>
        <v>484</v>
      </c>
      <c r="N25" s="9">
        <f t="shared" si="29"/>
        <v>472.62350000000004</v>
      </c>
      <c r="P25" s="9">
        <f t="shared" ref="P25:W25" si="30">P20-P24</f>
        <v>866</v>
      </c>
      <c r="Q25" s="9">
        <f t="shared" si="30"/>
        <v>781</v>
      </c>
      <c r="R25" s="9">
        <f t="shared" si="30"/>
        <v>967</v>
      </c>
      <c r="S25" s="9">
        <f t="shared" si="30"/>
        <v>886</v>
      </c>
      <c r="T25" s="9">
        <f t="shared" si="30"/>
        <v>403</v>
      </c>
      <c r="U25" s="9">
        <f t="shared" si="30"/>
        <v>1639</v>
      </c>
      <c r="V25" s="9">
        <f t="shared" si="30"/>
        <v>1952.6234999999988</v>
      </c>
      <c r="W25" s="9">
        <f t="shared" si="30"/>
        <v>2111.6637500000002</v>
      </c>
      <c r="X25" s="9">
        <f t="shared" ref="X25:AF25" si="31">X20-X24</f>
        <v>2218.9822899999999</v>
      </c>
      <c r="Y25" s="9">
        <f t="shared" si="31"/>
        <v>2296.3952618600001</v>
      </c>
      <c r="Z25" s="9">
        <f t="shared" si="31"/>
        <v>2340.6362173306002</v>
      </c>
      <c r="AA25" s="9">
        <f t="shared" si="31"/>
        <v>2385.7084985748138</v>
      </c>
      <c r="AB25" s="9">
        <f t="shared" si="31"/>
        <v>2405.680160573138</v>
      </c>
      <c r="AC25" s="9">
        <f t="shared" si="31"/>
        <v>2425.734976501823</v>
      </c>
      <c r="AD25" s="9">
        <f t="shared" si="31"/>
        <v>2445.8702810194827</v>
      </c>
      <c r="AE25" s="9">
        <f t="shared" si="31"/>
        <v>2466.0832772248982</v>
      </c>
      <c r="AF25" s="9">
        <f t="shared" si="31"/>
        <v>2486.3710321942258</v>
      </c>
    </row>
    <row r="26" spans="2:143" x14ac:dyDescent="0.3">
      <c r="B26" s="1" t="s">
        <v>34</v>
      </c>
      <c r="D26" s="6">
        <v>64</v>
      </c>
      <c r="E26" s="6">
        <v>8</v>
      </c>
      <c r="G26" s="6">
        <v>85</v>
      </c>
      <c r="H26" s="6">
        <v>102</v>
      </c>
      <c r="I26" s="6">
        <v>108</v>
      </c>
      <c r="J26" s="6">
        <f t="shared" ref="J26:J27" si="32">U26-I26-H26-G26</f>
        <v>93</v>
      </c>
      <c r="K26" s="6">
        <v>113</v>
      </c>
      <c r="L26" s="6">
        <v>125</v>
      </c>
      <c r="M26" s="6">
        <v>115</v>
      </c>
      <c r="N26" s="6">
        <f t="shared" ref="N26" si="33">N25*0.22</f>
        <v>103.97717000000002</v>
      </c>
      <c r="P26" s="6">
        <v>196</v>
      </c>
      <c r="Q26" s="6">
        <v>152</v>
      </c>
      <c r="R26" s="6">
        <v>208</v>
      </c>
      <c r="S26" s="6">
        <v>193</v>
      </c>
      <c r="T26" s="6">
        <v>195</v>
      </c>
      <c r="U26" s="6">
        <v>388</v>
      </c>
      <c r="V26" s="6">
        <f t="shared" ref="V26:V27" si="34">SUM(K26:N26)</f>
        <v>456.97717</v>
      </c>
      <c r="W26" s="6">
        <f>W25*0.23</f>
        <v>485.68266250000005</v>
      </c>
      <c r="X26" s="6">
        <f t="shared" ref="X26:AF26" si="35">X25*0.23</f>
        <v>510.36592669999999</v>
      </c>
      <c r="Y26" s="6">
        <f t="shared" si="35"/>
        <v>528.17091022780005</v>
      </c>
      <c r="Z26" s="6">
        <f t="shared" si="35"/>
        <v>538.34632998603809</v>
      </c>
      <c r="AA26" s="6">
        <f t="shared" si="35"/>
        <v>548.71295467220716</v>
      </c>
      <c r="AB26" s="6">
        <f t="shared" si="35"/>
        <v>553.30643693182174</v>
      </c>
      <c r="AC26" s="6">
        <f t="shared" si="35"/>
        <v>557.91904459541934</v>
      </c>
      <c r="AD26" s="6">
        <f t="shared" si="35"/>
        <v>562.55016463448101</v>
      </c>
      <c r="AE26" s="6">
        <f t="shared" si="35"/>
        <v>567.19915376172662</v>
      </c>
      <c r="AF26" s="6">
        <f t="shared" si="35"/>
        <v>571.865337404672</v>
      </c>
    </row>
    <row r="27" spans="2:143" x14ac:dyDescent="0.3">
      <c r="B27" s="1" t="s">
        <v>35</v>
      </c>
      <c r="D27" s="6">
        <v>3</v>
      </c>
      <c r="E27" s="6">
        <v>3</v>
      </c>
      <c r="G27" s="6">
        <v>-1</v>
      </c>
      <c r="H27" s="6">
        <v>2</v>
      </c>
      <c r="I27" s="6">
        <v>-2</v>
      </c>
      <c r="J27" s="6">
        <f t="shared" si="32"/>
        <v>-2</v>
      </c>
      <c r="K27" s="6">
        <v>2</v>
      </c>
      <c r="L27" s="6">
        <v>2</v>
      </c>
      <c r="M27" s="6">
        <v>2</v>
      </c>
      <c r="N27" s="6">
        <v>0</v>
      </c>
      <c r="P27" s="6">
        <v>3</v>
      </c>
      <c r="Q27" s="6">
        <v>1</v>
      </c>
      <c r="R27" s="6">
        <v>6</v>
      </c>
      <c r="S27" s="6">
        <v>8</v>
      </c>
      <c r="T27" s="6">
        <v>9</v>
      </c>
      <c r="U27" s="6">
        <v>-3</v>
      </c>
      <c r="V27" s="6">
        <f t="shared" si="34"/>
        <v>6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</row>
    <row r="28" spans="2:143" s="2" customFormat="1" x14ac:dyDescent="0.3">
      <c r="B28" s="2" t="s">
        <v>36</v>
      </c>
      <c r="D28" s="9">
        <f>D25-D26-D27</f>
        <v>207</v>
      </c>
      <c r="E28" s="9">
        <f>E25-E26-E27</f>
        <v>-399</v>
      </c>
      <c r="G28" s="9">
        <f t="shared" ref="G28:L28" si="36">G25-G26-G27</f>
        <v>284</v>
      </c>
      <c r="H28" s="9">
        <f t="shared" si="36"/>
        <v>322</v>
      </c>
      <c r="I28" s="9">
        <f t="shared" si="36"/>
        <v>364</v>
      </c>
      <c r="J28" s="9">
        <f t="shared" si="36"/>
        <v>284</v>
      </c>
      <c r="K28" s="9">
        <f t="shared" si="36"/>
        <v>363</v>
      </c>
      <c r="L28" s="9">
        <f t="shared" si="36"/>
        <v>391</v>
      </c>
      <c r="M28" s="9">
        <f t="shared" ref="M28:N28" si="37">M25-M26-M27</f>
        <v>367</v>
      </c>
      <c r="N28" s="9">
        <f t="shared" si="37"/>
        <v>368.64633000000003</v>
      </c>
      <c r="P28" s="9">
        <f t="shared" ref="P28:W28" si="38">P25-P26-P27</f>
        <v>667</v>
      </c>
      <c r="Q28" s="9">
        <f t="shared" si="38"/>
        <v>628</v>
      </c>
      <c r="R28" s="9">
        <f t="shared" si="38"/>
        <v>753</v>
      </c>
      <c r="S28" s="9">
        <f t="shared" si="38"/>
        <v>685</v>
      </c>
      <c r="T28" s="9">
        <f t="shared" si="38"/>
        <v>199</v>
      </c>
      <c r="U28" s="9">
        <f t="shared" si="38"/>
        <v>1254</v>
      </c>
      <c r="V28" s="9">
        <f t="shared" si="38"/>
        <v>1489.6463299999987</v>
      </c>
      <c r="W28" s="9">
        <f t="shared" si="38"/>
        <v>1625.9810875000001</v>
      </c>
      <c r="X28" s="9">
        <f t="shared" ref="X28:AF28" si="39">X25-X26-X27</f>
        <v>1708.6163632999999</v>
      </c>
      <c r="Y28" s="9">
        <f t="shared" si="39"/>
        <v>1768.2243516322001</v>
      </c>
      <c r="Z28" s="9">
        <f t="shared" si="39"/>
        <v>1802.289887344562</v>
      </c>
      <c r="AA28" s="9">
        <f t="shared" si="39"/>
        <v>1836.9955439026066</v>
      </c>
      <c r="AB28" s="9">
        <f t="shared" si="39"/>
        <v>1852.3737236413162</v>
      </c>
      <c r="AC28" s="9">
        <f t="shared" si="39"/>
        <v>1867.8159319064036</v>
      </c>
      <c r="AD28" s="9">
        <f t="shared" si="39"/>
        <v>1883.3201163850017</v>
      </c>
      <c r="AE28" s="9">
        <f t="shared" si="39"/>
        <v>1898.8841234631716</v>
      </c>
      <c r="AF28" s="9">
        <f t="shared" si="39"/>
        <v>1914.5056947895537</v>
      </c>
      <c r="AG28" s="2">
        <f>AF28*(1+$AI$33)</f>
        <v>1895.3606378416582</v>
      </c>
      <c r="AH28" s="2">
        <f t="shared" ref="AH28:CS28" si="40">AG28*(1+$AI$33)</f>
        <v>1876.4070314632415</v>
      </c>
      <c r="AI28" s="2">
        <f t="shared" si="40"/>
        <v>1857.6429611486092</v>
      </c>
      <c r="AJ28" s="2">
        <f t="shared" si="40"/>
        <v>1839.066531537123</v>
      </c>
      <c r="AK28" s="2">
        <f t="shared" si="40"/>
        <v>1820.6758662217517</v>
      </c>
      <c r="AL28" s="2">
        <f t="shared" si="40"/>
        <v>1802.4691075595342</v>
      </c>
      <c r="AM28" s="2">
        <f t="shared" si="40"/>
        <v>1784.4444164839388</v>
      </c>
      <c r="AN28" s="2">
        <f t="shared" si="40"/>
        <v>1766.5999723190994</v>
      </c>
      <c r="AO28" s="2">
        <f t="shared" si="40"/>
        <v>1748.9339725959085</v>
      </c>
      <c r="AP28" s="2">
        <f t="shared" si="40"/>
        <v>1731.4446328699494</v>
      </c>
      <c r="AQ28" s="2">
        <f t="shared" si="40"/>
        <v>1714.1301865412499</v>
      </c>
      <c r="AR28" s="2">
        <f t="shared" si="40"/>
        <v>1696.9888846758374</v>
      </c>
      <c r="AS28" s="2">
        <f t="shared" si="40"/>
        <v>1680.0189958290791</v>
      </c>
      <c r="AT28" s="2">
        <f t="shared" si="40"/>
        <v>1663.2188058707884</v>
      </c>
      <c r="AU28" s="2">
        <f t="shared" si="40"/>
        <v>1646.5866178120805</v>
      </c>
      <c r="AV28" s="2">
        <f t="shared" si="40"/>
        <v>1630.1207516339596</v>
      </c>
      <c r="AW28" s="2">
        <f t="shared" si="40"/>
        <v>1613.8195441176199</v>
      </c>
      <c r="AX28" s="2">
        <f t="shared" si="40"/>
        <v>1597.6813486764436</v>
      </c>
      <c r="AY28" s="2">
        <f t="shared" si="40"/>
        <v>1581.7045351896791</v>
      </c>
      <c r="AZ28" s="2">
        <f t="shared" si="40"/>
        <v>1565.8874898377824</v>
      </c>
      <c r="BA28" s="2">
        <f t="shared" si="40"/>
        <v>1550.2286149394045</v>
      </c>
      <c r="BB28" s="2">
        <f t="shared" si="40"/>
        <v>1534.7263287900105</v>
      </c>
      <c r="BC28" s="2">
        <f t="shared" si="40"/>
        <v>1519.3790655021103</v>
      </c>
      <c r="BD28" s="2">
        <f t="shared" si="40"/>
        <v>1504.1852748470892</v>
      </c>
      <c r="BE28" s="2">
        <f t="shared" si="40"/>
        <v>1489.1434220986182</v>
      </c>
      <c r="BF28" s="2">
        <f t="shared" si="40"/>
        <v>1474.251987877632</v>
      </c>
      <c r="BG28" s="2">
        <f t="shared" si="40"/>
        <v>1459.5094679988556</v>
      </c>
      <c r="BH28" s="2">
        <f t="shared" si="40"/>
        <v>1444.9143733188671</v>
      </c>
      <c r="BI28" s="2">
        <f t="shared" si="40"/>
        <v>1430.4652295856783</v>
      </c>
      <c r="BJ28" s="2">
        <f t="shared" si="40"/>
        <v>1416.1605772898215</v>
      </c>
      <c r="BK28" s="2">
        <f t="shared" si="40"/>
        <v>1401.9989715169233</v>
      </c>
      <c r="BL28" s="2">
        <f t="shared" si="40"/>
        <v>1387.9789818017541</v>
      </c>
      <c r="BM28" s="2">
        <f t="shared" si="40"/>
        <v>1374.0991919837365</v>
      </c>
      <c r="BN28" s="2">
        <f t="shared" si="40"/>
        <v>1360.3582000638992</v>
      </c>
      <c r="BO28" s="2">
        <f t="shared" si="40"/>
        <v>1346.7546180632601</v>
      </c>
      <c r="BP28" s="2">
        <f t="shared" si="40"/>
        <v>1333.2870718826275</v>
      </c>
      <c r="BQ28" s="2">
        <f t="shared" si="40"/>
        <v>1319.9542011638011</v>
      </c>
      <c r="BR28" s="2">
        <f t="shared" si="40"/>
        <v>1306.7546591521632</v>
      </c>
      <c r="BS28" s="2">
        <f t="shared" si="40"/>
        <v>1293.6871125606415</v>
      </c>
      <c r="BT28" s="2">
        <f t="shared" si="40"/>
        <v>1280.7502414350352</v>
      </c>
      <c r="BU28" s="2">
        <f t="shared" si="40"/>
        <v>1267.9427390206847</v>
      </c>
      <c r="BV28" s="2">
        <f t="shared" si="40"/>
        <v>1255.2633116304778</v>
      </c>
      <c r="BW28" s="2">
        <f t="shared" si="40"/>
        <v>1242.710678514173</v>
      </c>
      <c r="BX28" s="2">
        <f t="shared" si="40"/>
        <v>1230.2835717290313</v>
      </c>
      <c r="BY28" s="2">
        <f t="shared" si="40"/>
        <v>1217.9807360117411</v>
      </c>
      <c r="BZ28" s="2">
        <f t="shared" si="40"/>
        <v>1205.8009286516237</v>
      </c>
      <c r="CA28" s="2">
        <f t="shared" si="40"/>
        <v>1193.7429193651076</v>
      </c>
      <c r="CB28" s="2">
        <f t="shared" si="40"/>
        <v>1181.8054901714565</v>
      </c>
      <c r="CC28" s="2">
        <f t="shared" si="40"/>
        <v>1169.987435269742</v>
      </c>
      <c r="CD28" s="2">
        <f t="shared" si="40"/>
        <v>1158.2875609170446</v>
      </c>
      <c r="CE28" s="2">
        <f t="shared" si="40"/>
        <v>1146.7046853078741</v>
      </c>
      <c r="CF28" s="2">
        <f t="shared" si="40"/>
        <v>1135.2376384547954</v>
      </c>
      <c r="CG28" s="2">
        <f t="shared" si="40"/>
        <v>1123.8852620702473</v>
      </c>
      <c r="CH28" s="2">
        <f t="shared" si="40"/>
        <v>1112.6464094495448</v>
      </c>
      <c r="CI28" s="2">
        <f t="shared" si="40"/>
        <v>1101.5199453550492</v>
      </c>
      <c r="CJ28" s="2">
        <f t="shared" si="40"/>
        <v>1090.5047459014988</v>
      </c>
      <c r="CK28" s="2">
        <f t="shared" si="40"/>
        <v>1079.5996984424839</v>
      </c>
      <c r="CL28" s="2">
        <f t="shared" si="40"/>
        <v>1068.8037014580591</v>
      </c>
      <c r="CM28" s="2">
        <f t="shared" si="40"/>
        <v>1058.1156644434784</v>
      </c>
      <c r="CN28" s="2">
        <f t="shared" si="40"/>
        <v>1047.5345077990437</v>
      </c>
      <c r="CO28" s="2">
        <f t="shared" si="40"/>
        <v>1037.0591627210533</v>
      </c>
      <c r="CP28" s="2">
        <f t="shared" si="40"/>
        <v>1026.6885710938427</v>
      </c>
      <c r="CQ28" s="2">
        <f t="shared" si="40"/>
        <v>1016.4216853829042</v>
      </c>
      <c r="CR28" s="2">
        <f t="shared" si="40"/>
        <v>1006.2574685290751</v>
      </c>
      <c r="CS28" s="2">
        <f t="shared" si="40"/>
        <v>996.19489384378437</v>
      </c>
      <c r="CT28" s="2">
        <f t="shared" ref="CT28:EM28" si="41">CS28*(1+$AI$33)</f>
        <v>986.23294490534647</v>
      </c>
      <c r="CU28" s="2">
        <f t="shared" si="41"/>
        <v>976.37061545629297</v>
      </c>
      <c r="CV28" s="2">
        <f t="shared" si="41"/>
        <v>966.60690930173007</v>
      </c>
      <c r="CW28" s="2">
        <f t="shared" si="41"/>
        <v>956.94084020871276</v>
      </c>
      <c r="CX28" s="2">
        <f t="shared" si="41"/>
        <v>947.37143180662565</v>
      </c>
      <c r="CY28" s="2">
        <f t="shared" si="41"/>
        <v>937.89771748855935</v>
      </c>
      <c r="CZ28" s="2">
        <f t="shared" si="41"/>
        <v>928.51874031367379</v>
      </c>
      <c r="DA28" s="2">
        <f t="shared" si="41"/>
        <v>919.23355291053701</v>
      </c>
      <c r="DB28" s="2">
        <f t="shared" si="41"/>
        <v>910.04121738143158</v>
      </c>
      <c r="DC28" s="2">
        <f t="shared" si="41"/>
        <v>900.94080520761725</v>
      </c>
      <c r="DD28" s="2">
        <f t="shared" si="41"/>
        <v>891.93139715554105</v>
      </c>
      <c r="DE28" s="2">
        <f t="shared" si="41"/>
        <v>883.01208318398562</v>
      </c>
      <c r="DF28" s="2">
        <f t="shared" si="41"/>
        <v>874.18196235214577</v>
      </c>
      <c r="DG28" s="2">
        <f t="shared" si="41"/>
        <v>865.44014272862432</v>
      </c>
      <c r="DH28" s="2">
        <f t="shared" si="41"/>
        <v>856.78574130133802</v>
      </c>
      <c r="DI28" s="2">
        <f t="shared" si="41"/>
        <v>848.21788388832465</v>
      </c>
      <c r="DJ28" s="2">
        <f t="shared" si="41"/>
        <v>839.73570504944144</v>
      </c>
      <c r="DK28" s="2">
        <f t="shared" si="41"/>
        <v>831.33834799894703</v>
      </c>
      <c r="DL28" s="2">
        <f t="shared" si="41"/>
        <v>823.02496451895752</v>
      </c>
      <c r="DM28" s="2">
        <f t="shared" si="41"/>
        <v>814.79471487376793</v>
      </c>
      <c r="DN28" s="2">
        <f t="shared" si="41"/>
        <v>806.64676772503026</v>
      </c>
      <c r="DO28" s="2">
        <f t="shared" si="41"/>
        <v>798.58030004777993</v>
      </c>
      <c r="DP28" s="2">
        <f t="shared" si="41"/>
        <v>790.59449704730207</v>
      </c>
      <c r="DQ28" s="2">
        <f t="shared" si="41"/>
        <v>782.68855207682907</v>
      </c>
      <c r="DR28" s="2">
        <f t="shared" si="41"/>
        <v>774.86166655606075</v>
      </c>
      <c r="DS28" s="2">
        <f t="shared" si="41"/>
        <v>767.11304989050018</v>
      </c>
      <c r="DT28" s="2">
        <f t="shared" si="41"/>
        <v>759.44191939159521</v>
      </c>
      <c r="DU28" s="2">
        <f t="shared" si="41"/>
        <v>751.84750019767921</v>
      </c>
      <c r="DV28" s="2">
        <f t="shared" si="41"/>
        <v>744.32902519570246</v>
      </c>
      <c r="DW28" s="2">
        <f t="shared" si="41"/>
        <v>736.88573494374543</v>
      </c>
      <c r="DX28" s="2">
        <f t="shared" si="41"/>
        <v>729.51687759430797</v>
      </c>
      <c r="DY28" s="2">
        <f t="shared" si="41"/>
        <v>722.22170881836485</v>
      </c>
      <c r="DZ28" s="2">
        <f t="shared" si="41"/>
        <v>714.99949173018115</v>
      </c>
      <c r="EA28" s="2">
        <f t="shared" si="41"/>
        <v>707.84949681287935</v>
      </c>
      <c r="EB28" s="2">
        <f t="shared" si="41"/>
        <v>700.77100184475057</v>
      </c>
      <c r="EC28" s="2">
        <f t="shared" si="41"/>
        <v>693.76329182630309</v>
      </c>
      <c r="ED28" s="2">
        <f t="shared" si="41"/>
        <v>686.82565890804005</v>
      </c>
      <c r="EE28" s="2">
        <f t="shared" si="41"/>
        <v>679.95740231895968</v>
      </c>
      <c r="EF28" s="2">
        <f t="shared" si="41"/>
        <v>673.15782829577006</v>
      </c>
      <c r="EG28" s="2">
        <f t="shared" si="41"/>
        <v>666.42625001281237</v>
      </c>
      <c r="EH28" s="2">
        <f t="shared" si="41"/>
        <v>659.7619875126843</v>
      </c>
      <c r="EI28" s="2">
        <f t="shared" si="41"/>
        <v>653.16436763755746</v>
      </c>
      <c r="EJ28" s="2">
        <f t="shared" si="41"/>
        <v>646.63272396118191</v>
      </c>
      <c r="EK28" s="2">
        <f t="shared" si="41"/>
        <v>640.16639672157009</v>
      </c>
      <c r="EL28" s="2">
        <f t="shared" si="41"/>
        <v>633.76473275435444</v>
      </c>
      <c r="EM28" s="2">
        <f t="shared" si="41"/>
        <v>627.42708542681089</v>
      </c>
    </row>
    <row r="29" spans="2:143" x14ac:dyDescent="0.3">
      <c r="B29" s="1" t="s">
        <v>2</v>
      </c>
      <c r="D29" s="6">
        <f>128.7</f>
        <v>128.69999999999999</v>
      </c>
      <c r="E29" s="6">
        <f>128.7</f>
        <v>128.69999999999999</v>
      </c>
      <c r="G29" s="6">
        <f t="shared" ref="G29:L29" si="42">128.7</f>
        <v>128.69999999999999</v>
      </c>
      <c r="H29" s="6">
        <f t="shared" si="42"/>
        <v>128.69999999999999</v>
      </c>
      <c r="I29" s="6">
        <f t="shared" si="42"/>
        <v>128.69999999999999</v>
      </c>
      <c r="J29" s="6">
        <f t="shared" si="42"/>
        <v>128.69999999999999</v>
      </c>
      <c r="K29" s="6">
        <f t="shared" si="42"/>
        <v>128.69999999999999</v>
      </c>
      <c r="L29" s="6">
        <f t="shared" si="42"/>
        <v>128.69999999999999</v>
      </c>
      <c r="M29" s="6">
        <f>127.9</f>
        <v>127.9</v>
      </c>
      <c r="N29" s="6">
        <f>127.9</f>
        <v>127.9</v>
      </c>
      <c r="P29" s="6">
        <f t="shared" ref="P29:U29" si="43">128.7</f>
        <v>128.69999999999999</v>
      </c>
      <c r="Q29" s="6">
        <f t="shared" si="43"/>
        <v>128.69999999999999</v>
      </c>
      <c r="R29" s="6">
        <f t="shared" si="43"/>
        <v>128.69999999999999</v>
      </c>
      <c r="S29" s="6">
        <f t="shared" si="43"/>
        <v>128.69999999999999</v>
      </c>
      <c r="T29" s="6">
        <f t="shared" si="43"/>
        <v>128.69999999999999</v>
      </c>
      <c r="U29" s="6">
        <f t="shared" si="43"/>
        <v>128.69999999999999</v>
      </c>
      <c r="V29" s="6">
        <f>127.9</f>
        <v>127.9</v>
      </c>
      <c r="W29" s="6">
        <f>127.9</f>
        <v>127.9</v>
      </c>
      <c r="X29" s="6">
        <f>127.9</f>
        <v>127.9</v>
      </c>
      <c r="Y29" s="6">
        <f>127.9</f>
        <v>127.9</v>
      </c>
      <c r="Z29" s="6">
        <f>127.9</f>
        <v>127.9</v>
      </c>
      <c r="AA29" s="6">
        <f>127.9</f>
        <v>127.9</v>
      </c>
      <c r="AB29" s="6">
        <f>127.9</f>
        <v>127.9</v>
      </c>
      <c r="AC29" s="6">
        <f>127.9</f>
        <v>127.9</v>
      </c>
      <c r="AD29" s="6">
        <f>127.9</f>
        <v>127.9</v>
      </c>
      <c r="AE29" s="6">
        <f>127.9</f>
        <v>127.9</v>
      </c>
      <c r="AF29" s="6">
        <f>127.9</f>
        <v>127.9</v>
      </c>
    </row>
    <row r="30" spans="2:143" x14ac:dyDescent="0.3">
      <c r="B30" s="1" t="s">
        <v>37</v>
      </c>
      <c r="D30" s="8">
        <f>D28/D29</f>
        <v>1.6083916083916086</v>
      </c>
      <c r="E30" s="8">
        <f>E28/E29</f>
        <v>-3.1002331002331007</v>
      </c>
      <c r="G30" s="8">
        <f t="shared" ref="G30:L30" si="44">G28/G29</f>
        <v>2.2066822066822067</v>
      </c>
      <c r="H30" s="8">
        <f t="shared" si="44"/>
        <v>2.5019425019425023</v>
      </c>
      <c r="I30" s="8">
        <f t="shared" si="44"/>
        <v>2.8282828282828287</v>
      </c>
      <c r="J30" s="8">
        <f t="shared" si="44"/>
        <v>2.2066822066822067</v>
      </c>
      <c r="K30" s="8">
        <f t="shared" si="44"/>
        <v>2.8205128205128207</v>
      </c>
      <c r="L30" s="8">
        <f t="shared" si="44"/>
        <v>3.0380730380730383</v>
      </c>
      <c r="M30" s="8">
        <f t="shared" ref="M30:N30" si="45">M28/M29</f>
        <v>2.8694292415949958</v>
      </c>
      <c r="N30" s="8">
        <f t="shared" si="45"/>
        <v>2.882301250977326</v>
      </c>
      <c r="P30" s="8">
        <f t="shared" ref="P30:W30" si="46">P28/P29</f>
        <v>5.1825951825951835</v>
      </c>
      <c r="Q30" s="8">
        <f t="shared" si="46"/>
        <v>4.8795648795648798</v>
      </c>
      <c r="R30" s="8">
        <f t="shared" si="46"/>
        <v>5.8508158508158514</v>
      </c>
      <c r="S30" s="8">
        <f t="shared" si="46"/>
        <v>5.3224553224553226</v>
      </c>
      <c r="T30" s="8">
        <f t="shared" si="46"/>
        <v>1.5462315462315463</v>
      </c>
      <c r="U30" s="8">
        <f t="shared" si="46"/>
        <v>9.7435897435897445</v>
      </c>
      <c r="V30" s="8">
        <f t="shared" si="46"/>
        <v>11.646961141516799</v>
      </c>
      <c r="W30" s="8">
        <f t="shared" si="46"/>
        <v>12.712909206411259</v>
      </c>
      <c r="X30" s="8">
        <f t="shared" ref="X30:AF30" si="47">X28/X29</f>
        <v>13.359002058639561</v>
      </c>
      <c r="Y30" s="8">
        <f t="shared" si="47"/>
        <v>13.825053570228304</v>
      </c>
      <c r="Z30" s="8">
        <f t="shared" si="47"/>
        <v>14.09139865007476</v>
      </c>
      <c r="AA30" s="8">
        <f t="shared" si="47"/>
        <v>14.362748584070419</v>
      </c>
      <c r="AB30" s="8">
        <f t="shared" si="47"/>
        <v>14.482984547625614</v>
      </c>
      <c r="AC30" s="8">
        <f t="shared" si="47"/>
        <v>14.6037211251478</v>
      </c>
      <c r="AD30" s="8">
        <f t="shared" si="47"/>
        <v>14.724942270406581</v>
      </c>
      <c r="AE30" s="8">
        <f t="shared" si="47"/>
        <v>14.846631145138167</v>
      </c>
      <c r="AF30" s="8">
        <f t="shared" si="47"/>
        <v>14.968770092177902</v>
      </c>
    </row>
    <row r="32" spans="2:143" x14ac:dyDescent="0.3">
      <c r="B32" s="1" t="s">
        <v>40</v>
      </c>
      <c r="D32" s="10"/>
      <c r="E32" s="10"/>
      <c r="F32" s="10"/>
      <c r="G32" s="10"/>
      <c r="H32" s="10">
        <f t="shared" ref="H32:I32" si="48">H13/D13-1</f>
        <v>7.6602397081813489E-2</v>
      </c>
      <c r="I32" s="10">
        <f t="shared" si="48"/>
        <v>6.8604947717419096E-2</v>
      </c>
      <c r="J32" s="10"/>
      <c r="K32" s="10">
        <f>K13/G13-1</f>
        <v>6.7924528301886777E-2</v>
      </c>
      <c r="L32" s="10">
        <f t="shared" ref="L32:N32" si="49">L13/H13-1</f>
        <v>2.9283639883833423E-2</v>
      </c>
      <c r="M32" s="10">
        <f t="shared" si="49"/>
        <v>6.658711217183777E-2</v>
      </c>
      <c r="N32" s="10">
        <f t="shared" si="49"/>
        <v>7.0000000000000062E-2</v>
      </c>
      <c r="P32" s="10"/>
      <c r="Q32" s="10">
        <f>Q13/P13-1</f>
        <v>0.10843699296917242</v>
      </c>
      <c r="R32" s="10">
        <f t="shared" ref="R32:AF32" si="50">R13/Q13-1</f>
        <v>0.11710173212978781</v>
      </c>
      <c r="S32" s="10">
        <f t="shared" si="50"/>
        <v>4.797262866710339E-2</v>
      </c>
      <c r="T32" s="10">
        <f t="shared" si="50"/>
        <v>7.2381217004723553E-2</v>
      </c>
      <c r="U32" s="10">
        <f t="shared" si="50"/>
        <v>7.9284881461329171E-2</v>
      </c>
      <c r="V32" s="10">
        <f t="shared" si="50"/>
        <v>5.8549393830272356E-2</v>
      </c>
      <c r="W32" s="10">
        <f t="shared" si="50"/>
        <v>5.0000000000000044E-2</v>
      </c>
      <c r="X32" s="10">
        <f t="shared" si="50"/>
        <v>4.0000000000000036E-2</v>
      </c>
      <c r="Y32" s="10">
        <f t="shared" si="50"/>
        <v>3.0000000000000027E-2</v>
      </c>
      <c r="Z32" s="10">
        <f t="shared" si="50"/>
        <v>2.0000000000000018E-2</v>
      </c>
      <c r="AA32" s="10">
        <f t="shared" si="50"/>
        <v>2.0000000000000018E-2</v>
      </c>
      <c r="AB32" s="10">
        <f t="shared" si="50"/>
        <v>1.0000000000000009E-2</v>
      </c>
      <c r="AC32" s="10">
        <f t="shared" si="50"/>
        <v>1.0000000000000009E-2</v>
      </c>
      <c r="AD32" s="10">
        <f t="shared" si="50"/>
        <v>1.0000000000000009E-2</v>
      </c>
      <c r="AE32" s="10">
        <f t="shared" si="50"/>
        <v>1.0000000000000009E-2</v>
      </c>
      <c r="AF32" s="10">
        <f t="shared" si="50"/>
        <v>1.0000000000000009E-2</v>
      </c>
    </row>
    <row r="33" spans="2:35" x14ac:dyDescent="0.3">
      <c r="B33" s="1" t="s">
        <v>41</v>
      </c>
      <c r="D33" s="10">
        <f t="shared" ref="D33:J33" si="51">D15/D13</f>
        <v>0.14773319437206878</v>
      </c>
      <c r="E33" s="10">
        <f t="shared" si="51"/>
        <v>0.14970670747258352</v>
      </c>
      <c r="F33" s="10"/>
      <c r="G33" s="10">
        <f t="shared" si="51"/>
        <v>0.16050314465408805</v>
      </c>
      <c r="H33" s="10">
        <f t="shared" si="51"/>
        <v>0.17061955469506293</v>
      </c>
      <c r="I33" s="10">
        <f t="shared" si="51"/>
        <v>0.18186157517899762</v>
      </c>
      <c r="J33" s="10">
        <f t="shared" si="51"/>
        <v>0.15876288659793814</v>
      </c>
      <c r="K33" s="10">
        <f>K15/K13</f>
        <v>0.17832744405182568</v>
      </c>
      <c r="L33" s="10">
        <f t="shared" ref="L33:N33" si="52">L15/L13</f>
        <v>0.1838702092640489</v>
      </c>
      <c r="M33" s="10">
        <f t="shared" si="52"/>
        <v>0.18371000223763706</v>
      </c>
      <c r="N33" s="10">
        <f t="shared" si="52"/>
        <v>0.17</v>
      </c>
      <c r="P33" s="10">
        <f>P15/P13</f>
        <v>0.13953488372093023</v>
      </c>
      <c r="Q33" s="10">
        <f>Q15/Q13</f>
        <v>0.14125396438155649</v>
      </c>
      <c r="R33" s="10">
        <f t="shared" ref="R33:AF33" si="53">R15/R13</f>
        <v>0.14661134163208853</v>
      </c>
      <c r="S33" s="10">
        <f t="shared" si="53"/>
        <v>0.14476243400944708</v>
      </c>
      <c r="T33" s="10">
        <f t="shared" si="53"/>
        <v>0.14535561601243685</v>
      </c>
      <c r="U33" s="10">
        <f t="shared" si="53"/>
        <v>0.16792701956547834</v>
      </c>
      <c r="V33" s="10">
        <f t="shared" si="53"/>
        <v>0.17882265394003127</v>
      </c>
      <c r="W33" s="10">
        <f t="shared" si="53"/>
        <v>0.18</v>
      </c>
      <c r="X33" s="10">
        <f t="shared" si="53"/>
        <v>0.18</v>
      </c>
      <c r="Y33" s="10">
        <f t="shared" si="53"/>
        <v>0.18</v>
      </c>
      <c r="Z33" s="10">
        <f t="shared" si="53"/>
        <v>0.18</v>
      </c>
      <c r="AA33" s="10">
        <f t="shared" si="53"/>
        <v>0.18</v>
      </c>
      <c r="AB33" s="10">
        <f t="shared" si="53"/>
        <v>0.18</v>
      </c>
      <c r="AC33" s="10">
        <f t="shared" si="53"/>
        <v>0.18</v>
      </c>
      <c r="AD33" s="10">
        <f t="shared" si="53"/>
        <v>0.18</v>
      </c>
      <c r="AE33" s="10">
        <f t="shared" si="53"/>
        <v>0.18</v>
      </c>
      <c r="AF33" s="10">
        <f t="shared" si="53"/>
        <v>0.18</v>
      </c>
      <c r="AH33" s="1" t="s">
        <v>46</v>
      </c>
      <c r="AI33" s="10">
        <v>-0.01</v>
      </c>
    </row>
    <row r="34" spans="2:35" x14ac:dyDescent="0.3">
      <c r="B34" s="1" t="s">
        <v>42</v>
      </c>
      <c r="D34" s="10"/>
      <c r="E34" s="10"/>
      <c r="F34" s="10"/>
      <c r="G34" s="10"/>
      <c r="H34" s="10">
        <f t="shared" ref="H34:I34" si="54">H16/D16-1</f>
        <v>-2.5316455696202556E-2</v>
      </c>
      <c r="I34" s="10">
        <f t="shared" si="54"/>
        <v>3.3472803347280422E-2</v>
      </c>
      <c r="J34" s="10"/>
      <c r="K34" s="10">
        <f>K16/G16-1</f>
        <v>1.7699115044247815E-2</v>
      </c>
      <c r="L34" s="10">
        <f t="shared" ref="L34:N34" si="55">L16/H16-1</f>
        <v>-6.0606060606060552E-2</v>
      </c>
      <c r="M34" s="10">
        <f t="shared" si="55"/>
        <v>0.15789473684210531</v>
      </c>
      <c r="N34" s="10">
        <f t="shared" si="55"/>
        <v>1.0000000000000009E-2</v>
      </c>
      <c r="P34" s="10"/>
      <c r="Q34" s="10">
        <f>Q16/P16-1</f>
        <v>8.1664098613251079E-2</v>
      </c>
      <c r="R34" s="10">
        <f t="shared" ref="R34:AF34" si="56">R16/Q16-1</f>
        <v>0.21225071225071224</v>
      </c>
      <c r="S34" s="10">
        <f t="shared" si="56"/>
        <v>0.11750881316098716</v>
      </c>
      <c r="T34" s="10">
        <f t="shared" si="56"/>
        <v>-9.4637223974763929E-3</v>
      </c>
      <c r="U34" s="10">
        <f t="shared" si="56"/>
        <v>4.3524416135881205E-2</v>
      </c>
      <c r="V34" s="10">
        <f t="shared" si="56"/>
        <v>3.2339776195320358E-2</v>
      </c>
      <c r="W34" s="10">
        <f t="shared" si="56"/>
        <v>2.0000000000000018E-2</v>
      </c>
      <c r="X34" s="10">
        <f t="shared" si="56"/>
        <v>2.0000000000000018E-2</v>
      </c>
      <c r="Y34" s="10">
        <f t="shared" si="56"/>
        <v>2.0000000000000018E-2</v>
      </c>
      <c r="Z34" s="10">
        <f t="shared" si="56"/>
        <v>2.0000000000000018E-2</v>
      </c>
      <c r="AA34" s="10">
        <f t="shared" si="56"/>
        <v>2.0000000000000018E-2</v>
      </c>
      <c r="AB34" s="10">
        <f t="shared" si="56"/>
        <v>1.0000000000000009E-2</v>
      </c>
      <c r="AC34" s="10">
        <f t="shared" si="56"/>
        <v>1.0000000000000009E-2</v>
      </c>
      <c r="AD34" s="10">
        <f t="shared" si="56"/>
        <v>1.0000000000000009E-2</v>
      </c>
      <c r="AE34" s="10">
        <f t="shared" si="56"/>
        <v>1.0000000000000009E-2</v>
      </c>
      <c r="AF34" s="10">
        <f t="shared" si="56"/>
        <v>1.0000000000000009E-2</v>
      </c>
      <c r="AH34" s="1" t="s">
        <v>47</v>
      </c>
      <c r="AI34" s="10">
        <v>0.08</v>
      </c>
    </row>
    <row r="35" spans="2:35" x14ac:dyDescent="0.3">
      <c r="B35" s="1" t="s">
        <v>43</v>
      </c>
      <c r="D35" s="10">
        <f t="shared" ref="D35:J35" si="57">D16/D13</f>
        <v>6.175091193329859E-2</v>
      </c>
      <c r="E35" s="10">
        <f t="shared" si="57"/>
        <v>6.0953838306554452E-2</v>
      </c>
      <c r="F35" s="10"/>
      <c r="G35" s="10">
        <f t="shared" si="57"/>
        <v>5.6855345911949684E-2</v>
      </c>
      <c r="H35" s="10">
        <f t="shared" si="57"/>
        <v>5.5905130687318491E-2</v>
      </c>
      <c r="I35" s="10">
        <f t="shared" si="57"/>
        <v>5.8949880668257758E-2</v>
      </c>
      <c r="J35" s="10">
        <f t="shared" si="57"/>
        <v>6.3917525773195871E-2</v>
      </c>
      <c r="K35" s="10">
        <f>K16/K13</f>
        <v>5.418138987043581E-2</v>
      </c>
      <c r="L35" s="10">
        <f t="shared" ref="L35:N35" si="58">L16/L13</f>
        <v>5.1022807430049374E-2</v>
      </c>
      <c r="M35" s="10">
        <f t="shared" si="58"/>
        <v>6.3996419780711564E-2</v>
      </c>
      <c r="N35" s="10">
        <f t="shared" si="58"/>
        <v>6.033336544946527E-2</v>
      </c>
      <c r="P35" s="10">
        <f>P16/P13</f>
        <v>5.8500090138813771E-2</v>
      </c>
      <c r="Q35" s="10">
        <f>Q16/Q13</f>
        <v>5.7087094413271533E-2</v>
      </c>
      <c r="R35" s="10">
        <f t="shared" ref="R35:AF35" si="59">R16/R13</f>
        <v>6.1949479507898378E-2</v>
      </c>
      <c r="S35" s="10">
        <f t="shared" si="59"/>
        <v>6.6060016671297586E-2</v>
      </c>
      <c r="T35" s="10">
        <f t="shared" si="59"/>
        <v>6.1018266614846481E-2</v>
      </c>
      <c r="U35" s="10">
        <f t="shared" si="59"/>
        <v>5.8996519025327092E-2</v>
      </c>
      <c r="V35" s="10">
        <f t="shared" si="59"/>
        <v>5.7535768856785664E-2</v>
      </c>
      <c r="W35" s="10">
        <f t="shared" si="59"/>
        <v>5.5891889746591789E-2</v>
      </c>
      <c r="X35" s="10">
        <f t="shared" si="59"/>
        <v>5.4817045713003484E-2</v>
      </c>
      <c r="Y35" s="10">
        <f t="shared" si="59"/>
        <v>5.428484138569277E-2</v>
      </c>
      <c r="Z35" s="10">
        <f t="shared" si="59"/>
        <v>5.4284841385692777E-2</v>
      </c>
      <c r="AA35" s="10">
        <f t="shared" si="59"/>
        <v>5.4284841385692784E-2</v>
      </c>
      <c r="AB35" s="10">
        <f t="shared" si="59"/>
        <v>5.4284841385692791E-2</v>
      </c>
      <c r="AC35" s="10">
        <f t="shared" si="59"/>
        <v>5.4284841385692784E-2</v>
      </c>
      <c r="AD35" s="10">
        <f t="shared" si="59"/>
        <v>5.4284841385692791E-2</v>
      </c>
      <c r="AE35" s="10">
        <f t="shared" si="59"/>
        <v>5.4284841385692791E-2</v>
      </c>
      <c r="AF35" s="10">
        <f t="shared" si="59"/>
        <v>5.4284841385692791E-2</v>
      </c>
      <c r="AH35" s="1" t="s">
        <v>48</v>
      </c>
      <c r="AI35" s="6">
        <f>NPV(AI34,V28:EM28)</f>
        <v>21577.850136476831</v>
      </c>
    </row>
    <row r="36" spans="2:35" x14ac:dyDescent="0.3">
      <c r="B36" s="1" t="s">
        <v>44</v>
      </c>
      <c r="D36" s="10">
        <f t="shared" ref="D36:J36" si="60">D20/D13</f>
        <v>8.4418968212610732E-2</v>
      </c>
      <c r="E36" s="10">
        <f t="shared" si="60"/>
        <v>-8.7732721244580467E-2</v>
      </c>
      <c r="F36" s="10"/>
      <c r="G36" s="10">
        <f t="shared" si="60"/>
        <v>0.10264150943396226</v>
      </c>
      <c r="H36" s="10">
        <f t="shared" si="60"/>
        <v>0.11302032913843175</v>
      </c>
      <c r="I36" s="10">
        <f t="shared" si="60"/>
        <v>0.12076372315035799</v>
      </c>
      <c r="J36" s="10">
        <f t="shared" si="60"/>
        <v>9.3241695303550975E-2</v>
      </c>
      <c r="K36" s="10">
        <f>K20/K13</f>
        <v>0.1232037691401649</v>
      </c>
      <c r="L36" s="10">
        <f t="shared" ref="L36:N36" si="61">L20/L13</f>
        <v>0.13237714554432164</v>
      </c>
      <c r="M36" s="10">
        <f t="shared" si="61"/>
        <v>0.11792347281270978</v>
      </c>
      <c r="N36" s="10">
        <f t="shared" si="61"/>
        <v>0.10881020436565286</v>
      </c>
      <c r="P36" s="10">
        <f>P20/P13</f>
        <v>8.0584099513250407E-2</v>
      </c>
      <c r="Q36" s="10">
        <f>Q20/Q13</f>
        <v>8.0019516955354961E-2</v>
      </c>
      <c r="R36" s="10">
        <f t="shared" ref="R36:AF36" si="62">R20/R13</f>
        <v>8.2405183082186792E-2</v>
      </c>
      <c r="S36" s="10">
        <f t="shared" si="62"/>
        <v>7.4742984162267295E-2</v>
      </c>
      <c r="T36" s="10">
        <f t="shared" si="62"/>
        <v>3.8282160901671199E-2</v>
      </c>
      <c r="U36" s="10">
        <f t="shared" si="62"/>
        <v>0.10731004681310767</v>
      </c>
      <c r="V36" s="10">
        <f t="shared" si="62"/>
        <v>0.12026633517693777</v>
      </c>
      <c r="W36" s="10">
        <f t="shared" si="62"/>
        <v>0.12334458773091123</v>
      </c>
      <c r="X36" s="10">
        <f t="shared" si="62"/>
        <v>0.12444145645264847</v>
      </c>
      <c r="Y36" s="10">
        <f t="shared" si="62"/>
        <v>0.12498805879616014</v>
      </c>
      <c r="Z36" s="10">
        <f t="shared" si="62"/>
        <v>0.12499518722574982</v>
      </c>
      <c r="AA36" s="10">
        <f t="shared" si="62"/>
        <v>0.12500224576877486</v>
      </c>
      <c r="AB36" s="10">
        <f t="shared" si="62"/>
        <v>0.12500224576877486</v>
      </c>
      <c r="AC36" s="10">
        <f t="shared" si="62"/>
        <v>0.12500224576877486</v>
      </c>
      <c r="AD36" s="10">
        <f t="shared" si="62"/>
        <v>0.12500224576877486</v>
      </c>
      <c r="AE36" s="10">
        <f t="shared" si="62"/>
        <v>0.12500224576877483</v>
      </c>
      <c r="AF36" s="10">
        <f t="shared" si="62"/>
        <v>0.12500224576877489</v>
      </c>
      <c r="AH36" s="1" t="s">
        <v>49</v>
      </c>
      <c r="AI36" s="6">
        <f>Main!D8</f>
        <v>-3677</v>
      </c>
    </row>
    <row r="37" spans="2:35" x14ac:dyDescent="0.3">
      <c r="B37" s="1" t="s">
        <v>34</v>
      </c>
      <c r="D37" s="10">
        <f t="shared" ref="D37:J37" si="63">D26/D25</f>
        <v>0.23357664233576642</v>
      </c>
      <c r="E37" s="10">
        <f t="shared" si="63"/>
        <v>-2.0618556701030927E-2</v>
      </c>
      <c r="F37" s="10"/>
      <c r="G37" s="10">
        <f t="shared" si="63"/>
        <v>0.23097826086956522</v>
      </c>
      <c r="H37" s="10">
        <f t="shared" si="63"/>
        <v>0.23943661971830985</v>
      </c>
      <c r="I37" s="10">
        <f t="shared" si="63"/>
        <v>0.22978723404255319</v>
      </c>
      <c r="J37" s="10">
        <f t="shared" si="63"/>
        <v>0.248</v>
      </c>
      <c r="K37" s="10">
        <f>K26/K25</f>
        <v>0.23640167364016737</v>
      </c>
      <c r="L37" s="10">
        <f t="shared" ref="L37:N37" si="64">L26/L25</f>
        <v>0.2413127413127413</v>
      </c>
      <c r="M37" s="10">
        <f t="shared" si="64"/>
        <v>0.23760330578512398</v>
      </c>
      <c r="N37" s="10">
        <f t="shared" si="64"/>
        <v>0.22000000000000003</v>
      </c>
      <c r="P37" s="10">
        <f>P26/P25</f>
        <v>0.22632794457274827</v>
      </c>
      <c r="Q37" s="10">
        <f>Q26/Q25</f>
        <v>0.1946222791293214</v>
      </c>
      <c r="R37" s="10">
        <f t="shared" ref="R37:AF37" si="65">R26/R25</f>
        <v>0.21509824198552224</v>
      </c>
      <c r="S37" s="10">
        <f t="shared" si="65"/>
        <v>0.21783295711060949</v>
      </c>
      <c r="T37" s="10">
        <f t="shared" si="65"/>
        <v>0.4838709677419355</v>
      </c>
      <c r="U37" s="10">
        <f t="shared" si="65"/>
        <v>0.23672971323978034</v>
      </c>
      <c r="V37" s="10">
        <f t="shared" si="65"/>
        <v>0.23403240307207215</v>
      </c>
      <c r="W37" s="10">
        <f t="shared" si="65"/>
        <v>0.23</v>
      </c>
      <c r="X37" s="10">
        <f t="shared" si="65"/>
        <v>0.23</v>
      </c>
      <c r="Y37" s="10">
        <f t="shared" si="65"/>
        <v>0.23</v>
      </c>
      <c r="Z37" s="10">
        <f t="shared" si="65"/>
        <v>0.23</v>
      </c>
      <c r="AA37" s="10">
        <f t="shared" si="65"/>
        <v>0.22999999999999998</v>
      </c>
      <c r="AB37" s="10">
        <f t="shared" si="65"/>
        <v>0.23</v>
      </c>
      <c r="AC37" s="10">
        <f t="shared" si="65"/>
        <v>0.23</v>
      </c>
      <c r="AD37" s="10">
        <f t="shared" si="65"/>
        <v>0.22999999999999998</v>
      </c>
      <c r="AE37" s="10">
        <f t="shared" si="65"/>
        <v>0.23</v>
      </c>
      <c r="AF37" s="10">
        <f t="shared" si="65"/>
        <v>0.23000000000000004</v>
      </c>
      <c r="AH37" s="1" t="s">
        <v>50</v>
      </c>
      <c r="AI37" s="6">
        <f>AI35+AI36</f>
        <v>17900.850136476831</v>
      </c>
    </row>
    <row r="38" spans="2:35" x14ac:dyDescent="0.3">
      <c r="B38" s="1" t="s">
        <v>45</v>
      </c>
      <c r="D38" s="10">
        <f t="shared" ref="D38:J38" si="66">D28/D13</f>
        <v>5.3934340802501306E-2</v>
      </c>
      <c r="E38" s="10">
        <f t="shared" si="66"/>
        <v>-0.10175975516449885</v>
      </c>
      <c r="F38" s="10"/>
      <c r="G38" s="10">
        <f t="shared" si="66"/>
        <v>7.1446540880503145E-2</v>
      </c>
      <c r="H38" s="10">
        <f t="shared" si="66"/>
        <v>7.7928363988383348E-2</v>
      </c>
      <c r="I38" s="10">
        <f t="shared" si="66"/>
        <v>8.6873508353221954E-2</v>
      </c>
      <c r="J38" s="10">
        <f t="shared" si="66"/>
        <v>6.5063001145475377E-2</v>
      </c>
      <c r="K38" s="10">
        <f>K28/K13</f>
        <v>8.5512367491166072E-2</v>
      </c>
      <c r="L38" s="10">
        <f t="shared" ref="L38:N38" si="67">L28/L13</f>
        <v>9.193510463202445E-2</v>
      </c>
      <c r="M38" s="10">
        <f t="shared" si="67"/>
        <v>8.2121279928395616E-2</v>
      </c>
      <c r="N38" s="10">
        <f t="shared" si="67"/>
        <v>7.8929961139480365E-2</v>
      </c>
      <c r="P38" s="10">
        <f>P28/P13</f>
        <v>6.0122588786731566E-2</v>
      </c>
      <c r="Q38" s="10">
        <f>Q28/Q13</f>
        <v>5.1069366512157439E-2</v>
      </c>
      <c r="R38" s="10">
        <f t="shared" ref="R38:AF38" si="68">R28/R13</f>
        <v>5.4815461891242631E-2</v>
      </c>
      <c r="S38" s="10">
        <f t="shared" si="68"/>
        <v>4.7582661850514033E-2</v>
      </c>
      <c r="T38" s="10">
        <f t="shared" si="68"/>
        <v>1.28902707604612E-2</v>
      </c>
      <c r="U38" s="10">
        <f t="shared" si="68"/>
        <v>7.5261073100468132E-2</v>
      </c>
      <c r="V38" s="10">
        <f t="shared" si="68"/>
        <v>8.4458801250740539E-2</v>
      </c>
      <c r="W38" s="10">
        <f t="shared" si="68"/>
        <v>8.7798669127325882E-2</v>
      </c>
      <c r="X38" s="10">
        <f t="shared" si="68"/>
        <v>8.8712264422154671E-2</v>
      </c>
      <c r="Y38" s="10">
        <f t="shared" si="68"/>
        <v>8.9133148226658646E-2</v>
      </c>
      <c r="Z38" s="10">
        <f t="shared" si="68"/>
        <v>8.9068954205223233E-2</v>
      </c>
      <c r="AA38" s="10">
        <f t="shared" si="68"/>
        <v>8.9004023205327007E-2</v>
      </c>
      <c r="AB38" s="10">
        <f t="shared" si="68"/>
        <v>8.8860504273908611E-2</v>
      </c>
      <c r="AC38" s="10">
        <f t="shared" si="68"/>
        <v>8.871414338345221E-2</v>
      </c>
      <c r="AD38" s="10">
        <f t="shared" si="68"/>
        <v>8.8564884257541221E-2</v>
      </c>
      <c r="AE38" s="10">
        <f t="shared" si="68"/>
        <v>8.8412669505374561E-2</v>
      </c>
      <c r="AF38" s="10">
        <f t="shared" si="68"/>
        <v>8.8257440599699685E-2</v>
      </c>
      <c r="AH38" s="1" t="s">
        <v>51</v>
      </c>
      <c r="AI38" s="5">
        <f>AI37/AF29-1</f>
        <v>138.95973523437709</v>
      </c>
    </row>
    <row r="39" spans="2:35" x14ac:dyDescent="0.3">
      <c r="AH39" s="1" t="s">
        <v>52</v>
      </c>
      <c r="AI39" s="5">
        <f>Main!D3</f>
        <v>190.36</v>
      </c>
    </row>
    <row r="40" spans="2:35" x14ac:dyDescent="0.3">
      <c r="AH40" s="2" t="s">
        <v>53</v>
      </c>
      <c r="AI40" s="11">
        <f>AI38/AI39-1</f>
        <v>-0.27001609984042296</v>
      </c>
    </row>
    <row r="41" spans="2:35" x14ac:dyDescent="0.3">
      <c r="AH41" s="1" t="s">
        <v>54</v>
      </c>
      <c r="AI41" s="7" t="s">
        <v>55</v>
      </c>
    </row>
    <row r="42" spans="2:35" s="12" customFormat="1" x14ac:dyDescent="0.3">
      <c r="B42" s="12" t="s">
        <v>56</v>
      </c>
      <c r="L42" s="14">
        <f>13549</f>
        <v>13549</v>
      </c>
      <c r="M42" s="14">
        <v>13542</v>
      </c>
      <c r="V42" s="14">
        <v>13542</v>
      </c>
    </row>
    <row r="44" spans="2:35" x14ac:dyDescent="0.3">
      <c r="B44" s="1" t="s">
        <v>57</v>
      </c>
      <c r="L44" s="13"/>
      <c r="V44" s="13">
        <f>Main!$D$9/Model!V42</f>
        <v>2.0694169251218435</v>
      </c>
    </row>
    <row r="45" spans="2:35" x14ac:dyDescent="0.3">
      <c r="B45" s="1" t="s">
        <v>58</v>
      </c>
      <c r="L45" s="10"/>
      <c r="V45" s="10">
        <f>V42/Main!$D$9-1</f>
        <v>-0.51677209756022369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2025-07-30T17:46:39Z</dcterms:created>
  <dcterms:modified xsi:type="dcterms:W3CDTF">2025-11-27T09:14:16Z</dcterms:modified>
</cp:coreProperties>
</file>