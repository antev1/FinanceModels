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3F88C93-3B59-4FB7-94C1-46DF58F11ED4}" xr6:coauthVersionLast="47" xr6:coauthVersionMax="47" xr10:uidLastSave="{00000000-0000-0000-0000-000000000000}"/>
  <bookViews>
    <workbookView xWindow="-108" yWindow="-108" windowWidth="23256" windowHeight="12576" activeTab="1" xr2:uid="{0C5083B5-BD04-437F-9545-422299EC636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AD6" i="2" s="1"/>
  <c r="AE6" i="2" s="1"/>
  <c r="AF6" i="2" s="1"/>
  <c r="AB6" i="2"/>
  <c r="N6" i="2"/>
  <c r="N9" i="2" s="1"/>
  <c r="N10" i="2" s="1"/>
  <c r="N15" i="2" s="1"/>
  <c r="M6" i="2"/>
  <c r="M9" i="2" s="1"/>
  <c r="M10" i="2" s="1"/>
  <c r="AF5" i="2"/>
  <c r="AE5" i="2"/>
  <c r="AD5" i="2"/>
  <c r="AC5" i="2"/>
  <c r="AB5" i="2"/>
  <c r="AA5" i="2"/>
  <c r="Z5" i="2"/>
  <c r="Y5" i="2"/>
  <c r="X5" i="2"/>
  <c r="W5" i="2"/>
  <c r="AC3" i="2"/>
  <c r="AD3" i="2" s="1"/>
  <c r="AE3" i="2" s="1"/>
  <c r="AF3" i="2" s="1"/>
  <c r="AB3" i="2"/>
  <c r="Z3" i="2"/>
  <c r="Y3" i="2"/>
  <c r="X3" i="2"/>
  <c r="W3" i="2"/>
  <c r="W23" i="2" s="1"/>
  <c r="L5" i="2"/>
  <c r="L23" i="2" s="1"/>
  <c r="D7" i="1"/>
  <c r="D8" i="1" s="1"/>
  <c r="AI26" i="2" s="1"/>
  <c r="D6" i="1"/>
  <c r="AI29" i="2"/>
  <c r="AF19" i="2"/>
  <c r="AE19" i="2"/>
  <c r="AD19" i="2"/>
  <c r="AC19" i="2"/>
  <c r="AB19" i="2"/>
  <c r="AA19" i="2"/>
  <c r="Z19" i="2"/>
  <c r="Y19" i="2"/>
  <c r="X19" i="2"/>
  <c r="W19" i="2"/>
  <c r="N19" i="2"/>
  <c r="M19" i="2"/>
  <c r="N14" i="2"/>
  <c r="M14" i="2"/>
  <c r="L19" i="2"/>
  <c r="L14" i="2"/>
  <c r="N11" i="2"/>
  <c r="M11" i="2"/>
  <c r="V11" i="2" s="1"/>
  <c r="W11" i="2" s="1"/>
  <c r="L9" i="2"/>
  <c r="L24" i="2"/>
  <c r="N5" i="2"/>
  <c r="M5" i="2"/>
  <c r="N4" i="2"/>
  <c r="M4" i="2"/>
  <c r="V17" i="2"/>
  <c r="V13" i="2"/>
  <c r="V12" i="2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V8" i="2"/>
  <c r="V7" i="2"/>
  <c r="W7" i="2" s="1"/>
  <c r="X7" i="2" s="1"/>
  <c r="Y7" i="2" s="1"/>
  <c r="Z7" i="2" s="1"/>
  <c r="AA7" i="2" s="1"/>
  <c r="AB7" i="2" s="1"/>
  <c r="AC7" i="2" s="1"/>
  <c r="AD7" i="2" s="1"/>
  <c r="AE7" i="2" s="1"/>
  <c r="AF7" i="2" s="1"/>
  <c r="V3" i="2"/>
  <c r="V19" i="2"/>
  <c r="N3" i="2"/>
  <c r="N22" i="2" s="1"/>
  <c r="M3" i="2"/>
  <c r="L22" i="2"/>
  <c r="U28" i="2"/>
  <c r="T28" i="2"/>
  <c r="S28" i="2"/>
  <c r="R28" i="2"/>
  <c r="U27" i="2"/>
  <c r="T27" i="2"/>
  <c r="S27" i="2"/>
  <c r="R27" i="2"/>
  <c r="U26" i="2"/>
  <c r="T26" i="2"/>
  <c r="S26" i="2"/>
  <c r="R26" i="2"/>
  <c r="U25" i="2"/>
  <c r="T25" i="2"/>
  <c r="S25" i="2"/>
  <c r="R25" i="2"/>
  <c r="U24" i="2"/>
  <c r="T24" i="2"/>
  <c r="S24" i="2"/>
  <c r="R24" i="2"/>
  <c r="U23" i="2"/>
  <c r="T23" i="2"/>
  <c r="S23" i="2"/>
  <c r="R23" i="2"/>
  <c r="U22" i="2"/>
  <c r="T22" i="2"/>
  <c r="S22" i="2"/>
  <c r="R22" i="2"/>
  <c r="P28" i="2"/>
  <c r="P27" i="2"/>
  <c r="P26" i="2"/>
  <c r="P25" i="2"/>
  <c r="P23" i="2"/>
  <c r="Q24" i="2"/>
  <c r="Q22" i="2"/>
  <c r="Q28" i="2"/>
  <c r="Q27" i="2"/>
  <c r="Q26" i="2"/>
  <c r="Q25" i="2"/>
  <c r="Q23" i="2"/>
  <c r="L25" i="2"/>
  <c r="M24" i="2"/>
  <c r="J28" i="2"/>
  <c r="I28" i="2"/>
  <c r="H28" i="2"/>
  <c r="G28" i="2"/>
  <c r="E28" i="2"/>
  <c r="D28" i="2"/>
  <c r="J27" i="2"/>
  <c r="I27" i="2"/>
  <c r="H27" i="2"/>
  <c r="G27" i="2"/>
  <c r="E27" i="2"/>
  <c r="D27" i="2"/>
  <c r="J26" i="2"/>
  <c r="I26" i="2"/>
  <c r="H26" i="2"/>
  <c r="G26" i="2"/>
  <c r="E26" i="2"/>
  <c r="D26" i="2"/>
  <c r="J25" i="2"/>
  <c r="I25" i="2"/>
  <c r="H25" i="2"/>
  <c r="G25" i="2"/>
  <c r="E25" i="2"/>
  <c r="D25" i="2"/>
  <c r="I24" i="2"/>
  <c r="H24" i="2"/>
  <c r="J23" i="2"/>
  <c r="I23" i="2"/>
  <c r="H23" i="2"/>
  <c r="G23" i="2"/>
  <c r="E23" i="2"/>
  <c r="D23" i="2"/>
  <c r="I22" i="2"/>
  <c r="H22" i="2"/>
  <c r="K25" i="2"/>
  <c r="K24" i="2"/>
  <c r="K23" i="2"/>
  <c r="K22" i="2"/>
  <c r="J17" i="2"/>
  <c r="J16" i="2"/>
  <c r="J13" i="2"/>
  <c r="J12" i="2"/>
  <c r="J11" i="2"/>
  <c r="J8" i="2"/>
  <c r="J7" i="2"/>
  <c r="J6" i="2"/>
  <c r="J9" i="2" s="1"/>
  <c r="J4" i="2"/>
  <c r="J3" i="2"/>
  <c r="J19" i="2"/>
  <c r="D19" i="2"/>
  <c r="D14" i="2"/>
  <c r="D9" i="2"/>
  <c r="D5" i="2"/>
  <c r="H19" i="2"/>
  <c r="H14" i="2"/>
  <c r="H9" i="2"/>
  <c r="H5" i="2"/>
  <c r="E8" i="2"/>
  <c r="E19" i="2"/>
  <c r="E14" i="2"/>
  <c r="E9" i="2"/>
  <c r="E5" i="2"/>
  <c r="I19" i="2"/>
  <c r="I14" i="2"/>
  <c r="I9" i="2"/>
  <c r="I5" i="2"/>
  <c r="P6" i="2"/>
  <c r="P19" i="2"/>
  <c r="P14" i="2"/>
  <c r="P9" i="2"/>
  <c r="P5" i="2"/>
  <c r="Q6" i="2"/>
  <c r="Q19" i="2"/>
  <c r="Q14" i="2"/>
  <c r="Q9" i="2"/>
  <c r="Q5" i="2"/>
  <c r="R6" i="2"/>
  <c r="R9" i="2"/>
  <c r="R19" i="2"/>
  <c r="R14" i="2"/>
  <c r="R5" i="2"/>
  <c r="S19" i="2"/>
  <c r="S14" i="2"/>
  <c r="S9" i="2"/>
  <c r="S5" i="2"/>
  <c r="T8" i="2"/>
  <c r="T9" i="2" s="1"/>
  <c r="T19" i="2"/>
  <c r="T14" i="2"/>
  <c r="T5" i="2"/>
  <c r="U9" i="2"/>
  <c r="U10" i="2" s="1"/>
  <c r="K9" i="2"/>
  <c r="K10" i="2" s="1"/>
  <c r="K26" i="2" s="1"/>
  <c r="G10" i="2"/>
  <c r="G9" i="2"/>
  <c r="U19" i="2"/>
  <c r="U14" i="2"/>
  <c r="U5" i="2"/>
  <c r="G19" i="2"/>
  <c r="G14" i="2"/>
  <c r="G5" i="2"/>
  <c r="K19" i="2"/>
  <c r="K14" i="2"/>
  <c r="K5" i="2"/>
  <c r="D5" i="1"/>
  <c r="F3" i="1"/>
  <c r="N24" i="2" l="1"/>
  <c r="N25" i="2"/>
  <c r="V6" i="2"/>
  <c r="W6" i="2" s="1"/>
  <c r="X6" i="2" s="1"/>
  <c r="X24" i="2" s="1"/>
  <c r="M25" i="2"/>
  <c r="M15" i="2"/>
  <c r="W14" i="2"/>
  <c r="X11" i="2"/>
  <c r="Y11" i="2" s="1"/>
  <c r="Y14" i="2" s="1"/>
  <c r="W4" i="2"/>
  <c r="L10" i="2"/>
  <c r="L26" i="2" s="1"/>
  <c r="D9" i="1"/>
  <c r="Z11" i="2"/>
  <c r="X14" i="2"/>
  <c r="M16" i="2"/>
  <c r="M27" i="2" s="1"/>
  <c r="M18" i="2"/>
  <c r="N16" i="2"/>
  <c r="N27" i="2" s="1"/>
  <c r="V14" i="2"/>
  <c r="V4" i="2"/>
  <c r="V5" i="2" s="1"/>
  <c r="V23" i="2" s="1"/>
  <c r="V22" i="2"/>
  <c r="W22" i="2"/>
  <c r="M23" i="2"/>
  <c r="N23" i="2"/>
  <c r="N26" i="2"/>
  <c r="M26" i="2"/>
  <c r="M22" i="2"/>
  <c r="J14" i="2"/>
  <c r="J5" i="2"/>
  <c r="J10" i="2" s="1"/>
  <c r="D10" i="2"/>
  <c r="D15" i="2" s="1"/>
  <c r="D18" i="2" s="1"/>
  <c r="D20" i="2" s="1"/>
  <c r="H10" i="2"/>
  <c r="H15" i="2" s="1"/>
  <c r="H18" i="2" s="1"/>
  <c r="H20" i="2" s="1"/>
  <c r="E10" i="2"/>
  <c r="E15" i="2" s="1"/>
  <c r="E18" i="2" s="1"/>
  <c r="E20" i="2" s="1"/>
  <c r="I10" i="2"/>
  <c r="I15" i="2" s="1"/>
  <c r="I18" i="2" s="1"/>
  <c r="I20" i="2" s="1"/>
  <c r="P10" i="2"/>
  <c r="P15" i="2" s="1"/>
  <c r="P18" i="2" s="1"/>
  <c r="P20" i="2" s="1"/>
  <c r="Q10" i="2"/>
  <c r="Q15" i="2" s="1"/>
  <c r="Q18" i="2" s="1"/>
  <c r="Q20" i="2" s="1"/>
  <c r="R10" i="2"/>
  <c r="R15" i="2" s="1"/>
  <c r="R18" i="2" s="1"/>
  <c r="R20" i="2" s="1"/>
  <c r="S10" i="2"/>
  <c r="S15" i="2" s="1"/>
  <c r="S18" i="2" s="1"/>
  <c r="S20" i="2" s="1"/>
  <c r="T10" i="2"/>
  <c r="T15" i="2" s="1"/>
  <c r="T18" i="2" s="1"/>
  <c r="T20" i="2" s="1"/>
  <c r="U15" i="2"/>
  <c r="U18" i="2" s="1"/>
  <c r="U20" i="2" s="1"/>
  <c r="K15" i="2"/>
  <c r="G15" i="2"/>
  <c r="G18" i="2" s="1"/>
  <c r="G20" i="2" s="1"/>
  <c r="V25" i="2" l="1"/>
  <c r="W25" i="2"/>
  <c r="W9" i="2"/>
  <c r="W10" i="2" s="1"/>
  <c r="W26" i="2" s="1"/>
  <c r="W24" i="2"/>
  <c r="V24" i="2"/>
  <c r="V9" i="2"/>
  <c r="V10" i="2" s="1"/>
  <c r="V15" i="2" s="1"/>
  <c r="W15" i="2"/>
  <c r="W16" i="2" s="1"/>
  <c r="W27" i="2" s="1"/>
  <c r="Y6" i="2"/>
  <c r="X9" i="2"/>
  <c r="L15" i="2"/>
  <c r="L27" i="2" s="1"/>
  <c r="X25" i="2"/>
  <c r="X22" i="2"/>
  <c r="Z14" i="2"/>
  <c r="AA11" i="2"/>
  <c r="N18" i="2"/>
  <c r="M20" i="2"/>
  <c r="M28" i="2"/>
  <c r="K18" i="2"/>
  <c r="K27" i="2"/>
  <c r="J15" i="2"/>
  <c r="J18" i="2" s="1"/>
  <c r="J20" i="2" s="1"/>
  <c r="V16" i="2" l="1"/>
  <c r="V18" i="2" s="1"/>
  <c r="Y9" i="2"/>
  <c r="Z6" i="2"/>
  <c r="Y24" i="2"/>
  <c r="L18" i="2"/>
  <c r="L28" i="2" s="1"/>
  <c r="X4" i="2"/>
  <c r="X23" i="2"/>
  <c r="X10" i="2"/>
  <c r="Y22" i="2"/>
  <c r="Y25" i="2"/>
  <c r="W18" i="2"/>
  <c r="W20" i="2" s="1"/>
  <c r="AA14" i="2"/>
  <c r="AB11" i="2"/>
  <c r="N20" i="2"/>
  <c r="N28" i="2"/>
  <c r="K20" i="2"/>
  <c r="K28" i="2"/>
  <c r="V26" i="2"/>
  <c r="W28" i="2" l="1"/>
  <c r="V27" i="2"/>
  <c r="L20" i="2"/>
  <c r="Z9" i="2"/>
  <c r="AA6" i="2"/>
  <c r="Z24" i="2"/>
  <c r="X26" i="2"/>
  <c r="X15" i="2"/>
  <c r="Y4" i="2"/>
  <c r="Y10" i="2"/>
  <c r="Y23" i="2"/>
  <c r="AA3" i="2"/>
  <c r="Z22" i="2"/>
  <c r="Z25" i="2"/>
  <c r="AB14" i="2"/>
  <c r="AC11" i="2"/>
  <c r="V20" i="2"/>
  <c r="V28" i="2"/>
  <c r="AA9" i="2" l="1"/>
  <c r="AA24" i="2"/>
  <c r="Z4" i="2"/>
  <c r="Z10" i="2"/>
  <c r="Z23" i="2"/>
  <c r="X16" i="2"/>
  <c r="X27" i="2" s="1"/>
  <c r="AA4" i="2"/>
  <c r="AA25" i="2"/>
  <c r="AA22" i="2"/>
  <c r="Y26" i="2"/>
  <c r="Y15" i="2"/>
  <c r="AC14" i="2"/>
  <c r="AD11" i="2"/>
  <c r="X18" i="2" l="1"/>
  <c r="X20" i="2" s="1"/>
  <c r="AB9" i="2"/>
  <c r="AB24" i="2"/>
  <c r="AB4" i="2"/>
  <c r="AB22" i="2"/>
  <c r="AB25" i="2"/>
  <c r="Y16" i="2"/>
  <c r="Y27" i="2" s="1"/>
  <c r="Z26" i="2"/>
  <c r="Z15" i="2"/>
  <c r="AA10" i="2"/>
  <c r="AA23" i="2"/>
  <c r="AE11" i="2"/>
  <c r="AD14" i="2"/>
  <c r="X28" i="2" l="1"/>
  <c r="AC9" i="2"/>
  <c r="AC24" i="2"/>
  <c r="AC22" i="2"/>
  <c r="AC25" i="2"/>
  <c r="AA26" i="2"/>
  <c r="AA15" i="2"/>
  <c r="Z16" i="2"/>
  <c r="Z27" i="2" s="1"/>
  <c r="Y18" i="2"/>
  <c r="AB10" i="2"/>
  <c r="AB23" i="2"/>
  <c r="AF11" i="2"/>
  <c r="AF14" i="2" s="1"/>
  <c r="AE14" i="2"/>
  <c r="Z18" i="2" l="1"/>
  <c r="Z20" i="2" s="1"/>
  <c r="AD9" i="2"/>
  <c r="AD24" i="2"/>
  <c r="AC10" i="2"/>
  <c r="AC23" i="2"/>
  <c r="AA16" i="2"/>
  <c r="AA27" i="2" s="1"/>
  <c r="AB26" i="2"/>
  <c r="AB15" i="2"/>
  <c r="AC4" i="2"/>
  <c r="AD4" i="2"/>
  <c r="AD22" i="2"/>
  <c r="AD25" i="2"/>
  <c r="Y28" i="2"/>
  <c r="Y20" i="2"/>
  <c r="Z28" i="2" l="1"/>
  <c r="AE9" i="2"/>
  <c r="AE24" i="2"/>
  <c r="AD10" i="2"/>
  <c r="AD23" i="2"/>
  <c r="AE4" i="2"/>
  <c r="AE22" i="2"/>
  <c r="AE25" i="2"/>
  <c r="AA18" i="2"/>
  <c r="AB16" i="2"/>
  <c r="AB27" i="2" s="1"/>
  <c r="AC26" i="2"/>
  <c r="AC15" i="2"/>
  <c r="AB18" i="2" l="1"/>
  <c r="AB20" i="2" s="1"/>
  <c r="AF24" i="2"/>
  <c r="AF9" i="2"/>
  <c r="AF25" i="2"/>
  <c r="AF22" i="2"/>
  <c r="AE10" i="2"/>
  <c r="AE23" i="2"/>
  <c r="AA20" i="2"/>
  <c r="AA28" i="2"/>
  <c r="AC16" i="2"/>
  <c r="AC27" i="2" s="1"/>
  <c r="AD26" i="2"/>
  <c r="AD15" i="2"/>
  <c r="AB28" i="2" l="1"/>
  <c r="AE26" i="2"/>
  <c r="AE15" i="2"/>
  <c r="AC18" i="2"/>
  <c r="AD16" i="2"/>
  <c r="AD27" i="2" s="1"/>
  <c r="AF10" i="2"/>
  <c r="AF23" i="2"/>
  <c r="AF4" i="2"/>
  <c r="AD18" i="2" l="1"/>
  <c r="AD20" i="2" s="1"/>
  <c r="AF15" i="2"/>
  <c r="AF26" i="2"/>
  <c r="AC28" i="2"/>
  <c r="AC20" i="2"/>
  <c r="AE16" i="2"/>
  <c r="AE27" i="2" s="1"/>
  <c r="AE18" i="2" l="1"/>
  <c r="AE20" i="2" s="1"/>
  <c r="AD28" i="2"/>
  <c r="AF16" i="2"/>
  <c r="AF27" i="2" s="1"/>
  <c r="AE28" i="2" l="1"/>
  <c r="AF18" i="2"/>
  <c r="AG18" i="2" l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AI25" i="2" s="1"/>
  <c r="AI27" i="2" s="1"/>
  <c r="AI28" i="2" s="1"/>
  <c r="AI30" i="2" s="1"/>
  <c r="AF20" i="2"/>
  <c r="AF28" i="2"/>
</calcChain>
</file>

<file path=xl/sharedStrings.xml><?xml version="1.0" encoding="utf-8"?>
<sst xmlns="http://schemas.openxmlformats.org/spreadsheetml/2006/main" count="61" uniqueCount="56">
  <si>
    <t>LDOS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</si>
  <si>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</si>
  <si>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</si>
  <si>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</si>
  <si>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</si>
  <si>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</si>
  <si>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</si>
  <si>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</si>
  <si>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</si>
  <si>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</si>
  <si>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</si>
  <si>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Q125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</si>
  <si>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</si>
  <si>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</si>
  <si>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</si>
  <si>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</si>
  <si>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</si>
  <si>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</si>
  <si>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</si>
  <si>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</si>
  <si>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</si>
  <si>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</si>
  <si>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</si>
  <si>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</si>
  <si>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Cost of sales</t>
  </si>
  <si>
    <t>Gross profit</t>
  </si>
  <si>
    <t>SG&amp;A</t>
  </si>
  <si>
    <t>Restructuring</t>
  </si>
  <si>
    <t>Operating profit</t>
  </si>
  <si>
    <t>Investment income</t>
  </si>
  <si>
    <t>Interest expense</t>
  </si>
  <si>
    <t>Other expense</t>
  </si>
  <si>
    <t>Net finance expense</t>
  </si>
  <si>
    <t>Pretax profit</t>
  </si>
  <si>
    <t>Taxes</t>
  </si>
  <si>
    <t>MI</t>
  </si>
  <si>
    <t>Net profit</t>
  </si>
  <si>
    <t>EPS</t>
  </si>
  <si>
    <t>Total operating expense</t>
  </si>
  <si>
    <t>Impairment</t>
  </si>
  <si>
    <t>Revenue y/y</t>
  </si>
  <si>
    <t>Gross Margin</t>
  </si>
  <si>
    <t>SG&amp;A y/y</t>
  </si>
  <si>
    <t>SG&amp;A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</si>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</sst>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0</xdr:row>
      <xdr:rowOff>15240</xdr:rowOff>
    </xdr:from>
    <xdr:to>
      <xdr:col>12</xdr:col>
      <xdr:colOff>45720</xdr:colOff>
      <xdr:row>32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142FAA2-02E2-857B-04FD-519522FAC86C}"/>
            </a:ext>
          </a:extLst>
        </xdr:cNvPr>
        <xdr:cNvCxnSpPr/>
      </xdr:nvCxnSpPr>
      <xdr:spPr>
        <a:xfrm>
          <a:off x="8176260" y="15240"/>
          <a:ext cx="0" cy="5867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</xdr:colOff>
      <xdr:row>0</xdr:row>
      <xdr:rowOff>0</xdr:rowOff>
    </xdr:from>
    <xdr:to>
      <xdr:col>21</xdr:col>
      <xdr:colOff>22860</xdr:colOff>
      <xdr:row>33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DE2F845-05BF-DC0B-0166-CD2117A92869}"/>
            </a:ext>
          </a:extLst>
        </xdr:cNvPr>
        <xdr:cNvCxnSpPr/>
      </xdr:nvCxnSpPr>
      <xdr:spPr>
        <a:xfrm>
          <a:off x="1363980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B044-18BB-4D71-9CA3-EAA4AE336F6C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7" width="11.777343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180.62</v>
      </c>
      <c r="E3" s="4">
        <v>45898</v>
      </c>
      <c r="F3" s="4">
        <f ca="1">TODAY()</f>
        <v>45898</v>
      </c>
      <c r="G3" s="4">
        <v>45965</v>
      </c>
    </row>
    <row r="4" spans="2:7" x14ac:dyDescent="0.3">
      <c r="C4" s="1" t="s">
        <v>2</v>
      </c>
      <c r="D4" s="6">
        <v>128.30000000000001</v>
      </c>
      <c r="E4" s="3" t="s">
        <v>21</v>
      </c>
    </row>
    <row r="5" spans="2:7" x14ac:dyDescent="0.3">
      <c r="C5" s="1" t="s">
        <v>3</v>
      </c>
      <c r="D5" s="6">
        <f>D3*D4</f>
        <v>23173.546000000002</v>
      </c>
    </row>
    <row r="6" spans="2:7" x14ac:dyDescent="0.3">
      <c r="C6" s="1" t="s">
        <v>4</v>
      </c>
      <c r="D6" s="6">
        <f>930</f>
        <v>930</v>
      </c>
      <c r="E6" s="3" t="s">
        <v>21</v>
      </c>
    </row>
    <row r="7" spans="2:7" x14ac:dyDescent="0.3">
      <c r="C7" s="1" t="s">
        <v>5</v>
      </c>
      <c r="D7" s="6">
        <f>119+4985</f>
        <v>5104</v>
      </c>
      <c r="E7" s="3" t="s">
        <v>21</v>
      </c>
    </row>
    <row r="8" spans="2:7" x14ac:dyDescent="0.3">
      <c r="C8" s="1" t="s">
        <v>6</v>
      </c>
      <c r="D8" s="6">
        <f>D6-D7</f>
        <v>-4174</v>
      </c>
    </row>
    <row r="9" spans="2:7" x14ac:dyDescent="0.3">
      <c r="C9" s="1" t="s">
        <v>7</v>
      </c>
      <c r="D9" s="6">
        <f>D5-D8</f>
        <v>27347.546000000002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4293-D96C-4AE6-8EBE-24AD359410D0}">
  <dimension ref="B2:EM31"/>
  <sheetViews>
    <sheetView tabSelected="1" workbookViewId="0">
      <pane xSplit="2" ySplit="2" topLeftCell="U6" activePane="bottomRight" state="frozen"/>
      <selection pane="topRight" activeCell="C1" sqref="C1"/>
      <selection pane="bottomLeft" activeCell="A3" sqref="A3"/>
      <selection pane="bottomRight" activeCell="AI31" sqref="AI31"/>
    </sheetView>
  </sheetViews>
  <sheetFormatPr defaultRowHeight="14.4" x14ac:dyDescent="0.3"/>
  <cols>
    <col min="1" max="1" width="8.88671875" style="1"/>
    <col min="2" max="2" width="20.77734375" style="1" bestFit="1" customWidth="1"/>
    <col min="3" max="33" width="8.88671875" style="1"/>
    <col min="34" max="34" width="13.109375" style="1" customWidth="1"/>
    <col min="35" max="35" width="16.5546875" style="1" customWidth="1"/>
    <col min="36" max="16384" width="8.88671875" style="1"/>
  </cols>
  <sheetData>
    <row r="2" spans="2:32" x14ac:dyDescent="0.3"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11</v>
      </c>
      <c r="L2" s="7" t="s">
        <v>21</v>
      </c>
      <c r="M2" s="7" t="s">
        <v>22</v>
      </c>
      <c r="N2" s="7" t="s">
        <v>23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s="2" customFormat="1" x14ac:dyDescent="0.3">
      <c r="B3" s="2" t="s">
        <v>12</v>
      </c>
      <c r="D3" s="9">
        <v>3838</v>
      </c>
      <c r="E3" s="9">
        <v>3921</v>
      </c>
      <c r="G3" s="9">
        <v>3975</v>
      </c>
      <c r="H3" s="9">
        <v>4132</v>
      </c>
      <c r="I3" s="9">
        <v>4190</v>
      </c>
      <c r="J3" s="9">
        <f>U3-I3-H3-G3</f>
        <v>4365</v>
      </c>
      <c r="K3" s="9">
        <v>4245</v>
      </c>
      <c r="L3" s="9">
        <v>4253</v>
      </c>
      <c r="M3" s="9">
        <f t="shared" ref="M3:N3" si="0">I3*1.07</f>
        <v>4483.3</v>
      </c>
      <c r="N3" s="9">
        <f t="shared" si="0"/>
        <v>4670.55</v>
      </c>
      <c r="P3" s="9">
        <v>11094</v>
      </c>
      <c r="Q3" s="9">
        <v>12297</v>
      </c>
      <c r="R3" s="9">
        <v>13737</v>
      </c>
      <c r="S3" s="9">
        <v>14396</v>
      </c>
      <c r="T3" s="9">
        <v>15438</v>
      </c>
      <c r="U3" s="9">
        <v>16662</v>
      </c>
      <c r="V3" s="9">
        <f>SUM(K3:N3)</f>
        <v>17651.849999999999</v>
      </c>
      <c r="W3" s="9">
        <f>V3*1.05</f>
        <v>18534.442500000001</v>
      </c>
      <c r="X3" s="9">
        <f>W3*1.04</f>
        <v>19275.820200000002</v>
      </c>
      <c r="Y3" s="9">
        <f>X3*1.03</f>
        <v>19854.094806000001</v>
      </c>
      <c r="Z3" s="9">
        <f>Y3*1.02</f>
        <v>20251.176702120003</v>
      </c>
      <c r="AA3" s="9">
        <f>Z3*1.02</f>
        <v>20656.200236162404</v>
      </c>
      <c r="AB3" s="9">
        <f>AA3*1.01</f>
        <v>20862.762238524028</v>
      </c>
      <c r="AC3" s="9">
        <f t="shared" ref="AC3:AF3" si="1">AB3*1.01</f>
        <v>21071.389860909268</v>
      </c>
      <c r="AD3" s="9">
        <f t="shared" si="1"/>
        <v>21282.103759518362</v>
      </c>
      <c r="AE3" s="9">
        <f t="shared" si="1"/>
        <v>21494.924797113545</v>
      </c>
      <c r="AF3" s="9">
        <f t="shared" si="1"/>
        <v>21709.874045084682</v>
      </c>
    </row>
    <row r="4" spans="2:32" x14ac:dyDescent="0.3">
      <c r="B4" s="1" t="s">
        <v>24</v>
      </c>
      <c r="D4" s="6">
        <v>3271</v>
      </c>
      <c r="E4" s="6">
        <v>3334</v>
      </c>
      <c r="G4" s="6">
        <v>3337</v>
      </c>
      <c r="H4" s="6">
        <v>3427</v>
      </c>
      <c r="I4" s="6">
        <v>3428</v>
      </c>
      <c r="J4" s="6">
        <f>U4-I4-H4-G4</f>
        <v>3672</v>
      </c>
      <c r="K4" s="6">
        <v>3488</v>
      </c>
      <c r="L4" s="6">
        <v>3471</v>
      </c>
      <c r="M4" s="6">
        <f t="shared" ref="M4:N4" si="2">M3-M5</f>
        <v>3721.1390000000001</v>
      </c>
      <c r="N4" s="6">
        <f t="shared" si="2"/>
        <v>3876.5565000000001</v>
      </c>
      <c r="P4" s="6">
        <v>9546</v>
      </c>
      <c r="Q4" s="6">
        <v>10560</v>
      </c>
      <c r="R4" s="6">
        <v>11723</v>
      </c>
      <c r="S4" s="6">
        <v>12312</v>
      </c>
      <c r="T4" s="6">
        <v>13194</v>
      </c>
      <c r="U4" s="6">
        <v>13864</v>
      </c>
      <c r="V4" s="6">
        <f>SUM(K4:N4)</f>
        <v>14556.6955</v>
      </c>
      <c r="W4" s="6">
        <f>W3-W5</f>
        <v>15012.898425000001</v>
      </c>
      <c r="X4" s="6">
        <f t="shared" ref="X4:AF4" si="3">X3-X5</f>
        <v>15613.414362000001</v>
      </c>
      <c r="Y4" s="6">
        <f t="shared" si="3"/>
        <v>16081.816792860001</v>
      </c>
      <c r="Z4" s="6">
        <f t="shared" si="3"/>
        <v>16403.453128717203</v>
      </c>
      <c r="AA4" s="6">
        <f t="shared" si="3"/>
        <v>16731.522191291548</v>
      </c>
      <c r="AB4" s="6">
        <f t="shared" si="3"/>
        <v>16898.837413204463</v>
      </c>
      <c r="AC4" s="6">
        <f t="shared" si="3"/>
        <v>17067.825787336507</v>
      </c>
      <c r="AD4" s="6">
        <f t="shared" si="3"/>
        <v>17238.504045209873</v>
      </c>
      <c r="AE4" s="6">
        <f t="shared" si="3"/>
        <v>17410.889085661969</v>
      </c>
      <c r="AF4" s="6">
        <f t="shared" si="3"/>
        <v>17584.997976518593</v>
      </c>
    </row>
    <row r="5" spans="2:32" s="2" customFormat="1" x14ac:dyDescent="0.3">
      <c r="B5" s="2" t="s">
        <v>25</v>
      </c>
      <c r="D5" s="9">
        <f>D3-D4</f>
        <v>567</v>
      </c>
      <c r="E5" s="9">
        <f>E3-E4</f>
        <v>587</v>
      </c>
      <c r="G5" s="9">
        <f>G3-G4</f>
        <v>638</v>
      </c>
      <c r="H5" s="9">
        <f>H3-H4</f>
        <v>705</v>
      </c>
      <c r="I5" s="9">
        <f>I3-I4</f>
        <v>762</v>
      </c>
      <c r="J5" s="9">
        <f>J3-J4</f>
        <v>693</v>
      </c>
      <c r="K5" s="9">
        <f>K3-K4</f>
        <v>757</v>
      </c>
      <c r="L5" s="9">
        <f>L3-L4</f>
        <v>782</v>
      </c>
      <c r="M5" s="9">
        <f t="shared" ref="M5:N5" si="4">M3*0.17</f>
        <v>762.16100000000006</v>
      </c>
      <c r="N5" s="9">
        <f t="shared" si="4"/>
        <v>793.99350000000004</v>
      </c>
      <c r="P5" s="9">
        <f t="shared" ref="P5:V5" si="5">P3-P4</f>
        <v>1548</v>
      </c>
      <c r="Q5" s="9">
        <f t="shared" si="5"/>
        <v>1737</v>
      </c>
      <c r="R5" s="9">
        <f t="shared" si="5"/>
        <v>2014</v>
      </c>
      <c r="S5" s="9">
        <f t="shared" si="5"/>
        <v>2084</v>
      </c>
      <c r="T5" s="9">
        <f t="shared" si="5"/>
        <v>2244</v>
      </c>
      <c r="U5" s="9">
        <f t="shared" si="5"/>
        <v>2798</v>
      </c>
      <c r="V5" s="9">
        <f t="shared" si="5"/>
        <v>3095.1544999999987</v>
      </c>
      <c r="W5" s="9">
        <f>W3*0.19</f>
        <v>3521.5440750000002</v>
      </c>
      <c r="X5" s="9">
        <f t="shared" ref="X5:AF5" si="6">X3*0.19</f>
        <v>3662.4058380000006</v>
      </c>
      <c r="Y5" s="9">
        <f t="shared" si="6"/>
        <v>3772.2780131400004</v>
      </c>
      <c r="Z5" s="9">
        <f t="shared" si="6"/>
        <v>3847.7235734028004</v>
      </c>
      <c r="AA5" s="9">
        <f t="shared" si="6"/>
        <v>3924.6780448708569</v>
      </c>
      <c r="AB5" s="9">
        <f t="shared" si="6"/>
        <v>3963.9248253195656</v>
      </c>
      <c r="AC5" s="9">
        <f t="shared" si="6"/>
        <v>4003.5640735727611</v>
      </c>
      <c r="AD5" s="9">
        <f t="shared" si="6"/>
        <v>4043.5997143084887</v>
      </c>
      <c r="AE5" s="9">
        <f t="shared" si="6"/>
        <v>4084.0357114515737</v>
      </c>
      <c r="AF5" s="9">
        <f t="shared" si="6"/>
        <v>4124.87606856609</v>
      </c>
    </row>
    <row r="6" spans="2:32" x14ac:dyDescent="0.3">
      <c r="B6" s="1" t="s">
        <v>26</v>
      </c>
      <c r="D6" s="6">
        <v>237</v>
      </c>
      <c r="E6" s="6">
        <v>239</v>
      </c>
      <c r="G6" s="6">
        <v>226</v>
      </c>
      <c r="H6" s="6">
        <v>231</v>
      </c>
      <c r="I6" s="6">
        <v>247</v>
      </c>
      <c r="J6" s="6">
        <f t="shared" ref="J6:J8" si="7">U6-I6-H6-G6</f>
        <v>279</v>
      </c>
      <c r="K6" s="6">
        <v>230</v>
      </c>
      <c r="L6" s="6">
        <v>217</v>
      </c>
      <c r="M6" s="6">
        <f>I6*1.01</f>
        <v>249.47</v>
      </c>
      <c r="N6" s="6">
        <f>J6*1.01</f>
        <v>281.79000000000002</v>
      </c>
      <c r="P6" s="6">
        <f>689-40</f>
        <v>649</v>
      </c>
      <c r="Q6" s="6">
        <f>770-68</f>
        <v>702</v>
      </c>
      <c r="R6" s="6">
        <f>860-9</f>
        <v>851</v>
      </c>
      <c r="S6" s="6">
        <v>951</v>
      </c>
      <c r="T6" s="6">
        <v>942</v>
      </c>
      <c r="U6" s="6">
        <v>983</v>
      </c>
      <c r="V6" s="6">
        <f t="shared" ref="V6:V8" si="8">SUM(K6:N6)</f>
        <v>978.26</v>
      </c>
      <c r="W6" s="6">
        <f>V6*1.02</f>
        <v>997.8252</v>
      </c>
      <c r="X6" s="6">
        <f t="shared" ref="X6:AF6" si="9">W6*1.02</f>
        <v>1017.781704</v>
      </c>
      <c r="Y6" s="6">
        <f t="shared" si="9"/>
        <v>1038.1373380800001</v>
      </c>
      <c r="Z6" s="6">
        <f t="shared" si="9"/>
        <v>1058.9000848416001</v>
      </c>
      <c r="AA6" s="6">
        <f t="shared" si="9"/>
        <v>1080.0780865384322</v>
      </c>
      <c r="AB6" s="6">
        <f>AA6*1.01</f>
        <v>1090.8788674038165</v>
      </c>
      <c r="AC6" s="6">
        <f t="shared" ref="AC6:AF6" si="10">AB6*1.01</f>
        <v>1101.7876560778545</v>
      </c>
      <c r="AD6" s="6">
        <f t="shared" si="10"/>
        <v>1112.8055326386332</v>
      </c>
      <c r="AE6" s="6">
        <f t="shared" si="10"/>
        <v>1123.9335879650196</v>
      </c>
      <c r="AF6" s="6">
        <f t="shared" si="10"/>
        <v>1135.1729238446699</v>
      </c>
    </row>
    <row r="7" spans="2:32" x14ac:dyDescent="0.3">
      <c r="B7" s="1" t="s">
        <v>27</v>
      </c>
      <c r="D7" s="6">
        <v>6</v>
      </c>
      <c r="E7" s="6">
        <v>5</v>
      </c>
      <c r="G7" s="6">
        <v>4</v>
      </c>
      <c r="H7" s="6">
        <v>7</v>
      </c>
      <c r="I7" s="6">
        <v>3</v>
      </c>
      <c r="J7" s="6">
        <f t="shared" si="7"/>
        <v>2</v>
      </c>
      <c r="K7" s="6">
        <v>4</v>
      </c>
      <c r="L7" s="6">
        <v>2</v>
      </c>
      <c r="M7" s="6">
        <v>4</v>
      </c>
      <c r="N7" s="6">
        <v>4</v>
      </c>
      <c r="P7" s="6">
        <v>5</v>
      </c>
      <c r="Q7" s="6">
        <v>39</v>
      </c>
      <c r="R7" s="6">
        <v>27</v>
      </c>
      <c r="S7" s="6">
        <v>17</v>
      </c>
      <c r="T7" s="6">
        <v>24</v>
      </c>
      <c r="U7" s="6">
        <v>16</v>
      </c>
      <c r="V7" s="6">
        <f t="shared" si="8"/>
        <v>14</v>
      </c>
      <c r="W7" s="6">
        <f>V7*1.01</f>
        <v>14.14</v>
      </c>
      <c r="X7" s="6">
        <f t="shared" ref="X7:AF7" si="11">W7*1.01</f>
        <v>14.281400000000001</v>
      </c>
      <c r="Y7" s="6">
        <f t="shared" si="11"/>
        <v>14.424214000000001</v>
      </c>
      <c r="Z7" s="6">
        <f t="shared" si="11"/>
        <v>14.56845614</v>
      </c>
      <c r="AA7" s="6">
        <f t="shared" si="11"/>
        <v>14.7141407014</v>
      </c>
      <c r="AB7" s="6">
        <f t="shared" si="11"/>
        <v>14.861282108414001</v>
      </c>
      <c r="AC7" s="6">
        <f t="shared" si="11"/>
        <v>15.00989492949814</v>
      </c>
      <c r="AD7" s="6">
        <f t="shared" si="11"/>
        <v>15.159993878793122</v>
      </c>
      <c r="AE7" s="6">
        <f t="shared" si="11"/>
        <v>15.311593817581054</v>
      </c>
      <c r="AF7" s="6">
        <f t="shared" si="11"/>
        <v>15.464709755756864</v>
      </c>
    </row>
    <row r="8" spans="2:32" x14ac:dyDescent="0.3">
      <c r="B8" s="1" t="s">
        <v>39</v>
      </c>
      <c r="D8" s="6">
        <v>0</v>
      </c>
      <c r="E8" s="6">
        <f>599+88</f>
        <v>687</v>
      </c>
      <c r="G8" s="6"/>
      <c r="H8" s="6">
        <v>0</v>
      </c>
      <c r="I8" s="6">
        <v>6</v>
      </c>
      <c r="J8" s="6">
        <f t="shared" si="7"/>
        <v>5</v>
      </c>
      <c r="K8" s="6"/>
      <c r="L8" s="6">
        <v>0</v>
      </c>
      <c r="M8" s="6">
        <v>0</v>
      </c>
      <c r="N8" s="6">
        <v>0</v>
      </c>
      <c r="P8" s="6">
        <v>0</v>
      </c>
      <c r="Q8" s="6">
        <v>12</v>
      </c>
      <c r="R8" s="6">
        <v>4</v>
      </c>
      <c r="S8" s="6">
        <v>40</v>
      </c>
      <c r="T8" s="6">
        <f>596+91</f>
        <v>687</v>
      </c>
      <c r="U8" s="6">
        <v>11</v>
      </c>
      <c r="V8" s="6">
        <f t="shared" si="8"/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2:32" x14ac:dyDescent="0.3">
      <c r="B9" s="1" t="s">
        <v>38</v>
      </c>
      <c r="D9" s="6">
        <f>SUM(D6:D8)</f>
        <v>243</v>
      </c>
      <c r="E9" s="6">
        <f>SUM(E6:E8)</f>
        <v>931</v>
      </c>
      <c r="G9" s="6">
        <f>SUM(G6:G8)</f>
        <v>230</v>
      </c>
      <c r="H9" s="6">
        <f>SUM(H6:H8)</f>
        <v>238</v>
      </c>
      <c r="I9" s="6">
        <f>SUM(I6:I8)</f>
        <v>256</v>
      </c>
      <c r="J9" s="6">
        <f>SUM(J6:J8)</f>
        <v>286</v>
      </c>
      <c r="K9" s="6">
        <f>SUM(K6:K8)</f>
        <v>234</v>
      </c>
      <c r="L9" s="6">
        <f t="shared" ref="L9:N9" si="12">SUM(L6:L8)</f>
        <v>219</v>
      </c>
      <c r="M9" s="6">
        <f t="shared" si="12"/>
        <v>253.47</v>
      </c>
      <c r="N9" s="6">
        <f t="shared" si="12"/>
        <v>285.79000000000002</v>
      </c>
      <c r="P9" s="6">
        <f t="shared" ref="P9:W9" si="13">SUM(P6:P8)</f>
        <v>654</v>
      </c>
      <c r="Q9" s="6">
        <f t="shared" si="13"/>
        <v>753</v>
      </c>
      <c r="R9" s="6">
        <f t="shared" si="13"/>
        <v>882</v>
      </c>
      <c r="S9" s="6">
        <f t="shared" si="13"/>
        <v>1008</v>
      </c>
      <c r="T9" s="6">
        <f t="shared" si="13"/>
        <v>1653</v>
      </c>
      <c r="U9" s="6">
        <f t="shared" si="13"/>
        <v>1010</v>
      </c>
      <c r="V9" s="6">
        <f t="shared" si="13"/>
        <v>992.26</v>
      </c>
      <c r="W9" s="6">
        <f t="shared" si="13"/>
        <v>1011.9652</v>
      </c>
      <c r="X9" s="6">
        <f t="shared" ref="X9:AF9" si="14">SUM(X6:X8)</f>
        <v>1032.0631040000001</v>
      </c>
      <c r="Y9" s="6">
        <f t="shared" si="14"/>
        <v>1052.56155208</v>
      </c>
      <c r="Z9" s="6">
        <f t="shared" si="14"/>
        <v>1073.4685409816002</v>
      </c>
      <c r="AA9" s="6">
        <f t="shared" si="14"/>
        <v>1094.7922272398323</v>
      </c>
      <c r="AB9" s="6">
        <f t="shared" si="14"/>
        <v>1105.7401495122303</v>
      </c>
      <c r="AC9" s="6">
        <f t="shared" si="14"/>
        <v>1116.7975510073527</v>
      </c>
      <c r="AD9" s="6">
        <f t="shared" si="14"/>
        <v>1127.9655265174263</v>
      </c>
      <c r="AE9" s="6">
        <f t="shared" si="14"/>
        <v>1139.2451817826006</v>
      </c>
      <c r="AF9" s="6">
        <f t="shared" si="14"/>
        <v>1150.6376336004266</v>
      </c>
    </row>
    <row r="10" spans="2:32" s="2" customFormat="1" x14ac:dyDescent="0.3">
      <c r="B10" s="2" t="s">
        <v>28</v>
      </c>
      <c r="D10" s="9">
        <f>D5-D9</f>
        <v>324</v>
      </c>
      <c r="E10" s="9">
        <f>E5-E9</f>
        <v>-344</v>
      </c>
      <c r="G10" s="9">
        <f>G5-G9</f>
        <v>408</v>
      </c>
      <c r="H10" s="9">
        <f>H5-H9</f>
        <v>467</v>
      </c>
      <c r="I10" s="9">
        <f>I5-I9</f>
        <v>506</v>
      </c>
      <c r="J10" s="9">
        <f>J5-J9</f>
        <v>407</v>
      </c>
      <c r="K10" s="9">
        <f>K5-K9</f>
        <v>523</v>
      </c>
      <c r="L10" s="9">
        <f t="shared" ref="L10:N10" si="15">L5-L9</f>
        <v>563</v>
      </c>
      <c r="M10" s="9">
        <f t="shared" si="15"/>
        <v>508.69100000000003</v>
      </c>
      <c r="N10" s="9">
        <f t="shared" si="15"/>
        <v>508.20350000000002</v>
      </c>
      <c r="P10" s="9">
        <f t="shared" ref="P10:W10" si="16">P5-P9</f>
        <v>894</v>
      </c>
      <c r="Q10" s="9">
        <f t="shared" si="16"/>
        <v>984</v>
      </c>
      <c r="R10" s="9">
        <f t="shared" si="16"/>
        <v>1132</v>
      </c>
      <c r="S10" s="9">
        <f t="shared" si="16"/>
        <v>1076</v>
      </c>
      <c r="T10" s="9">
        <f t="shared" si="16"/>
        <v>591</v>
      </c>
      <c r="U10" s="9">
        <f t="shared" si="16"/>
        <v>1788</v>
      </c>
      <c r="V10" s="9">
        <f t="shared" si="16"/>
        <v>2102.8944999999985</v>
      </c>
      <c r="W10" s="9">
        <f t="shared" si="16"/>
        <v>2509.5788750000002</v>
      </c>
      <c r="X10" s="9">
        <f t="shared" ref="X10:AF10" si="17">X5-X9</f>
        <v>2630.3427340000007</v>
      </c>
      <c r="Y10" s="9">
        <f t="shared" si="17"/>
        <v>2719.7164610600003</v>
      </c>
      <c r="Z10" s="9">
        <f t="shared" si="17"/>
        <v>2774.2550324212002</v>
      </c>
      <c r="AA10" s="9">
        <f t="shared" si="17"/>
        <v>2829.8858176310246</v>
      </c>
      <c r="AB10" s="9">
        <f t="shared" si="17"/>
        <v>2858.1846758073352</v>
      </c>
      <c r="AC10" s="9">
        <f t="shared" si="17"/>
        <v>2886.7665225654082</v>
      </c>
      <c r="AD10" s="9">
        <f t="shared" si="17"/>
        <v>2915.6341877910627</v>
      </c>
      <c r="AE10" s="9">
        <f t="shared" si="17"/>
        <v>2944.7905296689732</v>
      </c>
      <c r="AF10" s="9">
        <f t="shared" si="17"/>
        <v>2974.2384349656631</v>
      </c>
    </row>
    <row r="11" spans="2:32" x14ac:dyDescent="0.3">
      <c r="B11" s="1" t="s">
        <v>29</v>
      </c>
      <c r="D11" s="6">
        <v>-7</v>
      </c>
      <c r="E11" s="6">
        <v>-8</v>
      </c>
      <c r="G11" s="6">
        <v>-7</v>
      </c>
      <c r="H11" s="6">
        <v>-8</v>
      </c>
      <c r="I11" s="6">
        <v>-10</v>
      </c>
      <c r="J11" s="6">
        <f t="shared" ref="J11:J12" si="18">U11-I11-H11-G11</f>
        <v>-14</v>
      </c>
      <c r="K11" s="6">
        <v>-7</v>
      </c>
      <c r="L11" s="6">
        <v>-8</v>
      </c>
      <c r="M11" s="6">
        <f t="shared" ref="M11:N11" si="19">I11*1.03</f>
        <v>-10.3</v>
      </c>
      <c r="N11" s="6">
        <f t="shared" si="19"/>
        <v>-14.42</v>
      </c>
      <c r="P11" s="6">
        <v>-18</v>
      </c>
      <c r="Q11" s="6">
        <v>-14</v>
      </c>
      <c r="R11" s="6">
        <v>-20</v>
      </c>
      <c r="S11" s="6">
        <v>-12</v>
      </c>
      <c r="T11" s="6">
        <v>-30</v>
      </c>
      <c r="U11" s="6">
        <v>-39</v>
      </c>
      <c r="V11" s="6">
        <f t="shared" ref="V11:V13" si="20">SUM(K11:N11)</f>
        <v>-39.72</v>
      </c>
      <c r="W11" s="6">
        <f>V11*1.03</f>
        <v>-40.9116</v>
      </c>
      <c r="X11" s="6">
        <f t="shared" ref="X11:AF11" si="21">W11*1.03</f>
        <v>-42.138947999999999</v>
      </c>
      <c r="Y11" s="6">
        <f t="shared" si="21"/>
        <v>-43.403116439999998</v>
      </c>
      <c r="Z11" s="6">
        <f t="shared" si="21"/>
        <v>-44.705209933200003</v>
      </c>
      <c r="AA11" s="6">
        <f t="shared" si="21"/>
        <v>-46.046366231196004</v>
      </c>
      <c r="AB11" s="6">
        <f t="shared" si="21"/>
        <v>-47.427757218131887</v>
      </c>
      <c r="AC11" s="6">
        <f t="shared" si="21"/>
        <v>-48.850589934675845</v>
      </c>
      <c r="AD11" s="6">
        <f t="shared" si="21"/>
        <v>-50.316107632716125</v>
      </c>
      <c r="AE11" s="6">
        <f t="shared" si="21"/>
        <v>-51.825590861697613</v>
      </c>
      <c r="AF11" s="6">
        <f t="shared" si="21"/>
        <v>-53.380358587548542</v>
      </c>
    </row>
    <row r="12" spans="2:32" x14ac:dyDescent="0.3">
      <c r="B12" s="1" t="s">
        <v>30</v>
      </c>
      <c r="D12" s="6">
        <v>56</v>
      </c>
      <c r="E12" s="6">
        <v>53</v>
      </c>
      <c r="G12" s="6">
        <v>49</v>
      </c>
      <c r="H12" s="6">
        <v>51</v>
      </c>
      <c r="I12" s="6">
        <v>46</v>
      </c>
      <c r="J12" s="6">
        <f t="shared" si="18"/>
        <v>47</v>
      </c>
      <c r="K12" s="6">
        <v>49</v>
      </c>
      <c r="L12" s="6">
        <v>55</v>
      </c>
      <c r="M12" s="6">
        <v>50</v>
      </c>
      <c r="N12" s="6">
        <v>50</v>
      </c>
      <c r="P12" s="6">
        <v>133</v>
      </c>
      <c r="Q12" s="6">
        <v>179</v>
      </c>
      <c r="R12" s="6">
        <v>184</v>
      </c>
      <c r="S12" s="6">
        <v>199</v>
      </c>
      <c r="T12" s="6">
        <v>212</v>
      </c>
      <c r="U12" s="6">
        <v>193</v>
      </c>
      <c r="V12" s="6">
        <f t="shared" si="20"/>
        <v>204</v>
      </c>
      <c r="W12" s="6">
        <f>V12*1.03</f>
        <v>210.12</v>
      </c>
      <c r="X12" s="6">
        <f t="shared" ref="X12:AF12" si="22">W12*1.03</f>
        <v>216.42360000000002</v>
      </c>
      <c r="Y12" s="6">
        <f t="shared" si="22"/>
        <v>222.91630800000001</v>
      </c>
      <c r="Z12" s="6">
        <f t="shared" si="22"/>
        <v>229.60379724000003</v>
      </c>
      <c r="AA12" s="6">
        <f t="shared" si="22"/>
        <v>236.49191115720004</v>
      </c>
      <c r="AB12" s="6">
        <f t="shared" si="22"/>
        <v>243.58666849191604</v>
      </c>
      <c r="AC12" s="6">
        <f t="shared" si="22"/>
        <v>250.89426854667354</v>
      </c>
      <c r="AD12" s="6">
        <f t="shared" si="22"/>
        <v>258.42109660307375</v>
      </c>
      <c r="AE12" s="6">
        <f t="shared" si="22"/>
        <v>266.17372950116595</v>
      </c>
      <c r="AF12" s="6">
        <f t="shared" si="22"/>
        <v>274.15894138620092</v>
      </c>
    </row>
    <row r="13" spans="2:32" x14ac:dyDescent="0.3">
      <c r="B13" s="1" t="s">
        <v>31</v>
      </c>
      <c r="D13" s="6">
        <v>1</v>
      </c>
      <c r="E13" s="6">
        <v>-1</v>
      </c>
      <c r="G13" s="6">
        <v>-2</v>
      </c>
      <c r="H13" s="6">
        <v>-2</v>
      </c>
      <c r="I13" s="6">
        <v>0</v>
      </c>
      <c r="J13" s="6">
        <f>U13-I13-H13-G13</f>
        <v>-1</v>
      </c>
      <c r="K13" s="6">
        <v>3</v>
      </c>
      <c r="L13" s="6">
        <v>-2</v>
      </c>
      <c r="M13" s="6">
        <v>0</v>
      </c>
      <c r="N13" s="6">
        <v>0</v>
      </c>
      <c r="P13" s="6">
        <v>-87</v>
      </c>
      <c r="Q13" s="6">
        <v>38</v>
      </c>
      <c r="R13" s="6">
        <v>1</v>
      </c>
      <c r="S13" s="6">
        <v>3</v>
      </c>
      <c r="T13" s="6">
        <v>6</v>
      </c>
      <c r="U13" s="6">
        <v>-5</v>
      </c>
      <c r="V13" s="6">
        <f t="shared" si="20"/>
        <v>1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2:32" x14ac:dyDescent="0.3">
      <c r="B14" s="1" t="s">
        <v>32</v>
      </c>
      <c r="D14" s="6">
        <f>SUM(D11:D13)</f>
        <v>50</v>
      </c>
      <c r="E14" s="6">
        <f>SUM(E11:E13)</f>
        <v>44</v>
      </c>
      <c r="G14" s="6">
        <f t="shared" ref="G14:L14" si="23">SUM(G11:G13)</f>
        <v>40</v>
      </c>
      <c r="H14" s="6">
        <f t="shared" si="23"/>
        <v>41</v>
      </c>
      <c r="I14" s="6">
        <f t="shared" si="23"/>
        <v>36</v>
      </c>
      <c r="J14" s="6">
        <f t="shared" si="23"/>
        <v>32</v>
      </c>
      <c r="K14" s="6">
        <f t="shared" si="23"/>
        <v>45</v>
      </c>
      <c r="L14" s="6">
        <f t="shared" si="23"/>
        <v>45</v>
      </c>
      <c r="M14" s="6">
        <f t="shared" ref="M14:N14" si="24">SUM(M11:M13)</f>
        <v>39.700000000000003</v>
      </c>
      <c r="N14" s="6">
        <f t="shared" si="24"/>
        <v>35.58</v>
      </c>
      <c r="P14" s="6">
        <f t="shared" ref="P14:W14" si="25">SUM(P11:P13)</f>
        <v>28</v>
      </c>
      <c r="Q14" s="6">
        <f t="shared" si="25"/>
        <v>203</v>
      </c>
      <c r="R14" s="6">
        <f t="shared" si="25"/>
        <v>165</v>
      </c>
      <c r="S14" s="6">
        <f t="shared" si="25"/>
        <v>190</v>
      </c>
      <c r="T14" s="6">
        <f t="shared" si="25"/>
        <v>188</v>
      </c>
      <c r="U14" s="6">
        <f t="shared" si="25"/>
        <v>149</v>
      </c>
      <c r="V14" s="6">
        <f t="shared" si="25"/>
        <v>165.28</v>
      </c>
      <c r="W14" s="6">
        <f t="shared" si="25"/>
        <v>169.20840000000001</v>
      </c>
      <c r="X14" s="6">
        <f t="shared" ref="X14:AF14" si="26">SUM(X11:X13)</f>
        <v>174.28465200000002</v>
      </c>
      <c r="Y14" s="6">
        <f t="shared" si="26"/>
        <v>179.51319156000002</v>
      </c>
      <c r="Z14" s="6">
        <f t="shared" si="26"/>
        <v>184.89858730680004</v>
      </c>
      <c r="AA14" s="6">
        <f t="shared" si="26"/>
        <v>190.44554492600403</v>
      </c>
      <c r="AB14" s="6">
        <f t="shared" si="26"/>
        <v>196.15891127378416</v>
      </c>
      <c r="AC14" s="6">
        <f t="shared" si="26"/>
        <v>202.04367861199771</v>
      </c>
      <c r="AD14" s="6">
        <f t="shared" si="26"/>
        <v>208.10498897035762</v>
      </c>
      <c r="AE14" s="6">
        <f t="shared" si="26"/>
        <v>214.34813863946835</v>
      </c>
      <c r="AF14" s="6">
        <f t="shared" si="26"/>
        <v>220.77858279865239</v>
      </c>
    </row>
    <row r="15" spans="2:32" s="2" customFormat="1" x14ac:dyDescent="0.3">
      <c r="B15" s="2" t="s">
        <v>33</v>
      </c>
      <c r="D15" s="9">
        <f>D10-D14</f>
        <v>274</v>
      </c>
      <c r="E15" s="9">
        <f>E10-E14</f>
        <v>-388</v>
      </c>
      <c r="G15" s="9">
        <f t="shared" ref="G15:L15" si="27">G10-G14</f>
        <v>368</v>
      </c>
      <c r="H15" s="9">
        <f t="shared" si="27"/>
        <v>426</v>
      </c>
      <c r="I15" s="9">
        <f t="shared" si="27"/>
        <v>470</v>
      </c>
      <c r="J15" s="9">
        <f t="shared" si="27"/>
        <v>375</v>
      </c>
      <c r="K15" s="9">
        <f t="shared" si="27"/>
        <v>478</v>
      </c>
      <c r="L15" s="9">
        <f t="shared" si="27"/>
        <v>518</v>
      </c>
      <c r="M15" s="9">
        <f t="shared" ref="M15:N15" si="28">M10-M14</f>
        <v>468.99100000000004</v>
      </c>
      <c r="N15" s="9">
        <f t="shared" si="28"/>
        <v>472.62350000000004</v>
      </c>
      <c r="P15" s="9">
        <f t="shared" ref="P15:W15" si="29">P10-P14</f>
        <v>866</v>
      </c>
      <c r="Q15" s="9">
        <f t="shared" si="29"/>
        <v>781</v>
      </c>
      <c r="R15" s="9">
        <f t="shared" si="29"/>
        <v>967</v>
      </c>
      <c r="S15" s="9">
        <f t="shared" si="29"/>
        <v>886</v>
      </c>
      <c r="T15" s="9">
        <f t="shared" si="29"/>
        <v>403</v>
      </c>
      <c r="U15" s="9">
        <f t="shared" si="29"/>
        <v>1639</v>
      </c>
      <c r="V15" s="9">
        <f t="shared" si="29"/>
        <v>1937.6144999999985</v>
      </c>
      <c r="W15" s="9">
        <f t="shared" si="29"/>
        <v>2340.3704750000002</v>
      </c>
      <c r="X15" s="9">
        <f t="shared" ref="X15:AF15" si="30">X10-X14</f>
        <v>2456.0580820000009</v>
      </c>
      <c r="Y15" s="9">
        <f t="shared" si="30"/>
        <v>2540.2032695000003</v>
      </c>
      <c r="Z15" s="9">
        <f t="shared" si="30"/>
        <v>2589.3564451144002</v>
      </c>
      <c r="AA15" s="9">
        <f t="shared" si="30"/>
        <v>2639.4402727050206</v>
      </c>
      <c r="AB15" s="9">
        <f t="shared" si="30"/>
        <v>2662.025764533551</v>
      </c>
      <c r="AC15" s="9">
        <f t="shared" si="30"/>
        <v>2684.7228439534106</v>
      </c>
      <c r="AD15" s="9">
        <f t="shared" si="30"/>
        <v>2707.529198820705</v>
      </c>
      <c r="AE15" s="9">
        <f t="shared" si="30"/>
        <v>2730.442391029505</v>
      </c>
      <c r="AF15" s="9">
        <f t="shared" si="30"/>
        <v>2753.4598521670109</v>
      </c>
    </row>
    <row r="16" spans="2:32" x14ac:dyDescent="0.3">
      <c r="B16" s="1" t="s">
        <v>34</v>
      </c>
      <c r="D16" s="6">
        <v>64</v>
      </c>
      <c r="E16" s="6">
        <v>8</v>
      </c>
      <c r="G16" s="6">
        <v>85</v>
      </c>
      <c r="H16" s="6">
        <v>102</v>
      </c>
      <c r="I16" s="6">
        <v>108</v>
      </c>
      <c r="J16" s="6">
        <f t="shared" ref="J16:J17" si="31">U16-I16-H16-G16</f>
        <v>93</v>
      </c>
      <c r="K16" s="6">
        <v>113</v>
      </c>
      <c r="L16" s="6">
        <v>125</v>
      </c>
      <c r="M16" s="6">
        <f t="shared" ref="M16:N16" si="32">M15*0.22</f>
        <v>103.17802</v>
      </c>
      <c r="N16" s="6">
        <f t="shared" si="32"/>
        <v>103.97717000000002</v>
      </c>
      <c r="P16" s="6">
        <v>196</v>
      </c>
      <c r="Q16" s="6">
        <v>152</v>
      </c>
      <c r="R16" s="6">
        <v>208</v>
      </c>
      <c r="S16" s="6">
        <v>193</v>
      </c>
      <c r="T16" s="6">
        <v>195</v>
      </c>
      <c r="U16" s="6">
        <v>388</v>
      </c>
      <c r="V16" s="6">
        <f t="shared" ref="V16:V17" si="33">SUM(K16:N16)</f>
        <v>445.15519</v>
      </c>
      <c r="W16" s="6">
        <f>W15*0.22</f>
        <v>514.88150450000001</v>
      </c>
      <c r="X16" s="6">
        <f t="shared" ref="X16:AF16" si="34">X15*0.22</f>
        <v>540.33277804000022</v>
      </c>
      <c r="Y16" s="6">
        <f t="shared" si="34"/>
        <v>558.84471929000006</v>
      </c>
      <c r="Z16" s="6">
        <f t="shared" si="34"/>
        <v>569.65841792516801</v>
      </c>
      <c r="AA16" s="6">
        <f t="shared" si="34"/>
        <v>580.67685999510456</v>
      </c>
      <c r="AB16" s="6">
        <f t="shared" si="34"/>
        <v>585.64566819738127</v>
      </c>
      <c r="AC16" s="6">
        <f t="shared" si="34"/>
        <v>590.63902566975037</v>
      </c>
      <c r="AD16" s="6">
        <f t="shared" si="34"/>
        <v>595.65642374055506</v>
      </c>
      <c r="AE16" s="6">
        <f t="shared" si="34"/>
        <v>600.69732602649106</v>
      </c>
      <c r="AF16" s="6">
        <f t="shared" si="34"/>
        <v>605.76116747674246</v>
      </c>
    </row>
    <row r="17" spans="2:143" x14ac:dyDescent="0.3">
      <c r="B17" s="1" t="s">
        <v>35</v>
      </c>
      <c r="D17" s="6">
        <v>3</v>
      </c>
      <c r="E17" s="6">
        <v>3</v>
      </c>
      <c r="G17" s="6">
        <v>-1</v>
      </c>
      <c r="H17" s="6">
        <v>2</v>
      </c>
      <c r="I17" s="6">
        <v>-2</v>
      </c>
      <c r="J17" s="6">
        <f t="shared" si="31"/>
        <v>-2</v>
      </c>
      <c r="K17" s="6">
        <v>2</v>
      </c>
      <c r="L17" s="6">
        <v>2</v>
      </c>
      <c r="M17" s="6">
        <v>0</v>
      </c>
      <c r="N17" s="6">
        <v>0</v>
      </c>
      <c r="P17" s="6">
        <v>3</v>
      </c>
      <c r="Q17" s="6">
        <v>1</v>
      </c>
      <c r="R17" s="6">
        <v>6</v>
      </c>
      <c r="S17" s="6">
        <v>8</v>
      </c>
      <c r="T17" s="6">
        <v>9</v>
      </c>
      <c r="U17" s="6">
        <v>-3</v>
      </c>
      <c r="V17" s="6">
        <f t="shared" si="33"/>
        <v>4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</row>
    <row r="18" spans="2:143" s="2" customFormat="1" x14ac:dyDescent="0.3">
      <c r="B18" s="2" t="s">
        <v>36</v>
      </c>
      <c r="D18" s="9">
        <f>D15-D16-D17</f>
        <v>207</v>
      </c>
      <c r="E18" s="9">
        <f>E15-E16-E17</f>
        <v>-399</v>
      </c>
      <c r="G18" s="9">
        <f t="shared" ref="G18:L18" si="35">G15-G16-G17</f>
        <v>284</v>
      </c>
      <c r="H18" s="9">
        <f t="shared" si="35"/>
        <v>322</v>
      </c>
      <c r="I18" s="9">
        <f t="shared" si="35"/>
        <v>364</v>
      </c>
      <c r="J18" s="9">
        <f t="shared" si="35"/>
        <v>284</v>
      </c>
      <c r="K18" s="9">
        <f t="shared" si="35"/>
        <v>363</v>
      </c>
      <c r="L18" s="9">
        <f t="shared" si="35"/>
        <v>391</v>
      </c>
      <c r="M18" s="9">
        <f t="shared" ref="M18:N18" si="36">M15-M16-M17</f>
        <v>365.81298000000004</v>
      </c>
      <c r="N18" s="9">
        <f t="shared" si="36"/>
        <v>368.64633000000003</v>
      </c>
      <c r="P18" s="9">
        <f t="shared" ref="P18:W18" si="37">P15-P16-P17</f>
        <v>667</v>
      </c>
      <c r="Q18" s="9">
        <f t="shared" si="37"/>
        <v>628</v>
      </c>
      <c r="R18" s="9">
        <f t="shared" si="37"/>
        <v>753</v>
      </c>
      <c r="S18" s="9">
        <f t="shared" si="37"/>
        <v>685</v>
      </c>
      <c r="T18" s="9">
        <f t="shared" si="37"/>
        <v>199</v>
      </c>
      <c r="U18" s="9">
        <f t="shared" si="37"/>
        <v>1254</v>
      </c>
      <c r="V18" s="9">
        <f t="shared" si="37"/>
        <v>1488.4593099999986</v>
      </c>
      <c r="W18" s="9">
        <f t="shared" si="37"/>
        <v>1825.4889705000001</v>
      </c>
      <c r="X18" s="9">
        <f t="shared" ref="X18:AF18" si="38">X15-X16-X17</f>
        <v>1915.7253039600007</v>
      </c>
      <c r="Y18" s="9">
        <f t="shared" si="38"/>
        <v>1981.3585502100002</v>
      </c>
      <c r="Z18" s="9">
        <f t="shared" si="38"/>
        <v>2019.6980271892321</v>
      </c>
      <c r="AA18" s="9">
        <f t="shared" si="38"/>
        <v>2058.7634127099159</v>
      </c>
      <c r="AB18" s="9">
        <f t="shared" si="38"/>
        <v>2076.3800963361696</v>
      </c>
      <c r="AC18" s="9">
        <f t="shared" si="38"/>
        <v>2094.0838182836601</v>
      </c>
      <c r="AD18" s="9">
        <f t="shared" si="38"/>
        <v>2111.8727750801499</v>
      </c>
      <c r="AE18" s="9">
        <f t="shared" si="38"/>
        <v>2129.7450650030141</v>
      </c>
      <c r="AF18" s="9">
        <f t="shared" si="38"/>
        <v>2147.6986846902682</v>
      </c>
      <c r="AG18" s="2">
        <f>AF18*(1+$AI$23)</f>
        <v>2126.2216978433657</v>
      </c>
      <c r="AH18" s="2">
        <f t="shared" ref="AH18:CS18" si="39">AG18*(1+$AI$23)</f>
        <v>2104.9594808649322</v>
      </c>
      <c r="AI18" s="2">
        <f t="shared" si="39"/>
        <v>2083.9098860562826</v>
      </c>
      <c r="AJ18" s="2">
        <f t="shared" si="39"/>
        <v>2063.0707871957197</v>
      </c>
      <c r="AK18" s="2">
        <f t="shared" si="39"/>
        <v>2042.4400793237626</v>
      </c>
      <c r="AL18" s="2">
        <f t="shared" si="39"/>
        <v>2022.0156785305248</v>
      </c>
      <c r="AM18" s="2">
        <f t="shared" si="39"/>
        <v>2001.7955217452195</v>
      </c>
      <c r="AN18" s="2">
        <f t="shared" si="39"/>
        <v>1981.7775665277672</v>
      </c>
      <c r="AO18" s="2">
        <f t="shared" si="39"/>
        <v>1961.9597908624896</v>
      </c>
      <c r="AP18" s="2">
        <f t="shared" si="39"/>
        <v>1942.3401929538647</v>
      </c>
      <c r="AQ18" s="2">
        <f t="shared" si="39"/>
        <v>1922.9167910243261</v>
      </c>
      <c r="AR18" s="2">
        <f t="shared" si="39"/>
        <v>1903.687623114083</v>
      </c>
      <c r="AS18" s="2">
        <f t="shared" si="39"/>
        <v>1884.650746882942</v>
      </c>
      <c r="AT18" s="2">
        <f t="shared" si="39"/>
        <v>1865.8042394141125</v>
      </c>
      <c r="AU18" s="2">
        <f t="shared" si="39"/>
        <v>1847.1461970199714</v>
      </c>
      <c r="AV18" s="2">
        <f t="shared" si="39"/>
        <v>1828.6747350497717</v>
      </c>
      <c r="AW18" s="2">
        <f t="shared" si="39"/>
        <v>1810.3879876992739</v>
      </c>
      <c r="AX18" s="2">
        <f t="shared" si="39"/>
        <v>1792.2841078222812</v>
      </c>
      <c r="AY18" s="2">
        <f t="shared" si="39"/>
        <v>1774.3612667440584</v>
      </c>
      <c r="AZ18" s="2">
        <f t="shared" si="39"/>
        <v>1756.6176540766178</v>
      </c>
      <c r="BA18" s="2">
        <f t="shared" si="39"/>
        <v>1739.0514775358515</v>
      </c>
      <c r="BB18" s="2">
        <f t="shared" si="39"/>
        <v>1721.660962760493</v>
      </c>
      <c r="BC18" s="2">
        <f t="shared" si="39"/>
        <v>1704.4443531328882</v>
      </c>
      <c r="BD18" s="2">
        <f t="shared" si="39"/>
        <v>1687.3999096015593</v>
      </c>
      <c r="BE18" s="2">
        <f t="shared" si="39"/>
        <v>1670.5259105055438</v>
      </c>
      <c r="BF18" s="2">
        <f t="shared" si="39"/>
        <v>1653.8206514004885</v>
      </c>
      <c r="BG18" s="2">
        <f t="shared" si="39"/>
        <v>1637.2824448864835</v>
      </c>
      <c r="BH18" s="2">
        <f t="shared" si="39"/>
        <v>1620.9096204376187</v>
      </c>
      <c r="BI18" s="2">
        <f t="shared" si="39"/>
        <v>1604.7005242332425</v>
      </c>
      <c r="BJ18" s="2">
        <f t="shared" si="39"/>
        <v>1588.65351899091</v>
      </c>
      <c r="BK18" s="2">
        <f t="shared" si="39"/>
        <v>1572.7669838010008</v>
      </c>
      <c r="BL18" s="2">
        <f t="shared" si="39"/>
        <v>1557.0393139629907</v>
      </c>
      <c r="BM18" s="2">
        <f t="shared" si="39"/>
        <v>1541.4689208233608</v>
      </c>
      <c r="BN18" s="2">
        <f t="shared" si="39"/>
        <v>1526.0542316151273</v>
      </c>
      <c r="BO18" s="2">
        <f t="shared" si="39"/>
        <v>1510.793689298976</v>
      </c>
      <c r="BP18" s="2">
        <f t="shared" si="39"/>
        <v>1495.6857524059862</v>
      </c>
      <c r="BQ18" s="2">
        <f t="shared" si="39"/>
        <v>1480.7288948819264</v>
      </c>
      <c r="BR18" s="2">
        <f t="shared" si="39"/>
        <v>1465.9216059331072</v>
      </c>
      <c r="BS18" s="2">
        <f t="shared" si="39"/>
        <v>1451.2623898737761</v>
      </c>
      <c r="BT18" s="2">
        <f t="shared" si="39"/>
        <v>1436.7497659750384</v>
      </c>
      <c r="BU18" s="2">
        <f t="shared" si="39"/>
        <v>1422.382268315288</v>
      </c>
      <c r="BV18" s="2">
        <f t="shared" si="39"/>
        <v>1408.158445632135</v>
      </c>
      <c r="BW18" s="2">
        <f t="shared" si="39"/>
        <v>1394.0768611758137</v>
      </c>
      <c r="BX18" s="2">
        <f t="shared" si="39"/>
        <v>1380.1360925640556</v>
      </c>
      <c r="BY18" s="2">
        <f t="shared" si="39"/>
        <v>1366.334731638415</v>
      </c>
      <c r="BZ18" s="2">
        <f t="shared" si="39"/>
        <v>1352.6713843220307</v>
      </c>
      <c r="CA18" s="2">
        <f t="shared" si="39"/>
        <v>1339.1446704788104</v>
      </c>
      <c r="CB18" s="2">
        <f t="shared" si="39"/>
        <v>1325.7532237740222</v>
      </c>
      <c r="CC18" s="2">
        <f t="shared" si="39"/>
        <v>1312.495691536282</v>
      </c>
      <c r="CD18" s="2">
        <f t="shared" si="39"/>
        <v>1299.3707346209192</v>
      </c>
      <c r="CE18" s="2">
        <f t="shared" si="39"/>
        <v>1286.3770272747099</v>
      </c>
      <c r="CF18" s="2">
        <f t="shared" si="39"/>
        <v>1273.5132570019628</v>
      </c>
      <c r="CG18" s="2">
        <f t="shared" si="39"/>
        <v>1260.7781244319431</v>
      </c>
      <c r="CH18" s="2">
        <f t="shared" si="39"/>
        <v>1248.1703431876235</v>
      </c>
      <c r="CI18" s="2">
        <f t="shared" si="39"/>
        <v>1235.6886397557473</v>
      </c>
      <c r="CJ18" s="2">
        <f t="shared" si="39"/>
        <v>1223.3317533581899</v>
      </c>
      <c r="CK18" s="2">
        <f t="shared" si="39"/>
        <v>1211.098435824608</v>
      </c>
      <c r="CL18" s="2">
        <f t="shared" si="39"/>
        <v>1198.987451466362</v>
      </c>
      <c r="CM18" s="2">
        <f t="shared" si="39"/>
        <v>1186.9975769516984</v>
      </c>
      <c r="CN18" s="2">
        <f t="shared" si="39"/>
        <v>1175.1276011821815</v>
      </c>
      <c r="CO18" s="2">
        <f t="shared" si="39"/>
        <v>1163.3763251703597</v>
      </c>
      <c r="CP18" s="2">
        <f t="shared" si="39"/>
        <v>1151.7425619186561</v>
      </c>
      <c r="CQ18" s="2">
        <f t="shared" si="39"/>
        <v>1140.2251362994696</v>
      </c>
      <c r="CR18" s="2">
        <f t="shared" si="39"/>
        <v>1128.8228849364748</v>
      </c>
      <c r="CS18" s="2">
        <f t="shared" si="39"/>
        <v>1117.5346560871101</v>
      </c>
      <c r="CT18" s="2">
        <f t="shared" ref="CT18:EM18" si="40">CS18*(1+$AI$23)</f>
        <v>1106.359309526239</v>
      </c>
      <c r="CU18" s="2">
        <f t="shared" si="40"/>
        <v>1095.2957164309767</v>
      </c>
      <c r="CV18" s="2">
        <f t="shared" si="40"/>
        <v>1084.3427592666669</v>
      </c>
      <c r="CW18" s="2">
        <f t="shared" si="40"/>
        <v>1073.4993316740001</v>
      </c>
      <c r="CX18" s="2">
        <f t="shared" si="40"/>
        <v>1062.7643383572602</v>
      </c>
      <c r="CY18" s="2">
        <f t="shared" si="40"/>
        <v>1052.1366949736876</v>
      </c>
      <c r="CZ18" s="2">
        <f t="shared" si="40"/>
        <v>1041.6153280239507</v>
      </c>
      <c r="DA18" s="2">
        <f t="shared" si="40"/>
        <v>1031.1991747437112</v>
      </c>
      <c r="DB18" s="2">
        <f t="shared" si="40"/>
        <v>1020.8871829962741</v>
      </c>
      <c r="DC18" s="2">
        <f t="shared" si="40"/>
        <v>1010.6783111663113</v>
      </c>
      <c r="DD18" s="2">
        <f t="shared" si="40"/>
        <v>1000.5715280546482</v>
      </c>
      <c r="DE18" s="2">
        <f t="shared" si="40"/>
        <v>990.56581277410169</v>
      </c>
      <c r="DF18" s="2">
        <f t="shared" si="40"/>
        <v>980.66015464636064</v>
      </c>
      <c r="DG18" s="2">
        <f t="shared" si="40"/>
        <v>970.853553099897</v>
      </c>
      <c r="DH18" s="2">
        <f t="shared" si="40"/>
        <v>961.14501756889797</v>
      </c>
      <c r="DI18" s="2">
        <f t="shared" si="40"/>
        <v>951.53356739320895</v>
      </c>
      <c r="DJ18" s="2">
        <f t="shared" si="40"/>
        <v>942.01823171927686</v>
      </c>
      <c r="DK18" s="2">
        <f t="shared" si="40"/>
        <v>932.59804940208403</v>
      </c>
      <c r="DL18" s="2">
        <f t="shared" si="40"/>
        <v>923.27206890806315</v>
      </c>
      <c r="DM18" s="2">
        <f t="shared" si="40"/>
        <v>914.03934821898247</v>
      </c>
      <c r="DN18" s="2">
        <f t="shared" si="40"/>
        <v>904.89895473679269</v>
      </c>
      <c r="DO18" s="2">
        <f t="shared" si="40"/>
        <v>895.84996518942478</v>
      </c>
      <c r="DP18" s="2">
        <f t="shared" si="40"/>
        <v>886.89146553753051</v>
      </c>
      <c r="DQ18" s="2">
        <f t="shared" si="40"/>
        <v>878.0225508821552</v>
      </c>
      <c r="DR18" s="2">
        <f t="shared" si="40"/>
        <v>869.24232537333364</v>
      </c>
      <c r="DS18" s="2">
        <f t="shared" si="40"/>
        <v>860.54990211960035</v>
      </c>
      <c r="DT18" s="2">
        <f t="shared" si="40"/>
        <v>851.94440309840434</v>
      </c>
      <c r="DU18" s="2">
        <f t="shared" si="40"/>
        <v>843.42495906742033</v>
      </c>
      <c r="DV18" s="2">
        <f t="shared" si="40"/>
        <v>834.99070947674613</v>
      </c>
      <c r="DW18" s="2">
        <f t="shared" si="40"/>
        <v>826.64080238197869</v>
      </c>
      <c r="DX18" s="2">
        <f t="shared" si="40"/>
        <v>818.37439435815884</v>
      </c>
      <c r="DY18" s="2">
        <f t="shared" si="40"/>
        <v>810.19065041457725</v>
      </c>
      <c r="DZ18" s="2">
        <f t="shared" si="40"/>
        <v>802.0887439104315</v>
      </c>
      <c r="EA18" s="2">
        <f t="shared" si="40"/>
        <v>794.06785647132722</v>
      </c>
      <c r="EB18" s="2">
        <f t="shared" si="40"/>
        <v>786.12717790661395</v>
      </c>
      <c r="EC18" s="2">
        <f t="shared" si="40"/>
        <v>778.26590612754785</v>
      </c>
      <c r="ED18" s="2">
        <f t="shared" si="40"/>
        <v>770.48324706627238</v>
      </c>
      <c r="EE18" s="2">
        <f t="shared" si="40"/>
        <v>762.77841459560966</v>
      </c>
      <c r="EF18" s="2">
        <f t="shared" si="40"/>
        <v>755.15063044965359</v>
      </c>
      <c r="EG18" s="2">
        <f t="shared" si="40"/>
        <v>747.59912414515702</v>
      </c>
      <c r="EH18" s="2">
        <f t="shared" si="40"/>
        <v>740.12313290370548</v>
      </c>
      <c r="EI18" s="2">
        <f t="shared" si="40"/>
        <v>732.72190157466844</v>
      </c>
      <c r="EJ18" s="2">
        <f t="shared" si="40"/>
        <v>725.39468255892177</v>
      </c>
      <c r="EK18" s="2">
        <f t="shared" si="40"/>
        <v>718.14073573333258</v>
      </c>
      <c r="EL18" s="2">
        <f t="shared" si="40"/>
        <v>710.95932837599923</v>
      </c>
      <c r="EM18" s="2">
        <f t="shared" si="40"/>
        <v>703.84973509223926</v>
      </c>
    </row>
    <row r="19" spans="2:143" x14ac:dyDescent="0.3">
      <c r="B19" s="1" t="s">
        <v>2</v>
      </c>
      <c r="D19" s="6">
        <f>128.7</f>
        <v>128.69999999999999</v>
      </c>
      <c r="E19" s="6">
        <f>128.7</f>
        <v>128.69999999999999</v>
      </c>
      <c r="G19" s="6">
        <f t="shared" ref="G19:L19" si="41">128.7</f>
        <v>128.69999999999999</v>
      </c>
      <c r="H19" s="6">
        <f t="shared" si="41"/>
        <v>128.69999999999999</v>
      </c>
      <c r="I19" s="6">
        <f t="shared" si="41"/>
        <v>128.69999999999999</v>
      </c>
      <c r="J19" s="6">
        <f t="shared" si="41"/>
        <v>128.69999999999999</v>
      </c>
      <c r="K19" s="6">
        <f t="shared" si="41"/>
        <v>128.69999999999999</v>
      </c>
      <c r="L19" s="6">
        <f t="shared" si="41"/>
        <v>128.69999999999999</v>
      </c>
      <c r="M19" s="6">
        <f t="shared" ref="M19:N19" si="42">128.7</f>
        <v>128.69999999999999</v>
      </c>
      <c r="N19" s="6">
        <f t="shared" si="42"/>
        <v>128.69999999999999</v>
      </c>
      <c r="P19" s="6">
        <f t="shared" ref="P19:W19" si="43">128.7</f>
        <v>128.69999999999999</v>
      </c>
      <c r="Q19" s="6">
        <f t="shared" si="43"/>
        <v>128.69999999999999</v>
      </c>
      <c r="R19" s="6">
        <f t="shared" si="43"/>
        <v>128.69999999999999</v>
      </c>
      <c r="S19" s="6">
        <f t="shared" si="43"/>
        <v>128.69999999999999</v>
      </c>
      <c r="T19" s="6">
        <f t="shared" si="43"/>
        <v>128.69999999999999</v>
      </c>
      <c r="U19" s="6">
        <f t="shared" si="43"/>
        <v>128.69999999999999</v>
      </c>
      <c r="V19" s="6">
        <f t="shared" si="43"/>
        <v>128.69999999999999</v>
      </c>
      <c r="W19" s="6">
        <f t="shared" si="43"/>
        <v>128.69999999999999</v>
      </c>
      <c r="X19" s="6">
        <f t="shared" ref="X19:AF19" si="44">128.7</f>
        <v>128.69999999999999</v>
      </c>
      <c r="Y19" s="6">
        <f t="shared" si="44"/>
        <v>128.69999999999999</v>
      </c>
      <c r="Z19" s="6">
        <f t="shared" si="44"/>
        <v>128.69999999999999</v>
      </c>
      <c r="AA19" s="6">
        <f t="shared" si="44"/>
        <v>128.69999999999999</v>
      </c>
      <c r="AB19" s="6">
        <f t="shared" si="44"/>
        <v>128.69999999999999</v>
      </c>
      <c r="AC19" s="6">
        <f t="shared" si="44"/>
        <v>128.69999999999999</v>
      </c>
      <c r="AD19" s="6">
        <f t="shared" si="44"/>
        <v>128.69999999999999</v>
      </c>
      <c r="AE19" s="6">
        <f t="shared" si="44"/>
        <v>128.69999999999999</v>
      </c>
      <c r="AF19" s="6">
        <f t="shared" si="44"/>
        <v>128.69999999999999</v>
      </c>
    </row>
    <row r="20" spans="2:143" x14ac:dyDescent="0.3">
      <c r="B20" s="1" t="s">
        <v>37</v>
      </c>
      <c r="D20" s="8">
        <f>D18/D19</f>
        <v>1.6083916083916086</v>
      </c>
      <c r="E20" s="8">
        <f>E18/E19</f>
        <v>-3.1002331002331007</v>
      </c>
      <c r="G20" s="8">
        <f t="shared" ref="G20:L20" si="45">G18/G19</f>
        <v>2.2066822066822067</v>
      </c>
      <c r="H20" s="8">
        <f t="shared" si="45"/>
        <v>2.5019425019425023</v>
      </c>
      <c r="I20" s="8">
        <f t="shared" si="45"/>
        <v>2.8282828282828287</v>
      </c>
      <c r="J20" s="8">
        <f t="shared" si="45"/>
        <v>2.2066822066822067</v>
      </c>
      <c r="K20" s="8">
        <f t="shared" si="45"/>
        <v>2.8205128205128207</v>
      </c>
      <c r="L20" s="8">
        <f t="shared" si="45"/>
        <v>3.0380730380730383</v>
      </c>
      <c r="M20" s="8">
        <f t="shared" ref="M20:N20" si="46">M18/M19</f>
        <v>2.8423696969696977</v>
      </c>
      <c r="N20" s="8">
        <f t="shared" si="46"/>
        <v>2.8643848484848489</v>
      </c>
      <c r="P20" s="8">
        <f t="shared" ref="P20:W20" si="47">P18/P19</f>
        <v>5.1825951825951835</v>
      </c>
      <c r="Q20" s="8">
        <f t="shared" si="47"/>
        <v>4.8795648795648798</v>
      </c>
      <c r="R20" s="8">
        <f t="shared" si="47"/>
        <v>5.8508158508158514</v>
      </c>
      <c r="S20" s="8">
        <f t="shared" si="47"/>
        <v>5.3224553224553226</v>
      </c>
      <c r="T20" s="8">
        <f t="shared" si="47"/>
        <v>1.5462315462315463</v>
      </c>
      <c r="U20" s="8">
        <f t="shared" si="47"/>
        <v>9.7435897435897445</v>
      </c>
      <c r="V20" s="8">
        <f t="shared" si="47"/>
        <v>11.565340404040395</v>
      </c>
      <c r="W20" s="8">
        <f t="shared" si="47"/>
        <v>14.184063484848487</v>
      </c>
      <c r="X20" s="8">
        <f t="shared" ref="X20:AF20" si="48">X18/X19</f>
        <v>14.885200496969704</v>
      </c>
      <c r="Y20" s="8">
        <f t="shared" si="48"/>
        <v>15.395171330303032</v>
      </c>
      <c r="Z20" s="8">
        <f t="shared" si="48"/>
        <v>15.693069364329698</v>
      </c>
      <c r="AA20" s="8">
        <f t="shared" si="48"/>
        <v>15.996607713363762</v>
      </c>
      <c r="AB20" s="8">
        <f t="shared" si="48"/>
        <v>16.13348948202152</v>
      </c>
      <c r="AC20" s="8">
        <f t="shared" si="48"/>
        <v>16.271047539111578</v>
      </c>
      <c r="AD20" s="8">
        <f t="shared" si="48"/>
        <v>16.409267871640637</v>
      </c>
      <c r="AE20" s="8">
        <f t="shared" si="48"/>
        <v>16.548135703209123</v>
      </c>
      <c r="AF20" s="8">
        <f t="shared" si="48"/>
        <v>16.687635467678852</v>
      </c>
    </row>
    <row r="22" spans="2:143" x14ac:dyDescent="0.3">
      <c r="B22" s="1" t="s">
        <v>40</v>
      </c>
      <c r="D22" s="10"/>
      <c r="E22" s="10"/>
      <c r="F22" s="10"/>
      <c r="G22" s="10"/>
      <c r="H22" s="10">
        <f t="shared" ref="H22:I22" si="49">H3/D3-1</f>
        <v>7.6602397081813489E-2</v>
      </c>
      <c r="I22" s="10">
        <f t="shared" si="49"/>
        <v>6.8604947717419096E-2</v>
      </c>
      <c r="J22" s="10"/>
      <c r="K22" s="10">
        <f>K3/G3-1</f>
        <v>6.7924528301886777E-2</v>
      </c>
      <c r="L22" s="10">
        <f t="shared" ref="L22:N22" si="50">L3/H3-1</f>
        <v>2.9283639883833423E-2</v>
      </c>
      <c r="M22" s="10">
        <f t="shared" si="50"/>
        <v>7.0000000000000062E-2</v>
      </c>
      <c r="N22" s="10">
        <f t="shared" si="50"/>
        <v>7.0000000000000062E-2</v>
      </c>
      <c r="P22" s="10"/>
      <c r="Q22" s="10">
        <f>Q3/P3-1</f>
        <v>0.10843699296917242</v>
      </c>
      <c r="R22" s="10">
        <f t="shared" ref="R22:AF22" si="51">R3/Q3-1</f>
        <v>0.11710173212978781</v>
      </c>
      <c r="S22" s="10">
        <f t="shared" si="51"/>
        <v>4.797262866710339E-2</v>
      </c>
      <c r="T22" s="10">
        <f t="shared" si="51"/>
        <v>7.2381217004723553E-2</v>
      </c>
      <c r="U22" s="10">
        <f t="shared" si="51"/>
        <v>7.9284881461329171E-2</v>
      </c>
      <c r="V22" s="10">
        <f t="shared" si="51"/>
        <v>5.9407634137558452E-2</v>
      </c>
      <c r="W22" s="10">
        <f t="shared" si="51"/>
        <v>5.0000000000000044E-2</v>
      </c>
      <c r="X22" s="10">
        <f t="shared" si="51"/>
        <v>4.0000000000000036E-2</v>
      </c>
      <c r="Y22" s="10">
        <f t="shared" si="51"/>
        <v>3.0000000000000027E-2</v>
      </c>
      <c r="Z22" s="10">
        <f t="shared" si="51"/>
        <v>2.0000000000000018E-2</v>
      </c>
      <c r="AA22" s="10">
        <f t="shared" si="51"/>
        <v>2.0000000000000018E-2</v>
      </c>
      <c r="AB22" s="10">
        <f t="shared" si="51"/>
        <v>1.0000000000000009E-2</v>
      </c>
      <c r="AC22" s="10">
        <f t="shared" si="51"/>
        <v>1.0000000000000009E-2</v>
      </c>
      <c r="AD22" s="10">
        <f t="shared" si="51"/>
        <v>1.0000000000000009E-2</v>
      </c>
      <c r="AE22" s="10">
        <f t="shared" si="51"/>
        <v>1.0000000000000009E-2</v>
      </c>
      <c r="AF22" s="10">
        <f t="shared" si="51"/>
        <v>1.0000000000000009E-2</v>
      </c>
    </row>
    <row r="23" spans="2:143" x14ac:dyDescent="0.3">
      <c r="B23" s="1" t="s">
        <v>41</v>
      </c>
      <c r="D23" s="10">
        <f t="shared" ref="D23:J23" si="52">D5/D3</f>
        <v>0.14773319437206878</v>
      </c>
      <c r="E23" s="10">
        <f t="shared" si="52"/>
        <v>0.14970670747258352</v>
      </c>
      <c r="F23" s="10"/>
      <c r="G23" s="10">
        <f t="shared" si="52"/>
        <v>0.16050314465408805</v>
      </c>
      <c r="H23" s="10">
        <f t="shared" si="52"/>
        <v>0.17061955469506293</v>
      </c>
      <c r="I23" s="10">
        <f t="shared" si="52"/>
        <v>0.18186157517899762</v>
      </c>
      <c r="J23" s="10">
        <f t="shared" si="52"/>
        <v>0.15876288659793814</v>
      </c>
      <c r="K23" s="10">
        <f>K5/K3</f>
        <v>0.17832744405182568</v>
      </c>
      <c r="L23" s="10">
        <f t="shared" ref="L23:N23" si="53">L5/L3</f>
        <v>0.1838702092640489</v>
      </c>
      <c r="M23" s="10">
        <f t="shared" si="53"/>
        <v>0.17</v>
      </c>
      <c r="N23" s="10">
        <f t="shared" si="53"/>
        <v>0.17</v>
      </c>
      <c r="P23" s="10">
        <f>P5/P3</f>
        <v>0.13953488372093023</v>
      </c>
      <c r="Q23" s="10">
        <f>Q5/Q3</f>
        <v>0.14125396438155649</v>
      </c>
      <c r="R23" s="10">
        <f t="shared" ref="R23:AF23" si="54">R5/R3</f>
        <v>0.14661134163208853</v>
      </c>
      <c r="S23" s="10">
        <f t="shared" si="54"/>
        <v>0.14476243400944708</v>
      </c>
      <c r="T23" s="10">
        <f t="shared" si="54"/>
        <v>0.14535561601243685</v>
      </c>
      <c r="U23" s="10">
        <f t="shared" si="54"/>
        <v>0.16792701956547834</v>
      </c>
      <c r="V23" s="10">
        <f t="shared" si="54"/>
        <v>0.17534448230638708</v>
      </c>
      <c r="W23" s="10">
        <f t="shared" si="54"/>
        <v>0.19</v>
      </c>
      <c r="X23" s="10">
        <f t="shared" si="54"/>
        <v>0.19</v>
      </c>
      <c r="Y23" s="10">
        <f t="shared" si="54"/>
        <v>0.19</v>
      </c>
      <c r="Z23" s="10">
        <f t="shared" si="54"/>
        <v>0.19</v>
      </c>
      <c r="AA23" s="10">
        <f t="shared" si="54"/>
        <v>0.19</v>
      </c>
      <c r="AB23" s="10">
        <f t="shared" si="54"/>
        <v>0.19</v>
      </c>
      <c r="AC23" s="10">
        <f t="shared" si="54"/>
        <v>0.19</v>
      </c>
      <c r="AD23" s="10">
        <f t="shared" si="54"/>
        <v>0.19</v>
      </c>
      <c r="AE23" s="10">
        <f t="shared" si="54"/>
        <v>0.19</v>
      </c>
      <c r="AF23" s="10">
        <f t="shared" si="54"/>
        <v>0.19000000000000003</v>
      </c>
      <c r="AH23" s="1" t="s">
        <v>46</v>
      </c>
      <c r="AI23" s="10">
        <v>-0.01</v>
      </c>
    </row>
    <row r="24" spans="2:143" x14ac:dyDescent="0.3">
      <c r="B24" s="1" t="s">
        <v>42</v>
      </c>
      <c r="D24" s="10"/>
      <c r="E24" s="10"/>
      <c r="F24" s="10"/>
      <c r="G24" s="10"/>
      <c r="H24" s="10">
        <f t="shared" ref="H24:I24" si="55">H6/D6-1</f>
        <v>-2.5316455696202556E-2</v>
      </c>
      <c r="I24" s="10">
        <f t="shared" si="55"/>
        <v>3.3472803347280422E-2</v>
      </c>
      <c r="J24" s="10"/>
      <c r="K24" s="10">
        <f>K6/G6-1</f>
        <v>1.7699115044247815E-2</v>
      </c>
      <c r="L24" s="10">
        <f t="shared" ref="L24:N24" si="56">L6/H6-1</f>
        <v>-6.0606060606060552E-2</v>
      </c>
      <c r="M24" s="10">
        <f t="shared" si="56"/>
        <v>1.0000000000000009E-2</v>
      </c>
      <c r="N24" s="10">
        <f t="shared" si="56"/>
        <v>1.0000000000000009E-2</v>
      </c>
      <c r="P24" s="10"/>
      <c r="Q24" s="10">
        <f>Q6/P6-1</f>
        <v>8.1664098613251079E-2</v>
      </c>
      <c r="R24" s="10">
        <f t="shared" ref="R24:AF24" si="57">R6/Q6-1</f>
        <v>0.21225071225071224</v>
      </c>
      <c r="S24" s="10">
        <f t="shared" si="57"/>
        <v>0.11750881316098716</v>
      </c>
      <c r="T24" s="10">
        <f t="shared" si="57"/>
        <v>-9.4637223974763929E-3</v>
      </c>
      <c r="U24" s="10">
        <f t="shared" si="57"/>
        <v>4.3524416135881205E-2</v>
      </c>
      <c r="V24" s="10">
        <f t="shared" si="57"/>
        <v>-4.8219735503560734E-3</v>
      </c>
      <c r="W24" s="10">
        <f t="shared" si="57"/>
        <v>2.0000000000000018E-2</v>
      </c>
      <c r="X24" s="10">
        <f t="shared" si="57"/>
        <v>2.0000000000000018E-2</v>
      </c>
      <c r="Y24" s="10">
        <f t="shared" si="57"/>
        <v>2.0000000000000018E-2</v>
      </c>
      <c r="Z24" s="10">
        <f t="shared" si="57"/>
        <v>2.0000000000000018E-2</v>
      </c>
      <c r="AA24" s="10">
        <f t="shared" si="57"/>
        <v>2.0000000000000018E-2</v>
      </c>
      <c r="AB24" s="10">
        <f t="shared" si="57"/>
        <v>1.0000000000000009E-2</v>
      </c>
      <c r="AC24" s="10">
        <f t="shared" si="57"/>
        <v>1.0000000000000009E-2</v>
      </c>
      <c r="AD24" s="10">
        <f t="shared" si="57"/>
        <v>1.0000000000000009E-2</v>
      </c>
      <c r="AE24" s="10">
        <f t="shared" si="57"/>
        <v>1.0000000000000009E-2</v>
      </c>
      <c r="AF24" s="10">
        <f t="shared" si="57"/>
        <v>1.0000000000000009E-2</v>
      </c>
      <c r="AH24" s="1" t="s">
        <v>47</v>
      </c>
      <c r="AI24" s="10">
        <v>0.08</v>
      </c>
    </row>
    <row r="25" spans="2:143" x14ac:dyDescent="0.3">
      <c r="B25" s="1" t="s">
        <v>43</v>
      </c>
      <c r="D25" s="10">
        <f t="shared" ref="D25:J25" si="58">D6/D3</f>
        <v>6.175091193329859E-2</v>
      </c>
      <c r="E25" s="10">
        <f t="shared" si="58"/>
        <v>6.0953838306554452E-2</v>
      </c>
      <c r="F25" s="10"/>
      <c r="G25" s="10">
        <f t="shared" si="58"/>
        <v>5.6855345911949684E-2</v>
      </c>
      <c r="H25" s="10">
        <f t="shared" si="58"/>
        <v>5.5905130687318491E-2</v>
      </c>
      <c r="I25" s="10">
        <f t="shared" si="58"/>
        <v>5.8949880668257758E-2</v>
      </c>
      <c r="J25" s="10">
        <f t="shared" si="58"/>
        <v>6.3917525773195871E-2</v>
      </c>
      <c r="K25" s="10">
        <f>K6/K3</f>
        <v>5.418138987043581E-2</v>
      </c>
      <c r="L25" s="10">
        <f t="shared" ref="L25:N25" si="59">L6/L3</f>
        <v>5.1022807430049374E-2</v>
      </c>
      <c r="M25" s="10">
        <f t="shared" si="59"/>
        <v>5.5644279883121803E-2</v>
      </c>
      <c r="N25" s="10">
        <f t="shared" si="59"/>
        <v>6.033336544946527E-2</v>
      </c>
      <c r="P25" s="10">
        <f>P6/P3</f>
        <v>5.8500090138813771E-2</v>
      </c>
      <c r="Q25" s="10">
        <f>Q6/Q3</f>
        <v>5.7087094413271533E-2</v>
      </c>
      <c r="R25" s="10">
        <f t="shared" ref="R25:AF25" si="60">R6/R3</f>
        <v>6.1949479507898378E-2</v>
      </c>
      <c r="S25" s="10">
        <f t="shared" si="60"/>
        <v>6.6060016671297586E-2</v>
      </c>
      <c r="T25" s="10">
        <f t="shared" si="60"/>
        <v>6.1018266614846481E-2</v>
      </c>
      <c r="U25" s="10">
        <f t="shared" si="60"/>
        <v>5.8996519025327092E-2</v>
      </c>
      <c r="V25" s="10">
        <f t="shared" si="60"/>
        <v>5.5419686888343152E-2</v>
      </c>
      <c r="W25" s="10">
        <f t="shared" si="60"/>
        <v>5.3836267262961909E-2</v>
      </c>
      <c r="X25" s="10">
        <f t="shared" si="60"/>
        <v>5.2800954430981872E-2</v>
      </c>
      <c r="Y25" s="10">
        <f t="shared" si="60"/>
        <v>5.2288323805438366E-2</v>
      </c>
      <c r="Z25" s="10">
        <f t="shared" si="60"/>
        <v>5.2288323805438366E-2</v>
      </c>
      <c r="AA25" s="10">
        <f t="shared" si="60"/>
        <v>5.2288323805438366E-2</v>
      </c>
      <c r="AB25" s="10">
        <f t="shared" si="60"/>
        <v>5.228832380543836E-2</v>
      </c>
      <c r="AC25" s="10">
        <f t="shared" si="60"/>
        <v>5.228832380543836E-2</v>
      </c>
      <c r="AD25" s="10">
        <f t="shared" si="60"/>
        <v>5.228832380543836E-2</v>
      </c>
      <c r="AE25" s="10">
        <f t="shared" si="60"/>
        <v>5.2288323805438366E-2</v>
      </c>
      <c r="AF25" s="10">
        <f t="shared" si="60"/>
        <v>5.2288323805438366E-2</v>
      </c>
      <c r="AH25" s="1" t="s">
        <v>48</v>
      </c>
      <c r="AI25" s="6">
        <f>NPV(AI24,V18:EM18)</f>
        <v>24030.879355498852</v>
      </c>
    </row>
    <row r="26" spans="2:143" x14ac:dyDescent="0.3">
      <c r="B26" s="1" t="s">
        <v>44</v>
      </c>
      <c r="D26" s="10">
        <f t="shared" ref="D26:J26" si="61">D10/D3</f>
        <v>8.4418968212610732E-2</v>
      </c>
      <c r="E26" s="10">
        <f t="shared" si="61"/>
        <v>-8.7732721244580467E-2</v>
      </c>
      <c r="F26" s="10"/>
      <c r="G26" s="10">
        <f t="shared" si="61"/>
        <v>0.10264150943396226</v>
      </c>
      <c r="H26" s="10">
        <f t="shared" si="61"/>
        <v>0.11302032913843175</v>
      </c>
      <c r="I26" s="10">
        <f t="shared" si="61"/>
        <v>0.12076372315035799</v>
      </c>
      <c r="J26" s="10">
        <f t="shared" si="61"/>
        <v>9.3241695303550975E-2</v>
      </c>
      <c r="K26" s="10">
        <f>K10/K3</f>
        <v>0.1232037691401649</v>
      </c>
      <c r="L26" s="10">
        <f t="shared" ref="L26:N26" si="62">L10/L3</f>
        <v>0.13237714554432164</v>
      </c>
      <c r="M26" s="10">
        <f t="shared" si="62"/>
        <v>0.11346352017487119</v>
      </c>
      <c r="N26" s="10">
        <f t="shared" si="62"/>
        <v>0.10881020436565286</v>
      </c>
      <c r="P26" s="10">
        <f>P10/P3</f>
        <v>8.0584099513250407E-2</v>
      </c>
      <c r="Q26" s="10">
        <f>Q10/Q3</f>
        <v>8.0019516955354961E-2</v>
      </c>
      <c r="R26" s="10">
        <f t="shared" ref="R26:AF26" si="63">R10/R3</f>
        <v>8.2405183082186792E-2</v>
      </c>
      <c r="S26" s="10">
        <f t="shared" si="63"/>
        <v>7.4742984162267295E-2</v>
      </c>
      <c r="T26" s="10">
        <f t="shared" si="63"/>
        <v>3.8282160901671199E-2</v>
      </c>
      <c r="U26" s="10">
        <f t="shared" si="63"/>
        <v>0.10731004681310767</v>
      </c>
      <c r="V26" s="10">
        <f t="shared" si="63"/>
        <v>0.11913167741624808</v>
      </c>
      <c r="W26" s="10">
        <f t="shared" si="63"/>
        <v>0.13540082875435827</v>
      </c>
      <c r="X26" s="10">
        <f t="shared" si="63"/>
        <v>0.13645814843199255</v>
      </c>
      <c r="Y26" s="10">
        <f t="shared" si="63"/>
        <v>0.13698516540971131</v>
      </c>
      <c r="Z26" s="10">
        <f t="shared" si="63"/>
        <v>0.13699228806446473</v>
      </c>
      <c r="AA26" s="10">
        <f t="shared" si="63"/>
        <v>0.1369993408892696</v>
      </c>
      <c r="AB26" s="10">
        <f t="shared" si="63"/>
        <v>0.13699934088926963</v>
      </c>
      <c r="AC26" s="10">
        <f t="shared" si="63"/>
        <v>0.1369993408892696</v>
      </c>
      <c r="AD26" s="10">
        <f t="shared" si="63"/>
        <v>0.13699934088926963</v>
      </c>
      <c r="AE26" s="10">
        <f t="shared" si="63"/>
        <v>0.13699934088926963</v>
      </c>
      <c r="AF26" s="10">
        <f t="shared" si="63"/>
        <v>0.13699934088926963</v>
      </c>
      <c r="AH26" s="1" t="s">
        <v>49</v>
      </c>
      <c r="AI26" s="6">
        <f>Main!D8</f>
        <v>-4174</v>
      </c>
    </row>
    <row r="27" spans="2:143" x14ac:dyDescent="0.3">
      <c r="B27" s="1" t="s">
        <v>34</v>
      </c>
      <c r="D27" s="10">
        <f t="shared" ref="D27:J27" si="64">D16/D15</f>
        <v>0.23357664233576642</v>
      </c>
      <c r="E27" s="10">
        <f t="shared" si="64"/>
        <v>-2.0618556701030927E-2</v>
      </c>
      <c r="F27" s="10"/>
      <c r="G27" s="10">
        <f t="shared" si="64"/>
        <v>0.23097826086956522</v>
      </c>
      <c r="H27" s="10">
        <f t="shared" si="64"/>
        <v>0.23943661971830985</v>
      </c>
      <c r="I27" s="10">
        <f t="shared" si="64"/>
        <v>0.22978723404255319</v>
      </c>
      <c r="J27" s="10">
        <f t="shared" si="64"/>
        <v>0.248</v>
      </c>
      <c r="K27" s="10">
        <f>K16/K15</f>
        <v>0.23640167364016737</v>
      </c>
      <c r="L27" s="10">
        <f t="shared" ref="L27:N27" si="65">L16/L15</f>
        <v>0.2413127413127413</v>
      </c>
      <c r="M27" s="10">
        <f t="shared" si="65"/>
        <v>0.22</v>
      </c>
      <c r="N27" s="10">
        <f t="shared" si="65"/>
        <v>0.22000000000000003</v>
      </c>
      <c r="P27" s="10">
        <f>P16/P15</f>
        <v>0.22632794457274827</v>
      </c>
      <c r="Q27" s="10">
        <f>Q16/Q15</f>
        <v>0.1946222791293214</v>
      </c>
      <c r="R27" s="10">
        <f t="shared" ref="R27:AF27" si="66">R16/R15</f>
        <v>0.21509824198552224</v>
      </c>
      <c r="S27" s="10">
        <f t="shared" si="66"/>
        <v>0.21783295711060949</v>
      </c>
      <c r="T27" s="10">
        <f t="shared" si="66"/>
        <v>0.4838709677419355</v>
      </c>
      <c r="U27" s="10">
        <f t="shared" si="66"/>
        <v>0.23672971323978034</v>
      </c>
      <c r="V27" s="10">
        <f t="shared" si="66"/>
        <v>0.22974394029359316</v>
      </c>
      <c r="W27" s="10">
        <f t="shared" si="66"/>
        <v>0.21999999999999997</v>
      </c>
      <c r="X27" s="10">
        <f t="shared" si="66"/>
        <v>0.22</v>
      </c>
      <c r="Y27" s="10">
        <f t="shared" si="66"/>
        <v>0.22</v>
      </c>
      <c r="Z27" s="10">
        <f t="shared" si="66"/>
        <v>0.21999999999999997</v>
      </c>
      <c r="AA27" s="10">
        <f t="shared" si="66"/>
        <v>0.22000000000000003</v>
      </c>
      <c r="AB27" s="10">
        <f t="shared" si="66"/>
        <v>0.22000000000000003</v>
      </c>
      <c r="AC27" s="10">
        <f t="shared" si="66"/>
        <v>0.22000000000000003</v>
      </c>
      <c r="AD27" s="10">
        <f t="shared" si="66"/>
        <v>0.21999999999999997</v>
      </c>
      <c r="AE27" s="10">
        <f t="shared" si="66"/>
        <v>0.21999999999999997</v>
      </c>
      <c r="AF27" s="10">
        <f t="shared" si="66"/>
        <v>0.22000000000000003</v>
      </c>
      <c r="AH27" s="1" t="s">
        <v>50</v>
      </c>
      <c r="AI27" s="6">
        <f>AI25+AI26</f>
        <v>19856.879355498852</v>
      </c>
    </row>
    <row r="28" spans="2:143" x14ac:dyDescent="0.3">
      <c r="B28" s="1" t="s">
        <v>45</v>
      </c>
      <c r="D28" s="10">
        <f t="shared" ref="D28:J28" si="67">D18/D3</f>
        <v>5.3934340802501306E-2</v>
      </c>
      <c r="E28" s="10">
        <f t="shared" si="67"/>
        <v>-0.10175975516449885</v>
      </c>
      <c r="F28" s="10"/>
      <c r="G28" s="10">
        <f t="shared" si="67"/>
        <v>7.1446540880503145E-2</v>
      </c>
      <c r="H28" s="10">
        <f t="shared" si="67"/>
        <v>7.7928363988383348E-2</v>
      </c>
      <c r="I28" s="10">
        <f t="shared" si="67"/>
        <v>8.6873508353221954E-2</v>
      </c>
      <c r="J28" s="10">
        <f t="shared" si="67"/>
        <v>6.5063001145475377E-2</v>
      </c>
      <c r="K28" s="10">
        <f>K18/K3</f>
        <v>8.5512367491166072E-2</v>
      </c>
      <c r="L28" s="10">
        <f t="shared" ref="L28:N28" si="68">L18/L3</f>
        <v>9.193510463202445E-2</v>
      </c>
      <c r="M28" s="10">
        <f t="shared" si="68"/>
        <v>8.159457988535232E-2</v>
      </c>
      <c r="N28" s="10">
        <f t="shared" si="68"/>
        <v>7.8929961139480365E-2</v>
      </c>
      <c r="P28" s="10">
        <f>P18/P3</f>
        <v>6.0122588786731566E-2</v>
      </c>
      <c r="Q28" s="10">
        <f>Q18/Q3</f>
        <v>5.1069366512157439E-2</v>
      </c>
      <c r="R28" s="10">
        <f t="shared" ref="R28:AF28" si="69">R18/R3</f>
        <v>5.4815461891242631E-2</v>
      </c>
      <c r="S28" s="10">
        <f t="shared" si="69"/>
        <v>4.7582661850514033E-2</v>
      </c>
      <c r="T28" s="10">
        <f t="shared" si="69"/>
        <v>1.28902707604612E-2</v>
      </c>
      <c r="U28" s="10">
        <f t="shared" si="69"/>
        <v>7.5261073100468132E-2</v>
      </c>
      <c r="V28" s="10">
        <f t="shared" si="69"/>
        <v>8.4323133835830164E-2</v>
      </c>
      <c r="W28" s="10">
        <f t="shared" si="69"/>
        <v>9.8491711876416033E-2</v>
      </c>
      <c r="X28" s="10">
        <f t="shared" si="69"/>
        <v>9.9384891749509083E-2</v>
      </c>
      <c r="Y28" s="10">
        <f t="shared" si="69"/>
        <v>9.9795964992129699E-2</v>
      </c>
      <c r="Z28" s="10">
        <f t="shared" si="69"/>
        <v>9.973237885864672E-2</v>
      </c>
      <c r="AA28" s="10">
        <f t="shared" si="69"/>
        <v>9.9668060396978495E-2</v>
      </c>
      <c r="AB28" s="10">
        <f t="shared" si="69"/>
        <v>9.9525655931698265E-2</v>
      </c>
      <c r="AC28" s="10">
        <f t="shared" si="69"/>
        <v>9.9380431576016434E-2</v>
      </c>
      <c r="AD28" s="10">
        <f t="shared" si="69"/>
        <v>9.9232331490519146E-2</v>
      </c>
      <c r="AE28" s="10">
        <f t="shared" si="69"/>
        <v>9.9081298730061523E-2</v>
      </c>
      <c r="AF28" s="10">
        <f t="shared" si="69"/>
        <v>9.8927275221872016E-2</v>
      </c>
      <c r="AH28" s="1" t="s">
        <v>51</v>
      </c>
      <c r="AI28" s="5">
        <f>AI27/AF19-1</f>
        <v>153.28810688033298</v>
      </c>
    </row>
    <row r="29" spans="2:143" x14ac:dyDescent="0.3">
      <c r="AH29" s="1" t="s">
        <v>52</v>
      </c>
      <c r="AI29" s="5">
        <f>Main!D3</f>
        <v>180.62</v>
      </c>
    </row>
    <row r="30" spans="2:143" x14ac:dyDescent="0.3">
      <c r="AH30" s="2" t="s">
        <v>53</v>
      </c>
      <c r="AI30" s="11">
        <f>AI28/AI29-1</f>
        <v>-0.15132262827852416</v>
      </c>
    </row>
    <row r="31" spans="2:143" x14ac:dyDescent="0.3">
      <c r="AH31" s="1" t="s">
        <v>54</v>
      </c>
      <c r="AI31" s="7" t="s">
        <v>55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2025-07-30T17:46:39Z</dcterms:created>
  <dcterms:modified xsi:type="dcterms:W3CDTF">2025-08-29T17:45:10Z</dcterms:modified>
</cp:coreProperties>
</file>