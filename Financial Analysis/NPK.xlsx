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C14F841-3804-4985-9409-995E0FDCABFF}" xr6:coauthVersionLast="47" xr6:coauthVersionMax="47" xr10:uidLastSave="{00000000-0000-0000-0000-000000000000}"/>
  <bookViews>
    <workbookView xWindow="-108" yWindow="-108" windowWidth="23256" windowHeight="12576" activeTab="1" xr2:uid="{88633ADD-F41A-4D9F-B21C-3ACE153B475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27" i="2" l="1"/>
  <c r="AM24" i="2"/>
  <c r="AM23" i="2"/>
  <c r="AM25" i="2" s="1"/>
  <c r="AM26" i="2" s="1"/>
  <c r="AM16" i="2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AL16" i="2"/>
  <c r="AK16" i="2"/>
  <c r="AJ28" i="2"/>
  <c r="AI28" i="2"/>
  <c r="AH28" i="2"/>
  <c r="AG28" i="2"/>
  <c r="AF28" i="2"/>
  <c r="AE28" i="2"/>
  <c r="AD28" i="2"/>
  <c r="AC28" i="2"/>
  <c r="AB28" i="2"/>
  <c r="AA28" i="2"/>
  <c r="AJ27" i="2"/>
  <c r="AI27" i="2"/>
  <c r="AH27" i="2"/>
  <c r="AG27" i="2"/>
  <c r="AF27" i="2"/>
  <c r="AE27" i="2"/>
  <c r="AD27" i="2"/>
  <c r="AC27" i="2"/>
  <c r="AB27" i="2"/>
  <c r="AA27" i="2"/>
  <c r="AJ26" i="2"/>
  <c r="AI26" i="2"/>
  <c r="AH26" i="2"/>
  <c r="AG26" i="2"/>
  <c r="AF26" i="2"/>
  <c r="AE26" i="2"/>
  <c r="AD26" i="2"/>
  <c r="AC26" i="2"/>
  <c r="AB26" i="2"/>
  <c r="AA26" i="2"/>
  <c r="AJ25" i="2"/>
  <c r="AI25" i="2"/>
  <c r="AH25" i="2"/>
  <c r="AG25" i="2"/>
  <c r="AF25" i="2"/>
  <c r="AE25" i="2"/>
  <c r="AD25" i="2"/>
  <c r="AC25" i="2"/>
  <c r="AB25" i="2"/>
  <c r="AA25" i="2"/>
  <c r="AJ24" i="2"/>
  <c r="AI24" i="2"/>
  <c r="AH24" i="2"/>
  <c r="AG24" i="2"/>
  <c r="AF24" i="2"/>
  <c r="AE24" i="2"/>
  <c r="AD24" i="2"/>
  <c r="AC24" i="2"/>
  <c r="AB24" i="2"/>
  <c r="AA24" i="2"/>
  <c r="AJ23" i="2"/>
  <c r="AI23" i="2"/>
  <c r="AH23" i="2"/>
  <c r="AG23" i="2"/>
  <c r="AF23" i="2"/>
  <c r="AE23" i="2"/>
  <c r="AD23" i="2"/>
  <c r="AC23" i="2"/>
  <c r="AB23" i="2"/>
  <c r="AA23" i="2"/>
  <c r="AJ22" i="2"/>
  <c r="AI22" i="2"/>
  <c r="AH22" i="2"/>
  <c r="AG22" i="2"/>
  <c r="AF22" i="2"/>
  <c r="AE22" i="2"/>
  <c r="AD22" i="2"/>
  <c r="AC22" i="2"/>
  <c r="AB22" i="2"/>
  <c r="AA22" i="2"/>
  <c r="AJ21" i="2"/>
  <c r="AI21" i="2"/>
  <c r="AH21" i="2"/>
  <c r="AG21" i="2"/>
  <c r="AF21" i="2"/>
  <c r="AE21" i="2"/>
  <c r="AD21" i="2"/>
  <c r="AC21" i="2"/>
  <c r="AB21" i="2"/>
  <c r="AA21" i="2"/>
  <c r="AJ20" i="2"/>
  <c r="AI20" i="2"/>
  <c r="AH20" i="2"/>
  <c r="AG20" i="2"/>
  <c r="AF20" i="2"/>
  <c r="AE20" i="2"/>
  <c r="AD20" i="2"/>
  <c r="AC20" i="2"/>
  <c r="AB20" i="2"/>
  <c r="AA20" i="2"/>
  <c r="AB13" i="2"/>
  <c r="AC13" i="2" s="1"/>
  <c r="AD13" i="2" s="1"/>
  <c r="AE13" i="2" s="1"/>
  <c r="AF13" i="2" s="1"/>
  <c r="AG13" i="2" s="1"/>
  <c r="AJ12" i="2"/>
  <c r="AI12" i="2"/>
  <c r="AH12" i="2"/>
  <c r="AG12" i="2"/>
  <c r="AF12" i="2"/>
  <c r="AE12" i="2"/>
  <c r="AE14" i="2" s="1"/>
  <c r="AD12" i="2"/>
  <c r="AD14" i="2" s="1"/>
  <c r="AC12" i="2"/>
  <c r="AC14" i="2" s="1"/>
  <c r="AB12" i="2"/>
  <c r="AB14" i="2" s="1"/>
  <c r="AA13" i="2"/>
  <c r="AA12" i="2"/>
  <c r="AA14" i="2" s="1"/>
  <c r="AJ9" i="2"/>
  <c r="AI9" i="2"/>
  <c r="AH9" i="2"/>
  <c r="AG9" i="2"/>
  <c r="AF9" i="2"/>
  <c r="AE9" i="2"/>
  <c r="AD9" i="2"/>
  <c r="AC9" i="2"/>
  <c r="AB9" i="2"/>
  <c r="AA9" i="2"/>
  <c r="AJ8" i="2"/>
  <c r="AI8" i="2"/>
  <c r="AH8" i="2"/>
  <c r="AG8" i="2"/>
  <c r="AG7" i="2" s="1"/>
  <c r="AF8" i="2"/>
  <c r="AE8" i="2"/>
  <c r="AD8" i="2"/>
  <c r="AD7" i="2" s="1"/>
  <c r="AC8" i="2"/>
  <c r="AB8" i="2"/>
  <c r="AJ7" i="2"/>
  <c r="AI7" i="2"/>
  <c r="AH7" i="2"/>
  <c r="AF7" i="2"/>
  <c r="AE7" i="2"/>
  <c r="AC7" i="2"/>
  <c r="AB7" i="2"/>
  <c r="AA8" i="2"/>
  <c r="AA7" i="2" s="1"/>
  <c r="AJ6" i="2"/>
  <c r="AI6" i="2"/>
  <c r="AH6" i="2"/>
  <c r="AG6" i="2"/>
  <c r="AF6" i="2"/>
  <c r="AE6" i="2"/>
  <c r="AD6" i="2"/>
  <c r="AC6" i="2"/>
  <c r="AB6" i="2"/>
  <c r="AA6" i="2"/>
  <c r="AB5" i="2"/>
  <c r="AC5" i="2" s="1"/>
  <c r="AD5" i="2" s="1"/>
  <c r="AE5" i="2" s="1"/>
  <c r="AF5" i="2" s="1"/>
  <c r="AG5" i="2" s="1"/>
  <c r="AH5" i="2" s="1"/>
  <c r="AI5" i="2" s="1"/>
  <c r="AJ5" i="2" s="1"/>
  <c r="AA5" i="2"/>
  <c r="AB4" i="2"/>
  <c r="AC4" i="2" s="1"/>
  <c r="AD4" i="2" s="1"/>
  <c r="AE4" i="2" s="1"/>
  <c r="AF4" i="2" s="1"/>
  <c r="AG4" i="2" s="1"/>
  <c r="AH4" i="2" s="1"/>
  <c r="AI4" i="2" s="1"/>
  <c r="AJ4" i="2" s="1"/>
  <c r="AA4" i="2"/>
  <c r="AH3" i="2"/>
  <c r="AI3" i="2" s="1"/>
  <c r="AJ3" i="2" s="1"/>
  <c r="AG3" i="2"/>
  <c r="AF3" i="2"/>
  <c r="AE3" i="2"/>
  <c r="AD3" i="2"/>
  <c r="AC3" i="2"/>
  <c r="AB3" i="2"/>
  <c r="AA3" i="2"/>
  <c r="N8" i="2"/>
  <c r="N24" i="2" s="1"/>
  <c r="Z6" i="2"/>
  <c r="Z23" i="2"/>
  <c r="Z13" i="2"/>
  <c r="Z11" i="2"/>
  <c r="Z10" i="2"/>
  <c r="Z9" i="2"/>
  <c r="Z5" i="2"/>
  <c r="Z22" i="2" s="1"/>
  <c r="Z4" i="2"/>
  <c r="Z21" i="2" s="1"/>
  <c r="N25" i="2"/>
  <c r="N23" i="2"/>
  <c r="N22" i="2"/>
  <c r="N21" i="2"/>
  <c r="N20" i="2"/>
  <c r="N9" i="2"/>
  <c r="Z20" i="2"/>
  <c r="N3" i="2"/>
  <c r="N6" i="2" s="1"/>
  <c r="N4" i="2"/>
  <c r="Z3" i="2"/>
  <c r="Y22" i="2"/>
  <c r="X22" i="2"/>
  <c r="Y21" i="2"/>
  <c r="X21" i="2"/>
  <c r="Y20" i="2"/>
  <c r="X20" i="2"/>
  <c r="L22" i="2"/>
  <c r="K22" i="2"/>
  <c r="L21" i="2"/>
  <c r="K21" i="2"/>
  <c r="L20" i="2"/>
  <c r="K20" i="2"/>
  <c r="M22" i="2"/>
  <c r="M21" i="2"/>
  <c r="M20" i="2"/>
  <c r="X25" i="2"/>
  <c r="W25" i="2"/>
  <c r="X24" i="2"/>
  <c r="X23" i="2"/>
  <c r="Y23" i="2"/>
  <c r="Y25" i="2"/>
  <c r="J15" i="2"/>
  <c r="J13" i="2"/>
  <c r="J11" i="2"/>
  <c r="J10" i="2"/>
  <c r="J9" i="2"/>
  <c r="J7" i="2"/>
  <c r="J5" i="2"/>
  <c r="J4" i="2"/>
  <c r="J3" i="2"/>
  <c r="W8" i="2"/>
  <c r="W12" i="2" s="1"/>
  <c r="W14" i="2" s="1"/>
  <c r="W16" i="2" s="1"/>
  <c r="W18" i="2" s="1"/>
  <c r="X8" i="2"/>
  <c r="X12" i="2" s="1"/>
  <c r="X14" i="2" s="1"/>
  <c r="X16" i="2" s="1"/>
  <c r="X18" i="2" s="1"/>
  <c r="Y8" i="2"/>
  <c r="Y12" i="2" s="1"/>
  <c r="Y14" i="2" s="1"/>
  <c r="Y16" i="2" s="1"/>
  <c r="Y18" i="2" s="1"/>
  <c r="M6" i="2"/>
  <c r="M8" i="2" s="1"/>
  <c r="M12" i="2" s="1"/>
  <c r="M14" i="2" s="1"/>
  <c r="M16" i="2" s="1"/>
  <c r="M18" i="2" s="1"/>
  <c r="K6" i="2"/>
  <c r="L6" i="2"/>
  <c r="L8" i="2" s="1"/>
  <c r="L12" i="2" s="1"/>
  <c r="L14" i="2" s="1"/>
  <c r="L16" i="2" s="1"/>
  <c r="L18" i="2" s="1"/>
  <c r="I6" i="2"/>
  <c r="I8" i="2" s="1"/>
  <c r="I12" i="2" s="1"/>
  <c r="I14" i="2" s="1"/>
  <c r="I16" i="2" s="1"/>
  <c r="I18" i="2" s="1"/>
  <c r="H6" i="2"/>
  <c r="H25" i="2" s="1"/>
  <c r="G6" i="2"/>
  <c r="G8" i="2" s="1"/>
  <c r="G12" i="2" s="1"/>
  <c r="G14" i="2" s="1"/>
  <c r="G16" i="2" s="1"/>
  <c r="G18" i="2" s="1"/>
  <c r="D9" i="1"/>
  <c r="Z33" i="2" s="1"/>
  <c r="D8" i="1"/>
  <c r="D7" i="1"/>
  <c r="D6" i="1"/>
  <c r="D5" i="1"/>
  <c r="F3" i="1"/>
  <c r="AM28" i="2" l="1"/>
  <c r="Z32" i="2"/>
  <c r="AE15" i="2"/>
  <c r="AE16" i="2" s="1"/>
  <c r="AE18" i="2" s="1"/>
  <c r="AF14" i="2"/>
  <c r="AB16" i="2"/>
  <c r="AB18" i="2" s="1"/>
  <c r="AB15" i="2"/>
  <c r="AD15" i="2"/>
  <c r="AD16" i="2"/>
  <c r="AD18" i="2" s="1"/>
  <c r="AA15" i="2"/>
  <c r="AA16" i="2"/>
  <c r="AA18" i="2" s="1"/>
  <c r="AC16" i="2"/>
  <c r="AC18" i="2" s="1"/>
  <c r="AC15" i="2"/>
  <c r="AH13" i="2"/>
  <c r="AG14" i="2"/>
  <c r="N7" i="2"/>
  <c r="Z7" i="2" s="1"/>
  <c r="Z8" i="2" s="1"/>
  <c r="Z12" i="2" s="1"/>
  <c r="N12" i="2"/>
  <c r="Z25" i="2"/>
  <c r="L25" i="2"/>
  <c r="X28" i="2"/>
  <c r="L26" i="2"/>
  <c r="Y27" i="2"/>
  <c r="K23" i="2"/>
  <c r="K8" i="2"/>
  <c r="K12" i="2" s="1"/>
  <c r="K14" i="2" s="1"/>
  <c r="K16" i="2" s="1"/>
  <c r="K18" i="2" s="1"/>
  <c r="I24" i="2"/>
  <c r="K25" i="2"/>
  <c r="G27" i="2"/>
  <c r="I28" i="2"/>
  <c r="Y28" i="2"/>
  <c r="M25" i="2"/>
  <c r="K24" i="2"/>
  <c r="G26" i="2"/>
  <c r="I27" i="2"/>
  <c r="K28" i="2"/>
  <c r="W26" i="2"/>
  <c r="M26" i="2"/>
  <c r="L24" i="2"/>
  <c r="L28" i="2"/>
  <c r="L23" i="2"/>
  <c r="X26" i="2"/>
  <c r="M27" i="2"/>
  <c r="G25" i="2"/>
  <c r="I26" i="2"/>
  <c r="Y24" i="2"/>
  <c r="W27" i="2"/>
  <c r="M24" i="2"/>
  <c r="M23" i="2"/>
  <c r="H8" i="2"/>
  <c r="M28" i="2"/>
  <c r="L27" i="2"/>
  <c r="X27" i="2"/>
  <c r="G24" i="2"/>
  <c r="I25" i="2"/>
  <c r="K26" i="2"/>
  <c r="G28" i="2"/>
  <c r="Y26" i="2"/>
  <c r="W24" i="2"/>
  <c r="W28" i="2"/>
  <c r="J6" i="2"/>
  <c r="AF15" i="2" l="1"/>
  <c r="AF16" i="2" s="1"/>
  <c r="AF18" i="2" s="1"/>
  <c r="AG15" i="2"/>
  <c r="AG16" i="2" s="1"/>
  <c r="AG18" i="2" s="1"/>
  <c r="AI13" i="2"/>
  <c r="AH14" i="2"/>
  <c r="N26" i="2"/>
  <c r="N14" i="2"/>
  <c r="Z24" i="2"/>
  <c r="Z14" i="2"/>
  <c r="Z26" i="2"/>
  <c r="K27" i="2"/>
  <c r="J8" i="2"/>
  <c r="J25" i="2"/>
  <c r="H12" i="2"/>
  <c r="H24" i="2"/>
  <c r="AH15" i="2" l="1"/>
  <c r="AH16" i="2" s="1"/>
  <c r="AH18" i="2" s="1"/>
  <c r="AJ13" i="2"/>
  <c r="AJ14" i="2" s="1"/>
  <c r="AI14" i="2"/>
  <c r="N15" i="2"/>
  <c r="N16" i="2" s="1"/>
  <c r="J12" i="2"/>
  <c r="J24" i="2"/>
  <c r="H14" i="2"/>
  <c r="H26" i="2"/>
  <c r="AJ15" i="2" l="1"/>
  <c r="AJ16" i="2" s="1"/>
  <c r="AJ18" i="2" s="1"/>
  <c r="AI15" i="2"/>
  <c r="AI16" i="2" s="1"/>
  <c r="AI18" i="2" s="1"/>
  <c r="N28" i="2"/>
  <c r="N18" i="2"/>
  <c r="N27" i="2"/>
  <c r="Z15" i="2"/>
  <c r="H16" i="2"/>
  <c r="H27" i="2"/>
  <c r="J14" i="2"/>
  <c r="J26" i="2"/>
  <c r="Z27" i="2" l="1"/>
  <c r="Z16" i="2"/>
  <c r="H18" i="2"/>
  <c r="H28" i="2"/>
  <c r="J16" i="2"/>
  <c r="J27" i="2"/>
  <c r="Z18" i="2" l="1"/>
  <c r="Z28" i="2"/>
  <c r="J18" i="2"/>
  <c r="J28" i="2"/>
</calcChain>
</file>

<file path=xl/sharedStrings.xml><?xml version="1.0" encoding="utf-8"?>
<sst xmlns="http://schemas.openxmlformats.org/spreadsheetml/2006/main" count="68" uniqueCount="63">
  <si>
    <t>NPK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</si>
  <si>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</si>
  <si>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</si>
  <si>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</si>
  <si>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</si>
  <si>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</si>
  <si>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</si>
  <si>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</si>
  <si>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</si>
  <si>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</si>
  <si>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</si>
  <si>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Q325</t>
  </si>
  <si>
    <t>Revenue</t>
  </si>
  <si>
    <t>Cost of sales</t>
  </si>
  <si>
    <t>Gross profit</t>
  </si>
  <si>
    <t>SG&amp;A</t>
  </si>
  <si>
    <t>Impairment</t>
  </si>
  <si>
    <t>Amortisation</t>
  </si>
  <si>
    <t>Operating profit</t>
  </si>
  <si>
    <t>Other income</t>
  </si>
  <si>
    <t>Pretax profit</t>
  </si>
  <si>
    <t>Taxes</t>
  </si>
  <si>
    <t>Net profit</t>
  </si>
  <si>
    <t>EPS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</si>
  <si>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</si>
  <si>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</si>
  <si>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</si>
  <si>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</si>
  <si>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</si>
  <si>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</si>
  <si>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</si>
  <si>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</si>
  <si>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</si>
  <si>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</si>
  <si>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Q425</t>
  </si>
  <si>
    <t>Q126</t>
  </si>
  <si>
    <t>Q226</t>
  </si>
  <si>
    <t>Q326</t>
  </si>
  <si>
    <t>Q426</t>
  </si>
  <si>
    <t>Housewares</t>
  </si>
  <si>
    <t>Defense</t>
  </si>
  <si>
    <t>Safety</t>
  </si>
  <si>
    <t>Revenue y/y</t>
  </si>
  <si>
    <t>Gross Margin</t>
  </si>
  <si>
    <t>SG&amp;A Margin</t>
  </si>
  <si>
    <t>Operating Margin</t>
  </si>
  <si>
    <t>Net Margin</t>
  </si>
  <si>
    <t>Housewares y/y</t>
  </si>
  <si>
    <t>Defense y/y</t>
  </si>
  <si>
    <t>Safety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</si>
  <si>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</si>
  <si>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</si>
  <si>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</si>
  <si>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</si>
  <si>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</si>
  <si>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</si>
  <si>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</si>
  <si>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</si>
  <si>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</si>
  <si>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Slightly overvalued</t>
  </si>
  <si>
    <t>L+S/E</t>
  </si>
  <si>
    <t>EV/B</t>
  </si>
  <si>
    <t>B/EV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</si>
</sst>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right"/>
    </xf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5" fillId="2" borderId="1" xfId="0" applyFont="1" applyFill="1" applyBorder="1"/>
    <xf numFmtId="3" fontId="5" fillId="2" borderId="1" xfId="0" applyNumberFormat="1" applyFont="1" applyFill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15240</xdr:colOff>
      <xdr:row>0</xdr:row>
      <xdr:rowOff>7620</xdr:rowOff>
    </xdr:from>
    <xdr:to>
      <xdr:col>25</xdr:col>
      <xdr:colOff>15240</xdr:colOff>
      <xdr:row>36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92B7FC8-D173-33F9-5AE9-B1B56415FBE6}"/>
            </a:ext>
          </a:extLst>
        </xdr:cNvPr>
        <xdr:cNvCxnSpPr/>
      </xdr:nvCxnSpPr>
      <xdr:spPr>
        <a:xfrm>
          <a:off x="15689580" y="7620"/>
          <a:ext cx="0" cy="6614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</xdr:colOff>
      <xdr:row>0</xdr:row>
      <xdr:rowOff>0</xdr:rowOff>
    </xdr:from>
    <xdr:to>
      <xdr:col>13</xdr:col>
      <xdr:colOff>15240</xdr:colOff>
      <xdr:row>37</xdr:row>
      <xdr:rowOff>121920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A415B7D-CFFB-D9C6-CC4E-24F3D0B7F5AB}"/>
            </a:ext>
          </a:extLst>
        </xdr:cNvPr>
        <xdr:cNvCxnSpPr/>
      </xdr:nvCxnSpPr>
      <xdr:spPr>
        <a:xfrm>
          <a:off x="8374380" y="0"/>
          <a:ext cx="0" cy="6888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38B8-8314-4E43-975F-F9D39104B435}">
  <dimension ref="B2:G9"/>
  <sheetViews>
    <sheetView workbookViewId="0">
      <selection activeCell="D4" sqref="D4"/>
    </sheetView>
  </sheetViews>
  <sheetFormatPr defaultRowHeight="14.4" x14ac:dyDescent="0.3"/>
  <cols>
    <col min="1" max="4" width="8.88671875" style="1"/>
    <col min="5" max="5" width="11.88671875" style="4" bestFit="1" customWidth="1"/>
    <col min="6" max="7" width="11.21875" style="4" bestFit="1" customWidth="1"/>
    <col min="8" max="16384" width="8.88671875" style="1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2" t="s">
        <v>0</v>
      </c>
      <c r="C3" s="1" t="s">
        <v>1</v>
      </c>
      <c r="D3" s="6">
        <v>127.5</v>
      </c>
      <c r="E3" s="5">
        <v>46071</v>
      </c>
      <c r="F3" s="5">
        <f ca="1">TODAY()</f>
        <v>46071</v>
      </c>
      <c r="G3" s="5">
        <v>46078</v>
      </c>
    </row>
    <row r="4" spans="2:7" x14ac:dyDescent="0.3">
      <c r="C4" s="1" t="s">
        <v>2</v>
      </c>
      <c r="D4" s="7">
        <v>7.2</v>
      </c>
      <c r="E4" s="4" t="s">
        <v>11</v>
      </c>
    </row>
    <row r="5" spans="2:7" x14ac:dyDescent="0.3">
      <c r="C5" s="1" t="s">
        <v>3</v>
      </c>
      <c r="D5" s="7">
        <f>D3*D4</f>
        <v>918</v>
      </c>
    </row>
    <row r="6" spans="2:7" x14ac:dyDescent="0.3">
      <c r="C6" s="1" t="s">
        <v>4</v>
      </c>
      <c r="D6" s="7">
        <f>2.1+2.5</f>
        <v>4.5999999999999996</v>
      </c>
      <c r="E6" s="4" t="s">
        <v>11</v>
      </c>
    </row>
    <row r="7" spans="2:7" x14ac:dyDescent="0.3">
      <c r="C7" s="1" t="s">
        <v>5</v>
      </c>
      <c r="D7" s="7">
        <f>36.9</f>
        <v>36.9</v>
      </c>
      <c r="E7" s="4" t="s">
        <v>11</v>
      </c>
    </row>
    <row r="8" spans="2:7" x14ac:dyDescent="0.3">
      <c r="C8" s="1" t="s">
        <v>6</v>
      </c>
      <c r="D8" s="7">
        <f>D6-D7</f>
        <v>-32.299999999999997</v>
      </c>
    </row>
    <row r="9" spans="2:7" x14ac:dyDescent="0.3">
      <c r="C9" s="1" t="s">
        <v>7</v>
      </c>
      <c r="D9" s="7">
        <f>D5-D8</f>
        <v>950.3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A857-5649-4E53-B2AF-6B090D6E4E84}">
  <dimension ref="B2:EH33"/>
  <sheetViews>
    <sheetView tabSelected="1" zoomScaleNormal="100" workbookViewId="0">
      <pane xSplit="2" ySplit="2" topLeftCell="U6" activePane="bottomRight" state="frozen"/>
      <selection pane="topRight" activeCell="C1" sqref="C1"/>
      <selection pane="bottomLeft" activeCell="A3" sqref="A3"/>
      <selection pane="bottomRight" activeCell="AM31" sqref="AM31"/>
    </sheetView>
  </sheetViews>
  <sheetFormatPr defaultRowHeight="14.4" x14ac:dyDescent="0.3"/>
  <cols>
    <col min="1" max="1" width="8.88671875" style="1"/>
    <col min="2" max="2" width="15.21875" style="1" bestFit="1" customWidth="1"/>
    <col min="3" max="37" width="8.88671875" style="1"/>
    <col min="38" max="38" width="11.88671875" style="1" bestFit="1" customWidth="1"/>
    <col min="39" max="39" width="16.21875" style="1" bestFit="1" customWidth="1"/>
    <col min="40" max="16384" width="8.88671875" style="1"/>
  </cols>
  <sheetData>
    <row r="2" spans="2:138" x14ac:dyDescent="0.3"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11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T2" s="1">
        <v>2019</v>
      </c>
      <c r="U2" s="1">
        <v>2020</v>
      </c>
      <c r="V2" s="1">
        <v>2021</v>
      </c>
      <c r="W2" s="1">
        <v>2022</v>
      </c>
      <c r="X2" s="1">
        <v>2023</v>
      </c>
      <c r="Y2" s="1">
        <v>2024</v>
      </c>
      <c r="Z2" s="1">
        <v>2025</v>
      </c>
      <c r="AA2" s="1">
        <v>2026</v>
      </c>
      <c r="AB2" s="1">
        <v>2027</v>
      </c>
      <c r="AC2" s="1">
        <v>2028</v>
      </c>
      <c r="AD2" s="1">
        <v>2029</v>
      </c>
      <c r="AE2" s="1">
        <v>2030</v>
      </c>
      <c r="AF2" s="1">
        <v>2031</v>
      </c>
      <c r="AG2" s="1">
        <v>2032</v>
      </c>
      <c r="AH2" s="1">
        <v>2033</v>
      </c>
      <c r="AI2" s="1">
        <v>2034</v>
      </c>
      <c r="AJ2" s="1">
        <v>2035</v>
      </c>
    </row>
    <row r="3" spans="2:138" x14ac:dyDescent="0.3">
      <c r="B3" s="1" t="s">
        <v>39</v>
      </c>
      <c r="C3" s="3"/>
      <c r="D3" s="3"/>
      <c r="E3" s="3"/>
      <c r="F3" s="3"/>
      <c r="G3" s="10">
        <v>55</v>
      </c>
      <c r="H3" s="10">
        <v>66.099999999999994</v>
      </c>
      <c r="I3" s="10">
        <v>66.8</v>
      </c>
      <c r="J3" s="10">
        <f>Y3-I3-H3-G3</f>
        <v>96.1</v>
      </c>
      <c r="K3" s="10">
        <v>80.900000000000006</v>
      </c>
      <c r="L3" s="10">
        <v>99.8</v>
      </c>
      <c r="M3" s="10">
        <v>92.6</v>
      </c>
      <c r="N3" s="10">
        <f>J3*1.3</f>
        <v>124.92999999999999</v>
      </c>
      <c r="O3" s="3"/>
      <c r="P3" s="3"/>
      <c r="Q3" s="3"/>
      <c r="R3" s="3"/>
      <c r="W3" s="10">
        <v>202.5</v>
      </c>
      <c r="X3" s="10">
        <v>241.7</v>
      </c>
      <c r="Y3" s="10">
        <v>284</v>
      </c>
      <c r="Z3" s="10">
        <f>SUM(K3:N3)</f>
        <v>398.22999999999996</v>
      </c>
      <c r="AA3" s="7">
        <f>Z3*1.2</f>
        <v>477.87599999999992</v>
      </c>
      <c r="AB3" s="7">
        <f>AA3*1.1</f>
        <v>525.66359999999997</v>
      </c>
      <c r="AC3" s="7">
        <f>AB3*1.05</f>
        <v>551.94677999999999</v>
      </c>
      <c r="AD3" s="7">
        <f>AC3*1.04</f>
        <v>574.02465119999999</v>
      </c>
      <c r="AE3" s="7">
        <f>AD3*1.03</f>
        <v>591.24539073599999</v>
      </c>
      <c r="AF3" s="7">
        <f>AE3*1.02</f>
        <v>603.07029855072005</v>
      </c>
      <c r="AG3" s="7">
        <f t="shared" ref="AG3:AJ3" si="0">AF3*1.02</f>
        <v>615.13170452173449</v>
      </c>
      <c r="AH3" s="7">
        <f t="shared" si="0"/>
        <v>627.4343386121692</v>
      </c>
      <c r="AI3" s="7">
        <f t="shared" si="0"/>
        <v>639.9830253844126</v>
      </c>
      <c r="AJ3" s="7">
        <f t="shared" si="0"/>
        <v>652.78268589210086</v>
      </c>
    </row>
    <row r="4" spans="2:138" x14ac:dyDescent="0.3">
      <c r="B4" s="1" t="s">
        <v>40</v>
      </c>
      <c r="C4" s="3"/>
      <c r="D4" s="3"/>
      <c r="E4" s="3"/>
      <c r="F4" s="3"/>
      <c r="G4" s="10">
        <v>21.3</v>
      </c>
      <c r="H4" s="10">
        <v>18.7</v>
      </c>
      <c r="I4" s="10">
        <v>24.8</v>
      </c>
      <c r="J4" s="10">
        <f t="shared" ref="J4:J5" si="1">Y4-I4-H4-G4</f>
        <v>38</v>
      </c>
      <c r="K4" s="10">
        <v>21.9</v>
      </c>
      <c r="L4" s="10">
        <v>20.3</v>
      </c>
      <c r="M4" s="10">
        <v>22.5</v>
      </c>
      <c r="N4" s="10">
        <f>J4*1.05</f>
        <v>39.9</v>
      </c>
      <c r="O4" s="3"/>
      <c r="P4" s="3"/>
      <c r="Q4" s="3"/>
      <c r="R4" s="3"/>
      <c r="W4" s="10">
        <v>118.3</v>
      </c>
      <c r="X4" s="10">
        <v>97.6</v>
      </c>
      <c r="Y4" s="10">
        <v>102.8</v>
      </c>
      <c r="Z4" s="10">
        <f>SUM(K4:N4)</f>
        <v>104.6</v>
      </c>
      <c r="AA4" s="7">
        <f>Z4*1.03</f>
        <v>107.738</v>
      </c>
      <c r="AB4" s="7">
        <f t="shared" ref="AB4:AJ4" si="2">AA4*1.03</f>
        <v>110.97014</v>
      </c>
      <c r="AC4" s="7">
        <f t="shared" si="2"/>
        <v>114.2992442</v>
      </c>
      <c r="AD4" s="7">
        <f t="shared" si="2"/>
        <v>117.72822152600001</v>
      </c>
      <c r="AE4" s="7">
        <f t="shared" si="2"/>
        <v>121.26006817178002</v>
      </c>
      <c r="AF4" s="7">
        <f t="shared" si="2"/>
        <v>124.89787021693343</v>
      </c>
      <c r="AG4" s="7">
        <f t="shared" si="2"/>
        <v>128.64480632344143</v>
      </c>
      <c r="AH4" s="7">
        <f t="shared" si="2"/>
        <v>132.50415051314468</v>
      </c>
      <c r="AI4" s="7">
        <f t="shared" si="2"/>
        <v>136.47927502853904</v>
      </c>
      <c r="AJ4" s="7">
        <f t="shared" si="2"/>
        <v>140.57365327939522</v>
      </c>
    </row>
    <row r="5" spans="2:138" x14ac:dyDescent="0.3">
      <c r="B5" s="1" t="s">
        <v>41</v>
      </c>
      <c r="C5" s="3"/>
      <c r="D5" s="3"/>
      <c r="E5" s="3"/>
      <c r="F5" s="3"/>
      <c r="G5" s="10">
        <v>0.3</v>
      </c>
      <c r="H5" s="10">
        <v>0.3</v>
      </c>
      <c r="I5" s="10">
        <v>0.2</v>
      </c>
      <c r="J5" s="10">
        <f t="shared" si="1"/>
        <v>0.59999999999999987</v>
      </c>
      <c r="K5" s="10">
        <v>0.8</v>
      </c>
      <c r="L5" s="10">
        <v>0.3</v>
      </c>
      <c r="M5" s="10">
        <v>0.3</v>
      </c>
      <c r="N5" s="10">
        <v>1</v>
      </c>
      <c r="O5" s="3"/>
      <c r="P5" s="3"/>
      <c r="Q5" s="3"/>
      <c r="R5" s="3"/>
      <c r="W5" s="10">
        <v>0.8</v>
      </c>
      <c r="X5" s="10">
        <v>1.6</v>
      </c>
      <c r="Y5" s="10">
        <v>1.4</v>
      </c>
      <c r="Z5" s="10">
        <f>SUM(K5:N5)</f>
        <v>2.4000000000000004</v>
      </c>
      <c r="AA5" s="7">
        <f>Z5*1.05</f>
        <v>2.5200000000000005</v>
      </c>
      <c r="AB5" s="7">
        <f t="shared" ref="AB5:AJ5" si="3">AA5*1.05</f>
        <v>2.6460000000000008</v>
      </c>
      <c r="AC5" s="7">
        <f t="shared" si="3"/>
        <v>2.7783000000000011</v>
      </c>
      <c r="AD5" s="7">
        <f t="shared" si="3"/>
        <v>2.9172150000000014</v>
      </c>
      <c r="AE5" s="7">
        <f t="shared" si="3"/>
        <v>3.0630757500000017</v>
      </c>
      <c r="AF5" s="7">
        <f t="shared" si="3"/>
        <v>3.2162295375000021</v>
      </c>
      <c r="AG5" s="7">
        <f t="shared" si="3"/>
        <v>3.3770410143750023</v>
      </c>
      <c r="AH5" s="7">
        <f t="shared" si="3"/>
        <v>3.5458930650937526</v>
      </c>
      <c r="AI5" s="7">
        <f t="shared" si="3"/>
        <v>3.7231877183484405</v>
      </c>
      <c r="AJ5" s="7">
        <f t="shared" si="3"/>
        <v>3.9093471042658625</v>
      </c>
    </row>
    <row r="6" spans="2:138" s="2" customFormat="1" x14ac:dyDescent="0.3">
      <c r="B6" s="2" t="s">
        <v>12</v>
      </c>
      <c r="G6" s="9">
        <f t="shared" ref="G6:N6" si="4">SUM(G3:G5)</f>
        <v>76.599999999999994</v>
      </c>
      <c r="H6" s="9">
        <f t="shared" si="4"/>
        <v>85.1</v>
      </c>
      <c r="I6" s="9">
        <f t="shared" si="4"/>
        <v>91.8</v>
      </c>
      <c r="J6" s="9">
        <f t="shared" si="4"/>
        <v>134.69999999999999</v>
      </c>
      <c r="K6" s="9">
        <f t="shared" si="4"/>
        <v>103.60000000000001</v>
      </c>
      <c r="L6" s="9">
        <f t="shared" si="4"/>
        <v>120.39999999999999</v>
      </c>
      <c r="M6" s="9">
        <f t="shared" si="4"/>
        <v>115.39999999999999</v>
      </c>
      <c r="N6" s="9">
        <f t="shared" si="4"/>
        <v>165.82999999999998</v>
      </c>
      <c r="W6" s="9">
        <v>321.60000000000002</v>
      </c>
      <c r="X6" s="9">
        <v>340.9</v>
      </c>
      <c r="Y6" s="9">
        <v>388.2</v>
      </c>
      <c r="Z6" s="9">
        <f>SUM(Z3:Z5)</f>
        <v>505.2299999999999</v>
      </c>
      <c r="AA6" s="9">
        <f t="shared" ref="AA6:AJ6" si="5">SUM(AA3:AA5)</f>
        <v>588.1339999999999</v>
      </c>
      <c r="AB6" s="9">
        <f t="shared" si="5"/>
        <v>639.27973999999995</v>
      </c>
      <c r="AC6" s="9">
        <f t="shared" si="5"/>
        <v>669.02432419999991</v>
      </c>
      <c r="AD6" s="9">
        <f t="shared" si="5"/>
        <v>694.67008772600002</v>
      </c>
      <c r="AE6" s="9">
        <f t="shared" si="5"/>
        <v>715.56853465778011</v>
      </c>
      <c r="AF6" s="9">
        <f t="shared" si="5"/>
        <v>731.18439830515342</v>
      </c>
      <c r="AG6" s="9">
        <f t="shared" si="5"/>
        <v>747.15355185955093</v>
      </c>
      <c r="AH6" s="9">
        <f t="shared" si="5"/>
        <v>763.4843821904077</v>
      </c>
      <c r="AI6" s="9">
        <f t="shared" si="5"/>
        <v>780.18548813130008</v>
      </c>
      <c r="AJ6" s="9">
        <f t="shared" si="5"/>
        <v>797.26568627576194</v>
      </c>
    </row>
    <row r="7" spans="2:138" x14ac:dyDescent="0.3">
      <c r="B7" s="1" t="s">
        <v>13</v>
      </c>
      <c r="G7" s="7">
        <v>62.8</v>
      </c>
      <c r="H7" s="7">
        <v>70.400000000000006</v>
      </c>
      <c r="I7" s="7">
        <v>74.599999999999994</v>
      </c>
      <c r="J7" s="10">
        <f>Y7-I7-H7-G7</f>
        <v>101.89999999999999</v>
      </c>
      <c r="K7" s="7">
        <v>85.5</v>
      </c>
      <c r="L7" s="7">
        <v>101.9</v>
      </c>
      <c r="M7" s="7">
        <v>99.5</v>
      </c>
      <c r="N7" s="7">
        <f>N6-N8</f>
        <v>124.37249999999999</v>
      </c>
      <c r="W7" s="7">
        <v>266.5</v>
      </c>
      <c r="X7" s="7">
        <v>273.5</v>
      </c>
      <c r="Y7" s="7">
        <v>309.7</v>
      </c>
      <c r="Z7" s="10">
        <f>SUM(K7:N7)</f>
        <v>411.27249999999998</v>
      </c>
      <c r="AA7" s="7">
        <f>AA6-AA8</f>
        <v>470.5071999999999</v>
      </c>
      <c r="AB7" s="7">
        <f t="shared" ref="AB7:AJ7" si="6">AB6-AB8</f>
        <v>511.42379199999993</v>
      </c>
      <c r="AC7" s="7">
        <f t="shared" si="6"/>
        <v>535.21945935999997</v>
      </c>
      <c r="AD7" s="7">
        <f t="shared" si="6"/>
        <v>555.73607018079997</v>
      </c>
      <c r="AE7" s="7">
        <f t="shared" si="6"/>
        <v>572.45482772622404</v>
      </c>
      <c r="AF7" s="7">
        <f t="shared" si="6"/>
        <v>584.94751864412274</v>
      </c>
      <c r="AG7" s="7">
        <f t="shared" si="6"/>
        <v>597.72284148764072</v>
      </c>
      <c r="AH7" s="7">
        <f t="shared" si="6"/>
        <v>610.78750575232618</v>
      </c>
      <c r="AI7" s="7">
        <f t="shared" si="6"/>
        <v>624.14839050504008</v>
      </c>
      <c r="AJ7" s="7">
        <f t="shared" si="6"/>
        <v>637.81254902060959</v>
      </c>
    </row>
    <row r="8" spans="2:138" s="2" customFormat="1" x14ac:dyDescent="0.3">
      <c r="B8" s="2" t="s">
        <v>14</v>
      </c>
      <c r="G8" s="9">
        <f t="shared" ref="G8:M8" si="7">G6-G7</f>
        <v>13.799999999999997</v>
      </c>
      <c r="H8" s="9">
        <f t="shared" si="7"/>
        <v>14.699999999999989</v>
      </c>
      <c r="I8" s="9">
        <f t="shared" si="7"/>
        <v>17.200000000000003</v>
      </c>
      <c r="J8" s="9">
        <f t="shared" si="7"/>
        <v>32.799999999999997</v>
      </c>
      <c r="K8" s="9">
        <f t="shared" si="7"/>
        <v>18.100000000000009</v>
      </c>
      <c r="L8" s="9">
        <f t="shared" si="7"/>
        <v>18.499999999999986</v>
      </c>
      <c r="M8" s="9">
        <f t="shared" si="7"/>
        <v>15.899999999999991</v>
      </c>
      <c r="N8" s="9">
        <f>N6*0.25</f>
        <v>41.457499999999996</v>
      </c>
      <c r="W8" s="9">
        <f>W6-W7</f>
        <v>55.100000000000023</v>
      </c>
      <c r="X8" s="9">
        <f>X6-X7</f>
        <v>67.399999999999977</v>
      </c>
      <c r="Y8" s="9">
        <f>Y6-Y7</f>
        <v>78.5</v>
      </c>
      <c r="Z8" s="9">
        <f>Z6-Z7</f>
        <v>93.957499999999925</v>
      </c>
      <c r="AA8" s="9">
        <f>AA6*0.2</f>
        <v>117.62679999999999</v>
      </c>
      <c r="AB8" s="9">
        <f t="shared" ref="AB8:AJ8" si="8">AB6*0.2</f>
        <v>127.855948</v>
      </c>
      <c r="AC8" s="9">
        <f t="shared" si="8"/>
        <v>133.80486483999999</v>
      </c>
      <c r="AD8" s="9">
        <f t="shared" si="8"/>
        <v>138.93401754520002</v>
      </c>
      <c r="AE8" s="9">
        <f t="shared" si="8"/>
        <v>143.11370693155604</v>
      </c>
      <c r="AF8" s="9">
        <f t="shared" si="8"/>
        <v>146.23687966103068</v>
      </c>
      <c r="AG8" s="9">
        <f t="shared" si="8"/>
        <v>149.43071037191018</v>
      </c>
      <c r="AH8" s="9">
        <f t="shared" si="8"/>
        <v>152.69687643808155</v>
      </c>
      <c r="AI8" s="9">
        <f t="shared" si="8"/>
        <v>156.03709762626002</v>
      </c>
      <c r="AJ8" s="9">
        <f t="shared" si="8"/>
        <v>159.4531372551524</v>
      </c>
    </row>
    <row r="9" spans="2:138" x14ac:dyDescent="0.3">
      <c r="B9" s="1" t="s">
        <v>15</v>
      </c>
      <c r="G9" s="7">
        <v>7.2</v>
      </c>
      <c r="H9" s="7">
        <v>8</v>
      </c>
      <c r="I9" s="7">
        <v>7.6</v>
      </c>
      <c r="J9" s="10">
        <f t="shared" ref="J9:J11" si="9">Y9-I9-H9-G9</f>
        <v>9.0000000000000036</v>
      </c>
      <c r="K9" s="7">
        <v>8.6999999999999993</v>
      </c>
      <c r="L9" s="7">
        <v>9.4</v>
      </c>
      <c r="M9" s="7">
        <v>9.1999999999999993</v>
      </c>
      <c r="N9" s="7">
        <f>N6*0.06</f>
        <v>9.949799999999998</v>
      </c>
      <c r="W9" s="7">
        <v>27.1</v>
      </c>
      <c r="X9" s="7">
        <v>30.8</v>
      </c>
      <c r="Y9" s="7">
        <v>31.8</v>
      </c>
      <c r="Z9" s="10">
        <f t="shared" ref="Z9:Z11" si="10">SUM(K9:N9)</f>
        <v>37.2498</v>
      </c>
      <c r="AA9" s="7">
        <f>AA6*0.07</f>
        <v>41.169379999999997</v>
      </c>
      <c r="AB9" s="7">
        <f t="shared" ref="AB9:AJ9" si="11">AB6*0.07</f>
        <v>44.749581800000001</v>
      </c>
      <c r="AC9" s="7">
        <f t="shared" si="11"/>
        <v>46.831702694000001</v>
      </c>
      <c r="AD9" s="7">
        <f t="shared" si="11"/>
        <v>48.626906140820005</v>
      </c>
      <c r="AE9" s="7">
        <f t="shared" si="11"/>
        <v>50.089797426044612</v>
      </c>
      <c r="AF9" s="7">
        <f t="shared" si="11"/>
        <v>51.182907881360741</v>
      </c>
      <c r="AG9" s="7">
        <f t="shared" si="11"/>
        <v>52.30074863016857</v>
      </c>
      <c r="AH9" s="7">
        <f t="shared" si="11"/>
        <v>53.443906753328541</v>
      </c>
      <c r="AI9" s="7">
        <f t="shared" si="11"/>
        <v>54.612984169191009</v>
      </c>
      <c r="AJ9" s="7">
        <f t="shared" si="11"/>
        <v>55.808598039303341</v>
      </c>
    </row>
    <row r="10" spans="2:138" x14ac:dyDescent="0.3">
      <c r="B10" s="1" t="s">
        <v>16</v>
      </c>
      <c r="G10" s="7">
        <v>0</v>
      </c>
      <c r="H10" s="7">
        <v>0</v>
      </c>
      <c r="I10" s="7">
        <v>0</v>
      </c>
      <c r="J10" s="10">
        <f t="shared" si="9"/>
        <v>0</v>
      </c>
      <c r="K10" s="7">
        <v>0</v>
      </c>
      <c r="L10" s="7">
        <v>2.7</v>
      </c>
      <c r="M10" s="7">
        <v>0</v>
      </c>
      <c r="N10" s="7">
        <v>0</v>
      </c>
      <c r="W10" s="7">
        <v>0.6</v>
      </c>
      <c r="X10" s="7">
        <v>0</v>
      </c>
      <c r="Y10" s="7">
        <v>0</v>
      </c>
      <c r="Z10" s="10">
        <f t="shared" si="10"/>
        <v>2.7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</row>
    <row r="11" spans="2:138" x14ac:dyDescent="0.3">
      <c r="B11" s="1" t="s">
        <v>17</v>
      </c>
      <c r="G11" s="7">
        <v>0.4</v>
      </c>
      <c r="H11" s="7">
        <v>0.4</v>
      </c>
      <c r="I11" s="7">
        <v>0.4</v>
      </c>
      <c r="J11" s="10">
        <f t="shared" si="9"/>
        <v>0.30000000000000004</v>
      </c>
      <c r="K11" s="7">
        <v>0.4</v>
      </c>
      <c r="L11" s="7">
        <v>0.4</v>
      </c>
      <c r="M11" s="7">
        <v>0.4</v>
      </c>
      <c r="N11" s="7">
        <v>0</v>
      </c>
      <c r="W11" s="7">
        <v>5.3</v>
      </c>
      <c r="X11" s="7">
        <v>1.6</v>
      </c>
      <c r="Y11" s="7">
        <v>1.5</v>
      </c>
      <c r="Z11" s="10">
        <f t="shared" si="10"/>
        <v>1.2000000000000002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</row>
    <row r="12" spans="2:138" s="2" customFormat="1" x14ac:dyDescent="0.3">
      <c r="B12" s="2" t="s">
        <v>18</v>
      </c>
      <c r="G12" s="9">
        <f t="shared" ref="G12:N12" si="12">G8-G9-G10-G11</f>
        <v>6.1999999999999966</v>
      </c>
      <c r="H12" s="9">
        <f t="shared" si="12"/>
        <v>6.2999999999999883</v>
      </c>
      <c r="I12" s="9">
        <f t="shared" si="12"/>
        <v>9.2000000000000028</v>
      </c>
      <c r="J12" s="9">
        <f t="shared" si="12"/>
        <v>23.499999999999993</v>
      </c>
      <c r="K12" s="9">
        <f t="shared" si="12"/>
        <v>9.0000000000000089</v>
      </c>
      <c r="L12" s="9">
        <f t="shared" si="12"/>
        <v>5.9999999999999849</v>
      </c>
      <c r="M12" s="9">
        <f t="shared" si="12"/>
        <v>6.2999999999999918</v>
      </c>
      <c r="N12" s="9">
        <f t="shared" si="12"/>
        <v>31.5077</v>
      </c>
      <c r="W12" s="9">
        <f>W8-W9-W10-W11</f>
        <v>22.100000000000019</v>
      </c>
      <c r="X12" s="9">
        <f>X8-X9-X10-X11</f>
        <v>34.999999999999979</v>
      </c>
      <c r="Y12" s="9">
        <f>Y8-Y9-Y10-Y11</f>
        <v>45.2</v>
      </c>
      <c r="Z12" s="9">
        <f>Z8-Z9-Z10-Z11</f>
        <v>52.807699999999919</v>
      </c>
      <c r="AA12" s="9">
        <f>AA8-AA9-AA10-AA11</f>
        <v>76.457419999999985</v>
      </c>
      <c r="AB12" s="9">
        <f t="shared" ref="AB12:AJ12" si="13">AB8-AB9-AB10-AB11</f>
        <v>83.106366199999997</v>
      </c>
      <c r="AC12" s="9">
        <f t="shared" si="13"/>
        <v>86.973162145999993</v>
      </c>
      <c r="AD12" s="9">
        <f t="shared" si="13"/>
        <v>90.307111404380009</v>
      </c>
      <c r="AE12" s="9">
        <f t="shared" si="13"/>
        <v>93.023909505511426</v>
      </c>
      <c r="AF12" s="9">
        <f t="shared" si="13"/>
        <v>95.053971779669951</v>
      </c>
      <c r="AG12" s="9">
        <f t="shared" si="13"/>
        <v>97.12996174174161</v>
      </c>
      <c r="AH12" s="9">
        <f t="shared" si="13"/>
        <v>99.252969684752998</v>
      </c>
      <c r="AI12" s="9">
        <f t="shared" si="13"/>
        <v>101.42411345706901</v>
      </c>
      <c r="AJ12" s="9">
        <f t="shared" si="13"/>
        <v>103.64453921584905</v>
      </c>
    </row>
    <row r="13" spans="2:138" x14ac:dyDescent="0.3">
      <c r="B13" s="1" t="s">
        <v>19</v>
      </c>
      <c r="G13" s="7">
        <v>-2.1</v>
      </c>
      <c r="H13" s="7">
        <v>-1.5</v>
      </c>
      <c r="I13" s="7">
        <v>-1.2</v>
      </c>
      <c r="J13" s="10">
        <f>Y13-I13-H13-G13</f>
        <v>-0.69999999999999973</v>
      </c>
      <c r="K13" s="7">
        <v>-0.7</v>
      </c>
      <c r="L13" s="7">
        <v>-0.5</v>
      </c>
      <c r="M13" s="7">
        <v>-0.4</v>
      </c>
      <c r="N13" s="7">
        <v>0</v>
      </c>
      <c r="W13" s="7">
        <v>-3.8</v>
      </c>
      <c r="X13" s="7">
        <v>-7.4</v>
      </c>
      <c r="Y13" s="7">
        <v>-5.5</v>
      </c>
      <c r="Z13" s="10">
        <f>SUM(K13:N13)</f>
        <v>-1.6</v>
      </c>
      <c r="AA13" s="7">
        <f>Z13*1.05</f>
        <v>-1.6800000000000002</v>
      </c>
      <c r="AB13" s="7">
        <f t="shared" ref="AB13:AJ13" si="14">AA13*1.05</f>
        <v>-1.7640000000000002</v>
      </c>
      <c r="AC13" s="7">
        <f t="shared" si="14"/>
        <v>-1.8522000000000003</v>
      </c>
      <c r="AD13" s="7">
        <f t="shared" si="14"/>
        <v>-1.9448100000000004</v>
      </c>
      <c r="AE13" s="7">
        <f t="shared" si="14"/>
        <v>-2.0420505000000007</v>
      </c>
      <c r="AF13" s="7">
        <f t="shared" si="14"/>
        <v>-2.1441530250000009</v>
      </c>
      <c r="AG13" s="7">
        <f t="shared" si="14"/>
        <v>-2.2513606762500009</v>
      </c>
      <c r="AH13" s="7">
        <f t="shared" si="14"/>
        <v>-2.3639287100625013</v>
      </c>
      <c r="AI13" s="7">
        <f t="shared" si="14"/>
        <v>-2.4821251455656266</v>
      </c>
      <c r="AJ13" s="7">
        <f t="shared" si="14"/>
        <v>-2.6062314028439082</v>
      </c>
    </row>
    <row r="14" spans="2:138" s="2" customFormat="1" x14ac:dyDescent="0.3">
      <c r="B14" s="2" t="s">
        <v>20</v>
      </c>
      <c r="G14" s="9">
        <f t="shared" ref="G14:N14" si="15">G12-G13</f>
        <v>8.2999999999999972</v>
      </c>
      <c r="H14" s="9">
        <f t="shared" si="15"/>
        <v>7.7999999999999883</v>
      </c>
      <c r="I14" s="9">
        <f t="shared" si="15"/>
        <v>10.400000000000002</v>
      </c>
      <c r="J14" s="9">
        <f t="shared" si="15"/>
        <v>24.199999999999992</v>
      </c>
      <c r="K14" s="9">
        <f t="shared" si="15"/>
        <v>9.7000000000000082</v>
      </c>
      <c r="L14" s="9">
        <f t="shared" si="15"/>
        <v>6.4999999999999849</v>
      </c>
      <c r="M14" s="9">
        <f t="shared" si="15"/>
        <v>6.6999999999999922</v>
      </c>
      <c r="N14" s="9">
        <f t="shared" si="15"/>
        <v>31.5077</v>
      </c>
      <c r="W14" s="9">
        <f>W12-W13</f>
        <v>25.90000000000002</v>
      </c>
      <c r="X14" s="9">
        <f>X12-X13</f>
        <v>42.399999999999977</v>
      </c>
      <c r="Y14" s="9">
        <f>Y12-Y13</f>
        <v>50.7</v>
      </c>
      <c r="Z14" s="9">
        <f>Z12-Z13</f>
        <v>54.40769999999992</v>
      </c>
      <c r="AA14" s="9">
        <f>AA12-AA13</f>
        <v>78.137419999999992</v>
      </c>
      <c r="AB14" s="9">
        <f t="shared" ref="AB14:AJ14" si="16">AB12-AB13</f>
        <v>84.870366199999992</v>
      </c>
      <c r="AC14" s="9">
        <f t="shared" si="16"/>
        <v>88.825362145999989</v>
      </c>
      <c r="AD14" s="9">
        <f t="shared" si="16"/>
        <v>92.251921404380013</v>
      </c>
      <c r="AE14" s="9">
        <f t="shared" si="16"/>
        <v>95.065960005511428</v>
      </c>
      <c r="AF14" s="9">
        <f t="shared" si="16"/>
        <v>97.198124804669945</v>
      </c>
      <c r="AG14" s="9">
        <f t="shared" si="16"/>
        <v>99.381322417991612</v>
      </c>
      <c r="AH14" s="9">
        <f t="shared" si="16"/>
        <v>101.61689839481549</v>
      </c>
      <c r="AI14" s="9">
        <f t="shared" si="16"/>
        <v>103.90623860263464</v>
      </c>
      <c r="AJ14" s="9">
        <f t="shared" si="16"/>
        <v>106.25077061869295</v>
      </c>
    </row>
    <row r="15" spans="2:138" x14ac:dyDescent="0.3">
      <c r="B15" s="1" t="s">
        <v>21</v>
      </c>
      <c r="G15" s="7">
        <v>1.8</v>
      </c>
      <c r="H15" s="7">
        <v>1.8</v>
      </c>
      <c r="I15" s="7">
        <v>2.2999999999999998</v>
      </c>
      <c r="J15" s="10">
        <f>Y15-I15-H15-G15</f>
        <v>3.3</v>
      </c>
      <c r="K15" s="7">
        <v>2.2000000000000002</v>
      </c>
      <c r="L15" s="7">
        <v>1.5</v>
      </c>
      <c r="M15" s="7">
        <v>1.5</v>
      </c>
      <c r="N15" s="7">
        <f>N14*0.23</f>
        <v>7.2467709999999999</v>
      </c>
      <c r="W15" s="7">
        <v>5.2</v>
      </c>
      <c r="X15" s="7">
        <v>7.9</v>
      </c>
      <c r="Y15" s="7">
        <v>9.1999999999999993</v>
      </c>
      <c r="Z15" s="10">
        <f>SUM(K15:N15)</f>
        <v>12.446771</v>
      </c>
      <c r="AA15" s="7">
        <f>AA14*0.23</f>
        <v>17.971606599999998</v>
      </c>
      <c r="AB15" s="7">
        <f t="shared" ref="AB15:AJ15" si="17">AB14*0.23</f>
        <v>19.520184225999998</v>
      </c>
      <c r="AC15" s="7">
        <f t="shared" si="17"/>
        <v>20.42983329358</v>
      </c>
      <c r="AD15" s="7">
        <f t="shared" si="17"/>
        <v>21.217941923007405</v>
      </c>
      <c r="AE15" s="7">
        <f t="shared" si="17"/>
        <v>21.865170801267631</v>
      </c>
      <c r="AF15" s="7">
        <f t="shared" si="17"/>
        <v>22.355568705074088</v>
      </c>
      <c r="AG15" s="7">
        <f t="shared" si="17"/>
        <v>22.857704156138073</v>
      </c>
      <c r="AH15" s="7">
        <f t="shared" si="17"/>
        <v>23.371886630807566</v>
      </c>
      <c r="AI15" s="7">
        <f t="shared" si="17"/>
        <v>23.898434878605968</v>
      </c>
      <c r="AJ15" s="7">
        <f t="shared" si="17"/>
        <v>24.43767724229938</v>
      </c>
    </row>
    <row r="16" spans="2:138" s="2" customFormat="1" x14ac:dyDescent="0.3">
      <c r="B16" s="2" t="s">
        <v>22</v>
      </c>
      <c r="G16" s="9">
        <f t="shared" ref="G16:N16" si="18">G14-G15</f>
        <v>6.4999999999999973</v>
      </c>
      <c r="H16" s="9">
        <f t="shared" si="18"/>
        <v>5.9999999999999885</v>
      </c>
      <c r="I16" s="9">
        <f t="shared" si="18"/>
        <v>8.1000000000000014</v>
      </c>
      <c r="J16" s="9">
        <f t="shared" si="18"/>
        <v>20.899999999999991</v>
      </c>
      <c r="K16" s="9">
        <f t="shared" si="18"/>
        <v>7.500000000000008</v>
      </c>
      <c r="L16" s="9">
        <f t="shared" si="18"/>
        <v>4.9999999999999849</v>
      </c>
      <c r="M16" s="9">
        <f t="shared" si="18"/>
        <v>5.1999999999999922</v>
      </c>
      <c r="N16" s="9">
        <f t="shared" si="18"/>
        <v>24.260929000000001</v>
      </c>
      <c r="W16" s="9">
        <f>W14-W15</f>
        <v>20.700000000000021</v>
      </c>
      <c r="X16" s="9">
        <f>X14-X15</f>
        <v>34.499999999999979</v>
      </c>
      <c r="Y16" s="9">
        <f>Y14-Y15</f>
        <v>41.5</v>
      </c>
      <c r="Z16" s="9">
        <f>Z14-Z15</f>
        <v>41.960928999999922</v>
      </c>
      <c r="AA16" s="9">
        <f>AA14-AA15</f>
        <v>60.16581339999999</v>
      </c>
      <c r="AB16" s="9">
        <f t="shared" ref="AB16:AJ16" si="19">AB14-AB15</f>
        <v>65.350181973999995</v>
      </c>
      <c r="AC16" s="9">
        <f t="shared" si="19"/>
        <v>68.395528852419986</v>
      </c>
      <c r="AD16" s="9">
        <f t="shared" si="19"/>
        <v>71.033979481372612</v>
      </c>
      <c r="AE16" s="9">
        <f t="shared" si="19"/>
        <v>73.20078920424379</v>
      </c>
      <c r="AF16" s="9">
        <f t="shared" si="19"/>
        <v>74.842556099595853</v>
      </c>
      <c r="AG16" s="9">
        <f t="shared" si="19"/>
        <v>76.523618261853542</v>
      </c>
      <c r="AH16" s="9">
        <f t="shared" si="19"/>
        <v>78.245011764007927</v>
      </c>
      <c r="AI16" s="9">
        <f t="shared" si="19"/>
        <v>80.007803724028676</v>
      </c>
      <c r="AJ16" s="9">
        <f t="shared" si="19"/>
        <v>81.813093376393567</v>
      </c>
      <c r="AK16" s="2">
        <f>AJ16*(1+$AM$21)</f>
        <v>80.994962442629628</v>
      </c>
      <c r="AL16" s="2">
        <f t="shared" ref="AL16:CW16" si="20">AK16*(1+$AM$21)</f>
        <v>80.185012818203333</v>
      </c>
      <c r="AM16" s="2">
        <f t="shared" si="20"/>
        <v>79.383162690021294</v>
      </c>
      <c r="AN16" s="2">
        <f t="shared" si="20"/>
        <v>78.58933106312108</v>
      </c>
      <c r="AO16" s="2">
        <f t="shared" si="20"/>
        <v>77.80343775248987</v>
      </c>
      <c r="AP16" s="2">
        <f t="shared" si="20"/>
        <v>77.025403374964966</v>
      </c>
      <c r="AQ16" s="2">
        <f t="shared" si="20"/>
        <v>76.255149341215315</v>
      </c>
      <c r="AR16" s="2">
        <f t="shared" si="20"/>
        <v>75.492597847803168</v>
      </c>
      <c r="AS16" s="2">
        <f t="shared" si="20"/>
        <v>74.737671869325141</v>
      </c>
      <c r="AT16" s="2">
        <f t="shared" si="20"/>
        <v>73.990295150631894</v>
      </c>
      <c r="AU16" s="2">
        <f t="shared" si="20"/>
        <v>73.250392199125571</v>
      </c>
      <c r="AV16" s="2">
        <f t="shared" si="20"/>
        <v>72.517888277134318</v>
      </c>
      <c r="AW16" s="2">
        <f t="shared" si="20"/>
        <v>71.792709394362973</v>
      </c>
      <c r="AX16" s="2">
        <f t="shared" si="20"/>
        <v>71.074782300419344</v>
      </c>
      <c r="AY16" s="2">
        <f t="shared" si="20"/>
        <v>70.364034477415146</v>
      </c>
      <c r="AZ16" s="2">
        <f t="shared" si="20"/>
        <v>69.660394132640988</v>
      </c>
      <c r="BA16" s="2">
        <f t="shared" si="20"/>
        <v>68.963790191314573</v>
      </c>
      <c r="BB16" s="2">
        <f t="shared" si="20"/>
        <v>68.274152289401428</v>
      </c>
      <c r="BC16" s="2">
        <f t="shared" si="20"/>
        <v>67.591410766507408</v>
      </c>
      <c r="BD16" s="2">
        <f t="shared" si="20"/>
        <v>66.915496658842329</v>
      </c>
      <c r="BE16" s="2">
        <f t="shared" si="20"/>
        <v>66.246341692253907</v>
      </c>
      <c r="BF16" s="2">
        <f t="shared" si="20"/>
        <v>65.583878275331372</v>
      </c>
      <c r="BG16" s="2">
        <f t="shared" si="20"/>
        <v>64.928039492578051</v>
      </c>
      <c r="BH16" s="2">
        <f t="shared" si="20"/>
        <v>64.278759097652269</v>
      </c>
      <c r="BI16" s="2">
        <f t="shared" si="20"/>
        <v>63.635971506675745</v>
      </c>
      <c r="BJ16" s="2">
        <f t="shared" si="20"/>
        <v>62.999611791608984</v>
      </c>
      <c r="BK16" s="2">
        <f t="shared" si="20"/>
        <v>62.369615673692891</v>
      </c>
      <c r="BL16" s="2">
        <f t="shared" si="20"/>
        <v>61.745919516955965</v>
      </c>
      <c r="BM16" s="2">
        <f t="shared" si="20"/>
        <v>61.128460321786406</v>
      </c>
      <c r="BN16" s="2">
        <f t="shared" si="20"/>
        <v>60.517175718568538</v>
      </c>
      <c r="BO16" s="2">
        <f t="shared" si="20"/>
        <v>59.912003961382851</v>
      </c>
      <c r="BP16" s="2">
        <f t="shared" si="20"/>
        <v>59.312883921769021</v>
      </c>
      <c r="BQ16" s="2">
        <f t="shared" si="20"/>
        <v>58.71975508255133</v>
      </c>
      <c r="BR16" s="2">
        <f t="shared" si="20"/>
        <v>58.132557531725816</v>
      </c>
      <c r="BS16" s="2">
        <f t="shared" si="20"/>
        <v>57.551231956408557</v>
      </c>
      <c r="BT16" s="2">
        <f t="shared" si="20"/>
        <v>56.975719636844474</v>
      </c>
      <c r="BU16" s="2">
        <f t="shared" si="20"/>
        <v>56.405962440476031</v>
      </c>
      <c r="BV16" s="2">
        <f t="shared" si="20"/>
        <v>55.841902816071268</v>
      </c>
      <c r="BW16" s="2">
        <f t="shared" si="20"/>
        <v>55.283483787910555</v>
      </c>
      <c r="BX16" s="2">
        <f t="shared" si="20"/>
        <v>54.730648950031451</v>
      </c>
      <c r="BY16" s="2">
        <f t="shared" si="20"/>
        <v>54.183342460531136</v>
      </c>
      <c r="BZ16" s="2">
        <f t="shared" si="20"/>
        <v>53.641509035925822</v>
      </c>
      <c r="CA16" s="2">
        <f t="shared" si="20"/>
        <v>53.105093945566566</v>
      </c>
      <c r="CB16" s="2">
        <f t="shared" si="20"/>
        <v>52.574043006110898</v>
      </c>
      <c r="CC16" s="2">
        <f t="shared" si="20"/>
        <v>52.048302576049785</v>
      </c>
      <c r="CD16" s="2">
        <f t="shared" si="20"/>
        <v>51.527819550289287</v>
      </c>
      <c r="CE16" s="2">
        <f t="shared" si="20"/>
        <v>51.012541354786393</v>
      </c>
      <c r="CF16" s="2">
        <f t="shared" si="20"/>
        <v>50.502415941238532</v>
      </c>
      <c r="CG16" s="2">
        <f t="shared" si="20"/>
        <v>49.997391781826146</v>
      </c>
      <c r="CH16" s="2">
        <f t="shared" si="20"/>
        <v>49.497417864007886</v>
      </c>
      <c r="CI16" s="2">
        <f t="shared" si="20"/>
        <v>49.002443685367808</v>
      </c>
      <c r="CJ16" s="2">
        <f t="shared" si="20"/>
        <v>48.512419248514128</v>
      </c>
      <c r="CK16" s="2">
        <f t="shared" si="20"/>
        <v>48.027295056028983</v>
      </c>
      <c r="CL16" s="2">
        <f t="shared" si="20"/>
        <v>47.547022105468692</v>
      </c>
      <c r="CM16" s="2">
        <f t="shared" si="20"/>
        <v>47.071551884414006</v>
      </c>
      <c r="CN16" s="2">
        <f t="shared" si="20"/>
        <v>46.600836365569869</v>
      </c>
      <c r="CO16" s="2">
        <f t="shared" si="20"/>
        <v>46.134828001914173</v>
      </c>
      <c r="CP16" s="2">
        <f t="shared" si="20"/>
        <v>45.673479721895028</v>
      </c>
      <c r="CQ16" s="2">
        <f t="shared" si="20"/>
        <v>45.216744924676078</v>
      </c>
      <c r="CR16" s="2">
        <f t="shared" si="20"/>
        <v>44.76457747542932</v>
      </c>
      <c r="CS16" s="2">
        <f t="shared" si="20"/>
        <v>44.316931700675028</v>
      </c>
      <c r="CT16" s="2">
        <f t="shared" si="20"/>
        <v>43.873762383668279</v>
      </c>
      <c r="CU16" s="2">
        <f t="shared" si="20"/>
        <v>43.435024759831599</v>
      </c>
      <c r="CV16" s="2">
        <f t="shared" si="20"/>
        <v>43.000674512233282</v>
      </c>
      <c r="CW16" s="2">
        <f t="shared" si="20"/>
        <v>42.570667767110947</v>
      </c>
      <c r="CX16" s="2">
        <f t="shared" ref="CX16:EH16" si="21">CW16*(1+$AM$21)</f>
        <v>42.144961089439839</v>
      </c>
      <c r="CY16" s="2">
        <f t="shared" si="21"/>
        <v>41.72351147854544</v>
      </c>
      <c r="CZ16" s="2">
        <f t="shared" si="21"/>
        <v>41.306276363759984</v>
      </c>
      <c r="DA16" s="2">
        <f t="shared" si="21"/>
        <v>40.893213600122387</v>
      </c>
      <c r="DB16" s="2">
        <f t="shared" si="21"/>
        <v>40.48428146412116</v>
      </c>
      <c r="DC16" s="2">
        <f t="shared" si="21"/>
        <v>40.079438649479947</v>
      </c>
      <c r="DD16" s="2">
        <f t="shared" si="21"/>
        <v>39.678644262985145</v>
      </c>
      <c r="DE16" s="2">
        <f t="shared" si="21"/>
        <v>39.281857820355292</v>
      </c>
      <c r="DF16" s="2">
        <f t="shared" si="21"/>
        <v>38.889039242151739</v>
      </c>
      <c r="DG16" s="2">
        <f t="shared" si="21"/>
        <v>38.500148849730223</v>
      </c>
      <c r="DH16" s="2">
        <f t="shared" si="21"/>
        <v>38.115147361232921</v>
      </c>
      <c r="DI16" s="2">
        <f t="shared" si="21"/>
        <v>37.733995887620594</v>
      </c>
      <c r="DJ16" s="2">
        <f t="shared" si="21"/>
        <v>37.356655928744388</v>
      </c>
      <c r="DK16" s="2">
        <f t="shared" si="21"/>
        <v>36.983089369456941</v>
      </c>
      <c r="DL16" s="2">
        <f t="shared" si="21"/>
        <v>36.613258475762372</v>
      </c>
      <c r="DM16" s="2">
        <f t="shared" si="21"/>
        <v>36.24712589100475</v>
      </c>
      <c r="DN16" s="2">
        <f t="shared" si="21"/>
        <v>35.884654632094701</v>
      </c>
      <c r="DO16" s="2">
        <f t="shared" si="21"/>
        <v>35.525808085773754</v>
      </c>
      <c r="DP16" s="2">
        <f t="shared" si="21"/>
        <v>35.170550004916016</v>
      </c>
      <c r="DQ16" s="2">
        <f t="shared" si="21"/>
        <v>34.818844504866853</v>
      </c>
      <c r="DR16" s="2">
        <f t="shared" si="21"/>
        <v>34.470656059818182</v>
      </c>
      <c r="DS16" s="2">
        <f t="shared" si="21"/>
        <v>34.125949499219999</v>
      </c>
      <c r="DT16" s="2">
        <f t="shared" si="21"/>
        <v>33.784690004227798</v>
      </c>
      <c r="DU16" s="2">
        <f t="shared" si="21"/>
        <v>33.446843104185518</v>
      </c>
      <c r="DV16" s="2">
        <f t="shared" si="21"/>
        <v>33.112374673143663</v>
      </c>
      <c r="DW16" s="2">
        <f t="shared" si="21"/>
        <v>32.781250926412227</v>
      </c>
      <c r="DX16" s="2">
        <f t="shared" si="21"/>
        <v>32.453438417148107</v>
      </c>
      <c r="DY16" s="2">
        <f t="shared" si="21"/>
        <v>32.128904032976628</v>
      </c>
      <c r="DZ16" s="2">
        <f t="shared" si="21"/>
        <v>31.807614992646862</v>
      </c>
      <c r="EA16" s="2">
        <f t="shared" si="21"/>
        <v>31.489538842720393</v>
      </c>
      <c r="EB16" s="2">
        <f t="shared" si="21"/>
        <v>31.174643454293189</v>
      </c>
      <c r="EC16" s="2">
        <f t="shared" si="21"/>
        <v>30.862897019750257</v>
      </c>
      <c r="ED16" s="2">
        <f t="shared" si="21"/>
        <v>30.554268049552753</v>
      </c>
      <c r="EE16" s="2">
        <f t="shared" si="21"/>
        <v>30.248725369057226</v>
      </c>
      <c r="EF16" s="2">
        <f t="shared" si="21"/>
        <v>29.946238115366654</v>
      </c>
      <c r="EG16" s="2">
        <f t="shared" si="21"/>
        <v>29.646775734212987</v>
      </c>
      <c r="EH16" s="2">
        <f t="shared" si="21"/>
        <v>29.350307976870859</v>
      </c>
    </row>
    <row r="17" spans="2:39" x14ac:dyDescent="0.3">
      <c r="B17" s="1" t="s">
        <v>2</v>
      </c>
      <c r="G17" s="7">
        <v>7.2</v>
      </c>
      <c r="H17" s="7">
        <v>7.2</v>
      </c>
      <c r="I17" s="7">
        <v>7.2</v>
      </c>
      <c r="J17" s="7">
        <v>7.2</v>
      </c>
      <c r="K17" s="7">
        <v>7.2</v>
      </c>
      <c r="L17" s="7">
        <v>7.2</v>
      </c>
      <c r="M17" s="7">
        <v>7.2</v>
      </c>
      <c r="N17" s="7">
        <v>7.2</v>
      </c>
      <c r="W17" s="7">
        <v>7.2</v>
      </c>
      <c r="X17" s="7">
        <v>7.2</v>
      </c>
      <c r="Y17" s="7">
        <v>7.2</v>
      </c>
      <c r="Z17" s="7">
        <v>7.2</v>
      </c>
      <c r="AA17" s="7">
        <v>7.2</v>
      </c>
      <c r="AB17" s="7">
        <v>7.2</v>
      </c>
      <c r="AC17" s="7">
        <v>7.2</v>
      </c>
      <c r="AD17" s="7">
        <v>7.2</v>
      </c>
      <c r="AE17" s="7">
        <v>7.2</v>
      </c>
      <c r="AF17" s="7">
        <v>7.2</v>
      </c>
      <c r="AG17" s="7">
        <v>7.2</v>
      </c>
      <c r="AH17" s="7">
        <v>7.2</v>
      </c>
      <c r="AI17" s="7">
        <v>7.2</v>
      </c>
      <c r="AJ17" s="7">
        <v>7.2</v>
      </c>
    </row>
    <row r="18" spans="2:39" x14ac:dyDescent="0.3">
      <c r="B18" s="1" t="s">
        <v>23</v>
      </c>
      <c r="G18" s="8">
        <f t="shared" ref="G18:N18" si="22">G16/G17</f>
        <v>0.90277777777777735</v>
      </c>
      <c r="H18" s="8">
        <f t="shared" si="22"/>
        <v>0.83333333333333171</v>
      </c>
      <c r="I18" s="8">
        <f t="shared" si="22"/>
        <v>1.1250000000000002</v>
      </c>
      <c r="J18" s="8">
        <f t="shared" si="22"/>
        <v>2.9027777777777763</v>
      </c>
      <c r="K18" s="8">
        <f t="shared" si="22"/>
        <v>1.0416666666666679</v>
      </c>
      <c r="L18" s="8">
        <f t="shared" si="22"/>
        <v>0.69444444444444231</v>
      </c>
      <c r="M18" s="8">
        <f t="shared" si="22"/>
        <v>0.7222222222222211</v>
      </c>
      <c r="N18" s="8">
        <f t="shared" si="22"/>
        <v>3.3695734722222221</v>
      </c>
      <c r="W18" s="8">
        <f>W16/W17</f>
        <v>2.8750000000000027</v>
      </c>
      <c r="X18" s="8">
        <f>X16/X17</f>
        <v>4.7916666666666634</v>
      </c>
      <c r="Y18" s="8">
        <f>Y16/Y17</f>
        <v>5.7638888888888884</v>
      </c>
      <c r="Z18" s="8">
        <f>Z16/Z17</f>
        <v>5.8279068055555445</v>
      </c>
      <c r="AA18" s="8">
        <f>AA16/AA17</f>
        <v>8.3563629722222199</v>
      </c>
      <c r="AB18" s="8">
        <f t="shared" ref="AB18:AJ18" si="23">AB16/AB17</f>
        <v>9.0764141630555546</v>
      </c>
      <c r="AC18" s="8">
        <f t="shared" si="23"/>
        <v>9.4993790072805542</v>
      </c>
      <c r="AD18" s="8">
        <f t="shared" si="23"/>
        <v>9.8658304835239736</v>
      </c>
      <c r="AE18" s="8">
        <f t="shared" si="23"/>
        <v>10.166776278367193</v>
      </c>
      <c r="AF18" s="8">
        <f t="shared" si="23"/>
        <v>10.394799458277202</v>
      </c>
      <c r="AG18" s="8">
        <f t="shared" si="23"/>
        <v>10.628280314146325</v>
      </c>
      <c r="AH18" s="8">
        <f t="shared" si="23"/>
        <v>10.867362745001101</v>
      </c>
      <c r="AI18" s="8">
        <f t="shared" si="23"/>
        <v>11.112194961670649</v>
      </c>
      <c r="AJ18" s="8">
        <f t="shared" si="23"/>
        <v>11.362929635610218</v>
      </c>
    </row>
    <row r="20" spans="2:39" x14ac:dyDescent="0.3">
      <c r="B20" s="1" t="s">
        <v>47</v>
      </c>
      <c r="K20" s="11">
        <f t="shared" ref="K20:K22" si="24">K3/G3-1</f>
        <v>0.47090909090909094</v>
      </c>
      <c r="L20" s="11">
        <f t="shared" ref="L20:L22" si="25">L3/H3-1</f>
        <v>0.50983358547655078</v>
      </c>
      <c r="M20" s="11">
        <f t="shared" ref="M20:N22" si="26">M3/I3-1</f>
        <v>0.38622754491017952</v>
      </c>
      <c r="N20" s="11">
        <f t="shared" si="26"/>
        <v>0.30000000000000004</v>
      </c>
      <c r="X20" s="11">
        <f t="shared" ref="X20:Y20" si="27">X3/W3-1</f>
        <v>0.19358024691358011</v>
      </c>
      <c r="Y20" s="11">
        <f t="shared" si="27"/>
        <v>0.17501034340091026</v>
      </c>
      <c r="Z20" s="11">
        <f t="shared" ref="Z20:AJ20" si="28">Z3/Y3-1</f>
        <v>0.40221830985915474</v>
      </c>
      <c r="AA20" s="11">
        <f t="shared" si="28"/>
        <v>0.19999999999999996</v>
      </c>
      <c r="AB20" s="11">
        <f t="shared" si="28"/>
        <v>0.10000000000000009</v>
      </c>
      <c r="AC20" s="11">
        <f t="shared" si="28"/>
        <v>5.0000000000000044E-2</v>
      </c>
      <c r="AD20" s="11">
        <f t="shared" si="28"/>
        <v>4.0000000000000036E-2</v>
      </c>
      <c r="AE20" s="11">
        <f t="shared" si="28"/>
        <v>3.0000000000000027E-2</v>
      </c>
      <c r="AF20" s="11">
        <f t="shared" si="28"/>
        <v>2.0000000000000018E-2</v>
      </c>
      <c r="AG20" s="11">
        <f t="shared" si="28"/>
        <v>2.0000000000000018E-2</v>
      </c>
      <c r="AH20" s="11">
        <f t="shared" si="28"/>
        <v>2.0000000000000018E-2</v>
      </c>
      <c r="AI20" s="11">
        <f t="shared" si="28"/>
        <v>2.0000000000000018E-2</v>
      </c>
      <c r="AJ20" s="11">
        <f t="shared" si="28"/>
        <v>2.0000000000000018E-2</v>
      </c>
    </row>
    <row r="21" spans="2:39" x14ac:dyDescent="0.3">
      <c r="B21" s="1" t="s">
        <v>48</v>
      </c>
      <c r="K21" s="11">
        <f t="shared" si="24"/>
        <v>2.8169014084507005E-2</v>
      </c>
      <c r="L21" s="11">
        <f t="shared" si="25"/>
        <v>8.5561497326203328E-2</v>
      </c>
      <c r="M21" s="11">
        <f t="shared" si="26"/>
        <v>-9.2741935483870996E-2</v>
      </c>
      <c r="N21" s="11">
        <f t="shared" si="26"/>
        <v>5.0000000000000044E-2</v>
      </c>
      <c r="X21" s="11">
        <f t="shared" ref="X21:Y21" si="29">X4/W4-1</f>
        <v>-0.17497886728655965</v>
      </c>
      <c r="Y21" s="11">
        <f t="shared" si="29"/>
        <v>5.3278688524590168E-2</v>
      </c>
      <c r="Z21" s="11">
        <f t="shared" ref="Z21:AJ21" si="30">Z4/Y4-1</f>
        <v>1.7509727626459082E-2</v>
      </c>
      <c r="AA21" s="11">
        <f t="shared" si="30"/>
        <v>3.0000000000000027E-2</v>
      </c>
      <c r="AB21" s="11">
        <f t="shared" si="30"/>
        <v>3.0000000000000027E-2</v>
      </c>
      <c r="AC21" s="11">
        <f t="shared" si="30"/>
        <v>3.0000000000000027E-2</v>
      </c>
      <c r="AD21" s="11">
        <f t="shared" si="30"/>
        <v>3.0000000000000027E-2</v>
      </c>
      <c r="AE21" s="11">
        <f t="shared" si="30"/>
        <v>3.0000000000000027E-2</v>
      </c>
      <c r="AF21" s="11">
        <f t="shared" si="30"/>
        <v>3.0000000000000027E-2</v>
      </c>
      <c r="AG21" s="11">
        <f t="shared" si="30"/>
        <v>3.0000000000000027E-2</v>
      </c>
      <c r="AH21" s="11">
        <f t="shared" si="30"/>
        <v>3.0000000000000027E-2</v>
      </c>
      <c r="AI21" s="11">
        <f t="shared" si="30"/>
        <v>3.0000000000000027E-2</v>
      </c>
      <c r="AJ21" s="11">
        <f t="shared" si="30"/>
        <v>3.0000000000000027E-2</v>
      </c>
      <c r="AL21" s="1" t="s">
        <v>50</v>
      </c>
      <c r="AM21" s="11">
        <v>-0.01</v>
      </c>
    </row>
    <row r="22" spans="2:39" x14ac:dyDescent="0.3">
      <c r="B22" s="1" t="s">
        <v>49</v>
      </c>
      <c r="K22" s="11">
        <f t="shared" si="24"/>
        <v>1.666666666666667</v>
      </c>
      <c r="L22" s="11">
        <f t="shared" si="25"/>
        <v>0</v>
      </c>
      <c r="M22" s="11">
        <f t="shared" si="26"/>
        <v>0.49999999999999978</v>
      </c>
      <c r="N22" s="11">
        <f t="shared" si="26"/>
        <v>0.66666666666666696</v>
      </c>
      <c r="X22" s="11">
        <f t="shared" ref="X22:Y22" si="31">X5/W5-1</f>
        <v>1</v>
      </c>
      <c r="Y22" s="11">
        <f t="shared" si="31"/>
        <v>-0.12500000000000011</v>
      </c>
      <c r="Z22" s="11">
        <f t="shared" ref="Z22:AJ22" si="32">Z5/Y5-1</f>
        <v>0.71428571428571463</v>
      </c>
      <c r="AA22" s="11">
        <f t="shared" si="32"/>
        <v>5.0000000000000044E-2</v>
      </c>
      <c r="AB22" s="11">
        <f t="shared" si="32"/>
        <v>5.0000000000000044E-2</v>
      </c>
      <c r="AC22" s="11">
        <f t="shared" si="32"/>
        <v>5.0000000000000044E-2</v>
      </c>
      <c r="AD22" s="11">
        <f t="shared" si="32"/>
        <v>5.0000000000000044E-2</v>
      </c>
      <c r="AE22" s="11">
        <f t="shared" si="32"/>
        <v>5.0000000000000044E-2</v>
      </c>
      <c r="AF22" s="11">
        <f t="shared" si="32"/>
        <v>5.0000000000000044E-2</v>
      </c>
      <c r="AG22" s="11">
        <f t="shared" si="32"/>
        <v>5.0000000000000044E-2</v>
      </c>
      <c r="AH22" s="11">
        <f t="shared" si="32"/>
        <v>5.0000000000000044E-2</v>
      </c>
      <c r="AI22" s="11">
        <f t="shared" si="32"/>
        <v>5.0000000000000044E-2</v>
      </c>
      <c r="AJ22" s="11">
        <f t="shared" si="32"/>
        <v>5.0000000000000044E-2</v>
      </c>
      <c r="AL22" s="1" t="s">
        <v>51</v>
      </c>
      <c r="AM22" s="11">
        <v>0.1</v>
      </c>
    </row>
    <row r="23" spans="2:39" s="2" customFormat="1" x14ac:dyDescent="0.3">
      <c r="B23" s="2" t="s">
        <v>42</v>
      </c>
      <c r="K23" s="12">
        <f t="shared" ref="K23:L23" si="33">K6/G6-1</f>
        <v>0.35248041775456951</v>
      </c>
      <c r="L23" s="12">
        <f t="shared" si="33"/>
        <v>0.41480611045828431</v>
      </c>
      <c r="M23" s="12">
        <f>M6/I6-1</f>
        <v>0.25708061002178639</v>
      </c>
      <c r="N23" s="12">
        <f>N6/J6-1</f>
        <v>0.23110616184112831</v>
      </c>
      <c r="X23" s="12">
        <f>X6/W6-1</f>
        <v>6.0012437810945229E-2</v>
      </c>
      <c r="Y23" s="12">
        <f>Y6/X6-1</f>
        <v>0.13875036667644469</v>
      </c>
      <c r="Z23" s="12">
        <f>Z6/Y6-1</f>
        <v>0.30146831530139084</v>
      </c>
      <c r="AA23" s="12">
        <f t="shared" ref="AA23:AJ23" si="34">AA6/Z6-1</f>
        <v>0.1640916018447045</v>
      </c>
      <c r="AB23" s="12">
        <f t="shared" si="34"/>
        <v>8.6962732982619695E-2</v>
      </c>
      <c r="AC23" s="12">
        <f t="shared" si="34"/>
        <v>4.6528276025140425E-2</v>
      </c>
      <c r="AD23" s="12">
        <f t="shared" si="34"/>
        <v>3.8333080873653724E-2</v>
      </c>
      <c r="AE23" s="12">
        <f t="shared" si="34"/>
        <v>3.0083988501924841E-2</v>
      </c>
      <c r="AF23" s="12">
        <f t="shared" si="34"/>
        <v>2.1823016092849201E-2</v>
      </c>
      <c r="AG23" s="12">
        <f t="shared" si="34"/>
        <v>2.184011802140895E-2</v>
      </c>
      <c r="AH23" s="12">
        <f t="shared" si="34"/>
        <v>2.1857395029725613E-2</v>
      </c>
      <c r="AI23" s="12">
        <f t="shared" si="34"/>
        <v>2.1874849480191694E-2</v>
      </c>
      <c r="AJ23" s="12">
        <f t="shared" si="34"/>
        <v>2.1892483780199923E-2</v>
      </c>
      <c r="AL23" s="1" t="s">
        <v>52</v>
      </c>
      <c r="AM23" s="7">
        <f>NPV(AM22,Z16:EH16)</f>
        <v>693.98942870279075</v>
      </c>
    </row>
    <row r="24" spans="2:39" x14ac:dyDescent="0.3">
      <c r="B24" s="1" t="s">
        <v>43</v>
      </c>
      <c r="G24" s="11">
        <f t="shared" ref="G24:L24" si="35">G8/G6</f>
        <v>0.18015665796344646</v>
      </c>
      <c r="H24" s="11">
        <f t="shared" si="35"/>
        <v>0.17273795534665087</v>
      </c>
      <c r="I24" s="11">
        <f t="shared" si="35"/>
        <v>0.187363834422658</v>
      </c>
      <c r="J24" s="11">
        <f t="shared" si="35"/>
        <v>0.24350408314773569</v>
      </c>
      <c r="K24" s="11">
        <f t="shared" si="35"/>
        <v>0.17471042471042478</v>
      </c>
      <c r="L24" s="11">
        <f t="shared" si="35"/>
        <v>0.15365448504983378</v>
      </c>
      <c r="M24" s="11">
        <f>M8/M6</f>
        <v>0.1377816291161178</v>
      </c>
      <c r="N24" s="11">
        <f>N8/N6</f>
        <v>0.25</v>
      </c>
      <c r="W24" s="11">
        <f t="shared" ref="W24:X24" si="36">W8/W6</f>
        <v>0.17133084577114432</v>
      </c>
      <c r="X24" s="11">
        <f t="shared" si="36"/>
        <v>0.19771193898503955</v>
      </c>
      <c r="Y24" s="11">
        <f>Y8/Y6</f>
        <v>0.2022153529108707</v>
      </c>
      <c r="Z24" s="11">
        <f>Z8/Z6</f>
        <v>0.18596975634859358</v>
      </c>
      <c r="AA24" s="11">
        <f t="shared" ref="AA24:AJ24" si="37">AA8/AA6</f>
        <v>0.2</v>
      </c>
      <c r="AB24" s="11">
        <f t="shared" si="37"/>
        <v>0.2</v>
      </c>
      <c r="AC24" s="11">
        <f t="shared" si="37"/>
        <v>0.2</v>
      </c>
      <c r="AD24" s="11">
        <f t="shared" si="37"/>
        <v>0.2</v>
      </c>
      <c r="AE24" s="11">
        <f t="shared" si="37"/>
        <v>0.2</v>
      </c>
      <c r="AF24" s="11">
        <f t="shared" si="37"/>
        <v>0.2</v>
      </c>
      <c r="AG24" s="11">
        <f t="shared" si="37"/>
        <v>0.19999999999999998</v>
      </c>
      <c r="AH24" s="11">
        <f t="shared" si="37"/>
        <v>0.2</v>
      </c>
      <c r="AI24" s="11">
        <f t="shared" si="37"/>
        <v>0.2</v>
      </c>
      <c r="AJ24" s="11">
        <f t="shared" si="37"/>
        <v>0.2</v>
      </c>
      <c r="AL24" s="1" t="s">
        <v>53</v>
      </c>
      <c r="AM24" s="7">
        <f>Main!D8</f>
        <v>-32.299999999999997</v>
      </c>
    </row>
    <row r="25" spans="2:39" x14ac:dyDescent="0.3">
      <c r="B25" s="1" t="s">
        <v>44</v>
      </c>
      <c r="G25" s="11">
        <f t="shared" ref="G25:L25" si="38">G9/G6</f>
        <v>9.3994778067885129E-2</v>
      </c>
      <c r="H25" s="11">
        <f t="shared" si="38"/>
        <v>9.400705052878966E-2</v>
      </c>
      <c r="I25" s="11">
        <f t="shared" si="38"/>
        <v>8.2788671023965144E-2</v>
      </c>
      <c r="J25" s="11">
        <f t="shared" si="38"/>
        <v>6.6815144766147028E-2</v>
      </c>
      <c r="K25" s="11">
        <f t="shared" si="38"/>
        <v>8.3976833976833962E-2</v>
      </c>
      <c r="L25" s="11">
        <f t="shared" si="38"/>
        <v>7.807308970099669E-2</v>
      </c>
      <c r="M25" s="11">
        <f>M9/M6</f>
        <v>7.9722703639514725E-2</v>
      </c>
      <c r="N25" s="11">
        <f>N9/N6</f>
        <v>5.9999999999999991E-2</v>
      </c>
      <c r="W25" s="11">
        <f t="shared" ref="W25:X25" si="39">W9/W6</f>
        <v>8.4266169154228854E-2</v>
      </c>
      <c r="X25" s="11">
        <f t="shared" si="39"/>
        <v>9.034907597535935E-2</v>
      </c>
      <c r="Y25" s="11">
        <f>Y9/Y6</f>
        <v>8.1916537867078823E-2</v>
      </c>
      <c r="Z25" s="11">
        <f>Z9/Z6</f>
        <v>7.3728400926310805E-2</v>
      </c>
      <c r="AA25" s="11">
        <f t="shared" ref="AA25:AJ25" si="40">AA9/AA6</f>
        <v>7.0000000000000007E-2</v>
      </c>
      <c r="AB25" s="11">
        <f t="shared" si="40"/>
        <v>7.0000000000000007E-2</v>
      </c>
      <c r="AC25" s="11">
        <f t="shared" si="40"/>
        <v>7.0000000000000007E-2</v>
      </c>
      <c r="AD25" s="11">
        <f t="shared" si="40"/>
        <v>7.0000000000000007E-2</v>
      </c>
      <c r="AE25" s="11">
        <f t="shared" si="40"/>
        <v>7.0000000000000007E-2</v>
      </c>
      <c r="AF25" s="11">
        <f t="shared" si="40"/>
        <v>7.0000000000000007E-2</v>
      </c>
      <c r="AG25" s="11">
        <f t="shared" si="40"/>
        <v>7.0000000000000007E-2</v>
      </c>
      <c r="AH25" s="11">
        <f t="shared" si="40"/>
        <v>7.0000000000000007E-2</v>
      </c>
      <c r="AI25" s="11">
        <f t="shared" si="40"/>
        <v>7.0000000000000007E-2</v>
      </c>
      <c r="AJ25" s="11">
        <f t="shared" si="40"/>
        <v>7.0000000000000007E-2</v>
      </c>
      <c r="AL25" s="1" t="s">
        <v>54</v>
      </c>
      <c r="AM25" s="7">
        <f>AM23+AM24</f>
        <v>661.68942870279079</v>
      </c>
    </row>
    <row r="26" spans="2:39" x14ac:dyDescent="0.3">
      <c r="B26" s="1" t="s">
        <v>45</v>
      </c>
      <c r="G26" s="11">
        <f t="shared" ref="G26:L26" si="41">G12/G6</f>
        <v>8.0939947780678811E-2</v>
      </c>
      <c r="H26" s="11">
        <f t="shared" si="41"/>
        <v>7.403055229142172E-2</v>
      </c>
      <c r="I26" s="11">
        <f t="shared" si="41"/>
        <v>0.1002178649237473</v>
      </c>
      <c r="J26" s="11">
        <f t="shared" si="41"/>
        <v>0.17446176688938378</v>
      </c>
      <c r="K26" s="11">
        <f t="shared" si="41"/>
        <v>8.6872586872586949E-2</v>
      </c>
      <c r="L26" s="11">
        <f t="shared" si="41"/>
        <v>4.9833887043189244E-2</v>
      </c>
      <c r="M26" s="11">
        <f>M12/M6</f>
        <v>5.4592720970537197E-2</v>
      </c>
      <c r="N26" s="11">
        <f>N12/N6</f>
        <v>0.19000000000000003</v>
      </c>
      <c r="W26" s="11">
        <f t="shared" ref="W26:X26" si="42">W12/W6</f>
        <v>6.8718905472636871E-2</v>
      </c>
      <c r="X26" s="11">
        <f t="shared" si="42"/>
        <v>0.10266940451745374</v>
      </c>
      <c r="Y26" s="11">
        <f>Y12/Y6</f>
        <v>0.11643482740855231</v>
      </c>
      <c r="Z26" s="11">
        <f>Z12/Z6</f>
        <v>0.10452209884606997</v>
      </c>
      <c r="AA26" s="11">
        <f t="shared" ref="AA26:AJ26" si="43">AA12/AA6</f>
        <v>0.13</v>
      </c>
      <c r="AB26" s="11">
        <f t="shared" si="43"/>
        <v>0.13</v>
      </c>
      <c r="AC26" s="11">
        <f t="shared" si="43"/>
        <v>0.13</v>
      </c>
      <c r="AD26" s="11">
        <f t="shared" si="43"/>
        <v>0.13</v>
      </c>
      <c r="AE26" s="11">
        <f t="shared" si="43"/>
        <v>0.13</v>
      </c>
      <c r="AF26" s="11">
        <f t="shared" si="43"/>
        <v>0.13</v>
      </c>
      <c r="AG26" s="11">
        <f t="shared" si="43"/>
        <v>0.12999999999999998</v>
      </c>
      <c r="AH26" s="11">
        <f t="shared" si="43"/>
        <v>0.13</v>
      </c>
      <c r="AI26" s="11">
        <f t="shared" si="43"/>
        <v>0.13</v>
      </c>
      <c r="AJ26" s="11">
        <f t="shared" si="43"/>
        <v>0.13</v>
      </c>
      <c r="AL26" s="1" t="s">
        <v>55</v>
      </c>
      <c r="AM26" s="6">
        <f>AM25/AJ17</f>
        <v>91.901309542054278</v>
      </c>
    </row>
    <row r="27" spans="2:39" x14ac:dyDescent="0.3">
      <c r="B27" s="1" t="s">
        <v>21</v>
      </c>
      <c r="G27" s="11">
        <f t="shared" ref="G27:L27" si="44">G15/G14</f>
        <v>0.21686746987951816</v>
      </c>
      <c r="H27" s="11">
        <f t="shared" si="44"/>
        <v>0.23076923076923112</v>
      </c>
      <c r="I27" s="11">
        <f t="shared" si="44"/>
        <v>0.22115384615384609</v>
      </c>
      <c r="J27" s="11">
        <f t="shared" si="44"/>
        <v>0.13636363636363641</v>
      </c>
      <c r="K27" s="11">
        <f t="shared" si="44"/>
        <v>0.22680412371134004</v>
      </c>
      <c r="L27" s="11">
        <f t="shared" si="44"/>
        <v>0.23076923076923131</v>
      </c>
      <c r="M27" s="11">
        <f>M15/M14</f>
        <v>0.22388059701492563</v>
      </c>
      <c r="N27" s="11">
        <f>N15/N14</f>
        <v>0.23</v>
      </c>
      <c r="W27" s="11">
        <f t="shared" ref="W27:X27" si="45">W15/W14</f>
        <v>0.20077220077220062</v>
      </c>
      <c r="X27" s="11">
        <f t="shared" si="45"/>
        <v>0.18632075471698123</v>
      </c>
      <c r="Y27" s="11">
        <f>Y15/Y14</f>
        <v>0.18145956607495067</v>
      </c>
      <c r="Z27" s="11">
        <f>Z15/Z14</f>
        <v>0.228768556656503</v>
      </c>
      <c r="AA27" s="11">
        <f t="shared" ref="AA27:AJ27" si="46">AA15/AA14</f>
        <v>0.22999999999999998</v>
      </c>
      <c r="AB27" s="11">
        <f t="shared" si="46"/>
        <v>0.22999999999999998</v>
      </c>
      <c r="AC27" s="11">
        <f t="shared" si="46"/>
        <v>0.23000000000000004</v>
      </c>
      <c r="AD27" s="11">
        <f t="shared" si="46"/>
        <v>0.23000000000000004</v>
      </c>
      <c r="AE27" s="11">
        <f t="shared" si="46"/>
        <v>0.23000000000000004</v>
      </c>
      <c r="AF27" s="11">
        <f t="shared" si="46"/>
        <v>0.23</v>
      </c>
      <c r="AG27" s="11">
        <f t="shared" si="46"/>
        <v>0.23000000000000004</v>
      </c>
      <c r="AH27" s="11">
        <f t="shared" si="46"/>
        <v>0.23000000000000004</v>
      </c>
      <c r="AI27" s="11">
        <f t="shared" si="46"/>
        <v>0.23</v>
      </c>
      <c r="AJ27" s="11">
        <f t="shared" si="46"/>
        <v>0.23</v>
      </c>
      <c r="AL27" s="1" t="s">
        <v>56</v>
      </c>
      <c r="AM27" s="6">
        <f>Main!D3</f>
        <v>127.5</v>
      </c>
    </row>
    <row r="28" spans="2:39" x14ac:dyDescent="0.3">
      <c r="B28" s="1" t="s">
        <v>46</v>
      </c>
      <c r="G28" s="11">
        <f t="shared" ref="G28:L28" si="47">G16/G6</f>
        <v>8.4856396866840697E-2</v>
      </c>
      <c r="H28" s="11">
        <f t="shared" si="47"/>
        <v>7.050528789659212E-2</v>
      </c>
      <c r="I28" s="11">
        <f t="shared" si="47"/>
        <v>8.8235294117647078E-2</v>
      </c>
      <c r="J28" s="11">
        <f t="shared" si="47"/>
        <v>0.15515961395694131</v>
      </c>
      <c r="K28" s="11">
        <f t="shared" si="47"/>
        <v>7.2393822393822471E-2</v>
      </c>
      <c r="L28" s="11">
        <f t="shared" si="47"/>
        <v>4.1528239202657684E-2</v>
      </c>
      <c r="M28" s="11">
        <f>M16/M6</f>
        <v>4.5060658578856091E-2</v>
      </c>
      <c r="N28" s="11">
        <f>N16/N6</f>
        <v>0.14630000000000001</v>
      </c>
      <c r="W28" s="11">
        <f t="shared" ref="W28:X28" si="48">W16/W6</f>
        <v>6.4365671641791106E-2</v>
      </c>
      <c r="X28" s="11">
        <f t="shared" si="48"/>
        <v>0.10120269873863297</v>
      </c>
      <c r="Y28" s="11">
        <f>Y16/Y6</f>
        <v>0.1069036579082947</v>
      </c>
      <c r="Z28" s="11">
        <f>Z16/Z6</f>
        <v>8.3053122340320112E-2</v>
      </c>
      <c r="AA28" s="11">
        <f t="shared" ref="AA28:AJ28" si="49">AA16/AA6</f>
        <v>0.10229949875368538</v>
      </c>
      <c r="AB28" s="11">
        <f t="shared" si="49"/>
        <v>0.10222470365477247</v>
      </c>
      <c r="AC28" s="11">
        <f t="shared" si="49"/>
        <v>0.10223175208794598</v>
      </c>
      <c r="AD28" s="11">
        <f t="shared" si="49"/>
        <v>0.10225570488273374</v>
      </c>
      <c r="AE28" s="11">
        <f t="shared" si="49"/>
        <v>0.10229738405036491</v>
      </c>
      <c r="AF28" s="11">
        <f t="shared" si="49"/>
        <v>0.10235797737626366</v>
      </c>
      <c r="AG28" s="11">
        <f t="shared" si="49"/>
        <v>0.10242020274332894</v>
      </c>
      <c r="AH28" s="11">
        <f t="shared" si="49"/>
        <v>0.10248410260800091</v>
      </c>
      <c r="AI28" s="11">
        <f t="shared" si="49"/>
        <v>0.10254972047181156</v>
      </c>
      <c r="AJ28" s="11">
        <f t="shared" si="49"/>
        <v>0.10261710090467342</v>
      </c>
      <c r="AL28" s="2" t="s">
        <v>57</v>
      </c>
      <c r="AM28" s="12">
        <f>AM26/AM27-1</f>
        <v>-0.27920541535643706</v>
      </c>
    </row>
    <row r="29" spans="2:39" x14ac:dyDescent="0.3">
      <c r="AL29" s="1" t="s">
        <v>58</v>
      </c>
      <c r="AM29" s="3" t="s">
        <v>59</v>
      </c>
    </row>
    <row r="31" spans="2:39" s="13" customFormat="1" x14ac:dyDescent="0.3">
      <c r="B31" s="13" t="s">
        <v>60</v>
      </c>
      <c r="J31" s="14">
        <v>453.4</v>
      </c>
      <c r="M31" s="14">
        <v>503.8</v>
      </c>
      <c r="Z31" s="14">
        <v>503.8</v>
      </c>
    </row>
    <row r="32" spans="2:39" x14ac:dyDescent="0.3">
      <c r="B32" s="1" t="s">
        <v>61</v>
      </c>
      <c r="Z32" s="15">
        <f>Main!$D$9/Model!Z31</f>
        <v>1.8862643906312027</v>
      </c>
    </row>
    <row r="33" spans="2:26" x14ac:dyDescent="0.3">
      <c r="B33" s="1" t="s">
        <v>62</v>
      </c>
      <c r="Z33" s="11">
        <f>Z31/Main!$D$9-1</f>
        <v>-0.46985162580237816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2025-11-27T11:05:00Z</dcterms:created>
  <dcterms:modified xsi:type="dcterms:W3CDTF">2026-02-18T17:09:20Z</dcterms:modified>
</cp:coreProperties>
</file>