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F211B9F-8609-4060-B9C6-27C96022701B}" xr6:coauthVersionLast="47" xr6:coauthVersionMax="47" xr10:uidLastSave="{00000000-0000-0000-0000-000000000000}"/>
  <bookViews>
    <workbookView xWindow="-108" yWindow="-108" windowWidth="23256" windowHeight="12576" activeTab="1" xr2:uid="{8D16C813-91F6-40E1-8248-3A7B1113BC8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" i="2" l="1"/>
  <c r="AA6" i="2"/>
  <c r="Q17" i="2"/>
  <c r="AF3" i="2"/>
  <c r="AG3" i="2" s="1"/>
  <c r="AH3" i="2" s="1"/>
  <c r="AI3" i="2" s="1"/>
  <c r="AJ3" i="2" s="1"/>
  <c r="AK3" i="2" s="1"/>
  <c r="AE3" i="2"/>
  <c r="AD3" i="2"/>
  <c r="AC3" i="2"/>
  <c r="AB3" i="2"/>
  <c r="AA3" i="2"/>
  <c r="AA5" i="2" s="1"/>
  <c r="P12" i="2"/>
  <c r="P11" i="2"/>
  <c r="P9" i="2"/>
  <c r="P7" i="2"/>
  <c r="P6" i="2"/>
  <c r="P4" i="2"/>
  <c r="P3" i="2"/>
  <c r="Z12" i="2"/>
  <c r="Z9" i="2"/>
  <c r="AA9" i="2" s="1"/>
  <c r="Z5" i="2"/>
  <c r="Z8" i="2" s="1"/>
  <c r="AA12" i="2"/>
  <c r="D7" i="1"/>
  <c r="D6" i="1"/>
  <c r="I9" i="2"/>
  <c r="I5" i="2"/>
  <c r="J12" i="2"/>
  <c r="J7" i="2"/>
  <c r="J6" i="2"/>
  <c r="J3" i="2"/>
  <c r="W9" i="2"/>
  <c r="O21" i="2"/>
  <c r="M21" i="2"/>
  <c r="K21" i="2"/>
  <c r="O20" i="2"/>
  <c r="M20" i="2"/>
  <c r="K20" i="2"/>
  <c r="O17" i="2"/>
  <c r="M17" i="2"/>
  <c r="K17" i="2"/>
  <c r="L12" i="2"/>
  <c r="L11" i="2"/>
  <c r="L7" i="2"/>
  <c r="N21" i="2" s="1"/>
  <c r="L6" i="2"/>
  <c r="N20" i="2" s="1"/>
  <c r="L4" i="2"/>
  <c r="L3" i="2"/>
  <c r="N12" i="2"/>
  <c r="N11" i="2"/>
  <c r="N7" i="2"/>
  <c r="N6" i="2"/>
  <c r="N4" i="2"/>
  <c r="N3" i="2"/>
  <c r="K9" i="2"/>
  <c r="K5" i="2"/>
  <c r="K8" i="2" s="1"/>
  <c r="K10" i="2" s="1"/>
  <c r="K13" i="2" s="1"/>
  <c r="K15" i="2" s="1"/>
  <c r="X9" i="2"/>
  <c r="L9" i="2" s="1"/>
  <c r="Y9" i="2"/>
  <c r="N9" i="2" s="1"/>
  <c r="Y5" i="2"/>
  <c r="Z10" i="2" l="1"/>
  <c r="Z13" i="2" s="1"/>
  <c r="Z15" i="2" s="1"/>
  <c r="AA8" i="2"/>
  <c r="AA10" i="2" s="1"/>
  <c r="AA4" i="2"/>
  <c r="P5" i="2"/>
  <c r="P20" i="2"/>
  <c r="AB6" i="2"/>
  <c r="AC6" i="2" s="1"/>
  <c r="AD6" i="2" s="1"/>
  <c r="AE6" i="2" s="1"/>
  <c r="AF6" i="2" s="1"/>
  <c r="AG6" i="2" s="1"/>
  <c r="AH6" i="2" s="1"/>
  <c r="AI6" i="2" s="1"/>
  <c r="AJ6" i="2" s="1"/>
  <c r="AK6" i="2" s="1"/>
  <c r="AB7" i="2"/>
  <c r="AC7" i="2" s="1"/>
  <c r="AD7" i="2" s="1"/>
  <c r="AE7" i="2" s="1"/>
  <c r="AF7" i="2" s="1"/>
  <c r="AG7" i="2" s="1"/>
  <c r="AH7" i="2" s="1"/>
  <c r="AI7" i="2" s="1"/>
  <c r="AJ7" i="2" s="1"/>
  <c r="AK7" i="2" s="1"/>
  <c r="P21" i="2"/>
  <c r="K22" i="2"/>
  <c r="L21" i="2"/>
  <c r="K19" i="2"/>
  <c r="N17" i="2"/>
  <c r="J9" i="2"/>
  <c r="K23" i="2"/>
  <c r="L17" i="2"/>
  <c r="K18" i="2"/>
  <c r="L20" i="2"/>
  <c r="P17" i="2"/>
  <c r="L5" i="2"/>
  <c r="N5" i="2"/>
  <c r="M5" i="2"/>
  <c r="O9" i="2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O5" i="2"/>
  <c r="P18" i="2" l="1"/>
  <c r="P8" i="2"/>
  <c r="P10" i="2" s="1"/>
  <c r="P13" i="2" s="1"/>
  <c r="AA11" i="2"/>
  <c r="AA13" i="2" s="1"/>
  <c r="AA15" i="2" s="1"/>
  <c r="N8" i="2"/>
  <c r="N18" i="2"/>
  <c r="L8" i="2"/>
  <c r="L18" i="2"/>
  <c r="M8" i="2"/>
  <c r="M18" i="2"/>
  <c r="O8" i="2"/>
  <c r="O19" i="2" s="1"/>
  <c r="O18" i="2"/>
  <c r="P19" i="2"/>
  <c r="I20" i="2"/>
  <c r="H9" i="2"/>
  <c r="H11" i="2"/>
  <c r="H6" i="2"/>
  <c r="N10" i="2" l="1"/>
  <c r="N19" i="2"/>
  <c r="P15" i="2"/>
  <c r="P23" i="2"/>
  <c r="O10" i="2"/>
  <c r="M10" i="2"/>
  <c r="M19" i="2"/>
  <c r="L10" i="2"/>
  <c r="L19" i="2"/>
  <c r="P22" i="2"/>
  <c r="I17" i="2"/>
  <c r="H4" i="2"/>
  <c r="H3" i="2"/>
  <c r="M13" i="2" l="1"/>
  <c r="M22" i="2"/>
  <c r="N13" i="2"/>
  <c r="N22" i="2"/>
  <c r="O13" i="2"/>
  <c r="O22" i="2"/>
  <c r="L13" i="2"/>
  <c r="L22" i="2"/>
  <c r="J20" i="2"/>
  <c r="I18" i="2"/>
  <c r="J17" i="2"/>
  <c r="J4" i="2"/>
  <c r="J5" i="2" s="1"/>
  <c r="H5" i="2"/>
  <c r="L15" i="2" l="1"/>
  <c r="L23" i="2"/>
  <c r="N15" i="2"/>
  <c r="N23" i="2"/>
  <c r="M15" i="2"/>
  <c r="M23" i="2"/>
  <c r="O15" i="2"/>
  <c r="O23" i="2"/>
  <c r="W5" i="2"/>
  <c r="J18" i="2"/>
  <c r="AN25" i="2" l="1"/>
  <c r="V9" i="2"/>
  <c r="V6" i="2"/>
  <c r="V3" i="2"/>
  <c r="V4" i="2"/>
  <c r="U20" i="2"/>
  <c r="U17" i="2"/>
  <c r="G20" i="2"/>
  <c r="E20" i="2"/>
  <c r="G17" i="2"/>
  <c r="E17" i="2"/>
  <c r="D11" i="2"/>
  <c r="D9" i="2"/>
  <c r="D6" i="2"/>
  <c r="D4" i="2"/>
  <c r="D3" i="2"/>
  <c r="F11" i="2"/>
  <c r="F9" i="2"/>
  <c r="F6" i="2"/>
  <c r="H20" i="2" s="1"/>
  <c r="F4" i="2"/>
  <c r="F3" i="2"/>
  <c r="H17" i="2" s="1"/>
  <c r="T12" i="2"/>
  <c r="T7" i="2"/>
  <c r="T5" i="2"/>
  <c r="T18" i="2" s="1"/>
  <c r="U12" i="2"/>
  <c r="U7" i="2"/>
  <c r="U5" i="2"/>
  <c r="U18" i="2" s="1"/>
  <c r="C12" i="2"/>
  <c r="C7" i="2"/>
  <c r="C5" i="2"/>
  <c r="C18" i="2" s="1"/>
  <c r="E12" i="2"/>
  <c r="E7" i="2"/>
  <c r="E21" i="2" s="1"/>
  <c r="E5" i="2"/>
  <c r="G12" i="2"/>
  <c r="G7" i="2"/>
  <c r="G5" i="2"/>
  <c r="D8" i="1"/>
  <c r="AN22" i="2" s="1"/>
  <c r="D5" i="1"/>
  <c r="F3" i="1"/>
  <c r="V5" i="2" l="1"/>
  <c r="V18" i="2" s="1"/>
  <c r="U21" i="2"/>
  <c r="D12" i="2"/>
  <c r="F7" i="2"/>
  <c r="H7" i="2"/>
  <c r="V7" i="2" s="1"/>
  <c r="V21" i="2" s="1"/>
  <c r="G21" i="2"/>
  <c r="H12" i="2"/>
  <c r="V12" i="2" s="1"/>
  <c r="AB12" i="2"/>
  <c r="AC12" i="2" s="1"/>
  <c r="AD12" i="2" s="1"/>
  <c r="AE12" i="2" s="1"/>
  <c r="AF12" i="2" s="1"/>
  <c r="AG12" i="2" s="1"/>
  <c r="AH12" i="2" s="1"/>
  <c r="AI12" i="2" s="1"/>
  <c r="AJ12" i="2" s="1"/>
  <c r="AK12" i="2" s="1"/>
  <c r="E8" i="2"/>
  <c r="E10" i="2" s="1"/>
  <c r="E22" i="2" s="1"/>
  <c r="E18" i="2"/>
  <c r="F20" i="2"/>
  <c r="F17" i="2"/>
  <c r="G8" i="2"/>
  <c r="G10" i="2" s="1"/>
  <c r="G22" i="2" s="1"/>
  <c r="F5" i="2"/>
  <c r="F18" i="2" s="1"/>
  <c r="G18" i="2"/>
  <c r="D5" i="2"/>
  <c r="D18" i="2" s="1"/>
  <c r="D7" i="2"/>
  <c r="H18" i="2"/>
  <c r="V17" i="2"/>
  <c r="D9" i="1"/>
  <c r="Y20" i="2"/>
  <c r="X20" i="2"/>
  <c r="W20" i="2"/>
  <c r="V20" i="2"/>
  <c r="W17" i="2"/>
  <c r="F12" i="2"/>
  <c r="U8" i="2"/>
  <c r="T8" i="2"/>
  <c r="C8" i="2"/>
  <c r="AG20" i="2" l="1"/>
  <c r="H8" i="2"/>
  <c r="H10" i="2" s="1"/>
  <c r="F21" i="2"/>
  <c r="E19" i="2"/>
  <c r="I21" i="2"/>
  <c r="I8" i="2"/>
  <c r="H21" i="2"/>
  <c r="E13" i="2"/>
  <c r="F8" i="2"/>
  <c r="F10" i="2" s="1"/>
  <c r="F22" i="2" s="1"/>
  <c r="G19" i="2"/>
  <c r="G13" i="2"/>
  <c r="C10" i="2"/>
  <c r="C19" i="2"/>
  <c r="T10" i="2"/>
  <c r="T19" i="2"/>
  <c r="V8" i="2"/>
  <c r="V10" i="2" s="1"/>
  <c r="D8" i="2"/>
  <c r="U10" i="2"/>
  <c r="U19" i="2"/>
  <c r="Z20" i="2"/>
  <c r="E15" i="2" l="1"/>
  <c r="E23" i="2"/>
  <c r="G15" i="2"/>
  <c r="G23" i="2"/>
  <c r="AH20" i="2"/>
  <c r="H19" i="2"/>
  <c r="F19" i="2"/>
  <c r="I10" i="2"/>
  <c r="I19" i="2"/>
  <c r="J21" i="2"/>
  <c r="J8" i="2"/>
  <c r="V19" i="2"/>
  <c r="D10" i="2"/>
  <c r="D19" i="2"/>
  <c r="T13" i="2"/>
  <c r="T22" i="2"/>
  <c r="F13" i="2"/>
  <c r="U13" i="2"/>
  <c r="U22" i="2"/>
  <c r="C13" i="2"/>
  <c r="C22" i="2"/>
  <c r="V11" i="2"/>
  <c r="H22" i="2"/>
  <c r="W18" i="2"/>
  <c r="X17" i="2"/>
  <c r="H13" i="2"/>
  <c r="AA20" i="2"/>
  <c r="T15" i="2" l="1"/>
  <c r="T23" i="2"/>
  <c r="C15" i="2"/>
  <c r="C23" i="2"/>
  <c r="H15" i="2"/>
  <c r="H23" i="2"/>
  <c r="U15" i="2"/>
  <c r="U23" i="2"/>
  <c r="F15" i="2"/>
  <c r="F23" i="2"/>
  <c r="AI20" i="2"/>
  <c r="W21" i="2"/>
  <c r="W8" i="2"/>
  <c r="W19" i="2" s="1"/>
  <c r="J10" i="2"/>
  <c r="J19" i="2"/>
  <c r="D13" i="2"/>
  <c r="D22" i="2"/>
  <c r="Y17" i="2"/>
  <c r="V22" i="2"/>
  <c r="V13" i="2"/>
  <c r="AB20" i="2"/>
  <c r="V15" i="2" l="1"/>
  <c r="V23" i="2"/>
  <c r="D15" i="2"/>
  <c r="D23" i="2"/>
  <c r="I22" i="2"/>
  <c r="J11" i="2"/>
  <c r="J22" i="2" s="1"/>
  <c r="W10" i="2"/>
  <c r="AK20" i="2"/>
  <c r="AJ20" i="2"/>
  <c r="X21" i="2"/>
  <c r="I13" i="2"/>
  <c r="Z17" i="2"/>
  <c r="Y18" i="2"/>
  <c r="AC20" i="2"/>
  <c r="I15" i="2" l="1"/>
  <c r="I23" i="2"/>
  <c r="W22" i="2"/>
  <c r="Y21" i="2"/>
  <c r="Y8" i="2"/>
  <c r="Y10" i="2" s="1"/>
  <c r="J13" i="2"/>
  <c r="Z18" i="2"/>
  <c r="AA17" i="2"/>
  <c r="AD20" i="2"/>
  <c r="J15" i="2" l="1"/>
  <c r="J23" i="2"/>
  <c r="W13" i="2"/>
  <c r="Y19" i="2"/>
  <c r="Z21" i="2"/>
  <c r="AB5" i="2"/>
  <c r="AB17" i="2"/>
  <c r="Z19" i="2"/>
  <c r="AA18" i="2"/>
  <c r="Y13" i="2"/>
  <c r="Y22" i="2"/>
  <c r="AE20" i="2"/>
  <c r="Y15" i="2" l="1"/>
  <c r="Y23" i="2"/>
  <c r="W15" i="2"/>
  <c r="W23" i="2"/>
  <c r="AA21" i="2"/>
  <c r="AA19" i="2"/>
  <c r="AB18" i="2"/>
  <c r="Z22" i="2"/>
  <c r="AB4" i="2"/>
  <c r="AC5" i="2"/>
  <c r="AC4" i="2" s="1"/>
  <c r="AC17" i="2"/>
  <c r="AF20" i="2"/>
  <c r="AB21" i="2" l="1"/>
  <c r="AB8" i="2"/>
  <c r="AB10" i="2" s="1"/>
  <c r="AB11" i="2" s="1"/>
  <c r="Z23" i="2"/>
  <c r="AD5" i="2"/>
  <c r="AD17" i="2"/>
  <c r="AC18" i="2"/>
  <c r="AA22" i="2"/>
  <c r="AB19" i="2" l="1"/>
  <c r="AC21" i="2"/>
  <c r="AC8" i="2"/>
  <c r="AC10" i="2" s="1"/>
  <c r="AC11" i="2" s="1"/>
  <c r="AD18" i="2"/>
  <c r="AB22" i="2"/>
  <c r="AD4" i="2"/>
  <c r="AE17" i="2"/>
  <c r="AE5" i="2"/>
  <c r="AE4" i="2" s="1"/>
  <c r="AC19" i="2" l="1"/>
  <c r="AA23" i="2"/>
  <c r="AG17" i="2"/>
  <c r="AG5" i="2"/>
  <c r="AG4" i="2" s="1"/>
  <c r="AD21" i="2"/>
  <c r="AE8" i="2"/>
  <c r="AD8" i="2"/>
  <c r="AD10" i="2" s="1"/>
  <c r="AD11" i="2" s="1"/>
  <c r="AB13" i="2"/>
  <c r="AF5" i="2"/>
  <c r="AF4" i="2" s="1"/>
  <c r="AF17" i="2"/>
  <c r="AE18" i="2"/>
  <c r="AC22" i="2"/>
  <c r="AB15" i="2" l="1"/>
  <c r="AB23" i="2"/>
  <c r="AD19" i="2"/>
  <c r="AG18" i="2"/>
  <c r="AH17" i="2"/>
  <c r="AH5" i="2"/>
  <c r="AH4" i="2" s="1"/>
  <c r="AE21" i="2"/>
  <c r="AE10" i="2"/>
  <c r="AE11" i="2" s="1"/>
  <c r="AE19" i="2"/>
  <c r="AD22" i="2"/>
  <c r="AC13" i="2"/>
  <c r="AC23" i="2" s="1"/>
  <c r="AF18" i="2"/>
  <c r="AF21" i="2" l="1"/>
  <c r="AC15" i="2"/>
  <c r="AH18" i="2"/>
  <c r="AI17" i="2"/>
  <c r="AI5" i="2"/>
  <c r="AI4" i="2" s="1"/>
  <c r="AF8" i="2"/>
  <c r="AF10" i="2" s="1"/>
  <c r="AF11" i="2" s="1"/>
  <c r="AD13" i="2"/>
  <c r="AE22" i="2"/>
  <c r="AD15" i="2" l="1"/>
  <c r="AD23" i="2"/>
  <c r="AG21" i="2"/>
  <c r="AG8" i="2"/>
  <c r="AJ17" i="2"/>
  <c r="AJ5" i="2"/>
  <c r="AJ4" i="2" s="1"/>
  <c r="AI18" i="2"/>
  <c r="AF19" i="2"/>
  <c r="AE13" i="2"/>
  <c r="AE23" i="2" s="1"/>
  <c r="AF22" i="2"/>
  <c r="AH21" i="2" l="1"/>
  <c r="AH8" i="2"/>
  <c r="AG10" i="2"/>
  <c r="AG11" i="2" s="1"/>
  <c r="AG19" i="2"/>
  <c r="AJ18" i="2"/>
  <c r="AK17" i="2"/>
  <c r="AK5" i="2"/>
  <c r="AE15" i="2"/>
  <c r="AF13" i="2"/>
  <c r="AF23" i="2" s="1"/>
  <c r="AG22" i="2" l="1"/>
  <c r="AH10" i="2"/>
  <c r="AH11" i="2" s="1"/>
  <c r="AH19" i="2"/>
  <c r="AI21" i="2"/>
  <c r="AI8" i="2"/>
  <c r="AK18" i="2"/>
  <c r="AK4" i="2"/>
  <c r="AF15" i="2"/>
  <c r="AI10" i="2" l="1"/>
  <c r="AI19" i="2"/>
  <c r="AJ21" i="2"/>
  <c r="AJ8" i="2"/>
  <c r="AH22" i="2"/>
  <c r="AG13" i="2"/>
  <c r="AI11" i="2" l="1"/>
  <c r="AI22" i="2" s="1"/>
  <c r="AG15" i="2"/>
  <c r="AG23" i="2"/>
  <c r="AH13" i="2"/>
  <c r="AK21" i="2"/>
  <c r="AK8" i="2"/>
  <c r="AJ10" i="2"/>
  <c r="AJ19" i="2"/>
  <c r="AI13" i="2" l="1"/>
  <c r="AI23" i="2" s="1"/>
  <c r="AJ11" i="2"/>
  <c r="AJ22" i="2" s="1"/>
  <c r="AH15" i="2"/>
  <c r="AH23" i="2"/>
  <c r="AK19" i="2"/>
  <c r="AK10" i="2"/>
  <c r="AK11" i="2" s="1"/>
  <c r="AI15" i="2" l="1"/>
  <c r="AJ13" i="2"/>
  <c r="AJ15" i="2" s="1"/>
  <c r="AK22" i="2"/>
  <c r="AJ23" i="2" l="1"/>
  <c r="AK13" i="2"/>
  <c r="AL13" i="2" l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FC13" i="2" s="1"/>
  <c r="FD13" i="2" s="1"/>
  <c r="FE13" i="2" s="1"/>
  <c r="FF13" i="2" s="1"/>
  <c r="FG13" i="2" s="1"/>
  <c r="AN21" i="2" s="1"/>
  <c r="AN23" i="2" s="1"/>
  <c r="AN24" i="2" s="1"/>
  <c r="AN26" i="2" s="1"/>
  <c r="AK23" i="2"/>
  <c r="AK15" i="2"/>
  <c r="X5" i="2" l="1"/>
  <c r="X8" i="2" s="1"/>
  <c r="X19" i="2" l="1"/>
  <c r="X10" i="2"/>
  <c r="X18" i="2"/>
  <c r="X22" i="2" l="1"/>
  <c r="X13" i="2" l="1"/>
  <c r="X15" i="2" l="1"/>
  <c r="X23" i="2"/>
</calcChain>
</file>

<file path=xl/sharedStrings.xml><?xml version="1.0" encoding="utf-8"?>
<sst xmlns="http://schemas.openxmlformats.org/spreadsheetml/2006/main" count="61" uniqueCount="56">
  <si>
    <t>KER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</si>
  <si>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</si>
  <si>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</si>
  <si>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</si>
  <si>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</si>
  <si>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</si>
  <si>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</si>
  <si>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</si>
  <si>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</si>
  <si>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</si>
  <si>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</si>
  <si>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H120</t>
  </si>
  <si>
    <t>Revenue</t>
  </si>
  <si>
    <t>H218</t>
  </si>
  <si>
    <t>H219</t>
  </si>
  <si>
    <t>H220</t>
  </si>
  <si>
    <t>H118</t>
  </si>
  <si>
    <t>H119</t>
  </si>
  <si>
    <t>Cost of sales</t>
  </si>
  <si>
    <t>Gross profit</t>
  </si>
  <si>
    <t>G&amp;A</t>
  </si>
  <si>
    <t>Other operating expense</t>
  </si>
  <si>
    <t>Operating profit</t>
  </si>
  <si>
    <t>Taxes</t>
  </si>
  <si>
    <t>MI</t>
  </si>
  <si>
    <t>Pretax profit</t>
  </si>
  <si>
    <t>Net profit</t>
  </si>
  <si>
    <t>EPS</t>
  </si>
  <si>
    <t>Net finance expense</t>
  </si>
  <si>
    <t>Revenue y/y</t>
  </si>
  <si>
    <t>Gross Margin</t>
  </si>
  <si>
    <t>Operating Margin</t>
  </si>
  <si>
    <t>G&amp;A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</si>
  <si>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</si>
  <si>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</si>
  <si>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</si>
  <si>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</si>
  <si>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</si>
  <si>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</si>
  <si>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</si>
  <si>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</si>
  <si>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</si>
  <si>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H121</t>
  </si>
  <si>
    <t>H221</t>
  </si>
  <si>
    <t>Operating y/y</t>
  </si>
  <si>
    <t>H123</t>
  </si>
  <si>
    <t>H122</t>
  </si>
  <si>
    <t>H222</t>
  </si>
  <si>
    <t>H223</t>
  </si>
  <si>
    <t>H124</t>
  </si>
  <si>
    <t>H224</t>
  </si>
  <si>
    <t>Net Margin</t>
  </si>
  <si>
    <t>revenue and cash flow analysis</t>
  </si>
  <si>
    <t>H225</t>
  </si>
  <si>
    <t>H125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</si>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</sst>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</xdr:colOff>
      <xdr:row>0</xdr:row>
      <xdr:rowOff>0</xdr:rowOff>
    </xdr:from>
    <xdr:to>
      <xdr:col>17</xdr:col>
      <xdr:colOff>30480</xdr:colOff>
      <xdr:row>34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A36965C-7993-413A-AEE4-8AB691E85D5D}"/>
            </a:ext>
          </a:extLst>
        </xdr:cNvPr>
        <xdr:cNvCxnSpPr/>
      </xdr:nvCxnSpPr>
      <xdr:spPr>
        <a:xfrm>
          <a:off x="11247120" y="0"/>
          <a:ext cx="0" cy="6309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22860</xdr:colOff>
      <xdr:row>0</xdr:row>
      <xdr:rowOff>0</xdr:rowOff>
    </xdr:from>
    <xdr:to>
      <xdr:col>26</xdr:col>
      <xdr:colOff>22860</xdr:colOff>
      <xdr:row>33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B431FDE-0F42-45E9-A525-9647D9777867}"/>
            </a:ext>
          </a:extLst>
        </xdr:cNvPr>
        <xdr:cNvCxnSpPr/>
      </xdr:nvCxnSpPr>
      <xdr:spPr>
        <a:xfrm>
          <a:off x="1672590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0100-7D26-4E44-8484-276DF7A2A000}">
  <dimension ref="B2:I13"/>
  <sheetViews>
    <sheetView workbookViewId="0">
      <selection activeCell="D7" sqref="D7"/>
    </sheetView>
  </sheetViews>
  <sheetFormatPr defaultRowHeight="14.4" x14ac:dyDescent="0.3"/>
  <cols>
    <col min="5" max="7" width="15.77734375" style="2" customWidth="1"/>
  </cols>
  <sheetData>
    <row r="2" spans="2:9" x14ac:dyDescent="0.3">
      <c r="E2" s="2" t="s">
        <v>8</v>
      </c>
      <c r="F2" s="2" t="s">
        <v>9</v>
      </c>
      <c r="G2" s="2" t="s">
        <v>10</v>
      </c>
    </row>
    <row r="3" spans="2:9" x14ac:dyDescent="0.3">
      <c r="B3" s="1" t="s">
        <v>0</v>
      </c>
      <c r="C3" t="s">
        <v>1</v>
      </c>
      <c r="D3" s="4">
        <v>301.2</v>
      </c>
      <c r="E3" s="3">
        <v>45965</v>
      </c>
      <c r="F3" s="3">
        <f ca="1">TODAY()</f>
        <v>45965</v>
      </c>
      <c r="G3" s="3">
        <v>46071</v>
      </c>
    </row>
    <row r="4" spans="2:9" x14ac:dyDescent="0.3">
      <c r="C4" t="s">
        <v>2</v>
      </c>
      <c r="D4" s="5">
        <v>122.6</v>
      </c>
      <c r="E4" s="2" t="s">
        <v>49</v>
      </c>
    </row>
    <row r="5" spans="2:9" x14ac:dyDescent="0.3">
      <c r="C5" t="s">
        <v>3</v>
      </c>
      <c r="D5" s="5">
        <f>D3*D4</f>
        <v>36927.119999999995</v>
      </c>
    </row>
    <row r="6" spans="2:9" x14ac:dyDescent="0.3">
      <c r="C6" t="s">
        <v>4</v>
      </c>
      <c r="D6" s="5">
        <f>3518+1762</f>
        <v>5280</v>
      </c>
      <c r="E6" s="2" t="s">
        <v>50</v>
      </c>
    </row>
    <row r="7" spans="2:9" x14ac:dyDescent="0.3">
      <c r="C7" t="s">
        <v>5</v>
      </c>
      <c r="D7" s="5">
        <f>10556+3479</f>
        <v>14035</v>
      </c>
      <c r="E7" s="2" t="s">
        <v>50</v>
      </c>
    </row>
    <row r="8" spans="2:9" x14ac:dyDescent="0.3">
      <c r="C8" t="s">
        <v>6</v>
      </c>
      <c r="D8" s="5">
        <f>D6-D7</f>
        <v>-8755</v>
      </c>
    </row>
    <row r="9" spans="2:9" x14ac:dyDescent="0.3">
      <c r="C9" t="s">
        <v>7</v>
      </c>
      <c r="D9" s="5">
        <f>D5-D8</f>
        <v>45682.119999999995</v>
      </c>
    </row>
    <row r="13" spans="2:9" x14ac:dyDescent="0.3">
      <c r="I1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7753-3B72-4E3D-B52F-0322DB1F11AE}">
  <dimension ref="B2:FG27"/>
  <sheetViews>
    <sheetView tabSelected="1" zoomScaleNormal="100" workbookViewId="0">
      <pane xSplit="2" ySplit="2" topLeftCell="AM3" activePane="bottomRight" state="frozen"/>
      <selection pane="topRight" activeCell="C1" sqref="C1"/>
      <selection pane="bottomLeft" activeCell="A3" sqref="A3"/>
      <selection pane="bottomRight" activeCell="AN28" sqref="AN28"/>
    </sheetView>
  </sheetViews>
  <sheetFormatPr defaultRowHeight="14.4" x14ac:dyDescent="0.3"/>
  <cols>
    <col min="2" max="2" width="21.33203125" bestFit="1" customWidth="1"/>
    <col min="39" max="39" width="11.88671875" bestFit="1" customWidth="1"/>
    <col min="40" max="40" width="17.33203125" bestFit="1" customWidth="1"/>
  </cols>
  <sheetData>
    <row r="2" spans="2:163" x14ac:dyDescent="0.3">
      <c r="C2" s="6" t="s">
        <v>16</v>
      </c>
      <c r="D2" s="6" t="s">
        <v>13</v>
      </c>
      <c r="E2" s="6" t="s">
        <v>17</v>
      </c>
      <c r="F2" s="6" t="s">
        <v>14</v>
      </c>
      <c r="G2" s="6" t="s">
        <v>11</v>
      </c>
      <c r="H2" s="6" t="s">
        <v>15</v>
      </c>
      <c r="I2" s="6" t="s">
        <v>42</v>
      </c>
      <c r="J2" s="6" t="s">
        <v>43</v>
      </c>
      <c r="K2" s="6" t="s">
        <v>46</v>
      </c>
      <c r="L2" s="6" t="s">
        <v>47</v>
      </c>
      <c r="M2" s="6" t="s">
        <v>45</v>
      </c>
      <c r="N2" s="6" t="s">
        <v>48</v>
      </c>
      <c r="O2" s="6" t="s">
        <v>49</v>
      </c>
      <c r="P2" s="6" t="s">
        <v>50</v>
      </c>
      <c r="Q2" s="6" t="s">
        <v>54</v>
      </c>
      <c r="R2" s="6" t="s">
        <v>53</v>
      </c>
      <c r="T2">
        <v>2018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v>2025</v>
      </c>
      <c r="AB2">
        <v>2026</v>
      </c>
      <c r="AC2">
        <v>2027</v>
      </c>
      <c r="AD2">
        <v>2028</v>
      </c>
      <c r="AE2">
        <v>2029</v>
      </c>
      <c r="AF2">
        <v>2030</v>
      </c>
      <c r="AG2">
        <v>2031</v>
      </c>
      <c r="AH2">
        <v>2032</v>
      </c>
      <c r="AI2">
        <v>2033</v>
      </c>
      <c r="AJ2">
        <v>2034</v>
      </c>
      <c r="AK2">
        <v>2035</v>
      </c>
    </row>
    <row r="3" spans="2:163" s="1" customFormat="1" x14ac:dyDescent="0.3">
      <c r="B3" s="1" t="s">
        <v>12</v>
      </c>
      <c r="C3" s="9">
        <v>6431.9</v>
      </c>
      <c r="D3" s="9">
        <f>T3-C3</f>
        <v>7233.3000000000011</v>
      </c>
      <c r="E3" s="9">
        <v>7638.4</v>
      </c>
      <c r="F3" s="9">
        <f>U3-E3</f>
        <v>8245.1</v>
      </c>
      <c r="G3" s="9">
        <v>5378.3</v>
      </c>
      <c r="H3" s="9">
        <f>13100.2-G3</f>
        <v>7721.9000000000005</v>
      </c>
      <c r="I3" s="9">
        <v>8047.2</v>
      </c>
      <c r="J3" s="9">
        <f>W3-I3</f>
        <v>9597.7999999999993</v>
      </c>
      <c r="K3" s="9">
        <v>9930</v>
      </c>
      <c r="L3" s="9">
        <f>X3-K3</f>
        <v>10421</v>
      </c>
      <c r="M3" s="9">
        <v>10135</v>
      </c>
      <c r="N3" s="9">
        <f>Y3-M3</f>
        <v>9431</v>
      </c>
      <c r="O3" s="9">
        <v>9018</v>
      </c>
      <c r="P3" s="9">
        <f>Z3-O3</f>
        <v>8176</v>
      </c>
      <c r="Q3" s="9">
        <v>7587</v>
      </c>
      <c r="R3" s="9"/>
      <c r="T3" s="9">
        <v>13665.2</v>
      </c>
      <c r="U3" s="9">
        <v>15883.5</v>
      </c>
      <c r="V3" s="9">
        <f>SUM(G3:H3)</f>
        <v>13100.2</v>
      </c>
      <c r="W3" s="9">
        <v>17645</v>
      </c>
      <c r="X3" s="9">
        <v>20351</v>
      </c>
      <c r="Y3" s="9">
        <v>19566</v>
      </c>
      <c r="Z3" s="9">
        <v>17194</v>
      </c>
      <c r="AA3" s="9">
        <f>Z3*0.95</f>
        <v>16334.3</v>
      </c>
      <c r="AB3" s="9">
        <f>AA3*1.05</f>
        <v>17151.014999999999</v>
      </c>
      <c r="AC3" s="9">
        <f>AB3*1.04</f>
        <v>17837.0556</v>
      </c>
      <c r="AD3" s="9">
        <f>AC3*1.03</f>
        <v>18372.167268000001</v>
      </c>
      <c r="AE3" s="9">
        <f>AD3*1.02</f>
        <v>18739.610613360001</v>
      </c>
      <c r="AF3" s="9">
        <f t="shared" ref="AF3:AK3" si="0">AE3*1.02</f>
        <v>19114.402825627199</v>
      </c>
      <c r="AG3" s="9">
        <f t="shared" si="0"/>
        <v>19496.690882139745</v>
      </c>
      <c r="AH3" s="9">
        <f t="shared" si="0"/>
        <v>19886.62469978254</v>
      </c>
      <c r="AI3" s="9">
        <f t="shared" si="0"/>
        <v>20284.357193778193</v>
      </c>
      <c r="AJ3" s="9">
        <f t="shared" si="0"/>
        <v>20690.044337653755</v>
      </c>
      <c r="AK3" s="9">
        <f t="shared" si="0"/>
        <v>21103.845224406832</v>
      </c>
    </row>
    <row r="4" spans="2:163" x14ac:dyDescent="0.3">
      <c r="B4" t="s">
        <v>18</v>
      </c>
      <c r="C4" s="5">
        <v>1655.9</v>
      </c>
      <c r="D4" s="5">
        <f>T4-C4</f>
        <v>1811.1</v>
      </c>
      <c r="E4" s="5">
        <v>1986.3</v>
      </c>
      <c r="F4" s="5">
        <f>U4-E4</f>
        <v>2122.1999999999998</v>
      </c>
      <c r="G4" s="5">
        <v>1474.8</v>
      </c>
      <c r="H4" s="5">
        <f>3590.2-G4</f>
        <v>2115.3999999999996</v>
      </c>
      <c r="I4" s="5">
        <v>2104.6</v>
      </c>
      <c r="J4" s="5">
        <f>W4-I4</f>
        <v>2472.4</v>
      </c>
      <c r="K4" s="5">
        <v>2552</v>
      </c>
      <c r="L4" s="5">
        <f>X4-K4</f>
        <v>2601</v>
      </c>
      <c r="M4" s="5">
        <v>2405</v>
      </c>
      <c r="N4" s="5">
        <f>Y4-M4</f>
        <v>2234</v>
      </c>
      <c r="O4" s="5">
        <v>2310</v>
      </c>
      <c r="P4" s="5">
        <f>Z4-O4</f>
        <v>2203</v>
      </c>
      <c r="Q4" s="5"/>
      <c r="R4" s="5"/>
      <c r="T4" s="5">
        <v>3467</v>
      </c>
      <c r="U4" s="5">
        <v>4108.5</v>
      </c>
      <c r="V4" s="5">
        <f>SUM(G4:H4)</f>
        <v>3590.2</v>
      </c>
      <c r="W4" s="5">
        <v>4577</v>
      </c>
      <c r="X4" s="5">
        <v>5153</v>
      </c>
      <c r="Y4" s="5">
        <v>4639</v>
      </c>
      <c r="Z4" s="5">
        <v>4513</v>
      </c>
      <c r="AA4" s="5">
        <f t="shared" ref="AA4:AF4" si="1">AA3-AA5</f>
        <v>4246.9179999999997</v>
      </c>
      <c r="AB4" s="5">
        <f t="shared" si="1"/>
        <v>4459.2638999999999</v>
      </c>
      <c r="AC4" s="5">
        <f t="shared" si="1"/>
        <v>4637.6344559999998</v>
      </c>
      <c r="AD4" s="5">
        <f t="shared" si="1"/>
        <v>4776.7634896800009</v>
      </c>
      <c r="AE4" s="5">
        <f t="shared" si="1"/>
        <v>4872.2987594736005</v>
      </c>
      <c r="AF4" s="5">
        <f t="shared" si="1"/>
        <v>4969.7447346630724</v>
      </c>
      <c r="AG4" s="5">
        <f t="shared" ref="AG4:AK4" si="2">AG3-AG5</f>
        <v>5069.1396293563339</v>
      </c>
      <c r="AH4" s="5">
        <f t="shared" si="2"/>
        <v>5170.5224219434604</v>
      </c>
      <c r="AI4" s="5">
        <f t="shared" si="2"/>
        <v>5273.9328703823303</v>
      </c>
      <c r="AJ4" s="5">
        <f t="shared" si="2"/>
        <v>5379.4115277899764</v>
      </c>
      <c r="AK4" s="5">
        <f t="shared" si="2"/>
        <v>5486.9997583457771</v>
      </c>
    </row>
    <row r="5" spans="2:163" s="1" customFormat="1" x14ac:dyDescent="0.3">
      <c r="B5" s="1" t="s">
        <v>19</v>
      </c>
      <c r="C5" s="9">
        <f t="shared" ref="C5:J5" si="3">C3-C4</f>
        <v>4776</v>
      </c>
      <c r="D5" s="9">
        <f t="shared" si="3"/>
        <v>5422.2000000000007</v>
      </c>
      <c r="E5" s="9">
        <f t="shared" si="3"/>
        <v>5652.0999999999995</v>
      </c>
      <c r="F5" s="9">
        <f t="shared" si="3"/>
        <v>6122.9000000000005</v>
      </c>
      <c r="G5" s="9">
        <f t="shared" si="3"/>
        <v>3903.5</v>
      </c>
      <c r="H5" s="9">
        <f t="shared" si="3"/>
        <v>5606.5000000000009</v>
      </c>
      <c r="I5" s="9">
        <f t="shared" si="3"/>
        <v>5942.6</v>
      </c>
      <c r="J5" s="9">
        <f t="shared" si="3"/>
        <v>7125.4</v>
      </c>
      <c r="K5" s="9">
        <f t="shared" ref="K5" si="4">K3-K4</f>
        <v>7378</v>
      </c>
      <c r="L5" s="9">
        <f t="shared" ref="L5:N5" si="5">L3-L4</f>
        <v>7820</v>
      </c>
      <c r="M5" s="9">
        <f t="shared" ref="M5:O5" si="6">M3-M4</f>
        <v>7730</v>
      </c>
      <c r="N5" s="9">
        <f t="shared" si="5"/>
        <v>7197</v>
      </c>
      <c r="O5" s="9">
        <f t="shared" si="6"/>
        <v>6708</v>
      </c>
      <c r="P5" s="9">
        <f>P3*0.73</f>
        <v>5968.48</v>
      </c>
      <c r="Q5" s="9"/>
      <c r="R5" s="9"/>
      <c r="T5" s="9">
        <f>T3-T4</f>
        <v>10198.200000000001</v>
      </c>
      <c r="U5" s="9">
        <f>U3-U4</f>
        <v>11775</v>
      </c>
      <c r="V5" s="9">
        <f>V3-V4</f>
        <v>9510</v>
      </c>
      <c r="W5" s="9">
        <f>W3-W4</f>
        <v>13068</v>
      </c>
      <c r="X5" s="9">
        <f t="shared" ref="X5:Z5" si="7">X3-X4</f>
        <v>15198</v>
      </c>
      <c r="Y5" s="9">
        <f t="shared" si="7"/>
        <v>14927</v>
      </c>
      <c r="Z5" s="9">
        <f t="shared" si="7"/>
        <v>12681</v>
      </c>
      <c r="AA5" s="9">
        <f t="shared" ref="AA5:AF5" si="8">AA3*0.74</f>
        <v>12087.382</v>
      </c>
      <c r="AB5" s="9">
        <f t="shared" si="8"/>
        <v>12691.751099999999</v>
      </c>
      <c r="AC5" s="9">
        <f t="shared" si="8"/>
        <v>13199.421144</v>
      </c>
      <c r="AD5" s="9">
        <f t="shared" si="8"/>
        <v>13595.40377832</v>
      </c>
      <c r="AE5" s="9">
        <f t="shared" si="8"/>
        <v>13867.3118538864</v>
      </c>
      <c r="AF5" s="9">
        <f t="shared" si="8"/>
        <v>14144.658090964127</v>
      </c>
      <c r="AG5" s="9">
        <f t="shared" ref="AG5:AK5" si="9">AG3*0.74</f>
        <v>14427.551252783411</v>
      </c>
      <c r="AH5" s="9">
        <f t="shared" si="9"/>
        <v>14716.10227783908</v>
      </c>
      <c r="AI5" s="9">
        <f t="shared" si="9"/>
        <v>15010.424323395862</v>
      </c>
      <c r="AJ5" s="9">
        <f t="shared" si="9"/>
        <v>15310.632809863779</v>
      </c>
      <c r="AK5" s="9">
        <f t="shared" si="9"/>
        <v>15616.845466061055</v>
      </c>
    </row>
    <row r="6" spans="2:163" x14ac:dyDescent="0.3">
      <c r="B6" t="s">
        <v>20</v>
      </c>
      <c r="C6" s="5">
        <v>1012.7</v>
      </c>
      <c r="D6" s="5">
        <f>T6-C6</f>
        <v>1067.7</v>
      </c>
      <c r="E6" s="5">
        <v>1140.5</v>
      </c>
      <c r="F6" s="5">
        <f>U6-E6</f>
        <v>1150.3000000000002</v>
      </c>
      <c r="G6" s="5">
        <v>1026.7</v>
      </c>
      <c r="H6" s="5">
        <f>2070-G6</f>
        <v>1043.3</v>
      </c>
      <c r="I6" s="5">
        <v>1162.5</v>
      </c>
      <c r="J6" s="5">
        <f>W6-I6</f>
        <v>1281.5</v>
      </c>
      <c r="K6" s="5">
        <v>1376</v>
      </c>
      <c r="L6" s="5">
        <f>X6-K6</f>
        <v>1454</v>
      </c>
      <c r="M6" s="5">
        <v>1505</v>
      </c>
      <c r="N6" s="5">
        <f>Y6-M6</f>
        <v>1477</v>
      </c>
      <c r="O6" s="5">
        <v>1547</v>
      </c>
      <c r="P6" s="5">
        <f t="shared" ref="P6:P7" si="10">Z6-O6</f>
        <v>1470</v>
      </c>
      <c r="Q6" s="5"/>
      <c r="R6" s="5"/>
      <c r="T6" s="5">
        <v>2080.4</v>
      </c>
      <c r="U6" s="5">
        <v>2290.8000000000002</v>
      </c>
      <c r="V6" s="5">
        <f>SUM(G6:H6)</f>
        <v>2070</v>
      </c>
      <c r="W6" s="5">
        <v>2444</v>
      </c>
      <c r="X6" s="5">
        <v>2830</v>
      </c>
      <c r="Y6" s="5">
        <v>2982</v>
      </c>
      <c r="Z6" s="5">
        <v>3017</v>
      </c>
      <c r="AA6" s="5">
        <f>Z6*0.95</f>
        <v>2866.15</v>
      </c>
      <c r="AB6" s="5">
        <f t="shared" ref="AB6:AK6" si="11">AA6*1.02</f>
        <v>2923.473</v>
      </c>
      <c r="AC6" s="5">
        <f t="shared" si="11"/>
        <v>2981.9424600000002</v>
      </c>
      <c r="AD6" s="5">
        <f t="shared" si="11"/>
        <v>3041.5813092000003</v>
      </c>
      <c r="AE6" s="5">
        <f t="shared" si="11"/>
        <v>3102.4129353840003</v>
      </c>
      <c r="AF6" s="5">
        <f t="shared" si="11"/>
        <v>3164.4611940916802</v>
      </c>
      <c r="AG6" s="5">
        <f t="shared" si="11"/>
        <v>3227.7504179735138</v>
      </c>
      <c r="AH6" s="5">
        <f t="shared" si="11"/>
        <v>3292.3054263329841</v>
      </c>
      <c r="AI6" s="5">
        <f t="shared" si="11"/>
        <v>3358.151534859644</v>
      </c>
      <c r="AJ6" s="5">
        <f t="shared" si="11"/>
        <v>3425.3145655568369</v>
      </c>
      <c r="AK6" s="5">
        <f t="shared" si="11"/>
        <v>3493.8208568679738</v>
      </c>
    </row>
    <row r="7" spans="2:163" x14ac:dyDescent="0.3">
      <c r="B7" t="s">
        <v>21</v>
      </c>
      <c r="C7" s="5">
        <f>1991.7+39.6</f>
        <v>2031.3</v>
      </c>
      <c r="D7" s="5">
        <f>T7-C7</f>
        <v>2365.0999999999995</v>
      </c>
      <c r="E7" s="5">
        <f>2258.9+42.2</f>
        <v>2301.1</v>
      </c>
      <c r="F7" s="5">
        <f>U7-E7</f>
        <v>2573.2999999999997</v>
      </c>
      <c r="G7" s="5">
        <f>1924.4+319.6</f>
        <v>2244</v>
      </c>
      <c r="H7" s="5">
        <f>4304.4-G7</f>
        <v>2060.3999999999996</v>
      </c>
      <c r="I7" s="5">
        <v>2543.1</v>
      </c>
      <c r="J7" s="5">
        <f>W7-I7</f>
        <v>3063.9</v>
      </c>
      <c r="K7" s="5">
        <v>3182</v>
      </c>
      <c r="L7" s="5">
        <f>X7-K7</f>
        <v>3597</v>
      </c>
      <c r="M7" s="5">
        <v>3486</v>
      </c>
      <c r="N7" s="5">
        <f>Y7-M7</f>
        <v>3713</v>
      </c>
      <c r="O7" s="5">
        <v>3579</v>
      </c>
      <c r="P7" s="5">
        <f t="shared" si="10"/>
        <v>3531</v>
      </c>
      <c r="Q7" s="5"/>
      <c r="R7" s="5"/>
      <c r="T7" s="5">
        <f>4174+222.4</f>
        <v>4396.3999999999996</v>
      </c>
      <c r="U7" s="5">
        <f>4705.9+168.5</f>
        <v>4874.3999999999996</v>
      </c>
      <c r="V7" s="5">
        <f>SUM(G7:H7)</f>
        <v>4304.3999999999996</v>
      </c>
      <c r="W7" s="5">
        <v>5607</v>
      </c>
      <c r="X7" s="5">
        <v>6779</v>
      </c>
      <c r="Y7" s="5">
        <v>7199</v>
      </c>
      <c r="Z7" s="5">
        <v>7110</v>
      </c>
      <c r="AA7" s="5">
        <f>Z7*0.95</f>
        <v>6754.5</v>
      </c>
      <c r="AB7" s="5">
        <f t="shared" ref="AB7:AE7" si="12">AA7*1.02</f>
        <v>6889.59</v>
      </c>
      <c r="AC7" s="5">
        <f t="shared" si="12"/>
        <v>7027.3818000000001</v>
      </c>
      <c r="AD7" s="5">
        <f t="shared" si="12"/>
        <v>7167.9294360000004</v>
      </c>
      <c r="AE7" s="5">
        <f t="shared" si="12"/>
        <v>7311.2880247200001</v>
      </c>
      <c r="AF7" s="5">
        <f>AE7*1.01</f>
        <v>7384.4009049672004</v>
      </c>
      <c r="AG7" s="5">
        <f t="shared" ref="AG7:AK7" si="13">AF7*1.01</f>
        <v>7458.2449140168728</v>
      </c>
      <c r="AH7" s="5">
        <f t="shared" si="13"/>
        <v>7532.8273631570419</v>
      </c>
      <c r="AI7" s="5">
        <f t="shared" si="13"/>
        <v>7608.1556367886124</v>
      </c>
      <c r="AJ7" s="5">
        <f t="shared" si="13"/>
        <v>7684.2371931564985</v>
      </c>
      <c r="AK7" s="5">
        <f t="shared" si="13"/>
        <v>7761.0795650880636</v>
      </c>
    </row>
    <row r="8" spans="2:163" s="1" customFormat="1" x14ac:dyDescent="0.3">
      <c r="B8" s="1" t="s">
        <v>22</v>
      </c>
      <c r="C8" s="9">
        <f t="shared" ref="C8:K8" si="14">C5-C6-C7</f>
        <v>1732.0000000000002</v>
      </c>
      <c r="D8" s="9">
        <f t="shared" si="14"/>
        <v>1989.4000000000015</v>
      </c>
      <c r="E8" s="9">
        <f t="shared" si="14"/>
        <v>2210.4999999999995</v>
      </c>
      <c r="F8" s="9">
        <f t="shared" si="14"/>
        <v>2399.3000000000006</v>
      </c>
      <c r="G8" s="9">
        <f t="shared" si="14"/>
        <v>632.80000000000018</v>
      </c>
      <c r="H8" s="9">
        <f t="shared" si="14"/>
        <v>2502.8000000000011</v>
      </c>
      <c r="I8" s="9">
        <f t="shared" si="14"/>
        <v>2237.0000000000005</v>
      </c>
      <c r="J8" s="9">
        <f t="shared" si="14"/>
        <v>2779.9999999999995</v>
      </c>
      <c r="K8" s="9">
        <f t="shared" si="14"/>
        <v>2820</v>
      </c>
      <c r="L8" s="9">
        <f t="shared" ref="L8:N8" si="15">L5-L6-L7</f>
        <v>2769</v>
      </c>
      <c r="M8" s="9">
        <f t="shared" ref="M8:P8" si="16">M5-M6-M7</f>
        <v>2739</v>
      </c>
      <c r="N8" s="9">
        <f t="shared" si="15"/>
        <v>2007</v>
      </c>
      <c r="O8" s="9">
        <f t="shared" si="16"/>
        <v>1582</v>
      </c>
      <c r="P8" s="9">
        <f t="shared" si="16"/>
        <v>967.47999999999956</v>
      </c>
      <c r="Q8" s="9"/>
      <c r="R8" s="9"/>
      <c r="T8" s="9">
        <f>T5-T6-T7</f>
        <v>3721.4000000000015</v>
      </c>
      <c r="U8" s="9">
        <f>U5-U6-U7</f>
        <v>4609.8000000000011</v>
      </c>
      <c r="V8" s="9">
        <f>V5-V6-V7</f>
        <v>3135.6000000000004</v>
      </c>
      <c r="W8" s="9">
        <f t="shared" ref="W8:AF8" si="17">W5-W6-W7</f>
        <v>5017</v>
      </c>
      <c r="X8" s="9">
        <f t="shared" si="17"/>
        <v>5589</v>
      </c>
      <c r="Y8" s="9">
        <f t="shared" si="17"/>
        <v>4746</v>
      </c>
      <c r="Z8" s="9">
        <f t="shared" si="17"/>
        <v>2554</v>
      </c>
      <c r="AA8" s="9">
        <f t="shared" si="17"/>
        <v>2466.732</v>
      </c>
      <c r="AB8" s="9">
        <f t="shared" si="17"/>
        <v>2878.6880999999994</v>
      </c>
      <c r="AC8" s="9">
        <f t="shared" si="17"/>
        <v>3190.0968839999996</v>
      </c>
      <c r="AD8" s="9">
        <f t="shared" si="17"/>
        <v>3385.893033119999</v>
      </c>
      <c r="AE8" s="9">
        <f t="shared" si="17"/>
        <v>3453.6108937824001</v>
      </c>
      <c r="AF8" s="9">
        <f t="shared" si="17"/>
        <v>3595.7959919052464</v>
      </c>
      <c r="AG8" s="9">
        <f t="shared" ref="AG8:AK8" si="18">AG5-AG6-AG7</f>
        <v>3741.5559207930246</v>
      </c>
      <c r="AH8" s="9">
        <f t="shared" si="18"/>
        <v>3890.9694883490547</v>
      </c>
      <c r="AI8" s="9">
        <f t="shared" si="18"/>
        <v>4044.1171517476059</v>
      </c>
      <c r="AJ8" s="9">
        <f t="shared" si="18"/>
        <v>4201.0810511504433</v>
      </c>
      <c r="AK8" s="9">
        <f t="shared" si="18"/>
        <v>4361.9450441050185</v>
      </c>
    </row>
    <row r="9" spans="2:163" x14ac:dyDescent="0.3">
      <c r="B9" t="s">
        <v>28</v>
      </c>
      <c r="C9" s="5">
        <v>97.1</v>
      </c>
      <c r="D9" s="5">
        <f>T9-C9</f>
        <v>110.20000000000002</v>
      </c>
      <c r="E9" s="5">
        <v>133.69999999999999</v>
      </c>
      <c r="F9" s="5">
        <f>U9-E9</f>
        <v>175.8</v>
      </c>
      <c r="G9" s="5">
        <v>144.9</v>
      </c>
      <c r="H9" s="5">
        <f>341.7-G9-163</f>
        <v>33.799999999999983</v>
      </c>
      <c r="I9" s="5">
        <f>17.3+125.6</f>
        <v>142.9</v>
      </c>
      <c r="J9" s="5">
        <f>W9-I9</f>
        <v>350.1</v>
      </c>
      <c r="K9" s="5">
        <f>13+19</f>
        <v>32</v>
      </c>
      <c r="L9" s="5">
        <f>X9-K9</f>
        <v>422</v>
      </c>
      <c r="M9" s="5">
        <v>204</v>
      </c>
      <c r="N9" s="5">
        <f>Y9-M9</f>
        <v>309</v>
      </c>
      <c r="O9" s="5">
        <f>13+288</f>
        <v>301</v>
      </c>
      <c r="P9" s="5">
        <f>Z9-O9</f>
        <v>555</v>
      </c>
      <c r="Q9" s="5"/>
      <c r="R9" s="5"/>
      <c r="T9" s="5">
        <v>207.3</v>
      </c>
      <c r="U9" s="5">
        <v>309.5</v>
      </c>
      <c r="V9" s="5">
        <f>SUM(G9:H9)</f>
        <v>178.7</v>
      </c>
      <c r="W9" s="5">
        <f>220+273</f>
        <v>493</v>
      </c>
      <c r="X9" s="5">
        <f>194+260</f>
        <v>454</v>
      </c>
      <c r="Y9" s="5">
        <f>103+410</f>
        <v>513</v>
      </c>
      <c r="Z9" s="5">
        <f>242+614</f>
        <v>856</v>
      </c>
      <c r="AA9" s="5">
        <f>Z9*1.01</f>
        <v>864.56000000000006</v>
      </c>
      <c r="AB9" s="5">
        <f t="shared" ref="AB9:AK9" si="19">AA9*1.01</f>
        <v>873.20560000000012</v>
      </c>
      <c r="AC9" s="5">
        <f t="shared" si="19"/>
        <v>881.93765600000017</v>
      </c>
      <c r="AD9" s="5">
        <f t="shared" si="19"/>
        <v>890.7570325600002</v>
      </c>
      <c r="AE9" s="5">
        <f t="shared" si="19"/>
        <v>899.66460288560017</v>
      </c>
      <c r="AF9" s="5">
        <f t="shared" si="19"/>
        <v>908.66124891445622</v>
      </c>
      <c r="AG9" s="5">
        <f t="shared" si="19"/>
        <v>917.74786140360084</v>
      </c>
      <c r="AH9" s="5">
        <f t="shared" si="19"/>
        <v>926.92534001763681</v>
      </c>
      <c r="AI9" s="5">
        <f t="shared" si="19"/>
        <v>936.19459341781317</v>
      </c>
      <c r="AJ9" s="5">
        <f t="shared" si="19"/>
        <v>945.55653935199132</v>
      </c>
      <c r="AK9" s="5">
        <f t="shared" si="19"/>
        <v>955.01210474551124</v>
      </c>
    </row>
    <row r="10" spans="2:163" s="1" customFormat="1" x14ac:dyDescent="0.3">
      <c r="B10" s="1" t="s">
        <v>25</v>
      </c>
      <c r="C10" s="9">
        <f t="shared" ref="C10:K10" si="20">C8-C9</f>
        <v>1634.9000000000003</v>
      </c>
      <c r="D10" s="9">
        <f t="shared" si="20"/>
        <v>1879.2000000000014</v>
      </c>
      <c r="E10" s="9">
        <f t="shared" si="20"/>
        <v>2076.7999999999997</v>
      </c>
      <c r="F10" s="9">
        <f t="shared" si="20"/>
        <v>2223.5000000000005</v>
      </c>
      <c r="G10" s="9">
        <f t="shared" si="20"/>
        <v>487.9000000000002</v>
      </c>
      <c r="H10" s="9">
        <f t="shared" si="20"/>
        <v>2469.0000000000009</v>
      </c>
      <c r="I10" s="9">
        <f t="shared" si="20"/>
        <v>2094.1000000000004</v>
      </c>
      <c r="J10" s="9">
        <f t="shared" si="20"/>
        <v>2429.8999999999996</v>
      </c>
      <c r="K10" s="9">
        <f t="shared" si="20"/>
        <v>2788</v>
      </c>
      <c r="L10" s="9">
        <f t="shared" ref="L10:N10" si="21">L8-L9</f>
        <v>2347</v>
      </c>
      <c r="M10" s="9">
        <f t="shared" ref="M10:P10" si="22">M8-M9</f>
        <v>2535</v>
      </c>
      <c r="N10" s="9">
        <f t="shared" si="21"/>
        <v>1698</v>
      </c>
      <c r="O10" s="9">
        <f t="shared" si="22"/>
        <v>1281</v>
      </c>
      <c r="P10" s="9">
        <f t="shared" si="22"/>
        <v>412.47999999999956</v>
      </c>
      <c r="Q10" s="9"/>
      <c r="R10" s="9"/>
      <c r="T10" s="9">
        <f>T8-T9</f>
        <v>3514.1000000000013</v>
      </c>
      <c r="U10" s="9">
        <f>U8-U9</f>
        <v>4300.3000000000011</v>
      </c>
      <c r="V10" s="9">
        <f>V8-V9</f>
        <v>2956.9000000000005</v>
      </c>
      <c r="W10" s="9">
        <f t="shared" ref="W10:AF10" si="23">W8-W9</f>
        <v>4524</v>
      </c>
      <c r="X10" s="9">
        <f t="shared" si="23"/>
        <v>5135</v>
      </c>
      <c r="Y10" s="9">
        <f t="shared" si="23"/>
        <v>4233</v>
      </c>
      <c r="Z10" s="9">
        <f t="shared" si="23"/>
        <v>1698</v>
      </c>
      <c r="AA10" s="9">
        <f t="shared" si="23"/>
        <v>1602.172</v>
      </c>
      <c r="AB10" s="9">
        <f t="shared" si="23"/>
        <v>2005.4824999999992</v>
      </c>
      <c r="AC10" s="9">
        <f t="shared" si="23"/>
        <v>2308.1592279999995</v>
      </c>
      <c r="AD10" s="9">
        <f t="shared" si="23"/>
        <v>2495.136000559999</v>
      </c>
      <c r="AE10" s="9">
        <f t="shared" si="23"/>
        <v>2553.9462908967998</v>
      </c>
      <c r="AF10" s="9">
        <f t="shared" si="23"/>
        <v>2687.1347429907901</v>
      </c>
      <c r="AG10" s="9">
        <f t="shared" ref="AG10:AK10" si="24">AG8-AG9</f>
        <v>2823.8080593894238</v>
      </c>
      <c r="AH10" s="9">
        <f t="shared" si="24"/>
        <v>2964.044148331418</v>
      </c>
      <c r="AI10" s="9">
        <f t="shared" si="24"/>
        <v>3107.922558329793</v>
      </c>
      <c r="AJ10" s="9">
        <f t="shared" si="24"/>
        <v>3255.5245117984518</v>
      </c>
      <c r="AK10" s="9">
        <f t="shared" si="24"/>
        <v>3406.9329393595071</v>
      </c>
    </row>
    <row r="11" spans="2:163" x14ac:dyDescent="0.3">
      <c r="B11" t="s">
        <v>23</v>
      </c>
      <c r="C11" s="5">
        <v>385</v>
      </c>
      <c r="D11" s="5">
        <f>T11-C11</f>
        <v>482.70000000000005</v>
      </c>
      <c r="E11" s="5">
        <v>1449.4</v>
      </c>
      <c r="F11" s="5">
        <f>U11-E11</f>
        <v>684.29999999999973</v>
      </c>
      <c r="G11" s="5">
        <v>193.7</v>
      </c>
      <c r="H11" s="5">
        <f>759.2-G11</f>
        <v>565.5</v>
      </c>
      <c r="I11" s="5">
        <v>594.6</v>
      </c>
      <c r="J11" s="5">
        <f>W11-I11</f>
        <v>685.4</v>
      </c>
      <c r="K11" s="5">
        <v>747</v>
      </c>
      <c r="L11" s="5">
        <f>X11-K11</f>
        <v>673</v>
      </c>
      <c r="M11" s="5">
        <v>692</v>
      </c>
      <c r="N11" s="5">
        <f>Y11-M11</f>
        <v>471</v>
      </c>
      <c r="O11" s="5">
        <v>345</v>
      </c>
      <c r="P11" s="5">
        <f t="shared" ref="P11:P12" si="25">Z11-O11</f>
        <v>116</v>
      </c>
      <c r="Q11" s="5"/>
      <c r="R11" s="5"/>
      <c r="T11" s="5">
        <v>867.7</v>
      </c>
      <c r="U11" s="5">
        <v>2133.6999999999998</v>
      </c>
      <c r="V11" s="5">
        <f>SUM(G11:H11)</f>
        <v>759.2</v>
      </c>
      <c r="W11" s="5">
        <v>1280</v>
      </c>
      <c r="X11" s="5">
        <v>1420</v>
      </c>
      <c r="Y11" s="5">
        <v>1163</v>
      </c>
      <c r="Z11" s="5">
        <v>461</v>
      </c>
      <c r="AA11" s="5">
        <f>AA10*0.26</f>
        <v>416.56472000000002</v>
      </c>
      <c r="AB11" s="5">
        <f t="shared" ref="AB11:AK11" si="26">AB10*0.26</f>
        <v>521.42544999999984</v>
      </c>
      <c r="AC11" s="5">
        <f t="shared" si="26"/>
        <v>600.12139927999988</v>
      </c>
      <c r="AD11" s="5">
        <f t="shared" si="26"/>
        <v>648.73536014559977</v>
      </c>
      <c r="AE11" s="5">
        <f t="shared" si="26"/>
        <v>664.02603563316802</v>
      </c>
      <c r="AF11" s="5">
        <f t="shared" si="26"/>
        <v>698.65503317760545</v>
      </c>
      <c r="AG11" s="5">
        <f t="shared" si="26"/>
        <v>734.19009544125015</v>
      </c>
      <c r="AH11" s="5">
        <f t="shared" si="26"/>
        <v>770.65147856616875</v>
      </c>
      <c r="AI11" s="5">
        <f t="shared" si="26"/>
        <v>808.05986516574626</v>
      </c>
      <c r="AJ11" s="5">
        <f t="shared" si="26"/>
        <v>846.43637306759751</v>
      </c>
      <c r="AK11" s="5">
        <f t="shared" si="26"/>
        <v>885.80256423347191</v>
      </c>
    </row>
    <row r="12" spans="2:163" x14ac:dyDescent="0.3">
      <c r="B12" t="s">
        <v>24</v>
      </c>
      <c r="C12" s="5">
        <f>3+18.3</f>
        <v>21.3</v>
      </c>
      <c r="D12" s="5">
        <f>T12-C12</f>
        <v>-5.5000000000000018</v>
      </c>
      <c r="E12" s="5">
        <f>-20.7+24.7</f>
        <v>4</v>
      </c>
      <c r="F12" s="5">
        <f>U12-E12</f>
        <v>-4.2999999999999972</v>
      </c>
      <c r="G12" s="5">
        <f>7.8+2.6</f>
        <v>10.4</v>
      </c>
      <c r="H12" s="5">
        <f>29.5+7.6-G12</f>
        <v>26.700000000000003</v>
      </c>
      <c r="I12" s="5">
        <v>-0.9</v>
      </c>
      <c r="J12" s="5">
        <f>W12-I12</f>
        <v>-9.9999999999999978E-2</v>
      </c>
      <c r="K12" s="5">
        <v>-2</v>
      </c>
      <c r="L12" s="5">
        <f>X12-K12</f>
        <v>0</v>
      </c>
      <c r="M12" s="5">
        <v>-3</v>
      </c>
      <c r="N12" s="5">
        <f>Y12-M12</f>
        <v>-1</v>
      </c>
      <c r="O12" s="5">
        <v>-4</v>
      </c>
      <c r="P12" s="5">
        <f t="shared" si="25"/>
        <v>108</v>
      </c>
      <c r="Q12" s="5"/>
      <c r="R12" s="5"/>
      <c r="T12" s="5">
        <f>-11.9+27.7</f>
        <v>15.799999999999999</v>
      </c>
      <c r="U12" s="5">
        <f>-41.8+41.5</f>
        <v>-0.29999999999999716</v>
      </c>
      <c r="V12" s="5">
        <f>SUM(G12:H12)</f>
        <v>37.1</v>
      </c>
      <c r="W12" s="5">
        <v>-1</v>
      </c>
      <c r="X12" s="5">
        <v>-2</v>
      </c>
      <c r="Y12" s="5">
        <v>-4</v>
      </c>
      <c r="Z12" s="5">
        <f>10+94</f>
        <v>104</v>
      </c>
      <c r="AA12" s="5">
        <f t="shared" ref="AA12:AF12" si="27">Z12*1.01</f>
        <v>105.04</v>
      </c>
      <c r="AB12" s="5">
        <f t="shared" si="27"/>
        <v>106.0904</v>
      </c>
      <c r="AC12" s="5">
        <f t="shared" si="27"/>
        <v>107.15130400000001</v>
      </c>
      <c r="AD12" s="5">
        <f t="shared" si="27"/>
        <v>108.22281704000001</v>
      </c>
      <c r="AE12" s="5">
        <f t="shared" si="27"/>
        <v>109.30504521040001</v>
      </c>
      <c r="AF12" s="5">
        <f t="shared" si="27"/>
        <v>110.39809566250401</v>
      </c>
      <c r="AG12" s="5">
        <f t="shared" ref="AG12" si="28">AF12*1.01</f>
        <v>111.50207661912904</v>
      </c>
      <c r="AH12" s="5">
        <f t="shared" ref="AH12" si="29">AG12*1.01</f>
        <v>112.61709738532033</v>
      </c>
      <c r="AI12" s="5">
        <f t="shared" ref="AI12" si="30">AH12*1.01</f>
        <v>113.74326835917354</v>
      </c>
      <c r="AJ12" s="5">
        <f t="shared" ref="AJ12" si="31">AI12*1.01</f>
        <v>114.88070104276528</v>
      </c>
      <c r="AK12" s="5">
        <f t="shared" ref="AK12" si="32">AJ12*1.01</f>
        <v>116.02950805319294</v>
      </c>
    </row>
    <row r="13" spans="2:163" s="1" customFormat="1" x14ac:dyDescent="0.3">
      <c r="B13" s="1" t="s">
        <v>26</v>
      </c>
      <c r="C13" s="9">
        <f t="shared" ref="C13:H13" si="33">C10-C11-C12</f>
        <v>1228.6000000000004</v>
      </c>
      <c r="D13" s="9">
        <f t="shared" si="33"/>
        <v>1402.0000000000014</v>
      </c>
      <c r="E13" s="9">
        <f t="shared" si="33"/>
        <v>623.39999999999964</v>
      </c>
      <c r="F13" s="9">
        <f t="shared" si="33"/>
        <v>1543.5000000000007</v>
      </c>
      <c r="G13" s="9">
        <f t="shared" si="33"/>
        <v>283.80000000000024</v>
      </c>
      <c r="H13" s="9">
        <f t="shared" si="33"/>
        <v>1876.8000000000009</v>
      </c>
      <c r="I13" s="9">
        <f t="shared" ref="I13:K13" si="34">I10-I11-I12</f>
        <v>1500.4000000000005</v>
      </c>
      <c r="J13" s="9">
        <f t="shared" si="34"/>
        <v>1744.5999999999995</v>
      </c>
      <c r="K13" s="9">
        <f t="shared" si="34"/>
        <v>2043</v>
      </c>
      <c r="L13" s="9">
        <f t="shared" ref="L13:N13" si="35">L10-L11-L12</f>
        <v>1674</v>
      </c>
      <c r="M13" s="9">
        <f t="shared" ref="M13:O13" si="36">M10-M11-M12</f>
        <v>1846</v>
      </c>
      <c r="N13" s="9">
        <f t="shared" si="35"/>
        <v>1228</v>
      </c>
      <c r="O13" s="9">
        <f t="shared" si="36"/>
        <v>940</v>
      </c>
      <c r="P13" s="9">
        <f t="shared" ref="P13" si="37">P10-P11-P12</f>
        <v>188.47999999999956</v>
      </c>
      <c r="Q13" s="9"/>
      <c r="R13" s="9"/>
      <c r="T13" s="9">
        <f>T10-T11-T12</f>
        <v>2630.6000000000013</v>
      </c>
      <c r="U13" s="9">
        <f>U10-U11-U12</f>
        <v>2166.9000000000015</v>
      </c>
      <c r="V13" s="9">
        <f>V10-V11-V12</f>
        <v>2160.6000000000008</v>
      </c>
      <c r="W13" s="9">
        <f t="shared" ref="W13:AF13" si="38">W10-W11-W12</f>
        <v>3245</v>
      </c>
      <c r="X13" s="9">
        <f t="shared" si="38"/>
        <v>3717</v>
      </c>
      <c r="Y13" s="9">
        <f t="shared" si="38"/>
        <v>3074</v>
      </c>
      <c r="Z13" s="9">
        <f t="shared" si="38"/>
        <v>1133</v>
      </c>
      <c r="AA13" s="9">
        <f t="shared" si="38"/>
        <v>1080.56728</v>
      </c>
      <c r="AB13" s="9">
        <f t="shared" si="38"/>
        <v>1377.9666499999994</v>
      </c>
      <c r="AC13" s="9">
        <f t="shared" si="38"/>
        <v>1600.8865247199997</v>
      </c>
      <c r="AD13" s="9">
        <f t="shared" si="38"/>
        <v>1738.1778233743992</v>
      </c>
      <c r="AE13" s="9">
        <f t="shared" si="38"/>
        <v>1780.6152100532317</v>
      </c>
      <c r="AF13" s="9">
        <f t="shared" si="38"/>
        <v>1878.0816141506807</v>
      </c>
      <c r="AG13" s="9">
        <f t="shared" ref="AG13:AK13" si="39">AG10-AG11-AG12</f>
        <v>1978.1158873290444</v>
      </c>
      <c r="AH13" s="9">
        <f t="shared" si="39"/>
        <v>2080.7755723799287</v>
      </c>
      <c r="AI13" s="9">
        <f t="shared" si="39"/>
        <v>2186.1194248048728</v>
      </c>
      <c r="AJ13" s="9">
        <f t="shared" si="39"/>
        <v>2294.2074376880892</v>
      </c>
      <c r="AK13" s="9">
        <f t="shared" si="39"/>
        <v>2405.1008670728424</v>
      </c>
      <c r="AL13" s="1">
        <f>AK13*(1+$AN$19)</f>
        <v>2381.0498584021138</v>
      </c>
      <c r="AM13" s="1">
        <f t="shared" ref="AM13:CX13" si="40">AL13*(1+$AN$19)</f>
        <v>2357.2393598180929</v>
      </c>
      <c r="AN13" s="1">
        <f t="shared" si="40"/>
        <v>2333.666966219912</v>
      </c>
      <c r="AO13" s="1">
        <f t="shared" si="40"/>
        <v>2310.3302965577127</v>
      </c>
      <c r="AP13" s="1">
        <f t="shared" si="40"/>
        <v>2287.2269935921354</v>
      </c>
      <c r="AQ13" s="1">
        <f t="shared" si="40"/>
        <v>2264.354723656214</v>
      </c>
      <c r="AR13" s="1">
        <f t="shared" si="40"/>
        <v>2241.711176419652</v>
      </c>
      <c r="AS13" s="1">
        <f t="shared" si="40"/>
        <v>2219.2940646554553</v>
      </c>
      <c r="AT13" s="1">
        <f t="shared" si="40"/>
        <v>2197.1011240089006</v>
      </c>
      <c r="AU13" s="1">
        <f t="shared" si="40"/>
        <v>2175.1301127688116</v>
      </c>
      <c r="AV13" s="1">
        <f t="shared" si="40"/>
        <v>2153.3788116411233</v>
      </c>
      <c r="AW13" s="1">
        <f t="shared" si="40"/>
        <v>2131.8450235247119</v>
      </c>
      <c r="AX13" s="1">
        <f t="shared" si="40"/>
        <v>2110.526573289465</v>
      </c>
      <c r="AY13" s="1">
        <f t="shared" si="40"/>
        <v>2089.4213075565704</v>
      </c>
      <c r="AZ13" s="1">
        <f t="shared" si="40"/>
        <v>2068.5270944810045</v>
      </c>
      <c r="BA13" s="1">
        <f t="shared" si="40"/>
        <v>2047.8418235361944</v>
      </c>
      <c r="BB13" s="1">
        <f t="shared" si="40"/>
        <v>2027.3634053008325</v>
      </c>
      <c r="BC13" s="1">
        <f t="shared" si="40"/>
        <v>2007.089771247824</v>
      </c>
      <c r="BD13" s="1">
        <f t="shared" si="40"/>
        <v>1987.0188735353458</v>
      </c>
      <c r="BE13" s="1">
        <f t="shared" si="40"/>
        <v>1967.1486847999925</v>
      </c>
      <c r="BF13" s="1">
        <f t="shared" si="40"/>
        <v>1947.4771979519926</v>
      </c>
      <c r="BG13" s="1">
        <f t="shared" si="40"/>
        <v>1928.0024259724726</v>
      </c>
      <c r="BH13" s="1">
        <f t="shared" si="40"/>
        <v>1908.7224017127478</v>
      </c>
      <c r="BI13" s="1">
        <f t="shared" si="40"/>
        <v>1889.6351776956203</v>
      </c>
      <c r="BJ13" s="1">
        <f t="shared" si="40"/>
        <v>1870.7388259186641</v>
      </c>
      <c r="BK13" s="1">
        <f t="shared" si="40"/>
        <v>1852.0314376594774</v>
      </c>
      <c r="BL13" s="1">
        <f t="shared" si="40"/>
        <v>1833.5111232828826</v>
      </c>
      <c r="BM13" s="1">
        <f t="shared" si="40"/>
        <v>1815.1760120500537</v>
      </c>
      <c r="BN13" s="1">
        <f t="shared" si="40"/>
        <v>1797.0242519295532</v>
      </c>
      <c r="BO13" s="1">
        <f t="shared" si="40"/>
        <v>1779.0540094102575</v>
      </c>
      <c r="BP13" s="1">
        <f t="shared" si="40"/>
        <v>1761.2634693161549</v>
      </c>
      <c r="BQ13" s="1">
        <f t="shared" si="40"/>
        <v>1743.6508346229934</v>
      </c>
      <c r="BR13" s="1">
        <f t="shared" si="40"/>
        <v>1726.2143262767636</v>
      </c>
      <c r="BS13" s="1">
        <f t="shared" si="40"/>
        <v>1708.9521830139959</v>
      </c>
      <c r="BT13" s="1">
        <f t="shared" si="40"/>
        <v>1691.8626611838558</v>
      </c>
      <c r="BU13" s="1">
        <f t="shared" si="40"/>
        <v>1674.9440345720172</v>
      </c>
      <c r="BV13" s="1">
        <f t="shared" si="40"/>
        <v>1658.1945942262971</v>
      </c>
      <c r="BW13" s="1">
        <f t="shared" si="40"/>
        <v>1641.6126482840341</v>
      </c>
      <c r="BX13" s="1">
        <f t="shared" si="40"/>
        <v>1625.1965218011937</v>
      </c>
      <c r="BY13" s="1">
        <f t="shared" si="40"/>
        <v>1608.9445565831818</v>
      </c>
      <c r="BZ13" s="1">
        <f t="shared" si="40"/>
        <v>1592.8551110173501</v>
      </c>
      <c r="CA13" s="1">
        <f t="shared" si="40"/>
        <v>1576.9265599071766</v>
      </c>
      <c r="CB13" s="1">
        <f t="shared" si="40"/>
        <v>1561.1572943081048</v>
      </c>
      <c r="CC13" s="1">
        <f t="shared" si="40"/>
        <v>1545.5457213650238</v>
      </c>
      <c r="CD13" s="1">
        <f t="shared" si="40"/>
        <v>1530.0902641513735</v>
      </c>
      <c r="CE13" s="1">
        <f t="shared" si="40"/>
        <v>1514.7893615098596</v>
      </c>
      <c r="CF13" s="1">
        <f t="shared" si="40"/>
        <v>1499.641467894761</v>
      </c>
      <c r="CG13" s="1">
        <f t="shared" si="40"/>
        <v>1484.6450532158135</v>
      </c>
      <c r="CH13" s="1">
        <f t="shared" si="40"/>
        <v>1469.7986026836554</v>
      </c>
      <c r="CI13" s="1">
        <f t="shared" si="40"/>
        <v>1455.1006166568188</v>
      </c>
      <c r="CJ13" s="1">
        <f t="shared" si="40"/>
        <v>1440.5496104902506</v>
      </c>
      <c r="CK13" s="1">
        <f t="shared" si="40"/>
        <v>1426.1441143853481</v>
      </c>
      <c r="CL13" s="1">
        <f t="shared" si="40"/>
        <v>1411.8826732414946</v>
      </c>
      <c r="CM13" s="1">
        <f t="shared" si="40"/>
        <v>1397.7638465090797</v>
      </c>
      <c r="CN13" s="1">
        <f t="shared" si="40"/>
        <v>1383.7862080439888</v>
      </c>
      <c r="CO13" s="1">
        <f t="shared" si="40"/>
        <v>1369.9483459635489</v>
      </c>
      <c r="CP13" s="1">
        <f t="shared" si="40"/>
        <v>1356.2488625039134</v>
      </c>
      <c r="CQ13" s="1">
        <f t="shared" si="40"/>
        <v>1342.6863738788743</v>
      </c>
      <c r="CR13" s="1">
        <f t="shared" si="40"/>
        <v>1329.2595101400855</v>
      </c>
      <c r="CS13" s="1">
        <f t="shared" si="40"/>
        <v>1315.9669150386846</v>
      </c>
      <c r="CT13" s="1">
        <f t="shared" si="40"/>
        <v>1302.8072458882978</v>
      </c>
      <c r="CU13" s="1">
        <f t="shared" si="40"/>
        <v>1289.7791734294149</v>
      </c>
      <c r="CV13" s="1">
        <f t="shared" si="40"/>
        <v>1276.8813816951208</v>
      </c>
      <c r="CW13" s="1">
        <f t="shared" si="40"/>
        <v>1264.1125678781696</v>
      </c>
      <c r="CX13" s="1">
        <f t="shared" si="40"/>
        <v>1251.4714421993879</v>
      </c>
      <c r="CY13" s="1">
        <f t="shared" ref="CY13:FG13" si="41">CX13*(1+$AN$19)</f>
        <v>1238.956727777394</v>
      </c>
      <c r="CZ13" s="1">
        <f t="shared" si="41"/>
        <v>1226.5671604996201</v>
      </c>
      <c r="DA13" s="1">
        <f t="shared" si="41"/>
        <v>1214.3014888946238</v>
      </c>
      <c r="DB13" s="1">
        <f t="shared" si="41"/>
        <v>1202.1584740056776</v>
      </c>
      <c r="DC13" s="1">
        <f t="shared" si="41"/>
        <v>1190.1368892656208</v>
      </c>
      <c r="DD13" s="1">
        <f t="shared" si="41"/>
        <v>1178.2355203729646</v>
      </c>
      <c r="DE13" s="1">
        <f t="shared" si="41"/>
        <v>1166.453165169235</v>
      </c>
      <c r="DF13" s="1">
        <f t="shared" si="41"/>
        <v>1154.7886335175426</v>
      </c>
      <c r="DG13" s="1">
        <f t="shared" si="41"/>
        <v>1143.2407471823672</v>
      </c>
      <c r="DH13" s="1">
        <f t="shared" si="41"/>
        <v>1131.8083397105436</v>
      </c>
      <c r="DI13" s="1">
        <f t="shared" si="41"/>
        <v>1120.4902563134381</v>
      </c>
      <c r="DJ13" s="1">
        <f t="shared" si="41"/>
        <v>1109.2853537503038</v>
      </c>
      <c r="DK13" s="1">
        <f t="shared" si="41"/>
        <v>1098.1925002128007</v>
      </c>
      <c r="DL13" s="1">
        <f t="shared" si="41"/>
        <v>1087.2105752106727</v>
      </c>
      <c r="DM13" s="1">
        <f t="shared" si="41"/>
        <v>1076.3384694585659</v>
      </c>
      <c r="DN13" s="1">
        <f t="shared" si="41"/>
        <v>1065.5750847639802</v>
      </c>
      <c r="DO13" s="1">
        <f t="shared" si="41"/>
        <v>1054.9193339163403</v>
      </c>
      <c r="DP13" s="1">
        <f t="shared" si="41"/>
        <v>1044.3701405771769</v>
      </c>
      <c r="DQ13" s="1">
        <f t="shared" si="41"/>
        <v>1033.926439171405</v>
      </c>
      <c r="DR13" s="1">
        <f t="shared" si="41"/>
        <v>1023.5871747796909</v>
      </c>
      <c r="DS13" s="1">
        <f t="shared" si="41"/>
        <v>1013.3513030318941</v>
      </c>
      <c r="DT13" s="1">
        <f t="shared" si="41"/>
        <v>1003.2177900015752</v>
      </c>
      <c r="DU13" s="1">
        <f t="shared" si="41"/>
        <v>993.1856121015594</v>
      </c>
      <c r="DV13" s="1">
        <f t="shared" si="41"/>
        <v>983.25375598054381</v>
      </c>
      <c r="DW13" s="1">
        <f t="shared" si="41"/>
        <v>973.42121842073834</v>
      </c>
      <c r="DX13" s="1">
        <f t="shared" si="41"/>
        <v>963.68700623653092</v>
      </c>
      <c r="DY13" s="1">
        <f t="shared" si="41"/>
        <v>954.05013617416557</v>
      </c>
      <c r="DZ13" s="1">
        <f t="shared" si="41"/>
        <v>944.50963481242388</v>
      </c>
      <c r="EA13" s="1">
        <f t="shared" si="41"/>
        <v>935.06453846429963</v>
      </c>
      <c r="EB13" s="1">
        <f t="shared" si="41"/>
        <v>925.7138930796566</v>
      </c>
      <c r="EC13" s="1">
        <f t="shared" si="41"/>
        <v>916.45675414886</v>
      </c>
      <c r="ED13" s="1">
        <f t="shared" si="41"/>
        <v>907.29218660737138</v>
      </c>
      <c r="EE13" s="1">
        <f t="shared" si="41"/>
        <v>898.21926474129771</v>
      </c>
      <c r="EF13" s="1">
        <f t="shared" si="41"/>
        <v>889.23707209388476</v>
      </c>
      <c r="EG13" s="1">
        <f t="shared" si="41"/>
        <v>880.34470137294591</v>
      </c>
      <c r="EH13" s="1">
        <f t="shared" si="41"/>
        <v>871.5412543592164</v>
      </c>
      <c r="EI13" s="1">
        <f t="shared" si="41"/>
        <v>862.82584181562424</v>
      </c>
      <c r="EJ13" s="1">
        <f t="shared" si="41"/>
        <v>854.19758339746795</v>
      </c>
      <c r="EK13" s="1">
        <f t="shared" si="41"/>
        <v>845.65560756349328</v>
      </c>
      <c r="EL13" s="1">
        <f t="shared" si="41"/>
        <v>837.19905148785836</v>
      </c>
      <c r="EM13" s="1">
        <f t="shared" si="41"/>
        <v>828.82706097297978</v>
      </c>
      <c r="EN13" s="1">
        <f t="shared" si="41"/>
        <v>820.53879036324997</v>
      </c>
      <c r="EO13" s="1">
        <f t="shared" si="41"/>
        <v>812.33340245961745</v>
      </c>
      <c r="EP13" s="1">
        <f t="shared" si="41"/>
        <v>804.2100684350213</v>
      </c>
      <c r="EQ13" s="1">
        <f t="shared" si="41"/>
        <v>796.1679677506711</v>
      </c>
      <c r="ER13" s="1">
        <f t="shared" si="41"/>
        <v>788.20628807316439</v>
      </c>
      <c r="ES13" s="1">
        <f t="shared" si="41"/>
        <v>780.32422519243278</v>
      </c>
      <c r="ET13" s="1">
        <f t="shared" si="41"/>
        <v>772.52098294050847</v>
      </c>
      <c r="EU13" s="1">
        <f t="shared" si="41"/>
        <v>764.79577311110336</v>
      </c>
      <c r="EV13" s="1">
        <f t="shared" si="41"/>
        <v>757.14781537999227</v>
      </c>
      <c r="EW13" s="1">
        <f t="shared" si="41"/>
        <v>749.57633722619232</v>
      </c>
      <c r="EX13" s="1">
        <f t="shared" si="41"/>
        <v>742.08057385393045</v>
      </c>
      <c r="EY13" s="1">
        <f t="shared" si="41"/>
        <v>734.6597681153911</v>
      </c>
      <c r="EZ13" s="1">
        <f t="shared" si="41"/>
        <v>727.31317043423724</v>
      </c>
      <c r="FA13" s="1">
        <f t="shared" si="41"/>
        <v>720.04003872989483</v>
      </c>
      <c r="FB13" s="1">
        <f t="shared" si="41"/>
        <v>712.83963834259589</v>
      </c>
      <c r="FC13" s="1">
        <f t="shared" si="41"/>
        <v>705.71124195916991</v>
      </c>
      <c r="FD13" s="1">
        <f t="shared" si="41"/>
        <v>698.65412953957821</v>
      </c>
      <c r="FE13" s="1">
        <f t="shared" si="41"/>
        <v>691.66758824418241</v>
      </c>
      <c r="FF13" s="1">
        <f t="shared" si="41"/>
        <v>684.75091236174057</v>
      </c>
      <c r="FG13" s="1">
        <f t="shared" si="41"/>
        <v>677.90340323812313</v>
      </c>
    </row>
    <row r="14" spans="2:163" x14ac:dyDescent="0.3">
      <c r="B14" t="s">
        <v>2</v>
      </c>
      <c r="C14" s="5">
        <v>126.3</v>
      </c>
      <c r="D14" s="5">
        <v>126.3</v>
      </c>
      <c r="E14" s="5">
        <v>126.3</v>
      </c>
      <c r="F14" s="5">
        <v>126.3</v>
      </c>
      <c r="G14" s="5">
        <v>126.3</v>
      </c>
      <c r="H14" s="5">
        <v>124.9</v>
      </c>
      <c r="I14" s="5">
        <v>124.9</v>
      </c>
      <c r="J14" s="5">
        <v>124.9</v>
      </c>
      <c r="K14" s="5">
        <v>122.6</v>
      </c>
      <c r="L14" s="5">
        <v>122.6</v>
      </c>
      <c r="M14" s="5">
        <v>122.6</v>
      </c>
      <c r="N14" s="5">
        <v>122.6</v>
      </c>
      <c r="O14" s="5">
        <v>122.6</v>
      </c>
      <c r="P14" s="5">
        <v>122.6</v>
      </c>
      <c r="Q14" s="5"/>
      <c r="R14" s="5"/>
      <c r="T14" s="5">
        <v>126.3</v>
      </c>
      <c r="U14" s="5">
        <v>126.3</v>
      </c>
      <c r="V14" s="5">
        <v>126.3</v>
      </c>
      <c r="W14" s="5">
        <v>124.9</v>
      </c>
      <c r="X14" s="5">
        <v>124.9</v>
      </c>
      <c r="Y14" s="5">
        <v>124.9</v>
      </c>
      <c r="Z14" s="5">
        <v>122.6</v>
      </c>
      <c r="AA14" s="5">
        <v>122.6</v>
      </c>
      <c r="AB14" s="5">
        <v>122.6</v>
      </c>
      <c r="AC14" s="5">
        <v>122.6</v>
      </c>
      <c r="AD14" s="5">
        <v>122.6</v>
      </c>
      <c r="AE14" s="5">
        <v>122.6</v>
      </c>
      <c r="AF14" s="5">
        <v>122.6</v>
      </c>
      <c r="AG14" s="5">
        <v>122.6</v>
      </c>
      <c r="AH14" s="5">
        <v>122.6</v>
      </c>
      <c r="AI14" s="5">
        <v>122.6</v>
      </c>
      <c r="AJ14" s="5">
        <v>122.6</v>
      </c>
      <c r="AK14" s="5">
        <v>122.6</v>
      </c>
    </row>
    <row r="15" spans="2:163" s="1" customFormat="1" x14ac:dyDescent="0.3">
      <c r="B15" s="1" t="s">
        <v>27</v>
      </c>
      <c r="C15" s="8">
        <f t="shared" ref="C15:H15" si="42">C13/C14</f>
        <v>9.7276326207442629</v>
      </c>
      <c r="D15" s="8">
        <f t="shared" si="42"/>
        <v>11.100554235946172</v>
      </c>
      <c r="E15" s="8">
        <f t="shared" si="42"/>
        <v>4.935866983372919</v>
      </c>
      <c r="F15" s="8">
        <f t="shared" si="42"/>
        <v>12.22090261282661</v>
      </c>
      <c r="G15" s="8">
        <f t="shared" si="42"/>
        <v>2.2470308788598596</v>
      </c>
      <c r="H15" s="8">
        <f t="shared" si="42"/>
        <v>15.026421136909534</v>
      </c>
      <c r="I15" s="8">
        <f t="shared" ref="I15:K15" si="43">I13/I14</f>
        <v>12.012810248198562</v>
      </c>
      <c r="J15" s="8">
        <f t="shared" si="43"/>
        <v>13.967974379503598</v>
      </c>
      <c r="K15" s="8">
        <f t="shared" si="43"/>
        <v>16.663947797716151</v>
      </c>
      <c r="L15" s="8">
        <f t="shared" ref="L15:N15" si="44">L13/L14</f>
        <v>13.654159869494292</v>
      </c>
      <c r="M15" s="8">
        <f t="shared" ref="M15:O15" si="45">M13/M14</f>
        <v>15.05709624796085</v>
      </c>
      <c r="N15" s="8">
        <f t="shared" si="44"/>
        <v>10.0163132137031</v>
      </c>
      <c r="O15" s="8">
        <f t="shared" si="45"/>
        <v>7.6672104404567705</v>
      </c>
      <c r="P15" s="8">
        <f t="shared" ref="P15" si="46">P13/P14</f>
        <v>1.5373572593800944</v>
      </c>
      <c r="Q15" s="8"/>
      <c r="R15" s="8"/>
      <c r="T15" s="8">
        <f>T13/T14</f>
        <v>20.828186856690429</v>
      </c>
      <c r="U15" s="8">
        <f>U13/U14</f>
        <v>17.156769596199538</v>
      </c>
      <c r="V15" s="8">
        <f>V13/V14</f>
        <v>17.106888361045137</v>
      </c>
      <c r="W15" s="8">
        <f t="shared" ref="W15:AF15" si="47">W13/W14</f>
        <v>25.98078462770216</v>
      </c>
      <c r="X15" s="8">
        <f t="shared" si="47"/>
        <v>29.75980784627702</v>
      </c>
      <c r="Y15" s="8">
        <f t="shared" si="47"/>
        <v>24.611689351481182</v>
      </c>
      <c r="Z15" s="8">
        <f t="shared" si="47"/>
        <v>9.241435562805874</v>
      </c>
      <c r="AA15" s="8">
        <f t="shared" si="47"/>
        <v>8.8137624796084832</v>
      </c>
      <c r="AB15" s="8">
        <f t="shared" si="47"/>
        <v>11.239532218597059</v>
      </c>
      <c r="AC15" s="8">
        <f t="shared" si="47"/>
        <v>13.057801996084827</v>
      </c>
      <c r="AD15" s="8">
        <f t="shared" si="47"/>
        <v>14.177633143347466</v>
      </c>
      <c r="AE15" s="8">
        <f t="shared" si="47"/>
        <v>14.523778222293897</v>
      </c>
      <c r="AF15" s="8">
        <f t="shared" si="47"/>
        <v>15.318773361751067</v>
      </c>
      <c r="AG15" s="8">
        <f t="shared" ref="AG15:AK15" si="48">AG13/AG14</f>
        <v>16.13471359974751</v>
      </c>
      <c r="AH15" s="8">
        <f t="shared" si="48"/>
        <v>16.972068290211492</v>
      </c>
      <c r="AI15" s="8">
        <f t="shared" si="48"/>
        <v>17.831316678669435</v>
      </c>
      <c r="AJ15" s="8">
        <f t="shared" si="48"/>
        <v>18.712948105123075</v>
      </c>
      <c r="AK15" s="8">
        <f t="shared" si="48"/>
        <v>19.617462211034606</v>
      </c>
    </row>
    <row r="17" spans="2:40" x14ac:dyDescent="0.3">
      <c r="B17" s="1" t="s">
        <v>29</v>
      </c>
      <c r="E17" s="10">
        <f>E3/C3-1</f>
        <v>0.18758065268427693</v>
      </c>
      <c r="F17" s="10">
        <f t="shared" ref="F17:H17" si="49">F3/D3-1</f>
        <v>0.13988082894391196</v>
      </c>
      <c r="G17" s="10">
        <f t="shared" si="49"/>
        <v>-0.29588657310431499</v>
      </c>
      <c r="H17" s="10">
        <f t="shared" si="49"/>
        <v>-6.3455870759602684E-2</v>
      </c>
      <c r="I17" s="10">
        <f t="shared" ref="I17" si="50">I3/G3-1</f>
        <v>0.49623486975438325</v>
      </c>
      <c r="J17" s="10">
        <f t="shared" ref="J17" si="51">J3/H3-1</f>
        <v>0.24293243890752247</v>
      </c>
      <c r="K17" s="10">
        <f t="shared" ref="K17" si="52">K3/I3-1</f>
        <v>0.23396957948106167</v>
      </c>
      <c r="L17" s="10">
        <f t="shared" ref="L17" si="53">L3/J3-1</f>
        <v>8.5769655546062751E-2</v>
      </c>
      <c r="M17" s="10">
        <f t="shared" ref="M17" si="54">M3/K3-1</f>
        <v>2.0644511581067393E-2</v>
      </c>
      <c r="N17" s="10">
        <f t="shared" ref="N17" si="55">N3/L3-1</f>
        <v>-9.5000479800403048E-2</v>
      </c>
      <c r="O17" s="10">
        <f t="shared" ref="O17" si="56">O3/M3-1</f>
        <v>-0.11021213616181547</v>
      </c>
      <c r="P17" s="10">
        <f t="shared" ref="P17:Q17" si="57">P3/N3-1</f>
        <v>-0.13307178454034563</v>
      </c>
      <c r="Q17" s="10">
        <f t="shared" si="57"/>
        <v>-0.1586826347305389</v>
      </c>
      <c r="R17" s="10"/>
      <c r="U17" s="10">
        <f>U3/T3-1</f>
        <v>0.16233205514738169</v>
      </c>
      <c r="V17" s="10">
        <f t="shared" ref="V17:AF17" si="58">V3/U3-1</f>
        <v>-0.17523215915887547</v>
      </c>
      <c r="W17" s="10">
        <f t="shared" si="58"/>
        <v>0.34692600112975369</v>
      </c>
      <c r="X17" s="10">
        <f t="shared" si="58"/>
        <v>0.15335789175403791</v>
      </c>
      <c r="Y17" s="10">
        <f t="shared" si="58"/>
        <v>-3.8573043093705461E-2</v>
      </c>
      <c r="Z17" s="10">
        <f t="shared" si="58"/>
        <v>-0.12123070632730248</v>
      </c>
      <c r="AA17" s="10">
        <f t="shared" si="58"/>
        <v>-5.0000000000000044E-2</v>
      </c>
      <c r="AB17" s="10">
        <f t="shared" si="58"/>
        <v>5.0000000000000044E-2</v>
      </c>
      <c r="AC17" s="10">
        <f t="shared" si="58"/>
        <v>4.0000000000000036E-2</v>
      </c>
      <c r="AD17" s="10">
        <f t="shared" si="58"/>
        <v>3.0000000000000027E-2</v>
      </c>
      <c r="AE17" s="10">
        <f t="shared" si="58"/>
        <v>2.0000000000000018E-2</v>
      </c>
      <c r="AF17" s="10">
        <f t="shared" si="58"/>
        <v>2.0000000000000018E-2</v>
      </c>
      <c r="AG17" s="10">
        <f t="shared" ref="AG17" si="59">AG3/AF3-1</f>
        <v>2.0000000000000018E-2</v>
      </c>
      <c r="AH17" s="10">
        <f t="shared" ref="AH17" si="60">AH3/AG3-1</f>
        <v>2.0000000000000018E-2</v>
      </c>
      <c r="AI17" s="10">
        <f t="shared" ref="AI17" si="61">AI3/AH3-1</f>
        <v>2.0000000000000018E-2</v>
      </c>
      <c r="AJ17" s="10">
        <f t="shared" ref="AJ17" si="62">AJ3/AI3-1</f>
        <v>2.0000000000000018E-2</v>
      </c>
      <c r="AK17" s="10">
        <f t="shared" ref="AK17" si="63">AK3/AJ3-1</f>
        <v>2.0000000000000018E-2</v>
      </c>
    </row>
    <row r="18" spans="2:40" x14ac:dyDescent="0.3">
      <c r="B18" s="1" t="s">
        <v>30</v>
      </c>
      <c r="C18" s="10">
        <f>C5/C3</f>
        <v>0.74254885803572823</v>
      </c>
      <c r="D18" s="10">
        <f t="shared" ref="D18:H18" si="64">D5/D3</f>
        <v>0.74961635767906765</v>
      </c>
      <c r="E18" s="10">
        <f t="shared" si="64"/>
        <v>0.73995863007959783</v>
      </c>
      <c r="F18" s="10">
        <f t="shared" si="64"/>
        <v>0.74261076275606119</v>
      </c>
      <c r="G18" s="10">
        <f t="shared" si="64"/>
        <v>0.72578695870442334</v>
      </c>
      <c r="H18" s="10">
        <f t="shared" si="64"/>
        <v>0.72605187842370411</v>
      </c>
      <c r="I18" s="10">
        <f t="shared" ref="I18:J18" si="65">I5/I3</f>
        <v>0.73846803857242271</v>
      </c>
      <c r="J18" s="10">
        <f t="shared" si="65"/>
        <v>0.74239929983954656</v>
      </c>
      <c r="K18" s="10">
        <f t="shared" ref="K18:P18" si="66">K5/K3</f>
        <v>0.74300100704934546</v>
      </c>
      <c r="L18" s="10">
        <f t="shared" si="66"/>
        <v>0.75040783034257752</v>
      </c>
      <c r="M18" s="10">
        <f t="shared" si="66"/>
        <v>0.76270350271336951</v>
      </c>
      <c r="N18" s="10">
        <f t="shared" si="66"/>
        <v>0.7631216201887393</v>
      </c>
      <c r="O18" s="10">
        <f t="shared" si="66"/>
        <v>0.74384564204923487</v>
      </c>
      <c r="P18" s="10">
        <f t="shared" si="66"/>
        <v>0.73</v>
      </c>
      <c r="Q18" s="10"/>
      <c r="R18" s="10"/>
      <c r="T18" s="10">
        <f t="shared" ref="T18:U18" si="67">T5/T3</f>
        <v>0.74628984573954282</v>
      </c>
      <c r="U18" s="10">
        <f t="shared" si="67"/>
        <v>0.74133534800264422</v>
      </c>
      <c r="V18" s="10">
        <f t="shared" ref="V18:AF18" si="68">V5/V3</f>
        <v>0.7259431153722844</v>
      </c>
      <c r="W18" s="10">
        <f t="shared" si="68"/>
        <v>0.74060640408047607</v>
      </c>
      <c r="X18" s="10">
        <f t="shared" si="68"/>
        <v>0.74679376934794361</v>
      </c>
      <c r="Y18" s="10">
        <f t="shared" si="68"/>
        <v>0.76290503935398135</v>
      </c>
      <c r="Z18" s="10">
        <f t="shared" si="68"/>
        <v>0.73752471792485752</v>
      </c>
      <c r="AA18" s="10">
        <f t="shared" si="68"/>
        <v>0.74</v>
      </c>
      <c r="AB18" s="10">
        <f t="shared" si="68"/>
        <v>0.74</v>
      </c>
      <c r="AC18" s="10">
        <f t="shared" si="68"/>
        <v>0.74</v>
      </c>
      <c r="AD18" s="10">
        <f t="shared" si="68"/>
        <v>0.74</v>
      </c>
      <c r="AE18" s="10">
        <f t="shared" si="68"/>
        <v>0.74</v>
      </c>
      <c r="AF18" s="10">
        <f t="shared" si="68"/>
        <v>0.74</v>
      </c>
      <c r="AG18" s="10">
        <f t="shared" ref="AG18:AK18" si="69">AG5/AG3</f>
        <v>0.74</v>
      </c>
      <c r="AH18" s="10">
        <f t="shared" si="69"/>
        <v>0.74</v>
      </c>
      <c r="AI18" s="10">
        <f t="shared" si="69"/>
        <v>0.74</v>
      </c>
      <c r="AJ18" s="10">
        <f t="shared" si="69"/>
        <v>0.74</v>
      </c>
      <c r="AK18" s="10">
        <f t="shared" si="69"/>
        <v>0.74</v>
      </c>
    </row>
    <row r="19" spans="2:40" x14ac:dyDescent="0.3">
      <c r="B19" t="s">
        <v>31</v>
      </c>
      <c r="C19" s="10">
        <f>C8/C3</f>
        <v>0.26928279357577084</v>
      </c>
      <c r="D19" s="10">
        <f t="shared" ref="D19:H19" si="70">D8/D3</f>
        <v>0.27503352550011767</v>
      </c>
      <c r="E19" s="10">
        <f t="shared" si="70"/>
        <v>0.28939306661080849</v>
      </c>
      <c r="F19" s="10">
        <f t="shared" si="70"/>
        <v>0.29099707705182476</v>
      </c>
      <c r="G19" s="10">
        <f t="shared" si="70"/>
        <v>0.11765799602104757</v>
      </c>
      <c r="H19" s="10">
        <f t="shared" si="70"/>
        <v>0.32411712143384414</v>
      </c>
      <c r="I19" s="10">
        <f t="shared" ref="I19:J19" si="71">I8/I3</f>
        <v>0.2779848891539915</v>
      </c>
      <c r="J19" s="10">
        <f t="shared" si="71"/>
        <v>0.28964971139219403</v>
      </c>
      <c r="K19" s="10">
        <f t="shared" ref="K19:P19" si="72">K8/K3</f>
        <v>0.28398791540785501</v>
      </c>
      <c r="L19" s="10">
        <f t="shared" si="72"/>
        <v>0.26571346319930911</v>
      </c>
      <c r="M19" s="10">
        <f t="shared" si="72"/>
        <v>0.27025160335471138</v>
      </c>
      <c r="N19" s="10">
        <f t="shared" si="72"/>
        <v>0.21280882197009862</v>
      </c>
      <c r="O19" s="10">
        <f t="shared" si="72"/>
        <v>0.17542692392991793</v>
      </c>
      <c r="P19" s="10">
        <f t="shared" si="72"/>
        <v>0.11833170254403126</v>
      </c>
      <c r="Q19" s="10"/>
      <c r="R19" s="10"/>
      <c r="T19" s="10">
        <f t="shared" ref="T19:U19" si="73">T8/T3</f>
        <v>0.27232678628926038</v>
      </c>
      <c r="U19" s="10">
        <f t="shared" si="73"/>
        <v>0.29022570592123909</v>
      </c>
      <c r="V19" s="10">
        <f t="shared" ref="V19:AF19" si="74">V8/V3</f>
        <v>0.23935512434924658</v>
      </c>
      <c r="W19" s="10">
        <f t="shared" si="74"/>
        <v>0.28432983848115612</v>
      </c>
      <c r="X19" s="10">
        <f t="shared" si="74"/>
        <v>0.27463023930028008</v>
      </c>
      <c r="Y19" s="10">
        <f t="shared" si="74"/>
        <v>0.24256363078810181</v>
      </c>
      <c r="Z19" s="10">
        <f t="shared" si="74"/>
        <v>0.14854018843782715</v>
      </c>
      <c r="AA19" s="10">
        <f t="shared" si="74"/>
        <v>0.15101547051296965</v>
      </c>
      <c r="AB19" s="10">
        <f t="shared" si="74"/>
        <v>0.16784359992688477</v>
      </c>
      <c r="AC19" s="10">
        <f t="shared" si="74"/>
        <v>0.17884660762059854</v>
      </c>
      <c r="AD19" s="10">
        <f t="shared" si="74"/>
        <v>0.18429469880874802</v>
      </c>
      <c r="AE19" s="10">
        <f t="shared" si="74"/>
        <v>0.18429469880874808</v>
      </c>
      <c r="AF19" s="10">
        <f t="shared" si="74"/>
        <v>0.18811971395121302</v>
      </c>
      <c r="AG19" s="10">
        <f t="shared" ref="AG19:AK19" si="75">AG8/AG3</f>
        <v>0.19190722894522252</v>
      </c>
      <c r="AH19" s="10">
        <f t="shared" si="75"/>
        <v>0.19565761143929078</v>
      </c>
      <c r="AI19" s="10">
        <f t="shared" si="75"/>
        <v>0.19937122547753475</v>
      </c>
      <c r="AJ19" s="10">
        <f t="shared" si="75"/>
        <v>0.20304843153501162</v>
      </c>
      <c r="AK19" s="10">
        <f t="shared" si="75"/>
        <v>0.20668958655270939</v>
      </c>
      <c r="AM19" t="s">
        <v>33</v>
      </c>
      <c r="AN19" s="10">
        <v>-0.01</v>
      </c>
    </row>
    <row r="20" spans="2:40" x14ac:dyDescent="0.3">
      <c r="B20" t="s">
        <v>32</v>
      </c>
      <c r="E20" s="10">
        <f t="shared" ref="E20:H20" si="76">E6/C6-1</f>
        <v>0.12619729436160743</v>
      </c>
      <c r="F20" s="10">
        <f t="shared" si="76"/>
        <v>7.7362555024819812E-2</v>
      </c>
      <c r="G20" s="10">
        <f t="shared" si="76"/>
        <v>-9.9780797895659745E-2</v>
      </c>
      <c r="H20" s="10">
        <f t="shared" si="76"/>
        <v>-9.301921237937949E-2</v>
      </c>
      <c r="I20" s="10">
        <f t="shared" ref="I20:I21" si="77">I6/G6-1</f>
        <v>0.13226843284308942</v>
      </c>
      <c r="J20" s="10">
        <f t="shared" ref="J20:J21" si="78">J6/H6-1</f>
        <v>0.22831400364228904</v>
      </c>
      <c r="K20" s="10">
        <f t="shared" ref="K20:K21" si="79">K6/I6-1</f>
        <v>0.18365591397849457</v>
      </c>
      <c r="L20" s="10">
        <f t="shared" ref="L20:L21" si="80">L6/J6-1</f>
        <v>0.13460788138899726</v>
      </c>
      <c r="M20" s="10">
        <f t="shared" ref="M20:M21" si="81">M6/K6-1</f>
        <v>9.375E-2</v>
      </c>
      <c r="N20" s="10">
        <f t="shared" ref="N20:N21" si="82">N6/L6-1</f>
        <v>1.5818431911966968E-2</v>
      </c>
      <c r="O20" s="10">
        <f t="shared" ref="O20:O21" si="83">O6/M6-1</f>
        <v>2.7906976744185963E-2</v>
      </c>
      <c r="P20" s="10">
        <f t="shared" ref="P20:P21" si="84">P6/N6-1</f>
        <v>-4.7393364928910442E-3</v>
      </c>
      <c r="Q20" s="10"/>
      <c r="R20" s="10"/>
      <c r="U20" s="10">
        <f t="shared" ref="U20:AF20" si="85">U6/T6-1</f>
        <v>0.10113439723130169</v>
      </c>
      <c r="V20" s="10">
        <f t="shared" si="85"/>
        <v>-9.6385542168674787E-2</v>
      </c>
      <c r="W20" s="10">
        <f t="shared" si="85"/>
        <v>0.18067632850241555</v>
      </c>
      <c r="X20" s="10">
        <f t="shared" si="85"/>
        <v>0.15793780687397718</v>
      </c>
      <c r="Y20" s="10">
        <f t="shared" si="85"/>
        <v>5.3710247349823215E-2</v>
      </c>
      <c r="Z20" s="10">
        <f t="shared" si="85"/>
        <v>1.1737089201877993E-2</v>
      </c>
      <c r="AA20" s="10">
        <f t="shared" si="85"/>
        <v>-4.9999999999999933E-2</v>
      </c>
      <c r="AB20" s="10">
        <f t="shared" si="85"/>
        <v>2.0000000000000018E-2</v>
      </c>
      <c r="AC20" s="10">
        <f t="shared" si="85"/>
        <v>2.0000000000000018E-2</v>
      </c>
      <c r="AD20" s="10">
        <f t="shared" si="85"/>
        <v>2.0000000000000018E-2</v>
      </c>
      <c r="AE20" s="10">
        <f t="shared" si="85"/>
        <v>2.0000000000000018E-2</v>
      </c>
      <c r="AF20" s="10">
        <f t="shared" si="85"/>
        <v>2.0000000000000018E-2</v>
      </c>
      <c r="AG20" s="10">
        <f t="shared" ref="AG20:AG21" si="86">AG6/AF6-1</f>
        <v>2.0000000000000018E-2</v>
      </c>
      <c r="AH20" s="10">
        <f t="shared" ref="AH20:AH21" si="87">AH6/AG6-1</f>
        <v>2.0000000000000018E-2</v>
      </c>
      <c r="AI20" s="10">
        <f t="shared" ref="AI20:AI21" si="88">AI6/AH6-1</f>
        <v>2.0000000000000018E-2</v>
      </c>
      <c r="AJ20" s="10">
        <f t="shared" ref="AJ20:AJ21" si="89">AJ6/AI6-1</f>
        <v>2.0000000000000018E-2</v>
      </c>
      <c r="AK20" s="10">
        <f t="shared" ref="AK20:AK21" si="90">AK6/AJ6-1</f>
        <v>2.0000000000000018E-2</v>
      </c>
      <c r="AM20" t="s">
        <v>34</v>
      </c>
      <c r="AN20" s="10">
        <v>0.08</v>
      </c>
    </row>
    <row r="21" spans="2:40" x14ac:dyDescent="0.3">
      <c r="B21" t="s">
        <v>44</v>
      </c>
      <c r="E21" s="10">
        <f t="shared" ref="E21" si="91">E7/C7-1</f>
        <v>0.13282134593610007</v>
      </c>
      <c r="F21" s="10">
        <f t="shared" ref="F21" si="92">F7/D7-1</f>
        <v>8.8030104435330658E-2</v>
      </c>
      <c r="G21" s="10">
        <f t="shared" ref="G21" si="93">G7/E7-1</f>
        <v>-2.4814219286428241E-2</v>
      </c>
      <c r="H21" s="10">
        <f t="shared" ref="H21" si="94">H7/F7-1</f>
        <v>-0.19931605331675284</v>
      </c>
      <c r="I21" s="10">
        <f t="shared" si="77"/>
        <v>0.13328877005347595</v>
      </c>
      <c r="J21" s="10">
        <f t="shared" si="78"/>
        <v>0.48704135119394332</v>
      </c>
      <c r="K21" s="10">
        <f t="shared" si="79"/>
        <v>0.25122881522551221</v>
      </c>
      <c r="L21" s="10">
        <f t="shared" si="80"/>
        <v>0.17399392930578661</v>
      </c>
      <c r="M21" s="10">
        <f t="shared" si="81"/>
        <v>9.5537397862979212E-2</v>
      </c>
      <c r="N21" s="10">
        <f t="shared" si="82"/>
        <v>3.224909646927987E-2</v>
      </c>
      <c r="O21" s="10">
        <f t="shared" si="83"/>
        <v>2.6678141135972444E-2</v>
      </c>
      <c r="P21" s="10">
        <f t="shared" si="84"/>
        <v>-4.9016967411796397E-2</v>
      </c>
      <c r="Q21" s="10"/>
      <c r="R21" s="10"/>
      <c r="U21" s="10">
        <f t="shared" ref="U21" si="95">U7/T7-1</f>
        <v>0.10872532071695029</v>
      </c>
      <c r="V21" s="10">
        <f t="shared" ref="V21" si="96">V7/U7-1</f>
        <v>-0.11693746922698178</v>
      </c>
      <c r="W21" s="10">
        <f t="shared" ref="W21" si="97">W7/V7-1</f>
        <v>0.30262057429606926</v>
      </c>
      <c r="X21" s="10">
        <f t="shared" ref="X21" si="98">X7/W7-1</f>
        <v>0.20902443374353497</v>
      </c>
      <c r="Y21" s="10">
        <f t="shared" ref="Y21" si="99">Y7/X7-1</f>
        <v>6.1956040713969651E-2</v>
      </c>
      <c r="Z21" s="10">
        <f t="shared" ref="Z21" si="100">Z7/Y7-1</f>
        <v>-1.236282817057921E-2</v>
      </c>
      <c r="AA21" s="10">
        <f t="shared" ref="AA21" si="101">AA7/Z7-1</f>
        <v>-5.0000000000000044E-2</v>
      </c>
      <c r="AB21" s="10">
        <f t="shared" ref="AB21" si="102">AB7/AA7-1</f>
        <v>2.0000000000000018E-2</v>
      </c>
      <c r="AC21" s="10">
        <f t="shared" ref="AC21" si="103">AC7/AB7-1</f>
        <v>2.0000000000000018E-2</v>
      </c>
      <c r="AD21" s="10">
        <f t="shared" ref="AD21" si="104">AD7/AC7-1</f>
        <v>2.0000000000000018E-2</v>
      </c>
      <c r="AE21" s="10">
        <f t="shared" ref="AE21" si="105">AE7/AD7-1</f>
        <v>2.0000000000000018E-2</v>
      </c>
      <c r="AF21" s="10">
        <f t="shared" ref="AF21" si="106">AF7/AE7-1</f>
        <v>1.0000000000000009E-2</v>
      </c>
      <c r="AG21" s="10">
        <f t="shared" si="86"/>
        <v>1.0000000000000009E-2</v>
      </c>
      <c r="AH21" s="10">
        <f t="shared" si="87"/>
        <v>1.0000000000000009E-2</v>
      </c>
      <c r="AI21" s="10">
        <f t="shared" si="88"/>
        <v>1.0000000000000009E-2</v>
      </c>
      <c r="AJ21" s="10">
        <f t="shared" si="89"/>
        <v>1.0000000000000009E-2</v>
      </c>
      <c r="AK21" s="10">
        <f t="shared" si="90"/>
        <v>1.0000000000000009E-2</v>
      </c>
      <c r="AM21" t="s">
        <v>35</v>
      </c>
      <c r="AN21" s="5">
        <f>NPV(AN20,Z13:FG13)</f>
        <v>23214.131478274005</v>
      </c>
    </row>
    <row r="22" spans="2:40" x14ac:dyDescent="0.3">
      <c r="B22" t="s">
        <v>23</v>
      </c>
      <c r="C22" s="10">
        <f>C11/C10</f>
        <v>0.23548840907700772</v>
      </c>
      <c r="D22" s="10">
        <f t="shared" ref="D22:AF22" si="107">D11/D10</f>
        <v>0.25686462324393344</v>
      </c>
      <c r="E22" s="10">
        <f t="shared" si="107"/>
        <v>0.69790061633281986</v>
      </c>
      <c r="F22" s="10">
        <f t="shared" si="107"/>
        <v>0.30775803912750149</v>
      </c>
      <c r="G22" s="10">
        <f t="shared" si="107"/>
        <v>0.39700758352121318</v>
      </c>
      <c r="H22" s="10">
        <f t="shared" si="107"/>
        <v>0.22904009720534621</v>
      </c>
      <c r="I22" s="10">
        <f t="shared" ref="I22:J22" si="108">I11/I10</f>
        <v>0.28394059500501406</v>
      </c>
      <c r="J22" s="10">
        <f t="shared" si="108"/>
        <v>0.28206922095559489</v>
      </c>
      <c r="K22" s="10">
        <f t="shared" ref="K22:P22" si="109">K11/K10</f>
        <v>0.26793400286944047</v>
      </c>
      <c r="L22" s="10">
        <f t="shared" si="109"/>
        <v>0.28674904132935664</v>
      </c>
      <c r="M22" s="10">
        <f t="shared" si="109"/>
        <v>0.27297830374753451</v>
      </c>
      <c r="N22" s="10">
        <f t="shared" si="109"/>
        <v>0.27738515901060068</v>
      </c>
      <c r="O22" s="10">
        <f t="shared" si="109"/>
        <v>0.26932084309133492</v>
      </c>
      <c r="P22" s="10">
        <f t="shared" si="109"/>
        <v>0.28122575640031061</v>
      </c>
      <c r="Q22" s="10"/>
      <c r="R22" s="10"/>
      <c r="T22" s="10">
        <f t="shared" si="107"/>
        <v>0.24691955265928681</v>
      </c>
      <c r="U22" s="10">
        <f t="shared" si="107"/>
        <v>0.4961746854870589</v>
      </c>
      <c r="V22" s="10">
        <f t="shared" si="107"/>
        <v>0.25675538570800499</v>
      </c>
      <c r="W22" s="10">
        <f t="shared" si="107"/>
        <v>0.28293545534924847</v>
      </c>
      <c r="X22" s="10">
        <f t="shared" si="107"/>
        <v>0.2765335929892892</v>
      </c>
      <c r="Y22" s="10">
        <f t="shared" si="107"/>
        <v>0.27474604299551147</v>
      </c>
      <c r="Z22" s="10">
        <f t="shared" si="107"/>
        <v>0.27149587750294463</v>
      </c>
      <c r="AA22" s="10">
        <f t="shared" si="107"/>
        <v>0.26</v>
      </c>
      <c r="AB22" s="10">
        <f t="shared" si="107"/>
        <v>0.26</v>
      </c>
      <c r="AC22" s="10">
        <f t="shared" si="107"/>
        <v>0.26</v>
      </c>
      <c r="AD22" s="10">
        <f t="shared" si="107"/>
        <v>0.26</v>
      </c>
      <c r="AE22" s="10">
        <f t="shared" si="107"/>
        <v>0.26</v>
      </c>
      <c r="AF22" s="10">
        <f t="shared" si="107"/>
        <v>0.26</v>
      </c>
      <c r="AG22" s="10">
        <f t="shared" ref="AG22:AK22" si="110">AG11/AG10</f>
        <v>0.26</v>
      </c>
      <c r="AH22" s="10">
        <f t="shared" si="110"/>
        <v>0.26</v>
      </c>
      <c r="AI22" s="10">
        <f t="shared" si="110"/>
        <v>0.26</v>
      </c>
      <c r="AJ22" s="10">
        <f t="shared" si="110"/>
        <v>0.26</v>
      </c>
      <c r="AK22" s="10">
        <f t="shared" si="110"/>
        <v>0.26</v>
      </c>
      <c r="AM22" t="s">
        <v>36</v>
      </c>
      <c r="AN22" s="5">
        <f>Main!D8</f>
        <v>-8755</v>
      </c>
    </row>
    <row r="23" spans="2:40" x14ac:dyDescent="0.3">
      <c r="B23" t="s">
        <v>51</v>
      </c>
      <c r="C23" s="10">
        <f>C13/C3</f>
        <v>0.19101665137828641</v>
      </c>
      <c r="D23" s="10">
        <f t="shared" ref="D23:P23" si="111">D13/D3</f>
        <v>0.1938257779989771</v>
      </c>
      <c r="E23" s="10">
        <f t="shared" si="111"/>
        <v>8.161395056556342E-2</v>
      </c>
      <c r="F23" s="10">
        <f t="shared" si="111"/>
        <v>0.18720209579022701</v>
      </c>
      <c r="G23" s="10">
        <f t="shared" si="111"/>
        <v>5.2767603145975533E-2</v>
      </c>
      <c r="H23" s="10">
        <f t="shared" si="111"/>
        <v>0.24304899053341802</v>
      </c>
      <c r="I23" s="10">
        <f t="shared" si="111"/>
        <v>0.18644994532259676</v>
      </c>
      <c r="J23" s="10">
        <f t="shared" si="111"/>
        <v>0.18177082248015167</v>
      </c>
      <c r="K23" s="10">
        <f t="shared" si="111"/>
        <v>0.20574018126888219</v>
      </c>
      <c r="L23" s="10">
        <f t="shared" si="111"/>
        <v>0.16063717493522695</v>
      </c>
      <c r="M23" s="10">
        <f t="shared" si="111"/>
        <v>0.18214109521460287</v>
      </c>
      <c r="N23" s="10">
        <f t="shared" si="111"/>
        <v>0.13020888559007529</v>
      </c>
      <c r="O23" s="10">
        <f t="shared" si="111"/>
        <v>0.10423597249944555</v>
      </c>
      <c r="P23" s="10">
        <f t="shared" si="111"/>
        <v>2.3052837573385464E-2</v>
      </c>
      <c r="Q23" s="10"/>
      <c r="R23" s="10"/>
      <c r="T23" s="10">
        <f t="shared" ref="T23:AK23" si="112">T13/T3</f>
        <v>0.19250358575066601</v>
      </c>
      <c r="U23" s="10">
        <f t="shared" si="112"/>
        <v>0.13642459155727651</v>
      </c>
      <c r="V23" s="10">
        <f t="shared" si="112"/>
        <v>0.16492877971328687</v>
      </c>
      <c r="W23" s="10">
        <f t="shared" si="112"/>
        <v>0.1839047888920374</v>
      </c>
      <c r="X23" s="10">
        <f t="shared" si="112"/>
        <v>0.18264458748955825</v>
      </c>
      <c r="Y23" s="10">
        <f t="shared" si="112"/>
        <v>0.15710927118470816</v>
      </c>
      <c r="Z23" s="10">
        <f t="shared" si="112"/>
        <v>6.5895079678957774E-2</v>
      </c>
      <c r="AA23" s="10">
        <f t="shared" si="112"/>
        <v>6.6153265214915852E-2</v>
      </c>
      <c r="AB23" s="10">
        <f t="shared" si="112"/>
        <v>8.0343154617962806E-2</v>
      </c>
      <c r="AC23" s="10">
        <f t="shared" si="112"/>
        <v>8.9750604618847499E-2</v>
      </c>
      <c r="AD23" s="10">
        <f t="shared" si="112"/>
        <v>9.4609296661580938E-2</v>
      </c>
      <c r="AE23" s="10">
        <f t="shared" si="112"/>
        <v>9.5018794509197577E-2</v>
      </c>
      <c r="AF23" s="10">
        <f t="shared" si="112"/>
        <v>9.8254788877457658E-2</v>
      </c>
      <c r="AG23" s="10">
        <f t="shared" si="112"/>
        <v>0.1014590578107349</v>
      </c>
      <c r="AH23" s="10">
        <f t="shared" si="112"/>
        <v>0.1046319123427055</v>
      </c>
      <c r="AI23" s="10">
        <f t="shared" si="112"/>
        <v>0.10777366045769593</v>
      </c>
      <c r="AJ23" s="10">
        <f t="shared" si="112"/>
        <v>0.11088460712057863</v>
      </c>
      <c r="AK23" s="10">
        <f t="shared" si="112"/>
        <v>0.1139650543063743</v>
      </c>
      <c r="AM23" t="s">
        <v>37</v>
      </c>
      <c r="AN23" s="5">
        <f>AN21+AN22</f>
        <v>14459.131478274005</v>
      </c>
    </row>
    <row r="24" spans="2:40" x14ac:dyDescent="0.3">
      <c r="AM24" t="s">
        <v>38</v>
      </c>
      <c r="AN24" s="4">
        <f>AN23/AF14</f>
        <v>117.9374508831485</v>
      </c>
    </row>
    <row r="25" spans="2:40" x14ac:dyDescent="0.3">
      <c r="AM25" t="s">
        <v>39</v>
      </c>
      <c r="AN25" s="4">
        <f>Main!D3</f>
        <v>301.2</v>
      </c>
    </row>
    <row r="26" spans="2:40" x14ac:dyDescent="0.3">
      <c r="AM26" s="1" t="s">
        <v>40</v>
      </c>
      <c r="AN26" s="7">
        <f>AN24/AN25-1</f>
        <v>-0.60844139813031706</v>
      </c>
    </row>
    <row r="27" spans="2:40" x14ac:dyDescent="0.3">
      <c r="AM27" t="s">
        <v>41</v>
      </c>
      <c r="AN27" s="6" t="s">
        <v>55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2021-01-24T12:36:14Z</dcterms:created>
  <dcterms:modified xsi:type="dcterms:W3CDTF">2025-11-04T13:12:49Z</dcterms:modified>
</cp:coreProperties>
</file>