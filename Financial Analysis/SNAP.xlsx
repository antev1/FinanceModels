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ntos\Documents\GitHub\FinanceModels\Financial Analysis\"/>
    </mc:Choice>
  </mc:AlternateContent>
  <xr:revisionPtr revIDLastSave="0" documentId="13_ncr:1_{4C8F0344-E64F-491D-B847-B3D2AAA16782}" xr6:coauthVersionLast="47" xr6:coauthVersionMax="47" xr10:uidLastSave="{00000000-0000-0000-0000-000000000000}"/>
  <bookViews>
    <workbookView xWindow="-108" yWindow="-108" windowWidth="23256" windowHeight="12576" activeTab="1" xr2:uid="{48C45758-2500-4F87-8506-866CB0FEFDEC}"/>
  </bookViews>
  <sheets>
    <sheet name="Main" sheetId="1" r:id="rId1"/>
    <sheet name="Model" sheetId="3" r:id="rId2"/>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I23" i="3" l="1"/>
  <c r="AW3" i="3"/>
  <c r="AI19" i="3"/>
  <c r="AH5" i="3"/>
  <c r="D7" i="1"/>
  <c r="AH16" i="3"/>
  <c r="D4" i="1"/>
  <c r="D6" i="1"/>
  <c r="AV45" i="3"/>
  <c r="AW45" i="3" s="1"/>
  <c r="AX45" i="3" s="1"/>
  <c r="AY45" i="3" s="1"/>
  <c r="AZ45" i="3" s="1"/>
  <c r="BA45" i="3" s="1"/>
  <c r="BB45" i="3" s="1"/>
  <c r="BC45" i="3" s="1"/>
  <c r="BD45" i="3" s="1"/>
  <c r="BE45" i="3" s="1"/>
  <c r="BF45" i="3" s="1"/>
  <c r="AV43" i="3"/>
  <c r="AV42" i="3"/>
  <c r="AV41" i="3"/>
  <c r="AV40" i="3"/>
  <c r="AV39" i="3"/>
  <c r="AV38" i="3"/>
  <c r="AV37" i="3"/>
  <c r="AV36" i="3"/>
  <c r="AV35" i="3"/>
  <c r="AV34" i="3"/>
  <c r="AV33" i="3"/>
  <c r="AV32" i="3"/>
  <c r="AW32" i="3" s="1"/>
  <c r="AX32" i="3" s="1"/>
  <c r="AY32" i="3" s="1"/>
  <c r="AZ32" i="3" s="1"/>
  <c r="BA32" i="3" s="1"/>
  <c r="BB32" i="3" s="1"/>
  <c r="BC32" i="3" s="1"/>
  <c r="BD32" i="3" s="1"/>
  <c r="BE32" i="3" s="1"/>
  <c r="BF32" i="3" s="1"/>
  <c r="AV31" i="3"/>
  <c r="AW31" i="3" s="1"/>
  <c r="AX31" i="3" s="1"/>
  <c r="AY31" i="3" s="1"/>
  <c r="AZ31" i="3" s="1"/>
  <c r="BA31" i="3" s="1"/>
  <c r="BB31" i="3" s="1"/>
  <c r="BC31" i="3" s="1"/>
  <c r="BD31" i="3" s="1"/>
  <c r="BE31" i="3" s="1"/>
  <c r="BF31" i="3" s="1"/>
  <c r="AV30" i="3"/>
  <c r="AW30" i="3" s="1"/>
  <c r="AX30" i="3" s="1"/>
  <c r="AY30" i="3" s="1"/>
  <c r="AZ30" i="3" s="1"/>
  <c r="BA30" i="3" s="1"/>
  <c r="BB30" i="3" s="1"/>
  <c r="BC30" i="3" s="1"/>
  <c r="BD30" i="3" s="1"/>
  <c r="BE30" i="3" s="1"/>
  <c r="BF30" i="3" s="1"/>
  <c r="AG5" i="3"/>
  <c r="BF16" i="3"/>
  <c r="BE16" i="3"/>
  <c r="BD16" i="3"/>
  <c r="BC16" i="3"/>
  <c r="BB16" i="3"/>
  <c r="BA16" i="3"/>
  <c r="AZ16" i="3"/>
  <c r="AY16" i="3"/>
  <c r="AX16" i="3"/>
  <c r="AW16" i="3"/>
  <c r="AV16" i="3"/>
  <c r="AG16" i="3"/>
  <c r="AF16" i="3"/>
  <c r="AF5" i="3"/>
  <c r="AE5" i="3"/>
  <c r="BI53" i="3"/>
  <c r="BI27" i="3" l="1"/>
  <c r="AU16" i="3"/>
  <c r="AE16" i="3"/>
  <c r="AD16" i="3"/>
  <c r="AV12" i="3"/>
  <c r="AV11" i="3"/>
  <c r="AW11" i="3" s="1"/>
  <c r="AX11" i="3" s="1"/>
  <c r="AY11" i="3" s="1"/>
  <c r="AZ11" i="3" s="1"/>
  <c r="BA11" i="3" s="1"/>
  <c r="BB11" i="3" s="1"/>
  <c r="BC11" i="3" s="1"/>
  <c r="BD11" i="3" s="1"/>
  <c r="BE11" i="3" s="1"/>
  <c r="BF11" i="3" s="1"/>
  <c r="AV6" i="3"/>
  <c r="AW6" i="3" s="1"/>
  <c r="AX6" i="3" s="1"/>
  <c r="AY6" i="3" s="1"/>
  <c r="AZ6" i="3" s="1"/>
  <c r="BA6" i="3" s="1"/>
  <c r="BB6" i="3" s="1"/>
  <c r="BC6" i="3" s="1"/>
  <c r="BD6" i="3" s="1"/>
  <c r="BE6" i="3" s="1"/>
  <c r="BF6" i="3" s="1"/>
  <c r="AV10" i="3"/>
  <c r="AH24" i="3"/>
  <c r="AG24" i="3"/>
  <c r="AF24" i="3"/>
  <c r="AE24" i="3"/>
  <c r="AH22" i="3"/>
  <c r="AG22" i="3"/>
  <c r="AF22" i="3"/>
  <c r="AE22" i="3"/>
  <c r="AV7" i="3"/>
  <c r="AD5" i="3"/>
  <c r="AV3" i="3" l="1"/>
  <c r="AX3" i="3" s="1"/>
  <c r="AF9" i="3"/>
  <c r="AF13" i="3" s="1"/>
  <c r="AV8" i="3"/>
  <c r="AE9" i="3"/>
  <c r="AE13" i="3" s="1"/>
  <c r="AF19" i="3"/>
  <c r="AF23" i="3"/>
  <c r="AF20" i="3"/>
  <c r="AG23" i="3"/>
  <c r="AH23" i="3"/>
  <c r="AG19" i="3"/>
  <c r="AH19" i="3"/>
  <c r="AE20" i="3"/>
  <c r="AE19" i="3"/>
  <c r="AE23" i="3"/>
  <c r="AY3" i="3" l="1"/>
  <c r="AY5" i="3" s="1"/>
  <c r="AX5" i="3"/>
  <c r="AF25" i="3"/>
  <c r="AV4" i="3"/>
  <c r="AV5" i="3" s="1"/>
  <c r="AG9" i="3"/>
  <c r="AG20" i="3"/>
  <c r="AF21" i="3"/>
  <c r="AH20" i="3"/>
  <c r="AH9" i="3"/>
  <c r="AE21" i="3"/>
  <c r="AD24" i="3"/>
  <c r="AD22" i="3"/>
  <c r="AC5" i="3"/>
  <c r="AC9" i="3" s="1"/>
  <c r="AC13" i="3" s="1"/>
  <c r="AC16" i="3"/>
  <c r="AU12" i="3"/>
  <c r="AU11" i="3"/>
  <c r="AU10" i="3"/>
  <c r="AW10" i="3" s="1"/>
  <c r="AX10" i="3" s="1"/>
  <c r="AY10" i="3" s="1"/>
  <c r="AZ10" i="3" s="1"/>
  <c r="BA10" i="3" s="1"/>
  <c r="BB10" i="3" s="1"/>
  <c r="BC10" i="3" s="1"/>
  <c r="BD10" i="3" s="1"/>
  <c r="BE10" i="3" s="1"/>
  <c r="BF10" i="3" s="1"/>
  <c r="AU8" i="3"/>
  <c r="AU3" i="3"/>
  <c r="AT14" i="3"/>
  <c r="AT12" i="3"/>
  <c r="AT11" i="3"/>
  <c r="AT10" i="3"/>
  <c r="AT8" i="3"/>
  <c r="AT7" i="3"/>
  <c r="AT6" i="3"/>
  <c r="AT4" i="3"/>
  <c r="AT3" i="3"/>
  <c r="AS14" i="3"/>
  <c r="AS12" i="3"/>
  <c r="AS11" i="3"/>
  <c r="AS10" i="3"/>
  <c r="AS8" i="3"/>
  <c r="AS7" i="3"/>
  <c r="AS6" i="3"/>
  <c r="AS4" i="3"/>
  <c r="AS3" i="3"/>
  <c r="AC24" i="3"/>
  <c r="AU7" i="3"/>
  <c r="AB24" i="3"/>
  <c r="AA24" i="3"/>
  <c r="Z24" i="3"/>
  <c r="Y24" i="3"/>
  <c r="X24" i="3"/>
  <c r="W24" i="3"/>
  <c r="V24" i="3"/>
  <c r="U24" i="3"/>
  <c r="T24" i="3"/>
  <c r="S24" i="3"/>
  <c r="AB23" i="3"/>
  <c r="AA23" i="3"/>
  <c r="Z23" i="3"/>
  <c r="Y23" i="3"/>
  <c r="X23" i="3"/>
  <c r="W23" i="3"/>
  <c r="V23" i="3"/>
  <c r="U23" i="3"/>
  <c r="T23" i="3"/>
  <c r="S23" i="3"/>
  <c r="AC22" i="3"/>
  <c r="AB22" i="3"/>
  <c r="AA22" i="3"/>
  <c r="Z22" i="3"/>
  <c r="Y22" i="3"/>
  <c r="X22" i="3"/>
  <c r="W22" i="3"/>
  <c r="V22" i="3"/>
  <c r="U22" i="3"/>
  <c r="T22" i="3"/>
  <c r="S22" i="3"/>
  <c r="AB19" i="3"/>
  <c r="AA19" i="3"/>
  <c r="Z19" i="3"/>
  <c r="Y19" i="3"/>
  <c r="X19" i="3"/>
  <c r="W19" i="3"/>
  <c r="V19" i="3"/>
  <c r="U19" i="3"/>
  <c r="T19" i="3"/>
  <c r="S19" i="3"/>
  <c r="Q5" i="3"/>
  <c r="Q9" i="3" s="1"/>
  <c r="Q13" i="3" s="1"/>
  <c r="Q15" i="3" s="1"/>
  <c r="Q17" i="3" s="1"/>
  <c r="R5" i="3"/>
  <c r="R9" i="3" s="1"/>
  <c r="R13" i="3" s="1"/>
  <c r="R15" i="3" s="1"/>
  <c r="R17" i="3" s="1"/>
  <c r="S5" i="3"/>
  <c r="S9" i="3" s="1"/>
  <c r="S13" i="3" s="1"/>
  <c r="S15" i="3" s="1"/>
  <c r="S17" i="3" s="1"/>
  <c r="P5" i="3"/>
  <c r="P9" i="3" s="1"/>
  <c r="P13" i="3" s="1"/>
  <c r="P15" i="3" s="1"/>
  <c r="P17" i="3" s="1"/>
  <c r="T5" i="3"/>
  <c r="T9" i="3" s="1"/>
  <c r="T13" i="3" s="1"/>
  <c r="T15" i="3" s="1"/>
  <c r="T17" i="3" s="1"/>
  <c r="U5" i="3"/>
  <c r="U9" i="3" s="1"/>
  <c r="U13" i="3" s="1"/>
  <c r="U15" i="3" s="1"/>
  <c r="U17" i="3" s="1"/>
  <c r="Y5" i="3"/>
  <c r="Y9" i="3" s="1"/>
  <c r="Y13" i="3" s="1"/>
  <c r="Y15" i="3" s="1"/>
  <c r="Y17" i="3" s="1"/>
  <c r="AB16" i="3"/>
  <c r="V5" i="3"/>
  <c r="V9" i="3" s="1"/>
  <c r="V13" i="3" s="1"/>
  <c r="V15" i="3" s="1"/>
  <c r="V17" i="3" s="1"/>
  <c r="Z5" i="3"/>
  <c r="Z9" i="3" s="1"/>
  <c r="Z13" i="3" s="1"/>
  <c r="Z15" i="3" s="1"/>
  <c r="W5" i="3"/>
  <c r="W9" i="3" s="1"/>
  <c r="W13" i="3" s="1"/>
  <c r="W15" i="3" s="1"/>
  <c r="W17" i="3" s="1"/>
  <c r="AA5" i="3"/>
  <c r="AA9" i="3" s="1"/>
  <c r="AA13" i="3" s="1"/>
  <c r="AA15" i="3" s="1"/>
  <c r="X5" i="3"/>
  <c r="X9" i="3" s="1"/>
  <c r="X13" i="3" s="1"/>
  <c r="X15" i="3" s="1"/>
  <c r="X17" i="3" s="1"/>
  <c r="AB5" i="3"/>
  <c r="AB9" i="3" s="1"/>
  <c r="AB13" i="3" s="1"/>
  <c r="AB15" i="3" s="1"/>
  <c r="AB29" i="3" s="1"/>
  <c r="AB44" i="3" s="1"/>
  <c r="AB46" i="3" s="1"/>
  <c r="AA17" i="3" l="1"/>
  <c r="AA29" i="3"/>
  <c r="AA44" i="3" s="1"/>
  <c r="AA46" i="3" s="1"/>
  <c r="AF15" i="3"/>
  <c r="AW7" i="3"/>
  <c r="AZ3" i="3"/>
  <c r="AW5" i="3"/>
  <c r="AG13" i="3"/>
  <c r="AG21" i="3"/>
  <c r="AH13" i="3"/>
  <c r="AH21" i="3"/>
  <c r="Z17" i="3"/>
  <c r="Z29" i="3"/>
  <c r="Z44" i="3" s="1"/>
  <c r="Z46" i="3" s="1"/>
  <c r="AE25" i="3"/>
  <c r="AE15" i="3"/>
  <c r="AE29" i="3" s="1"/>
  <c r="AE44" i="3" s="1"/>
  <c r="AE46" i="3" s="1"/>
  <c r="AB17" i="3"/>
  <c r="U20" i="3"/>
  <c r="AS5" i="3"/>
  <c r="Y20" i="3"/>
  <c r="S21" i="3"/>
  <c r="Z25" i="3"/>
  <c r="Y26" i="3"/>
  <c r="AA21" i="3"/>
  <c r="V20" i="3"/>
  <c r="T21" i="3"/>
  <c r="AB21" i="3"/>
  <c r="S25" i="3"/>
  <c r="AA25" i="3"/>
  <c r="Z26" i="3"/>
  <c r="AT5" i="3"/>
  <c r="W20" i="3"/>
  <c r="U21" i="3"/>
  <c r="T25" i="3"/>
  <c r="S26" i="3"/>
  <c r="AA26" i="3"/>
  <c r="X20" i="3"/>
  <c r="V21" i="3"/>
  <c r="U25" i="3"/>
  <c r="T26" i="3"/>
  <c r="W21" i="3"/>
  <c r="V25" i="3"/>
  <c r="U26" i="3"/>
  <c r="Z20" i="3"/>
  <c r="X21" i="3"/>
  <c r="W25" i="3"/>
  <c r="V26" i="3"/>
  <c r="S20" i="3"/>
  <c r="AA20" i="3"/>
  <c r="Y21" i="3"/>
  <c r="X25" i="3"/>
  <c r="W26" i="3"/>
  <c r="T20" i="3"/>
  <c r="AB20" i="3"/>
  <c r="Z21" i="3"/>
  <c r="Y25" i="3"/>
  <c r="X26" i="3"/>
  <c r="AU6" i="3"/>
  <c r="AD9" i="3"/>
  <c r="AD13" i="3" s="1"/>
  <c r="AU4" i="3"/>
  <c r="AU5" i="3" s="1"/>
  <c r="AB26" i="3"/>
  <c r="AB25" i="3"/>
  <c r="AD23" i="3"/>
  <c r="AD20" i="3"/>
  <c r="AD19" i="3"/>
  <c r="AC21" i="3"/>
  <c r="AC19" i="3"/>
  <c r="AC23" i="3"/>
  <c r="AC20" i="3"/>
  <c r="O5" i="3"/>
  <c r="AR10" i="3"/>
  <c r="AR11" i="3"/>
  <c r="Q24" i="3"/>
  <c r="P24" i="3"/>
  <c r="O24" i="3"/>
  <c r="N24" i="3"/>
  <c r="M24" i="3"/>
  <c r="L24" i="3"/>
  <c r="K24" i="3"/>
  <c r="J24" i="3"/>
  <c r="I24" i="3"/>
  <c r="H24" i="3"/>
  <c r="G24" i="3"/>
  <c r="R22" i="3"/>
  <c r="Q22" i="3"/>
  <c r="P22" i="3"/>
  <c r="O22" i="3"/>
  <c r="N22" i="3"/>
  <c r="M22" i="3"/>
  <c r="L22" i="3"/>
  <c r="K22" i="3"/>
  <c r="J22" i="3"/>
  <c r="I22" i="3"/>
  <c r="H22" i="3"/>
  <c r="G22" i="3"/>
  <c r="O19" i="3"/>
  <c r="N5" i="3"/>
  <c r="BA3" i="3" l="1"/>
  <c r="AZ5" i="3"/>
  <c r="AF17" i="3"/>
  <c r="AF29" i="3"/>
  <c r="AF44" i="3" s="1"/>
  <c r="AF46" i="3" s="1"/>
  <c r="AF26" i="3"/>
  <c r="AH25" i="3"/>
  <c r="AG15" i="3"/>
  <c r="AG29" i="3" s="1"/>
  <c r="AG44" i="3" s="1"/>
  <c r="AG46" i="3" s="1"/>
  <c r="AE17" i="3"/>
  <c r="AE26" i="3"/>
  <c r="AD21" i="3"/>
  <c r="AC25" i="3"/>
  <c r="AC15" i="3"/>
  <c r="AC29" i="3" s="1"/>
  <c r="AC44" i="3" s="1"/>
  <c r="AC46" i="3" s="1"/>
  <c r="P19" i="3"/>
  <c r="Q23" i="3"/>
  <c r="R20" i="3"/>
  <c r="O23" i="3"/>
  <c r="P23" i="3"/>
  <c r="AR3" i="3"/>
  <c r="AR8" i="3"/>
  <c r="AR6" i="3"/>
  <c r="R24" i="3"/>
  <c r="R23" i="3"/>
  <c r="R19" i="3"/>
  <c r="Q19" i="3"/>
  <c r="BB3" i="3" l="1"/>
  <c r="BA5" i="3"/>
  <c r="AH15" i="3"/>
  <c r="AH29" i="3" s="1"/>
  <c r="AH44" i="3" s="1"/>
  <c r="AH46" i="3" s="1"/>
  <c r="AX7" i="3"/>
  <c r="AG25" i="3"/>
  <c r="AV14" i="3"/>
  <c r="AG26" i="3"/>
  <c r="AG17" i="3"/>
  <c r="AU14" i="3"/>
  <c r="AD25" i="3"/>
  <c r="AD15" i="3"/>
  <c r="AD29" i="3" s="1"/>
  <c r="AD44" i="3" s="1"/>
  <c r="AD46" i="3" s="1"/>
  <c r="AC17" i="3"/>
  <c r="AC26" i="3"/>
  <c r="BC22" i="3"/>
  <c r="R21" i="3"/>
  <c r="AW8" i="3"/>
  <c r="AX8" i="3" s="1"/>
  <c r="AY8" i="3" s="1"/>
  <c r="AR7" i="3"/>
  <c r="Q21" i="3"/>
  <c r="O20" i="3"/>
  <c r="O9" i="3"/>
  <c r="P21" i="3"/>
  <c r="P20" i="3"/>
  <c r="Q20" i="3"/>
  <c r="M5" i="3"/>
  <c r="M9" i="3" s="1"/>
  <c r="AQ8" i="3"/>
  <c r="AR24" i="3" s="1"/>
  <c r="M23" i="3"/>
  <c r="AQ6" i="3"/>
  <c r="L23" i="3"/>
  <c r="K23" i="3"/>
  <c r="J23" i="3"/>
  <c r="I23" i="3"/>
  <c r="H23" i="3"/>
  <c r="G23" i="3"/>
  <c r="F23" i="3"/>
  <c r="E23" i="3"/>
  <c r="D23" i="3"/>
  <c r="C23" i="3"/>
  <c r="M16" i="3"/>
  <c r="AO12" i="3"/>
  <c r="AQ3" i="3"/>
  <c r="AQ14" i="3"/>
  <c r="AQ12" i="3"/>
  <c r="AQ11" i="3"/>
  <c r="AQ10" i="3"/>
  <c r="AQ16" i="3"/>
  <c r="AP14" i="3"/>
  <c r="AP12" i="3"/>
  <c r="AP11" i="3"/>
  <c r="AP10" i="3"/>
  <c r="AP8" i="3"/>
  <c r="AP7" i="3"/>
  <c r="AP6" i="3"/>
  <c r="AP4" i="3"/>
  <c r="AP3" i="3"/>
  <c r="AP16" i="3"/>
  <c r="AO16" i="3"/>
  <c r="AO14" i="3"/>
  <c r="AO11" i="3"/>
  <c r="AO10" i="3"/>
  <c r="AO8" i="3"/>
  <c r="AO7" i="3"/>
  <c r="AO6" i="3"/>
  <c r="AO4" i="3"/>
  <c r="AO3" i="3"/>
  <c r="L19" i="3"/>
  <c r="K19" i="3"/>
  <c r="J19" i="3"/>
  <c r="I19" i="3"/>
  <c r="H19" i="3"/>
  <c r="G19" i="3"/>
  <c r="C16" i="3"/>
  <c r="C5" i="3"/>
  <c r="C9" i="3" s="1"/>
  <c r="C13" i="3" s="1"/>
  <c r="C15" i="3" s="1"/>
  <c r="C26" i="3" s="1"/>
  <c r="D16" i="3"/>
  <c r="D5" i="3"/>
  <c r="D9" i="3" s="1"/>
  <c r="D13" i="3" s="1"/>
  <c r="D15" i="3" s="1"/>
  <c r="D26" i="3" s="1"/>
  <c r="F16" i="3"/>
  <c r="F5" i="3"/>
  <c r="F9" i="3" s="1"/>
  <c r="F13" i="3" s="1"/>
  <c r="F15" i="3" s="1"/>
  <c r="F26" i="3" s="1"/>
  <c r="J16" i="3"/>
  <c r="J5" i="3"/>
  <c r="J9" i="3" s="1"/>
  <c r="J13" i="3" s="1"/>
  <c r="J15" i="3" s="1"/>
  <c r="J26" i="3" s="1"/>
  <c r="E16" i="3"/>
  <c r="E5" i="3"/>
  <c r="E9" i="3" s="1"/>
  <c r="E13" i="3" s="1"/>
  <c r="E15" i="3" s="1"/>
  <c r="I16" i="3"/>
  <c r="I5" i="3"/>
  <c r="I9" i="3" s="1"/>
  <c r="I13" i="3" s="1"/>
  <c r="I15" i="3" s="1"/>
  <c r="I26" i="3" s="1"/>
  <c r="BC3" i="3" l="1"/>
  <c r="BB5" i="3"/>
  <c r="AH26" i="3"/>
  <c r="AH17" i="3"/>
  <c r="AY7" i="3"/>
  <c r="AD17" i="3"/>
  <c r="AD26" i="3"/>
  <c r="BD22" i="3"/>
  <c r="AO5" i="3"/>
  <c r="AO9" i="3" s="1"/>
  <c r="AZ8" i="3"/>
  <c r="BA8" i="3" s="1"/>
  <c r="BB8" i="3" s="1"/>
  <c r="E17" i="3"/>
  <c r="E26" i="3"/>
  <c r="AQ24" i="3"/>
  <c r="AP24" i="3"/>
  <c r="O21" i="3"/>
  <c r="AR4" i="3"/>
  <c r="AR5" i="3" s="1"/>
  <c r="AS24" i="3"/>
  <c r="AQ22" i="3"/>
  <c r="AP22" i="3"/>
  <c r="I17" i="3"/>
  <c r="F20" i="3"/>
  <c r="AP19" i="3"/>
  <c r="AO23" i="3"/>
  <c r="I25" i="3"/>
  <c r="D17" i="3"/>
  <c r="C17" i="3"/>
  <c r="D20" i="3"/>
  <c r="J17" i="3"/>
  <c r="I20" i="3"/>
  <c r="AP23" i="3"/>
  <c r="D25" i="3"/>
  <c r="F17" i="3"/>
  <c r="E20" i="3"/>
  <c r="D21" i="3"/>
  <c r="F21" i="3"/>
  <c r="E25" i="3"/>
  <c r="E21" i="3"/>
  <c r="F25" i="3"/>
  <c r="C20" i="3"/>
  <c r="C21" i="3"/>
  <c r="J20" i="3"/>
  <c r="I21" i="3"/>
  <c r="C25" i="3"/>
  <c r="J21" i="3"/>
  <c r="J25" i="3"/>
  <c r="AQ19" i="3"/>
  <c r="N20" i="3"/>
  <c r="M20" i="3"/>
  <c r="AQ7" i="3"/>
  <c r="M13" i="3"/>
  <c r="AQ4" i="3"/>
  <c r="AQ5" i="3" s="1"/>
  <c r="M19" i="3"/>
  <c r="N19" i="3"/>
  <c r="AP5" i="3"/>
  <c r="G16" i="3"/>
  <c r="G5" i="3"/>
  <c r="K16" i="3"/>
  <c r="K5" i="3"/>
  <c r="H16" i="3"/>
  <c r="H5" i="3"/>
  <c r="L16" i="3"/>
  <c r="L5" i="3"/>
  <c r="L20" i="3" s="1"/>
  <c r="F3" i="1"/>
  <c r="D8" i="1"/>
  <c r="BI50" i="3" s="1"/>
  <c r="D5" i="1"/>
  <c r="BD3" i="3" l="1"/>
  <c r="BC5" i="3"/>
  <c r="BF22" i="3"/>
  <c r="BE22" i="3"/>
  <c r="BB24" i="3"/>
  <c r="BC8" i="3"/>
  <c r="AO20" i="3"/>
  <c r="AT24" i="3"/>
  <c r="AR22" i="3"/>
  <c r="N23" i="3"/>
  <c r="L9" i="3"/>
  <c r="L21" i="3" s="1"/>
  <c r="K9" i="3"/>
  <c r="K20" i="3"/>
  <c r="G9" i="3"/>
  <c r="G20" i="3"/>
  <c r="AP9" i="3"/>
  <c r="AP20" i="3"/>
  <c r="H9" i="3"/>
  <c r="H20" i="3"/>
  <c r="AO13" i="3"/>
  <c r="AO21" i="3"/>
  <c r="AR9" i="3"/>
  <c r="D9" i="1"/>
  <c r="BI24" i="3"/>
  <c r="N9" i="3"/>
  <c r="N21" i="3" s="1"/>
  <c r="AQ23" i="3"/>
  <c r="M21" i="3"/>
  <c r="AR23" i="3"/>
  <c r="AR19" i="3"/>
  <c r="M25" i="3"/>
  <c r="M15" i="3"/>
  <c r="AQ9" i="3"/>
  <c r="AQ13" i="3" s="1"/>
  <c r="AQ20" i="3"/>
  <c r="BE3" i="3" l="1"/>
  <c r="BD5" i="3"/>
  <c r="BD8" i="3"/>
  <c r="BC24" i="3"/>
  <c r="M17" i="3"/>
  <c r="M26" i="3"/>
  <c r="AU24" i="3"/>
  <c r="AS22" i="3"/>
  <c r="L13" i="3"/>
  <c r="L25" i="3" s="1"/>
  <c r="K13" i="3"/>
  <c r="K21" i="3"/>
  <c r="H13" i="3"/>
  <c r="H21" i="3"/>
  <c r="AO15" i="3"/>
  <c r="AO25" i="3"/>
  <c r="AP13" i="3"/>
  <c r="AP21" i="3"/>
  <c r="G13" i="3"/>
  <c r="G21" i="3"/>
  <c r="N13" i="3"/>
  <c r="N25" i="3" s="1"/>
  <c r="AR21" i="3"/>
  <c r="AS23" i="3"/>
  <c r="AS19" i="3"/>
  <c r="AQ21" i="3"/>
  <c r="BF3" i="3" l="1"/>
  <c r="BF5" i="3" s="1"/>
  <c r="BE5" i="3"/>
  <c r="BE8" i="3"/>
  <c r="BD24" i="3"/>
  <c r="AO17" i="3"/>
  <c r="AO26" i="3"/>
  <c r="AV24" i="3"/>
  <c r="AT22" i="3"/>
  <c r="L15" i="3"/>
  <c r="G15" i="3"/>
  <c r="G25" i="3"/>
  <c r="K15" i="3"/>
  <c r="K25" i="3"/>
  <c r="AP15" i="3"/>
  <c r="AP25" i="3"/>
  <c r="H15" i="3"/>
  <c r="H25" i="3"/>
  <c r="N15" i="3"/>
  <c r="N26" i="3" s="1"/>
  <c r="AS20" i="3"/>
  <c r="AS9" i="3"/>
  <c r="AT23" i="3"/>
  <c r="AT19" i="3"/>
  <c r="AQ15" i="3"/>
  <c r="AQ25" i="3"/>
  <c r="BF8" i="3" l="1"/>
  <c r="BF24" i="3" s="1"/>
  <c r="BE24" i="3"/>
  <c r="L17" i="3"/>
  <c r="L26" i="3"/>
  <c r="H17" i="3"/>
  <c r="H26" i="3"/>
  <c r="AQ17" i="3"/>
  <c r="AQ26" i="3"/>
  <c r="AP17" i="3"/>
  <c r="AP26" i="3"/>
  <c r="K17" i="3"/>
  <c r="K26" i="3"/>
  <c r="G17" i="3"/>
  <c r="G26" i="3"/>
  <c r="N17" i="3"/>
  <c r="O13" i="3"/>
  <c r="AW24" i="3"/>
  <c r="AU22" i="3"/>
  <c r="AT20" i="3"/>
  <c r="AT9" i="3"/>
  <c r="AU23" i="3"/>
  <c r="AU19" i="3"/>
  <c r="AS21" i="3"/>
  <c r="O25" i="3" l="1"/>
  <c r="AX24" i="3"/>
  <c r="AV22" i="3"/>
  <c r="AV23" i="3"/>
  <c r="AV19" i="3"/>
  <c r="AU20" i="3"/>
  <c r="AU9" i="3"/>
  <c r="AT21" i="3"/>
  <c r="AZ7" i="3" l="1"/>
  <c r="O15" i="3"/>
  <c r="O26" i="3" s="1"/>
  <c r="AY24" i="3"/>
  <c r="AW22" i="3"/>
  <c r="AW23" i="3"/>
  <c r="AW19" i="3"/>
  <c r="AV20" i="3"/>
  <c r="AV9" i="3"/>
  <c r="AU21" i="3"/>
  <c r="BA7" i="3" l="1"/>
  <c r="P25" i="3"/>
  <c r="O17" i="3"/>
  <c r="BA24" i="3"/>
  <c r="AZ24" i="3"/>
  <c r="AX22" i="3"/>
  <c r="AX23" i="3"/>
  <c r="AX19" i="3"/>
  <c r="AW4" i="3"/>
  <c r="AW20" i="3"/>
  <c r="AW9" i="3"/>
  <c r="AV21" i="3"/>
  <c r="BB20" i="3" l="1"/>
  <c r="BB7" i="3"/>
  <c r="BB23" i="3" s="1"/>
  <c r="BB19" i="3"/>
  <c r="P26" i="3"/>
  <c r="AY22" i="3"/>
  <c r="AY23" i="3"/>
  <c r="AX20" i="3"/>
  <c r="AX9" i="3"/>
  <c r="AX4" i="3"/>
  <c r="AW21" i="3"/>
  <c r="AY19" i="3"/>
  <c r="BC4" i="3" l="1"/>
  <c r="BC7" i="3"/>
  <c r="BC23" i="3" s="1"/>
  <c r="BC19" i="3"/>
  <c r="BD19" i="3"/>
  <c r="BB4" i="3"/>
  <c r="AS13" i="3"/>
  <c r="AZ22" i="3"/>
  <c r="AX21" i="3"/>
  <c r="AZ23" i="3"/>
  <c r="AZ19" i="3"/>
  <c r="AY20" i="3"/>
  <c r="AY9" i="3"/>
  <c r="AY4" i="3"/>
  <c r="BC20" i="3" l="1"/>
  <c r="BD7" i="3"/>
  <c r="BD23" i="3" s="1"/>
  <c r="BC9" i="3"/>
  <c r="BC21" i="3" s="1"/>
  <c r="BA22" i="3"/>
  <c r="Q26" i="3"/>
  <c r="AS25" i="3"/>
  <c r="AS15" i="3"/>
  <c r="AS29" i="3" s="1"/>
  <c r="AS44" i="3" s="1"/>
  <c r="AS46" i="3" s="1"/>
  <c r="AT13" i="3"/>
  <c r="AZ4" i="3"/>
  <c r="AZ20" i="3"/>
  <c r="AZ9" i="3"/>
  <c r="BA23" i="3"/>
  <c r="BA4" i="3"/>
  <c r="BA19" i="3"/>
  <c r="AY21" i="3"/>
  <c r="BE7" i="3" l="1"/>
  <c r="BE23" i="3" s="1"/>
  <c r="BE19" i="3"/>
  <c r="BD9" i="3"/>
  <c r="BD21" i="3" s="1"/>
  <c r="BD4" i="3"/>
  <c r="BD20" i="3"/>
  <c r="BB22" i="3"/>
  <c r="BB9" i="3"/>
  <c r="BB21" i="3" s="1"/>
  <c r="AS17" i="3"/>
  <c r="AS26" i="3"/>
  <c r="Q25" i="3"/>
  <c r="AT15" i="3"/>
  <c r="AT29" i="3" s="1"/>
  <c r="AT44" i="3" s="1"/>
  <c r="AT46" i="3" s="1"/>
  <c r="AT25" i="3"/>
  <c r="AU13" i="3"/>
  <c r="BA20" i="3"/>
  <c r="BA9" i="3"/>
  <c r="AZ21" i="3"/>
  <c r="BE9" i="3" l="1"/>
  <c r="BE21" i="3" s="1"/>
  <c r="BF4" i="3"/>
  <c r="BF7" i="3"/>
  <c r="BF23" i="3" s="1"/>
  <c r="BF19" i="3"/>
  <c r="BE4" i="3"/>
  <c r="BE20" i="3"/>
  <c r="AT17" i="3"/>
  <c r="AT26" i="3"/>
  <c r="AR12" i="3"/>
  <c r="AR13" i="3" s="1"/>
  <c r="AU15" i="3"/>
  <c r="AU29" i="3" s="1"/>
  <c r="AU44" i="3" s="1"/>
  <c r="AU46" i="3" s="1"/>
  <c r="AU25" i="3"/>
  <c r="BA21" i="3"/>
  <c r="AU26" i="3" l="1"/>
  <c r="BF9" i="3"/>
  <c r="BF21" i="3" s="1"/>
  <c r="BF20" i="3"/>
  <c r="AU17" i="3"/>
  <c r="AV13" i="3"/>
  <c r="AV15" i="3" l="1"/>
  <c r="R25" i="3"/>
  <c r="AR14" i="3"/>
  <c r="AV25" i="3"/>
  <c r="AV29" i="3" l="1"/>
  <c r="AV44" i="3" s="1"/>
  <c r="AV46" i="3" s="1"/>
  <c r="AV26" i="3"/>
  <c r="R26" i="3"/>
  <c r="AV17" i="3"/>
  <c r="AW12" i="3"/>
  <c r="AW13" i="3" s="1"/>
  <c r="AW14" i="3" s="1"/>
  <c r="AW25" i="3" s="1"/>
  <c r="AR25" i="3"/>
  <c r="AR15" i="3"/>
  <c r="AR17" i="3" l="1"/>
  <c r="AR26" i="3"/>
  <c r="AW15" i="3"/>
  <c r="AW29" i="3" l="1"/>
  <c r="AW44" i="3" s="1"/>
  <c r="AW46" i="3" s="1"/>
  <c r="AW26" i="3"/>
  <c r="AX12" i="3"/>
  <c r="AX13" i="3" s="1"/>
  <c r="AX14" i="3" s="1"/>
  <c r="AX25" i="3" s="1"/>
  <c r="AW17" i="3"/>
  <c r="AR20" i="3"/>
  <c r="AX15" i="3" l="1"/>
  <c r="AX29" i="3" l="1"/>
  <c r="AX44" i="3" s="1"/>
  <c r="AX46" i="3" s="1"/>
  <c r="AY12" i="3"/>
  <c r="AY13" i="3" s="1"/>
  <c r="AY14" i="3" s="1"/>
  <c r="AY25" i="3" s="1"/>
  <c r="AX17" i="3"/>
  <c r="AX26" i="3"/>
  <c r="AY15" i="3" l="1"/>
  <c r="AY29" i="3" l="1"/>
  <c r="AY44" i="3" s="1"/>
  <c r="AY46" i="3" s="1"/>
  <c r="AY26" i="3"/>
  <c r="AZ12" i="3"/>
  <c r="AZ13" i="3" s="1"/>
  <c r="AZ14" i="3" s="1"/>
  <c r="AZ25" i="3" s="1"/>
  <c r="AY17" i="3"/>
  <c r="AZ15" i="3" l="1"/>
  <c r="AZ29" i="3" l="1"/>
  <c r="AZ44" i="3" s="1"/>
  <c r="AZ46" i="3" s="1"/>
  <c r="AZ26" i="3"/>
  <c r="AZ17" i="3"/>
  <c r="BA12" i="3"/>
  <c r="BA13" i="3" s="1"/>
  <c r="BA14" i="3" s="1"/>
  <c r="BA25" i="3" l="1"/>
  <c r="BA15" i="3" l="1"/>
  <c r="BB12" i="3" l="1"/>
  <c r="BB13" i="3" s="1"/>
  <c r="BB14" i="3" s="1"/>
  <c r="BB25" i="3" s="1"/>
  <c r="BA29" i="3"/>
  <c r="BA44" i="3" s="1"/>
  <c r="BA46" i="3" s="1"/>
  <c r="BA26" i="3"/>
  <c r="BA17" i="3"/>
  <c r="BB15" i="3" l="1"/>
  <c r="BC12" i="3" l="1"/>
  <c r="BC13" i="3" s="1"/>
  <c r="BC14" i="3" s="1"/>
  <c r="BC25" i="3" s="1"/>
  <c r="BB29" i="3"/>
  <c r="BB44" i="3" s="1"/>
  <c r="BB46" i="3" s="1"/>
  <c r="BB17" i="3"/>
  <c r="BB26" i="3"/>
  <c r="BC15" i="3" l="1"/>
  <c r="BC26" i="3" l="1"/>
  <c r="BC29" i="3"/>
  <c r="BC44" i="3" s="1"/>
  <c r="BC46" i="3" s="1"/>
  <c r="BC17" i="3"/>
  <c r="BD12" i="3"/>
  <c r="BD13" i="3" s="1"/>
  <c r="BD14" i="3" s="1"/>
  <c r="BD15" i="3" l="1"/>
  <c r="BD25" i="3"/>
  <c r="BD26" i="3" l="1"/>
  <c r="BD29" i="3"/>
  <c r="BD44" i="3" s="1"/>
  <c r="BD46" i="3" s="1"/>
  <c r="BD17" i="3"/>
  <c r="BE12" i="3"/>
  <c r="BE13" i="3" s="1"/>
  <c r="BE14" i="3" s="1"/>
  <c r="BE15" i="3" l="1"/>
  <c r="BE25" i="3"/>
  <c r="BE26" i="3" l="1"/>
  <c r="BE29" i="3"/>
  <c r="BE44" i="3" s="1"/>
  <c r="BE46" i="3" s="1"/>
  <c r="BE17" i="3"/>
  <c r="BF12" i="3"/>
  <c r="BF13" i="3" s="1"/>
  <c r="BF14" i="3" s="1"/>
  <c r="BF15" i="3" l="1"/>
  <c r="BF29" i="3" s="1"/>
  <c r="BF44" i="3" s="1"/>
  <c r="BF46" i="3" s="1"/>
  <c r="BG46" i="3" s="1"/>
  <c r="BH46" i="3" s="1"/>
  <c r="BI46" i="3" s="1"/>
  <c r="BJ46" i="3" s="1"/>
  <c r="BK46" i="3" s="1"/>
  <c r="BL46" i="3" s="1"/>
  <c r="BM46" i="3" s="1"/>
  <c r="BN46" i="3" s="1"/>
  <c r="BO46" i="3" s="1"/>
  <c r="BP46" i="3" s="1"/>
  <c r="BQ46" i="3" s="1"/>
  <c r="BR46" i="3" s="1"/>
  <c r="BS46" i="3" s="1"/>
  <c r="BT46" i="3" s="1"/>
  <c r="BU46" i="3" s="1"/>
  <c r="BV46" i="3" s="1"/>
  <c r="BW46" i="3" s="1"/>
  <c r="BX46" i="3" s="1"/>
  <c r="BY46" i="3" s="1"/>
  <c r="BZ46" i="3" s="1"/>
  <c r="CA46" i="3" s="1"/>
  <c r="CB46" i="3" s="1"/>
  <c r="CC46" i="3" s="1"/>
  <c r="CD46" i="3" s="1"/>
  <c r="CE46" i="3" s="1"/>
  <c r="CF46" i="3" s="1"/>
  <c r="CG46" i="3" s="1"/>
  <c r="CH46" i="3" s="1"/>
  <c r="CI46" i="3" s="1"/>
  <c r="CJ46" i="3" s="1"/>
  <c r="CK46" i="3" s="1"/>
  <c r="CL46" i="3" s="1"/>
  <c r="CM46" i="3" s="1"/>
  <c r="CN46" i="3" s="1"/>
  <c r="CO46" i="3" s="1"/>
  <c r="CP46" i="3" s="1"/>
  <c r="CQ46" i="3" s="1"/>
  <c r="CR46" i="3" s="1"/>
  <c r="CS46" i="3" s="1"/>
  <c r="CT46" i="3" s="1"/>
  <c r="CU46" i="3" s="1"/>
  <c r="CV46" i="3" s="1"/>
  <c r="CW46" i="3" s="1"/>
  <c r="CX46" i="3" s="1"/>
  <c r="CY46" i="3" s="1"/>
  <c r="CZ46" i="3" s="1"/>
  <c r="DA46" i="3" s="1"/>
  <c r="DB46" i="3" s="1"/>
  <c r="DC46" i="3" s="1"/>
  <c r="DD46" i="3" s="1"/>
  <c r="DE46" i="3" s="1"/>
  <c r="DF46" i="3" s="1"/>
  <c r="DG46" i="3" s="1"/>
  <c r="DH46" i="3" s="1"/>
  <c r="DI46" i="3" s="1"/>
  <c r="DJ46" i="3" s="1"/>
  <c r="DK46" i="3" s="1"/>
  <c r="DL46" i="3" s="1"/>
  <c r="DM46" i="3" s="1"/>
  <c r="DN46" i="3" s="1"/>
  <c r="DO46" i="3" s="1"/>
  <c r="DP46" i="3" s="1"/>
  <c r="DQ46" i="3" s="1"/>
  <c r="DR46" i="3" s="1"/>
  <c r="DS46" i="3" s="1"/>
  <c r="DT46" i="3" s="1"/>
  <c r="DU46" i="3" s="1"/>
  <c r="DV46" i="3" s="1"/>
  <c r="DW46" i="3" s="1"/>
  <c r="DX46" i="3" s="1"/>
  <c r="DY46" i="3" s="1"/>
  <c r="DZ46" i="3" s="1"/>
  <c r="EA46" i="3" s="1"/>
  <c r="EB46" i="3" s="1"/>
  <c r="EC46" i="3" s="1"/>
  <c r="ED46" i="3" s="1"/>
  <c r="EE46" i="3" s="1"/>
  <c r="EF46" i="3" s="1"/>
  <c r="EG46" i="3" s="1"/>
  <c r="EH46" i="3" s="1"/>
  <c r="EI46" i="3" s="1"/>
  <c r="EJ46" i="3" s="1"/>
  <c r="EK46" i="3" s="1"/>
  <c r="EL46" i="3" s="1"/>
  <c r="EM46" i="3" s="1"/>
  <c r="EN46" i="3" s="1"/>
  <c r="EO46" i="3" s="1"/>
  <c r="EP46" i="3" s="1"/>
  <c r="EQ46" i="3" s="1"/>
  <c r="ER46" i="3" s="1"/>
  <c r="ES46" i="3" s="1"/>
  <c r="ET46" i="3" s="1"/>
  <c r="EU46" i="3" s="1"/>
  <c r="BF25" i="3"/>
  <c r="BI49" i="3" l="1"/>
  <c r="BI51" i="3" s="1"/>
  <c r="BI52" i="3" s="1"/>
  <c r="BI54" i="3" s="1"/>
  <c r="BF17" i="3"/>
  <c r="BF26" i="3"/>
  <c r="BG15" i="3" l="1"/>
  <c r="BH15" i="3" s="1"/>
  <c r="BI15" i="3" s="1"/>
  <c r="BJ15" i="3" s="1"/>
  <c r="BK15" i="3" s="1"/>
  <c r="BL15" i="3" s="1"/>
  <c r="BM15" i="3" s="1"/>
  <c r="BN15" i="3" s="1"/>
  <c r="BO15" i="3" s="1"/>
  <c r="BP15" i="3" s="1"/>
  <c r="BQ15" i="3" s="1"/>
  <c r="BR15" i="3" s="1"/>
  <c r="BS15" i="3" s="1"/>
  <c r="BT15" i="3" s="1"/>
  <c r="BU15" i="3" s="1"/>
  <c r="BV15" i="3" s="1"/>
  <c r="BW15" i="3" s="1"/>
  <c r="BX15" i="3" s="1"/>
  <c r="BY15" i="3" s="1"/>
  <c r="BZ15" i="3" s="1"/>
  <c r="CA15" i="3" s="1"/>
  <c r="CB15" i="3" s="1"/>
  <c r="CC15" i="3" s="1"/>
  <c r="CD15" i="3" s="1"/>
  <c r="CE15" i="3" s="1"/>
  <c r="CF15" i="3" s="1"/>
  <c r="CG15" i="3" s="1"/>
  <c r="CH15" i="3" s="1"/>
  <c r="CI15" i="3" s="1"/>
  <c r="CJ15" i="3" s="1"/>
  <c r="CK15" i="3" s="1"/>
  <c r="CL15" i="3" s="1"/>
  <c r="CM15" i="3" s="1"/>
  <c r="CN15" i="3" s="1"/>
  <c r="CO15" i="3" s="1"/>
  <c r="CP15" i="3" s="1"/>
  <c r="CQ15" i="3" s="1"/>
  <c r="CR15" i="3" s="1"/>
  <c r="CS15" i="3" s="1"/>
  <c r="CT15" i="3" s="1"/>
  <c r="CU15" i="3" s="1"/>
  <c r="CV15" i="3" s="1"/>
  <c r="CW15" i="3" s="1"/>
  <c r="CX15" i="3" s="1"/>
  <c r="CY15" i="3" s="1"/>
  <c r="CZ15" i="3" s="1"/>
  <c r="DA15" i="3" s="1"/>
  <c r="DB15" i="3" s="1"/>
  <c r="DC15" i="3" s="1"/>
  <c r="DD15" i="3" s="1"/>
  <c r="DE15" i="3" s="1"/>
  <c r="DF15" i="3" s="1"/>
  <c r="DG15" i="3" s="1"/>
  <c r="DH15" i="3" s="1"/>
  <c r="DI15" i="3" s="1"/>
  <c r="DJ15" i="3" s="1"/>
  <c r="DK15" i="3" s="1"/>
  <c r="DL15" i="3" s="1"/>
  <c r="DM15" i="3" s="1"/>
  <c r="DN15" i="3" s="1"/>
  <c r="DO15" i="3" s="1"/>
  <c r="DP15" i="3" s="1"/>
  <c r="DQ15" i="3" s="1"/>
  <c r="DR15" i="3" s="1"/>
  <c r="DS15" i="3" s="1"/>
  <c r="DT15" i="3" s="1"/>
  <c r="DU15" i="3" s="1"/>
  <c r="DV15" i="3" s="1"/>
  <c r="DW15" i="3" s="1"/>
  <c r="DX15" i="3" s="1"/>
  <c r="DY15" i="3" s="1"/>
  <c r="DZ15" i="3" s="1"/>
  <c r="EA15" i="3" s="1"/>
  <c r="EB15" i="3" s="1"/>
  <c r="EC15" i="3" s="1"/>
  <c r="ED15" i="3" s="1"/>
  <c r="EE15" i="3" s="1"/>
  <c r="EF15" i="3" s="1"/>
  <c r="EG15" i="3" s="1"/>
  <c r="EH15" i="3" s="1"/>
  <c r="EI15" i="3" s="1"/>
  <c r="EJ15" i="3" s="1"/>
  <c r="EK15" i="3" s="1"/>
  <c r="EL15" i="3" s="1"/>
  <c r="EM15" i="3" s="1"/>
  <c r="EN15" i="3" s="1"/>
  <c r="EO15" i="3" s="1"/>
  <c r="EP15" i="3" s="1"/>
  <c r="EQ15" i="3" s="1"/>
  <c r="ER15" i="3" s="1"/>
  <c r="ES15" i="3" s="1"/>
  <c r="ET15" i="3" s="1"/>
  <c r="EU15" i="3" s="1"/>
  <c r="EV15" i="3" s="1"/>
  <c r="EW15" i="3" s="1"/>
  <c r="EX15" i="3" s="1"/>
  <c r="EY15" i="3" s="1"/>
  <c r="EZ15" i="3" s="1"/>
  <c r="FA15" i="3" s="1"/>
  <c r="FB15" i="3" s="1"/>
  <c r="FC15" i="3" s="1"/>
  <c r="FD15" i="3" s="1"/>
  <c r="FE15" i="3" s="1"/>
  <c r="FF15" i="3" s="1"/>
  <c r="FG15" i="3" s="1"/>
  <c r="FH15" i="3" s="1"/>
  <c r="FI15" i="3" s="1"/>
  <c r="FJ15" i="3" s="1"/>
  <c r="FK15" i="3" s="1"/>
  <c r="FL15" i="3" s="1"/>
  <c r="FM15" i="3" s="1"/>
  <c r="FN15" i="3" s="1"/>
  <c r="FO15" i="3" s="1"/>
  <c r="BI25" i="3" l="1"/>
  <c r="BI26" i="3" l="1"/>
  <c r="BI28"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AI3" authorId="0" shapeId="0" xr:uid="{363ABB29-6B4E-4174-9FFA-A5F32C46D714}">
      <text>
        <r>
          <rPr>
            <b/>
            <sz val="9"/>
            <color indexed="81"/>
            <rFont val="Tahoma"/>
            <family val="2"/>
          </rPr>
          <t>Anton Mniszek:</t>
        </r>
        <r>
          <rPr>
            <sz val="9"/>
            <color indexed="81"/>
            <rFont val="Tahoma"/>
            <family val="2"/>
          </rPr>
          <t xml:space="preserve">
(Q425) our guidance range for revenue is 1.5 to 1.53 billion. Our Q1 revenue guidance range excludes any potential revenue from the perplexity integration as we have yet to mutually agree on a path to a broader rollout</t>
        </r>
      </text>
    </comment>
  </commentList>
</comments>
</file>

<file path=xl/sharedStrings.xml><?xml version="1.0" encoding="utf-8"?>
<sst xmlns="http://schemas.openxmlformats.org/spreadsheetml/2006/main" count="102" uniqueCount="94">
  <si>
    <t>SNAP</t>
  </si>
  <si>
    <t>Price</t>
  </si>
  <si>
    <t>Shares</t>
  </si>
  <si>
    <t>MC</t>
  </si>
  <si>
    <t>Cash</t>
  </si>
  <si>
    <t>Debt</t>
  </si>
  <si>
    <t>Net Cash</t>
  </si>
  <si>
    <t>EV</t>
  </si>
  <si>
    <t>Time last checked</t>
  </si>
  <si>
    <t>Today</t>
  </si>
  <si>
    <t>Q220</t>
  </si>
  <si>
    <t>Revenue</t>
  </si>
  <si>
    <t>Q118</t>
  </si>
  <si>
    <t>Q218</t>
  </si>
  <si>
    <t>Q318</t>
  </si>
  <si>
    <t>Q418</t>
  </si>
  <si>
    <t>Q119</t>
  </si>
  <si>
    <t>Q219</t>
  </si>
  <si>
    <t>Q319</t>
  </si>
  <si>
    <t>Q419</t>
  </si>
  <si>
    <t>Q120</t>
  </si>
  <si>
    <t>Q320</t>
  </si>
  <si>
    <t>Q420</t>
  </si>
  <si>
    <t>Cost of sales</t>
  </si>
  <si>
    <t>Gross profit</t>
  </si>
  <si>
    <t>R&amp;D</t>
  </si>
  <si>
    <t>S&amp;M</t>
  </si>
  <si>
    <t>G&amp;A</t>
  </si>
  <si>
    <t>Operating profit</t>
  </si>
  <si>
    <t>Other income</t>
  </si>
  <si>
    <t>Pretax profit</t>
  </si>
  <si>
    <t>Taxes</t>
  </si>
  <si>
    <t>Net profit</t>
  </si>
  <si>
    <t>EPS</t>
  </si>
  <si>
    <t>Interest income</t>
  </si>
  <si>
    <t>Interest expense</t>
  </si>
  <si>
    <t>Revenue y/y</t>
  </si>
  <si>
    <t>Gross Margin</t>
  </si>
  <si>
    <t>Operating Margin</t>
  </si>
  <si>
    <t>S&amp;M Margin</t>
  </si>
  <si>
    <t>Maturity</t>
  </si>
  <si>
    <t>Discount rate</t>
  </si>
  <si>
    <t>NPV</t>
  </si>
  <si>
    <t>Net cash</t>
  </si>
  <si>
    <t>Value</t>
  </si>
  <si>
    <t>Per share</t>
  </si>
  <si>
    <t>Current price</t>
  </si>
  <si>
    <t>Variance</t>
  </si>
  <si>
    <t>Consensus</t>
  </si>
  <si>
    <t>Heavily overvalued</t>
  </si>
  <si>
    <t>Earnings</t>
  </si>
  <si>
    <t>Q121</t>
  </si>
  <si>
    <t>Q221</t>
  </si>
  <si>
    <t>Q321</t>
  </si>
  <si>
    <t>Q421</t>
  </si>
  <si>
    <t>R&amp;D y/y</t>
  </si>
  <si>
    <t>G&amp;A y/y</t>
  </si>
  <si>
    <t>Net Margin</t>
  </si>
  <si>
    <t>Q224</t>
  </si>
  <si>
    <t>Q122</t>
  </si>
  <si>
    <t>Q222</t>
  </si>
  <si>
    <t>Q322</t>
  </si>
  <si>
    <t>Q422</t>
  </si>
  <si>
    <t>Q123</t>
  </si>
  <si>
    <t>Q223</t>
  </si>
  <si>
    <t>Q323</t>
  </si>
  <si>
    <t>Q423</t>
  </si>
  <si>
    <t>Q124</t>
  </si>
  <si>
    <t>Q324</t>
  </si>
  <si>
    <t>Q424</t>
  </si>
  <si>
    <t>Q125</t>
  </si>
  <si>
    <t>Q225</t>
  </si>
  <si>
    <t>Q325</t>
  </si>
  <si>
    <t>Q425</t>
  </si>
  <si>
    <t>Net income</t>
  </si>
  <si>
    <t>D&amp;A</t>
  </si>
  <si>
    <t>SBC</t>
  </si>
  <si>
    <t>Amortisation</t>
  </si>
  <si>
    <t>Investments</t>
  </si>
  <si>
    <t>Other</t>
  </si>
  <si>
    <t>A/R</t>
  </si>
  <si>
    <t>Prepaids</t>
  </si>
  <si>
    <t>Leases</t>
  </si>
  <si>
    <t>A/P</t>
  </si>
  <si>
    <t>A/L</t>
  </si>
  <si>
    <t>CFFO</t>
  </si>
  <si>
    <t>PP&amp;E</t>
  </si>
  <si>
    <t>FCF</t>
  </si>
  <si>
    <t>Q126</t>
  </si>
  <si>
    <t>Q226</t>
  </si>
  <si>
    <t>Q326</t>
  </si>
  <si>
    <t>Q426</t>
  </si>
  <si>
    <t>Q425 8K</t>
  </si>
  <si>
    <t>Slightly undervalued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</si>
</sst>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0.00"/>
  </numFmts>
  <fonts count="6" x14ac:knownFonts="1">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
      <sz val="9"/>
      <color indexed="81"/>
      <name val="Tahoma"/>
      <family val="2"/>
    </font>
    <font>
      <b/>
      <sz val="9"/>
      <color indexed="81"/>
      <name val="Tahoma"/>
      <family val="2"/>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applyAlignment="1">
      <alignment horizontal="right"/>
    </xf>
    <xf numFmtId="14" fontId="2" fillId="0" borderId="0" xfId="0" applyNumberFormat="1" applyFont="1" applyAlignment="1">
      <alignment horizontal="right"/>
    </xf>
    <xf numFmtId="3" fontId="0" fillId="0" borderId="0" xfId="0" applyNumberFormat="1"/>
    <xf numFmtId="164" fontId="0" fillId="0" borderId="0" xfId="0" applyNumberFormat="1"/>
    <xf numFmtId="0" fontId="0" fillId="0" borderId="0" xfId="0" applyAlignment="1">
      <alignment horizontal="right"/>
    </xf>
    <xf numFmtId="4" fontId="1" fillId="0" borderId="0" xfId="0" applyNumberFormat="1" applyFont="1"/>
    <xf numFmtId="3" fontId="1" fillId="0" borderId="0" xfId="0" applyNumberFormat="1" applyFont="1"/>
    <xf numFmtId="9" fontId="0" fillId="0" borderId="0" xfId="0" applyNumberFormat="1"/>
    <xf numFmtId="9" fontId="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34</xdr:col>
      <xdr:colOff>22860</xdr:colOff>
      <xdr:row>0</xdr:row>
      <xdr:rowOff>0</xdr:rowOff>
    </xdr:from>
    <xdr:to>
      <xdr:col>34</xdr:col>
      <xdr:colOff>22860</xdr:colOff>
      <xdr:row>50</xdr:row>
      <xdr:rowOff>160020</xdr:rowOff>
    </xdr:to>
    <xdr:cxnSp macro="">
      <xdr:nvCxnSpPr>
        <xdr:cNvPr id="3" name="Straight Connector 2">
          <a:extLst>
            <a:ext uri="{FF2B5EF4-FFF2-40B4-BE49-F238E27FC236}">
              <a16:creationId xmlns:a16="http://schemas.microsoft.com/office/drawing/2014/main" id="{1951E576-C950-4826-B846-76E32E1C1719}"/>
            </a:ext>
          </a:extLst>
        </xdr:cNvPr>
        <xdr:cNvCxnSpPr/>
      </xdr:nvCxnSpPr>
      <xdr:spPr>
        <a:xfrm>
          <a:off x="21183600" y="0"/>
          <a:ext cx="0" cy="930402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30480</xdr:colOff>
      <xdr:row>0</xdr:row>
      <xdr:rowOff>0</xdr:rowOff>
    </xdr:from>
    <xdr:to>
      <xdr:col>48</xdr:col>
      <xdr:colOff>30480</xdr:colOff>
      <xdr:row>52</xdr:row>
      <xdr:rowOff>106680</xdr:rowOff>
    </xdr:to>
    <xdr:cxnSp macro="">
      <xdr:nvCxnSpPr>
        <xdr:cNvPr id="4" name="Straight Connector 3">
          <a:extLst>
            <a:ext uri="{FF2B5EF4-FFF2-40B4-BE49-F238E27FC236}">
              <a16:creationId xmlns:a16="http://schemas.microsoft.com/office/drawing/2014/main" id="{6FA994D4-AF9E-4E70-B948-27C2DF60CEA3}"/>
            </a:ext>
          </a:extLst>
        </xdr:cNvPr>
        <xdr:cNvCxnSpPr/>
      </xdr:nvCxnSpPr>
      <xdr:spPr>
        <a:xfrm>
          <a:off x="29725620" y="0"/>
          <a:ext cx="0" cy="96164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D21A9-9F6D-4C75-8A6B-B7E93A010B62}">
  <dimension ref="B2:G9"/>
  <sheetViews>
    <sheetView workbookViewId="0">
      <selection activeCell="E7" sqref="E7"/>
    </sheetView>
  </sheetViews>
  <sheetFormatPr defaultRowHeight="14.4" x14ac:dyDescent="0.3"/>
  <cols>
    <col min="5" max="7" width="15.77734375" style="2" customWidth="1"/>
  </cols>
  <sheetData>
    <row r="2" spans="2:7" x14ac:dyDescent="0.3">
      <c r="E2" s="2" t="s">
        <v>8</v>
      </c>
      <c r="F2" s="2" t="s">
        <v>9</v>
      </c>
      <c r="G2" s="2" t="s">
        <v>50</v>
      </c>
    </row>
    <row r="3" spans="2:7" x14ac:dyDescent="0.3">
      <c r="B3" s="1" t="s">
        <v>0</v>
      </c>
      <c r="C3" t="s">
        <v>1</v>
      </c>
      <c r="D3" s="5">
        <v>5.12</v>
      </c>
      <c r="E3" s="3">
        <v>46059</v>
      </c>
      <c r="F3" s="3">
        <f ca="1">TODAY()</f>
        <v>46059</v>
      </c>
      <c r="G3" s="3">
        <v>46128</v>
      </c>
    </row>
    <row r="4" spans="2:7" x14ac:dyDescent="0.3">
      <c r="C4" t="s">
        <v>2</v>
      </c>
      <c r="D4" s="4">
        <f>1710.5</f>
        <v>1710.5</v>
      </c>
      <c r="E4" s="2" t="s">
        <v>92</v>
      </c>
    </row>
    <row r="5" spans="2:7" x14ac:dyDescent="0.3">
      <c r="C5" t="s">
        <v>3</v>
      </c>
      <c r="D5" s="4">
        <f>D3*D4</f>
        <v>8757.76</v>
      </c>
    </row>
    <row r="6" spans="2:7" x14ac:dyDescent="0.3">
      <c r="C6" t="s">
        <v>4</v>
      </c>
      <c r="D6" s="4">
        <f>1030.5+1910.1</f>
        <v>2940.6</v>
      </c>
      <c r="E6" s="2" t="s">
        <v>73</v>
      </c>
    </row>
    <row r="7" spans="2:7" x14ac:dyDescent="0.3">
      <c r="C7" t="s">
        <v>5</v>
      </c>
      <c r="D7" s="4">
        <f>47+3489.9</f>
        <v>3536.9</v>
      </c>
      <c r="E7" s="2" t="s">
        <v>73</v>
      </c>
    </row>
    <row r="8" spans="2:7" x14ac:dyDescent="0.3">
      <c r="C8" t="s">
        <v>6</v>
      </c>
      <c r="D8" s="4">
        <f>D6-D7</f>
        <v>-596.30000000000018</v>
      </c>
    </row>
    <row r="9" spans="2:7" x14ac:dyDescent="0.3">
      <c r="C9" t="s">
        <v>7</v>
      </c>
      <c r="D9" s="4">
        <f>D5-D8</f>
        <v>9354.0600000000013</v>
      </c>
    </row>
  </sheetData>
  <pageMargins left="0.7" right="0.7" top="0.75" bottom="0.75" header="0.3" footer="0.3"/>
  <pageSetup paperSize="9" orientation="portrait" horizontalDpi="4294967293" verticalDpi="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9429E-4E4D-4756-99DE-9A816F2CA7A1}">
  <dimension ref="B2:FO55"/>
  <sheetViews>
    <sheetView tabSelected="1" workbookViewId="0">
      <pane xSplit="2" ySplit="2" topLeftCell="AQ6" activePane="bottomRight" state="frozen"/>
      <selection pane="topRight" activeCell="C1" sqref="C1"/>
      <selection pane="bottomLeft" activeCell="A3" sqref="A3"/>
      <selection pane="bottomRight" activeCell="BI32" sqref="BI32"/>
    </sheetView>
  </sheetViews>
  <sheetFormatPr defaultRowHeight="14.4" x14ac:dyDescent="0.3"/>
  <cols>
    <col min="2" max="2" width="15.21875" bestFit="1" customWidth="1"/>
    <col min="14" max="14" width="8.88671875" customWidth="1"/>
    <col min="55" max="57" width="8.88671875" customWidth="1"/>
    <col min="60" max="60" width="12" bestFit="1" customWidth="1"/>
    <col min="61" max="61" width="17.5546875" customWidth="1"/>
  </cols>
  <sheetData>
    <row r="2" spans="2:171" x14ac:dyDescent="0.3">
      <c r="C2" s="6" t="s">
        <v>12</v>
      </c>
      <c r="D2" s="6" t="s">
        <v>13</v>
      </c>
      <c r="E2" s="6" t="s">
        <v>14</v>
      </c>
      <c r="F2" s="6" t="s">
        <v>15</v>
      </c>
      <c r="G2" s="6" t="s">
        <v>16</v>
      </c>
      <c r="H2" s="6" t="s">
        <v>17</v>
      </c>
      <c r="I2" s="6" t="s">
        <v>18</v>
      </c>
      <c r="J2" s="6" t="s">
        <v>19</v>
      </c>
      <c r="K2" s="6" t="s">
        <v>20</v>
      </c>
      <c r="L2" s="6" t="s">
        <v>10</v>
      </c>
      <c r="M2" s="6" t="s">
        <v>21</v>
      </c>
      <c r="N2" s="6" t="s">
        <v>22</v>
      </c>
      <c r="O2" s="6" t="s">
        <v>51</v>
      </c>
      <c r="P2" s="6" t="s">
        <v>52</v>
      </c>
      <c r="Q2" s="6" t="s">
        <v>53</v>
      </c>
      <c r="R2" s="6" t="s">
        <v>54</v>
      </c>
      <c r="S2" s="6" t="s">
        <v>59</v>
      </c>
      <c r="T2" s="6" t="s">
        <v>60</v>
      </c>
      <c r="U2" s="6" t="s">
        <v>61</v>
      </c>
      <c r="V2" s="6" t="s">
        <v>62</v>
      </c>
      <c r="W2" s="6" t="s">
        <v>63</v>
      </c>
      <c r="X2" s="6" t="s">
        <v>64</v>
      </c>
      <c r="Y2" s="6" t="s">
        <v>65</v>
      </c>
      <c r="Z2" s="6" t="s">
        <v>66</v>
      </c>
      <c r="AA2" s="6" t="s">
        <v>67</v>
      </c>
      <c r="AB2" s="6" t="s">
        <v>58</v>
      </c>
      <c r="AC2" s="6" t="s">
        <v>68</v>
      </c>
      <c r="AD2" s="6" t="s">
        <v>69</v>
      </c>
      <c r="AE2" s="6" t="s">
        <v>70</v>
      </c>
      <c r="AF2" s="6" t="s">
        <v>71</v>
      </c>
      <c r="AG2" s="6" t="s">
        <v>72</v>
      </c>
      <c r="AH2" s="6" t="s">
        <v>73</v>
      </c>
      <c r="AI2" s="6" t="s">
        <v>88</v>
      </c>
      <c r="AJ2" s="6" t="s">
        <v>89</v>
      </c>
      <c r="AK2" s="6" t="s">
        <v>90</v>
      </c>
      <c r="AL2" s="6" t="s">
        <v>91</v>
      </c>
      <c r="AM2" s="6"/>
      <c r="AO2">
        <v>2018</v>
      </c>
      <c r="AP2">
        <v>2019</v>
      </c>
      <c r="AQ2">
        <v>2020</v>
      </c>
      <c r="AR2">
        <v>2021</v>
      </c>
      <c r="AS2">
        <v>2022</v>
      </c>
      <c r="AT2">
        <v>2023</v>
      </c>
      <c r="AU2">
        <v>2024</v>
      </c>
      <c r="AV2">
        <v>2025</v>
      </c>
      <c r="AW2">
        <v>2026</v>
      </c>
      <c r="AX2">
        <v>2027</v>
      </c>
      <c r="AY2">
        <v>2028</v>
      </c>
      <c r="AZ2">
        <v>2029</v>
      </c>
      <c r="BA2">
        <v>2030</v>
      </c>
      <c r="BB2">
        <v>2031</v>
      </c>
      <c r="BC2">
        <v>2032</v>
      </c>
      <c r="BD2">
        <v>2033</v>
      </c>
      <c r="BE2">
        <v>2034</v>
      </c>
      <c r="BF2">
        <v>2035</v>
      </c>
    </row>
    <row r="3" spans="2:171" s="1" customFormat="1" x14ac:dyDescent="0.3">
      <c r="B3" s="1" t="s">
        <v>11</v>
      </c>
      <c r="C3" s="8">
        <v>230.7</v>
      </c>
      <c r="D3" s="8">
        <v>262.3</v>
      </c>
      <c r="E3" s="8">
        <v>297.7</v>
      </c>
      <c r="F3" s="8">
        <v>389.9</v>
      </c>
      <c r="G3" s="8">
        <v>320.39999999999998</v>
      </c>
      <c r="H3" s="8">
        <v>388</v>
      </c>
      <c r="I3" s="8">
        <v>446.2</v>
      </c>
      <c r="J3" s="8">
        <v>560.9</v>
      </c>
      <c r="K3" s="8">
        <v>462.5</v>
      </c>
      <c r="L3" s="8">
        <v>454.2</v>
      </c>
      <c r="M3" s="8">
        <v>678.7</v>
      </c>
      <c r="N3" s="8">
        <v>911.3</v>
      </c>
      <c r="O3" s="8">
        <v>769.6</v>
      </c>
      <c r="P3" s="8">
        <v>982.1</v>
      </c>
      <c r="Q3" s="8">
        <v>1067.5</v>
      </c>
      <c r="R3" s="8">
        <v>1297.9000000000001</v>
      </c>
      <c r="S3" s="8">
        <v>1062.7</v>
      </c>
      <c r="T3" s="8">
        <v>1110.9000000000001</v>
      </c>
      <c r="U3" s="8">
        <v>1128.5</v>
      </c>
      <c r="V3" s="8">
        <v>1299.7</v>
      </c>
      <c r="W3" s="8">
        <v>988.6</v>
      </c>
      <c r="X3" s="8">
        <v>1067.7</v>
      </c>
      <c r="Y3" s="8">
        <v>1188.5999999999999</v>
      </c>
      <c r="Z3" s="8">
        <v>1361.3</v>
      </c>
      <c r="AA3" s="8">
        <v>1194.8</v>
      </c>
      <c r="AB3" s="8">
        <v>1236.8</v>
      </c>
      <c r="AC3" s="8">
        <v>1372.5</v>
      </c>
      <c r="AD3" s="8">
        <v>1557.3</v>
      </c>
      <c r="AE3" s="8">
        <v>1363.2</v>
      </c>
      <c r="AF3" s="8">
        <v>1344.9</v>
      </c>
      <c r="AG3" s="8">
        <v>1506.8</v>
      </c>
      <c r="AH3" s="8">
        <v>1716.5</v>
      </c>
      <c r="AI3" s="8">
        <v>1515</v>
      </c>
      <c r="AJ3" s="8"/>
      <c r="AK3" s="8"/>
      <c r="AL3" s="8"/>
      <c r="AM3" s="8"/>
      <c r="AO3" s="8">
        <f>SUM(C3:F3)</f>
        <v>1180.5999999999999</v>
      </c>
      <c r="AP3" s="8">
        <f>SUM(G3:J3)</f>
        <v>1715.5</v>
      </c>
      <c r="AQ3" s="8">
        <f>SUM(K3:N3)</f>
        <v>2506.6999999999998</v>
      </c>
      <c r="AR3" s="8">
        <f>SUM(O3:R3)</f>
        <v>4117.1000000000004</v>
      </c>
      <c r="AS3" s="8">
        <f>SUM(S3:V3)</f>
        <v>4601.8</v>
      </c>
      <c r="AT3" s="8">
        <f>SUM(W3:Z3)</f>
        <v>4606.2</v>
      </c>
      <c r="AU3" s="8">
        <f>SUM(AA3:AD3)</f>
        <v>5361.4</v>
      </c>
      <c r="AV3" s="8">
        <f>SUM(AE3:AH3)</f>
        <v>5931.4000000000005</v>
      </c>
      <c r="AW3" s="8">
        <f>AV3*1.09</f>
        <v>6465.2260000000015</v>
      </c>
      <c r="AX3" s="8">
        <f>AW3*1.06</f>
        <v>6853.1395600000023</v>
      </c>
      <c r="AY3" s="8">
        <f>AX3*1.05</f>
        <v>7195.7965380000023</v>
      </c>
      <c r="AZ3" s="8">
        <f>AY3*1.04</f>
        <v>7483.6283995200029</v>
      </c>
      <c r="BA3" s="8">
        <f>AZ3*1.03</f>
        <v>7708.1372515056028</v>
      </c>
      <c r="BB3" s="8">
        <f t="shared" ref="BB3:BF3" si="0">BA3*1.03</f>
        <v>7939.3813690507714</v>
      </c>
      <c r="BC3" s="8">
        <f t="shared" si="0"/>
        <v>8177.5628101222946</v>
      </c>
      <c r="BD3" s="8">
        <f t="shared" si="0"/>
        <v>8422.8896944259632</v>
      </c>
      <c r="BE3" s="8">
        <f t="shared" si="0"/>
        <v>8675.5763852587424</v>
      </c>
      <c r="BF3" s="8">
        <f t="shared" si="0"/>
        <v>8935.8436768165047</v>
      </c>
    </row>
    <row r="4" spans="2:171" x14ac:dyDescent="0.3">
      <c r="B4" t="s">
        <v>23</v>
      </c>
      <c r="C4" s="4">
        <v>196.8</v>
      </c>
      <c r="D4" s="4">
        <v>191.6</v>
      </c>
      <c r="E4" s="4">
        <v>197.6</v>
      </c>
      <c r="F4" s="4">
        <v>213</v>
      </c>
      <c r="G4" s="4">
        <v>203.8</v>
      </c>
      <c r="H4" s="4">
        <v>215.5</v>
      </c>
      <c r="I4" s="4">
        <v>223.1</v>
      </c>
      <c r="J4" s="4">
        <v>253.4</v>
      </c>
      <c r="K4" s="4">
        <v>253.4</v>
      </c>
      <c r="L4" s="4">
        <v>250.5</v>
      </c>
      <c r="M4" s="4">
        <v>293.10000000000002</v>
      </c>
      <c r="N4" s="4">
        <v>385.5</v>
      </c>
      <c r="O4" s="4">
        <v>412.6</v>
      </c>
      <c r="P4" s="4">
        <v>445</v>
      </c>
      <c r="Q4" s="4">
        <v>443.5</v>
      </c>
      <c r="R4" s="4">
        <v>449.2</v>
      </c>
      <c r="S4" s="4">
        <v>420.9</v>
      </c>
      <c r="T4" s="4">
        <v>446.4</v>
      </c>
      <c r="U4" s="4">
        <v>466.8</v>
      </c>
      <c r="V4" s="4">
        <v>481.3</v>
      </c>
      <c r="W4" s="4">
        <v>440</v>
      </c>
      <c r="X4" s="4">
        <v>496.9</v>
      </c>
      <c r="Y4" s="4">
        <v>555.79999999999995</v>
      </c>
      <c r="Z4" s="4">
        <v>621.5</v>
      </c>
      <c r="AA4" s="4">
        <v>574.70000000000005</v>
      </c>
      <c r="AB4" s="4">
        <v>588.9</v>
      </c>
      <c r="AC4" s="4">
        <v>638.9</v>
      </c>
      <c r="AD4" s="4">
        <v>671.7</v>
      </c>
      <c r="AE4" s="4">
        <v>639.6</v>
      </c>
      <c r="AF4" s="4">
        <v>653.29999999999995</v>
      </c>
      <c r="AG4" s="4">
        <v>674.2</v>
      </c>
      <c r="AH4" s="4">
        <v>702.4</v>
      </c>
      <c r="AI4" s="4"/>
      <c r="AJ4" s="4"/>
      <c r="AK4" s="4"/>
      <c r="AL4" s="4"/>
      <c r="AM4" s="4"/>
      <c r="AO4" s="4">
        <f>SUM(C4:F4)</f>
        <v>799</v>
      </c>
      <c r="AP4" s="4">
        <f>SUM(G4:J4)</f>
        <v>895.8</v>
      </c>
      <c r="AQ4" s="4">
        <f>SUM(K4:N4)</f>
        <v>1182.5</v>
      </c>
      <c r="AR4" s="4">
        <f>SUM(O4:R4)</f>
        <v>1750.3</v>
      </c>
      <c r="AS4" s="4">
        <f>SUM(S4:V4)</f>
        <v>1815.3999999999999</v>
      </c>
      <c r="AT4" s="4">
        <f>SUM(W4:Z4)</f>
        <v>2114.1999999999998</v>
      </c>
      <c r="AU4" s="4">
        <f>SUM(AA4:AD4)</f>
        <v>2474.1999999999998</v>
      </c>
      <c r="AV4" s="4">
        <f>SUM(AE4:AH4)</f>
        <v>2669.5</v>
      </c>
      <c r="AW4" s="4">
        <f t="shared" ref="AW4:BA4" si="1">AW3-AW5</f>
        <v>2844.6994400000003</v>
      </c>
      <c r="AX4" s="4">
        <f t="shared" si="1"/>
        <v>2946.8500108000012</v>
      </c>
      <c r="AY4" s="4">
        <f t="shared" si="1"/>
        <v>3094.1925113400011</v>
      </c>
      <c r="AZ4" s="4">
        <f t="shared" si="1"/>
        <v>3217.960211793602</v>
      </c>
      <c r="BA4" s="4">
        <f t="shared" si="1"/>
        <v>3314.4990181474095</v>
      </c>
      <c r="BB4" s="4">
        <f t="shared" ref="BB4:BF4" si="2">BB3-BB5</f>
        <v>3413.9339886918324</v>
      </c>
      <c r="BC4" s="4">
        <f t="shared" si="2"/>
        <v>3516.3520083525873</v>
      </c>
      <c r="BD4" s="4">
        <f t="shared" si="2"/>
        <v>3621.8425686031642</v>
      </c>
      <c r="BE4" s="4">
        <f t="shared" si="2"/>
        <v>3730.4978456612598</v>
      </c>
      <c r="BF4" s="4">
        <f t="shared" si="2"/>
        <v>3842.4127810310974</v>
      </c>
    </row>
    <row r="5" spans="2:171" s="1" customFormat="1" x14ac:dyDescent="0.3">
      <c r="B5" s="1" t="s">
        <v>24</v>
      </c>
      <c r="C5" s="8">
        <f t="shared" ref="C5:Q5" si="3">C3-C4</f>
        <v>33.899999999999977</v>
      </c>
      <c r="D5" s="8">
        <f t="shared" si="3"/>
        <v>70.700000000000017</v>
      </c>
      <c r="E5" s="8">
        <f t="shared" si="3"/>
        <v>100.1</v>
      </c>
      <c r="F5" s="8">
        <f t="shared" si="3"/>
        <v>176.89999999999998</v>
      </c>
      <c r="G5" s="8">
        <f t="shared" si="3"/>
        <v>116.59999999999997</v>
      </c>
      <c r="H5" s="8">
        <f t="shared" si="3"/>
        <v>172.5</v>
      </c>
      <c r="I5" s="8">
        <f t="shared" si="3"/>
        <v>223.1</v>
      </c>
      <c r="J5" s="8">
        <f t="shared" si="3"/>
        <v>307.5</v>
      </c>
      <c r="K5" s="8">
        <f t="shared" si="3"/>
        <v>209.1</v>
      </c>
      <c r="L5" s="8">
        <f t="shared" si="3"/>
        <v>203.7</v>
      </c>
      <c r="M5" s="8">
        <f t="shared" si="3"/>
        <v>385.6</v>
      </c>
      <c r="N5" s="8">
        <f t="shared" si="3"/>
        <v>525.79999999999995</v>
      </c>
      <c r="O5" s="8">
        <f t="shared" si="3"/>
        <v>357</v>
      </c>
      <c r="P5" s="8">
        <f t="shared" si="3"/>
        <v>537.1</v>
      </c>
      <c r="Q5" s="8">
        <f t="shared" si="3"/>
        <v>624</v>
      </c>
      <c r="R5" s="8">
        <f t="shared" ref="R5:S5" si="4">R3-R4</f>
        <v>848.7</v>
      </c>
      <c r="S5" s="8">
        <f t="shared" si="4"/>
        <v>641.80000000000007</v>
      </c>
      <c r="T5" s="8">
        <f t="shared" ref="T5:U5" si="5">T3-T4</f>
        <v>664.50000000000011</v>
      </c>
      <c r="U5" s="8">
        <f t="shared" si="5"/>
        <v>661.7</v>
      </c>
      <c r="V5" s="8">
        <f t="shared" ref="V5" si="6">V3-V4</f>
        <v>818.40000000000009</v>
      </c>
      <c r="W5" s="8">
        <f t="shared" ref="W5" si="7">W3-W4</f>
        <v>548.6</v>
      </c>
      <c r="X5" s="8">
        <f t="shared" ref="X5:Y5" si="8">X3-X4</f>
        <v>570.80000000000007</v>
      </c>
      <c r="Y5" s="8">
        <f t="shared" si="8"/>
        <v>632.79999999999995</v>
      </c>
      <c r="Z5" s="8">
        <f t="shared" ref="Z5" si="9">Z3-Z4</f>
        <v>739.8</v>
      </c>
      <c r="AA5" s="8">
        <f t="shared" ref="AA5" si="10">AA3-AA4</f>
        <v>620.09999999999991</v>
      </c>
      <c r="AB5" s="8">
        <f t="shared" ref="AB5:AH5" si="11">AB3-AB4</f>
        <v>647.9</v>
      </c>
      <c r="AC5" s="8">
        <f t="shared" si="11"/>
        <v>733.6</v>
      </c>
      <c r="AD5" s="8">
        <f t="shared" si="11"/>
        <v>885.59999999999991</v>
      </c>
      <c r="AE5" s="8">
        <f t="shared" si="11"/>
        <v>723.6</v>
      </c>
      <c r="AF5" s="8">
        <f t="shared" si="11"/>
        <v>691.60000000000014</v>
      </c>
      <c r="AG5" s="8">
        <f t="shared" si="11"/>
        <v>832.59999999999991</v>
      </c>
      <c r="AH5" s="8">
        <f t="shared" si="11"/>
        <v>1014.1</v>
      </c>
      <c r="AI5" s="8"/>
      <c r="AJ5" s="8"/>
      <c r="AK5" s="8"/>
      <c r="AL5" s="8"/>
      <c r="AM5" s="8"/>
      <c r="AN5" s="8"/>
      <c r="AO5" s="8">
        <f>AO3-AO4</f>
        <v>381.59999999999991</v>
      </c>
      <c r="AP5" s="8">
        <f>AP3-AP4</f>
        <v>819.7</v>
      </c>
      <c r="AQ5" s="8">
        <f>AQ3-AQ4</f>
        <v>1324.1999999999998</v>
      </c>
      <c r="AR5" s="8">
        <f t="shared" ref="AR5:AV5" si="12">AR3-AR4</f>
        <v>2366.8000000000002</v>
      </c>
      <c r="AS5" s="8">
        <f t="shared" si="12"/>
        <v>2786.4000000000005</v>
      </c>
      <c r="AT5" s="8">
        <f t="shared" si="12"/>
        <v>2492</v>
      </c>
      <c r="AU5" s="8">
        <f t="shared" si="12"/>
        <v>2887.2</v>
      </c>
      <c r="AV5" s="8">
        <f t="shared" si="12"/>
        <v>3261.9000000000005</v>
      </c>
      <c r="AW5" s="8">
        <f>AW3*0.56</f>
        <v>3620.5265600000012</v>
      </c>
      <c r="AX5" s="8">
        <f>AX3*0.57</f>
        <v>3906.2895492000011</v>
      </c>
      <c r="AY5" s="8">
        <f t="shared" ref="AY5:BF5" si="13">AY3*0.57</f>
        <v>4101.6040266600012</v>
      </c>
      <c r="AZ5" s="8">
        <f t="shared" si="13"/>
        <v>4265.6681877264009</v>
      </c>
      <c r="BA5" s="8">
        <f t="shared" si="13"/>
        <v>4393.6382333581932</v>
      </c>
      <c r="BB5" s="8">
        <f t="shared" si="13"/>
        <v>4525.447380358939</v>
      </c>
      <c r="BC5" s="8">
        <f t="shared" si="13"/>
        <v>4661.2108017697074</v>
      </c>
      <c r="BD5" s="8">
        <f t="shared" si="13"/>
        <v>4801.047125822799</v>
      </c>
      <c r="BE5" s="8">
        <f t="shared" si="13"/>
        <v>4945.0785395974826</v>
      </c>
      <c r="BF5" s="8">
        <f t="shared" si="13"/>
        <v>5093.4308957854073</v>
      </c>
    </row>
    <row r="6" spans="2:171" x14ac:dyDescent="0.3">
      <c r="B6" t="s">
        <v>25</v>
      </c>
      <c r="C6" s="4">
        <v>201</v>
      </c>
      <c r="D6" s="4">
        <v>203.2</v>
      </c>
      <c r="E6" s="4">
        <v>203.5</v>
      </c>
      <c r="F6" s="4">
        <v>164.4</v>
      </c>
      <c r="G6" s="4">
        <v>216.2</v>
      </c>
      <c r="H6" s="4">
        <v>236.2</v>
      </c>
      <c r="I6" s="4">
        <v>211.6</v>
      </c>
      <c r="J6" s="4">
        <v>219.5</v>
      </c>
      <c r="K6" s="4">
        <v>238.6</v>
      </c>
      <c r="L6" s="4">
        <v>260.89999999999998</v>
      </c>
      <c r="M6" s="4">
        <v>283.60000000000002</v>
      </c>
      <c r="N6" s="4">
        <v>318.39999999999998</v>
      </c>
      <c r="O6" s="4">
        <v>348.6</v>
      </c>
      <c r="P6" s="4">
        <v>370.7</v>
      </c>
      <c r="Q6" s="4">
        <v>412</v>
      </c>
      <c r="R6" s="4">
        <v>434.2</v>
      </c>
      <c r="S6" s="4">
        <v>455.6</v>
      </c>
      <c r="T6" s="4">
        <v>505</v>
      </c>
      <c r="U6" s="4">
        <v>564.29999999999995</v>
      </c>
      <c r="V6" s="4">
        <v>584.9</v>
      </c>
      <c r="W6" s="4">
        <v>455.1</v>
      </c>
      <c r="X6" s="4">
        <v>477.7</v>
      </c>
      <c r="Y6" s="4">
        <v>494.6</v>
      </c>
      <c r="Z6" s="4">
        <v>483.5</v>
      </c>
      <c r="AA6" s="4">
        <v>449.8</v>
      </c>
      <c r="AB6" s="4">
        <v>406.2</v>
      </c>
      <c r="AC6" s="4">
        <v>412.8</v>
      </c>
      <c r="AD6" s="4">
        <v>422.9</v>
      </c>
      <c r="AE6" s="4">
        <v>424.2</v>
      </c>
      <c r="AF6" s="4">
        <v>443.3</v>
      </c>
      <c r="AG6" s="4">
        <v>453.4</v>
      </c>
      <c r="AH6" s="4">
        <v>472.7</v>
      </c>
      <c r="AI6" s="4"/>
      <c r="AJ6" s="4"/>
      <c r="AK6" s="4"/>
      <c r="AL6" s="4"/>
      <c r="AM6" s="4"/>
      <c r="AN6" s="4"/>
      <c r="AO6" s="4">
        <f>SUM(C6:F6)</f>
        <v>772.1</v>
      </c>
      <c r="AP6" s="4">
        <f>SUM(G6:J6)</f>
        <v>883.5</v>
      </c>
      <c r="AQ6" s="4">
        <f t="shared" ref="AQ6:AQ8" si="14">SUM(K6:N6)</f>
        <v>1101.5</v>
      </c>
      <c r="AR6" s="4">
        <f>SUM(O6:R6)</f>
        <v>1565.5</v>
      </c>
      <c r="AS6" s="4">
        <f>SUM(S6:V6)</f>
        <v>2109.8000000000002</v>
      </c>
      <c r="AT6" s="4">
        <f>SUM(W6:Z6)</f>
        <v>1910.9</v>
      </c>
      <c r="AU6" s="4">
        <f>SUM(AA6:AD6)</f>
        <v>1691.6999999999998</v>
      </c>
      <c r="AV6" s="4">
        <f>SUM(AE6:AH6)</f>
        <v>1793.6000000000001</v>
      </c>
      <c r="AW6" s="4">
        <f>AV6*1.01</f>
        <v>1811.5360000000001</v>
      </c>
      <c r="AX6" s="4">
        <f t="shared" ref="AX6:BF6" si="15">AW6*1.01</f>
        <v>1829.6513600000001</v>
      </c>
      <c r="AY6" s="4">
        <f t="shared" si="15"/>
        <v>1847.9478736000001</v>
      </c>
      <c r="AZ6" s="4">
        <f t="shared" si="15"/>
        <v>1866.427352336</v>
      </c>
      <c r="BA6" s="4">
        <f t="shared" si="15"/>
        <v>1885.09162585936</v>
      </c>
      <c r="BB6" s="4">
        <f t="shared" si="15"/>
        <v>1903.9425421179535</v>
      </c>
      <c r="BC6" s="4">
        <f t="shared" si="15"/>
        <v>1922.9819675391332</v>
      </c>
      <c r="BD6" s="4">
        <f t="shared" si="15"/>
        <v>1942.2117872145245</v>
      </c>
      <c r="BE6" s="4">
        <f t="shared" si="15"/>
        <v>1961.6339050866698</v>
      </c>
      <c r="BF6" s="4">
        <f t="shared" si="15"/>
        <v>1981.2502441375366</v>
      </c>
    </row>
    <row r="7" spans="2:171" x14ac:dyDescent="0.3">
      <c r="B7" t="s">
        <v>26</v>
      </c>
      <c r="C7" s="4">
        <v>102.1</v>
      </c>
      <c r="D7" s="4">
        <v>101.7</v>
      </c>
      <c r="E7" s="4">
        <v>97.6</v>
      </c>
      <c r="F7" s="4">
        <v>99.5</v>
      </c>
      <c r="G7" s="4">
        <v>97.9</v>
      </c>
      <c r="H7" s="4">
        <v>111.5</v>
      </c>
      <c r="I7" s="4">
        <v>123.2</v>
      </c>
      <c r="J7" s="4">
        <v>126</v>
      </c>
      <c r="K7" s="4">
        <v>122.2</v>
      </c>
      <c r="L7" s="4">
        <v>132.1</v>
      </c>
      <c r="M7" s="4">
        <v>143.5</v>
      </c>
      <c r="N7" s="4">
        <v>157.6</v>
      </c>
      <c r="O7" s="4">
        <v>150.30000000000001</v>
      </c>
      <c r="P7" s="4">
        <v>179.7</v>
      </c>
      <c r="Q7" s="4">
        <v>217.5</v>
      </c>
      <c r="R7" s="4">
        <v>245.2</v>
      </c>
      <c r="S7" s="4">
        <v>241.9</v>
      </c>
      <c r="T7" s="4">
        <v>311.39999999999998</v>
      </c>
      <c r="U7" s="4">
        <v>270.3</v>
      </c>
      <c r="V7" s="4">
        <v>295.2</v>
      </c>
      <c r="W7" s="4">
        <v>268.39999999999998</v>
      </c>
      <c r="X7" s="4">
        <v>280.60000000000002</v>
      </c>
      <c r="Y7" s="4">
        <v>297.3</v>
      </c>
      <c r="Z7" s="4">
        <v>275.8</v>
      </c>
      <c r="AA7" s="4">
        <v>276</v>
      </c>
      <c r="AB7" s="4">
        <v>266.3</v>
      </c>
      <c r="AC7" s="4">
        <v>273.10000000000002</v>
      </c>
      <c r="AD7" s="4">
        <v>248.2</v>
      </c>
      <c r="AE7" s="4">
        <v>258</v>
      </c>
      <c r="AF7" s="4">
        <v>257.89999999999998</v>
      </c>
      <c r="AG7" s="4">
        <v>256.2</v>
      </c>
      <c r="AH7" s="4">
        <v>249.3</v>
      </c>
      <c r="AI7" s="4"/>
      <c r="AJ7" s="4"/>
      <c r="AK7" s="4"/>
      <c r="AL7" s="4"/>
      <c r="AM7" s="4"/>
      <c r="AO7" s="4">
        <f>SUM(C7:F7)</f>
        <v>400.9</v>
      </c>
      <c r="AP7" s="4">
        <f>SUM(G7:J7)</f>
        <v>458.6</v>
      </c>
      <c r="AQ7" s="4">
        <f t="shared" si="14"/>
        <v>555.4</v>
      </c>
      <c r="AR7" s="4">
        <f>SUM(O7:R7)</f>
        <v>792.7</v>
      </c>
      <c r="AS7" s="4">
        <f>SUM(S7:V7)</f>
        <v>1118.8</v>
      </c>
      <c r="AT7" s="4">
        <f>SUM(W7:Z7)</f>
        <v>1122.0999999999999</v>
      </c>
      <c r="AU7" s="4">
        <f>SUM(AA7:AD7)</f>
        <v>1063.5999999999999</v>
      </c>
      <c r="AV7" s="4">
        <f>SUM(AE7:AH7)</f>
        <v>1021.3999999999999</v>
      </c>
      <c r="AW7" s="4">
        <f>AW3*0.17</f>
        <v>1099.0884200000003</v>
      </c>
      <c r="AX7" s="4">
        <f>AX3*0.16</f>
        <v>1096.5023296000004</v>
      </c>
      <c r="AY7" s="4">
        <f>AY3*0.16</f>
        <v>1151.3274460800003</v>
      </c>
      <c r="AZ7" s="4">
        <f t="shared" ref="AZ7:BF7" si="16">AZ3*0.16</f>
        <v>1197.3805439232005</v>
      </c>
      <c r="BA7" s="4">
        <f t="shared" si="16"/>
        <v>1233.3019602408965</v>
      </c>
      <c r="BB7" s="4">
        <f t="shared" si="16"/>
        <v>1270.3010190481234</v>
      </c>
      <c r="BC7" s="4">
        <f t="shared" si="16"/>
        <v>1308.4100496195672</v>
      </c>
      <c r="BD7" s="4">
        <f t="shared" si="16"/>
        <v>1347.6623511081541</v>
      </c>
      <c r="BE7" s="4">
        <f t="shared" si="16"/>
        <v>1388.0922216413987</v>
      </c>
      <c r="BF7" s="4">
        <f t="shared" si="16"/>
        <v>1429.7349882906408</v>
      </c>
    </row>
    <row r="8" spans="2:171" x14ac:dyDescent="0.3">
      <c r="B8" t="s">
        <v>27</v>
      </c>
      <c r="C8" s="4">
        <v>123.3</v>
      </c>
      <c r="D8" s="4">
        <v>123.6</v>
      </c>
      <c r="E8" s="4">
        <v>122.5</v>
      </c>
      <c r="F8" s="4">
        <v>107.7</v>
      </c>
      <c r="G8" s="4">
        <v>118.7</v>
      </c>
      <c r="H8" s="4">
        <v>129.6</v>
      </c>
      <c r="I8" s="4">
        <v>117.1</v>
      </c>
      <c r="J8" s="4">
        <v>215.5</v>
      </c>
      <c r="K8" s="4">
        <v>134.6</v>
      </c>
      <c r="L8" s="4">
        <v>121.3</v>
      </c>
      <c r="M8" s="4">
        <v>126.3</v>
      </c>
      <c r="N8" s="4">
        <v>146.9</v>
      </c>
      <c r="O8" s="4">
        <v>161.69999999999999</v>
      </c>
      <c r="P8" s="4">
        <v>179.2</v>
      </c>
      <c r="Q8" s="4">
        <v>175.3</v>
      </c>
      <c r="R8" s="4">
        <v>194.4</v>
      </c>
      <c r="S8" s="4">
        <v>215.9</v>
      </c>
      <c r="T8" s="4">
        <v>249.1</v>
      </c>
      <c r="U8" s="4">
        <v>262.39999999999998</v>
      </c>
      <c r="V8" s="4">
        <v>225.9</v>
      </c>
      <c r="W8" s="4">
        <v>190.3</v>
      </c>
      <c r="X8" s="4">
        <v>216.9</v>
      </c>
      <c r="Y8" s="4">
        <v>221.1</v>
      </c>
      <c r="Z8" s="4">
        <v>229.2</v>
      </c>
      <c r="AA8" s="4">
        <v>227.5</v>
      </c>
      <c r="AB8" s="4">
        <v>229.3</v>
      </c>
      <c r="AC8" s="4">
        <v>221</v>
      </c>
      <c r="AD8" s="4">
        <v>241.3</v>
      </c>
      <c r="AE8" s="4">
        <v>235.4</v>
      </c>
      <c r="AF8" s="4">
        <v>250.1</v>
      </c>
      <c r="AG8" s="4">
        <v>251.3</v>
      </c>
      <c r="AH8" s="4">
        <v>242.3</v>
      </c>
      <c r="AI8" s="4"/>
      <c r="AJ8" s="4"/>
      <c r="AK8" s="4"/>
      <c r="AL8" s="4"/>
      <c r="AM8" s="4"/>
      <c r="AO8" s="4">
        <f>SUM(C8:F8)</f>
        <v>477.09999999999997</v>
      </c>
      <c r="AP8" s="4">
        <f>SUM(G8:J8)</f>
        <v>580.9</v>
      </c>
      <c r="AQ8" s="4">
        <f t="shared" si="14"/>
        <v>529.1</v>
      </c>
      <c r="AR8" s="4">
        <f>SUM(O8:R8)</f>
        <v>710.6</v>
      </c>
      <c r="AS8" s="4">
        <f>SUM(S8:V8)</f>
        <v>953.3</v>
      </c>
      <c r="AT8" s="4">
        <f>SUM(W8:Z8)</f>
        <v>857.5</v>
      </c>
      <c r="AU8" s="4">
        <f>SUM(AA8:AD8)</f>
        <v>919.09999999999991</v>
      </c>
      <c r="AV8" s="4">
        <f>SUM(AE8:AH8)</f>
        <v>979.09999999999991</v>
      </c>
      <c r="AW8" s="4">
        <f>AV8*1.04</f>
        <v>1018.2639999999999</v>
      </c>
      <c r="AX8" s="4">
        <f>AW8*1.03</f>
        <v>1048.8119199999999</v>
      </c>
      <c r="AY8" s="4">
        <f t="shared" ref="AY8:BA8" si="17">AX8*1.02</f>
        <v>1069.7881583999999</v>
      </c>
      <c r="AZ8" s="4">
        <f t="shared" si="17"/>
        <v>1091.183921568</v>
      </c>
      <c r="BA8" s="4">
        <f t="shared" si="17"/>
        <v>1113.0075999993601</v>
      </c>
      <c r="BB8" s="4">
        <f>BA8*1.01</f>
        <v>1124.1376759993536</v>
      </c>
      <c r="BC8" s="4">
        <f t="shared" ref="BC8:BF8" si="18">BB8*1.01</f>
        <v>1135.3790527593471</v>
      </c>
      <c r="BD8" s="4">
        <f t="shared" si="18"/>
        <v>1146.7328432869406</v>
      </c>
      <c r="BE8" s="4">
        <f t="shared" si="18"/>
        <v>1158.20017171981</v>
      </c>
      <c r="BF8" s="4">
        <f t="shared" si="18"/>
        <v>1169.7821734370082</v>
      </c>
    </row>
    <row r="9" spans="2:171" s="1" customFormat="1" x14ac:dyDescent="0.3">
      <c r="B9" s="1" t="s">
        <v>28</v>
      </c>
      <c r="C9" s="8">
        <f t="shared" ref="C9:Q9" si="19">C5-C6-C7-C8</f>
        <v>-392.50000000000006</v>
      </c>
      <c r="D9" s="8">
        <f t="shared" si="19"/>
        <v>-357.79999999999995</v>
      </c>
      <c r="E9" s="8">
        <f t="shared" si="19"/>
        <v>-323.5</v>
      </c>
      <c r="F9" s="8">
        <f t="shared" si="19"/>
        <v>-194.70000000000005</v>
      </c>
      <c r="G9" s="8">
        <f t="shared" si="19"/>
        <v>-316.20000000000005</v>
      </c>
      <c r="H9" s="8">
        <f t="shared" si="19"/>
        <v>-304.79999999999995</v>
      </c>
      <c r="I9" s="8">
        <f t="shared" si="19"/>
        <v>-228.8</v>
      </c>
      <c r="J9" s="8">
        <f t="shared" si="19"/>
        <v>-253.5</v>
      </c>
      <c r="K9" s="8">
        <f t="shared" si="19"/>
        <v>-286.29999999999995</v>
      </c>
      <c r="L9" s="8">
        <f t="shared" si="19"/>
        <v>-310.59999999999997</v>
      </c>
      <c r="M9" s="8">
        <f t="shared" si="19"/>
        <v>-167.8</v>
      </c>
      <c r="N9" s="8">
        <f t="shared" si="19"/>
        <v>-97.100000000000023</v>
      </c>
      <c r="O9" s="8">
        <f t="shared" si="19"/>
        <v>-303.60000000000002</v>
      </c>
      <c r="P9" s="8">
        <f t="shared" si="19"/>
        <v>-192.49999999999994</v>
      </c>
      <c r="Q9" s="8">
        <f t="shared" si="19"/>
        <v>-180.8</v>
      </c>
      <c r="R9" s="8">
        <f t="shared" ref="R9:S9" si="20">R5-R6-R7-R8</f>
        <v>-25.099999999999937</v>
      </c>
      <c r="S9" s="8">
        <f t="shared" si="20"/>
        <v>-271.59999999999997</v>
      </c>
      <c r="T9" s="8">
        <f t="shared" ref="T9:U9" si="21">T5-T6-T7-T8</f>
        <v>-400.99999999999989</v>
      </c>
      <c r="U9" s="8">
        <f t="shared" si="21"/>
        <v>-435.2999999999999</v>
      </c>
      <c r="V9" s="8">
        <f t="shared" ref="V9" si="22">V5-V6-V7-V8</f>
        <v>-287.59999999999991</v>
      </c>
      <c r="W9" s="8">
        <f t="shared" ref="W9" si="23">W5-W6-W7-W8</f>
        <v>-365.2</v>
      </c>
      <c r="X9" s="8">
        <f t="shared" ref="X9:Y9" si="24">X5-X6-X7-X8</f>
        <v>-404.4</v>
      </c>
      <c r="Y9" s="8">
        <f t="shared" si="24"/>
        <v>-380.20000000000005</v>
      </c>
      <c r="Z9" s="8">
        <f t="shared" ref="Z9" si="25">Z5-Z6-Z7-Z8</f>
        <v>-248.70000000000005</v>
      </c>
      <c r="AA9" s="8">
        <f t="shared" ref="AA9" si="26">AA5-AA6-AA7-AA8</f>
        <v>-333.2000000000001</v>
      </c>
      <c r="AB9" s="8">
        <f t="shared" ref="AB9:AH9" si="27">AB5-AB6-AB7-AB8</f>
        <v>-253.90000000000003</v>
      </c>
      <c r="AC9" s="8">
        <f t="shared" si="27"/>
        <v>-173.3</v>
      </c>
      <c r="AD9" s="8">
        <f t="shared" si="27"/>
        <v>-26.800000000000068</v>
      </c>
      <c r="AE9" s="8">
        <f t="shared" si="27"/>
        <v>-193.99999999999997</v>
      </c>
      <c r="AF9" s="8">
        <f t="shared" si="27"/>
        <v>-259.69999999999982</v>
      </c>
      <c r="AG9" s="8">
        <f t="shared" si="27"/>
        <v>-128.30000000000007</v>
      </c>
      <c r="AH9" s="8">
        <f t="shared" si="27"/>
        <v>49.800000000000068</v>
      </c>
      <c r="AI9" s="8"/>
      <c r="AJ9" s="8"/>
      <c r="AK9" s="8"/>
      <c r="AL9" s="8"/>
      <c r="AM9" s="8"/>
      <c r="AO9" s="8">
        <f>AO5-AO6-AO7-AO8</f>
        <v>-1268.5</v>
      </c>
      <c r="AP9" s="8">
        <f>AP5-AP6-AP7-AP8</f>
        <v>-1103.3</v>
      </c>
      <c r="AQ9" s="8">
        <f>AQ5-AQ6-AQ7-AQ8</f>
        <v>-861.80000000000018</v>
      </c>
      <c r="AR9" s="8">
        <f t="shared" ref="AR9:BA9" si="28">AR5-AR6-AR7-AR8</f>
        <v>-701.99999999999989</v>
      </c>
      <c r="AS9" s="8">
        <f t="shared" si="28"/>
        <v>-1395.4999999999995</v>
      </c>
      <c r="AT9" s="8">
        <f t="shared" si="28"/>
        <v>-1398.5</v>
      </c>
      <c r="AU9" s="8">
        <f t="shared" si="28"/>
        <v>-787.19999999999982</v>
      </c>
      <c r="AV9" s="8">
        <f t="shared" si="28"/>
        <v>-532.19999999999936</v>
      </c>
      <c r="AW9" s="8">
        <f t="shared" si="28"/>
        <v>-308.36185999999907</v>
      </c>
      <c r="AX9" s="8">
        <f t="shared" si="28"/>
        <v>-68.676060399999415</v>
      </c>
      <c r="AY9" s="8">
        <f t="shared" si="28"/>
        <v>32.540548580000859</v>
      </c>
      <c r="AZ9" s="8">
        <f t="shared" si="28"/>
        <v>110.67636989920061</v>
      </c>
      <c r="BA9" s="8">
        <f t="shared" si="28"/>
        <v>162.23704725857692</v>
      </c>
      <c r="BB9" s="8">
        <f t="shared" ref="BB9:BF9" si="29">BB5-BB6-BB7-BB8</f>
        <v>227.06614319350842</v>
      </c>
      <c r="BC9" s="8">
        <f t="shared" si="29"/>
        <v>294.43973185165987</v>
      </c>
      <c r="BD9" s="8">
        <f t="shared" si="29"/>
        <v>364.44014421317979</v>
      </c>
      <c r="BE9" s="8">
        <f t="shared" si="29"/>
        <v>437.15224114960392</v>
      </c>
      <c r="BF9" s="8">
        <f t="shared" si="29"/>
        <v>512.66348992022199</v>
      </c>
    </row>
    <row r="10" spans="2:171" x14ac:dyDescent="0.3">
      <c r="B10" t="s">
        <v>34</v>
      </c>
      <c r="C10" s="4">
        <v>-6.1</v>
      </c>
      <c r="D10" s="4">
        <v>-6.6</v>
      </c>
      <c r="E10" s="4">
        <v>-7</v>
      </c>
      <c r="F10" s="4">
        <v>-7.5</v>
      </c>
      <c r="G10" s="4">
        <v>-7.8</v>
      </c>
      <c r="H10" s="4">
        <v>-7.4</v>
      </c>
      <c r="I10" s="4">
        <v>-10</v>
      </c>
      <c r="J10" s="4">
        <v>-10.5</v>
      </c>
      <c r="K10" s="4">
        <v>-8.6</v>
      </c>
      <c r="L10" s="4">
        <v>-4.8</v>
      </c>
      <c r="M10" s="4">
        <v>-2.8</v>
      </c>
      <c r="N10" s="4">
        <v>-1.9690000000000001</v>
      </c>
      <c r="O10" s="4">
        <v>-1.1000000000000001</v>
      </c>
      <c r="P10" s="4">
        <v>-1.3</v>
      </c>
      <c r="Q10" s="4">
        <v>-1.3</v>
      </c>
      <c r="R10" s="4">
        <v>-1.6</v>
      </c>
      <c r="S10" s="4">
        <v>-3.1</v>
      </c>
      <c r="T10" s="4">
        <v>-8.3000000000000007</v>
      </c>
      <c r="U10" s="4">
        <v>-18.399999999999999</v>
      </c>
      <c r="V10" s="4">
        <v>-28.7</v>
      </c>
      <c r="W10" s="4">
        <v>-37.9</v>
      </c>
      <c r="X10" s="4">
        <v>-43.1</v>
      </c>
      <c r="Y10" s="4">
        <v>-43.9</v>
      </c>
      <c r="Z10" s="4">
        <v>-43.5</v>
      </c>
      <c r="AA10" s="4">
        <v>-39.9</v>
      </c>
      <c r="AB10" s="4">
        <v>-36.5</v>
      </c>
      <c r="AC10" s="4">
        <v>-38.5</v>
      </c>
      <c r="AD10" s="4">
        <v>-38.6</v>
      </c>
      <c r="AE10" s="4">
        <v>-37</v>
      </c>
      <c r="AF10" s="4">
        <v>-33.200000000000003</v>
      </c>
      <c r="AG10" s="4">
        <v>-32.299999999999997</v>
      </c>
      <c r="AH10" s="4">
        <v>-31.7</v>
      </c>
      <c r="AI10" s="4"/>
      <c r="AJ10" s="4"/>
      <c r="AK10" s="4"/>
      <c r="AL10" s="4"/>
      <c r="AM10" s="4"/>
      <c r="AO10" s="4">
        <f>SUM(C10:F10)</f>
        <v>-27.2</v>
      </c>
      <c r="AP10" s="4">
        <f>SUM(G10:J10)</f>
        <v>-35.700000000000003</v>
      </c>
      <c r="AQ10" s="4">
        <f t="shared" ref="AQ10:AQ12" si="30">SUM(K10:N10)</f>
        <v>-18.169</v>
      </c>
      <c r="AR10" s="4">
        <f>SUM(O10:R10)</f>
        <v>-5.3000000000000007</v>
      </c>
      <c r="AS10" s="4">
        <f>SUM(S10:V10)</f>
        <v>-58.5</v>
      </c>
      <c r="AT10" s="4">
        <f>SUM(W10:Z10)</f>
        <v>-168.4</v>
      </c>
      <c r="AU10" s="4">
        <f>SUM(AA10:AD10)</f>
        <v>-153.5</v>
      </c>
      <c r="AV10" s="4">
        <f>SUM(AE10:AH10)</f>
        <v>-134.19999999999999</v>
      </c>
      <c r="AW10" s="4">
        <f t="shared" ref="AW10:BF10" si="31">AV10*1.02</f>
        <v>-136.88399999999999</v>
      </c>
      <c r="AX10" s="4">
        <f t="shared" si="31"/>
        <v>-139.62168</v>
      </c>
      <c r="AY10" s="4">
        <f t="shared" si="31"/>
        <v>-142.41411360000001</v>
      </c>
      <c r="AZ10" s="4">
        <f t="shared" si="31"/>
        <v>-145.26239587200001</v>
      </c>
      <c r="BA10" s="4">
        <f t="shared" si="31"/>
        <v>-148.16764378944001</v>
      </c>
      <c r="BB10" s="4">
        <f t="shared" si="31"/>
        <v>-151.13099666522882</v>
      </c>
      <c r="BC10" s="4">
        <f t="shared" si="31"/>
        <v>-154.1536165985334</v>
      </c>
      <c r="BD10" s="4">
        <f t="shared" si="31"/>
        <v>-157.23668893050407</v>
      </c>
      <c r="BE10" s="4">
        <f t="shared" si="31"/>
        <v>-160.38142270911416</v>
      </c>
      <c r="BF10" s="4">
        <f t="shared" si="31"/>
        <v>-163.58905116329646</v>
      </c>
    </row>
    <row r="11" spans="2:171" x14ac:dyDescent="0.3">
      <c r="B11" t="s">
        <v>35</v>
      </c>
      <c r="C11" s="4">
        <v>0.9</v>
      </c>
      <c r="D11" s="4">
        <v>0.9</v>
      </c>
      <c r="E11" s="4">
        <v>0.9</v>
      </c>
      <c r="F11" s="4">
        <v>1.1000000000000001</v>
      </c>
      <c r="G11" s="4">
        <v>0.8</v>
      </c>
      <c r="H11" s="4">
        <v>0.8</v>
      </c>
      <c r="I11" s="4">
        <v>8.6999999999999993</v>
      </c>
      <c r="J11" s="4">
        <v>14.8</v>
      </c>
      <c r="K11" s="4">
        <v>15.1</v>
      </c>
      <c r="L11" s="4">
        <v>24.7</v>
      </c>
      <c r="M11" s="4">
        <v>28.2</v>
      </c>
      <c r="N11" s="4">
        <v>29.2</v>
      </c>
      <c r="O11" s="4">
        <v>5</v>
      </c>
      <c r="P11" s="4">
        <v>4.5999999999999996</v>
      </c>
      <c r="Q11" s="4">
        <v>4</v>
      </c>
      <c r="R11" s="4">
        <v>4.0999999999999996</v>
      </c>
      <c r="S11" s="4">
        <v>5.2</v>
      </c>
      <c r="T11" s="4">
        <v>5.5</v>
      </c>
      <c r="U11" s="4">
        <v>5.4</v>
      </c>
      <c r="V11" s="4">
        <v>5.3</v>
      </c>
      <c r="W11" s="4">
        <v>5.9</v>
      </c>
      <c r="X11" s="4">
        <v>5.3</v>
      </c>
      <c r="Y11" s="4">
        <v>5.5</v>
      </c>
      <c r="Z11" s="4">
        <v>5.3</v>
      </c>
      <c r="AA11" s="4">
        <v>4.7</v>
      </c>
      <c r="AB11" s="4">
        <v>5.0999999999999996</v>
      </c>
      <c r="AC11" s="4">
        <v>5.9</v>
      </c>
      <c r="AD11" s="4">
        <v>5.8</v>
      </c>
      <c r="AE11" s="4">
        <v>23.4</v>
      </c>
      <c r="AF11" s="4">
        <v>27.6</v>
      </c>
      <c r="AG11" s="4">
        <v>34.5</v>
      </c>
      <c r="AH11" s="4">
        <v>36.5</v>
      </c>
      <c r="AI11" s="4"/>
      <c r="AJ11" s="4"/>
      <c r="AK11" s="4"/>
      <c r="AL11" s="4"/>
      <c r="AM11" s="4"/>
      <c r="AO11" s="4">
        <f>SUM(C11:F11)</f>
        <v>3.8000000000000003</v>
      </c>
      <c r="AP11" s="4">
        <f>SUM(G11:J11)</f>
        <v>25.1</v>
      </c>
      <c r="AQ11" s="4">
        <f t="shared" si="30"/>
        <v>97.2</v>
      </c>
      <c r="AR11" s="4">
        <f>SUM(O11:R11)</f>
        <v>17.7</v>
      </c>
      <c r="AS11" s="4">
        <f>SUM(S11:V11)</f>
        <v>21.400000000000002</v>
      </c>
      <c r="AT11" s="4">
        <f>SUM(W11:Z11)</f>
        <v>22</v>
      </c>
      <c r="AU11" s="4">
        <f>SUM(AA11:AD11)</f>
        <v>21.5</v>
      </c>
      <c r="AV11" s="4">
        <f>SUM(AE11:AH11)</f>
        <v>122</v>
      </c>
      <c r="AW11" s="4">
        <f>AV11*1.03</f>
        <v>125.66</v>
      </c>
      <c r="AX11" s="4">
        <f t="shared" ref="AX11:BF11" si="32">AW11*1.03</f>
        <v>129.4298</v>
      </c>
      <c r="AY11" s="4">
        <f t="shared" si="32"/>
        <v>133.31269399999999</v>
      </c>
      <c r="AZ11" s="4">
        <f t="shared" si="32"/>
        <v>137.31207481999999</v>
      </c>
      <c r="BA11" s="4">
        <f t="shared" si="32"/>
        <v>141.4314370646</v>
      </c>
      <c r="BB11" s="4">
        <f t="shared" si="32"/>
        <v>145.67438017653799</v>
      </c>
      <c r="BC11" s="4">
        <f t="shared" si="32"/>
        <v>150.04461158183415</v>
      </c>
      <c r="BD11" s="4">
        <f t="shared" si="32"/>
        <v>154.54594992928918</v>
      </c>
      <c r="BE11" s="4">
        <f t="shared" si="32"/>
        <v>159.18232842716785</v>
      </c>
      <c r="BF11" s="4">
        <f t="shared" si="32"/>
        <v>163.95779827998288</v>
      </c>
    </row>
    <row r="12" spans="2:171" x14ac:dyDescent="0.3">
      <c r="B12" t="s">
        <v>29</v>
      </c>
      <c r="C12" s="4">
        <v>-3.2</v>
      </c>
      <c r="D12" s="4">
        <v>0.1</v>
      </c>
      <c r="E12" s="4">
        <v>7.6</v>
      </c>
      <c r="F12" s="4">
        <v>3.7</v>
      </c>
      <c r="G12" s="4">
        <v>1.1000000000000001</v>
      </c>
      <c r="H12" s="4">
        <v>-44</v>
      </c>
      <c r="I12" s="4">
        <v>1.5</v>
      </c>
      <c r="J12" s="4">
        <v>-17.5</v>
      </c>
      <c r="K12" s="4">
        <v>12.4</v>
      </c>
      <c r="L12" s="4">
        <v>-3.6</v>
      </c>
      <c r="M12" s="4">
        <v>5.7</v>
      </c>
      <c r="N12" s="4">
        <v>-29.5</v>
      </c>
      <c r="O12" s="4">
        <v>-22.1</v>
      </c>
      <c r="P12" s="4">
        <v>-42.3</v>
      </c>
      <c r="Q12" s="4">
        <v>-112.6</v>
      </c>
      <c r="R12" s="4">
        <v>-63.2</v>
      </c>
      <c r="S12" s="4">
        <v>77.5</v>
      </c>
      <c r="T12" s="4">
        <v>16.899999999999999</v>
      </c>
      <c r="U12" s="4">
        <v>72</v>
      </c>
      <c r="V12" s="4">
        <v>20</v>
      </c>
      <c r="W12" s="4">
        <v>-11.4</v>
      </c>
      <c r="X12" s="4">
        <v>-1.3</v>
      </c>
      <c r="Y12" s="4">
        <v>20.7</v>
      </c>
      <c r="Z12" s="4">
        <v>34.4</v>
      </c>
      <c r="AA12" s="4">
        <v>0.1</v>
      </c>
      <c r="AB12" s="4">
        <v>20.8</v>
      </c>
      <c r="AC12" s="4">
        <v>4.4000000000000004</v>
      </c>
      <c r="AD12" s="4">
        <v>-8.4</v>
      </c>
      <c r="AE12" s="4">
        <v>-49.1</v>
      </c>
      <c r="AF12" s="4">
        <v>0.8</v>
      </c>
      <c r="AG12" s="4">
        <v>-27.6</v>
      </c>
      <c r="AH12" s="4">
        <v>6.9</v>
      </c>
      <c r="AI12" s="4"/>
      <c r="AJ12" s="4"/>
      <c r="AK12" s="4"/>
      <c r="AL12" s="4"/>
      <c r="AM12" s="4"/>
      <c r="AO12" s="4">
        <f>SUM(C12:F12)</f>
        <v>8.1999999999999993</v>
      </c>
      <c r="AP12" s="4">
        <f>SUM(G12:J12)</f>
        <v>-58.9</v>
      </c>
      <c r="AQ12" s="4">
        <f t="shared" si="30"/>
        <v>-15</v>
      </c>
      <c r="AR12" s="4">
        <f>SUM(O12:R12)</f>
        <v>-240.2</v>
      </c>
      <c r="AS12" s="4">
        <f>SUM(S12:V12)</f>
        <v>186.4</v>
      </c>
      <c r="AT12" s="4">
        <f>SUM(W12:Z12)</f>
        <v>42.4</v>
      </c>
      <c r="AU12" s="4">
        <f>SUM(AA12:AD12)</f>
        <v>16.900000000000006</v>
      </c>
      <c r="AV12" s="4">
        <f>SUM(AE12:AH12)</f>
        <v>-69</v>
      </c>
      <c r="AW12" s="4">
        <f t="shared" ref="AW12:BB12" si="33">-AV15*0.02</f>
        <v>9.207999999999986</v>
      </c>
      <c r="AX12" s="4">
        <f t="shared" si="33"/>
        <v>4.9015337599999853</v>
      </c>
      <c r="AY12" s="4">
        <f t="shared" si="33"/>
        <v>1.0141714265599904</v>
      </c>
      <c r="AZ12" s="4">
        <f t="shared" si="33"/>
        <v>-0.65004474805505408</v>
      </c>
      <c r="BA12" s="4">
        <f t="shared" si="33"/>
        <v>-1.908427771188091</v>
      </c>
      <c r="BB12" s="4">
        <f t="shared" si="33"/>
        <v>-2.7341069080736804</v>
      </c>
      <c r="BC12" s="4">
        <f t="shared" ref="BC12" si="34">-BB15*0.02</f>
        <v>-3.7641098654443672</v>
      </c>
      <c r="BD12" s="4">
        <f t="shared" ref="BD12" si="35">-BC15*0.02</f>
        <v>-4.8370055477408567</v>
      </c>
      <c r="BE12" s="4">
        <f t="shared" ref="BE12" si="36">-BD15*0.02</f>
        <v>-5.9514862201941687</v>
      </c>
      <c r="BF12" s="4">
        <f t="shared" ref="BF12" si="37">-BE15*0.02</f>
        <v>-7.1088451464279112</v>
      </c>
    </row>
    <row r="13" spans="2:171" s="1" customFormat="1" x14ac:dyDescent="0.3">
      <c r="B13" s="1" t="s">
        <v>30</v>
      </c>
      <c r="C13" s="8">
        <f t="shared" ref="C13:L13" si="38">C9-C10-C11-C12</f>
        <v>-384.1</v>
      </c>
      <c r="D13" s="8">
        <f t="shared" si="38"/>
        <v>-352.19999999999993</v>
      </c>
      <c r="E13" s="8">
        <f t="shared" si="38"/>
        <v>-325</v>
      </c>
      <c r="F13" s="8">
        <f t="shared" si="38"/>
        <v>-192.00000000000003</v>
      </c>
      <c r="G13" s="8">
        <f t="shared" si="38"/>
        <v>-310.30000000000007</v>
      </c>
      <c r="H13" s="8">
        <f t="shared" si="38"/>
        <v>-254.2</v>
      </c>
      <c r="I13" s="8">
        <f t="shared" si="38"/>
        <v>-229</v>
      </c>
      <c r="J13" s="8">
        <f t="shared" si="38"/>
        <v>-240.3</v>
      </c>
      <c r="K13" s="8">
        <f t="shared" si="38"/>
        <v>-305.19999999999993</v>
      </c>
      <c r="L13" s="8">
        <f t="shared" si="38"/>
        <v>-326.89999999999992</v>
      </c>
      <c r="M13" s="8">
        <f t="shared" ref="M13:Q13" si="39">M9-M10-M11-M12</f>
        <v>-198.89999999999998</v>
      </c>
      <c r="N13" s="8">
        <f t="shared" si="39"/>
        <v>-94.831000000000031</v>
      </c>
      <c r="O13" s="8">
        <f t="shared" si="39"/>
        <v>-285.39999999999998</v>
      </c>
      <c r="P13" s="8">
        <f t="shared" si="39"/>
        <v>-153.49999999999994</v>
      </c>
      <c r="Q13" s="8">
        <f t="shared" si="39"/>
        <v>-70.900000000000006</v>
      </c>
      <c r="R13" s="8">
        <f t="shared" ref="R13:S13" si="40">R9-R10-R11-R12</f>
        <v>35.600000000000065</v>
      </c>
      <c r="S13" s="8">
        <f t="shared" si="40"/>
        <v>-351.19999999999993</v>
      </c>
      <c r="T13" s="8">
        <f t="shared" ref="T13:U13" si="41">T9-T10-T11-T12</f>
        <v>-415.09999999999985</v>
      </c>
      <c r="U13" s="8">
        <f t="shared" si="41"/>
        <v>-494.2999999999999</v>
      </c>
      <c r="V13" s="8">
        <f t="shared" ref="V13" si="42">V9-V10-V11-V12</f>
        <v>-284.19999999999993</v>
      </c>
      <c r="W13" s="8">
        <f t="shared" ref="W13" si="43">W9-W10-W11-W12</f>
        <v>-321.8</v>
      </c>
      <c r="X13" s="8">
        <f t="shared" ref="X13:Y13" si="44">X9-X10-X11-X12</f>
        <v>-365.29999999999995</v>
      </c>
      <c r="Y13" s="8">
        <f t="shared" si="44"/>
        <v>-362.50000000000006</v>
      </c>
      <c r="Z13" s="8">
        <f t="shared" ref="Z13" si="45">Z9-Z10-Z11-Z12</f>
        <v>-244.90000000000006</v>
      </c>
      <c r="AA13" s="8">
        <f t="shared" ref="AA13" si="46">AA9-AA10-AA11-AA12</f>
        <v>-298.10000000000014</v>
      </c>
      <c r="AB13" s="8">
        <f t="shared" ref="AB13:AH13" si="47">AB9-AB10-AB11-AB12</f>
        <v>-243.30000000000004</v>
      </c>
      <c r="AC13" s="8">
        <f t="shared" si="47"/>
        <v>-145.10000000000002</v>
      </c>
      <c r="AD13" s="8">
        <f t="shared" si="47"/>
        <v>14.399999999999935</v>
      </c>
      <c r="AE13" s="8">
        <f t="shared" si="47"/>
        <v>-131.29999999999998</v>
      </c>
      <c r="AF13" s="8">
        <f t="shared" si="47"/>
        <v>-254.89999999999984</v>
      </c>
      <c r="AG13" s="8">
        <f t="shared" si="47"/>
        <v>-102.90000000000006</v>
      </c>
      <c r="AH13" s="8">
        <f t="shared" si="47"/>
        <v>38.100000000000072</v>
      </c>
      <c r="AI13" s="8"/>
      <c r="AJ13" s="8"/>
      <c r="AK13" s="8"/>
      <c r="AL13" s="8"/>
      <c r="AM13" s="8"/>
      <c r="AO13" s="8">
        <f>AO9-AO10-AO11-AO12</f>
        <v>-1253.3</v>
      </c>
      <c r="AP13" s="8">
        <f>AP9-AP10-AP11-AP12</f>
        <v>-1033.7999999999997</v>
      </c>
      <c r="AQ13" s="8">
        <f>AQ9-AQ10-AQ11-AQ12</f>
        <v>-925.83100000000024</v>
      </c>
      <c r="AR13" s="8">
        <f t="shared" ref="AR13:BA13" si="48">AR9-AR10-AR11-AR12</f>
        <v>-474.2</v>
      </c>
      <c r="AS13" s="8">
        <f t="shared" si="48"/>
        <v>-1544.7999999999997</v>
      </c>
      <c r="AT13" s="8">
        <f t="shared" si="48"/>
        <v>-1294.5</v>
      </c>
      <c r="AU13" s="8">
        <f t="shared" si="48"/>
        <v>-672.0999999999998</v>
      </c>
      <c r="AV13" s="8">
        <f t="shared" si="48"/>
        <v>-450.99999999999932</v>
      </c>
      <c r="AW13" s="8">
        <f t="shared" si="48"/>
        <v>-306.34585999999905</v>
      </c>
      <c r="AX13" s="8">
        <f t="shared" si="48"/>
        <v>-63.385714159999402</v>
      </c>
      <c r="AY13" s="8">
        <f t="shared" si="48"/>
        <v>40.627796753440883</v>
      </c>
      <c r="AZ13" s="8">
        <f t="shared" si="48"/>
        <v>119.27673569925568</v>
      </c>
      <c r="BA13" s="8">
        <f t="shared" si="48"/>
        <v>170.88168175460504</v>
      </c>
      <c r="BB13" s="8">
        <f t="shared" ref="BB13:BF13" si="49">BB9-BB10-BB11-BB12</f>
        <v>235.25686659027295</v>
      </c>
      <c r="BC13" s="8">
        <f t="shared" si="49"/>
        <v>302.3128467338035</v>
      </c>
      <c r="BD13" s="8">
        <f t="shared" si="49"/>
        <v>371.96788876213554</v>
      </c>
      <c r="BE13" s="8">
        <f t="shared" si="49"/>
        <v>444.30282165174447</v>
      </c>
      <c r="BF13" s="8">
        <f t="shared" si="49"/>
        <v>519.40358794996359</v>
      </c>
    </row>
    <row r="14" spans="2:171" x14ac:dyDescent="0.3">
      <c r="B14" t="s">
        <v>31</v>
      </c>
      <c r="C14" s="4">
        <v>1.6</v>
      </c>
      <c r="D14" s="4">
        <v>1.1000000000000001</v>
      </c>
      <c r="E14" s="4">
        <v>0.2</v>
      </c>
      <c r="F14" s="4">
        <v>0.4</v>
      </c>
      <c r="G14" s="4">
        <v>-0.3</v>
      </c>
      <c r="H14" s="4">
        <v>1.1000000000000001</v>
      </c>
      <c r="I14" s="4">
        <v>-1.3</v>
      </c>
      <c r="J14" s="4">
        <v>0.3</v>
      </c>
      <c r="K14" s="4">
        <v>0.7</v>
      </c>
      <c r="L14" s="4">
        <v>-1</v>
      </c>
      <c r="M14" s="4">
        <v>0</v>
      </c>
      <c r="N14" s="4">
        <v>18.100000000000001</v>
      </c>
      <c r="O14" s="4">
        <v>1.4</v>
      </c>
      <c r="P14" s="4">
        <v>-1.9</v>
      </c>
      <c r="Q14" s="4">
        <v>1</v>
      </c>
      <c r="R14" s="4">
        <v>13</v>
      </c>
      <c r="S14" s="4">
        <v>8.5</v>
      </c>
      <c r="T14" s="4">
        <v>7</v>
      </c>
      <c r="U14" s="4">
        <v>9.1999999999999993</v>
      </c>
      <c r="V14" s="4">
        <v>4.2</v>
      </c>
      <c r="W14" s="4">
        <v>6.8</v>
      </c>
      <c r="X14" s="4">
        <v>12.1</v>
      </c>
      <c r="Y14" s="4">
        <v>5.8</v>
      </c>
      <c r="Z14" s="4">
        <v>3.3</v>
      </c>
      <c r="AA14" s="4">
        <v>6.9</v>
      </c>
      <c r="AB14" s="4">
        <v>5.2</v>
      </c>
      <c r="AC14" s="4">
        <v>8.3000000000000007</v>
      </c>
      <c r="AD14" s="4">
        <v>5.2</v>
      </c>
      <c r="AE14" s="4">
        <v>8.4</v>
      </c>
      <c r="AF14" s="4">
        <v>7.7</v>
      </c>
      <c r="AG14" s="4">
        <v>0.5</v>
      </c>
      <c r="AH14" s="4">
        <v>-7.2</v>
      </c>
      <c r="AI14" s="4"/>
      <c r="AJ14" s="4"/>
      <c r="AK14" s="4"/>
      <c r="AL14" s="4"/>
      <c r="AM14" s="4"/>
      <c r="AO14" s="4">
        <f>SUM(C14:F14)</f>
        <v>3.3000000000000003</v>
      </c>
      <c r="AP14" s="4">
        <f>SUM(G14:J14)</f>
        <v>-0.2</v>
      </c>
      <c r="AQ14" s="4">
        <f>SUM(K14:N14)</f>
        <v>17.8</v>
      </c>
      <c r="AR14" s="4">
        <f>SUM(O14:R14)</f>
        <v>13.5</v>
      </c>
      <c r="AS14" s="4">
        <f>SUM(S14:V14)</f>
        <v>28.9</v>
      </c>
      <c r="AT14" s="4">
        <f>SUM(W14:Z14)</f>
        <v>28</v>
      </c>
      <c r="AU14" s="4">
        <f>SUM(AA14:AD14)</f>
        <v>25.6</v>
      </c>
      <c r="AV14" s="4">
        <f>SUM(AE14:AH14)</f>
        <v>9.4000000000000021</v>
      </c>
      <c r="AW14" s="4">
        <f>AW13*0.2</f>
        <v>-61.269171999999813</v>
      </c>
      <c r="AX14" s="4">
        <f t="shared" ref="AX14:BA14" si="50">AX13*0.2</f>
        <v>-12.67714283199988</v>
      </c>
      <c r="AY14" s="4">
        <f t="shared" si="50"/>
        <v>8.1255593506881763</v>
      </c>
      <c r="AZ14" s="4">
        <f t="shared" si="50"/>
        <v>23.855347139851137</v>
      </c>
      <c r="BA14" s="4">
        <f t="shared" si="50"/>
        <v>34.176336350921012</v>
      </c>
      <c r="BB14" s="4">
        <f t="shared" ref="BB14:BF14" si="51">BB13*0.2</f>
        <v>47.051373318054594</v>
      </c>
      <c r="BC14" s="4">
        <f t="shared" si="51"/>
        <v>60.462569346760702</v>
      </c>
      <c r="BD14" s="4">
        <f t="shared" si="51"/>
        <v>74.393577752427106</v>
      </c>
      <c r="BE14" s="4">
        <f t="shared" si="51"/>
        <v>88.860564330348893</v>
      </c>
      <c r="BF14" s="4">
        <f t="shared" si="51"/>
        <v>103.88071758999273</v>
      </c>
    </row>
    <row r="15" spans="2:171" s="1" customFormat="1" x14ac:dyDescent="0.3">
      <c r="B15" s="1" t="s">
        <v>32</v>
      </c>
      <c r="C15" s="8">
        <f t="shared" ref="C15:L15" si="52">C13-C14</f>
        <v>-385.70000000000005</v>
      </c>
      <c r="D15" s="8">
        <f t="shared" si="52"/>
        <v>-353.29999999999995</v>
      </c>
      <c r="E15" s="8">
        <f t="shared" si="52"/>
        <v>-325.2</v>
      </c>
      <c r="F15" s="8">
        <f t="shared" si="52"/>
        <v>-192.40000000000003</v>
      </c>
      <c r="G15" s="8">
        <f t="shared" si="52"/>
        <v>-310.00000000000006</v>
      </c>
      <c r="H15" s="8">
        <f t="shared" si="52"/>
        <v>-255.29999999999998</v>
      </c>
      <c r="I15" s="8">
        <f t="shared" si="52"/>
        <v>-227.7</v>
      </c>
      <c r="J15" s="8">
        <f t="shared" si="52"/>
        <v>-240.60000000000002</v>
      </c>
      <c r="K15" s="8">
        <f t="shared" si="52"/>
        <v>-305.89999999999992</v>
      </c>
      <c r="L15" s="8">
        <f t="shared" si="52"/>
        <v>-325.89999999999992</v>
      </c>
      <c r="M15" s="8">
        <f t="shared" ref="M15:N15" si="53">M13-M14</f>
        <v>-198.89999999999998</v>
      </c>
      <c r="N15" s="8">
        <f t="shared" si="53"/>
        <v>-112.93100000000004</v>
      </c>
      <c r="O15" s="8">
        <f t="shared" ref="O15:Q15" si="54">O13-O14</f>
        <v>-286.79999999999995</v>
      </c>
      <c r="P15" s="8">
        <f t="shared" si="54"/>
        <v>-151.59999999999994</v>
      </c>
      <c r="Q15" s="8">
        <f t="shared" si="54"/>
        <v>-71.900000000000006</v>
      </c>
      <c r="R15" s="8">
        <f t="shared" ref="R15:S15" si="55">R13-R14</f>
        <v>22.600000000000065</v>
      </c>
      <c r="S15" s="8">
        <f t="shared" si="55"/>
        <v>-359.69999999999993</v>
      </c>
      <c r="T15" s="8">
        <f t="shared" ref="T15:U15" si="56">T13-T14</f>
        <v>-422.09999999999985</v>
      </c>
      <c r="U15" s="8">
        <f t="shared" si="56"/>
        <v>-503.49999999999989</v>
      </c>
      <c r="V15" s="8">
        <f t="shared" ref="V15" si="57">V13-V14</f>
        <v>-288.39999999999992</v>
      </c>
      <c r="W15" s="8">
        <f t="shared" ref="W15" si="58">W13-W14</f>
        <v>-328.6</v>
      </c>
      <c r="X15" s="8">
        <f t="shared" ref="X15:Y15" si="59">X13-X14</f>
        <v>-377.4</v>
      </c>
      <c r="Y15" s="8">
        <f t="shared" si="59"/>
        <v>-368.30000000000007</v>
      </c>
      <c r="Z15" s="8">
        <f t="shared" ref="Z15" si="60">Z13-Z14</f>
        <v>-248.20000000000007</v>
      </c>
      <c r="AA15" s="8">
        <f t="shared" ref="AA15" si="61">AA13-AA14</f>
        <v>-305.00000000000011</v>
      </c>
      <c r="AB15" s="8">
        <f t="shared" ref="AB15:AD15" si="62">AB13-AB14</f>
        <v>-248.50000000000003</v>
      </c>
      <c r="AC15" s="8">
        <f t="shared" si="62"/>
        <v>-153.40000000000003</v>
      </c>
      <c r="AD15" s="8">
        <f t="shared" si="62"/>
        <v>9.1999999999999353</v>
      </c>
      <c r="AE15" s="8">
        <f t="shared" ref="AE15:AH15" si="63">AE13-AE14</f>
        <v>-139.69999999999999</v>
      </c>
      <c r="AF15" s="8">
        <f t="shared" si="63"/>
        <v>-262.59999999999985</v>
      </c>
      <c r="AG15" s="8">
        <f t="shared" si="63"/>
        <v>-103.40000000000006</v>
      </c>
      <c r="AH15" s="8">
        <f t="shared" si="63"/>
        <v>45.300000000000075</v>
      </c>
      <c r="AI15" s="8"/>
      <c r="AJ15" s="8"/>
      <c r="AK15" s="8"/>
      <c r="AL15" s="8"/>
      <c r="AM15" s="8"/>
      <c r="AO15" s="8">
        <f>AO13-AO14</f>
        <v>-1256.5999999999999</v>
      </c>
      <c r="AP15" s="8">
        <f>AP13-AP14</f>
        <v>-1033.5999999999997</v>
      </c>
      <c r="AQ15" s="8">
        <f>AQ13-AQ14</f>
        <v>-943.6310000000002</v>
      </c>
      <c r="AR15" s="8">
        <f t="shared" ref="AR15:BA15" si="64">AR13-AR14</f>
        <v>-487.7</v>
      </c>
      <c r="AS15" s="8">
        <f t="shared" si="64"/>
        <v>-1573.6999999999998</v>
      </c>
      <c r="AT15" s="8">
        <f t="shared" si="64"/>
        <v>-1322.5</v>
      </c>
      <c r="AU15" s="8">
        <f t="shared" si="64"/>
        <v>-697.69999999999982</v>
      </c>
      <c r="AV15" s="8">
        <f t="shared" si="64"/>
        <v>-460.3999999999993</v>
      </c>
      <c r="AW15" s="8">
        <f t="shared" si="64"/>
        <v>-245.07668799999925</v>
      </c>
      <c r="AX15" s="8">
        <f t="shared" si="64"/>
        <v>-50.708571327999522</v>
      </c>
      <c r="AY15" s="8">
        <f t="shared" si="64"/>
        <v>32.502237402752705</v>
      </c>
      <c r="AZ15" s="8">
        <f t="shared" si="64"/>
        <v>95.421388559404548</v>
      </c>
      <c r="BA15" s="8">
        <f t="shared" si="64"/>
        <v>136.70534540368402</v>
      </c>
      <c r="BB15" s="8">
        <f t="shared" ref="BB15:BF15" si="65">BB13-BB14</f>
        <v>188.20549327221835</v>
      </c>
      <c r="BC15" s="8">
        <f t="shared" si="65"/>
        <v>241.85027738704281</v>
      </c>
      <c r="BD15" s="8">
        <f t="shared" si="65"/>
        <v>297.57431100970842</v>
      </c>
      <c r="BE15" s="8">
        <f t="shared" si="65"/>
        <v>355.44225732139557</v>
      </c>
      <c r="BF15" s="8">
        <f t="shared" si="65"/>
        <v>415.52287035997085</v>
      </c>
      <c r="BG15" s="1">
        <f t="shared" ref="BG15:CL15" si="66">BF15*(1+$BI$21)</f>
        <v>411.36764165637112</v>
      </c>
      <c r="BH15" s="1">
        <f t="shared" si="66"/>
        <v>407.25396523980743</v>
      </c>
      <c r="BI15" s="1">
        <f t="shared" si="66"/>
        <v>403.18142558740936</v>
      </c>
      <c r="BJ15" s="1">
        <f t="shared" si="66"/>
        <v>399.14961133153525</v>
      </c>
      <c r="BK15" s="1">
        <f t="shared" si="66"/>
        <v>395.1581152182199</v>
      </c>
      <c r="BL15" s="1">
        <f t="shared" si="66"/>
        <v>391.2065340660377</v>
      </c>
      <c r="BM15" s="1">
        <f t="shared" si="66"/>
        <v>387.29446872537733</v>
      </c>
      <c r="BN15" s="1">
        <f t="shared" si="66"/>
        <v>383.42152403812355</v>
      </c>
      <c r="BO15" s="1">
        <f t="shared" si="66"/>
        <v>379.58730879774231</v>
      </c>
      <c r="BP15" s="1">
        <f t="shared" si="66"/>
        <v>375.79143570976487</v>
      </c>
      <c r="BQ15" s="1">
        <f t="shared" si="66"/>
        <v>372.03352135266721</v>
      </c>
      <c r="BR15" s="1">
        <f t="shared" si="66"/>
        <v>368.31318613914056</v>
      </c>
      <c r="BS15" s="1">
        <f t="shared" si="66"/>
        <v>364.63005427774914</v>
      </c>
      <c r="BT15" s="1">
        <f t="shared" si="66"/>
        <v>360.98375373497163</v>
      </c>
      <c r="BU15" s="1">
        <f t="shared" si="66"/>
        <v>357.3739161976219</v>
      </c>
      <c r="BV15" s="1">
        <f t="shared" si="66"/>
        <v>353.80017703564567</v>
      </c>
      <c r="BW15" s="1">
        <f t="shared" si="66"/>
        <v>350.26217526528922</v>
      </c>
      <c r="BX15" s="1">
        <f t="shared" si="66"/>
        <v>346.75955351263633</v>
      </c>
      <c r="BY15" s="1">
        <f t="shared" si="66"/>
        <v>343.29195797750998</v>
      </c>
      <c r="BZ15" s="1">
        <f t="shared" si="66"/>
        <v>339.85903839773488</v>
      </c>
      <c r="CA15" s="1">
        <f t="shared" si="66"/>
        <v>336.46044801375751</v>
      </c>
      <c r="CB15" s="1">
        <f t="shared" si="66"/>
        <v>333.09584353361993</v>
      </c>
      <c r="CC15" s="1">
        <f t="shared" si="66"/>
        <v>329.76488509828374</v>
      </c>
      <c r="CD15" s="1">
        <f t="shared" si="66"/>
        <v>326.46723624730089</v>
      </c>
      <c r="CE15" s="1">
        <f t="shared" si="66"/>
        <v>323.2025638848279</v>
      </c>
      <c r="CF15" s="1">
        <f t="shared" si="66"/>
        <v>319.97053824597964</v>
      </c>
      <c r="CG15" s="1">
        <f t="shared" si="66"/>
        <v>316.77083286351984</v>
      </c>
      <c r="CH15" s="1">
        <f t="shared" si="66"/>
        <v>313.60312453488461</v>
      </c>
      <c r="CI15" s="1">
        <f t="shared" si="66"/>
        <v>310.46709328953574</v>
      </c>
      <c r="CJ15" s="1">
        <f t="shared" si="66"/>
        <v>307.36242235664037</v>
      </c>
      <c r="CK15" s="1">
        <f t="shared" si="66"/>
        <v>304.28879813307395</v>
      </c>
      <c r="CL15" s="1">
        <f t="shared" si="66"/>
        <v>301.2459101517432</v>
      </c>
      <c r="CM15" s="1">
        <f t="shared" ref="CM15:DR15" si="67">CL15*(1+$BI$21)</f>
        <v>298.23345105022577</v>
      </c>
      <c r="CN15" s="1">
        <f t="shared" si="67"/>
        <v>295.25111653972351</v>
      </c>
      <c r="CO15" s="1">
        <f t="shared" si="67"/>
        <v>292.29860537432626</v>
      </c>
      <c r="CP15" s="1">
        <f t="shared" si="67"/>
        <v>289.37561932058298</v>
      </c>
      <c r="CQ15" s="1">
        <f t="shared" si="67"/>
        <v>286.48186312737715</v>
      </c>
      <c r="CR15" s="1">
        <f t="shared" si="67"/>
        <v>283.6170444961034</v>
      </c>
      <c r="CS15" s="1">
        <f t="shared" si="67"/>
        <v>280.78087405114235</v>
      </c>
      <c r="CT15" s="1">
        <f t="shared" si="67"/>
        <v>277.97306531063094</v>
      </c>
      <c r="CU15" s="1">
        <f t="shared" si="67"/>
        <v>275.19333465752464</v>
      </c>
      <c r="CV15" s="1">
        <f t="shared" si="67"/>
        <v>272.4414013109494</v>
      </c>
      <c r="CW15" s="1">
        <f t="shared" si="67"/>
        <v>269.71698729783992</v>
      </c>
      <c r="CX15" s="1">
        <f t="shared" si="67"/>
        <v>267.01981742486151</v>
      </c>
      <c r="CY15" s="1">
        <f t="shared" si="67"/>
        <v>264.34961925061288</v>
      </c>
      <c r="CZ15" s="1">
        <f t="shared" si="67"/>
        <v>261.70612305810675</v>
      </c>
      <c r="DA15" s="1">
        <f t="shared" si="67"/>
        <v>259.08906182752571</v>
      </c>
      <c r="DB15" s="1">
        <f t="shared" si="67"/>
        <v>256.49817120925047</v>
      </c>
      <c r="DC15" s="1">
        <f t="shared" si="67"/>
        <v>253.93318949715797</v>
      </c>
      <c r="DD15" s="1">
        <f t="shared" si="67"/>
        <v>251.39385760218639</v>
      </c>
      <c r="DE15" s="1">
        <f t="shared" si="67"/>
        <v>248.87991902616452</v>
      </c>
      <c r="DF15" s="1">
        <f t="shared" si="67"/>
        <v>246.39111983590286</v>
      </c>
      <c r="DG15" s="1">
        <f t="shared" si="67"/>
        <v>243.92720863754383</v>
      </c>
      <c r="DH15" s="1">
        <f t="shared" si="67"/>
        <v>241.48793655116839</v>
      </c>
      <c r="DI15" s="1">
        <f t="shared" si="67"/>
        <v>239.07305718565669</v>
      </c>
      <c r="DJ15" s="1">
        <f t="shared" si="67"/>
        <v>236.68232661380011</v>
      </c>
      <c r="DK15" s="1">
        <f t="shared" si="67"/>
        <v>234.31550334766212</v>
      </c>
      <c r="DL15" s="1">
        <f t="shared" si="67"/>
        <v>231.9723483141855</v>
      </c>
      <c r="DM15" s="1">
        <f t="shared" si="67"/>
        <v>229.65262483104362</v>
      </c>
      <c r="DN15" s="1">
        <f t="shared" si="67"/>
        <v>227.35609858273318</v>
      </c>
      <c r="DO15" s="1">
        <f t="shared" si="67"/>
        <v>225.08253759690584</v>
      </c>
      <c r="DP15" s="1">
        <f t="shared" si="67"/>
        <v>222.83171222093677</v>
      </c>
      <c r="DQ15" s="1">
        <f t="shared" si="67"/>
        <v>220.60339509872739</v>
      </c>
      <c r="DR15" s="1">
        <f t="shared" si="67"/>
        <v>218.39736114774013</v>
      </c>
      <c r="DS15" s="1">
        <f t="shared" ref="DS15:EX15" si="68">DR15*(1+$BI$21)</f>
        <v>216.21338753626273</v>
      </c>
      <c r="DT15" s="1">
        <f t="shared" si="68"/>
        <v>214.0512536609001</v>
      </c>
      <c r="DU15" s="1">
        <f t="shared" si="68"/>
        <v>211.91074112429109</v>
      </c>
      <c r="DV15" s="1">
        <f t="shared" si="68"/>
        <v>209.79163371304818</v>
      </c>
      <c r="DW15" s="1">
        <f t="shared" si="68"/>
        <v>207.69371737591771</v>
      </c>
      <c r="DX15" s="1">
        <f t="shared" si="68"/>
        <v>205.61678020215854</v>
      </c>
      <c r="DY15" s="1">
        <f t="shared" si="68"/>
        <v>203.56061240013696</v>
      </c>
      <c r="DZ15" s="1">
        <f t="shared" si="68"/>
        <v>201.5250062761356</v>
      </c>
      <c r="EA15" s="1">
        <f t="shared" si="68"/>
        <v>199.50975621337423</v>
      </c>
      <c r="EB15" s="1">
        <f t="shared" si="68"/>
        <v>197.5146586512405</v>
      </c>
      <c r="EC15" s="1">
        <f t="shared" si="68"/>
        <v>195.53951206472809</v>
      </c>
      <c r="ED15" s="1">
        <f t="shared" si="68"/>
        <v>193.58411694408079</v>
      </c>
      <c r="EE15" s="1">
        <f t="shared" si="68"/>
        <v>191.64827577463998</v>
      </c>
      <c r="EF15" s="1">
        <f t="shared" si="68"/>
        <v>189.73179301689359</v>
      </c>
      <c r="EG15" s="1">
        <f t="shared" si="68"/>
        <v>187.83447508672467</v>
      </c>
      <c r="EH15" s="1">
        <f t="shared" si="68"/>
        <v>185.95613033585741</v>
      </c>
      <c r="EI15" s="1">
        <f t="shared" si="68"/>
        <v>184.09656903249882</v>
      </c>
      <c r="EJ15" s="1">
        <f t="shared" si="68"/>
        <v>182.25560334217383</v>
      </c>
      <c r="EK15" s="1">
        <f t="shared" si="68"/>
        <v>180.43304730875209</v>
      </c>
      <c r="EL15" s="1">
        <f t="shared" si="68"/>
        <v>178.62871683566456</v>
      </c>
      <c r="EM15" s="1">
        <f t="shared" si="68"/>
        <v>176.84242966730793</v>
      </c>
      <c r="EN15" s="1">
        <f t="shared" si="68"/>
        <v>175.07400537063484</v>
      </c>
      <c r="EO15" s="1">
        <f t="shared" si="68"/>
        <v>173.32326531692848</v>
      </c>
      <c r="EP15" s="1">
        <f t="shared" si="68"/>
        <v>171.59003266375919</v>
      </c>
      <c r="EQ15" s="1">
        <f t="shared" si="68"/>
        <v>169.87413233712161</v>
      </c>
      <c r="ER15" s="1">
        <f t="shared" si="68"/>
        <v>168.17539101375039</v>
      </c>
      <c r="ES15" s="1">
        <f t="shared" si="68"/>
        <v>166.49363710361288</v>
      </c>
      <c r="ET15" s="1">
        <f t="shared" si="68"/>
        <v>164.82870073257675</v>
      </c>
      <c r="EU15" s="1">
        <f t="shared" si="68"/>
        <v>163.18041372525099</v>
      </c>
      <c r="EV15" s="1">
        <f t="shared" si="68"/>
        <v>161.54860958799847</v>
      </c>
      <c r="EW15" s="1">
        <f t="shared" si="68"/>
        <v>159.93312349211848</v>
      </c>
      <c r="EX15" s="1">
        <f t="shared" si="68"/>
        <v>158.3337922571973</v>
      </c>
      <c r="EY15" s="1">
        <f t="shared" ref="EY15:FO15" si="69">EX15*(1+$BI$21)</f>
        <v>156.75045433462532</v>
      </c>
      <c r="EZ15" s="1">
        <f t="shared" si="69"/>
        <v>155.18294979127907</v>
      </c>
      <c r="FA15" s="1">
        <f t="shared" si="69"/>
        <v>153.63112029336628</v>
      </c>
      <c r="FB15" s="1">
        <f t="shared" si="69"/>
        <v>152.09480909043262</v>
      </c>
      <c r="FC15" s="1">
        <f t="shared" si="69"/>
        <v>150.57386099952828</v>
      </c>
      <c r="FD15" s="1">
        <f t="shared" si="69"/>
        <v>149.06812238953299</v>
      </c>
      <c r="FE15" s="1">
        <f t="shared" si="69"/>
        <v>147.57744116563765</v>
      </c>
      <c r="FF15" s="1">
        <f t="shared" si="69"/>
        <v>146.10166675398128</v>
      </c>
      <c r="FG15" s="1">
        <f t="shared" si="69"/>
        <v>144.64065008644147</v>
      </c>
      <c r="FH15" s="1">
        <f t="shared" si="69"/>
        <v>143.19424358557706</v>
      </c>
      <c r="FI15" s="1">
        <f t="shared" si="69"/>
        <v>141.76230114972128</v>
      </c>
      <c r="FJ15" s="1">
        <f t="shared" si="69"/>
        <v>140.34467813822405</v>
      </c>
      <c r="FK15" s="1">
        <f t="shared" si="69"/>
        <v>138.94123135684183</v>
      </c>
      <c r="FL15" s="1">
        <f t="shared" si="69"/>
        <v>137.55181904327341</v>
      </c>
      <c r="FM15" s="1">
        <f t="shared" si="69"/>
        <v>136.17630085284068</v>
      </c>
      <c r="FN15" s="1">
        <f t="shared" si="69"/>
        <v>134.81453784431227</v>
      </c>
      <c r="FO15" s="1">
        <f t="shared" si="69"/>
        <v>133.46639246586915</v>
      </c>
    </row>
    <row r="16" spans="2:171" x14ac:dyDescent="0.3">
      <c r="B16" t="s">
        <v>2</v>
      </c>
      <c r="C16" s="4">
        <f t="shared" ref="C16:L16" si="70">1211.1+23.7+234.4</f>
        <v>1469.2</v>
      </c>
      <c r="D16" s="4">
        <f t="shared" si="70"/>
        <v>1469.2</v>
      </c>
      <c r="E16" s="4">
        <f t="shared" si="70"/>
        <v>1469.2</v>
      </c>
      <c r="F16" s="4">
        <f t="shared" si="70"/>
        <v>1469.2</v>
      </c>
      <c r="G16" s="4">
        <f t="shared" si="70"/>
        <v>1469.2</v>
      </c>
      <c r="H16" s="4">
        <f t="shared" si="70"/>
        <v>1469.2</v>
      </c>
      <c r="I16" s="4">
        <f t="shared" si="70"/>
        <v>1469.2</v>
      </c>
      <c r="J16" s="4">
        <f t="shared" si="70"/>
        <v>1469.2</v>
      </c>
      <c r="K16" s="4">
        <f t="shared" si="70"/>
        <v>1469.2</v>
      </c>
      <c r="L16" s="4">
        <f t="shared" si="70"/>
        <v>1469.2</v>
      </c>
      <c r="M16" s="4">
        <f t="shared" ref="M16" si="71">1211.1+23.7+234.4</f>
        <v>1469.2</v>
      </c>
      <c r="N16" s="4">
        <v>1508</v>
      </c>
      <c r="O16" s="4">
        <v>1508</v>
      </c>
      <c r="P16" s="4">
        <v>1508</v>
      </c>
      <c r="Q16" s="4">
        <v>1508</v>
      </c>
      <c r="R16" s="4">
        <v>1508</v>
      </c>
      <c r="S16" s="4">
        <v>1508</v>
      </c>
      <c r="T16" s="4">
        <v>1508</v>
      </c>
      <c r="U16" s="4">
        <v>1508</v>
      </c>
      <c r="V16" s="4">
        <v>1508</v>
      </c>
      <c r="W16" s="4">
        <v>1508</v>
      </c>
      <c r="X16" s="4">
        <v>1508</v>
      </c>
      <c r="Y16" s="4">
        <v>1508</v>
      </c>
      <c r="Z16" s="4">
        <v>1508</v>
      </c>
      <c r="AA16" s="4">
        <v>1508</v>
      </c>
      <c r="AB16" s="4">
        <f>1405.3+22.5+231.6</f>
        <v>1659.3999999999999</v>
      </c>
      <c r="AC16" s="4">
        <f>1423.1+22.5+231.6</f>
        <v>1677.1999999999998</v>
      </c>
      <c r="AD16" s="4">
        <f>1442.2+22.5+231.6</f>
        <v>1696.3</v>
      </c>
      <c r="AE16" s="4">
        <f>1442.2+22.5+231.6</f>
        <v>1696.3</v>
      </c>
      <c r="AF16" s="4">
        <f>1674.9</f>
        <v>1674.9</v>
      </c>
      <c r="AG16" s="4">
        <f>1696.5</f>
        <v>1696.5</v>
      </c>
      <c r="AH16" s="4">
        <f>1710.5</f>
        <v>1710.5</v>
      </c>
      <c r="AI16" s="4"/>
      <c r="AJ16" s="4"/>
      <c r="AK16" s="4"/>
      <c r="AL16" s="4"/>
      <c r="AM16" s="4"/>
      <c r="AO16" s="4">
        <f>1211.1+23.7+234.4</f>
        <v>1469.2</v>
      </c>
      <c r="AP16" s="4">
        <f>1211.1+23.7+234.4</f>
        <v>1469.2</v>
      </c>
      <c r="AQ16" s="4">
        <f>1211.1+23.7+234.4</f>
        <v>1469.2</v>
      </c>
      <c r="AR16" s="4">
        <v>1508</v>
      </c>
      <c r="AS16" s="4">
        <v>1508</v>
      </c>
      <c r="AT16" s="4">
        <v>1508</v>
      </c>
      <c r="AU16" s="4">
        <f t="shared" ref="AU16" si="72">1442.2+22.5+231.6</f>
        <v>1696.3</v>
      </c>
      <c r="AV16" s="4">
        <f t="shared" ref="AV16:BF16" si="73">1696.5</f>
        <v>1696.5</v>
      </c>
      <c r="AW16" s="4">
        <f t="shared" si="73"/>
        <v>1696.5</v>
      </c>
      <c r="AX16" s="4">
        <f t="shared" si="73"/>
        <v>1696.5</v>
      </c>
      <c r="AY16" s="4">
        <f t="shared" si="73"/>
        <v>1696.5</v>
      </c>
      <c r="AZ16" s="4">
        <f t="shared" si="73"/>
        <v>1696.5</v>
      </c>
      <c r="BA16" s="4">
        <f t="shared" si="73"/>
        <v>1696.5</v>
      </c>
      <c r="BB16" s="4">
        <f t="shared" si="73"/>
        <v>1696.5</v>
      </c>
      <c r="BC16" s="4">
        <f t="shared" si="73"/>
        <v>1696.5</v>
      </c>
      <c r="BD16" s="4">
        <f t="shared" si="73"/>
        <v>1696.5</v>
      </c>
      <c r="BE16" s="4">
        <f t="shared" si="73"/>
        <v>1696.5</v>
      </c>
      <c r="BF16" s="4">
        <f t="shared" si="73"/>
        <v>1696.5</v>
      </c>
    </row>
    <row r="17" spans="2:61" s="1" customFormat="1" x14ac:dyDescent="0.3">
      <c r="B17" s="1" t="s">
        <v>33</v>
      </c>
      <c r="C17" s="7">
        <f t="shared" ref="C17:L17" si="74">C15/C16</f>
        <v>-0.26252382248842909</v>
      </c>
      <c r="D17" s="7">
        <f t="shared" si="74"/>
        <v>-0.24047100462836915</v>
      </c>
      <c r="E17" s="7">
        <f t="shared" si="74"/>
        <v>-0.22134494963245302</v>
      </c>
      <c r="F17" s="7">
        <f t="shared" si="74"/>
        <v>-0.13095562210726927</v>
      </c>
      <c r="G17" s="7">
        <f t="shared" si="74"/>
        <v>-0.21099918322896818</v>
      </c>
      <c r="H17" s="7">
        <f t="shared" si="74"/>
        <v>-0.17376803702695343</v>
      </c>
      <c r="I17" s="7">
        <f t="shared" si="74"/>
        <v>-0.15498230329430981</v>
      </c>
      <c r="J17" s="7">
        <f t="shared" si="74"/>
        <v>-0.16376259188674108</v>
      </c>
      <c r="K17" s="7">
        <f t="shared" si="74"/>
        <v>-0.20820854887013335</v>
      </c>
      <c r="L17" s="7">
        <f t="shared" si="74"/>
        <v>-0.22182139940103451</v>
      </c>
      <c r="M17" s="7">
        <f t="shared" ref="M17:N17" si="75">M15/M16</f>
        <v>-0.13537979852981213</v>
      </c>
      <c r="N17" s="7">
        <f t="shared" si="75"/>
        <v>-7.4887931034482783E-2</v>
      </c>
      <c r="O17" s="7">
        <f t="shared" ref="O17:Q17" si="76">O15/O16</f>
        <v>-0.19018567639257292</v>
      </c>
      <c r="P17" s="7">
        <f t="shared" si="76"/>
        <v>-0.1005305039787798</v>
      </c>
      <c r="Q17" s="7">
        <f t="shared" si="76"/>
        <v>-4.7679045092838199E-2</v>
      </c>
      <c r="R17" s="7">
        <f t="shared" ref="R17:S17" si="77">R15/R16</f>
        <v>1.4986737400530548E-2</v>
      </c>
      <c r="S17" s="7">
        <f t="shared" si="77"/>
        <v>-0.23852785145888589</v>
      </c>
      <c r="T17" s="7">
        <f t="shared" ref="T17:U17" si="78">T15/T16</f>
        <v>-0.27990716180371344</v>
      </c>
      <c r="U17" s="7">
        <f t="shared" si="78"/>
        <v>-0.33388594164456226</v>
      </c>
      <c r="V17" s="7">
        <f t="shared" ref="V17" si="79">V15/V16</f>
        <v>-0.19124668435013256</v>
      </c>
      <c r="W17" s="7">
        <f t="shared" ref="W17" si="80">W15/W16</f>
        <v>-0.21790450928381963</v>
      </c>
      <c r="X17" s="7">
        <f t="shared" ref="X17:Y17" si="81">X15/X16</f>
        <v>-0.25026525198938993</v>
      </c>
      <c r="Y17" s="7">
        <f t="shared" si="81"/>
        <v>-0.24423076923076928</v>
      </c>
      <c r="Z17" s="7">
        <f t="shared" ref="Z17" si="82">Z15/Z16</f>
        <v>-0.16458885941644566</v>
      </c>
      <c r="AA17" s="7">
        <f t="shared" ref="AA17" si="83">AA15/AA16</f>
        <v>-0.2022546419098144</v>
      </c>
      <c r="AB17" s="7">
        <f t="shared" ref="AB17:AD17" si="84">AB15/AB16</f>
        <v>-0.14975292274316021</v>
      </c>
      <c r="AC17" s="7">
        <f t="shared" si="84"/>
        <v>-9.1461960410207516E-2</v>
      </c>
      <c r="AD17" s="7">
        <f t="shared" si="84"/>
        <v>5.4235689441725727E-3</v>
      </c>
      <c r="AE17" s="7">
        <f t="shared" ref="AE17:AH17" si="85">AE15/AE16</f>
        <v>-8.23557153805341E-2</v>
      </c>
      <c r="AF17" s="7">
        <f t="shared" si="85"/>
        <v>-0.15678547973013304</v>
      </c>
      <c r="AG17" s="7">
        <f t="shared" si="85"/>
        <v>-6.0949012673150643E-2</v>
      </c>
      <c r="AH17" s="7">
        <f t="shared" si="85"/>
        <v>2.648348436129791E-2</v>
      </c>
      <c r="AI17" s="7"/>
      <c r="AJ17" s="7"/>
      <c r="AK17" s="7"/>
      <c r="AL17" s="7"/>
      <c r="AM17" s="7"/>
      <c r="AO17" s="7">
        <f>AO15/AO16</f>
        <v>-0.85529539885652051</v>
      </c>
      <c r="AP17" s="7">
        <f>AP15/AP16</f>
        <v>-0.70351211543697223</v>
      </c>
      <c r="AQ17" s="7">
        <f>AQ15/AQ16</f>
        <v>-0.64227538796624029</v>
      </c>
      <c r="AR17" s="7">
        <f t="shared" ref="AR17:BA17" si="86">AR15/AR16</f>
        <v>-0.32340848806366046</v>
      </c>
      <c r="AS17" s="7">
        <f t="shared" si="86"/>
        <v>-1.0435676392572943</v>
      </c>
      <c r="AT17" s="7">
        <f t="shared" si="86"/>
        <v>-0.87698938992042441</v>
      </c>
      <c r="AU17" s="7">
        <f t="shared" si="86"/>
        <v>-0.4113069622118728</v>
      </c>
      <c r="AV17" s="7">
        <f t="shared" si="86"/>
        <v>-0.27138225758915374</v>
      </c>
      <c r="AW17" s="7">
        <f t="shared" si="86"/>
        <v>-0.14446017565576141</v>
      </c>
      <c r="AX17" s="7">
        <f t="shared" si="86"/>
        <v>-2.9890109830827894E-2</v>
      </c>
      <c r="AY17" s="7">
        <f t="shared" si="86"/>
        <v>1.9158406957119189E-2</v>
      </c>
      <c r="AZ17" s="7">
        <f t="shared" si="86"/>
        <v>5.6246029212734777E-2</v>
      </c>
      <c r="BA17" s="7">
        <f t="shared" si="86"/>
        <v>8.0580810730140895E-2</v>
      </c>
      <c r="BB17" s="7">
        <f t="shared" ref="BB17:BF17" si="87">BB15/BB16</f>
        <v>0.11093751445459378</v>
      </c>
      <c r="BC17" s="7">
        <f t="shared" si="87"/>
        <v>0.1425583715809271</v>
      </c>
      <c r="BD17" s="7">
        <f t="shared" si="87"/>
        <v>0.17540483997035569</v>
      </c>
      <c r="BE17" s="7">
        <f t="shared" si="87"/>
        <v>0.20951503526165374</v>
      </c>
      <c r="BF17" s="7">
        <f t="shared" si="87"/>
        <v>0.24492948444442728</v>
      </c>
    </row>
    <row r="19" spans="2:61" x14ac:dyDescent="0.3">
      <c r="B19" s="1" t="s">
        <v>36</v>
      </c>
      <c r="G19" s="9">
        <f>G3/C3-1</f>
        <v>0.388816644993498</v>
      </c>
      <c r="H19" s="9">
        <f t="shared" ref="H19:N19" si="88">H3/D3-1</f>
        <v>0.47922226458253903</v>
      </c>
      <c r="I19" s="9">
        <f t="shared" si="88"/>
        <v>0.4988243197850184</v>
      </c>
      <c r="J19" s="9">
        <f t="shared" si="88"/>
        <v>0.4385739933316235</v>
      </c>
      <c r="K19" s="9">
        <f t="shared" si="88"/>
        <v>0.44350811485642949</v>
      </c>
      <c r="L19" s="9">
        <f t="shared" si="88"/>
        <v>0.17061855670103099</v>
      </c>
      <c r="M19" s="9">
        <f t="shared" si="88"/>
        <v>0.52106678619453173</v>
      </c>
      <c r="N19" s="9">
        <f t="shared" si="88"/>
        <v>0.62471028703868781</v>
      </c>
      <c r="O19" s="9">
        <f t="shared" ref="O19" si="89">O3/K3-1</f>
        <v>0.66400000000000015</v>
      </c>
      <c r="P19" s="9">
        <f t="shared" ref="P19" si="90">P3/L3-1</f>
        <v>1.1622633201232939</v>
      </c>
      <c r="Q19" s="9">
        <f t="shared" ref="Q19" si="91">Q3/M3-1</f>
        <v>0.57285987918078662</v>
      </c>
      <c r="R19" s="9">
        <f t="shared" ref="R19" si="92">R3/N3-1</f>
        <v>0.42422912323054995</v>
      </c>
      <c r="S19" s="9">
        <f t="shared" ref="S19" si="93">S3/O3-1</f>
        <v>0.3808471933471933</v>
      </c>
      <c r="T19" s="9">
        <f t="shared" ref="T19" si="94">T3/P3-1</f>
        <v>0.1311475409836067</v>
      </c>
      <c r="U19" s="9">
        <f t="shared" ref="U19" si="95">U3/Q3-1</f>
        <v>5.7142857142857162E-2</v>
      </c>
      <c r="V19" s="9">
        <f t="shared" ref="V19" si="96">V3/R3-1</f>
        <v>1.3868556899607754E-3</v>
      </c>
      <c r="W19" s="9">
        <f t="shared" ref="W19" si="97">W3/S3-1</f>
        <v>-6.9728051190364182E-2</v>
      </c>
      <c r="X19" s="9">
        <f t="shared" ref="X19" si="98">X3/T3-1</f>
        <v>-3.8887388603834783E-2</v>
      </c>
      <c r="Y19" s="9">
        <f t="shared" ref="Y19" si="99">Y3/U3-1</f>
        <v>5.325653522374818E-2</v>
      </c>
      <c r="Z19" s="9">
        <f t="shared" ref="Z19" si="100">Z3/V3-1</f>
        <v>4.7395552819881503E-2</v>
      </c>
      <c r="AA19" s="9">
        <f t="shared" ref="AA19" si="101">AA3/W3-1</f>
        <v>0.20857778676916849</v>
      </c>
      <c r="AB19" s="9">
        <f t="shared" ref="AB19" si="102">AB3/X3-1</f>
        <v>0.15837782148543589</v>
      </c>
      <c r="AC19" s="9">
        <f t="shared" ref="AC19" si="103">AC3/Y3-1</f>
        <v>0.15471983846542159</v>
      </c>
      <c r="AD19" s="9">
        <f t="shared" ref="AD19" si="104">AD3/Z3-1</f>
        <v>0.14398001909939029</v>
      </c>
      <c r="AE19" s="9">
        <f t="shared" ref="AE19" si="105">AE3/AA3-1</f>
        <v>0.1409440910612656</v>
      </c>
      <c r="AF19" s="9">
        <f t="shared" ref="AF19" si="106">AF3/AB3-1</f>
        <v>8.7402975420439954E-2</v>
      </c>
      <c r="AG19" s="9">
        <f t="shared" ref="AG19" si="107">AG3/AC3-1</f>
        <v>9.7850637522768569E-2</v>
      </c>
      <c r="AH19" s="9">
        <f t="shared" ref="AH19:AI19" si="108">AH3/AD3-1</f>
        <v>0.10222821550118799</v>
      </c>
      <c r="AI19" s="9">
        <f t="shared" si="108"/>
        <v>0.11135563380281677</v>
      </c>
      <c r="AJ19" s="9"/>
      <c r="AK19" s="9"/>
      <c r="AL19" s="9"/>
      <c r="AM19" s="9"/>
      <c r="AO19" s="9"/>
      <c r="AP19" s="9">
        <f>AP3/AO3-1</f>
        <v>0.45307470777570735</v>
      </c>
      <c r="AQ19" s="9">
        <f>AQ3/AP3-1</f>
        <v>0.46120664529291733</v>
      </c>
      <c r="AR19" s="9">
        <f t="shared" ref="AR19:BB19" si="109">AR3/AQ3-1</f>
        <v>0.64243826544859806</v>
      </c>
      <c r="AS19" s="9">
        <f t="shared" si="109"/>
        <v>0.11772849821476283</v>
      </c>
      <c r="AT19" s="9">
        <f t="shared" si="109"/>
        <v>9.561475944195319E-4</v>
      </c>
      <c r="AU19" s="9">
        <f t="shared" si="109"/>
        <v>0.16395293300334335</v>
      </c>
      <c r="AV19" s="9">
        <f t="shared" si="109"/>
        <v>0.10631551460439459</v>
      </c>
      <c r="AW19" s="9">
        <f t="shared" si="109"/>
        <v>9.000000000000008E-2</v>
      </c>
      <c r="AX19" s="9">
        <f t="shared" si="109"/>
        <v>6.0000000000000053E-2</v>
      </c>
      <c r="AY19" s="9">
        <f t="shared" si="109"/>
        <v>5.0000000000000044E-2</v>
      </c>
      <c r="AZ19" s="9">
        <f t="shared" si="109"/>
        <v>4.0000000000000036E-2</v>
      </c>
      <c r="BA19" s="9">
        <f t="shared" si="109"/>
        <v>3.0000000000000027E-2</v>
      </c>
      <c r="BB19" s="9">
        <f t="shared" si="109"/>
        <v>3.0000000000000027E-2</v>
      </c>
      <c r="BC19" s="9">
        <f t="shared" ref="BC19" si="110">BC3/BB3-1</f>
        <v>3.0000000000000027E-2</v>
      </c>
      <c r="BD19" s="9">
        <f t="shared" ref="BD19" si="111">BD3/BC3-1</f>
        <v>3.0000000000000027E-2</v>
      </c>
      <c r="BE19" s="9">
        <f t="shared" ref="BE19" si="112">BE3/BD3-1</f>
        <v>3.0000000000000027E-2</v>
      </c>
      <c r="BF19" s="9">
        <f t="shared" ref="BF19" si="113">BF3/BE3-1</f>
        <v>3.0000000000000027E-2</v>
      </c>
    </row>
    <row r="20" spans="2:61" x14ac:dyDescent="0.3">
      <c r="B20" s="1" t="s">
        <v>37</v>
      </c>
      <c r="C20" s="9">
        <f>C5/C3</f>
        <v>0.14694408322496741</v>
      </c>
      <c r="D20" s="9">
        <f t="shared" ref="D20:N20" si="114">D5/D3</f>
        <v>0.26953869614944725</v>
      </c>
      <c r="E20" s="9">
        <f t="shared" si="114"/>
        <v>0.33624454148471616</v>
      </c>
      <c r="F20" s="9">
        <f t="shared" si="114"/>
        <v>0.45370607848166195</v>
      </c>
      <c r="G20" s="9">
        <f t="shared" si="114"/>
        <v>0.363920099875156</v>
      </c>
      <c r="H20" s="9">
        <f t="shared" si="114"/>
        <v>0.44458762886597936</v>
      </c>
      <c r="I20" s="9">
        <f t="shared" si="114"/>
        <v>0.5</v>
      </c>
      <c r="J20" s="9">
        <f t="shared" si="114"/>
        <v>0.54822606525227313</v>
      </c>
      <c r="K20" s="9">
        <f t="shared" si="114"/>
        <v>0.45210810810810809</v>
      </c>
      <c r="L20" s="9">
        <f t="shared" si="114"/>
        <v>0.4484808454425363</v>
      </c>
      <c r="M20" s="9">
        <f t="shared" si="114"/>
        <v>0.56814498305584205</v>
      </c>
      <c r="N20" s="9">
        <f t="shared" si="114"/>
        <v>0.57697794359705912</v>
      </c>
      <c r="O20" s="9">
        <f t="shared" ref="O20:R20" si="115">O5/O3</f>
        <v>0.46387733887733884</v>
      </c>
      <c r="P20" s="9">
        <f t="shared" si="115"/>
        <v>0.54688931880663882</v>
      </c>
      <c r="Q20" s="9">
        <f t="shared" si="115"/>
        <v>0.58454332552693211</v>
      </c>
      <c r="R20" s="9">
        <f t="shared" si="115"/>
        <v>0.65390245781647272</v>
      </c>
      <c r="S20" s="9">
        <f t="shared" ref="S20:AD20" si="116">S5/S3</f>
        <v>0.60393337724663598</v>
      </c>
      <c r="T20" s="9">
        <f t="shared" si="116"/>
        <v>0.59816365109370784</v>
      </c>
      <c r="U20" s="9">
        <f t="shared" si="116"/>
        <v>0.58635356668143557</v>
      </c>
      <c r="V20" s="9">
        <f t="shared" si="116"/>
        <v>0.62968377317842583</v>
      </c>
      <c r="W20" s="9">
        <f t="shared" si="116"/>
        <v>0.55492615820352009</v>
      </c>
      <c r="X20" s="9">
        <f t="shared" si="116"/>
        <v>0.53460709937248296</v>
      </c>
      <c r="Y20" s="9">
        <f t="shared" si="116"/>
        <v>0.53239104829210837</v>
      </c>
      <c r="Z20" s="9">
        <f t="shared" si="116"/>
        <v>0.54345111290678028</v>
      </c>
      <c r="AA20" s="9">
        <f t="shared" si="116"/>
        <v>0.51899899564780716</v>
      </c>
      <c r="AB20" s="9">
        <f t="shared" si="116"/>
        <v>0.5238518758085382</v>
      </c>
      <c r="AC20" s="9">
        <f t="shared" si="116"/>
        <v>0.53449908925318768</v>
      </c>
      <c r="AD20" s="9">
        <f t="shared" si="116"/>
        <v>0.56867655557696006</v>
      </c>
      <c r="AE20" s="9">
        <f t="shared" ref="AE20:AH20" si="117">AE5/AE3</f>
        <v>0.53080985915492962</v>
      </c>
      <c r="AF20" s="9">
        <f t="shared" si="117"/>
        <v>0.51423897687560416</v>
      </c>
      <c r="AG20" s="9">
        <f t="shared" si="117"/>
        <v>0.55256172020175198</v>
      </c>
      <c r="AH20" s="9">
        <f t="shared" si="117"/>
        <v>0.59079522283716868</v>
      </c>
      <c r="AI20" s="9"/>
      <c r="AJ20" s="9"/>
      <c r="AK20" s="9"/>
      <c r="AL20" s="9"/>
      <c r="AM20" s="9"/>
      <c r="AO20" s="9">
        <f t="shared" ref="AO20:AQ20" si="118">AO5/AO3</f>
        <v>0.32322547857021849</v>
      </c>
      <c r="AP20" s="9">
        <f t="shared" si="118"/>
        <v>0.47781987758670946</v>
      </c>
      <c r="AQ20" s="9">
        <f t="shared" si="118"/>
        <v>0.52826425180516212</v>
      </c>
      <c r="AR20" s="9">
        <f t="shared" ref="AR20:BA20" si="119">AR5/AR3</f>
        <v>0.57487066138787013</v>
      </c>
      <c r="AS20" s="9">
        <f t="shared" si="119"/>
        <v>0.60550219479334189</v>
      </c>
      <c r="AT20" s="9">
        <f t="shared" si="119"/>
        <v>0.54100994312014239</v>
      </c>
      <c r="AU20" s="9">
        <f t="shared" si="119"/>
        <v>0.53851605923825863</v>
      </c>
      <c r="AV20" s="9">
        <f t="shared" si="119"/>
        <v>0.54993762012341108</v>
      </c>
      <c r="AW20" s="9">
        <f t="shared" si="119"/>
        <v>0.56000000000000005</v>
      </c>
      <c r="AX20" s="9">
        <f t="shared" si="119"/>
        <v>0.56999999999999995</v>
      </c>
      <c r="AY20" s="9">
        <f t="shared" si="119"/>
        <v>0.56999999999999995</v>
      </c>
      <c r="AZ20" s="9">
        <f t="shared" si="119"/>
        <v>0.56999999999999995</v>
      </c>
      <c r="BA20" s="9">
        <f t="shared" si="119"/>
        <v>0.56999999999999995</v>
      </c>
      <c r="BB20" s="9">
        <f t="shared" ref="BB20:BF20" si="120">BB5/BB3</f>
        <v>0.56999999999999995</v>
      </c>
      <c r="BC20" s="9">
        <f t="shared" si="120"/>
        <v>0.56999999999999995</v>
      </c>
      <c r="BD20" s="9">
        <f t="shared" si="120"/>
        <v>0.56999999999999995</v>
      </c>
      <c r="BE20" s="9">
        <f t="shared" si="120"/>
        <v>0.56999999999999995</v>
      </c>
      <c r="BF20" s="9">
        <f t="shared" si="120"/>
        <v>0.56999999999999995</v>
      </c>
    </row>
    <row r="21" spans="2:61" x14ac:dyDescent="0.3">
      <c r="B21" t="s">
        <v>38</v>
      </c>
      <c r="C21" s="9">
        <f>C9/C3</f>
        <v>-1.7013437364542698</v>
      </c>
      <c r="D21" s="9">
        <f t="shared" ref="D21:N21" si="121">D9/D3</f>
        <v>-1.3640869233701867</v>
      </c>
      <c r="E21" s="9">
        <f t="shared" si="121"/>
        <v>-1.0866644272757811</v>
      </c>
      <c r="F21" s="9">
        <f t="shared" si="121"/>
        <v>-0.49935880995126969</v>
      </c>
      <c r="G21" s="9">
        <f t="shared" si="121"/>
        <v>-0.98689138576779045</v>
      </c>
      <c r="H21" s="9">
        <f t="shared" si="121"/>
        <v>-0.78556701030927822</v>
      </c>
      <c r="I21" s="9">
        <f t="shared" si="121"/>
        <v>-0.51277454056476923</v>
      </c>
      <c r="J21" s="9">
        <f t="shared" si="121"/>
        <v>-0.45195221964699595</v>
      </c>
      <c r="K21" s="9">
        <f t="shared" si="121"/>
        <v>-0.61902702702702694</v>
      </c>
      <c r="L21" s="9">
        <f t="shared" si="121"/>
        <v>-0.68383971818582112</v>
      </c>
      <c r="M21" s="9">
        <f t="shared" si="121"/>
        <v>-0.24723736555179018</v>
      </c>
      <c r="N21" s="9">
        <f t="shared" si="121"/>
        <v>-0.10655108087347748</v>
      </c>
      <c r="O21" s="9">
        <f t="shared" ref="O21:R21" si="122">O9/O3</f>
        <v>-0.39449064449064453</v>
      </c>
      <c r="P21" s="9">
        <f t="shared" si="122"/>
        <v>-0.19600855310049886</v>
      </c>
      <c r="Q21" s="9">
        <f t="shared" si="122"/>
        <v>-0.16936768149882905</v>
      </c>
      <c r="R21" s="9">
        <f t="shared" si="122"/>
        <v>-1.9338932121118681E-2</v>
      </c>
      <c r="S21" s="9">
        <f t="shared" ref="S21:AD21" si="123">S9/S3</f>
        <v>-0.25557542109720521</v>
      </c>
      <c r="T21" s="9">
        <f t="shared" si="123"/>
        <v>-0.36096858403096577</v>
      </c>
      <c r="U21" s="9">
        <f t="shared" si="123"/>
        <v>-0.38573327425786436</v>
      </c>
      <c r="V21" s="9">
        <f t="shared" si="123"/>
        <v>-0.22128183426944673</v>
      </c>
      <c r="W21" s="9">
        <f t="shared" si="123"/>
        <v>-0.36941128869107825</v>
      </c>
      <c r="X21" s="9">
        <f t="shared" si="123"/>
        <v>-0.37875807811182916</v>
      </c>
      <c r="Y21" s="9">
        <f t="shared" si="123"/>
        <v>-0.31987211845869096</v>
      </c>
      <c r="Z21" s="9">
        <f t="shared" si="123"/>
        <v>-0.18269301403070598</v>
      </c>
      <c r="AA21" s="9">
        <f t="shared" si="123"/>
        <v>-0.27887512554402422</v>
      </c>
      <c r="AB21" s="9">
        <f t="shared" si="123"/>
        <v>-0.2052878395860285</v>
      </c>
      <c r="AC21" s="9">
        <f t="shared" si="123"/>
        <v>-0.12626593806921677</v>
      </c>
      <c r="AD21" s="9">
        <f t="shared" si="123"/>
        <v>-1.7209272458742739E-2</v>
      </c>
      <c r="AE21" s="9">
        <f t="shared" ref="AE21:AH21" si="124">AE9/AE3</f>
        <v>-0.14231220657276994</v>
      </c>
      <c r="AF21" s="9">
        <f t="shared" si="124"/>
        <v>-0.19309985872555566</v>
      </c>
      <c r="AG21" s="9">
        <f t="shared" si="124"/>
        <v>-8.5147332094504966E-2</v>
      </c>
      <c r="AH21" s="9">
        <f t="shared" si="124"/>
        <v>2.9012525487911486E-2</v>
      </c>
      <c r="AI21" s="9"/>
      <c r="AJ21" s="9"/>
      <c r="AK21" s="9"/>
      <c r="AL21" s="9"/>
      <c r="AM21" s="9"/>
      <c r="AO21" s="9">
        <f t="shared" ref="AO21:AQ21" si="125">AO9/AO3</f>
        <v>-1.0744536676266305</v>
      </c>
      <c r="AP21" s="9">
        <f t="shared" si="125"/>
        <v>-0.64313611192072284</v>
      </c>
      <c r="AQ21" s="9">
        <f t="shared" si="125"/>
        <v>-0.34379861969920622</v>
      </c>
      <c r="AR21" s="9">
        <f t="shared" ref="AR21:BA21" si="126">AR9/AR3</f>
        <v>-0.17050836754025889</v>
      </c>
      <c r="AS21" s="9">
        <f t="shared" si="126"/>
        <v>-0.30325090182102643</v>
      </c>
      <c r="AT21" s="9">
        <f t="shared" si="126"/>
        <v>-0.30361252225261603</v>
      </c>
      <c r="AU21" s="9">
        <f t="shared" si="126"/>
        <v>-0.14682732122206885</v>
      </c>
      <c r="AV21" s="9">
        <f t="shared" si="126"/>
        <v>-8.972586573153038E-2</v>
      </c>
      <c r="AW21" s="9">
        <f t="shared" si="126"/>
        <v>-4.7695449470753069E-2</v>
      </c>
      <c r="AX21" s="9">
        <f t="shared" si="126"/>
        <v>-1.0021109273893058E-2</v>
      </c>
      <c r="AY21" s="9">
        <f t="shared" si="126"/>
        <v>4.522160737613792E-3</v>
      </c>
      <c r="AZ21" s="9">
        <f t="shared" si="126"/>
        <v>1.4789132221784202E-2</v>
      </c>
      <c r="BA21" s="9">
        <f t="shared" si="126"/>
        <v>2.1047503691879351E-2</v>
      </c>
      <c r="BB21" s="9">
        <f t="shared" ref="BB21:BF21" si="127">BB9/BB3</f>
        <v>2.8599979348347685E-2</v>
      </c>
      <c r="BC21" s="9">
        <f t="shared" si="127"/>
        <v>3.6005804992069089E-2</v>
      </c>
      <c r="BD21" s="9">
        <f t="shared" si="127"/>
        <v>4.3267828196106646E-2</v>
      </c>
      <c r="BE21" s="9">
        <f t="shared" si="127"/>
        <v>5.0388841240842371E-2</v>
      </c>
      <c r="BF21" s="9">
        <f t="shared" si="127"/>
        <v>5.7371582187622172E-2</v>
      </c>
      <c r="BH21" t="s">
        <v>40</v>
      </c>
      <c r="BI21" s="9">
        <v>-0.01</v>
      </c>
    </row>
    <row r="22" spans="2:61" x14ac:dyDescent="0.3">
      <c r="B22" t="s">
        <v>55</v>
      </c>
      <c r="C22" s="9"/>
      <c r="D22" s="9"/>
      <c r="E22" s="9"/>
      <c r="F22" s="9"/>
      <c r="G22" s="9">
        <f t="shared" ref="G22:R22" si="128">G6/C6-1</f>
        <v>7.5621890547263648E-2</v>
      </c>
      <c r="H22" s="9">
        <f t="shared" si="128"/>
        <v>0.16240157480314954</v>
      </c>
      <c r="I22" s="9">
        <f t="shared" si="128"/>
        <v>3.98034398034397E-2</v>
      </c>
      <c r="J22" s="9">
        <f t="shared" si="128"/>
        <v>0.33515815085158152</v>
      </c>
      <c r="K22" s="9">
        <f t="shared" si="128"/>
        <v>0.1036077705827938</v>
      </c>
      <c r="L22" s="9">
        <f t="shared" si="128"/>
        <v>0.10457239627434367</v>
      </c>
      <c r="M22" s="9">
        <f t="shared" si="128"/>
        <v>0.34026465028355402</v>
      </c>
      <c r="N22" s="9">
        <f t="shared" si="128"/>
        <v>0.45056947608200448</v>
      </c>
      <c r="O22" s="9">
        <f t="shared" si="128"/>
        <v>0.4610226320201174</v>
      </c>
      <c r="P22" s="9">
        <f t="shared" si="128"/>
        <v>0.42085090072824838</v>
      </c>
      <c r="Q22" s="9">
        <f t="shared" si="128"/>
        <v>0.45275035260930885</v>
      </c>
      <c r="R22" s="9">
        <f t="shared" si="128"/>
        <v>0.3636934673366834</v>
      </c>
      <c r="S22" s="9">
        <f t="shared" ref="S22" si="129">S6/O6-1</f>
        <v>0.30694205393000562</v>
      </c>
      <c r="T22" s="9">
        <f t="shared" ref="T22" si="130">T6/P6-1</f>
        <v>0.36228756406797946</v>
      </c>
      <c r="U22" s="9">
        <f t="shared" ref="U22" si="131">U6/Q6-1</f>
        <v>0.36966019417475726</v>
      </c>
      <c r="V22" s="9">
        <f t="shared" ref="V22" si="132">V6/R6-1</f>
        <v>0.34707508060801473</v>
      </c>
      <c r="W22" s="9">
        <f t="shared" ref="W22" si="133">W6/S6-1</f>
        <v>-1.0974539069359412E-3</v>
      </c>
      <c r="X22" s="9">
        <f t="shared" ref="X22" si="134">X6/T6-1</f>
        <v>-5.4059405940594107E-2</v>
      </c>
      <c r="Y22" s="9">
        <f t="shared" ref="Y22" si="135">Y6/U6-1</f>
        <v>-0.12351586035796547</v>
      </c>
      <c r="Z22" s="9">
        <f t="shared" ref="Z22" si="136">Z6/V6-1</f>
        <v>-0.17336296802872286</v>
      </c>
      <c r="AA22" s="9">
        <f t="shared" ref="AA22" si="137">AA6/W6-1</f>
        <v>-1.1645792133597066E-2</v>
      </c>
      <c r="AB22" s="9">
        <f t="shared" ref="AB22" si="138">AB6/X6-1</f>
        <v>-0.14967552857441913</v>
      </c>
      <c r="AC22" s="9">
        <f t="shared" ref="AC22" si="139">AC6/Y6-1</f>
        <v>-0.16538617064294381</v>
      </c>
      <c r="AD22" s="9">
        <f t="shared" ref="AD22" si="140">AD6/Z6-1</f>
        <v>-0.12533609100310239</v>
      </c>
      <c r="AE22" s="9">
        <f t="shared" ref="AE22" si="141">AE6/AA6-1</f>
        <v>-5.6914184081814145E-2</v>
      </c>
      <c r="AF22" s="9">
        <f t="shared" ref="AF22" si="142">AF6/AB6-1</f>
        <v>9.1334318069916431E-2</v>
      </c>
      <c r="AG22" s="9">
        <f t="shared" ref="AG22" si="143">AG6/AC6-1</f>
        <v>9.8352713178294415E-2</v>
      </c>
      <c r="AH22" s="9">
        <f t="shared" ref="AH22" si="144">AH6/AD6-1</f>
        <v>0.11775833530385427</v>
      </c>
      <c r="AI22" s="9"/>
      <c r="AJ22" s="9"/>
      <c r="AK22" s="9"/>
      <c r="AL22" s="9"/>
      <c r="AM22" s="9"/>
      <c r="AO22" s="9"/>
      <c r="AP22" s="9">
        <f t="shared" ref="AP22:BB24" si="145">AP6/AO6-1</f>
        <v>0.14428182877865559</v>
      </c>
      <c r="AQ22" s="9">
        <f t="shared" si="145"/>
        <v>0.24674589700056604</v>
      </c>
      <c r="AR22" s="9">
        <f t="shared" si="145"/>
        <v>0.42124375851112128</v>
      </c>
      <c r="AS22" s="9">
        <f t="shared" si="145"/>
        <v>0.34768444586394143</v>
      </c>
      <c r="AT22" s="9">
        <f t="shared" si="145"/>
        <v>-9.4274338799886226E-2</v>
      </c>
      <c r="AU22" s="9">
        <f t="shared" si="145"/>
        <v>-0.11471034591030416</v>
      </c>
      <c r="AV22" s="9">
        <f t="shared" si="145"/>
        <v>6.023526630017173E-2</v>
      </c>
      <c r="AW22" s="9">
        <f t="shared" si="145"/>
        <v>1.0000000000000009E-2</v>
      </c>
      <c r="AX22" s="9">
        <f t="shared" si="145"/>
        <v>1.0000000000000009E-2</v>
      </c>
      <c r="AY22" s="9">
        <f t="shared" si="145"/>
        <v>1.0000000000000009E-2</v>
      </c>
      <c r="AZ22" s="9">
        <f t="shared" si="145"/>
        <v>1.0000000000000009E-2</v>
      </c>
      <c r="BA22" s="9">
        <f t="shared" si="145"/>
        <v>1.0000000000000009E-2</v>
      </c>
      <c r="BB22" s="9">
        <f t="shared" si="145"/>
        <v>1.0000000000000009E-2</v>
      </c>
      <c r="BC22" s="9">
        <f t="shared" ref="BC22" si="146">BC6/BB6-1</f>
        <v>1.0000000000000009E-2</v>
      </c>
      <c r="BD22" s="9">
        <f t="shared" ref="BD22" si="147">BD6/BC6-1</f>
        <v>1.0000000000000009E-2</v>
      </c>
      <c r="BE22" s="9">
        <f t="shared" ref="BE22" si="148">BE6/BD6-1</f>
        <v>1.0000000000000009E-2</v>
      </c>
      <c r="BF22" s="9">
        <f t="shared" ref="BF22" si="149">BF6/BE6-1</f>
        <v>1.0000000000000009E-2</v>
      </c>
      <c r="BH22" t="s">
        <v>41</v>
      </c>
      <c r="BI22" s="9">
        <v>0.09</v>
      </c>
    </row>
    <row r="23" spans="2:61" x14ac:dyDescent="0.3">
      <c r="B23" t="s">
        <v>39</v>
      </c>
      <c r="C23" s="9">
        <f>C7/C3</f>
        <v>0.44256610316428263</v>
      </c>
      <c r="D23" s="9">
        <f t="shared" ref="D23:N23" si="150">D7/D3</f>
        <v>0.38772398017537169</v>
      </c>
      <c r="E23" s="9">
        <f t="shared" si="150"/>
        <v>0.32784682566341955</v>
      </c>
      <c r="F23" s="9">
        <f t="shared" si="150"/>
        <v>0.25519363939471662</v>
      </c>
      <c r="G23" s="9">
        <f t="shared" si="150"/>
        <v>0.30555555555555558</v>
      </c>
      <c r="H23" s="9">
        <f t="shared" si="150"/>
        <v>0.28737113402061853</v>
      </c>
      <c r="I23" s="9">
        <f t="shared" si="150"/>
        <v>0.27610936799641417</v>
      </c>
      <c r="J23" s="9">
        <f t="shared" si="150"/>
        <v>0.22463897307898023</v>
      </c>
      <c r="K23" s="9">
        <f t="shared" si="150"/>
        <v>0.26421621621621622</v>
      </c>
      <c r="L23" s="9">
        <f t="shared" si="150"/>
        <v>0.29084103918978421</v>
      </c>
      <c r="M23" s="9">
        <f t="shared" si="150"/>
        <v>0.21143362310299099</v>
      </c>
      <c r="N23" s="9">
        <f t="shared" si="150"/>
        <v>0.17293975639196751</v>
      </c>
      <c r="O23" s="9">
        <f t="shared" ref="O23:R23" si="151">O7/O3</f>
        <v>0.19529625779625781</v>
      </c>
      <c r="P23" s="9">
        <f t="shared" si="151"/>
        <v>0.18297525710212809</v>
      </c>
      <c r="Q23" s="9">
        <f t="shared" si="151"/>
        <v>0.20374707259953162</v>
      </c>
      <c r="R23" s="9">
        <f t="shared" si="151"/>
        <v>0.18892056398798057</v>
      </c>
      <c r="S23" s="9">
        <f t="shared" ref="S23:AD23" si="152">S7/S3</f>
        <v>0.22762774066058153</v>
      </c>
      <c r="T23" s="9">
        <f t="shared" si="152"/>
        <v>0.28031325951930863</v>
      </c>
      <c r="U23" s="9">
        <f t="shared" si="152"/>
        <v>0.23952148870181658</v>
      </c>
      <c r="V23" s="9">
        <f t="shared" si="152"/>
        <v>0.22712933753943215</v>
      </c>
      <c r="W23" s="9">
        <f t="shared" si="152"/>
        <v>0.27149504349585268</v>
      </c>
      <c r="X23" s="9">
        <f t="shared" si="152"/>
        <v>0.26280790484218414</v>
      </c>
      <c r="Y23" s="9">
        <f t="shared" si="152"/>
        <v>0.25012619888944981</v>
      </c>
      <c r="Z23" s="9">
        <f t="shared" si="152"/>
        <v>0.2026004554469992</v>
      </c>
      <c r="AA23" s="9">
        <f t="shared" si="152"/>
        <v>0.23100100435219284</v>
      </c>
      <c r="AB23" s="9">
        <f t="shared" si="152"/>
        <v>0.21531371280724451</v>
      </c>
      <c r="AC23" s="9">
        <f t="shared" si="152"/>
        <v>0.19897996357012751</v>
      </c>
      <c r="AD23" s="9">
        <f t="shared" si="152"/>
        <v>0.15937841135298272</v>
      </c>
      <c r="AE23" s="9">
        <f t="shared" ref="AE23:AH23" si="153">AE7/AE3</f>
        <v>0.18926056338028169</v>
      </c>
      <c r="AF23" s="9">
        <f t="shared" si="153"/>
        <v>0.19176146925421961</v>
      </c>
      <c r="AG23" s="9">
        <f t="shared" si="153"/>
        <v>0.17002920095566765</v>
      </c>
      <c r="AH23" s="9">
        <f t="shared" si="153"/>
        <v>0.14523740168948443</v>
      </c>
      <c r="AI23" s="9"/>
      <c r="AJ23" s="9"/>
      <c r="AK23" s="9"/>
      <c r="AL23" s="9"/>
      <c r="AM23" s="9"/>
      <c r="AO23" s="9">
        <f t="shared" ref="AO23:BA23" si="154">AO7/AO3</f>
        <v>0.33957309842452993</v>
      </c>
      <c r="AP23" s="9">
        <f t="shared" si="154"/>
        <v>0.26732730982220926</v>
      </c>
      <c r="AQ23" s="9">
        <f t="shared" si="154"/>
        <v>0.22156620257709339</v>
      </c>
      <c r="AR23" s="9">
        <f t="shared" si="154"/>
        <v>0.1925384372495203</v>
      </c>
      <c r="AS23" s="9">
        <f t="shared" si="154"/>
        <v>0.24312225650832281</v>
      </c>
      <c r="AT23" s="9">
        <f t="shared" si="154"/>
        <v>0.24360644348921018</v>
      </c>
      <c r="AU23" s="9">
        <f t="shared" si="154"/>
        <v>0.19838101988286641</v>
      </c>
      <c r="AV23" s="9">
        <f t="shared" si="154"/>
        <v>0.17220217823785275</v>
      </c>
      <c r="AW23" s="9">
        <f t="shared" si="154"/>
        <v>0.17</v>
      </c>
      <c r="AX23" s="9">
        <f t="shared" si="154"/>
        <v>0.16</v>
      </c>
      <c r="AY23" s="9">
        <f t="shared" si="154"/>
        <v>0.16</v>
      </c>
      <c r="AZ23" s="9">
        <f t="shared" si="154"/>
        <v>0.16</v>
      </c>
      <c r="BA23" s="9">
        <f t="shared" si="154"/>
        <v>0.16</v>
      </c>
      <c r="BB23" s="9">
        <f t="shared" ref="BB23:BF23" si="155">BB7/BB3</f>
        <v>0.16</v>
      </c>
      <c r="BC23" s="9">
        <f t="shared" si="155"/>
        <v>0.16</v>
      </c>
      <c r="BD23" s="9">
        <f t="shared" si="155"/>
        <v>0.16</v>
      </c>
      <c r="BE23" s="9">
        <f t="shared" si="155"/>
        <v>0.16</v>
      </c>
      <c r="BF23" s="9">
        <f t="shared" si="155"/>
        <v>0.16</v>
      </c>
      <c r="BH23" t="s">
        <v>42</v>
      </c>
      <c r="BI23" s="4">
        <f>NPV(BI22,AW15:FO15)</f>
        <v>2384.693285248045</v>
      </c>
    </row>
    <row r="24" spans="2:61" x14ac:dyDescent="0.3">
      <c r="B24" t="s">
        <v>56</v>
      </c>
      <c r="C24" s="9"/>
      <c r="D24" s="9"/>
      <c r="E24" s="9"/>
      <c r="F24" s="9"/>
      <c r="G24" s="9">
        <f t="shared" ref="G24" si="156">G8/C8-1</f>
        <v>-3.7307380373073795E-2</v>
      </c>
      <c r="H24" s="9">
        <f t="shared" ref="H24" si="157">H8/D8-1</f>
        <v>4.8543689320388328E-2</v>
      </c>
      <c r="I24" s="9">
        <f t="shared" ref="I24" si="158">I8/E8-1</f>
        <v>-4.4081632653061309E-2</v>
      </c>
      <c r="J24" s="9">
        <f t="shared" ref="J24" si="159">J8/F8-1</f>
        <v>1.0009285051067782</v>
      </c>
      <c r="K24" s="9">
        <f t="shared" ref="K24" si="160">K8/G8-1</f>
        <v>0.13395113732097719</v>
      </c>
      <c r="L24" s="9">
        <f t="shared" ref="L24" si="161">L8/H8-1</f>
        <v>-6.4043209876543217E-2</v>
      </c>
      <c r="M24" s="9">
        <f t="shared" ref="M24" si="162">M8/I8-1</f>
        <v>7.8565328778821497E-2</v>
      </c>
      <c r="N24" s="9">
        <f t="shared" ref="N24" si="163">N8/J8-1</f>
        <v>-0.31832946635730852</v>
      </c>
      <c r="O24" s="9">
        <f t="shared" ref="O24" si="164">O8/K8-1</f>
        <v>0.20133729569093606</v>
      </c>
      <c r="P24" s="9">
        <f t="shared" ref="P24" si="165">P8/L8-1</f>
        <v>0.47732893652102226</v>
      </c>
      <c r="Q24" s="9">
        <f t="shared" ref="Q24" si="166">Q8/M8-1</f>
        <v>0.38796516231195577</v>
      </c>
      <c r="R24" s="9">
        <f t="shared" ref="R24" si="167">R8/N8-1</f>
        <v>0.32334921715452691</v>
      </c>
      <c r="S24" s="9">
        <f t="shared" ref="S24" si="168">S8/O8-1</f>
        <v>0.33518862090290669</v>
      </c>
      <c r="T24" s="9">
        <f t="shared" ref="T24" si="169">T8/P8-1</f>
        <v>0.39006696428571441</v>
      </c>
      <c r="U24" s="9">
        <f t="shared" ref="U24" si="170">U8/Q8-1</f>
        <v>0.49686252139189935</v>
      </c>
      <c r="V24" s="9">
        <f t="shared" ref="V24" si="171">V8/R8-1</f>
        <v>0.16203703703703698</v>
      </c>
      <c r="W24" s="9">
        <f t="shared" ref="W24" si="172">W8/S8-1</f>
        <v>-0.11857341361741547</v>
      </c>
      <c r="X24" s="9">
        <f t="shared" ref="X24" si="173">X8/T8-1</f>
        <v>-0.1292653552790044</v>
      </c>
      <c r="Y24" s="9">
        <f t="shared" ref="Y24" si="174">Y8/U8-1</f>
        <v>-0.15739329268292679</v>
      </c>
      <c r="Z24" s="9">
        <f t="shared" ref="Z24" si="175">Z8/V8-1</f>
        <v>1.4608233731739695E-2</v>
      </c>
      <c r="AA24" s="9">
        <f t="shared" ref="AA24" si="176">AA8/W8-1</f>
        <v>0.19548081975827625</v>
      </c>
      <c r="AB24" s="9">
        <f t="shared" ref="AB24" si="177">AB8/X8-1</f>
        <v>5.7169202397418184E-2</v>
      </c>
      <c r="AC24" s="9">
        <f t="shared" ref="AC24" si="178">AC8/Y8-1</f>
        <v>-4.5228403437358455E-4</v>
      </c>
      <c r="AD24" s="9">
        <f t="shared" ref="AD24" si="179">AD8/Z8-1</f>
        <v>5.2792321116928553E-2</v>
      </c>
      <c r="AE24" s="9">
        <f t="shared" ref="AE24" si="180">AE8/AA8-1</f>
        <v>3.4725274725274646E-2</v>
      </c>
      <c r="AF24" s="9">
        <f t="shared" ref="AF24" si="181">AF8/AB8-1</f>
        <v>9.0710859136502231E-2</v>
      </c>
      <c r="AG24" s="9">
        <f t="shared" ref="AG24" si="182">AG8/AC8-1</f>
        <v>0.13710407239819</v>
      </c>
      <c r="AH24" s="9">
        <f t="shared" ref="AH24" si="183">AH8/AD8-1</f>
        <v>4.1442188147533532E-3</v>
      </c>
      <c r="AI24" s="9"/>
      <c r="AJ24" s="9"/>
      <c r="AK24" s="9"/>
      <c r="AL24" s="9"/>
      <c r="AM24" s="9"/>
      <c r="AO24" s="9"/>
      <c r="AP24" s="9">
        <f t="shared" si="145"/>
        <v>0.2175644518968769</v>
      </c>
      <c r="AQ24" s="9">
        <f t="shared" si="145"/>
        <v>-8.9171974522292974E-2</v>
      </c>
      <c r="AR24" s="9">
        <f t="shared" si="145"/>
        <v>0.343035343035343</v>
      </c>
      <c r="AS24" s="9">
        <f t="shared" si="145"/>
        <v>0.34154235857022219</v>
      </c>
      <c r="AT24" s="9">
        <f t="shared" si="145"/>
        <v>-0.10049302423161643</v>
      </c>
      <c r="AU24" s="9">
        <f t="shared" si="145"/>
        <v>7.1836734693877524E-2</v>
      </c>
      <c r="AV24" s="9">
        <f t="shared" si="145"/>
        <v>6.5281253400065298E-2</v>
      </c>
      <c r="AW24" s="9">
        <f t="shared" si="145"/>
        <v>4.0000000000000036E-2</v>
      </c>
      <c r="AX24" s="9">
        <f t="shared" si="145"/>
        <v>3.0000000000000027E-2</v>
      </c>
      <c r="AY24" s="9">
        <f t="shared" si="145"/>
        <v>2.0000000000000018E-2</v>
      </c>
      <c r="AZ24" s="9">
        <f t="shared" si="145"/>
        <v>2.0000000000000018E-2</v>
      </c>
      <c r="BA24" s="9">
        <f t="shared" si="145"/>
        <v>2.0000000000000018E-2</v>
      </c>
      <c r="BB24" s="9">
        <f t="shared" si="145"/>
        <v>1.0000000000000009E-2</v>
      </c>
      <c r="BC24" s="9">
        <f t="shared" ref="BC24" si="184">BC8/BB8-1</f>
        <v>1.0000000000000009E-2</v>
      </c>
      <c r="BD24" s="9">
        <f t="shared" ref="BD24" si="185">BD8/BC8-1</f>
        <v>1.0000000000000009E-2</v>
      </c>
      <c r="BE24" s="9">
        <f t="shared" ref="BE24" si="186">BE8/BD8-1</f>
        <v>1.0000000000000009E-2</v>
      </c>
      <c r="BF24" s="9">
        <f t="shared" ref="BF24" si="187">BF8/BE8-1</f>
        <v>1.0000000000000009E-2</v>
      </c>
      <c r="BH24" t="s">
        <v>43</v>
      </c>
      <c r="BI24" s="4">
        <f>Main!D8</f>
        <v>-596.30000000000018</v>
      </c>
    </row>
    <row r="25" spans="2:61" x14ac:dyDescent="0.3">
      <c r="B25" t="s">
        <v>31</v>
      </c>
      <c r="C25" s="9">
        <f>C14/C13</f>
        <v>-4.1655818797188236E-3</v>
      </c>
      <c r="D25" s="9">
        <f t="shared" ref="D25:N25" si="188">D14/D13</f>
        <v>-3.1232254400908582E-3</v>
      </c>
      <c r="E25" s="9">
        <f t="shared" si="188"/>
        <v>-6.1538461538461541E-4</v>
      </c>
      <c r="F25" s="9">
        <f t="shared" si="188"/>
        <v>-2.0833333333333333E-3</v>
      </c>
      <c r="G25" s="9">
        <f t="shared" si="188"/>
        <v>9.6680631646793396E-4</v>
      </c>
      <c r="H25" s="9">
        <f t="shared" si="188"/>
        <v>-4.3273013375295048E-3</v>
      </c>
      <c r="I25" s="9">
        <f t="shared" si="188"/>
        <v>5.6768558951965069E-3</v>
      </c>
      <c r="J25" s="9">
        <f t="shared" si="188"/>
        <v>-1.2484394506866415E-3</v>
      </c>
      <c r="K25" s="9">
        <f t="shared" si="188"/>
        <v>-2.2935779816513767E-3</v>
      </c>
      <c r="L25" s="9">
        <f t="shared" si="188"/>
        <v>3.0590394616090556E-3</v>
      </c>
      <c r="M25" s="9">
        <f t="shared" si="188"/>
        <v>0</v>
      </c>
      <c r="N25" s="9">
        <f t="shared" si="188"/>
        <v>-0.19086585610190757</v>
      </c>
      <c r="O25" s="9">
        <f t="shared" ref="O25:R25" si="189">O14/O13</f>
        <v>-4.905395935529082E-3</v>
      </c>
      <c r="P25" s="9">
        <f t="shared" si="189"/>
        <v>1.2377850162866454E-2</v>
      </c>
      <c r="Q25" s="9">
        <f t="shared" si="189"/>
        <v>-1.4104372355430182E-2</v>
      </c>
      <c r="R25" s="9">
        <f t="shared" si="189"/>
        <v>0.36516853932584203</v>
      </c>
      <c r="S25" s="9">
        <f t="shared" ref="S25:AD25" si="190">S14/S13</f>
        <v>-2.4202733485193625E-2</v>
      </c>
      <c r="T25" s="9">
        <f t="shared" si="190"/>
        <v>-1.6863406408094441E-2</v>
      </c>
      <c r="U25" s="9">
        <f t="shared" si="190"/>
        <v>-1.8612178838761886E-2</v>
      </c>
      <c r="V25" s="9">
        <f t="shared" si="190"/>
        <v>-1.4778325123152714E-2</v>
      </c>
      <c r="W25" s="9">
        <f t="shared" si="190"/>
        <v>-2.113113735239279E-2</v>
      </c>
      <c r="X25" s="9">
        <f t="shared" si="190"/>
        <v>-3.312346016972352E-2</v>
      </c>
      <c r="Y25" s="9">
        <f t="shared" si="190"/>
        <v>-1.5999999999999997E-2</v>
      </c>
      <c r="Z25" s="9">
        <f t="shared" si="190"/>
        <v>-1.3474887709269086E-2</v>
      </c>
      <c r="AA25" s="9">
        <f t="shared" si="190"/>
        <v>-2.3146595102314649E-2</v>
      </c>
      <c r="AB25" s="9">
        <f t="shared" si="190"/>
        <v>-2.1372790793259346E-2</v>
      </c>
      <c r="AC25" s="9">
        <f t="shared" si="190"/>
        <v>-5.7201929703652649E-2</v>
      </c>
      <c r="AD25" s="9">
        <f t="shared" si="190"/>
        <v>0.36111111111111277</v>
      </c>
      <c r="AE25" s="9">
        <f t="shared" ref="AE25:AH25" si="191">AE14/AE13</f>
        <v>-6.397562833206398E-2</v>
      </c>
      <c r="AF25" s="9">
        <f t="shared" si="191"/>
        <v>-3.0207924676343683E-2</v>
      </c>
      <c r="AG25" s="9">
        <f t="shared" si="191"/>
        <v>-4.8590864917395504E-3</v>
      </c>
      <c r="AH25" s="9">
        <f t="shared" si="191"/>
        <v>-0.18897637795275554</v>
      </c>
      <c r="AI25" s="9"/>
      <c r="AJ25" s="9"/>
      <c r="AK25" s="9"/>
      <c r="AL25" s="9"/>
      <c r="AM25" s="9"/>
      <c r="AO25" s="9">
        <f t="shared" ref="AO25:AQ25" si="192">AO14/AO13</f>
        <v>-2.6330487512965773E-3</v>
      </c>
      <c r="AP25" s="9">
        <f t="shared" si="192"/>
        <v>1.9346101760495268E-4</v>
      </c>
      <c r="AQ25" s="9">
        <f t="shared" si="192"/>
        <v>-1.9225971046551688E-2</v>
      </c>
      <c r="AR25" s="9">
        <f t="shared" ref="AR25:BA25" si="193">AR14/AR13</f>
        <v>-2.846900042176297E-2</v>
      </c>
      <c r="AS25" s="9">
        <f t="shared" si="193"/>
        <v>-1.8707923355774213E-2</v>
      </c>
      <c r="AT25" s="9">
        <f t="shared" si="193"/>
        <v>-2.1629972962533797E-2</v>
      </c>
      <c r="AU25" s="9">
        <f t="shared" si="193"/>
        <v>-3.8089570004463634E-2</v>
      </c>
      <c r="AV25" s="9">
        <f t="shared" si="193"/>
        <v>-2.0842572062084293E-2</v>
      </c>
      <c r="AW25" s="9">
        <f t="shared" si="193"/>
        <v>0.2</v>
      </c>
      <c r="AX25" s="9">
        <f t="shared" si="193"/>
        <v>0.2</v>
      </c>
      <c r="AY25" s="9">
        <f t="shared" si="193"/>
        <v>0.19999999999999998</v>
      </c>
      <c r="AZ25" s="9">
        <f t="shared" si="193"/>
        <v>0.2</v>
      </c>
      <c r="BA25" s="9">
        <f t="shared" si="193"/>
        <v>0.2</v>
      </c>
      <c r="BB25" s="9">
        <f t="shared" ref="BB25:BF25" si="194">BB14/BB13</f>
        <v>0.2</v>
      </c>
      <c r="BC25" s="9">
        <f t="shared" si="194"/>
        <v>0.2</v>
      </c>
      <c r="BD25" s="9">
        <f t="shared" si="194"/>
        <v>0.19999999999999998</v>
      </c>
      <c r="BE25" s="9">
        <f t="shared" si="194"/>
        <v>0.2</v>
      </c>
      <c r="BF25" s="9">
        <f t="shared" si="194"/>
        <v>0.2</v>
      </c>
      <c r="BH25" t="s">
        <v>44</v>
      </c>
      <c r="BI25" s="4">
        <f>BI23+BI24</f>
        <v>1788.3932852480448</v>
      </c>
    </row>
    <row r="26" spans="2:61" x14ac:dyDescent="0.3">
      <c r="B26" t="s">
        <v>57</v>
      </c>
      <c r="C26" s="9">
        <f>C15/C3</f>
        <v>-1.6718682271348073</v>
      </c>
      <c r="D26" s="9">
        <f t="shared" ref="D26:R26" si="195">D15/D3</f>
        <v>-1.3469309950438426</v>
      </c>
      <c r="E26" s="9">
        <f t="shared" si="195"/>
        <v>-1.0923748740342627</v>
      </c>
      <c r="F26" s="9">
        <f t="shared" si="195"/>
        <v>-0.49345986150294957</v>
      </c>
      <c r="G26" s="9">
        <f t="shared" si="195"/>
        <v>-0.96754057428214757</v>
      </c>
      <c r="H26" s="9">
        <f t="shared" si="195"/>
        <v>-0.65798969072164948</v>
      </c>
      <c r="I26" s="9">
        <f t="shared" si="195"/>
        <v>-0.51030927835051543</v>
      </c>
      <c r="J26" s="9">
        <f t="shared" si="195"/>
        <v>-0.42895346764129083</v>
      </c>
      <c r="K26" s="9">
        <f t="shared" si="195"/>
        <v>-0.66140540540540527</v>
      </c>
      <c r="L26" s="9">
        <f t="shared" si="195"/>
        <v>-0.71752531924262419</v>
      </c>
      <c r="M26" s="9">
        <f t="shared" si="195"/>
        <v>-0.29306026226609688</v>
      </c>
      <c r="N26" s="9">
        <f t="shared" si="195"/>
        <v>-0.12392296718972901</v>
      </c>
      <c r="O26" s="9">
        <f t="shared" si="195"/>
        <v>-0.37266112266112261</v>
      </c>
      <c r="P26" s="9">
        <f t="shared" si="195"/>
        <v>-0.15436309948070454</v>
      </c>
      <c r="Q26" s="9">
        <f t="shared" si="195"/>
        <v>-6.7353629976580801E-2</v>
      </c>
      <c r="R26" s="9">
        <f t="shared" si="195"/>
        <v>1.741274366284002E-2</v>
      </c>
      <c r="S26" s="9">
        <f t="shared" ref="S26:AD26" si="196">S15/S3</f>
        <v>-0.33847746306577575</v>
      </c>
      <c r="T26" s="9">
        <f t="shared" si="196"/>
        <v>-0.37996219281663501</v>
      </c>
      <c r="U26" s="9">
        <f t="shared" si="196"/>
        <v>-0.44616747895436409</v>
      </c>
      <c r="V26" s="9">
        <f t="shared" si="196"/>
        <v>-0.22189736092944518</v>
      </c>
      <c r="W26" s="9">
        <f t="shared" si="196"/>
        <v>-0.33238923730528019</v>
      </c>
      <c r="X26" s="9">
        <f t="shared" si="196"/>
        <v>-0.35347007586400669</v>
      </c>
      <c r="Y26" s="9">
        <f t="shared" si="196"/>
        <v>-0.30986033989567568</v>
      </c>
      <c r="Z26" s="9">
        <f t="shared" si="196"/>
        <v>-0.18232571806361572</v>
      </c>
      <c r="AA26" s="9">
        <f t="shared" si="196"/>
        <v>-0.25527284901238712</v>
      </c>
      <c r="AB26" s="9">
        <f t="shared" si="196"/>
        <v>-0.20092173350582151</v>
      </c>
      <c r="AC26" s="9">
        <f t="shared" si="196"/>
        <v>-0.11176684881602916</v>
      </c>
      <c r="AD26" s="9">
        <f t="shared" si="196"/>
        <v>5.9076606947922276E-3</v>
      </c>
      <c r="AE26" s="9">
        <f t="shared" ref="AE26:AH26" si="197">AE15/AE3</f>
        <v>-0.1024794600938967</v>
      </c>
      <c r="AF26" s="9">
        <f t="shared" si="197"/>
        <v>-0.19525615287381951</v>
      </c>
      <c r="AG26" s="9">
        <f t="shared" si="197"/>
        <v>-6.8622245818954125E-2</v>
      </c>
      <c r="AH26" s="9">
        <f t="shared" si="197"/>
        <v>2.639091173900383E-2</v>
      </c>
      <c r="AI26" s="9"/>
      <c r="AJ26" s="9"/>
      <c r="AK26" s="9"/>
      <c r="AL26" s="9"/>
      <c r="AM26" s="9"/>
      <c r="AO26" s="9">
        <f t="shared" ref="AO26:BA26" si="198">AO15/AO3</f>
        <v>-1.0643740470946976</v>
      </c>
      <c r="AP26" s="9">
        <f t="shared" si="198"/>
        <v>-0.60250655785485263</v>
      </c>
      <c r="AQ26" s="9">
        <f t="shared" si="198"/>
        <v>-0.3764435313360196</v>
      </c>
      <c r="AR26" s="9">
        <f t="shared" si="198"/>
        <v>-0.11845716645211433</v>
      </c>
      <c r="AS26" s="9">
        <f t="shared" si="198"/>
        <v>-0.3419748793950193</v>
      </c>
      <c r="AT26" s="9">
        <f t="shared" si="198"/>
        <v>-0.28711302157961011</v>
      </c>
      <c r="AU26" s="9">
        <f t="shared" si="198"/>
        <v>-0.13013392024471218</v>
      </c>
      <c r="AV26" s="9">
        <f t="shared" si="198"/>
        <v>-7.7620797788043164E-2</v>
      </c>
      <c r="AW26" s="9">
        <f t="shared" si="198"/>
        <v>-3.7906901939700047E-2</v>
      </c>
      <c r="AX26" s="9">
        <f t="shared" si="198"/>
        <v>-7.3993198130638252E-3</v>
      </c>
      <c r="AY26" s="9">
        <f t="shared" si="198"/>
        <v>4.5168366324857719E-3</v>
      </c>
      <c r="AZ26" s="9">
        <f t="shared" si="198"/>
        <v>1.2750685024061971E-2</v>
      </c>
      <c r="BA26" s="9">
        <f t="shared" si="198"/>
        <v>1.7735198653472582E-2</v>
      </c>
      <c r="BB26" s="9">
        <f t="shared" ref="BB26:BF26" si="199">BB15/BB3</f>
        <v>2.3705309585691323E-2</v>
      </c>
      <c r="BC26" s="9">
        <f t="shared" si="199"/>
        <v>2.9574860261259914E-2</v>
      </c>
      <c r="BD26" s="9">
        <f t="shared" si="199"/>
        <v>3.5329242315334478E-2</v>
      </c>
      <c r="BE26" s="9">
        <f t="shared" si="199"/>
        <v>4.0970448709938337E-2</v>
      </c>
      <c r="BF26" s="9">
        <f t="shared" si="199"/>
        <v>4.6500687051858274E-2</v>
      </c>
      <c r="BH26" t="s">
        <v>45</v>
      </c>
      <c r="BI26" s="5">
        <f>BI25/BF16</f>
        <v>1.054166392719154</v>
      </c>
    </row>
    <row r="27" spans="2:61" x14ac:dyDescent="0.3">
      <c r="BH27" t="s">
        <v>46</v>
      </c>
      <c r="BI27" s="5">
        <f>Main!D3</f>
        <v>5.12</v>
      </c>
    </row>
    <row r="28" spans="2:61" x14ac:dyDescent="0.3">
      <c r="BH28" s="1" t="s">
        <v>47</v>
      </c>
      <c r="BI28" s="10">
        <f>BI26/BI27-1</f>
        <v>-0.79410812642204021</v>
      </c>
    </row>
    <row r="29" spans="2:61" s="1" customFormat="1" x14ac:dyDescent="0.3">
      <c r="B29" s="1" t="s">
        <v>74</v>
      </c>
      <c r="Z29" s="8">
        <f t="shared" ref="Z29:AH29" si="200">Z15</f>
        <v>-248.20000000000007</v>
      </c>
      <c r="AA29" s="8">
        <f t="shared" si="200"/>
        <v>-305.00000000000011</v>
      </c>
      <c r="AB29" s="8">
        <f t="shared" si="200"/>
        <v>-248.50000000000003</v>
      </c>
      <c r="AC29" s="8">
        <f t="shared" si="200"/>
        <v>-153.40000000000003</v>
      </c>
      <c r="AD29" s="8">
        <f t="shared" si="200"/>
        <v>9.1999999999999353</v>
      </c>
      <c r="AE29" s="8">
        <f t="shared" si="200"/>
        <v>-139.69999999999999</v>
      </c>
      <c r="AF29" s="8">
        <f t="shared" si="200"/>
        <v>-262.59999999999985</v>
      </c>
      <c r="AG29" s="8">
        <f t="shared" si="200"/>
        <v>-103.40000000000006</v>
      </c>
      <c r="AH29" s="8">
        <f t="shared" si="200"/>
        <v>45.300000000000075</v>
      </c>
      <c r="AI29" s="8"/>
      <c r="AJ29" s="8"/>
      <c r="AK29" s="8"/>
      <c r="AL29" s="8"/>
      <c r="AS29" s="8">
        <f>AS15</f>
        <v>-1573.6999999999998</v>
      </c>
      <c r="AT29" s="8">
        <f>AT15</f>
        <v>-1322.5</v>
      </c>
      <c r="AU29" s="8">
        <f>AU15</f>
        <v>-697.69999999999982</v>
      </c>
      <c r="AV29" s="8">
        <f t="shared" ref="AV29:BF29" si="201">AV15</f>
        <v>-460.3999999999993</v>
      </c>
      <c r="AW29" s="8">
        <f t="shared" si="201"/>
        <v>-245.07668799999925</v>
      </c>
      <c r="AX29" s="8">
        <f t="shared" si="201"/>
        <v>-50.708571327999522</v>
      </c>
      <c r="AY29" s="8">
        <f t="shared" si="201"/>
        <v>32.502237402752705</v>
      </c>
      <c r="AZ29" s="8">
        <f t="shared" si="201"/>
        <v>95.421388559404548</v>
      </c>
      <c r="BA29" s="8">
        <f t="shared" si="201"/>
        <v>136.70534540368402</v>
      </c>
      <c r="BB29" s="8">
        <f t="shared" si="201"/>
        <v>188.20549327221835</v>
      </c>
      <c r="BC29" s="8">
        <f t="shared" si="201"/>
        <v>241.85027738704281</v>
      </c>
      <c r="BD29" s="8">
        <f t="shared" si="201"/>
        <v>297.57431100970842</v>
      </c>
      <c r="BE29" s="8">
        <f t="shared" si="201"/>
        <v>355.44225732139557</v>
      </c>
      <c r="BF29" s="8">
        <f t="shared" si="201"/>
        <v>415.52287035997085</v>
      </c>
      <c r="BH29" t="s">
        <v>48</v>
      </c>
      <c r="BI29" s="6" t="s">
        <v>49</v>
      </c>
    </row>
    <row r="30" spans="2:61" x14ac:dyDescent="0.3">
      <c r="B30" t="s">
        <v>75</v>
      </c>
      <c r="Z30" s="4">
        <v>52.3</v>
      </c>
      <c r="AA30" s="4">
        <v>41.7</v>
      </c>
      <c r="AB30" s="4">
        <v>40</v>
      </c>
      <c r="AC30" s="4">
        <v>38.9</v>
      </c>
      <c r="AD30" s="4">
        <v>39.6</v>
      </c>
      <c r="AE30" s="4">
        <v>37.700000000000003</v>
      </c>
      <c r="AF30" s="4">
        <v>40</v>
      </c>
      <c r="AG30" s="4">
        <v>42.5</v>
      </c>
      <c r="AH30" s="4">
        <v>43.4</v>
      </c>
      <c r="AI30" s="4"/>
      <c r="AJ30" s="4"/>
      <c r="AK30" s="4"/>
      <c r="AL30" s="4"/>
      <c r="AS30" s="4">
        <v>202.2</v>
      </c>
      <c r="AT30" s="4">
        <v>168.4</v>
      </c>
      <c r="AU30" s="4">
        <v>158.1</v>
      </c>
      <c r="AV30" s="4">
        <f>SUM(AE30:AH30)</f>
        <v>163.6</v>
      </c>
      <c r="AW30" s="4">
        <f t="shared" ref="AW30:BF30" si="202">AV30*1.01</f>
        <v>165.23599999999999</v>
      </c>
      <c r="AX30" s="4">
        <f t="shared" si="202"/>
        <v>166.88835999999998</v>
      </c>
      <c r="AY30" s="4">
        <f t="shared" si="202"/>
        <v>168.55724359999999</v>
      </c>
      <c r="AZ30" s="4">
        <f t="shared" si="202"/>
        <v>170.24281603599999</v>
      </c>
      <c r="BA30" s="4">
        <f t="shared" si="202"/>
        <v>171.94524419635999</v>
      </c>
      <c r="BB30" s="4">
        <f t="shared" si="202"/>
        <v>173.66469663832359</v>
      </c>
      <c r="BC30" s="4">
        <f t="shared" si="202"/>
        <v>175.40134360470682</v>
      </c>
      <c r="BD30" s="4">
        <f t="shared" si="202"/>
        <v>177.1553570407539</v>
      </c>
      <c r="BE30" s="4">
        <f t="shared" si="202"/>
        <v>178.92691061116145</v>
      </c>
      <c r="BF30" s="4">
        <f t="shared" si="202"/>
        <v>180.71617971727306</v>
      </c>
    </row>
    <row r="31" spans="2:61" x14ac:dyDescent="0.3">
      <c r="B31" t="s">
        <v>76</v>
      </c>
      <c r="Z31" s="4">
        <v>333.2</v>
      </c>
      <c r="AA31" s="4">
        <v>263.8</v>
      </c>
      <c r="AB31" s="4">
        <v>251.9</v>
      </c>
      <c r="AC31" s="4">
        <v>260.2</v>
      </c>
      <c r="AD31" s="4">
        <v>257.7</v>
      </c>
      <c r="AE31" s="4">
        <v>247.3</v>
      </c>
      <c r="AF31" s="4">
        <v>251.9</v>
      </c>
      <c r="AG31" s="4">
        <v>260.39999999999998</v>
      </c>
      <c r="AH31" s="4">
        <v>257.2</v>
      </c>
      <c r="AI31" s="4"/>
      <c r="AJ31" s="4"/>
      <c r="AK31" s="4"/>
      <c r="AL31" s="4"/>
      <c r="AS31" s="4">
        <v>1387.8</v>
      </c>
      <c r="AT31" s="4">
        <v>1324</v>
      </c>
      <c r="AU31" s="4">
        <v>1041</v>
      </c>
      <c r="AV31" s="4">
        <f t="shared" ref="AV31:AV43" si="203">SUM(AE31:AH31)</f>
        <v>1016.8</v>
      </c>
      <c r="AW31" s="4">
        <f>AV31*0.97</f>
        <v>986.29599999999994</v>
      </c>
      <c r="AX31" s="4">
        <f t="shared" ref="AX31:BF31" si="204">AW31*0.97</f>
        <v>956.70711999999992</v>
      </c>
      <c r="AY31" s="4">
        <f t="shared" si="204"/>
        <v>928.00590639999984</v>
      </c>
      <c r="AZ31" s="4">
        <f t="shared" si="204"/>
        <v>900.16572920799979</v>
      </c>
      <c r="BA31" s="4">
        <f t="shared" si="204"/>
        <v>873.16075733175978</v>
      </c>
      <c r="BB31" s="4">
        <f t="shared" si="204"/>
        <v>846.96593461180692</v>
      </c>
      <c r="BC31" s="4">
        <f t="shared" si="204"/>
        <v>821.55695657345268</v>
      </c>
      <c r="BD31" s="4">
        <f t="shared" si="204"/>
        <v>796.91024787624906</v>
      </c>
      <c r="BE31" s="4">
        <f t="shared" si="204"/>
        <v>773.00294043996155</v>
      </c>
      <c r="BF31" s="4">
        <f t="shared" si="204"/>
        <v>749.81285222676263</v>
      </c>
    </row>
    <row r="32" spans="2:61" x14ac:dyDescent="0.3">
      <c r="B32" t="s">
        <v>77</v>
      </c>
      <c r="Z32" s="4">
        <v>1.8</v>
      </c>
      <c r="AA32" s="4">
        <v>1.7</v>
      </c>
      <c r="AB32" s="4">
        <v>-0.6</v>
      </c>
      <c r="AC32" s="4">
        <v>2.7</v>
      </c>
      <c r="AD32" s="4">
        <v>2.7</v>
      </c>
      <c r="AE32" s="4">
        <v>7.6</v>
      </c>
      <c r="AF32" s="4">
        <v>-0.6</v>
      </c>
      <c r="AG32" s="4">
        <v>0.7</v>
      </c>
      <c r="AH32" s="4">
        <v>-0.9</v>
      </c>
      <c r="AI32" s="4"/>
      <c r="AJ32" s="4"/>
      <c r="AK32" s="4"/>
      <c r="AL32" s="4"/>
      <c r="AS32" s="4">
        <v>6.9</v>
      </c>
      <c r="AT32" s="4">
        <v>7.4</v>
      </c>
      <c r="AU32" s="4">
        <v>9.4</v>
      </c>
      <c r="AV32" s="4">
        <f t="shared" si="203"/>
        <v>6.8</v>
      </c>
      <c r="AW32" s="4">
        <f t="shared" ref="AW32:BF32" si="205">AV32*1.01</f>
        <v>6.8679999999999994</v>
      </c>
      <c r="AX32" s="4">
        <f t="shared" si="205"/>
        <v>6.9366799999999991</v>
      </c>
      <c r="AY32" s="4">
        <f t="shared" si="205"/>
        <v>7.0060467999999991</v>
      </c>
      <c r="AZ32" s="4">
        <f t="shared" si="205"/>
        <v>7.0761072679999995</v>
      </c>
      <c r="BA32" s="4">
        <f t="shared" si="205"/>
        <v>7.1468683406799993</v>
      </c>
      <c r="BB32" s="4">
        <f t="shared" si="205"/>
        <v>7.2183370240867992</v>
      </c>
      <c r="BC32" s="4">
        <f t="shared" si="205"/>
        <v>7.2905203943276673</v>
      </c>
      <c r="BD32" s="4">
        <f t="shared" si="205"/>
        <v>7.3634255982709442</v>
      </c>
      <c r="BE32" s="4">
        <f t="shared" si="205"/>
        <v>7.4370598542536541</v>
      </c>
      <c r="BF32" s="4">
        <f t="shared" si="205"/>
        <v>7.5114304527961906</v>
      </c>
    </row>
    <row r="33" spans="2:151" x14ac:dyDescent="0.3">
      <c r="B33" t="s">
        <v>78</v>
      </c>
      <c r="Z33" s="4">
        <v>27.1</v>
      </c>
      <c r="AA33" s="4">
        <v>9</v>
      </c>
      <c r="AB33" s="4">
        <v>-1.2</v>
      </c>
      <c r="AC33" s="4">
        <v>0.5</v>
      </c>
      <c r="AD33" s="4">
        <v>-3.7</v>
      </c>
      <c r="AE33" s="4">
        <v>15.8</v>
      </c>
      <c r="AF33" s="4">
        <v>-1.2</v>
      </c>
      <c r="AG33" s="4">
        <v>1.2</v>
      </c>
      <c r="AH33" s="4">
        <v>1.2</v>
      </c>
      <c r="AI33" s="4"/>
      <c r="AJ33" s="4"/>
      <c r="AK33" s="4"/>
      <c r="AL33" s="4"/>
      <c r="AS33" s="4">
        <v>36.799999999999997</v>
      </c>
      <c r="AT33" s="4">
        <v>33</v>
      </c>
      <c r="AU33" s="4">
        <v>8.5</v>
      </c>
      <c r="AV33" s="4">
        <f t="shared" si="203"/>
        <v>17</v>
      </c>
      <c r="AW33" s="4">
        <v>0</v>
      </c>
      <c r="AX33" s="4">
        <v>0</v>
      </c>
      <c r="AY33" s="4">
        <v>0</v>
      </c>
      <c r="AZ33" s="4">
        <v>0</v>
      </c>
      <c r="BA33" s="4">
        <v>0</v>
      </c>
      <c r="BB33" s="4">
        <v>0</v>
      </c>
      <c r="BC33" s="4">
        <v>0</v>
      </c>
      <c r="BD33" s="4">
        <v>0</v>
      </c>
      <c r="BE33" s="4">
        <v>0</v>
      </c>
      <c r="BF33" s="4">
        <v>0</v>
      </c>
    </row>
    <row r="34" spans="2:151" x14ac:dyDescent="0.3">
      <c r="B34" t="s">
        <v>5</v>
      </c>
      <c r="Z34" s="4"/>
      <c r="AA34" s="4">
        <v>-8.9</v>
      </c>
      <c r="AB34" s="4">
        <v>0</v>
      </c>
      <c r="AC34" s="4">
        <v>0</v>
      </c>
      <c r="AD34" s="4"/>
      <c r="AE34" s="4">
        <v>-66.900000000000006</v>
      </c>
      <c r="AF34" s="4">
        <v>0</v>
      </c>
      <c r="AG34" s="4">
        <v>-29.8</v>
      </c>
      <c r="AH34" s="4">
        <v>0</v>
      </c>
      <c r="AI34" s="4"/>
      <c r="AJ34" s="4"/>
      <c r="AK34" s="4"/>
      <c r="AL34" s="4"/>
      <c r="AS34" s="4"/>
      <c r="AT34" s="4"/>
      <c r="AU34" s="4"/>
      <c r="AV34" s="4">
        <f t="shared" si="203"/>
        <v>-96.7</v>
      </c>
      <c r="AW34" s="4"/>
      <c r="AX34" s="4"/>
      <c r="AY34" s="4"/>
      <c r="AZ34" s="4"/>
      <c r="BA34" s="4"/>
      <c r="BB34" s="4"/>
      <c r="BC34" s="4"/>
      <c r="BD34" s="4"/>
      <c r="BE34" s="4"/>
      <c r="BF34" s="4"/>
    </row>
    <row r="35" spans="2:151" x14ac:dyDescent="0.3">
      <c r="B35" t="s">
        <v>79</v>
      </c>
      <c r="Z35" s="4">
        <v>4.0999999999999996</v>
      </c>
      <c r="AA35" s="4">
        <v>-7.8</v>
      </c>
      <c r="AB35" s="4">
        <v>12.4</v>
      </c>
      <c r="AC35" s="4">
        <v>2.2000000000000002</v>
      </c>
      <c r="AD35" s="4">
        <v>-10.3</v>
      </c>
      <c r="AE35" s="4">
        <v>-0.8</v>
      </c>
      <c r="AF35" s="4">
        <v>12.4</v>
      </c>
      <c r="AG35" s="4">
        <v>3</v>
      </c>
      <c r="AH35" s="4">
        <v>11.6</v>
      </c>
      <c r="AI35" s="4"/>
      <c r="AJ35" s="4"/>
      <c r="AK35" s="4"/>
      <c r="AL35" s="4"/>
      <c r="AS35" s="4">
        <v>15.6</v>
      </c>
      <c r="AT35" s="4">
        <v>-27</v>
      </c>
      <c r="AU35" s="4">
        <v>-14.2</v>
      </c>
      <c r="AV35" s="4">
        <f t="shared" si="203"/>
        <v>26.2</v>
      </c>
      <c r="AW35" s="4">
        <v>0</v>
      </c>
      <c r="AX35" s="4">
        <v>0</v>
      </c>
      <c r="AY35" s="4">
        <v>0</v>
      </c>
      <c r="AZ35" s="4">
        <v>0</v>
      </c>
      <c r="BA35" s="4">
        <v>0</v>
      </c>
      <c r="BB35" s="4">
        <v>0</v>
      </c>
      <c r="BC35" s="4">
        <v>0</v>
      </c>
      <c r="BD35" s="4">
        <v>0</v>
      </c>
      <c r="BE35" s="4">
        <v>0</v>
      </c>
      <c r="BF35" s="4">
        <v>0</v>
      </c>
    </row>
    <row r="36" spans="2:151" x14ac:dyDescent="0.3">
      <c r="B36" t="s">
        <v>80</v>
      </c>
      <c r="Z36" s="4">
        <v>-153.9</v>
      </c>
      <c r="AA36" s="4">
        <v>162.19999999999999</v>
      </c>
      <c r="AB36" s="4">
        <v>-3.1</v>
      </c>
      <c r="AC36" s="4">
        <v>-51.9</v>
      </c>
      <c r="AD36" s="4">
        <v>-167.4</v>
      </c>
      <c r="AE36" s="4">
        <v>194.2</v>
      </c>
      <c r="AF36" s="4">
        <v>-3.1</v>
      </c>
      <c r="AG36" s="4">
        <v>-89.1</v>
      </c>
      <c r="AH36" s="4">
        <v>-133.9</v>
      </c>
      <c r="AI36" s="4"/>
      <c r="AJ36" s="4"/>
      <c r="AK36" s="4"/>
      <c r="AL36" s="4"/>
      <c r="AS36" s="4">
        <v>-119.8</v>
      </c>
      <c r="AT36" s="4">
        <v>-98.1</v>
      </c>
      <c r="AU36" s="4">
        <v>-94</v>
      </c>
      <c r="AV36" s="4">
        <f t="shared" si="203"/>
        <v>-31.900000000000006</v>
      </c>
      <c r="AW36" s="4">
        <v>0</v>
      </c>
      <c r="AX36" s="4">
        <v>0</v>
      </c>
      <c r="AY36" s="4">
        <v>0</v>
      </c>
      <c r="AZ36" s="4">
        <v>0</v>
      </c>
      <c r="BA36" s="4">
        <v>0</v>
      </c>
      <c r="BB36" s="4">
        <v>0</v>
      </c>
      <c r="BC36" s="4">
        <v>0</v>
      </c>
      <c r="BD36" s="4">
        <v>0</v>
      </c>
      <c r="BE36" s="4">
        <v>0</v>
      </c>
      <c r="BF36" s="4">
        <v>0</v>
      </c>
    </row>
    <row r="37" spans="2:151" x14ac:dyDescent="0.3">
      <c r="B37" t="s">
        <v>81</v>
      </c>
      <c r="Z37" s="4">
        <v>5.2</v>
      </c>
      <c r="AA37" s="4">
        <v>-13.6</v>
      </c>
      <c r="AB37" s="4">
        <v>-7.1</v>
      </c>
      <c r="AC37" s="4">
        <v>11.9</v>
      </c>
      <c r="AD37" s="4">
        <v>-0.3</v>
      </c>
      <c r="AE37" s="4">
        <v>-22.8</v>
      </c>
      <c r="AF37" s="4">
        <v>-7.1</v>
      </c>
      <c r="AG37" s="4">
        <v>-16.3</v>
      </c>
      <c r="AH37" s="4">
        <v>-20.5</v>
      </c>
      <c r="AI37" s="4"/>
      <c r="AJ37" s="4"/>
      <c r="AK37" s="4"/>
      <c r="AL37" s="4"/>
      <c r="AS37" s="4">
        <v>-40.9</v>
      </c>
      <c r="AT37" s="4">
        <v>-9.9</v>
      </c>
      <c r="AU37" s="4">
        <v>-36.5</v>
      </c>
      <c r="AV37" s="4">
        <f t="shared" si="203"/>
        <v>-66.7</v>
      </c>
      <c r="AW37" s="4">
        <v>0</v>
      </c>
      <c r="AX37" s="4">
        <v>0</v>
      </c>
      <c r="AY37" s="4">
        <v>0</v>
      </c>
      <c r="AZ37" s="4">
        <v>0</v>
      </c>
      <c r="BA37" s="4">
        <v>0</v>
      </c>
      <c r="BB37" s="4">
        <v>0</v>
      </c>
      <c r="BC37" s="4">
        <v>0</v>
      </c>
      <c r="BD37" s="4">
        <v>0</v>
      </c>
      <c r="BE37" s="4">
        <v>0</v>
      </c>
      <c r="BF37" s="4">
        <v>0</v>
      </c>
    </row>
    <row r="38" spans="2:151" x14ac:dyDescent="0.3">
      <c r="B38" t="s">
        <v>82</v>
      </c>
      <c r="Z38" s="4">
        <v>17.3</v>
      </c>
      <c r="AA38" s="4">
        <v>13.6</v>
      </c>
      <c r="AB38" s="4">
        <v>13.8</v>
      </c>
      <c r="AC38" s="4">
        <v>12.7</v>
      </c>
      <c r="AD38" s="4">
        <v>12.9</v>
      </c>
      <c r="AE38" s="4">
        <v>14.1</v>
      </c>
      <c r="AF38" s="4">
        <v>13.8</v>
      </c>
      <c r="AG38" s="4">
        <v>14.9</v>
      </c>
      <c r="AH38" s="4">
        <v>14.4</v>
      </c>
      <c r="AI38" s="4"/>
      <c r="AJ38" s="4"/>
      <c r="AK38" s="4"/>
      <c r="AL38" s="4"/>
      <c r="AS38" s="4">
        <v>71.400000000000006</v>
      </c>
      <c r="AT38" s="4">
        <v>70.7</v>
      </c>
      <c r="AU38" s="4">
        <v>54.1</v>
      </c>
      <c r="AV38" s="4">
        <f t="shared" si="203"/>
        <v>57.199999999999996</v>
      </c>
      <c r="AW38" s="4">
        <v>0</v>
      </c>
      <c r="AX38" s="4">
        <v>0</v>
      </c>
      <c r="AY38" s="4">
        <v>0</v>
      </c>
      <c r="AZ38" s="4">
        <v>0</v>
      </c>
      <c r="BA38" s="4">
        <v>0</v>
      </c>
      <c r="BB38" s="4">
        <v>0</v>
      </c>
      <c r="BC38" s="4">
        <v>0</v>
      </c>
      <c r="BD38" s="4">
        <v>0</v>
      </c>
      <c r="BE38" s="4">
        <v>0</v>
      </c>
      <c r="BF38" s="4">
        <v>0</v>
      </c>
    </row>
    <row r="39" spans="2:151" x14ac:dyDescent="0.3">
      <c r="B39" t="s">
        <v>79</v>
      </c>
      <c r="Z39" s="4">
        <v>5.4</v>
      </c>
      <c r="AA39" s="4">
        <v>-5.0999999999999996</v>
      </c>
      <c r="AB39" s="4">
        <v>-2.1</v>
      </c>
      <c r="AC39" s="4">
        <v>3.1</v>
      </c>
      <c r="AD39" s="4">
        <v>-6.9</v>
      </c>
      <c r="AE39" s="4">
        <v>9</v>
      </c>
      <c r="AF39" s="4">
        <v>-2.1</v>
      </c>
      <c r="AG39" s="4">
        <v>0.2</v>
      </c>
      <c r="AH39" s="4">
        <v>0.7</v>
      </c>
      <c r="AI39" s="4"/>
      <c r="AJ39" s="4"/>
      <c r="AK39" s="4"/>
      <c r="AL39" s="4"/>
      <c r="AS39" s="4">
        <v>-0.5</v>
      </c>
      <c r="AT39" s="4">
        <v>2.2000000000000002</v>
      </c>
      <c r="AU39" s="4">
        <v>-10</v>
      </c>
      <c r="AV39" s="4">
        <f t="shared" si="203"/>
        <v>7.8000000000000007</v>
      </c>
      <c r="AW39" s="4">
        <v>0</v>
      </c>
      <c r="AX39" s="4">
        <v>0</v>
      </c>
      <c r="AY39" s="4">
        <v>0</v>
      </c>
      <c r="AZ39" s="4">
        <v>0</v>
      </c>
      <c r="BA39" s="4">
        <v>0</v>
      </c>
      <c r="BB39" s="4">
        <v>0</v>
      </c>
      <c r="BC39" s="4">
        <v>0</v>
      </c>
      <c r="BD39" s="4">
        <v>0</v>
      </c>
      <c r="BE39" s="4">
        <v>0</v>
      </c>
      <c r="BF39" s="4">
        <v>0</v>
      </c>
    </row>
    <row r="40" spans="2:151" x14ac:dyDescent="0.3">
      <c r="B40" t="s">
        <v>83</v>
      </c>
      <c r="Z40" s="4">
        <v>140.5</v>
      </c>
      <c r="AA40" s="4">
        <v>-34.1</v>
      </c>
      <c r="AB40" s="4">
        <v>-94.2</v>
      </c>
      <c r="AC40" s="4">
        <v>-16.600000000000001</v>
      </c>
      <c r="AD40" s="4">
        <v>11.6</v>
      </c>
      <c r="AE40" s="4">
        <v>34.299999999999997</v>
      </c>
      <c r="AF40" s="4">
        <v>-94.2</v>
      </c>
      <c r="AG40" s="4">
        <v>38.1</v>
      </c>
      <c r="AH40" s="4">
        <v>67.7</v>
      </c>
      <c r="AI40" s="4"/>
      <c r="AJ40" s="4"/>
      <c r="AK40" s="4"/>
      <c r="AL40" s="4"/>
      <c r="AS40" s="4">
        <v>46.5</v>
      </c>
      <c r="AT40" s="4">
        <v>95</v>
      </c>
      <c r="AU40" s="4">
        <v>-100.7</v>
      </c>
      <c r="AV40" s="4">
        <f t="shared" si="203"/>
        <v>45.9</v>
      </c>
      <c r="AW40" s="4">
        <v>0</v>
      </c>
      <c r="AX40" s="4">
        <v>0</v>
      </c>
      <c r="AY40" s="4">
        <v>0</v>
      </c>
      <c r="AZ40" s="4">
        <v>0</v>
      </c>
      <c r="BA40" s="4">
        <v>0</v>
      </c>
      <c r="BB40" s="4">
        <v>0</v>
      </c>
      <c r="BC40" s="4">
        <v>0</v>
      </c>
      <c r="BD40" s="4">
        <v>0</v>
      </c>
      <c r="BE40" s="4">
        <v>0</v>
      </c>
      <c r="BF40" s="4">
        <v>0</v>
      </c>
    </row>
    <row r="41" spans="2:151" x14ac:dyDescent="0.3">
      <c r="B41" t="s">
        <v>84</v>
      </c>
      <c r="Z41" s="4">
        <v>-6.6</v>
      </c>
      <c r="AA41" s="4">
        <v>-18.399999999999999</v>
      </c>
      <c r="AB41" s="4">
        <v>147.69999999999999</v>
      </c>
      <c r="AC41" s="4">
        <v>19.3</v>
      </c>
      <c r="AD41" s="4">
        <v>103.6</v>
      </c>
      <c r="AE41" s="4">
        <v>-162.6</v>
      </c>
      <c r="AF41" s="4">
        <v>147.69999999999999</v>
      </c>
      <c r="AG41" s="4">
        <v>23.9</v>
      </c>
      <c r="AH41" s="4">
        <v>3.8</v>
      </c>
      <c r="AI41" s="4"/>
      <c r="AJ41" s="4"/>
      <c r="AK41" s="4"/>
      <c r="AL41" s="4"/>
      <c r="AS41" s="4">
        <v>71.7</v>
      </c>
      <c r="AT41" s="4">
        <v>62.1</v>
      </c>
      <c r="AU41" s="4">
        <v>150.4</v>
      </c>
      <c r="AV41" s="4">
        <f t="shared" si="203"/>
        <v>12.799999999999994</v>
      </c>
      <c r="AW41" s="4">
        <v>0</v>
      </c>
      <c r="AX41" s="4">
        <v>0</v>
      </c>
      <c r="AY41" s="4">
        <v>0</v>
      </c>
      <c r="AZ41" s="4">
        <v>0</v>
      </c>
      <c r="BA41" s="4">
        <v>0</v>
      </c>
      <c r="BB41" s="4">
        <v>0</v>
      </c>
      <c r="BC41" s="4">
        <v>0</v>
      </c>
      <c r="BD41" s="4">
        <v>0</v>
      </c>
      <c r="BE41" s="4">
        <v>0</v>
      </c>
      <c r="BF41" s="4">
        <v>0</v>
      </c>
    </row>
    <row r="42" spans="2:151" x14ac:dyDescent="0.3">
      <c r="B42" t="s">
        <v>82</v>
      </c>
      <c r="Z42" s="4">
        <v>-15.5</v>
      </c>
      <c r="AA42" s="4">
        <v>-13.9</v>
      </c>
      <c r="AB42" s="4">
        <v>-8.5</v>
      </c>
      <c r="AC42" s="4">
        <v>-16.399999999999999</v>
      </c>
      <c r="AD42" s="4">
        <v>-18.399999999999999</v>
      </c>
      <c r="AE42" s="4">
        <v>-17</v>
      </c>
      <c r="AF42" s="4">
        <v>-8.5</v>
      </c>
      <c r="AG42" s="4">
        <v>1.3</v>
      </c>
      <c r="AH42" s="4">
        <v>-10.3</v>
      </c>
      <c r="AI42" s="4"/>
      <c r="AJ42" s="4"/>
      <c r="AK42" s="4"/>
      <c r="AL42" s="4"/>
      <c r="AS42" s="4">
        <v>-68.900000000000006</v>
      </c>
      <c r="AT42" s="4">
        <v>-68</v>
      </c>
      <c r="AU42" s="4">
        <v>-62.7</v>
      </c>
      <c r="AV42" s="4">
        <f t="shared" si="203"/>
        <v>-34.5</v>
      </c>
      <c r="AW42" s="4">
        <v>0</v>
      </c>
      <c r="AX42" s="4">
        <v>0</v>
      </c>
      <c r="AY42" s="4">
        <v>0</v>
      </c>
      <c r="AZ42" s="4">
        <v>0</v>
      </c>
      <c r="BA42" s="4">
        <v>0</v>
      </c>
      <c r="BB42" s="4">
        <v>0</v>
      </c>
      <c r="BC42" s="4">
        <v>0</v>
      </c>
      <c r="BD42" s="4">
        <v>0</v>
      </c>
      <c r="BE42" s="4">
        <v>0</v>
      </c>
      <c r="BF42" s="4">
        <v>0</v>
      </c>
    </row>
    <row r="43" spans="2:151" x14ac:dyDescent="0.3">
      <c r="B43" t="s">
        <v>79</v>
      </c>
      <c r="Z43" s="4">
        <v>1.7</v>
      </c>
      <c r="AA43" s="4">
        <v>3.3</v>
      </c>
      <c r="AB43" s="4">
        <v>2</v>
      </c>
      <c r="AC43" s="4">
        <v>2.5</v>
      </c>
      <c r="AD43" s="4">
        <v>0.5</v>
      </c>
      <c r="AE43" s="4">
        <v>1.2</v>
      </c>
      <c r="AF43" s="4">
        <v>2</v>
      </c>
      <c r="AG43" s="4">
        <v>-0.9</v>
      </c>
      <c r="AH43" s="4">
        <v>-10</v>
      </c>
      <c r="AI43" s="4"/>
      <c r="AJ43" s="4"/>
      <c r="AK43" s="4"/>
      <c r="AL43" s="4"/>
      <c r="AS43" s="4">
        <v>5.5</v>
      </c>
      <c r="AT43" s="4">
        <v>9.1999999999999993</v>
      </c>
      <c r="AU43" s="4">
        <v>7.9</v>
      </c>
      <c r="AV43" s="4">
        <f t="shared" si="203"/>
        <v>-7.6999999999999993</v>
      </c>
      <c r="AW43" s="4">
        <v>0</v>
      </c>
      <c r="AX43" s="4">
        <v>0</v>
      </c>
      <c r="AY43" s="4">
        <v>0</v>
      </c>
      <c r="AZ43" s="4">
        <v>0</v>
      </c>
      <c r="BA43" s="4">
        <v>0</v>
      </c>
      <c r="BB43" s="4">
        <v>0</v>
      </c>
      <c r="BC43" s="4">
        <v>0</v>
      </c>
      <c r="BD43" s="4">
        <v>0</v>
      </c>
      <c r="BE43" s="4">
        <v>0</v>
      </c>
      <c r="BF43" s="4">
        <v>0</v>
      </c>
    </row>
    <row r="44" spans="2:151" s="1" customFormat="1" x14ac:dyDescent="0.3">
      <c r="B44" s="1" t="s">
        <v>85</v>
      </c>
      <c r="Z44" s="8">
        <f t="shared" ref="Z44:AH44" si="206">Z29+SUM(Z30:Z43)</f>
        <v>164.39999999999989</v>
      </c>
      <c r="AA44" s="8">
        <f t="shared" si="206"/>
        <v>88.499999999999886</v>
      </c>
      <c r="AB44" s="8">
        <f t="shared" si="206"/>
        <v>102.49999999999986</v>
      </c>
      <c r="AC44" s="8">
        <f t="shared" si="206"/>
        <v>115.69999999999993</v>
      </c>
      <c r="AD44" s="8">
        <f t="shared" si="206"/>
        <v>230.7999999999999</v>
      </c>
      <c r="AE44" s="8">
        <f t="shared" si="206"/>
        <v>151.39999999999998</v>
      </c>
      <c r="AF44" s="8">
        <f t="shared" si="206"/>
        <v>88.400000000000034</v>
      </c>
      <c r="AG44" s="8">
        <f t="shared" si="206"/>
        <v>146.69999999999987</v>
      </c>
      <c r="AH44" s="8">
        <f t="shared" si="206"/>
        <v>269.70000000000005</v>
      </c>
      <c r="AI44" s="8"/>
      <c r="AJ44" s="8"/>
      <c r="AK44" s="8"/>
      <c r="AL44" s="8"/>
      <c r="AS44" s="8">
        <f>AS29+SUM(AS30:AS43)</f>
        <v>40.600000000000136</v>
      </c>
      <c r="AT44" s="8">
        <f>AT29+SUM(AT30:AT43)</f>
        <v>246.50000000000023</v>
      </c>
      <c r="AU44" s="8">
        <f>AU29+SUM(AU30:AU43)</f>
        <v>413.60000000000014</v>
      </c>
      <c r="AV44" s="8">
        <f>AV29+SUM(AV30:AV43)</f>
        <v>656.20000000000039</v>
      </c>
      <c r="AW44" s="8">
        <f t="shared" ref="AW44:BF44" si="207">AW29+SUM(AW30:AW43)</f>
        <v>913.32331200000067</v>
      </c>
      <c r="AX44" s="8">
        <f t="shared" si="207"/>
        <v>1079.8235886720004</v>
      </c>
      <c r="AY44" s="8">
        <f t="shared" si="207"/>
        <v>1136.0714342027525</v>
      </c>
      <c r="AZ44" s="8">
        <f t="shared" si="207"/>
        <v>1172.9060410714042</v>
      </c>
      <c r="BA44" s="8">
        <f t="shared" si="207"/>
        <v>1188.9582152724838</v>
      </c>
      <c r="BB44" s="8">
        <f t="shared" si="207"/>
        <v>1216.0544615464355</v>
      </c>
      <c r="BC44" s="8">
        <f t="shared" si="207"/>
        <v>1246.0990979595301</v>
      </c>
      <c r="BD44" s="8">
        <f t="shared" si="207"/>
        <v>1279.0033415249823</v>
      </c>
      <c r="BE44" s="8">
        <f t="shared" si="207"/>
        <v>1314.8091682267723</v>
      </c>
      <c r="BF44" s="8">
        <f t="shared" si="207"/>
        <v>1353.5633327568028</v>
      </c>
    </row>
    <row r="45" spans="2:151" x14ac:dyDescent="0.3">
      <c r="B45" t="s">
        <v>86</v>
      </c>
      <c r="Z45" s="4">
        <v>53.7</v>
      </c>
      <c r="AA45" s="4">
        <v>50.4</v>
      </c>
      <c r="AB45" s="4">
        <v>64.7</v>
      </c>
      <c r="AC45" s="4">
        <v>44</v>
      </c>
      <c r="AD45" s="4">
        <v>48.3</v>
      </c>
      <c r="AE45" s="4">
        <v>37.200000000000003</v>
      </c>
      <c r="AF45" s="4">
        <v>64.7</v>
      </c>
      <c r="AG45" s="4">
        <v>53</v>
      </c>
      <c r="AH45" s="4">
        <v>64</v>
      </c>
      <c r="AI45" s="4"/>
      <c r="AJ45" s="4"/>
      <c r="AK45" s="4"/>
      <c r="AL45" s="4"/>
      <c r="AS45" s="4">
        <v>129.30000000000001</v>
      </c>
      <c r="AT45" s="4">
        <v>211.7</v>
      </c>
      <c r="AU45" s="4">
        <v>194.8</v>
      </c>
      <c r="AV45" s="4">
        <f>SUM(AE45:AH45)</f>
        <v>218.9</v>
      </c>
      <c r="AW45" s="4">
        <f>AV45*1.05</f>
        <v>229.84500000000003</v>
      </c>
      <c r="AX45" s="4">
        <f>AW45*1.04</f>
        <v>239.03880000000004</v>
      </c>
      <c r="AY45" s="4">
        <f>AX45*1.03</f>
        <v>246.20996400000004</v>
      </c>
      <c r="AZ45" s="4">
        <f>AY45*1.02</f>
        <v>251.13416328000005</v>
      </c>
      <c r="BA45" s="4">
        <f t="shared" ref="BA45:BF45" si="208">AZ45*1.02</f>
        <v>256.15684654560005</v>
      </c>
      <c r="BB45" s="4">
        <f t="shared" si="208"/>
        <v>261.27998347651203</v>
      </c>
      <c r="BC45" s="4">
        <f t="shared" si="208"/>
        <v>266.50558314604228</v>
      </c>
      <c r="BD45" s="4">
        <f t="shared" si="208"/>
        <v>271.83569480896313</v>
      </c>
      <c r="BE45" s="4">
        <f t="shared" si="208"/>
        <v>277.27240870514237</v>
      </c>
      <c r="BF45" s="4">
        <f t="shared" si="208"/>
        <v>282.8178568792452</v>
      </c>
    </row>
    <row r="46" spans="2:151" s="1" customFormat="1" x14ac:dyDescent="0.3">
      <c r="B46" s="1" t="s">
        <v>87</v>
      </c>
      <c r="Z46" s="8">
        <f t="shared" ref="Z46:AH46" si="209">Z44-Z45</f>
        <v>110.69999999999989</v>
      </c>
      <c r="AA46" s="8">
        <f t="shared" si="209"/>
        <v>38.099999999999888</v>
      </c>
      <c r="AB46" s="8">
        <f t="shared" si="209"/>
        <v>37.799999999999855</v>
      </c>
      <c r="AC46" s="8">
        <f t="shared" si="209"/>
        <v>71.699999999999932</v>
      </c>
      <c r="AD46" s="8">
        <f t="shared" si="209"/>
        <v>182.49999999999989</v>
      </c>
      <c r="AE46" s="8">
        <f t="shared" si="209"/>
        <v>114.19999999999997</v>
      </c>
      <c r="AF46" s="8">
        <f t="shared" si="209"/>
        <v>23.700000000000031</v>
      </c>
      <c r="AG46" s="8">
        <f t="shared" si="209"/>
        <v>93.699999999999875</v>
      </c>
      <c r="AH46" s="8">
        <f t="shared" si="209"/>
        <v>205.70000000000005</v>
      </c>
      <c r="AI46" s="8"/>
      <c r="AJ46" s="8"/>
      <c r="AK46" s="8"/>
      <c r="AL46" s="8"/>
      <c r="AS46" s="8">
        <f>AS44-AS45</f>
        <v>-88.699999999999875</v>
      </c>
      <c r="AT46" s="8">
        <f>AT44-AT45</f>
        <v>34.800000000000239</v>
      </c>
      <c r="AU46" s="8">
        <f>AU44-AU45</f>
        <v>218.80000000000013</v>
      </c>
      <c r="AV46" s="8">
        <f>AV44-AV45</f>
        <v>437.30000000000041</v>
      </c>
      <c r="AW46" s="8">
        <f t="shared" ref="AW46:BF46" si="210">AW44-AW45</f>
        <v>683.47831200000064</v>
      </c>
      <c r="AX46" s="8">
        <f t="shared" si="210"/>
        <v>840.78478867200033</v>
      </c>
      <c r="AY46" s="8">
        <f t="shared" si="210"/>
        <v>889.86147020275246</v>
      </c>
      <c r="AZ46" s="8">
        <f t="shared" si="210"/>
        <v>921.77187779140411</v>
      </c>
      <c r="BA46" s="8">
        <f t="shared" si="210"/>
        <v>932.80136872688377</v>
      </c>
      <c r="BB46" s="8">
        <f t="shared" si="210"/>
        <v>954.77447806992348</v>
      </c>
      <c r="BC46" s="8">
        <f t="shared" si="210"/>
        <v>979.5935148134879</v>
      </c>
      <c r="BD46" s="8">
        <f t="shared" si="210"/>
        <v>1007.1676467160191</v>
      </c>
      <c r="BE46" s="8">
        <f t="shared" si="210"/>
        <v>1037.5367595216298</v>
      </c>
      <c r="BF46" s="8">
        <f t="shared" si="210"/>
        <v>1070.7454758775575</v>
      </c>
      <c r="BG46" s="1">
        <f>BF46*(1+$BI$21)</f>
        <v>1060.0380211187819</v>
      </c>
      <c r="BH46" s="1">
        <f t="shared" ref="BH46:DS46" si="211">BG46*(1+$BI$21)</f>
        <v>1049.437640907594</v>
      </c>
      <c r="BI46" s="1">
        <f t="shared" si="211"/>
        <v>1038.9432644985179</v>
      </c>
      <c r="BJ46" s="1">
        <f t="shared" si="211"/>
        <v>1028.5538318535328</v>
      </c>
      <c r="BK46" s="1">
        <f t="shared" si="211"/>
        <v>1018.2682935349974</v>
      </c>
      <c r="BL46" s="1">
        <f t="shared" si="211"/>
        <v>1008.0856105996475</v>
      </c>
      <c r="BM46" s="1">
        <f t="shared" si="211"/>
        <v>998.00475449365092</v>
      </c>
      <c r="BN46" s="1">
        <f t="shared" si="211"/>
        <v>988.02470694871442</v>
      </c>
      <c r="BO46" s="1">
        <f t="shared" si="211"/>
        <v>978.14445987922727</v>
      </c>
      <c r="BP46" s="1">
        <f t="shared" si="211"/>
        <v>968.36301528043498</v>
      </c>
      <c r="BQ46" s="1">
        <f t="shared" si="211"/>
        <v>958.67938512763067</v>
      </c>
      <c r="BR46" s="1">
        <f t="shared" si="211"/>
        <v>949.09259127635437</v>
      </c>
      <c r="BS46" s="1">
        <f t="shared" si="211"/>
        <v>939.60166536359077</v>
      </c>
      <c r="BT46" s="1">
        <f t="shared" si="211"/>
        <v>930.20564870995486</v>
      </c>
      <c r="BU46" s="1">
        <f t="shared" si="211"/>
        <v>920.90359222285531</v>
      </c>
      <c r="BV46" s="1">
        <f t="shared" si="211"/>
        <v>911.6945563006268</v>
      </c>
      <c r="BW46" s="1">
        <f t="shared" si="211"/>
        <v>902.57761073762049</v>
      </c>
      <c r="BX46" s="1">
        <f t="shared" si="211"/>
        <v>893.55183463024423</v>
      </c>
      <c r="BY46" s="1">
        <f t="shared" si="211"/>
        <v>884.61631628394173</v>
      </c>
      <c r="BZ46" s="1">
        <f t="shared" si="211"/>
        <v>875.77015312110234</v>
      </c>
      <c r="CA46" s="1">
        <f t="shared" si="211"/>
        <v>867.01245158989127</v>
      </c>
      <c r="CB46" s="1">
        <f t="shared" si="211"/>
        <v>858.34232707399235</v>
      </c>
      <c r="CC46" s="1">
        <f t="shared" si="211"/>
        <v>849.75890380325245</v>
      </c>
      <c r="CD46" s="1">
        <f t="shared" si="211"/>
        <v>841.26131476521994</v>
      </c>
      <c r="CE46" s="1">
        <f t="shared" si="211"/>
        <v>832.84870161756771</v>
      </c>
      <c r="CF46" s="1">
        <f t="shared" si="211"/>
        <v>824.52021460139201</v>
      </c>
      <c r="CG46" s="1">
        <f t="shared" si="211"/>
        <v>816.27501245537803</v>
      </c>
      <c r="CH46" s="1">
        <f t="shared" si="211"/>
        <v>808.11226233082425</v>
      </c>
      <c r="CI46" s="1">
        <f t="shared" si="211"/>
        <v>800.03113970751599</v>
      </c>
      <c r="CJ46" s="1">
        <f t="shared" si="211"/>
        <v>792.03082831044082</v>
      </c>
      <c r="CK46" s="1">
        <f t="shared" si="211"/>
        <v>784.11052002733641</v>
      </c>
      <c r="CL46" s="1">
        <f t="shared" si="211"/>
        <v>776.26941482706309</v>
      </c>
      <c r="CM46" s="1">
        <f t="shared" si="211"/>
        <v>768.50672067879248</v>
      </c>
      <c r="CN46" s="1">
        <f t="shared" si="211"/>
        <v>760.82165347200453</v>
      </c>
      <c r="CO46" s="1">
        <f t="shared" si="211"/>
        <v>753.21343693728443</v>
      </c>
      <c r="CP46" s="1">
        <f t="shared" si="211"/>
        <v>745.68130256791153</v>
      </c>
      <c r="CQ46" s="1">
        <f t="shared" si="211"/>
        <v>738.22448954223239</v>
      </c>
      <c r="CR46" s="1">
        <f t="shared" si="211"/>
        <v>730.84224464681006</v>
      </c>
      <c r="CS46" s="1">
        <f t="shared" si="211"/>
        <v>723.533822200342</v>
      </c>
      <c r="CT46" s="1">
        <f t="shared" si="211"/>
        <v>716.2984839783386</v>
      </c>
      <c r="CU46" s="1">
        <f t="shared" si="211"/>
        <v>709.13549913855525</v>
      </c>
      <c r="CV46" s="1">
        <f t="shared" si="211"/>
        <v>702.04414414716973</v>
      </c>
      <c r="CW46" s="1">
        <f t="shared" si="211"/>
        <v>695.02370270569804</v>
      </c>
      <c r="CX46" s="1">
        <f t="shared" si="211"/>
        <v>688.07346567864101</v>
      </c>
      <c r="CY46" s="1">
        <f t="shared" si="211"/>
        <v>681.19273102185457</v>
      </c>
      <c r="CZ46" s="1">
        <f t="shared" si="211"/>
        <v>674.38080371163596</v>
      </c>
      <c r="DA46" s="1">
        <f t="shared" si="211"/>
        <v>667.63699567451965</v>
      </c>
      <c r="DB46" s="1">
        <f t="shared" si="211"/>
        <v>660.96062571777441</v>
      </c>
      <c r="DC46" s="1">
        <f t="shared" si="211"/>
        <v>654.3510194605966</v>
      </c>
      <c r="DD46" s="1">
        <f t="shared" si="211"/>
        <v>647.80750926599057</v>
      </c>
      <c r="DE46" s="1">
        <f t="shared" si="211"/>
        <v>641.3294341733307</v>
      </c>
      <c r="DF46" s="1">
        <f t="shared" si="211"/>
        <v>634.91613983159743</v>
      </c>
      <c r="DG46" s="1">
        <f t="shared" si="211"/>
        <v>628.56697843328141</v>
      </c>
      <c r="DH46" s="1">
        <f t="shared" si="211"/>
        <v>622.28130864894854</v>
      </c>
      <c r="DI46" s="1">
        <f t="shared" si="211"/>
        <v>616.05849556245903</v>
      </c>
      <c r="DJ46" s="1">
        <f t="shared" si="211"/>
        <v>609.89791060683444</v>
      </c>
      <c r="DK46" s="1">
        <f t="shared" si="211"/>
        <v>603.79893150076612</v>
      </c>
      <c r="DL46" s="1">
        <f t="shared" si="211"/>
        <v>597.76094218575849</v>
      </c>
      <c r="DM46" s="1">
        <f t="shared" si="211"/>
        <v>591.78333276390094</v>
      </c>
      <c r="DN46" s="1">
        <f t="shared" si="211"/>
        <v>585.86549943626198</v>
      </c>
      <c r="DO46" s="1">
        <f t="shared" si="211"/>
        <v>580.00684444189937</v>
      </c>
      <c r="DP46" s="1">
        <f t="shared" si="211"/>
        <v>574.20677599748035</v>
      </c>
      <c r="DQ46" s="1">
        <f t="shared" si="211"/>
        <v>568.46470823750553</v>
      </c>
      <c r="DR46" s="1">
        <f t="shared" si="211"/>
        <v>562.78006115513051</v>
      </c>
      <c r="DS46" s="1">
        <f t="shared" si="211"/>
        <v>557.15226054357925</v>
      </c>
      <c r="DT46" s="1">
        <f t="shared" ref="DT46:EU46" si="212">DS46*(1+$BI$21)</f>
        <v>551.58073793814344</v>
      </c>
      <c r="DU46" s="1">
        <f t="shared" si="212"/>
        <v>546.06493055876206</v>
      </c>
      <c r="DV46" s="1">
        <f t="shared" si="212"/>
        <v>540.60428125317446</v>
      </c>
      <c r="DW46" s="1">
        <f t="shared" si="212"/>
        <v>535.19823844064274</v>
      </c>
      <c r="DX46" s="1">
        <f t="shared" si="212"/>
        <v>529.84625605623626</v>
      </c>
      <c r="DY46" s="1">
        <f t="shared" si="212"/>
        <v>524.54779349567389</v>
      </c>
      <c r="DZ46" s="1">
        <f t="shared" si="212"/>
        <v>519.30231556071715</v>
      </c>
      <c r="EA46" s="1">
        <f t="shared" si="212"/>
        <v>514.10929240510995</v>
      </c>
      <c r="EB46" s="1">
        <f t="shared" si="212"/>
        <v>508.96819948105883</v>
      </c>
      <c r="EC46" s="1">
        <f t="shared" si="212"/>
        <v>503.87851748624826</v>
      </c>
      <c r="ED46" s="1">
        <f t="shared" si="212"/>
        <v>498.83973231138577</v>
      </c>
      <c r="EE46" s="1">
        <f t="shared" si="212"/>
        <v>493.8513349882719</v>
      </c>
      <c r="EF46" s="1">
        <f t="shared" si="212"/>
        <v>488.91282163838918</v>
      </c>
      <c r="EG46" s="1">
        <f t="shared" si="212"/>
        <v>484.02369342200529</v>
      </c>
      <c r="EH46" s="1">
        <f t="shared" si="212"/>
        <v>479.18345648778524</v>
      </c>
      <c r="EI46" s="1">
        <f t="shared" si="212"/>
        <v>474.3916219229074</v>
      </c>
      <c r="EJ46" s="1">
        <f t="shared" si="212"/>
        <v>469.6477057036783</v>
      </c>
      <c r="EK46" s="1">
        <f t="shared" si="212"/>
        <v>464.95122864664154</v>
      </c>
      <c r="EL46" s="1">
        <f t="shared" si="212"/>
        <v>460.30171636017513</v>
      </c>
      <c r="EM46" s="1">
        <f t="shared" si="212"/>
        <v>455.69869919657339</v>
      </c>
      <c r="EN46" s="1">
        <f t="shared" si="212"/>
        <v>451.14171220460764</v>
      </c>
      <c r="EO46" s="1">
        <f t="shared" si="212"/>
        <v>446.63029508256159</v>
      </c>
      <c r="EP46" s="1">
        <f t="shared" si="212"/>
        <v>442.16399213173599</v>
      </c>
      <c r="EQ46" s="1">
        <f t="shared" si="212"/>
        <v>437.74235221041863</v>
      </c>
      <c r="ER46" s="1">
        <f t="shared" si="212"/>
        <v>433.36492868831442</v>
      </c>
      <c r="ES46" s="1">
        <f t="shared" si="212"/>
        <v>429.03127940143128</v>
      </c>
      <c r="ET46" s="1">
        <f t="shared" si="212"/>
        <v>424.74096660741696</v>
      </c>
      <c r="EU46" s="1">
        <f t="shared" si="212"/>
        <v>420.49355694134277</v>
      </c>
    </row>
    <row r="49" spans="61:61" x14ac:dyDescent="0.3">
      <c r="BI49" s="4">
        <f>NPV(BI22,AW46:EU46)</f>
        <v>10298.890191431381</v>
      </c>
    </row>
    <row r="50" spans="61:61" x14ac:dyDescent="0.3">
      <c r="BI50" s="4">
        <f>Main!D8</f>
        <v>-596.30000000000018</v>
      </c>
    </row>
    <row r="51" spans="61:61" x14ac:dyDescent="0.3">
      <c r="BI51" s="4">
        <f>BI49+BI50</f>
        <v>9702.5901914313799</v>
      </c>
    </row>
    <row r="52" spans="61:61" x14ac:dyDescent="0.3">
      <c r="BI52" s="5">
        <f>BI51/BF16</f>
        <v>5.7191807789162272</v>
      </c>
    </row>
    <row r="53" spans="61:61" x14ac:dyDescent="0.3">
      <c r="BI53" s="5">
        <f>Main!D3</f>
        <v>5.12</v>
      </c>
    </row>
    <row r="54" spans="61:61" x14ac:dyDescent="0.3">
      <c r="BI54" s="10">
        <f>BI52/BI53-1</f>
        <v>0.11702749588207562</v>
      </c>
    </row>
    <row r="55" spans="61:61" x14ac:dyDescent="0.3">
      <c r="BI55" s="6" t="s">
        <v>93</v>
      </c>
    </row>
  </sheetData>
  <phoneticPr fontId="3" type="noConversion"/>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vt:lpstr>
      <vt:lpstr>Model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dc:creator>
  <cp:lastModifiedBy>Anton Mniszek</cp:lastModifiedBy>
  <dcterms:created xsi:type="dcterms:W3CDTF">2020-10-20T14:27:26Z</dcterms:created>
  <dcterms:modified xsi:type="dcterms:W3CDTF">2026-02-06T10:16:24Z</dcterms:modified>
</cp:coreProperties>
</file>