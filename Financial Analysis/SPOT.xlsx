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E6E2B38-DC51-4CD5-9E3D-89DB02B6BD4A}" xr6:coauthVersionLast="47" xr6:coauthVersionMax="47" xr10:uidLastSave="{00000000-0000-0000-0000-000000000000}"/>
  <bookViews>
    <workbookView xWindow="-108" yWindow="-108" windowWidth="23256" windowHeight="12576" activeTab="1" xr2:uid="{E254F39D-7CC4-4B6C-BDE0-D6C4D40F2C9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8" i="2" l="1"/>
  <c r="AI8" i="2"/>
  <c r="AR7" i="2"/>
  <c r="AQ7" i="2"/>
  <c r="AP7" i="2"/>
  <c r="AO7" i="2"/>
  <c r="AN7" i="2"/>
  <c r="AM7" i="2"/>
  <c r="AL7" i="2"/>
  <c r="AK7" i="2"/>
  <c r="AJ7" i="2"/>
  <c r="AI7" i="2"/>
  <c r="AI3" i="2"/>
  <c r="AI5" i="2" s="1"/>
  <c r="Z3" i="2"/>
  <c r="Z21" i="2" s="1"/>
  <c r="Y3" i="2"/>
  <c r="X3" i="2"/>
  <c r="X25" i="2" s="1"/>
  <c r="Z25" i="2"/>
  <c r="Y25" i="2"/>
  <c r="W25" i="2"/>
  <c r="Z24" i="2"/>
  <c r="Y24" i="2"/>
  <c r="X24" i="2"/>
  <c r="W24" i="2"/>
  <c r="Y23" i="2"/>
  <c r="W23" i="2"/>
  <c r="Z22" i="2"/>
  <c r="Y22" i="2"/>
  <c r="X22" i="2"/>
  <c r="W22" i="2"/>
  <c r="Y21" i="2"/>
  <c r="X21" i="2"/>
  <c r="W21" i="2"/>
  <c r="Z20" i="2"/>
  <c r="Y20" i="2"/>
  <c r="X20" i="2"/>
  <c r="W20" i="2"/>
  <c r="Z19" i="2"/>
  <c r="Y19" i="2"/>
  <c r="X19" i="2"/>
  <c r="W19" i="2"/>
  <c r="Z18" i="2"/>
  <c r="Y18" i="2"/>
  <c r="W18" i="2"/>
  <c r="V5" i="2"/>
  <c r="V13" i="2"/>
  <c r="V8" i="2"/>
  <c r="V22" i="2" s="1"/>
  <c r="V7" i="2"/>
  <c r="V6" i="2"/>
  <c r="V4" i="2"/>
  <c r="V3" i="2"/>
  <c r="D7" i="1"/>
  <c r="D6" i="1"/>
  <c r="AR15" i="2"/>
  <c r="AQ15" i="2"/>
  <c r="AP15" i="2"/>
  <c r="AO15" i="2"/>
  <c r="AN15" i="2"/>
  <c r="AM15" i="2"/>
  <c r="AL15" i="2"/>
  <c r="AK15" i="2"/>
  <c r="AJ15" i="2"/>
  <c r="AI15" i="2"/>
  <c r="AH15" i="2"/>
  <c r="V15" i="2"/>
  <c r="D4" i="1"/>
  <c r="D5" i="1" s="1"/>
  <c r="V20" i="2"/>
  <c r="U15" i="2"/>
  <c r="U5" i="2"/>
  <c r="U21" i="2"/>
  <c r="T5" i="2"/>
  <c r="T19" i="2" s="1"/>
  <c r="T21" i="2"/>
  <c r="AG15" i="2"/>
  <c r="S5" i="2"/>
  <c r="R15" i="2"/>
  <c r="T22" i="2"/>
  <c r="S22" i="2"/>
  <c r="T20" i="2"/>
  <c r="S20" i="2"/>
  <c r="T18" i="2"/>
  <c r="S18" i="2"/>
  <c r="S21" i="2"/>
  <c r="R5" i="2"/>
  <c r="R20" i="2"/>
  <c r="Q5" i="2"/>
  <c r="AU26" i="2"/>
  <c r="R22" i="2"/>
  <c r="Q22" i="2"/>
  <c r="AG11" i="2"/>
  <c r="AG10" i="2"/>
  <c r="AC22" i="2"/>
  <c r="AC20" i="2"/>
  <c r="AC18" i="2"/>
  <c r="AC25" i="2"/>
  <c r="AB25" i="2"/>
  <c r="AC24" i="2"/>
  <c r="AB24" i="2"/>
  <c r="AC23" i="2"/>
  <c r="AB23" i="2"/>
  <c r="AC21" i="2"/>
  <c r="AB21" i="2"/>
  <c r="AC19" i="2"/>
  <c r="AB19" i="2"/>
  <c r="AF13" i="2"/>
  <c r="AF11" i="2"/>
  <c r="AF10" i="2"/>
  <c r="AF8" i="2"/>
  <c r="AF7" i="2"/>
  <c r="AF6" i="2"/>
  <c r="AF4" i="2"/>
  <c r="AF3" i="2"/>
  <c r="AE13" i="2"/>
  <c r="AE11" i="2"/>
  <c r="AE10" i="2"/>
  <c r="AE8" i="2"/>
  <c r="AE7" i="2"/>
  <c r="AE6" i="2"/>
  <c r="AE4" i="2"/>
  <c r="AE3" i="2"/>
  <c r="AD13" i="2"/>
  <c r="AD10" i="2"/>
  <c r="AD11" i="2"/>
  <c r="AD8" i="2"/>
  <c r="AD22" i="2" s="1"/>
  <c r="AD7" i="2"/>
  <c r="AD6" i="2"/>
  <c r="AD20" i="2" s="1"/>
  <c r="AD4" i="2"/>
  <c r="AD3" i="2"/>
  <c r="AD18" i="2" s="1"/>
  <c r="Q20" i="2"/>
  <c r="Q18" i="2"/>
  <c r="O22" i="2"/>
  <c r="N22" i="2"/>
  <c r="M22" i="2"/>
  <c r="L22" i="2"/>
  <c r="K22" i="2"/>
  <c r="J22" i="2"/>
  <c r="I22" i="2"/>
  <c r="H22" i="2"/>
  <c r="G22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O20" i="2"/>
  <c r="N20" i="2"/>
  <c r="M20" i="2"/>
  <c r="L20" i="2"/>
  <c r="K20" i="2"/>
  <c r="J20" i="2"/>
  <c r="I20" i="2"/>
  <c r="H20" i="2"/>
  <c r="G20" i="2"/>
  <c r="O18" i="2"/>
  <c r="N18" i="2"/>
  <c r="M18" i="2"/>
  <c r="L18" i="2"/>
  <c r="K18" i="2"/>
  <c r="J18" i="2"/>
  <c r="I18" i="2"/>
  <c r="H18" i="2"/>
  <c r="G18" i="2"/>
  <c r="P21" i="2"/>
  <c r="P22" i="2"/>
  <c r="P20" i="2"/>
  <c r="P18" i="2"/>
  <c r="C5" i="2"/>
  <c r="C9" i="2" s="1"/>
  <c r="C12" i="2" s="1"/>
  <c r="C14" i="2" s="1"/>
  <c r="C16" i="2" s="1"/>
  <c r="E5" i="2"/>
  <c r="E9" i="2" s="1"/>
  <c r="E12" i="2" s="1"/>
  <c r="E14" i="2" s="1"/>
  <c r="E16" i="2" s="1"/>
  <c r="F5" i="2"/>
  <c r="F9" i="2" s="1"/>
  <c r="F12" i="2" s="1"/>
  <c r="F14" i="2" s="1"/>
  <c r="F16" i="2" s="1"/>
  <c r="D5" i="2"/>
  <c r="D9" i="2" s="1"/>
  <c r="D12" i="2" s="1"/>
  <c r="D14" i="2" s="1"/>
  <c r="D16" i="2" s="1"/>
  <c r="G5" i="2"/>
  <c r="G9" i="2" s="1"/>
  <c r="G12" i="2" s="1"/>
  <c r="G14" i="2" s="1"/>
  <c r="G16" i="2" s="1"/>
  <c r="H5" i="2"/>
  <c r="H9" i="2" s="1"/>
  <c r="H12" i="2" s="1"/>
  <c r="H14" i="2" s="1"/>
  <c r="H16" i="2" s="1"/>
  <c r="I5" i="2"/>
  <c r="I9" i="2" s="1"/>
  <c r="I12" i="2" s="1"/>
  <c r="I14" i="2" s="1"/>
  <c r="I16" i="2" s="1"/>
  <c r="M5" i="2"/>
  <c r="M9" i="2" s="1"/>
  <c r="M12" i="2" s="1"/>
  <c r="M14" i="2" s="1"/>
  <c r="M16" i="2" s="1"/>
  <c r="J5" i="2"/>
  <c r="J9" i="2" s="1"/>
  <c r="J12" i="2" s="1"/>
  <c r="J14" i="2" s="1"/>
  <c r="J16" i="2" s="1"/>
  <c r="N5" i="2"/>
  <c r="N9" i="2" s="1"/>
  <c r="N12" i="2" s="1"/>
  <c r="N14" i="2" s="1"/>
  <c r="N16" i="2" s="1"/>
  <c r="K5" i="2"/>
  <c r="K9" i="2" s="1"/>
  <c r="K12" i="2" s="1"/>
  <c r="K14" i="2" s="1"/>
  <c r="K16" i="2" s="1"/>
  <c r="O5" i="2"/>
  <c r="O9" i="2" s="1"/>
  <c r="O12" i="2" s="1"/>
  <c r="O14" i="2" s="1"/>
  <c r="O16" i="2" s="1"/>
  <c r="L5" i="2"/>
  <c r="L9" i="2" s="1"/>
  <c r="L12" i="2" s="1"/>
  <c r="L14" i="2" s="1"/>
  <c r="L16" i="2" s="1"/>
  <c r="P5" i="2"/>
  <c r="P9" i="2" s="1"/>
  <c r="P12" i="2" s="1"/>
  <c r="P14" i="2" s="1"/>
  <c r="P16" i="2" s="1"/>
  <c r="F3" i="1"/>
  <c r="Z23" i="2" l="1"/>
  <c r="X18" i="2"/>
  <c r="X23" i="2"/>
  <c r="U22" i="2"/>
  <c r="AI6" i="2"/>
  <c r="AJ6" i="2" s="1"/>
  <c r="U20" i="2"/>
  <c r="V9" i="2"/>
  <c r="V18" i="2"/>
  <c r="U18" i="2"/>
  <c r="T9" i="2"/>
  <c r="V19" i="2"/>
  <c r="S19" i="2"/>
  <c r="S9" i="2"/>
  <c r="AI11" i="2"/>
  <c r="AJ11" i="2" s="1"/>
  <c r="AK11" i="2" s="1"/>
  <c r="AL11" i="2" s="1"/>
  <c r="AM11" i="2" s="1"/>
  <c r="AN11" i="2" s="1"/>
  <c r="AO11" i="2" s="1"/>
  <c r="AP11" i="2" s="1"/>
  <c r="AQ11" i="2" s="1"/>
  <c r="AR11" i="2" s="1"/>
  <c r="AI10" i="2"/>
  <c r="AJ10" i="2" s="1"/>
  <c r="AK10" i="2" s="1"/>
  <c r="AL10" i="2" s="1"/>
  <c r="AM10" i="2" s="1"/>
  <c r="AN10" i="2" s="1"/>
  <c r="AO10" i="2" s="1"/>
  <c r="AP10" i="2" s="1"/>
  <c r="AQ10" i="2" s="1"/>
  <c r="AR10" i="2" s="1"/>
  <c r="AD21" i="2"/>
  <c r="AF20" i="2"/>
  <c r="J23" i="2"/>
  <c r="D19" i="2"/>
  <c r="C25" i="2"/>
  <c r="F19" i="2"/>
  <c r="AE18" i="2"/>
  <c r="AF18" i="2"/>
  <c r="C24" i="2"/>
  <c r="I25" i="2"/>
  <c r="AE22" i="2"/>
  <c r="AF22" i="2"/>
  <c r="I19" i="2"/>
  <c r="F24" i="2"/>
  <c r="E24" i="2"/>
  <c r="N25" i="2"/>
  <c r="N19" i="2"/>
  <c r="K24" i="2"/>
  <c r="AG7" i="2"/>
  <c r="O19" i="2"/>
  <c r="C23" i="2"/>
  <c r="M24" i="2"/>
  <c r="E23" i="2"/>
  <c r="N24" i="2"/>
  <c r="AE5" i="2"/>
  <c r="AE19" i="2" s="1"/>
  <c r="AE20" i="2"/>
  <c r="K23" i="2"/>
  <c r="F25" i="2"/>
  <c r="AE21" i="2"/>
  <c r="AF21" i="2"/>
  <c r="AG3" i="2"/>
  <c r="D8" i="1"/>
  <c r="D9" i="1" s="1"/>
  <c r="D10" i="1" s="1"/>
  <c r="Q9" i="2"/>
  <c r="AG4" i="2"/>
  <c r="H19" i="2"/>
  <c r="D23" i="2"/>
  <c r="L23" i="2"/>
  <c r="G24" i="2"/>
  <c r="O24" i="2"/>
  <c r="J25" i="2"/>
  <c r="Q21" i="2"/>
  <c r="H24" i="2"/>
  <c r="J19" i="2"/>
  <c r="F23" i="2"/>
  <c r="N23" i="2"/>
  <c r="I24" i="2"/>
  <c r="D25" i="2"/>
  <c r="L25" i="2"/>
  <c r="G19" i="2"/>
  <c r="P23" i="2"/>
  <c r="M23" i="2"/>
  <c r="K25" i="2"/>
  <c r="C19" i="2"/>
  <c r="K19" i="2"/>
  <c r="G23" i="2"/>
  <c r="O23" i="2"/>
  <c r="J24" i="2"/>
  <c r="E25" i="2"/>
  <c r="M25" i="2"/>
  <c r="AF5" i="2"/>
  <c r="AF19" i="2" s="1"/>
  <c r="H25" i="2"/>
  <c r="L19" i="2"/>
  <c r="H23" i="2"/>
  <c r="P19" i="2"/>
  <c r="E19" i="2"/>
  <c r="M19" i="2"/>
  <c r="I23" i="2"/>
  <c r="D24" i="2"/>
  <c r="L24" i="2"/>
  <c r="G25" i="2"/>
  <c r="O25" i="2"/>
  <c r="P24" i="2"/>
  <c r="P25" i="2"/>
  <c r="AG8" i="2"/>
  <c r="AG6" i="2"/>
  <c r="Q19" i="2"/>
  <c r="R21" i="2"/>
  <c r="R18" i="2"/>
  <c r="R19" i="2"/>
  <c r="AD5" i="2"/>
  <c r="AJ3" i="2" l="1"/>
  <c r="AJ5" i="2" s="1"/>
  <c r="AK6" i="2"/>
  <c r="AL6" i="2" s="1"/>
  <c r="AM6" i="2" s="1"/>
  <c r="AN6" i="2" s="1"/>
  <c r="AO6" i="2" s="1"/>
  <c r="AP6" i="2" s="1"/>
  <c r="AQ6" i="2" s="1"/>
  <c r="AR6" i="2" s="1"/>
  <c r="U9" i="2"/>
  <c r="U23" i="2" s="1"/>
  <c r="U19" i="2"/>
  <c r="AI21" i="2"/>
  <c r="AK8" i="2"/>
  <c r="AL8" i="2" s="1"/>
  <c r="AM8" i="2" s="1"/>
  <c r="AN8" i="2" s="1"/>
  <c r="AO8" i="2" s="1"/>
  <c r="AP8" i="2" s="1"/>
  <c r="AQ8" i="2" s="1"/>
  <c r="AR8" i="2" s="1"/>
  <c r="AH5" i="2"/>
  <c r="AH21" i="2"/>
  <c r="V21" i="2"/>
  <c r="T12" i="2"/>
  <c r="T23" i="2"/>
  <c r="V23" i="2"/>
  <c r="V12" i="2"/>
  <c r="S23" i="2"/>
  <c r="S12" i="2"/>
  <c r="R9" i="2"/>
  <c r="R12" i="2" s="1"/>
  <c r="R24" i="2" s="1"/>
  <c r="AG5" i="2"/>
  <c r="AG19" i="2" s="1"/>
  <c r="AE9" i="2"/>
  <c r="AE12" i="2" s="1"/>
  <c r="AG18" i="2"/>
  <c r="AF9" i="2"/>
  <c r="AF23" i="2" s="1"/>
  <c r="AG21" i="2"/>
  <c r="AH18" i="2"/>
  <c r="AU22" i="2"/>
  <c r="AG22" i="2"/>
  <c r="AD9" i="2"/>
  <c r="AD19" i="2"/>
  <c r="Q12" i="2"/>
  <c r="Q23" i="2"/>
  <c r="AG20" i="2"/>
  <c r="AK3" i="2" l="1"/>
  <c r="AK5" i="2" s="1"/>
  <c r="U12" i="2"/>
  <c r="U24" i="2" s="1"/>
  <c r="AJ18" i="2"/>
  <c r="AI4" i="2"/>
  <c r="AI18" i="2"/>
  <c r="T24" i="2"/>
  <c r="V24" i="2"/>
  <c r="S14" i="2"/>
  <c r="R23" i="2"/>
  <c r="AF12" i="2"/>
  <c r="AG9" i="2"/>
  <c r="AG12" i="2" s="1"/>
  <c r="AE23" i="2"/>
  <c r="AH22" i="2"/>
  <c r="Q14" i="2"/>
  <c r="AD12" i="2"/>
  <c r="AD23" i="2"/>
  <c r="AI22" i="2"/>
  <c r="AF14" i="2"/>
  <c r="AF24" i="2"/>
  <c r="AI20" i="2"/>
  <c r="R14" i="2"/>
  <c r="AE14" i="2"/>
  <c r="AE24" i="2"/>
  <c r="AH20" i="2"/>
  <c r="AK4" i="2" l="1"/>
  <c r="AL3" i="2"/>
  <c r="AL5" i="2" s="1"/>
  <c r="U14" i="2"/>
  <c r="U16" i="2" s="1"/>
  <c r="AK21" i="2"/>
  <c r="AJ21" i="2"/>
  <c r="AI19" i="2"/>
  <c r="AI9" i="2"/>
  <c r="AI23" i="2" s="1"/>
  <c r="AJ19" i="2"/>
  <c r="T14" i="2"/>
  <c r="V14" i="2"/>
  <c r="S25" i="2"/>
  <c r="S16" i="2"/>
  <c r="S24" i="2"/>
  <c r="AG23" i="2"/>
  <c r="AJ22" i="2"/>
  <c r="AE16" i="2"/>
  <c r="AE25" i="2"/>
  <c r="AD14" i="2"/>
  <c r="AD24" i="2"/>
  <c r="Q16" i="2"/>
  <c r="Q25" i="2"/>
  <c r="AF16" i="2"/>
  <c r="AF25" i="2"/>
  <c r="AK18" i="2"/>
  <c r="R16" i="2"/>
  <c r="R25" i="2"/>
  <c r="AJ20" i="2"/>
  <c r="AG13" i="2"/>
  <c r="Q24" i="2"/>
  <c r="AM3" i="2" l="1"/>
  <c r="AM5" i="2" s="1"/>
  <c r="U25" i="2"/>
  <c r="AJ9" i="2"/>
  <c r="AJ12" i="2" s="1"/>
  <c r="AJ13" i="2" s="1"/>
  <c r="AI12" i="2"/>
  <c r="AJ4" i="2"/>
  <c r="AL21" i="2"/>
  <c r="T16" i="2"/>
  <c r="T25" i="2"/>
  <c r="V16" i="2"/>
  <c r="V25" i="2"/>
  <c r="AD16" i="2"/>
  <c r="AD25" i="2"/>
  <c r="AK20" i="2"/>
  <c r="AK22" i="2"/>
  <c r="AL18" i="2"/>
  <c r="AG24" i="2"/>
  <c r="AG14" i="2"/>
  <c r="AK9" i="2"/>
  <c r="AK19" i="2"/>
  <c r="AN3" i="2" l="1"/>
  <c r="AM4" i="2"/>
  <c r="AM21" i="2"/>
  <c r="AI13" i="2"/>
  <c r="AI14" i="2" s="1"/>
  <c r="AJ23" i="2"/>
  <c r="AJ24" i="2"/>
  <c r="AK12" i="2"/>
  <c r="AK13" i="2" s="1"/>
  <c r="AK23" i="2"/>
  <c r="AL9" i="2"/>
  <c r="AL22" i="2"/>
  <c r="AM18" i="2"/>
  <c r="AL4" i="2"/>
  <c r="AL19" i="2"/>
  <c r="AG25" i="2"/>
  <c r="AG16" i="2"/>
  <c r="AL20" i="2"/>
  <c r="AI25" i="2" l="1"/>
  <c r="AN5" i="2"/>
  <c r="AO3" i="2"/>
  <c r="AO5" i="2" s="1"/>
  <c r="AN4" i="2"/>
  <c r="AI24" i="2"/>
  <c r="AI16" i="2"/>
  <c r="AN21" i="2"/>
  <c r="AM22" i="2"/>
  <c r="AL12" i="2"/>
  <c r="AL13" i="2" s="1"/>
  <c r="AL23" i="2"/>
  <c r="AM9" i="2"/>
  <c r="AM19" i="2"/>
  <c r="AM20" i="2"/>
  <c r="AN18" i="2"/>
  <c r="AK14" i="2"/>
  <c r="AK24" i="2"/>
  <c r="AJ14" i="2"/>
  <c r="AP3" i="2" l="1"/>
  <c r="AP5" i="2" s="1"/>
  <c r="AO4" i="2"/>
  <c r="AO21" i="2"/>
  <c r="AM12" i="2"/>
  <c r="AM13" i="2" s="1"/>
  <c r="AM23" i="2"/>
  <c r="AK16" i="2"/>
  <c r="AK25" i="2"/>
  <c r="AL24" i="2"/>
  <c r="AJ16" i="2"/>
  <c r="AJ25" i="2"/>
  <c r="AN20" i="2"/>
  <c r="AN9" i="2"/>
  <c r="AN19" i="2"/>
  <c r="AO18" i="2"/>
  <c r="AN22" i="2"/>
  <c r="AQ3" i="2" l="1"/>
  <c r="AQ5" i="2" s="1"/>
  <c r="AP4" i="2"/>
  <c r="AP21" i="2"/>
  <c r="AL14" i="2"/>
  <c r="AP18" i="2"/>
  <c r="AM24" i="2"/>
  <c r="AO9" i="2"/>
  <c r="AO19" i="2"/>
  <c r="AN12" i="2"/>
  <c r="AN13" i="2" s="1"/>
  <c r="AN23" i="2"/>
  <c r="AO22" i="2"/>
  <c r="AO20" i="2"/>
  <c r="AL16" i="2" l="1"/>
  <c r="AR3" i="2"/>
  <c r="AR5" i="2" s="1"/>
  <c r="AQ21" i="2"/>
  <c r="AL25" i="2"/>
  <c r="AM14" i="2"/>
  <c r="AM25" i="2" s="1"/>
  <c r="AO12" i="2"/>
  <c r="AO13" i="2" s="1"/>
  <c r="AO23" i="2"/>
  <c r="AP20" i="2"/>
  <c r="AP22" i="2"/>
  <c r="AN14" i="2"/>
  <c r="AN24" i="2"/>
  <c r="AQ18" i="2"/>
  <c r="AP9" i="2"/>
  <c r="AP19" i="2"/>
  <c r="AR21" i="2" l="1"/>
  <c r="AR19" i="2"/>
  <c r="AM16" i="2"/>
  <c r="AO24" i="2"/>
  <c r="AQ22" i="2"/>
  <c r="AR20" i="2"/>
  <c r="AQ20" i="2"/>
  <c r="AP12" i="2"/>
  <c r="AP13" i="2" s="1"/>
  <c r="AP23" i="2"/>
  <c r="AQ4" i="2"/>
  <c r="AQ9" i="2"/>
  <c r="AQ19" i="2"/>
  <c r="AR18" i="2"/>
  <c r="AN16" i="2"/>
  <c r="AN25" i="2"/>
  <c r="AO14" i="2" l="1"/>
  <c r="AR4" i="2"/>
  <c r="AR9" i="2"/>
  <c r="AR22" i="2"/>
  <c r="AQ12" i="2"/>
  <c r="AQ13" i="2" s="1"/>
  <c r="AQ23" i="2"/>
  <c r="AP14" i="2"/>
  <c r="AP24" i="2"/>
  <c r="AO16" i="2" l="1"/>
  <c r="AO25" i="2"/>
  <c r="AP16" i="2"/>
  <c r="AP25" i="2"/>
  <c r="AQ14" i="2"/>
  <c r="AQ24" i="2"/>
  <c r="AR12" i="2"/>
  <c r="AR13" i="2" s="1"/>
  <c r="AR23" i="2"/>
  <c r="AR24" i="2" l="1"/>
  <c r="AQ16" i="2"/>
  <c r="AQ25" i="2"/>
  <c r="AR14" i="2" l="1"/>
  <c r="AR16" i="2" l="1"/>
  <c r="AS14" i="2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ET14" i="2" s="1"/>
  <c r="EU14" i="2" s="1"/>
  <c r="EV14" i="2" s="1"/>
  <c r="EW14" i="2" s="1"/>
  <c r="AR25" i="2"/>
  <c r="AU21" i="2" l="1"/>
  <c r="AH9" i="2"/>
  <c r="AH12" i="2" s="1"/>
  <c r="AH19" i="2"/>
  <c r="AH24" i="2" l="1"/>
  <c r="AH23" i="2"/>
  <c r="AH14" i="2" l="1"/>
  <c r="AU23" i="2" l="1"/>
  <c r="AU24" i="2" s="1"/>
  <c r="AU25" i="2" s="1"/>
  <c r="AU27" i="2" s="1"/>
  <c r="AH16" i="2"/>
  <c r="AH25" i="2"/>
</calcChain>
</file>

<file path=xl/sharedStrings.xml><?xml version="1.0" encoding="utf-8"?>
<sst xmlns="http://schemas.openxmlformats.org/spreadsheetml/2006/main" count="73" uniqueCount="68">
  <si>
    <t>SPOT</t>
  </si>
  <si>
    <t>Price</t>
  </si>
  <si>
    <t>Shares</t>
  </si>
  <si>
    <t>MC</t>
  </si>
  <si>
    <t>Cash</t>
  </si>
  <si>
    <t>Debt</t>
  </si>
  <si>
    <t>Net Cash</t>
  </si>
  <si>
    <t>EV</t>
  </si>
  <si>
    <t>Net Cash USD</t>
  </si>
  <si>
    <t>USD/EUR</t>
  </si>
  <si>
    <t>Revenue</t>
  </si>
  <si>
    <t>Last checked</t>
  </si>
  <si>
    <t>Today</t>
  </si>
  <si>
    <t>Earnings</t>
  </si>
  <si>
    <t>Cost of sales</t>
  </si>
  <si>
    <t>Gross profit</t>
  </si>
  <si>
    <t>R&amp;D</t>
  </si>
  <si>
    <t>S&amp;M</t>
  </si>
  <si>
    <t>G&amp;A</t>
  </si>
  <si>
    <t>Operating profit</t>
  </si>
  <si>
    <t>Finance income</t>
  </si>
  <si>
    <t>Finance expense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</si>
  <si>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</si>
  <si>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</si>
  <si>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</si>
  <si>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</si>
  <si>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</si>
  <si>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</si>
  <si>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</si>
  <si>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</si>
  <si>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</si>
  <si>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</si>
  <si>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</si>
  <si>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</si>
  <si>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</si>
  <si>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</si>
  <si>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</si>
  <si>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</si>
  <si>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</si>
  <si>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</si>
  <si>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</si>
  <si>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</si>
  <si>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</si>
  <si>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</si>
  <si>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</si>
  <si>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</si>
  <si>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</si>
  <si>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</si>
  <si>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</si>
  <si>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</si>
  <si>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</si>
  <si>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</si>
  <si>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</si>
  <si>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</si>
  <si>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</si>
  <si>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</si>
  <si>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</si>
  <si>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</si>
  <si>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Value USD</t>
  </si>
  <si>
    <t>Q125</t>
  </si>
  <si>
    <t>Q225</t>
  </si>
  <si>
    <t>Q325</t>
  </si>
  <si>
    <t>Q425</t>
  </si>
  <si>
    <t>Q126</t>
  </si>
  <si>
    <t>Q226</t>
  </si>
  <si>
    <t>Q326</t>
  </si>
  <si>
    <t>Q426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</si>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</sst>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#,##0\ [$€-1]"/>
    <numFmt numFmtId="166" formatCode="[$$-409]#,##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2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15240</xdr:colOff>
      <xdr:row>0</xdr:row>
      <xdr:rowOff>0</xdr:rowOff>
    </xdr:from>
    <xdr:to>
      <xdr:col>22</xdr:col>
      <xdr:colOff>15240</xdr:colOff>
      <xdr:row>33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F24F93A-9EDE-E09D-6FC3-51D907DB9A57}"/>
            </a:ext>
          </a:extLst>
        </xdr:cNvPr>
        <xdr:cNvCxnSpPr/>
      </xdr:nvCxnSpPr>
      <xdr:spPr>
        <a:xfrm>
          <a:off x="1399032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22860</xdr:colOff>
      <xdr:row>0</xdr:row>
      <xdr:rowOff>0</xdr:rowOff>
    </xdr:from>
    <xdr:to>
      <xdr:col>34</xdr:col>
      <xdr:colOff>22860</xdr:colOff>
      <xdr:row>33</xdr:row>
      <xdr:rowOff>22860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A7495F3-5B69-12B9-4ECF-0B5F7EB75FDB}"/>
            </a:ext>
          </a:extLst>
        </xdr:cNvPr>
        <xdr:cNvCxnSpPr/>
      </xdr:nvCxnSpPr>
      <xdr:spPr>
        <a:xfrm>
          <a:off x="21313140" y="0"/>
          <a:ext cx="0" cy="6057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0E86F-BDCB-4F9A-99BC-9DE09E90E866}">
  <dimension ref="B2:G15"/>
  <sheetViews>
    <sheetView workbookViewId="0">
      <selection activeCell="E7" sqref="E7"/>
    </sheetView>
  </sheetViews>
  <sheetFormatPr defaultRowHeight="14.4" x14ac:dyDescent="0.3"/>
  <cols>
    <col min="3" max="3" width="12.21875" bestFit="1" customWidth="1"/>
    <col min="4" max="4" width="8.88671875" customWidth="1"/>
    <col min="5" max="7" width="13.21875" style="11" customWidth="1"/>
    <col min="8" max="8" width="8.88671875" customWidth="1"/>
  </cols>
  <sheetData>
    <row r="2" spans="2:7" x14ac:dyDescent="0.3">
      <c r="E2" s="11" t="s">
        <v>11</v>
      </c>
      <c r="F2" s="11" t="s">
        <v>12</v>
      </c>
      <c r="G2" s="11" t="s">
        <v>13</v>
      </c>
    </row>
    <row r="3" spans="2:7" x14ac:dyDescent="0.3">
      <c r="B3" s="1" t="s">
        <v>0</v>
      </c>
      <c r="C3" t="s">
        <v>1</v>
      </c>
      <c r="D3" s="3">
        <v>458.34</v>
      </c>
      <c r="E3" s="12">
        <v>46067</v>
      </c>
      <c r="F3" s="12">
        <f ca="1">TODAY()</f>
        <v>46067</v>
      </c>
      <c r="G3" s="12">
        <v>46141</v>
      </c>
    </row>
    <row r="4" spans="2:7" x14ac:dyDescent="0.3">
      <c r="C4" t="s">
        <v>2</v>
      </c>
      <c r="D4" s="2">
        <f>205.8</f>
        <v>205.8</v>
      </c>
      <c r="E4" s="11" t="s">
        <v>62</v>
      </c>
    </row>
    <row r="5" spans="2:7" x14ac:dyDescent="0.3">
      <c r="C5" t="s">
        <v>3</v>
      </c>
      <c r="D5" s="5">
        <f>D3*D4</f>
        <v>94326.372000000003</v>
      </c>
    </row>
    <row r="6" spans="2:7" x14ac:dyDescent="0.3">
      <c r="C6" t="s">
        <v>4</v>
      </c>
      <c r="D6" s="4">
        <f>5258+4209+2181</f>
        <v>11648</v>
      </c>
      <c r="E6" s="11" t="s">
        <v>62</v>
      </c>
    </row>
    <row r="7" spans="2:7" x14ac:dyDescent="0.3">
      <c r="C7" t="s">
        <v>5</v>
      </c>
      <c r="D7" s="4">
        <f>1458</f>
        <v>1458</v>
      </c>
      <c r="E7" s="11" t="s">
        <v>62</v>
      </c>
    </row>
    <row r="8" spans="2:7" x14ac:dyDescent="0.3">
      <c r="C8" t="s">
        <v>6</v>
      </c>
      <c r="D8" s="4">
        <f>D6-D7</f>
        <v>10190</v>
      </c>
    </row>
    <row r="9" spans="2:7" x14ac:dyDescent="0.3">
      <c r="C9" t="s">
        <v>8</v>
      </c>
      <c r="D9" s="2">
        <f>D8/D15</f>
        <v>11712.643678160919</v>
      </c>
    </row>
    <row r="10" spans="2:7" x14ac:dyDescent="0.3">
      <c r="C10" t="s">
        <v>7</v>
      </c>
      <c r="D10" s="2">
        <f>D5-D9</f>
        <v>82613.72832183908</v>
      </c>
    </row>
    <row r="15" spans="2:7" x14ac:dyDescent="0.3">
      <c r="C15" t="s">
        <v>9</v>
      </c>
      <c r="D15">
        <v>0.87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4E141-0626-49BA-AB25-4AB63369CE3B}">
  <dimension ref="A2:EW28"/>
  <sheetViews>
    <sheetView tabSelected="1"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U6" sqref="U6"/>
    </sheetView>
  </sheetViews>
  <sheetFormatPr defaultRowHeight="14.4" x14ac:dyDescent="0.3"/>
  <cols>
    <col min="2" max="2" width="17.109375" customWidth="1"/>
    <col min="3" max="6" width="8.88671875" customWidth="1"/>
    <col min="46" max="46" width="13.6640625" customWidth="1"/>
    <col min="47" max="47" width="16.5546875" customWidth="1"/>
  </cols>
  <sheetData>
    <row r="2" spans="1:153" x14ac:dyDescent="0.3">
      <c r="C2" s="6" t="s">
        <v>38</v>
      </c>
      <c r="D2" s="6" t="s">
        <v>39</v>
      </c>
      <c r="E2" s="6" t="s">
        <v>40</v>
      </c>
      <c r="F2" s="6" t="s">
        <v>41</v>
      </c>
      <c r="G2" s="6" t="s">
        <v>26</v>
      </c>
      <c r="H2" s="6" t="s">
        <v>27</v>
      </c>
      <c r="I2" s="6" t="s">
        <v>28</v>
      </c>
      <c r="J2" s="6" t="s">
        <v>29</v>
      </c>
      <c r="K2" s="6" t="s">
        <v>30</v>
      </c>
      <c r="L2" s="6" t="s">
        <v>31</v>
      </c>
      <c r="M2" s="6" t="s">
        <v>32</v>
      </c>
      <c r="N2" s="6" t="s">
        <v>33</v>
      </c>
      <c r="O2" s="6" t="s">
        <v>34</v>
      </c>
      <c r="P2" s="6" t="s">
        <v>35</v>
      </c>
      <c r="Q2" s="6" t="s">
        <v>36</v>
      </c>
      <c r="R2" s="6" t="s">
        <v>37</v>
      </c>
      <c r="S2" s="6" t="s">
        <v>59</v>
      </c>
      <c r="T2" s="6" t="s">
        <v>60</v>
      </c>
      <c r="U2" s="6" t="s">
        <v>61</v>
      </c>
      <c r="V2" s="6" t="s">
        <v>62</v>
      </c>
      <c r="W2" s="6" t="s">
        <v>63</v>
      </c>
      <c r="X2" s="6" t="s">
        <v>64</v>
      </c>
      <c r="Y2" s="6" t="s">
        <v>65</v>
      </c>
      <c r="Z2" s="6" t="s">
        <v>66</v>
      </c>
      <c r="AB2">
        <v>2019</v>
      </c>
      <c r="AC2">
        <v>2020</v>
      </c>
      <c r="AD2">
        <v>2021</v>
      </c>
      <c r="AE2">
        <v>2022</v>
      </c>
      <c r="AF2">
        <v>2023</v>
      </c>
      <c r="AG2">
        <v>2024</v>
      </c>
      <c r="AH2">
        <v>2025</v>
      </c>
      <c r="AI2">
        <v>2026</v>
      </c>
      <c r="AJ2">
        <v>2027</v>
      </c>
      <c r="AK2">
        <v>2028</v>
      </c>
      <c r="AL2">
        <v>2029</v>
      </c>
      <c r="AM2">
        <v>2030</v>
      </c>
      <c r="AN2">
        <v>2031</v>
      </c>
      <c r="AO2">
        <v>2032</v>
      </c>
      <c r="AP2">
        <v>2033</v>
      </c>
      <c r="AQ2">
        <v>2034</v>
      </c>
      <c r="AR2">
        <v>2035</v>
      </c>
    </row>
    <row r="3" spans="1:153" s="1" customFormat="1" x14ac:dyDescent="0.3">
      <c r="A3"/>
      <c r="B3" s="1" t="s">
        <v>10</v>
      </c>
      <c r="C3" s="7">
        <v>2147</v>
      </c>
      <c r="D3" s="7">
        <v>2331</v>
      </c>
      <c r="E3" s="7">
        <v>2501</v>
      </c>
      <c r="F3" s="7">
        <v>2689</v>
      </c>
      <c r="G3" s="7">
        <v>2661</v>
      </c>
      <c r="H3" s="7">
        <v>2864</v>
      </c>
      <c r="I3" s="7">
        <v>3036</v>
      </c>
      <c r="J3" s="7">
        <v>3166</v>
      </c>
      <c r="K3" s="7">
        <v>3042</v>
      </c>
      <c r="L3" s="7">
        <v>3177</v>
      </c>
      <c r="M3" s="7">
        <v>3357</v>
      </c>
      <c r="N3" s="7">
        <v>3671</v>
      </c>
      <c r="O3" s="7">
        <v>3636</v>
      </c>
      <c r="P3" s="7">
        <v>3807</v>
      </c>
      <c r="Q3" s="7">
        <v>3988</v>
      </c>
      <c r="R3" s="7">
        <v>4242</v>
      </c>
      <c r="S3" s="7">
        <v>4190</v>
      </c>
      <c r="T3" s="7">
        <v>4193</v>
      </c>
      <c r="U3" s="7">
        <v>4272</v>
      </c>
      <c r="V3" s="7">
        <f>AH3-U3-T3-S3</f>
        <v>4531</v>
      </c>
      <c r="W3" s="7">
        <v>4500</v>
      </c>
      <c r="X3" s="7">
        <f>T3*1.06</f>
        <v>4444.58</v>
      </c>
      <c r="Y3" s="7">
        <f t="shared" ref="Y3:Z3" si="0">U3*1.06</f>
        <v>4528.3200000000006</v>
      </c>
      <c r="Z3" s="7">
        <f>V3*1.05</f>
        <v>4757.55</v>
      </c>
      <c r="AD3" s="7">
        <f>SUM(C3:F3)</f>
        <v>9668</v>
      </c>
      <c r="AE3" s="7">
        <f>SUM(G3:J3)</f>
        <v>11727</v>
      </c>
      <c r="AF3" s="7">
        <f>SUM(K3:N3)</f>
        <v>13247</v>
      </c>
      <c r="AG3" s="7">
        <f>SUM(O3:R3)</f>
        <v>15673</v>
      </c>
      <c r="AH3" s="7">
        <v>17186</v>
      </c>
      <c r="AI3" s="7">
        <f>SUM(W3:Z3)</f>
        <v>18230.45</v>
      </c>
      <c r="AJ3" s="7">
        <f>AI3*1.06</f>
        <v>19324.277000000002</v>
      </c>
      <c r="AK3" s="7">
        <f>AJ3*1.05</f>
        <v>20290.490850000002</v>
      </c>
      <c r="AL3" s="7">
        <f>AK3*1.04</f>
        <v>21102.110484000004</v>
      </c>
      <c r="AM3" s="7">
        <f>AL3*1.03</f>
        <v>21735.173798520005</v>
      </c>
      <c r="AN3" s="7">
        <f t="shared" ref="AN3:AR3" si="1">AM3*1.03</f>
        <v>22387.229012475607</v>
      </c>
      <c r="AO3" s="7">
        <f t="shared" si="1"/>
        <v>23058.845882849877</v>
      </c>
      <c r="AP3" s="7">
        <f t="shared" si="1"/>
        <v>23750.611259335376</v>
      </c>
      <c r="AQ3" s="7">
        <f t="shared" si="1"/>
        <v>24463.129597115436</v>
      </c>
      <c r="AR3" s="7">
        <f t="shared" si="1"/>
        <v>25197.023485028898</v>
      </c>
    </row>
    <row r="4" spans="1:153" x14ac:dyDescent="0.3">
      <c r="B4" t="s">
        <v>14</v>
      </c>
      <c r="C4" s="2">
        <v>1599</v>
      </c>
      <c r="D4" s="2">
        <v>1668</v>
      </c>
      <c r="E4" s="2">
        <v>1833</v>
      </c>
      <c r="F4" s="2">
        <v>1977</v>
      </c>
      <c r="G4" s="2">
        <v>1990</v>
      </c>
      <c r="H4" s="2">
        <v>2160</v>
      </c>
      <c r="I4" s="2">
        <v>2286</v>
      </c>
      <c r="J4" s="2">
        <v>2365</v>
      </c>
      <c r="K4" s="2">
        <v>2276</v>
      </c>
      <c r="L4" s="2">
        <v>2411</v>
      </c>
      <c r="M4" s="2">
        <v>2472</v>
      </c>
      <c r="N4" s="2">
        <v>2691</v>
      </c>
      <c r="O4" s="2">
        <v>2632</v>
      </c>
      <c r="P4" s="2">
        <v>2695</v>
      </c>
      <c r="Q4" s="2">
        <v>2748</v>
      </c>
      <c r="R4" s="2">
        <v>2874</v>
      </c>
      <c r="S4" s="2">
        <v>2864</v>
      </c>
      <c r="T4" s="2">
        <v>2873</v>
      </c>
      <c r="U4" s="2">
        <v>2921</v>
      </c>
      <c r="V4" s="13">
        <f>AH4-U4-T4-S4</f>
        <v>3032</v>
      </c>
      <c r="W4" s="2"/>
      <c r="X4" s="2"/>
      <c r="Y4" s="2"/>
      <c r="Z4" s="2"/>
      <c r="AD4" s="2">
        <f>SUM(C4:F4)</f>
        <v>7077</v>
      </c>
      <c r="AE4" s="2">
        <f>SUM(G4:J4)</f>
        <v>8801</v>
      </c>
      <c r="AF4" s="2">
        <f>SUM(K4:N4)</f>
        <v>9850</v>
      </c>
      <c r="AG4" s="2">
        <f>SUM(O4:R4)</f>
        <v>10949</v>
      </c>
      <c r="AH4" s="2">
        <v>11690</v>
      </c>
      <c r="AI4" s="2">
        <f>AI3-AI5</f>
        <v>12214.4015</v>
      </c>
      <c r="AJ4" s="2">
        <f t="shared" ref="AJ4:AR4" si="2">AJ3-AJ5</f>
        <v>12754.022820000002</v>
      </c>
      <c r="AK4" s="2">
        <f t="shared" si="2"/>
        <v>13391.723961</v>
      </c>
      <c r="AL4" s="2">
        <f t="shared" si="2"/>
        <v>13927.392919440003</v>
      </c>
      <c r="AM4" s="2">
        <f t="shared" si="2"/>
        <v>14345.214707023202</v>
      </c>
      <c r="AN4" s="2">
        <f t="shared" si="2"/>
        <v>14775.571148233899</v>
      </c>
      <c r="AO4" s="2">
        <f t="shared" si="2"/>
        <v>15218.838282680917</v>
      </c>
      <c r="AP4" s="2">
        <f t="shared" si="2"/>
        <v>15675.403431161347</v>
      </c>
      <c r="AQ4" s="2">
        <f t="shared" si="2"/>
        <v>16145.665534096188</v>
      </c>
      <c r="AR4" s="2">
        <f t="shared" si="2"/>
        <v>16630.035500119073</v>
      </c>
    </row>
    <row r="5" spans="1:153" s="1" customFormat="1" x14ac:dyDescent="0.3">
      <c r="A5"/>
      <c r="B5" s="1" t="s">
        <v>15</v>
      </c>
      <c r="C5" s="7">
        <f t="shared" ref="C5:V5" si="3">C3-C4</f>
        <v>548</v>
      </c>
      <c r="D5" s="7">
        <f t="shared" si="3"/>
        <v>663</v>
      </c>
      <c r="E5" s="7">
        <f t="shared" si="3"/>
        <v>668</v>
      </c>
      <c r="F5" s="7">
        <f t="shared" si="3"/>
        <v>712</v>
      </c>
      <c r="G5" s="7">
        <f t="shared" si="3"/>
        <v>671</v>
      </c>
      <c r="H5" s="7">
        <f t="shared" si="3"/>
        <v>704</v>
      </c>
      <c r="I5" s="7">
        <f t="shared" si="3"/>
        <v>750</v>
      </c>
      <c r="J5" s="7">
        <f t="shared" si="3"/>
        <v>801</v>
      </c>
      <c r="K5" s="7">
        <f t="shared" si="3"/>
        <v>766</v>
      </c>
      <c r="L5" s="7">
        <f t="shared" si="3"/>
        <v>766</v>
      </c>
      <c r="M5" s="7">
        <f t="shared" si="3"/>
        <v>885</v>
      </c>
      <c r="N5" s="7">
        <f t="shared" si="3"/>
        <v>980</v>
      </c>
      <c r="O5" s="7">
        <f t="shared" si="3"/>
        <v>1004</v>
      </c>
      <c r="P5" s="7">
        <f t="shared" si="3"/>
        <v>1112</v>
      </c>
      <c r="Q5" s="7">
        <f t="shared" si="3"/>
        <v>1240</v>
      </c>
      <c r="R5" s="7">
        <f t="shared" si="3"/>
        <v>1368</v>
      </c>
      <c r="S5" s="7">
        <f t="shared" si="3"/>
        <v>1326</v>
      </c>
      <c r="T5" s="7">
        <f t="shared" si="3"/>
        <v>1320</v>
      </c>
      <c r="U5" s="7">
        <f t="shared" si="3"/>
        <v>1351</v>
      </c>
      <c r="V5" s="7">
        <f t="shared" si="3"/>
        <v>1499</v>
      </c>
      <c r="W5" s="7"/>
      <c r="X5" s="7"/>
      <c r="Y5" s="7"/>
      <c r="Z5" s="7"/>
      <c r="AD5" s="7">
        <f>AD3-AD4</f>
        <v>2591</v>
      </c>
      <c r="AE5" s="7">
        <f>AE3-AE4</f>
        <v>2926</v>
      </c>
      <c r="AF5" s="7">
        <f>AF3-AF4</f>
        <v>3397</v>
      </c>
      <c r="AG5" s="7">
        <f>AG3-AG4</f>
        <v>4724</v>
      </c>
      <c r="AH5" s="7">
        <f>AH3-AH4</f>
        <v>5496</v>
      </c>
      <c r="AI5" s="7">
        <f>AI3*0.33</f>
        <v>6016.0485000000008</v>
      </c>
      <c r="AJ5" s="7">
        <f>AJ3*0.34</f>
        <v>6570.2541800000008</v>
      </c>
      <c r="AK5" s="7">
        <f t="shared" ref="AK5:AR5" si="4">AK3*0.34</f>
        <v>6898.7668890000014</v>
      </c>
      <c r="AL5" s="7">
        <f t="shared" si="4"/>
        <v>7174.7175645600018</v>
      </c>
      <c r="AM5" s="7">
        <f t="shared" si="4"/>
        <v>7389.9590914968021</v>
      </c>
      <c r="AN5" s="7">
        <f t="shared" si="4"/>
        <v>7611.6578642417071</v>
      </c>
      <c r="AO5" s="7">
        <f t="shared" si="4"/>
        <v>7840.0076001689586</v>
      </c>
      <c r="AP5" s="7">
        <f t="shared" si="4"/>
        <v>8075.2078281740287</v>
      </c>
      <c r="AQ5" s="7">
        <f t="shared" si="4"/>
        <v>8317.464063019248</v>
      </c>
      <c r="AR5" s="7">
        <f t="shared" si="4"/>
        <v>8566.9879849098252</v>
      </c>
    </row>
    <row r="6" spans="1:153" x14ac:dyDescent="0.3">
      <c r="B6" t="s">
        <v>16</v>
      </c>
      <c r="C6" s="2">
        <v>196</v>
      </c>
      <c r="D6" s="2">
        <v>255</v>
      </c>
      <c r="E6" s="2">
        <v>208</v>
      </c>
      <c r="F6" s="2">
        <v>253</v>
      </c>
      <c r="G6" s="2">
        <v>250</v>
      </c>
      <c r="H6" s="2">
        <v>336</v>
      </c>
      <c r="I6" s="2">
        <v>386</v>
      </c>
      <c r="J6" s="2">
        <v>415</v>
      </c>
      <c r="K6" s="2">
        <v>435</v>
      </c>
      <c r="L6" s="2">
        <v>453</v>
      </c>
      <c r="M6" s="2">
        <v>369</v>
      </c>
      <c r="N6" s="2">
        <v>468</v>
      </c>
      <c r="O6" s="2">
        <v>389</v>
      </c>
      <c r="P6" s="2">
        <v>379</v>
      </c>
      <c r="Q6" s="2">
        <v>342</v>
      </c>
      <c r="R6" s="2">
        <v>376</v>
      </c>
      <c r="S6" s="2">
        <v>379</v>
      </c>
      <c r="T6" s="2">
        <v>415</v>
      </c>
      <c r="U6" s="2">
        <v>309</v>
      </c>
      <c r="V6" s="13">
        <f t="shared" ref="V6:V11" si="5">AH6-U6-T6-S6</f>
        <v>290</v>
      </c>
      <c r="W6" s="2"/>
      <c r="X6" s="2"/>
      <c r="Y6" s="2"/>
      <c r="Z6" s="2"/>
      <c r="AD6" s="2">
        <f>SUM(C6:F6)</f>
        <v>912</v>
      </c>
      <c r="AE6" s="2">
        <f>SUM(G6:J6)</f>
        <v>1387</v>
      </c>
      <c r="AF6" s="2">
        <f>SUM(K6:N6)</f>
        <v>1725</v>
      </c>
      <c r="AG6" s="2">
        <f>SUM(O6:R6)</f>
        <v>1486</v>
      </c>
      <c r="AH6" s="2">
        <v>1393</v>
      </c>
      <c r="AI6" s="2">
        <f>AH6*1.04</f>
        <v>1448.72</v>
      </c>
      <c r="AJ6" s="2">
        <f>AI6*1.03</f>
        <v>1492.1816000000001</v>
      </c>
      <c r="AK6" s="2">
        <f t="shared" ref="AK6:AR6" si="6">AJ6*1.02</f>
        <v>1522.0252320000002</v>
      </c>
      <c r="AL6" s="2">
        <f t="shared" si="6"/>
        <v>1552.4657366400002</v>
      </c>
      <c r="AM6" s="2">
        <f t="shared" si="6"/>
        <v>1583.5150513728001</v>
      </c>
      <c r="AN6" s="2">
        <f t="shared" si="6"/>
        <v>1615.1853524002561</v>
      </c>
      <c r="AO6" s="2">
        <f t="shared" si="6"/>
        <v>1647.4890594482613</v>
      </c>
      <c r="AP6" s="2">
        <f t="shared" si="6"/>
        <v>1680.4388406372266</v>
      </c>
      <c r="AQ6" s="2">
        <f t="shared" si="6"/>
        <v>1714.0476174499711</v>
      </c>
      <c r="AR6" s="2">
        <f t="shared" si="6"/>
        <v>1748.3285697989706</v>
      </c>
    </row>
    <row r="7" spans="1:153" x14ac:dyDescent="0.3">
      <c r="B7" t="s">
        <v>17</v>
      </c>
      <c r="C7" s="2">
        <v>236</v>
      </c>
      <c r="D7" s="2">
        <v>279</v>
      </c>
      <c r="E7" s="2">
        <v>280</v>
      </c>
      <c r="F7" s="2">
        <v>340</v>
      </c>
      <c r="G7" s="2">
        <v>296</v>
      </c>
      <c r="H7" s="2">
        <v>391</v>
      </c>
      <c r="I7" s="2">
        <v>432</v>
      </c>
      <c r="J7" s="2">
        <v>453</v>
      </c>
      <c r="K7" s="2">
        <v>347</v>
      </c>
      <c r="L7" s="2">
        <v>399</v>
      </c>
      <c r="M7" s="2">
        <v>355</v>
      </c>
      <c r="N7" s="2">
        <v>432</v>
      </c>
      <c r="O7" s="2">
        <v>324</v>
      </c>
      <c r="P7" s="2">
        <v>343</v>
      </c>
      <c r="Q7" s="2">
        <v>332</v>
      </c>
      <c r="R7" s="2">
        <v>393</v>
      </c>
      <c r="S7" s="2">
        <v>314</v>
      </c>
      <c r="T7" s="2">
        <v>364</v>
      </c>
      <c r="U7" s="2">
        <v>349</v>
      </c>
      <c r="V7" s="13">
        <f t="shared" si="5"/>
        <v>399</v>
      </c>
      <c r="W7" s="2"/>
      <c r="X7" s="2"/>
      <c r="Y7" s="2"/>
      <c r="Z7" s="2"/>
      <c r="AD7" s="2">
        <f>SUM(C7:F7)</f>
        <v>1135</v>
      </c>
      <c r="AE7" s="2">
        <f>SUM(G7:J7)</f>
        <v>1572</v>
      </c>
      <c r="AF7" s="2">
        <f>SUM(K7:N7)</f>
        <v>1533</v>
      </c>
      <c r="AG7" s="2">
        <f>SUM(O7:R7)</f>
        <v>1392</v>
      </c>
      <c r="AH7" s="2">
        <v>1426</v>
      </c>
      <c r="AI7" s="2">
        <f>AI3*0.08</f>
        <v>1458.4360000000001</v>
      </c>
      <c r="AJ7" s="2">
        <f t="shared" ref="AJ7:AR7" si="7">AJ3*0.08</f>
        <v>1545.9421600000003</v>
      </c>
      <c r="AK7" s="2">
        <f t="shared" si="7"/>
        <v>1623.2392680000003</v>
      </c>
      <c r="AL7" s="2">
        <f t="shared" si="7"/>
        <v>1688.1688387200004</v>
      </c>
      <c r="AM7" s="2">
        <f t="shared" si="7"/>
        <v>1738.8139038816005</v>
      </c>
      <c r="AN7" s="2">
        <f t="shared" si="7"/>
        <v>1790.9783209980487</v>
      </c>
      <c r="AO7" s="2">
        <f t="shared" si="7"/>
        <v>1844.7076706279902</v>
      </c>
      <c r="AP7" s="2">
        <f t="shared" si="7"/>
        <v>1900.04890074683</v>
      </c>
      <c r="AQ7" s="2">
        <f t="shared" si="7"/>
        <v>1957.050367769235</v>
      </c>
      <c r="AR7" s="2">
        <f t="shared" si="7"/>
        <v>2015.7618788023119</v>
      </c>
    </row>
    <row r="8" spans="1:153" x14ac:dyDescent="0.3">
      <c r="B8" t="s">
        <v>18</v>
      </c>
      <c r="C8" s="2">
        <v>102</v>
      </c>
      <c r="D8" s="2">
        <v>117</v>
      </c>
      <c r="E8" s="2">
        <v>105</v>
      </c>
      <c r="F8" s="2">
        <v>126</v>
      </c>
      <c r="G8" s="2">
        <v>131</v>
      </c>
      <c r="H8" s="2">
        <v>171</v>
      </c>
      <c r="I8" s="2">
        <v>160</v>
      </c>
      <c r="J8" s="2">
        <v>164</v>
      </c>
      <c r="K8" s="2">
        <v>140</v>
      </c>
      <c r="L8" s="2">
        <v>161</v>
      </c>
      <c r="M8" s="2">
        <v>129</v>
      </c>
      <c r="N8" s="2">
        <v>155</v>
      </c>
      <c r="O8" s="2">
        <v>123</v>
      </c>
      <c r="P8" s="2">
        <v>124</v>
      </c>
      <c r="Q8" s="2">
        <v>112</v>
      </c>
      <c r="R8" s="2">
        <v>122</v>
      </c>
      <c r="S8" s="2">
        <v>124</v>
      </c>
      <c r="T8" s="2">
        <v>135</v>
      </c>
      <c r="U8" s="2">
        <v>111</v>
      </c>
      <c r="V8" s="13">
        <f t="shared" si="5"/>
        <v>109</v>
      </c>
      <c r="W8" s="2"/>
      <c r="X8" s="2"/>
      <c r="Y8" s="2"/>
      <c r="Z8" s="2"/>
      <c r="AD8" s="2">
        <f>SUM(C8:F8)</f>
        <v>450</v>
      </c>
      <c r="AE8" s="2">
        <f>SUM(G8:J8)</f>
        <v>626</v>
      </c>
      <c r="AF8" s="2">
        <f>SUM(K8:N8)</f>
        <v>585</v>
      </c>
      <c r="AG8" s="2">
        <f>SUM(O8:R8)</f>
        <v>481</v>
      </c>
      <c r="AH8" s="2">
        <v>479</v>
      </c>
      <c r="AI8" s="2">
        <f>AH8*1.03</f>
        <v>493.37</v>
      </c>
      <c r="AJ8" s="2">
        <f>AI8*1.02</f>
        <v>503.23740000000004</v>
      </c>
      <c r="AK8" s="2">
        <f t="shared" ref="AK8:AL8" si="8">AJ8*1.02</f>
        <v>513.3021480000001</v>
      </c>
      <c r="AL8" s="2">
        <f t="shared" si="8"/>
        <v>523.56819096000015</v>
      </c>
      <c r="AM8" s="2">
        <f>AL8*1.01</f>
        <v>528.80387286960013</v>
      </c>
      <c r="AN8" s="2">
        <f t="shared" ref="AN8:AR8" si="9">AM8*1.01</f>
        <v>534.09191159829618</v>
      </c>
      <c r="AO8" s="2">
        <f t="shared" si="9"/>
        <v>539.43283071427913</v>
      </c>
      <c r="AP8" s="2">
        <f t="shared" si="9"/>
        <v>544.82715902142195</v>
      </c>
      <c r="AQ8" s="2">
        <f t="shared" si="9"/>
        <v>550.27543061163612</v>
      </c>
      <c r="AR8" s="2">
        <f t="shared" si="9"/>
        <v>555.77818491775247</v>
      </c>
    </row>
    <row r="9" spans="1:153" s="1" customFormat="1" x14ac:dyDescent="0.3">
      <c r="A9"/>
      <c r="B9" s="1" t="s">
        <v>19</v>
      </c>
      <c r="C9" s="7">
        <f t="shared" ref="C9:P9" si="10">C5-SUM(C6:C8)</f>
        <v>14</v>
      </c>
      <c r="D9" s="7">
        <f t="shared" si="10"/>
        <v>12</v>
      </c>
      <c r="E9" s="7">
        <f t="shared" si="10"/>
        <v>75</v>
      </c>
      <c r="F9" s="7">
        <f t="shared" si="10"/>
        <v>-7</v>
      </c>
      <c r="G9" s="7">
        <f t="shared" si="10"/>
        <v>-6</v>
      </c>
      <c r="H9" s="7">
        <f t="shared" si="10"/>
        <v>-194</v>
      </c>
      <c r="I9" s="7">
        <f t="shared" si="10"/>
        <v>-228</v>
      </c>
      <c r="J9" s="7">
        <f t="shared" si="10"/>
        <v>-231</v>
      </c>
      <c r="K9" s="7">
        <f t="shared" si="10"/>
        <v>-156</v>
      </c>
      <c r="L9" s="7">
        <f t="shared" si="10"/>
        <v>-247</v>
      </c>
      <c r="M9" s="7">
        <f t="shared" si="10"/>
        <v>32</v>
      </c>
      <c r="N9" s="7">
        <f t="shared" si="10"/>
        <v>-75</v>
      </c>
      <c r="O9" s="7">
        <f t="shared" si="10"/>
        <v>168</v>
      </c>
      <c r="P9" s="7">
        <f t="shared" si="10"/>
        <v>266</v>
      </c>
      <c r="Q9" s="7">
        <f t="shared" ref="Q9:V9" si="11">Q5-SUM(Q6:Q8)</f>
        <v>454</v>
      </c>
      <c r="R9" s="7">
        <f t="shared" si="11"/>
        <v>477</v>
      </c>
      <c r="S9" s="7">
        <f t="shared" si="11"/>
        <v>509</v>
      </c>
      <c r="T9" s="7">
        <f t="shared" si="11"/>
        <v>406</v>
      </c>
      <c r="U9" s="7">
        <f t="shared" si="11"/>
        <v>582</v>
      </c>
      <c r="V9" s="7">
        <f t="shared" si="11"/>
        <v>701</v>
      </c>
      <c r="W9" s="7"/>
      <c r="X9" s="7"/>
      <c r="Y9" s="7"/>
      <c r="Z9" s="7"/>
      <c r="AD9" s="7">
        <f>AD5-SUM(AD6:AD8)</f>
        <v>94</v>
      </c>
      <c r="AE9" s="7">
        <f>AE5-SUM(AE6:AE8)</f>
        <v>-659</v>
      </c>
      <c r="AF9" s="7">
        <f>AF5-SUM(AF6:AF8)</f>
        <v>-446</v>
      </c>
      <c r="AG9" s="7">
        <f>AG5-SUM(AG6:AG8)</f>
        <v>1365</v>
      </c>
      <c r="AH9" s="7">
        <f>AH5-SUM(AH6:AH8)</f>
        <v>2198</v>
      </c>
      <c r="AI9" s="7">
        <f t="shared" ref="AI9:AR9" si="12">AI5-SUM(AI6:AI8)</f>
        <v>2615.5225000000009</v>
      </c>
      <c r="AJ9" s="7">
        <f t="shared" si="12"/>
        <v>3028.8930200000004</v>
      </c>
      <c r="AK9" s="7">
        <f t="shared" si="12"/>
        <v>3240.2002410000009</v>
      </c>
      <c r="AL9" s="7">
        <f t="shared" si="12"/>
        <v>3410.5147982400008</v>
      </c>
      <c r="AM9" s="7">
        <f t="shared" si="12"/>
        <v>3538.8262633728013</v>
      </c>
      <c r="AN9" s="7">
        <f t="shared" si="12"/>
        <v>3671.402279245106</v>
      </c>
      <c r="AO9" s="7">
        <f t="shared" si="12"/>
        <v>3808.3780393784277</v>
      </c>
      <c r="AP9" s="7">
        <f t="shared" si="12"/>
        <v>3949.8929277685502</v>
      </c>
      <c r="AQ9" s="7">
        <f t="shared" si="12"/>
        <v>4096.0906471884064</v>
      </c>
      <c r="AR9" s="7">
        <f t="shared" si="12"/>
        <v>4247.1193513907901</v>
      </c>
    </row>
    <row r="10" spans="1:153" x14ac:dyDescent="0.3">
      <c r="B10" t="s">
        <v>20</v>
      </c>
      <c r="C10" s="2">
        <v>-104</v>
      </c>
      <c r="D10" s="2">
        <v>-21</v>
      </c>
      <c r="E10" s="2">
        <v>-101</v>
      </c>
      <c r="F10" s="2">
        <v>-20</v>
      </c>
      <c r="G10" s="2">
        <v>-175</v>
      </c>
      <c r="H10" s="2">
        <v>-118</v>
      </c>
      <c r="I10" s="2">
        <v>-102</v>
      </c>
      <c r="J10" s="2">
        <v>-26</v>
      </c>
      <c r="K10" s="2">
        <v>-27</v>
      </c>
      <c r="L10" s="2">
        <v>-33</v>
      </c>
      <c r="M10" s="2">
        <v>-55</v>
      </c>
      <c r="N10" s="2">
        <v>-46</v>
      </c>
      <c r="O10" s="2">
        <v>-59</v>
      </c>
      <c r="P10" s="2">
        <v>-76</v>
      </c>
      <c r="Q10" s="2">
        <v>-66</v>
      </c>
      <c r="R10" s="2">
        <v>-127</v>
      </c>
      <c r="S10" s="2">
        <v>-71</v>
      </c>
      <c r="T10" s="2">
        <v>-89</v>
      </c>
      <c r="U10" s="2">
        <v>-262</v>
      </c>
      <c r="V10" s="13">
        <v>-349</v>
      </c>
      <c r="W10" s="2"/>
      <c r="X10" s="2"/>
      <c r="Y10" s="2"/>
      <c r="Z10" s="2"/>
      <c r="AD10" s="2">
        <f>SUM(C10:F10)</f>
        <v>-246</v>
      </c>
      <c r="AE10" s="2">
        <f>SUM(G10:J10)</f>
        <v>-421</v>
      </c>
      <c r="AF10" s="2">
        <f>SUM(K10:N10)</f>
        <v>-161</v>
      </c>
      <c r="AG10" s="2">
        <f>SUM(O10:R10)</f>
        <v>-328</v>
      </c>
      <c r="AH10" s="2">
        <v>-292</v>
      </c>
      <c r="AI10" s="2">
        <f>AH10*1.03</f>
        <v>-300.76</v>
      </c>
      <c r="AJ10" s="2">
        <f t="shared" ref="AJ10:AR10" si="13">AI10*1.03</f>
        <v>-309.78280000000001</v>
      </c>
      <c r="AK10" s="2">
        <f t="shared" si="13"/>
        <v>-319.07628400000004</v>
      </c>
      <c r="AL10" s="2">
        <f t="shared" si="13"/>
        <v>-328.64857252000007</v>
      </c>
      <c r="AM10" s="2">
        <f t="shared" si="13"/>
        <v>-338.5080296956001</v>
      </c>
      <c r="AN10" s="2">
        <f t="shared" si="13"/>
        <v>-348.66327058646812</v>
      </c>
      <c r="AO10" s="2">
        <f t="shared" si="13"/>
        <v>-359.12316870406215</v>
      </c>
      <c r="AP10" s="2">
        <f t="shared" si="13"/>
        <v>-369.89686376518404</v>
      </c>
      <c r="AQ10" s="2">
        <f t="shared" si="13"/>
        <v>-380.99376967813959</v>
      </c>
      <c r="AR10" s="2">
        <f t="shared" si="13"/>
        <v>-392.42358276848381</v>
      </c>
    </row>
    <row r="11" spans="1:153" x14ac:dyDescent="0.3">
      <c r="B11" t="s">
        <v>21</v>
      </c>
      <c r="C11" s="2">
        <v>31</v>
      </c>
      <c r="D11" s="2">
        <v>25</v>
      </c>
      <c r="E11" s="2">
        <v>14</v>
      </c>
      <c r="F11" s="2">
        <v>21</v>
      </c>
      <c r="G11" s="2">
        <v>14</v>
      </c>
      <c r="H11" s="2">
        <v>14</v>
      </c>
      <c r="I11" s="2">
        <v>18</v>
      </c>
      <c r="J11" s="2">
        <v>86</v>
      </c>
      <c r="K11" s="2">
        <v>77</v>
      </c>
      <c r="L11" s="2">
        <v>27</v>
      </c>
      <c r="M11" s="2">
        <v>14</v>
      </c>
      <c r="N11" s="2">
        <v>102</v>
      </c>
      <c r="O11" s="2">
        <v>53</v>
      </c>
      <c r="P11" s="2">
        <v>72</v>
      </c>
      <c r="Q11" s="2">
        <v>122</v>
      </c>
      <c r="R11" s="2">
        <v>105</v>
      </c>
      <c r="S11" s="2">
        <v>252</v>
      </c>
      <c r="T11" s="2">
        <v>447</v>
      </c>
      <c r="U11" s="2">
        <v>17</v>
      </c>
      <c r="V11" s="13">
        <v>29</v>
      </c>
      <c r="W11" s="2"/>
      <c r="X11" s="2"/>
      <c r="Y11" s="2"/>
      <c r="Z11" s="2"/>
      <c r="AD11" s="2">
        <f>SUM(C11:F11)</f>
        <v>91</v>
      </c>
      <c r="AE11" s="2">
        <f>SUM(G11:J11)</f>
        <v>132</v>
      </c>
      <c r="AF11" s="2">
        <f>SUM(K11:N11)</f>
        <v>220</v>
      </c>
      <c r="AG11" s="2">
        <f>SUM(O11:R11)</f>
        <v>352</v>
      </c>
      <c r="AH11" s="2">
        <v>266</v>
      </c>
      <c r="AI11" s="2">
        <f t="shared" ref="AI11:AR11" si="14">AH11*1.01</f>
        <v>268.66000000000003</v>
      </c>
      <c r="AJ11" s="2">
        <f t="shared" si="14"/>
        <v>271.34660000000002</v>
      </c>
      <c r="AK11" s="2">
        <f t="shared" si="14"/>
        <v>274.06006600000001</v>
      </c>
      <c r="AL11" s="2">
        <f t="shared" si="14"/>
        <v>276.80066665999999</v>
      </c>
      <c r="AM11" s="2">
        <f t="shared" si="14"/>
        <v>279.56867332659999</v>
      </c>
      <c r="AN11" s="2">
        <f t="shared" si="14"/>
        <v>282.36436005986599</v>
      </c>
      <c r="AO11" s="2">
        <f t="shared" si="14"/>
        <v>285.18800366046463</v>
      </c>
      <c r="AP11" s="2">
        <f t="shared" si="14"/>
        <v>288.03988369706929</v>
      </c>
      <c r="AQ11" s="2">
        <f t="shared" si="14"/>
        <v>290.92028253403998</v>
      </c>
      <c r="AR11" s="2">
        <f t="shared" si="14"/>
        <v>293.82948535938039</v>
      </c>
    </row>
    <row r="12" spans="1:153" s="1" customFormat="1" x14ac:dyDescent="0.3">
      <c r="A12"/>
      <c r="B12" s="1" t="s">
        <v>22</v>
      </c>
      <c r="C12" s="7">
        <f t="shared" ref="C12:P12" si="15">C9-C10-C11</f>
        <v>87</v>
      </c>
      <c r="D12" s="7">
        <f t="shared" si="15"/>
        <v>8</v>
      </c>
      <c r="E12" s="7">
        <f t="shared" si="15"/>
        <v>162</v>
      </c>
      <c r="F12" s="7">
        <f t="shared" si="15"/>
        <v>-8</v>
      </c>
      <c r="G12" s="7">
        <f t="shared" si="15"/>
        <v>155</v>
      </c>
      <c r="H12" s="7">
        <f t="shared" si="15"/>
        <v>-90</v>
      </c>
      <c r="I12" s="7">
        <f t="shared" si="15"/>
        <v>-144</v>
      </c>
      <c r="J12" s="7">
        <f t="shared" si="15"/>
        <v>-291</v>
      </c>
      <c r="K12" s="7">
        <f t="shared" si="15"/>
        <v>-206</v>
      </c>
      <c r="L12" s="7">
        <f t="shared" si="15"/>
        <v>-241</v>
      </c>
      <c r="M12" s="7">
        <f t="shared" si="15"/>
        <v>73</v>
      </c>
      <c r="N12" s="7">
        <f t="shared" si="15"/>
        <v>-131</v>
      </c>
      <c r="O12" s="7">
        <f t="shared" si="15"/>
        <v>174</v>
      </c>
      <c r="P12" s="7">
        <f t="shared" si="15"/>
        <v>270</v>
      </c>
      <c r="Q12" s="7">
        <f t="shared" ref="Q12:V12" si="16">Q9-Q10-Q11</f>
        <v>398</v>
      </c>
      <c r="R12" s="7">
        <f t="shared" si="16"/>
        <v>499</v>
      </c>
      <c r="S12" s="7">
        <f t="shared" si="16"/>
        <v>328</v>
      </c>
      <c r="T12" s="7">
        <f t="shared" si="16"/>
        <v>48</v>
      </c>
      <c r="U12" s="7">
        <f t="shared" si="16"/>
        <v>827</v>
      </c>
      <c r="V12" s="7">
        <f t="shared" si="16"/>
        <v>1021</v>
      </c>
      <c r="W12" s="7"/>
      <c r="X12" s="7"/>
      <c r="Y12" s="7"/>
      <c r="Z12" s="7"/>
      <c r="AD12" s="7">
        <f>AD9-AD10-AD11</f>
        <v>249</v>
      </c>
      <c r="AE12" s="7">
        <f>AE9-AE10-AE11</f>
        <v>-370</v>
      </c>
      <c r="AF12" s="7">
        <f>AF9-AF10-AF11</f>
        <v>-505</v>
      </c>
      <c r="AG12" s="7">
        <f>AG9-AG10-AG11</f>
        <v>1341</v>
      </c>
      <c r="AH12" s="7">
        <f>AH9-AH10-AH11</f>
        <v>2224</v>
      </c>
      <c r="AI12" s="7">
        <f t="shared" ref="AI12:AR12" si="17">AI9-AI10-AI11</f>
        <v>2647.6225000000013</v>
      </c>
      <c r="AJ12" s="7">
        <f t="shared" si="17"/>
        <v>3067.3292200000005</v>
      </c>
      <c r="AK12" s="7">
        <f t="shared" si="17"/>
        <v>3285.2164590000011</v>
      </c>
      <c r="AL12" s="7">
        <f t="shared" si="17"/>
        <v>3462.3627041000009</v>
      </c>
      <c r="AM12" s="7">
        <f t="shared" si="17"/>
        <v>3597.7656197418019</v>
      </c>
      <c r="AN12" s="7">
        <f t="shared" si="17"/>
        <v>3737.701189771708</v>
      </c>
      <c r="AO12" s="7">
        <f t="shared" si="17"/>
        <v>3882.3132044220251</v>
      </c>
      <c r="AP12" s="7">
        <f t="shared" si="17"/>
        <v>4031.749907836665</v>
      </c>
      <c r="AQ12" s="7">
        <f t="shared" si="17"/>
        <v>4186.1641343325064</v>
      </c>
      <c r="AR12" s="7">
        <f t="shared" si="17"/>
        <v>4345.7134487998928</v>
      </c>
    </row>
    <row r="13" spans="1:153" x14ac:dyDescent="0.3">
      <c r="B13" t="s">
        <v>23</v>
      </c>
      <c r="C13" s="2">
        <v>64</v>
      </c>
      <c r="D13" s="2">
        <v>28</v>
      </c>
      <c r="E13" s="2">
        <v>160</v>
      </c>
      <c r="F13" s="2">
        <v>31</v>
      </c>
      <c r="G13" s="2">
        <v>24</v>
      </c>
      <c r="H13" s="2">
        <v>35</v>
      </c>
      <c r="I13" s="2">
        <v>22</v>
      </c>
      <c r="J13" s="2">
        <v>-21</v>
      </c>
      <c r="K13" s="2">
        <v>19</v>
      </c>
      <c r="L13" s="2">
        <v>61</v>
      </c>
      <c r="M13" s="2">
        <v>8</v>
      </c>
      <c r="N13" s="2">
        <v>-61</v>
      </c>
      <c r="O13" s="2">
        <v>-23</v>
      </c>
      <c r="P13" s="2">
        <v>-4</v>
      </c>
      <c r="Q13" s="2">
        <v>98</v>
      </c>
      <c r="R13" s="2">
        <v>132</v>
      </c>
      <c r="S13" s="2">
        <v>103</v>
      </c>
      <c r="T13" s="2">
        <v>134</v>
      </c>
      <c r="U13" s="2">
        <v>-72</v>
      </c>
      <c r="V13" s="13">
        <f>AH13-U13-T13-S13</f>
        <v>-153</v>
      </c>
      <c r="W13" s="2"/>
      <c r="X13" s="2"/>
      <c r="Y13" s="2"/>
      <c r="Z13" s="2"/>
      <c r="AD13" s="2">
        <f>SUM(C13:F13)</f>
        <v>283</v>
      </c>
      <c r="AE13" s="2">
        <f>SUM(G13:J13)</f>
        <v>60</v>
      </c>
      <c r="AF13" s="2">
        <f>SUM(K13:N13)</f>
        <v>27</v>
      </c>
      <c r="AG13" s="2">
        <f>SUM(O13:R13)</f>
        <v>203</v>
      </c>
      <c r="AH13" s="2">
        <v>12</v>
      </c>
      <c r="AI13" s="2">
        <f>AI12*0.25</f>
        <v>661.90562500000033</v>
      </c>
      <c r="AJ13" s="2">
        <f t="shared" ref="AJ13:AR13" si="18">AJ12*0.25</f>
        <v>766.83230500000013</v>
      </c>
      <c r="AK13" s="2">
        <f t="shared" si="18"/>
        <v>821.30411475000028</v>
      </c>
      <c r="AL13" s="2">
        <f t="shared" si="18"/>
        <v>865.59067602500022</v>
      </c>
      <c r="AM13" s="2">
        <f t="shared" si="18"/>
        <v>899.44140493545046</v>
      </c>
      <c r="AN13" s="2">
        <f t="shared" si="18"/>
        <v>934.42529744292699</v>
      </c>
      <c r="AO13" s="2">
        <f t="shared" si="18"/>
        <v>970.57830110550628</v>
      </c>
      <c r="AP13" s="2">
        <f t="shared" si="18"/>
        <v>1007.9374769591662</v>
      </c>
      <c r="AQ13" s="2">
        <f t="shared" si="18"/>
        <v>1046.5410335831266</v>
      </c>
      <c r="AR13" s="2">
        <f t="shared" si="18"/>
        <v>1086.4283621999732</v>
      </c>
    </row>
    <row r="14" spans="1:153" s="1" customFormat="1" x14ac:dyDescent="0.3">
      <c r="A14"/>
      <c r="B14" s="1" t="s">
        <v>24</v>
      </c>
      <c r="C14" s="7">
        <f t="shared" ref="C14:P14" si="19">C12-C13</f>
        <v>23</v>
      </c>
      <c r="D14" s="7">
        <f t="shared" si="19"/>
        <v>-20</v>
      </c>
      <c r="E14" s="7">
        <f t="shared" si="19"/>
        <v>2</v>
      </c>
      <c r="F14" s="7">
        <f t="shared" si="19"/>
        <v>-39</v>
      </c>
      <c r="G14" s="7">
        <f t="shared" si="19"/>
        <v>131</v>
      </c>
      <c r="H14" s="7">
        <f t="shared" si="19"/>
        <v>-125</v>
      </c>
      <c r="I14" s="7">
        <f t="shared" si="19"/>
        <v>-166</v>
      </c>
      <c r="J14" s="7">
        <f t="shared" si="19"/>
        <v>-270</v>
      </c>
      <c r="K14" s="7">
        <f t="shared" si="19"/>
        <v>-225</v>
      </c>
      <c r="L14" s="7">
        <f t="shared" si="19"/>
        <v>-302</v>
      </c>
      <c r="M14" s="7">
        <f t="shared" si="19"/>
        <v>65</v>
      </c>
      <c r="N14" s="7">
        <f t="shared" si="19"/>
        <v>-70</v>
      </c>
      <c r="O14" s="7">
        <f t="shared" si="19"/>
        <v>197</v>
      </c>
      <c r="P14" s="7">
        <f t="shared" si="19"/>
        <v>274</v>
      </c>
      <c r="Q14" s="7">
        <f t="shared" ref="Q14:R14" si="20">Q12-Q13</f>
        <v>300</v>
      </c>
      <c r="R14" s="7">
        <f t="shared" si="20"/>
        <v>367</v>
      </c>
      <c r="S14" s="7">
        <f t="shared" ref="S14:V14" si="21">S12-S13</f>
        <v>225</v>
      </c>
      <c r="T14" s="7">
        <f t="shared" si="21"/>
        <v>-86</v>
      </c>
      <c r="U14" s="7">
        <f t="shared" si="21"/>
        <v>899</v>
      </c>
      <c r="V14" s="7">
        <f t="shared" si="21"/>
        <v>1174</v>
      </c>
      <c r="W14" s="7"/>
      <c r="X14" s="7"/>
      <c r="Y14" s="7"/>
      <c r="Z14" s="7"/>
      <c r="AD14" s="7">
        <f>AD12-AD13</f>
        <v>-34</v>
      </c>
      <c r="AE14" s="7">
        <f>AE12-AE13</f>
        <v>-430</v>
      </c>
      <c r="AF14" s="7">
        <f>AF12-AF13</f>
        <v>-532</v>
      </c>
      <c r="AG14" s="7">
        <f>AG12-AG13</f>
        <v>1138</v>
      </c>
      <c r="AH14" s="7">
        <f>AH12-AH13</f>
        <v>2212</v>
      </c>
      <c r="AI14" s="7">
        <f t="shared" ref="AI14:AR14" si="22">AI12-AI13</f>
        <v>1985.716875000001</v>
      </c>
      <c r="AJ14" s="7">
        <f t="shared" si="22"/>
        <v>2300.4969150000006</v>
      </c>
      <c r="AK14" s="7">
        <f t="shared" si="22"/>
        <v>2463.9123442500008</v>
      </c>
      <c r="AL14" s="7">
        <f t="shared" si="22"/>
        <v>2596.7720280750009</v>
      </c>
      <c r="AM14" s="7">
        <f t="shared" si="22"/>
        <v>2698.3242148063514</v>
      </c>
      <c r="AN14" s="7">
        <f t="shared" si="22"/>
        <v>2803.2758923287811</v>
      </c>
      <c r="AO14" s="7">
        <f t="shared" si="22"/>
        <v>2911.7349033165187</v>
      </c>
      <c r="AP14" s="7">
        <f t="shared" si="22"/>
        <v>3023.8124308774986</v>
      </c>
      <c r="AQ14" s="7">
        <f t="shared" si="22"/>
        <v>3139.6231007493798</v>
      </c>
      <c r="AR14" s="7">
        <f t="shared" si="22"/>
        <v>3259.2850865999199</v>
      </c>
      <c r="AS14" s="1">
        <f>AR14*(1+$AU$19)</f>
        <v>3226.6922357339208</v>
      </c>
      <c r="AT14" s="1">
        <f t="shared" ref="AT14:DE14" si="23">AS14*(1+$AU$19)</f>
        <v>3194.4253133765815</v>
      </c>
      <c r="AU14" s="1">
        <f t="shared" si="23"/>
        <v>3162.4810602428156</v>
      </c>
      <c r="AV14" s="1">
        <f t="shared" si="23"/>
        <v>3130.8562496403874</v>
      </c>
      <c r="AW14" s="1">
        <f t="shared" si="23"/>
        <v>3099.5476871439837</v>
      </c>
      <c r="AX14" s="1">
        <f t="shared" si="23"/>
        <v>3068.552210272544</v>
      </c>
      <c r="AY14" s="1">
        <f t="shared" si="23"/>
        <v>3037.8666881698186</v>
      </c>
      <c r="AZ14" s="1">
        <f t="shared" si="23"/>
        <v>3007.4880212881203</v>
      </c>
      <c r="BA14" s="1">
        <f t="shared" si="23"/>
        <v>2977.4131410752389</v>
      </c>
      <c r="BB14" s="1">
        <f t="shared" si="23"/>
        <v>2947.6390096644864</v>
      </c>
      <c r="BC14" s="1">
        <f t="shared" si="23"/>
        <v>2918.1626195678414</v>
      </c>
      <c r="BD14" s="1">
        <f t="shared" si="23"/>
        <v>2888.9809933721631</v>
      </c>
      <c r="BE14" s="1">
        <f t="shared" si="23"/>
        <v>2860.0911834384415</v>
      </c>
      <c r="BF14" s="1">
        <f t="shared" si="23"/>
        <v>2831.4902716040569</v>
      </c>
      <c r="BG14" s="1">
        <f t="shared" si="23"/>
        <v>2803.1753688880162</v>
      </c>
      <c r="BH14" s="1">
        <f t="shared" si="23"/>
        <v>2775.1436151991361</v>
      </c>
      <c r="BI14" s="1">
        <f t="shared" si="23"/>
        <v>2747.3921790471445</v>
      </c>
      <c r="BJ14" s="1">
        <f t="shared" si="23"/>
        <v>2719.9182572566729</v>
      </c>
      <c r="BK14" s="1">
        <f t="shared" si="23"/>
        <v>2692.7190746841061</v>
      </c>
      <c r="BL14" s="1">
        <f t="shared" si="23"/>
        <v>2665.7918839372651</v>
      </c>
      <c r="BM14" s="1">
        <f t="shared" si="23"/>
        <v>2639.1339650978925</v>
      </c>
      <c r="BN14" s="1">
        <f t="shared" si="23"/>
        <v>2612.7426254469137</v>
      </c>
      <c r="BO14" s="1">
        <f t="shared" si="23"/>
        <v>2586.6151991924444</v>
      </c>
      <c r="BP14" s="1">
        <f t="shared" si="23"/>
        <v>2560.7490472005197</v>
      </c>
      <c r="BQ14" s="1">
        <f t="shared" si="23"/>
        <v>2535.1415567285144</v>
      </c>
      <c r="BR14" s="1">
        <f t="shared" si="23"/>
        <v>2509.7901411612293</v>
      </c>
      <c r="BS14" s="1">
        <f t="shared" si="23"/>
        <v>2484.6922397496169</v>
      </c>
      <c r="BT14" s="1">
        <f t="shared" si="23"/>
        <v>2459.8453173521207</v>
      </c>
      <c r="BU14" s="1">
        <f t="shared" si="23"/>
        <v>2435.2468641785995</v>
      </c>
      <c r="BV14" s="1">
        <f t="shared" si="23"/>
        <v>2410.8943955368136</v>
      </c>
      <c r="BW14" s="1">
        <f t="shared" si="23"/>
        <v>2386.7854515814456</v>
      </c>
      <c r="BX14" s="1">
        <f t="shared" si="23"/>
        <v>2362.9175970656311</v>
      </c>
      <c r="BY14" s="1">
        <f t="shared" si="23"/>
        <v>2339.2884210949746</v>
      </c>
      <c r="BZ14" s="1">
        <f t="shared" si="23"/>
        <v>2315.8955368840248</v>
      </c>
      <c r="CA14" s="1">
        <f t="shared" si="23"/>
        <v>2292.7365815151843</v>
      </c>
      <c r="CB14" s="1">
        <f t="shared" si="23"/>
        <v>2269.8092157000324</v>
      </c>
      <c r="CC14" s="1">
        <f t="shared" si="23"/>
        <v>2247.1111235430321</v>
      </c>
      <c r="CD14" s="1">
        <f t="shared" si="23"/>
        <v>2224.6400123076019</v>
      </c>
      <c r="CE14" s="1">
        <f t="shared" si="23"/>
        <v>2202.3936121845259</v>
      </c>
      <c r="CF14" s="1">
        <f t="shared" si="23"/>
        <v>2180.3696760626808</v>
      </c>
      <c r="CG14" s="1">
        <f t="shared" si="23"/>
        <v>2158.5659793020541</v>
      </c>
      <c r="CH14" s="1">
        <f t="shared" si="23"/>
        <v>2136.9803195090335</v>
      </c>
      <c r="CI14" s="1">
        <f t="shared" si="23"/>
        <v>2115.6105163139432</v>
      </c>
      <c r="CJ14" s="1">
        <f t="shared" si="23"/>
        <v>2094.4544111508039</v>
      </c>
      <c r="CK14" s="1">
        <f t="shared" si="23"/>
        <v>2073.5098670392958</v>
      </c>
      <c r="CL14" s="1">
        <f t="shared" si="23"/>
        <v>2052.7747683689026</v>
      </c>
      <c r="CM14" s="1">
        <f t="shared" si="23"/>
        <v>2032.2470206852136</v>
      </c>
      <c r="CN14" s="1">
        <f t="shared" si="23"/>
        <v>2011.9245504783614</v>
      </c>
      <c r="CO14" s="1">
        <f t="shared" si="23"/>
        <v>1991.8053049735779</v>
      </c>
      <c r="CP14" s="1">
        <f t="shared" si="23"/>
        <v>1971.8872519238421</v>
      </c>
      <c r="CQ14" s="1">
        <f t="shared" si="23"/>
        <v>1952.1683794046037</v>
      </c>
      <c r="CR14" s="1">
        <f t="shared" si="23"/>
        <v>1932.6466956105576</v>
      </c>
      <c r="CS14" s="1">
        <f t="shared" si="23"/>
        <v>1913.320228654452</v>
      </c>
      <c r="CT14" s="1">
        <f t="shared" si="23"/>
        <v>1894.1870263679075</v>
      </c>
      <c r="CU14" s="1">
        <f t="shared" si="23"/>
        <v>1875.2451561042285</v>
      </c>
      <c r="CV14" s="1">
        <f t="shared" si="23"/>
        <v>1856.4927045431862</v>
      </c>
      <c r="CW14" s="1">
        <f t="shared" si="23"/>
        <v>1837.9277774977543</v>
      </c>
      <c r="CX14" s="1">
        <f t="shared" si="23"/>
        <v>1819.5484997227768</v>
      </c>
      <c r="CY14" s="1">
        <f t="shared" si="23"/>
        <v>1801.353014725549</v>
      </c>
      <c r="CZ14" s="1">
        <f t="shared" si="23"/>
        <v>1783.3394845782934</v>
      </c>
      <c r="DA14" s="1">
        <f t="shared" si="23"/>
        <v>1765.5060897325104</v>
      </c>
      <c r="DB14" s="1">
        <f t="shared" si="23"/>
        <v>1747.8510288351854</v>
      </c>
      <c r="DC14" s="1">
        <f t="shared" si="23"/>
        <v>1730.3725185468336</v>
      </c>
      <c r="DD14" s="1">
        <f t="shared" si="23"/>
        <v>1713.0687933613654</v>
      </c>
      <c r="DE14" s="1">
        <f t="shared" si="23"/>
        <v>1695.9381054277517</v>
      </c>
      <c r="DF14" s="1">
        <f t="shared" ref="DF14:EW14" si="24">DE14*(1+$AU$19)</f>
        <v>1678.9787243734741</v>
      </c>
      <c r="DG14" s="1">
        <f t="shared" si="24"/>
        <v>1662.1889371297393</v>
      </c>
      <c r="DH14" s="1">
        <f t="shared" si="24"/>
        <v>1645.567047758442</v>
      </c>
      <c r="DI14" s="1">
        <f t="shared" si="24"/>
        <v>1629.1113772808576</v>
      </c>
      <c r="DJ14" s="1">
        <f t="shared" si="24"/>
        <v>1612.820263508049</v>
      </c>
      <c r="DK14" s="1">
        <f t="shared" si="24"/>
        <v>1596.6920608729686</v>
      </c>
      <c r="DL14" s="1">
        <f t="shared" si="24"/>
        <v>1580.7251402642389</v>
      </c>
      <c r="DM14" s="1">
        <f t="shared" si="24"/>
        <v>1564.9178888615966</v>
      </c>
      <c r="DN14" s="1">
        <f t="shared" si="24"/>
        <v>1549.2687099729806</v>
      </c>
      <c r="DO14" s="1">
        <f t="shared" si="24"/>
        <v>1533.7760228732507</v>
      </c>
      <c r="DP14" s="1">
        <f t="shared" si="24"/>
        <v>1518.4382626445181</v>
      </c>
      <c r="DQ14" s="1">
        <f t="shared" si="24"/>
        <v>1503.253880018073</v>
      </c>
      <c r="DR14" s="1">
        <f t="shared" si="24"/>
        <v>1488.2213412178924</v>
      </c>
      <c r="DS14" s="1">
        <f t="shared" si="24"/>
        <v>1473.3391278057134</v>
      </c>
      <c r="DT14" s="1">
        <f t="shared" si="24"/>
        <v>1458.6057365276563</v>
      </c>
      <c r="DU14" s="1">
        <f t="shared" si="24"/>
        <v>1444.0196791623798</v>
      </c>
      <c r="DV14" s="1">
        <f t="shared" si="24"/>
        <v>1429.5794823707561</v>
      </c>
      <c r="DW14" s="1">
        <f t="shared" si="24"/>
        <v>1415.2836875470484</v>
      </c>
      <c r="DX14" s="1">
        <f t="shared" si="24"/>
        <v>1401.1308506715779</v>
      </c>
      <c r="DY14" s="1">
        <f t="shared" si="24"/>
        <v>1387.1195421648622</v>
      </c>
      <c r="DZ14" s="1">
        <f t="shared" si="24"/>
        <v>1373.2483467432135</v>
      </c>
      <c r="EA14" s="1">
        <f t="shared" si="24"/>
        <v>1359.5158632757814</v>
      </c>
      <c r="EB14" s="1">
        <f t="shared" si="24"/>
        <v>1345.9207046430236</v>
      </c>
      <c r="EC14" s="1">
        <f t="shared" si="24"/>
        <v>1332.4614975965933</v>
      </c>
      <c r="ED14" s="1">
        <f t="shared" si="24"/>
        <v>1319.1368826206274</v>
      </c>
      <c r="EE14" s="1">
        <f t="shared" si="24"/>
        <v>1305.945513794421</v>
      </c>
      <c r="EF14" s="1">
        <f t="shared" si="24"/>
        <v>1292.8860586564767</v>
      </c>
      <c r="EG14" s="1">
        <f t="shared" si="24"/>
        <v>1279.957198069912</v>
      </c>
      <c r="EH14" s="1">
        <f t="shared" si="24"/>
        <v>1267.157626089213</v>
      </c>
      <c r="EI14" s="1">
        <f t="shared" si="24"/>
        <v>1254.4860498283208</v>
      </c>
      <c r="EJ14" s="1">
        <f t="shared" si="24"/>
        <v>1241.9411893300376</v>
      </c>
      <c r="EK14" s="1">
        <f t="shared" si="24"/>
        <v>1229.5217774367372</v>
      </c>
      <c r="EL14" s="1">
        <f t="shared" si="24"/>
        <v>1217.2265596623699</v>
      </c>
      <c r="EM14" s="1">
        <f t="shared" si="24"/>
        <v>1205.0542940657463</v>
      </c>
      <c r="EN14" s="1">
        <f t="shared" si="24"/>
        <v>1193.0037511250887</v>
      </c>
      <c r="EO14" s="1">
        <f t="shared" si="24"/>
        <v>1181.0737136138378</v>
      </c>
      <c r="EP14" s="1">
        <f t="shared" si="24"/>
        <v>1169.2629764776993</v>
      </c>
      <c r="EQ14" s="1">
        <f t="shared" si="24"/>
        <v>1157.5703467129224</v>
      </c>
      <c r="ER14" s="1">
        <f t="shared" si="24"/>
        <v>1145.9946432457932</v>
      </c>
      <c r="ES14" s="1">
        <f t="shared" si="24"/>
        <v>1134.5346968133354</v>
      </c>
      <c r="ET14" s="1">
        <f t="shared" si="24"/>
        <v>1123.1893498452021</v>
      </c>
      <c r="EU14" s="1">
        <f t="shared" si="24"/>
        <v>1111.95745634675</v>
      </c>
      <c r="EV14" s="1">
        <f t="shared" si="24"/>
        <v>1100.8378817832825</v>
      </c>
      <c r="EW14" s="1">
        <f t="shared" si="24"/>
        <v>1089.8295029654496</v>
      </c>
    </row>
    <row r="15" spans="1:153" x14ac:dyDescent="0.3">
      <c r="B15" t="s">
        <v>2</v>
      </c>
      <c r="C15" s="2">
        <v>192.9</v>
      </c>
      <c r="D15" s="2">
        <v>192.9</v>
      </c>
      <c r="E15" s="2">
        <v>192.9</v>
      </c>
      <c r="F15" s="2">
        <v>192.9</v>
      </c>
      <c r="G15" s="2">
        <v>192.9</v>
      </c>
      <c r="H15" s="2">
        <v>192.9</v>
      </c>
      <c r="I15" s="2">
        <v>193.1</v>
      </c>
      <c r="J15" s="2">
        <v>193.2</v>
      </c>
      <c r="K15" s="2">
        <v>193.6</v>
      </c>
      <c r="L15" s="2">
        <v>194.4</v>
      </c>
      <c r="M15" s="2">
        <v>194.4</v>
      </c>
      <c r="N15" s="2">
        <v>196</v>
      </c>
      <c r="O15" s="2">
        <v>198</v>
      </c>
      <c r="P15" s="2">
        <v>200</v>
      </c>
      <c r="Q15" s="2">
        <v>201.6</v>
      </c>
      <c r="R15" s="2">
        <f>203.8</f>
        <v>203.8</v>
      </c>
      <c r="S15" s="2">
        <v>204.5</v>
      </c>
      <c r="T15" s="2">
        <v>205.4</v>
      </c>
      <c r="U15" s="2">
        <f>206</f>
        <v>206</v>
      </c>
      <c r="V15" s="2">
        <f>205.8</f>
        <v>205.8</v>
      </c>
      <c r="W15" s="2"/>
      <c r="X15" s="2"/>
      <c r="Y15" s="2"/>
      <c r="Z15" s="2"/>
      <c r="AD15" s="2">
        <v>200</v>
      </c>
      <c r="AE15" s="2">
        <v>193.2</v>
      </c>
      <c r="AF15" s="2">
        <v>196</v>
      </c>
      <c r="AG15" s="2">
        <f>203.8</f>
        <v>203.8</v>
      </c>
      <c r="AH15" s="2">
        <f>205.8</f>
        <v>205.8</v>
      </c>
      <c r="AI15" s="2">
        <f>205.8</f>
        <v>205.8</v>
      </c>
      <c r="AJ15" s="2">
        <f>205.8</f>
        <v>205.8</v>
      </c>
      <c r="AK15" s="2">
        <f>205.8</f>
        <v>205.8</v>
      </c>
      <c r="AL15" s="2">
        <f>205.8</f>
        <v>205.8</v>
      </c>
      <c r="AM15" s="2">
        <f>205.8</f>
        <v>205.8</v>
      </c>
      <c r="AN15" s="2">
        <f>205.8</f>
        <v>205.8</v>
      </c>
      <c r="AO15" s="2">
        <f>205.8</f>
        <v>205.8</v>
      </c>
      <c r="AP15" s="2">
        <f>205.8</f>
        <v>205.8</v>
      </c>
      <c r="AQ15" s="2">
        <f>205.8</f>
        <v>205.8</v>
      </c>
      <c r="AR15" s="2">
        <f>205.8</f>
        <v>205.8</v>
      </c>
    </row>
    <row r="16" spans="1:153" x14ac:dyDescent="0.3">
      <c r="B16" t="s">
        <v>25</v>
      </c>
      <c r="C16" s="8">
        <f t="shared" ref="C16:P16" si="25">C14/C15</f>
        <v>0.11923276308968377</v>
      </c>
      <c r="D16" s="8">
        <f t="shared" si="25"/>
        <v>-0.10368066355624676</v>
      </c>
      <c r="E16" s="8">
        <f t="shared" si="25"/>
        <v>1.0368066355624676E-2</v>
      </c>
      <c r="F16" s="8">
        <f t="shared" si="25"/>
        <v>-0.20217729393468117</v>
      </c>
      <c r="G16" s="8">
        <f t="shared" si="25"/>
        <v>0.67910834629341621</v>
      </c>
      <c r="H16" s="8">
        <f t="shared" si="25"/>
        <v>-0.6480041472265422</v>
      </c>
      <c r="I16" s="8">
        <f t="shared" si="25"/>
        <v>-0.859658208182289</v>
      </c>
      <c r="J16" s="8">
        <f t="shared" si="25"/>
        <v>-1.3975155279503106</v>
      </c>
      <c r="K16" s="8">
        <f t="shared" si="25"/>
        <v>-1.1621900826446281</v>
      </c>
      <c r="L16" s="8">
        <f t="shared" si="25"/>
        <v>-1.5534979423868311</v>
      </c>
      <c r="M16" s="8">
        <f t="shared" si="25"/>
        <v>0.33436213991769548</v>
      </c>
      <c r="N16" s="8">
        <f t="shared" si="25"/>
        <v>-0.35714285714285715</v>
      </c>
      <c r="O16" s="8">
        <f t="shared" si="25"/>
        <v>0.99494949494949492</v>
      </c>
      <c r="P16" s="8">
        <f t="shared" si="25"/>
        <v>1.37</v>
      </c>
      <c r="Q16" s="8">
        <f t="shared" ref="Q16:R16" si="26">Q14/Q15</f>
        <v>1.4880952380952381</v>
      </c>
      <c r="R16" s="8">
        <f t="shared" si="26"/>
        <v>1.8007850834151127</v>
      </c>
      <c r="S16" s="8">
        <f t="shared" ref="S16:V16" si="27">S14/S15</f>
        <v>1.1002444987775062</v>
      </c>
      <c r="T16" s="8">
        <f t="shared" si="27"/>
        <v>-0.41869522882181109</v>
      </c>
      <c r="U16" s="8">
        <f t="shared" si="27"/>
        <v>4.3640776699029127</v>
      </c>
      <c r="V16" s="8">
        <f t="shared" si="27"/>
        <v>5.704567541302235</v>
      </c>
      <c r="W16" s="8"/>
      <c r="X16" s="8"/>
      <c r="Y16" s="8"/>
      <c r="Z16" s="8"/>
      <c r="AD16" s="8">
        <f>AD14/AD15</f>
        <v>-0.17</v>
      </c>
      <c r="AE16" s="8">
        <f>AE14/AE15</f>
        <v>-2.2256728778467911</v>
      </c>
      <c r="AF16" s="8">
        <f>AF14/AF15</f>
        <v>-2.7142857142857144</v>
      </c>
      <c r="AG16" s="8">
        <f>AG14/AG15</f>
        <v>5.5839057899901858</v>
      </c>
      <c r="AH16" s="8">
        <f>AH14/AH15</f>
        <v>10.74829931972789</v>
      </c>
      <c r="AI16" s="8">
        <f t="shared" ref="AI16:AR16" si="28">AI14/AI15</f>
        <v>9.6487700437317834</v>
      </c>
      <c r="AJ16" s="8">
        <f t="shared" si="28"/>
        <v>11.178313483965017</v>
      </c>
      <c r="AK16" s="8">
        <f t="shared" si="28"/>
        <v>11.972363188775514</v>
      </c>
      <c r="AL16" s="8">
        <f t="shared" si="28"/>
        <v>12.617939883746359</v>
      </c>
      <c r="AM16" s="8">
        <f t="shared" si="28"/>
        <v>13.111390742499276</v>
      </c>
      <c r="AN16" s="8">
        <f t="shared" si="28"/>
        <v>13.621360021033921</v>
      </c>
      <c r="AO16" s="8">
        <f t="shared" si="28"/>
        <v>14.148371736231869</v>
      </c>
      <c r="AP16" s="8">
        <f t="shared" si="28"/>
        <v>14.692966136430993</v>
      </c>
      <c r="AQ16" s="8">
        <f t="shared" si="28"/>
        <v>15.25570019800476</v>
      </c>
      <c r="AR16" s="8">
        <f t="shared" si="28"/>
        <v>15.837148137025849</v>
      </c>
    </row>
    <row r="18" spans="2:47" x14ac:dyDescent="0.3">
      <c r="B18" t="s">
        <v>42</v>
      </c>
      <c r="C18" s="9"/>
      <c r="D18" s="9"/>
      <c r="E18" s="9"/>
      <c r="F18" s="9"/>
      <c r="G18" s="9">
        <f t="shared" ref="G18:O18" si="29">G3/C3-1</f>
        <v>0.23940381928272014</v>
      </c>
      <c r="H18" s="9">
        <f t="shared" si="29"/>
        <v>0.2286572286572286</v>
      </c>
      <c r="I18" s="9">
        <f t="shared" si="29"/>
        <v>0.21391443422630951</v>
      </c>
      <c r="J18" s="9">
        <f t="shared" si="29"/>
        <v>0.17738936407586459</v>
      </c>
      <c r="K18" s="9">
        <f t="shared" si="29"/>
        <v>0.14317925591882741</v>
      </c>
      <c r="L18" s="9">
        <f t="shared" si="29"/>
        <v>0.10928770949720668</v>
      </c>
      <c r="M18" s="9">
        <f t="shared" si="29"/>
        <v>0.10573122529644263</v>
      </c>
      <c r="N18" s="9">
        <f t="shared" si="29"/>
        <v>0.15950726468730259</v>
      </c>
      <c r="O18" s="9">
        <f t="shared" si="29"/>
        <v>0.19526627218934922</v>
      </c>
      <c r="P18" s="9">
        <f>P3/L3-1</f>
        <v>0.19830028328611893</v>
      </c>
      <c r="Q18" s="9">
        <f t="shared" ref="Q18:R18" si="30">Q3/M3-1</f>
        <v>0.18796544533809945</v>
      </c>
      <c r="R18" s="9">
        <f t="shared" si="30"/>
        <v>0.15554344865159364</v>
      </c>
      <c r="S18" s="9">
        <f t="shared" ref="S18" si="31">S3/O3-1</f>
        <v>0.1523652365236523</v>
      </c>
      <c r="T18" s="9">
        <f t="shared" ref="T18" si="32">T3/P3-1</f>
        <v>0.1013921723141582</v>
      </c>
      <c r="U18" s="9">
        <f t="shared" ref="U18" si="33">U3/Q3-1</f>
        <v>7.1213640922768384E-2</v>
      </c>
      <c r="V18" s="9">
        <f t="shared" ref="V18" si="34">V3/R3-1</f>
        <v>6.8128241395568168E-2</v>
      </c>
      <c r="W18" s="9">
        <f t="shared" ref="W18" si="35">W3/S3-1</f>
        <v>7.398568019093088E-2</v>
      </c>
      <c r="X18" s="9">
        <f t="shared" ref="X18" si="36">X3/T3-1</f>
        <v>6.0000000000000053E-2</v>
      </c>
      <c r="Y18" s="9">
        <f t="shared" ref="Y18" si="37">Y3/U3-1</f>
        <v>6.0000000000000053E-2</v>
      </c>
      <c r="Z18" s="9">
        <f t="shared" ref="Z18" si="38">Z3/V3-1</f>
        <v>5.0000000000000044E-2</v>
      </c>
      <c r="AB18" s="9"/>
      <c r="AC18" s="9" t="e">
        <f>AC3/AB3-1</f>
        <v>#DIV/0!</v>
      </c>
      <c r="AD18" s="9" t="e">
        <f t="shared" ref="AD18:AR18" si="39">AD3/AC3-1</f>
        <v>#DIV/0!</v>
      </c>
      <c r="AE18" s="9">
        <f t="shared" si="39"/>
        <v>0.21297062474141493</v>
      </c>
      <c r="AF18" s="9">
        <f t="shared" si="39"/>
        <v>0.12961541741280813</v>
      </c>
      <c r="AG18" s="9">
        <f t="shared" si="39"/>
        <v>0.18313580433305665</v>
      </c>
      <c r="AH18" s="9">
        <f t="shared" si="39"/>
        <v>9.6535443118739295E-2</v>
      </c>
      <c r="AI18" s="9">
        <f t="shared" si="39"/>
        <v>6.077330385197266E-2</v>
      </c>
      <c r="AJ18" s="9">
        <f t="shared" si="39"/>
        <v>6.0000000000000053E-2</v>
      </c>
      <c r="AK18" s="9">
        <f t="shared" si="39"/>
        <v>5.0000000000000044E-2</v>
      </c>
      <c r="AL18" s="9">
        <f t="shared" si="39"/>
        <v>4.0000000000000036E-2</v>
      </c>
      <c r="AM18" s="9">
        <f t="shared" si="39"/>
        <v>3.0000000000000027E-2</v>
      </c>
      <c r="AN18" s="9">
        <f t="shared" si="39"/>
        <v>3.0000000000000027E-2</v>
      </c>
      <c r="AO18" s="9">
        <f t="shared" si="39"/>
        <v>3.0000000000000027E-2</v>
      </c>
      <c r="AP18" s="9">
        <f t="shared" si="39"/>
        <v>3.0000000000000027E-2</v>
      </c>
      <c r="AQ18" s="9">
        <f t="shared" si="39"/>
        <v>3.0000000000000027E-2</v>
      </c>
      <c r="AR18" s="9">
        <f t="shared" si="39"/>
        <v>3.0000000000000027E-2</v>
      </c>
    </row>
    <row r="19" spans="2:47" x14ac:dyDescent="0.3">
      <c r="B19" t="s">
        <v>43</v>
      </c>
      <c r="C19" s="9">
        <f t="shared" ref="C19:O19" si="40">C5/C3</f>
        <v>0.25523986958546807</v>
      </c>
      <c r="D19" s="9">
        <f t="shared" si="40"/>
        <v>0.28442728442728443</v>
      </c>
      <c r="E19" s="9">
        <f t="shared" si="40"/>
        <v>0.26709316273490602</v>
      </c>
      <c r="F19" s="9">
        <f t="shared" si="40"/>
        <v>0.26478244700632203</v>
      </c>
      <c r="G19" s="9">
        <f t="shared" si="40"/>
        <v>0.25216084178880122</v>
      </c>
      <c r="H19" s="9">
        <f t="shared" si="40"/>
        <v>0.24581005586592178</v>
      </c>
      <c r="I19" s="9">
        <f t="shared" si="40"/>
        <v>0.24703557312252963</v>
      </c>
      <c r="J19" s="9">
        <f t="shared" si="40"/>
        <v>0.25300063171193937</v>
      </c>
      <c r="K19" s="9">
        <f t="shared" si="40"/>
        <v>0.2518080210387903</v>
      </c>
      <c r="L19" s="9">
        <f t="shared" si="40"/>
        <v>0.24110796348756688</v>
      </c>
      <c r="M19" s="9">
        <f t="shared" si="40"/>
        <v>0.26362823949955316</v>
      </c>
      <c r="N19" s="9">
        <f t="shared" si="40"/>
        <v>0.26695723236175428</v>
      </c>
      <c r="O19" s="9">
        <f t="shared" si="40"/>
        <v>0.27612761276127612</v>
      </c>
      <c r="P19" s="9">
        <f>P5/P3</f>
        <v>0.29209351195166799</v>
      </c>
      <c r="Q19" s="9">
        <f t="shared" ref="Q19:R19" si="41">Q5/Q3</f>
        <v>0.31093279839518556</v>
      </c>
      <c r="R19" s="9">
        <f t="shared" si="41"/>
        <v>0.32248939179632247</v>
      </c>
      <c r="S19" s="9">
        <f t="shared" ref="S19:V19" si="42">S5/S3</f>
        <v>0.31646778042959428</v>
      </c>
      <c r="T19" s="9">
        <f t="shared" si="42"/>
        <v>0.3148103982828524</v>
      </c>
      <c r="U19" s="9">
        <f t="shared" si="42"/>
        <v>0.31624531835205993</v>
      </c>
      <c r="V19" s="9">
        <f t="shared" si="42"/>
        <v>0.33083204590598103</v>
      </c>
      <c r="W19" s="9">
        <f t="shared" ref="W19:Z19" si="43">W5/W3</f>
        <v>0</v>
      </c>
      <c r="X19" s="9">
        <f t="shared" si="43"/>
        <v>0</v>
      </c>
      <c r="Y19" s="9">
        <f t="shared" si="43"/>
        <v>0</v>
      </c>
      <c r="Z19" s="9">
        <f t="shared" si="43"/>
        <v>0</v>
      </c>
      <c r="AB19" s="9" t="e">
        <f t="shared" ref="AB19:AR19" si="44">AB5/AB3</f>
        <v>#DIV/0!</v>
      </c>
      <c r="AC19" s="9" t="e">
        <f t="shared" si="44"/>
        <v>#DIV/0!</v>
      </c>
      <c r="AD19" s="9">
        <f t="shared" si="44"/>
        <v>0.26799751758378154</v>
      </c>
      <c r="AE19" s="9">
        <f t="shared" si="44"/>
        <v>0.2495096785196555</v>
      </c>
      <c r="AF19" s="9">
        <f t="shared" si="44"/>
        <v>0.25643541934022795</v>
      </c>
      <c r="AG19" s="9">
        <f t="shared" si="44"/>
        <v>0.30141006827027372</v>
      </c>
      <c r="AH19" s="9">
        <f t="shared" si="44"/>
        <v>0.31979518212498548</v>
      </c>
      <c r="AI19" s="9">
        <f t="shared" si="44"/>
        <v>0.33</v>
      </c>
      <c r="AJ19" s="9">
        <f t="shared" si="44"/>
        <v>0.34</v>
      </c>
      <c r="AK19" s="9">
        <f t="shared" si="44"/>
        <v>0.34</v>
      </c>
      <c r="AL19" s="9">
        <f t="shared" si="44"/>
        <v>0.34</v>
      </c>
      <c r="AM19" s="9">
        <f t="shared" si="44"/>
        <v>0.34</v>
      </c>
      <c r="AN19" s="9">
        <f t="shared" si="44"/>
        <v>0.34</v>
      </c>
      <c r="AO19" s="9">
        <f t="shared" si="44"/>
        <v>0.34</v>
      </c>
      <c r="AP19" s="9">
        <f t="shared" si="44"/>
        <v>0.34</v>
      </c>
      <c r="AQ19" s="9">
        <f t="shared" si="44"/>
        <v>0.33999999999999997</v>
      </c>
      <c r="AR19" s="9">
        <f t="shared" si="44"/>
        <v>0.33999999999999997</v>
      </c>
      <c r="AT19" t="s">
        <v>49</v>
      </c>
      <c r="AU19" s="9">
        <v>-0.01</v>
      </c>
    </row>
    <row r="20" spans="2:47" x14ac:dyDescent="0.3">
      <c r="B20" t="s">
        <v>44</v>
      </c>
      <c r="C20" s="9"/>
      <c r="D20" s="9"/>
      <c r="E20" s="9"/>
      <c r="F20" s="9"/>
      <c r="G20" s="9">
        <f t="shared" ref="G20:O20" si="45">G6/C6-1</f>
        <v>0.27551020408163263</v>
      </c>
      <c r="H20" s="9">
        <f t="shared" si="45"/>
        <v>0.31764705882352939</v>
      </c>
      <c r="I20" s="9">
        <f t="shared" si="45"/>
        <v>0.85576923076923084</v>
      </c>
      <c r="J20" s="9">
        <f t="shared" si="45"/>
        <v>0.64031620553359692</v>
      </c>
      <c r="K20" s="9">
        <f t="shared" si="45"/>
        <v>0.74</v>
      </c>
      <c r="L20" s="9">
        <f t="shared" si="45"/>
        <v>0.34821428571428581</v>
      </c>
      <c r="M20" s="9">
        <f t="shared" si="45"/>
        <v>-4.4041450777202118E-2</v>
      </c>
      <c r="N20" s="9">
        <f t="shared" si="45"/>
        <v>0.12771084337349392</v>
      </c>
      <c r="O20" s="9">
        <f t="shared" si="45"/>
        <v>-0.10574712643678164</v>
      </c>
      <c r="P20" s="9">
        <f>P6/L6-1</f>
        <v>-0.16335540838852092</v>
      </c>
      <c r="Q20" s="9">
        <f t="shared" ref="Q20:R20" si="46">Q6/M6-1</f>
        <v>-7.3170731707317027E-2</v>
      </c>
      <c r="R20" s="9">
        <f t="shared" si="46"/>
        <v>-0.19658119658119655</v>
      </c>
      <c r="S20" s="9">
        <f t="shared" ref="S20" si="47">S6/O6-1</f>
        <v>-2.5706940874036022E-2</v>
      </c>
      <c r="T20" s="9">
        <f t="shared" ref="T20" si="48">T6/P6-1</f>
        <v>9.4986807387862804E-2</v>
      </c>
      <c r="U20" s="9">
        <f t="shared" ref="U20" si="49">U6/Q6-1</f>
        <v>-9.6491228070175405E-2</v>
      </c>
      <c r="V20" s="9">
        <f t="shared" ref="V20" si="50">V6/R6-1</f>
        <v>-0.22872340425531912</v>
      </c>
      <c r="W20" s="9">
        <f t="shared" ref="W20" si="51">W6/S6-1</f>
        <v>-1</v>
      </c>
      <c r="X20" s="9">
        <f t="shared" ref="X20" si="52">X6/T6-1</f>
        <v>-1</v>
      </c>
      <c r="Y20" s="9">
        <f t="shared" ref="Y20" si="53">Y6/U6-1</f>
        <v>-1</v>
      </c>
      <c r="Z20" s="9">
        <f t="shared" ref="Z20" si="54">Z6/V6-1</f>
        <v>-1</v>
      </c>
      <c r="AB20" s="9"/>
      <c r="AC20" s="9" t="e">
        <f>AC6/AB6-1</f>
        <v>#DIV/0!</v>
      </c>
      <c r="AD20" s="9" t="e">
        <f t="shared" ref="AD20:AR20" si="55">AD6/AC6-1</f>
        <v>#DIV/0!</v>
      </c>
      <c r="AE20" s="9">
        <f t="shared" si="55"/>
        <v>0.52083333333333326</v>
      </c>
      <c r="AF20" s="9">
        <f t="shared" si="55"/>
        <v>0.24369142033165114</v>
      </c>
      <c r="AG20" s="9">
        <f t="shared" si="55"/>
        <v>-0.13855072463768114</v>
      </c>
      <c r="AH20" s="9">
        <f t="shared" si="55"/>
        <v>-6.2584118438761771E-2</v>
      </c>
      <c r="AI20" s="9">
        <f t="shared" si="55"/>
        <v>4.0000000000000036E-2</v>
      </c>
      <c r="AJ20" s="9">
        <f t="shared" si="55"/>
        <v>3.0000000000000027E-2</v>
      </c>
      <c r="AK20" s="9">
        <f t="shared" si="55"/>
        <v>2.0000000000000018E-2</v>
      </c>
      <c r="AL20" s="9">
        <f t="shared" si="55"/>
        <v>2.0000000000000018E-2</v>
      </c>
      <c r="AM20" s="9">
        <f t="shared" si="55"/>
        <v>2.0000000000000018E-2</v>
      </c>
      <c r="AN20" s="9">
        <f t="shared" si="55"/>
        <v>2.0000000000000018E-2</v>
      </c>
      <c r="AO20" s="9">
        <f t="shared" si="55"/>
        <v>2.0000000000000018E-2</v>
      </c>
      <c r="AP20" s="9">
        <f t="shared" si="55"/>
        <v>2.0000000000000018E-2</v>
      </c>
      <c r="AQ20" s="9">
        <f t="shared" si="55"/>
        <v>2.0000000000000018E-2</v>
      </c>
      <c r="AR20" s="9">
        <f t="shared" si="55"/>
        <v>2.0000000000000018E-2</v>
      </c>
      <c r="AT20" t="s">
        <v>50</v>
      </c>
      <c r="AU20" s="9">
        <v>7.0000000000000007E-2</v>
      </c>
    </row>
    <row r="21" spans="2:47" x14ac:dyDescent="0.3">
      <c r="B21" t="s">
        <v>45</v>
      </c>
      <c r="C21" s="9">
        <f t="shared" ref="C21:O21" si="56">C7/C3</f>
        <v>0.10992081974848626</v>
      </c>
      <c r="D21" s="9">
        <f t="shared" si="56"/>
        <v>0.11969111969111969</v>
      </c>
      <c r="E21" s="9">
        <f t="shared" si="56"/>
        <v>0.11195521791283487</v>
      </c>
      <c r="F21" s="9">
        <f t="shared" si="56"/>
        <v>0.12644105615470436</v>
      </c>
      <c r="G21" s="9">
        <f t="shared" si="56"/>
        <v>0.11123637730176625</v>
      </c>
      <c r="H21" s="9">
        <f t="shared" si="56"/>
        <v>0.13652234636871508</v>
      </c>
      <c r="I21" s="9">
        <f t="shared" si="56"/>
        <v>0.14229249011857709</v>
      </c>
      <c r="J21" s="9">
        <f t="shared" si="56"/>
        <v>0.14308275426405559</v>
      </c>
      <c r="K21" s="9">
        <f t="shared" si="56"/>
        <v>0.11406969099276791</v>
      </c>
      <c r="L21" s="9">
        <f t="shared" si="56"/>
        <v>0.12559017941454201</v>
      </c>
      <c r="M21" s="9">
        <f t="shared" si="56"/>
        <v>0.10574918081620495</v>
      </c>
      <c r="N21" s="9">
        <f t="shared" si="56"/>
        <v>0.1176791065104876</v>
      </c>
      <c r="O21" s="9">
        <f t="shared" si="56"/>
        <v>8.9108910891089105E-2</v>
      </c>
      <c r="P21" s="9">
        <f>P7/P3</f>
        <v>9.0097189387969526E-2</v>
      </c>
      <c r="Q21" s="9">
        <f t="shared" ref="Q21:R21" si="57">Q7/Q3</f>
        <v>8.3249749247743227E-2</v>
      </c>
      <c r="R21" s="9">
        <f t="shared" si="57"/>
        <v>9.2644978783592638E-2</v>
      </c>
      <c r="S21" s="9">
        <f t="shared" ref="S21:V21" si="58">S7/S3</f>
        <v>7.494033412887828E-2</v>
      </c>
      <c r="T21" s="9">
        <f t="shared" si="58"/>
        <v>8.681135225375626E-2</v>
      </c>
      <c r="U21" s="9">
        <f t="shared" si="58"/>
        <v>8.1694756554307121E-2</v>
      </c>
      <c r="V21" s="9">
        <f t="shared" si="58"/>
        <v>8.8060030898256453E-2</v>
      </c>
      <c r="W21" s="9">
        <f t="shared" ref="W21:Z21" si="59">W7/W3</f>
        <v>0</v>
      </c>
      <c r="X21" s="9">
        <f t="shared" si="59"/>
        <v>0</v>
      </c>
      <c r="Y21" s="9">
        <f t="shared" si="59"/>
        <v>0</v>
      </c>
      <c r="Z21" s="9">
        <f t="shared" si="59"/>
        <v>0</v>
      </c>
      <c r="AB21" s="9" t="e">
        <f t="shared" ref="AB21:AR21" si="60">AB7/AB3</f>
        <v>#DIV/0!</v>
      </c>
      <c r="AC21" s="9" t="e">
        <f t="shared" si="60"/>
        <v>#DIV/0!</v>
      </c>
      <c r="AD21" s="9">
        <f t="shared" si="60"/>
        <v>0.11739760033098882</v>
      </c>
      <c r="AE21" s="9">
        <f t="shared" si="60"/>
        <v>0.13404962906114096</v>
      </c>
      <c r="AF21" s="9">
        <f t="shared" si="60"/>
        <v>0.11572431493923152</v>
      </c>
      <c r="AG21" s="9">
        <f t="shared" si="60"/>
        <v>8.88151598290053E-2</v>
      </c>
      <c r="AH21" s="9">
        <f t="shared" si="60"/>
        <v>8.2974514139415798E-2</v>
      </c>
      <c r="AI21" s="9">
        <f t="shared" si="60"/>
        <v>0.08</v>
      </c>
      <c r="AJ21" s="9">
        <f t="shared" si="60"/>
        <v>0.08</v>
      </c>
      <c r="AK21" s="9">
        <f t="shared" si="60"/>
        <v>0.08</v>
      </c>
      <c r="AL21" s="9">
        <f t="shared" si="60"/>
        <v>0.08</v>
      </c>
      <c r="AM21" s="9">
        <f t="shared" si="60"/>
        <v>0.08</v>
      </c>
      <c r="AN21" s="9">
        <f t="shared" si="60"/>
        <v>0.08</v>
      </c>
      <c r="AO21" s="9">
        <f t="shared" si="60"/>
        <v>0.08</v>
      </c>
      <c r="AP21" s="9">
        <f t="shared" si="60"/>
        <v>0.08</v>
      </c>
      <c r="AQ21" s="9">
        <f t="shared" si="60"/>
        <v>0.08</v>
      </c>
      <c r="AR21" s="9">
        <f t="shared" si="60"/>
        <v>0.08</v>
      </c>
      <c r="AT21" t="s">
        <v>51</v>
      </c>
      <c r="AU21" s="2">
        <f>NPV(AU20,AI14:EW14)</f>
        <v>39086.370568886043</v>
      </c>
    </row>
    <row r="22" spans="2:47" x14ac:dyDescent="0.3">
      <c r="B22" t="s">
        <v>46</v>
      </c>
      <c r="C22" s="9"/>
      <c r="D22" s="9"/>
      <c r="E22" s="9"/>
      <c r="F22" s="9"/>
      <c r="G22" s="9">
        <f t="shared" ref="G22:O22" si="61">G8/C8-1</f>
        <v>0.28431372549019618</v>
      </c>
      <c r="H22" s="9">
        <f t="shared" si="61"/>
        <v>0.46153846153846145</v>
      </c>
      <c r="I22" s="9">
        <f t="shared" si="61"/>
        <v>0.52380952380952372</v>
      </c>
      <c r="J22" s="9">
        <f t="shared" si="61"/>
        <v>0.30158730158730163</v>
      </c>
      <c r="K22" s="9">
        <f t="shared" si="61"/>
        <v>6.8702290076335881E-2</v>
      </c>
      <c r="L22" s="9">
        <f t="shared" si="61"/>
        <v>-5.8479532163742687E-2</v>
      </c>
      <c r="M22" s="9">
        <f t="shared" si="61"/>
        <v>-0.19374999999999998</v>
      </c>
      <c r="N22" s="9">
        <f t="shared" si="61"/>
        <v>-5.4878048780487854E-2</v>
      </c>
      <c r="O22" s="9">
        <f t="shared" si="61"/>
        <v>-0.12142857142857144</v>
      </c>
      <c r="P22" s="9">
        <f>P8/L8-1</f>
        <v>-0.22981366459627328</v>
      </c>
      <c r="Q22" s="9">
        <f t="shared" ref="Q22:R22" si="62">Q8/M8-1</f>
        <v>-0.13178294573643412</v>
      </c>
      <c r="R22" s="9">
        <f t="shared" si="62"/>
        <v>-0.2129032258064516</v>
      </c>
      <c r="S22" s="9">
        <f t="shared" ref="S22" si="63">S8/O8-1</f>
        <v>8.1300813008129413E-3</v>
      </c>
      <c r="T22" s="9">
        <f t="shared" ref="T22" si="64">T8/P8-1</f>
        <v>8.870967741935476E-2</v>
      </c>
      <c r="U22" s="9">
        <f t="shared" ref="U22" si="65">U8/Q8-1</f>
        <v>-8.9285714285713969E-3</v>
      </c>
      <c r="V22" s="9">
        <f t="shared" ref="V22" si="66">V8/R8-1</f>
        <v>-0.10655737704918034</v>
      </c>
      <c r="W22" s="9">
        <f t="shared" ref="W22" si="67">W8/S8-1</f>
        <v>-1</v>
      </c>
      <c r="X22" s="9">
        <f t="shared" ref="X22" si="68">X8/T8-1</f>
        <v>-1</v>
      </c>
      <c r="Y22" s="9">
        <f t="shared" ref="Y22" si="69">Y8/U8-1</f>
        <v>-1</v>
      </c>
      <c r="Z22" s="9">
        <f t="shared" ref="Z22" si="70">Z8/V8-1</f>
        <v>-1</v>
      </c>
      <c r="AB22" s="9"/>
      <c r="AC22" s="9" t="e">
        <f>AC8/AB8-1</f>
        <v>#DIV/0!</v>
      </c>
      <c r="AD22" s="9" t="e">
        <f t="shared" ref="AD22:AR22" si="71">AD8/AC8-1</f>
        <v>#DIV/0!</v>
      </c>
      <c r="AE22" s="9">
        <f t="shared" si="71"/>
        <v>0.39111111111111119</v>
      </c>
      <c r="AF22" s="9">
        <f t="shared" si="71"/>
        <v>-6.5495207667731647E-2</v>
      </c>
      <c r="AG22" s="9">
        <f t="shared" si="71"/>
        <v>-0.17777777777777781</v>
      </c>
      <c r="AH22" s="9">
        <f t="shared" si="71"/>
        <v>-4.1580041580041582E-3</v>
      </c>
      <c r="AI22" s="9">
        <f t="shared" si="71"/>
        <v>3.0000000000000027E-2</v>
      </c>
      <c r="AJ22" s="9">
        <f t="shared" si="71"/>
        <v>2.0000000000000018E-2</v>
      </c>
      <c r="AK22" s="9">
        <f t="shared" si="71"/>
        <v>2.0000000000000018E-2</v>
      </c>
      <c r="AL22" s="9">
        <f t="shared" si="71"/>
        <v>2.0000000000000018E-2</v>
      </c>
      <c r="AM22" s="9">
        <f t="shared" si="71"/>
        <v>1.0000000000000009E-2</v>
      </c>
      <c r="AN22" s="9">
        <f t="shared" si="71"/>
        <v>1.0000000000000009E-2</v>
      </c>
      <c r="AO22" s="9">
        <f t="shared" si="71"/>
        <v>1.0000000000000009E-2</v>
      </c>
      <c r="AP22" s="9">
        <f t="shared" si="71"/>
        <v>1.0000000000000009E-2</v>
      </c>
      <c r="AQ22" s="9">
        <f t="shared" si="71"/>
        <v>1.0000000000000009E-2</v>
      </c>
      <c r="AR22" s="9">
        <f t="shared" si="71"/>
        <v>1.0000000000000009E-2</v>
      </c>
      <c r="AT22" t="s">
        <v>52</v>
      </c>
      <c r="AU22" s="2">
        <f>Main!D8</f>
        <v>10190</v>
      </c>
    </row>
    <row r="23" spans="2:47" x14ac:dyDescent="0.3">
      <c r="B23" t="s">
        <v>47</v>
      </c>
      <c r="C23" s="9">
        <f t="shared" ref="C23:O23" si="72">C9/C3</f>
        <v>6.5207265952491851E-3</v>
      </c>
      <c r="D23" s="9">
        <f t="shared" si="72"/>
        <v>5.1480051480051478E-3</v>
      </c>
      <c r="E23" s="9">
        <f t="shared" si="72"/>
        <v>2.9988004798080767E-2</v>
      </c>
      <c r="F23" s="9">
        <f t="shared" si="72"/>
        <v>-2.6031982149497955E-3</v>
      </c>
      <c r="G23" s="9">
        <f t="shared" si="72"/>
        <v>-2.2547914317925591E-3</v>
      </c>
      <c r="H23" s="9">
        <f t="shared" si="72"/>
        <v>-6.773743016759777E-2</v>
      </c>
      <c r="I23" s="9">
        <f t="shared" si="72"/>
        <v>-7.5098814229249009E-2</v>
      </c>
      <c r="J23" s="9">
        <f t="shared" si="72"/>
        <v>-7.2962728995578013E-2</v>
      </c>
      <c r="K23" s="9">
        <f t="shared" si="72"/>
        <v>-5.128205128205128E-2</v>
      </c>
      <c r="L23" s="9">
        <f t="shared" si="72"/>
        <v>-7.7746301542335541E-2</v>
      </c>
      <c r="M23" s="9">
        <f t="shared" si="72"/>
        <v>9.5323205242776286E-3</v>
      </c>
      <c r="N23" s="9">
        <f t="shared" si="72"/>
        <v>-2.0430400435848543E-2</v>
      </c>
      <c r="O23" s="9">
        <f t="shared" si="72"/>
        <v>4.6204620462046202E-2</v>
      </c>
      <c r="P23" s="9">
        <f>P9/P3</f>
        <v>6.9871289729445757E-2</v>
      </c>
      <c r="Q23" s="9">
        <f t="shared" ref="Q23:R23" si="73">Q9/Q3</f>
        <v>0.11384152457372117</v>
      </c>
      <c r="R23" s="9">
        <f t="shared" si="73"/>
        <v>0.11244695898161244</v>
      </c>
      <c r="S23" s="9">
        <f t="shared" ref="S23:V23" si="74">S9/S3</f>
        <v>0.12147971360381861</v>
      </c>
      <c r="T23" s="9">
        <f t="shared" si="74"/>
        <v>9.6828046744574292E-2</v>
      </c>
      <c r="U23" s="9">
        <f t="shared" si="74"/>
        <v>0.13623595505617977</v>
      </c>
      <c r="V23" s="9">
        <f t="shared" si="74"/>
        <v>0.1547119841094681</v>
      </c>
      <c r="W23" s="9">
        <f t="shared" ref="W23:Z23" si="75">W9/W3</f>
        <v>0</v>
      </c>
      <c r="X23" s="9">
        <f t="shared" si="75"/>
        <v>0</v>
      </c>
      <c r="Y23" s="9">
        <f t="shared" si="75"/>
        <v>0</v>
      </c>
      <c r="Z23" s="9">
        <f t="shared" si="75"/>
        <v>0</v>
      </c>
      <c r="AB23" s="9" t="e">
        <f t="shared" ref="AB23:AR23" si="76">AB9/AB3</f>
        <v>#DIV/0!</v>
      </c>
      <c r="AC23" s="9" t="e">
        <f t="shared" si="76"/>
        <v>#DIV/0!</v>
      </c>
      <c r="AD23" s="9">
        <f t="shared" si="76"/>
        <v>9.722796855606123E-3</v>
      </c>
      <c r="AE23" s="9">
        <f t="shared" si="76"/>
        <v>-5.6195105312526646E-2</v>
      </c>
      <c r="AF23" s="9">
        <f t="shared" si="76"/>
        <v>-3.3668000301955159E-2</v>
      </c>
      <c r="AG23" s="9">
        <f t="shared" si="76"/>
        <v>8.7092451987494421E-2</v>
      </c>
      <c r="AH23" s="9">
        <f t="shared" si="76"/>
        <v>0.12789479809146981</v>
      </c>
      <c r="AI23" s="9">
        <f t="shared" si="76"/>
        <v>0.14346999114119513</v>
      </c>
      <c r="AJ23" s="9">
        <f t="shared" si="76"/>
        <v>0.15674030236681041</v>
      </c>
      <c r="AK23" s="9">
        <f t="shared" si="76"/>
        <v>0.15969057944204443</v>
      </c>
      <c r="AL23" s="9">
        <f t="shared" si="76"/>
        <v>0.16161960676046663</v>
      </c>
      <c r="AM23" s="9">
        <f t="shared" si="76"/>
        <v>0.16281564141961302</v>
      </c>
      <c r="AN23" s="9">
        <f t="shared" si="76"/>
        <v>0.1639953867090547</v>
      </c>
      <c r="AO23" s="9">
        <f t="shared" si="76"/>
        <v>0.16515909160097758</v>
      </c>
      <c r="AP23" s="9">
        <f t="shared" si="76"/>
        <v>0.16630700088680925</v>
      </c>
      <c r="AQ23" s="9">
        <f t="shared" si="76"/>
        <v>0.16743935525205228</v>
      </c>
      <c r="AR23" s="9">
        <f t="shared" si="76"/>
        <v>0.16855639134972689</v>
      </c>
      <c r="AT23" t="s">
        <v>53</v>
      </c>
      <c r="AU23" s="2">
        <f>AU21+AU22</f>
        <v>49276.370568886043</v>
      </c>
    </row>
    <row r="24" spans="2:47" x14ac:dyDescent="0.3">
      <c r="B24" t="s">
        <v>23</v>
      </c>
      <c r="C24" s="9">
        <f t="shared" ref="C24:O24" si="77">C13/C12</f>
        <v>0.73563218390804597</v>
      </c>
      <c r="D24" s="9">
        <f t="shared" si="77"/>
        <v>3.5</v>
      </c>
      <c r="E24" s="9">
        <f t="shared" si="77"/>
        <v>0.98765432098765427</v>
      </c>
      <c r="F24" s="9">
        <f t="shared" si="77"/>
        <v>-3.875</v>
      </c>
      <c r="G24" s="9">
        <f t="shared" si="77"/>
        <v>0.15483870967741936</v>
      </c>
      <c r="H24" s="9">
        <f t="shared" si="77"/>
        <v>-0.3888888888888889</v>
      </c>
      <c r="I24" s="9">
        <f t="shared" si="77"/>
        <v>-0.15277777777777779</v>
      </c>
      <c r="J24" s="9">
        <f t="shared" si="77"/>
        <v>7.2164948453608241E-2</v>
      </c>
      <c r="K24" s="9">
        <f t="shared" si="77"/>
        <v>-9.2233009708737865E-2</v>
      </c>
      <c r="L24" s="9">
        <f t="shared" si="77"/>
        <v>-0.25311203319502074</v>
      </c>
      <c r="M24" s="9">
        <f t="shared" si="77"/>
        <v>0.1095890410958904</v>
      </c>
      <c r="N24" s="9">
        <f t="shared" si="77"/>
        <v>0.46564885496183206</v>
      </c>
      <c r="O24" s="9">
        <f t="shared" si="77"/>
        <v>-0.13218390804597702</v>
      </c>
      <c r="P24" s="9">
        <f>P13/P12</f>
        <v>-1.4814814814814815E-2</v>
      </c>
      <c r="Q24" s="9">
        <f t="shared" ref="Q24:R24" si="78">Q13/Q12</f>
        <v>0.24623115577889448</v>
      </c>
      <c r="R24" s="9">
        <f t="shared" si="78"/>
        <v>0.26452905811623245</v>
      </c>
      <c r="S24" s="9">
        <f t="shared" ref="S24:V24" si="79">S13/S12</f>
        <v>0.31402439024390244</v>
      </c>
      <c r="T24" s="9">
        <f t="shared" si="79"/>
        <v>2.7916666666666665</v>
      </c>
      <c r="U24" s="9">
        <f t="shared" si="79"/>
        <v>-8.7061668681983076E-2</v>
      </c>
      <c r="V24" s="9">
        <f t="shared" si="79"/>
        <v>-0.14985308521057786</v>
      </c>
      <c r="W24" s="9" t="e">
        <f t="shared" ref="W24:Z24" si="80">W13/W12</f>
        <v>#DIV/0!</v>
      </c>
      <c r="X24" s="9" t="e">
        <f t="shared" si="80"/>
        <v>#DIV/0!</v>
      </c>
      <c r="Y24" s="9" t="e">
        <f t="shared" si="80"/>
        <v>#DIV/0!</v>
      </c>
      <c r="Z24" s="9" t="e">
        <f t="shared" si="80"/>
        <v>#DIV/0!</v>
      </c>
      <c r="AB24" s="9" t="e">
        <f t="shared" ref="AB24:AR24" si="81">AB13/AB12</f>
        <v>#DIV/0!</v>
      </c>
      <c r="AC24" s="9" t="e">
        <f t="shared" si="81"/>
        <v>#DIV/0!</v>
      </c>
      <c r="AD24" s="9">
        <f t="shared" si="81"/>
        <v>1.1365461847389557</v>
      </c>
      <c r="AE24" s="9">
        <f t="shared" si="81"/>
        <v>-0.16216216216216217</v>
      </c>
      <c r="AF24" s="9">
        <f t="shared" si="81"/>
        <v>-5.3465346534653464E-2</v>
      </c>
      <c r="AG24" s="9">
        <f t="shared" si="81"/>
        <v>0.15137956748695003</v>
      </c>
      <c r="AH24" s="9">
        <f t="shared" si="81"/>
        <v>5.3956834532374104E-3</v>
      </c>
      <c r="AI24" s="9">
        <f t="shared" si="81"/>
        <v>0.25</v>
      </c>
      <c r="AJ24" s="9">
        <f t="shared" si="81"/>
        <v>0.25</v>
      </c>
      <c r="AK24" s="9">
        <f t="shared" si="81"/>
        <v>0.25</v>
      </c>
      <c r="AL24" s="9">
        <f t="shared" si="81"/>
        <v>0.25</v>
      </c>
      <c r="AM24" s="9">
        <f t="shared" si="81"/>
        <v>0.25</v>
      </c>
      <c r="AN24" s="9">
        <f t="shared" si="81"/>
        <v>0.25</v>
      </c>
      <c r="AO24" s="9">
        <f t="shared" si="81"/>
        <v>0.25</v>
      </c>
      <c r="AP24" s="9">
        <f t="shared" si="81"/>
        <v>0.25</v>
      </c>
      <c r="AQ24" s="9">
        <f t="shared" si="81"/>
        <v>0.25</v>
      </c>
      <c r="AR24" s="9">
        <f t="shared" si="81"/>
        <v>0.25</v>
      </c>
      <c r="AT24" t="s">
        <v>58</v>
      </c>
      <c r="AU24" s="2">
        <f>AU23/Main!D15</f>
        <v>56639.506401018443</v>
      </c>
    </row>
    <row r="25" spans="2:47" x14ac:dyDescent="0.3">
      <c r="B25" t="s">
        <v>48</v>
      </c>
      <c r="C25" s="9">
        <f t="shared" ref="C25:O25" si="82">C14/C3</f>
        <v>1.0712622263623661E-2</v>
      </c>
      <c r="D25" s="9">
        <f t="shared" si="82"/>
        <v>-8.5800085800085794E-3</v>
      </c>
      <c r="E25" s="9">
        <f t="shared" si="82"/>
        <v>7.9968012794882047E-4</v>
      </c>
      <c r="F25" s="9">
        <f t="shared" si="82"/>
        <v>-1.4503532911863145E-2</v>
      </c>
      <c r="G25" s="9">
        <f t="shared" si="82"/>
        <v>4.9229612927470877E-2</v>
      </c>
      <c r="H25" s="9">
        <f t="shared" si="82"/>
        <v>-4.3645251396648044E-2</v>
      </c>
      <c r="I25" s="9">
        <f t="shared" si="82"/>
        <v>-5.4677206851119896E-2</v>
      </c>
      <c r="J25" s="9">
        <f t="shared" si="82"/>
        <v>-8.5281111813013261E-2</v>
      </c>
      <c r="K25" s="9">
        <f t="shared" si="82"/>
        <v>-7.3964497041420121E-2</v>
      </c>
      <c r="L25" s="9">
        <f t="shared" si="82"/>
        <v>-9.5058231035568153E-2</v>
      </c>
      <c r="M25" s="9">
        <f t="shared" si="82"/>
        <v>1.9362526064938934E-2</v>
      </c>
      <c r="N25" s="9">
        <f t="shared" si="82"/>
        <v>-1.9068373740125308E-2</v>
      </c>
      <c r="O25" s="9">
        <f t="shared" si="82"/>
        <v>5.4180418041804179E-2</v>
      </c>
      <c r="P25" s="9">
        <f>P14/P3</f>
        <v>7.1972681901759913E-2</v>
      </c>
      <c r="Q25" s="9">
        <f t="shared" ref="Q25:R25" si="83">Q14/Q3</f>
        <v>7.5225677031093285E-2</v>
      </c>
      <c r="R25" s="9">
        <f t="shared" si="83"/>
        <v>8.651579443658651E-2</v>
      </c>
      <c r="S25" s="9">
        <f t="shared" ref="S25:V25" si="84">S14/S3</f>
        <v>5.3699284009546537E-2</v>
      </c>
      <c r="T25" s="9">
        <f t="shared" si="84"/>
        <v>-2.0510374433579774E-2</v>
      </c>
      <c r="U25" s="9">
        <f t="shared" si="84"/>
        <v>0.21044007490636704</v>
      </c>
      <c r="V25" s="9">
        <f t="shared" si="84"/>
        <v>0.25910395056278968</v>
      </c>
      <c r="W25" s="9">
        <f t="shared" ref="W25:Z25" si="85">W14/W3</f>
        <v>0</v>
      </c>
      <c r="X25" s="9">
        <f t="shared" si="85"/>
        <v>0</v>
      </c>
      <c r="Y25" s="9">
        <f t="shared" si="85"/>
        <v>0</v>
      </c>
      <c r="Z25" s="9">
        <f t="shared" si="85"/>
        <v>0</v>
      </c>
      <c r="AB25" s="9" t="e">
        <f t="shared" ref="AB25:AR25" si="86">AB14/AB3</f>
        <v>#DIV/0!</v>
      </c>
      <c r="AC25" s="9" t="e">
        <f t="shared" si="86"/>
        <v>#DIV/0!</v>
      </c>
      <c r="AD25" s="9">
        <f t="shared" si="86"/>
        <v>-3.5167563094745551E-3</v>
      </c>
      <c r="AE25" s="9">
        <f t="shared" si="86"/>
        <v>-3.6667519399675962E-2</v>
      </c>
      <c r="AF25" s="9">
        <f t="shared" si="86"/>
        <v>-4.0160036234619161E-2</v>
      </c>
      <c r="AG25" s="9">
        <f t="shared" si="86"/>
        <v>7.2608945319977025E-2</v>
      </c>
      <c r="AH25" s="9">
        <f t="shared" si="86"/>
        <v>0.12870941463982311</v>
      </c>
      <c r="AI25" s="9">
        <f t="shared" si="86"/>
        <v>0.10892308610045286</v>
      </c>
      <c r="AJ25" s="9">
        <f t="shared" si="86"/>
        <v>0.11904698504373543</v>
      </c>
      <c r="AK25" s="9">
        <f t="shared" si="86"/>
        <v>0.12143187478631157</v>
      </c>
      <c r="AL25" s="9">
        <f t="shared" si="86"/>
        <v>0.12305745579542481</v>
      </c>
      <c r="AM25" s="9">
        <f t="shared" si="86"/>
        <v>0.12414550901774184</v>
      </c>
      <c r="AN25" s="9">
        <f t="shared" si="86"/>
        <v>0.12521763594621804</v>
      </c>
      <c r="AO25" s="9">
        <f t="shared" si="86"/>
        <v>0.12627409533458633</v>
      </c>
      <c r="AP25" s="9">
        <f t="shared" si="86"/>
        <v>0.12731514140247502</v>
      </c>
      <c r="AQ25" s="9">
        <f t="shared" si="86"/>
        <v>0.12834102391868896</v>
      </c>
      <c r="AR25" s="9">
        <f t="shared" si="86"/>
        <v>0.12935198828292008</v>
      </c>
      <c r="AT25" t="s">
        <v>54</v>
      </c>
      <c r="AU25" s="3">
        <f>AU24/AR15</f>
        <v>275.21626045198462</v>
      </c>
    </row>
    <row r="26" spans="2:47" x14ac:dyDescent="0.3">
      <c r="AT26" t="s">
        <v>55</v>
      </c>
      <c r="AU26" s="3">
        <f>Main!D3</f>
        <v>458.34</v>
      </c>
    </row>
    <row r="27" spans="2:47" x14ac:dyDescent="0.3">
      <c r="AT27" s="1" t="s">
        <v>56</v>
      </c>
      <c r="AU27" s="10">
        <f>AU25/AU26-1</f>
        <v>-0.39953689302268047</v>
      </c>
    </row>
    <row r="28" spans="2:47" x14ac:dyDescent="0.3">
      <c r="AT28" t="s">
        <v>57</v>
      </c>
      <c r="AU28" s="6" t="s">
        <v>67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2024-07-31T12:57:27Z</dcterms:created>
  <dcterms:modified xsi:type="dcterms:W3CDTF">2026-02-14T11:17:06Z</dcterms:modified>
</cp:coreProperties>
</file>