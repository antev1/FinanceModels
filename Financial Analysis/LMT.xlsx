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EF798E6-C675-4E89-ADD4-18D315786A01}" xr6:coauthVersionLast="47" xr6:coauthVersionMax="47" xr10:uidLastSave="{00000000-0000-0000-0000-000000000000}"/>
  <bookViews>
    <workbookView xWindow="-108" yWindow="-108" windowWidth="23256" windowHeight="12576" activeTab="1" xr2:uid="{4D34CE10-A2B1-43BA-A8EF-FB8FB8D7517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40" i="2" l="1"/>
  <c r="T39" i="2"/>
  <c r="AE3" i="2"/>
  <c r="P27" i="2"/>
  <c r="O27" i="2"/>
  <c r="P26" i="2"/>
  <c r="O26" i="2"/>
  <c r="P25" i="2"/>
  <c r="O25" i="2"/>
  <c r="N20" i="2"/>
  <c r="N17" i="2"/>
  <c r="N16" i="2"/>
  <c r="N15" i="2"/>
  <c r="N12" i="2"/>
  <c r="N11" i="2"/>
  <c r="N7" i="2"/>
  <c r="N6" i="2"/>
  <c r="N8" i="2" s="1"/>
  <c r="N4" i="2"/>
  <c r="N3" i="2"/>
  <c r="N22" i="2"/>
  <c r="N18" i="2"/>
  <c r="N5" i="2"/>
  <c r="K33" i="2"/>
  <c r="K32" i="2"/>
  <c r="K31" i="2"/>
  <c r="K30" i="2"/>
  <c r="K29" i="2"/>
  <c r="K28" i="2"/>
  <c r="K22" i="2"/>
  <c r="K18" i="2"/>
  <c r="K13" i="2"/>
  <c r="K8" i="2"/>
  <c r="K5" i="2"/>
  <c r="L29" i="2"/>
  <c r="L28" i="2"/>
  <c r="L22" i="2"/>
  <c r="L18" i="2"/>
  <c r="L13" i="2"/>
  <c r="L8" i="2"/>
  <c r="L5" i="2"/>
  <c r="R20" i="2"/>
  <c r="R17" i="2"/>
  <c r="R16" i="2"/>
  <c r="R15" i="2"/>
  <c r="R18" i="2" s="1"/>
  <c r="R12" i="2"/>
  <c r="R11" i="2"/>
  <c r="R10" i="2"/>
  <c r="R13" i="2" s="1"/>
  <c r="R7" i="2"/>
  <c r="R6" i="2"/>
  <c r="R8" i="2" s="1"/>
  <c r="R4" i="2"/>
  <c r="R3" i="2"/>
  <c r="R22" i="2"/>
  <c r="M29" i="2"/>
  <c r="M28" i="2"/>
  <c r="M22" i="2"/>
  <c r="M18" i="2"/>
  <c r="M13" i="2"/>
  <c r="M8" i="2"/>
  <c r="M5" i="2"/>
  <c r="Q29" i="2"/>
  <c r="Q28" i="2"/>
  <c r="Q26" i="2"/>
  <c r="Q25" i="2"/>
  <c r="Q22" i="2"/>
  <c r="Q18" i="2"/>
  <c r="Q13" i="2"/>
  <c r="Q8" i="2"/>
  <c r="Q5" i="2"/>
  <c r="O29" i="2"/>
  <c r="O28" i="2"/>
  <c r="O22" i="2"/>
  <c r="O18" i="2"/>
  <c r="O13" i="2"/>
  <c r="O8" i="2"/>
  <c r="O5" i="2"/>
  <c r="S29" i="2"/>
  <c r="S28" i="2"/>
  <c r="S26" i="2"/>
  <c r="S25" i="2"/>
  <c r="S22" i="2"/>
  <c r="S18" i="2"/>
  <c r="S13" i="2"/>
  <c r="S8" i="2"/>
  <c r="S5" i="2"/>
  <c r="N28" i="2" l="1"/>
  <c r="N29" i="2"/>
  <c r="R26" i="2"/>
  <c r="N13" i="2"/>
  <c r="N9" i="2"/>
  <c r="N30" i="2" s="1"/>
  <c r="R25" i="2"/>
  <c r="K9" i="2"/>
  <c r="K14" i="2" s="1"/>
  <c r="K19" i="2" s="1"/>
  <c r="K21" i="2" s="1"/>
  <c r="K23" i="2" s="1"/>
  <c r="L9" i="2"/>
  <c r="L30" i="2"/>
  <c r="L14" i="2"/>
  <c r="R29" i="2"/>
  <c r="R5" i="2"/>
  <c r="R27" i="2" s="1"/>
  <c r="R28" i="2"/>
  <c r="R9" i="2"/>
  <c r="R14" i="2" s="1"/>
  <c r="M9" i="2"/>
  <c r="M30" i="2" s="1"/>
  <c r="Q9" i="2"/>
  <c r="Q14" i="2" s="1"/>
  <c r="Q31" i="2" s="1"/>
  <c r="Q27" i="2"/>
  <c r="O9" i="2"/>
  <c r="O30" i="2" s="1"/>
  <c r="S9" i="2"/>
  <c r="S14" i="2" s="1"/>
  <c r="S27" i="2"/>
  <c r="N14" i="2" l="1"/>
  <c r="L19" i="2"/>
  <c r="L31" i="2"/>
  <c r="R30" i="2"/>
  <c r="R31" i="2"/>
  <c r="R19" i="2"/>
  <c r="M14" i="2"/>
  <c r="Q30" i="2"/>
  <c r="Q19" i="2"/>
  <c r="Q32" i="2" s="1"/>
  <c r="O14" i="2"/>
  <c r="O31" i="2" s="1"/>
  <c r="S30" i="2"/>
  <c r="S19" i="2"/>
  <c r="S31" i="2"/>
  <c r="N19" i="2" l="1"/>
  <c r="N31" i="2"/>
  <c r="L21" i="2"/>
  <c r="L32" i="2"/>
  <c r="R21" i="2"/>
  <c r="R32" i="2"/>
  <c r="M19" i="2"/>
  <c r="M31" i="2"/>
  <c r="Q21" i="2"/>
  <c r="Q33" i="2" s="1"/>
  <c r="O19" i="2"/>
  <c r="O32" i="2" s="1"/>
  <c r="S32" i="2"/>
  <c r="S21" i="2"/>
  <c r="N21" i="2" l="1"/>
  <c r="N32" i="2"/>
  <c r="L33" i="2"/>
  <c r="L23" i="2"/>
  <c r="R23" i="2"/>
  <c r="R33" i="2"/>
  <c r="M32" i="2"/>
  <c r="M21" i="2"/>
  <c r="Q23" i="2"/>
  <c r="O21" i="2"/>
  <c r="O33" i="2" s="1"/>
  <c r="S33" i="2"/>
  <c r="S23" i="2"/>
  <c r="N23" i="2" l="1"/>
  <c r="N33" i="2"/>
  <c r="M33" i="2"/>
  <c r="M23" i="2"/>
  <c r="O23" i="2"/>
  <c r="T27" i="2" l="1"/>
  <c r="T26" i="2"/>
  <c r="T25" i="2"/>
  <c r="T22" i="2"/>
  <c r="P29" i="2"/>
  <c r="P28" i="2"/>
  <c r="P22" i="2"/>
  <c r="P18" i="2"/>
  <c r="P13" i="2"/>
  <c r="P8" i="2"/>
  <c r="P5" i="2"/>
  <c r="T18" i="2"/>
  <c r="T29" i="2"/>
  <c r="T28" i="2"/>
  <c r="T13" i="2"/>
  <c r="T8" i="2"/>
  <c r="T5" i="2"/>
  <c r="AN22" i="2"/>
  <c r="AM22" i="2"/>
  <c r="AL22" i="2"/>
  <c r="AK22" i="2"/>
  <c r="AJ22" i="2"/>
  <c r="AI22" i="2"/>
  <c r="AH22" i="2"/>
  <c r="AG22" i="2"/>
  <c r="AF22" i="2"/>
  <c r="AE22" i="2"/>
  <c r="AD22" i="2"/>
  <c r="D4" i="1"/>
  <c r="D5" i="1" s="1"/>
  <c r="AQ32" i="2"/>
  <c r="AQ29" i="2"/>
  <c r="AD33" i="2"/>
  <c r="AD32" i="2"/>
  <c r="AD31" i="2"/>
  <c r="AD30" i="2"/>
  <c r="AN29" i="2"/>
  <c r="AM29" i="2"/>
  <c r="AL29" i="2"/>
  <c r="AK29" i="2"/>
  <c r="AJ29" i="2"/>
  <c r="AI29" i="2"/>
  <c r="AH29" i="2"/>
  <c r="AG29" i="2"/>
  <c r="AF29" i="2"/>
  <c r="AE29" i="2"/>
  <c r="AD29" i="2"/>
  <c r="AD28" i="2"/>
  <c r="AD27" i="2"/>
  <c r="AN26" i="2"/>
  <c r="AM26" i="2"/>
  <c r="AL26" i="2"/>
  <c r="AK26" i="2"/>
  <c r="AJ26" i="2"/>
  <c r="AI26" i="2"/>
  <c r="AH26" i="2"/>
  <c r="AG26" i="2"/>
  <c r="AF26" i="2"/>
  <c r="AE26" i="2"/>
  <c r="AD26" i="2"/>
  <c r="AE25" i="2"/>
  <c r="AD25" i="2"/>
  <c r="AE15" i="2"/>
  <c r="AE18" i="2" s="1"/>
  <c r="AE12" i="2"/>
  <c r="AF12" i="2" s="1"/>
  <c r="AG12" i="2" s="1"/>
  <c r="AH12" i="2" s="1"/>
  <c r="AI12" i="2" s="1"/>
  <c r="AJ12" i="2" s="1"/>
  <c r="AK12" i="2" s="1"/>
  <c r="AL12" i="2" s="1"/>
  <c r="AM12" i="2" s="1"/>
  <c r="AN12" i="2" s="1"/>
  <c r="AE11" i="2"/>
  <c r="AF11" i="2" s="1"/>
  <c r="AG11" i="2" s="1"/>
  <c r="AH11" i="2" s="1"/>
  <c r="AI11" i="2" s="1"/>
  <c r="AJ11" i="2" s="1"/>
  <c r="AK11" i="2" s="1"/>
  <c r="AL11" i="2" s="1"/>
  <c r="AM11" i="2" s="1"/>
  <c r="AN11" i="2" s="1"/>
  <c r="AE10" i="2"/>
  <c r="AE13" i="2" s="1"/>
  <c r="AN7" i="2"/>
  <c r="AM7" i="2"/>
  <c r="AL7" i="2"/>
  <c r="AK7" i="2"/>
  <c r="AJ7" i="2"/>
  <c r="AI7" i="2"/>
  <c r="AH7" i="2"/>
  <c r="AG7" i="2"/>
  <c r="AF7" i="2"/>
  <c r="AE7" i="2"/>
  <c r="AD18" i="2"/>
  <c r="AD15" i="2"/>
  <c r="AD13" i="2"/>
  <c r="AD12" i="2"/>
  <c r="AD11" i="2"/>
  <c r="AD10" i="2"/>
  <c r="AD8" i="2"/>
  <c r="AD9" i="2" s="1"/>
  <c r="AD7" i="2"/>
  <c r="AE6" i="2"/>
  <c r="AE28" i="2" s="1"/>
  <c r="AD6" i="2"/>
  <c r="AE5" i="2"/>
  <c r="AE27" i="2" s="1"/>
  <c r="AD5" i="2"/>
  <c r="AF4" i="2"/>
  <c r="AG4" i="2" s="1"/>
  <c r="AH4" i="2" s="1"/>
  <c r="AI4" i="2" s="1"/>
  <c r="AJ4" i="2" s="1"/>
  <c r="AK4" i="2" s="1"/>
  <c r="AL4" i="2" s="1"/>
  <c r="AM4" i="2" s="1"/>
  <c r="AN4" i="2" s="1"/>
  <c r="AE4" i="2"/>
  <c r="AF3" i="2"/>
  <c r="AG3" i="2" s="1"/>
  <c r="AH3" i="2" s="1"/>
  <c r="AI3" i="2" s="1"/>
  <c r="AJ3" i="2" s="1"/>
  <c r="AK3" i="2" s="1"/>
  <c r="AL3" i="2" s="1"/>
  <c r="AM3" i="2" s="1"/>
  <c r="AN3" i="2" s="1"/>
  <c r="AN5" i="2" s="1"/>
  <c r="AD3" i="2"/>
  <c r="AD4" i="2"/>
  <c r="AB33" i="2"/>
  <c r="AA33" i="2"/>
  <c r="Z33" i="2"/>
  <c r="Y33" i="2"/>
  <c r="X33" i="2"/>
  <c r="AB32" i="2"/>
  <c r="AA32" i="2"/>
  <c r="Z32" i="2"/>
  <c r="Y32" i="2"/>
  <c r="X32" i="2"/>
  <c r="AB31" i="2"/>
  <c r="AA31" i="2"/>
  <c r="Z31" i="2"/>
  <c r="Y31" i="2"/>
  <c r="X31" i="2"/>
  <c r="AB30" i="2"/>
  <c r="AA30" i="2"/>
  <c r="Z30" i="2"/>
  <c r="Y30" i="2"/>
  <c r="X30" i="2"/>
  <c r="AB29" i="2"/>
  <c r="AA29" i="2"/>
  <c r="Z29" i="2"/>
  <c r="Y29" i="2"/>
  <c r="X29" i="2"/>
  <c r="AB28" i="2"/>
  <c r="AA28" i="2"/>
  <c r="Z28" i="2"/>
  <c r="Y28" i="2"/>
  <c r="X28" i="2"/>
  <c r="AB27" i="2"/>
  <c r="AA27" i="2"/>
  <c r="Z27" i="2"/>
  <c r="Y27" i="2"/>
  <c r="AB26" i="2"/>
  <c r="AA26" i="2"/>
  <c r="Z26" i="2"/>
  <c r="Y26" i="2"/>
  <c r="AB25" i="2"/>
  <c r="AA25" i="2"/>
  <c r="Z25" i="2"/>
  <c r="Y25" i="2"/>
  <c r="AC30" i="2"/>
  <c r="AC29" i="2"/>
  <c r="AC28" i="2"/>
  <c r="AC27" i="2"/>
  <c r="AC26" i="2"/>
  <c r="AC25" i="2"/>
  <c r="X22" i="2"/>
  <c r="X18" i="2"/>
  <c r="X13" i="2"/>
  <c r="X8" i="2"/>
  <c r="X5" i="2"/>
  <c r="Y22" i="2"/>
  <c r="Y18" i="2"/>
  <c r="Y13" i="2"/>
  <c r="Y8" i="2"/>
  <c r="Y5" i="2"/>
  <c r="Y9" i="2" s="1"/>
  <c r="Y14" i="2" s="1"/>
  <c r="Z22" i="2"/>
  <c r="Z18" i="2"/>
  <c r="Z13" i="2"/>
  <c r="Z8" i="2"/>
  <c r="Z5" i="2"/>
  <c r="AA22" i="2"/>
  <c r="AA18" i="2"/>
  <c r="AA13" i="2"/>
  <c r="AA8" i="2"/>
  <c r="AA5" i="2"/>
  <c r="AA9" i="2" s="1"/>
  <c r="AB22" i="2"/>
  <c r="AB18" i="2"/>
  <c r="AB13" i="2"/>
  <c r="AB8" i="2"/>
  <c r="AB5" i="2"/>
  <c r="AC22" i="2"/>
  <c r="AC18" i="2"/>
  <c r="AC13" i="2"/>
  <c r="AC8" i="2"/>
  <c r="AC9" i="2" s="1"/>
  <c r="AC5" i="2"/>
  <c r="D7" i="1"/>
  <c r="D8" i="1" s="1"/>
  <c r="D6" i="1"/>
  <c r="F3" i="1"/>
  <c r="AG6" i="2" l="1"/>
  <c r="AG28" i="2" s="1"/>
  <c r="AM6" i="2"/>
  <c r="AJ25" i="2"/>
  <c r="AL25" i="2"/>
  <c r="AH5" i="2"/>
  <c r="AJ5" i="2"/>
  <c r="AI5" i="2"/>
  <c r="AI27" i="2" s="1"/>
  <c r="AF6" i="2"/>
  <c r="AF28" i="2" s="1"/>
  <c r="AN6" i="2"/>
  <c r="AN28" i="2" s="1"/>
  <c r="AK25" i="2"/>
  <c r="AK5" i="2"/>
  <c r="AH6" i="2"/>
  <c r="AH8" i="2" s="1"/>
  <c r="AM25" i="2"/>
  <c r="AE8" i="2"/>
  <c r="AE9" i="2" s="1"/>
  <c r="AM8" i="2"/>
  <c r="AL5" i="2"/>
  <c r="AL27" i="2" s="1"/>
  <c r="AI6" i="2"/>
  <c r="AF25" i="2"/>
  <c r="AN25" i="2"/>
  <c r="AM28" i="2"/>
  <c r="AF5" i="2"/>
  <c r="AF27" i="2" s="1"/>
  <c r="AK6" i="2"/>
  <c r="AK28" i="2" s="1"/>
  <c r="AH25" i="2"/>
  <c r="AM5" i="2"/>
  <c r="AJ6" i="2"/>
  <c r="AJ8" i="2" s="1"/>
  <c r="AG25" i="2"/>
  <c r="AG5" i="2"/>
  <c r="AL6" i="2"/>
  <c r="AL28" i="2" s="1"/>
  <c r="AI25" i="2"/>
  <c r="AH28" i="2"/>
  <c r="P9" i="2"/>
  <c r="P30" i="2" s="1"/>
  <c r="T9" i="2"/>
  <c r="T30" i="2" s="1"/>
  <c r="D9" i="1"/>
  <c r="AF10" i="2"/>
  <c r="AF15" i="2"/>
  <c r="AD14" i="2"/>
  <c r="AD19" i="2" s="1"/>
  <c r="X9" i="2"/>
  <c r="X14" i="2" s="1"/>
  <c r="X19" i="2" s="1"/>
  <c r="X21" i="2" s="1"/>
  <c r="X23" i="2" s="1"/>
  <c r="Y19" i="2"/>
  <c r="Y21" i="2" s="1"/>
  <c r="Y23" i="2" s="1"/>
  <c r="Z9" i="2"/>
  <c r="Z14" i="2" s="1"/>
  <c r="Z19" i="2" s="1"/>
  <c r="Z21" i="2" s="1"/>
  <c r="Z23" i="2" s="1"/>
  <c r="AA14" i="2"/>
  <c r="AA19" i="2" s="1"/>
  <c r="AA21" i="2" s="1"/>
  <c r="AA23" i="2" s="1"/>
  <c r="AB9" i="2"/>
  <c r="AB14" i="2" s="1"/>
  <c r="AB19" i="2" s="1"/>
  <c r="AB21" i="2" s="1"/>
  <c r="AB23" i="2" s="1"/>
  <c r="AC14" i="2"/>
  <c r="AJ9" i="2" l="1"/>
  <c r="AJ30" i="2" s="1"/>
  <c r="AH9" i="2"/>
  <c r="AH30" i="2" s="1"/>
  <c r="AM27" i="2"/>
  <c r="AG27" i="2"/>
  <c r="AN8" i="2"/>
  <c r="AN9" i="2" s="1"/>
  <c r="AN30" i="2" s="1"/>
  <c r="AG8" i="2"/>
  <c r="AG9" i="2" s="1"/>
  <c r="AG30" i="2" s="1"/>
  <c r="AK27" i="2"/>
  <c r="AE14" i="2"/>
  <c r="AE30" i="2"/>
  <c r="AL8" i="2"/>
  <c r="AL9" i="2" s="1"/>
  <c r="AL30" i="2" s="1"/>
  <c r="AI8" i="2"/>
  <c r="AI9" i="2" s="1"/>
  <c r="AI30" i="2" s="1"/>
  <c r="AI28" i="2"/>
  <c r="AK8" i="2"/>
  <c r="AK9" i="2" s="1"/>
  <c r="AK30" i="2" s="1"/>
  <c r="AJ27" i="2"/>
  <c r="AF8" i="2"/>
  <c r="AF9" i="2" s="1"/>
  <c r="AF30" i="2" s="1"/>
  <c r="AJ28" i="2"/>
  <c r="AH27" i="2"/>
  <c r="AM9" i="2"/>
  <c r="AM30" i="2" s="1"/>
  <c r="AN27" i="2"/>
  <c r="P14" i="2"/>
  <c r="P31" i="2" s="1"/>
  <c r="T14" i="2"/>
  <c r="T31" i="2" s="1"/>
  <c r="AD20" i="2"/>
  <c r="AD21" i="2" s="1"/>
  <c r="AD23" i="2" s="1"/>
  <c r="AF18" i="2"/>
  <c r="AG15" i="2"/>
  <c r="AF13" i="2"/>
  <c r="AG10" i="2"/>
  <c r="AC19" i="2"/>
  <c r="AC31" i="2"/>
  <c r="AF14" i="2" l="1"/>
  <c r="AE19" i="2"/>
  <c r="AE31" i="2"/>
  <c r="P19" i="2"/>
  <c r="P32" i="2" s="1"/>
  <c r="T19" i="2"/>
  <c r="AH10" i="2"/>
  <c r="AG13" i="2"/>
  <c r="AG14" i="2" s="1"/>
  <c r="AG18" i="2"/>
  <c r="AH15" i="2"/>
  <c r="AC21" i="2"/>
  <c r="AC32" i="2"/>
  <c r="AG19" i="2" l="1"/>
  <c r="AG20" i="2" s="1"/>
  <c r="AG31" i="2"/>
  <c r="AE20" i="2"/>
  <c r="AE32" i="2" s="1"/>
  <c r="AF19" i="2"/>
  <c r="AF20" i="2" s="1"/>
  <c r="AF31" i="2"/>
  <c r="P21" i="2"/>
  <c r="P33" i="2" s="1"/>
  <c r="T32" i="2"/>
  <c r="T21" i="2"/>
  <c r="AI10" i="2"/>
  <c r="AH13" i="2"/>
  <c r="AH14" i="2" s="1"/>
  <c r="AH18" i="2"/>
  <c r="AI15" i="2"/>
  <c r="AC33" i="2"/>
  <c r="AC23" i="2"/>
  <c r="AE21" i="2" l="1"/>
  <c r="AE23" i="2" s="1"/>
  <c r="AG21" i="2"/>
  <c r="AG32" i="2"/>
  <c r="AF21" i="2"/>
  <c r="AF32" i="2"/>
  <c r="AH19" i="2"/>
  <c r="AH20" i="2" s="1"/>
  <c r="AH31" i="2"/>
  <c r="AE33" i="2"/>
  <c r="P23" i="2"/>
  <c r="T33" i="2"/>
  <c r="T23" i="2"/>
  <c r="AJ15" i="2"/>
  <c r="AI18" i="2"/>
  <c r="AJ10" i="2"/>
  <c r="AI13" i="2"/>
  <c r="AI14" i="2" s="1"/>
  <c r="AH21" i="2" l="1"/>
  <c r="AH32" i="2"/>
  <c r="AF23" i="2"/>
  <c r="AF33" i="2"/>
  <c r="AI19" i="2"/>
  <c r="AI20" i="2" s="1"/>
  <c r="AI31" i="2"/>
  <c r="AG23" i="2"/>
  <c r="AG33" i="2"/>
  <c r="AK10" i="2"/>
  <c r="AJ13" i="2"/>
  <c r="AJ14" i="2" s="1"/>
  <c r="AK15" i="2"/>
  <c r="AJ18" i="2"/>
  <c r="AI21" i="2" l="1"/>
  <c r="AI32" i="2"/>
  <c r="AJ19" i="2"/>
  <c r="AJ20" i="2" s="1"/>
  <c r="AJ31" i="2"/>
  <c r="AH23" i="2"/>
  <c r="AH33" i="2"/>
  <c r="AK18" i="2"/>
  <c r="AL15" i="2"/>
  <c r="AL10" i="2"/>
  <c r="AK13" i="2"/>
  <c r="AK14" i="2" s="1"/>
  <c r="AK19" i="2" l="1"/>
  <c r="AK20" i="2" s="1"/>
  <c r="AK31" i="2"/>
  <c r="AJ21" i="2"/>
  <c r="AJ32" i="2"/>
  <c r="AI23" i="2"/>
  <c r="AI33" i="2"/>
  <c r="AL13" i="2"/>
  <c r="AL14" i="2" s="1"/>
  <c r="AL31" i="2" s="1"/>
  <c r="AM10" i="2"/>
  <c r="AL18" i="2"/>
  <c r="AM15" i="2"/>
  <c r="AK21" i="2" l="1"/>
  <c r="AK32" i="2"/>
  <c r="AJ23" i="2"/>
  <c r="AJ33" i="2"/>
  <c r="AM18" i="2"/>
  <c r="AN15" i="2"/>
  <c r="AN18" i="2" s="1"/>
  <c r="AM13" i="2"/>
  <c r="AM14" i="2" s="1"/>
  <c r="AN10" i="2"/>
  <c r="AN13" i="2" s="1"/>
  <c r="AN14" i="2" s="1"/>
  <c r="AL19" i="2"/>
  <c r="AM19" i="2" l="1"/>
  <c r="AM20" i="2" s="1"/>
  <c r="AM32" i="2" s="1"/>
  <c r="AM31" i="2"/>
  <c r="AN19" i="2"/>
  <c r="AN20" i="2" s="1"/>
  <c r="AN31" i="2"/>
  <c r="AK23" i="2"/>
  <c r="AK33" i="2"/>
  <c r="AL20" i="2"/>
  <c r="AL32" i="2" s="1"/>
  <c r="AL21" i="2"/>
  <c r="AN21" i="2" l="1"/>
  <c r="AN32" i="2"/>
  <c r="AM21" i="2"/>
  <c r="AL23" i="2"/>
  <c r="AL33" i="2"/>
  <c r="AM23" i="2" l="1"/>
  <c r="AM33" i="2"/>
  <c r="AN23" i="2"/>
  <c r="AO21" i="2"/>
  <c r="AN33" i="2"/>
  <c r="AP21" i="2" l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EG21" i="2" s="1"/>
  <c r="EH21" i="2" s="1"/>
  <c r="AQ28" i="2" s="1"/>
  <c r="AQ30" i="2" s="1"/>
  <c r="AQ31" i="2" s="1"/>
  <c r="AQ33" i="2" s="1"/>
</calcChain>
</file>

<file path=xl/sharedStrings.xml><?xml version="1.0" encoding="utf-8"?>
<sst xmlns="http://schemas.openxmlformats.org/spreadsheetml/2006/main" count="78" uniqueCount="72">
  <si>
    <t>LMT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</si>
  <si>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</si>
  <si>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</si>
  <si>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</si>
  <si>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</si>
  <si>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</si>
  <si>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</si>
  <si>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</si>
  <si>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</si>
  <si>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</si>
  <si>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</si>
  <si>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</si>
  <si>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Gross profit</t>
  </si>
  <si>
    <t>Q122</t>
  </si>
  <si>
    <t>Q121</t>
  </si>
  <si>
    <t>Q221</t>
  </si>
  <si>
    <t>Q321</t>
  </si>
  <si>
    <t>Q421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</si>
  <si>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</si>
  <si>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</si>
  <si>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</si>
  <si>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</si>
  <si>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</si>
  <si>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</si>
  <si>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</si>
  <si>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</si>
  <si>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</si>
  <si>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</si>
  <si>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</si>
  <si>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</si>
  <si>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</si>
  <si>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</si>
  <si>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</t>
  </si>
  <si>
    <t>Total revenue</t>
  </si>
  <si>
    <t>Product cost</t>
  </si>
  <si>
    <t>Service cost</t>
  </si>
  <si>
    <t>Service revenue</t>
  </si>
  <si>
    <t>Total cost of sales</t>
  </si>
  <si>
    <t>Other operating expense</t>
  </si>
  <si>
    <t>Impairment</t>
  </si>
  <si>
    <t>Operating profit</t>
  </si>
  <si>
    <t>Interest expense</t>
  </si>
  <si>
    <t>Other expense</t>
  </si>
  <si>
    <t>Other income</t>
  </si>
  <si>
    <t>Pretax profit</t>
  </si>
  <si>
    <t>Taxes</t>
  </si>
  <si>
    <t>Net profit</t>
  </si>
  <si>
    <t>EPS</t>
  </si>
  <si>
    <t>Total operating expense</t>
  </si>
  <si>
    <t>Total other income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</si>
  <si>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</si>
  <si>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</si>
  <si>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</si>
  <si>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</si>
  <si>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</si>
  <si>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</si>
  <si>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</si>
  <si>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Net Margin</t>
  </si>
  <si>
    <t>F-35 Lightning II – international multi-role, multi-variant, fifth generation stealth fighter.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</si>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</sst>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color theme="0"/>
      <name val="Times New Roman"/>
      <family val="1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5" fillId="2" borderId="1" xfId="0" applyFont="1" applyFill="1" applyBorder="1"/>
    <xf numFmtId="0" fontId="3" fillId="2" borderId="1" xfId="0" applyFont="1" applyFill="1" applyBorder="1" applyAlignment="1">
      <alignment horizontal="right"/>
    </xf>
    <xf numFmtId="3" fontId="2" fillId="2" borderId="1" xfId="0" applyNumberFormat="1" applyFont="1" applyFill="1" applyBorder="1"/>
    <xf numFmtId="4" fontId="3" fillId="2" borderId="1" xfId="0" applyNumberFormat="1" applyFont="1" applyFill="1" applyBorder="1"/>
    <xf numFmtId="9" fontId="3" fillId="2" borderId="1" xfId="0" applyNumberFormat="1" applyFont="1" applyFill="1" applyBorder="1"/>
    <xf numFmtId="9" fontId="2" fillId="2" borderId="1" xfId="0" applyNumberFormat="1" applyFont="1" applyFill="1" applyBorder="1"/>
    <xf numFmtId="0" fontId="6" fillId="2" borderId="1" xfId="0" applyFont="1" applyFill="1" applyBorder="1"/>
    <xf numFmtId="165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22860</xdr:colOff>
      <xdr:row>0</xdr:row>
      <xdr:rowOff>7620</xdr:rowOff>
    </xdr:from>
    <xdr:to>
      <xdr:col>29</xdr:col>
      <xdr:colOff>22860</xdr:colOff>
      <xdr:row>44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A60D279-C8C6-7CE4-5B63-8F81BEFF7015}"/>
            </a:ext>
          </a:extLst>
        </xdr:cNvPr>
        <xdr:cNvCxnSpPr/>
      </xdr:nvCxnSpPr>
      <xdr:spPr>
        <a:xfrm>
          <a:off x="1855470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30480</xdr:colOff>
      <xdr:row>0</xdr:row>
      <xdr:rowOff>15240</xdr:rowOff>
    </xdr:from>
    <xdr:to>
      <xdr:col>20</xdr:col>
      <xdr:colOff>30480</xdr:colOff>
      <xdr:row>35</xdr:row>
      <xdr:rowOff>129540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559E68FC-5552-55D2-1470-DA65AB1929AC}"/>
            </a:ext>
          </a:extLst>
        </xdr:cNvPr>
        <xdr:cNvCxnSpPr/>
      </xdr:nvCxnSpPr>
      <xdr:spPr>
        <a:xfrm>
          <a:off x="13075920" y="15240"/>
          <a:ext cx="0" cy="6515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DF56-AB54-467A-BB12-2C9E3FB633E0}">
  <dimension ref="B2:J9"/>
  <sheetViews>
    <sheetView workbookViewId="0">
      <selection activeCell="D3" sqref="D3"/>
    </sheetView>
  </sheetViews>
  <sheetFormatPr defaultRowHeight="14.4" x14ac:dyDescent="0.3"/>
  <cols>
    <col min="1" max="4" width="8.88671875" style="1"/>
    <col min="5" max="7" width="14.44140625" style="2" customWidth="1"/>
    <col min="8" max="16384" width="8.88671875" style="1"/>
  </cols>
  <sheetData>
    <row r="2" spans="2:10" x14ac:dyDescent="0.3">
      <c r="E2" s="2" t="s">
        <v>8</v>
      </c>
      <c r="F2" s="2" t="s">
        <v>9</v>
      </c>
      <c r="G2" s="2" t="s">
        <v>10</v>
      </c>
    </row>
    <row r="3" spans="2:10" x14ac:dyDescent="0.3">
      <c r="B3" s="3" t="s">
        <v>0</v>
      </c>
      <c r="C3" s="1" t="s">
        <v>1</v>
      </c>
      <c r="D3" s="4">
        <v>504.49</v>
      </c>
      <c r="E3" s="5">
        <v>45934</v>
      </c>
      <c r="F3" s="5">
        <f ca="1">TODAY()</f>
        <v>45934</v>
      </c>
      <c r="G3" s="5">
        <v>45958</v>
      </c>
    </row>
    <row r="4" spans="2:10" x14ac:dyDescent="0.3">
      <c r="C4" s="1" t="s">
        <v>2</v>
      </c>
      <c r="D4" s="6">
        <f>233.5</f>
        <v>233.5</v>
      </c>
      <c r="E4" s="2" t="s">
        <v>29</v>
      </c>
    </row>
    <row r="5" spans="2:10" x14ac:dyDescent="0.3">
      <c r="C5" s="1" t="s">
        <v>3</v>
      </c>
      <c r="D5" s="6">
        <f>D3*D4</f>
        <v>117798.41500000001</v>
      </c>
    </row>
    <row r="6" spans="2:10" x14ac:dyDescent="0.3">
      <c r="C6" s="1" t="s">
        <v>4</v>
      </c>
      <c r="D6" s="6">
        <f>2483</f>
        <v>2483</v>
      </c>
      <c r="E6" s="2" t="s">
        <v>11</v>
      </c>
      <c r="J6" s="7" t="s">
        <v>58</v>
      </c>
    </row>
    <row r="7" spans="2:10" x14ac:dyDescent="0.3">
      <c r="C7" s="1" t="s">
        <v>5</v>
      </c>
      <c r="D7" s="6">
        <f>643+19627</f>
        <v>20270</v>
      </c>
      <c r="E7" s="2" t="s">
        <v>11</v>
      </c>
    </row>
    <row r="8" spans="2:10" x14ac:dyDescent="0.3">
      <c r="C8" s="1" t="s">
        <v>6</v>
      </c>
      <c r="D8" s="6">
        <f>D6-D7</f>
        <v>-17787</v>
      </c>
    </row>
    <row r="9" spans="2:10" x14ac:dyDescent="0.3">
      <c r="C9" s="1" t="s">
        <v>7</v>
      </c>
      <c r="D9" s="6">
        <f>D5-D8</f>
        <v>135585.41500000001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3F992-CF1A-49DF-A7A3-B2026107AC3A}">
  <dimension ref="B2:EH40"/>
  <sheetViews>
    <sheetView tabSelected="1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40" sqref="T40"/>
    </sheetView>
  </sheetViews>
  <sheetFormatPr defaultRowHeight="14.4" x14ac:dyDescent="0.3"/>
  <cols>
    <col min="1" max="1" width="8.88671875" style="1"/>
    <col min="2" max="2" width="21.33203125" style="1" bestFit="1" customWidth="1"/>
    <col min="3" max="41" width="8.88671875" style="1"/>
    <col min="42" max="42" width="14.109375" style="1" customWidth="1"/>
    <col min="43" max="43" width="17.109375" style="1" customWidth="1"/>
    <col min="44" max="16384" width="8.88671875" style="1"/>
  </cols>
  <sheetData>
    <row r="2" spans="2:40" x14ac:dyDescent="0.3">
      <c r="C2" s="8" t="s">
        <v>14</v>
      </c>
      <c r="D2" s="8" t="s">
        <v>15</v>
      </c>
      <c r="E2" s="8" t="s">
        <v>16</v>
      </c>
      <c r="F2" s="8" t="s">
        <v>17</v>
      </c>
      <c r="G2" s="8" t="s">
        <v>13</v>
      </c>
      <c r="H2" s="8" t="s">
        <v>18</v>
      </c>
      <c r="I2" s="8" t="s">
        <v>19</v>
      </c>
      <c r="J2" s="8" t="s">
        <v>20</v>
      </c>
      <c r="K2" s="8" t="s">
        <v>21</v>
      </c>
      <c r="L2" s="8" t="s">
        <v>22</v>
      </c>
      <c r="M2" s="8" t="s">
        <v>23</v>
      </c>
      <c r="N2" s="8" t="s">
        <v>24</v>
      </c>
      <c r="O2" s="8" t="s">
        <v>25</v>
      </c>
      <c r="P2" s="8" t="s">
        <v>26</v>
      </c>
      <c r="Q2" s="8" t="s">
        <v>27</v>
      </c>
      <c r="R2" s="8" t="s">
        <v>11</v>
      </c>
      <c r="S2" s="8" t="s">
        <v>28</v>
      </c>
      <c r="T2" s="8" t="s">
        <v>29</v>
      </c>
      <c r="U2" s="8" t="s">
        <v>30</v>
      </c>
      <c r="V2" s="8" t="s">
        <v>31</v>
      </c>
      <c r="X2" s="1">
        <v>2019</v>
      </c>
      <c r="Y2" s="1">
        <v>2020</v>
      </c>
      <c r="Z2" s="1">
        <v>2021</v>
      </c>
      <c r="AA2" s="1">
        <v>2022</v>
      </c>
      <c r="AB2" s="1">
        <v>2023</v>
      </c>
      <c r="AC2" s="1">
        <v>2024</v>
      </c>
      <c r="AD2" s="1">
        <v>2025</v>
      </c>
      <c r="AE2" s="1">
        <v>2026</v>
      </c>
      <c r="AF2" s="1">
        <v>2027</v>
      </c>
      <c r="AG2" s="1">
        <v>2028</v>
      </c>
      <c r="AH2" s="1">
        <v>2029</v>
      </c>
      <c r="AI2" s="1">
        <v>2030</v>
      </c>
      <c r="AJ2" s="1">
        <v>2031</v>
      </c>
      <c r="AK2" s="1">
        <v>2032</v>
      </c>
      <c r="AL2" s="1">
        <v>2033</v>
      </c>
      <c r="AM2" s="1">
        <v>2034</v>
      </c>
      <c r="AN2" s="1">
        <v>2035</v>
      </c>
    </row>
    <row r="3" spans="2:40" x14ac:dyDescent="0.3">
      <c r="B3" s="1" t="s">
        <v>32</v>
      </c>
      <c r="K3" s="6">
        <v>12526</v>
      </c>
      <c r="L3" s="6">
        <v>13758</v>
      </c>
      <c r="M3" s="6">
        <v>14014</v>
      </c>
      <c r="N3" s="6">
        <f>AB3-M3-L3-K3</f>
        <v>15967</v>
      </c>
      <c r="O3" s="6">
        <v>14196</v>
      </c>
      <c r="P3" s="6">
        <v>15109</v>
      </c>
      <c r="Q3" s="6">
        <v>14472</v>
      </c>
      <c r="R3" s="6">
        <f>AC3-Q3-P3-O3</f>
        <v>15500</v>
      </c>
      <c r="S3" s="6">
        <v>14936</v>
      </c>
      <c r="T3" s="6">
        <v>15149</v>
      </c>
      <c r="X3" s="6">
        <v>50053</v>
      </c>
      <c r="Y3" s="6">
        <v>54928</v>
      </c>
      <c r="Z3" s="6">
        <v>56435</v>
      </c>
      <c r="AA3" s="6">
        <v>55466</v>
      </c>
      <c r="AB3" s="6">
        <v>56265</v>
      </c>
      <c r="AC3" s="6">
        <v>59277</v>
      </c>
      <c r="AD3" s="6">
        <f>AC3*1.02</f>
        <v>60462.54</v>
      </c>
      <c r="AE3" s="6">
        <f>AD3*1.02</f>
        <v>61671.790800000002</v>
      </c>
      <c r="AF3" s="6">
        <f t="shared" ref="AF3:AN3" si="0">AE3*1.01</f>
        <v>62288.508708000001</v>
      </c>
      <c r="AG3" s="6">
        <f t="shared" si="0"/>
        <v>62911.393795080003</v>
      </c>
      <c r="AH3" s="6">
        <f t="shared" si="0"/>
        <v>63540.507733030805</v>
      </c>
      <c r="AI3" s="6">
        <f t="shared" si="0"/>
        <v>64175.912810361115</v>
      </c>
      <c r="AJ3" s="6">
        <f t="shared" si="0"/>
        <v>64817.671938464729</v>
      </c>
      <c r="AK3" s="6">
        <f t="shared" si="0"/>
        <v>65465.848657849376</v>
      </c>
      <c r="AL3" s="6">
        <f t="shared" si="0"/>
        <v>66120.507144427873</v>
      </c>
      <c r="AM3" s="6">
        <f t="shared" si="0"/>
        <v>66781.712215872147</v>
      </c>
      <c r="AN3" s="6">
        <f t="shared" si="0"/>
        <v>67449.529338030872</v>
      </c>
    </row>
    <row r="4" spans="2:40" x14ac:dyDescent="0.3">
      <c r="B4" s="1" t="s">
        <v>36</v>
      </c>
      <c r="K4" s="6">
        <v>2600</v>
      </c>
      <c r="L4" s="6">
        <v>2935</v>
      </c>
      <c r="M4" s="6">
        <v>2864</v>
      </c>
      <c r="N4" s="6">
        <f>AB4-M4-L4-K4</f>
        <v>2907</v>
      </c>
      <c r="O4" s="6">
        <v>2999</v>
      </c>
      <c r="P4" s="6">
        <v>3013</v>
      </c>
      <c r="Q4" s="6">
        <v>2632</v>
      </c>
      <c r="R4" s="6">
        <f>AC4-Q4-P4-O4</f>
        <v>3122</v>
      </c>
      <c r="S4" s="6">
        <v>3027</v>
      </c>
      <c r="T4" s="6">
        <v>3006</v>
      </c>
      <c r="X4" s="6">
        <v>9759</v>
      </c>
      <c r="Y4" s="6">
        <v>10470</v>
      </c>
      <c r="Z4" s="6">
        <v>10609</v>
      </c>
      <c r="AA4" s="6">
        <v>10518</v>
      </c>
      <c r="AB4" s="6">
        <v>11306</v>
      </c>
      <c r="AC4" s="6">
        <v>11766</v>
      </c>
      <c r="AD4" s="6">
        <f>AC4*1.03</f>
        <v>12118.98</v>
      </c>
      <c r="AE4" s="6">
        <f>AD4*1.03</f>
        <v>12482.5494</v>
      </c>
      <c r="AF4" s="6">
        <f t="shared" ref="AF4:AN4" si="1">AE4*1.03</f>
        <v>12857.025882</v>
      </c>
      <c r="AG4" s="6">
        <f t="shared" si="1"/>
        <v>13242.73665846</v>
      </c>
      <c r="AH4" s="6">
        <f t="shared" si="1"/>
        <v>13640.018758213801</v>
      </c>
      <c r="AI4" s="6">
        <f t="shared" si="1"/>
        <v>14049.219320960216</v>
      </c>
      <c r="AJ4" s="6">
        <f t="shared" si="1"/>
        <v>14470.695900589022</v>
      </c>
      <c r="AK4" s="6">
        <f t="shared" si="1"/>
        <v>14904.816777606693</v>
      </c>
      <c r="AL4" s="6">
        <f t="shared" si="1"/>
        <v>15351.961280934895</v>
      </c>
      <c r="AM4" s="6">
        <f t="shared" si="1"/>
        <v>15812.520119362942</v>
      </c>
      <c r="AN4" s="6">
        <f t="shared" si="1"/>
        <v>16286.895722943831</v>
      </c>
    </row>
    <row r="5" spans="2:40" s="3" customFormat="1" x14ac:dyDescent="0.3">
      <c r="B5" s="3" t="s">
        <v>33</v>
      </c>
      <c r="K5" s="9">
        <f t="shared" ref="K5" si="2">K3+K4</f>
        <v>15126</v>
      </c>
      <c r="L5" s="9">
        <f t="shared" ref="L5:M5" si="3">L3+L4</f>
        <v>16693</v>
      </c>
      <c r="M5" s="9">
        <f t="shared" si="3"/>
        <v>16878</v>
      </c>
      <c r="N5" s="9">
        <f t="shared" ref="N5" si="4">N3+N4</f>
        <v>18874</v>
      </c>
      <c r="O5" s="9">
        <f t="shared" ref="O5" si="5">O3+O4</f>
        <v>17195</v>
      </c>
      <c r="P5" s="9">
        <f t="shared" ref="P5:Q5" si="6">P3+P4</f>
        <v>18122</v>
      </c>
      <c r="Q5" s="9">
        <f t="shared" si="6"/>
        <v>17104</v>
      </c>
      <c r="R5" s="9">
        <f t="shared" ref="R5" si="7">R3+R4</f>
        <v>18622</v>
      </c>
      <c r="S5" s="9">
        <f t="shared" ref="S5:T5" si="8">S3+S4</f>
        <v>17963</v>
      </c>
      <c r="T5" s="9">
        <f t="shared" si="8"/>
        <v>18155</v>
      </c>
      <c r="X5" s="9">
        <f t="shared" ref="X5:AN5" si="9">X3+X4</f>
        <v>59812</v>
      </c>
      <c r="Y5" s="9">
        <f t="shared" si="9"/>
        <v>65398</v>
      </c>
      <c r="Z5" s="9">
        <f t="shared" si="9"/>
        <v>67044</v>
      </c>
      <c r="AA5" s="9">
        <f t="shared" si="9"/>
        <v>65984</v>
      </c>
      <c r="AB5" s="9">
        <f t="shared" si="9"/>
        <v>67571</v>
      </c>
      <c r="AC5" s="9">
        <f t="shared" si="9"/>
        <v>71043</v>
      </c>
      <c r="AD5" s="9">
        <f t="shared" si="9"/>
        <v>72581.52</v>
      </c>
      <c r="AE5" s="9">
        <f t="shared" si="9"/>
        <v>74154.340200000006</v>
      </c>
      <c r="AF5" s="9">
        <f t="shared" si="9"/>
        <v>75145.534589999996</v>
      </c>
      <c r="AG5" s="9">
        <f t="shared" si="9"/>
        <v>76154.130453539998</v>
      </c>
      <c r="AH5" s="9">
        <f t="shared" si="9"/>
        <v>77180.5264912446</v>
      </c>
      <c r="AI5" s="9">
        <f t="shared" si="9"/>
        <v>78225.132131321327</v>
      </c>
      <c r="AJ5" s="9">
        <f t="shared" si="9"/>
        <v>79288.367839053753</v>
      </c>
      <c r="AK5" s="9">
        <f t="shared" si="9"/>
        <v>80370.665435456074</v>
      </c>
      <c r="AL5" s="9">
        <f t="shared" si="9"/>
        <v>81472.468425362764</v>
      </c>
      <c r="AM5" s="9">
        <f t="shared" si="9"/>
        <v>82594.232335235094</v>
      </c>
      <c r="AN5" s="9">
        <f t="shared" si="9"/>
        <v>83736.425060974696</v>
      </c>
    </row>
    <row r="6" spans="2:40" x14ac:dyDescent="0.3">
      <c r="B6" s="1" t="s">
        <v>34</v>
      </c>
      <c r="K6" s="6">
        <v>11151</v>
      </c>
      <c r="L6" s="6">
        <v>12238</v>
      </c>
      <c r="M6" s="6">
        <v>12571</v>
      </c>
      <c r="N6" s="6">
        <f t="shared" ref="N6:N7" si="10">AB6-M6-L6-K6</f>
        <v>14246</v>
      </c>
      <c r="O6" s="6">
        <v>12884</v>
      </c>
      <c r="P6" s="6">
        <v>13520</v>
      </c>
      <c r="Q6" s="6">
        <v>12964</v>
      </c>
      <c r="R6" s="6">
        <f t="shared" ref="R6:R7" si="11">AC6-Q6-P6-O6</f>
        <v>15484</v>
      </c>
      <c r="S6" s="6">
        <v>13284</v>
      </c>
      <c r="T6" s="6">
        <v>14469</v>
      </c>
      <c r="X6" s="6">
        <v>44589</v>
      </c>
      <c r="Y6" s="6">
        <v>48996</v>
      </c>
      <c r="Z6" s="6">
        <v>50273</v>
      </c>
      <c r="AA6" s="6">
        <v>49357</v>
      </c>
      <c r="AB6" s="6">
        <v>50206</v>
      </c>
      <c r="AC6" s="6">
        <v>54852</v>
      </c>
      <c r="AD6" s="6">
        <f>AD3*0.89</f>
        <v>53811.660600000003</v>
      </c>
      <c r="AE6" s="6">
        <f t="shared" ref="AE6:AN6" si="12">AE3*0.89</f>
        <v>54887.893812000002</v>
      </c>
      <c r="AF6" s="6">
        <f t="shared" si="12"/>
        <v>55436.772750119999</v>
      </c>
      <c r="AG6" s="6">
        <f t="shared" si="12"/>
        <v>55991.1404776212</v>
      </c>
      <c r="AH6" s="6">
        <f t="shared" si="12"/>
        <v>56551.05188239742</v>
      </c>
      <c r="AI6" s="6">
        <f t="shared" si="12"/>
        <v>57116.562401221396</v>
      </c>
      <c r="AJ6" s="6">
        <f t="shared" si="12"/>
        <v>57687.728025233613</v>
      </c>
      <c r="AK6" s="6">
        <f t="shared" si="12"/>
        <v>58264.605305485944</v>
      </c>
      <c r="AL6" s="6">
        <f t="shared" si="12"/>
        <v>58847.251358540809</v>
      </c>
      <c r="AM6" s="6">
        <f t="shared" si="12"/>
        <v>59435.723872126211</v>
      </c>
      <c r="AN6" s="6">
        <f t="shared" si="12"/>
        <v>60030.081110847474</v>
      </c>
    </row>
    <row r="7" spans="2:40" x14ac:dyDescent="0.3">
      <c r="B7" s="1" t="s">
        <v>35</v>
      </c>
      <c r="K7" s="6">
        <v>2284</v>
      </c>
      <c r="L7" s="6">
        <v>2642</v>
      </c>
      <c r="M7" s="6">
        <v>2510</v>
      </c>
      <c r="N7" s="6">
        <f t="shared" si="10"/>
        <v>2591</v>
      </c>
      <c r="O7" s="6">
        <v>2603</v>
      </c>
      <c r="P7" s="6">
        <v>2582</v>
      </c>
      <c r="Q7" s="6">
        <v>2272</v>
      </c>
      <c r="R7" s="6">
        <f t="shared" si="11"/>
        <v>2760</v>
      </c>
      <c r="S7" s="6">
        <v>2640</v>
      </c>
      <c r="T7" s="6">
        <v>3130</v>
      </c>
      <c r="X7" s="6">
        <v>8731</v>
      </c>
      <c r="Y7" s="6">
        <v>9371</v>
      </c>
      <c r="Z7" s="6">
        <v>9463</v>
      </c>
      <c r="AA7" s="6">
        <v>9252</v>
      </c>
      <c r="AB7" s="6">
        <v>10027</v>
      </c>
      <c r="AC7" s="6">
        <v>10217</v>
      </c>
      <c r="AD7" s="6">
        <f>AD4*0.88</f>
        <v>10664.7024</v>
      </c>
      <c r="AE7" s="6">
        <f t="shared" ref="AE7:AN7" si="13">AE4*0.88</f>
        <v>10984.643472</v>
      </c>
      <c r="AF7" s="6">
        <f t="shared" si="13"/>
        <v>11314.18277616</v>
      </c>
      <c r="AG7" s="6">
        <f t="shared" si="13"/>
        <v>11653.6082594448</v>
      </c>
      <c r="AH7" s="6">
        <f t="shared" si="13"/>
        <v>12003.216507228144</v>
      </c>
      <c r="AI7" s="6">
        <f t="shared" si="13"/>
        <v>12363.313002444989</v>
      </c>
      <c r="AJ7" s="6">
        <f t="shared" si="13"/>
        <v>12734.212392518339</v>
      </c>
      <c r="AK7" s="6">
        <f t="shared" si="13"/>
        <v>13116.23876429389</v>
      </c>
      <c r="AL7" s="6">
        <f t="shared" si="13"/>
        <v>13509.725927222707</v>
      </c>
      <c r="AM7" s="6">
        <f t="shared" si="13"/>
        <v>13915.017705039389</v>
      </c>
      <c r="AN7" s="6">
        <f t="shared" si="13"/>
        <v>14332.468236190571</v>
      </c>
    </row>
    <row r="8" spans="2:40" x14ac:dyDescent="0.3">
      <c r="B8" s="1" t="s">
        <v>37</v>
      </c>
      <c r="K8" s="6">
        <f t="shared" ref="K8" si="14">K6+K7</f>
        <v>13435</v>
      </c>
      <c r="L8" s="6">
        <f t="shared" ref="L8:M8" si="15">L6+L7</f>
        <v>14880</v>
      </c>
      <c r="M8" s="6">
        <f t="shared" si="15"/>
        <v>15081</v>
      </c>
      <c r="N8" s="6">
        <f t="shared" ref="N8" si="16">N6+N7</f>
        <v>16837</v>
      </c>
      <c r="O8" s="6">
        <f t="shared" ref="O8" si="17">O6+O7</f>
        <v>15487</v>
      </c>
      <c r="P8" s="6">
        <f t="shared" ref="P8:Q8" si="18">P6+P7</f>
        <v>16102</v>
      </c>
      <c r="Q8" s="6">
        <f t="shared" si="18"/>
        <v>15236</v>
      </c>
      <c r="R8" s="6">
        <f t="shared" ref="R8" si="19">R6+R7</f>
        <v>18244</v>
      </c>
      <c r="S8" s="6">
        <f t="shared" ref="S8:T8" si="20">S6+S7</f>
        <v>15924</v>
      </c>
      <c r="T8" s="6">
        <f t="shared" si="20"/>
        <v>17599</v>
      </c>
      <c r="X8" s="6">
        <f t="shared" ref="X8:AC8" si="21">X6+X7</f>
        <v>53320</v>
      </c>
      <c r="Y8" s="6">
        <f t="shared" si="21"/>
        <v>58367</v>
      </c>
      <c r="Z8" s="6">
        <f t="shared" si="21"/>
        <v>59736</v>
      </c>
      <c r="AA8" s="6">
        <f t="shared" si="21"/>
        <v>58609</v>
      </c>
      <c r="AB8" s="6">
        <f t="shared" si="21"/>
        <v>60233</v>
      </c>
      <c r="AC8" s="6">
        <f t="shared" si="21"/>
        <v>65069</v>
      </c>
      <c r="AD8" s="6">
        <f t="shared" ref="AD8:AN8" si="22">AD6+AD7</f>
        <v>64476.363000000005</v>
      </c>
      <c r="AE8" s="6">
        <f t="shared" si="22"/>
        <v>65872.537284000005</v>
      </c>
      <c r="AF8" s="6">
        <f t="shared" si="22"/>
        <v>66750.955526279999</v>
      </c>
      <c r="AG8" s="6">
        <f t="shared" si="22"/>
        <v>67644.748737065995</v>
      </c>
      <c r="AH8" s="6">
        <f t="shared" si="22"/>
        <v>68554.268389625562</v>
      </c>
      <c r="AI8" s="6">
        <f t="shared" si="22"/>
        <v>69479.875403666389</v>
      </c>
      <c r="AJ8" s="6">
        <f t="shared" si="22"/>
        <v>70421.940417751946</v>
      </c>
      <c r="AK8" s="6">
        <f t="shared" si="22"/>
        <v>71380.844069779836</v>
      </c>
      <c r="AL8" s="6">
        <f t="shared" si="22"/>
        <v>72356.977285763511</v>
      </c>
      <c r="AM8" s="6">
        <f t="shared" si="22"/>
        <v>73350.741577165594</v>
      </c>
      <c r="AN8" s="6">
        <f t="shared" si="22"/>
        <v>74362.549347038046</v>
      </c>
    </row>
    <row r="9" spans="2:40" s="3" customFormat="1" x14ac:dyDescent="0.3">
      <c r="B9" s="3" t="s">
        <v>12</v>
      </c>
      <c r="K9" s="9">
        <f t="shared" ref="K9" si="23">K5-K8</f>
        <v>1691</v>
      </c>
      <c r="L9" s="9">
        <f t="shared" ref="L9:M9" si="24">L5-L8</f>
        <v>1813</v>
      </c>
      <c r="M9" s="9">
        <f t="shared" si="24"/>
        <v>1797</v>
      </c>
      <c r="N9" s="9">
        <f t="shared" ref="N9" si="25">N5-N8</f>
        <v>2037</v>
      </c>
      <c r="O9" s="9">
        <f t="shared" ref="O9" si="26">O5-O8</f>
        <v>1708</v>
      </c>
      <c r="P9" s="9">
        <f t="shared" ref="P9:Q9" si="27">P5-P8</f>
        <v>2020</v>
      </c>
      <c r="Q9" s="9">
        <f t="shared" si="27"/>
        <v>1868</v>
      </c>
      <c r="R9" s="9">
        <f t="shared" ref="R9" si="28">R5-R8</f>
        <v>378</v>
      </c>
      <c r="S9" s="9">
        <f t="shared" ref="S9:T9" si="29">S5-S8</f>
        <v>2039</v>
      </c>
      <c r="T9" s="9">
        <f t="shared" si="29"/>
        <v>556</v>
      </c>
      <c r="X9" s="9">
        <f t="shared" ref="X9:AC9" si="30">X5-X8</f>
        <v>6492</v>
      </c>
      <c r="Y9" s="9">
        <f t="shared" si="30"/>
        <v>7031</v>
      </c>
      <c r="Z9" s="9">
        <f t="shared" si="30"/>
        <v>7308</v>
      </c>
      <c r="AA9" s="9">
        <f t="shared" si="30"/>
        <v>7375</v>
      </c>
      <c r="AB9" s="9">
        <f t="shared" si="30"/>
        <v>7338</v>
      </c>
      <c r="AC9" s="9">
        <f t="shared" si="30"/>
        <v>5974</v>
      </c>
      <c r="AD9" s="9">
        <f t="shared" ref="AD9:AN9" si="31">AD5-AD8</f>
        <v>8105.1569999999992</v>
      </c>
      <c r="AE9" s="9">
        <f t="shared" si="31"/>
        <v>8281.8029160000006</v>
      </c>
      <c r="AF9" s="9">
        <f t="shared" si="31"/>
        <v>8394.5790637199971</v>
      </c>
      <c r="AG9" s="9">
        <f t="shared" si="31"/>
        <v>8509.381716474003</v>
      </c>
      <c r="AH9" s="9">
        <f t="shared" si="31"/>
        <v>8626.2581016190379</v>
      </c>
      <c r="AI9" s="9">
        <f t="shared" si="31"/>
        <v>8745.256727654938</v>
      </c>
      <c r="AJ9" s="9">
        <f t="shared" si="31"/>
        <v>8866.427421301807</v>
      </c>
      <c r="AK9" s="9">
        <f t="shared" si="31"/>
        <v>8989.8213656762382</v>
      </c>
      <c r="AL9" s="9">
        <f t="shared" si="31"/>
        <v>9115.4911395992531</v>
      </c>
      <c r="AM9" s="9">
        <f t="shared" si="31"/>
        <v>9243.4907580694999</v>
      </c>
      <c r="AN9" s="9">
        <f t="shared" si="31"/>
        <v>9373.8757139366498</v>
      </c>
    </row>
    <row r="10" spans="2:40" x14ac:dyDescent="0.3">
      <c r="B10" s="1" t="s">
        <v>39</v>
      </c>
      <c r="K10" s="6"/>
      <c r="L10" s="6"/>
      <c r="M10" s="6"/>
      <c r="N10" s="6"/>
      <c r="O10" s="6"/>
      <c r="P10" s="6">
        <v>87</v>
      </c>
      <c r="Q10" s="6"/>
      <c r="R10" s="6">
        <f t="shared" ref="R10:R12" si="32">AC10-Q10-P10-O10</f>
        <v>0</v>
      </c>
      <c r="S10" s="6"/>
      <c r="T10" s="6">
        <v>66</v>
      </c>
      <c r="X10" s="6">
        <v>0</v>
      </c>
      <c r="Y10" s="6">
        <v>27</v>
      </c>
      <c r="Z10" s="6">
        <v>36</v>
      </c>
      <c r="AA10" s="6">
        <v>100</v>
      </c>
      <c r="AB10" s="6">
        <v>92</v>
      </c>
      <c r="AC10" s="6">
        <v>87</v>
      </c>
      <c r="AD10" s="6">
        <f>AC10*1.03</f>
        <v>89.61</v>
      </c>
      <c r="AE10" s="6">
        <f t="shared" ref="AE10:AN10" si="33">AD10*1.03</f>
        <v>92.298299999999998</v>
      </c>
      <c r="AF10" s="6">
        <f t="shared" si="33"/>
        <v>95.067249000000004</v>
      </c>
      <c r="AG10" s="6">
        <f t="shared" si="33"/>
        <v>97.919266470000011</v>
      </c>
      <c r="AH10" s="6">
        <f t="shared" si="33"/>
        <v>100.85684446410001</v>
      </c>
      <c r="AI10" s="6">
        <f t="shared" si="33"/>
        <v>103.88254979802301</v>
      </c>
      <c r="AJ10" s="6">
        <f t="shared" si="33"/>
        <v>106.9990262919637</v>
      </c>
      <c r="AK10" s="6">
        <f t="shared" si="33"/>
        <v>110.20899708072261</v>
      </c>
      <c r="AL10" s="6">
        <f t="shared" si="33"/>
        <v>113.51526699314429</v>
      </c>
      <c r="AM10" s="6">
        <f t="shared" si="33"/>
        <v>116.92072500293862</v>
      </c>
      <c r="AN10" s="6">
        <f t="shared" si="33"/>
        <v>120.42834675302679</v>
      </c>
    </row>
    <row r="11" spans="2:40" x14ac:dyDescent="0.3">
      <c r="B11" s="1" t="s">
        <v>38</v>
      </c>
      <c r="K11" s="6">
        <v>-355</v>
      </c>
      <c r="L11" s="6">
        <v>-277</v>
      </c>
      <c r="M11" s="6">
        <v>-251</v>
      </c>
      <c r="N11" s="6">
        <f t="shared" ref="N11:N12" si="34">AB11-M11-L11-K11</f>
        <v>-350</v>
      </c>
      <c r="O11" s="6">
        <v>-285</v>
      </c>
      <c r="P11" s="6">
        <v>-197</v>
      </c>
      <c r="Q11" s="6">
        <v>-249</v>
      </c>
      <c r="R11" s="6">
        <f t="shared" si="32"/>
        <v>-312</v>
      </c>
      <c r="S11" s="6">
        <v>-284</v>
      </c>
      <c r="T11" s="6">
        <v>-244</v>
      </c>
      <c r="X11" s="6">
        <v>-1875</v>
      </c>
      <c r="Y11" s="6">
        <v>-1650</v>
      </c>
      <c r="Z11" s="6">
        <v>-1789</v>
      </c>
      <c r="AA11" s="6">
        <v>-1012</v>
      </c>
      <c r="AB11" s="6">
        <v>-1233</v>
      </c>
      <c r="AC11" s="6">
        <v>-1043</v>
      </c>
      <c r="AD11" s="6">
        <f>AC11*1.01</f>
        <v>-1053.43</v>
      </c>
      <c r="AE11" s="6">
        <f t="shared" ref="AE11:AN11" si="35">AD11*1.01</f>
        <v>-1063.9643000000001</v>
      </c>
      <c r="AF11" s="6">
        <f t="shared" si="35"/>
        <v>-1074.6039430000001</v>
      </c>
      <c r="AG11" s="6">
        <f t="shared" si="35"/>
        <v>-1085.3499824300002</v>
      </c>
      <c r="AH11" s="6">
        <f t="shared" si="35"/>
        <v>-1096.2034822543003</v>
      </c>
      <c r="AI11" s="6">
        <f t="shared" si="35"/>
        <v>-1107.1655170768433</v>
      </c>
      <c r="AJ11" s="6">
        <f t="shared" si="35"/>
        <v>-1118.2371722476119</v>
      </c>
      <c r="AK11" s="6">
        <f t="shared" si="35"/>
        <v>-1129.4195439700879</v>
      </c>
      <c r="AL11" s="6">
        <f t="shared" si="35"/>
        <v>-1140.7137394097888</v>
      </c>
      <c r="AM11" s="6">
        <f t="shared" si="35"/>
        <v>-1152.1208768038866</v>
      </c>
      <c r="AN11" s="6">
        <f t="shared" si="35"/>
        <v>-1163.6420855719255</v>
      </c>
    </row>
    <row r="12" spans="2:40" x14ac:dyDescent="0.3">
      <c r="B12" s="1" t="s">
        <v>43</v>
      </c>
      <c r="K12" s="6">
        <v>9</v>
      </c>
      <c r="L12" s="6">
        <v>-45</v>
      </c>
      <c r="M12" s="6">
        <v>6</v>
      </c>
      <c r="N12" s="6">
        <f t="shared" si="34"/>
        <v>2</v>
      </c>
      <c r="O12" s="6">
        <v>-36</v>
      </c>
      <c r="P12" s="6">
        <v>-18</v>
      </c>
      <c r="Q12" s="6">
        <v>-23</v>
      </c>
      <c r="R12" s="6">
        <f t="shared" si="32"/>
        <v>-6</v>
      </c>
      <c r="S12" s="6">
        <v>-49</v>
      </c>
      <c r="T12" s="6">
        <v>-14</v>
      </c>
      <c r="X12" s="6">
        <v>-178</v>
      </c>
      <c r="Y12" s="6">
        <v>10</v>
      </c>
      <c r="Z12" s="6">
        <v>-62</v>
      </c>
      <c r="AA12" s="6">
        <v>-61</v>
      </c>
      <c r="AB12" s="6">
        <v>-28</v>
      </c>
      <c r="AC12" s="6">
        <v>-83</v>
      </c>
      <c r="AD12" s="6">
        <f>AC12*1.01</f>
        <v>-83.83</v>
      </c>
      <c r="AE12" s="6">
        <f t="shared" ref="AE12:AN12" si="36">AD12*1.01</f>
        <v>-84.668300000000002</v>
      </c>
      <c r="AF12" s="6">
        <f t="shared" si="36"/>
        <v>-85.514983000000001</v>
      </c>
      <c r="AG12" s="6">
        <f t="shared" si="36"/>
        <v>-86.370132830000003</v>
      </c>
      <c r="AH12" s="6">
        <f t="shared" si="36"/>
        <v>-87.233834158299999</v>
      </c>
      <c r="AI12" s="6">
        <f t="shared" si="36"/>
        <v>-88.106172499883002</v>
      </c>
      <c r="AJ12" s="6">
        <f t="shared" si="36"/>
        <v>-88.987234224881831</v>
      </c>
      <c r="AK12" s="6">
        <f t="shared" si="36"/>
        <v>-89.877106567130653</v>
      </c>
      <c r="AL12" s="6">
        <f t="shared" si="36"/>
        <v>-90.775877632801965</v>
      </c>
      <c r="AM12" s="6">
        <f t="shared" si="36"/>
        <v>-91.683636409129988</v>
      </c>
      <c r="AN12" s="6">
        <f t="shared" si="36"/>
        <v>-92.600472773221284</v>
      </c>
    </row>
    <row r="13" spans="2:40" x14ac:dyDescent="0.3">
      <c r="B13" s="1" t="s">
        <v>48</v>
      </c>
      <c r="K13" s="6">
        <f t="shared" ref="K13" si="37">SUM(K10:K12)</f>
        <v>-346</v>
      </c>
      <c r="L13" s="6">
        <f t="shared" ref="L13:M13" si="38">SUM(L10:L12)</f>
        <v>-322</v>
      </c>
      <c r="M13" s="6">
        <f t="shared" si="38"/>
        <v>-245</v>
      </c>
      <c r="N13" s="6">
        <f t="shared" ref="N13" si="39">SUM(N10:N12)</f>
        <v>-348</v>
      </c>
      <c r="O13" s="6">
        <f t="shared" ref="O13" si="40">SUM(O10:O12)</f>
        <v>-321</v>
      </c>
      <c r="P13" s="6">
        <f t="shared" ref="P13" si="41">SUM(P10:P12)</f>
        <v>-128</v>
      </c>
      <c r="Q13" s="6">
        <f t="shared" ref="Q13:R13" si="42">SUM(Q10:Q12)</f>
        <v>-272</v>
      </c>
      <c r="R13" s="6">
        <f t="shared" si="42"/>
        <v>-318</v>
      </c>
      <c r="S13" s="6">
        <f t="shared" ref="S13:T13" si="43">SUM(S10:S12)</f>
        <v>-333</v>
      </c>
      <c r="T13" s="6">
        <f t="shared" si="43"/>
        <v>-192</v>
      </c>
      <c r="X13" s="6">
        <f t="shared" ref="X13:AC13" si="44">SUM(X10:X12)</f>
        <v>-2053</v>
      </c>
      <c r="Y13" s="6">
        <f t="shared" si="44"/>
        <v>-1613</v>
      </c>
      <c r="Z13" s="6">
        <f t="shared" si="44"/>
        <v>-1815</v>
      </c>
      <c r="AA13" s="6">
        <f t="shared" si="44"/>
        <v>-973</v>
      </c>
      <c r="AB13" s="6">
        <f t="shared" si="44"/>
        <v>-1169</v>
      </c>
      <c r="AC13" s="6">
        <f t="shared" si="44"/>
        <v>-1039</v>
      </c>
      <c r="AD13" s="6">
        <f t="shared" ref="AD13:AN13" si="45">SUM(AD10:AD12)</f>
        <v>-1047.6500000000001</v>
      </c>
      <c r="AE13" s="6">
        <f t="shared" si="45"/>
        <v>-1056.3343</v>
      </c>
      <c r="AF13" s="6">
        <f t="shared" si="45"/>
        <v>-1065.0516770000002</v>
      </c>
      <c r="AG13" s="6">
        <f t="shared" si="45"/>
        <v>-1073.8008487900001</v>
      </c>
      <c r="AH13" s="6">
        <f t="shared" si="45"/>
        <v>-1082.5804719485002</v>
      </c>
      <c r="AI13" s="6">
        <f t="shared" si="45"/>
        <v>-1091.3891397787033</v>
      </c>
      <c r="AJ13" s="6">
        <f t="shared" si="45"/>
        <v>-1100.22538018053</v>
      </c>
      <c r="AK13" s="6">
        <f t="shared" si="45"/>
        <v>-1109.0876534564959</v>
      </c>
      <c r="AL13" s="6">
        <f t="shared" si="45"/>
        <v>-1117.9743500494465</v>
      </c>
      <c r="AM13" s="6">
        <f t="shared" si="45"/>
        <v>-1126.8837882100781</v>
      </c>
      <c r="AN13" s="6">
        <f t="shared" si="45"/>
        <v>-1135.81421159212</v>
      </c>
    </row>
    <row r="14" spans="2:40" s="3" customFormat="1" x14ac:dyDescent="0.3">
      <c r="B14" s="3" t="s">
        <v>40</v>
      </c>
      <c r="K14" s="9">
        <f t="shared" ref="K14" si="46">K9-K13</f>
        <v>2037</v>
      </c>
      <c r="L14" s="9">
        <f t="shared" ref="L14:M14" si="47">L9-L13</f>
        <v>2135</v>
      </c>
      <c r="M14" s="9">
        <f t="shared" si="47"/>
        <v>2042</v>
      </c>
      <c r="N14" s="9">
        <f t="shared" ref="N14" si="48">N9-N13</f>
        <v>2385</v>
      </c>
      <c r="O14" s="9">
        <f t="shared" ref="O14" si="49">O9-O13</f>
        <v>2029</v>
      </c>
      <c r="P14" s="9">
        <f t="shared" ref="P14:Q14" si="50">P9-P13</f>
        <v>2148</v>
      </c>
      <c r="Q14" s="9">
        <f t="shared" si="50"/>
        <v>2140</v>
      </c>
      <c r="R14" s="9">
        <f t="shared" ref="R14" si="51">R9-R13</f>
        <v>696</v>
      </c>
      <c r="S14" s="9">
        <f t="shared" ref="S14:T14" si="52">S9-S13</f>
        <v>2372</v>
      </c>
      <c r="T14" s="9">
        <f t="shared" si="52"/>
        <v>748</v>
      </c>
      <c r="X14" s="9">
        <f t="shared" ref="X14:AC14" si="53">X9-X13</f>
        <v>8545</v>
      </c>
      <c r="Y14" s="9">
        <f t="shared" si="53"/>
        <v>8644</v>
      </c>
      <c r="Z14" s="9">
        <f t="shared" si="53"/>
        <v>9123</v>
      </c>
      <c r="AA14" s="9">
        <f t="shared" si="53"/>
        <v>8348</v>
      </c>
      <c r="AB14" s="9">
        <f t="shared" si="53"/>
        <v>8507</v>
      </c>
      <c r="AC14" s="9">
        <f t="shared" si="53"/>
        <v>7013</v>
      </c>
      <c r="AD14" s="9">
        <f t="shared" ref="AD14:AN14" si="54">AD9-AD13</f>
        <v>9152.8069999999989</v>
      </c>
      <c r="AE14" s="9">
        <f t="shared" si="54"/>
        <v>9338.137216000001</v>
      </c>
      <c r="AF14" s="9">
        <f t="shared" si="54"/>
        <v>9459.6307407199965</v>
      </c>
      <c r="AG14" s="9">
        <f t="shared" si="54"/>
        <v>9583.1825652640036</v>
      </c>
      <c r="AH14" s="9">
        <f t="shared" si="54"/>
        <v>9708.8385735675383</v>
      </c>
      <c r="AI14" s="9">
        <f t="shared" si="54"/>
        <v>9836.6458674336409</v>
      </c>
      <c r="AJ14" s="9">
        <f t="shared" si="54"/>
        <v>9966.652801482338</v>
      </c>
      <c r="AK14" s="9">
        <f t="shared" si="54"/>
        <v>10098.909019132734</v>
      </c>
      <c r="AL14" s="9">
        <f t="shared" si="54"/>
        <v>10233.465489648699</v>
      </c>
      <c r="AM14" s="9">
        <f t="shared" si="54"/>
        <v>10370.374546279578</v>
      </c>
      <c r="AN14" s="9">
        <f t="shared" si="54"/>
        <v>10509.68992552877</v>
      </c>
    </row>
    <row r="15" spans="2:40" x14ac:dyDescent="0.3">
      <c r="B15" s="1" t="s">
        <v>41</v>
      </c>
      <c r="K15" s="6">
        <v>202</v>
      </c>
      <c r="L15" s="6">
        <v>223</v>
      </c>
      <c r="M15" s="6">
        <v>237</v>
      </c>
      <c r="N15" s="6">
        <f t="shared" ref="N15:N17" si="55">AB15-M15-L15-K15</f>
        <v>254</v>
      </c>
      <c r="O15" s="6">
        <v>255</v>
      </c>
      <c r="P15" s="6">
        <v>261</v>
      </c>
      <c r="Q15" s="6">
        <v>256</v>
      </c>
      <c r="R15" s="6">
        <f t="shared" ref="R15:R17" si="56">AC15-Q15-P15-O15</f>
        <v>264</v>
      </c>
      <c r="S15" s="6">
        <v>268</v>
      </c>
      <c r="T15" s="6">
        <v>274</v>
      </c>
      <c r="X15" s="6">
        <v>653</v>
      </c>
      <c r="Y15" s="6">
        <v>591</v>
      </c>
      <c r="Z15" s="6">
        <v>569</v>
      </c>
      <c r="AA15" s="6">
        <v>623</v>
      </c>
      <c r="AB15" s="6">
        <v>916</v>
      </c>
      <c r="AC15" s="6">
        <v>1036</v>
      </c>
      <c r="AD15" s="6">
        <f>AC15*1.01</f>
        <v>1046.3599999999999</v>
      </c>
      <c r="AE15" s="6">
        <f t="shared" ref="AE15:AN15" si="57">AD15*1.01</f>
        <v>1056.8235999999999</v>
      </c>
      <c r="AF15" s="6">
        <f t="shared" si="57"/>
        <v>1067.391836</v>
      </c>
      <c r="AG15" s="6">
        <f t="shared" si="57"/>
        <v>1078.06575436</v>
      </c>
      <c r="AH15" s="6">
        <f t="shared" si="57"/>
        <v>1088.8464119036</v>
      </c>
      <c r="AI15" s="6">
        <f t="shared" si="57"/>
        <v>1099.7348760226359</v>
      </c>
      <c r="AJ15" s="6">
        <f t="shared" si="57"/>
        <v>1110.7322247828622</v>
      </c>
      <c r="AK15" s="6">
        <f t="shared" si="57"/>
        <v>1121.8395470306909</v>
      </c>
      <c r="AL15" s="6">
        <f t="shared" si="57"/>
        <v>1133.0579425009978</v>
      </c>
      <c r="AM15" s="6">
        <f t="shared" si="57"/>
        <v>1144.3885219260078</v>
      </c>
      <c r="AN15" s="6">
        <f t="shared" si="57"/>
        <v>1155.8324071452678</v>
      </c>
    </row>
    <row r="16" spans="2:40" x14ac:dyDescent="0.3">
      <c r="B16" s="1" t="s">
        <v>42</v>
      </c>
      <c r="K16" s="6">
        <v>-110</v>
      </c>
      <c r="L16" s="6">
        <v>-111</v>
      </c>
      <c r="M16" s="6">
        <v>-111</v>
      </c>
      <c r="N16" s="6">
        <f t="shared" si="55"/>
        <v>-111</v>
      </c>
      <c r="O16" s="6">
        <v>-16</v>
      </c>
      <c r="P16" s="6">
        <v>-15</v>
      </c>
      <c r="Q16" s="6">
        <v>-16</v>
      </c>
      <c r="R16" s="6">
        <f t="shared" si="56"/>
        <v>-15</v>
      </c>
      <c r="S16" s="6">
        <v>98</v>
      </c>
      <c r="T16" s="6">
        <v>99</v>
      </c>
      <c r="X16" s="6">
        <v>577</v>
      </c>
      <c r="Y16" s="6">
        <v>-219</v>
      </c>
      <c r="Z16" s="6">
        <v>1292</v>
      </c>
      <c r="AA16" s="6">
        <v>971</v>
      </c>
      <c r="AB16" s="6">
        <v>-443</v>
      </c>
      <c r="AC16" s="6">
        <v>-62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</row>
    <row r="17" spans="2:138" x14ac:dyDescent="0.3">
      <c r="B17" s="1" t="s">
        <v>43</v>
      </c>
      <c r="K17" s="6">
        <v>-49</v>
      </c>
      <c r="L17" s="6">
        <v>17</v>
      </c>
      <c r="M17" s="6">
        <v>-37</v>
      </c>
      <c r="N17" s="6">
        <f t="shared" si="55"/>
        <v>5</v>
      </c>
      <c r="O17" s="6">
        <v>-45</v>
      </c>
      <c r="P17" s="6">
        <v>-46</v>
      </c>
      <c r="Q17" s="6">
        <v>-18</v>
      </c>
      <c r="R17" s="6">
        <f t="shared" si="56"/>
        <v>-72</v>
      </c>
      <c r="S17" s="6">
        <v>-30</v>
      </c>
      <c r="T17" s="6">
        <v>-42</v>
      </c>
      <c r="X17" s="6">
        <v>74</v>
      </c>
      <c r="Y17" s="6">
        <v>37</v>
      </c>
      <c r="Z17" s="6">
        <v>-288</v>
      </c>
      <c r="AA17" s="6">
        <v>74</v>
      </c>
      <c r="AB17" s="6">
        <v>-64</v>
      </c>
      <c r="AC17" s="6">
        <v>-181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</row>
    <row r="18" spans="2:138" x14ac:dyDescent="0.3">
      <c r="B18" s="1" t="s">
        <v>49</v>
      </c>
      <c r="K18" s="6">
        <f t="shared" ref="K18" si="58">SUM(K15:K17)</f>
        <v>43</v>
      </c>
      <c r="L18" s="6">
        <f t="shared" ref="L18:M18" si="59">SUM(L15:L17)</f>
        <v>129</v>
      </c>
      <c r="M18" s="6">
        <f t="shared" si="59"/>
        <v>89</v>
      </c>
      <c r="N18" s="6">
        <f t="shared" ref="N18" si="60">SUM(N15:N17)</f>
        <v>148</v>
      </c>
      <c r="O18" s="6">
        <f t="shared" ref="O18" si="61">SUM(O15:O17)</f>
        <v>194</v>
      </c>
      <c r="P18" s="6">
        <f t="shared" ref="P18" si="62">SUM(P15:P17)</f>
        <v>200</v>
      </c>
      <c r="Q18" s="6">
        <f t="shared" ref="Q18:R18" si="63">SUM(Q15:Q17)</f>
        <v>222</v>
      </c>
      <c r="R18" s="6">
        <f t="shared" si="63"/>
        <v>177</v>
      </c>
      <c r="S18" s="6">
        <f t="shared" ref="S18:T18" si="64">SUM(S15:S17)</f>
        <v>336</v>
      </c>
      <c r="T18" s="6">
        <f t="shared" si="64"/>
        <v>331</v>
      </c>
      <c r="X18" s="6">
        <f t="shared" ref="X18:AC18" si="65">SUM(X15:X17)</f>
        <v>1304</v>
      </c>
      <c r="Y18" s="6">
        <f t="shared" si="65"/>
        <v>409</v>
      </c>
      <c r="Z18" s="6">
        <f t="shared" si="65"/>
        <v>1573</v>
      </c>
      <c r="AA18" s="6">
        <f t="shared" si="65"/>
        <v>1668</v>
      </c>
      <c r="AB18" s="6">
        <f t="shared" si="65"/>
        <v>409</v>
      </c>
      <c r="AC18" s="6">
        <f t="shared" si="65"/>
        <v>793</v>
      </c>
      <c r="AD18" s="6">
        <f t="shared" ref="AD18:AN18" si="66">SUM(AD15:AD17)</f>
        <v>1046.3599999999999</v>
      </c>
      <c r="AE18" s="6">
        <f t="shared" si="66"/>
        <v>1056.8235999999999</v>
      </c>
      <c r="AF18" s="6">
        <f t="shared" si="66"/>
        <v>1067.391836</v>
      </c>
      <c r="AG18" s="6">
        <f t="shared" si="66"/>
        <v>1078.06575436</v>
      </c>
      <c r="AH18" s="6">
        <f t="shared" si="66"/>
        <v>1088.8464119036</v>
      </c>
      <c r="AI18" s="6">
        <f t="shared" si="66"/>
        <v>1099.7348760226359</v>
      </c>
      <c r="AJ18" s="6">
        <f t="shared" si="66"/>
        <v>1110.7322247828622</v>
      </c>
      <c r="AK18" s="6">
        <f t="shared" si="66"/>
        <v>1121.8395470306909</v>
      </c>
      <c r="AL18" s="6">
        <f t="shared" si="66"/>
        <v>1133.0579425009978</v>
      </c>
      <c r="AM18" s="6">
        <f t="shared" si="66"/>
        <v>1144.3885219260078</v>
      </c>
      <c r="AN18" s="6">
        <f t="shared" si="66"/>
        <v>1155.8324071452678</v>
      </c>
    </row>
    <row r="19" spans="2:138" s="3" customFormat="1" x14ac:dyDescent="0.3">
      <c r="B19" s="3" t="s">
        <v>44</v>
      </c>
      <c r="K19" s="9">
        <f t="shared" ref="K19" si="67">K14-K18</f>
        <v>1994</v>
      </c>
      <c r="L19" s="9">
        <f t="shared" ref="L19:M19" si="68">L14-L18</f>
        <v>2006</v>
      </c>
      <c r="M19" s="9">
        <f t="shared" si="68"/>
        <v>1953</v>
      </c>
      <c r="N19" s="9">
        <f t="shared" ref="N19" si="69">N14-N18</f>
        <v>2237</v>
      </c>
      <c r="O19" s="9">
        <f t="shared" ref="O19" si="70">O14-O18</f>
        <v>1835</v>
      </c>
      <c r="P19" s="9">
        <f t="shared" ref="P19:Q19" si="71">P14-P18</f>
        <v>1948</v>
      </c>
      <c r="Q19" s="9">
        <f t="shared" si="71"/>
        <v>1918</v>
      </c>
      <c r="R19" s="9">
        <f t="shared" ref="R19" si="72">R14-R18</f>
        <v>519</v>
      </c>
      <c r="S19" s="9">
        <f t="shared" ref="S19:T19" si="73">S14-S18</f>
        <v>2036</v>
      </c>
      <c r="T19" s="9">
        <f t="shared" si="73"/>
        <v>417</v>
      </c>
      <c r="X19" s="9">
        <f t="shared" ref="X19:AC19" si="74">X14-X18</f>
        <v>7241</v>
      </c>
      <c r="Y19" s="9">
        <f t="shared" si="74"/>
        <v>8235</v>
      </c>
      <c r="Z19" s="9">
        <f t="shared" si="74"/>
        <v>7550</v>
      </c>
      <c r="AA19" s="9">
        <f t="shared" si="74"/>
        <v>6680</v>
      </c>
      <c r="AB19" s="9">
        <f t="shared" si="74"/>
        <v>8098</v>
      </c>
      <c r="AC19" s="9">
        <f t="shared" si="74"/>
        <v>6220</v>
      </c>
      <c r="AD19" s="9">
        <f t="shared" ref="AD19:AN19" si="75">AD14-AD18</f>
        <v>8106.4469999999992</v>
      </c>
      <c r="AE19" s="9">
        <f t="shared" si="75"/>
        <v>8281.3136160000013</v>
      </c>
      <c r="AF19" s="9">
        <f t="shared" si="75"/>
        <v>8392.2389047199958</v>
      </c>
      <c r="AG19" s="9">
        <f t="shared" si="75"/>
        <v>8505.1168109040045</v>
      </c>
      <c r="AH19" s="9">
        <f t="shared" si="75"/>
        <v>8619.9921616639385</v>
      </c>
      <c r="AI19" s="9">
        <f t="shared" si="75"/>
        <v>8736.9109914110049</v>
      </c>
      <c r="AJ19" s="9">
        <f t="shared" si="75"/>
        <v>8855.9205766994764</v>
      </c>
      <c r="AK19" s="9">
        <f t="shared" si="75"/>
        <v>8977.0694721020427</v>
      </c>
      <c r="AL19" s="9">
        <f t="shared" si="75"/>
        <v>9100.4075471477008</v>
      </c>
      <c r="AM19" s="9">
        <f t="shared" si="75"/>
        <v>9225.9860243535695</v>
      </c>
      <c r="AN19" s="9">
        <f t="shared" si="75"/>
        <v>9353.8575183835019</v>
      </c>
    </row>
    <row r="20" spans="2:138" x14ac:dyDescent="0.3">
      <c r="B20" s="1" t="s">
        <v>45</v>
      </c>
      <c r="K20" s="6">
        <v>305</v>
      </c>
      <c r="L20" s="6">
        <v>325</v>
      </c>
      <c r="M20" s="6">
        <v>269</v>
      </c>
      <c r="N20" s="6">
        <f>AB20-M20-L20-K20</f>
        <v>279</v>
      </c>
      <c r="O20" s="6">
        <v>290</v>
      </c>
      <c r="P20" s="6">
        <v>307</v>
      </c>
      <c r="Q20" s="6">
        <v>295</v>
      </c>
      <c r="R20" s="6">
        <f>AC20-Q20-P20-O20</f>
        <v>-8</v>
      </c>
      <c r="S20" s="6">
        <v>324</v>
      </c>
      <c r="T20" s="6">
        <v>75</v>
      </c>
      <c r="X20" s="6">
        <v>1011</v>
      </c>
      <c r="Y20" s="6">
        <v>1347</v>
      </c>
      <c r="Z20" s="6">
        <v>1235</v>
      </c>
      <c r="AA20" s="6">
        <v>948</v>
      </c>
      <c r="AB20" s="6">
        <v>1178</v>
      </c>
      <c r="AC20" s="6">
        <v>884</v>
      </c>
      <c r="AD20" s="6">
        <f>AD19*0.15</f>
        <v>1215.9670499999997</v>
      </c>
      <c r="AE20" s="6">
        <f t="shared" ref="AE20:AN20" si="76">AE19*0.15</f>
        <v>1242.1970424000001</v>
      </c>
      <c r="AF20" s="6">
        <f t="shared" si="76"/>
        <v>1258.8358357079994</v>
      </c>
      <c r="AG20" s="6">
        <f t="shared" si="76"/>
        <v>1275.7675216356006</v>
      </c>
      <c r="AH20" s="6">
        <f t="shared" si="76"/>
        <v>1292.9988242495908</v>
      </c>
      <c r="AI20" s="6">
        <f t="shared" si="76"/>
        <v>1310.5366487116507</v>
      </c>
      <c r="AJ20" s="6">
        <f t="shared" si="76"/>
        <v>1328.3880865049214</v>
      </c>
      <c r="AK20" s="6">
        <f t="shared" si="76"/>
        <v>1346.5604208153063</v>
      </c>
      <c r="AL20" s="6">
        <f t="shared" si="76"/>
        <v>1365.061132072155</v>
      </c>
      <c r="AM20" s="6">
        <f t="shared" si="76"/>
        <v>1383.8979036530354</v>
      </c>
      <c r="AN20" s="6">
        <f t="shared" si="76"/>
        <v>1403.0786277575253</v>
      </c>
    </row>
    <row r="21" spans="2:138" s="3" customFormat="1" x14ac:dyDescent="0.3">
      <c r="B21" s="3" t="s">
        <v>46</v>
      </c>
      <c r="K21" s="9">
        <f t="shared" ref="K21" si="77">K19-K20</f>
        <v>1689</v>
      </c>
      <c r="L21" s="9">
        <f t="shared" ref="L21:M21" si="78">L19-L20</f>
        <v>1681</v>
      </c>
      <c r="M21" s="9">
        <f t="shared" si="78"/>
        <v>1684</v>
      </c>
      <c r="N21" s="9">
        <f t="shared" ref="N21" si="79">N19-N20</f>
        <v>1958</v>
      </c>
      <c r="O21" s="9">
        <f t="shared" ref="O21" si="80">O19-O20</f>
        <v>1545</v>
      </c>
      <c r="P21" s="9">
        <f t="shared" ref="P21:Q21" si="81">P19-P20</f>
        <v>1641</v>
      </c>
      <c r="Q21" s="9">
        <f t="shared" si="81"/>
        <v>1623</v>
      </c>
      <c r="R21" s="9">
        <f t="shared" ref="R21" si="82">R19-R20</f>
        <v>527</v>
      </c>
      <c r="S21" s="9">
        <f t="shared" ref="S21:T21" si="83">S19-S20</f>
        <v>1712</v>
      </c>
      <c r="T21" s="9">
        <f t="shared" si="83"/>
        <v>342</v>
      </c>
      <c r="X21" s="9">
        <f t="shared" ref="X21:AC21" si="84">X19-X20</f>
        <v>6230</v>
      </c>
      <c r="Y21" s="9">
        <f t="shared" si="84"/>
        <v>6888</v>
      </c>
      <c r="Z21" s="9">
        <f t="shared" si="84"/>
        <v>6315</v>
      </c>
      <c r="AA21" s="9">
        <f t="shared" si="84"/>
        <v>5732</v>
      </c>
      <c r="AB21" s="9">
        <f t="shared" si="84"/>
        <v>6920</v>
      </c>
      <c r="AC21" s="9">
        <f t="shared" si="84"/>
        <v>5336</v>
      </c>
      <c r="AD21" s="9">
        <f t="shared" ref="AD21:AN21" si="85">AD19-AD20</f>
        <v>6890.479949999999</v>
      </c>
      <c r="AE21" s="9">
        <f t="shared" si="85"/>
        <v>7039.1165736000012</v>
      </c>
      <c r="AF21" s="9">
        <f t="shared" si="85"/>
        <v>7133.4030690119962</v>
      </c>
      <c r="AG21" s="9">
        <f t="shared" si="85"/>
        <v>7229.3492892684044</v>
      </c>
      <c r="AH21" s="9">
        <f t="shared" si="85"/>
        <v>7326.9933374143475</v>
      </c>
      <c r="AI21" s="9">
        <f t="shared" si="85"/>
        <v>7426.3743426993542</v>
      </c>
      <c r="AJ21" s="9">
        <f t="shared" si="85"/>
        <v>7527.5324901945551</v>
      </c>
      <c r="AK21" s="9">
        <f t="shared" si="85"/>
        <v>7630.5090512867364</v>
      </c>
      <c r="AL21" s="9">
        <f t="shared" si="85"/>
        <v>7735.3464150755462</v>
      </c>
      <c r="AM21" s="9">
        <f t="shared" si="85"/>
        <v>7842.0881207005341</v>
      </c>
      <c r="AN21" s="9">
        <f t="shared" si="85"/>
        <v>7950.7788906259766</v>
      </c>
      <c r="AO21" s="3">
        <f>AN21*(1+$AQ$26)</f>
        <v>7871.2711017197171</v>
      </c>
      <c r="AP21" s="3">
        <f t="shared" ref="AP21:DA21" si="86">AO21*(1+$AQ$26)</f>
        <v>7792.5583907025202</v>
      </c>
      <c r="AQ21" s="3">
        <f t="shared" si="86"/>
        <v>7714.6328067954946</v>
      </c>
      <c r="AR21" s="3">
        <f t="shared" si="86"/>
        <v>7637.4864787275392</v>
      </c>
      <c r="AS21" s="3">
        <f t="shared" si="86"/>
        <v>7561.1116139402639</v>
      </c>
      <c r="AT21" s="3">
        <f t="shared" si="86"/>
        <v>7485.500497800861</v>
      </c>
      <c r="AU21" s="3">
        <f t="shared" si="86"/>
        <v>7410.6454928228522</v>
      </c>
      <c r="AV21" s="3">
        <f t="shared" si="86"/>
        <v>7336.539037894624</v>
      </c>
      <c r="AW21" s="3">
        <f t="shared" si="86"/>
        <v>7263.1736475156777</v>
      </c>
      <c r="AX21" s="3">
        <f t="shared" si="86"/>
        <v>7190.541911040521</v>
      </c>
      <c r="AY21" s="3">
        <f t="shared" si="86"/>
        <v>7118.6364919301159</v>
      </c>
      <c r="AZ21" s="3">
        <f t="shared" si="86"/>
        <v>7047.4501270108149</v>
      </c>
      <c r="BA21" s="3">
        <f t="shared" si="86"/>
        <v>6976.9756257407071</v>
      </c>
      <c r="BB21" s="3">
        <f t="shared" si="86"/>
        <v>6907.2058694833004</v>
      </c>
      <c r="BC21" s="3">
        <f t="shared" si="86"/>
        <v>6838.1338107884676</v>
      </c>
      <c r="BD21" s="3">
        <f t="shared" si="86"/>
        <v>6769.7524726805832</v>
      </c>
      <c r="BE21" s="3">
        <f t="shared" si="86"/>
        <v>6702.0549479537776</v>
      </c>
      <c r="BF21" s="3">
        <f t="shared" si="86"/>
        <v>6635.0343984742394</v>
      </c>
      <c r="BG21" s="3">
        <f t="shared" si="86"/>
        <v>6568.6840544894967</v>
      </c>
      <c r="BH21" s="3">
        <f t="shared" si="86"/>
        <v>6502.9972139446018</v>
      </c>
      <c r="BI21" s="3">
        <f t="shared" si="86"/>
        <v>6437.9672418051559</v>
      </c>
      <c r="BJ21" s="3">
        <f t="shared" si="86"/>
        <v>6373.5875693871039</v>
      </c>
      <c r="BK21" s="3">
        <f t="shared" si="86"/>
        <v>6309.8516936932328</v>
      </c>
      <c r="BL21" s="3">
        <f t="shared" si="86"/>
        <v>6246.7531767563005</v>
      </c>
      <c r="BM21" s="3">
        <f t="shared" si="86"/>
        <v>6184.2856449887377</v>
      </c>
      <c r="BN21" s="3">
        <f t="shared" si="86"/>
        <v>6122.4427885388504</v>
      </c>
      <c r="BO21" s="3">
        <f t="shared" si="86"/>
        <v>6061.2183606534618</v>
      </c>
      <c r="BP21" s="3">
        <f t="shared" si="86"/>
        <v>6000.6061770469269</v>
      </c>
      <c r="BQ21" s="3">
        <f t="shared" si="86"/>
        <v>5940.6001152764575</v>
      </c>
      <c r="BR21" s="3">
        <f t="shared" si="86"/>
        <v>5881.194114123693</v>
      </c>
      <c r="BS21" s="3">
        <f t="shared" si="86"/>
        <v>5822.3821729824558</v>
      </c>
      <c r="BT21" s="3">
        <f t="shared" si="86"/>
        <v>5764.1583512526313</v>
      </c>
      <c r="BU21" s="3">
        <f t="shared" si="86"/>
        <v>5706.516767740105</v>
      </c>
      <c r="BV21" s="3">
        <f t="shared" si="86"/>
        <v>5649.4516000627036</v>
      </c>
      <c r="BW21" s="3">
        <f t="shared" si="86"/>
        <v>5592.9570840620763</v>
      </c>
      <c r="BX21" s="3">
        <f t="shared" si="86"/>
        <v>5537.0275132214556</v>
      </c>
      <c r="BY21" s="3">
        <f t="shared" si="86"/>
        <v>5481.6572380892412</v>
      </c>
      <c r="BZ21" s="3">
        <f t="shared" si="86"/>
        <v>5426.8406657083488</v>
      </c>
      <c r="CA21" s="3">
        <f t="shared" si="86"/>
        <v>5372.5722590512651</v>
      </c>
      <c r="CB21" s="3">
        <f t="shared" si="86"/>
        <v>5318.8465364607528</v>
      </c>
      <c r="CC21" s="3">
        <f t="shared" si="86"/>
        <v>5265.6580710961452</v>
      </c>
      <c r="CD21" s="3">
        <f t="shared" si="86"/>
        <v>5213.0014903851834</v>
      </c>
      <c r="CE21" s="3">
        <f t="shared" si="86"/>
        <v>5160.8714754813318</v>
      </c>
      <c r="CF21" s="3">
        <f t="shared" si="86"/>
        <v>5109.2627607265185</v>
      </c>
      <c r="CG21" s="3">
        <f t="shared" si="86"/>
        <v>5058.1701331192535</v>
      </c>
      <c r="CH21" s="3">
        <f t="shared" si="86"/>
        <v>5007.5884317880609</v>
      </c>
      <c r="CI21" s="3">
        <f t="shared" si="86"/>
        <v>4957.5125474701799</v>
      </c>
      <c r="CJ21" s="3">
        <f t="shared" si="86"/>
        <v>4907.937421995478</v>
      </c>
      <c r="CK21" s="3">
        <f t="shared" si="86"/>
        <v>4858.8580477755231</v>
      </c>
      <c r="CL21" s="3">
        <f t="shared" si="86"/>
        <v>4810.2694672977677</v>
      </c>
      <c r="CM21" s="3">
        <f t="shared" si="86"/>
        <v>4762.1667726247897</v>
      </c>
      <c r="CN21" s="3">
        <f t="shared" si="86"/>
        <v>4714.5451048985415</v>
      </c>
      <c r="CO21" s="3">
        <f t="shared" si="86"/>
        <v>4667.3996538495558</v>
      </c>
      <c r="CP21" s="3">
        <f t="shared" si="86"/>
        <v>4620.7256573110599</v>
      </c>
      <c r="CQ21" s="3">
        <f t="shared" si="86"/>
        <v>4574.5184007379494</v>
      </c>
      <c r="CR21" s="3">
        <f t="shared" si="86"/>
        <v>4528.7732167305694</v>
      </c>
      <c r="CS21" s="3">
        <f t="shared" si="86"/>
        <v>4483.4854845632635</v>
      </c>
      <c r="CT21" s="3">
        <f t="shared" si="86"/>
        <v>4438.6506297176311</v>
      </c>
      <c r="CU21" s="3">
        <f t="shared" si="86"/>
        <v>4394.2641234204548</v>
      </c>
      <c r="CV21" s="3">
        <f t="shared" si="86"/>
        <v>4350.3214821862503</v>
      </c>
      <c r="CW21" s="3">
        <f t="shared" si="86"/>
        <v>4306.8182673643878</v>
      </c>
      <c r="CX21" s="3">
        <f t="shared" si="86"/>
        <v>4263.7500846907442</v>
      </c>
      <c r="CY21" s="3">
        <f t="shared" si="86"/>
        <v>4221.1125838438365</v>
      </c>
      <c r="CZ21" s="3">
        <f t="shared" si="86"/>
        <v>4178.9014580053981</v>
      </c>
      <c r="DA21" s="3">
        <f t="shared" si="86"/>
        <v>4137.1124434253443</v>
      </c>
      <c r="DB21" s="3">
        <f t="shared" ref="DB21:EH21" si="87">DA21*(1+$AQ$26)</f>
        <v>4095.7413189910908</v>
      </c>
      <c r="DC21" s="3">
        <f t="shared" si="87"/>
        <v>4054.78390580118</v>
      </c>
      <c r="DD21" s="3">
        <f t="shared" si="87"/>
        <v>4014.2360667431681</v>
      </c>
      <c r="DE21" s="3">
        <f t="shared" si="87"/>
        <v>3974.0937060757365</v>
      </c>
      <c r="DF21" s="3">
        <f t="shared" si="87"/>
        <v>3934.352769014979</v>
      </c>
      <c r="DG21" s="3">
        <f t="shared" si="87"/>
        <v>3895.009241324829</v>
      </c>
      <c r="DH21" s="3">
        <f t="shared" si="87"/>
        <v>3856.0591489115805</v>
      </c>
      <c r="DI21" s="3">
        <f t="shared" si="87"/>
        <v>3817.4985574224647</v>
      </c>
      <c r="DJ21" s="3">
        <f t="shared" si="87"/>
        <v>3779.3235718482401</v>
      </c>
      <c r="DK21" s="3">
        <f t="shared" si="87"/>
        <v>3741.5303361297579</v>
      </c>
      <c r="DL21" s="3">
        <f t="shared" si="87"/>
        <v>3704.1150327684604</v>
      </c>
      <c r="DM21" s="3">
        <f t="shared" si="87"/>
        <v>3667.0738824407758</v>
      </c>
      <c r="DN21" s="3">
        <f t="shared" si="87"/>
        <v>3630.4031436163682</v>
      </c>
      <c r="DO21" s="3">
        <f t="shared" si="87"/>
        <v>3594.0991121802044</v>
      </c>
      <c r="DP21" s="3">
        <f t="shared" si="87"/>
        <v>3558.1581210584022</v>
      </c>
      <c r="DQ21" s="3">
        <f t="shared" si="87"/>
        <v>3522.5765398478184</v>
      </c>
      <c r="DR21" s="3">
        <f t="shared" si="87"/>
        <v>3487.35077444934</v>
      </c>
      <c r="DS21" s="3">
        <f t="shared" si="87"/>
        <v>3452.4772667048464</v>
      </c>
      <c r="DT21" s="3">
        <f t="shared" si="87"/>
        <v>3417.9524940377978</v>
      </c>
      <c r="DU21" s="3">
        <f t="shared" si="87"/>
        <v>3383.7729690974197</v>
      </c>
      <c r="DV21" s="3">
        <f t="shared" si="87"/>
        <v>3349.9352394064454</v>
      </c>
      <c r="DW21" s="3">
        <f t="shared" si="87"/>
        <v>3316.435887012381</v>
      </c>
      <c r="DX21" s="3">
        <f t="shared" si="87"/>
        <v>3283.271528142257</v>
      </c>
      <c r="DY21" s="3">
        <f t="shared" si="87"/>
        <v>3250.4388128608343</v>
      </c>
      <c r="DZ21" s="3">
        <f t="shared" si="87"/>
        <v>3217.934424732226</v>
      </c>
      <c r="EA21" s="3">
        <f t="shared" si="87"/>
        <v>3185.7550804849038</v>
      </c>
      <c r="EB21" s="3">
        <f t="shared" si="87"/>
        <v>3153.897529680055</v>
      </c>
      <c r="EC21" s="3">
        <f t="shared" si="87"/>
        <v>3122.3585543832542</v>
      </c>
      <c r="ED21" s="3">
        <f t="shared" si="87"/>
        <v>3091.1349688394216</v>
      </c>
      <c r="EE21" s="3">
        <f t="shared" si="87"/>
        <v>3060.2236191510274</v>
      </c>
      <c r="EF21" s="3">
        <f t="shared" si="87"/>
        <v>3029.6213829595172</v>
      </c>
      <c r="EG21" s="3">
        <f t="shared" si="87"/>
        <v>2999.325169129922</v>
      </c>
      <c r="EH21" s="3">
        <f t="shared" si="87"/>
        <v>2969.3319174386229</v>
      </c>
    </row>
    <row r="22" spans="2:138" x14ac:dyDescent="0.3">
      <c r="B22" s="1" t="s">
        <v>2</v>
      </c>
      <c r="K22" s="6">
        <f>233.5</f>
        <v>233.5</v>
      </c>
      <c r="L22" s="6">
        <f>233.5</f>
        <v>233.5</v>
      </c>
      <c r="M22" s="6">
        <f>233.5</f>
        <v>233.5</v>
      </c>
      <c r="N22" s="6">
        <f>233.5</f>
        <v>233.5</v>
      </c>
      <c r="O22" s="6">
        <f>233.5</f>
        <v>233.5</v>
      </c>
      <c r="P22" s="6">
        <f t="shared" ref="P22" si="88">235.4</f>
        <v>235.4</v>
      </c>
      <c r="Q22" s="6">
        <f>233.5</f>
        <v>233.5</v>
      </c>
      <c r="R22" s="6">
        <f>233.5</f>
        <v>233.5</v>
      </c>
      <c r="S22" s="6">
        <f>233.5</f>
        <v>233.5</v>
      </c>
      <c r="T22" s="6">
        <f>233.5</f>
        <v>233.5</v>
      </c>
      <c r="X22" s="6">
        <f t="shared" ref="X22:AC22" si="89">235.4</f>
        <v>235.4</v>
      </c>
      <c r="Y22" s="6">
        <f t="shared" si="89"/>
        <v>235.4</v>
      </c>
      <c r="Z22" s="6">
        <f t="shared" si="89"/>
        <v>235.4</v>
      </c>
      <c r="AA22" s="6">
        <f t="shared" si="89"/>
        <v>235.4</v>
      </c>
      <c r="AB22" s="6">
        <f t="shared" si="89"/>
        <v>235.4</v>
      </c>
      <c r="AC22" s="6">
        <f t="shared" si="89"/>
        <v>235.4</v>
      </c>
      <c r="AD22" s="6">
        <f t="shared" ref="AD22:AN22" si="90">233.5</f>
        <v>233.5</v>
      </c>
      <c r="AE22" s="6">
        <f t="shared" si="90"/>
        <v>233.5</v>
      </c>
      <c r="AF22" s="6">
        <f t="shared" si="90"/>
        <v>233.5</v>
      </c>
      <c r="AG22" s="6">
        <f t="shared" si="90"/>
        <v>233.5</v>
      </c>
      <c r="AH22" s="6">
        <f t="shared" si="90"/>
        <v>233.5</v>
      </c>
      <c r="AI22" s="6">
        <f t="shared" si="90"/>
        <v>233.5</v>
      </c>
      <c r="AJ22" s="6">
        <f t="shared" si="90"/>
        <v>233.5</v>
      </c>
      <c r="AK22" s="6">
        <f t="shared" si="90"/>
        <v>233.5</v>
      </c>
      <c r="AL22" s="6">
        <f t="shared" si="90"/>
        <v>233.5</v>
      </c>
      <c r="AM22" s="6">
        <f t="shared" si="90"/>
        <v>233.5</v>
      </c>
      <c r="AN22" s="6">
        <f t="shared" si="90"/>
        <v>233.5</v>
      </c>
    </row>
    <row r="23" spans="2:138" x14ac:dyDescent="0.3">
      <c r="B23" s="1" t="s">
        <v>47</v>
      </c>
      <c r="K23" s="10">
        <f t="shared" ref="K23" si="91">K21/K22</f>
        <v>7.2334047109207713</v>
      </c>
      <c r="L23" s="10">
        <f t="shared" ref="L23:M23" si="92">L21/L22</f>
        <v>7.1991434689507496</v>
      </c>
      <c r="M23" s="10">
        <f t="shared" si="92"/>
        <v>7.2119914346895078</v>
      </c>
      <c r="N23" s="10">
        <f t="shared" ref="N23" si="93">N21/N22</f>
        <v>8.3854389721627403</v>
      </c>
      <c r="O23" s="10">
        <f t="shared" ref="O23" si="94">O21/O22</f>
        <v>6.6167023554603857</v>
      </c>
      <c r="P23" s="10">
        <f t="shared" ref="P23:Q23" si="95">P21/P22</f>
        <v>6.9711129991503817</v>
      </c>
      <c r="Q23" s="10">
        <f t="shared" si="95"/>
        <v>6.9507494646680943</v>
      </c>
      <c r="R23" s="10">
        <f t="shared" ref="R23" si="96">R21/R22</f>
        <v>2.2569593147751608</v>
      </c>
      <c r="S23" s="10">
        <f t="shared" ref="S23:T23" si="97">S21/S22</f>
        <v>7.3319057815845827</v>
      </c>
      <c r="T23" s="10">
        <f t="shared" si="97"/>
        <v>1.4646680942184154</v>
      </c>
      <c r="X23" s="10">
        <f t="shared" ref="X23:AC23" si="98">X21/X22</f>
        <v>26.465590484282071</v>
      </c>
      <c r="Y23" s="10">
        <f t="shared" si="98"/>
        <v>29.260832625318606</v>
      </c>
      <c r="Z23" s="10">
        <f t="shared" si="98"/>
        <v>26.826677994902294</v>
      </c>
      <c r="AA23" s="10">
        <f t="shared" si="98"/>
        <v>24.350042480883602</v>
      </c>
      <c r="AB23" s="10">
        <f t="shared" si="98"/>
        <v>29.396771452846217</v>
      </c>
      <c r="AC23" s="10">
        <f t="shared" si="98"/>
        <v>22.667799490229395</v>
      </c>
      <c r="AD23" s="10">
        <f t="shared" ref="AD23:AN23" si="99">AD21/AD22</f>
        <v>29.509550107066378</v>
      </c>
      <c r="AE23" s="10">
        <f t="shared" si="99"/>
        <v>30.146109522912212</v>
      </c>
      <c r="AF23" s="10">
        <f t="shared" si="99"/>
        <v>30.54990607713917</v>
      </c>
      <c r="AG23" s="10">
        <f t="shared" si="99"/>
        <v>30.960810660678391</v>
      </c>
      <c r="AH23" s="10">
        <f t="shared" si="99"/>
        <v>31.378986455735962</v>
      </c>
      <c r="AI23" s="10">
        <f t="shared" si="99"/>
        <v>31.804601039397664</v>
      </c>
      <c r="AJ23" s="10">
        <f t="shared" si="99"/>
        <v>32.237826510469183</v>
      </c>
      <c r="AK23" s="10">
        <f t="shared" si="99"/>
        <v>32.678839620071678</v>
      </c>
      <c r="AL23" s="10">
        <f t="shared" si="99"/>
        <v>33.127821906105126</v>
      </c>
      <c r="AM23" s="10">
        <f t="shared" si="99"/>
        <v>33.584959831693936</v>
      </c>
      <c r="AN23" s="10">
        <f t="shared" si="99"/>
        <v>34.050444927734375</v>
      </c>
    </row>
    <row r="25" spans="2:138" x14ac:dyDescent="0.3">
      <c r="B25" s="1" t="s">
        <v>50</v>
      </c>
      <c r="L25" s="11"/>
      <c r="M25" s="11"/>
      <c r="O25" s="11">
        <f t="shared" ref="O25:P27" si="100">O3/K3-1</f>
        <v>0.13332268880728093</v>
      </c>
      <c r="P25" s="11">
        <f t="shared" si="100"/>
        <v>9.8197412414595231E-2</v>
      </c>
      <c r="Q25" s="11">
        <f>Q3/M3-1</f>
        <v>3.2681604110175622E-2</v>
      </c>
      <c r="R25" s="11">
        <f>R3/N3-1</f>
        <v>-2.9247823636249781E-2</v>
      </c>
      <c r="S25" s="11">
        <f>S3/O3-1</f>
        <v>5.2127359819667429E-2</v>
      </c>
      <c r="T25" s="11">
        <f>T3/P3-1</f>
        <v>2.6474286848898743E-3</v>
      </c>
      <c r="X25" s="11"/>
      <c r="Y25" s="11">
        <f t="shared" ref="Y25:AB27" si="101">Y3/X3-1</f>
        <v>9.7396759434998925E-2</v>
      </c>
      <c r="Z25" s="11">
        <f t="shared" si="101"/>
        <v>2.7435916108359937E-2</v>
      </c>
      <c r="AA25" s="11">
        <f t="shared" si="101"/>
        <v>-1.7170195800478405E-2</v>
      </c>
      <c r="AB25" s="11">
        <f t="shared" si="101"/>
        <v>1.4405221216601261E-2</v>
      </c>
      <c r="AC25" s="11">
        <f>AC3/AB3-1</f>
        <v>5.3532391362303366E-2</v>
      </c>
      <c r="AD25" s="11">
        <f t="shared" ref="AD25:AN27" si="102">AD3/AC3-1</f>
        <v>2.0000000000000018E-2</v>
      </c>
      <c r="AE25" s="11">
        <f t="shared" si="102"/>
        <v>2.0000000000000018E-2</v>
      </c>
      <c r="AF25" s="11">
        <f t="shared" si="102"/>
        <v>1.0000000000000009E-2</v>
      </c>
      <c r="AG25" s="11">
        <f t="shared" si="102"/>
        <v>1.0000000000000009E-2</v>
      </c>
      <c r="AH25" s="11">
        <f t="shared" si="102"/>
        <v>1.0000000000000009E-2</v>
      </c>
      <c r="AI25" s="11">
        <f t="shared" si="102"/>
        <v>1.0000000000000009E-2</v>
      </c>
      <c r="AJ25" s="11">
        <f t="shared" si="102"/>
        <v>1.0000000000000009E-2</v>
      </c>
      <c r="AK25" s="11">
        <f t="shared" si="102"/>
        <v>1.0000000000000009E-2</v>
      </c>
      <c r="AL25" s="11">
        <f t="shared" si="102"/>
        <v>1.0000000000000009E-2</v>
      </c>
      <c r="AM25" s="11">
        <f t="shared" si="102"/>
        <v>1.0000000000000009E-2</v>
      </c>
      <c r="AN25" s="11">
        <f t="shared" si="102"/>
        <v>1.0000000000000009E-2</v>
      </c>
    </row>
    <row r="26" spans="2:138" x14ac:dyDescent="0.3">
      <c r="B26" s="1" t="s">
        <v>51</v>
      </c>
      <c r="L26" s="11"/>
      <c r="M26" s="11"/>
      <c r="O26" s="11">
        <f t="shared" si="100"/>
        <v>0.15346153846153854</v>
      </c>
      <c r="P26" s="11">
        <f t="shared" si="100"/>
        <v>2.6575809199318678E-2</v>
      </c>
      <c r="Q26" s="11">
        <f t="shared" ref="Q26:T27" si="103">Q4/M4-1</f>
        <v>-8.1005586592178824E-2</v>
      </c>
      <c r="R26" s="11">
        <f t="shared" si="103"/>
        <v>7.3959408324733467E-2</v>
      </c>
      <c r="S26" s="11">
        <f t="shared" si="103"/>
        <v>9.3364454818272158E-3</v>
      </c>
      <c r="T26" s="11">
        <f t="shared" si="103"/>
        <v>-2.3232658479920287E-3</v>
      </c>
      <c r="X26" s="11"/>
      <c r="Y26" s="11">
        <f t="shared" si="101"/>
        <v>7.2855825391945794E-2</v>
      </c>
      <c r="Z26" s="11">
        <f t="shared" si="101"/>
        <v>1.3276026743075375E-2</v>
      </c>
      <c r="AA26" s="11">
        <f t="shared" si="101"/>
        <v>-8.5776227731171328E-3</v>
      </c>
      <c r="AB26" s="11">
        <f t="shared" si="101"/>
        <v>7.4919186157064166E-2</v>
      </c>
      <c r="AC26" s="11">
        <f t="shared" ref="AC26:AC27" si="104">AC4/AB4-1</f>
        <v>4.0686361224128831E-2</v>
      </c>
      <c r="AD26" s="11">
        <f t="shared" si="102"/>
        <v>3.0000000000000027E-2</v>
      </c>
      <c r="AE26" s="11">
        <f t="shared" si="102"/>
        <v>3.0000000000000027E-2</v>
      </c>
      <c r="AF26" s="11">
        <f t="shared" si="102"/>
        <v>3.0000000000000027E-2</v>
      </c>
      <c r="AG26" s="11">
        <f t="shared" si="102"/>
        <v>3.0000000000000027E-2</v>
      </c>
      <c r="AH26" s="11">
        <f t="shared" si="102"/>
        <v>3.0000000000000027E-2</v>
      </c>
      <c r="AI26" s="11">
        <f t="shared" si="102"/>
        <v>3.0000000000000027E-2</v>
      </c>
      <c r="AJ26" s="11">
        <f t="shared" si="102"/>
        <v>3.0000000000000027E-2</v>
      </c>
      <c r="AK26" s="11">
        <f t="shared" si="102"/>
        <v>3.0000000000000027E-2</v>
      </c>
      <c r="AL26" s="11">
        <f t="shared" si="102"/>
        <v>3.0000000000000027E-2</v>
      </c>
      <c r="AM26" s="11">
        <f t="shared" si="102"/>
        <v>3.0000000000000027E-2</v>
      </c>
      <c r="AN26" s="11">
        <f t="shared" si="102"/>
        <v>3.0000000000000027E-2</v>
      </c>
      <c r="AP26" s="1" t="s">
        <v>59</v>
      </c>
      <c r="AQ26" s="11">
        <v>-0.01</v>
      </c>
    </row>
    <row r="27" spans="2:138" s="3" customFormat="1" x14ac:dyDescent="0.3">
      <c r="B27" s="3" t="s">
        <v>52</v>
      </c>
      <c r="L27" s="12"/>
      <c r="M27" s="12"/>
      <c r="O27" s="12">
        <f t="shared" si="100"/>
        <v>0.13678434483670499</v>
      </c>
      <c r="P27" s="12">
        <f t="shared" si="100"/>
        <v>8.5604744503684271E-2</v>
      </c>
      <c r="Q27" s="12">
        <f t="shared" si="103"/>
        <v>1.339021211043967E-2</v>
      </c>
      <c r="R27" s="12">
        <f t="shared" si="103"/>
        <v>-1.3351700752357698E-2</v>
      </c>
      <c r="S27" s="12">
        <f t="shared" si="103"/>
        <v>4.4664146554230788E-2</v>
      </c>
      <c r="T27" s="12">
        <f t="shared" si="103"/>
        <v>1.8209910605893054E-3</v>
      </c>
      <c r="X27" s="12"/>
      <c r="Y27" s="12">
        <f t="shared" si="101"/>
        <v>9.3392630241423191E-2</v>
      </c>
      <c r="Z27" s="12">
        <f t="shared" si="101"/>
        <v>2.516896541178637E-2</v>
      </c>
      <c r="AA27" s="12">
        <f t="shared" si="101"/>
        <v>-1.5810512499254248E-2</v>
      </c>
      <c r="AB27" s="12">
        <f t="shared" si="101"/>
        <v>2.4051285160038738E-2</v>
      </c>
      <c r="AC27" s="12">
        <f t="shared" si="104"/>
        <v>5.1382989744120922E-2</v>
      </c>
      <c r="AD27" s="12">
        <f t="shared" si="102"/>
        <v>2.1656180059963726E-2</v>
      </c>
      <c r="AE27" s="12">
        <f t="shared" si="102"/>
        <v>2.1669706007810374E-2</v>
      </c>
      <c r="AF27" s="12">
        <f t="shared" si="102"/>
        <v>1.3366640271178509E-2</v>
      </c>
      <c r="AG27" s="12">
        <f t="shared" si="102"/>
        <v>1.3421900170688561E-2</v>
      </c>
      <c r="AH27" s="12">
        <f t="shared" si="102"/>
        <v>1.34778774518447E-2</v>
      </c>
      <c r="AI27" s="12">
        <f t="shared" si="102"/>
        <v>1.3534575203956845E-2</v>
      </c>
      <c r="AJ27" s="12">
        <f t="shared" si="102"/>
        <v>1.3591996315806876E-2</v>
      </c>
      <c r="AK27" s="12">
        <f t="shared" si="102"/>
        <v>1.3650143468702192E-2</v>
      </c>
      <c r="AL27" s="12">
        <f t="shared" si="102"/>
        <v>1.3709019129517053E-2</v>
      </c>
      <c r="AM27" s="12">
        <f t="shared" si="102"/>
        <v>1.3768625543731705E-2</v>
      </c>
      <c r="AN27" s="12">
        <f t="shared" si="102"/>
        <v>1.3828964728477056E-2</v>
      </c>
      <c r="AP27" s="1" t="s">
        <v>60</v>
      </c>
      <c r="AQ27" s="11">
        <v>7.0000000000000007E-2</v>
      </c>
    </row>
    <row r="28" spans="2:138" x14ac:dyDescent="0.3">
      <c r="B28" s="1" t="s">
        <v>53</v>
      </c>
      <c r="K28" s="11">
        <f t="shared" ref="K28:M29" si="105">(K3-K6)/K3</f>
        <v>0.10977167491617436</v>
      </c>
      <c r="L28" s="11">
        <f t="shared" si="105"/>
        <v>0.11048117458932985</v>
      </c>
      <c r="M28" s="11">
        <f t="shared" si="105"/>
        <v>0.10296846011131726</v>
      </c>
      <c r="N28" s="11">
        <f t="shared" ref="N28" si="106">(N3-N6)/N3</f>
        <v>0.10778480616271059</v>
      </c>
      <c r="O28" s="11">
        <f t="shared" ref="O28:T29" si="107">(O3-O6)/O3</f>
        <v>9.2420400112707801E-2</v>
      </c>
      <c r="P28" s="11">
        <f t="shared" si="107"/>
        <v>0.10516910450724734</v>
      </c>
      <c r="Q28" s="11">
        <f t="shared" si="107"/>
        <v>0.10420121614151465</v>
      </c>
      <c r="R28" s="11">
        <f t="shared" si="107"/>
        <v>1.0322580645161291E-3</v>
      </c>
      <c r="S28" s="11">
        <f t="shared" si="107"/>
        <v>0.11060524906266737</v>
      </c>
      <c r="T28" s="11">
        <f t="shared" si="107"/>
        <v>4.4887451316918611E-2</v>
      </c>
      <c r="X28" s="11">
        <f t="shared" ref="X28:AB28" si="108">(X3-X6)/X3</f>
        <v>0.10916428585699159</v>
      </c>
      <c r="Y28" s="11">
        <f t="shared" si="108"/>
        <v>0.10799592193416836</v>
      </c>
      <c r="Z28" s="11">
        <f t="shared" si="108"/>
        <v>0.10918756091078231</v>
      </c>
      <c r="AA28" s="11">
        <f t="shared" si="108"/>
        <v>0.11013954494645369</v>
      </c>
      <c r="AB28" s="11">
        <f t="shared" si="108"/>
        <v>0.10768683906513818</v>
      </c>
      <c r="AC28" s="11">
        <f>(AC3-AC6)/AC3</f>
        <v>7.4649526797914881E-2</v>
      </c>
      <c r="AD28" s="11">
        <f t="shared" ref="AD28:AN28" si="109">(AD3-AD6)/AD3</f>
        <v>0.10999999999999996</v>
      </c>
      <c r="AE28" s="11">
        <f t="shared" si="109"/>
        <v>0.11</v>
      </c>
      <c r="AF28" s="11">
        <f t="shared" si="109"/>
        <v>0.11000000000000004</v>
      </c>
      <c r="AG28" s="11">
        <f t="shared" si="109"/>
        <v>0.11000000000000003</v>
      </c>
      <c r="AH28" s="11">
        <f t="shared" si="109"/>
        <v>0.10999999999999995</v>
      </c>
      <c r="AI28" s="11">
        <f t="shared" si="109"/>
        <v>0.10999999999999995</v>
      </c>
      <c r="AJ28" s="11">
        <f t="shared" si="109"/>
        <v>0.10999999999999995</v>
      </c>
      <c r="AK28" s="11">
        <f t="shared" si="109"/>
        <v>0.11</v>
      </c>
      <c r="AL28" s="11">
        <f t="shared" si="109"/>
        <v>0.10999999999999997</v>
      </c>
      <c r="AM28" s="11">
        <f t="shared" si="109"/>
        <v>0.10999999999999999</v>
      </c>
      <c r="AN28" s="11">
        <f t="shared" si="109"/>
        <v>0.11000000000000004</v>
      </c>
      <c r="AP28" s="1" t="s">
        <v>61</v>
      </c>
      <c r="AQ28" s="6">
        <f>NPV(AQ27,AD21:EH21)</f>
        <v>101920.66407516327</v>
      </c>
    </row>
    <row r="29" spans="2:138" x14ac:dyDescent="0.3">
      <c r="B29" s="1" t="s">
        <v>54</v>
      </c>
      <c r="K29" s="11">
        <f t="shared" si="105"/>
        <v>0.12153846153846154</v>
      </c>
      <c r="L29" s="11">
        <f t="shared" si="105"/>
        <v>9.9829642248722317E-2</v>
      </c>
      <c r="M29" s="11">
        <f t="shared" si="105"/>
        <v>0.12360335195530726</v>
      </c>
      <c r="N29" s="11">
        <f t="shared" ref="N29" si="110">(N4-N7)/N4</f>
        <v>0.108703130374957</v>
      </c>
      <c r="O29" s="11">
        <f t="shared" si="107"/>
        <v>0.13204401467155719</v>
      </c>
      <c r="P29" s="11">
        <f t="shared" si="107"/>
        <v>0.14304679721208099</v>
      </c>
      <c r="Q29" s="11">
        <f t="shared" si="107"/>
        <v>0.13677811550151975</v>
      </c>
      <c r="R29" s="11">
        <f t="shared" si="107"/>
        <v>0.1159513132607303</v>
      </c>
      <c r="S29" s="11">
        <f t="shared" si="107"/>
        <v>0.12784935579781961</v>
      </c>
      <c r="T29" s="11">
        <f t="shared" si="107"/>
        <v>-4.1250831669993347E-2</v>
      </c>
      <c r="X29" s="11">
        <f t="shared" ref="X29:AB29" si="111">(X4-X7)/X4</f>
        <v>0.10533866174812993</v>
      </c>
      <c r="Y29" s="11">
        <f t="shared" si="111"/>
        <v>0.10496657115568291</v>
      </c>
      <c r="Z29" s="11">
        <f t="shared" si="111"/>
        <v>0.10802149118672826</v>
      </c>
      <c r="AA29" s="11">
        <f t="shared" si="111"/>
        <v>0.12036508841985168</v>
      </c>
      <c r="AB29" s="11">
        <f t="shared" si="111"/>
        <v>0.11312577392534937</v>
      </c>
      <c r="AC29" s="11">
        <f>(AC4-AC7)/AC4</f>
        <v>0.13165051844297126</v>
      </c>
      <c r="AD29" s="11">
        <f t="shared" ref="AD29:AN29" si="112">(AD4-AD7)/AD4</f>
        <v>0.11999999999999995</v>
      </c>
      <c r="AE29" s="11">
        <f t="shared" si="112"/>
        <v>0.12000000000000001</v>
      </c>
      <c r="AF29" s="11">
        <f t="shared" si="112"/>
        <v>0.12000000000000001</v>
      </c>
      <c r="AG29" s="11">
        <f t="shared" si="112"/>
        <v>0.12000000000000004</v>
      </c>
      <c r="AH29" s="11">
        <f t="shared" si="112"/>
        <v>0.12000000000000002</v>
      </c>
      <c r="AI29" s="11">
        <f t="shared" si="112"/>
        <v>0.12000000000000004</v>
      </c>
      <c r="AJ29" s="11">
        <f t="shared" si="112"/>
        <v>0.12000000000000005</v>
      </c>
      <c r="AK29" s="11">
        <f t="shared" si="112"/>
        <v>0.11999999999999998</v>
      </c>
      <c r="AL29" s="11">
        <f t="shared" si="112"/>
        <v>0.11999999999999998</v>
      </c>
      <c r="AM29" s="11">
        <f t="shared" si="112"/>
        <v>0.12000000000000001</v>
      </c>
      <c r="AN29" s="11">
        <f t="shared" si="112"/>
        <v>0.12000000000000004</v>
      </c>
      <c r="AP29" s="1" t="s">
        <v>62</v>
      </c>
      <c r="AQ29" s="6">
        <f>Main!D8</f>
        <v>-17787</v>
      </c>
    </row>
    <row r="30" spans="2:138" x14ac:dyDescent="0.3">
      <c r="B30" s="1" t="s">
        <v>55</v>
      </c>
      <c r="K30" s="11">
        <f>K9/K5</f>
        <v>0.11179426153642734</v>
      </c>
      <c r="L30" s="11">
        <f>L9/L5</f>
        <v>0.10860839873000659</v>
      </c>
      <c r="M30" s="11">
        <f>M9/M5</f>
        <v>0.10646996089584074</v>
      </c>
      <c r="N30" s="11">
        <f t="shared" ref="N30" si="113">N9/N5</f>
        <v>0.10792624774822507</v>
      </c>
      <c r="O30" s="11">
        <f t="shared" ref="O30:T30" si="114">O9/O5</f>
        <v>9.9331200930503058E-2</v>
      </c>
      <c r="P30" s="11">
        <f t="shared" si="114"/>
        <v>0.11146672552698378</v>
      </c>
      <c r="Q30" s="11">
        <f t="shared" si="114"/>
        <v>0.10921421889616464</v>
      </c>
      <c r="R30" s="11">
        <f t="shared" si="114"/>
        <v>2.0298571581999787E-2</v>
      </c>
      <c r="S30" s="11">
        <f t="shared" si="114"/>
        <v>0.1135111061626677</v>
      </c>
      <c r="T30" s="11">
        <f t="shared" si="114"/>
        <v>3.0625172128890113E-2</v>
      </c>
      <c r="X30" s="11">
        <f t="shared" ref="X30:AB30" si="115">X9/X5</f>
        <v>0.10854009228917275</v>
      </c>
      <c r="Y30" s="11">
        <f t="shared" si="115"/>
        <v>0.10751093305605676</v>
      </c>
      <c r="Z30" s="11">
        <f t="shared" si="115"/>
        <v>0.10900304277787722</v>
      </c>
      <c r="AA30" s="11">
        <f t="shared" si="115"/>
        <v>0.11176951988360814</v>
      </c>
      <c r="AB30" s="11">
        <f t="shared" si="115"/>
        <v>0.10859688327832946</v>
      </c>
      <c r="AC30" s="11">
        <f>AC9/AC5</f>
        <v>8.4089917373984774E-2</v>
      </c>
      <c r="AD30" s="11">
        <f t="shared" ref="AD30:AN30" si="116">AD9/AD5</f>
        <v>0.11166970600781023</v>
      </c>
      <c r="AE30" s="11">
        <f t="shared" si="116"/>
        <v>0.11168332013558931</v>
      </c>
      <c r="AF30" s="11">
        <f t="shared" si="116"/>
        <v>0.11171095008534422</v>
      </c>
      <c r="AG30" s="11">
        <f t="shared" si="116"/>
        <v>0.11173893872592235</v>
      </c>
      <c r="AH30" s="11">
        <f t="shared" si="116"/>
        <v>0.11176728760197827</v>
      </c>
      <c r="AI30" s="11">
        <f t="shared" si="116"/>
        <v>0.11179599815790325</v>
      </c>
      <c r="AJ30" s="11">
        <f t="shared" si="116"/>
        <v>0.11182507173435116</v>
      </c>
      <c r="AK30" s="11">
        <f t="shared" si="116"/>
        <v>0.11185450956475865</v>
      </c>
      <c r="AL30" s="11">
        <f t="shared" si="116"/>
        <v>0.11188431277186586</v>
      </c>
      <c r="AM30" s="11">
        <f t="shared" si="116"/>
        <v>0.11191448236423868</v>
      </c>
      <c r="AN30" s="11">
        <f t="shared" si="116"/>
        <v>0.11194501923279906</v>
      </c>
      <c r="AP30" s="1" t="s">
        <v>63</v>
      </c>
      <c r="AQ30" s="6">
        <f>AQ28+AQ29</f>
        <v>84133.664075163266</v>
      </c>
    </row>
    <row r="31" spans="2:138" x14ac:dyDescent="0.3">
      <c r="B31" s="1" t="s">
        <v>56</v>
      </c>
      <c r="K31" s="11">
        <f>K14/K5</f>
        <v>0.13466878222927409</v>
      </c>
      <c r="L31" s="11">
        <f>L14/L5</f>
        <v>0.12789792128437069</v>
      </c>
      <c r="M31" s="11">
        <f>M14/M5</f>
        <v>0.12098589880317573</v>
      </c>
      <c r="N31" s="11">
        <f t="shared" ref="N31" si="117">N14/N5</f>
        <v>0.12636431069195719</v>
      </c>
      <c r="O31" s="11">
        <f t="shared" ref="O31:T31" si="118">O14/O5</f>
        <v>0.11799941843559174</v>
      </c>
      <c r="P31" s="11">
        <f t="shared" si="118"/>
        <v>0.11852996358017878</v>
      </c>
      <c r="Q31" s="11">
        <f t="shared" si="118"/>
        <v>0.12511693171188026</v>
      </c>
      <c r="R31" s="11">
        <f t="shared" si="118"/>
        <v>3.7375147674793253E-2</v>
      </c>
      <c r="S31" s="11">
        <f t="shared" si="118"/>
        <v>0.13204921226966543</v>
      </c>
      <c r="T31" s="11">
        <f t="shared" si="118"/>
        <v>4.1200771137427705E-2</v>
      </c>
      <c r="X31" s="11">
        <f t="shared" ref="X31:AB31" si="119">X14/X5</f>
        <v>0.14286430816558551</v>
      </c>
      <c r="Y31" s="11">
        <f t="shared" si="119"/>
        <v>0.13217529588060797</v>
      </c>
      <c r="Z31" s="11">
        <f t="shared" si="119"/>
        <v>0.13607481653839271</v>
      </c>
      <c r="AA31" s="11">
        <f t="shared" si="119"/>
        <v>0.12651551891367604</v>
      </c>
      <c r="AB31" s="11">
        <f t="shared" si="119"/>
        <v>0.12589720442201535</v>
      </c>
      <c r="AC31" s="11">
        <f>AC14/AC5</f>
        <v>9.8714862829553926E-2</v>
      </c>
      <c r="AD31" s="11">
        <f t="shared" ref="AD31:AN31" si="120">AD14/AD5</f>
        <v>0.12610382091750075</v>
      </c>
      <c r="AE31" s="11">
        <f t="shared" si="120"/>
        <v>0.1259283973239371</v>
      </c>
      <c r="AF31" s="11">
        <f t="shared" si="120"/>
        <v>0.12588413659351141</v>
      </c>
      <c r="AG31" s="11">
        <f t="shared" si="120"/>
        <v>0.12583930127218113</v>
      </c>
      <c r="AH31" s="11">
        <f t="shared" si="120"/>
        <v>0.12579388888554568</v>
      </c>
      <c r="AI31" s="11">
        <f t="shared" si="120"/>
        <v>0.12574789711981899</v>
      </c>
      <c r="AJ31" s="11">
        <f t="shared" si="120"/>
        <v>0.12570132382739288</v>
      </c>
      <c r="AK31" s="11">
        <f t="shared" si="120"/>
        <v>0.12565416703240995</v>
      </c>
      <c r="AL31" s="11">
        <f t="shared" si="120"/>
        <v>0.1256064249363405</v>
      </c>
      <c r="AM31" s="11">
        <f t="shared" si="120"/>
        <v>0.12555809592355188</v>
      </c>
      <c r="AN31" s="11">
        <f t="shared" si="120"/>
        <v>0.12550917856686486</v>
      </c>
      <c r="AP31" s="1" t="s">
        <v>64</v>
      </c>
      <c r="AQ31" s="4">
        <f>AQ30/AN22</f>
        <v>360.31547783795833</v>
      </c>
    </row>
    <row r="32" spans="2:138" x14ac:dyDescent="0.3">
      <c r="B32" s="1" t="s">
        <v>45</v>
      </c>
      <c r="K32" s="11">
        <f>K20/K19</f>
        <v>0.15295887662988966</v>
      </c>
      <c r="L32" s="11">
        <f>L20/L19</f>
        <v>0.16201395812562314</v>
      </c>
      <c r="M32" s="11">
        <f>M20/M19</f>
        <v>0.13773681515617001</v>
      </c>
      <c r="N32" s="11">
        <f t="shared" ref="N32" si="121">N20/N19</f>
        <v>0.12472060795708538</v>
      </c>
      <c r="O32" s="11">
        <f t="shared" ref="O32:T32" si="122">O20/O19</f>
        <v>0.15803814713896458</v>
      </c>
      <c r="P32" s="11">
        <f t="shared" si="122"/>
        <v>0.15759753593429157</v>
      </c>
      <c r="Q32" s="11">
        <f t="shared" si="122"/>
        <v>0.15380604796663191</v>
      </c>
      <c r="R32" s="11">
        <f t="shared" si="122"/>
        <v>-1.5414258188824663E-2</v>
      </c>
      <c r="S32" s="11">
        <f t="shared" si="122"/>
        <v>0.15913555992141454</v>
      </c>
      <c r="T32" s="11">
        <f t="shared" si="122"/>
        <v>0.17985611510791366</v>
      </c>
      <c r="X32" s="11">
        <f t="shared" ref="X32:AB32" si="123">X20/X19</f>
        <v>0.13962159922662615</v>
      </c>
      <c r="Y32" s="11">
        <f t="shared" si="123"/>
        <v>0.16357012750455374</v>
      </c>
      <c r="Z32" s="11">
        <f t="shared" si="123"/>
        <v>0.16357615894039734</v>
      </c>
      <c r="AA32" s="11">
        <f t="shared" si="123"/>
        <v>0.14191616766467066</v>
      </c>
      <c r="AB32" s="11">
        <f t="shared" si="123"/>
        <v>0.14546801679427018</v>
      </c>
      <c r="AC32" s="11">
        <f>AC20/AC19</f>
        <v>0.14212218649517686</v>
      </c>
      <c r="AD32" s="11">
        <f t="shared" ref="AD32:AN32" si="124">AD20/AD19</f>
        <v>0.15</v>
      </c>
      <c r="AE32" s="11">
        <f t="shared" si="124"/>
        <v>0.15</v>
      </c>
      <c r="AF32" s="11">
        <f t="shared" si="124"/>
        <v>0.15</v>
      </c>
      <c r="AG32" s="11">
        <f t="shared" si="124"/>
        <v>0.15</v>
      </c>
      <c r="AH32" s="11">
        <f t="shared" si="124"/>
        <v>0.15</v>
      </c>
      <c r="AI32" s="11">
        <f t="shared" si="124"/>
        <v>0.15</v>
      </c>
      <c r="AJ32" s="11">
        <f t="shared" si="124"/>
        <v>0.15</v>
      </c>
      <c r="AK32" s="11">
        <f t="shared" si="124"/>
        <v>0.15</v>
      </c>
      <c r="AL32" s="11">
        <f t="shared" si="124"/>
        <v>0.15</v>
      </c>
      <c r="AM32" s="11">
        <f t="shared" si="124"/>
        <v>0.15</v>
      </c>
      <c r="AN32" s="11">
        <f t="shared" si="124"/>
        <v>0.15</v>
      </c>
      <c r="AP32" s="1" t="s">
        <v>65</v>
      </c>
      <c r="AQ32" s="4">
        <f>Main!D3</f>
        <v>504.49</v>
      </c>
    </row>
    <row r="33" spans="2:43" x14ac:dyDescent="0.3">
      <c r="B33" s="1" t="s">
        <v>57</v>
      </c>
      <c r="K33" s="11">
        <f>K21/K5</f>
        <v>0.11166203887346292</v>
      </c>
      <c r="L33" s="11">
        <f>L21/L5</f>
        <v>0.10070089258970825</v>
      </c>
      <c r="M33" s="11">
        <f>M21/M5</f>
        <v>9.977485484062093E-2</v>
      </c>
      <c r="N33" s="11">
        <f t="shared" ref="N33" si="125">N21/N5</f>
        <v>0.1037405955282399</v>
      </c>
      <c r="O33" s="11">
        <f t="shared" ref="O33:T33" si="126">O21/O5</f>
        <v>8.9851701075894158E-2</v>
      </c>
      <c r="P33" s="11">
        <f t="shared" si="126"/>
        <v>9.0552919103851673E-2</v>
      </c>
      <c r="Q33" s="11">
        <f t="shared" si="126"/>
        <v>9.4890084190832558E-2</v>
      </c>
      <c r="R33" s="11">
        <f t="shared" si="126"/>
        <v>2.8299860380195468E-2</v>
      </c>
      <c r="S33" s="11">
        <f t="shared" si="126"/>
        <v>9.5307019985525807E-2</v>
      </c>
      <c r="T33" s="11">
        <f t="shared" si="126"/>
        <v>1.8837785733957588E-2</v>
      </c>
      <c r="X33" s="11">
        <f t="shared" ref="X33:AB33" si="127">X21/X5</f>
        <v>0.10415970039456965</v>
      </c>
      <c r="Y33" s="11">
        <f t="shared" si="127"/>
        <v>0.10532432184470474</v>
      </c>
      <c r="Z33" s="11">
        <f t="shared" si="127"/>
        <v>9.4191873993198491E-2</v>
      </c>
      <c r="AA33" s="11">
        <f t="shared" si="127"/>
        <v>8.6869544131910767E-2</v>
      </c>
      <c r="AB33" s="11">
        <f t="shared" si="127"/>
        <v>0.1024107975314854</v>
      </c>
      <c r="AC33" s="11">
        <f>AC21/AC5</f>
        <v>7.5109440761229121E-2</v>
      </c>
      <c r="AD33" s="11">
        <f t="shared" ref="AD33:AN33" si="128">AD21/AD5</f>
        <v>9.4934357257880506E-2</v>
      </c>
      <c r="AE33" s="11">
        <f t="shared" si="128"/>
        <v>9.4925213475232306E-2</v>
      </c>
      <c r="AF33" s="11">
        <f t="shared" si="128"/>
        <v>9.492783713539879E-2</v>
      </c>
      <c r="AG33" s="11">
        <f t="shared" si="128"/>
        <v>9.4930494855809233E-2</v>
      </c>
      <c r="AH33" s="11">
        <f t="shared" si="128"/>
        <v>9.4933186783139209E-2</v>
      </c>
      <c r="AI33" s="11">
        <f t="shared" si="128"/>
        <v>9.4935913054544213E-2</v>
      </c>
      <c r="AJ33" s="11">
        <f t="shared" si="128"/>
        <v>9.4938673797328982E-2</v>
      </c>
      <c r="AK33" s="11">
        <f t="shared" si="128"/>
        <v>9.4941469128616729E-2</v>
      </c>
      <c r="AL33" s="11">
        <f t="shared" si="128"/>
        <v>9.4944299155019785E-2</v>
      </c>
      <c r="AM33" s="11">
        <f t="shared" si="128"/>
        <v>9.4947163972308776E-2</v>
      </c>
      <c r="AN33" s="11">
        <f t="shared" si="128"/>
        <v>9.4950063665082726E-2</v>
      </c>
      <c r="AP33" s="3" t="s">
        <v>66</v>
      </c>
      <c r="AQ33" s="12">
        <f>AQ31/AQ32-1</f>
        <v>-0.28578271553854717</v>
      </c>
    </row>
    <row r="34" spans="2:43" x14ac:dyDescent="0.3">
      <c r="AP34" s="1" t="s">
        <v>67</v>
      </c>
      <c r="AQ34" s="8" t="s">
        <v>68</v>
      </c>
    </row>
    <row r="37" spans="2:43" s="13" customFormat="1" x14ac:dyDescent="0.3">
      <c r="B37" s="13" t="s">
        <v>69</v>
      </c>
      <c r="T37" s="13">
        <v>58870</v>
      </c>
    </row>
    <row r="39" spans="2:43" x14ac:dyDescent="0.3">
      <c r="B39" s="1" t="s">
        <v>70</v>
      </c>
      <c r="T39" s="14">
        <f>Main!D9/Model!T37</f>
        <v>2.3031325802615936</v>
      </c>
    </row>
    <row r="40" spans="2:43" x14ac:dyDescent="0.3">
      <c r="B40" s="1" t="s">
        <v>71</v>
      </c>
      <c r="T40" s="11">
        <f>T37/Main!D9-1</f>
        <v>-0.56580875605241165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2025-03-07T11:29:13Z</dcterms:created>
  <dcterms:modified xsi:type="dcterms:W3CDTF">2025-10-04T08:00:22Z</dcterms:modified>
</cp:coreProperties>
</file>