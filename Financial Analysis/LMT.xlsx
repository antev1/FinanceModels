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AC494DBA-103B-4273-A2FA-4B446C6E796A}" xr6:coauthVersionLast="47" xr6:coauthVersionMax="47" xr10:uidLastSave="{00000000-0000-0000-0000-000000000000}"/>
  <bookViews>
    <workbookView xWindow="-108" yWindow="-108" windowWidth="23256" windowHeight="12576" activeTab="1" xr2:uid="{4D34CE10-A2B1-43BA-A8EF-FB8FB8D7517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33" i="2" l="1"/>
  <c r="AQ32" i="2"/>
  <c r="AQ31" i="2"/>
  <c r="AQ30" i="2"/>
  <c r="AQ29" i="2"/>
  <c r="AQ28" i="2"/>
  <c r="AP21" i="2"/>
  <c r="AQ21" i="2" s="1"/>
  <c r="AR21" i="2" s="1"/>
  <c r="AS21" i="2" s="1"/>
  <c r="AT21" i="2" s="1"/>
  <c r="AU21" i="2" s="1"/>
  <c r="AV21" i="2" s="1"/>
  <c r="AW21" i="2" s="1"/>
  <c r="AX21" i="2" s="1"/>
  <c r="AY21" i="2" s="1"/>
  <c r="AZ21" i="2" s="1"/>
  <c r="BA21" i="2" s="1"/>
  <c r="BB21" i="2" s="1"/>
  <c r="BC21" i="2" s="1"/>
  <c r="BD21" i="2" s="1"/>
  <c r="BE21" i="2" s="1"/>
  <c r="BF21" i="2" s="1"/>
  <c r="BG21" i="2" s="1"/>
  <c r="BH21" i="2" s="1"/>
  <c r="BI21" i="2" s="1"/>
  <c r="BJ21" i="2" s="1"/>
  <c r="BK21" i="2" s="1"/>
  <c r="BL21" i="2" s="1"/>
  <c r="BM21" i="2" s="1"/>
  <c r="BN21" i="2" s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CO21" i="2" s="1"/>
  <c r="CP21" i="2" s="1"/>
  <c r="CQ21" i="2" s="1"/>
  <c r="CR21" i="2" s="1"/>
  <c r="CS21" i="2" s="1"/>
  <c r="CT21" i="2" s="1"/>
  <c r="CU21" i="2" s="1"/>
  <c r="CV21" i="2" s="1"/>
  <c r="CW21" i="2" s="1"/>
  <c r="CX21" i="2" s="1"/>
  <c r="CY21" i="2" s="1"/>
  <c r="CZ21" i="2" s="1"/>
  <c r="DA21" i="2" s="1"/>
  <c r="DB21" i="2" s="1"/>
  <c r="DC21" i="2" s="1"/>
  <c r="DD21" i="2" s="1"/>
  <c r="DE21" i="2" s="1"/>
  <c r="DF21" i="2" s="1"/>
  <c r="DG21" i="2" s="1"/>
  <c r="DH21" i="2" s="1"/>
  <c r="DI21" i="2" s="1"/>
  <c r="DJ21" i="2" s="1"/>
  <c r="DK21" i="2" s="1"/>
  <c r="DL21" i="2" s="1"/>
  <c r="DM21" i="2" s="1"/>
  <c r="DN21" i="2" s="1"/>
  <c r="DO21" i="2" s="1"/>
  <c r="DP21" i="2" s="1"/>
  <c r="DQ21" i="2" s="1"/>
  <c r="DR21" i="2" s="1"/>
  <c r="DS21" i="2" s="1"/>
  <c r="DT21" i="2" s="1"/>
  <c r="DU21" i="2" s="1"/>
  <c r="DV21" i="2" s="1"/>
  <c r="DW21" i="2" s="1"/>
  <c r="DX21" i="2" s="1"/>
  <c r="DY21" i="2" s="1"/>
  <c r="DZ21" i="2" s="1"/>
  <c r="EA21" i="2" s="1"/>
  <c r="EB21" i="2" s="1"/>
  <c r="EC21" i="2" s="1"/>
  <c r="ED21" i="2" s="1"/>
  <c r="EE21" i="2" s="1"/>
  <c r="EF21" i="2" s="1"/>
  <c r="EG21" i="2" s="1"/>
  <c r="EH21" i="2" s="1"/>
  <c r="AO21" i="2"/>
  <c r="AN33" i="2"/>
  <c r="AM33" i="2"/>
  <c r="AL33" i="2"/>
  <c r="AK33" i="2"/>
  <c r="AJ33" i="2"/>
  <c r="AI33" i="2"/>
  <c r="AH33" i="2"/>
  <c r="AG33" i="2"/>
  <c r="AF33" i="2"/>
  <c r="AE33" i="2"/>
  <c r="AD33" i="2"/>
  <c r="AN32" i="2"/>
  <c r="AM32" i="2"/>
  <c r="AL32" i="2"/>
  <c r="AK32" i="2"/>
  <c r="AJ32" i="2"/>
  <c r="AI32" i="2"/>
  <c r="AH32" i="2"/>
  <c r="AG32" i="2"/>
  <c r="AF32" i="2"/>
  <c r="AE32" i="2"/>
  <c r="AD32" i="2"/>
  <c r="AN31" i="2"/>
  <c r="AM31" i="2"/>
  <c r="AL31" i="2"/>
  <c r="AK31" i="2"/>
  <c r="AJ31" i="2"/>
  <c r="AI31" i="2"/>
  <c r="AH31" i="2"/>
  <c r="AG31" i="2"/>
  <c r="AF31" i="2"/>
  <c r="AE31" i="2"/>
  <c r="AD31" i="2"/>
  <c r="AN30" i="2"/>
  <c r="AM30" i="2"/>
  <c r="AL30" i="2"/>
  <c r="AK30" i="2"/>
  <c r="AJ30" i="2"/>
  <c r="AI30" i="2"/>
  <c r="AH30" i="2"/>
  <c r="AG30" i="2"/>
  <c r="AF30" i="2"/>
  <c r="AE30" i="2"/>
  <c r="AD30" i="2"/>
  <c r="AN29" i="2"/>
  <c r="AM29" i="2"/>
  <c r="AL29" i="2"/>
  <c r="AK29" i="2"/>
  <c r="AJ29" i="2"/>
  <c r="AI29" i="2"/>
  <c r="AH29" i="2"/>
  <c r="AG29" i="2"/>
  <c r="AF29" i="2"/>
  <c r="AE29" i="2"/>
  <c r="AD29" i="2"/>
  <c r="AN28" i="2"/>
  <c r="AM28" i="2"/>
  <c r="AL28" i="2"/>
  <c r="AK28" i="2"/>
  <c r="AJ28" i="2"/>
  <c r="AI28" i="2"/>
  <c r="AH28" i="2"/>
  <c r="AG28" i="2"/>
  <c r="AF28" i="2"/>
  <c r="AE28" i="2"/>
  <c r="AD28" i="2"/>
  <c r="AN27" i="2"/>
  <c r="AM27" i="2"/>
  <c r="AL27" i="2"/>
  <c r="AK27" i="2"/>
  <c r="AJ27" i="2"/>
  <c r="AI27" i="2"/>
  <c r="AH27" i="2"/>
  <c r="AG27" i="2"/>
  <c r="AF27" i="2"/>
  <c r="AE27" i="2"/>
  <c r="AD27" i="2"/>
  <c r="AN26" i="2"/>
  <c r="AM26" i="2"/>
  <c r="AL26" i="2"/>
  <c r="AK26" i="2"/>
  <c r="AJ26" i="2"/>
  <c r="AI26" i="2"/>
  <c r="AH26" i="2"/>
  <c r="AG26" i="2"/>
  <c r="AF26" i="2"/>
  <c r="AE26" i="2"/>
  <c r="AD26" i="2"/>
  <c r="AN25" i="2"/>
  <c r="AM25" i="2"/>
  <c r="AL25" i="2"/>
  <c r="AK25" i="2"/>
  <c r="AJ25" i="2"/>
  <c r="AI25" i="2"/>
  <c r="AH25" i="2"/>
  <c r="AG25" i="2"/>
  <c r="AF25" i="2"/>
  <c r="AE25" i="2"/>
  <c r="AD25" i="2"/>
  <c r="AN22" i="2"/>
  <c r="AM22" i="2"/>
  <c r="AL22" i="2"/>
  <c r="AK22" i="2"/>
  <c r="AJ22" i="2"/>
  <c r="AI22" i="2"/>
  <c r="AH22" i="2"/>
  <c r="AG22" i="2"/>
  <c r="AF22" i="2"/>
  <c r="AE22" i="2"/>
  <c r="AE15" i="2"/>
  <c r="AE18" i="2" s="1"/>
  <c r="AE12" i="2"/>
  <c r="AF12" i="2" s="1"/>
  <c r="AG12" i="2" s="1"/>
  <c r="AH12" i="2" s="1"/>
  <c r="AI12" i="2" s="1"/>
  <c r="AJ12" i="2" s="1"/>
  <c r="AK12" i="2" s="1"/>
  <c r="AL12" i="2" s="1"/>
  <c r="AM12" i="2" s="1"/>
  <c r="AN12" i="2" s="1"/>
  <c r="AE11" i="2"/>
  <c r="AF11" i="2" s="1"/>
  <c r="AG11" i="2" s="1"/>
  <c r="AH11" i="2" s="1"/>
  <c r="AI11" i="2" s="1"/>
  <c r="AJ11" i="2" s="1"/>
  <c r="AK11" i="2" s="1"/>
  <c r="AL11" i="2" s="1"/>
  <c r="AM11" i="2" s="1"/>
  <c r="AN11" i="2" s="1"/>
  <c r="AE10" i="2"/>
  <c r="AE13" i="2" s="1"/>
  <c r="AJ8" i="2"/>
  <c r="AJ9" i="2" s="1"/>
  <c r="AI8" i="2"/>
  <c r="AI9" i="2" s="1"/>
  <c r="AN7" i="2"/>
  <c r="AN8" i="2" s="1"/>
  <c r="AN9" i="2" s="1"/>
  <c r="AM7" i="2"/>
  <c r="AM8" i="2" s="1"/>
  <c r="AM9" i="2" s="1"/>
  <c r="AL7" i="2"/>
  <c r="AL8" i="2" s="1"/>
  <c r="AL9" i="2" s="1"/>
  <c r="AK7" i="2"/>
  <c r="AK8" i="2" s="1"/>
  <c r="AK9" i="2" s="1"/>
  <c r="AJ7" i="2"/>
  <c r="AI7" i="2"/>
  <c r="AH7" i="2"/>
  <c r="AH8" i="2" s="1"/>
  <c r="AH9" i="2" s="1"/>
  <c r="AG7" i="2"/>
  <c r="AG8" i="2" s="1"/>
  <c r="AG9" i="2" s="1"/>
  <c r="AF7" i="2"/>
  <c r="AF8" i="2" s="1"/>
  <c r="AF9" i="2" s="1"/>
  <c r="AE7" i="2"/>
  <c r="AE8" i="2" s="1"/>
  <c r="AE9" i="2" s="1"/>
  <c r="AE14" i="2" s="1"/>
  <c r="AE19" i="2" s="1"/>
  <c r="AD22" i="2"/>
  <c r="AD18" i="2"/>
  <c r="AD15" i="2"/>
  <c r="AD13" i="2"/>
  <c r="AD12" i="2"/>
  <c r="AD11" i="2"/>
  <c r="AD10" i="2"/>
  <c r="AD8" i="2"/>
  <c r="AD9" i="2" s="1"/>
  <c r="AD7" i="2"/>
  <c r="AN6" i="2"/>
  <c r="AM6" i="2"/>
  <c r="AL6" i="2"/>
  <c r="AK6" i="2"/>
  <c r="AJ6" i="2"/>
  <c r="AI6" i="2"/>
  <c r="AH6" i="2"/>
  <c r="AG6" i="2"/>
  <c r="AF6" i="2"/>
  <c r="AE6" i="2"/>
  <c r="AD6" i="2"/>
  <c r="AN5" i="2"/>
  <c r="AM5" i="2"/>
  <c r="AL5" i="2"/>
  <c r="AK5" i="2"/>
  <c r="AJ5" i="2"/>
  <c r="AI5" i="2"/>
  <c r="AH5" i="2"/>
  <c r="AG5" i="2"/>
  <c r="AF5" i="2"/>
  <c r="AE5" i="2"/>
  <c r="AD5" i="2"/>
  <c r="AF4" i="2"/>
  <c r="AG4" i="2" s="1"/>
  <c r="AH4" i="2" s="1"/>
  <c r="AI4" i="2" s="1"/>
  <c r="AJ4" i="2" s="1"/>
  <c r="AK4" i="2" s="1"/>
  <c r="AL4" i="2" s="1"/>
  <c r="AM4" i="2" s="1"/>
  <c r="AN4" i="2" s="1"/>
  <c r="AE4" i="2"/>
  <c r="AF3" i="2"/>
  <c r="AG3" i="2" s="1"/>
  <c r="AH3" i="2" s="1"/>
  <c r="AI3" i="2" s="1"/>
  <c r="AJ3" i="2" s="1"/>
  <c r="AK3" i="2" s="1"/>
  <c r="AL3" i="2" s="1"/>
  <c r="AM3" i="2" s="1"/>
  <c r="AN3" i="2" s="1"/>
  <c r="AE3" i="2"/>
  <c r="AD3" i="2"/>
  <c r="AD4" i="2"/>
  <c r="AB33" i="2"/>
  <c r="AA33" i="2"/>
  <c r="Z33" i="2"/>
  <c r="Y33" i="2"/>
  <c r="X33" i="2"/>
  <c r="AB32" i="2"/>
  <c r="AA32" i="2"/>
  <c r="Z32" i="2"/>
  <c r="Y32" i="2"/>
  <c r="X32" i="2"/>
  <c r="AB31" i="2"/>
  <c r="AA31" i="2"/>
  <c r="Z31" i="2"/>
  <c r="Y31" i="2"/>
  <c r="X31" i="2"/>
  <c r="AB30" i="2"/>
  <c r="AA30" i="2"/>
  <c r="Z30" i="2"/>
  <c r="Y30" i="2"/>
  <c r="X30" i="2"/>
  <c r="AB29" i="2"/>
  <c r="AA29" i="2"/>
  <c r="Z29" i="2"/>
  <c r="Y29" i="2"/>
  <c r="X29" i="2"/>
  <c r="AB28" i="2"/>
  <c r="AA28" i="2"/>
  <c r="Z28" i="2"/>
  <c r="Y28" i="2"/>
  <c r="X28" i="2"/>
  <c r="AB27" i="2"/>
  <c r="AA27" i="2"/>
  <c r="Z27" i="2"/>
  <c r="Y27" i="2"/>
  <c r="AB26" i="2"/>
  <c r="AA26" i="2"/>
  <c r="Z26" i="2"/>
  <c r="Y26" i="2"/>
  <c r="AB25" i="2"/>
  <c r="AA25" i="2"/>
  <c r="Z25" i="2"/>
  <c r="Y25" i="2"/>
  <c r="AC30" i="2"/>
  <c r="AC29" i="2"/>
  <c r="AC28" i="2"/>
  <c r="AC27" i="2"/>
  <c r="AC26" i="2"/>
  <c r="AC25" i="2"/>
  <c r="X22" i="2"/>
  <c r="X18" i="2"/>
  <c r="X13" i="2"/>
  <c r="X8" i="2"/>
  <c r="X5" i="2"/>
  <c r="Y22" i="2"/>
  <c r="Y18" i="2"/>
  <c r="Y13" i="2"/>
  <c r="Y8" i="2"/>
  <c r="Y5" i="2"/>
  <c r="Y9" i="2" s="1"/>
  <c r="Y14" i="2" s="1"/>
  <c r="Z22" i="2"/>
  <c r="Z18" i="2"/>
  <c r="Z13" i="2"/>
  <c r="Z8" i="2"/>
  <c r="Z5" i="2"/>
  <c r="AA22" i="2"/>
  <c r="AA18" i="2"/>
  <c r="AA13" i="2"/>
  <c r="AA8" i="2"/>
  <c r="AA5" i="2"/>
  <c r="AA9" i="2" s="1"/>
  <c r="AB22" i="2"/>
  <c r="AB18" i="2"/>
  <c r="AB13" i="2"/>
  <c r="AB8" i="2"/>
  <c r="AB5" i="2"/>
  <c r="AC22" i="2"/>
  <c r="AC18" i="2"/>
  <c r="AC13" i="2"/>
  <c r="AC8" i="2"/>
  <c r="AC9" i="2" s="1"/>
  <c r="AC5" i="2"/>
  <c r="D7" i="1"/>
  <c r="D8" i="1" s="1"/>
  <c r="D9" i="1" s="1"/>
  <c r="D6" i="1"/>
  <c r="D5" i="1"/>
  <c r="D4" i="1"/>
  <c r="F3" i="1"/>
  <c r="AE20" i="2" l="1"/>
  <c r="AE21" i="2"/>
  <c r="AE23" i="2" s="1"/>
  <c r="AF10" i="2"/>
  <c r="AF15" i="2"/>
  <c r="AD14" i="2"/>
  <c r="AD19" i="2" s="1"/>
  <c r="X9" i="2"/>
  <c r="X14" i="2" s="1"/>
  <c r="X19" i="2" s="1"/>
  <c r="X21" i="2" s="1"/>
  <c r="X23" i="2" s="1"/>
  <c r="Y19" i="2"/>
  <c r="Y21" i="2" s="1"/>
  <c r="Y23" i="2" s="1"/>
  <c r="Z9" i="2"/>
  <c r="Z14" i="2" s="1"/>
  <c r="Z19" i="2" s="1"/>
  <c r="Z21" i="2" s="1"/>
  <c r="Z23" i="2" s="1"/>
  <c r="AA14" i="2"/>
  <c r="AA19" i="2" s="1"/>
  <c r="AA21" i="2" s="1"/>
  <c r="AA23" i="2" s="1"/>
  <c r="AB9" i="2"/>
  <c r="AB14" i="2" s="1"/>
  <c r="AB19" i="2" s="1"/>
  <c r="AB21" i="2" s="1"/>
  <c r="AB23" i="2" s="1"/>
  <c r="AC14" i="2"/>
  <c r="AD20" i="2" l="1"/>
  <c r="AD21" i="2" s="1"/>
  <c r="AD23" i="2" s="1"/>
  <c r="AF18" i="2"/>
  <c r="AG15" i="2"/>
  <c r="AF13" i="2"/>
  <c r="AF14" i="2" s="1"/>
  <c r="AF19" i="2" s="1"/>
  <c r="AG10" i="2"/>
  <c r="AC19" i="2"/>
  <c r="AC31" i="2"/>
  <c r="AH10" i="2" l="1"/>
  <c r="AG13" i="2"/>
  <c r="AG14" i="2" s="1"/>
  <c r="AG19" i="2" s="1"/>
  <c r="AF20" i="2"/>
  <c r="AF21" i="2" s="1"/>
  <c r="AF23" i="2" s="1"/>
  <c r="AG18" i="2"/>
  <c r="AH15" i="2"/>
  <c r="AC21" i="2"/>
  <c r="AC32" i="2"/>
  <c r="AI10" i="2" l="1"/>
  <c r="AH13" i="2"/>
  <c r="AH14" i="2" s="1"/>
  <c r="AH19" i="2" s="1"/>
  <c r="AH18" i="2"/>
  <c r="AI15" i="2"/>
  <c r="AG20" i="2"/>
  <c r="AG21" i="2" s="1"/>
  <c r="AG23" i="2" s="1"/>
  <c r="AC33" i="2"/>
  <c r="AC23" i="2"/>
  <c r="AH20" i="2" l="1"/>
  <c r="AH21" i="2" s="1"/>
  <c r="AH23" i="2" s="1"/>
  <c r="AJ15" i="2"/>
  <c r="AI18" i="2"/>
  <c r="AJ10" i="2"/>
  <c r="AI13" i="2"/>
  <c r="AI14" i="2" s="1"/>
  <c r="AI19" i="2" s="1"/>
  <c r="AK10" i="2" l="1"/>
  <c r="AJ13" i="2"/>
  <c r="AJ14" i="2" s="1"/>
  <c r="AJ19" i="2" s="1"/>
  <c r="AI20" i="2"/>
  <c r="AI21" i="2" s="1"/>
  <c r="AI23" i="2" s="1"/>
  <c r="AK15" i="2"/>
  <c r="AJ18" i="2"/>
  <c r="AJ20" i="2" l="1"/>
  <c r="AJ21" i="2" s="1"/>
  <c r="AJ23" i="2" s="1"/>
  <c r="AK18" i="2"/>
  <c r="AL15" i="2"/>
  <c r="AL10" i="2"/>
  <c r="AK13" i="2"/>
  <c r="AK14" i="2" s="1"/>
  <c r="AK19" i="2" s="1"/>
  <c r="AK20" i="2" l="1"/>
  <c r="AK21" i="2" s="1"/>
  <c r="AK23" i="2" s="1"/>
  <c r="AL13" i="2"/>
  <c r="AL14" i="2" s="1"/>
  <c r="AM10" i="2"/>
  <c r="AL18" i="2"/>
  <c r="AM15" i="2"/>
  <c r="AM18" i="2" l="1"/>
  <c r="AN15" i="2"/>
  <c r="AN18" i="2" s="1"/>
  <c r="AM13" i="2"/>
  <c r="AM14" i="2" s="1"/>
  <c r="AM19" i="2" s="1"/>
  <c r="AN10" i="2"/>
  <c r="AN13" i="2" s="1"/>
  <c r="AN14" i="2" s="1"/>
  <c r="AN19" i="2" s="1"/>
  <c r="AL19" i="2"/>
  <c r="AM21" i="2" l="1"/>
  <c r="AM23" i="2" s="1"/>
  <c r="AM20" i="2"/>
  <c r="AN20" i="2"/>
  <c r="AN21" i="2" s="1"/>
  <c r="AN23" i="2" s="1"/>
  <c r="AL20" i="2"/>
  <c r="AL21" i="2"/>
  <c r="AL23" i="2" s="1"/>
</calcChain>
</file>

<file path=xl/sharedStrings.xml><?xml version="1.0" encoding="utf-8"?>
<sst xmlns="http://schemas.openxmlformats.org/spreadsheetml/2006/main" count="75" uniqueCount="69">
  <si>
    <t>LMT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</si>
  <si>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</si>
  <si>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</si>
  <si>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</si>
  <si>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</si>
  <si>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</si>
  <si>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</si>
  <si>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</si>
  <si>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</si>
  <si>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</si>
  <si>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</si>
  <si>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</si>
  <si>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Gross profit</t>
  </si>
  <si>
    <t>Q122</t>
  </si>
  <si>
    <t>Q121</t>
  </si>
  <si>
    <t>Q221</t>
  </si>
  <si>
    <t>Q321</t>
  </si>
  <si>
    <t>Q421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</si>
  <si>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</si>
  <si>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</si>
  <si>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</si>
  <si>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</si>
  <si>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</si>
  <si>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</si>
  <si>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</si>
  <si>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</si>
  <si>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</si>
  <si>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</si>
  <si>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</si>
  <si>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</si>
  <si>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</si>
  <si>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</si>
  <si>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Product revenue</t>
  </si>
  <si>
    <t>Total revenue</t>
  </si>
  <si>
    <t>Product cost</t>
  </si>
  <si>
    <t>Service cost</t>
  </si>
  <si>
    <t>Service revenue</t>
  </si>
  <si>
    <t>Total cost of sales</t>
  </si>
  <si>
    <t>Other operating expense</t>
  </si>
  <si>
    <t>Impairment</t>
  </si>
  <si>
    <t>Operating profit</t>
  </si>
  <si>
    <t>Interest expense</t>
  </si>
  <si>
    <t>Other expense</t>
  </si>
  <si>
    <t>Other income</t>
  </si>
  <si>
    <t>Pretax profit</t>
  </si>
  <si>
    <t>Taxes</t>
  </si>
  <si>
    <t>Net profit</t>
  </si>
  <si>
    <t>EPS</t>
  </si>
  <si>
    <t>Total operating expense</t>
  </si>
  <si>
    <t>Total other income</t>
  </si>
  <si>
    <t>Product revenue y/y</t>
  </si>
  <si>
    <t>Service revenue y/y</t>
  </si>
  <si>
    <t>Revenue y/y</t>
  </si>
  <si>
    <t>Product Margin</t>
  </si>
  <si>
    <t>Service Margin</t>
  </si>
  <si>
    <t>Gross Margin</t>
  </si>
  <si>
    <t>Operating Margin</t>
  </si>
  <si>
    <t>Net Margin</t>
  </si>
  <si>
    <t>F-35 Lightning II – international multi-role, multi-variant, fifth generation stealth fighter.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</si>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</sst>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color theme="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2" borderId="1" xfId="0" applyFont="1" applyFill="1" applyBorder="1"/>
    <xf numFmtId="0" fontId="4" fillId="2" borderId="1" xfId="0" applyFont="1" applyFill="1" applyBorder="1" applyAlignment="1">
      <alignment horizontal="right"/>
    </xf>
    <xf numFmtId="0" fontId="2" fillId="2" borderId="1" xfId="0" applyFont="1" applyFill="1" applyBorder="1"/>
    <xf numFmtId="164" fontId="3" fillId="2" borderId="1" xfId="0" applyNumberFormat="1" applyFont="1" applyFill="1" applyBorder="1"/>
    <xf numFmtId="14" fontId="4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/>
    <xf numFmtId="0" fontId="5" fillId="2" borderId="1" xfId="0" applyFont="1" applyFill="1" applyBorder="1"/>
    <xf numFmtId="0" fontId="3" fillId="2" borderId="1" xfId="0" applyFont="1" applyFill="1" applyBorder="1" applyAlignment="1">
      <alignment horizontal="right"/>
    </xf>
    <xf numFmtId="3" fontId="2" fillId="2" borderId="1" xfId="0" applyNumberFormat="1" applyFont="1" applyFill="1" applyBorder="1"/>
    <xf numFmtId="4" fontId="3" fillId="2" borderId="1" xfId="0" applyNumberFormat="1" applyFont="1" applyFill="1" applyBorder="1"/>
    <xf numFmtId="9" fontId="3" fillId="2" borderId="1" xfId="0" applyNumberFormat="1" applyFont="1" applyFill="1" applyBorder="1"/>
    <xf numFmtId="9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22860</xdr:colOff>
      <xdr:row>0</xdr:row>
      <xdr:rowOff>7620</xdr:rowOff>
    </xdr:from>
    <xdr:to>
      <xdr:col>29</xdr:col>
      <xdr:colOff>22860</xdr:colOff>
      <xdr:row>44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A60D279-C8C6-7CE4-5B63-8F81BEFF7015}"/>
            </a:ext>
          </a:extLst>
        </xdr:cNvPr>
        <xdr:cNvCxnSpPr/>
      </xdr:nvCxnSpPr>
      <xdr:spPr>
        <a:xfrm>
          <a:off x="18554700" y="7620"/>
          <a:ext cx="0" cy="81457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DF56-AB54-467A-BB12-2C9E3FB633E0}">
  <dimension ref="B2:J9"/>
  <sheetViews>
    <sheetView workbookViewId="0">
      <selection activeCell="D5" sqref="D5"/>
    </sheetView>
  </sheetViews>
  <sheetFormatPr defaultRowHeight="14.4" x14ac:dyDescent="0.3"/>
  <cols>
    <col min="1" max="4" width="8.88671875" style="1"/>
    <col min="5" max="7" width="14.44140625" style="2" customWidth="1"/>
    <col min="8" max="16384" width="8.88671875" style="1"/>
  </cols>
  <sheetData>
    <row r="2" spans="2:10" x14ac:dyDescent="0.3">
      <c r="E2" s="2" t="s">
        <v>8</v>
      </c>
      <c r="F2" s="2" t="s">
        <v>9</v>
      </c>
      <c r="G2" s="2" t="s">
        <v>10</v>
      </c>
    </row>
    <row r="3" spans="2:10" x14ac:dyDescent="0.3">
      <c r="B3" s="3" t="s">
        <v>0</v>
      </c>
      <c r="C3" s="1" t="s">
        <v>1</v>
      </c>
      <c r="D3" s="4">
        <v>462.5</v>
      </c>
      <c r="E3" s="5">
        <v>45723</v>
      </c>
      <c r="F3" s="5">
        <f ca="1">TODAY()</f>
        <v>45804</v>
      </c>
      <c r="G3" s="5">
        <v>45769</v>
      </c>
    </row>
    <row r="4" spans="2:10" x14ac:dyDescent="0.3">
      <c r="C4" s="1" t="s">
        <v>2</v>
      </c>
      <c r="D4" s="6">
        <f>235.4</f>
        <v>235.4</v>
      </c>
      <c r="E4" s="2" t="s">
        <v>11</v>
      </c>
    </row>
    <row r="5" spans="2:10" x14ac:dyDescent="0.3">
      <c r="C5" s="1" t="s">
        <v>3</v>
      </c>
      <c r="D5" s="6">
        <f>D3*D4</f>
        <v>108872.5</v>
      </c>
    </row>
    <row r="6" spans="2:10" x14ac:dyDescent="0.3">
      <c r="C6" s="1" t="s">
        <v>4</v>
      </c>
      <c r="D6" s="6">
        <f>2483</f>
        <v>2483</v>
      </c>
      <c r="E6" s="2" t="s">
        <v>11</v>
      </c>
      <c r="J6" s="7" t="s">
        <v>58</v>
      </c>
    </row>
    <row r="7" spans="2:10" x14ac:dyDescent="0.3">
      <c r="C7" s="1" t="s">
        <v>5</v>
      </c>
      <c r="D7" s="6">
        <f>643+19627</f>
        <v>20270</v>
      </c>
      <c r="E7" s="2" t="s">
        <v>11</v>
      </c>
    </row>
    <row r="8" spans="2:10" x14ac:dyDescent="0.3">
      <c r="C8" s="1" t="s">
        <v>6</v>
      </c>
      <c r="D8" s="6">
        <f>D6-D7</f>
        <v>-17787</v>
      </c>
    </row>
    <row r="9" spans="2:10" x14ac:dyDescent="0.3">
      <c r="C9" s="1" t="s">
        <v>7</v>
      </c>
      <c r="D9" s="6">
        <f>D5-D8</f>
        <v>126659.5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3F992-CF1A-49DF-A7A3-B2026107AC3A}">
  <dimension ref="B2:EH34"/>
  <sheetViews>
    <sheetView tabSelected="1" workbookViewId="0">
      <pane xSplit="2" ySplit="2" topLeftCell="AB9" activePane="bottomRight" state="frozen"/>
      <selection pane="topRight" activeCell="C1" sqref="C1"/>
      <selection pane="bottomLeft" activeCell="A3" sqref="A3"/>
      <selection pane="bottomRight" activeCell="AQ34" sqref="AQ34"/>
    </sheetView>
  </sheetViews>
  <sheetFormatPr defaultRowHeight="14.4" x14ac:dyDescent="0.3"/>
  <cols>
    <col min="1" max="1" width="8.88671875" style="1"/>
    <col min="2" max="2" width="21.33203125" style="1" bestFit="1" customWidth="1"/>
    <col min="3" max="41" width="8.88671875" style="1"/>
    <col min="42" max="42" width="14.109375" style="1" customWidth="1"/>
    <col min="43" max="43" width="17.109375" style="1" customWidth="1"/>
    <col min="44" max="16384" width="8.88671875" style="1"/>
  </cols>
  <sheetData>
    <row r="2" spans="2:40" x14ac:dyDescent="0.3">
      <c r="C2" s="8" t="s">
        <v>14</v>
      </c>
      <c r="D2" s="8" t="s">
        <v>15</v>
      </c>
      <c r="E2" s="8" t="s">
        <v>16</v>
      </c>
      <c r="F2" s="8" t="s">
        <v>17</v>
      </c>
      <c r="G2" s="8" t="s">
        <v>13</v>
      </c>
      <c r="H2" s="8" t="s">
        <v>18</v>
      </c>
      <c r="I2" s="8" t="s">
        <v>19</v>
      </c>
      <c r="J2" s="8" t="s">
        <v>20</v>
      </c>
      <c r="K2" s="8" t="s">
        <v>21</v>
      </c>
      <c r="L2" s="8" t="s">
        <v>22</v>
      </c>
      <c r="M2" s="8" t="s">
        <v>23</v>
      </c>
      <c r="N2" s="8" t="s">
        <v>24</v>
      </c>
      <c r="O2" s="8" t="s">
        <v>25</v>
      </c>
      <c r="P2" s="8" t="s">
        <v>26</v>
      </c>
      <c r="Q2" s="8" t="s">
        <v>27</v>
      </c>
      <c r="R2" s="8" t="s">
        <v>11</v>
      </c>
      <c r="S2" s="8" t="s">
        <v>28</v>
      </c>
      <c r="T2" s="8" t="s">
        <v>29</v>
      </c>
      <c r="U2" s="8" t="s">
        <v>30</v>
      </c>
      <c r="V2" s="8" t="s">
        <v>31</v>
      </c>
      <c r="X2" s="1">
        <v>2019</v>
      </c>
      <c r="Y2" s="1">
        <v>2020</v>
      </c>
      <c r="Z2" s="1">
        <v>2021</v>
      </c>
      <c r="AA2" s="1">
        <v>2022</v>
      </c>
      <c r="AB2" s="1">
        <v>2023</v>
      </c>
      <c r="AC2" s="1">
        <v>2024</v>
      </c>
      <c r="AD2" s="1">
        <v>2025</v>
      </c>
      <c r="AE2" s="1">
        <v>2026</v>
      </c>
      <c r="AF2" s="1">
        <v>2027</v>
      </c>
      <c r="AG2" s="1">
        <v>2028</v>
      </c>
      <c r="AH2" s="1">
        <v>2029</v>
      </c>
      <c r="AI2" s="1">
        <v>2030</v>
      </c>
      <c r="AJ2" s="1">
        <v>2031</v>
      </c>
      <c r="AK2" s="1">
        <v>2032</v>
      </c>
      <c r="AL2" s="1">
        <v>2033</v>
      </c>
      <c r="AM2" s="1">
        <v>2034</v>
      </c>
      <c r="AN2" s="1">
        <v>2035</v>
      </c>
    </row>
    <row r="3" spans="2:40" x14ac:dyDescent="0.3">
      <c r="B3" s="1" t="s">
        <v>32</v>
      </c>
      <c r="X3" s="6">
        <v>50053</v>
      </c>
      <c r="Y3" s="6">
        <v>54928</v>
      </c>
      <c r="Z3" s="6">
        <v>56435</v>
      </c>
      <c r="AA3" s="6">
        <v>55466</v>
      </c>
      <c r="AB3" s="6">
        <v>56265</v>
      </c>
      <c r="AC3" s="6">
        <v>59277</v>
      </c>
      <c r="AD3" s="6">
        <f>AC3*1.02</f>
        <v>60462.54</v>
      </c>
      <c r="AE3" s="6">
        <f>AD3*1.01</f>
        <v>61067.165399999998</v>
      </c>
      <c r="AF3" s="6">
        <f t="shared" ref="AF3:AN3" si="0">AE3*1.01</f>
        <v>61677.837053999996</v>
      </c>
      <c r="AG3" s="6">
        <f t="shared" si="0"/>
        <v>62294.615424539996</v>
      </c>
      <c r="AH3" s="6">
        <f t="shared" si="0"/>
        <v>62917.561578785397</v>
      </c>
      <c r="AI3" s="6">
        <f t="shared" si="0"/>
        <v>63546.737194573252</v>
      </c>
      <c r="AJ3" s="6">
        <f t="shared" si="0"/>
        <v>64182.204566518987</v>
      </c>
      <c r="AK3" s="6">
        <f t="shared" si="0"/>
        <v>64824.026612184178</v>
      </c>
      <c r="AL3" s="6">
        <f t="shared" si="0"/>
        <v>65472.266878306022</v>
      </c>
      <c r="AM3" s="6">
        <f t="shared" si="0"/>
        <v>66126.989547089077</v>
      </c>
      <c r="AN3" s="6">
        <f t="shared" si="0"/>
        <v>66788.259442559967</v>
      </c>
    </row>
    <row r="4" spans="2:40" x14ac:dyDescent="0.3">
      <c r="B4" s="1" t="s">
        <v>36</v>
      </c>
      <c r="X4" s="6">
        <v>9759</v>
      </c>
      <c r="Y4" s="6">
        <v>10470</v>
      </c>
      <c r="Z4" s="6">
        <v>10609</v>
      </c>
      <c r="AA4" s="6">
        <v>10518</v>
      </c>
      <c r="AB4" s="6">
        <v>11306</v>
      </c>
      <c r="AC4" s="6">
        <v>11766</v>
      </c>
      <c r="AD4" s="6">
        <f>AC4*1.03</f>
        <v>12118.98</v>
      </c>
      <c r="AE4" s="6">
        <f>AD4*1.03</f>
        <v>12482.5494</v>
      </c>
      <c r="AF4" s="6">
        <f t="shared" ref="AF4:AN4" si="1">AE4*1.03</f>
        <v>12857.025882</v>
      </c>
      <c r="AG4" s="6">
        <f t="shared" si="1"/>
        <v>13242.73665846</v>
      </c>
      <c r="AH4" s="6">
        <f t="shared" si="1"/>
        <v>13640.018758213801</v>
      </c>
      <c r="AI4" s="6">
        <f t="shared" si="1"/>
        <v>14049.219320960216</v>
      </c>
      <c r="AJ4" s="6">
        <f t="shared" si="1"/>
        <v>14470.695900589022</v>
      </c>
      <c r="AK4" s="6">
        <f t="shared" si="1"/>
        <v>14904.816777606693</v>
      </c>
      <c r="AL4" s="6">
        <f t="shared" si="1"/>
        <v>15351.961280934895</v>
      </c>
      <c r="AM4" s="6">
        <f t="shared" si="1"/>
        <v>15812.520119362942</v>
      </c>
      <c r="AN4" s="6">
        <f t="shared" si="1"/>
        <v>16286.895722943831</v>
      </c>
    </row>
    <row r="5" spans="2:40" s="3" customFormat="1" x14ac:dyDescent="0.3">
      <c r="B5" s="3" t="s">
        <v>33</v>
      </c>
      <c r="X5" s="9">
        <f t="shared" ref="X5:AN5" si="2">X3+X4</f>
        <v>59812</v>
      </c>
      <c r="Y5" s="9">
        <f t="shared" si="2"/>
        <v>65398</v>
      </c>
      <c r="Z5" s="9">
        <f t="shared" si="2"/>
        <v>67044</v>
      </c>
      <c r="AA5" s="9">
        <f t="shared" si="2"/>
        <v>65984</v>
      </c>
      <c r="AB5" s="9">
        <f t="shared" si="2"/>
        <v>67571</v>
      </c>
      <c r="AC5" s="9">
        <f t="shared" si="2"/>
        <v>71043</v>
      </c>
      <c r="AD5" s="9">
        <f t="shared" si="2"/>
        <v>72581.52</v>
      </c>
      <c r="AE5" s="9">
        <f t="shared" si="2"/>
        <v>73549.714800000002</v>
      </c>
      <c r="AF5" s="9">
        <f t="shared" si="2"/>
        <v>74534.86293599999</v>
      </c>
      <c r="AG5" s="9">
        <f t="shared" si="2"/>
        <v>75537.352082999991</v>
      </c>
      <c r="AH5" s="9">
        <f t="shared" si="2"/>
        <v>76557.580336999192</v>
      </c>
      <c r="AI5" s="9">
        <f t="shared" si="2"/>
        <v>77595.956515533471</v>
      </c>
      <c r="AJ5" s="9">
        <f t="shared" si="2"/>
        <v>78652.900467108004</v>
      </c>
      <c r="AK5" s="9">
        <f t="shared" si="2"/>
        <v>79728.843389790869</v>
      </c>
      <c r="AL5" s="9">
        <f t="shared" si="2"/>
        <v>80824.228159240913</v>
      </c>
      <c r="AM5" s="9">
        <f t="shared" si="2"/>
        <v>81939.509666452024</v>
      </c>
      <c r="AN5" s="9">
        <f t="shared" si="2"/>
        <v>83075.155165503791</v>
      </c>
    </row>
    <row r="6" spans="2:40" x14ac:dyDescent="0.3">
      <c r="B6" s="1" t="s">
        <v>34</v>
      </c>
      <c r="X6" s="6">
        <v>44589</v>
      </c>
      <c r="Y6" s="6">
        <v>48996</v>
      </c>
      <c r="Z6" s="6">
        <v>50273</v>
      </c>
      <c r="AA6" s="6">
        <v>49357</v>
      </c>
      <c r="AB6" s="6">
        <v>50206</v>
      </c>
      <c r="AC6" s="6">
        <v>54852</v>
      </c>
      <c r="AD6" s="6">
        <f>AD3*0.89</f>
        <v>53811.660600000003</v>
      </c>
      <c r="AE6" s="6">
        <f t="shared" ref="AE6:AN6" si="3">AE3*0.89</f>
        <v>54349.777205999999</v>
      </c>
      <c r="AF6" s="6">
        <f t="shared" si="3"/>
        <v>54893.274978059999</v>
      </c>
      <c r="AG6" s="6">
        <f t="shared" si="3"/>
        <v>55442.2077278406</v>
      </c>
      <c r="AH6" s="6">
        <f t="shared" si="3"/>
        <v>55996.629805119002</v>
      </c>
      <c r="AI6" s="6">
        <f t="shared" si="3"/>
        <v>56556.596103170195</v>
      </c>
      <c r="AJ6" s="6">
        <f t="shared" si="3"/>
        <v>57122.162064201897</v>
      </c>
      <c r="AK6" s="6">
        <f t="shared" si="3"/>
        <v>57693.383684843917</v>
      </c>
      <c r="AL6" s="6">
        <f t="shared" si="3"/>
        <v>58270.317521692363</v>
      </c>
      <c r="AM6" s="6">
        <f t="shared" si="3"/>
        <v>58853.020696909276</v>
      </c>
      <c r="AN6" s="6">
        <f t="shared" si="3"/>
        <v>59441.550903878371</v>
      </c>
    </row>
    <row r="7" spans="2:40" x14ac:dyDescent="0.3">
      <c r="B7" s="1" t="s">
        <v>35</v>
      </c>
      <c r="X7" s="6">
        <v>8731</v>
      </c>
      <c r="Y7" s="6">
        <v>9371</v>
      </c>
      <c r="Z7" s="6">
        <v>9463</v>
      </c>
      <c r="AA7" s="6">
        <v>9252</v>
      </c>
      <c r="AB7" s="6">
        <v>10027</v>
      </c>
      <c r="AC7" s="6">
        <v>10217</v>
      </c>
      <c r="AD7" s="6">
        <f>AD4*0.88</f>
        <v>10664.7024</v>
      </c>
      <c r="AE7" s="6">
        <f t="shared" ref="AE7:AN7" si="4">AE4*0.88</f>
        <v>10984.643472</v>
      </c>
      <c r="AF7" s="6">
        <f t="shared" si="4"/>
        <v>11314.18277616</v>
      </c>
      <c r="AG7" s="6">
        <f t="shared" si="4"/>
        <v>11653.6082594448</v>
      </c>
      <c r="AH7" s="6">
        <f t="shared" si="4"/>
        <v>12003.216507228144</v>
      </c>
      <c r="AI7" s="6">
        <f t="shared" si="4"/>
        <v>12363.313002444989</v>
      </c>
      <c r="AJ7" s="6">
        <f t="shared" si="4"/>
        <v>12734.212392518339</v>
      </c>
      <c r="AK7" s="6">
        <f t="shared" si="4"/>
        <v>13116.23876429389</v>
      </c>
      <c r="AL7" s="6">
        <f t="shared" si="4"/>
        <v>13509.725927222707</v>
      </c>
      <c r="AM7" s="6">
        <f t="shared" si="4"/>
        <v>13915.017705039389</v>
      </c>
      <c r="AN7" s="6">
        <f t="shared" si="4"/>
        <v>14332.468236190571</v>
      </c>
    </row>
    <row r="8" spans="2:40" x14ac:dyDescent="0.3">
      <c r="B8" s="1" t="s">
        <v>37</v>
      </c>
      <c r="X8" s="6">
        <f t="shared" ref="X8:AC8" si="5">X6+X7</f>
        <v>53320</v>
      </c>
      <c r="Y8" s="6">
        <f t="shared" si="5"/>
        <v>58367</v>
      </c>
      <c r="Z8" s="6">
        <f t="shared" si="5"/>
        <v>59736</v>
      </c>
      <c r="AA8" s="6">
        <f t="shared" si="5"/>
        <v>58609</v>
      </c>
      <c r="AB8" s="6">
        <f t="shared" si="5"/>
        <v>60233</v>
      </c>
      <c r="AC8" s="6">
        <f t="shared" si="5"/>
        <v>65069</v>
      </c>
      <c r="AD8" s="6">
        <f t="shared" ref="AD8:AN8" si="6">AD6+AD7</f>
        <v>64476.363000000005</v>
      </c>
      <c r="AE8" s="6">
        <f t="shared" si="6"/>
        <v>65334.420677999995</v>
      </c>
      <c r="AF8" s="6">
        <f t="shared" si="6"/>
        <v>66207.457754219999</v>
      </c>
      <c r="AG8" s="6">
        <f t="shared" si="6"/>
        <v>67095.815987285401</v>
      </c>
      <c r="AH8" s="6">
        <f t="shared" si="6"/>
        <v>67999.846312347145</v>
      </c>
      <c r="AI8" s="6">
        <f t="shared" si="6"/>
        <v>68919.909105615181</v>
      </c>
      <c r="AJ8" s="6">
        <f t="shared" si="6"/>
        <v>69856.374456720238</v>
      </c>
      <c r="AK8" s="6">
        <f t="shared" si="6"/>
        <v>70809.622449137809</v>
      </c>
      <c r="AL8" s="6">
        <f t="shared" si="6"/>
        <v>71780.043448915065</v>
      </c>
      <c r="AM8" s="6">
        <f t="shared" si="6"/>
        <v>72768.038401948666</v>
      </c>
      <c r="AN8" s="6">
        <f t="shared" si="6"/>
        <v>73774.019140068936</v>
      </c>
    </row>
    <row r="9" spans="2:40" s="3" customFormat="1" x14ac:dyDescent="0.3">
      <c r="B9" s="3" t="s">
        <v>12</v>
      </c>
      <c r="X9" s="9">
        <f t="shared" ref="X9:AC9" si="7">X5-X8</f>
        <v>6492</v>
      </c>
      <c r="Y9" s="9">
        <f t="shared" si="7"/>
        <v>7031</v>
      </c>
      <c r="Z9" s="9">
        <f t="shared" si="7"/>
        <v>7308</v>
      </c>
      <c r="AA9" s="9">
        <f t="shared" si="7"/>
        <v>7375</v>
      </c>
      <c r="AB9" s="9">
        <f t="shared" si="7"/>
        <v>7338</v>
      </c>
      <c r="AC9" s="9">
        <f t="shared" si="7"/>
        <v>5974</v>
      </c>
      <c r="AD9" s="9">
        <f t="shared" ref="AD9:AN9" si="8">AD5-AD8</f>
        <v>8105.1569999999992</v>
      </c>
      <c r="AE9" s="9">
        <f t="shared" si="8"/>
        <v>8215.2941220000066</v>
      </c>
      <c r="AF9" s="9">
        <f t="shared" si="8"/>
        <v>8327.4051817799918</v>
      </c>
      <c r="AG9" s="9">
        <f t="shared" si="8"/>
        <v>8441.5360957145895</v>
      </c>
      <c r="AH9" s="9">
        <f t="shared" si="8"/>
        <v>8557.7340246520471</v>
      </c>
      <c r="AI9" s="9">
        <f t="shared" si="8"/>
        <v>8676.0474099182902</v>
      </c>
      <c r="AJ9" s="9">
        <f t="shared" si="8"/>
        <v>8796.5260103877663</v>
      </c>
      <c r="AK9" s="9">
        <f t="shared" si="8"/>
        <v>8919.2209406530601</v>
      </c>
      <c r="AL9" s="9">
        <f t="shared" si="8"/>
        <v>9044.1847103258478</v>
      </c>
      <c r="AM9" s="9">
        <f t="shared" si="8"/>
        <v>9171.4712645033578</v>
      </c>
      <c r="AN9" s="9">
        <f t="shared" si="8"/>
        <v>9301.1360254348547</v>
      </c>
    </row>
    <row r="10" spans="2:40" x14ac:dyDescent="0.3">
      <c r="B10" s="1" t="s">
        <v>39</v>
      </c>
      <c r="X10" s="6">
        <v>0</v>
      </c>
      <c r="Y10" s="6">
        <v>27</v>
      </c>
      <c r="Z10" s="6">
        <v>36</v>
      </c>
      <c r="AA10" s="6">
        <v>100</v>
      </c>
      <c r="AB10" s="6">
        <v>92</v>
      </c>
      <c r="AC10" s="6">
        <v>87</v>
      </c>
      <c r="AD10" s="6">
        <f>AC10*1.03</f>
        <v>89.61</v>
      </c>
      <c r="AE10" s="6">
        <f t="shared" ref="AE10:AN10" si="9">AD10*1.03</f>
        <v>92.298299999999998</v>
      </c>
      <c r="AF10" s="6">
        <f t="shared" si="9"/>
        <v>95.067249000000004</v>
      </c>
      <c r="AG10" s="6">
        <f t="shared" si="9"/>
        <v>97.919266470000011</v>
      </c>
      <c r="AH10" s="6">
        <f t="shared" si="9"/>
        <v>100.85684446410001</v>
      </c>
      <c r="AI10" s="6">
        <f t="shared" si="9"/>
        <v>103.88254979802301</v>
      </c>
      <c r="AJ10" s="6">
        <f t="shared" si="9"/>
        <v>106.9990262919637</v>
      </c>
      <c r="AK10" s="6">
        <f t="shared" si="9"/>
        <v>110.20899708072261</v>
      </c>
      <c r="AL10" s="6">
        <f t="shared" si="9"/>
        <v>113.51526699314429</v>
      </c>
      <c r="AM10" s="6">
        <f t="shared" si="9"/>
        <v>116.92072500293862</v>
      </c>
      <c r="AN10" s="6">
        <f t="shared" si="9"/>
        <v>120.42834675302679</v>
      </c>
    </row>
    <row r="11" spans="2:40" x14ac:dyDescent="0.3">
      <c r="B11" s="1" t="s">
        <v>38</v>
      </c>
      <c r="X11" s="6">
        <v>-1875</v>
      </c>
      <c r="Y11" s="6">
        <v>-1650</v>
      </c>
      <c r="Z11" s="6">
        <v>-1789</v>
      </c>
      <c r="AA11" s="6">
        <v>-1012</v>
      </c>
      <c r="AB11" s="6">
        <v>-1233</v>
      </c>
      <c r="AC11" s="6">
        <v>-1043</v>
      </c>
      <c r="AD11" s="6">
        <f>AC11*1.01</f>
        <v>-1053.43</v>
      </c>
      <c r="AE11" s="6">
        <f t="shared" ref="AE11:AN11" si="10">AD11*1.01</f>
        <v>-1063.9643000000001</v>
      </c>
      <c r="AF11" s="6">
        <f t="shared" si="10"/>
        <v>-1074.6039430000001</v>
      </c>
      <c r="AG11" s="6">
        <f t="shared" si="10"/>
        <v>-1085.3499824300002</v>
      </c>
      <c r="AH11" s="6">
        <f t="shared" si="10"/>
        <v>-1096.2034822543003</v>
      </c>
      <c r="AI11" s="6">
        <f t="shared" si="10"/>
        <v>-1107.1655170768433</v>
      </c>
      <c r="AJ11" s="6">
        <f t="shared" si="10"/>
        <v>-1118.2371722476119</v>
      </c>
      <c r="AK11" s="6">
        <f t="shared" si="10"/>
        <v>-1129.4195439700879</v>
      </c>
      <c r="AL11" s="6">
        <f t="shared" si="10"/>
        <v>-1140.7137394097888</v>
      </c>
      <c r="AM11" s="6">
        <f t="shared" si="10"/>
        <v>-1152.1208768038866</v>
      </c>
      <c r="AN11" s="6">
        <f t="shared" si="10"/>
        <v>-1163.6420855719255</v>
      </c>
    </row>
    <row r="12" spans="2:40" x14ac:dyDescent="0.3">
      <c r="B12" s="1" t="s">
        <v>43</v>
      </c>
      <c r="X12" s="6">
        <v>-178</v>
      </c>
      <c r="Y12" s="6">
        <v>10</v>
      </c>
      <c r="Z12" s="6">
        <v>-62</v>
      </c>
      <c r="AA12" s="6">
        <v>-61</v>
      </c>
      <c r="AB12" s="6">
        <v>-28</v>
      </c>
      <c r="AC12" s="6">
        <v>-83</v>
      </c>
      <c r="AD12" s="6">
        <f>AC12*1.01</f>
        <v>-83.83</v>
      </c>
      <c r="AE12" s="6">
        <f t="shared" ref="AE12:AN12" si="11">AD12*1.01</f>
        <v>-84.668300000000002</v>
      </c>
      <c r="AF12" s="6">
        <f t="shared" si="11"/>
        <v>-85.514983000000001</v>
      </c>
      <c r="AG12" s="6">
        <f t="shared" si="11"/>
        <v>-86.370132830000003</v>
      </c>
      <c r="AH12" s="6">
        <f t="shared" si="11"/>
        <v>-87.233834158299999</v>
      </c>
      <c r="AI12" s="6">
        <f t="shared" si="11"/>
        <v>-88.106172499883002</v>
      </c>
      <c r="AJ12" s="6">
        <f t="shared" si="11"/>
        <v>-88.987234224881831</v>
      </c>
      <c r="AK12" s="6">
        <f t="shared" si="11"/>
        <v>-89.877106567130653</v>
      </c>
      <c r="AL12" s="6">
        <f t="shared" si="11"/>
        <v>-90.775877632801965</v>
      </c>
      <c r="AM12" s="6">
        <f t="shared" si="11"/>
        <v>-91.683636409129988</v>
      </c>
      <c r="AN12" s="6">
        <f t="shared" si="11"/>
        <v>-92.600472773221284</v>
      </c>
    </row>
    <row r="13" spans="2:40" x14ac:dyDescent="0.3">
      <c r="B13" s="1" t="s">
        <v>48</v>
      </c>
      <c r="X13" s="6">
        <f t="shared" ref="X13:AC13" si="12">SUM(X10:X12)</f>
        <v>-2053</v>
      </c>
      <c r="Y13" s="6">
        <f t="shared" si="12"/>
        <v>-1613</v>
      </c>
      <c r="Z13" s="6">
        <f t="shared" si="12"/>
        <v>-1815</v>
      </c>
      <c r="AA13" s="6">
        <f t="shared" si="12"/>
        <v>-973</v>
      </c>
      <c r="AB13" s="6">
        <f t="shared" si="12"/>
        <v>-1169</v>
      </c>
      <c r="AC13" s="6">
        <f t="shared" si="12"/>
        <v>-1039</v>
      </c>
      <c r="AD13" s="6">
        <f t="shared" ref="AD13:AN13" si="13">SUM(AD10:AD12)</f>
        <v>-1047.6500000000001</v>
      </c>
      <c r="AE13" s="6">
        <f t="shared" si="13"/>
        <v>-1056.3343</v>
      </c>
      <c r="AF13" s="6">
        <f t="shared" si="13"/>
        <v>-1065.0516770000002</v>
      </c>
      <c r="AG13" s="6">
        <f t="shared" si="13"/>
        <v>-1073.8008487900001</v>
      </c>
      <c r="AH13" s="6">
        <f t="shared" si="13"/>
        <v>-1082.5804719485002</v>
      </c>
      <c r="AI13" s="6">
        <f t="shared" si="13"/>
        <v>-1091.3891397787033</v>
      </c>
      <c r="AJ13" s="6">
        <f t="shared" si="13"/>
        <v>-1100.22538018053</v>
      </c>
      <c r="AK13" s="6">
        <f t="shared" si="13"/>
        <v>-1109.0876534564959</v>
      </c>
      <c r="AL13" s="6">
        <f t="shared" si="13"/>
        <v>-1117.9743500494465</v>
      </c>
      <c r="AM13" s="6">
        <f t="shared" si="13"/>
        <v>-1126.8837882100781</v>
      </c>
      <c r="AN13" s="6">
        <f t="shared" si="13"/>
        <v>-1135.81421159212</v>
      </c>
    </row>
    <row r="14" spans="2:40" s="3" customFormat="1" x14ac:dyDescent="0.3">
      <c r="B14" s="3" t="s">
        <v>40</v>
      </c>
      <c r="X14" s="9">
        <f t="shared" ref="X14:AC14" si="14">X9-X13</f>
        <v>8545</v>
      </c>
      <c r="Y14" s="9">
        <f t="shared" si="14"/>
        <v>8644</v>
      </c>
      <c r="Z14" s="9">
        <f t="shared" si="14"/>
        <v>9123</v>
      </c>
      <c r="AA14" s="9">
        <f t="shared" si="14"/>
        <v>8348</v>
      </c>
      <c r="AB14" s="9">
        <f t="shared" si="14"/>
        <v>8507</v>
      </c>
      <c r="AC14" s="9">
        <f t="shared" si="14"/>
        <v>7013</v>
      </c>
      <c r="AD14" s="9">
        <f t="shared" ref="AD14:AN14" si="15">AD9-AD13</f>
        <v>9152.8069999999989</v>
      </c>
      <c r="AE14" s="9">
        <f t="shared" si="15"/>
        <v>9271.628422000007</v>
      </c>
      <c r="AF14" s="9">
        <f t="shared" si="15"/>
        <v>9392.4568587799913</v>
      </c>
      <c r="AG14" s="9">
        <f t="shared" si="15"/>
        <v>9515.3369445045901</v>
      </c>
      <c r="AH14" s="9">
        <f t="shared" si="15"/>
        <v>9640.3144966005475</v>
      </c>
      <c r="AI14" s="9">
        <f t="shared" si="15"/>
        <v>9767.4365496969931</v>
      </c>
      <c r="AJ14" s="9">
        <f t="shared" si="15"/>
        <v>9896.7513905682972</v>
      </c>
      <c r="AK14" s="9">
        <f t="shared" si="15"/>
        <v>10028.308594109556</v>
      </c>
      <c r="AL14" s="9">
        <f t="shared" si="15"/>
        <v>10162.159060375294</v>
      </c>
      <c r="AM14" s="9">
        <f t="shared" si="15"/>
        <v>10298.355052713436</v>
      </c>
      <c r="AN14" s="9">
        <f t="shared" si="15"/>
        <v>10436.950237026975</v>
      </c>
    </row>
    <row r="15" spans="2:40" x14ac:dyDescent="0.3">
      <c r="B15" s="1" t="s">
        <v>41</v>
      </c>
      <c r="X15" s="6">
        <v>653</v>
      </c>
      <c r="Y15" s="6">
        <v>591</v>
      </c>
      <c r="Z15" s="6">
        <v>569</v>
      </c>
      <c r="AA15" s="6">
        <v>623</v>
      </c>
      <c r="AB15" s="6">
        <v>916</v>
      </c>
      <c r="AC15" s="6">
        <v>1036</v>
      </c>
      <c r="AD15" s="6">
        <f>AC15*1.01</f>
        <v>1046.3599999999999</v>
      </c>
      <c r="AE15" s="6">
        <f t="shared" ref="AE15:AN15" si="16">AD15*1.01</f>
        <v>1056.8235999999999</v>
      </c>
      <c r="AF15" s="6">
        <f t="shared" si="16"/>
        <v>1067.391836</v>
      </c>
      <c r="AG15" s="6">
        <f t="shared" si="16"/>
        <v>1078.06575436</v>
      </c>
      <c r="AH15" s="6">
        <f t="shared" si="16"/>
        <v>1088.8464119036</v>
      </c>
      <c r="AI15" s="6">
        <f t="shared" si="16"/>
        <v>1099.7348760226359</v>
      </c>
      <c r="AJ15" s="6">
        <f t="shared" si="16"/>
        <v>1110.7322247828622</v>
      </c>
      <c r="AK15" s="6">
        <f t="shared" si="16"/>
        <v>1121.8395470306909</v>
      </c>
      <c r="AL15" s="6">
        <f t="shared" si="16"/>
        <v>1133.0579425009978</v>
      </c>
      <c r="AM15" s="6">
        <f t="shared" si="16"/>
        <v>1144.3885219260078</v>
      </c>
      <c r="AN15" s="6">
        <f t="shared" si="16"/>
        <v>1155.8324071452678</v>
      </c>
    </row>
    <row r="16" spans="2:40" x14ac:dyDescent="0.3">
      <c r="B16" s="1" t="s">
        <v>42</v>
      </c>
      <c r="X16" s="6">
        <v>577</v>
      </c>
      <c r="Y16" s="6">
        <v>-219</v>
      </c>
      <c r="Z16" s="6">
        <v>1292</v>
      </c>
      <c r="AA16" s="6">
        <v>971</v>
      </c>
      <c r="AB16" s="6">
        <v>-443</v>
      </c>
      <c r="AC16" s="6">
        <v>-62</v>
      </c>
      <c r="AD16" s="6">
        <v>0</v>
      </c>
      <c r="AE16" s="6">
        <v>0</v>
      </c>
      <c r="AF16" s="6">
        <v>0</v>
      </c>
      <c r="AG16" s="6">
        <v>0</v>
      </c>
      <c r="AH16" s="6">
        <v>0</v>
      </c>
      <c r="AI16" s="6">
        <v>0</v>
      </c>
      <c r="AJ16" s="6">
        <v>0</v>
      </c>
      <c r="AK16" s="6">
        <v>0</v>
      </c>
      <c r="AL16" s="6">
        <v>0</v>
      </c>
      <c r="AM16" s="6">
        <v>0</v>
      </c>
      <c r="AN16" s="6">
        <v>0</v>
      </c>
    </row>
    <row r="17" spans="2:138" x14ac:dyDescent="0.3">
      <c r="B17" s="1" t="s">
        <v>43</v>
      </c>
      <c r="X17" s="6">
        <v>74</v>
      </c>
      <c r="Y17" s="6">
        <v>37</v>
      </c>
      <c r="Z17" s="6">
        <v>-288</v>
      </c>
      <c r="AA17" s="6">
        <v>74</v>
      </c>
      <c r="AB17" s="6">
        <v>-64</v>
      </c>
      <c r="AC17" s="6">
        <v>-181</v>
      </c>
      <c r="AD17" s="6">
        <v>0</v>
      </c>
      <c r="AE17" s="6">
        <v>0</v>
      </c>
      <c r="AF17" s="6">
        <v>0</v>
      </c>
      <c r="AG17" s="6">
        <v>0</v>
      </c>
      <c r="AH17" s="6">
        <v>0</v>
      </c>
      <c r="AI17" s="6">
        <v>0</v>
      </c>
      <c r="AJ17" s="6">
        <v>0</v>
      </c>
      <c r="AK17" s="6">
        <v>0</v>
      </c>
      <c r="AL17" s="6">
        <v>0</v>
      </c>
      <c r="AM17" s="6">
        <v>0</v>
      </c>
      <c r="AN17" s="6">
        <v>0</v>
      </c>
    </row>
    <row r="18" spans="2:138" x14ac:dyDescent="0.3">
      <c r="B18" s="1" t="s">
        <v>49</v>
      </c>
      <c r="X18" s="6">
        <f t="shared" ref="X18:AC18" si="17">SUM(X15:X17)</f>
        <v>1304</v>
      </c>
      <c r="Y18" s="6">
        <f t="shared" si="17"/>
        <v>409</v>
      </c>
      <c r="Z18" s="6">
        <f t="shared" si="17"/>
        <v>1573</v>
      </c>
      <c r="AA18" s="6">
        <f t="shared" si="17"/>
        <v>1668</v>
      </c>
      <c r="AB18" s="6">
        <f t="shared" si="17"/>
        <v>409</v>
      </c>
      <c r="AC18" s="6">
        <f t="shared" si="17"/>
        <v>793</v>
      </c>
      <c r="AD18" s="6">
        <f t="shared" ref="AD18:AN18" si="18">SUM(AD15:AD17)</f>
        <v>1046.3599999999999</v>
      </c>
      <c r="AE18" s="6">
        <f t="shared" si="18"/>
        <v>1056.8235999999999</v>
      </c>
      <c r="AF18" s="6">
        <f t="shared" si="18"/>
        <v>1067.391836</v>
      </c>
      <c r="AG18" s="6">
        <f t="shared" si="18"/>
        <v>1078.06575436</v>
      </c>
      <c r="AH18" s="6">
        <f t="shared" si="18"/>
        <v>1088.8464119036</v>
      </c>
      <c r="AI18" s="6">
        <f t="shared" si="18"/>
        <v>1099.7348760226359</v>
      </c>
      <c r="AJ18" s="6">
        <f t="shared" si="18"/>
        <v>1110.7322247828622</v>
      </c>
      <c r="AK18" s="6">
        <f t="shared" si="18"/>
        <v>1121.8395470306909</v>
      </c>
      <c r="AL18" s="6">
        <f t="shared" si="18"/>
        <v>1133.0579425009978</v>
      </c>
      <c r="AM18" s="6">
        <f t="shared" si="18"/>
        <v>1144.3885219260078</v>
      </c>
      <c r="AN18" s="6">
        <f t="shared" si="18"/>
        <v>1155.8324071452678</v>
      </c>
    </row>
    <row r="19" spans="2:138" s="3" customFormat="1" x14ac:dyDescent="0.3">
      <c r="B19" s="3" t="s">
        <v>44</v>
      </c>
      <c r="X19" s="9">
        <f t="shared" ref="X19:AC19" si="19">X14-X18</f>
        <v>7241</v>
      </c>
      <c r="Y19" s="9">
        <f t="shared" si="19"/>
        <v>8235</v>
      </c>
      <c r="Z19" s="9">
        <f t="shared" si="19"/>
        <v>7550</v>
      </c>
      <c r="AA19" s="9">
        <f t="shared" si="19"/>
        <v>6680</v>
      </c>
      <c r="AB19" s="9">
        <f t="shared" si="19"/>
        <v>8098</v>
      </c>
      <c r="AC19" s="9">
        <f t="shared" si="19"/>
        <v>6220</v>
      </c>
      <c r="AD19" s="9">
        <f t="shared" ref="AD19:AN19" si="20">AD14-AD18</f>
        <v>8106.4469999999992</v>
      </c>
      <c r="AE19" s="9">
        <f t="shared" si="20"/>
        <v>8214.8048220000073</v>
      </c>
      <c r="AF19" s="9">
        <f t="shared" si="20"/>
        <v>8325.0650227799906</v>
      </c>
      <c r="AG19" s="9">
        <f t="shared" si="20"/>
        <v>8437.2711901445909</v>
      </c>
      <c r="AH19" s="9">
        <f t="shared" si="20"/>
        <v>8551.4680846969477</v>
      </c>
      <c r="AI19" s="9">
        <f t="shared" si="20"/>
        <v>8667.7016736743572</v>
      </c>
      <c r="AJ19" s="9">
        <f t="shared" si="20"/>
        <v>8786.0191657854357</v>
      </c>
      <c r="AK19" s="9">
        <f t="shared" si="20"/>
        <v>8906.4690470788646</v>
      </c>
      <c r="AL19" s="9">
        <f t="shared" si="20"/>
        <v>9029.1011178742956</v>
      </c>
      <c r="AM19" s="9">
        <f t="shared" si="20"/>
        <v>9153.9665307874275</v>
      </c>
      <c r="AN19" s="9">
        <f t="shared" si="20"/>
        <v>9281.1178298817067</v>
      </c>
    </row>
    <row r="20" spans="2:138" x14ac:dyDescent="0.3">
      <c r="B20" s="1" t="s">
        <v>45</v>
      </c>
      <c r="X20" s="6">
        <v>1011</v>
      </c>
      <c r="Y20" s="6">
        <v>1347</v>
      </c>
      <c r="Z20" s="6">
        <v>1235</v>
      </c>
      <c r="AA20" s="6">
        <v>948</v>
      </c>
      <c r="AB20" s="6">
        <v>1178</v>
      </c>
      <c r="AC20" s="6">
        <v>884</v>
      </c>
      <c r="AD20" s="6">
        <f>AD19*0.15</f>
        <v>1215.9670499999997</v>
      </c>
      <c r="AE20" s="6">
        <f t="shared" ref="AE20:AN20" si="21">AE19*0.15</f>
        <v>1232.2207233000011</v>
      </c>
      <c r="AF20" s="6">
        <f t="shared" si="21"/>
        <v>1248.7597534169986</v>
      </c>
      <c r="AG20" s="6">
        <f t="shared" si="21"/>
        <v>1265.5906785216887</v>
      </c>
      <c r="AH20" s="6">
        <f t="shared" si="21"/>
        <v>1282.7202127045421</v>
      </c>
      <c r="AI20" s="6">
        <f t="shared" si="21"/>
        <v>1300.1552510511535</v>
      </c>
      <c r="AJ20" s="6">
        <f t="shared" si="21"/>
        <v>1317.9028748678154</v>
      </c>
      <c r="AK20" s="6">
        <f t="shared" si="21"/>
        <v>1335.9703570618296</v>
      </c>
      <c r="AL20" s="6">
        <f t="shared" si="21"/>
        <v>1354.3651676811444</v>
      </c>
      <c r="AM20" s="6">
        <f t="shared" si="21"/>
        <v>1373.0949796181142</v>
      </c>
      <c r="AN20" s="6">
        <f t="shared" si="21"/>
        <v>1392.167674482256</v>
      </c>
    </row>
    <row r="21" spans="2:138" s="3" customFormat="1" x14ac:dyDescent="0.3">
      <c r="B21" s="3" t="s">
        <v>46</v>
      </c>
      <c r="X21" s="9">
        <f t="shared" ref="X21:AC21" si="22">X19-X20</f>
        <v>6230</v>
      </c>
      <c r="Y21" s="9">
        <f t="shared" si="22"/>
        <v>6888</v>
      </c>
      <c r="Z21" s="9">
        <f t="shared" si="22"/>
        <v>6315</v>
      </c>
      <c r="AA21" s="9">
        <f t="shared" si="22"/>
        <v>5732</v>
      </c>
      <c r="AB21" s="9">
        <f t="shared" si="22"/>
        <v>6920</v>
      </c>
      <c r="AC21" s="9">
        <f t="shared" si="22"/>
        <v>5336</v>
      </c>
      <c r="AD21" s="9">
        <f t="shared" ref="AD21:AN21" si="23">AD19-AD20</f>
        <v>6890.479949999999</v>
      </c>
      <c r="AE21" s="9">
        <f t="shared" si="23"/>
        <v>6982.5840987000065</v>
      </c>
      <c r="AF21" s="9">
        <f t="shared" si="23"/>
        <v>7076.3052693629925</v>
      </c>
      <c r="AG21" s="9">
        <f t="shared" si="23"/>
        <v>7171.6805116229025</v>
      </c>
      <c r="AH21" s="9">
        <f t="shared" si="23"/>
        <v>7268.7478719924056</v>
      </c>
      <c r="AI21" s="9">
        <f t="shared" si="23"/>
        <v>7367.5464226232034</v>
      </c>
      <c r="AJ21" s="9">
        <f t="shared" si="23"/>
        <v>7468.1162909176201</v>
      </c>
      <c r="AK21" s="9">
        <f t="shared" si="23"/>
        <v>7570.4986900170352</v>
      </c>
      <c r="AL21" s="9">
        <f t="shared" si="23"/>
        <v>7674.7359501931514</v>
      </c>
      <c r="AM21" s="9">
        <f t="shared" si="23"/>
        <v>7780.8715511693135</v>
      </c>
      <c r="AN21" s="9">
        <f t="shared" si="23"/>
        <v>7888.9501553994505</v>
      </c>
      <c r="AO21" s="3">
        <f>AN21*(1+$AQ$26)</f>
        <v>7810.0606538454558</v>
      </c>
      <c r="AP21" s="3">
        <f t="shared" ref="AP21:DA21" si="24">AO21*(1+$AQ$26)</f>
        <v>7731.9600473070013</v>
      </c>
      <c r="AQ21" s="3">
        <f t="shared" si="24"/>
        <v>7654.6404468339315</v>
      </c>
      <c r="AR21" s="3">
        <f t="shared" si="24"/>
        <v>7578.094042365592</v>
      </c>
      <c r="AS21" s="3">
        <f t="shared" si="24"/>
        <v>7502.3131019419361</v>
      </c>
      <c r="AT21" s="3">
        <f t="shared" si="24"/>
        <v>7427.2899709225167</v>
      </c>
      <c r="AU21" s="3">
        <f t="shared" si="24"/>
        <v>7353.0170712132913</v>
      </c>
      <c r="AV21" s="3">
        <f t="shared" si="24"/>
        <v>7279.4869005011587</v>
      </c>
      <c r="AW21" s="3">
        <f t="shared" si="24"/>
        <v>7206.6920314961471</v>
      </c>
      <c r="AX21" s="3">
        <f t="shared" si="24"/>
        <v>7134.6251111811853</v>
      </c>
      <c r="AY21" s="3">
        <f t="shared" si="24"/>
        <v>7063.278860069373</v>
      </c>
      <c r="AZ21" s="3">
        <f t="shared" si="24"/>
        <v>6992.6460714686791</v>
      </c>
      <c r="BA21" s="3">
        <f t="shared" si="24"/>
        <v>6922.7196107539921</v>
      </c>
      <c r="BB21" s="3">
        <f t="shared" si="24"/>
        <v>6853.4924146464518</v>
      </c>
      <c r="BC21" s="3">
        <f t="shared" si="24"/>
        <v>6784.9574904999872</v>
      </c>
      <c r="BD21" s="3">
        <f t="shared" si="24"/>
        <v>6717.1079155949874</v>
      </c>
      <c r="BE21" s="3">
        <f t="shared" si="24"/>
        <v>6649.9368364390375</v>
      </c>
      <c r="BF21" s="3">
        <f t="shared" si="24"/>
        <v>6583.4374680746469</v>
      </c>
      <c r="BG21" s="3">
        <f t="shared" si="24"/>
        <v>6517.6030933939001</v>
      </c>
      <c r="BH21" s="3">
        <f t="shared" si="24"/>
        <v>6452.4270624599612</v>
      </c>
      <c r="BI21" s="3">
        <f t="shared" si="24"/>
        <v>6387.9027918353613</v>
      </c>
      <c r="BJ21" s="3">
        <f t="shared" si="24"/>
        <v>6324.0237639170073</v>
      </c>
      <c r="BK21" s="3">
        <f t="shared" si="24"/>
        <v>6260.7835262778372</v>
      </c>
      <c r="BL21" s="3">
        <f t="shared" si="24"/>
        <v>6198.1756910150589</v>
      </c>
      <c r="BM21" s="3">
        <f t="shared" si="24"/>
        <v>6136.1939341049083</v>
      </c>
      <c r="BN21" s="3">
        <f t="shared" si="24"/>
        <v>6074.8319947638593</v>
      </c>
      <c r="BO21" s="3">
        <f t="shared" si="24"/>
        <v>6014.083674816221</v>
      </c>
      <c r="BP21" s="3">
        <f t="shared" si="24"/>
        <v>5953.9428380680583</v>
      </c>
      <c r="BQ21" s="3">
        <f t="shared" si="24"/>
        <v>5894.4034096873775</v>
      </c>
      <c r="BR21" s="3">
        <f t="shared" si="24"/>
        <v>5835.4593755905034</v>
      </c>
      <c r="BS21" s="3">
        <f t="shared" si="24"/>
        <v>5777.1047818345987</v>
      </c>
      <c r="BT21" s="3">
        <f t="shared" si="24"/>
        <v>5719.3337340162525</v>
      </c>
      <c r="BU21" s="3">
        <f t="shared" si="24"/>
        <v>5662.1403966760899</v>
      </c>
      <c r="BV21" s="3">
        <f t="shared" si="24"/>
        <v>5605.5189927093288</v>
      </c>
      <c r="BW21" s="3">
        <f t="shared" si="24"/>
        <v>5549.4638027822357</v>
      </c>
      <c r="BX21" s="3">
        <f t="shared" si="24"/>
        <v>5493.9691647544132</v>
      </c>
      <c r="BY21" s="3">
        <f t="shared" si="24"/>
        <v>5439.0294731068689</v>
      </c>
      <c r="BZ21" s="3">
        <f t="shared" si="24"/>
        <v>5384.6391783757999</v>
      </c>
      <c r="CA21" s="3">
        <f t="shared" si="24"/>
        <v>5330.7927865920419</v>
      </c>
      <c r="CB21" s="3">
        <f t="shared" si="24"/>
        <v>5277.4848587261213</v>
      </c>
      <c r="CC21" s="3">
        <f t="shared" si="24"/>
        <v>5224.7100101388596</v>
      </c>
      <c r="CD21" s="3">
        <f t="shared" si="24"/>
        <v>5172.4629100374714</v>
      </c>
      <c r="CE21" s="3">
        <f t="shared" si="24"/>
        <v>5120.7382809370965</v>
      </c>
      <c r="CF21" s="3">
        <f t="shared" si="24"/>
        <v>5069.5308981277258</v>
      </c>
      <c r="CG21" s="3">
        <f t="shared" si="24"/>
        <v>5018.8355891464489</v>
      </c>
      <c r="CH21" s="3">
        <f t="shared" si="24"/>
        <v>4968.6472332549847</v>
      </c>
      <c r="CI21" s="3">
        <f t="shared" si="24"/>
        <v>4918.9607609224349</v>
      </c>
      <c r="CJ21" s="3">
        <f t="shared" si="24"/>
        <v>4869.7711533132106</v>
      </c>
      <c r="CK21" s="3">
        <f t="shared" si="24"/>
        <v>4821.0734417800786</v>
      </c>
      <c r="CL21" s="3">
        <f t="shared" si="24"/>
        <v>4772.8627073622774</v>
      </c>
      <c r="CM21" s="3">
        <f t="shared" si="24"/>
        <v>4725.1340802886543</v>
      </c>
      <c r="CN21" s="3">
        <f t="shared" si="24"/>
        <v>4677.8827394857681</v>
      </c>
      <c r="CO21" s="3">
        <f t="shared" si="24"/>
        <v>4631.1039120909099</v>
      </c>
      <c r="CP21" s="3">
        <f t="shared" si="24"/>
        <v>4584.7928729700006</v>
      </c>
      <c r="CQ21" s="3">
        <f t="shared" si="24"/>
        <v>4538.9449442403002</v>
      </c>
      <c r="CR21" s="3">
        <f t="shared" si="24"/>
        <v>4493.5554947978972</v>
      </c>
      <c r="CS21" s="3">
        <f t="shared" si="24"/>
        <v>4448.6199398499184</v>
      </c>
      <c r="CT21" s="3">
        <f t="shared" si="24"/>
        <v>4404.1337404514188</v>
      </c>
      <c r="CU21" s="3">
        <f t="shared" si="24"/>
        <v>4360.092403046905</v>
      </c>
      <c r="CV21" s="3">
        <f t="shared" si="24"/>
        <v>4316.4914790164357</v>
      </c>
      <c r="CW21" s="3">
        <f t="shared" si="24"/>
        <v>4273.3265642262713</v>
      </c>
      <c r="CX21" s="3">
        <f t="shared" si="24"/>
        <v>4230.5932985840082</v>
      </c>
      <c r="CY21" s="3">
        <f t="shared" si="24"/>
        <v>4188.2873655981684</v>
      </c>
      <c r="CZ21" s="3">
        <f t="shared" si="24"/>
        <v>4146.4044919421867</v>
      </c>
      <c r="DA21" s="3">
        <f t="shared" si="24"/>
        <v>4104.9404470227646</v>
      </c>
      <c r="DB21" s="3">
        <f t="shared" ref="DB21:EH21" si="25">DA21*(1+$AQ$26)</f>
        <v>4063.8910425525369</v>
      </c>
      <c r="DC21" s="3">
        <f t="shared" si="25"/>
        <v>4023.2521321270115</v>
      </c>
      <c r="DD21" s="3">
        <f t="shared" si="25"/>
        <v>3983.0196108057412</v>
      </c>
      <c r="DE21" s="3">
        <f t="shared" si="25"/>
        <v>3943.1894146976838</v>
      </c>
      <c r="DF21" s="3">
        <f t="shared" si="25"/>
        <v>3903.7575205507069</v>
      </c>
      <c r="DG21" s="3">
        <f t="shared" si="25"/>
        <v>3864.7199453451999</v>
      </c>
      <c r="DH21" s="3">
        <f t="shared" si="25"/>
        <v>3826.0727458917477</v>
      </c>
      <c r="DI21" s="3">
        <f t="shared" si="25"/>
        <v>3787.81201843283</v>
      </c>
      <c r="DJ21" s="3">
        <f t="shared" si="25"/>
        <v>3749.9338982485015</v>
      </c>
      <c r="DK21" s="3">
        <f t="shared" si="25"/>
        <v>3712.4345592660165</v>
      </c>
      <c r="DL21" s="3">
        <f t="shared" si="25"/>
        <v>3675.3102136733564</v>
      </c>
      <c r="DM21" s="3">
        <f t="shared" si="25"/>
        <v>3638.5571115366229</v>
      </c>
      <c r="DN21" s="3">
        <f t="shared" si="25"/>
        <v>3602.1715404212564</v>
      </c>
      <c r="DO21" s="3">
        <f t="shared" si="25"/>
        <v>3566.1498250170439</v>
      </c>
      <c r="DP21" s="3">
        <f t="shared" si="25"/>
        <v>3530.4883267668733</v>
      </c>
      <c r="DQ21" s="3">
        <f t="shared" si="25"/>
        <v>3495.1834434992047</v>
      </c>
      <c r="DR21" s="3">
        <f t="shared" si="25"/>
        <v>3460.2316090642125</v>
      </c>
      <c r="DS21" s="3">
        <f t="shared" si="25"/>
        <v>3425.6292929735705</v>
      </c>
      <c r="DT21" s="3">
        <f t="shared" si="25"/>
        <v>3391.373000043835</v>
      </c>
      <c r="DU21" s="3">
        <f t="shared" si="25"/>
        <v>3357.4592700433964</v>
      </c>
      <c r="DV21" s="3">
        <f t="shared" si="25"/>
        <v>3323.8846773429623</v>
      </c>
      <c r="DW21" s="3">
        <f t="shared" si="25"/>
        <v>3290.6458305695328</v>
      </c>
      <c r="DX21" s="3">
        <f t="shared" si="25"/>
        <v>3257.7393722638376</v>
      </c>
      <c r="DY21" s="3">
        <f t="shared" si="25"/>
        <v>3225.161978541199</v>
      </c>
      <c r="DZ21" s="3">
        <f t="shared" si="25"/>
        <v>3192.910358755787</v>
      </c>
      <c r="EA21" s="3">
        <f t="shared" si="25"/>
        <v>3160.9812551682289</v>
      </c>
      <c r="EB21" s="3">
        <f t="shared" si="25"/>
        <v>3129.3714426165466</v>
      </c>
      <c r="EC21" s="3">
        <f t="shared" si="25"/>
        <v>3098.0777281903811</v>
      </c>
      <c r="ED21" s="3">
        <f t="shared" si="25"/>
        <v>3067.0969509084771</v>
      </c>
      <c r="EE21" s="3">
        <f t="shared" si="25"/>
        <v>3036.4259813993922</v>
      </c>
      <c r="EF21" s="3">
        <f t="shared" si="25"/>
        <v>3006.0617215853981</v>
      </c>
      <c r="EG21" s="3">
        <f t="shared" si="25"/>
        <v>2976.001104369544</v>
      </c>
      <c r="EH21" s="3">
        <f t="shared" si="25"/>
        <v>2946.2410933258484</v>
      </c>
    </row>
    <row r="22" spans="2:138" x14ac:dyDescent="0.3">
      <c r="B22" s="1" t="s">
        <v>2</v>
      </c>
      <c r="X22" s="6">
        <f t="shared" ref="X22:AN22" si="26">235.4</f>
        <v>235.4</v>
      </c>
      <c r="Y22" s="6">
        <f t="shared" si="26"/>
        <v>235.4</v>
      </c>
      <c r="Z22" s="6">
        <f t="shared" si="26"/>
        <v>235.4</v>
      </c>
      <c r="AA22" s="6">
        <f t="shared" si="26"/>
        <v>235.4</v>
      </c>
      <c r="AB22" s="6">
        <f t="shared" si="26"/>
        <v>235.4</v>
      </c>
      <c r="AC22" s="6">
        <f t="shared" si="26"/>
        <v>235.4</v>
      </c>
      <c r="AD22" s="6">
        <f t="shared" si="26"/>
        <v>235.4</v>
      </c>
      <c r="AE22" s="6">
        <f t="shared" si="26"/>
        <v>235.4</v>
      </c>
      <c r="AF22" s="6">
        <f t="shared" si="26"/>
        <v>235.4</v>
      </c>
      <c r="AG22" s="6">
        <f t="shared" si="26"/>
        <v>235.4</v>
      </c>
      <c r="AH22" s="6">
        <f t="shared" si="26"/>
        <v>235.4</v>
      </c>
      <c r="AI22" s="6">
        <f t="shared" si="26"/>
        <v>235.4</v>
      </c>
      <c r="AJ22" s="6">
        <f t="shared" si="26"/>
        <v>235.4</v>
      </c>
      <c r="AK22" s="6">
        <f t="shared" si="26"/>
        <v>235.4</v>
      </c>
      <c r="AL22" s="6">
        <f t="shared" si="26"/>
        <v>235.4</v>
      </c>
      <c r="AM22" s="6">
        <f t="shared" si="26"/>
        <v>235.4</v>
      </c>
      <c r="AN22" s="6">
        <f t="shared" si="26"/>
        <v>235.4</v>
      </c>
    </row>
    <row r="23" spans="2:138" x14ac:dyDescent="0.3">
      <c r="B23" s="1" t="s">
        <v>47</v>
      </c>
      <c r="X23" s="10">
        <f t="shared" ref="X23:AC23" si="27">X21/X22</f>
        <v>26.465590484282071</v>
      </c>
      <c r="Y23" s="10">
        <f t="shared" si="27"/>
        <v>29.260832625318606</v>
      </c>
      <c r="Z23" s="10">
        <f t="shared" si="27"/>
        <v>26.826677994902294</v>
      </c>
      <c r="AA23" s="10">
        <f t="shared" si="27"/>
        <v>24.350042480883602</v>
      </c>
      <c r="AB23" s="10">
        <f t="shared" si="27"/>
        <v>29.396771452846217</v>
      </c>
      <c r="AC23" s="10">
        <f t="shared" si="27"/>
        <v>22.667799490229395</v>
      </c>
      <c r="AD23" s="10">
        <f t="shared" ref="AD23:AN23" si="28">AD21/AD22</f>
        <v>29.271367672047575</v>
      </c>
      <c r="AE23" s="10">
        <f t="shared" si="28"/>
        <v>29.662634234069696</v>
      </c>
      <c r="AF23" s="10">
        <f t="shared" si="28"/>
        <v>30.060770048270996</v>
      </c>
      <c r="AG23" s="10">
        <f t="shared" si="28"/>
        <v>30.465932504770187</v>
      </c>
      <c r="AH23" s="10">
        <f t="shared" si="28"/>
        <v>30.878283228514892</v>
      </c>
      <c r="AI23" s="10">
        <f t="shared" si="28"/>
        <v>31.297988201457958</v>
      </c>
      <c r="AJ23" s="10">
        <f t="shared" si="28"/>
        <v>31.725217888350127</v>
      </c>
      <c r="AK23" s="10">
        <f t="shared" si="28"/>
        <v>32.160147366257583</v>
      </c>
      <c r="AL23" s="10">
        <f t="shared" si="28"/>
        <v>32.602956457914829</v>
      </c>
      <c r="AM23" s="10">
        <f t="shared" si="28"/>
        <v>33.053829869028519</v>
      </c>
      <c r="AN23" s="10">
        <f t="shared" si="28"/>
        <v>33.512957329649325</v>
      </c>
    </row>
    <row r="25" spans="2:138" x14ac:dyDescent="0.3">
      <c r="B25" s="1" t="s">
        <v>50</v>
      </c>
      <c r="X25" s="11"/>
      <c r="Y25" s="11">
        <f t="shared" ref="Y25:AB27" si="29">Y3/X3-1</f>
        <v>9.7396759434998925E-2</v>
      </c>
      <c r="Z25" s="11">
        <f t="shared" si="29"/>
        <v>2.7435916108359937E-2</v>
      </c>
      <c r="AA25" s="11">
        <f t="shared" si="29"/>
        <v>-1.7170195800478405E-2</v>
      </c>
      <c r="AB25" s="11">
        <f t="shared" si="29"/>
        <v>1.4405221216601261E-2</v>
      </c>
      <c r="AC25" s="11">
        <f>AC3/AB3-1</f>
        <v>5.3532391362303366E-2</v>
      </c>
      <c r="AD25" s="11">
        <f t="shared" ref="AD25:AN27" si="30">AD3/AC3-1</f>
        <v>2.0000000000000018E-2</v>
      </c>
      <c r="AE25" s="11">
        <f t="shared" si="30"/>
        <v>1.0000000000000009E-2</v>
      </c>
      <c r="AF25" s="11">
        <f t="shared" si="30"/>
        <v>1.0000000000000009E-2</v>
      </c>
      <c r="AG25" s="11">
        <f t="shared" si="30"/>
        <v>1.0000000000000009E-2</v>
      </c>
      <c r="AH25" s="11">
        <f t="shared" si="30"/>
        <v>1.0000000000000009E-2</v>
      </c>
      <c r="AI25" s="11">
        <f t="shared" si="30"/>
        <v>1.0000000000000009E-2</v>
      </c>
      <c r="AJ25" s="11">
        <f t="shared" si="30"/>
        <v>1.0000000000000009E-2</v>
      </c>
      <c r="AK25" s="11">
        <f t="shared" si="30"/>
        <v>1.0000000000000009E-2</v>
      </c>
      <c r="AL25" s="11">
        <f t="shared" si="30"/>
        <v>1.0000000000000009E-2</v>
      </c>
      <c r="AM25" s="11">
        <f t="shared" si="30"/>
        <v>1.0000000000000009E-2</v>
      </c>
      <c r="AN25" s="11">
        <f t="shared" si="30"/>
        <v>1.0000000000000009E-2</v>
      </c>
    </row>
    <row r="26" spans="2:138" x14ac:dyDescent="0.3">
      <c r="B26" s="1" t="s">
        <v>51</v>
      </c>
      <c r="X26" s="11"/>
      <c r="Y26" s="11">
        <f t="shared" si="29"/>
        <v>7.2855825391945794E-2</v>
      </c>
      <c r="Z26" s="11">
        <f t="shared" si="29"/>
        <v>1.3276026743075375E-2</v>
      </c>
      <c r="AA26" s="11">
        <f t="shared" si="29"/>
        <v>-8.5776227731171328E-3</v>
      </c>
      <c r="AB26" s="11">
        <f t="shared" si="29"/>
        <v>7.4919186157064166E-2</v>
      </c>
      <c r="AC26" s="11">
        <f t="shared" ref="AC26:AC27" si="31">AC4/AB4-1</f>
        <v>4.0686361224128831E-2</v>
      </c>
      <c r="AD26" s="11">
        <f t="shared" si="30"/>
        <v>3.0000000000000027E-2</v>
      </c>
      <c r="AE26" s="11">
        <f t="shared" si="30"/>
        <v>3.0000000000000027E-2</v>
      </c>
      <c r="AF26" s="11">
        <f t="shared" si="30"/>
        <v>3.0000000000000027E-2</v>
      </c>
      <c r="AG26" s="11">
        <f t="shared" si="30"/>
        <v>3.0000000000000027E-2</v>
      </c>
      <c r="AH26" s="11">
        <f t="shared" si="30"/>
        <v>3.0000000000000027E-2</v>
      </c>
      <c r="AI26" s="11">
        <f t="shared" si="30"/>
        <v>3.0000000000000027E-2</v>
      </c>
      <c r="AJ26" s="11">
        <f t="shared" si="30"/>
        <v>3.0000000000000027E-2</v>
      </c>
      <c r="AK26" s="11">
        <f t="shared" si="30"/>
        <v>3.0000000000000027E-2</v>
      </c>
      <c r="AL26" s="11">
        <f t="shared" si="30"/>
        <v>3.0000000000000027E-2</v>
      </c>
      <c r="AM26" s="11">
        <f t="shared" si="30"/>
        <v>3.0000000000000027E-2</v>
      </c>
      <c r="AN26" s="11">
        <f t="shared" si="30"/>
        <v>3.0000000000000027E-2</v>
      </c>
      <c r="AP26" s="1" t="s">
        <v>59</v>
      </c>
      <c r="AQ26" s="11">
        <v>-0.01</v>
      </c>
    </row>
    <row r="27" spans="2:138" s="3" customFormat="1" x14ac:dyDescent="0.3">
      <c r="B27" s="3" t="s">
        <v>52</v>
      </c>
      <c r="X27" s="12"/>
      <c r="Y27" s="12">
        <f t="shared" si="29"/>
        <v>9.3392630241423191E-2</v>
      </c>
      <c r="Z27" s="12">
        <f t="shared" si="29"/>
        <v>2.516896541178637E-2</v>
      </c>
      <c r="AA27" s="12">
        <f t="shared" si="29"/>
        <v>-1.5810512499254248E-2</v>
      </c>
      <c r="AB27" s="12">
        <f t="shared" si="29"/>
        <v>2.4051285160038738E-2</v>
      </c>
      <c r="AC27" s="12">
        <f t="shared" si="31"/>
        <v>5.1382989744120922E-2</v>
      </c>
      <c r="AD27" s="12">
        <f t="shared" si="30"/>
        <v>2.1656180059963726E-2</v>
      </c>
      <c r="AE27" s="12">
        <f t="shared" si="30"/>
        <v>1.33394120156205E-2</v>
      </c>
      <c r="AF27" s="12">
        <f t="shared" si="30"/>
        <v>1.3394316193867661E-2</v>
      </c>
      <c r="AG27" s="12">
        <f t="shared" si="30"/>
        <v>1.3449936144120933E-2</v>
      </c>
      <c r="AH27" s="12">
        <f t="shared" si="30"/>
        <v>1.3506275052879602E-2</v>
      </c>
      <c r="AI27" s="12">
        <f t="shared" si="30"/>
        <v>1.356333590956571E-2</v>
      </c>
      <c r="AJ27" s="12">
        <f t="shared" si="30"/>
        <v>1.3621121499584277E-2</v>
      </c>
      <c r="AK27" s="12">
        <f t="shared" si="30"/>
        <v>1.3679634397371299E-2</v>
      </c>
      <c r="AL27" s="12">
        <f t="shared" si="30"/>
        <v>1.3738876959430435E-2</v>
      </c>
      <c r="AM27" s="12">
        <f t="shared" si="30"/>
        <v>1.3798851317376792E-2</v>
      </c>
      <c r="AN27" s="12">
        <f t="shared" si="30"/>
        <v>1.3859559370987151E-2</v>
      </c>
      <c r="AP27" s="1" t="s">
        <v>60</v>
      </c>
      <c r="AQ27" s="11">
        <v>7.0000000000000007E-2</v>
      </c>
    </row>
    <row r="28" spans="2:138" x14ac:dyDescent="0.3">
      <c r="B28" s="1" t="s">
        <v>53</v>
      </c>
      <c r="X28" s="11">
        <f t="shared" ref="X28:AB28" si="32">(X3-X6)/X3</f>
        <v>0.10916428585699159</v>
      </c>
      <c r="Y28" s="11">
        <f t="shared" si="32"/>
        <v>0.10799592193416836</v>
      </c>
      <c r="Z28" s="11">
        <f t="shared" si="32"/>
        <v>0.10918756091078231</v>
      </c>
      <c r="AA28" s="11">
        <f t="shared" si="32"/>
        <v>0.11013954494645369</v>
      </c>
      <c r="AB28" s="11">
        <f t="shared" si="32"/>
        <v>0.10768683906513818</v>
      </c>
      <c r="AC28" s="11">
        <f>(AC3-AC6)/AC3</f>
        <v>7.4649526797914881E-2</v>
      </c>
      <c r="AD28" s="11">
        <f t="shared" ref="AD28:AN28" si="33">(AD3-AD6)/AD3</f>
        <v>0.10999999999999996</v>
      </c>
      <c r="AE28" s="11">
        <f t="shared" si="33"/>
        <v>0.10999999999999999</v>
      </c>
      <c r="AF28" s="11">
        <f t="shared" si="33"/>
        <v>0.10999999999999996</v>
      </c>
      <c r="AG28" s="11">
        <f t="shared" si="33"/>
        <v>0.10999999999999995</v>
      </c>
      <c r="AH28" s="11">
        <f t="shared" si="33"/>
        <v>0.11000000000000001</v>
      </c>
      <c r="AI28" s="11">
        <f t="shared" si="33"/>
        <v>0.10999999999999999</v>
      </c>
      <c r="AJ28" s="11">
        <f t="shared" si="33"/>
        <v>0.11000000000000003</v>
      </c>
      <c r="AK28" s="11">
        <f t="shared" si="33"/>
        <v>0.11000000000000001</v>
      </c>
      <c r="AL28" s="11">
        <f t="shared" si="33"/>
        <v>0.10999999999999995</v>
      </c>
      <c r="AM28" s="11">
        <f t="shared" si="33"/>
        <v>0.11000000000000004</v>
      </c>
      <c r="AN28" s="11">
        <f t="shared" si="33"/>
        <v>0.11</v>
      </c>
      <c r="AP28" s="1" t="s">
        <v>61</v>
      </c>
      <c r="AQ28" s="6">
        <f>NPV(AQ27,AD21:EH21)</f>
        <v>101171.23586137164</v>
      </c>
    </row>
    <row r="29" spans="2:138" x14ac:dyDescent="0.3">
      <c r="B29" s="1" t="s">
        <v>54</v>
      </c>
      <c r="X29" s="11">
        <f t="shared" ref="X29:AB29" si="34">(X4-X7)/X4</f>
        <v>0.10533866174812993</v>
      </c>
      <c r="Y29" s="11">
        <f t="shared" si="34"/>
        <v>0.10496657115568291</v>
      </c>
      <c r="Z29" s="11">
        <f t="shared" si="34"/>
        <v>0.10802149118672826</v>
      </c>
      <c r="AA29" s="11">
        <f t="shared" si="34"/>
        <v>0.12036508841985168</v>
      </c>
      <c r="AB29" s="11">
        <f t="shared" si="34"/>
        <v>0.11312577392534937</v>
      </c>
      <c r="AC29" s="11">
        <f>(AC4-AC7)/AC4</f>
        <v>0.13165051844297126</v>
      </c>
      <c r="AD29" s="11">
        <f t="shared" ref="AD29:AN29" si="35">(AD4-AD7)/AD4</f>
        <v>0.11999999999999995</v>
      </c>
      <c r="AE29" s="11">
        <f t="shared" si="35"/>
        <v>0.12000000000000001</v>
      </c>
      <c r="AF29" s="11">
        <f t="shared" si="35"/>
        <v>0.12000000000000001</v>
      </c>
      <c r="AG29" s="11">
        <f t="shared" si="35"/>
        <v>0.12000000000000004</v>
      </c>
      <c r="AH29" s="11">
        <f t="shared" si="35"/>
        <v>0.12000000000000002</v>
      </c>
      <c r="AI29" s="11">
        <f t="shared" si="35"/>
        <v>0.12000000000000004</v>
      </c>
      <c r="AJ29" s="11">
        <f t="shared" si="35"/>
        <v>0.12000000000000005</v>
      </c>
      <c r="AK29" s="11">
        <f t="shared" si="35"/>
        <v>0.11999999999999998</v>
      </c>
      <c r="AL29" s="11">
        <f t="shared" si="35"/>
        <v>0.11999999999999998</v>
      </c>
      <c r="AM29" s="11">
        <f t="shared" si="35"/>
        <v>0.12000000000000001</v>
      </c>
      <c r="AN29" s="11">
        <f t="shared" si="35"/>
        <v>0.12000000000000004</v>
      </c>
      <c r="AP29" s="1" t="s">
        <v>62</v>
      </c>
      <c r="AQ29" s="6">
        <f>Main!D8</f>
        <v>-17787</v>
      </c>
    </row>
    <row r="30" spans="2:138" x14ac:dyDescent="0.3">
      <c r="B30" s="1" t="s">
        <v>55</v>
      </c>
      <c r="X30" s="11">
        <f t="shared" ref="X30:AB30" si="36">X9/X5</f>
        <v>0.10854009228917275</v>
      </c>
      <c r="Y30" s="11">
        <f t="shared" si="36"/>
        <v>0.10751093305605676</v>
      </c>
      <c r="Z30" s="11">
        <f t="shared" si="36"/>
        <v>0.10900304277787722</v>
      </c>
      <c r="AA30" s="11">
        <f t="shared" si="36"/>
        <v>0.11176951988360814</v>
      </c>
      <c r="AB30" s="11">
        <f t="shared" si="36"/>
        <v>0.10859688327832946</v>
      </c>
      <c r="AC30" s="11">
        <f>AC9/AC5</f>
        <v>8.4089917373984774E-2</v>
      </c>
      <c r="AD30" s="11">
        <f t="shared" ref="AD30:AN30" si="37">AD9/AD5</f>
        <v>0.11166970600781023</v>
      </c>
      <c r="AE30" s="11">
        <f t="shared" si="37"/>
        <v>0.11169715809693399</v>
      </c>
      <c r="AF30" s="11">
        <f t="shared" si="37"/>
        <v>0.11172496807206032</v>
      </c>
      <c r="AG30" s="11">
        <f t="shared" si="37"/>
        <v>0.11175313752643963</v>
      </c>
      <c r="AH30" s="11">
        <f t="shared" si="37"/>
        <v>0.11178166795478273</v>
      </c>
      <c r="AI30" s="11">
        <f t="shared" si="37"/>
        <v>0.11181056074979222</v>
      </c>
      <c r="AJ30" s="11">
        <f t="shared" si="37"/>
        <v>0.11183981719868552</v>
      </c>
      <c r="AK30" s="11">
        <f t="shared" si="37"/>
        <v>0.11186943847971523</v>
      </c>
      <c r="AL30" s="11">
        <f t="shared" si="37"/>
        <v>0.11189942565868839</v>
      </c>
      <c r="AM30" s="11">
        <f t="shared" si="37"/>
        <v>0.11192977968549371</v>
      </c>
      <c r="AN30" s="11">
        <f t="shared" si="37"/>
        <v>0.111960501390638</v>
      </c>
      <c r="AP30" s="1" t="s">
        <v>63</v>
      </c>
      <c r="AQ30" s="6">
        <f>AQ28+AQ29</f>
        <v>83384.235861371635</v>
      </c>
    </row>
    <row r="31" spans="2:138" x14ac:dyDescent="0.3">
      <c r="B31" s="1" t="s">
        <v>56</v>
      </c>
      <c r="X31" s="11">
        <f t="shared" ref="X31:AB31" si="38">X14/X5</f>
        <v>0.14286430816558551</v>
      </c>
      <c r="Y31" s="11">
        <f t="shared" si="38"/>
        <v>0.13217529588060797</v>
      </c>
      <c r="Z31" s="11">
        <f t="shared" si="38"/>
        <v>0.13607481653839271</v>
      </c>
      <c r="AA31" s="11">
        <f t="shared" si="38"/>
        <v>0.12651551891367604</v>
      </c>
      <c r="AB31" s="11">
        <f t="shared" si="38"/>
        <v>0.12589720442201535</v>
      </c>
      <c r="AC31" s="11">
        <f>AC14/AC5</f>
        <v>9.8714862829553926E-2</v>
      </c>
      <c r="AD31" s="11">
        <f t="shared" ref="AD31:AN31" si="39">AD14/AD5</f>
        <v>0.12610382091750075</v>
      </c>
      <c r="AE31" s="11">
        <f t="shared" si="39"/>
        <v>0.12605933887319448</v>
      </c>
      <c r="AF31" s="11">
        <f t="shared" si="39"/>
        <v>0.12601427692762923</v>
      </c>
      <c r="AG31" s="11">
        <f t="shared" si="39"/>
        <v>0.12596863249917994</v>
      </c>
      <c r="AH31" s="11">
        <f t="shared" si="39"/>
        <v>0.12592240316588899</v>
      </c>
      <c r="AI31" s="11">
        <f t="shared" si="39"/>
        <v>0.12587558667108781</v>
      </c>
      <c r="AJ31" s="11">
        <f t="shared" si="39"/>
        <v>0.12582818092903056</v>
      </c>
      <c r="AK31" s="11">
        <f t="shared" si="39"/>
        <v>0.12578018403053445</v>
      </c>
      <c r="AL31" s="11">
        <f t="shared" si="39"/>
        <v>0.12573159424861663</v>
      </c>
      <c r="AM31" s="11">
        <f t="shared" si="39"/>
        <v>0.12568241004412339</v>
      </c>
      <c r="AN31" s="11">
        <f t="shared" si="39"/>
        <v>0.12563263007134079</v>
      </c>
      <c r="AP31" s="1" t="s">
        <v>64</v>
      </c>
      <c r="AQ31" s="4">
        <f>AQ30/AN22</f>
        <v>354.22360179002391</v>
      </c>
    </row>
    <row r="32" spans="2:138" x14ac:dyDescent="0.3">
      <c r="B32" s="1" t="s">
        <v>45</v>
      </c>
      <c r="X32" s="11">
        <f t="shared" ref="X32:AB32" si="40">X20/X19</f>
        <v>0.13962159922662615</v>
      </c>
      <c r="Y32" s="11">
        <f t="shared" si="40"/>
        <v>0.16357012750455374</v>
      </c>
      <c r="Z32" s="11">
        <f t="shared" si="40"/>
        <v>0.16357615894039734</v>
      </c>
      <c r="AA32" s="11">
        <f t="shared" si="40"/>
        <v>0.14191616766467066</v>
      </c>
      <c r="AB32" s="11">
        <f t="shared" si="40"/>
        <v>0.14546801679427018</v>
      </c>
      <c r="AC32" s="11">
        <f>AC20/AC19</f>
        <v>0.14212218649517686</v>
      </c>
      <c r="AD32" s="11">
        <f t="shared" ref="AD32:AN32" si="41">AD20/AD19</f>
        <v>0.15</v>
      </c>
      <c r="AE32" s="11">
        <f t="shared" si="41"/>
        <v>0.15</v>
      </c>
      <c r="AF32" s="11">
        <f t="shared" si="41"/>
        <v>0.15</v>
      </c>
      <c r="AG32" s="11">
        <f t="shared" si="41"/>
        <v>0.15</v>
      </c>
      <c r="AH32" s="11">
        <f t="shared" si="41"/>
        <v>0.15</v>
      </c>
      <c r="AI32" s="11">
        <f t="shared" si="41"/>
        <v>0.15</v>
      </c>
      <c r="AJ32" s="11">
        <f t="shared" si="41"/>
        <v>0.15</v>
      </c>
      <c r="AK32" s="11">
        <f t="shared" si="41"/>
        <v>0.15</v>
      </c>
      <c r="AL32" s="11">
        <f t="shared" si="41"/>
        <v>0.15</v>
      </c>
      <c r="AM32" s="11">
        <f t="shared" si="41"/>
        <v>0.15</v>
      </c>
      <c r="AN32" s="11">
        <f t="shared" si="41"/>
        <v>0.15</v>
      </c>
      <c r="AP32" s="1" t="s">
        <v>65</v>
      </c>
      <c r="AQ32" s="4">
        <f>Main!D3</f>
        <v>462.5</v>
      </c>
    </row>
    <row r="33" spans="2:43" x14ac:dyDescent="0.3">
      <c r="B33" s="1" t="s">
        <v>57</v>
      </c>
      <c r="X33" s="11">
        <f t="shared" ref="X33:AB33" si="42">X21/X5</f>
        <v>0.10415970039456965</v>
      </c>
      <c r="Y33" s="11">
        <f t="shared" si="42"/>
        <v>0.10532432184470474</v>
      </c>
      <c r="Z33" s="11">
        <f t="shared" si="42"/>
        <v>9.4191873993198491E-2</v>
      </c>
      <c r="AA33" s="11">
        <f t="shared" si="42"/>
        <v>8.6869544131910767E-2</v>
      </c>
      <c r="AB33" s="11">
        <f t="shared" si="42"/>
        <v>0.1024107975314854</v>
      </c>
      <c r="AC33" s="11">
        <f>AC21/AC5</f>
        <v>7.5109440761229121E-2</v>
      </c>
      <c r="AD33" s="11">
        <f t="shared" ref="AD33:AN33" si="43">AD21/AD5</f>
        <v>9.4934357257880506E-2</v>
      </c>
      <c r="AE33" s="11">
        <f t="shared" si="43"/>
        <v>9.4936929635789785E-2</v>
      </c>
      <c r="AF33" s="11">
        <f t="shared" si="43"/>
        <v>9.493953554914461E-2</v>
      </c>
      <c r="AG33" s="11">
        <f t="shared" si="43"/>
        <v>9.494217514723978E-2</v>
      </c>
      <c r="AH33" s="11">
        <f t="shared" si="43"/>
        <v>9.4944848570135951E-2</v>
      </c>
      <c r="AI33" s="11">
        <f t="shared" si="43"/>
        <v>9.4947555948335247E-2</v>
      </c>
      <c r="AJ33" s="11">
        <f t="shared" si="43"/>
        <v>9.4950297402455294E-2</v>
      </c>
      <c r="AK33" s="11">
        <f t="shared" si="43"/>
        <v>9.495307304290361E-2</v>
      </c>
      <c r="AL33" s="11">
        <f t="shared" si="43"/>
        <v>9.4955882969550792E-2</v>
      </c>
      <c r="AM33" s="11">
        <f t="shared" si="43"/>
        <v>9.4958727271405516E-2</v>
      </c>
      <c r="AN33" s="11">
        <f t="shared" si="43"/>
        <v>9.4961606026289627E-2</v>
      </c>
      <c r="AP33" s="3" t="s">
        <v>66</v>
      </c>
      <c r="AQ33" s="12">
        <f>AQ31/AQ32-1</f>
        <v>-0.2341111312648132</v>
      </c>
    </row>
    <row r="34" spans="2:43" x14ac:dyDescent="0.3">
      <c r="AP34" s="1" t="s">
        <v>67</v>
      </c>
      <c r="AQ34" s="8" t="s">
        <v>68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2025-03-07T11:29:13Z</dcterms:created>
  <dcterms:modified xsi:type="dcterms:W3CDTF">2025-05-27T18:02:56Z</dcterms:modified>
</cp:coreProperties>
</file>