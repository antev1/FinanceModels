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E04B981E-BE02-4E5D-B4D2-AD36048DAE4E}" xr6:coauthVersionLast="47" xr6:coauthVersionMax="47" xr10:uidLastSave="{00000000-0000-0000-0000-000000000000}"/>
  <bookViews>
    <workbookView xWindow="-108" yWindow="-108" windowWidth="23256" windowHeight="12576" activeTab="1" xr2:uid="{4D34CE10-A2B1-43BA-A8EF-FB8FB8D7517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52" i="2" l="1"/>
  <c r="AH64" i="2"/>
  <c r="AH63" i="2"/>
  <c r="V24" i="2"/>
  <c r="V23" i="2"/>
  <c r="V22" i="2"/>
  <c r="V47" i="2"/>
  <c r="V46" i="2"/>
  <c r="V45" i="2"/>
  <c r="V44" i="2"/>
  <c r="R20" i="2"/>
  <c r="V20" i="2"/>
  <c r="AH14" i="2"/>
  <c r="V14" i="2"/>
  <c r="D7" i="1"/>
  <c r="D6" i="1"/>
  <c r="AR41" i="2"/>
  <c r="AQ41" i="2"/>
  <c r="AP41" i="2"/>
  <c r="AO41" i="2"/>
  <c r="AN41" i="2"/>
  <c r="AM41" i="2"/>
  <c r="AL41" i="2"/>
  <c r="AK41" i="2"/>
  <c r="AJ41" i="2"/>
  <c r="AI41" i="2"/>
  <c r="AH41" i="2"/>
  <c r="V41" i="2"/>
  <c r="D4" i="1"/>
  <c r="R14" i="2"/>
  <c r="U14" i="2"/>
  <c r="AG14" i="2"/>
  <c r="U47" i="2"/>
  <c r="U46" i="2"/>
  <c r="U45" i="2"/>
  <c r="U44" i="2"/>
  <c r="Q20" i="2"/>
  <c r="U20" i="2"/>
  <c r="AH39" i="2"/>
  <c r="AH36" i="2"/>
  <c r="AH35" i="2"/>
  <c r="AH34" i="2"/>
  <c r="AH31" i="2"/>
  <c r="AH30" i="2"/>
  <c r="AH29" i="2"/>
  <c r="V37" i="2"/>
  <c r="V32" i="2"/>
  <c r="U53" i="2"/>
  <c r="U52" i="2"/>
  <c r="U50" i="2"/>
  <c r="U49" i="2"/>
  <c r="U37" i="2"/>
  <c r="U32" i="2"/>
  <c r="U27" i="2"/>
  <c r="U24" i="2"/>
  <c r="P50" i="2"/>
  <c r="O50" i="2"/>
  <c r="P49" i="2"/>
  <c r="O49" i="2"/>
  <c r="N39" i="2"/>
  <c r="N36" i="2"/>
  <c r="N35" i="2"/>
  <c r="N34" i="2"/>
  <c r="N31" i="2"/>
  <c r="N30" i="2"/>
  <c r="N26" i="2"/>
  <c r="N25" i="2"/>
  <c r="N23" i="2"/>
  <c r="N22" i="2"/>
  <c r="N41" i="2"/>
  <c r="K53" i="2"/>
  <c r="K52" i="2"/>
  <c r="K41" i="2"/>
  <c r="K37" i="2"/>
  <c r="K32" i="2"/>
  <c r="K27" i="2"/>
  <c r="K24" i="2"/>
  <c r="L53" i="2"/>
  <c r="L52" i="2"/>
  <c r="L41" i="2"/>
  <c r="L37" i="2"/>
  <c r="L32" i="2"/>
  <c r="L27" i="2"/>
  <c r="L24" i="2"/>
  <c r="R39" i="2"/>
  <c r="R36" i="2"/>
  <c r="R35" i="2"/>
  <c r="R34" i="2"/>
  <c r="R31" i="2"/>
  <c r="R30" i="2"/>
  <c r="R29" i="2"/>
  <c r="R26" i="2"/>
  <c r="R25" i="2"/>
  <c r="R23" i="2"/>
  <c r="R22" i="2"/>
  <c r="R41" i="2"/>
  <c r="M53" i="2"/>
  <c r="M52" i="2"/>
  <c r="M41" i="2"/>
  <c r="M37" i="2"/>
  <c r="M32" i="2"/>
  <c r="M27" i="2"/>
  <c r="M24" i="2"/>
  <c r="Q53" i="2"/>
  <c r="Q52" i="2"/>
  <c r="Q50" i="2"/>
  <c r="Q49" i="2"/>
  <c r="Q41" i="2"/>
  <c r="Q37" i="2"/>
  <c r="Q32" i="2"/>
  <c r="Q27" i="2"/>
  <c r="Q24" i="2"/>
  <c r="O53" i="2"/>
  <c r="O52" i="2"/>
  <c r="O41" i="2"/>
  <c r="O37" i="2"/>
  <c r="O32" i="2"/>
  <c r="O27" i="2"/>
  <c r="O24" i="2"/>
  <c r="S53" i="2"/>
  <c r="S52" i="2"/>
  <c r="S50" i="2"/>
  <c r="S49" i="2"/>
  <c r="S41" i="2"/>
  <c r="S37" i="2"/>
  <c r="S32" i="2"/>
  <c r="S27" i="2"/>
  <c r="S24" i="2"/>
  <c r="V25" i="2" l="1"/>
  <c r="AH25" i="2" s="1"/>
  <c r="N37" i="2"/>
  <c r="R27" i="2"/>
  <c r="N27" i="2"/>
  <c r="N24" i="2"/>
  <c r="R37" i="2"/>
  <c r="O51" i="2"/>
  <c r="R32" i="2"/>
  <c r="AH23" i="2"/>
  <c r="AI23" i="2" s="1"/>
  <c r="V26" i="2"/>
  <c r="AH26" i="2" s="1"/>
  <c r="U51" i="2"/>
  <c r="V50" i="2"/>
  <c r="AH22" i="2"/>
  <c r="AI22" i="2" s="1"/>
  <c r="AJ22" i="2" s="1"/>
  <c r="V49" i="2"/>
  <c r="V52" i="2"/>
  <c r="U28" i="2"/>
  <c r="U54" i="2" s="1"/>
  <c r="N52" i="2"/>
  <c r="N53" i="2"/>
  <c r="R50" i="2"/>
  <c r="N32" i="2"/>
  <c r="R49" i="2"/>
  <c r="K28" i="2"/>
  <c r="K54" i="2" s="1"/>
  <c r="L28" i="2"/>
  <c r="L54" i="2" s="1"/>
  <c r="R53" i="2"/>
  <c r="R24" i="2"/>
  <c r="R52" i="2"/>
  <c r="M28" i="2"/>
  <c r="M54" i="2" s="1"/>
  <c r="Q28" i="2"/>
  <c r="Q51" i="2"/>
  <c r="O28" i="2"/>
  <c r="O54" i="2" s="1"/>
  <c r="S28" i="2"/>
  <c r="S51" i="2"/>
  <c r="S33" i="2" l="1"/>
  <c r="S55" i="2" s="1"/>
  <c r="S54" i="2"/>
  <c r="Q33" i="2"/>
  <c r="Q55" i="2" s="1"/>
  <c r="Q54" i="2"/>
  <c r="N28" i="2"/>
  <c r="N54" i="2" s="1"/>
  <c r="L33" i="2"/>
  <c r="L38" i="2" s="1"/>
  <c r="R51" i="2"/>
  <c r="V53" i="2"/>
  <c r="V51" i="2"/>
  <c r="K33" i="2"/>
  <c r="V28" i="2"/>
  <c r="R28" i="2"/>
  <c r="U33" i="2"/>
  <c r="M33" i="2"/>
  <c r="Q38" i="2"/>
  <c r="Q56" i="2" s="1"/>
  <c r="O33" i="2"/>
  <c r="O55" i="2" s="1"/>
  <c r="S38" i="2"/>
  <c r="V33" i="2" l="1"/>
  <c r="V55" i="2" s="1"/>
  <c r="V54" i="2"/>
  <c r="R33" i="2"/>
  <c r="R55" i="2" s="1"/>
  <c r="R54" i="2"/>
  <c r="N33" i="2"/>
  <c r="N38" i="2" s="1"/>
  <c r="L55" i="2"/>
  <c r="R38" i="2"/>
  <c r="R40" i="2" s="1"/>
  <c r="K38" i="2"/>
  <c r="K55" i="2"/>
  <c r="U38" i="2"/>
  <c r="U55" i="2"/>
  <c r="L40" i="2"/>
  <c r="L56" i="2"/>
  <c r="M38" i="2"/>
  <c r="M55" i="2"/>
  <c r="Q40" i="2"/>
  <c r="Q57" i="2" s="1"/>
  <c r="O38" i="2"/>
  <c r="O56" i="2" s="1"/>
  <c r="S56" i="2"/>
  <c r="S40" i="2"/>
  <c r="V38" i="2" l="1"/>
  <c r="V56" i="2" s="1"/>
  <c r="N55" i="2"/>
  <c r="R56" i="2"/>
  <c r="K40" i="2"/>
  <c r="K56" i="2"/>
  <c r="U40" i="2"/>
  <c r="U56" i="2"/>
  <c r="N40" i="2"/>
  <c r="N56" i="2"/>
  <c r="L57" i="2"/>
  <c r="L42" i="2"/>
  <c r="R42" i="2"/>
  <c r="R57" i="2"/>
  <c r="M56" i="2"/>
  <c r="M40" i="2"/>
  <c r="Q42" i="2"/>
  <c r="O40" i="2"/>
  <c r="O57" i="2" s="1"/>
  <c r="S57" i="2"/>
  <c r="S42" i="2"/>
  <c r="V40" i="2" l="1"/>
  <c r="V57" i="2" s="1"/>
  <c r="K42" i="2"/>
  <c r="K57" i="2"/>
  <c r="U57" i="2"/>
  <c r="U42" i="2"/>
  <c r="N42" i="2"/>
  <c r="N57" i="2"/>
  <c r="M57" i="2"/>
  <c r="M42" i="2"/>
  <c r="O42" i="2"/>
  <c r="V42" i="2" l="1"/>
  <c r="T50" i="2"/>
  <c r="T49" i="2"/>
  <c r="T41" i="2"/>
  <c r="P53" i="2"/>
  <c r="P52" i="2"/>
  <c r="P41" i="2"/>
  <c r="P37" i="2"/>
  <c r="P32" i="2"/>
  <c r="P27" i="2"/>
  <c r="P24" i="2"/>
  <c r="P51" i="2" s="1"/>
  <c r="T37" i="2"/>
  <c r="T53" i="2"/>
  <c r="T52" i="2"/>
  <c r="T32" i="2"/>
  <c r="T27" i="2"/>
  <c r="T24" i="2"/>
  <c r="D5" i="1"/>
  <c r="AU56" i="2"/>
  <c r="AH52" i="2"/>
  <c r="AH50" i="2"/>
  <c r="AI49" i="2"/>
  <c r="AH49" i="2"/>
  <c r="AI34" i="2"/>
  <c r="AI37" i="2" s="1"/>
  <c r="AI31" i="2"/>
  <c r="AJ31" i="2" s="1"/>
  <c r="AK31" i="2" s="1"/>
  <c r="AL31" i="2" s="1"/>
  <c r="AM31" i="2" s="1"/>
  <c r="AN31" i="2" s="1"/>
  <c r="AO31" i="2" s="1"/>
  <c r="AP31" i="2" s="1"/>
  <c r="AQ31" i="2" s="1"/>
  <c r="AR31" i="2" s="1"/>
  <c r="AI30" i="2"/>
  <c r="AJ30" i="2" s="1"/>
  <c r="AK30" i="2" s="1"/>
  <c r="AL30" i="2" s="1"/>
  <c r="AM30" i="2" s="1"/>
  <c r="AN30" i="2" s="1"/>
  <c r="AO30" i="2" s="1"/>
  <c r="AP30" i="2" s="1"/>
  <c r="AQ30" i="2" s="1"/>
  <c r="AR30" i="2" s="1"/>
  <c r="AI29" i="2"/>
  <c r="AH37" i="2"/>
  <c r="AH32" i="2"/>
  <c r="AH27" i="2"/>
  <c r="AH53" i="2"/>
  <c r="AI25" i="2"/>
  <c r="AI52" i="2" s="1"/>
  <c r="AH24" i="2"/>
  <c r="AI50" i="2"/>
  <c r="AK22" i="2"/>
  <c r="AL22" i="2" s="1"/>
  <c r="AM22" i="2" s="1"/>
  <c r="AN22" i="2" s="1"/>
  <c r="AO22" i="2" s="1"/>
  <c r="AP22" i="2" s="1"/>
  <c r="AQ22" i="2" s="1"/>
  <c r="AR22" i="2" s="1"/>
  <c r="AF53" i="2"/>
  <c r="AE53" i="2"/>
  <c r="AD53" i="2"/>
  <c r="AC53" i="2"/>
  <c r="AB53" i="2"/>
  <c r="AF52" i="2"/>
  <c r="AE52" i="2"/>
  <c r="AD52" i="2"/>
  <c r="AC52" i="2"/>
  <c r="AB52" i="2"/>
  <c r="AF50" i="2"/>
  <c r="AE50" i="2"/>
  <c r="AD50" i="2"/>
  <c r="AC50" i="2"/>
  <c r="AF49" i="2"/>
  <c r="AE49" i="2"/>
  <c r="AD49" i="2"/>
  <c r="AC49" i="2"/>
  <c r="AG53" i="2"/>
  <c r="AG52" i="2"/>
  <c r="AG50" i="2"/>
  <c r="AG49" i="2"/>
  <c r="AB41" i="2"/>
  <c r="AB37" i="2"/>
  <c r="AB32" i="2"/>
  <c r="AB27" i="2"/>
  <c r="AB24" i="2"/>
  <c r="AC41" i="2"/>
  <c r="AC37" i="2"/>
  <c r="AC32" i="2"/>
  <c r="AC27" i="2"/>
  <c r="AC24" i="2"/>
  <c r="AD41" i="2"/>
  <c r="AD37" i="2"/>
  <c r="AD32" i="2"/>
  <c r="AD27" i="2"/>
  <c r="AD24" i="2"/>
  <c r="AE41" i="2"/>
  <c r="AE37" i="2"/>
  <c r="AE32" i="2"/>
  <c r="AE27" i="2"/>
  <c r="AE24" i="2"/>
  <c r="AF41" i="2"/>
  <c r="AF37" i="2"/>
  <c r="AF32" i="2"/>
  <c r="AF27" i="2"/>
  <c r="AF24" i="2"/>
  <c r="AG41" i="2"/>
  <c r="AG37" i="2"/>
  <c r="AG32" i="2"/>
  <c r="AG27" i="2"/>
  <c r="AG24" i="2"/>
  <c r="D8" i="1"/>
  <c r="AU53" i="2" s="1"/>
  <c r="F3" i="1"/>
  <c r="AF51" i="2" l="1"/>
  <c r="AD51" i="2"/>
  <c r="T51" i="2"/>
  <c r="AC28" i="2"/>
  <c r="AC54" i="2" s="1"/>
  <c r="AG51" i="2"/>
  <c r="AG28" i="2"/>
  <c r="AG54" i="2" s="1"/>
  <c r="AE28" i="2"/>
  <c r="AE54" i="2" s="1"/>
  <c r="AH51" i="2"/>
  <c r="AC51" i="2"/>
  <c r="AE51" i="2"/>
  <c r="AH28" i="2"/>
  <c r="AH54" i="2" s="1"/>
  <c r="AI32" i="2"/>
  <c r="AJ23" i="2"/>
  <c r="AI24" i="2"/>
  <c r="AI51" i="2" s="1"/>
  <c r="AI26" i="2"/>
  <c r="AI53" i="2" s="1"/>
  <c r="AK25" i="2"/>
  <c r="AK52" i="2" s="1"/>
  <c r="AQ25" i="2"/>
  <c r="AQ52" i="2" s="1"/>
  <c r="AN49" i="2"/>
  <c r="AP49" i="2"/>
  <c r="AJ25" i="2"/>
  <c r="AJ52" i="2" s="1"/>
  <c r="AR25" i="2"/>
  <c r="AR52" i="2" s="1"/>
  <c r="AO49" i="2"/>
  <c r="AL25" i="2"/>
  <c r="AL52" i="2" s="1"/>
  <c r="AQ49" i="2"/>
  <c r="AM25" i="2"/>
  <c r="AJ49" i="2"/>
  <c r="AR49" i="2"/>
  <c r="AO25" i="2"/>
  <c r="AO52" i="2" s="1"/>
  <c r="AL49" i="2"/>
  <c r="AN25" i="2"/>
  <c r="AK49" i="2"/>
  <c r="AP25" i="2"/>
  <c r="AP52" i="2" s="1"/>
  <c r="AM49" i="2"/>
  <c r="P28" i="2"/>
  <c r="P54" i="2" s="1"/>
  <c r="T28" i="2"/>
  <c r="T54" i="2" s="1"/>
  <c r="D9" i="1"/>
  <c r="AJ29" i="2"/>
  <c r="AJ34" i="2"/>
  <c r="AB28" i="2"/>
  <c r="AB54" i="2" s="1"/>
  <c r="AD28" i="2"/>
  <c r="AD54" i="2" s="1"/>
  <c r="AF28" i="2"/>
  <c r="AF54" i="2" s="1"/>
  <c r="AC33" i="2" l="1"/>
  <c r="AG33" i="2"/>
  <c r="AG38" i="2" s="1"/>
  <c r="AF33" i="2"/>
  <c r="AD33" i="2"/>
  <c r="AI27" i="2"/>
  <c r="AI28" i="2" s="1"/>
  <c r="AE33" i="2"/>
  <c r="AB33" i="2"/>
  <c r="AH33" i="2"/>
  <c r="AH38" i="2" s="1"/>
  <c r="AK23" i="2"/>
  <c r="AJ26" i="2"/>
  <c r="AJ53" i="2" s="1"/>
  <c r="AJ50" i="2"/>
  <c r="AJ24" i="2"/>
  <c r="AJ51" i="2" s="1"/>
  <c r="AM52" i="2"/>
  <c r="AN52" i="2"/>
  <c r="P33" i="2"/>
  <c r="P55" i="2" s="1"/>
  <c r="T33" i="2"/>
  <c r="T55" i="2" s="1"/>
  <c r="AJ37" i="2"/>
  <c r="AK34" i="2"/>
  <c r="AJ32" i="2"/>
  <c r="AK29" i="2"/>
  <c r="AI33" i="2" l="1"/>
  <c r="AI55" i="2" s="1"/>
  <c r="AI54" i="2"/>
  <c r="AC55" i="2"/>
  <c r="AC38" i="2"/>
  <c r="AF38" i="2"/>
  <c r="AF55" i="2"/>
  <c r="AE38" i="2"/>
  <c r="AE55" i="2"/>
  <c r="AB38" i="2"/>
  <c r="AB55" i="2"/>
  <c r="AG55" i="2"/>
  <c r="AD38" i="2"/>
  <c r="AD55" i="2"/>
  <c r="AH55" i="2"/>
  <c r="AL23" i="2"/>
  <c r="AK26" i="2"/>
  <c r="AK27" i="2" s="1"/>
  <c r="AK50" i="2"/>
  <c r="AK24" i="2"/>
  <c r="AK51" i="2" s="1"/>
  <c r="AJ27" i="2"/>
  <c r="AJ28" i="2" s="1"/>
  <c r="AJ54" i="2" s="1"/>
  <c r="AH40" i="2"/>
  <c r="AH56" i="2"/>
  <c r="P38" i="2"/>
  <c r="P56" i="2" s="1"/>
  <c r="T38" i="2"/>
  <c r="AL29" i="2"/>
  <c r="AK32" i="2"/>
  <c r="AK37" i="2"/>
  <c r="AL34" i="2"/>
  <c r="AG40" i="2"/>
  <c r="AG56" i="2"/>
  <c r="AI38" i="2" l="1"/>
  <c r="AI39" i="2" s="1"/>
  <c r="AI56" i="2" s="1"/>
  <c r="AK53" i="2"/>
  <c r="AC56" i="2"/>
  <c r="AC40" i="2"/>
  <c r="AF40" i="2"/>
  <c r="AF56" i="2"/>
  <c r="AD40" i="2"/>
  <c r="AD56" i="2"/>
  <c r="AB40" i="2"/>
  <c r="AB56" i="2"/>
  <c r="AE40" i="2"/>
  <c r="AE56" i="2"/>
  <c r="AK28" i="2"/>
  <c r="AK54" i="2" s="1"/>
  <c r="AJ33" i="2"/>
  <c r="AJ55" i="2" s="1"/>
  <c r="AM23" i="2"/>
  <c r="AL26" i="2"/>
  <c r="AL27" i="2" s="1"/>
  <c r="AL50" i="2"/>
  <c r="AL24" i="2"/>
  <c r="AH42" i="2"/>
  <c r="AH57" i="2"/>
  <c r="P40" i="2"/>
  <c r="P57" i="2" s="1"/>
  <c r="T56" i="2"/>
  <c r="T40" i="2"/>
  <c r="AM29" i="2"/>
  <c r="AL32" i="2"/>
  <c r="AL37" i="2"/>
  <c r="AM34" i="2"/>
  <c r="AG57" i="2"/>
  <c r="AG42" i="2"/>
  <c r="AC42" i="2" l="1"/>
  <c r="AC57" i="2"/>
  <c r="AF42" i="2"/>
  <c r="AF57" i="2"/>
  <c r="AE42" i="2"/>
  <c r="AE57" i="2"/>
  <c r="AB42" i="2"/>
  <c r="AB57" i="2"/>
  <c r="AD42" i="2"/>
  <c r="AD57" i="2"/>
  <c r="AL53" i="2"/>
  <c r="AJ38" i="2"/>
  <c r="AJ39" i="2" s="1"/>
  <c r="AJ56" i="2" s="1"/>
  <c r="AL28" i="2"/>
  <c r="AL54" i="2" s="1"/>
  <c r="AL51" i="2"/>
  <c r="AN23" i="2"/>
  <c r="AM50" i="2"/>
  <c r="AM26" i="2"/>
  <c r="AM27" i="2" s="1"/>
  <c r="AM24" i="2"/>
  <c r="AM51" i="2" s="1"/>
  <c r="AK33" i="2"/>
  <c r="AI40" i="2"/>
  <c r="AI42" i="2" s="1"/>
  <c r="P42" i="2"/>
  <c r="T57" i="2"/>
  <c r="T42" i="2"/>
  <c r="AN34" i="2"/>
  <c r="AM37" i="2"/>
  <c r="AN29" i="2"/>
  <c r="AM32" i="2"/>
  <c r="AJ40" i="2" l="1"/>
  <c r="AJ42" i="2" s="1"/>
  <c r="AL33" i="2"/>
  <c r="AL55" i="2" s="1"/>
  <c r="AM28" i="2"/>
  <c r="AM54" i="2" s="1"/>
  <c r="AM53" i="2"/>
  <c r="AO23" i="2"/>
  <c r="AN50" i="2"/>
  <c r="AN26" i="2"/>
  <c r="AN27" i="2" s="1"/>
  <c r="AN24" i="2"/>
  <c r="AI57" i="2"/>
  <c r="AK38" i="2"/>
  <c r="AK55" i="2"/>
  <c r="AO29" i="2"/>
  <c r="AN32" i="2"/>
  <c r="AO34" i="2"/>
  <c r="AN37" i="2"/>
  <c r="AN53" i="2" l="1"/>
  <c r="AJ57" i="2"/>
  <c r="AL38" i="2"/>
  <c r="AL39" i="2" s="1"/>
  <c r="AL56" i="2" s="1"/>
  <c r="AP23" i="2"/>
  <c r="AO50" i="2"/>
  <c r="AO26" i="2"/>
  <c r="AO27" i="2" s="1"/>
  <c r="AO24" i="2"/>
  <c r="AO51" i="2" s="1"/>
  <c r="AK39" i="2"/>
  <c r="AK56" i="2" s="1"/>
  <c r="AM33" i="2"/>
  <c r="AN51" i="2"/>
  <c r="AN28" i="2"/>
  <c r="AN54" i="2" s="1"/>
  <c r="AO37" i="2"/>
  <c r="AP34" i="2"/>
  <c r="AP29" i="2"/>
  <c r="AO32" i="2"/>
  <c r="AL40" i="2" l="1"/>
  <c r="AL57" i="2" s="1"/>
  <c r="AK40" i="2"/>
  <c r="AK57" i="2" s="1"/>
  <c r="AO53" i="2"/>
  <c r="AO28" i="2"/>
  <c r="AO54" i="2" s="1"/>
  <c r="AQ23" i="2"/>
  <c r="AP50" i="2"/>
  <c r="AP26" i="2"/>
  <c r="AP27" i="2" s="1"/>
  <c r="AP24" i="2"/>
  <c r="AP51" i="2" s="1"/>
  <c r="AM38" i="2"/>
  <c r="AM55" i="2"/>
  <c r="AN33" i="2"/>
  <c r="AP32" i="2"/>
  <c r="AQ29" i="2"/>
  <c r="AP37" i="2"/>
  <c r="AQ34" i="2"/>
  <c r="AL42" i="2" l="1"/>
  <c r="AK42" i="2"/>
  <c r="AO33" i="2"/>
  <c r="AO55" i="2" s="1"/>
  <c r="AP53" i="2"/>
  <c r="AP28" i="2"/>
  <c r="AP54" i="2" s="1"/>
  <c r="AN55" i="2"/>
  <c r="AN38" i="2"/>
  <c r="AM39" i="2"/>
  <c r="AM56" i="2" s="1"/>
  <c r="AR23" i="2"/>
  <c r="AQ50" i="2"/>
  <c r="AQ26" i="2"/>
  <c r="AQ27" i="2" s="1"/>
  <c r="AQ24" i="2"/>
  <c r="AQ37" i="2"/>
  <c r="AR34" i="2"/>
  <c r="AR37" i="2" s="1"/>
  <c r="AQ32" i="2"/>
  <c r="AR29" i="2"/>
  <c r="AR32" i="2" s="1"/>
  <c r="AO38" i="2" l="1"/>
  <c r="AP33" i="2"/>
  <c r="AP55" i="2" s="1"/>
  <c r="AM40" i="2"/>
  <c r="AM42" i="2" s="1"/>
  <c r="AR26" i="2"/>
  <c r="AR27" i="2" s="1"/>
  <c r="AR50" i="2"/>
  <c r="AR24" i="2"/>
  <c r="AR51" i="2" s="1"/>
  <c r="AN39" i="2"/>
  <c r="AN56" i="2" s="1"/>
  <c r="AQ28" i="2"/>
  <c r="AQ54" i="2" s="1"/>
  <c r="AQ51" i="2"/>
  <c r="AQ53" i="2"/>
  <c r="AM57" i="2" l="1"/>
  <c r="AR53" i="2"/>
  <c r="AO39" i="2"/>
  <c r="AO56" i="2" s="1"/>
  <c r="AP38" i="2"/>
  <c r="AP39" i="2" s="1"/>
  <c r="AP56" i="2" s="1"/>
  <c r="AR28" i="2"/>
  <c r="AR54" i="2" s="1"/>
  <c r="AQ33" i="2"/>
  <c r="AN40" i="2"/>
  <c r="AO40" i="2" l="1"/>
  <c r="AP40" i="2"/>
  <c r="AP42" i="2" s="1"/>
  <c r="AN42" i="2"/>
  <c r="AN57" i="2"/>
  <c r="AQ55" i="2"/>
  <c r="AQ38" i="2"/>
  <c r="AR33" i="2"/>
  <c r="AP57" i="2" l="1"/>
  <c r="AO57" i="2"/>
  <c r="AO42" i="2"/>
  <c r="AR55" i="2"/>
  <c r="AR38" i="2"/>
  <c r="AQ39" i="2"/>
  <c r="AQ56" i="2" s="1"/>
  <c r="AQ40" i="2" l="1"/>
  <c r="AQ57" i="2" s="1"/>
  <c r="AR39" i="2"/>
  <c r="AR56" i="2" s="1"/>
  <c r="AQ42" i="2" l="1"/>
  <c r="AR40" i="2"/>
  <c r="AR42" i="2" s="1"/>
  <c r="AR57" i="2" l="1"/>
  <c r="AS40" i="2"/>
  <c r="AT40" i="2" s="1"/>
  <c r="AU40" i="2" s="1"/>
  <c r="AV40" i="2" s="1"/>
  <c r="AW40" i="2" s="1"/>
  <c r="AX40" i="2" s="1"/>
  <c r="AY40" i="2" s="1"/>
  <c r="AZ40" i="2" s="1"/>
  <c r="BA40" i="2" s="1"/>
  <c r="BB40" i="2" s="1"/>
  <c r="BC40" i="2" s="1"/>
  <c r="BD40" i="2" s="1"/>
  <c r="BE40" i="2" s="1"/>
  <c r="BF40" i="2" s="1"/>
  <c r="BG40" i="2" s="1"/>
  <c r="BH40" i="2" s="1"/>
  <c r="BI40" i="2" s="1"/>
  <c r="BJ40" i="2" s="1"/>
  <c r="BK40" i="2" s="1"/>
  <c r="BL40" i="2" s="1"/>
  <c r="BM40" i="2" s="1"/>
  <c r="BN40" i="2" s="1"/>
  <c r="BO40" i="2" s="1"/>
  <c r="BP40" i="2" s="1"/>
  <c r="BQ40" i="2" s="1"/>
  <c r="BR40" i="2" s="1"/>
  <c r="BS40" i="2" s="1"/>
  <c r="BT40" i="2" s="1"/>
  <c r="BU40" i="2" s="1"/>
  <c r="BV40" i="2" s="1"/>
  <c r="BW40" i="2" s="1"/>
  <c r="BX40" i="2" s="1"/>
  <c r="BY40" i="2" s="1"/>
  <c r="BZ40" i="2" s="1"/>
  <c r="CA40" i="2" s="1"/>
  <c r="CB40" i="2" s="1"/>
  <c r="CC40" i="2" s="1"/>
  <c r="CD40" i="2" s="1"/>
  <c r="CE40" i="2" s="1"/>
  <c r="CF40" i="2" s="1"/>
  <c r="CG40" i="2" s="1"/>
  <c r="CH40" i="2" s="1"/>
  <c r="CI40" i="2" s="1"/>
  <c r="CJ40" i="2" s="1"/>
  <c r="CK40" i="2" s="1"/>
  <c r="CL40" i="2" s="1"/>
  <c r="CM40" i="2" s="1"/>
  <c r="CN40" i="2" s="1"/>
  <c r="CO40" i="2" s="1"/>
  <c r="CP40" i="2" s="1"/>
  <c r="CQ40" i="2" s="1"/>
  <c r="CR40" i="2" s="1"/>
  <c r="CS40" i="2" s="1"/>
  <c r="CT40" i="2" s="1"/>
  <c r="CU40" i="2" s="1"/>
  <c r="CV40" i="2" s="1"/>
  <c r="CW40" i="2" s="1"/>
  <c r="CX40" i="2" s="1"/>
  <c r="CY40" i="2" s="1"/>
  <c r="CZ40" i="2" s="1"/>
  <c r="DA40" i="2" s="1"/>
  <c r="DB40" i="2" s="1"/>
  <c r="DC40" i="2" s="1"/>
  <c r="DD40" i="2" s="1"/>
  <c r="DE40" i="2" s="1"/>
  <c r="DF40" i="2" s="1"/>
  <c r="DG40" i="2" s="1"/>
  <c r="DH40" i="2" s="1"/>
  <c r="DI40" i="2" s="1"/>
  <c r="DJ40" i="2" s="1"/>
  <c r="DK40" i="2" s="1"/>
  <c r="DL40" i="2" s="1"/>
  <c r="DM40" i="2" s="1"/>
  <c r="DN40" i="2" s="1"/>
  <c r="DO40" i="2" s="1"/>
  <c r="DP40" i="2" s="1"/>
  <c r="DQ40" i="2" s="1"/>
  <c r="DR40" i="2" s="1"/>
  <c r="DS40" i="2" s="1"/>
  <c r="DT40" i="2" s="1"/>
  <c r="DU40" i="2" s="1"/>
  <c r="DV40" i="2" s="1"/>
  <c r="DW40" i="2" s="1"/>
  <c r="DX40" i="2" s="1"/>
  <c r="DY40" i="2" s="1"/>
  <c r="DZ40" i="2" s="1"/>
  <c r="EA40" i="2" s="1"/>
  <c r="EB40" i="2" s="1"/>
  <c r="EC40" i="2" s="1"/>
  <c r="ED40" i="2" s="1"/>
  <c r="EE40" i="2" s="1"/>
  <c r="EF40" i="2" s="1"/>
  <c r="EG40" i="2" s="1"/>
  <c r="EH40" i="2" s="1"/>
  <c r="EI40" i="2" s="1"/>
  <c r="EJ40" i="2" s="1"/>
  <c r="EK40" i="2" s="1"/>
  <c r="EL40" i="2" s="1"/>
  <c r="AU54" i="2" s="1"/>
  <c r="AU55" i="2" s="1"/>
  <c r="AU57" i="2" s="1"/>
</calcChain>
</file>

<file path=xl/sharedStrings.xml><?xml version="1.0" encoding="utf-8"?>
<sst xmlns="http://schemas.openxmlformats.org/spreadsheetml/2006/main" count="99" uniqueCount="89">
  <si>
    <t>LMT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</si>
  <si>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</si>
  <si>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</si>
  <si>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</si>
  <si>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</si>
  <si>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</si>
  <si>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</si>
  <si>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</si>
  <si>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</si>
  <si>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</si>
  <si>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</si>
  <si>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Q424</t>
  </si>
  <si>
    <t>Gross profit</t>
  </si>
  <si>
    <t>Q122</t>
  </si>
  <si>
    <t>Q121</t>
  </si>
  <si>
    <t>Q221</t>
  </si>
  <si>
    <t>Q321</t>
  </si>
  <si>
    <t>Q421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</si>
  <si>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</si>
  <si>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</si>
  <si>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</si>
  <si>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</si>
  <si>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</si>
  <si>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</si>
  <si>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</si>
  <si>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</si>
  <si>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</si>
  <si>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</si>
  <si>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</si>
  <si>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</si>
  <si>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</si>
  <si>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</si>
  <si>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Product revenue</t>
  </si>
  <si>
    <t>Total revenue</t>
  </si>
  <si>
    <t>Product cost</t>
  </si>
  <si>
    <t>Service cost</t>
  </si>
  <si>
    <t>Service revenue</t>
  </si>
  <si>
    <t>Total cost of sales</t>
  </si>
  <si>
    <t>Other operating expense</t>
  </si>
  <si>
    <t>Impairment</t>
  </si>
  <si>
    <t>Operating profit</t>
  </si>
  <si>
    <t>Interest expense</t>
  </si>
  <si>
    <t>Other expense</t>
  </si>
  <si>
    <t>Other income</t>
  </si>
  <si>
    <t>Pretax profit</t>
  </si>
  <si>
    <t>Taxes</t>
  </si>
  <si>
    <t>Net profit</t>
  </si>
  <si>
    <t>EPS</t>
  </si>
  <si>
    <t>Total operating expense</t>
  </si>
  <si>
    <t>Total other income</t>
  </si>
  <si>
    <t>Product revenue y/y</t>
  </si>
  <si>
    <t>Service revenue y/y</t>
  </si>
  <si>
    <t>Revenue y/y</t>
  </si>
  <si>
    <t>Product Margin</t>
  </si>
  <si>
    <t>Service Margin</t>
  </si>
  <si>
    <t>Gross Margin</t>
  </si>
  <si>
    <t>Operating Margin</t>
  </si>
  <si>
    <t>Net Margin</t>
  </si>
  <si>
    <t>F-35 Lightning II – international multi-role, multi-variant, fifth generation stealth fighter.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</si>
  <si>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</si>
  <si>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</si>
  <si>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</si>
  <si>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</si>
  <si>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</si>
  <si>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</si>
  <si>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</si>
  <si>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</si>
  <si>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</si>
  <si>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Slightly overvalued</t>
  </si>
  <si>
    <t>L+S/E</t>
  </si>
  <si>
    <t>EV/B</t>
  </si>
  <si>
    <t>B/EV</t>
  </si>
  <si>
    <t>Aeronautics</t>
  </si>
  <si>
    <t>Missiles and Fire Control</t>
  </si>
  <si>
    <t>Rotary and Mission Systems</t>
  </si>
  <si>
    <t>Space</t>
  </si>
  <si>
    <t>Aeronautics y/y</t>
  </si>
  <si>
    <t>Missiles and Fire Control y/y</t>
  </si>
  <si>
    <t>Rotary and Mission Systems y/y</t>
  </si>
  <si>
    <t>Space y/y</t>
  </si>
  <si>
    <t>Total backlog</t>
  </si>
  <si>
    <t>F-35</t>
  </si>
  <si>
    <t>F-16</t>
  </si>
  <si>
    <t>C-130J</t>
  </si>
  <si>
    <t>Government helicopters</t>
  </si>
  <si>
    <t>Commercial helicopters</t>
  </si>
  <si>
    <t>International helicopters</t>
  </si>
  <si>
    <t>Q425 8K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</si>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</sst>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color theme="0"/>
      <name val="Times New Roman"/>
      <family val="1"/>
    </font>
    <font>
      <b/>
      <u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3" fillId="2" borderId="1" xfId="0" applyNumberFormat="1" applyFont="1" applyFill="1" applyBorder="1"/>
    <xf numFmtId="14" fontId="4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/>
    <xf numFmtId="0" fontId="5" fillId="2" borderId="1" xfId="0" applyFont="1" applyFill="1" applyBorder="1"/>
    <xf numFmtId="0" fontId="3" fillId="2" borderId="1" xfId="0" applyFont="1" applyFill="1" applyBorder="1" applyAlignment="1">
      <alignment horizontal="right"/>
    </xf>
    <xf numFmtId="3" fontId="2" fillId="2" borderId="1" xfId="0" applyNumberFormat="1" applyFont="1" applyFill="1" applyBorder="1"/>
    <xf numFmtId="4" fontId="3" fillId="2" borderId="1" xfId="0" applyNumberFormat="1" applyFont="1" applyFill="1" applyBorder="1"/>
    <xf numFmtId="9" fontId="3" fillId="2" borderId="1" xfId="0" applyNumberFormat="1" applyFont="1" applyFill="1" applyBorder="1"/>
    <xf numFmtId="9" fontId="2" fillId="2" borderId="1" xfId="0" applyNumberFormat="1" applyFont="1" applyFill="1" applyBorder="1"/>
    <xf numFmtId="0" fontId="6" fillId="2" borderId="1" xfId="0" applyFont="1" applyFill="1" applyBorder="1"/>
    <xf numFmtId="165" fontId="3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4" fillId="2" borderId="1" xfId="0" applyNumberFormat="1" applyFont="1" applyFill="1" applyBorder="1"/>
    <xf numFmtId="3" fontId="7" fillId="2" borderId="1" xfId="0" applyNumberFormat="1" applyFont="1" applyFill="1" applyBorder="1"/>
    <xf numFmtId="4" fontId="4" fillId="2" borderId="1" xfId="0" applyNumberFormat="1" applyFont="1" applyFill="1" applyBorder="1"/>
    <xf numFmtId="3" fontId="6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22860</xdr:colOff>
      <xdr:row>0</xdr:row>
      <xdr:rowOff>7620</xdr:rowOff>
    </xdr:from>
    <xdr:to>
      <xdr:col>33</xdr:col>
      <xdr:colOff>22860</xdr:colOff>
      <xdr:row>68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A60D279-C8C6-7CE4-5B63-8F81BEFF7015}"/>
            </a:ext>
          </a:extLst>
        </xdr:cNvPr>
        <xdr:cNvCxnSpPr/>
      </xdr:nvCxnSpPr>
      <xdr:spPr>
        <a:xfrm>
          <a:off x="18554700" y="7620"/>
          <a:ext cx="0" cy="81457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</xdr:colOff>
      <xdr:row>0</xdr:row>
      <xdr:rowOff>15240</xdr:rowOff>
    </xdr:from>
    <xdr:to>
      <xdr:col>22</xdr:col>
      <xdr:colOff>30480</xdr:colOff>
      <xdr:row>59</xdr:row>
      <xdr:rowOff>129540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59E68FC-5552-55D2-1470-DA65AB1929AC}"/>
            </a:ext>
          </a:extLst>
        </xdr:cNvPr>
        <xdr:cNvCxnSpPr/>
      </xdr:nvCxnSpPr>
      <xdr:spPr>
        <a:xfrm>
          <a:off x="14683740" y="15240"/>
          <a:ext cx="0" cy="10904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DF56-AB54-467A-BB12-2C9E3FB633E0}">
  <dimension ref="B2:J9"/>
  <sheetViews>
    <sheetView workbookViewId="0">
      <selection activeCell="E7" sqref="E7"/>
    </sheetView>
  </sheetViews>
  <sheetFormatPr defaultRowHeight="14.4" x14ac:dyDescent="0.3"/>
  <cols>
    <col min="1" max="4" width="8.88671875" style="1"/>
    <col min="5" max="7" width="14.44140625" style="2" customWidth="1"/>
    <col min="8" max="16384" width="8.88671875" style="1"/>
  </cols>
  <sheetData>
    <row r="2" spans="2:10" x14ac:dyDescent="0.3">
      <c r="E2" s="2" t="s">
        <v>8</v>
      </c>
      <c r="F2" s="2" t="s">
        <v>9</v>
      </c>
      <c r="G2" s="2" t="s">
        <v>10</v>
      </c>
    </row>
    <row r="3" spans="2:10" x14ac:dyDescent="0.3">
      <c r="B3" s="3" t="s">
        <v>0</v>
      </c>
      <c r="C3" s="1" t="s">
        <v>1</v>
      </c>
      <c r="D3" s="4">
        <v>610.42999999999995</v>
      </c>
      <c r="E3" s="5">
        <v>46059</v>
      </c>
      <c r="F3" s="5">
        <f ca="1">TODAY()</f>
        <v>46067</v>
      </c>
      <c r="G3" s="5">
        <v>46133</v>
      </c>
    </row>
    <row r="4" spans="2:10" x14ac:dyDescent="0.3">
      <c r="C4" s="1" t="s">
        <v>2</v>
      </c>
      <c r="D4" s="6">
        <f>230.9</f>
        <v>230.9</v>
      </c>
      <c r="E4" s="2" t="s">
        <v>87</v>
      </c>
    </row>
    <row r="5" spans="2:10" x14ac:dyDescent="0.3">
      <c r="C5" s="1" t="s">
        <v>3</v>
      </c>
      <c r="D5" s="6">
        <f>D3*D4</f>
        <v>140948.28699999998</v>
      </c>
    </row>
    <row r="6" spans="2:10" x14ac:dyDescent="0.3">
      <c r="C6" s="1" t="s">
        <v>4</v>
      </c>
      <c r="D6" s="6">
        <f>4121</f>
        <v>4121</v>
      </c>
      <c r="E6" s="2" t="s">
        <v>31</v>
      </c>
      <c r="J6" s="7" t="s">
        <v>58</v>
      </c>
    </row>
    <row r="7" spans="2:10" x14ac:dyDescent="0.3">
      <c r="C7" s="1" t="s">
        <v>5</v>
      </c>
      <c r="D7" s="6">
        <f>1168+20531</f>
        <v>21699</v>
      </c>
      <c r="E7" s="2" t="s">
        <v>31</v>
      </c>
    </row>
    <row r="8" spans="2:10" x14ac:dyDescent="0.3">
      <c r="C8" s="1" t="s">
        <v>6</v>
      </c>
      <c r="D8" s="6">
        <f>D6-D7</f>
        <v>-17578</v>
      </c>
    </row>
    <row r="9" spans="2:10" x14ac:dyDescent="0.3">
      <c r="C9" s="1" t="s">
        <v>7</v>
      </c>
      <c r="D9" s="6">
        <f>D5-D8</f>
        <v>158526.28699999998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F992-CF1A-49DF-A7A3-B2026107AC3A}">
  <dimension ref="B2:EL64"/>
  <sheetViews>
    <sheetView tabSelected="1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V13" sqref="V13"/>
    </sheetView>
  </sheetViews>
  <sheetFormatPr defaultRowHeight="14.4" x14ac:dyDescent="0.3"/>
  <cols>
    <col min="1" max="1" width="8.88671875" style="1"/>
    <col min="2" max="2" width="27" style="1" bestFit="1" customWidth="1"/>
    <col min="3" max="45" width="8.88671875" style="1"/>
    <col min="46" max="46" width="14.109375" style="1" customWidth="1"/>
    <col min="47" max="47" width="17.109375" style="1" customWidth="1"/>
    <col min="48" max="16384" width="8.88671875" style="1"/>
  </cols>
  <sheetData>
    <row r="2" spans="2:44" x14ac:dyDescent="0.3">
      <c r="C2" s="8" t="s">
        <v>14</v>
      </c>
      <c r="D2" s="8" t="s">
        <v>15</v>
      </c>
      <c r="E2" s="8" t="s">
        <v>16</v>
      </c>
      <c r="F2" s="8" t="s">
        <v>17</v>
      </c>
      <c r="G2" s="8" t="s">
        <v>13</v>
      </c>
      <c r="H2" s="8" t="s">
        <v>18</v>
      </c>
      <c r="I2" s="8" t="s">
        <v>19</v>
      </c>
      <c r="J2" s="8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 t="s">
        <v>25</v>
      </c>
      <c r="P2" s="8" t="s">
        <v>26</v>
      </c>
      <c r="Q2" s="8" t="s">
        <v>27</v>
      </c>
      <c r="R2" s="8" t="s">
        <v>11</v>
      </c>
      <c r="S2" s="8" t="s">
        <v>28</v>
      </c>
      <c r="T2" s="8" t="s">
        <v>29</v>
      </c>
      <c r="U2" s="8" t="s">
        <v>30</v>
      </c>
      <c r="V2" s="8" t="s">
        <v>31</v>
      </c>
      <c r="W2" s="8"/>
      <c r="X2" s="8"/>
      <c r="Y2" s="8"/>
      <c r="Z2" s="8"/>
      <c r="AB2" s="1">
        <v>2019</v>
      </c>
      <c r="AC2" s="1">
        <v>2020</v>
      </c>
      <c r="AD2" s="1">
        <v>2021</v>
      </c>
      <c r="AE2" s="1">
        <v>2022</v>
      </c>
      <c r="AF2" s="1">
        <v>2023</v>
      </c>
      <c r="AG2" s="1">
        <v>2024</v>
      </c>
      <c r="AH2" s="1">
        <v>2025</v>
      </c>
      <c r="AI2" s="1">
        <v>2026</v>
      </c>
      <c r="AJ2" s="1">
        <v>2027</v>
      </c>
      <c r="AK2" s="1">
        <v>2028</v>
      </c>
      <c r="AL2" s="1">
        <v>2029</v>
      </c>
      <c r="AM2" s="1">
        <v>2030</v>
      </c>
      <c r="AN2" s="1">
        <v>2031</v>
      </c>
      <c r="AO2" s="1">
        <v>2032</v>
      </c>
      <c r="AP2" s="1">
        <v>2033</v>
      </c>
      <c r="AQ2" s="1">
        <v>2034</v>
      </c>
      <c r="AR2" s="1">
        <v>2035</v>
      </c>
    </row>
    <row r="3" spans="2:44" x14ac:dyDescent="0.3">
      <c r="B3" s="1" t="s">
        <v>81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>
        <v>48</v>
      </c>
      <c r="R3" s="8">
        <v>62</v>
      </c>
      <c r="S3" s="8"/>
      <c r="T3" s="8"/>
      <c r="U3" s="8">
        <v>46</v>
      </c>
      <c r="V3" s="8">
        <v>48</v>
      </c>
      <c r="W3" s="8"/>
      <c r="X3" s="8"/>
      <c r="Y3" s="8"/>
      <c r="Z3" s="8"/>
    </row>
    <row r="4" spans="2:44" x14ac:dyDescent="0.3">
      <c r="B4" s="1" t="s">
        <v>82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2</v>
      </c>
      <c r="R4" s="8">
        <v>7</v>
      </c>
      <c r="S4" s="8"/>
      <c r="T4" s="8"/>
      <c r="U4" s="8">
        <v>5</v>
      </c>
      <c r="V4" s="8">
        <v>4</v>
      </c>
      <c r="W4" s="8"/>
      <c r="X4" s="8"/>
      <c r="Y4" s="8"/>
      <c r="Z4" s="8"/>
    </row>
    <row r="5" spans="2:44" x14ac:dyDescent="0.3">
      <c r="B5" s="1" t="s">
        <v>83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v>4</v>
      </c>
      <c r="R5" s="8">
        <v>8</v>
      </c>
      <c r="S5" s="8"/>
      <c r="T5" s="8"/>
      <c r="U5" s="8">
        <v>0</v>
      </c>
      <c r="V5" s="8">
        <v>0</v>
      </c>
      <c r="W5" s="8"/>
      <c r="X5" s="8"/>
      <c r="Y5" s="8"/>
      <c r="Z5" s="8"/>
    </row>
    <row r="6" spans="2:44" x14ac:dyDescent="0.3">
      <c r="B6" s="1" t="s">
        <v>84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24</v>
      </c>
      <c r="R6" s="8">
        <v>25</v>
      </c>
      <c r="S6" s="8"/>
      <c r="T6" s="8"/>
      <c r="U6" s="8">
        <v>22</v>
      </c>
      <c r="V6" s="8">
        <v>35</v>
      </c>
      <c r="W6" s="8"/>
      <c r="X6" s="8"/>
      <c r="Y6" s="8"/>
      <c r="Z6" s="8"/>
    </row>
    <row r="7" spans="2:44" x14ac:dyDescent="0.3">
      <c r="B7" s="1" t="s">
        <v>85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>
        <v>0</v>
      </c>
      <c r="R7" s="8">
        <v>1</v>
      </c>
      <c r="S7" s="8"/>
      <c r="T7" s="8"/>
      <c r="U7" s="8">
        <v>1</v>
      </c>
      <c r="V7" s="8">
        <v>0</v>
      </c>
      <c r="W7" s="8"/>
      <c r="X7" s="8"/>
      <c r="Y7" s="8"/>
      <c r="Z7" s="8"/>
    </row>
    <row r="8" spans="2:44" x14ac:dyDescent="0.3">
      <c r="B8" s="1" t="s">
        <v>86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4</v>
      </c>
      <c r="R8" s="8">
        <v>8</v>
      </c>
      <c r="S8" s="8"/>
      <c r="T8" s="8"/>
      <c r="U8" s="8">
        <v>6</v>
      </c>
      <c r="V8" s="8">
        <v>11</v>
      </c>
      <c r="W8" s="8"/>
      <c r="X8" s="8"/>
      <c r="Y8" s="8"/>
      <c r="Z8" s="8"/>
    </row>
    <row r="9" spans="2:44" x14ac:dyDescent="0.3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2:44" x14ac:dyDescent="0.3">
      <c r="B10" s="1" t="s">
        <v>72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6">
        <v>62763</v>
      </c>
      <c r="S10" s="8"/>
      <c r="T10" s="16"/>
      <c r="U10" s="16">
        <v>47506</v>
      </c>
      <c r="V10" s="16">
        <v>59435</v>
      </c>
      <c r="W10" s="8"/>
      <c r="X10" s="8"/>
      <c r="Y10" s="8"/>
      <c r="Z10" s="8"/>
      <c r="AG10" s="16">
        <v>62763</v>
      </c>
      <c r="AH10" s="16">
        <v>59435</v>
      </c>
    </row>
    <row r="11" spans="2:44" x14ac:dyDescent="0.3">
      <c r="B11" s="1" t="s">
        <v>73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6">
        <v>38783</v>
      </c>
      <c r="S11" s="8"/>
      <c r="T11" s="16"/>
      <c r="U11" s="16">
        <v>45906</v>
      </c>
      <c r="V11" s="16">
        <v>46650</v>
      </c>
      <c r="W11" s="8"/>
      <c r="X11" s="8"/>
      <c r="Y11" s="8"/>
      <c r="Z11" s="8"/>
      <c r="AG11" s="16">
        <v>38783</v>
      </c>
      <c r="AH11" s="16">
        <v>46650</v>
      </c>
    </row>
    <row r="12" spans="2:44" x14ac:dyDescent="0.3">
      <c r="B12" s="1" t="s">
        <v>74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6">
        <v>38117</v>
      </c>
      <c r="S12" s="8"/>
      <c r="T12" s="16"/>
      <c r="U12" s="16">
        <v>47269</v>
      </c>
      <c r="V12" s="16">
        <v>47715</v>
      </c>
      <c r="W12" s="8"/>
      <c r="X12" s="8"/>
      <c r="Y12" s="8"/>
      <c r="Z12" s="8"/>
      <c r="AG12" s="16">
        <v>38117</v>
      </c>
      <c r="AH12" s="16">
        <v>47715</v>
      </c>
    </row>
    <row r="13" spans="2:44" x14ac:dyDescent="0.3">
      <c r="B13" s="1" t="s">
        <v>75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6">
        <v>36377</v>
      </c>
      <c r="S13" s="8"/>
      <c r="T13" s="16"/>
      <c r="U13" s="16">
        <v>38390</v>
      </c>
      <c r="V13" s="16">
        <v>39822</v>
      </c>
      <c r="W13" s="8"/>
      <c r="X13" s="8"/>
      <c r="Y13" s="8"/>
      <c r="Z13" s="8"/>
      <c r="AG13" s="16">
        <v>36377</v>
      </c>
      <c r="AH13" s="16">
        <v>39822</v>
      </c>
    </row>
    <row r="14" spans="2:44" s="3" customFormat="1" x14ac:dyDescent="0.3">
      <c r="B14" s="3" t="s">
        <v>80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7">
        <f>SUM(R10:R13)</f>
        <v>176040</v>
      </c>
      <c r="S14" s="15"/>
      <c r="T14" s="17"/>
      <c r="U14" s="17">
        <f>SUM(U10:U13)</f>
        <v>179071</v>
      </c>
      <c r="V14" s="17">
        <f>SUM(V10:V13)</f>
        <v>193622</v>
      </c>
      <c r="W14" s="15"/>
      <c r="X14" s="15"/>
      <c r="Y14" s="15"/>
      <c r="Z14" s="15"/>
      <c r="AG14" s="17">
        <f>SUM(AG10:AG13)</f>
        <v>176040</v>
      </c>
      <c r="AH14" s="17">
        <f>SUM(AH10:AH13)</f>
        <v>193622</v>
      </c>
    </row>
    <row r="15" spans="2:44" x14ac:dyDescent="0.3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2:44" x14ac:dyDescent="0.3">
      <c r="B16" s="1" t="s">
        <v>72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6">
        <v>6487</v>
      </c>
      <c r="R16" s="16">
        <v>8009</v>
      </c>
      <c r="S16" s="8"/>
      <c r="T16" s="8"/>
      <c r="U16" s="16">
        <v>7256</v>
      </c>
      <c r="V16" s="16">
        <v>8524</v>
      </c>
      <c r="W16" s="8"/>
      <c r="X16" s="8"/>
      <c r="Y16" s="8"/>
      <c r="Z16" s="8"/>
    </row>
    <row r="17" spans="2:44" x14ac:dyDescent="0.3">
      <c r="B17" s="1" t="s">
        <v>73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6">
        <v>3175</v>
      </c>
      <c r="R17" s="16">
        <v>3412</v>
      </c>
      <c r="S17" s="8"/>
      <c r="T17" s="8"/>
      <c r="U17" s="16">
        <v>3624</v>
      </c>
      <c r="V17" s="16">
        <v>4020</v>
      </c>
      <c r="W17" s="8"/>
      <c r="X17" s="8"/>
      <c r="Y17" s="8"/>
      <c r="Z17" s="8"/>
    </row>
    <row r="18" spans="2:44" x14ac:dyDescent="0.3">
      <c r="B18" s="1" t="s">
        <v>74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6">
        <v>4367</v>
      </c>
      <c r="R18" s="16">
        <v>4261</v>
      </c>
      <c r="S18" s="8"/>
      <c r="T18" s="8"/>
      <c r="U18" s="16">
        <v>4373</v>
      </c>
      <c r="V18" s="16">
        <v>4616</v>
      </c>
      <c r="W18" s="8"/>
      <c r="X18" s="8"/>
      <c r="Y18" s="8"/>
      <c r="Z18" s="8"/>
    </row>
    <row r="19" spans="2:44" x14ac:dyDescent="0.3">
      <c r="B19" s="1" t="s">
        <v>75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6">
        <v>3075</v>
      </c>
      <c r="R19" s="16">
        <v>2940</v>
      </c>
      <c r="S19" s="8"/>
      <c r="T19" s="8"/>
      <c r="U19" s="16">
        <v>3356</v>
      </c>
      <c r="V19" s="16">
        <v>3161</v>
      </c>
      <c r="W19" s="8"/>
      <c r="X19" s="8"/>
      <c r="Y19" s="8"/>
      <c r="Z19" s="8"/>
    </row>
    <row r="20" spans="2:44" s="3" customFormat="1" x14ac:dyDescent="0.3">
      <c r="B20" s="3" t="s">
        <v>33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7">
        <f>SUM(Q16:Q19)</f>
        <v>17104</v>
      </c>
      <c r="R20" s="17">
        <f>SUM(R16:R19)</f>
        <v>18622</v>
      </c>
      <c r="S20" s="15"/>
      <c r="T20" s="15"/>
      <c r="U20" s="17">
        <f>SUM(U16:U19)</f>
        <v>18609</v>
      </c>
      <c r="V20" s="17">
        <f>SUM(V16:V19)</f>
        <v>20321</v>
      </c>
      <c r="W20" s="15"/>
      <c r="X20" s="15"/>
      <c r="Y20" s="15"/>
      <c r="Z20" s="15"/>
    </row>
    <row r="21" spans="2:44" x14ac:dyDescent="0.3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2:44" x14ac:dyDescent="0.3">
      <c r="B22" s="1" t="s">
        <v>32</v>
      </c>
      <c r="K22" s="6">
        <v>12526</v>
      </c>
      <c r="L22" s="6">
        <v>13758</v>
      </c>
      <c r="M22" s="6">
        <v>14014</v>
      </c>
      <c r="N22" s="6">
        <f>AF22-M22-L22-K22</f>
        <v>15967</v>
      </c>
      <c r="O22" s="6">
        <v>14196</v>
      </c>
      <c r="P22" s="6">
        <v>15109</v>
      </c>
      <c r="Q22" s="6">
        <v>14472</v>
      </c>
      <c r="R22" s="6">
        <f>AG22-Q22-P22-O22</f>
        <v>15500</v>
      </c>
      <c r="S22" s="6">
        <v>14936</v>
      </c>
      <c r="T22" s="6">
        <v>15149</v>
      </c>
      <c r="U22" s="6">
        <v>15311</v>
      </c>
      <c r="V22" s="18">
        <f>R22*1.07</f>
        <v>16585</v>
      </c>
      <c r="W22" s="6"/>
      <c r="X22" s="6"/>
      <c r="Y22" s="6"/>
      <c r="Z22" s="6"/>
      <c r="AB22" s="6">
        <v>50053</v>
      </c>
      <c r="AC22" s="6">
        <v>54928</v>
      </c>
      <c r="AD22" s="6">
        <v>56435</v>
      </c>
      <c r="AE22" s="6">
        <v>55466</v>
      </c>
      <c r="AF22" s="6">
        <v>56265</v>
      </c>
      <c r="AG22" s="6">
        <v>59277</v>
      </c>
      <c r="AH22" s="6">
        <f>SUM(S22:V22)</f>
        <v>61981</v>
      </c>
      <c r="AI22" s="6">
        <f>AH22*1.03</f>
        <v>63840.43</v>
      </c>
      <c r="AJ22" s="6">
        <f>AI22*1.02</f>
        <v>65117.238600000004</v>
      </c>
      <c r="AK22" s="6">
        <f t="shared" ref="AK22:AR22" si="0">AJ22*1.01</f>
        <v>65768.410986000003</v>
      </c>
      <c r="AL22" s="6">
        <f t="shared" si="0"/>
        <v>66426.095095860001</v>
      </c>
      <c r="AM22" s="6">
        <f t="shared" si="0"/>
        <v>67090.356046818604</v>
      </c>
      <c r="AN22" s="6">
        <f t="shared" si="0"/>
        <v>67761.259607286789</v>
      </c>
      <c r="AO22" s="6">
        <f t="shared" si="0"/>
        <v>68438.872203359657</v>
      </c>
      <c r="AP22" s="6">
        <f t="shared" si="0"/>
        <v>69123.260925393261</v>
      </c>
      <c r="AQ22" s="6">
        <f t="shared" si="0"/>
        <v>69814.49353464719</v>
      </c>
      <c r="AR22" s="6">
        <f t="shared" si="0"/>
        <v>70512.638469993661</v>
      </c>
    </row>
    <row r="23" spans="2:44" x14ac:dyDescent="0.3">
      <c r="B23" s="1" t="s">
        <v>36</v>
      </c>
      <c r="K23" s="6">
        <v>2600</v>
      </c>
      <c r="L23" s="6">
        <v>2935</v>
      </c>
      <c r="M23" s="6">
        <v>2864</v>
      </c>
      <c r="N23" s="6">
        <f>AF23-M23-L23-K23</f>
        <v>2907</v>
      </c>
      <c r="O23" s="6">
        <v>2999</v>
      </c>
      <c r="P23" s="6">
        <v>3013</v>
      </c>
      <c r="Q23" s="6">
        <v>2632</v>
      </c>
      <c r="R23" s="6">
        <f>AG23-Q23-P23-O23</f>
        <v>3122</v>
      </c>
      <c r="S23" s="6">
        <v>3027</v>
      </c>
      <c r="T23" s="6">
        <v>3006</v>
      </c>
      <c r="U23" s="6">
        <v>3298</v>
      </c>
      <c r="V23" s="18">
        <f>R23*1.11</f>
        <v>3465.4200000000005</v>
      </c>
      <c r="W23" s="6"/>
      <c r="X23" s="6"/>
      <c r="Y23" s="6"/>
      <c r="Z23" s="6"/>
      <c r="AB23" s="6">
        <v>9759</v>
      </c>
      <c r="AC23" s="6">
        <v>10470</v>
      </c>
      <c r="AD23" s="6">
        <v>10609</v>
      </c>
      <c r="AE23" s="6">
        <v>10518</v>
      </c>
      <c r="AF23" s="6">
        <v>11306</v>
      </c>
      <c r="AG23" s="6">
        <v>11766</v>
      </c>
      <c r="AH23" s="6">
        <f>SUM(S23:V23)</f>
        <v>12796.42</v>
      </c>
      <c r="AI23" s="6">
        <f>AH23*1.05</f>
        <v>13436.241</v>
      </c>
      <c r="AJ23" s="6">
        <f t="shared" ref="AJ23:AR23" si="1">AI23*1.03</f>
        <v>13839.328230000001</v>
      </c>
      <c r="AK23" s="6">
        <f t="shared" si="1"/>
        <v>14254.508076900001</v>
      </c>
      <c r="AL23" s="6">
        <f t="shared" si="1"/>
        <v>14682.143319207002</v>
      </c>
      <c r="AM23" s="6">
        <f t="shared" si="1"/>
        <v>15122.607618783211</v>
      </c>
      <c r="AN23" s="6">
        <f t="shared" si="1"/>
        <v>15576.285847346708</v>
      </c>
      <c r="AO23" s="6">
        <f t="shared" si="1"/>
        <v>16043.574422767109</v>
      </c>
      <c r="AP23" s="6">
        <f t="shared" si="1"/>
        <v>16524.881655450125</v>
      </c>
      <c r="AQ23" s="6">
        <f t="shared" si="1"/>
        <v>17020.628105113628</v>
      </c>
      <c r="AR23" s="6">
        <f t="shared" si="1"/>
        <v>17531.246948267039</v>
      </c>
    </row>
    <row r="24" spans="2:44" s="3" customFormat="1" x14ac:dyDescent="0.3">
      <c r="B24" s="3" t="s">
        <v>33</v>
      </c>
      <c r="K24" s="9">
        <f t="shared" ref="K24" si="2">K22+K23</f>
        <v>15126</v>
      </c>
      <c r="L24" s="9">
        <f t="shared" ref="L24:M24" si="3">L22+L23</f>
        <v>16693</v>
      </c>
      <c r="M24" s="9">
        <f t="shared" si="3"/>
        <v>16878</v>
      </c>
      <c r="N24" s="9">
        <f t="shared" ref="N24" si="4">N22+N23</f>
        <v>18874</v>
      </c>
      <c r="O24" s="9">
        <f t="shared" ref="O24" si="5">O22+O23</f>
        <v>17195</v>
      </c>
      <c r="P24" s="9">
        <f t="shared" ref="P24:Q24" si="6">P22+P23</f>
        <v>18122</v>
      </c>
      <c r="Q24" s="9">
        <f t="shared" si="6"/>
        <v>17104</v>
      </c>
      <c r="R24" s="9">
        <f t="shared" ref="R24" si="7">R22+R23</f>
        <v>18622</v>
      </c>
      <c r="S24" s="9">
        <f t="shared" ref="S24:T24" si="8">S22+S23</f>
        <v>17963</v>
      </c>
      <c r="T24" s="9">
        <f t="shared" si="8"/>
        <v>18155</v>
      </c>
      <c r="U24" s="9">
        <f t="shared" ref="U24" si="9">U22+U23</f>
        <v>18609</v>
      </c>
      <c r="V24" s="9">
        <f>V20</f>
        <v>20321</v>
      </c>
      <c r="W24" s="9"/>
      <c r="X24" s="9"/>
      <c r="Y24" s="9"/>
      <c r="Z24" s="9"/>
      <c r="AB24" s="9">
        <f t="shared" ref="AB24:AR24" si="10">AB22+AB23</f>
        <v>59812</v>
      </c>
      <c r="AC24" s="9">
        <f t="shared" si="10"/>
        <v>65398</v>
      </c>
      <c r="AD24" s="9">
        <f t="shared" si="10"/>
        <v>67044</v>
      </c>
      <c r="AE24" s="9">
        <f t="shared" si="10"/>
        <v>65984</v>
      </c>
      <c r="AF24" s="9">
        <f t="shared" si="10"/>
        <v>67571</v>
      </c>
      <c r="AG24" s="9">
        <f t="shared" si="10"/>
        <v>71043</v>
      </c>
      <c r="AH24" s="9">
        <f t="shared" si="10"/>
        <v>74777.42</v>
      </c>
      <c r="AI24" s="9">
        <f t="shared" si="10"/>
        <v>77276.671000000002</v>
      </c>
      <c r="AJ24" s="9">
        <f t="shared" si="10"/>
        <v>78956.566830000011</v>
      </c>
      <c r="AK24" s="9">
        <f t="shared" si="10"/>
        <v>80022.919062900008</v>
      </c>
      <c r="AL24" s="9">
        <f t="shared" si="10"/>
        <v>81108.238415066997</v>
      </c>
      <c r="AM24" s="9">
        <f t="shared" si="10"/>
        <v>82212.963665601812</v>
      </c>
      <c r="AN24" s="9">
        <f t="shared" si="10"/>
        <v>83337.545454633495</v>
      </c>
      <c r="AO24" s="9">
        <f t="shared" si="10"/>
        <v>84482.446626126766</v>
      </c>
      <c r="AP24" s="9">
        <f t="shared" si="10"/>
        <v>85648.142580843385</v>
      </c>
      <c r="AQ24" s="9">
        <f t="shared" si="10"/>
        <v>86835.121639760822</v>
      </c>
      <c r="AR24" s="9">
        <f t="shared" si="10"/>
        <v>88043.885418260703</v>
      </c>
    </row>
    <row r="25" spans="2:44" x14ac:dyDescent="0.3">
      <c r="B25" s="1" t="s">
        <v>34</v>
      </c>
      <c r="K25" s="6">
        <v>11151</v>
      </c>
      <c r="L25" s="6">
        <v>12238</v>
      </c>
      <c r="M25" s="6">
        <v>12571</v>
      </c>
      <c r="N25" s="6">
        <f t="shared" ref="N25:N26" si="11">AF25-M25-L25-K25</f>
        <v>14246</v>
      </c>
      <c r="O25" s="6">
        <v>12884</v>
      </c>
      <c r="P25" s="6">
        <v>13520</v>
      </c>
      <c r="Q25" s="6">
        <v>12964</v>
      </c>
      <c r="R25" s="6">
        <f t="shared" ref="R25:R26" si="12">AG25-Q25-P25-O25</f>
        <v>15484</v>
      </c>
      <c r="S25" s="6">
        <v>13284</v>
      </c>
      <c r="T25" s="6">
        <v>14469</v>
      </c>
      <c r="U25" s="6">
        <v>13708</v>
      </c>
      <c r="V25" s="18">
        <f>V22*0.89</f>
        <v>14760.65</v>
      </c>
      <c r="W25" s="6"/>
      <c r="X25" s="6"/>
      <c r="Y25" s="6"/>
      <c r="Z25" s="6"/>
      <c r="AB25" s="6">
        <v>44589</v>
      </c>
      <c r="AC25" s="6">
        <v>48996</v>
      </c>
      <c r="AD25" s="6">
        <v>50273</v>
      </c>
      <c r="AE25" s="6">
        <v>49357</v>
      </c>
      <c r="AF25" s="6">
        <v>50206</v>
      </c>
      <c r="AG25" s="6">
        <v>54852</v>
      </c>
      <c r="AH25" s="6">
        <f t="shared" ref="AH25:AH26" si="13">SUM(S25:V25)</f>
        <v>56221.65</v>
      </c>
      <c r="AI25" s="6">
        <f t="shared" ref="AI25:AR25" si="14">AI22*0.89</f>
        <v>56817.9827</v>
      </c>
      <c r="AJ25" s="6">
        <f t="shared" si="14"/>
        <v>57954.342354000008</v>
      </c>
      <c r="AK25" s="6">
        <f t="shared" si="14"/>
        <v>58533.885777540003</v>
      </c>
      <c r="AL25" s="6">
        <f t="shared" si="14"/>
        <v>59119.224635315404</v>
      </c>
      <c r="AM25" s="6">
        <f t="shared" si="14"/>
        <v>59710.416881668556</v>
      </c>
      <c r="AN25" s="6">
        <f t="shared" si="14"/>
        <v>60307.521050485244</v>
      </c>
      <c r="AO25" s="6">
        <f t="shared" si="14"/>
        <v>60910.596260990096</v>
      </c>
      <c r="AP25" s="6">
        <f t="shared" si="14"/>
        <v>61519.702223600005</v>
      </c>
      <c r="AQ25" s="6">
        <f t="shared" si="14"/>
        <v>62134.899245836001</v>
      </c>
      <c r="AR25" s="6">
        <f t="shared" si="14"/>
        <v>62756.248238294356</v>
      </c>
    </row>
    <row r="26" spans="2:44" x14ac:dyDescent="0.3">
      <c r="B26" s="1" t="s">
        <v>35</v>
      </c>
      <c r="K26" s="6">
        <v>2284</v>
      </c>
      <c r="L26" s="6">
        <v>2642</v>
      </c>
      <c r="M26" s="6">
        <v>2510</v>
      </c>
      <c r="N26" s="6">
        <f t="shared" si="11"/>
        <v>2591</v>
      </c>
      <c r="O26" s="6">
        <v>2603</v>
      </c>
      <c r="P26" s="6">
        <v>2582</v>
      </c>
      <c r="Q26" s="6">
        <v>2272</v>
      </c>
      <c r="R26" s="6">
        <f t="shared" si="12"/>
        <v>2760</v>
      </c>
      <c r="S26" s="6">
        <v>2640</v>
      </c>
      <c r="T26" s="6">
        <v>3130</v>
      </c>
      <c r="U26" s="6">
        <v>2871</v>
      </c>
      <c r="V26" s="18">
        <f>V23*0.87</f>
        <v>3014.9154000000003</v>
      </c>
      <c r="W26" s="6"/>
      <c r="X26" s="6"/>
      <c r="Y26" s="6"/>
      <c r="Z26" s="6"/>
      <c r="AB26" s="6">
        <v>8731</v>
      </c>
      <c r="AC26" s="6">
        <v>9371</v>
      </c>
      <c r="AD26" s="6">
        <v>9463</v>
      </c>
      <c r="AE26" s="6">
        <v>9252</v>
      </c>
      <c r="AF26" s="6">
        <v>10027</v>
      </c>
      <c r="AG26" s="6">
        <v>10217</v>
      </c>
      <c r="AH26" s="6">
        <f t="shared" si="13"/>
        <v>11655.9154</v>
      </c>
      <c r="AI26" s="6">
        <f t="shared" ref="AI26:AR26" si="15">AI23*0.88</f>
        <v>11823.89208</v>
      </c>
      <c r="AJ26" s="6">
        <f t="shared" si="15"/>
        <v>12178.608842400001</v>
      </c>
      <c r="AK26" s="6">
        <f t="shared" si="15"/>
        <v>12543.967107672001</v>
      </c>
      <c r="AL26" s="6">
        <f t="shared" si="15"/>
        <v>12920.286120902161</v>
      </c>
      <c r="AM26" s="6">
        <f t="shared" si="15"/>
        <v>13307.894704529226</v>
      </c>
      <c r="AN26" s="6">
        <f t="shared" si="15"/>
        <v>13707.131545665103</v>
      </c>
      <c r="AO26" s="6">
        <f t="shared" si="15"/>
        <v>14118.345492035056</v>
      </c>
      <c r="AP26" s="6">
        <f t="shared" si="15"/>
        <v>14541.895856796109</v>
      </c>
      <c r="AQ26" s="6">
        <f t="shared" si="15"/>
        <v>14978.152732499993</v>
      </c>
      <c r="AR26" s="6">
        <f t="shared" si="15"/>
        <v>15427.497314474995</v>
      </c>
    </row>
    <row r="27" spans="2:44" x14ac:dyDescent="0.3">
      <c r="B27" s="1" t="s">
        <v>37</v>
      </c>
      <c r="K27" s="6">
        <f t="shared" ref="K27" si="16">K25+K26</f>
        <v>13435</v>
      </c>
      <c r="L27" s="6">
        <f t="shared" ref="L27:M27" si="17">L25+L26</f>
        <v>14880</v>
      </c>
      <c r="M27" s="6">
        <f t="shared" si="17"/>
        <v>15081</v>
      </c>
      <c r="N27" s="6">
        <f t="shared" ref="N27" si="18">N25+N26</f>
        <v>16837</v>
      </c>
      <c r="O27" s="6">
        <f t="shared" ref="O27" si="19">O25+O26</f>
        <v>15487</v>
      </c>
      <c r="P27" s="6">
        <f t="shared" ref="P27:Q27" si="20">P25+P26</f>
        <v>16102</v>
      </c>
      <c r="Q27" s="6">
        <f t="shared" si="20"/>
        <v>15236</v>
      </c>
      <c r="R27" s="6">
        <f t="shared" ref="R27" si="21">R25+R26</f>
        <v>18244</v>
      </c>
      <c r="S27" s="6">
        <f t="shared" ref="S27:T27" si="22">S25+S26</f>
        <v>15924</v>
      </c>
      <c r="T27" s="6">
        <f t="shared" si="22"/>
        <v>17599</v>
      </c>
      <c r="U27" s="6">
        <f t="shared" ref="U27" si="23">U25+U26</f>
        <v>16579</v>
      </c>
      <c r="V27" s="6">
        <v>17999</v>
      </c>
      <c r="W27" s="6"/>
      <c r="X27" s="6"/>
      <c r="Y27" s="6"/>
      <c r="Z27" s="6"/>
      <c r="AB27" s="6">
        <f t="shared" ref="AB27:AG27" si="24">AB25+AB26</f>
        <v>53320</v>
      </c>
      <c r="AC27" s="6">
        <f t="shared" si="24"/>
        <v>58367</v>
      </c>
      <c r="AD27" s="6">
        <f t="shared" si="24"/>
        <v>59736</v>
      </c>
      <c r="AE27" s="6">
        <f t="shared" si="24"/>
        <v>58609</v>
      </c>
      <c r="AF27" s="6">
        <f t="shared" si="24"/>
        <v>60233</v>
      </c>
      <c r="AG27" s="6">
        <f t="shared" si="24"/>
        <v>65069</v>
      </c>
      <c r="AH27" s="6">
        <f t="shared" ref="AH27:AR27" si="25">AH25+AH26</f>
        <v>67877.565400000007</v>
      </c>
      <c r="AI27" s="6">
        <f t="shared" si="25"/>
        <v>68641.874779999998</v>
      </c>
      <c r="AJ27" s="6">
        <f t="shared" si="25"/>
        <v>70132.951196400012</v>
      </c>
      <c r="AK27" s="6">
        <f t="shared" si="25"/>
        <v>71077.852885212007</v>
      </c>
      <c r="AL27" s="6">
        <f t="shared" si="25"/>
        <v>72039.510756217569</v>
      </c>
      <c r="AM27" s="6">
        <f t="shared" si="25"/>
        <v>73018.311586197786</v>
      </c>
      <c r="AN27" s="6">
        <f t="shared" si="25"/>
        <v>74014.65259615035</v>
      </c>
      <c r="AO27" s="6">
        <f t="shared" si="25"/>
        <v>75028.941753025152</v>
      </c>
      <c r="AP27" s="6">
        <f t="shared" si="25"/>
        <v>76061.598080396114</v>
      </c>
      <c r="AQ27" s="6">
        <f t="shared" si="25"/>
        <v>77113.051978335992</v>
      </c>
      <c r="AR27" s="6">
        <f t="shared" si="25"/>
        <v>78183.745552769353</v>
      </c>
    </row>
    <row r="28" spans="2:44" s="3" customFormat="1" x14ac:dyDescent="0.3">
      <c r="B28" s="3" t="s">
        <v>12</v>
      </c>
      <c r="K28" s="9">
        <f t="shared" ref="K28" si="26">K24-K27</f>
        <v>1691</v>
      </c>
      <c r="L28" s="9">
        <f t="shared" ref="L28:M28" si="27">L24-L27</f>
        <v>1813</v>
      </c>
      <c r="M28" s="9">
        <f t="shared" si="27"/>
        <v>1797</v>
      </c>
      <c r="N28" s="9">
        <f t="shared" ref="N28" si="28">N24-N27</f>
        <v>2037</v>
      </c>
      <c r="O28" s="9">
        <f t="shared" ref="O28" si="29">O24-O27</f>
        <v>1708</v>
      </c>
      <c r="P28" s="9">
        <f t="shared" ref="P28:Q28" si="30">P24-P27</f>
        <v>2020</v>
      </c>
      <c r="Q28" s="9">
        <f t="shared" si="30"/>
        <v>1868</v>
      </c>
      <c r="R28" s="9">
        <f t="shared" ref="R28" si="31">R24-R27</f>
        <v>378</v>
      </c>
      <c r="S28" s="9">
        <f t="shared" ref="S28:T28" si="32">S24-S27</f>
        <v>2039</v>
      </c>
      <c r="T28" s="9">
        <f t="shared" si="32"/>
        <v>556</v>
      </c>
      <c r="U28" s="9">
        <f t="shared" ref="U28:V28" si="33">U24-U27</f>
        <v>2030</v>
      </c>
      <c r="V28" s="9">
        <f t="shared" si="33"/>
        <v>2322</v>
      </c>
      <c r="W28" s="9"/>
      <c r="X28" s="9"/>
      <c r="Y28" s="9"/>
      <c r="Z28" s="9"/>
      <c r="AB28" s="9">
        <f t="shared" ref="AB28:AG28" si="34">AB24-AB27</f>
        <v>6492</v>
      </c>
      <c r="AC28" s="9">
        <f t="shared" si="34"/>
        <v>7031</v>
      </c>
      <c r="AD28" s="9">
        <f t="shared" si="34"/>
        <v>7308</v>
      </c>
      <c r="AE28" s="9">
        <f t="shared" si="34"/>
        <v>7375</v>
      </c>
      <c r="AF28" s="9">
        <f t="shared" si="34"/>
        <v>7338</v>
      </c>
      <c r="AG28" s="9">
        <f t="shared" si="34"/>
        <v>5974</v>
      </c>
      <c r="AH28" s="9">
        <f t="shared" ref="AH28:AR28" si="35">AH24-AH27</f>
        <v>6899.8545999999915</v>
      </c>
      <c r="AI28" s="9">
        <f t="shared" si="35"/>
        <v>8634.7962200000038</v>
      </c>
      <c r="AJ28" s="9">
        <f t="shared" si="35"/>
        <v>8823.6156335999985</v>
      </c>
      <c r="AK28" s="9">
        <f t="shared" si="35"/>
        <v>8945.0661776880006</v>
      </c>
      <c r="AL28" s="9">
        <f t="shared" si="35"/>
        <v>9068.7276588494278</v>
      </c>
      <c r="AM28" s="9">
        <f t="shared" si="35"/>
        <v>9194.6520794040262</v>
      </c>
      <c r="AN28" s="9">
        <f t="shared" si="35"/>
        <v>9322.8928584831447</v>
      </c>
      <c r="AO28" s="9">
        <f t="shared" si="35"/>
        <v>9453.5048731016141</v>
      </c>
      <c r="AP28" s="9">
        <f t="shared" si="35"/>
        <v>9586.5445004472713</v>
      </c>
      <c r="AQ28" s="9">
        <f t="shared" si="35"/>
        <v>9722.06966142483</v>
      </c>
      <c r="AR28" s="9">
        <f t="shared" si="35"/>
        <v>9860.1398654913501</v>
      </c>
    </row>
    <row r="29" spans="2:44" x14ac:dyDescent="0.3">
      <c r="B29" s="1" t="s">
        <v>39</v>
      </c>
      <c r="K29" s="6"/>
      <c r="L29" s="6"/>
      <c r="M29" s="6"/>
      <c r="N29" s="6"/>
      <c r="O29" s="6"/>
      <c r="P29" s="6">
        <v>87</v>
      </c>
      <c r="Q29" s="6"/>
      <c r="R29" s="6">
        <f t="shared" ref="R29:R31" si="36">AG29-Q29-P29-O29</f>
        <v>0</v>
      </c>
      <c r="S29" s="6"/>
      <c r="T29" s="6">
        <v>66</v>
      </c>
      <c r="U29" s="6">
        <v>0</v>
      </c>
      <c r="V29" s="18">
        <v>0</v>
      </c>
      <c r="W29" s="6"/>
      <c r="X29" s="6"/>
      <c r="Y29" s="6"/>
      <c r="Z29" s="6"/>
      <c r="AB29" s="6">
        <v>0</v>
      </c>
      <c r="AC29" s="6">
        <v>27</v>
      </c>
      <c r="AD29" s="6">
        <v>36</v>
      </c>
      <c r="AE29" s="6">
        <v>100</v>
      </c>
      <c r="AF29" s="6">
        <v>92</v>
      </c>
      <c r="AG29" s="6">
        <v>87</v>
      </c>
      <c r="AH29" s="6">
        <f>SUM(S29:V29)</f>
        <v>66</v>
      </c>
      <c r="AI29" s="6">
        <f t="shared" ref="AI29:AR29" si="37">AH29*1.03</f>
        <v>67.98</v>
      </c>
      <c r="AJ29" s="6">
        <f t="shared" si="37"/>
        <v>70.019400000000005</v>
      </c>
      <c r="AK29" s="6">
        <f t="shared" si="37"/>
        <v>72.119982000000007</v>
      </c>
      <c r="AL29" s="6">
        <f t="shared" si="37"/>
        <v>74.283581460000008</v>
      </c>
      <c r="AM29" s="6">
        <f t="shared" si="37"/>
        <v>76.512088903800006</v>
      </c>
      <c r="AN29" s="6">
        <f t="shared" si="37"/>
        <v>78.807451570914012</v>
      </c>
      <c r="AO29" s="6">
        <f t="shared" si="37"/>
        <v>81.171675118041435</v>
      </c>
      <c r="AP29" s="6">
        <f t="shared" si="37"/>
        <v>83.606825371582687</v>
      </c>
      <c r="AQ29" s="6">
        <f t="shared" si="37"/>
        <v>86.115030132730169</v>
      </c>
      <c r="AR29" s="6">
        <f t="shared" si="37"/>
        <v>88.698481036712082</v>
      </c>
    </row>
    <row r="30" spans="2:44" x14ac:dyDescent="0.3">
      <c r="B30" s="1" t="s">
        <v>38</v>
      </c>
      <c r="K30" s="6">
        <v>-355</v>
      </c>
      <c r="L30" s="6">
        <v>-277</v>
      </c>
      <c r="M30" s="6">
        <v>-251</v>
      </c>
      <c r="N30" s="6">
        <f t="shared" ref="N30:N31" si="38">AF30-M30-L30-K30</f>
        <v>-350</v>
      </c>
      <c r="O30" s="6">
        <v>-285</v>
      </c>
      <c r="P30" s="6">
        <v>-197</v>
      </c>
      <c r="Q30" s="6">
        <v>-249</v>
      </c>
      <c r="R30" s="6">
        <f t="shared" si="36"/>
        <v>-312</v>
      </c>
      <c r="S30" s="6">
        <v>-284</v>
      </c>
      <c r="T30" s="6">
        <v>-244</v>
      </c>
      <c r="U30" s="6">
        <v>-210</v>
      </c>
      <c r="V30" s="18">
        <v>-210</v>
      </c>
      <c r="W30" s="6"/>
      <c r="X30" s="6"/>
      <c r="Y30" s="6"/>
      <c r="Z30" s="6"/>
      <c r="AB30" s="6">
        <v>-1875</v>
      </c>
      <c r="AC30" s="6">
        <v>-1650</v>
      </c>
      <c r="AD30" s="6">
        <v>-1789</v>
      </c>
      <c r="AE30" s="6">
        <v>-1012</v>
      </c>
      <c r="AF30" s="6">
        <v>-1233</v>
      </c>
      <c r="AG30" s="6">
        <v>-1043</v>
      </c>
      <c r="AH30" s="6">
        <f>SUM(S30:V30)</f>
        <v>-948</v>
      </c>
      <c r="AI30" s="6">
        <f t="shared" ref="AI30:AR30" si="39">AH30*1.01</f>
        <v>-957.48</v>
      </c>
      <c r="AJ30" s="6">
        <f t="shared" si="39"/>
        <v>-967.0548</v>
      </c>
      <c r="AK30" s="6">
        <f t="shared" si="39"/>
        <v>-976.72534800000005</v>
      </c>
      <c r="AL30" s="6">
        <f t="shared" si="39"/>
        <v>-986.49260148000008</v>
      </c>
      <c r="AM30" s="6">
        <f t="shared" si="39"/>
        <v>-996.35752749480014</v>
      </c>
      <c r="AN30" s="6">
        <f t="shared" si="39"/>
        <v>-1006.3211027697481</v>
      </c>
      <c r="AO30" s="6">
        <f t="shared" si="39"/>
        <v>-1016.3843137974455</v>
      </c>
      <c r="AP30" s="6">
        <f t="shared" si="39"/>
        <v>-1026.5481569354199</v>
      </c>
      <c r="AQ30" s="6">
        <f t="shared" si="39"/>
        <v>-1036.8136385047742</v>
      </c>
      <c r="AR30" s="6">
        <f t="shared" si="39"/>
        <v>-1047.181774889822</v>
      </c>
    </row>
    <row r="31" spans="2:44" x14ac:dyDescent="0.3">
      <c r="B31" s="1" t="s">
        <v>43</v>
      </c>
      <c r="K31" s="6">
        <v>9</v>
      </c>
      <c r="L31" s="6">
        <v>-45</v>
      </c>
      <c r="M31" s="6">
        <v>6</v>
      </c>
      <c r="N31" s="6">
        <f t="shared" si="38"/>
        <v>2</v>
      </c>
      <c r="O31" s="6">
        <v>-36</v>
      </c>
      <c r="P31" s="6">
        <v>-18</v>
      </c>
      <c r="Q31" s="6">
        <v>-23</v>
      </c>
      <c r="R31" s="6">
        <f t="shared" si="36"/>
        <v>-6</v>
      </c>
      <c r="S31" s="6">
        <v>-49</v>
      </c>
      <c r="T31" s="6">
        <v>-14</v>
      </c>
      <c r="U31" s="6">
        <v>-40</v>
      </c>
      <c r="V31" s="18">
        <v>-40</v>
      </c>
      <c r="W31" s="6"/>
      <c r="X31" s="6"/>
      <c r="Y31" s="6"/>
      <c r="Z31" s="6"/>
      <c r="AB31" s="6">
        <v>-178</v>
      </c>
      <c r="AC31" s="6">
        <v>10</v>
      </c>
      <c r="AD31" s="6">
        <v>-62</v>
      </c>
      <c r="AE31" s="6">
        <v>-61</v>
      </c>
      <c r="AF31" s="6">
        <v>-28</v>
      </c>
      <c r="AG31" s="6">
        <v>-83</v>
      </c>
      <c r="AH31" s="6">
        <f>SUM(S31:V31)</f>
        <v>-143</v>
      </c>
      <c r="AI31" s="6">
        <f t="shared" ref="AI31:AR31" si="40">AH31*1.01</f>
        <v>-144.43</v>
      </c>
      <c r="AJ31" s="6">
        <f t="shared" si="40"/>
        <v>-145.87430000000001</v>
      </c>
      <c r="AK31" s="6">
        <f t="shared" si="40"/>
        <v>-147.333043</v>
      </c>
      <c r="AL31" s="6">
        <f t="shared" si="40"/>
        <v>-148.80637343000001</v>
      </c>
      <c r="AM31" s="6">
        <f t="shared" si="40"/>
        <v>-150.29443716430001</v>
      </c>
      <c r="AN31" s="6">
        <f t="shared" si="40"/>
        <v>-151.797381535943</v>
      </c>
      <c r="AO31" s="6">
        <f t="shared" si="40"/>
        <v>-153.31535535130243</v>
      </c>
      <c r="AP31" s="6">
        <f t="shared" si="40"/>
        <v>-154.84850890481545</v>
      </c>
      <c r="AQ31" s="6">
        <f t="shared" si="40"/>
        <v>-156.39699399386359</v>
      </c>
      <c r="AR31" s="6">
        <f t="shared" si="40"/>
        <v>-157.96096393380222</v>
      </c>
    </row>
    <row r="32" spans="2:44" x14ac:dyDescent="0.3">
      <c r="B32" s="1" t="s">
        <v>48</v>
      </c>
      <c r="K32" s="6">
        <f t="shared" ref="K32" si="41">SUM(K29:K31)</f>
        <v>-346</v>
      </c>
      <c r="L32" s="6">
        <f t="shared" ref="L32:M32" si="42">SUM(L29:L31)</f>
        <v>-322</v>
      </c>
      <c r="M32" s="6">
        <f t="shared" si="42"/>
        <v>-245</v>
      </c>
      <c r="N32" s="6">
        <f t="shared" ref="N32" si="43">SUM(N29:N31)</f>
        <v>-348</v>
      </c>
      <c r="O32" s="6">
        <f t="shared" ref="O32" si="44">SUM(O29:O31)</f>
        <v>-321</v>
      </c>
      <c r="P32" s="6">
        <f t="shared" ref="P32" si="45">SUM(P29:P31)</f>
        <v>-128</v>
      </c>
      <c r="Q32" s="6">
        <f t="shared" ref="Q32:R32" si="46">SUM(Q29:Q31)</f>
        <v>-272</v>
      </c>
      <c r="R32" s="6">
        <f t="shared" si="46"/>
        <v>-318</v>
      </c>
      <c r="S32" s="6">
        <f t="shared" ref="S32:T32" si="47">SUM(S29:S31)</f>
        <v>-333</v>
      </c>
      <c r="T32" s="6">
        <f t="shared" si="47"/>
        <v>-192</v>
      </c>
      <c r="U32" s="6">
        <f t="shared" ref="U32:V32" si="48">SUM(U29:U31)</f>
        <v>-250</v>
      </c>
      <c r="V32" s="18">
        <f t="shared" si="48"/>
        <v>-250</v>
      </c>
      <c r="W32" s="6"/>
      <c r="X32" s="6"/>
      <c r="Y32" s="6"/>
      <c r="Z32" s="6"/>
      <c r="AB32" s="6">
        <f t="shared" ref="AB32:AG32" si="49">SUM(AB29:AB31)</f>
        <v>-2053</v>
      </c>
      <c r="AC32" s="6">
        <f t="shared" si="49"/>
        <v>-1613</v>
      </c>
      <c r="AD32" s="6">
        <f t="shared" si="49"/>
        <v>-1815</v>
      </c>
      <c r="AE32" s="6">
        <f t="shared" si="49"/>
        <v>-973</v>
      </c>
      <c r="AF32" s="6">
        <f t="shared" si="49"/>
        <v>-1169</v>
      </c>
      <c r="AG32" s="6">
        <f t="shared" si="49"/>
        <v>-1039</v>
      </c>
      <c r="AH32" s="6">
        <f t="shared" ref="AH32:AR32" si="50">SUM(AH29:AH31)</f>
        <v>-1025</v>
      </c>
      <c r="AI32" s="6">
        <f t="shared" si="50"/>
        <v>-1033.93</v>
      </c>
      <c r="AJ32" s="6">
        <f t="shared" si="50"/>
        <v>-1042.9096999999999</v>
      </c>
      <c r="AK32" s="6">
        <f t="shared" si="50"/>
        <v>-1051.9384090000001</v>
      </c>
      <c r="AL32" s="6">
        <f t="shared" si="50"/>
        <v>-1061.0153934499999</v>
      </c>
      <c r="AM32" s="6">
        <f t="shared" si="50"/>
        <v>-1070.1398757553002</v>
      </c>
      <c r="AN32" s="6">
        <f t="shared" si="50"/>
        <v>-1079.311032734777</v>
      </c>
      <c r="AO32" s="6">
        <f t="shared" si="50"/>
        <v>-1088.5279940307066</v>
      </c>
      <c r="AP32" s="6">
        <f t="shared" si="50"/>
        <v>-1097.7898404686528</v>
      </c>
      <c r="AQ32" s="6">
        <f t="shared" si="50"/>
        <v>-1107.0956023659076</v>
      </c>
      <c r="AR32" s="6">
        <f t="shared" si="50"/>
        <v>-1116.4442577869122</v>
      </c>
    </row>
    <row r="33" spans="2:142" s="3" customFormat="1" x14ac:dyDescent="0.3">
      <c r="B33" s="3" t="s">
        <v>40</v>
      </c>
      <c r="K33" s="9">
        <f t="shared" ref="K33" si="51">K28-K32</f>
        <v>2037</v>
      </c>
      <c r="L33" s="9">
        <f t="shared" ref="L33:M33" si="52">L28-L32</f>
        <v>2135</v>
      </c>
      <c r="M33" s="9">
        <f t="shared" si="52"/>
        <v>2042</v>
      </c>
      <c r="N33" s="9">
        <f t="shared" ref="N33" si="53">N28-N32</f>
        <v>2385</v>
      </c>
      <c r="O33" s="9">
        <f t="shared" ref="O33" si="54">O28-O32</f>
        <v>2029</v>
      </c>
      <c r="P33" s="9">
        <f t="shared" ref="P33:Q33" si="55">P28-P32</f>
        <v>2148</v>
      </c>
      <c r="Q33" s="9">
        <f t="shared" si="55"/>
        <v>2140</v>
      </c>
      <c r="R33" s="9">
        <f t="shared" ref="R33" si="56">R28-R32</f>
        <v>696</v>
      </c>
      <c r="S33" s="9">
        <f t="shared" ref="S33:T33" si="57">S28-S32</f>
        <v>2372</v>
      </c>
      <c r="T33" s="9">
        <f t="shared" si="57"/>
        <v>748</v>
      </c>
      <c r="U33" s="9">
        <f t="shared" ref="U33:V33" si="58">U28-U32</f>
        <v>2280</v>
      </c>
      <c r="V33" s="19">
        <f t="shared" si="58"/>
        <v>2572</v>
      </c>
      <c r="W33" s="9"/>
      <c r="X33" s="9"/>
      <c r="Y33" s="9"/>
      <c r="Z33" s="9"/>
      <c r="AB33" s="9">
        <f t="shared" ref="AB33:AG33" si="59">AB28-AB32</f>
        <v>8545</v>
      </c>
      <c r="AC33" s="9">
        <f t="shared" si="59"/>
        <v>8644</v>
      </c>
      <c r="AD33" s="9">
        <f t="shared" si="59"/>
        <v>9123</v>
      </c>
      <c r="AE33" s="9">
        <f t="shared" si="59"/>
        <v>8348</v>
      </c>
      <c r="AF33" s="9">
        <f t="shared" si="59"/>
        <v>8507</v>
      </c>
      <c r="AG33" s="9">
        <f t="shared" si="59"/>
        <v>7013</v>
      </c>
      <c r="AH33" s="9">
        <f t="shared" ref="AH33:AR33" si="60">AH28-AH32</f>
        <v>7924.8545999999915</v>
      </c>
      <c r="AI33" s="9">
        <f t="shared" si="60"/>
        <v>9668.7262200000041</v>
      </c>
      <c r="AJ33" s="9">
        <f t="shared" si="60"/>
        <v>9866.5253335999987</v>
      </c>
      <c r="AK33" s="9">
        <f t="shared" si="60"/>
        <v>9997.0045866880009</v>
      </c>
      <c r="AL33" s="9">
        <f t="shared" si="60"/>
        <v>10129.743052299427</v>
      </c>
      <c r="AM33" s="9">
        <f t="shared" si="60"/>
        <v>10264.791955159326</v>
      </c>
      <c r="AN33" s="9">
        <f t="shared" si="60"/>
        <v>10402.203891217921</v>
      </c>
      <c r="AO33" s="9">
        <f t="shared" si="60"/>
        <v>10542.03286713232</v>
      </c>
      <c r="AP33" s="9">
        <f t="shared" si="60"/>
        <v>10684.334340915924</v>
      </c>
      <c r="AQ33" s="9">
        <f t="shared" si="60"/>
        <v>10829.165263790737</v>
      </c>
      <c r="AR33" s="9">
        <f t="shared" si="60"/>
        <v>10976.584123278262</v>
      </c>
    </row>
    <row r="34" spans="2:142" x14ac:dyDescent="0.3">
      <c r="B34" s="1" t="s">
        <v>41</v>
      </c>
      <c r="K34" s="6">
        <v>202</v>
      </c>
      <c r="L34" s="6">
        <v>223</v>
      </c>
      <c r="M34" s="6">
        <v>237</v>
      </c>
      <c r="N34" s="6">
        <f t="shared" ref="N34:N36" si="61">AF34-M34-L34-K34</f>
        <v>254</v>
      </c>
      <c r="O34" s="6">
        <v>255</v>
      </c>
      <c r="P34" s="6">
        <v>261</v>
      </c>
      <c r="Q34" s="6">
        <v>256</v>
      </c>
      <c r="R34" s="6">
        <f t="shared" ref="R34:R36" si="62">AG34-Q34-P34-O34</f>
        <v>264</v>
      </c>
      <c r="S34" s="6">
        <v>268</v>
      </c>
      <c r="T34" s="6">
        <v>274</v>
      </c>
      <c r="U34" s="6">
        <v>286</v>
      </c>
      <c r="V34" s="18">
        <v>286</v>
      </c>
      <c r="W34" s="6"/>
      <c r="X34" s="6"/>
      <c r="Y34" s="6"/>
      <c r="Z34" s="6"/>
      <c r="AB34" s="6">
        <v>653</v>
      </c>
      <c r="AC34" s="6">
        <v>591</v>
      </c>
      <c r="AD34" s="6">
        <v>569</v>
      </c>
      <c r="AE34" s="6">
        <v>623</v>
      </c>
      <c r="AF34" s="6">
        <v>916</v>
      </c>
      <c r="AG34" s="6">
        <v>1036</v>
      </c>
      <c r="AH34" s="6">
        <f t="shared" ref="AH34:AH36" si="63">SUM(S34:V34)</f>
        <v>1114</v>
      </c>
      <c r="AI34" s="6">
        <f t="shared" ref="AI34:AR34" si="64">AH34*1.01</f>
        <v>1125.1400000000001</v>
      </c>
      <c r="AJ34" s="6">
        <f t="shared" si="64"/>
        <v>1136.3914000000002</v>
      </c>
      <c r="AK34" s="6">
        <f t="shared" si="64"/>
        <v>1147.7553140000002</v>
      </c>
      <c r="AL34" s="6">
        <f t="shared" si="64"/>
        <v>1159.2328671400003</v>
      </c>
      <c r="AM34" s="6">
        <f t="shared" si="64"/>
        <v>1170.8251958114004</v>
      </c>
      <c r="AN34" s="6">
        <f t="shared" si="64"/>
        <v>1182.5334477695144</v>
      </c>
      <c r="AO34" s="6">
        <f t="shared" si="64"/>
        <v>1194.3587822472095</v>
      </c>
      <c r="AP34" s="6">
        <f t="shared" si="64"/>
        <v>1206.3023700696817</v>
      </c>
      <c r="AQ34" s="6">
        <f t="shared" si="64"/>
        <v>1218.3653937703787</v>
      </c>
      <c r="AR34" s="6">
        <f t="shared" si="64"/>
        <v>1230.5490477080825</v>
      </c>
    </row>
    <row r="35" spans="2:142" x14ac:dyDescent="0.3">
      <c r="B35" s="1" t="s">
        <v>42</v>
      </c>
      <c r="K35" s="6">
        <v>-110</v>
      </c>
      <c r="L35" s="6">
        <v>-111</v>
      </c>
      <c r="M35" s="6">
        <v>-111</v>
      </c>
      <c r="N35" s="6">
        <f t="shared" si="61"/>
        <v>-111</v>
      </c>
      <c r="O35" s="6">
        <v>-16</v>
      </c>
      <c r="P35" s="6">
        <v>-15</v>
      </c>
      <c r="Q35" s="6">
        <v>-16</v>
      </c>
      <c r="R35" s="6">
        <f t="shared" si="62"/>
        <v>-15</v>
      </c>
      <c r="S35" s="6">
        <v>98</v>
      </c>
      <c r="T35" s="6">
        <v>99</v>
      </c>
      <c r="U35" s="6">
        <v>99</v>
      </c>
      <c r="V35" s="18">
        <v>99</v>
      </c>
      <c r="W35" s="6"/>
      <c r="X35" s="6"/>
      <c r="Y35" s="6"/>
      <c r="Z35" s="6"/>
      <c r="AB35" s="6">
        <v>577</v>
      </c>
      <c r="AC35" s="6">
        <v>-219</v>
      </c>
      <c r="AD35" s="6">
        <v>1292</v>
      </c>
      <c r="AE35" s="6">
        <v>971</v>
      </c>
      <c r="AF35" s="6">
        <v>-443</v>
      </c>
      <c r="AG35" s="6">
        <v>-62</v>
      </c>
      <c r="AH35" s="6">
        <f t="shared" si="63"/>
        <v>395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</row>
    <row r="36" spans="2:142" x14ac:dyDescent="0.3">
      <c r="B36" s="1" t="s">
        <v>43</v>
      </c>
      <c r="K36" s="6">
        <v>-49</v>
      </c>
      <c r="L36" s="6">
        <v>17</v>
      </c>
      <c r="M36" s="6">
        <v>-37</v>
      </c>
      <c r="N36" s="6">
        <f t="shared" si="61"/>
        <v>5</v>
      </c>
      <c r="O36" s="6">
        <v>-45</v>
      </c>
      <c r="P36" s="6">
        <v>-46</v>
      </c>
      <c r="Q36" s="6">
        <v>-18</v>
      </c>
      <c r="R36" s="6">
        <f t="shared" si="62"/>
        <v>-72</v>
      </c>
      <c r="S36" s="6">
        <v>-30</v>
      </c>
      <c r="T36" s="6">
        <v>-42</v>
      </c>
      <c r="U36" s="6">
        <v>-43</v>
      </c>
      <c r="V36" s="18">
        <v>-43</v>
      </c>
      <c r="W36" s="6"/>
      <c r="X36" s="6"/>
      <c r="Y36" s="6"/>
      <c r="Z36" s="6"/>
      <c r="AB36" s="6">
        <v>74</v>
      </c>
      <c r="AC36" s="6">
        <v>37</v>
      </c>
      <c r="AD36" s="6">
        <v>-288</v>
      </c>
      <c r="AE36" s="6">
        <v>74</v>
      </c>
      <c r="AF36" s="6">
        <v>-64</v>
      </c>
      <c r="AG36" s="6">
        <v>-181</v>
      </c>
      <c r="AH36" s="6">
        <f t="shared" si="63"/>
        <v>-158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</row>
    <row r="37" spans="2:142" x14ac:dyDescent="0.3">
      <c r="B37" s="1" t="s">
        <v>49</v>
      </c>
      <c r="K37" s="6">
        <f t="shared" ref="K37" si="65">SUM(K34:K36)</f>
        <v>43</v>
      </c>
      <c r="L37" s="6">
        <f t="shared" ref="L37:M37" si="66">SUM(L34:L36)</f>
        <v>129</v>
      </c>
      <c r="M37" s="6">
        <f t="shared" si="66"/>
        <v>89</v>
      </c>
      <c r="N37" s="6">
        <f t="shared" ref="N37" si="67">SUM(N34:N36)</f>
        <v>148</v>
      </c>
      <c r="O37" s="6">
        <f t="shared" ref="O37" si="68">SUM(O34:O36)</f>
        <v>194</v>
      </c>
      <c r="P37" s="6">
        <f t="shared" ref="P37" si="69">SUM(P34:P36)</f>
        <v>200</v>
      </c>
      <c r="Q37" s="6">
        <f t="shared" ref="Q37:R37" si="70">SUM(Q34:Q36)</f>
        <v>222</v>
      </c>
      <c r="R37" s="6">
        <f t="shared" si="70"/>
        <v>177</v>
      </c>
      <c r="S37" s="6">
        <f t="shared" ref="S37:T37" si="71">SUM(S34:S36)</f>
        <v>336</v>
      </c>
      <c r="T37" s="6">
        <f t="shared" si="71"/>
        <v>331</v>
      </c>
      <c r="U37" s="6">
        <f t="shared" ref="U37:V37" si="72">SUM(U34:U36)</f>
        <v>342</v>
      </c>
      <c r="V37" s="18">
        <f t="shared" si="72"/>
        <v>342</v>
      </c>
      <c r="W37" s="6"/>
      <c r="X37" s="6"/>
      <c r="Y37" s="6"/>
      <c r="Z37" s="6"/>
      <c r="AB37" s="6">
        <f t="shared" ref="AB37:AG37" si="73">SUM(AB34:AB36)</f>
        <v>1304</v>
      </c>
      <c r="AC37" s="6">
        <f t="shared" si="73"/>
        <v>409</v>
      </c>
      <c r="AD37" s="6">
        <f t="shared" si="73"/>
        <v>1573</v>
      </c>
      <c r="AE37" s="6">
        <f t="shared" si="73"/>
        <v>1668</v>
      </c>
      <c r="AF37" s="6">
        <f t="shared" si="73"/>
        <v>409</v>
      </c>
      <c r="AG37" s="6">
        <f t="shared" si="73"/>
        <v>793</v>
      </c>
      <c r="AH37" s="6">
        <f t="shared" ref="AH37:AR37" si="74">SUM(AH34:AH36)</f>
        <v>1351</v>
      </c>
      <c r="AI37" s="6">
        <f t="shared" si="74"/>
        <v>1125.1400000000001</v>
      </c>
      <c r="AJ37" s="6">
        <f t="shared" si="74"/>
        <v>1136.3914000000002</v>
      </c>
      <c r="AK37" s="6">
        <f t="shared" si="74"/>
        <v>1147.7553140000002</v>
      </c>
      <c r="AL37" s="6">
        <f t="shared" si="74"/>
        <v>1159.2328671400003</v>
      </c>
      <c r="AM37" s="6">
        <f t="shared" si="74"/>
        <v>1170.8251958114004</v>
      </c>
      <c r="AN37" s="6">
        <f t="shared" si="74"/>
        <v>1182.5334477695144</v>
      </c>
      <c r="AO37" s="6">
        <f t="shared" si="74"/>
        <v>1194.3587822472095</v>
      </c>
      <c r="AP37" s="6">
        <f t="shared" si="74"/>
        <v>1206.3023700696817</v>
      </c>
      <c r="AQ37" s="6">
        <f t="shared" si="74"/>
        <v>1218.3653937703787</v>
      </c>
      <c r="AR37" s="6">
        <f t="shared" si="74"/>
        <v>1230.5490477080825</v>
      </c>
    </row>
    <row r="38" spans="2:142" s="3" customFormat="1" x14ac:dyDescent="0.3">
      <c r="B38" s="3" t="s">
        <v>44</v>
      </c>
      <c r="K38" s="9">
        <f t="shared" ref="K38" si="75">K33-K37</f>
        <v>1994</v>
      </c>
      <c r="L38" s="9">
        <f t="shared" ref="L38:M38" si="76">L33-L37</f>
        <v>2006</v>
      </c>
      <c r="M38" s="9">
        <f t="shared" si="76"/>
        <v>1953</v>
      </c>
      <c r="N38" s="9">
        <f t="shared" ref="N38" si="77">N33-N37</f>
        <v>2237</v>
      </c>
      <c r="O38" s="9">
        <f t="shared" ref="O38" si="78">O33-O37</f>
        <v>1835</v>
      </c>
      <c r="P38" s="9">
        <f t="shared" ref="P38:Q38" si="79">P33-P37</f>
        <v>1948</v>
      </c>
      <c r="Q38" s="9">
        <f t="shared" si="79"/>
        <v>1918</v>
      </c>
      <c r="R38" s="9">
        <f t="shared" ref="R38" si="80">R33-R37</f>
        <v>519</v>
      </c>
      <c r="S38" s="9">
        <f t="shared" ref="S38:T38" si="81">S33-S37</f>
        <v>2036</v>
      </c>
      <c r="T38" s="9">
        <f t="shared" si="81"/>
        <v>417</v>
      </c>
      <c r="U38" s="9">
        <f t="shared" ref="U38:V38" si="82">U33-U37</f>
        <v>1938</v>
      </c>
      <c r="V38" s="19">
        <f t="shared" si="82"/>
        <v>2230</v>
      </c>
      <c r="W38" s="9"/>
      <c r="X38" s="9"/>
      <c r="Y38" s="9"/>
      <c r="Z38" s="9"/>
      <c r="AB38" s="9">
        <f t="shared" ref="AB38:AG38" si="83">AB33-AB37</f>
        <v>7241</v>
      </c>
      <c r="AC38" s="9">
        <f t="shared" si="83"/>
        <v>8235</v>
      </c>
      <c r="AD38" s="9">
        <f t="shared" si="83"/>
        <v>7550</v>
      </c>
      <c r="AE38" s="9">
        <f t="shared" si="83"/>
        <v>6680</v>
      </c>
      <c r="AF38" s="9">
        <f t="shared" si="83"/>
        <v>8098</v>
      </c>
      <c r="AG38" s="9">
        <f t="shared" si="83"/>
        <v>6220</v>
      </c>
      <c r="AH38" s="9">
        <f t="shared" ref="AH38:AR38" si="84">AH33-AH37</f>
        <v>6573.8545999999915</v>
      </c>
      <c r="AI38" s="9">
        <f t="shared" si="84"/>
        <v>8543.5862200000047</v>
      </c>
      <c r="AJ38" s="9">
        <f t="shared" si="84"/>
        <v>8730.1339335999983</v>
      </c>
      <c r="AK38" s="9">
        <f t="shared" si="84"/>
        <v>8849.2492726880009</v>
      </c>
      <c r="AL38" s="9">
        <f t="shared" si="84"/>
        <v>8970.5101851594263</v>
      </c>
      <c r="AM38" s="9">
        <f t="shared" si="84"/>
        <v>9093.9667593479262</v>
      </c>
      <c r="AN38" s="9">
        <f t="shared" si="84"/>
        <v>9219.6704434484072</v>
      </c>
      <c r="AO38" s="9">
        <f t="shared" si="84"/>
        <v>9347.6740848851114</v>
      </c>
      <c r="AP38" s="9">
        <f t="shared" si="84"/>
        <v>9478.031970846243</v>
      </c>
      <c r="AQ38" s="9">
        <f t="shared" si="84"/>
        <v>9610.7998700203589</v>
      </c>
      <c r="AR38" s="9">
        <f t="shared" si="84"/>
        <v>9746.0350755701802</v>
      </c>
    </row>
    <row r="39" spans="2:142" x14ac:dyDescent="0.3">
      <c r="B39" s="1" t="s">
        <v>45</v>
      </c>
      <c r="K39" s="6">
        <v>305</v>
      </c>
      <c r="L39" s="6">
        <v>325</v>
      </c>
      <c r="M39" s="6">
        <v>269</v>
      </c>
      <c r="N39" s="6">
        <f>AF39-M39-L39-K39</f>
        <v>279</v>
      </c>
      <c r="O39" s="6">
        <v>290</v>
      </c>
      <c r="P39" s="6">
        <v>307</v>
      </c>
      <c r="Q39" s="6">
        <v>295</v>
      </c>
      <c r="R39" s="6">
        <f>AG39-Q39-P39-O39</f>
        <v>-8</v>
      </c>
      <c r="S39" s="6">
        <v>324</v>
      </c>
      <c r="T39" s="6">
        <v>75</v>
      </c>
      <c r="U39" s="6">
        <v>319</v>
      </c>
      <c r="V39" s="18">
        <v>319</v>
      </c>
      <c r="W39" s="6"/>
      <c r="X39" s="6"/>
      <c r="Y39" s="6"/>
      <c r="Z39" s="6"/>
      <c r="AB39" s="6">
        <v>1011</v>
      </c>
      <c r="AC39" s="6">
        <v>1347</v>
      </c>
      <c r="AD39" s="6">
        <v>1235</v>
      </c>
      <c r="AE39" s="6">
        <v>948</v>
      </c>
      <c r="AF39" s="6">
        <v>1178</v>
      </c>
      <c r="AG39" s="6">
        <v>884</v>
      </c>
      <c r="AH39" s="6">
        <f>SUM(S39:V39)</f>
        <v>1037</v>
      </c>
      <c r="AI39" s="6">
        <f t="shared" ref="AI39:AR39" si="85">AI38*0.15</f>
        <v>1281.5379330000007</v>
      </c>
      <c r="AJ39" s="6">
        <f t="shared" si="85"/>
        <v>1309.5200900399998</v>
      </c>
      <c r="AK39" s="6">
        <f t="shared" si="85"/>
        <v>1327.3873909032002</v>
      </c>
      <c r="AL39" s="6">
        <f t="shared" si="85"/>
        <v>1345.576527773914</v>
      </c>
      <c r="AM39" s="6">
        <f t="shared" si="85"/>
        <v>1364.0950139021888</v>
      </c>
      <c r="AN39" s="6">
        <f t="shared" si="85"/>
        <v>1382.950566517261</v>
      </c>
      <c r="AO39" s="6">
        <f t="shared" si="85"/>
        <v>1402.1511127327667</v>
      </c>
      <c r="AP39" s="6">
        <f t="shared" si="85"/>
        <v>1421.7047956269364</v>
      </c>
      <c r="AQ39" s="6">
        <f t="shared" si="85"/>
        <v>1441.6199805030537</v>
      </c>
      <c r="AR39" s="6">
        <f t="shared" si="85"/>
        <v>1461.905261335527</v>
      </c>
    </row>
    <row r="40" spans="2:142" s="3" customFormat="1" x14ac:dyDescent="0.3">
      <c r="B40" s="3" t="s">
        <v>46</v>
      </c>
      <c r="K40" s="9">
        <f t="shared" ref="K40" si="86">K38-K39</f>
        <v>1689</v>
      </c>
      <c r="L40" s="9">
        <f t="shared" ref="L40:M40" si="87">L38-L39</f>
        <v>1681</v>
      </c>
      <c r="M40" s="9">
        <f t="shared" si="87"/>
        <v>1684</v>
      </c>
      <c r="N40" s="9">
        <f t="shared" ref="N40" si="88">N38-N39</f>
        <v>1958</v>
      </c>
      <c r="O40" s="9">
        <f t="shared" ref="O40" si="89">O38-O39</f>
        <v>1545</v>
      </c>
      <c r="P40" s="9">
        <f t="shared" ref="P40:Q40" si="90">P38-P39</f>
        <v>1641</v>
      </c>
      <c r="Q40" s="9">
        <f t="shared" si="90"/>
        <v>1623</v>
      </c>
      <c r="R40" s="9">
        <f t="shared" ref="R40" si="91">R38-R39</f>
        <v>527</v>
      </c>
      <c r="S40" s="9">
        <f t="shared" ref="S40:T40" si="92">S38-S39</f>
        <v>1712</v>
      </c>
      <c r="T40" s="9">
        <f t="shared" si="92"/>
        <v>342</v>
      </c>
      <c r="U40" s="9">
        <f t="shared" ref="U40:V40" si="93">U38-U39</f>
        <v>1619</v>
      </c>
      <c r="V40" s="19">
        <f t="shared" si="93"/>
        <v>1911</v>
      </c>
      <c r="W40" s="9" t="s">
        <v>88</v>
      </c>
      <c r="X40" s="9"/>
      <c r="Y40" s="9"/>
      <c r="Z40" s="9"/>
      <c r="AB40" s="9">
        <f t="shared" ref="AB40:AG40" si="94">AB38-AB39</f>
        <v>6230</v>
      </c>
      <c r="AC40" s="9">
        <f t="shared" si="94"/>
        <v>6888</v>
      </c>
      <c r="AD40" s="9">
        <f t="shared" si="94"/>
        <v>6315</v>
      </c>
      <c r="AE40" s="9">
        <f t="shared" si="94"/>
        <v>5732</v>
      </c>
      <c r="AF40" s="9">
        <f t="shared" si="94"/>
        <v>6920</v>
      </c>
      <c r="AG40" s="9">
        <f t="shared" si="94"/>
        <v>5336</v>
      </c>
      <c r="AH40" s="9">
        <f t="shared" ref="AH40:AR40" si="95">AH38-AH39</f>
        <v>5536.8545999999915</v>
      </c>
      <c r="AI40" s="9">
        <f t="shared" si="95"/>
        <v>7262.0482870000042</v>
      </c>
      <c r="AJ40" s="9">
        <f t="shared" si="95"/>
        <v>7420.6138435599987</v>
      </c>
      <c r="AK40" s="9">
        <f t="shared" si="95"/>
        <v>7521.861881784801</v>
      </c>
      <c r="AL40" s="9">
        <f t="shared" si="95"/>
        <v>7624.9336573855126</v>
      </c>
      <c r="AM40" s="9">
        <f t="shared" si="95"/>
        <v>7729.8717454457374</v>
      </c>
      <c r="AN40" s="9">
        <f t="shared" si="95"/>
        <v>7836.7198769311462</v>
      </c>
      <c r="AO40" s="9">
        <f t="shared" si="95"/>
        <v>7945.5229721523447</v>
      </c>
      <c r="AP40" s="9">
        <f t="shared" si="95"/>
        <v>8056.3271752193068</v>
      </c>
      <c r="AQ40" s="9">
        <f t="shared" si="95"/>
        <v>8169.1798895173051</v>
      </c>
      <c r="AR40" s="9">
        <f t="shared" si="95"/>
        <v>8284.1298142346532</v>
      </c>
      <c r="AS40" s="3">
        <f>AR40*(1+$AU$50)</f>
        <v>8201.288516092307</v>
      </c>
      <c r="AT40" s="3">
        <f t="shared" ref="AT40:DE40" si="96">AS40*(1+$AU$50)</f>
        <v>8119.2756309313836</v>
      </c>
      <c r="AU40" s="3">
        <f t="shared" si="96"/>
        <v>8038.0828746220695</v>
      </c>
      <c r="AV40" s="3">
        <f t="shared" si="96"/>
        <v>7957.7020458758489</v>
      </c>
      <c r="AW40" s="3">
        <f t="shared" si="96"/>
        <v>7878.12502541709</v>
      </c>
      <c r="AX40" s="3">
        <f t="shared" si="96"/>
        <v>7799.343775162919</v>
      </c>
      <c r="AY40" s="3">
        <f t="shared" si="96"/>
        <v>7721.3503374112897</v>
      </c>
      <c r="AZ40" s="3">
        <f t="shared" si="96"/>
        <v>7644.1368340371764</v>
      </c>
      <c r="BA40" s="3">
        <f t="shared" si="96"/>
        <v>7567.6954656968046</v>
      </c>
      <c r="BB40" s="3">
        <f t="shared" si="96"/>
        <v>7492.0185110398361</v>
      </c>
      <c r="BC40" s="3">
        <f t="shared" si="96"/>
        <v>7417.098325929438</v>
      </c>
      <c r="BD40" s="3">
        <f t="shared" si="96"/>
        <v>7342.9273426701438</v>
      </c>
      <c r="BE40" s="3">
        <f t="shared" si="96"/>
        <v>7269.4980692434419</v>
      </c>
      <c r="BF40" s="3">
        <f t="shared" si="96"/>
        <v>7196.803088551007</v>
      </c>
      <c r="BG40" s="3">
        <f t="shared" si="96"/>
        <v>7124.8350576654966</v>
      </c>
      <c r="BH40" s="3">
        <f t="shared" si="96"/>
        <v>7053.5867070888416</v>
      </c>
      <c r="BI40" s="3">
        <f t="shared" si="96"/>
        <v>6983.0508400179533</v>
      </c>
      <c r="BJ40" s="3">
        <f t="shared" si="96"/>
        <v>6913.2203316177738</v>
      </c>
      <c r="BK40" s="3">
        <f t="shared" si="96"/>
        <v>6844.088128301596</v>
      </c>
      <c r="BL40" s="3">
        <f t="shared" si="96"/>
        <v>6775.6472470185799</v>
      </c>
      <c r="BM40" s="3">
        <f t="shared" si="96"/>
        <v>6707.8907745483939</v>
      </c>
      <c r="BN40" s="3">
        <f t="shared" si="96"/>
        <v>6640.8118668029101</v>
      </c>
      <c r="BO40" s="3">
        <f t="shared" si="96"/>
        <v>6574.4037481348805</v>
      </c>
      <c r="BP40" s="3">
        <f t="shared" si="96"/>
        <v>6508.6597106535319</v>
      </c>
      <c r="BQ40" s="3">
        <f t="shared" si="96"/>
        <v>6443.5731135469969</v>
      </c>
      <c r="BR40" s="3">
        <f t="shared" si="96"/>
        <v>6379.1373824115271</v>
      </c>
      <c r="BS40" s="3">
        <f t="shared" si="96"/>
        <v>6315.3460085874121</v>
      </c>
      <c r="BT40" s="3">
        <f t="shared" si="96"/>
        <v>6252.1925485015381</v>
      </c>
      <c r="BU40" s="3">
        <f t="shared" si="96"/>
        <v>6189.6706230165228</v>
      </c>
      <c r="BV40" s="3">
        <f t="shared" si="96"/>
        <v>6127.7739167863574</v>
      </c>
      <c r="BW40" s="3">
        <f t="shared" si="96"/>
        <v>6066.4961776184937</v>
      </c>
      <c r="BX40" s="3">
        <f t="shared" si="96"/>
        <v>6005.8312158423087</v>
      </c>
      <c r="BY40" s="3">
        <f t="shared" si="96"/>
        <v>5945.7729036838855</v>
      </c>
      <c r="BZ40" s="3">
        <f t="shared" si="96"/>
        <v>5886.3151746470467</v>
      </c>
      <c r="CA40" s="3">
        <f t="shared" si="96"/>
        <v>5827.4520229005766</v>
      </c>
      <c r="CB40" s="3">
        <f t="shared" si="96"/>
        <v>5769.1775026715704</v>
      </c>
      <c r="CC40" s="3">
        <f t="shared" si="96"/>
        <v>5711.4857276448547</v>
      </c>
      <c r="CD40" s="3">
        <f t="shared" si="96"/>
        <v>5654.370870368406</v>
      </c>
      <c r="CE40" s="3">
        <f t="shared" si="96"/>
        <v>5597.8271616647216</v>
      </c>
      <c r="CF40" s="3">
        <f t="shared" si="96"/>
        <v>5541.8488900480743</v>
      </c>
      <c r="CG40" s="3">
        <f t="shared" si="96"/>
        <v>5486.4304011475933</v>
      </c>
      <c r="CH40" s="3">
        <f t="shared" si="96"/>
        <v>5431.5660971361176</v>
      </c>
      <c r="CI40" s="3">
        <f t="shared" si="96"/>
        <v>5377.2504361647561</v>
      </c>
      <c r="CJ40" s="3">
        <f t="shared" si="96"/>
        <v>5323.4779318031087</v>
      </c>
      <c r="CK40" s="3">
        <f t="shared" si="96"/>
        <v>5270.2431524850772</v>
      </c>
      <c r="CL40" s="3">
        <f t="shared" si="96"/>
        <v>5217.5407209602263</v>
      </c>
      <c r="CM40" s="3">
        <f t="shared" si="96"/>
        <v>5165.3653137506244</v>
      </c>
      <c r="CN40" s="3">
        <f t="shared" si="96"/>
        <v>5113.7116606131185</v>
      </c>
      <c r="CO40" s="3">
        <f t="shared" si="96"/>
        <v>5062.5745440069877</v>
      </c>
      <c r="CP40" s="3">
        <f t="shared" si="96"/>
        <v>5011.9487985669175</v>
      </c>
      <c r="CQ40" s="3">
        <f t="shared" si="96"/>
        <v>4961.8293105812481</v>
      </c>
      <c r="CR40" s="3">
        <f t="shared" si="96"/>
        <v>4912.2110174754353</v>
      </c>
      <c r="CS40" s="3">
        <f t="shared" si="96"/>
        <v>4863.0889073006811</v>
      </c>
      <c r="CT40" s="3">
        <f t="shared" si="96"/>
        <v>4814.4580182276741</v>
      </c>
      <c r="CU40" s="3">
        <f t="shared" si="96"/>
        <v>4766.3134380453976</v>
      </c>
      <c r="CV40" s="3">
        <f t="shared" si="96"/>
        <v>4718.6503036649437</v>
      </c>
      <c r="CW40" s="3">
        <f t="shared" si="96"/>
        <v>4671.4638006282939</v>
      </c>
      <c r="CX40" s="3">
        <f t="shared" si="96"/>
        <v>4624.7491626220108</v>
      </c>
      <c r="CY40" s="3">
        <f t="shared" si="96"/>
        <v>4578.5016709957908</v>
      </c>
      <c r="CZ40" s="3">
        <f t="shared" si="96"/>
        <v>4532.7166542858331</v>
      </c>
      <c r="DA40" s="3">
        <f t="shared" si="96"/>
        <v>4487.3894877429748</v>
      </c>
      <c r="DB40" s="3">
        <f t="shared" si="96"/>
        <v>4442.5155928655449</v>
      </c>
      <c r="DC40" s="3">
        <f t="shared" si="96"/>
        <v>4398.0904369368891</v>
      </c>
      <c r="DD40" s="3">
        <f t="shared" si="96"/>
        <v>4354.1095325675205</v>
      </c>
      <c r="DE40" s="3">
        <f t="shared" si="96"/>
        <v>4310.5684372418455</v>
      </c>
      <c r="DF40" s="3">
        <f t="shared" ref="DF40:EL40" si="97">DE40*(1+$AU$50)</f>
        <v>4267.4627528694273</v>
      </c>
      <c r="DG40" s="3">
        <f t="shared" si="97"/>
        <v>4224.7881253407331</v>
      </c>
      <c r="DH40" s="3">
        <f t="shared" si="97"/>
        <v>4182.5402440873258</v>
      </c>
      <c r="DI40" s="3">
        <f t="shared" si="97"/>
        <v>4140.7148416464524</v>
      </c>
      <c r="DJ40" s="3">
        <f t="shared" si="97"/>
        <v>4099.3076932299882</v>
      </c>
      <c r="DK40" s="3">
        <f t="shared" si="97"/>
        <v>4058.3146162976882</v>
      </c>
      <c r="DL40" s="3">
        <f t="shared" si="97"/>
        <v>4017.7314701347113</v>
      </c>
      <c r="DM40" s="3">
        <f t="shared" si="97"/>
        <v>3977.554155433364</v>
      </c>
      <c r="DN40" s="3">
        <f t="shared" si="97"/>
        <v>3937.7786138790302</v>
      </c>
      <c r="DO40" s="3">
        <f t="shared" si="97"/>
        <v>3898.4008277402399</v>
      </c>
      <c r="DP40" s="3">
        <f t="shared" si="97"/>
        <v>3859.4168194628373</v>
      </c>
      <c r="DQ40" s="3">
        <f t="shared" si="97"/>
        <v>3820.822651268209</v>
      </c>
      <c r="DR40" s="3">
        <f t="shared" si="97"/>
        <v>3782.6144247555271</v>
      </c>
      <c r="DS40" s="3">
        <f t="shared" si="97"/>
        <v>3744.7882805079716</v>
      </c>
      <c r="DT40" s="3">
        <f t="shared" si="97"/>
        <v>3707.340397702892</v>
      </c>
      <c r="DU40" s="3">
        <f t="shared" si="97"/>
        <v>3670.2669937258629</v>
      </c>
      <c r="DV40" s="3">
        <f t="shared" si="97"/>
        <v>3633.5643237886043</v>
      </c>
      <c r="DW40" s="3">
        <f t="shared" si="97"/>
        <v>3597.2286805507183</v>
      </c>
      <c r="DX40" s="3">
        <f t="shared" si="97"/>
        <v>3561.256393745211</v>
      </c>
      <c r="DY40" s="3">
        <f t="shared" si="97"/>
        <v>3525.6438298077587</v>
      </c>
      <c r="DZ40" s="3">
        <f t="shared" si="97"/>
        <v>3490.387391509681</v>
      </c>
      <c r="EA40" s="3">
        <f t="shared" si="97"/>
        <v>3455.4835175945841</v>
      </c>
      <c r="EB40" s="3">
        <f t="shared" si="97"/>
        <v>3420.9286824186383</v>
      </c>
      <c r="EC40" s="3">
        <f t="shared" si="97"/>
        <v>3386.7193955944517</v>
      </c>
      <c r="ED40" s="3">
        <f t="shared" si="97"/>
        <v>3352.8522016385073</v>
      </c>
      <c r="EE40" s="3">
        <f t="shared" si="97"/>
        <v>3319.3236796221222</v>
      </c>
      <c r="EF40" s="3">
        <f t="shared" si="97"/>
        <v>3286.1304428259009</v>
      </c>
      <c r="EG40" s="3">
        <f t="shared" si="97"/>
        <v>3253.2691383976417</v>
      </c>
      <c r="EH40" s="3">
        <f t="shared" si="97"/>
        <v>3220.7364470136654</v>
      </c>
      <c r="EI40" s="3">
        <f t="shared" si="97"/>
        <v>3188.5290825435286</v>
      </c>
      <c r="EJ40" s="3">
        <f t="shared" si="97"/>
        <v>3156.6437917180933</v>
      </c>
      <c r="EK40" s="3">
        <f t="shared" si="97"/>
        <v>3125.0773538009125</v>
      </c>
      <c r="EL40" s="3">
        <f t="shared" si="97"/>
        <v>3093.8265802629035</v>
      </c>
    </row>
    <row r="41" spans="2:142" x14ac:dyDescent="0.3">
      <c r="B41" s="1" t="s">
        <v>2</v>
      </c>
      <c r="K41" s="6">
        <f>233.5</f>
        <v>233.5</v>
      </c>
      <c r="L41" s="6">
        <f>233.5</f>
        <v>233.5</v>
      </c>
      <c r="M41" s="6">
        <f>233.5</f>
        <v>233.5</v>
      </c>
      <c r="N41" s="6">
        <f>233.5</f>
        <v>233.5</v>
      </c>
      <c r="O41" s="6">
        <f>233.5</f>
        <v>233.5</v>
      </c>
      <c r="P41" s="6">
        <f t="shared" ref="P41" si="98">235.4</f>
        <v>235.4</v>
      </c>
      <c r="Q41" s="6">
        <f>233.5</f>
        <v>233.5</v>
      </c>
      <c r="R41" s="6">
        <f>233.5</f>
        <v>233.5</v>
      </c>
      <c r="S41" s="6">
        <f>233.5</f>
        <v>233.5</v>
      </c>
      <c r="T41" s="6">
        <f>233.5</f>
        <v>233.5</v>
      </c>
      <c r="U41" s="6">
        <v>231.4</v>
      </c>
      <c r="V41" s="18">
        <f>230.9</f>
        <v>230.9</v>
      </c>
      <c r="W41" s="6"/>
      <c r="X41" s="6"/>
      <c r="Y41" s="6"/>
      <c r="Z41" s="6"/>
      <c r="AB41" s="6">
        <f t="shared" ref="AB41:AG41" si="99">235.4</f>
        <v>235.4</v>
      </c>
      <c r="AC41" s="6">
        <f t="shared" si="99"/>
        <v>235.4</v>
      </c>
      <c r="AD41" s="6">
        <f t="shared" si="99"/>
        <v>235.4</v>
      </c>
      <c r="AE41" s="6">
        <f t="shared" si="99"/>
        <v>235.4</v>
      </c>
      <c r="AF41" s="6">
        <f t="shared" si="99"/>
        <v>235.4</v>
      </c>
      <c r="AG41" s="6">
        <f t="shared" si="99"/>
        <v>235.4</v>
      </c>
      <c r="AH41" s="6">
        <f t="shared" ref="AH41:AR41" si="100">230.9</f>
        <v>230.9</v>
      </c>
      <c r="AI41" s="6">
        <f t="shared" si="100"/>
        <v>230.9</v>
      </c>
      <c r="AJ41" s="6">
        <f t="shared" si="100"/>
        <v>230.9</v>
      </c>
      <c r="AK41" s="6">
        <f t="shared" si="100"/>
        <v>230.9</v>
      </c>
      <c r="AL41" s="6">
        <f t="shared" si="100"/>
        <v>230.9</v>
      </c>
      <c r="AM41" s="6">
        <f t="shared" si="100"/>
        <v>230.9</v>
      </c>
      <c r="AN41" s="6">
        <f t="shared" si="100"/>
        <v>230.9</v>
      </c>
      <c r="AO41" s="6">
        <f t="shared" si="100"/>
        <v>230.9</v>
      </c>
      <c r="AP41" s="6">
        <f t="shared" si="100"/>
        <v>230.9</v>
      </c>
      <c r="AQ41" s="6">
        <f t="shared" si="100"/>
        <v>230.9</v>
      </c>
      <c r="AR41" s="6">
        <f t="shared" si="100"/>
        <v>230.9</v>
      </c>
    </row>
    <row r="42" spans="2:142" x14ac:dyDescent="0.3">
      <c r="B42" s="1" t="s">
        <v>47</v>
      </c>
      <c r="K42" s="10">
        <f t="shared" ref="K42" si="101">K40/K41</f>
        <v>7.2334047109207713</v>
      </c>
      <c r="L42" s="10">
        <f t="shared" ref="L42:M42" si="102">L40/L41</f>
        <v>7.1991434689507496</v>
      </c>
      <c r="M42" s="10">
        <f t="shared" si="102"/>
        <v>7.2119914346895078</v>
      </c>
      <c r="N42" s="10">
        <f t="shared" ref="N42" si="103">N40/N41</f>
        <v>8.3854389721627403</v>
      </c>
      <c r="O42" s="10">
        <f t="shared" ref="O42" si="104">O40/O41</f>
        <v>6.6167023554603857</v>
      </c>
      <c r="P42" s="10">
        <f t="shared" ref="P42:Q42" si="105">P40/P41</f>
        <v>6.9711129991503817</v>
      </c>
      <c r="Q42" s="10">
        <f t="shared" si="105"/>
        <v>6.9507494646680943</v>
      </c>
      <c r="R42" s="10">
        <f t="shared" ref="R42" si="106">R40/R41</f>
        <v>2.2569593147751608</v>
      </c>
      <c r="S42" s="10">
        <f t="shared" ref="S42:T42" si="107">S40/S41</f>
        <v>7.3319057815845827</v>
      </c>
      <c r="T42" s="10">
        <f t="shared" si="107"/>
        <v>1.4646680942184154</v>
      </c>
      <c r="U42" s="10">
        <f t="shared" ref="U42:V42" si="108">U40/U41</f>
        <v>6.9965427830596365</v>
      </c>
      <c r="V42" s="20">
        <f t="shared" si="108"/>
        <v>8.2763100909484617</v>
      </c>
      <c r="W42" s="10"/>
      <c r="X42" s="10"/>
      <c r="Y42" s="10"/>
      <c r="Z42" s="10"/>
      <c r="AB42" s="10">
        <f t="shared" ref="AB42:AG42" si="109">AB40/AB41</f>
        <v>26.465590484282071</v>
      </c>
      <c r="AC42" s="10">
        <f t="shared" si="109"/>
        <v>29.260832625318606</v>
      </c>
      <c r="AD42" s="10">
        <f t="shared" si="109"/>
        <v>26.826677994902294</v>
      </c>
      <c r="AE42" s="10">
        <f t="shared" si="109"/>
        <v>24.350042480883602</v>
      </c>
      <c r="AF42" s="10">
        <f t="shared" si="109"/>
        <v>29.396771452846217</v>
      </c>
      <c r="AG42" s="10">
        <f t="shared" si="109"/>
        <v>22.667799490229395</v>
      </c>
      <c r="AH42" s="10">
        <f t="shared" ref="AH42:AR42" si="110">AH40/AH41</f>
        <v>23.9794482459939</v>
      </c>
      <c r="AI42" s="10">
        <f t="shared" si="110"/>
        <v>31.451053646600275</v>
      </c>
      <c r="AJ42" s="10">
        <f t="shared" si="110"/>
        <v>32.137781912343002</v>
      </c>
      <c r="AK42" s="10">
        <f t="shared" si="110"/>
        <v>32.576274931939373</v>
      </c>
      <c r="AL42" s="10">
        <f t="shared" si="110"/>
        <v>33.022666337745832</v>
      </c>
      <c r="AM42" s="10">
        <f t="shared" si="110"/>
        <v>33.477140517305052</v>
      </c>
      <c r="AN42" s="10">
        <f t="shared" si="110"/>
        <v>33.939886864145286</v>
      </c>
      <c r="AO42" s="10">
        <f t="shared" si="110"/>
        <v>34.411099922703961</v>
      </c>
      <c r="AP42" s="10">
        <f t="shared" si="110"/>
        <v>34.890979537545718</v>
      </c>
      <c r="AQ42" s="10">
        <f t="shared" si="110"/>
        <v>35.379731007004352</v>
      </c>
      <c r="AR42" s="10">
        <f t="shared" si="110"/>
        <v>35.877565241380047</v>
      </c>
    </row>
    <row r="44" spans="2:142" x14ac:dyDescent="0.3">
      <c r="B44" s="1" t="s">
        <v>76</v>
      </c>
      <c r="U44" s="11">
        <f>U16/Q16-1</f>
        <v>0.11854478187143513</v>
      </c>
      <c r="V44" s="11">
        <f t="shared" ref="V44:V47" si="111">V16/R16-1</f>
        <v>6.4302659508053361E-2</v>
      </c>
    </row>
    <row r="45" spans="2:142" x14ac:dyDescent="0.3">
      <c r="B45" s="1" t="s">
        <v>77</v>
      </c>
      <c r="U45" s="11">
        <f t="shared" ref="U45:U47" si="112">U17/Q17-1</f>
        <v>0.14141732283464559</v>
      </c>
      <c r="V45" s="11">
        <f t="shared" si="111"/>
        <v>0.17819460726846414</v>
      </c>
    </row>
    <row r="46" spans="2:142" x14ac:dyDescent="0.3">
      <c r="B46" s="1" t="s">
        <v>78</v>
      </c>
      <c r="U46" s="11">
        <f t="shared" si="112"/>
        <v>1.3739409205404396E-3</v>
      </c>
      <c r="V46" s="11">
        <f t="shared" si="111"/>
        <v>8.3313776108894677E-2</v>
      </c>
    </row>
    <row r="47" spans="2:142" x14ac:dyDescent="0.3">
      <c r="B47" s="1" t="s">
        <v>79</v>
      </c>
      <c r="U47" s="11">
        <f t="shared" si="112"/>
        <v>9.1382113821138145E-2</v>
      </c>
      <c r="V47" s="11">
        <f t="shared" si="111"/>
        <v>7.5170068027210935E-2</v>
      </c>
    </row>
    <row r="49" spans="2:47" x14ac:dyDescent="0.3">
      <c r="B49" s="1" t="s">
        <v>50</v>
      </c>
      <c r="L49" s="11"/>
      <c r="M49" s="11"/>
      <c r="O49" s="11">
        <f t="shared" ref="O49:P51" si="113">O22/K22-1</f>
        <v>0.13332268880728093</v>
      </c>
      <c r="P49" s="11">
        <f t="shared" si="113"/>
        <v>9.8197412414595231E-2</v>
      </c>
      <c r="Q49" s="11">
        <f t="shared" ref="Q49:V49" si="114">Q22/M22-1</f>
        <v>3.2681604110175622E-2</v>
      </c>
      <c r="R49" s="11">
        <f t="shared" si="114"/>
        <v>-2.9247823636249781E-2</v>
      </c>
      <c r="S49" s="11">
        <f t="shared" si="114"/>
        <v>5.2127359819667429E-2</v>
      </c>
      <c r="T49" s="11">
        <f t="shared" si="114"/>
        <v>2.6474286848898743E-3</v>
      </c>
      <c r="U49" s="11">
        <f t="shared" si="114"/>
        <v>5.7974018794914262E-2</v>
      </c>
      <c r="V49" s="11">
        <f t="shared" si="114"/>
        <v>7.0000000000000062E-2</v>
      </c>
      <c r="W49" s="11"/>
      <c r="X49" s="11"/>
      <c r="Y49" s="11"/>
      <c r="Z49" s="11"/>
      <c r="AB49" s="11"/>
      <c r="AC49" s="11">
        <f t="shared" ref="AC49:AF51" si="115">AC22/AB22-1</f>
        <v>9.7396759434998925E-2</v>
      </c>
      <c r="AD49" s="11">
        <f t="shared" si="115"/>
        <v>2.7435916108359937E-2</v>
      </c>
      <c r="AE49" s="11">
        <f t="shared" si="115"/>
        <v>-1.7170195800478405E-2</v>
      </c>
      <c r="AF49" s="11">
        <f t="shared" si="115"/>
        <v>1.4405221216601261E-2</v>
      </c>
      <c r="AG49" s="11">
        <f>AG22/AF22-1</f>
        <v>5.3532391362303366E-2</v>
      </c>
      <c r="AH49" s="11">
        <f t="shared" ref="AH49:AR51" si="116">AH22/AG22-1</f>
        <v>4.5616343607132626E-2</v>
      </c>
      <c r="AI49" s="11">
        <f t="shared" si="116"/>
        <v>3.0000000000000027E-2</v>
      </c>
      <c r="AJ49" s="11">
        <f t="shared" si="116"/>
        <v>2.0000000000000018E-2</v>
      </c>
      <c r="AK49" s="11">
        <f t="shared" si="116"/>
        <v>1.0000000000000009E-2</v>
      </c>
      <c r="AL49" s="11">
        <f t="shared" si="116"/>
        <v>1.0000000000000009E-2</v>
      </c>
      <c r="AM49" s="11">
        <f t="shared" si="116"/>
        <v>1.0000000000000009E-2</v>
      </c>
      <c r="AN49" s="11">
        <f t="shared" si="116"/>
        <v>1.0000000000000009E-2</v>
      </c>
      <c r="AO49" s="11">
        <f t="shared" si="116"/>
        <v>1.0000000000000009E-2</v>
      </c>
      <c r="AP49" s="11">
        <f t="shared" si="116"/>
        <v>1.0000000000000009E-2</v>
      </c>
      <c r="AQ49" s="11">
        <f t="shared" si="116"/>
        <v>1.0000000000000009E-2</v>
      </c>
      <c r="AR49" s="11">
        <f t="shared" si="116"/>
        <v>1.0000000000000009E-2</v>
      </c>
    </row>
    <row r="50" spans="2:47" x14ac:dyDescent="0.3">
      <c r="B50" s="1" t="s">
        <v>51</v>
      </c>
      <c r="L50" s="11"/>
      <c r="M50" s="11"/>
      <c r="O50" s="11">
        <f t="shared" si="113"/>
        <v>0.15346153846153854</v>
      </c>
      <c r="P50" s="11">
        <f t="shared" si="113"/>
        <v>2.6575809199318678E-2</v>
      </c>
      <c r="Q50" s="11">
        <f t="shared" ref="Q50:V51" si="117">Q23/M23-1</f>
        <v>-8.1005586592178824E-2</v>
      </c>
      <c r="R50" s="11">
        <f t="shared" si="117"/>
        <v>7.3959408324733467E-2</v>
      </c>
      <c r="S50" s="11">
        <f t="shared" si="117"/>
        <v>9.3364454818272158E-3</v>
      </c>
      <c r="T50" s="11">
        <f t="shared" si="117"/>
        <v>-2.3232658479920287E-3</v>
      </c>
      <c r="U50" s="11">
        <f t="shared" si="117"/>
        <v>0.25303951367781163</v>
      </c>
      <c r="V50" s="11">
        <f t="shared" si="117"/>
        <v>0.1100000000000001</v>
      </c>
      <c r="W50" s="11"/>
      <c r="X50" s="11"/>
      <c r="Y50" s="11"/>
      <c r="Z50" s="11"/>
      <c r="AB50" s="11"/>
      <c r="AC50" s="11">
        <f t="shared" si="115"/>
        <v>7.2855825391945794E-2</v>
      </c>
      <c r="AD50" s="11">
        <f t="shared" si="115"/>
        <v>1.3276026743075375E-2</v>
      </c>
      <c r="AE50" s="11">
        <f t="shared" si="115"/>
        <v>-8.5776227731171328E-3</v>
      </c>
      <c r="AF50" s="11">
        <f t="shared" si="115"/>
        <v>7.4919186157064166E-2</v>
      </c>
      <c r="AG50" s="11">
        <f t="shared" ref="AG50:AG51" si="118">AG23/AF23-1</f>
        <v>4.0686361224128831E-2</v>
      </c>
      <c r="AH50" s="11">
        <f t="shared" si="116"/>
        <v>8.7576066632670369E-2</v>
      </c>
      <c r="AI50" s="11">
        <f t="shared" si="116"/>
        <v>5.0000000000000044E-2</v>
      </c>
      <c r="AJ50" s="11">
        <f t="shared" si="116"/>
        <v>3.0000000000000027E-2</v>
      </c>
      <c r="AK50" s="11">
        <f t="shared" si="116"/>
        <v>3.0000000000000027E-2</v>
      </c>
      <c r="AL50" s="11">
        <f t="shared" si="116"/>
        <v>3.0000000000000027E-2</v>
      </c>
      <c r="AM50" s="11">
        <f t="shared" si="116"/>
        <v>3.0000000000000027E-2</v>
      </c>
      <c r="AN50" s="11">
        <f t="shared" si="116"/>
        <v>3.0000000000000027E-2</v>
      </c>
      <c r="AO50" s="11">
        <f t="shared" si="116"/>
        <v>3.0000000000000027E-2</v>
      </c>
      <c r="AP50" s="11">
        <f t="shared" si="116"/>
        <v>3.0000000000000027E-2</v>
      </c>
      <c r="AQ50" s="11">
        <f t="shared" si="116"/>
        <v>3.0000000000000027E-2</v>
      </c>
      <c r="AR50" s="11">
        <f t="shared" si="116"/>
        <v>3.0000000000000027E-2</v>
      </c>
      <c r="AT50" s="1" t="s">
        <v>59</v>
      </c>
      <c r="AU50" s="11">
        <v>-0.01</v>
      </c>
    </row>
    <row r="51" spans="2:47" s="3" customFormat="1" x14ac:dyDescent="0.3">
      <c r="B51" s="3" t="s">
        <v>52</v>
      </c>
      <c r="L51" s="12"/>
      <c r="M51" s="12"/>
      <c r="O51" s="12">
        <f t="shared" si="113"/>
        <v>0.13678434483670499</v>
      </c>
      <c r="P51" s="12">
        <f t="shared" si="113"/>
        <v>8.5604744503684271E-2</v>
      </c>
      <c r="Q51" s="12">
        <f t="shared" si="117"/>
        <v>1.339021211043967E-2</v>
      </c>
      <c r="R51" s="12">
        <f t="shared" si="117"/>
        <v>-1.3351700752357698E-2</v>
      </c>
      <c r="S51" s="12">
        <f t="shared" si="117"/>
        <v>4.4664146554230788E-2</v>
      </c>
      <c r="T51" s="12">
        <f t="shared" si="117"/>
        <v>1.8209910605893054E-3</v>
      </c>
      <c r="U51" s="12">
        <f t="shared" si="117"/>
        <v>8.7991113189897163E-2</v>
      </c>
      <c r="V51" s="12">
        <f t="shared" si="117"/>
        <v>9.1236172269358873E-2</v>
      </c>
      <c r="W51" s="12"/>
      <c r="X51" s="12"/>
      <c r="Y51" s="12"/>
      <c r="Z51" s="12"/>
      <c r="AB51" s="12"/>
      <c r="AC51" s="12">
        <f t="shared" si="115"/>
        <v>9.3392630241423191E-2</v>
      </c>
      <c r="AD51" s="12">
        <f t="shared" si="115"/>
        <v>2.516896541178637E-2</v>
      </c>
      <c r="AE51" s="12">
        <f t="shared" si="115"/>
        <v>-1.5810512499254248E-2</v>
      </c>
      <c r="AF51" s="12">
        <f t="shared" si="115"/>
        <v>2.4051285160038738E-2</v>
      </c>
      <c r="AG51" s="12">
        <f t="shared" si="118"/>
        <v>5.1382989744120922E-2</v>
      </c>
      <c r="AH51" s="12">
        <f t="shared" si="116"/>
        <v>5.2565629266781988E-2</v>
      </c>
      <c r="AI51" s="12">
        <f t="shared" si="116"/>
        <v>3.3422535840364587E-2</v>
      </c>
      <c r="AJ51" s="12">
        <f t="shared" si="116"/>
        <v>2.1738718920746525E-2</v>
      </c>
      <c r="AK51" s="12">
        <f t="shared" si="116"/>
        <v>1.3505554708273193E-2</v>
      </c>
      <c r="AL51" s="12">
        <f t="shared" si="116"/>
        <v>1.3562606374230235E-2</v>
      </c>
      <c r="AM51" s="12">
        <f t="shared" si="116"/>
        <v>1.3620382739438108E-2</v>
      </c>
      <c r="AN51" s="12">
        <f t="shared" si="116"/>
        <v>1.367888638105641E-2</v>
      </c>
      <c r="AO51" s="12">
        <f t="shared" si="116"/>
        <v>1.3738119658402104E-2</v>
      </c>
      <c r="AP51" s="12">
        <f t="shared" si="116"/>
        <v>1.3798084705990421E-2</v>
      </c>
      <c r="AQ51" s="12">
        <f t="shared" si="116"/>
        <v>1.3858783426587973E-2</v>
      </c>
      <c r="AR51" s="12">
        <f t="shared" si="116"/>
        <v>1.3920217484285846E-2</v>
      </c>
      <c r="AT51" s="1" t="s">
        <v>60</v>
      </c>
      <c r="AU51" s="11">
        <v>0.06</v>
      </c>
    </row>
    <row r="52" spans="2:47" x14ac:dyDescent="0.3">
      <c r="B52" s="1" t="s">
        <v>53</v>
      </c>
      <c r="K52" s="11">
        <f t="shared" ref="K52:M53" si="119">(K22-K25)/K22</f>
        <v>0.10977167491617436</v>
      </c>
      <c r="L52" s="11">
        <f t="shared" si="119"/>
        <v>0.11048117458932985</v>
      </c>
      <c r="M52" s="11">
        <f t="shared" si="119"/>
        <v>0.10296846011131726</v>
      </c>
      <c r="N52" s="11">
        <f t="shared" ref="N52" si="120">(N22-N25)/N22</f>
        <v>0.10778480616271059</v>
      </c>
      <c r="O52" s="11">
        <f t="shared" ref="O52:T53" si="121">(O22-O25)/O22</f>
        <v>9.2420400112707801E-2</v>
      </c>
      <c r="P52" s="11">
        <f t="shared" si="121"/>
        <v>0.10516910450724734</v>
      </c>
      <c r="Q52" s="11">
        <f t="shared" si="121"/>
        <v>0.10420121614151465</v>
      </c>
      <c r="R52" s="11">
        <f t="shared" si="121"/>
        <v>1.0322580645161291E-3</v>
      </c>
      <c r="S52" s="11">
        <f t="shared" si="121"/>
        <v>0.11060524906266737</v>
      </c>
      <c r="T52" s="11">
        <f t="shared" si="121"/>
        <v>4.4887451316918611E-2</v>
      </c>
      <c r="U52" s="11">
        <f t="shared" ref="U52:V52" si="122">(U22-U25)/U22</f>
        <v>0.10469597021749069</v>
      </c>
      <c r="V52" s="11">
        <f t="shared" si="122"/>
        <v>0.11000000000000003</v>
      </c>
      <c r="W52" s="11"/>
      <c r="X52" s="11"/>
      <c r="Y52" s="11"/>
      <c r="Z52" s="11"/>
      <c r="AB52" s="11">
        <f t="shared" ref="AB52:AF52" si="123">(AB22-AB25)/AB22</f>
        <v>0.10916428585699159</v>
      </c>
      <c r="AC52" s="11">
        <f t="shared" si="123"/>
        <v>0.10799592193416836</v>
      </c>
      <c r="AD52" s="11">
        <f t="shared" si="123"/>
        <v>0.10918756091078231</v>
      </c>
      <c r="AE52" s="11">
        <f t="shared" si="123"/>
        <v>0.11013954494645369</v>
      </c>
      <c r="AF52" s="11">
        <f t="shared" si="123"/>
        <v>0.10768683906513818</v>
      </c>
      <c r="AG52" s="11">
        <f>(AG22-AG25)/AG22</f>
        <v>7.4649526797914881E-2</v>
      </c>
      <c r="AH52" s="11">
        <f t="shared" ref="AH52:AR52" si="124">(AH22-AH25)/AH22</f>
        <v>9.2921217792549304E-2</v>
      </c>
      <c r="AI52" s="11">
        <f t="shared" si="124"/>
        <v>0.11</v>
      </c>
      <c r="AJ52" s="11">
        <f t="shared" si="124"/>
        <v>0.10999999999999995</v>
      </c>
      <c r="AK52" s="11">
        <f t="shared" si="124"/>
        <v>0.10999999999999999</v>
      </c>
      <c r="AL52" s="11">
        <f t="shared" si="124"/>
        <v>0.10999999999999995</v>
      </c>
      <c r="AM52" s="11">
        <f t="shared" si="124"/>
        <v>0.11000000000000003</v>
      </c>
      <c r="AN52" s="11">
        <f t="shared" si="124"/>
        <v>0.10999999999999997</v>
      </c>
      <c r="AO52" s="11">
        <f t="shared" si="124"/>
        <v>0.10999999999999997</v>
      </c>
      <c r="AP52" s="11">
        <f t="shared" si="124"/>
        <v>0.10999999999999996</v>
      </c>
      <c r="AQ52" s="11">
        <f t="shared" si="124"/>
        <v>0.10999999999999997</v>
      </c>
      <c r="AR52" s="11">
        <f t="shared" si="124"/>
        <v>0.11000000000000003</v>
      </c>
      <c r="AT52" s="1" t="s">
        <v>61</v>
      </c>
      <c r="AU52" s="6">
        <f>NPV(AU51,AI40:EL40)</f>
        <v>122252.59327233705</v>
      </c>
    </row>
    <row r="53" spans="2:47" x14ac:dyDescent="0.3">
      <c r="B53" s="1" t="s">
        <v>54</v>
      </c>
      <c r="K53" s="11">
        <f t="shared" si="119"/>
        <v>0.12153846153846154</v>
      </c>
      <c r="L53" s="11">
        <f t="shared" si="119"/>
        <v>9.9829642248722317E-2</v>
      </c>
      <c r="M53" s="11">
        <f t="shared" si="119"/>
        <v>0.12360335195530726</v>
      </c>
      <c r="N53" s="11">
        <f t="shared" ref="N53" si="125">(N23-N26)/N23</f>
        <v>0.108703130374957</v>
      </c>
      <c r="O53" s="11">
        <f t="shared" si="121"/>
        <v>0.13204401467155719</v>
      </c>
      <c r="P53" s="11">
        <f t="shared" si="121"/>
        <v>0.14304679721208099</v>
      </c>
      <c r="Q53" s="11">
        <f t="shared" si="121"/>
        <v>0.13677811550151975</v>
      </c>
      <c r="R53" s="11">
        <f t="shared" si="121"/>
        <v>0.1159513132607303</v>
      </c>
      <c r="S53" s="11">
        <f t="shared" si="121"/>
        <v>0.12784935579781961</v>
      </c>
      <c r="T53" s="11">
        <f t="shared" si="121"/>
        <v>-4.1250831669993347E-2</v>
      </c>
      <c r="U53" s="11">
        <f t="shared" ref="U53:V53" si="126">(U23-U26)/U23</f>
        <v>0.12947240751970893</v>
      </c>
      <c r="V53" s="11">
        <f t="shared" si="126"/>
        <v>0.13000000000000003</v>
      </c>
      <c r="W53" s="11"/>
      <c r="X53" s="11"/>
      <c r="Y53" s="11"/>
      <c r="Z53" s="11"/>
      <c r="AB53" s="11">
        <f t="shared" ref="AB53:AF53" si="127">(AB23-AB26)/AB23</f>
        <v>0.10533866174812993</v>
      </c>
      <c r="AC53" s="11">
        <f t="shared" si="127"/>
        <v>0.10496657115568291</v>
      </c>
      <c r="AD53" s="11">
        <f t="shared" si="127"/>
        <v>0.10802149118672826</v>
      </c>
      <c r="AE53" s="11">
        <f t="shared" si="127"/>
        <v>0.12036508841985168</v>
      </c>
      <c r="AF53" s="11">
        <f t="shared" si="127"/>
        <v>0.11312577392534937</v>
      </c>
      <c r="AG53" s="11">
        <f>(AG23-AG26)/AG23</f>
        <v>0.13165051844297126</v>
      </c>
      <c r="AH53" s="11">
        <f t="shared" ref="AH53:AR53" si="128">(AH23-AH26)/AH23</f>
        <v>8.912684954073094E-2</v>
      </c>
      <c r="AI53" s="11">
        <f t="shared" si="128"/>
        <v>0.12000000000000002</v>
      </c>
      <c r="AJ53" s="11">
        <f t="shared" si="128"/>
        <v>0.12</v>
      </c>
      <c r="AK53" s="11">
        <f t="shared" si="128"/>
        <v>0.12000000000000005</v>
      </c>
      <c r="AL53" s="11">
        <f t="shared" si="128"/>
        <v>0.12000000000000002</v>
      </c>
      <c r="AM53" s="11">
        <f t="shared" si="128"/>
        <v>0.12</v>
      </c>
      <c r="AN53" s="11">
        <f t="shared" si="128"/>
        <v>0.12</v>
      </c>
      <c r="AO53" s="11">
        <f t="shared" si="128"/>
        <v>0.12000000000000002</v>
      </c>
      <c r="AP53" s="11">
        <f t="shared" si="128"/>
        <v>0.12000000000000004</v>
      </c>
      <c r="AQ53" s="11">
        <f t="shared" si="128"/>
        <v>0.11999999999999998</v>
      </c>
      <c r="AR53" s="11">
        <f t="shared" si="128"/>
        <v>0.11999999999999995</v>
      </c>
      <c r="AT53" s="1" t="s">
        <v>62</v>
      </c>
      <c r="AU53" s="6">
        <f>Main!D8</f>
        <v>-17578</v>
      </c>
    </row>
    <row r="54" spans="2:47" x14ac:dyDescent="0.3">
      <c r="B54" s="1" t="s">
        <v>55</v>
      </c>
      <c r="K54" s="11">
        <f t="shared" ref="K54:V54" si="129">(K28-K30-K31)/K24</f>
        <v>0.13466878222927409</v>
      </c>
      <c r="L54" s="11">
        <f t="shared" si="129"/>
        <v>0.12789792128437069</v>
      </c>
      <c r="M54" s="11">
        <f t="shared" si="129"/>
        <v>0.12098589880317573</v>
      </c>
      <c r="N54" s="11">
        <f t="shared" si="129"/>
        <v>0.12636431069195719</v>
      </c>
      <c r="O54" s="11">
        <f t="shared" si="129"/>
        <v>0.11799941843559174</v>
      </c>
      <c r="P54" s="11">
        <f t="shared" si="129"/>
        <v>0.12333075819445977</v>
      </c>
      <c r="Q54" s="11">
        <f t="shared" si="129"/>
        <v>0.12511693171188026</v>
      </c>
      <c r="R54" s="11">
        <f t="shared" si="129"/>
        <v>3.7375147674793253E-2</v>
      </c>
      <c r="S54" s="11">
        <f t="shared" si="129"/>
        <v>0.13204921226966543</v>
      </c>
      <c r="T54" s="11">
        <f t="shared" si="129"/>
        <v>4.4836133296612506E-2</v>
      </c>
      <c r="U54" s="11">
        <f t="shared" si="129"/>
        <v>0.12252136063195228</v>
      </c>
      <c r="V54" s="11">
        <f t="shared" si="129"/>
        <v>0.12656857438118202</v>
      </c>
      <c r="W54" s="11"/>
      <c r="X54" s="11"/>
      <c r="Y54" s="11"/>
      <c r="Z54" s="11"/>
      <c r="AB54" s="11">
        <f t="shared" ref="AB54:AG54" si="130">(AB28-AB30-AB31)/AB24</f>
        <v>0.14286430816558551</v>
      </c>
      <c r="AC54" s="11">
        <f t="shared" si="130"/>
        <v>0.13258815254289122</v>
      </c>
      <c r="AD54" s="11">
        <f t="shared" si="130"/>
        <v>0.13661177734025415</v>
      </c>
      <c r="AE54" s="11">
        <f t="shared" si="130"/>
        <v>0.12803103782735209</v>
      </c>
      <c r="AF54" s="11">
        <f t="shared" si="130"/>
        <v>0.12725873525624898</v>
      </c>
      <c r="AG54" s="11">
        <f t="shared" si="130"/>
        <v>9.9939473276747889E-2</v>
      </c>
      <c r="AH54" s="11">
        <f>(AH28-AH30-AH31)/AH24</f>
        <v>0.10686186552036686</v>
      </c>
      <c r="AI54" s="11">
        <f t="shared" ref="AI54:AR54" si="131">(AI28-AI30-AI31)/AI24</f>
        <v>0.12599800294192284</v>
      </c>
      <c r="AJ54" s="11">
        <f t="shared" si="131"/>
        <v>0.12584823698064529</v>
      </c>
      <c r="AK54" s="11">
        <f t="shared" si="131"/>
        <v>0.12582800885798004</v>
      </c>
      <c r="AL54" s="11">
        <f t="shared" si="131"/>
        <v>0.12580752378742188</v>
      </c>
      <c r="AM54" s="11">
        <f t="shared" si="131"/>
        <v>0.12578678085521888</v>
      </c>
      <c r="AN54" s="11">
        <f t="shared" si="131"/>
        <v>0.12576577922485599</v>
      </c>
      <c r="AO54" s="11">
        <f t="shared" si="131"/>
        <v>0.12574451813952395</v>
      </c>
      <c r="AP54" s="11">
        <f t="shared" si="131"/>
        <v>0.12572299692458169</v>
      </c>
      <c r="AQ54" s="11">
        <f t="shared" si="131"/>
        <v>0.12570121499001258</v>
      </c>
      <c r="AR54" s="11">
        <f t="shared" si="131"/>
        <v>0.1256791718328685</v>
      </c>
      <c r="AT54" s="1" t="s">
        <v>63</v>
      </c>
      <c r="AU54" s="6">
        <f>AU52+AU53</f>
        <v>104674.59327233705</v>
      </c>
    </row>
    <row r="55" spans="2:47" x14ac:dyDescent="0.3">
      <c r="B55" s="1" t="s">
        <v>56</v>
      </c>
      <c r="K55" s="11">
        <f>K33/K24</f>
        <v>0.13466878222927409</v>
      </c>
      <c r="L55" s="11">
        <f>L33/L24</f>
        <v>0.12789792128437069</v>
      </c>
      <c r="M55" s="11">
        <f>M33/M24</f>
        <v>0.12098589880317573</v>
      </c>
      <c r="N55" s="11">
        <f t="shared" ref="N55" si="132">N33/N24</f>
        <v>0.12636431069195719</v>
      </c>
      <c r="O55" s="11">
        <f t="shared" ref="O55:T55" si="133">O33/O24</f>
        <v>0.11799941843559174</v>
      </c>
      <c r="P55" s="11">
        <f t="shared" si="133"/>
        <v>0.11852996358017878</v>
      </c>
      <c r="Q55" s="11">
        <f t="shared" si="133"/>
        <v>0.12511693171188026</v>
      </c>
      <c r="R55" s="11">
        <f t="shared" si="133"/>
        <v>3.7375147674793253E-2</v>
      </c>
      <c r="S55" s="11">
        <f t="shared" si="133"/>
        <v>0.13204921226966543</v>
      </c>
      <c r="T55" s="11">
        <f t="shared" si="133"/>
        <v>4.1200771137427705E-2</v>
      </c>
      <c r="U55" s="11">
        <f t="shared" ref="U55:V55" si="134">U33/U24</f>
        <v>0.12252136063195228</v>
      </c>
      <c r="V55" s="11">
        <f t="shared" si="134"/>
        <v>0.12656857438118202</v>
      </c>
      <c r="W55" s="11"/>
      <c r="X55" s="11"/>
      <c r="Y55" s="11"/>
      <c r="Z55" s="11"/>
      <c r="AB55" s="11">
        <f t="shared" ref="AB55:AF55" si="135">AB33/AB24</f>
        <v>0.14286430816558551</v>
      </c>
      <c r="AC55" s="11">
        <f t="shared" si="135"/>
        <v>0.13217529588060797</v>
      </c>
      <c r="AD55" s="11">
        <f t="shared" si="135"/>
        <v>0.13607481653839271</v>
      </c>
      <c r="AE55" s="11">
        <f t="shared" si="135"/>
        <v>0.12651551891367604</v>
      </c>
      <c r="AF55" s="11">
        <f t="shared" si="135"/>
        <v>0.12589720442201535</v>
      </c>
      <c r="AG55" s="11">
        <f>AG33/AG24</f>
        <v>9.8714862829553926E-2</v>
      </c>
      <c r="AH55" s="11">
        <f t="shared" ref="AH55:AR55" si="136">AH33/AH24</f>
        <v>0.10597924614141531</v>
      </c>
      <c r="AI55" s="11">
        <f t="shared" si="136"/>
        <v>0.12511830666204557</v>
      </c>
      <c r="AJ55" s="11">
        <f t="shared" si="136"/>
        <v>0.12496142790559069</v>
      </c>
      <c r="AK55" s="11">
        <f t="shared" si="136"/>
        <v>0.12492676727813573</v>
      </c>
      <c r="AL55" s="11">
        <f t="shared" si="136"/>
        <v>0.12489166637377844</v>
      </c>
      <c r="AM55" s="11">
        <f t="shared" si="136"/>
        <v>0.12485612362681617</v>
      </c>
      <c r="AN55" s="11">
        <f t="shared" si="136"/>
        <v>0.12482013760389157</v>
      </c>
      <c r="AO55" s="11">
        <f t="shared" si="136"/>
        <v>0.12478370700822158</v>
      </c>
      <c r="AP55" s="11">
        <f t="shared" si="136"/>
        <v>0.12474683068381744</v>
      </c>
      <c r="AQ55" s="11">
        <f t="shared" si="136"/>
        <v>0.1247095076196932</v>
      </c>
      <c r="AR55" s="11">
        <f t="shared" si="136"/>
        <v>0.12467173695405392</v>
      </c>
      <c r="AT55" s="1" t="s">
        <v>64</v>
      </c>
      <c r="AU55" s="4">
        <f>AU54/AR41</f>
        <v>453.33301547136011</v>
      </c>
    </row>
    <row r="56" spans="2:47" x14ac:dyDescent="0.3">
      <c r="B56" s="1" t="s">
        <v>45</v>
      </c>
      <c r="K56" s="11">
        <f>K39/K38</f>
        <v>0.15295887662988966</v>
      </c>
      <c r="L56" s="11">
        <f>L39/L38</f>
        <v>0.16201395812562314</v>
      </c>
      <c r="M56" s="11">
        <f>M39/M38</f>
        <v>0.13773681515617001</v>
      </c>
      <c r="N56" s="11">
        <f t="shared" ref="N56" si="137">N39/N38</f>
        <v>0.12472060795708538</v>
      </c>
      <c r="O56" s="11">
        <f t="shared" ref="O56:T56" si="138">O39/O38</f>
        <v>0.15803814713896458</v>
      </c>
      <c r="P56" s="11">
        <f t="shared" si="138"/>
        <v>0.15759753593429157</v>
      </c>
      <c r="Q56" s="11">
        <f t="shared" si="138"/>
        <v>0.15380604796663191</v>
      </c>
      <c r="R56" s="11">
        <f t="shared" si="138"/>
        <v>-1.5414258188824663E-2</v>
      </c>
      <c r="S56" s="11">
        <f t="shared" si="138"/>
        <v>0.15913555992141454</v>
      </c>
      <c r="T56" s="11">
        <f t="shared" si="138"/>
        <v>0.17985611510791366</v>
      </c>
      <c r="U56" s="11">
        <f t="shared" ref="U56:V56" si="139">U39/U38</f>
        <v>0.16460268317853458</v>
      </c>
      <c r="V56" s="11">
        <f t="shared" si="139"/>
        <v>0.1430493273542601</v>
      </c>
      <c r="W56" s="11"/>
      <c r="X56" s="11"/>
      <c r="Y56" s="11"/>
      <c r="Z56" s="11"/>
      <c r="AB56" s="11">
        <f t="shared" ref="AB56:AF56" si="140">AB39/AB38</f>
        <v>0.13962159922662615</v>
      </c>
      <c r="AC56" s="11">
        <f t="shared" si="140"/>
        <v>0.16357012750455374</v>
      </c>
      <c r="AD56" s="11">
        <f t="shared" si="140"/>
        <v>0.16357615894039734</v>
      </c>
      <c r="AE56" s="11">
        <f t="shared" si="140"/>
        <v>0.14191616766467066</v>
      </c>
      <c r="AF56" s="11">
        <f t="shared" si="140"/>
        <v>0.14546801679427018</v>
      </c>
      <c r="AG56" s="11">
        <f>AG39/AG38</f>
        <v>0.14212218649517686</v>
      </c>
      <c r="AH56" s="11">
        <f t="shared" ref="AH56:AR56" si="141">AH39/AH38</f>
        <v>0.15774611139102487</v>
      </c>
      <c r="AI56" s="11">
        <f t="shared" si="141"/>
        <v>0.15</v>
      </c>
      <c r="AJ56" s="11">
        <f t="shared" si="141"/>
        <v>0.15</v>
      </c>
      <c r="AK56" s="11">
        <f t="shared" si="141"/>
        <v>0.15</v>
      </c>
      <c r="AL56" s="11">
        <f t="shared" si="141"/>
        <v>0.15</v>
      </c>
      <c r="AM56" s="11">
        <f t="shared" si="141"/>
        <v>0.15</v>
      </c>
      <c r="AN56" s="11">
        <f t="shared" si="141"/>
        <v>0.15</v>
      </c>
      <c r="AO56" s="11">
        <f t="shared" si="141"/>
        <v>0.15</v>
      </c>
      <c r="AP56" s="11">
        <f t="shared" si="141"/>
        <v>0.15</v>
      </c>
      <c r="AQ56" s="11">
        <f t="shared" si="141"/>
        <v>0.15</v>
      </c>
      <c r="AR56" s="11">
        <f t="shared" si="141"/>
        <v>0.15</v>
      </c>
      <c r="AT56" s="1" t="s">
        <v>65</v>
      </c>
      <c r="AU56" s="4">
        <f>Main!D3</f>
        <v>610.42999999999995</v>
      </c>
    </row>
    <row r="57" spans="2:47" x14ac:dyDescent="0.3">
      <c r="B57" s="1" t="s">
        <v>57</v>
      </c>
      <c r="K57" s="11">
        <f>K40/K24</f>
        <v>0.11166203887346292</v>
      </c>
      <c r="L57" s="11">
        <f>L40/L24</f>
        <v>0.10070089258970825</v>
      </c>
      <c r="M57" s="11">
        <f>M40/M24</f>
        <v>9.977485484062093E-2</v>
      </c>
      <c r="N57" s="11">
        <f t="shared" ref="N57" si="142">N40/N24</f>
        <v>0.1037405955282399</v>
      </c>
      <c r="O57" s="11">
        <f t="shared" ref="O57:T57" si="143">O40/O24</f>
        <v>8.9851701075894158E-2</v>
      </c>
      <c r="P57" s="11">
        <f t="shared" si="143"/>
        <v>9.0552919103851673E-2</v>
      </c>
      <c r="Q57" s="11">
        <f t="shared" si="143"/>
        <v>9.4890084190832558E-2</v>
      </c>
      <c r="R57" s="11">
        <f t="shared" si="143"/>
        <v>2.8299860380195468E-2</v>
      </c>
      <c r="S57" s="11">
        <f t="shared" si="143"/>
        <v>9.5307019985525807E-2</v>
      </c>
      <c r="T57" s="11">
        <f t="shared" si="143"/>
        <v>1.8837785733957588E-2</v>
      </c>
      <c r="U57" s="11">
        <f t="shared" ref="U57:V57" si="144">U40/U24</f>
        <v>8.7000913536460847E-2</v>
      </c>
      <c r="V57" s="11">
        <f t="shared" si="144"/>
        <v>9.4040647605924899E-2</v>
      </c>
      <c r="W57" s="11"/>
      <c r="X57" s="11"/>
      <c r="Y57" s="11"/>
      <c r="Z57" s="11"/>
      <c r="AB57" s="11">
        <f t="shared" ref="AB57:AF57" si="145">AB40/AB24</f>
        <v>0.10415970039456965</v>
      </c>
      <c r="AC57" s="11">
        <f t="shared" si="145"/>
        <v>0.10532432184470474</v>
      </c>
      <c r="AD57" s="11">
        <f t="shared" si="145"/>
        <v>9.4191873993198491E-2</v>
      </c>
      <c r="AE57" s="11">
        <f t="shared" si="145"/>
        <v>8.6869544131910767E-2</v>
      </c>
      <c r="AF57" s="11">
        <f t="shared" si="145"/>
        <v>0.1024107975314854</v>
      </c>
      <c r="AG57" s="11">
        <f>AG40/AG24</f>
        <v>7.5109440761229121E-2</v>
      </c>
      <c r="AH57" s="11">
        <f t="shared" ref="AH57:AR57" si="146">AH40/AH24</f>
        <v>7.4044472248440657E-2</v>
      </c>
      <c r="AI57" s="11">
        <f t="shared" si="146"/>
        <v>9.397465228542265E-2</v>
      </c>
      <c r="AJ57" s="11">
        <f t="shared" si="146"/>
        <v>9.3983491702940819E-2</v>
      </c>
      <c r="AK57" s="11">
        <f t="shared" si="146"/>
        <v>9.3996344670611562E-2</v>
      </c>
      <c r="AL57" s="11">
        <f t="shared" si="146"/>
        <v>9.4009360903208494E-2</v>
      </c>
      <c r="AM57" s="11">
        <f t="shared" si="146"/>
        <v>9.4022540981331171E-2</v>
      </c>
      <c r="AN57" s="11">
        <f t="shared" si="146"/>
        <v>9.4035885436501432E-2</v>
      </c>
      <c r="AO57" s="11">
        <f t="shared" si="146"/>
        <v>9.4049394749596865E-2</v>
      </c>
      <c r="AP57" s="11">
        <f t="shared" si="146"/>
        <v>9.4063069349284836E-2</v>
      </c>
      <c r="AQ57" s="11">
        <f t="shared" si="146"/>
        <v>9.4076909610462611E-2</v>
      </c>
      <c r="AR57" s="11">
        <f t="shared" si="146"/>
        <v>9.4090915852703683E-2</v>
      </c>
      <c r="AT57" s="3" t="s">
        <v>66</v>
      </c>
      <c r="AU57" s="12">
        <f>AU55/AU56-1</f>
        <v>-0.2573546262939892</v>
      </c>
    </row>
    <row r="58" spans="2:47" x14ac:dyDescent="0.3">
      <c r="AT58" s="1" t="s">
        <v>67</v>
      </c>
      <c r="AU58" s="8" t="s">
        <v>68</v>
      </c>
    </row>
    <row r="61" spans="2:47" s="13" customFormat="1" x14ac:dyDescent="0.3">
      <c r="B61" s="13" t="s">
        <v>69</v>
      </c>
      <c r="T61" s="21">
        <v>58870</v>
      </c>
      <c r="V61" s="21">
        <v>59840</v>
      </c>
      <c r="AH61" s="21">
        <v>59840</v>
      </c>
    </row>
    <row r="63" spans="2:47" x14ac:dyDescent="0.3">
      <c r="B63" s="1" t="s">
        <v>70</v>
      </c>
      <c r="T63" s="14"/>
      <c r="AH63" s="14">
        <f>Main!$D$9/Model!AH61</f>
        <v>2.6491692346256683</v>
      </c>
    </row>
    <row r="64" spans="2:47" x14ac:dyDescent="0.3">
      <c r="B64" s="1" t="s">
        <v>71</v>
      </c>
      <c r="T64" s="11"/>
      <c r="AH64" s="11">
        <f>AH61/Main!$D$9-1</f>
        <v>-0.62252317181944716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2025-03-07T11:29:13Z</dcterms:created>
  <dcterms:modified xsi:type="dcterms:W3CDTF">2026-02-14T12:34:50Z</dcterms:modified>
</cp:coreProperties>
</file>