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0D5F513-CF97-4C60-A3F5-2FDAA8E1FA60}" xr6:coauthVersionLast="47" xr6:coauthVersionMax="47" xr10:uidLastSave="{00000000-0000-0000-0000-000000000000}"/>
  <bookViews>
    <workbookView xWindow="-108" yWindow="-108" windowWidth="23256" windowHeight="12576" activeTab="1" xr2:uid="{E953F6EB-3D3C-4C29-92E4-EDCC51A74F3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1" i="2" l="1"/>
  <c r="T19" i="2"/>
  <c r="T17" i="2"/>
  <c r="T27" i="2"/>
  <c r="T18" i="2"/>
  <c r="T11" i="2"/>
  <c r="T8" i="2"/>
  <c r="U28" i="2"/>
  <c r="U27" i="2"/>
  <c r="U23" i="2"/>
  <c r="U26" i="2" s="1"/>
  <c r="U13" i="2"/>
  <c r="U21" i="2"/>
  <c r="U18" i="2"/>
  <c r="U17" i="2"/>
  <c r="U11" i="2"/>
  <c r="U8" i="2"/>
  <c r="T13" i="2" l="1"/>
  <c r="T23" i="2" s="1"/>
  <c r="T26" i="2" s="1"/>
  <c r="T28" i="2" s="1"/>
  <c r="U19" i="2"/>
  <c r="D11" i="1"/>
  <c r="D10" i="1"/>
  <c r="D9" i="1"/>
  <c r="D8" i="1"/>
  <c r="D7" i="1"/>
  <c r="D4" i="1"/>
  <c r="D5" i="1" s="1"/>
  <c r="D6" i="1" s="1"/>
  <c r="F3" i="1"/>
</calcChain>
</file>

<file path=xl/sharedStrings.xml><?xml version="1.0" encoding="utf-8"?>
<sst xmlns="http://schemas.openxmlformats.org/spreadsheetml/2006/main" count="56" uniqueCount="52">
  <si>
    <t>KONG</t>
  </si>
  <si>
    <t>Price</t>
  </si>
  <si>
    <t>Shares</t>
  </si>
  <si>
    <t>MC</t>
  </si>
  <si>
    <t>Cash</t>
  </si>
  <si>
    <t>Debt</t>
  </si>
  <si>
    <t>Net Cash</t>
  </si>
  <si>
    <t>Last checked</t>
  </si>
  <si>
    <t>Today</t>
  </si>
  <si>
    <t>Earnings</t>
  </si>
  <si>
    <t>NOK/USD</t>
  </si>
  <si>
    <r>
      <t>MNOK is a financial abbreviation for "Million Norwegian Kroner</t>
    </r>
    <r>
      <rPr>
        <sz val="10"/>
        <color theme="0"/>
        <rFont val="Arial"/>
        <family val="2"/>
      </rPr>
      <t>" (NOK), frequently used in Norwegian business reporting to denote large sums in millions</t>
    </r>
  </si>
  <si>
    <t>MC $</t>
  </si>
  <si>
    <t>Net Cash $</t>
  </si>
  <si>
    <t>Q425</t>
  </si>
  <si>
    <t>EV $</t>
  </si>
  <si>
    <t>Revenue</t>
  </si>
  <si>
    <t>Maritime</t>
  </si>
  <si>
    <t>Defence &amp; Aeropsace</t>
  </si>
  <si>
    <t>Discovery</t>
  </si>
  <si>
    <t>Eliminations</t>
  </si>
  <si>
    <t>Material cost</t>
  </si>
  <si>
    <t>Personnel cost</t>
  </si>
  <si>
    <t>Total cost of sales</t>
  </si>
  <si>
    <t>Q124</t>
  </si>
  <si>
    <t>Q224</t>
  </si>
  <si>
    <t>Q324</t>
  </si>
  <si>
    <t>Q424</t>
  </si>
  <si>
    <t>Q125</t>
  </si>
  <si>
    <t>Q225</t>
  </si>
  <si>
    <t>Q325</t>
  </si>
  <si>
    <t>Q126</t>
  </si>
  <si>
    <t>Q226</t>
  </si>
  <si>
    <t>Q326</t>
  </si>
  <si>
    <t>Q426</t>
  </si>
  <si>
    <t>Depreciation (PP&amp;E)</t>
  </si>
  <si>
    <t>Depreciation (Leases)</t>
  </si>
  <si>
    <t>Impairment (PP&amp;E)</t>
  </si>
  <si>
    <t>Amortisation</t>
  </si>
  <si>
    <t>Total opex</t>
  </si>
  <si>
    <t>EBIT</t>
  </si>
  <si>
    <t>EBITDA</t>
  </si>
  <si>
    <t>Other</t>
  </si>
  <si>
    <t>Equity income</t>
  </si>
  <si>
    <t>Net finance expense</t>
  </si>
  <si>
    <t>Interest expense</t>
  </si>
  <si>
    <t>EBT</t>
  </si>
  <si>
    <t>Taxes</t>
  </si>
  <si>
    <t>EAT</t>
  </si>
  <si>
    <t>MI</t>
  </si>
  <si>
    <t>EPS</t>
  </si>
  <si>
    <t>Other 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</si>
</sst>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kr-414]\ #,##0.00"/>
    <numFmt numFmtId="165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3" fontId="2" fillId="2" borderId="1" xfId="0" applyNumberFormat="1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0</xdr:rowOff>
    </xdr:from>
    <xdr:to>
      <xdr:col>22</xdr:col>
      <xdr:colOff>38100</xdr:colOff>
      <xdr:row>33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9729C48-3027-B117-5C00-8527A3FE8E4B}"/>
            </a:ext>
          </a:extLst>
        </xdr:cNvPr>
        <xdr:cNvCxnSpPr/>
      </xdr:nvCxnSpPr>
      <xdr:spPr>
        <a:xfrm>
          <a:off x="1412748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FF19-A339-45C4-AB22-FD4A12C38E54}">
  <dimension ref="B2:I16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7" bestFit="1" customWidth="1"/>
    <col min="6" max="7" width="11.21875" style="7" bestFit="1" customWidth="1"/>
    <col min="8" max="16384" width="8.88671875" style="1"/>
  </cols>
  <sheetData>
    <row r="2" spans="2:9" x14ac:dyDescent="0.3">
      <c r="E2" s="7" t="s">
        <v>7</v>
      </c>
      <c r="F2" s="7" t="s">
        <v>8</v>
      </c>
      <c r="G2" s="7" t="s">
        <v>9</v>
      </c>
    </row>
    <row r="3" spans="2:9" x14ac:dyDescent="0.3">
      <c r="B3" s="2" t="s">
        <v>0</v>
      </c>
      <c r="C3" s="1" t="s">
        <v>1</v>
      </c>
      <c r="D3" s="4">
        <v>383.95</v>
      </c>
      <c r="E3" s="8">
        <v>46078</v>
      </c>
      <c r="F3" s="8">
        <f ca="1">TODAY()</f>
        <v>46078</v>
      </c>
      <c r="G3" s="8">
        <v>46142</v>
      </c>
    </row>
    <row r="4" spans="2:9" x14ac:dyDescent="0.3">
      <c r="C4" s="1" t="s">
        <v>2</v>
      </c>
      <c r="D4" s="3">
        <f>879.6</f>
        <v>879.6</v>
      </c>
      <c r="E4" s="7" t="s">
        <v>14</v>
      </c>
    </row>
    <row r="5" spans="2:9" x14ac:dyDescent="0.3">
      <c r="C5" s="1" t="s">
        <v>3</v>
      </c>
      <c r="D5" s="3">
        <f>D3*D4</f>
        <v>337722.42</v>
      </c>
      <c r="I5" s="1" t="s">
        <v>11</v>
      </c>
    </row>
    <row r="6" spans="2:9" x14ac:dyDescent="0.3">
      <c r="C6" s="1" t="s">
        <v>12</v>
      </c>
      <c r="D6" s="3">
        <f>D5*D16</f>
        <v>33772.241999999998</v>
      </c>
    </row>
    <row r="7" spans="2:9" x14ac:dyDescent="0.3">
      <c r="C7" s="1" t="s">
        <v>4</v>
      </c>
      <c r="D7" s="3">
        <f>15866+5084</f>
        <v>20950</v>
      </c>
      <c r="E7" s="7" t="s">
        <v>14</v>
      </c>
    </row>
    <row r="8" spans="2:9" x14ac:dyDescent="0.3">
      <c r="C8" s="1" t="s">
        <v>5</v>
      </c>
      <c r="D8" s="3">
        <f>1600+1000</f>
        <v>2600</v>
      </c>
      <c r="E8" s="7" t="s">
        <v>14</v>
      </c>
    </row>
    <row r="9" spans="2:9" x14ac:dyDescent="0.3">
      <c r="C9" s="1" t="s">
        <v>6</v>
      </c>
      <c r="D9" s="3">
        <f>D7-D8</f>
        <v>18350</v>
      </c>
    </row>
    <row r="10" spans="2:9" x14ac:dyDescent="0.3">
      <c r="C10" s="1" t="s">
        <v>13</v>
      </c>
      <c r="D10" s="3">
        <f>D9*D16</f>
        <v>1835</v>
      </c>
    </row>
    <row r="11" spans="2:9" x14ac:dyDescent="0.3">
      <c r="C11" s="1" t="s">
        <v>15</v>
      </c>
      <c r="D11" s="3">
        <f>D6-D10</f>
        <v>31937.241999999998</v>
      </c>
    </row>
    <row r="16" spans="2:9" x14ac:dyDescent="0.3">
      <c r="C16" s="1" t="s">
        <v>10</v>
      </c>
      <c r="D16" s="5">
        <v>0.1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BEEE-BB69-40DE-B8F8-8CB5AE67E115}">
  <dimension ref="B2:AF2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defaultRowHeight="14.4" x14ac:dyDescent="0.3"/>
  <cols>
    <col min="1" max="1" width="8.88671875" style="1"/>
    <col min="2" max="2" width="18.77734375" style="1" bestFit="1" customWidth="1"/>
    <col min="3" max="16384" width="8.88671875" style="1"/>
  </cols>
  <sheetData>
    <row r="2" spans="2:32" x14ac:dyDescent="0.3"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14</v>
      </c>
      <c r="K2" s="6" t="s">
        <v>31</v>
      </c>
      <c r="L2" s="6" t="s">
        <v>32</v>
      </c>
      <c r="M2" s="6" t="s">
        <v>33</v>
      </c>
      <c r="N2" s="6" t="s">
        <v>34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x14ac:dyDescent="0.3">
      <c r="B3" s="1" t="s">
        <v>17</v>
      </c>
      <c r="T3" s="3">
        <v>20180</v>
      </c>
      <c r="U3" s="3">
        <v>24766</v>
      </c>
    </row>
    <row r="4" spans="2:32" x14ac:dyDescent="0.3">
      <c r="B4" s="1" t="s">
        <v>18</v>
      </c>
      <c r="T4" s="3">
        <v>15949</v>
      </c>
      <c r="U4" s="3">
        <v>19123</v>
      </c>
    </row>
    <row r="5" spans="2:32" x14ac:dyDescent="0.3">
      <c r="B5" s="1" t="s">
        <v>19</v>
      </c>
      <c r="T5" s="3">
        <v>3913</v>
      </c>
      <c r="U5" s="3">
        <v>4427</v>
      </c>
    </row>
    <row r="6" spans="2:32" x14ac:dyDescent="0.3">
      <c r="B6" s="1" t="s">
        <v>42</v>
      </c>
      <c r="T6" s="3">
        <v>2103</v>
      </c>
      <c r="U6" s="3">
        <v>2392</v>
      </c>
    </row>
    <row r="7" spans="2:32" x14ac:dyDescent="0.3">
      <c r="B7" s="1" t="s">
        <v>20</v>
      </c>
      <c r="T7" s="3">
        <v>-1528</v>
      </c>
      <c r="U7" s="3">
        <v>-1836</v>
      </c>
    </row>
    <row r="8" spans="2:32" s="2" customFormat="1" x14ac:dyDescent="0.3">
      <c r="B8" s="2" t="s">
        <v>16</v>
      </c>
      <c r="T8" s="10">
        <f>SUM(T3:T7)</f>
        <v>40617</v>
      </c>
      <c r="U8" s="10">
        <f>SUM(U3:U7)</f>
        <v>48872</v>
      </c>
    </row>
    <row r="9" spans="2:32" x14ac:dyDescent="0.3">
      <c r="B9" s="1" t="s">
        <v>21</v>
      </c>
      <c r="T9" s="3">
        <v>15334</v>
      </c>
      <c r="U9" s="3">
        <v>17689</v>
      </c>
    </row>
    <row r="10" spans="2:32" x14ac:dyDescent="0.3">
      <c r="B10" s="1" t="s">
        <v>22</v>
      </c>
      <c r="T10" s="3">
        <v>13691</v>
      </c>
      <c r="U10" s="3">
        <v>15764</v>
      </c>
    </row>
    <row r="11" spans="2:32" x14ac:dyDescent="0.3">
      <c r="B11" s="1" t="s">
        <v>23</v>
      </c>
      <c r="T11" s="3">
        <f>SUM(T9:T10)</f>
        <v>29025</v>
      </c>
      <c r="U11" s="3">
        <f>SUM(U9:U10)</f>
        <v>33453</v>
      </c>
    </row>
    <row r="12" spans="2:32" x14ac:dyDescent="0.3">
      <c r="B12" s="1" t="s">
        <v>51</v>
      </c>
      <c r="T12" s="3">
        <v>5556</v>
      </c>
      <c r="U12" s="3">
        <v>7392</v>
      </c>
    </row>
    <row r="13" spans="2:32" s="2" customFormat="1" x14ac:dyDescent="0.3">
      <c r="B13" s="2" t="s">
        <v>41</v>
      </c>
      <c r="T13" s="10">
        <f>T8-T11-T12</f>
        <v>6036</v>
      </c>
      <c r="U13" s="10">
        <f>U8-U11-U12</f>
        <v>8027</v>
      </c>
    </row>
    <row r="14" spans="2:32" x14ac:dyDescent="0.3">
      <c r="B14" s="1" t="s">
        <v>35</v>
      </c>
      <c r="T14" s="3">
        <v>479</v>
      </c>
      <c r="U14" s="3">
        <v>577</v>
      </c>
    </row>
    <row r="15" spans="2:32" x14ac:dyDescent="0.3">
      <c r="B15" s="1" t="s">
        <v>36</v>
      </c>
      <c r="T15" s="3">
        <v>493</v>
      </c>
      <c r="U15" s="3">
        <v>485</v>
      </c>
    </row>
    <row r="16" spans="2:32" x14ac:dyDescent="0.3">
      <c r="B16" s="1" t="s">
        <v>37</v>
      </c>
      <c r="T16" s="3">
        <v>4</v>
      </c>
      <c r="U16" s="3">
        <v>0</v>
      </c>
    </row>
    <row r="17" spans="2:21" x14ac:dyDescent="0.3">
      <c r="B17" s="1" t="s">
        <v>38</v>
      </c>
      <c r="T17" s="3">
        <f>422+39</f>
        <v>461</v>
      </c>
      <c r="U17" s="3">
        <f>436+23</f>
        <v>459</v>
      </c>
    </row>
    <row r="18" spans="2:21" x14ac:dyDescent="0.3">
      <c r="B18" s="1" t="s">
        <v>39</v>
      </c>
      <c r="T18" s="3">
        <f>SUM(T14:T17)</f>
        <v>1437</v>
      </c>
      <c r="U18" s="3">
        <f>SUM(U14:U17)</f>
        <v>1521</v>
      </c>
    </row>
    <row r="19" spans="2:21" s="2" customFormat="1" x14ac:dyDescent="0.3">
      <c r="B19" s="2" t="s">
        <v>40</v>
      </c>
      <c r="T19" s="10">
        <f>T13-T18</f>
        <v>4599</v>
      </c>
      <c r="U19" s="10">
        <f>U13-U18</f>
        <v>6506</v>
      </c>
    </row>
    <row r="20" spans="2:21" x14ac:dyDescent="0.3">
      <c r="B20" s="1" t="s">
        <v>43</v>
      </c>
      <c r="T20" s="3">
        <v>-358</v>
      </c>
      <c r="U20" s="3">
        <v>-441</v>
      </c>
    </row>
    <row r="21" spans="2:21" x14ac:dyDescent="0.3">
      <c r="B21" s="1" t="s">
        <v>44</v>
      </c>
      <c r="T21" s="3">
        <f>-172+319</f>
        <v>147</v>
      </c>
      <c r="U21" s="3">
        <f>-397+613</f>
        <v>216</v>
      </c>
    </row>
    <row r="22" spans="2:21" x14ac:dyDescent="0.3">
      <c r="B22" s="1" t="s">
        <v>45</v>
      </c>
      <c r="T22" s="3">
        <v>136</v>
      </c>
      <c r="U22" s="3">
        <v>148</v>
      </c>
    </row>
    <row r="23" spans="2:21" s="2" customFormat="1" x14ac:dyDescent="0.3">
      <c r="B23" s="2" t="s">
        <v>46</v>
      </c>
      <c r="T23" s="10">
        <f>T19-T20-T21-T22</f>
        <v>4674</v>
      </c>
      <c r="U23" s="10">
        <f>U19-U20-U21-U22</f>
        <v>6583</v>
      </c>
    </row>
    <row r="24" spans="2:21" x14ac:dyDescent="0.3">
      <c r="B24" s="1" t="s">
        <v>47</v>
      </c>
      <c r="T24" s="3">
        <v>959</v>
      </c>
      <c r="U24" s="3">
        <v>1441</v>
      </c>
    </row>
    <row r="25" spans="2:21" x14ac:dyDescent="0.3">
      <c r="B25" s="1" t="s">
        <v>49</v>
      </c>
      <c r="T25" s="3">
        <v>4</v>
      </c>
      <c r="U25" s="3">
        <v>18</v>
      </c>
    </row>
    <row r="26" spans="2:21" s="2" customFormat="1" x14ac:dyDescent="0.3">
      <c r="B26" s="2" t="s">
        <v>48</v>
      </c>
      <c r="T26" s="10">
        <f>T23-T24-T25</f>
        <v>3711</v>
      </c>
      <c r="U26" s="10">
        <f>U23-U24-U25</f>
        <v>5124</v>
      </c>
    </row>
    <row r="27" spans="2:21" x14ac:dyDescent="0.3">
      <c r="B27" s="1" t="s">
        <v>2</v>
      </c>
      <c r="T27" s="3">
        <f>879.6</f>
        <v>879.6</v>
      </c>
      <c r="U27" s="3">
        <f>879.6</f>
        <v>879.6</v>
      </c>
    </row>
    <row r="28" spans="2:21" x14ac:dyDescent="0.3">
      <c r="B28" s="1" t="s">
        <v>50</v>
      </c>
      <c r="T28" s="9">
        <f>T26/T27</f>
        <v>4.2189631650750341</v>
      </c>
      <c r="U28" s="9">
        <f>U26/U27</f>
        <v>5.8253751705320598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2026-02-25T16:25:59Z</dcterms:created>
  <dcterms:modified xsi:type="dcterms:W3CDTF">2026-02-25T17:11:17Z</dcterms:modified>
</cp:coreProperties>
</file>