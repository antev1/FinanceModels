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CEFBA68C-0AAE-4125-A399-9373A6A7C650}" xr6:coauthVersionLast="47" xr6:coauthVersionMax="47" xr10:uidLastSave="{00000000-0000-0000-0000-000000000000}"/>
  <bookViews>
    <workbookView xWindow="-108" yWindow="-108" windowWidth="23256" windowHeight="12576" activeTab="1" xr2:uid="{44ABEB1F-9036-491F-833A-AF1A3C371DE6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" i="2" l="1"/>
  <c r="AG3" i="2" s="1"/>
  <c r="AH3" i="2" s="1"/>
  <c r="AI3" i="2" s="1"/>
  <c r="AJ3" i="2" s="1"/>
  <c r="AE3" i="2"/>
  <c r="AM23" i="2" l="1"/>
  <c r="AM20" i="2"/>
  <c r="AD21" i="2"/>
  <c r="AC21" i="2"/>
  <c r="AB21" i="2"/>
  <c r="AA21" i="2"/>
  <c r="AD20" i="2"/>
  <c r="AC20" i="2"/>
  <c r="AB20" i="2"/>
  <c r="AA20" i="2"/>
  <c r="AD19" i="2"/>
  <c r="AC19" i="2"/>
  <c r="AB19" i="2"/>
  <c r="AA19" i="2"/>
  <c r="AJ18" i="2"/>
  <c r="AI18" i="2"/>
  <c r="AH18" i="2"/>
  <c r="AG18" i="2"/>
  <c r="AF18" i="2"/>
  <c r="AE18" i="2"/>
  <c r="AD18" i="2"/>
  <c r="AC18" i="2"/>
  <c r="AB18" i="2"/>
  <c r="AA18" i="2"/>
  <c r="AD17" i="2"/>
  <c r="AC17" i="2"/>
  <c r="AB17" i="2"/>
  <c r="AA17" i="2"/>
  <c r="AE16" i="2"/>
  <c r="AD16" i="2"/>
  <c r="AC16" i="2"/>
  <c r="AB16" i="2"/>
  <c r="AA16" i="2"/>
  <c r="AJ13" i="2"/>
  <c r="AI13" i="2"/>
  <c r="AH13" i="2"/>
  <c r="AG13" i="2"/>
  <c r="AF13" i="2"/>
  <c r="AE13" i="2"/>
  <c r="AD13" i="2"/>
  <c r="AC13" i="2"/>
  <c r="AB13" i="2"/>
  <c r="AB9" i="2"/>
  <c r="AC9" i="2" s="1"/>
  <c r="AD9" i="2" s="1"/>
  <c r="AE9" i="2" s="1"/>
  <c r="AF9" i="2" s="1"/>
  <c r="AG9" i="2" s="1"/>
  <c r="AD8" i="2"/>
  <c r="AD10" i="2" s="1"/>
  <c r="AC8" i="2"/>
  <c r="AC10" i="2" s="1"/>
  <c r="AB8" i="2"/>
  <c r="AB10" i="2" s="1"/>
  <c r="AA13" i="2"/>
  <c r="AA9" i="2"/>
  <c r="AA8" i="2"/>
  <c r="AA10" i="2" s="1"/>
  <c r="AF6" i="2"/>
  <c r="AG6" i="2" s="1"/>
  <c r="AH6" i="2" s="1"/>
  <c r="AI6" i="2" s="1"/>
  <c r="AJ6" i="2" s="1"/>
  <c r="AE6" i="2"/>
  <c r="AD6" i="2"/>
  <c r="AC6" i="2"/>
  <c r="AB6" i="2"/>
  <c r="AA6" i="2"/>
  <c r="AG5" i="2"/>
  <c r="AG17" i="2" s="1"/>
  <c r="AE5" i="2"/>
  <c r="AE17" i="2" s="1"/>
  <c r="AD5" i="2"/>
  <c r="AD4" i="2" s="1"/>
  <c r="AC5" i="2"/>
  <c r="AB5" i="2"/>
  <c r="AA5" i="2"/>
  <c r="AA4" i="2" s="1"/>
  <c r="AC4" i="2"/>
  <c r="AB4" i="2"/>
  <c r="AB3" i="2"/>
  <c r="AC3" i="2" s="1"/>
  <c r="AD3" i="2" s="1"/>
  <c r="AJ16" i="2" s="1"/>
  <c r="AA3" i="2"/>
  <c r="R6" i="2"/>
  <c r="Z17" i="2"/>
  <c r="Z16" i="2"/>
  <c r="Z11" i="2"/>
  <c r="Z9" i="2"/>
  <c r="Z7" i="2"/>
  <c r="Z6" i="2"/>
  <c r="Z18" i="2" s="1"/>
  <c r="Z4" i="2"/>
  <c r="Z3" i="2"/>
  <c r="Z13" i="2"/>
  <c r="Q21" i="2"/>
  <c r="Q20" i="2"/>
  <c r="R19" i="2"/>
  <c r="Q19" i="2"/>
  <c r="R18" i="2"/>
  <c r="Q18" i="2"/>
  <c r="R17" i="2"/>
  <c r="Q17" i="2"/>
  <c r="R16" i="2"/>
  <c r="Q16" i="2"/>
  <c r="R13" i="2"/>
  <c r="Q13" i="2"/>
  <c r="Q14" i="2" s="1"/>
  <c r="Q12" i="2"/>
  <c r="R10" i="2"/>
  <c r="R11" i="2" s="1"/>
  <c r="R20" i="2" s="1"/>
  <c r="Q10" i="2"/>
  <c r="Q11" i="2" s="1"/>
  <c r="R8" i="2"/>
  <c r="Q8" i="2"/>
  <c r="Q6" i="2"/>
  <c r="R4" i="2"/>
  <c r="Q4" i="2"/>
  <c r="R3" i="2"/>
  <c r="R5" i="2" s="1"/>
  <c r="Q5" i="2"/>
  <c r="X21" i="2"/>
  <c r="W21" i="2"/>
  <c r="V21" i="2"/>
  <c r="U21" i="2"/>
  <c r="T21" i="2"/>
  <c r="X20" i="2"/>
  <c r="W20" i="2"/>
  <c r="V20" i="2"/>
  <c r="U20" i="2"/>
  <c r="T20" i="2"/>
  <c r="X19" i="2"/>
  <c r="W19" i="2"/>
  <c r="V19" i="2"/>
  <c r="U19" i="2"/>
  <c r="T19" i="2"/>
  <c r="X18" i="2"/>
  <c r="W18" i="2"/>
  <c r="V18" i="2"/>
  <c r="U18" i="2"/>
  <c r="X17" i="2"/>
  <c r="W17" i="2"/>
  <c r="V17" i="2"/>
  <c r="U17" i="2"/>
  <c r="T17" i="2"/>
  <c r="X16" i="2"/>
  <c r="W16" i="2"/>
  <c r="V16" i="2"/>
  <c r="U16" i="2"/>
  <c r="Y18" i="2"/>
  <c r="Y16" i="2"/>
  <c r="Y21" i="2"/>
  <c r="Y20" i="2"/>
  <c r="Y19" i="2"/>
  <c r="Y17" i="2"/>
  <c r="O21" i="2"/>
  <c r="N21" i="2"/>
  <c r="M21" i="2"/>
  <c r="L21" i="2"/>
  <c r="K21" i="2"/>
  <c r="J21" i="2"/>
  <c r="I21" i="2"/>
  <c r="H21" i="2"/>
  <c r="G21" i="2"/>
  <c r="D21" i="2"/>
  <c r="C21" i="2"/>
  <c r="O20" i="2"/>
  <c r="N20" i="2"/>
  <c r="M20" i="2"/>
  <c r="L20" i="2"/>
  <c r="K20" i="2"/>
  <c r="J20" i="2"/>
  <c r="I20" i="2"/>
  <c r="H20" i="2"/>
  <c r="G20" i="2"/>
  <c r="D20" i="2"/>
  <c r="C20" i="2"/>
  <c r="O19" i="2"/>
  <c r="N19" i="2"/>
  <c r="M19" i="2"/>
  <c r="L19" i="2"/>
  <c r="K19" i="2"/>
  <c r="J19" i="2"/>
  <c r="I19" i="2"/>
  <c r="H19" i="2"/>
  <c r="G19" i="2"/>
  <c r="D19" i="2"/>
  <c r="C19" i="2"/>
  <c r="O18" i="2"/>
  <c r="N18" i="2"/>
  <c r="M18" i="2"/>
  <c r="L18" i="2"/>
  <c r="K18" i="2"/>
  <c r="H18" i="2"/>
  <c r="G18" i="2"/>
  <c r="O17" i="2"/>
  <c r="N17" i="2"/>
  <c r="M17" i="2"/>
  <c r="L17" i="2"/>
  <c r="K17" i="2"/>
  <c r="J17" i="2"/>
  <c r="I17" i="2"/>
  <c r="H17" i="2"/>
  <c r="G17" i="2"/>
  <c r="D17" i="2"/>
  <c r="C17" i="2"/>
  <c r="P21" i="2"/>
  <c r="P20" i="2"/>
  <c r="P19" i="2"/>
  <c r="P18" i="2"/>
  <c r="P17" i="2"/>
  <c r="L16" i="2"/>
  <c r="K16" i="2"/>
  <c r="H16" i="2"/>
  <c r="G16" i="2"/>
  <c r="J11" i="2"/>
  <c r="J9" i="2"/>
  <c r="J7" i="2"/>
  <c r="J6" i="2"/>
  <c r="J4" i="2"/>
  <c r="J5" i="2" s="1"/>
  <c r="J3" i="2"/>
  <c r="N16" i="2" s="1"/>
  <c r="J13" i="2"/>
  <c r="O16" i="2"/>
  <c r="M16" i="2"/>
  <c r="C13" i="2"/>
  <c r="C5" i="2"/>
  <c r="C8" i="2" s="1"/>
  <c r="C10" i="2" s="1"/>
  <c r="C12" i="2" s="1"/>
  <c r="C14" i="2" s="1"/>
  <c r="G13" i="2"/>
  <c r="G5" i="2"/>
  <c r="G8" i="2" s="1"/>
  <c r="G10" i="2" s="1"/>
  <c r="G12" i="2" s="1"/>
  <c r="G14" i="2" s="1"/>
  <c r="D7" i="2"/>
  <c r="D13" i="2"/>
  <c r="D5" i="2"/>
  <c r="H13" i="2"/>
  <c r="H5" i="2"/>
  <c r="H8" i="2" s="1"/>
  <c r="H10" i="2" s="1"/>
  <c r="H12" i="2" s="1"/>
  <c r="H14" i="2" s="1"/>
  <c r="P16" i="2"/>
  <c r="N11" i="2"/>
  <c r="N9" i="2"/>
  <c r="N7" i="2"/>
  <c r="N6" i="2"/>
  <c r="N4" i="2"/>
  <c r="N3" i="2"/>
  <c r="N13" i="2"/>
  <c r="I7" i="2"/>
  <c r="I13" i="2"/>
  <c r="I5" i="2"/>
  <c r="M13" i="2"/>
  <c r="M5" i="2"/>
  <c r="M8" i="2" s="1"/>
  <c r="M10" i="2" s="1"/>
  <c r="M12" i="2" s="1"/>
  <c r="M14" i="2" s="1"/>
  <c r="T13" i="2"/>
  <c r="T5" i="2"/>
  <c r="T8" i="2" s="1"/>
  <c r="T10" i="2" s="1"/>
  <c r="T12" i="2" s="1"/>
  <c r="U7" i="2"/>
  <c r="U13" i="2"/>
  <c r="U5" i="2"/>
  <c r="V7" i="2"/>
  <c r="V13" i="2"/>
  <c r="V5" i="2"/>
  <c r="V8" i="2" s="1"/>
  <c r="V10" i="2" s="1"/>
  <c r="V12" i="2" s="1"/>
  <c r="V14" i="2" s="1"/>
  <c r="W7" i="2"/>
  <c r="W13" i="2"/>
  <c r="W5" i="2"/>
  <c r="X7" i="2"/>
  <c r="X13" i="2"/>
  <c r="X5" i="2"/>
  <c r="Y13" i="2"/>
  <c r="Y5" i="2"/>
  <c r="Y8" i="2" s="1"/>
  <c r="Y10" i="2" s="1"/>
  <c r="Y12" i="2" s="1"/>
  <c r="Y14" i="2" s="1"/>
  <c r="K13" i="2"/>
  <c r="K5" i="2"/>
  <c r="K8" i="2" s="1"/>
  <c r="K10" i="2" s="1"/>
  <c r="K12" i="2" s="1"/>
  <c r="O13" i="2"/>
  <c r="O5" i="2"/>
  <c r="O8" i="2" s="1"/>
  <c r="O10" i="2" s="1"/>
  <c r="O12" i="2" s="1"/>
  <c r="O14" i="2" s="1"/>
  <c r="L13" i="2"/>
  <c r="L5" i="2"/>
  <c r="L8" i="2" s="1"/>
  <c r="L10" i="2" s="1"/>
  <c r="L12" i="2" s="1"/>
  <c r="P13" i="2"/>
  <c r="P5" i="2"/>
  <c r="P8" i="2" s="1"/>
  <c r="P10" i="2" s="1"/>
  <c r="P12" i="2" s="1"/>
  <c r="P14" i="2" s="1"/>
  <c r="D9" i="1"/>
  <c r="D8" i="1"/>
  <c r="D6" i="1"/>
  <c r="D5" i="1"/>
  <c r="D4" i="1"/>
  <c r="F3" i="1"/>
  <c r="AE8" i="2" l="1"/>
  <c r="AE10" i="2" s="1"/>
  <c r="AI5" i="2"/>
  <c r="AG8" i="2"/>
  <c r="AG19" i="2" s="1"/>
  <c r="AE19" i="2"/>
  <c r="AJ5" i="2"/>
  <c r="AE4" i="2"/>
  <c r="AF16" i="2"/>
  <c r="AF4" i="2"/>
  <c r="AG16" i="2"/>
  <c r="AG4" i="2"/>
  <c r="AF5" i="2"/>
  <c r="AH16" i="2"/>
  <c r="AI16" i="2"/>
  <c r="AJ4" i="2"/>
  <c r="AH5" i="2"/>
  <c r="AE11" i="2"/>
  <c r="AA11" i="2"/>
  <c r="AA12" i="2" s="1"/>
  <c r="AA14" i="2" s="1"/>
  <c r="AB11" i="2"/>
  <c r="AB12" i="2" s="1"/>
  <c r="AB14" i="2" s="1"/>
  <c r="AC11" i="2"/>
  <c r="AC12" i="2" s="1"/>
  <c r="AC14" i="2" s="1"/>
  <c r="AH9" i="2"/>
  <c r="AG10" i="2"/>
  <c r="AD11" i="2"/>
  <c r="AD12" i="2" s="1"/>
  <c r="AD14" i="2" s="1"/>
  <c r="R12" i="2"/>
  <c r="R21" i="2" s="1"/>
  <c r="R14" i="2"/>
  <c r="Z5" i="2"/>
  <c r="Z8" i="2" s="1"/>
  <c r="J8" i="2"/>
  <c r="J10" i="2" s="1"/>
  <c r="J12" i="2" s="1"/>
  <c r="J14" i="2" s="1"/>
  <c r="D8" i="2"/>
  <c r="D10" i="2" s="1"/>
  <c r="D12" i="2" s="1"/>
  <c r="D14" i="2" s="1"/>
  <c r="L14" i="2"/>
  <c r="I8" i="2"/>
  <c r="I10" i="2" s="1"/>
  <c r="I12" i="2" s="1"/>
  <c r="I14" i="2" s="1"/>
  <c r="W8" i="2"/>
  <c r="W10" i="2" s="1"/>
  <c r="W12" i="2" s="1"/>
  <c r="W14" i="2" s="1"/>
  <c r="K14" i="2"/>
  <c r="T14" i="2"/>
  <c r="N5" i="2"/>
  <c r="N8" i="2" s="1"/>
  <c r="N10" i="2" s="1"/>
  <c r="N12" i="2" s="1"/>
  <c r="N14" i="2" s="1"/>
  <c r="U8" i="2"/>
  <c r="U10" i="2" s="1"/>
  <c r="U12" i="2" s="1"/>
  <c r="U14" i="2" s="1"/>
  <c r="X8" i="2"/>
  <c r="X10" i="2" s="1"/>
  <c r="X12" i="2" s="1"/>
  <c r="X14" i="2" s="1"/>
  <c r="AE12" i="2" l="1"/>
  <c r="AE20" i="2"/>
  <c r="AI4" i="2"/>
  <c r="AI8" i="2"/>
  <c r="AI19" i="2" s="1"/>
  <c r="AI17" i="2"/>
  <c r="AJ8" i="2"/>
  <c r="AJ19" i="2" s="1"/>
  <c r="AJ17" i="2"/>
  <c r="AH17" i="2"/>
  <c r="AH4" i="2"/>
  <c r="AH8" i="2"/>
  <c r="AH19" i="2" s="1"/>
  <c r="AF8" i="2"/>
  <c r="AF17" i="2"/>
  <c r="AI9" i="2"/>
  <c r="AG11" i="2"/>
  <c r="Z10" i="2"/>
  <c r="Z19" i="2"/>
  <c r="AH10" i="2" l="1"/>
  <c r="AG12" i="2"/>
  <c r="AG20" i="2"/>
  <c r="AF10" i="2"/>
  <c r="AF19" i="2"/>
  <c r="AE14" i="2"/>
  <c r="AE21" i="2"/>
  <c r="AJ9" i="2"/>
  <c r="AJ10" i="2" s="1"/>
  <c r="AI10" i="2"/>
  <c r="AH11" i="2"/>
  <c r="AH20" i="2" s="1"/>
  <c r="Z12" i="2"/>
  <c r="Z20" i="2"/>
  <c r="AH12" i="2" l="1"/>
  <c r="AH14" i="2"/>
  <c r="AH21" i="2"/>
  <c r="AF11" i="2"/>
  <c r="AF20" i="2" s="1"/>
  <c r="AG14" i="2"/>
  <c r="AG21" i="2"/>
  <c r="AJ11" i="2"/>
  <c r="AI11" i="2"/>
  <c r="Z14" i="2"/>
  <c r="Z21" i="2"/>
  <c r="AI12" i="2" l="1"/>
  <c r="AI20" i="2"/>
  <c r="AJ12" i="2"/>
  <c r="AJ20" i="2"/>
  <c r="AF12" i="2"/>
  <c r="AI14" i="2" l="1"/>
  <c r="AI21" i="2"/>
  <c r="AF14" i="2"/>
  <c r="AF21" i="2"/>
  <c r="AJ14" i="2"/>
  <c r="AK12" i="2"/>
  <c r="AL12" i="2" s="1"/>
  <c r="AM12" i="2" s="1"/>
  <c r="AN12" i="2" s="1"/>
  <c r="AO12" i="2" s="1"/>
  <c r="AP12" i="2" s="1"/>
  <c r="AQ12" i="2" s="1"/>
  <c r="AR12" i="2" s="1"/>
  <c r="AS12" i="2" s="1"/>
  <c r="AT12" i="2" s="1"/>
  <c r="AU12" i="2" s="1"/>
  <c r="AV12" i="2" s="1"/>
  <c r="AW12" i="2" s="1"/>
  <c r="AX12" i="2" s="1"/>
  <c r="AY12" i="2" s="1"/>
  <c r="AZ12" i="2" s="1"/>
  <c r="BA12" i="2" s="1"/>
  <c r="BB12" i="2" s="1"/>
  <c r="BC12" i="2" s="1"/>
  <c r="BD12" i="2" s="1"/>
  <c r="BE12" i="2" s="1"/>
  <c r="BF12" i="2" s="1"/>
  <c r="BG12" i="2" s="1"/>
  <c r="BH12" i="2" s="1"/>
  <c r="BI12" i="2" s="1"/>
  <c r="BJ12" i="2" s="1"/>
  <c r="BK12" i="2" s="1"/>
  <c r="BL12" i="2" s="1"/>
  <c r="BM12" i="2" s="1"/>
  <c r="BN12" i="2" s="1"/>
  <c r="BO12" i="2" s="1"/>
  <c r="BP12" i="2" s="1"/>
  <c r="BQ12" i="2" s="1"/>
  <c r="BR12" i="2" s="1"/>
  <c r="BS12" i="2" s="1"/>
  <c r="BT12" i="2" s="1"/>
  <c r="BU12" i="2" s="1"/>
  <c r="BV12" i="2" s="1"/>
  <c r="BW12" i="2" s="1"/>
  <c r="BX12" i="2" s="1"/>
  <c r="BY12" i="2" s="1"/>
  <c r="BZ12" i="2" s="1"/>
  <c r="CA12" i="2" s="1"/>
  <c r="CB12" i="2" s="1"/>
  <c r="CC12" i="2" s="1"/>
  <c r="CD12" i="2" s="1"/>
  <c r="CE12" i="2" s="1"/>
  <c r="CF12" i="2" s="1"/>
  <c r="CG12" i="2" s="1"/>
  <c r="CH12" i="2" s="1"/>
  <c r="CI12" i="2" s="1"/>
  <c r="CJ12" i="2" s="1"/>
  <c r="CK12" i="2" s="1"/>
  <c r="CL12" i="2" s="1"/>
  <c r="CM12" i="2" s="1"/>
  <c r="CN12" i="2" s="1"/>
  <c r="CO12" i="2" s="1"/>
  <c r="CP12" i="2" s="1"/>
  <c r="CQ12" i="2" s="1"/>
  <c r="CR12" i="2" s="1"/>
  <c r="CS12" i="2" s="1"/>
  <c r="CT12" i="2" s="1"/>
  <c r="CU12" i="2" s="1"/>
  <c r="CV12" i="2" s="1"/>
  <c r="CW12" i="2" s="1"/>
  <c r="CX12" i="2" s="1"/>
  <c r="CY12" i="2" s="1"/>
  <c r="CZ12" i="2" s="1"/>
  <c r="DA12" i="2" s="1"/>
  <c r="DB12" i="2" s="1"/>
  <c r="DC12" i="2" s="1"/>
  <c r="DD12" i="2" s="1"/>
  <c r="DE12" i="2" s="1"/>
  <c r="DF12" i="2" s="1"/>
  <c r="DG12" i="2" s="1"/>
  <c r="DH12" i="2" s="1"/>
  <c r="DI12" i="2" s="1"/>
  <c r="DJ12" i="2" s="1"/>
  <c r="DK12" i="2" s="1"/>
  <c r="DL12" i="2" s="1"/>
  <c r="DM12" i="2" s="1"/>
  <c r="DN12" i="2" s="1"/>
  <c r="DO12" i="2" s="1"/>
  <c r="DP12" i="2" s="1"/>
  <c r="DQ12" i="2" s="1"/>
  <c r="DR12" i="2" s="1"/>
  <c r="DS12" i="2" s="1"/>
  <c r="DT12" i="2" s="1"/>
  <c r="DU12" i="2" s="1"/>
  <c r="DV12" i="2" s="1"/>
  <c r="DW12" i="2" s="1"/>
  <c r="DX12" i="2" s="1"/>
  <c r="DY12" i="2" s="1"/>
  <c r="DZ12" i="2" s="1"/>
  <c r="EA12" i="2" s="1"/>
  <c r="EB12" i="2" s="1"/>
  <c r="EC12" i="2" s="1"/>
  <c r="ED12" i="2" s="1"/>
  <c r="EE12" i="2" s="1"/>
  <c r="EF12" i="2" s="1"/>
  <c r="EG12" i="2" s="1"/>
  <c r="EH12" i="2" s="1"/>
  <c r="EI12" i="2" s="1"/>
  <c r="EJ12" i="2" s="1"/>
  <c r="EK12" i="2" s="1"/>
  <c r="EL12" i="2" s="1"/>
  <c r="EM12" i="2" s="1"/>
  <c r="EN12" i="2" s="1"/>
  <c r="EO12" i="2" s="1"/>
  <c r="EP12" i="2" s="1"/>
  <c r="EQ12" i="2" s="1"/>
  <c r="ER12" i="2" s="1"/>
  <c r="ES12" i="2" s="1"/>
  <c r="ET12" i="2" s="1"/>
  <c r="EU12" i="2" s="1"/>
  <c r="EV12" i="2" s="1"/>
  <c r="EW12" i="2" s="1"/>
  <c r="AJ21" i="2"/>
  <c r="AM19" i="2" l="1"/>
  <c r="AM21" i="2" s="1"/>
  <c r="AM22" i="2" s="1"/>
  <c r="AM24" i="2" s="1"/>
</calcChain>
</file>

<file path=xl/sharedStrings.xml><?xml version="1.0" encoding="utf-8"?>
<sst xmlns="http://schemas.openxmlformats.org/spreadsheetml/2006/main" count="58" uniqueCount="53">
  <si>
    <t>LULU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</si>
  <si>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</si>
  <si>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</si>
  <si>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</si>
  <si>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</si>
  <si>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</si>
  <si>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</si>
  <si>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</si>
  <si>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</si>
  <si>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</si>
  <si>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</si>
  <si>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Q225</t>
  </si>
  <si>
    <t>Revenue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</si>
  <si>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</si>
  <si>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</si>
  <si>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</si>
  <si>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</si>
  <si>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</si>
  <si>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</si>
  <si>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</si>
  <si>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</si>
  <si>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</si>
  <si>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Q325</t>
  </si>
  <si>
    <t>Q425</t>
  </si>
  <si>
    <t>Cost of sales</t>
  </si>
  <si>
    <t>Gross profit</t>
  </si>
  <si>
    <t>SG&amp;A</t>
  </si>
  <si>
    <t>Operating profit</t>
  </si>
  <si>
    <t>Other income</t>
  </si>
  <si>
    <t>Pretax profit</t>
  </si>
  <si>
    <t>Taxes</t>
  </si>
  <si>
    <t>Net profit</t>
  </si>
  <si>
    <t>EPS</t>
  </si>
  <si>
    <t>D&amp;A</t>
  </si>
  <si>
    <t>Revenue y/y</t>
  </si>
  <si>
    <t>Q122</t>
  </si>
  <si>
    <t>Q222</t>
  </si>
  <si>
    <t>Q322</t>
  </si>
  <si>
    <t>Q422</t>
  </si>
  <si>
    <t>Gross Margin</t>
  </si>
  <si>
    <t>SG&amp;A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</si>
  <si>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</si>
  <si>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</si>
  <si>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</si>
  <si>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</si>
  <si>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</si>
  <si>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</si>
  <si>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</si>
  <si>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</si>
  <si>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</si>
  <si>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</si>
  <si>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</si>
  <si>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Undervalued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</si>
</sst>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3C09]#,##0.00"/>
    <numFmt numFmtId="165" formatCode="[$$-48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/>
    <xf numFmtId="3" fontId="1" fillId="0" borderId="0" xfId="0" applyNumberFormat="1" applyFont="1"/>
    <xf numFmtId="3" fontId="0" fillId="0" borderId="0" xfId="0" applyNumberFormat="1" applyFont="1"/>
    <xf numFmtId="9" fontId="0" fillId="0" borderId="0" xfId="0" applyNumberFormat="1"/>
    <xf numFmtId="165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</xdr:colOff>
      <xdr:row>0</xdr:row>
      <xdr:rowOff>7620</xdr:rowOff>
    </xdr:from>
    <xdr:to>
      <xdr:col>16</xdr:col>
      <xdr:colOff>15240</xdr:colOff>
      <xdr:row>33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AA25E4C-6C84-E810-782A-0823BF4B4775}"/>
            </a:ext>
          </a:extLst>
        </xdr:cNvPr>
        <xdr:cNvCxnSpPr/>
      </xdr:nvCxnSpPr>
      <xdr:spPr>
        <a:xfrm>
          <a:off x="883158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22860</xdr:colOff>
      <xdr:row>0</xdr:row>
      <xdr:rowOff>7620</xdr:rowOff>
    </xdr:from>
    <xdr:to>
      <xdr:col>25</xdr:col>
      <xdr:colOff>22860</xdr:colOff>
      <xdr:row>33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473D88F-DD31-AA89-6065-0AE1917F47C2}"/>
            </a:ext>
          </a:extLst>
        </xdr:cNvPr>
        <xdr:cNvCxnSpPr/>
      </xdr:nvCxnSpPr>
      <xdr:spPr>
        <a:xfrm>
          <a:off x="1821180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5CD43-E18C-4CC8-B3C2-B0BF85222B36}">
  <dimension ref="B2:G9"/>
  <sheetViews>
    <sheetView workbookViewId="0">
      <selection activeCell="D4" sqref="D4"/>
    </sheetView>
  </sheetViews>
  <sheetFormatPr defaultRowHeight="14.4" x14ac:dyDescent="0.3"/>
  <cols>
    <col min="5" max="5" width="11.88671875" style="4" bestFit="1" customWidth="1"/>
    <col min="6" max="7" width="11.21875" style="4" bestFit="1" customWidth="1"/>
  </cols>
  <sheetData>
    <row r="2" spans="2:7" x14ac:dyDescent="0.3">
      <c r="E2" s="4" t="s">
        <v>8</v>
      </c>
      <c r="F2" s="4" t="s">
        <v>9</v>
      </c>
      <c r="G2" s="4" t="s">
        <v>10</v>
      </c>
    </row>
    <row r="3" spans="2:7" x14ac:dyDescent="0.3">
      <c r="B3" s="1" t="s">
        <v>0</v>
      </c>
      <c r="C3" t="s">
        <v>1</v>
      </c>
      <c r="D3" s="3">
        <v>163.5</v>
      </c>
      <c r="E3" s="5">
        <v>45965</v>
      </c>
      <c r="F3" s="5">
        <f ca="1">TODAY()</f>
        <v>45965</v>
      </c>
      <c r="G3" s="5">
        <v>45995</v>
      </c>
    </row>
    <row r="4" spans="2:7" x14ac:dyDescent="0.3">
      <c r="C4" t="s">
        <v>2</v>
      </c>
      <c r="D4" s="6">
        <f>118.6</f>
        <v>118.6</v>
      </c>
      <c r="E4" s="4" t="s">
        <v>11</v>
      </c>
    </row>
    <row r="5" spans="2:7" x14ac:dyDescent="0.3">
      <c r="C5" t="s">
        <v>3</v>
      </c>
      <c r="D5" s="6">
        <f>D3*D4</f>
        <v>19391.099999999999</v>
      </c>
    </row>
    <row r="6" spans="2:7" x14ac:dyDescent="0.3">
      <c r="C6" t="s">
        <v>4</v>
      </c>
      <c r="D6" s="6">
        <f>1155.8</f>
        <v>1155.8</v>
      </c>
      <c r="E6" s="4" t="s">
        <v>11</v>
      </c>
    </row>
    <row r="7" spans="2:7" x14ac:dyDescent="0.3">
      <c r="C7" t="s">
        <v>5</v>
      </c>
      <c r="D7" s="6">
        <v>0</v>
      </c>
      <c r="E7" s="4" t="s">
        <v>11</v>
      </c>
    </row>
    <row r="8" spans="2:7" x14ac:dyDescent="0.3">
      <c r="C8" t="s">
        <v>6</v>
      </c>
      <c r="D8" s="6">
        <f>D6-D7</f>
        <v>1155.8</v>
      </c>
    </row>
    <row r="9" spans="2:7" x14ac:dyDescent="0.3">
      <c r="C9" t="s">
        <v>7</v>
      </c>
      <c r="D9" s="6">
        <f>D5-D8</f>
        <v>18235.3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9D26-DF24-47E5-8223-8EB326381F11}">
  <dimension ref="B1:EW25"/>
  <sheetViews>
    <sheetView tabSelected="1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M19" sqref="M19"/>
    </sheetView>
  </sheetViews>
  <sheetFormatPr defaultRowHeight="14.4" x14ac:dyDescent="0.3"/>
  <cols>
    <col min="2" max="2" width="15.21875" bestFit="1" customWidth="1"/>
    <col min="3" max="18" width="10.5546875" bestFit="1" customWidth="1"/>
    <col min="20" max="36" width="10.5546875" bestFit="1" customWidth="1"/>
    <col min="38" max="38" width="12" bestFit="1" customWidth="1"/>
    <col min="39" max="39" width="17.5546875" bestFit="1" customWidth="1"/>
  </cols>
  <sheetData>
    <row r="1" spans="2:153" x14ac:dyDescent="0.3">
      <c r="C1" s="2">
        <v>44681</v>
      </c>
      <c r="D1" s="2">
        <v>44773</v>
      </c>
      <c r="E1" s="2">
        <v>44865</v>
      </c>
      <c r="F1" s="2">
        <v>44957</v>
      </c>
      <c r="G1" s="2">
        <v>45046</v>
      </c>
      <c r="H1" s="2">
        <v>45138</v>
      </c>
      <c r="I1" s="2">
        <v>45230</v>
      </c>
      <c r="J1" s="2">
        <v>45322</v>
      </c>
      <c r="K1" s="2">
        <v>45412</v>
      </c>
      <c r="L1" s="2">
        <v>45504</v>
      </c>
      <c r="M1" s="2">
        <v>45596</v>
      </c>
      <c r="N1" s="2">
        <v>45688</v>
      </c>
      <c r="O1" s="2">
        <v>45777</v>
      </c>
      <c r="P1" s="2">
        <v>45869</v>
      </c>
      <c r="Q1" s="2">
        <v>45961</v>
      </c>
      <c r="R1" s="2">
        <v>46053</v>
      </c>
      <c r="T1" s="2">
        <v>43831</v>
      </c>
      <c r="U1" s="2">
        <v>44197</v>
      </c>
      <c r="V1" s="2">
        <v>44562</v>
      </c>
      <c r="W1" s="2">
        <v>44927</v>
      </c>
      <c r="X1" s="2">
        <v>45292</v>
      </c>
      <c r="Y1" s="2">
        <v>45658</v>
      </c>
      <c r="Z1" s="2">
        <v>46023</v>
      </c>
      <c r="AA1" s="2">
        <v>46388</v>
      </c>
      <c r="AB1" s="2">
        <v>46753</v>
      </c>
      <c r="AC1" s="2">
        <v>47119</v>
      </c>
      <c r="AD1" s="2">
        <v>47484</v>
      </c>
      <c r="AE1" s="2">
        <v>47849</v>
      </c>
      <c r="AF1" s="2">
        <v>48214</v>
      </c>
      <c r="AG1" s="2">
        <v>48580</v>
      </c>
      <c r="AH1" s="2">
        <v>48945</v>
      </c>
      <c r="AI1" s="2">
        <v>49310</v>
      </c>
      <c r="AJ1" s="2">
        <v>49675</v>
      </c>
    </row>
    <row r="2" spans="2:153" x14ac:dyDescent="0.3">
      <c r="C2" s="7" t="s">
        <v>35</v>
      </c>
      <c r="D2" s="7" t="s">
        <v>36</v>
      </c>
      <c r="E2" s="7" t="s">
        <v>37</v>
      </c>
      <c r="F2" s="7" t="s">
        <v>38</v>
      </c>
      <c r="G2" s="7" t="s">
        <v>13</v>
      </c>
      <c r="H2" s="7" t="s">
        <v>14</v>
      </c>
      <c r="I2" s="7" t="s">
        <v>15</v>
      </c>
      <c r="J2" s="7" t="s">
        <v>16</v>
      </c>
      <c r="K2" s="7" t="s">
        <v>17</v>
      </c>
      <c r="L2" s="7" t="s">
        <v>18</v>
      </c>
      <c r="M2" s="7" t="s">
        <v>19</v>
      </c>
      <c r="N2" s="7" t="s">
        <v>20</v>
      </c>
      <c r="O2" s="7" t="s">
        <v>21</v>
      </c>
      <c r="P2" s="7" t="s">
        <v>11</v>
      </c>
      <c r="Q2" s="7" t="s">
        <v>22</v>
      </c>
      <c r="R2" s="7" t="s">
        <v>23</v>
      </c>
      <c r="T2">
        <v>2019</v>
      </c>
      <c r="U2">
        <v>2020</v>
      </c>
      <c r="V2">
        <v>2021</v>
      </c>
      <c r="W2">
        <v>2022</v>
      </c>
      <c r="X2">
        <v>2023</v>
      </c>
      <c r="Y2">
        <v>2024</v>
      </c>
      <c r="Z2">
        <v>2025</v>
      </c>
      <c r="AA2">
        <v>2026</v>
      </c>
      <c r="AB2">
        <v>2027</v>
      </c>
      <c r="AC2">
        <v>2028</v>
      </c>
      <c r="AD2">
        <v>2029</v>
      </c>
      <c r="AE2">
        <v>2030</v>
      </c>
      <c r="AF2">
        <v>2031</v>
      </c>
      <c r="AG2">
        <v>2032</v>
      </c>
      <c r="AH2">
        <v>2033</v>
      </c>
      <c r="AI2">
        <v>2034</v>
      </c>
      <c r="AJ2">
        <v>2035</v>
      </c>
    </row>
    <row r="3" spans="2:153" s="1" customFormat="1" x14ac:dyDescent="0.3">
      <c r="B3" s="1" t="s">
        <v>12</v>
      </c>
      <c r="C3" s="9">
        <v>1613.5</v>
      </c>
      <c r="D3" s="9">
        <v>1868.3</v>
      </c>
      <c r="G3" s="9">
        <v>2000.8</v>
      </c>
      <c r="H3" s="9">
        <v>2209.1999999999998</v>
      </c>
      <c r="I3" s="9">
        <v>2204.1999999999998</v>
      </c>
      <c r="J3" s="9">
        <f>X3-I3-H3-G3</f>
        <v>3205.0999999999995</v>
      </c>
      <c r="K3" s="9">
        <v>2208.9</v>
      </c>
      <c r="L3" s="9">
        <v>2371.1</v>
      </c>
      <c r="M3" s="9">
        <v>2396.6999999999998</v>
      </c>
      <c r="N3" s="9">
        <f>Y3-M3-L3-K3</f>
        <v>3611.400000000001</v>
      </c>
      <c r="O3" s="9">
        <v>2370.6999999999998</v>
      </c>
      <c r="P3" s="9">
        <v>2525.1999999999998</v>
      </c>
      <c r="Q3" s="9">
        <v>2485</v>
      </c>
      <c r="R3" s="9">
        <f>N3*1.02</f>
        <v>3683.6280000000011</v>
      </c>
      <c r="T3" s="9">
        <v>3979.3</v>
      </c>
      <c r="U3" s="9">
        <v>4401.8999999999996</v>
      </c>
      <c r="V3" s="9">
        <v>6256.6</v>
      </c>
      <c r="W3" s="9">
        <v>8110.5</v>
      </c>
      <c r="X3" s="9">
        <v>9619.2999999999993</v>
      </c>
      <c r="Y3" s="9">
        <v>10588.1</v>
      </c>
      <c r="Z3" s="9">
        <f>SUM(O3:R3)</f>
        <v>11064.528</v>
      </c>
      <c r="AA3" s="9">
        <f>Z3*1.03</f>
        <v>11396.46384</v>
      </c>
      <c r="AB3" s="9">
        <f t="shared" ref="AB3:AJ3" si="0">AA3*1.03</f>
        <v>11738.357755200001</v>
      </c>
      <c r="AC3" s="9">
        <f t="shared" si="0"/>
        <v>12090.508487856001</v>
      </c>
      <c r="AD3" s="9">
        <f t="shared" si="0"/>
        <v>12453.223742491682</v>
      </c>
      <c r="AE3" s="9">
        <f>AD3*1.02</f>
        <v>12702.288217341516</v>
      </c>
      <c r="AF3" s="9">
        <f t="shared" ref="AF3:AJ3" si="1">AE3*1.02</f>
        <v>12956.333981688347</v>
      </c>
      <c r="AG3" s="9">
        <f t="shared" si="1"/>
        <v>13215.460661322115</v>
      </c>
      <c r="AH3" s="9">
        <f t="shared" si="1"/>
        <v>13479.769874548558</v>
      </c>
      <c r="AI3" s="9">
        <f t="shared" si="1"/>
        <v>13749.365272039529</v>
      </c>
      <c r="AJ3" s="9">
        <f t="shared" si="1"/>
        <v>14024.35257748032</v>
      </c>
    </row>
    <row r="4" spans="2:153" x14ac:dyDescent="0.3">
      <c r="B4" t="s">
        <v>24</v>
      </c>
      <c r="C4" s="6">
        <v>743.1</v>
      </c>
      <c r="D4" s="6">
        <v>812.9</v>
      </c>
      <c r="G4" s="6">
        <v>850</v>
      </c>
      <c r="H4" s="6">
        <v>910.7</v>
      </c>
      <c r="I4" s="6">
        <v>947.6</v>
      </c>
      <c r="J4" s="10">
        <f>X4-I4-H4-G4</f>
        <v>1301.6000000000004</v>
      </c>
      <c r="K4" s="6">
        <v>933.8</v>
      </c>
      <c r="L4" s="6">
        <v>958.9</v>
      </c>
      <c r="M4" s="6">
        <v>995.1</v>
      </c>
      <c r="N4" s="10">
        <f>Y4-M4-L4-K4</f>
        <v>1429.5000000000002</v>
      </c>
      <c r="O4" s="6">
        <v>987.5</v>
      </c>
      <c r="P4" s="6">
        <v>1048</v>
      </c>
      <c r="Q4" s="6">
        <f>Q3-Q5</f>
        <v>1018.8500000000001</v>
      </c>
      <c r="R4" s="6">
        <f>R3-R5</f>
        <v>1510.2874800000004</v>
      </c>
      <c r="T4" s="6">
        <v>1755.9</v>
      </c>
      <c r="U4" s="6">
        <v>1937.9</v>
      </c>
      <c r="V4" s="6">
        <v>2648.1</v>
      </c>
      <c r="W4" s="6">
        <v>3618.2</v>
      </c>
      <c r="X4" s="6">
        <v>4009.9</v>
      </c>
      <c r="Y4" s="6">
        <v>4317.3</v>
      </c>
      <c r="Z4" s="10">
        <f>SUM(O4:R4)</f>
        <v>4564.6374800000012</v>
      </c>
      <c r="AA4" s="6">
        <f>AA3-AA5</f>
        <v>4672.5501744000003</v>
      </c>
      <c r="AB4" s="6">
        <f t="shared" ref="AB4:AJ4" si="2">AB3-AB5</f>
        <v>4812.7266796320009</v>
      </c>
      <c r="AC4" s="6">
        <f t="shared" si="2"/>
        <v>4957.108480020961</v>
      </c>
      <c r="AD4" s="6">
        <f t="shared" si="2"/>
        <v>5105.82173442159</v>
      </c>
      <c r="AE4" s="6">
        <f t="shared" si="2"/>
        <v>5207.9381691100225</v>
      </c>
      <c r="AF4" s="6">
        <f t="shared" si="2"/>
        <v>5312.0969324922225</v>
      </c>
      <c r="AG4" s="6">
        <f t="shared" si="2"/>
        <v>5418.3388711420675</v>
      </c>
      <c r="AH4" s="6">
        <f t="shared" si="2"/>
        <v>5526.7056485649091</v>
      </c>
      <c r="AI4" s="6">
        <f t="shared" si="2"/>
        <v>5637.2397615362079</v>
      </c>
      <c r="AJ4" s="6">
        <f t="shared" si="2"/>
        <v>5749.9845567669308</v>
      </c>
    </row>
    <row r="5" spans="2:153" s="1" customFormat="1" x14ac:dyDescent="0.3">
      <c r="B5" s="1" t="s">
        <v>25</v>
      </c>
      <c r="C5" s="9">
        <f>C3-C4</f>
        <v>870.4</v>
      </c>
      <c r="D5" s="9">
        <f>D3-D4</f>
        <v>1055.4000000000001</v>
      </c>
      <c r="G5" s="9">
        <f>G3-G4</f>
        <v>1150.8</v>
      </c>
      <c r="H5" s="9">
        <f>H3-H4</f>
        <v>1298.4999999999998</v>
      </c>
      <c r="I5" s="9">
        <f>I3-I4</f>
        <v>1256.5999999999999</v>
      </c>
      <c r="J5" s="9">
        <f>J3-J4</f>
        <v>1903.4999999999991</v>
      </c>
      <c r="K5" s="9">
        <f>K3-K4</f>
        <v>1275.1000000000001</v>
      </c>
      <c r="L5" s="9">
        <f>L3-L4</f>
        <v>1412.1999999999998</v>
      </c>
      <c r="M5" s="9">
        <f>M3-M4</f>
        <v>1401.6</v>
      </c>
      <c r="N5" s="9">
        <f>N3-N4</f>
        <v>2181.9000000000005</v>
      </c>
      <c r="O5" s="9">
        <f>O3-O4</f>
        <v>1383.1999999999998</v>
      </c>
      <c r="P5" s="9">
        <f>P3-P4</f>
        <v>1477.1999999999998</v>
      </c>
      <c r="Q5" s="9">
        <f>Q3*0.59</f>
        <v>1466.1499999999999</v>
      </c>
      <c r="R5" s="9">
        <f>R3*0.59</f>
        <v>2173.3405200000007</v>
      </c>
      <c r="T5" s="9">
        <f>T3-T4</f>
        <v>2223.4</v>
      </c>
      <c r="U5" s="9">
        <f>U3-U4</f>
        <v>2463.9999999999995</v>
      </c>
      <c r="V5" s="9">
        <f>V3-V4</f>
        <v>3608.5000000000005</v>
      </c>
      <c r="W5" s="9">
        <f>W3-W4</f>
        <v>4492.3</v>
      </c>
      <c r="X5" s="9">
        <f>X3-X4</f>
        <v>5609.4</v>
      </c>
      <c r="Y5" s="9">
        <f>Y3-Y4</f>
        <v>6270.8</v>
      </c>
      <c r="Z5" s="9">
        <f>Z3-Z4</f>
        <v>6499.890519999999</v>
      </c>
      <c r="AA5" s="9">
        <f>AA3*0.59</f>
        <v>6723.9136656000001</v>
      </c>
      <c r="AB5" s="9">
        <f t="shared" ref="AB5:AJ5" si="3">AB3*0.59</f>
        <v>6925.6310755679997</v>
      </c>
      <c r="AC5" s="9">
        <f t="shared" si="3"/>
        <v>7133.40000783504</v>
      </c>
      <c r="AD5" s="9">
        <f t="shared" si="3"/>
        <v>7347.4020080700921</v>
      </c>
      <c r="AE5" s="9">
        <f t="shared" si="3"/>
        <v>7494.3500482314939</v>
      </c>
      <c r="AF5" s="9">
        <f t="shared" si="3"/>
        <v>7644.2370491961246</v>
      </c>
      <c r="AG5" s="9">
        <f t="shared" si="3"/>
        <v>7797.1217901800474</v>
      </c>
      <c r="AH5" s="9">
        <f t="shared" si="3"/>
        <v>7953.0642259836486</v>
      </c>
      <c r="AI5" s="9">
        <f t="shared" si="3"/>
        <v>8112.1255105033215</v>
      </c>
      <c r="AJ5" s="9">
        <f t="shared" si="3"/>
        <v>8274.3680207133893</v>
      </c>
    </row>
    <row r="6" spans="2:153" x14ac:dyDescent="0.3">
      <c r="B6" t="s">
        <v>26</v>
      </c>
      <c r="C6" s="6">
        <v>607.9</v>
      </c>
      <c r="D6" s="6">
        <v>662.3</v>
      </c>
      <c r="G6" s="6">
        <v>747.5</v>
      </c>
      <c r="H6" s="6">
        <v>817.4</v>
      </c>
      <c r="I6" s="6">
        <v>842.8</v>
      </c>
      <c r="J6" s="10">
        <f t="shared" ref="J6:J7" si="4">X6-I6-H6-G6</f>
        <v>989.49999999999955</v>
      </c>
      <c r="K6" s="6">
        <v>842.4</v>
      </c>
      <c r="L6" s="6">
        <v>872</v>
      </c>
      <c r="M6" s="6">
        <v>909.8</v>
      </c>
      <c r="N6" s="10">
        <f t="shared" ref="N6:N7" si="5">Y6-M6-L6-K6</f>
        <v>1138.2000000000003</v>
      </c>
      <c r="O6" s="6">
        <v>942.9</v>
      </c>
      <c r="P6" s="6">
        <v>951.7</v>
      </c>
      <c r="Q6" s="6">
        <f>M6*1.07</f>
        <v>973.48599999999999</v>
      </c>
      <c r="R6" s="6">
        <f>N6*1.07</f>
        <v>1217.8740000000003</v>
      </c>
      <c r="T6" s="6">
        <v>1334.2</v>
      </c>
      <c r="U6" s="6">
        <v>1609</v>
      </c>
      <c r="V6" s="6">
        <v>2225</v>
      </c>
      <c r="W6" s="6">
        <v>2757.4</v>
      </c>
      <c r="X6" s="6">
        <v>3397.2</v>
      </c>
      <c r="Y6" s="6">
        <v>3762.4</v>
      </c>
      <c r="Z6" s="10">
        <f t="shared" ref="Z6:Z7" si="6">SUM(O6:R6)</f>
        <v>4085.96</v>
      </c>
      <c r="AA6" s="6">
        <f>Z6*1.04</f>
        <v>4249.3984</v>
      </c>
      <c r="AB6" s="6">
        <f>AA6*1.03</f>
        <v>4376.8803520000001</v>
      </c>
      <c r="AC6" s="6">
        <f>AB6*1.02</f>
        <v>4464.4179590399999</v>
      </c>
      <c r="AD6" s="6">
        <f>AC6*1.02</f>
        <v>4553.7063182208003</v>
      </c>
      <c r="AE6" s="6">
        <f>AD6*1.01</f>
        <v>4599.2433814030082</v>
      </c>
      <c r="AF6" s="6">
        <f t="shared" ref="AF6:AJ6" si="7">AE6*1.01</f>
        <v>4645.2358152170382</v>
      </c>
      <c r="AG6" s="6">
        <f t="shared" si="7"/>
        <v>4691.6881733692089</v>
      </c>
      <c r="AH6" s="6">
        <f t="shared" si="7"/>
        <v>4738.6050551029011</v>
      </c>
      <c r="AI6" s="6">
        <f t="shared" si="7"/>
        <v>4785.9911056539304</v>
      </c>
      <c r="AJ6" s="6">
        <f t="shared" si="7"/>
        <v>4833.8510167104696</v>
      </c>
    </row>
    <row r="7" spans="2:153" x14ac:dyDescent="0.3">
      <c r="B7" t="s">
        <v>33</v>
      </c>
      <c r="C7" s="6">
        <v>2.2000000000000002</v>
      </c>
      <c r="D7" s="6">
        <f>2.2-10.2</f>
        <v>-7.9999999999999991</v>
      </c>
      <c r="G7" s="6">
        <v>1.9</v>
      </c>
      <c r="H7" s="6">
        <v>1.9</v>
      </c>
      <c r="I7" s="6">
        <f>74.5+1.3</f>
        <v>75.8</v>
      </c>
      <c r="J7" s="10">
        <f t="shared" si="4"/>
        <v>-9.999999999999698E-2</v>
      </c>
      <c r="K7" s="6">
        <v>0</v>
      </c>
      <c r="L7" s="6">
        <v>0</v>
      </c>
      <c r="M7" s="6">
        <v>1.1000000000000001</v>
      </c>
      <c r="N7" s="10">
        <f t="shared" si="5"/>
        <v>1.6</v>
      </c>
      <c r="O7" s="6">
        <v>1.6</v>
      </c>
      <c r="P7" s="6">
        <v>1.7</v>
      </c>
      <c r="Q7" s="6">
        <v>2</v>
      </c>
      <c r="R7" s="6">
        <v>2</v>
      </c>
      <c r="T7" s="6">
        <v>0</v>
      </c>
      <c r="U7" s="6">
        <f>5.2+29.8</f>
        <v>35</v>
      </c>
      <c r="V7" s="6">
        <f>8.8+41.4</f>
        <v>50.2</v>
      </c>
      <c r="W7" s="6">
        <f>407.9+8.8-10.2</f>
        <v>406.5</v>
      </c>
      <c r="X7" s="6">
        <f>74.5+5</f>
        <v>79.5</v>
      </c>
      <c r="Y7" s="6">
        <v>2.7</v>
      </c>
      <c r="Z7" s="10">
        <f t="shared" si="6"/>
        <v>7.3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2:153" s="1" customFormat="1" x14ac:dyDescent="0.3">
      <c r="B8" s="1" t="s">
        <v>27</v>
      </c>
      <c r="C8" s="9">
        <f>C5-C6-C7</f>
        <v>260.3</v>
      </c>
      <c r="D8" s="9">
        <f>D5-D6-D7</f>
        <v>401.10000000000014</v>
      </c>
      <c r="G8" s="9">
        <f>G5-G6-G7</f>
        <v>401.4</v>
      </c>
      <c r="H8" s="9">
        <f>H5-H6-H7</f>
        <v>479.19999999999982</v>
      </c>
      <c r="I8" s="9">
        <f>I5-I6-I7</f>
        <v>337.99999999999994</v>
      </c>
      <c r="J8" s="9">
        <f>J5-J6-J7</f>
        <v>914.09999999999957</v>
      </c>
      <c r="K8" s="9">
        <f>K5-K6-K7</f>
        <v>432.70000000000016</v>
      </c>
      <c r="L8" s="9">
        <f>L5-L6-L7</f>
        <v>540.19999999999982</v>
      </c>
      <c r="M8" s="9">
        <f>M5-M6-M7</f>
        <v>490.69999999999993</v>
      </c>
      <c r="N8" s="9">
        <f>N5-N6-N7</f>
        <v>1042.1000000000004</v>
      </c>
      <c r="O8" s="9">
        <f>O5-O6-O7</f>
        <v>438.69999999999982</v>
      </c>
      <c r="P8" s="9">
        <f>P5-P6-P7</f>
        <v>523.79999999999973</v>
      </c>
      <c r="Q8" s="9">
        <f>Q5-Q6-Q7</f>
        <v>490.66399999999987</v>
      </c>
      <c r="R8" s="9">
        <f>R5-R6-R7</f>
        <v>953.4665200000004</v>
      </c>
      <c r="T8" s="9">
        <f>T5-T6-T7</f>
        <v>889.2</v>
      </c>
      <c r="U8" s="9">
        <f>U5-U6-U7</f>
        <v>819.99999999999955</v>
      </c>
      <c r="V8" s="9">
        <f>V5-V6-V7</f>
        <v>1333.3000000000004</v>
      </c>
      <c r="W8" s="9">
        <f>W5-W6-W7</f>
        <v>1328.4</v>
      </c>
      <c r="X8" s="9">
        <f>X5-X6-X7</f>
        <v>2132.6999999999998</v>
      </c>
      <c r="Y8" s="9">
        <f>Y5-Y6-Y7</f>
        <v>2505.7000000000003</v>
      </c>
      <c r="Z8" s="9">
        <f>Z5-Z6-Z7</f>
        <v>2406.6305199999988</v>
      </c>
      <c r="AA8" s="9">
        <f>AA5-AA6-AA7</f>
        <v>2474.5152656</v>
      </c>
      <c r="AB8" s="9">
        <f t="shared" ref="AB8:AJ8" si="8">AB5-AB6-AB7</f>
        <v>2548.7507235679996</v>
      </c>
      <c r="AC8" s="9">
        <f t="shared" si="8"/>
        <v>2668.9820487950401</v>
      </c>
      <c r="AD8" s="9">
        <f t="shared" si="8"/>
        <v>2793.6956898492917</v>
      </c>
      <c r="AE8" s="9">
        <f t="shared" si="8"/>
        <v>2895.1066668284857</v>
      </c>
      <c r="AF8" s="9">
        <f t="shared" si="8"/>
        <v>2999.0012339790865</v>
      </c>
      <c r="AG8" s="9">
        <f t="shared" si="8"/>
        <v>3105.4336168108384</v>
      </c>
      <c r="AH8" s="9">
        <f t="shared" si="8"/>
        <v>3214.4591708807475</v>
      </c>
      <c r="AI8" s="9">
        <f t="shared" si="8"/>
        <v>3326.1344048493911</v>
      </c>
      <c r="AJ8" s="9">
        <f t="shared" si="8"/>
        <v>3440.5170040029197</v>
      </c>
    </row>
    <row r="9" spans="2:153" x14ac:dyDescent="0.3">
      <c r="B9" t="s">
        <v>28</v>
      </c>
      <c r="C9" s="6">
        <v>0</v>
      </c>
      <c r="D9" s="6">
        <v>-0.1</v>
      </c>
      <c r="G9" s="6">
        <v>-8</v>
      </c>
      <c r="H9" s="6">
        <v>-7.4</v>
      </c>
      <c r="I9" s="6">
        <v>-9.8000000000000007</v>
      </c>
      <c r="J9" s="10">
        <f>X9-I9-H9-G9</f>
        <v>-17.899999999999999</v>
      </c>
      <c r="K9" s="6">
        <v>-23.3</v>
      </c>
      <c r="L9" s="6">
        <v>-18</v>
      </c>
      <c r="M9" s="6">
        <v>-13.7</v>
      </c>
      <c r="N9" s="10">
        <f>Y9-M9-L9-K9</f>
        <v>-15.400000000000002</v>
      </c>
      <c r="O9" s="6">
        <v>-11.8</v>
      </c>
      <c r="P9" s="6">
        <v>-9.6999999999999993</v>
      </c>
      <c r="Q9" s="6">
        <v>-10</v>
      </c>
      <c r="R9" s="6">
        <v>-10</v>
      </c>
      <c r="T9" s="6">
        <v>-8.3000000000000007</v>
      </c>
      <c r="U9" s="6">
        <v>0.6</v>
      </c>
      <c r="V9" s="6">
        <v>-0.5</v>
      </c>
      <c r="W9" s="6">
        <v>-4.2</v>
      </c>
      <c r="X9" s="6">
        <v>-43.1</v>
      </c>
      <c r="Y9" s="6">
        <v>-70.400000000000006</v>
      </c>
      <c r="Z9" s="10">
        <f>SUM(O9:R9)</f>
        <v>-41.5</v>
      </c>
      <c r="AA9" s="6">
        <f>Z9*1.05</f>
        <v>-43.575000000000003</v>
      </c>
      <c r="AB9" s="6">
        <f t="shared" ref="AB9:AJ9" si="9">AA9*1.05</f>
        <v>-45.753750000000004</v>
      </c>
      <c r="AC9" s="6">
        <f t="shared" si="9"/>
        <v>-48.041437500000008</v>
      </c>
      <c r="AD9" s="6">
        <f t="shared" si="9"/>
        <v>-50.443509375000012</v>
      </c>
      <c r="AE9" s="6">
        <f t="shared" si="9"/>
        <v>-52.965684843750012</v>
      </c>
      <c r="AF9" s="6">
        <f t="shared" si="9"/>
        <v>-55.613969085937512</v>
      </c>
      <c r="AG9" s="6">
        <f t="shared" si="9"/>
        <v>-58.394667540234387</v>
      </c>
      <c r="AH9" s="6">
        <f t="shared" si="9"/>
        <v>-61.314400917246111</v>
      </c>
      <c r="AI9" s="6">
        <f t="shared" si="9"/>
        <v>-64.380120963108425</v>
      </c>
      <c r="AJ9" s="6">
        <f t="shared" si="9"/>
        <v>-67.599127011263846</v>
      </c>
    </row>
    <row r="10" spans="2:153" s="1" customFormat="1" x14ac:dyDescent="0.3">
      <c r="B10" s="1" t="s">
        <v>29</v>
      </c>
      <c r="C10" s="9">
        <f>C8-C9</f>
        <v>260.3</v>
      </c>
      <c r="D10" s="9">
        <f>D8-D9</f>
        <v>401.20000000000016</v>
      </c>
      <c r="G10" s="9">
        <f>G8-G9</f>
        <v>409.4</v>
      </c>
      <c r="H10" s="9">
        <f>H8-H9</f>
        <v>486.5999999999998</v>
      </c>
      <c r="I10" s="9">
        <f>I8-I9</f>
        <v>347.79999999999995</v>
      </c>
      <c r="J10" s="9">
        <f>J8-J9</f>
        <v>931.99999999999955</v>
      </c>
      <c r="K10" s="9">
        <f>K8-K9</f>
        <v>456.00000000000017</v>
      </c>
      <c r="L10" s="9">
        <f>L8-L9</f>
        <v>558.19999999999982</v>
      </c>
      <c r="M10" s="9">
        <f>M8-M9</f>
        <v>504.39999999999992</v>
      </c>
      <c r="N10" s="9">
        <f>N8-N9</f>
        <v>1057.5000000000005</v>
      </c>
      <c r="O10" s="9">
        <f>O8-O9</f>
        <v>450.49999999999983</v>
      </c>
      <c r="P10" s="9">
        <f>P8-P9</f>
        <v>533.49999999999977</v>
      </c>
      <c r="Q10" s="9">
        <f>Q8-Q9</f>
        <v>500.66399999999987</v>
      </c>
      <c r="R10" s="9">
        <f>R8-R9</f>
        <v>963.4665200000004</v>
      </c>
      <c r="T10" s="9">
        <f>T8-T9</f>
        <v>897.5</v>
      </c>
      <c r="U10" s="9">
        <f>U8-U9</f>
        <v>819.39999999999952</v>
      </c>
      <c r="V10" s="9">
        <f>V8-V9</f>
        <v>1333.8000000000004</v>
      </c>
      <c r="W10" s="9">
        <f>W8-W9</f>
        <v>1332.6000000000001</v>
      </c>
      <c r="X10" s="9">
        <f>X8-X9</f>
        <v>2175.7999999999997</v>
      </c>
      <c r="Y10" s="9">
        <f>Y8-Y9</f>
        <v>2576.1000000000004</v>
      </c>
      <c r="Z10" s="9">
        <f>Z8-Z9</f>
        <v>2448.1305199999988</v>
      </c>
      <c r="AA10" s="9">
        <f>AA8-AA9</f>
        <v>2518.0902655999998</v>
      </c>
      <c r="AB10" s="9">
        <f t="shared" ref="AB10:AJ10" si="10">AB8-AB9</f>
        <v>2594.5044735679994</v>
      </c>
      <c r="AC10" s="9">
        <f t="shared" si="10"/>
        <v>2717.0234862950401</v>
      </c>
      <c r="AD10" s="9">
        <f t="shared" si="10"/>
        <v>2844.1391992242916</v>
      </c>
      <c r="AE10" s="9">
        <f t="shared" si="10"/>
        <v>2948.0723516722355</v>
      </c>
      <c r="AF10" s="9">
        <f t="shared" si="10"/>
        <v>3054.6152030650242</v>
      </c>
      <c r="AG10" s="9">
        <f t="shared" si="10"/>
        <v>3163.8282843510729</v>
      </c>
      <c r="AH10" s="9">
        <f t="shared" si="10"/>
        <v>3275.7735717979936</v>
      </c>
      <c r="AI10" s="9">
        <f t="shared" si="10"/>
        <v>3390.5145258124994</v>
      </c>
      <c r="AJ10" s="9">
        <f t="shared" si="10"/>
        <v>3508.1161310141838</v>
      </c>
    </row>
    <row r="11" spans="2:153" x14ac:dyDescent="0.3">
      <c r="B11" t="s">
        <v>30</v>
      </c>
      <c r="C11" s="6">
        <v>70.3</v>
      </c>
      <c r="D11" s="6">
        <v>111.8</v>
      </c>
      <c r="G11" s="6">
        <v>119</v>
      </c>
      <c r="H11" s="6">
        <v>145</v>
      </c>
      <c r="I11" s="6">
        <v>99.2</v>
      </c>
      <c r="J11" s="10">
        <f>X11-I11-H11-G11</f>
        <v>262.29999999999995</v>
      </c>
      <c r="K11" s="6">
        <v>134.5</v>
      </c>
      <c r="L11" s="6">
        <v>165.3</v>
      </c>
      <c r="M11" s="6">
        <v>152.5</v>
      </c>
      <c r="N11" s="10">
        <f>Y11-M11-L11-K11</f>
        <v>309.2</v>
      </c>
      <c r="O11" s="6">
        <v>135.80000000000001</v>
      </c>
      <c r="P11" s="6">
        <v>162.6</v>
      </c>
      <c r="Q11" s="6">
        <f>Q10*0.3</f>
        <v>150.19919999999996</v>
      </c>
      <c r="R11" s="6">
        <f>R10*0.3</f>
        <v>289.03995600000013</v>
      </c>
      <c r="T11" s="6">
        <v>251.8</v>
      </c>
      <c r="U11" s="6">
        <v>230.4</v>
      </c>
      <c r="V11" s="6">
        <v>358.5</v>
      </c>
      <c r="W11" s="6">
        <v>477.8</v>
      </c>
      <c r="X11" s="6">
        <v>625.5</v>
      </c>
      <c r="Y11" s="6">
        <v>761.5</v>
      </c>
      <c r="Z11" s="10">
        <f>SUM(O11:R11)</f>
        <v>737.63915600000007</v>
      </c>
      <c r="AA11" s="6">
        <f>AA10*0.3</f>
        <v>755.42707967999991</v>
      </c>
      <c r="AB11" s="6">
        <f t="shared" ref="AB11:AJ11" si="11">AB10*0.3</f>
        <v>778.35134207039982</v>
      </c>
      <c r="AC11" s="6">
        <f t="shared" si="11"/>
        <v>815.10704588851206</v>
      </c>
      <c r="AD11" s="6">
        <f t="shared" si="11"/>
        <v>853.24175976728748</v>
      </c>
      <c r="AE11" s="6">
        <f t="shared" si="11"/>
        <v>884.42170550167066</v>
      </c>
      <c r="AF11" s="6">
        <f t="shared" si="11"/>
        <v>916.38456091950718</v>
      </c>
      <c r="AG11" s="6">
        <f t="shared" si="11"/>
        <v>949.14848530532186</v>
      </c>
      <c r="AH11" s="6">
        <f t="shared" si="11"/>
        <v>982.73207153939802</v>
      </c>
      <c r="AI11" s="6">
        <f t="shared" si="11"/>
        <v>1017.1543577437498</v>
      </c>
      <c r="AJ11" s="6">
        <f t="shared" si="11"/>
        <v>1052.4348393042551</v>
      </c>
    </row>
    <row r="12" spans="2:153" s="1" customFormat="1" x14ac:dyDescent="0.3">
      <c r="B12" s="1" t="s">
        <v>31</v>
      </c>
      <c r="C12" s="9">
        <f>C10-C11</f>
        <v>190</v>
      </c>
      <c r="D12" s="9">
        <f>D10-D11</f>
        <v>289.40000000000015</v>
      </c>
      <c r="G12" s="9">
        <f>G10-G11</f>
        <v>290.39999999999998</v>
      </c>
      <c r="H12" s="9">
        <f>H10-H11</f>
        <v>341.5999999999998</v>
      </c>
      <c r="I12" s="9">
        <f>I10-I11</f>
        <v>248.59999999999997</v>
      </c>
      <c r="J12" s="9">
        <f>J10-J11</f>
        <v>669.69999999999959</v>
      </c>
      <c r="K12" s="9">
        <f>K10-K11</f>
        <v>321.50000000000017</v>
      </c>
      <c r="L12" s="9">
        <f>L10-L11</f>
        <v>392.89999999999981</v>
      </c>
      <c r="M12" s="9">
        <f>M10-M11</f>
        <v>351.89999999999992</v>
      </c>
      <c r="N12" s="9">
        <f>N10-N11</f>
        <v>748.30000000000041</v>
      </c>
      <c r="O12" s="9">
        <f>O10-O11</f>
        <v>314.69999999999982</v>
      </c>
      <c r="P12" s="9">
        <f>P10-P11</f>
        <v>370.89999999999975</v>
      </c>
      <c r="Q12" s="9">
        <f t="shared" ref="Q12:R12" si="12">Q10-Q11</f>
        <v>350.46479999999991</v>
      </c>
      <c r="R12" s="9">
        <f t="shared" si="12"/>
        <v>674.42656400000033</v>
      </c>
      <c r="T12" s="9">
        <f>T10-T11</f>
        <v>645.70000000000005</v>
      </c>
      <c r="U12" s="9">
        <f>U10-U11</f>
        <v>588.99999999999955</v>
      </c>
      <c r="V12" s="9">
        <f>V10-V11</f>
        <v>975.30000000000041</v>
      </c>
      <c r="W12" s="9">
        <f>W10-W11</f>
        <v>854.80000000000018</v>
      </c>
      <c r="X12" s="9">
        <f>X10-X11</f>
        <v>1550.2999999999997</v>
      </c>
      <c r="Y12" s="9">
        <f>Y10-Y11</f>
        <v>1814.6000000000004</v>
      </c>
      <c r="Z12" s="9">
        <f>Z10-Z11</f>
        <v>1710.4913639999986</v>
      </c>
      <c r="AA12" s="9">
        <f>AA10-AA11</f>
        <v>1762.6631859199999</v>
      </c>
      <c r="AB12" s="9">
        <f t="shared" ref="AB12:AJ12" si="13">AB10-AB11</f>
        <v>1816.1531314975996</v>
      </c>
      <c r="AC12" s="9">
        <f t="shared" si="13"/>
        <v>1901.9164404065282</v>
      </c>
      <c r="AD12" s="9">
        <f t="shared" si="13"/>
        <v>1990.8974394570041</v>
      </c>
      <c r="AE12" s="9">
        <f t="shared" si="13"/>
        <v>2063.6506461705649</v>
      </c>
      <c r="AF12" s="9">
        <f t="shared" si="13"/>
        <v>2138.2306421455169</v>
      </c>
      <c r="AG12" s="9">
        <f t="shared" si="13"/>
        <v>2214.6797990457508</v>
      </c>
      <c r="AH12" s="9">
        <f t="shared" si="13"/>
        <v>2293.0415002585955</v>
      </c>
      <c r="AI12" s="9">
        <f t="shared" si="13"/>
        <v>2373.3601680687498</v>
      </c>
      <c r="AJ12" s="9">
        <f t="shared" si="13"/>
        <v>2455.6812917099287</v>
      </c>
      <c r="AK12" s="1">
        <f>AJ12*(1+$AM$17)</f>
        <v>2431.1244787928294</v>
      </c>
      <c r="AL12" s="1">
        <f t="shared" ref="AL12:CW12" si="14">AK12*(1+$AM$17)</f>
        <v>2406.813234004901</v>
      </c>
      <c r="AM12" s="1">
        <f t="shared" si="14"/>
        <v>2382.745101664852</v>
      </c>
      <c r="AN12" s="1">
        <f t="shared" si="14"/>
        <v>2358.9176506482036</v>
      </c>
      <c r="AO12" s="1">
        <f t="shared" si="14"/>
        <v>2335.3284741417215</v>
      </c>
      <c r="AP12" s="1">
        <f t="shared" si="14"/>
        <v>2311.9751894003043</v>
      </c>
      <c r="AQ12" s="1">
        <f t="shared" si="14"/>
        <v>2288.8554375063013</v>
      </c>
      <c r="AR12" s="1">
        <f t="shared" si="14"/>
        <v>2265.9668831312383</v>
      </c>
      <c r="AS12" s="1">
        <f t="shared" si="14"/>
        <v>2243.3072142999258</v>
      </c>
      <c r="AT12" s="1">
        <f t="shared" si="14"/>
        <v>2220.8741421569266</v>
      </c>
      <c r="AU12" s="1">
        <f t="shared" si="14"/>
        <v>2198.6654007353573</v>
      </c>
      <c r="AV12" s="1">
        <f t="shared" si="14"/>
        <v>2176.6787467280037</v>
      </c>
      <c r="AW12" s="1">
        <f t="shared" si="14"/>
        <v>2154.9119592607235</v>
      </c>
      <c r="AX12" s="1">
        <f t="shared" si="14"/>
        <v>2133.3628396681161</v>
      </c>
      <c r="AY12" s="1">
        <f t="shared" si="14"/>
        <v>2112.0292112714351</v>
      </c>
      <c r="AZ12" s="1">
        <f t="shared" si="14"/>
        <v>2090.9089191587209</v>
      </c>
      <c r="BA12" s="1">
        <f t="shared" si="14"/>
        <v>2069.9998299671338</v>
      </c>
      <c r="BB12" s="1">
        <f t="shared" si="14"/>
        <v>2049.2998316674625</v>
      </c>
      <c r="BC12" s="1">
        <f t="shared" si="14"/>
        <v>2028.8068333507879</v>
      </c>
      <c r="BD12" s="1">
        <f t="shared" si="14"/>
        <v>2008.51876501728</v>
      </c>
      <c r="BE12" s="1">
        <f t="shared" si="14"/>
        <v>1988.4335773671071</v>
      </c>
      <c r="BF12" s="1">
        <f t="shared" si="14"/>
        <v>1968.5492415934359</v>
      </c>
      <c r="BG12" s="1">
        <f t="shared" si="14"/>
        <v>1948.8637491775016</v>
      </c>
      <c r="BH12" s="1">
        <f t="shared" si="14"/>
        <v>1929.3751116857266</v>
      </c>
      <c r="BI12" s="1">
        <f t="shared" si="14"/>
        <v>1910.0813605688693</v>
      </c>
      <c r="BJ12" s="1">
        <f t="shared" si="14"/>
        <v>1890.9805469631806</v>
      </c>
      <c r="BK12" s="1">
        <f t="shared" si="14"/>
        <v>1872.0707414935487</v>
      </c>
      <c r="BL12" s="1">
        <f t="shared" si="14"/>
        <v>1853.3500340786131</v>
      </c>
      <c r="BM12" s="1">
        <f t="shared" si="14"/>
        <v>1834.8165337378271</v>
      </c>
      <c r="BN12" s="1">
        <f t="shared" si="14"/>
        <v>1816.4683684004488</v>
      </c>
      <c r="BO12" s="1">
        <f t="shared" si="14"/>
        <v>1798.3036847164442</v>
      </c>
      <c r="BP12" s="1">
        <f t="shared" si="14"/>
        <v>1780.3206478692798</v>
      </c>
      <c r="BQ12" s="1">
        <f t="shared" si="14"/>
        <v>1762.517441390587</v>
      </c>
      <c r="BR12" s="1">
        <f t="shared" si="14"/>
        <v>1744.8922669766812</v>
      </c>
      <c r="BS12" s="1">
        <f t="shared" si="14"/>
        <v>1727.4433443069145</v>
      </c>
      <c r="BT12" s="1">
        <f t="shared" si="14"/>
        <v>1710.1689108638452</v>
      </c>
      <c r="BU12" s="1">
        <f t="shared" si="14"/>
        <v>1693.0672217552067</v>
      </c>
      <c r="BV12" s="1">
        <f t="shared" si="14"/>
        <v>1676.1365495376547</v>
      </c>
      <c r="BW12" s="1">
        <f t="shared" si="14"/>
        <v>1659.3751840422781</v>
      </c>
      <c r="BX12" s="1">
        <f t="shared" si="14"/>
        <v>1642.7814322018553</v>
      </c>
      <c r="BY12" s="1">
        <f t="shared" si="14"/>
        <v>1626.3536178798367</v>
      </c>
      <c r="BZ12" s="1">
        <f t="shared" si="14"/>
        <v>1610.0900817010383</v>
      </c>
      <c r="CA12" s="1">
        <f t="shared" si="14"/>
        <v>1593.989180884028</v>
      </c>
      <c r="CB12" s="1">
        <f t="shared" si="14"/>
        <v>1578.0492890751877</v>
      </c>
      <c r="CC12" s="1">
        <f t="shared" si="14"/>
        <v>1562.2687961844358</v>
      </c>
      <c r="CD12" s="1">
        <f t="shared" si="14"/>
        <v>1546.6461082225915</v>
      </c>
      <c r="CE12" s="1">
        <f t="shared" si="14"/>
        <v>1531.1796471403654</v>
      </c>
      <c r="CF12" s="1">
        <f t="shared" si="14"/>
        <v>1515.8678506689619</v>
      </c>
      <c r="CG12" s="1">
        <f t="shared" si="14"/>
        <v>1500.7091721622721</v>
      </c>
      <c r="CH12" s="1">
        <f t="shared" si="14"/>
        <v>1485.7020804406493</v>
      </c>
      <c r="CI12" s="1">
        <f t="shared" si="14"/>
        <v>1470.8450596362427</v>
      </c>
      <c r="CJ12" s="1">
        <f t="shared" si="14"/>
        <v>1456.1366090398803</v>
      </c>
      <c r="CK12" s="1">
        <f t="shared" si="14"/>
        <v>1441.5752429494814</v>
      </c>
      <c r="CL12" s="1">
        <f t="shared" si="14"/>
        <v>1427.1594905199865</v>
      </c>
      <c r="CM12" s="1">
        <f t="shared" si="14"/>
        <v>1412.8878956147867</v>
      </c>
      <c r="CN12" s="1">
        <f t="shared" si="14"/>
        <v>1398.7590166586388</v>
      </c>
      <c r="CO12" s="1">
        <f t="shared" si="14"/>
        <v>1384.7714264920523</v>
      </c>
      <c r="CP12" s="1">
        <f t="shared" si="14"/>
        <v>1370.9237122271318</v>
      </c>
      <c r="CQ12" s="1">
        <f t="shared" si="14"/>
        <v>1357.2144751048604</v>
      </c>
      <c r="CR12" s="1">
        <f t="shared" si="14"/>
        <v>1343.6423303538118</v>
      </c>
      <c r="CS12" s="1">
        <f t="shared" si="14"/>
        <v>1330.2059070502737</v>
      </c>
      <c r="CT12" s="1">
        <f t="shared" si="14"/>
        <v>1316.9038479797709</v>
      </c>
      <c r="CU12" s="1">
        <f t="shared" si="14"/>
        <v>1303.7348094999732</v>
      </c>
      <c r="CV12" s="1">
        <f t="shared" si="14"/>
        <v>1290.6974614049734</v>
      </c>
      <c r="CW12" s="1">
        <f t="shared" si="14"/>
        <v>1277.7904867909238</v>
      </c>
      <c r="CX12" s="1">
        <f t="shared" ref="CX12:EW12" si="15">CW12*(1+$AM$17)</f>
        <v>1265.0125819230145</v>
      </c>
      <c r="CY12" s="1">
        <f t="shared" si="15"/>
        <v>1252.3624561037843</v>
      </c>
      <c r="CZ12" s="1">
        <f t="shared" si="15"/>
        <v>1239.8388315427464</v>
      </c>
      <c r="DA12" s="1">
        <f t="shared" si="15"/>
        <v>1227.4404432273191</v>
      </c>
      <c r="DB12" s="1">
        <f t="shared" si="15"/>
        <v>1215.1660387950458</v>
      </c>
      <c r="DC12" s="1">
        <f t="shared" si="15"/>
        <v>1203.0143784070954</v>
      </c>
      <c r="DD12" s="1">
        <f t="shared" si="15"/>
        <v>1190.9842346230243</v>
      </c>
      <c r="DE12" s="1">
        <f t="shared" si="15"/>
        <v>1179.074392276794</v>
      </c>
      <c r="DF12" s="1">
        <f t="shared" si="15"/>
        <v>1167.2836483540261</v>
      </c>
      <c r="DG12" s="1">
        <f t="shared" si="15"/>
        <v>1155.6108118704858</v>
      </c>
      <c r="DH12" s="1">
        <f t="shared" si="15"/>
        <v>1144.0547037517808</v>
      </c>
      <c r="DI12" s="1">
        <f t="shared" si="15"/>
        <v>1132.6141567142631</v>
      </c>
      <c r="DJ12" s="1">
        <f t="shared" si="15"/>
        <v>1121.2880151471204</v>
      </c>
      <c r="DK12" s="1">
        <f t="shared" si="15"/>
        <v>1110.0751349956493</v>
      </c>
      <c r="DL12" s="1">
        <f t="shared" si="15"/>
        <v>1098.9743836456928</v>
      </c>
      <c r="DM12" s="1">
        <f t="shared" si="15"/>
        <v>1087.9846398092359</v>
      </c>
      <c r="DN12" s="1">
        <f t="shared" si="15"/>
        <v>1077.1047934111434</v>
      </c>
      <c r="DO12" s="1">
        <f t="shared" si="15"/>
        <v>1066.3337454770319</v>
      </c>
      <c r="DP12" s="1">
        <f t="shared" si="15"/>
        <v>1055.6704080222617</v>
      </c>
      <c r="DQ12" s="1">
        <f t="shared" si="15"/>
        <v>1045.1137039420391</v>
      </c>
      <c r="DR12" s="1">
        <f t="shared" si="15"/>
        <v>1034.6625669026187</v>
      </c>
      <c r="DS12" s="1">
        <f t="shared" si="15"/>
        <v>1024.3159412335924</v>
      </c>
      <c r="DT12" s="1">
        <f t="shared" si="15"/>
        <v>1014.0727818212565</v>
      </c>
      <c r="DU12" s="1">
        <f t="shared" si="15"/>
        <v>1003.932054003044</v>
      </c>
      <c r="DV12" s="1">
        <f t="shared" si="15"/>
        <v>993.89273346301354</v>
      </c>
      <c r="DW12" s="1">
        <f t="shared" si="15"/>
        <v>983.95380612838335</v>
      </c>
      <c r="DX12" s="1">
        <f t="shared" si="15"/>
        <v>974.11426806709949</v>
      </c>
      <c r="DY12" s="1">
        <f t="shared" si="15"/>
        <v>964.37312538642846</v>
      </c>
      <c r="DZ12" s="1">
        <f t="shared" si="15"/>
        <v>954.72939413256415</v>
      </c>
      <c r="EA12" s="1">
        <f t="shared" si="15"/>
        <v>945.18210019123853</v>
      </c>
      <c r="EB12" s="1">
        <f t="shared" si="15"/>
        <v>935.7302791893261</v>
      </c>
      <c r="EC12" s="1">
        <f t="shared" si="15"/>
        <v>926.37297639743281</v>
      </c>
      <c r="ED12" s="1">
        <f t="shared" si="15"/>
        <v>917.1092466334585</v>
      </c>
      <c r="EE12" s="1">
        <f t="shared" si="15"/>
        <v>907.93815416712391</v>
      </c>
      <c r="EF12" s="1">
        <f t="shared" si="15"/>
        <v>898.85877262545262</v>
      </c>
      <c r="EG12" s="1">
        <f t="shared" si="15"/>
        <v>889.87018489919808</v>
      </c>
      <c r="EH12" s="1">
        <f t="shared" si="15"/>
        <v>880.97148305020607</v>
      </c>
      <c r="EI12" s="1">
        <f t="shared" si="15"/>
        <v>872.16176821970396</v>
      </c>
      <c r="EJ12" s="1">
        <f t="shared" si="15"/>
        <v>863.44015053750695</v>
      </c>
      <c r="EK12" s="1">
        <f t="shared" si="15"/>
        <v>854.80574903213187</v>
      </c>
      <c r="EL12" s="1">
        <f t="shared" si="15"/>
        <v>846.25769154181057</v>
      </c>
      <c r="EM12" s="1">
        <f t="shared" si="15"/>
        <v>837.79511462639243</v>
      </c>
      <c r="EN12" s="1">
        <f t="shared" si="15"/>
        <v>829.41716348012847</v>
      </c>
      <c r="EO12" s="1">
        <f t="shared" si="15"/>
        <v>821.12299184532719</v>
      </c>
      <c r="EP12" s="1">
        <f t="shared" si="15"/>
        <v>812.91176192687396</v>
      </c>
      <c r="EQ12" s="1">
        <f t="shared" si="15"/>
        <v>804.78264430760521</v>
      </c>
      <c r="ER12" s="1">
        <f t="shared" si="15"/>
        <v>796.73481786452919</v>
      </c>
      <c r="ES12" s="1">
        <f t="shared" si="15"/>
        <v>788.76746968588384</v>
      </c>
      <c r="ET12" s="1">
        <f t="shared" si="15"/>
        <v>780.87979498902496</v>
      </c>
      <c r="EU12" s="1">
        <f t="shared" si="15"/>
        <v>773.07099703913468</v>
      </c>
      <c r="EV12" s="1">
        <f t="shared" si="15"/>
        <v>765.34028706874335</v>
      </c>
      <c r="EW12" s="1">
        <f t="shared" si="15"/>
        <v>757.68688419805596</v>
      </c>
    </row>
    <row r="13" spans="2:153" x14ac:dyDescent="0.3">
      <c r="B13" t="s">
        <v>2</v>
      </c>
      <c r="C13" s="6">
        <f>118.6</f>
        <v>118.6</v>
      </c>
      <c r="D13" s="6">
        <f>118.6</f>
        <v>118.6</v>
      </c>
      <c r="G13" s="6">
        <f>118.6</f>
        <v>118.6</v>
      </c>
      <c r="H13" s="6">
        <f>118.6</f>
        <v>118.6</v>
      </c>
      <c r="I13" s="6">
        <f>118.6</f>
        <v>118.6</v>
      </c>
      <c r="J13" s="6">
        <f>118.6</f>
        <v>118.6</v>
      </c>
      <c r="K13" s="6">
        <f>118.6</f>
        <v>118.6</v>
      </c>
      <c r="L13" s="6">
        <f>118.6</f>
        <v>118.6</v>
      </c>
      <c r="M13" s="6">
        <f>118.6</f>
        <v>118.6</v>
      </c>
      <c r="N13" s="6">
        <f>118.6</f>
        <v>118.6</v>
      </c>
      <c r="O13" s="6">
        <f>118.6</f>
        <v>118.6</v>
      </c>
      <c r="P13" s="6">
        <f>118.6</f>
        <v>118.6</v>
      </c>
      <c r="Q13" s="6">
        <f t="shared" ref="Q13:R13" si="16">118.6</f>
        <v>118.6</v>
      </c>
      <c r="R13" s="6">
        <f t="shared" si="16"/>
        <v>118.6</v>
      </c>
      <c r="T13" s="6">
        <f>118.6</f>
        <v>118.6</v>
      </c>
      <c r="U13" s="6">
        <f>118.6</f>
        <v>118.6</v>
      </c>
      <c r="V13" s="6">
        <f>118.6</f>
        <v>118.6</v>
      </c>
      <c r="W13" s="6">
        <f>118.6</f>
        <v>118.6</v>
      </c>
      <c r="X13" s="6">
        <f>118.6</f>
        <v>118.6</v>
      </c>
      <c r="Y13" s="6">
        <f>118.6</f>
        <v>118.6</v>
      </c>
      <c r="Z13" s="6">
        <f>118.6</f>
        <v>118.6</v>
      </c>
      <c r="AA13" s="6">
        <f>118.6</f>
        <v>118.6</v>
      </c>
      <c r="AB13" s="6">
        <f t="shared" ref="AB13:AJ13" si="17">118.6</f>
        <v>118.6</v>
      </c>
      <c r="AC13" s="6">
        <f t="shared" si="17"/>
        <v>118.6</v>
      </c>
      <c r="AD13" s="6">
        <f t="shared" si="17"/>
        <v>118.6</v>
      </c>
      <c r="AE13" s="6">
        <f t="shared" si="17"/>
        <v>118.6</v>
      </c>
      <c r="AF13" s="6">
        <f t="shared" si="17"/>
        <v>118.6</v>
      </c>
      <c r="AG13" s="6">
        <f t="shared" si="17"/>
        <v>118.6</v>
      </c>
      <c r="AH13" s="6">
        <f t="shared" si="17"/>
        <v>118.6</v>
      </c>
      <c r="AI13" s="6">
        <f t="shared" si="17"/>
        <v>118.6</v>
      </c>
      <c r="AJ13" s="6">
        <f t="shared" si="17"/>
        <v>118.6</v>
      </c>
    </row>
    <row r="14" spans="2:153" x14ac:dyDescent="0.3">
      <c r="B14" t="s">
        <v>32</v>
      </c>
      <c r="C14" s="8">
        <f>C12/C13</f>
        <v>1.6020236087689714</v>
      </c>
      <c r="D14" s="8">
        <f>D12/D13</f>
        <v>2.4401349072512661</v>
      </c>
      <c r="G14" s="8">
        <f>G12/G13</f>
        <v>2.4485666104553121</v>
      </c>
      <c r="H14" s="8">
        <f>H12/H13</f>
        <v>2.8802698145025278</v>
      </c>
      <c r="I14" s="8">
        <f>I12/I13</f>
        <v>2.0961214165261381</v>
      </c>
      <c r="J14" s="8">
        <f>J12/J13</f>
        <v>5.6467116357504183</v>
      </c>
      <c r="K14" s="8">
        <f>K12/K13</f>
        <v>2.7107925801011818</v>
      </c>
      <c r="L14" s="8">
        <f>L12/L13</f>
        <v>3.3128161888701504</v>
      </c>
      <c r="M14" s="8">
        <f>M12/M13</f>
        <v>2.9671163575042154</v>
      </c>
      <c r="N14" s="8">
        <f>N12/N13</f>
        <v>6.3094435075885364</v>
      </c>
      <c r="O14" s="8">
        <f>O12/O13</f>
        <v>2.6534569983136578</v>
      </c>
      <c r="P14" s="8">
        <f>P12/P13</f>
        <v>3.1273187183811109</v>
      </c>
      <c r="Q14" s="8">
        <f t="shared" ref="Q14:R14" si="18">Q12/Q13</f>
        <v>2.9550151770657669</v>
      </c>
      <c r="R14" s="8">
        <f t="shared" si="18"/>
        <v>5.6865646205733587</v>
      </c>
      <c r="T14" s="8">
        <f>T12/T13</f>
        <v>5.4443507588532887</v>
      </c>
      <c r="U14" s="8">
        <f>U12/U13</f>
        <v>4.9662731871838073</v>
      </c>
      <c r="V14" s="8">
        <f>V12/V13</f>
        <v>8.2234401349072552</v>
      </c>
      <c r="W14" s="8">
        <f>W12/W13</f>
        <v>7.2074198988195635</v>
      </c>
      <c r="X14" s="8">
        <f>X12/X13</f>
        <v>13.0716694772344</v>
      </c>
      <c r="Y14" s="8">
        <f>Y12/Y13</f>
        <v>15.300168634064084</v>
      </c>
      <c r="Z14" s="8">
        <f>Z12/Z13</f>
        <v>14.422355514333885</v>
      </c>
      <c r="AA14" s="8">
        <f>AA12/AA13</f>
        <v>14.86225283237774</v>
      </c>
      <c r="AB14" s="8">
        <f t="shared" ref="AB14:AJ14" si="19">AB12/AB13</f>
        <v>15.3132641778887</v>
      </c>
      <c r="AC14" s="8">
        <f t="shared" si="19"/>
        <v>16.036394944405803</v>
      </c>
      <c r="AD14" s="8">
        <f t="shared" si="19"/>
        <v>16.786656319199025</v>
      </c>
      <c r="AE14" s="8">
        <f t="shared" si="19"/>
        <v>17.400089765350465</v>
      </c>
      <c r="AF14" s="8">
        <f t="shared" si="19"/>
        <v>18.028926156370296</v>
      </c>
      <c r="AG14" s="8">
        <f t="shared" si="19"/>
        <v>18.673522757552707</v>
      </c>
      <c r="AH14" s="8">
        <f t="shared" si="19"/>
        <v>19.334245364743641</v>
      </c>
      <c r="AI14" s="8">
        <f t="shared" si="19"/>
        <v>20.011468533463322</v>
      </c>
      <c r="AJ14" s="8">
        <f t="shared" si="19"/>
        <v>20.705575815429416</v>
      </c>
    </row>
    <row r="16" spans="2:153" x14ac:dyDescent="0.3">
      <c r="B16" t="s">
        <v>34</v>
      </c>
      <c r="G16" s="11">
        <f t="shared" ref="G16" si="20">G3/C3-1</f>
        <v>0.24003718624109083</v>
      </c>
      <c r="H16" s="11">
        <f t="shared" ref="H16" si="21">H3/D3-1</f>
        <v>0.18246534282502802</v>
      </c>
      <c r="I16" s="11"/>
      <c r="J16" s="11"/>
      <c r="K16" s="11">
        <f t="shared" ref="K16" si="22">K3/G3-1</f>
        <v>0.10400839664134343</v>
      </c>
      <c r="L16" s="11">
        <f t="shared" ref="L16" si="23">L3/H3-1</f>
        <v>7.3284446858591368E-2</v>
      </c>
      <c r="M16" s="11">
        <f t="shared" ref="M16:O16" si="24">M3/I3-1</f>
        <v>8.7333272842754717E-2</v>
      </c>
      <c r="N16" s="11">
        <f t="shared" si="24"/>
        <v>0.12676671554709729</v>
      </c>
      <c r="O16" s="11">
        <f t="shared" si="24"/>
        <v>7.3249128525510354E-2</v>
      </c>
      <c r="P16" s="11">
        <f>P3/L3-1</f>
        <v>6.4990932478596442E-2</v>
      </c>
      <c r="Q16" s="11">
        <f t="shared" ref="Q16:R16" si="25">Q3/M3-1</f>
        <v>3.6842324863353815E-2</v>
      </c>
      <c r="R16" s="11">
        <f t="shared" si="25"/>
        <v>2.0000000000000018E-2</v>
      </c>
      <c r="T16" s="11"/>
      <c r="U16" s="11">
        <f t="shared" ref="T16:Y16" si="26">U3/T3-1</f>
        <v>0.10619958284120301</v>
      </c>
      <c r="V16" s="11">
        <f t="shared" si="26"/>
        <v>0.4213407846611692</v>
      </c>
      <c r="W16" s="11">
        <f t="shared" si="26"/>
        <v>0.29631109548316981</v>
      </c>
      <c r="X16" s="11">
        <f t="shared" si="26"/>
        <v>0.1860304543493001</v>
      </c>
      <c r="Y16" s="11">
        <f>Y3/X3-1</f>
        <v>0.10071418918216524</v>
      </c>
      <c r="Z16" s="11">
        <f>Z3/Y3-1</f>
        <v>4.4996552733729267E-2</v>
      </c>
      <c r="AA16" s="11">
        <f t="shared" ref="AA16:AJ16" si="27">AA3/Z3-1</f>
        <v>3.0000000000000027E-2</v>
      </c>
      <c r="AB16" s="11">
        <f t="shared" si="27"/>
        <v>3.0000000000000027E-2</v>
      </c>
      <c r="AC16" s="11">
        <f t="shared" si="27"/>
        <v>3.0000000000000027E-2</v>
      </c>
      <c r="AD16" s="11">
        <f t="shared" si="27"/>
        <v>3.0000000000000027E-2</v>
      </c>
      <c r="AE16" s="11">
        <f t="shared" si="27"/>
        <v>2.0000000000000018E-2</v>
      </c>
      <c r="AF16" s="11">
        <f t="shared" si="27"/>
        <v>2.0000000000000018E-2</v>
      </c>
      <c r="AG16" s="11">
        <f t="shared" si="27"/>
        <v>2.0000000000000018E-2</v>
      </c>
      <c r="AH16" s="11">
        <f t="shared" si="27"/>
        <v>2.0000000000000018E-2</v>
      </c>
      <c r="AI16" s="11">
        <f t="shared" si="27"/>
        <v>2.0000000000000018E-2</v>
      </c>
      <c r="AJ16" s="11">
        <f t="shared" si="27"/>
        <v>2.0000000000000018E-2</v>
      </c>
    </row>
    <row r="17" spans="2:39" x14ac:dyDescent="0.3">
      <c r="B17" t="s">
        <v>39</v>
      </c>
      <c r="C17" s="11">
        <f t="shared" ref="C17:P17" si="28">C5/C3</f>
        <v>0.53944840409048656</v>
      </c>
      <c r="D17" s="11">
        <f t="shared" si="28"/>
        <v>0.56489857089332551</v>
      </c>
      <c r="E17" s="11"/>
      <c r="F17" s="11"/>
      <c r="G17" s="11">
        <f t="shared" si="28"/>
        <v>0.57516993202718913</v>
      </c>
      <c r="H17" s="11">
        <f t="shared" si="28"/>
        <v>0.58776932826362482</v>
      </c>
      <c r="I17" s="11">
        <f t="shared" si="28"/>
        <v>0.57009345794392519</v>
      </c>
      <c r="J17" s="11">
        <f t="shared" si="28"/>
        <v>0.59389722629559127</v>
      </c>
      <c r="K17" s="11">
        <f t="shared" si="28"/>
        <v>0.57725564760740644</v>
      </c>
      <c r="L17" s="11">
        <f t="shared" si="28"/>
        <v>0.5955885454008687</v>
      </c>
      <c r="M17" s="11">
        <f t="shared" si="28"/>
        <v>0.5848041056452622</v>
      </c>
      <c r="N17" s="11">
        <f t="shared" si="28"/>
        <v>0.60417012792822722</v>
      </c>
      <c r="O17" s="11">
        <f t="shared" si="28"/>
        <v>0.58345636309950644</v>
      </c>
      <c r="P17" s="11">
        <f>P5/P3</f>
        <v>0.58498336765404713</v>
      </c>
      <c r="Q17" s="11">
        <f t="shared" ref="Q17:R17" si="29">Q5/Q3</f>
        <v>0.59</v>
      </c>
      <c r="R17" s="11">
        <f t="shared" si="29"/>
        <v>0.59</v>
      </c>
      <c r="T17" s="11">
        <f t="shared" ref="T17:Y17" si="30">T5/T3</f>
        <v>0.5587414871962405</v>
      </c>
      <c r="U17" s="11">
        <f t="shared" si="30"/>
        <v>0.55975828619459778</v>
      </c>
      <c r="V17" s="11">
        <f t="shared" si="30"/>
        <v>0.57675095099574858</v>
      </c>
      <c r="W17" s="11">
        <f t="shared" si="30"/>
        <v>0.55388693668701072</v>
      </c>
      <c r="X17" s="11">
        <f t="shared" si="30"/>
        <v>0.58314014533282044</v>
      </c>
      <c r="Y17" s="11">
        <f t="shared" ref="T17:Y17" si="31">Y5/Y3</f>
        <v>0.59224978985842591</v>
      </c>
      <c r="Z17" s="11">
        <f t="shared" ref="Z17:AJ17" si="32">Z5/Z3</f>
        <v>0.58745303188712605</v>
      </c>
      <c r="AA17" s="11">
        <f t="shared" si="32"/>
        <v>0.59</v>
      </c>
      <c r="AB17" s="11">
        <f t="shared" si="32"/>
        <v>0.59</v>
      </c>
      <c r="AC17" s="11">
        <f t="shared" si="32"/>
        <v>0.59</v>
      </c>
      <c r="AD17" s="11">
        <f t="shared" si="32"/>
        <v>0.59</v>
      </c>
      <c r="AE17" s="11">
        <f t="shared" si="32"/>
        <v>0.59</v>
      </c>
      <c r="AF17" s="11">
        <f t="shared" si="32"/>
        <v>0.59</v>
      </c>
      <c r="AG17" s="11">
        <f t="shared" si="32"/>
        <v>0.59</v>
      </c>
      <c r="AH17" s="11">
        <f t="shared" si="32"/>
        <v>0.59</v>
      </c>
      <c r="AI17" s="11">
        <f t="shared" si="32"/>
        <v>0.59</v>
      </c>
      <c r="AJ17" s="11">
        <f t="shared" si="32"/>
        <v>0.59000000000000008</v>
      </c>
      <c r="AL17" t="s">
        <v>43</v>
      </c>
      <c r="AM17" s="11">
        <v>-0.01</v>
      </c>
    </row>
    <row r="18" spans="2:39" x14ac:dyDescent="0.3">
      <c r="B18" t="s">
        <v>40</v>
      </c>
      <c r="C18" s="11"/>
      <c r="D18" s="11"/>
      <c r="E18" s="11"/>
      <c r="F18" s="11"/>
      <c r="G18" s="11">
        <f t="shared" ref="E18:O18" si="33">G6/C6-1</f>
        <v>0.22964303339365033</v>
      </c>
      <c r="H18" s="11">
        <f t="shared" si="33"/>
        <v>0.23418390457496607</v>
      </c>
      <c r="I18" s="11"/>
      <c r="J18" s="11"/>
      <c r="K18" s="11">
        <f t="shared" si="33"/>
        <v>0.12695652173913041</v>
      </c>
      <c r="L18" s="11">
        <f t="shared" si="33"/>
        <v>6.6797161732321975E-2</v>
      </c>
      <c r="M18" s="11">
        <f t="shared" si="33"/>
        <v>7.9496915045087713E-2</v>
      </c>
      <c r="N18" s="11">
        <f t="shared" si="33"/>
        <v>0.15027791814047586</v>
      </c>
      <c r="O18" s="11">
        <f t="shared" si="33"/>
        <v>0.1193019943019944</v>
      </c>
      <c r="P18" s="11">
        <f>P6/L6-1</f>
        <v>9.1399082568807355E-2</v>
      </c>
      <c r="Q18" s="11">
        <f t="shared" ref="Q18:R18" si="34">Q6/M6-1</f>
        <v>7.0000000000000062E-2</v>
      </c>
      <c r="R18" s="11">
        <f t="shared" si="34"/>
        <v>7.0000000000000062E-2</v>
      </c>
      <c r="T18" s="11"/>
      <c r="U18" s="11">
        <f t="shared" ref="T18:Y18" si="35">U6/T6-1</f>
        <v>0.20596612202068654</v>
      </c>
      <c r="V18" s="11">
        <f t="shared" si="35"/>
        <v>0.38284648850217518</v>
      </c>
      <c r="W18" s="11">
        <f t="shared" si="35"/>
        <v>0.23928089887640458</v>
      </c>
      <c r="X18" s="11">
        <f t="shared" si="35"/>
        <v>0.23203017335170806</v>
      </c>
      <c r="Y18" s="11">
        <f>Y6/X6-1</f>
        <v>0.10750029436006137</v>
      </c>
      <c r="Z18" s="11">
        <f>Z6/Y6-1</f>
        <v>8.5998298958111841E-2</v>
      </c>
      <c r="AA18" s="11">
        <f t="shared" ref="AA18:AJ18" si="36">AA6/Z6-1</f>
        <v>4.0000000000000036E-2</v>
      </c>
      <c r="AB18" s="11">
        <f t="shared" si="36"/>
        <v>3.0000000000000027E-2</v>
      </c>
      <c r="AC18" s="11">
        <f t="shared" si="36"/>
        <v>2.0000000000000018E-2</v>
      </c>
      <c r="AD18" s="11">
        <f t="shared" si="36"/>
        <v>2.0000000000000018E-2</v>
      </c>
      <c r="AE18" s="11">
        <f t="shared" si="36"/>
        <v>1.0000000000000009E-2</v>
      </c>
      <c r="AF18" s="11">
        <f t="shared" si="36"/>
        <v>1.0000000000000009E-2</v>
      </c>
      <c r="AG18" s="11">
        <f t="shared" si="36"/>
        <v>1.0000000000000009E-2</v>
      </c>
      <c r="AH18" s="11">
        <f t="shared" si="36"/>
        <v>1.0000000000000009E-2</v>
      </c>
      <c r="AI18" s="11">
        <f t="shared" si="36"/>
        <v>1.0000000000000009E-2</v>
      </c>
      <c r="AJ18" s="11">
        <f t="shared" si="36"/>
        <v>1.0000000000000009E-2</v>
      </c>
      <c r="AL18" t="s">
        <v>44</v>
      </c>
      <c r="AM18" s="11">
        <v>0.08</v>
      </c>
    </row>
    <row r="19" spans="2:39" x14ac:dyDescent="0.3">
      <c r="B19" t="s">
        <v>41</v>
      </c>
      <c r="C19" s="11">
        <f t="shared" ref="C19:P19" si="37">C8/C3</f>
        <v>0.16132630926557173</v>
      </c>
      <c r="D19" s="11">
        <f t="shared" si="37"/>
        <v>0.21468714874484834</v>
      </c>
      <c r="E19" s="11"/>
      <c r="F19" s="11"/>
      <c r="G19" s="11">
        <f t="shared" si="37"/>
        <v>0.20061975209916033</v>
      </c>
      <c r="H19" s="11">
        <f t="shared" si="37"/>
        <v>0.21691109904037653</v>
      </c>
      <c r="I19" s="11">
        <f t="shared" si="37"/>
        <v>0.15334361673169403</v>
      </c>
      <c r="J19" s="11">
        <f t="shared" si="37"/>
        <v>0.28520170977504594</v>
      </c>
      <c r="K19" s="11">
        <f t="shared" si="37"/>
        <v>0.19588935669337687</v>
      </c>
      <c r="L19" s="11">
        <f t="shared" si="37"/>
        <v>0.22782674707941455</v>
      </c>
      <c r="M19" s="11">
        <f t="shared" si="37"/>
        <v>0.20473985062794675</v>
      </c>
      <c r="N19" s="11">
        <f t="shared" si="37"/>
        <v>0.28855845378523565</v>
      </c>
      <c r="O19" s="11">
        <f t="shared" si="37"/>
        <v>0.18505082886911034</v>
      </c>
      <c r="P19" s="11">
        <f>P8/P3</f>
        <v>0.20742911452558205</v>
      </c>
      <c r="Q19" s="11">
        <f t="shared" ref="Q19:R19" si="38">Q8/Q3</f>
        <v>0.19745030181086515</v>
      </c>
      <c r="R19" s="11">
        <f t="shared" si="38"/>
        <v>0.25883898156925728</v>
      </c>
      <c r="T19" s="11">
        <f t="shared" ref="T19:Y19" si="39">T8/T3</f>
        <v>0.2234563868016988</v>
      </c>
      <c r="U19" s="11">
        <f t="shared" si="39"/>
        <v>0.18628319589268261</v>
      </c>
      <c r="V19" s="11">
        <f t="shared" si="39"/>
        <v>0.21310296327078609</v>
      </c>
      <c r="W19" s="11">
        <f t="shared" si="39"/>
        <v>0.16378768263362309</v>
      </c>
      <c r="X19" s="11">
        <f t="shared" si="39"/>
        <v>0.22171051947646919</v>
      </c>
      <c r="Y19" s="11">
        <f t="shared" ref="T19:Y19" si="40">Y8/Y3</f>
        <v>0.23665246833709544</v>
      </c>
      <c r="Z19" s="11">
        <f t="shared" ref="Z19:AJ19" si="41">Z8/Z3</f>
        <v>0.217508647454279</v>
      </c>
      <c r="AA19" s="11">
        <f t="shared" si="41"/>
        <v>0.2171300940660906</v>
      </c>
      <c r="AB19" s="11">
        <f t="shared" si="41"/>
        <v>0.21713009406609055</v>
      </c>
      <c r="AC19" s="11">
        <f t="shared" si="41"/>
        <v>0.2207501902402062</v>
      </c>
      <c r="AD19" s="11">
        <f t="shared" si="41"/>
        <v>0.22433513984952461</v>
      </c>
      <c r="AE19" s="11">
        <f t="shared" si="41"/>
        <v>0.22792008945884298</v>
      </c>
      <c r="AF19" s="11">
        <f t="shared" si="41"/>
        <v>0.23146989250336419</v>
      </c>
      <c r="AG19" s="11">
        <f t="shared" si="41"/>
        <v>0.23498489355725277</v>
      </c>
      <c r="AH19" s="11">
        <f t="shared" si="41"/>
        <v>0.2384654338164954</v>
      </c>
      <c r="AI19" s="11">
        <f t="shared" si="41"/>
        <v>0.24191185113201991</v>
      </c>
      <c r="AJ19" s="11">
        <f t="shared" si="41"/>
        <v>0.24532448004249041</v>
      </c>
      <c r="AL19" t="s">
        <v>45</v>
      </c>
      <c r="AM19" s="6">
        <f>NPV(AM18,Z12:EW12)</f>
        <v>25918.627882935583</v>
      </c>
    </row>
    <row r="20" spans="2:39" x14ac:dyDescent="0.3">
      <c r="B20" t="s">
        <v>30</v>
      </c>
      <c r="C20" s="11">
        <f t="shared" ref="C20:P20" si="42">C11/C10</f>
        <v>0.27007299270072993</v>
      </c>
      <c r="D20" s="11">
        <f t="shared" si="42"/>
        <v>0.27866400797607166</v>
      </c>
      <c r="E20" s="11"/>
      <c r="F20" s="11"/>
      <c r="G20" s="11">
        <f t="shared" si="42"/>
        <v>0.29066927210552029</v>
      </c>
      <c r="H20" s="11">
        <f t="shared" si="42"/>
        <v>0.29798602548294301</v>
      </c>
      <c r="I20" s="11">
        <f t="shared" si="42"/>
        <v>0.28522139160437038</v>
      </c>
      <c r="J20" s="11">
        <f t="shared" si="42"/>
        <v>0.28143776824034344</v>
      </c>
      <c r="K20" s="11">
        <f t="shared" si="42"/>
        <v>0.29495614035087708</v>
      </c>
      <c r="L20" s="11">
        <f t="shared" si="42"/>
        <v>0.29613041920458627</v>
      </c>
      <c r="M20" s="11">
        <f t="shared" si="42"/>
        <v>0.30233941316415547</v>
      </c>
      <c r="N20" s="11">
        <f t="shared" si="42"/>
        <v>0.29238770685579185</v>
      </c>
      <c r="O20" s="11">
        <f t="shared" si="42"/>
        <v>0.30144284128745852</v>
      </c>
      <c r="P20" s="11">
        <f>P11/P10</f>
        <v>0.30477975632614818</v>
      </c>
      <c r="Q20" s="11">
        <f t="shared" ref="Q20:R20" si="43">Q11/Q10</f>
        <v>0.3</v>
      </c>
      <c r="R20" s="11">
        <f t="shared" si="43"/>
        <v>0.3</v>
      </c>
      <c r="T20" s="11">
        <f t="shared" ref="T20:Y20" si="44">T11/T10</f>
        <v>0.28055710306406684</v>
      </c>
      <c r="U20" s="11">
        <f t="shared" si="44"/>
        <v>0.28118135220893353</v>
      </c>
      <c r="V20" s="11">
        <f t="shared" si="44"/>
        <v>0.26878092667566345</v>
      </c>
      <c r="W20" s="11">
        <f t="shared" si="44"/>
        <v>0.35854720096052828</v>
      </c>
      <c r="X20" s="11">
        <f t="shared" si="44"/>
        <v>0.28748046695468338</v>
      </c>
      <c r="Y20" s="11">
        <f t="shared" ref="T20:Y20" si="45">Y11/Y10</f>
        <v>0.29560187880905242</v>
      </c>
      <c r="Z20" s="11">
        <f t="shared" ref="Z20:AJ20" si="46">Z11/Z10</f>
        <v>0.30130711985078329</v>
      </c>
      <c r="AA20" s="11">
        <f t="shared" si="46"/>
        <v>0.3</v>
      </c>
      <c r="AB20" s="11">
        <f t="shared" si="46"/>
        <v>0.3</v>
      </c>
      <c r="AC20" s="11">
        <f t="shared" si="46"/>
        <v>0.3</v>
      </c>
      <c r="AD20" s="11">
        <f t="shared" si="46"/>
        <v>0.3</v>
      </c>
      <c r="AE20" s="11">
        <f t="shared" si="46"/>
        <v>0.3</v>
      </c>
      <c r="AF20" s="11">
        <f t="shared" si="46"/>
        <v>0.3</v>
      </c>
      <c r="AG20" s="11">
        <f t="shared" si="46"/>
        <v>0.3</v>
      </c>
      <c r="AH20" s="11">
        <f t="shared" si="46"/>
        <v>0.3</v>
      </c>
      <c r="AI20" s="11">
        <f t="shared" si="46"/>
        <v>0.3</v>
      </c>
      <c r="AJ20" s="11">
        <f t="shared" si="46"/>
        <v>0.3</v>
      </c>
      <c r="AL20" t="s">
        <v>46</v>
      </c>
      <c r="AM20" s="6">
        <f>Main!D8</f>
        <v>1155.8</v>
      </c>
    </row>
    <row r="21" spans="2:39" x14ac:dyDescent="0.3">
      <c r="B21" t="s">
        <v>42</v>
      </c>
      <c r="C21" s="11">
        <f t="shared" ref="C21:P21" si="47">C12/C3</f>
        <v>0.11775643012085528</v>
      </c>
      <c r="D21" s="11">
        <f t="shared" si="47"/>
        <v>0.1549001766311621</v>
      </c>
      <c r="E21" s="11"/>
      <c r="F21" s="11"/>
      <c r="G21" s="11">
        <f t="shared" si="47"/>
        <v>0.1451419432227109</v>
      </c>
      <c r="H21" s="11">
        <f t="shared" si="47"/>
        <v>0.1546261089987325</v>
      </c>
      <c r="I21" s="11">
        <f t="shared" si="47"/>
        <v>0.1127846837855004</v>
      </c>
      <c r="J21" s="11">
        <f t="shared" si="47"/>
        <v>0.20894823874450086</v>
      </c>
      <c r="K21" s="11">
        <f t="shared" si="47"/>
        <v>0.14554755760785917</v>
      </c>
      <c r="L21" s="11">
        <f t="shared" si="47"/>
        <v>0.16570368183543496</v>
      </c>
      <c r="M21" s="11">
        <f t="shared" si="47"/>
        <v>0.14682688696958315</v>
      </c>
      <c r="N21" s="11">
        <f t="shared" si="47"/>
        <v>0.20720496206457334</v>
      </c>
      <c r="O21" s="11">
        <f t="shared" si="47"/>
        <v>0.13274560256464329</v>
      </c>
      <c r="P21" s="11">
        <f>P12/P3</f>
        <v>0.14687945509266584</v>
      </c>
      <c r="Q21" s="11">
        <f t="shared" ref="Q21:R21" si="48">Q12/Q3</f>
        <v>0.14103211267605631</v>
      </c>
      <c r="R21" s="11">
        <f t="shared" si="48"/>
        <v>0.18308758756313073</v>
      </c>
      <c r="T21" s="11">
        <f t="shared" ref="T21:Y21" si="49">T12/T3</f>
        <v>0.16226471992561506</v>
      </c>
      <c r="U21" s="11">
        <f t="shared" si="49"/>
        <v>0.13380585656193908</v>
      </c>
      <c r="V21" s="11">
        <f t="shared" si="49"/>
        <v>0.15588338714317687</v>
      </c>
      <c r="W21" s="11">
        <f t="shared" si="49"/>
        <v>0.10539424203193394</v>
      </c>
      <c r="X21" s="11">
        <f t="shared" si="49"/>
        <v>0.16116557337852025</v>
      </c>
      <c r="Y21" s="11">
        <f t="shared" ref="T21:Y21" si="50">Y12/Y3</f>
        <v>0.17138107875822861</v>
      </c>
      <c r="Z21" s="11">
        <f t="shared" ref="Z21:AJ21" si="51">Z12/Z3</f>
        <v>0.1545923480875098</v>
      </c>
      <c r="AA21" s="11">
        <f t="shared" si="51"/>
        <v>0.1546675539594394</v>
      </c>
      <c r="AB21" s="11">
        <f t="shared" si="51"/>
        <v>0.15471952460241364</v>
      </c>
      <c r="AC21" s="11">
        <f t="shared" si="51"/>
        <v>0.15730657170596746</v>
      </c>
      <c r="AD21" s="11">
        <f t="shared" si="51"/>
        <v>0.15987004494778786</v>
      </c>
      <c r="AE21" s="11">
        <f t="shared" si="51"/>
        <v>0.16246290517587308</v>
      </c>
      <c r="AF21" s="11">
        <f t="shared" si="51"/>
        <v>0.16503361561746982</v>
      </c>
      <c r="AG21" s="11">
        <f t="shared" si="51"/>
        <v>0.16758248961593045</v>
      </c>
      <c r="AH21" s="11">
        <f t="shared" si="51"/>
        <v>0.17010984027169013</v>
      </c>
      <c r="AI21" s="11">
        <f t="shared" si="51"/>
        <v>0.17261598052785562</v>
      </c>
      <c r="AJ21" s="11">
        <f t="shared" si="51"/>
        <v>0.17510122325740385</v>
      </c>
      <c r="AL21" t="s">
        <v>47</v>
      </c>
      <c r="AM21" s="6">
        <f>AM19+AM20</f>
        <v>27074.427882935583</v>
      </c>
    </row>
    <row r="22" spans="2:39" x14ac:dyDescent="0.3">
      <c r="AL22" t="s">
        <v>48</v>
      </c>
      <c r="AM22" s="12">
        <f>AM21/AJ13</f>
        <v>228.2835403282933</v>
      </c>
    </row>
    <row r="23" spans="2:39" x14ac:dyDescent="0.3">
      <c r="AL23" t="s">
        <v>49</v>
      </c>
      <c r="AM23" s="12">
        <f>Main!D3</f>
        <v>163.5</v>
      </c>
    </row>
    <row r="24" spans="2:39" x14ac:dyDescent="0.3">
      <c r="AL24" s="1" t="s">
        <v>50</v>
      </c>
      <c r="AM24" s="13">
        <f>AM22/AM23-1</f>
        <v>0.39622960445439337</v>
      </c>
    </row>
    <row r="25" spans="2:39" x14ac:dyDescent="0.3">
      <c r="AL25" t="s">
        <v>51</v>
      </c>
      <c r="AM25" s="7" t="s">
        <v>52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2025-11-04T09:14:38Z</dcterms:created>
  <dcterms:modified xsi:type="dcterms:W3CDTF">2025-11-04T13:40:31Z</dcterms:modified>
</cp:coreProperties>
</file>