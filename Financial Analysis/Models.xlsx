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0C76DDA-798A-4359-8E4C-D090E71A52C3}" xr6:coauthVersionLast="47" xr6:coauthVersionMax="47" xr10:uidLastSave="{00000000-0000-0000-0000-000000000000}"/>
  <bookViews>
    <workbookView xWindow="-108" yWindow="-108" windowWidth="23256" windowHeight="12576" xr2:uid="{40711DBD-7A53-4994-9FF1-9E754821B18D}"/>
  </bookViews>
  <sheets>
    <sheet name="Main" sheetId="1" r:id="rId1"/>
    <sheet name="Upgrades" sheetId="3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 l="1"/>
  <c r="D3" i="1" l="1"/>
  <c r="F7" i="1"/>
  <c r="F6" i="1" l="1"/>
  <c r="F4" i="1" l="1"/>
  <c r="F5" i="1" l="1"/>
  <c r="F9" i="1" s="1"/>
  <c r="E6" i="1"/>
  <c r="D8" i="1" l="1"/>
  <c r="C8" i="1"/>
  <c r="C7" i="1" l="1"/>
  <c r="C6" i="1" l="1"/>
  <c r="C5" i="1"/>
  <c r="C4" i="1" l="1"/>
  <c r="C3" i="1"/>
  <c r="D7" i="1" l="1"/>
  <c r="C9" i="1"/>
  <c r="H3" i="1"/>
  <c r="E4" i="1" l="1"/>
  <c r="E5" i="1" l="1"/>
  <c r="E9" i="1" s="1"/>
  <c r="D5" i="1" l="1"/>
  <c r="D6" i="1" l="1"/>
  <c r="D4" i="1" l="1"/>
  <c r="D9" i="1" l="1"/>
</calcChain>
</file>

<file path=xl/sharedStrings.xml><?xml version="1.0" encoding="utf-8"?>
<sst xmlns="http://schemas.openxmlformats.org/spreadsheetml/2006/main" count="48" uniqueCount="45">
  <si>
    <t>Tech</t>
  </si>
  <si>
    <t>Models</t>
  </si>
  <si>
    <t>Automotive</t>
  </si>
  <si>
    <t>Retail</t>
  </si>
  <si>
    <t>Defence</t>
  </si>
  <si>
    <t>Space</t>
  </si>
  <si>
    <t>Energy</t>
  </si>
  <si>
    <t>Retired</t>
  </si>
  <si>
    <t>github, and BACKUP</t>
  </si>
  <si>
    <t>start doing stock analysis reports</t>
  </si>
  <si>
    <t>clean up FA folder</t>
  </si>
  <si>
    <t>update stats for portfolio and maybe percentages think about conviction (perhaps make feb (2025) start of my financial year?)</t>
  </si>
  <si>
    <t>more in-depth statement analysis</t>
  </si>
  <si>
    <t>track more stocks</t>
  </si>
  <si>
    <t>improve trackers on main and tradingview</t>
  </si>
  <si>
    <t>update dates etc. on main</t>
  </si>
  <si>
    <t>Today</t>
  </si>
  <si>
    <t>Stocks</t>
  </si>
  <si>
    <t>Value</t>
  </si>
  <si>
    <t>A good short exploits a company's major weakness?</t>
  </si>
  <si>
    <t>Lessons:</t>
  </si>
  <si>
    <t>Needs an update</t>
  </si>
  <si>
    <t>Planning a long/already long</t>
  </si>
  <si>
    <t>Potential short</t>
  </si>
  <si>
    <t>Potential long</t>
  </si>
  <si>
    <t>&gt;50%</t>
  </si>
  <si>
    <t>Heavily undervalued (buy)</t>
  </si>
  <si>
    <t>30-50%</t>
  </si>
  <si>
    <t>Undervalued (hold/buy)</t>
  </si>
  <si>
    <t>10-30%</t>
  </si>
  <si>
    <t>Slightly undervalued (hold)</t>
  </si>
  <si>
    <t>within 10%</t>
  </si>
  <si>
    <t>Fair value (hold/sell)</t>
  </si>
  <si>
    <t>Slightly overvalued (sell)</t>
  </si>
  <si>
    <t>Overvalued (sell)</t>
  </si>
  <si>
    <t>Heavily overvalued (short)</t>
  </si>
  <si>
    <t>Ratings</t>
  </si>
  <si>
    <t>EV/E</t>
  </si>
  <si>
    <t>EV/R</t>
  </si>
  <si>
    <t>Do not short good companies! (maybe only at &gt;-70% and a short period of time)</t>
  </si>
  <si>
    <t>For every 10 stocks, one good short, one good long?</t>
  </si>
  <si>
    <t>use joby 10-q q125 as basis for stock presentation?</t>
  </si>
  <si>
    <t>make vidya models (business model seems slightly similar to biotech tbh)</t>
  </si>
  <si>
    <t>start focusing more on defence and vidya as main proficiency?</t>
  </si>
  <si>
    <t>Last upgraded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</si>
</sst>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0\x"/>
    <numFmt numFmtId="171" formatCode="0.0\x"/>
  </numFmts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4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2" borderId="2" xfId="1" applyBorder="1"/>
    <xf numFmtId="0" fontId="0" fillId="0" borderId="1" xfId="0" applyBorder="1"/>
    <xf numFmtId="0" fontId="1" fillId="2" borderId="3" xfId="1" applyBorder="1"/>
    <xf numFmtId="0" fontId="3" fillId="4" borderId="3" xfId="3" applyBorder="1"/>
    <xf numFmtId="0" fontId="2" fillId="3" borderId="3" xfId="2" applyBorder="1"/>
    <xf numFmtId="0" fontId="0" fillId="0" borderId="5" xfId="0" applyBorder="1"/>
    <xf numFmtId="0" fontId="4" fillId="0" borderId="6" xfId="0" applyFont="1" applyBorder="1"/>
    <xf numFmtId="0" fontId="7" fillId="9" borderId="7" xfId="0" applyFont="1" applyFill="1" applyBorder="1"/>
    <xf numFmtId="0" fontId="8" fillId="9" borderId="7" xfId="0" applyFont="1" applyFill="1" applyBorder="1" applyAlignment="1">
      <alignment horizontal="right"/>
    </xf>
    <xf numFmtId="14" fontId="8" fillId="9" borderId="7" xfId="0" applyNumberFormat="1" applyFont="1" applyFill="1" applyBorder="1" applyAlignment="1">
      <alignment horizontal="right"/>
    </xf>
    <xf numFmtId="0" fontId="6" fillId="9" borderId="7" xfId="0" applyFont="1" applyFill="1" applyBorder="1" applyAlignment="1">
      <alignment horizontal="center"/>
    </xf>
    <xf numFmtId="0" fontId="9" fillId="9" borderId="7" xfId="4" applyFont="1" applyFill="1" applyBorder="1" applyAlignment="1">
      <alignment horizontal="center"/>
    </xf>
    <xf numFmtId="1" fontId="7" fillId="9" borderId="7" xfId="0" applyNumberFormat="1" applyFont="1" applyFill="1" applyBorder="1" applyAlignment="1">
      <alignment horizontal="center"/>
    </xf>
    <xf numFmtId="9" fontId="7" fillId="9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70" fontId="7" fillId="9" borderId="7" xfId="0" applyNumberFormat="1" applyFont="1" applyFill="1" applyBorder="1" applyAlignment="1">
      <alignment horizontal="center"/>
    </xf>
    <xf numFmtId="171" fontId="7" fillId="9" borderId="7" xfId="0" applyNumberFormat="1" applyFont="1" applyFill="1" applyBorder="1" applyAlignment="1">
      <alignment horizontal="center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dels%20(Tech).xlsx" TargetMode="External"/><Relationship Id="rId1" Type="http://schemas.openxmlformats.org/officeDocument/2006/relationships/externalLinkPath" Target="Models%20(Tech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dels%20(Automotive).xlsx" TargetMode="External"/><Relationship Id="rId1" Type="http://schemas.openxmlformats.org/officeDocument/2006/relationships/externalLinkPath" Target="Models%20(Automotive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dels%20(Retail)%20%7b2024%7d.xlsx" TargetMode="External"/><Relationship Id="rId1" Type="http://schemas.openxmlformats.org/officeDocument/2006/relationships/externalLinkPath" Target="Models%20(Retail)%20%7b2024%7d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dels%20(Defence).xlsx" TargetMode="External"/><Relationship Id="rId1" Type="http://schemas.openxmlformats.org/officeDocument/2006/relationships/externalLinkPath" Target="Models%20(Defence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dels%20(Space).xlsx" TargetMode="External"/><Relationship Id="rId1" Type="http://schemas.openxmlformats.org/officeDocument/2006/relationships/externalLinkPath" Target="Models%20(Space)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dels%20(Energy).xlsx" TargetMode="External"/><Relationship Id="rId1" Type="http://schemas.openxmlformats.org/officeDocument/2006/relationships/externalLinkPath" Target="Models%20(Energy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s"/>
      <sheetName val="Charts"/>
    </sheetNames>
    <sheetDataSet>
      <sheetData sheetId="0">
        <row r="3">
          <cell r="N3">
            <v>27.722623235186219</v>
          </cell>
          <cell r="T3">
            <v>4.1199516612244071</v>
          </cell>
          <cell r="Z3">
            <v>-0.28177309827873842</v>
          </cell>
        </row>
        <row r="5">
          <cell r="B5" t="str">
            <v>Microsoft</v>
          </cell>
        </row>
        <row r="6">
          <cell r="B6" t="str">
            <v>Apple</v>
          </cell>
        </row>
        <row r="7">
          <cell r="B7" t="str">
            <v>Alphabet</v>
          </cell>
        </row>
        <row r="8">
          <cell r="B8" t="str">
            <v>Amazon</v>
          </cell>
        </row>
        <row r="9">
          <cell r="B9" t="str">
            <v>Facebook</v>
          </cell>
        </row>
        <row r="10">
          <cell r="B10" t="str">
            <v>Tesla</v>
          </cell>
        </row>
        <row r="11">
          <cell r="B11" t="str">
            <v>Oracle</v>
          </cell>
        </row>
        <row r="12">
          <cell r="B12" t="str">
            <v>Tencent</v>
          </cell>
        </row>
        <row r="13">
          <cell r="B13" t="str">
            <v>Visa</v>
          </cell>
        </row>
        <row r="14">
          <cell r="B14" t="str">
            <v>Netflix</v>
          </cell>
        </row>
        <row r="15">
          <cell r="B15" t="str">
            <v>Mastercard</v>
          </cell>
        </row>
        <row r="16">
          <cell r="B16" t="str">
            <v>Palantir</v>
          </cell>
        </row>
        <row r="17">
          <cell r="B17" t="str">
            <v>AMD</v>
          </cell>
        </row>
        <row r="18">
          <cell r="B18" t="str">
            <v>American Express</v>
          </cell>
        </row>
        <row r="19">
          <cell r="B19" t="str">
            <v>Salesforce</v>
          </cell>
        </row>
        <row r="20">
          <cell r="B20" t="str">
            <v>Samsung</v>
          </cell>
        </row>
        <row r="21">
          <cell r="B21" t="str">
            <v>Intel</v>
          </cell>
        </row>
        <row r="22">
          <cell r="B22" t="str">
            <v>Adobe</v>
          </cell>
        </row>
        <row r="23">
          <cell r="B23" t="str">
            <v>Spotify</v>
          </cell>
        </row>
        <row r="24">
          <cell r="B24" t="str">
            <v>Fiserv</v>
          </cell>
        </row>
        <row r="25">
          <cell r="B25" t="str">
            <v>Roblox</v>
          </cell>
        </row>
        <row r="26">
          <cell r="B26" t="str">
            <v>Snowflake</v>
          </cell>
        </row>
        <row r="27">
          <cell r="B27" t="str">
            <v>Coinbase</v>
          </cell>
        </row>
        <row r="28">
          <cell r="B28" t="str">
            <v>Paypal</v>
          </cell>
        </row>
        <row r="29">
          <cell r="B29" t="str">
            <v>TakeTwo</v>
          </cell>
        </row>
        <row r="30">
          <cell r="B30" t="str">
            <v>Reddit</v>
          </cell>
        </row>
        <row r="31">
          <cell r="B31" t="str">
            <v>Block</v>
          </cell>
        </row>
        <row r="32">
          <cell r="B32" t="str">
            <v>Global Payments</v>
          </cell>
        </row>
        <row r="33">
          <cell r="B33" t="str">
            <v>Symbotic</v>
          </cell>
        </row>
        <row r="34">
          <cell r="B34" t="str">
            <v>SoFi</v>
          </cell>
        </row>
        <row r="35">
          <cell r="B35" t="str">
            <v>Zoom Video</v>
          </cell>
        </row>
        <row r="36">
          <cell r="B36" t="str">
            <v>Snap Inc</v>
          </cell>
        </row>
        <row r="37">
          <cell r="B37" t="str">
            <v>Logitech</v>
          </cell>
        </row>
        <row r="38">
          <cell r="B38" t="str">
            <v>Duolingo</v>
          </cell>
        </row>
        <row r="39">
          <cell r="B39" t="str">
            <v>IonQ</v>
          </cell>
        </row>
        <row r="40">
          <cell r="B40" t="str">
            <v>Roku</v>
          </cell>
        </row>
        <row r="41">
          <cell r="B41" t="str">
            <v>Shift4</v>
          </cell>
        </row>
        <row r="42">
          <cell r="B42" t="str">
            <v>Life360</v>
          </cell>
        </row>
        <row r="43">
          <cell r="B43" t="str">
            <v>EPAM</v>
          </cell>
        </row>
        <row r="44">
          <cell r="B44" t="str">
            <v>Novami</v>
          </cell>
        </row>
        <row r="45">
          <cell r="B45" t="str">
            <v>GameStop</v>
          </cell>
        </row>
        <row r="46">
          <cell r="B46" t="str">
            <v>StoneCo</v>
          </cell>
        </row>
        <row r="47">
          <cell r="B47" t="str">
            <v>Stride</v>
          </cell>
        </row>
        <row r="48">
          <cell r="B48" t="str">
            <v>Wise</v>
          </cell>
        </row>
        <row r="49">
          <cell r="B49" t="str">
            <v>PagSeguro</v>
          </cell>
        </row>
        <row r="50">
          <cell r="B50" t="str">
            <v>Paysafe</v>
          </cell>
        </row>
        <row r="51">
          <cell r="B51" t="str">
            <v>PlugPower</v>
          </cell>
        </row>
        <row r="52">
          <cell r="B52" t="str">
            <v>Opera</v>
          </cell>
        </row>
        <row r="53">
          <cell r="B53" t="str">
            <v>Sonos</v>
          </cell>
        </row>
        <row r="54">
          <cell r="B54" t="str">
            <v>Coursera</v>
          </cell>
        </row>
        <row r="55">
          <cell r="B55" t="str">
            <v>Corsair Gaming</v>
          </cell>
        </row>
        <row r="56">
          <cell r="B56" t="str">
            <v>Fiverr</v>
          </cell>
        </row>
        <row r="57">
          <cell r="B57" t="str">
            <v>Bandwidth</v>
          </cell>
        </row>
        <row r="58">
          <cell r="B58" t="str">
            <v>Ambiq Micro</v>
          </cell>
        </row>
        <row r="59">
          <cell r="B59" t="str">
            <v>Gambling.com</v>
          </cell>
        </row>
        <row r="60">
          <cell r="B60" t="str">
            <v>Inseego</v>
          </cell>
        </row>
        <row r="61">
          <cell r="B61" t="str">
            <v>Atari</v>
          </cell>
        </row>
        <row r="62">
          <cell r="B62" t="str">
            <v>Chegg</v>
          </cell>
        </row>
        <row r="63">
          <cell r="B63" t="str">
            <v>Roadzen</v>
          </cell>
        </row>
        <row r="64">
          <cell r="B64" t="str">
            <v>FuelCell</v>
          </cell>
        </row>
        <row r="65">
          <cell r="B65" t="str">
            <v>Koss</v>
          </cell>
        </row>
        <row r="66">
          <cell r="B66" t="str">
            <v>MicroAlgo</v>
          </cell>
        </row>
        <row r="67">
          <cell r="B67" t="str">
            <v>Skillz</v>
          </cell>
        </row>
        <row r="68">
          <cell r="B68" t="str">
            <v>Arqit Quantum</v>
          </cell>
        </row>
        <row r="69">
          <cell r="B69" t="str">
            <v>Hewlett-Packard</v>
          </cell>
        </row>
        <row r="70">
          <cell r="B70" t="str">
            <v>HP Enterprise</v>
          </cell>
        </row>
        <row r="71">
          <cell r="B71" t="str">
            <v>Dell</v>
          </cell>
        </row>
        <row r="72">
          <cell r="B72" t="str">
            <v>Electronic Arts</v>
          </cell>
        </row>
        <row r="73">
          <cell r="B73" t="str">
            <v>Shopify</v>
          </cell>
        </row>
        <row r="74">
          <cell r="B74" t="str">
            <v>IBM</v>
          </cell>
        </row>
        <row r="75">
          <cell r="B75" t="str">
            <v>Xiaomi</v>
          </cell>
        </row>
        <row r="76">
          <cell r="B76" t="str">
            <v>Uber</v>
          </cell>
        </row>
        <row r="77">
          <cell r="B77" t="str">
            <v>Disney</v>
          </cell>
        </row>
        <row r="78">
          <cell r="B78" t="str">
            <v>Pinterest</v>
          </cell>
        </row>
        <row r="79">
          <cell r="B79" t="str">
            <v>Freshworks</v>
          </cell>
        </row>
        <row r="80">
          <cell r="B80" t="str">
            <v>eBay</v>
          </cell>
        </row>
        <row r="81">
          <cell r="B81" t="str">
            <v>Xerox</v>
          </cell>
        </row>
        <row r="82">
          <cell r="B82" t="str">
            <v>Alibaba</v>
          </cell>
        </row>
        <row r="85">
          <cell r="B85" t="str">
            <v>Taiwan Semiconductor</v>
          </cell>
        </row>
        <row r="86">
          <cell r="B86" t="str">
            <v>ASML</v>
          </cell>
        </row>
        <row r="87">
          <cell r="B87" t="str">
            <v>Broadcom</v>
          </cell>
        </row>
        <row r="88">
          <cell r="B88" t="str">
            <v>Qualcomm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16.412502823367006</v>
          </cell>
          <cell r="U3">
            <v>0.96851754398012357</v>
          </cell>
          <cell r="AA3">
            <v>-0.19797272187116063</v>
          </cell>
        </row>
        <row r="4">
          <cell r="B4" t="str">
            <v>Tesla</v>
          </cell>
        </row>
        <row r="5">
          <cell r="B5" t="str">
            <v>Toyota</v>
          </cell>
        </row>
        <row r="6">
          <cell r="B6" t="str">
            <v>Volkswagen</v>
          </cell>
        </row>
        <row r="7">
          <cell r="B7" t="str">
            <v>General Motors</v>
          </cell>
        </row>
        <row r="8">
          <cell r="B8" t="str">
            <v>Ford</v>
          </cell>
        </row>
        <row r="9">
          <cell r="B9" t="str">
            <v>Mercedes-Benz</v>
          </cell>
        </row>
        <row r="10">
          <cell r="B10" t="str">
            <v>BMW</v>
          </cell>
        </row>
        <row r="11">
          <cell r="B11" t="str">
            <v>Honda</v>
          </cell>
        </row>
        <row r="12">
          <cell r="B12" t="str">
            <v>Porsche</v>
          </cell>
        </row>
        <row r="13">
          <cell r="B13" t="str">
            <v>Stellantis</v>
          </cell>
        </row>
        <row r="14">
          <cell r="B14" t="str">
            <v>Ferrari</v>
          </cell>
        </row>
        <row r="15">
          <cell r="B15" t="str">
            <v>Rivian</v>
          </cell>
        </row>
        <row r="16">
          <cell r="B16" t="str">
            <v>Lucid</v>
          </cell>
        </row>
        <row r="17">
          <cell r="B17" t="str">
            <v>Aston Martin</v>
          </cell>
        </row>
        <row r="18">
          <cell r="B18" t="str">
            <v>Hyundai</v>
          </cell>
        </row>
        <row r="19">
          <cell r="B19" t="str">
            <v>Kia</v>
          </cell>
        </row>
        <row r="20">
          <cell r="B20" t="str">
            <v>Renault</v>
          </cell>
        </row>
        <row r="21">
          <cell r="B21" t="str">
            <v>PACCAR</v>
          </cell>
        </row>
        <row r="22">
          <cell r="B22" t="str">
            <v>Geely</v>
          </cell>
        </row>
        <row r="23">
          <cell r="B23" t="str">
            <v>NIO</v>
          </cell>
        </row>
        <row r="24">
          <cell r="B24" t="str">
            <v>Subaru</v>
          </cell>
        </row>
        <row r="25">
          <cell r="B25" t="str">
            <v>Nissan</v>
          </cell>
        </row>
        <row r="26">
          <cell r="B26" t="str">
            <v>BYD</v>
          </cell>
        </row>
        <row r="27">
          <cell r="B27" t="str">
            <v>Daimler Trucks</v>
          </cell>
        </row>
        <row r="28">
          <cell r="B28" t="str">
            <v>Volvo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O3">
            <v>29.924485010131235</v>
          </cell>
          <cell r="U3">
            <v>0.99923487105066666</v>
          </cell>
          <cell r="AA3">
            <v>-0.22397093414271882</v>
          </cell>
        </row>
        <row r="4">
          <cell r="B4" t="str">
            <v>Walmart</v>
          </cell>
        </row>
        <row r="5">
          <cell r="B5" t="str">
            <v>LVMH</v>
          </cell>
        </row>
        <row r="6">
          <cell r="B6" t="str">
            <v>TKMaxx</v>
          </cell>
        </row>
        <row r="7">
          <cell r="B7" t="str">
            <v>Nike</v>
          </cell>
        </row>
        <row r="8">
          <cell r="B8" t="str">
            <v>Hermès</v>
          </cell>
        </row>
        <row r="9">
          <cell r="B9" t="str">
            <v>Inditex</v>
          </cell>
        </row>
        <row r="10">
          <cell r="B10" t="str">
            <v>Kering</v>
          </cell>
        </row>
        <row r="11">
          <cell r="B11" t="str">
            <v>Adidas</v>
          </cell>
        </row>
        <row r="12">
          <cell r="B12" t="str">
            <v>H&amp;M</v>
          </cell>
        </row>
        <row r="13">
          <cell r="B13" t="str">
            <v>Tesco</v>
          </cell>
        </row>
        <row r="14">
          <cell r="B14" t="str">
            <v>Farfetch</v>
          </cell>
        </row>
        <row r="15">
          <cell r="B15" t="str">
            <v>Next</v>
          </cell>
        </row>
        <row r="16">
          <cell r="B16" t="str">
            <v>Levi's</v>
          </cell>
        </row>
        <row r="17">
          <cell r="B17" t="str">
            <v>Phillips-Van Heusen</v>
          </cell>
        </row>
        <row r="18">
          <cell r="B18" t="str">
            <v>Ralph Lauren</v>
          </cell>
        </row>
        <row r="19">
          <cell r="B19" t="str">
            <v>Burberry</v>
          </cell>
        </row>
        <row r="20">
          <cell r="B20" t="str">
            <v>Vanity Fair</v>
          </cell>
        </row>
        <row r="21">
          <cell r="B21" t="str">
            <v>Marks &amp; Spencer</v>
          </cell>
        </row>
        <row r="22">
          <cell r="B22" t="str">
            <v>Capri</v>
          </cell>
        </row>
        <row r="23">
          <cell r="B23" t="str">
            <v>Sainsbury's</v>
          </cell>
        </row>
        <row r="24">
          <cell r="B24" t="str">
            <v>Deliveroo</v>
          </cell>
        </row>
        <row r="25">
          <cell r="B25" t="str">
            <v>Foot Locker</v>
          </cell>
        </row>
        <row r="26">
          <cell r="B26" t="str">
            <v>Frasers</v>
          </cell>
        </row>
        <row r="27">
          <cell r="B27" t="str">
            <v>Hugo Boss</v>
          </cell>
        </row>
        <row r="28">
          <cell r="B28" t="str">
            <v>Guess</v>
          </cell>
        </row>
        <row r="29">
          <cell r="B29" t="str">
            <v>HelloFresh</v>
          </cell>
        </row>
        <row r="30">
          <cell r="B30" t="str">
            <v>Asos</v>
          </cell>
        </row>
        <row r="31">
          <cell r="B31" t="str">
            <v>Boohoo</v>
          </cell>
        </row>
        <row r="32">
          <cell r="B32" t="str">
            <v>Superdry</v>
          </cell>
        </row>
        <row r="33">
          <cell r="B33" t="str">
            <v>Joules</v>
          </cell>
        </row>
        <row r="34">
          <cell r="B34" t="str">
            <v>Mulberry</v>
          </cell>
        </row>
        <row r="35">
          <cell r="B35" t="str">
            <v>Gap</v>
          </cell>
        </row>
        <row r="36">
          <cell r="B36" t="str">
            <v>Puma</v>
          </cell>
        </row>
        <row r="37">
          <cell r="B37" t="str">
            <v>CostCo</v>
          </cell>
        </row>
        <row r="38">
          <cell r="B38" t="str">
            <v>A&amp;F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R3">
            <v>34.421156571947499</v>
          </cell>
          <cell r="Y3">
            <v>2.8329303433229946</v>
          </cell>
          <cell r="AE3">
            <v>-0.45499566684070913</v>
          </cell>
        </row>
        <row r="4">
          <cell r="B4" t="str">
            <v>Raytheon</v>
          </cell>
        </row>
        <row r="5">
          <cell r="B5" t="str">
            <v>Boeing</v>
          </cell>
        </row>
        <row r="6">
          <cell r="B6" t="str">
            <v>Honeywell</v>
          </cell>
        </row>
        <row r="7">
          <cell r="B7" t="str">
            <v>Airbus</v>
          </cell>
        </row>
        <row r="8">
          <cell r="B8" t="str">
            <v>Lockheed Martin</v>
          </cell>
        </row>
        <row r="9">
          <cell r="B9" t="str">
            <v>Safran</v>
          </cell>
        </row>
        <row r="10">
          <cell r="B10" t="str">
            <v>Northrop Grumman</v>
          </cell>
        </row>
        <row r="11">
          <cell r="B11" t="str">
            <v>General Dynamics</v>
          </cell>
        </row>
        <row r="12">
          <cell r="B12" t="str">
            <v>Rheinmetall</v>
          </cell>
        </row>
        <row r="13">
          <cell r="B13" t="str">
            <v>Rolls Royce</v>
          </cell>
        </row>
        <row r="14">
          <cell r="B14" t="str">
            <v>BAE</v>
          </cell>
        </row>
        <row r="15">
          <cell r="B15" t="str">
            <v>L3Harris</v>
          </cell>
        </row>
        <row r="16">
          <cell r="B16" t="str">
            <v>Thales</v>
          </cell>
        </row>
        <row r="17">
          <cell r="B17" t="str">
            <v>Dassault</v>
          </cell>
        </row>
        <row r="18">
          <cell r="B18" t="str">
            <v>Leonardo</v>
          </cell>
        </row>
        <row r="19">
          <cell r="B19" t="str">
            <v>Leidos</v>
          </cell>
        </row>
        <row r="20">
          <cell r="B20" t="str">
            <v>Bombardier</v>
          </cell>
        </row>
        <row r="21">
          <cell r="B21" t="str">
            <v>Textron</v>
          </cell>
        </row>
        <row r="22">
          <cell r="B22" t="str">
            <v>Embraer</v>
          </cell>
        </row>
        <row r="23">
          <cell r="B23" t="str">
            <v>Hensoldt</v>
          </cell>
        </row>
        <row r="24">
          <cell r="B24" t="str">
            <v>Kratos</v>
          </cell>
        </row>
        <row r="25">
          <cell r="B25" t="str">
            <v>Norinco</v>
          </cell>
        </row>
        <row r="26">
          <cell r="B26" t="str">
            <v>Renk</v>
          </cell>
        </row>
        <row r="27">
          <cell r="B27" t="str">
            <v>Red Cat</v>
          </cell>
        </row>
        <row r="28">
          <cell r="B28" t="str">
            <v>Unusual Machines</v>
          </cell>
        </row>
        <row r="29">
          <cell r="B29"/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s"/>
    </sheetNames>
    <sheetDataSet>
      <sheetData sheetId="0">
        <row r="3">
          <cell r="V3">
            <v>28.725219298245612</v>
          </cell>
          <cell r="AB3">
            <v>-0.65411604990312666</v>
          </cell>
        </row>
        <row r="5">
          <cell r="B5" t="str">
            <v>Rocket Lab</v>
          </cell>
        </row>
        <row r="6">
          <cell r="B6" t="str">
            <v>AST SpaceMobile</v>
          </cell>
        </row>
        <row r="7">
          <cell r="B7" t="str">
            <v>Firefly Aerospace</v>
          </cell>
        </row>
        <row r="8">
          <cell r="B8" t="str">
            <v>Intuitive Machines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AB3">
            <v>-0.83979249526057242</v>
          </cell>
        </row>
        <row r="4">
          <cell r="B4" t="str">
            <v>Constellation</v>
          </cell>
        </row>
        <row r="5">
          <cell r="B5" t="str">
            <v>Bloom</v>
          </cell>
        </row>
        <row r="6">
          <cell r="B6" t="str">
            <v>Oklo</v>
          </cell>
        </row>
        <row r="7">
          <cell r="B7" t="str">
            <v>PlugPower</v>
          </cell>
        </row>
        <row r="8">
          <cell r="B8" t="str">
            <v>FuelCell</v>
          </cell>
        </row>
        <row r="9">
          <cell r="B9" t="str">
            <v>NuScale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odels%20(Retail)%20%7b2024%7d.xlsx" TargetMode="External"/><Relationship Id="rId7" Type="http://schemas.openxmlformats.org/officeDocument/2006/relationships/hyperlink" Target="Models%20Retired.xlsx" TargetMode="External"/><Relationship Id="rId2" Type="http://schemas.openxmlformats.org/officeDocument/2006/relationships/hyperlink" Target="Models%20(Automotive).xlsx" TargetMode="External"/><Relationship Id="rId1" Type="http://schemas.openxmlformats.org/officeDocument/2006/relationships/hyperlink" Target="Models%20(Tech).xlsx" TargetMode="External"/><Relationship Id="rId6" Type="http://schemas.openxmlformats.org/officeDocument/2006/relationships/hyperlink" Target="Models%20(Energy).xlsx" TargetMode="External"/><Relationship Id="rId5" Type="http://schemas.openxmlformats.org/officeDocument/2006/relationships/hyperlink" Target="Models%20(Space).xlsx" TargetMode="External"/><Relationship Id="rId4" Type="http://schemas.openxmlformats.org/officeDocument/2006/relationships/hyperlink" Target="Models%20(Defence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DBC02-9223-4C08-9E62-C64832103121}">
  <dimension ref="B2:O19"/>
  <sheetViews>
    <sheetView tabSelected="1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F22" sqref="F22"/>
    </sheetView>
  </sheetViews>
  <sheetFormatPr defaultRowHeight="14.4" x14ac:dyDescent="0.3"/>
  <cols>
    <col min="1" max="1" width="8.88671875" style="13"/>
    <col min="2" max="2" width="10.5546875" style="13" bestFit="1" customWidth="1"/>
    <col min="3" max="6" width="8.88671875" style="13" customWidth="1"/>
    <col min="7" max="8" width="14.77734375" style="14" customWidth="1"/>
    <col min="9" max="10" width="8.88671875" style="13"/>
    <col min="11" max="11" width="24.109375" style="13" bestFit="1" customWidth="1"/>
    <col min="12" max="12" width="9.88671875" style="13" bestFit="1" customWidth="1"/>
    <col min="13" max="14" width="8.88671875" style="13"/>
    <col min="15" max="15" width="67.33203125" style="13" bestFit="1" customWidth="1"/>
    <col min="16" max="16384" width="8.88671875" style="13"/>
  </cols>
  <sheetData>
    <row r="2" spans="2:15" x14ac:dyDescent="0.3">
      <c r="B2" s="16" t="s">
        <v>1</v>
      </c>
      <c r="C2" s="16" t="s">
        <v>17</v>
      </c>
      <c r="D2" s="16" t="s">
        <v>18</v>
      </c>
      <c r="E2" s="16" t="s">
        <v>37</v>
      </c>
      <c r="F2" s="16" t="s">
        <v>38</v>
      </c>
      <c r="G2" s="14" t="s">
        <v>44</v>
      </c>
      <c r="H2" s="14" t="s">
        <v>16</v>
      </c>
    </row>
    <row r="3" spans="2:15" x14ac:dyDescent="0.3">
      <c r="B3" s="17" t="s">
        <v>0</v>
      </c>
      <c r="C3" s="18">
        <f>COUNTA([1]Models!$B$5:$B$1048576)</f>
        <v>82</v>
      </c>
      <c r="D3" s="19">
        <f>[1]Models!$Z$3</f>
        <v>-0.28177309827873842</v>
      </c>
      <c r="E3" s="21">
        <f>[1]Models!$N$3</f>
        <v>27.722623235186219</v>
      </c>
      <c r="F3" s="22">
        <f>[1]Models!$T$3</f>
        <v>4.1199516612244071</v>
      </c>
      <c r="G3" s="15">
        <v>45771</v>
      </c>
      <c r="H3" s="15">
        <f ca="1">TODAY()</f>
        <v>45928</v>
      </c>
      <c r="K3" s="17" t="s">
        <v>7</v>
      </c>
    </row>
    <row r="4" spans="2:15" x14ac:dyDescent="0.3">
      <c r="B4" s="17" t="s">
        <v>2</v>
      </c>
      <c r="C4" s="18">
        <f>COUNTA([2]Main!$B$4:$B$1048576)</f>
        <v>25</v>
      </c>
      <c r="D4" s="19">
        <f>[2]Main!$AA$3</f>
        <v>-0.19797272187116063</v>
      </c>
      <c r="E4" s="21">
        <f>[2]Main!$O$3</f>
        <v>16.412502823367006</v>
      </c>
      <c r="F4" s="22">
        <f>[2]Main!$U$3</f>
        <v>0.96851754398012357</v>
      </c>
    </row>
    <row r="5" spans="2:15" x14ac:dyDescent="0.3">
      <c r="B5" s="17" t="s">
        <v>3</v>
      </c>
      <c r="C5" s="18">
        <f>COUNTA([3]Main!$B$4:$B$1048576)</f>
        <v>35</v>
      </c>
      <c r="D5" s="19">
        <f>[3]Main!$AA$3</f>
        <v>-0.22397093414271882</v>
      </c>
      <c r="E5" s="21">
        <f>[3]Main!$O$3</f>
        <v>29.924485010131235</v>
      </c>
      <c r="F5" s="22">
        <f>[3]Main!$U$3</f>
        <v>0.99923487105066666</v>
      </c>
    </row>
    <row r="6" spans="2:15" x14ac:dyDescent="0.3">
      <c r="B6" s="17" t="s">
        <v>4</v>
      </c>
      <c r="C6" s="18">
        <f>COUNTA([4]Main!$B$4:$B$1048576)</f>
        <v>25</v>
      </c>
      <c r="D6" s="19">
        <f>[4]Main!$AE$3</f>
        <v>-0.45499566684070913</v>
      </c>
      <c r="E6" s="21">
        <f>[4]Main!$R$3</f>
        <v>34.421156571947499</v>
      </c>
      <c r="F6" s="22">
        <f>[4]Main!$Y$3</f>
        <v>2.8329303433229946</v>
      </c>
      <c r="K6" s="12" t="s">
        <v>36</v>
      </c>
      <c r="L6" s="11"/>
    </row>
    <row r="7" spans="2:15" x14ac:dyDescent="0.3">
      <c r="B7" s="17" t="s">
        <v>5</v>
      </c>
      <c r="C7" s="18">
        <f>COUNTA([5]Models!$B$5:$B$1048576)</f>
        <v>4</v>
      </c>
      <c r="D7" s="19">
        <f>[5]Models!$AB$3</f>
        <v>-0.65411604990312666</v>
      </c>
      <c r="E7" s="21"/>
      <c r="F7" s="22">
        <f>[5]Models!$V$3</f>
        <v>28.725219298245612</v>
      </c>
      <c r="K7" s="1" t="s">
        <v>35</v>
      </c>
      <c r="L7" s="10" t="s">
        <v>25</v>
      </c>
    </row>
    <row r="8" spans="2:15" x14ac:dyDescent="0.3">
      <c r="B8" s="17" t="s">
        <v>6</v>
      </c>
      <c r="C8" s="18">
        <f>COUNTA([6]Main!$B$4:$B$1048576)</f>
        <v>6</v>
      </c>
      <c r="D8" s="19">
        <f>[6]Main!$AB$3</f>
        <v>-0.83979249526057242</v>
      </c>
      <c r="E8" s="21"/>
      <c r="F8" s="20"/>
      <c r="K8" s="1" t="s">
        <v>34</v>
      </c>
      <c r="L8" s="10" t="s">
        <v>27</v>
      </c>
      <c r="O8" t="s">
        <v>20</v>
      </c>
    </row>
    <row r="9" spans="2:15" x14ac:dyDescent="0.3">
      <c r="C9" s="18">
        <f>SUM(C3:C8)</f>
        <v>177</v>
      </c>
      <c r="D9" s="19">
        <f>AVERAGE(D3:D8)</f>
        <v>-0.44210349438283769</v>
      </c>
      <c r="E9" s="21">
        <f>AVERAGE(E3:E8)</f>
        <v>27.120191910157992</v>
      </c>
      <c r="F9" s="22">
        <f>AVERAGE(F3:F8)</f>
        <v>7.5291707435647606</v>
      </c>
      <c r="K9" s="1" t="s">
        <v>33</v>
      </c>
      <c r="L9" s="9" t="s">
        <v>29</v>
      </c>
      <c r="O9" t="s">
        <v>39</v>
      </c>
    </row>
    <row r="10" spans="2:15" x14ac:dyDescent="0.3">
      <c r="K10" s="1" t="s">
        <v>32</v>
      </c>
      <c r="L10" s="9" t="s">
        <v>31</v>
      </c>
      <c r="O10" t="s">
        <v>19</v>
      </c>
    </row>
    <row r="11" spans="2:15" x14ac:dyDescent="0.3">
      <c r="K11" s="1" t="s">
        <v>30</v>
      </c>
      <c r="L11" s="9" t="s">
        <v>29</v>
      </c>
      <c r="O11" t="s">
        <v>40</v>
      </c>
    </row>
    <row r="12" spans="2:15" x14ac:dyDescent="0.3">
      <c r="K12" s="1" t="s">
        <v>28</v>
      </c>
      <c r="L12" s="8" t="s">
        <v>27</v>
      </c>
    </row>
    <row r="13" spans="2:15" x14ac:dyDescent="0.3">
      <c r="K13" s="7" t="s">
        <v>26</v>
      </c>
      <c r="L13" s="6" t="s">
        <v>25</v>
      </c>
    </row>
    <row r="16" spans="2:15" x14ac:dyDescent="0.3">
      <c r="K16" s="5" t="s">
        <v>24</v>
      </c>
    </row>
    <row r="17" spans="11:11" x14ac:dyDescent="0.3">
      <c r="K17" s="4" t="s">
        <v>23</v>
      </c>
    </row>
    <row r="18" spans="11:11" x14ac:dyDescent="0.3">
      <c r="K18" s="3" t="s">
        <v>22</v>
      </c>
    </row>
    <row r="19" spans="11:11" x14ac:dyDescent="0.3">
      <c r="K19" s="2" t="s">
        <v>21</v>
      </c>
    </row>
  </sheetData>
  <hyperlinks>
    <hyperlink ref="B3" r:id="rId1" xr:uid="{14C9F10C-4241-4381-9A58-C45CBE1D0EC1}"/>
    <hyperlink ref="B4" r:id="rId2" xr:uid="{956A622F-4129-49E8-B3F9-286229411C4E}"/>
    <hyperlink ref="B5" r:id="rId3" xr:uid="{89548BBF-66AA-4EED-8862-90CB1E3EFBBF}"/>
    <hyperlink ref="B6" r:id="rId4" xr:uid="{DE0AC776-4712-4CE4-A502-2FEC545FA729}"/>
    <hyperlink ref="B7" r:id="rId5" xr:uid="{A17DCD71-EE89-4DC1-A07D-05642306D744}"/>
    <hyperlink ref="B8" r:id="rId6" xr:uid="{8B455401-3CF0-478F-90EE-4BCE8AFD4668}"/>
    <hyperlink ref="K3" r:id="rId7" xr:uid="{119BFD1D-40CB-4E53-88E7-0B54106196A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2D2D3-5236-4339-AF4C-11B73B17E08A}">
  <dimension ref="B3:B13"/>
  <sheetViews>
    <sheetView workbookViewId="0">
      <selection activeCell="B14" sqref="B14"/>
    </sheetView>
  </sheetViews>
  <sheetFormatPr defaultRowHeight="14.4" x14ac:dyDescent="0.3"/>
  <cols>
    <col min="2" max="2" width="105.44140625" bestFit="1" customWidth="1"/>
  </cols>
  <sheetData>
    <row r="3" spans="2:2" x14ac:dyDescent="0.3">
      <c r="B3" s="3" t="s">
        <v>15</v>
      </c>
    </row>
    <row r="4" spans="2:2" x14ac:dyDescent="0.3">
      <c r="B4" s="3" t="s">
        <v>14</v>
      </c>
    </row>
    <row r="5" spans="2:2" x14ac:dyDescent="0.3">
      <c r="B5" s="3" t="s">
        <v>13</v>
      </c>
    </row>
    <row r="6" spans="2:2" x14ac:dyDescent="0.3">
      <c r="B6" s="3" t="s">
        <v>12</v>
      </c>
    </row>
    <row r="7" spans="2:2" x14ac:dyDescent="0.3">
      <c r="B7" t="s">
        <v>11</v>
      </c>
    </row>
    <row r="8" spans="2:2" x14ac:dyDescent="0.3">
      <c r="B8" t="s">
        <v>10</v>
      </c>
    </row>
    <row r="9" spans="2:2" x14ac:dyDescent="0.3">
      <c r="B9" s="3" t="s">
        <v>9</v>
      </c>
    </row>
    <row r="10" spans="2:2" x14ac:dyDescent="0.3">
      <c r="B10" s="3" t="s">
        <v>8</v>
      </c>
    </row>
    <row r="11" spans="2:2" x14ac:dyDescent="0.3">
      <c r="B11" t="s">
        <v>41</v>
      </c>
    </row>
    <row r="12" spans="2:2" x14ac:dyDescent="0.3">
      <c r="B12" t="s">
        <v>42</v>
      </c>
    </row>
    <row r="13" spans="2:2" x14ac:dyDescent="0.3">
      <c r="B1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Upgrades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2025-04-23T12:06:38Z</dcterms:created>
  <dcterms:modified xsi:type="dcterms:W3CDTF">2025-09-28T12:53:59Z</dcterms:modified>
</cp:coreProperties>
</file>