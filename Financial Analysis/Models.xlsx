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tos\Documents\GitHub\FinanceModels\Financial Analysis\"/>
    </mc:Choice>
  </mc:AlternateContent>
  <xr:revisionPtr revIDLastSave="0" documentId="13_ncr:1_{27FDE143-B341-4D6D-9343-061F919DD4A4}" xr6:coauthVersionLast="47" xr6:coauthVersionMax="47" xr10:uidLastSave="{00000000-0000-0000-0000-000000000000}"/>
  <bookViews>
    <workbookView xWindow="-108" yWindow="-108" windowWidth="23256" windowHeight="12576" xr2:uid="{40711DBD-7A53-4994-9FF1-9E754821B18D}"/>
  </bookViews>
  <sheets>
    <sheet name="Main" sheetId="1" r:id="rId1"/>
    <sheet name="Upgrades" sheetId="3" r:id="rId2"/>
    <sheet name="Equity Bubbles" sheetId="5" r:id="rId3"/>
    <sheet name="Market Bubbles" sheetId="6" r:id="rId4"/>
  </sheets>
  <externalReferences>
    <externalReference r:id="rId5"/>
    <externalReference r:id="rId6"/>
    <externalReference r:id="rId7"/>
    <externalReference r:id="rId8"/>
    <externalReference r:id="rId9"/>
    <externalReference r:id="rId10"/>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0" i="5" l="1"/>
  <c r="L20" i="5"/>
  <c r="J20" i="5"/>
  <c r="M20" i="5"/>
  <c r="G20" i="5"/>
  <c r="H20" i="5" s="1"/>
  <c r="O28" i="5"/>
  <c r="L28" i="5"/>
  <c r="J28" i="5"/>
  <c r="M28" i="5"/>
  <c r="G28" i="5"/>
  <c r="H28" i="5" s="1"/>
  <c r="O29" i="5" l="1"/>
  <c r="G29" i="5" l="1"/>
  <c r="H29" i="5" s="1"/>
  <c r="J29" i="5"/>
  <c r="M29" i="5"/>
  <c r="G16" i="5"/>
  <c r="H16" i="5" s="1"/>
  <c r="J16" i="5"/>
  <c r="L16" i="5"/>
  <c r="M16" i="5"/>
  <c r="S16" i="5" s="1"/>
  <c r="O16" i="5"/>
  <c r="T16" i="5"/>
  <c r="V16" i="5"/>
  <c r="AB16" i="5"/>
  <c r="G12" i="5"/>
  <c r="H12" i="5" s="1"/>
  <c r="J12" i="5"/>
  <c r="L12" i="5"/>
  <c r="M12" i="5"/>
  <c r="O12" i="5"/>
  <c r="G3" i="5"/>
  <c r="H3" i="5" s="1"/>
  <c r="J3" i="5"/>
  <c r="L3" i="5"/>
  <c r="M3" i="5"/>
  <c r="O3" i="5"/>
  <c r="O4" i="6" l="1"/>
  <c r="M4" i="6"/>
  <c r="L4" i="6"/>
  <c r="J4" i="6"/>
  <c r="H4" i="6"/>
  <c r="G4" i="6"/>
  <c r="G3" i="6"/>
  <c r="G1" i="6" s="1"/>
  <c r="AB1" i="6"/>
  <c r="V1" i="6"/>
  <c r="O1" i="6"/>
  <c r="L1" i="6"/>
  <c r="E1" i="6"/>
  <c r="O33" i="5"/>
  <c r="L33" i="5"/>
  <c r="G33" i="5"/>
  <c r="H33" i="5" s="1"/>
  <c r="J33" i="5"/>
  <c r="M33" i="5"/>
  <c r="O37" i="5"/>
  <c r="L37" i="5"/>
  <c r="J37" i="5"/>
  <c r="M37" i="5"/>
  <c r="G37" i="5"/>
  <c r="H37" i="5" s="1"/>
  <c r="O36" i="5"/>
  <c r="L36" i="5"/>
  <c r="J36" i="5"/>
  <c r="M36" i="5"/>
  <c r="G36" i="5"/>
  <c r="H36" i="5" s="1"/>
  <c r="O26" i="5"/>
  <c r="L26" i="5"/>
  <c r="J26" i="5"/>
  <c r="M26" i="5"/>
  <c r="G26" i="5"/>
  <c r="H26" i="5" s="1"/>
  <c r="O34" i="5"/>
  <c r="L34" i="5"/>
  <c r="J34" i="5"/>
  <c r="M34" i="5"/>
  <c r="G34" i="5"/>
  <c r="H34" i="5" s="1"/>
  <c r="O21" i="5"/>
  <c r="L21" i="5"/>
  <c r="J21" i="5"/>
  <c r="M21" i="5"/>
  <c r="G21" i="5"/>
  <c r="H21" i="5" s="1"/>
  <c r="O27" i="5"/>
  <c r="L27" i="5"/>
  <c r="J27" i="5"/>
  <c r="M27" i="5"/>
  <c r="G27" i="5"/>
  <c r="H27" i="5" s="1"/>
  <c r="O22" i="5"/>
  <c r="L22" i="5"/>
  <c r="J22" i="5"/>
  <c r="M22" i="5"/>
  <c r="G22" i="5"/>
  <c r="H22" i="5" s="1"/>
  <c r="M7" i="5"/>
  <c r="S7" i="5" s="1"/>
  <c r="L7" i="5"/>
  <c r="J7" i="5"/>
  <c r="G7" i="5"/>
  <c r="H7" i="5" s="1"/>
  <c r="J35" i="5"/>
  <c r="M35" i="5"/>
  <c r="G35" i="5"/>
  <c r="H35" i="5" s="1"/>
  <c r="E1" i="5"/>
  <c r="O24" i="5"/>
  <c r="O7" i="5"/>
  <c r="L24" i="5"/>
  <c r="J24" i="5"/>
  <c r="M24" i="5"/>
  <c r="G24" i="5"/>
  <c r="H24" i="5" s="1"/>
  <c r="O19" i="5"/>
  <c r="L19" i="5"/>
  <c r="J19" i="5"/>
  <c r="M19" i="5"/>
  <c r="O18" i="5"/>
  <c r="M18" i="5"/>
  <c r="M6" i="5"/>
  <c r="S6" i="5" s="1"/>
  <c r="L18" i="5"/>
  <c r="J18" i="5"/>
  <c r="G18" i="5"/>
  <c r="H18" i="5" s="1"/>
  <c r="G19" i="5"/>
  <c r="H19" i="5" s="1"/>
  <c r="L6" i="5"/>
  <c r="J6" i="5"/>
  <c r="G6" i="5"/>
  <c r="H6" i="5" s="1"/>
  <c r="J32" i="5"/>
  <c r="M32" i="5"/>
  <c r="G32" i="5"/>
  <c r="H32" i="5" s="1"/>
  <c r="J31" i="5"/>
  <c r="M31" i="5"/>
  <c r="G31" i="5"/>
  <c r="H31" i="5" s="1"/>
  <c r="O23" i="5"/>
  <c r="M23" i="5"/>
  <c r="L23" i="5"/>
  <c r="J23" i="5"/>
  <c r="G23" i="5"/>
  <c r="H23" i="5" s="1"/>
  <c r="G9" i="5"/>
  <c r="H9" i="5" s="1"/>
  <c r="J9" i="5"/>
  <c r="L9" i="5"/>
  <c r="M9" i="5"/>
  <c r="S9" i="5" s="1"/>
  <c r="O9" i="5"/>
  <c r="V9" i="5"/>
  <c r="Z9" i="5"/>
  <c r="G15" i="5"/>
  <c r="H15" i="5" s="1"/>
  <c r="J15" i="5"/>
  <c r="L15" i="5"/>
  <c r="M15" i="5"/>
  <c r="S15" i="5" s="1"/>
  <c r="O15" i="5"/>
  <c r="V15" i="5"/>
  <c r="AB15" i="5"/>
  <c r="G10" i="5"/>
  <c r="H10" i="5" s="1"/>
  <c r="J10" i="5"/>
  <c r="L10" i="5"/>
  <c r="M10" i="5"/>
  <c r="S10" i="5" s="1"/>
  <c r="O10" i="5"/>
  <c r="V10" i="5"/>
  <c r="AB10" i="5"/>
  <c r="G8" i="5"/>
  <c r="H8" i="5" s="1"/>
  <c r="J8" i="5"/>
  <c r="L8" i="5"/>
  <c r="M8" i="5"/>
  <c r="S8" i="5" s="1"/>
  <c r="O8" i="5"/>
  <c r="V8" i="5"/>
  <c r="AB8" i="5"/>
  <c r="G13" i="5"/>
  <c r="H13" i="5" s="1"/>
  <c r="J13" i="5"/>
  <c r="L13" i="5"/>
  <c r="M13" i="5"/>
  <c r="O13" i="5"/>
  <c r="G11" i="5"/>
  <c r="H11" i="5" s="1"/>
  <c r="J11" i="5"/>
  <c r="L11" i="5"/>
  <c r="M11" i="5"/>
  <c r="S11" i="5" s="1"/>
  <c r="O11" i="5"/>
  <c r="V11" i="5"/>
  <c r="G4" i="5"/>
  <c r="H4" i="5" s="1"/>
  <c r="J4" i="5"/>
  <c r="L4" i="5"/>
  <c r="M4" i="5"/>
  <c r="S4" i="5" s="1"/>
  <c r="O4" i="5"/>
  <c r="G14" i="5"/>
  <c r="H14" i="5" s="1"/>
  <c r="J14" i="5"/>
  <c r="L14" i="5"/>
  <c r="M14" i="5"/>
  <c r="S14" i="5" s="1"/>
  <c r="O14" i="5"/>
  <c r="G5" i="5"/>
  <c r="H5" i="5" s="1"/>
  <c r="J5" i="5"/>
  <c r="L5" i="5"/>
  <c r="M5" i="5"/>
  <c r="S5" i="5" s="1"/>
  <c r="O5" i="5"/>
  <c r="G17" i="5"/>
  <c r="H17" i="5" s="1"/>
  <c r="J17" i="5"/>
  <c r="L17" i="5"/>
  <c r="M17" i="5"/>
  <c r="O17" i="5"/>
  <c r="G25" i="5"/>
  <c r="H25" i="5" s="1"/>
  <c r="J25" i="5"/>
  <c r="L25" i="5"/>
  <c r="M25" i="5"/>
  <c r="O25" i="5"/>
  <c r="G30" i="5"/>
  <c r="H30" i="5" s="1"/>
  <c r="J30" i="5"/>
  <c r="M30" i="5"/>
  <c r="O6" i="5"/>
  <c r="V6" i="5"/>
  <c r="AB6" i="5"/>
  <c r="V7" i="5"/>
  <c r="AB7" i="5"/>
  <c r="F3" i="1"/>
  <c r="H3" i="6" l="1"/>
  <c r="H1" i="6" s="1"/>
  <c r="O1" i="5"/>
  <c r="N29" i="5" s="1"/>
  <c r="AB1" i="5"/>
  <c r="V1" i="5"/>
  <c r="E3" i="1"/>
  <c r="N33" i="5" l="1"/>
  <c r="N35" i="5"/>
  <c r="N34" i="5"/>
  <c r="D3" i="1"/>
  <c r="F7" i="1"/>
  <c r="F6" i="1" l="1"/>
  <c r="F4" i="1" l="1"/>
  <c r="F5" i="1" l="1"/>
  <c r="F9" i="1" s="1"/>
  <c r="E6" i="1"/>
  <c r="D8" i="1" l="1"/>
  <c r="C8" i="1"/>
  <c r="C7" i="1" l="1"/>
  <c r="C6" i="1" l="1"/>
  <c r="C5" i="1"/>
  <c r="C4" i="1" l="1"/>
  <c r="C3" i="1"/>
  <c r="D7" i="1" l="1"/>
  <c r="C9" i="1"/>
  <c r="H3" i="1"/>
  <c r="E4" i="1" l="1"/>
  <c r="E5" i="1" l="1"/>
  <c r="E9" i="1" s="1"/>
  <c r="D5" i="1" l="1"/>
  <c r="D6" i="1" l="1"/>
  <c r="D4" i="1" l="1"/>
  <c r="D9" i="1" l="1"/>
  <c r="N30" i="5" l="1"/>
  <c r="N32" i="5"/>
  <c r="N31" i="5"/>
  <c r="L1" i="5"/>
  <c r="K35" i="5" l="1"/>
  <c r="K29" i="5"/>
  <c r="K32" i="5"/>
  <c r="K31" i="5"/>
  <c r="K30" i="5"/>
  <c r="H1" i="5"/>
  <c r="G1" i="5"/>
  <c r="F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Anton Mniszek</author>
  </authors>
  <commentList>
    <comment ref="B2" authorId="0" shapeId="0" xr:uid="{FDD54D56-CCF9-4CE7-9B21-9990BBE31B07}">
      <text>
        <r>
          <rPr>
            <b/>
            <sz val="9"/>
            <color indexed="81"/>
            <rFont val="Tahoma"/>
            <family val="2"/>
          </rPr>
          <t>Anton Mniszek:</t>
        </r>
        <r>
          <rPr>
            <sz val="9"/>
            <color indexed="81"/>
            <rFont val="Tahoma"/>
            <family val="2"/>
          </rPr>
          <t xml:space="preserve">
brackets means multiple bubbles (done already or tbd)
COULD ALSO RESEARCH BOTTOMS, E.G. DOWNBEAT OR DEEP VALUE STOCKS</t>
        </r>
      </text>
    </comment>
    <comment ref="C2" authorId="0" shapeId="0" xr:uid="{3BA14E04-B291-401D-8277-03AED154AFC5}">
      <text>
        <r>
          <rPr>
            <b/>
            <sz val="9"/>
            <color indexed="81"/>
            <rFont val="Tahoma"/>
            <family val="2"/>
          </rPr>
          <t>Anton Mniszek:</t>
        </r>
        <r>
          <rPr>
            <sz val="9"/>
            <color indexed="81"/>
            <rFont val="Tahoma"/>
            <family val="2"/>
          </rPr>
          <t xml:space="preserve">
maybe go into more detail and then categorise averages for each reason</t>
        </r>
      </text>
    </comment>
    <comment ref="D2" authorId="0" shapeId="0" xr:uid="{C9A059F8-94EC-49DF-BBC8-22BA2F5CE283}">
      <text>
        <r>
          <rPr>
            <b/>
            <sz val="9"/>
            <color indexed="81"/>
            <rFont val="Tahoma"/>
            <family val="2"/>
          </rPr>
          <t>Anton Mniszek:</t>
        </r>
        <r>
          <rPr>
            <sz val="9"/>
            <color indexed="81"/>
            <rFont val="Tahoma"/>
            <family val="2"/>
          </rPr>
          <t xml:space="preserve">
also may be the bottom or start of bullish run, not necessarily the first ever 10% day?</t>
        </r>
      </text>
    </comment>
    <comment ref="E2" authorId="0" shapeId="0" xr:uid="{A8DF8E38-88AF-40CA-9F8E-2DCC904B1813}">
      <text>
        <r>
          <rPr>
            <b/>
            <sz val="9"/>
            <color indexed="81"/>
            <rFont val="Tahoma"/>
            <family val="2"/>
          </rPr>
          <t>Anton Mniszek:</t>
        </r>
        <r>
          <rPr>
            <sz val="9"/>
            <color indexed="81"/>
            <rFont val="Tahoma"/>
            <family val="2"/>
          </rPr>
          <t xml:space="preserve">
either &gt;4 days at a certain level, or &gt;5 days before next ATH? latter produces more
orr &gt;10% drop
for now it's just an estimate, but I think the sample data growing in abundance makes or will make the average accurate anyways</t>
        </r>
      </text>
    </comment>
    <comment ref="G2" authorId="0" shapeId="0" xr:uid="{C14F6B2B-F9F5-4A58-982B-743C50CFCCBC}">
      <text>
        <r>
          <rPr>
            <b/>
            <sz val="9"/>
            <color indexed="81"/>
            <rFont val="Tahoma"/>
            <family val="2"/>
          </rPr>
          <t>Anton Mniszek:</t>
        </r>
        <r>
          <rPr>
            <sz val="9"/>
            <color indexed="81"/>
            <rFont val="Tahoma"/>
            <family val="2"/>
          </rPr>
          <t xml:space="preserve">
also could do how many peaks (e.g. identifiable peaks of multiple days, how long they lasted), days of high vol/high % gain/loss, indicators at peaks or very peak, news affecting vol and peaks, and news at the peak
then also maybe IONQ (1st time) then new row of new peak second time etc.</t>
        </r>
      </text>
    </comment>
    <comment ref="N2" authorId="0" shapeId="0" xr:uid="{9C9AF2E3-A825-426F-97FC-5549386E45C8}">
      <text>
        <r>
          <rPr>
            <b/>
            <sz val="9"/>
            <color indexed="81"/>
            <rFont val="Tahoma"/>
            <family val="2"/>
          </rPr>
          <t>Anton Mniszek:</t>
        </r>
        <r>
          <rPr>
            <sz val="9"/>
            <color indexed="81"/>
            <rFont val="Tahoma"/>
            <family val="2"/>
          </rPr>
          <t xml:space="preserve">
usually assuming a take profit at 50%, sometimes intraday hits but often goes back up again and for a while</t>
        </r>
      </text>
    </comment>
    <comment ref="R2" authorId="0" shapeId="0" xr:uid="{406B637C-6449-4F37-95D3-3376951ECFA9}">
      <text>
        <r>
          <rPr>
            <b/>
            <sz val="9"/>
            <color indexed="81"/>
            <rFont val="Tahoma"/>
            <charset val="1"/>
          </rPr>
          <t>Anton Mniszek:</t>
        </r>
        <r>
          <rPr>
            <sz val="9"/>
            <color indexed="81"/>
            <rFont val="Tahoma"/>
            <charset val="1"/>
          </rPr>
          <t xml:space="preserve">
this would be interesting t model too, need t think through, maybe similar to no. of peaks? Or max rebound or something else</t>
        </r>
      </text>
    </comment>
    <comment ref="D3" authorId="0" shapeId="0" xr:uid="{C387349A-F0CF-4164-A8DF-0AF8F89BCE90}">
      <text>
        <r>
          <rPr>
            <b/>
            <sz val="9"/>
            <color indexed="81"/>
            <rFont val="Tahoma"/>
            <family val="2"/>
          </rPr>
          <t>Anton Mniszek:</t>
        </r>
        <r>
          <rPr>
            <sz val="9"/>
            <color indexed="81"/>
            <rFont val="Tahoma"/>
            <family val="2"/>
          </rPr>
          <t xml:space="preserve">
outlier - &gt;9%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Anton Mniszek</author>
  </authors>
  <commentList>
    <comment ref="D4" authorId="0" shapeId="0" xr:uid="{768F5D96-0354-4A42-9916-ECFE8FA5C786}">
      <text>
        <r>
          <rPr>
            <b/>
            <sz val="9"/>
            <color indexed="81"/>
            <rFont val="Tahoma"/>
            <family val="2"/>
          </rPr>
          <t>Anton Mniszek:</t>
        </r>
        <r>
          <rPr>
            <sz val="9"/>
            <color indexed="81"/>
            <rFont val="Tahoma"/>
            <family val="2"/>
          </rPr>
          <t xml:space="preserve">
5% for pre-2020 indices?</t>
        </r>
      </text>
    </comment>
  </commentList>
</comments>
</file>

<file path=xl/sharedStrings.xml><?xml version="1.0" encoding="utf-8"?>
<sst xmlns="http://schemas.openxmlformats.org/spreadsheetml/2006/main" count="198" uniqueCount="134">
  <si>
    <t>Tech</t>
  </si>
  <si>
    <t>Models</t>
  </si>
  <si>
    <t>Automotive</t>
  </si>
  <si>
    <t>Retail</t>
  </si>
  <si>
    <t>Defence</t>
  </si>
  <si>
    <t>Space</t>
  </si>
  <si>
    <t>Energy</t>
  </si>
  <si>
    <t>Retired</t>
  </si>
  <si>
    <t>github, and BACKUP</t>
  </si>
  <si>
    <t>start doing stock analysis reports</t>
  </si>
  <si>
    <t>clean up FA folder</t>
  </si>
  <si>
    <t>update stats for portfolio and maybe percentages think about conviction (perhaps make feb (2025) start of my financial year?)</t>
  </si>
  <si>
    <t>more in-depth statement analysis</t>
  </si>
  <si>
    <t>track more stocks</t>
  </si>
  <si>
    <t>improve trackers on main and tradingview</t>
  </si>
  <si>
    <t>update dates etc. on main</t>
  </si>
  <si>
    <t>Today</t>
  </si>
  <si>
    <t>Stocks</t>
  </si>
  <si>
    <t>Value</t>
  </si>
  <si>
    <t>A good short exploits a company's major weakness?</t>
  </si>
  <si>
    <t>Lessons:</t>
  </si>
  <si>
    <t>Needs an update</t>
  </si>
  <si>
    <t>Planning a long/already long</t>
  </si>
  <si>
    <t>Potential short</t>
  </si>
  <si>
    <t>Potential long</t>
  </si>
  <si>
    <t>&gt;50%</t>
  </si>
  <si>
    <t>Heavily undervalued (buy)</t>
  </si>
  <si>
    <t>30-50%</t>
  </si>
  <si>
    <t>Undervalued (hold/buy)</t>
  </si>
  <si>
    <t>10-30%</t>
  </si>
  <si>
    <t>Slightly undervalued (hold)</t>
  </si>
  <si>
    <t>within 10%</t>
  </si>
  <si>
    <t>Fair value (hold/sell)</t>
  </si>
  <si>
    <t>Slightly overvalued (sell)</t>
  </si>
  <si>
    <t>Overvalued (sell)</t>
  </si>
  <si>
    <t>Heavily overvalued (short)</t>
  </si>
  <si>
    <t>Ratings</t>
  </si>
  <si>
    <t>EV/E</t>
  </si>
  <si>
    <t>EV/R</t>
  </si>
  <si>
    <t>Do not short good companies! (maybe only at &gt;-70% and a short period of time)</t>
  </si>
  <si>
    <t>For every 10 stocks, one good short, one good long?</t>
  </si>
  <si>
    <t>use joby 10-q q125 as basis for stock presentation?</t>
  </si>
  <si>
    <t>make vidya models (business model seems slightly similar to biotech tbh)</t>
  </si>
  <si>
    <t>start focusing more on defence and vidya as main proficiency?</t>
  </si>
  <si>
    <t>Last upgraded</t>
  </si>
  <si>
    <t>KODK</t>
  </si>
  <si>
    <t>BBBY</t>
  </si>
  <si>
    <t>OSTK</t>
  </si>
  <si>
    <t>Terra Luna</t>
  </si>
  <si>
    <t>ZM</t>
  </si>
  <si>
    <t>Fraud</t>
  </si>
  <si>
    <t>italic = predicted</t>
  </si>
  <si>
    <t>bold = ongoing</t>
  </si>
  <si>
    <t>peak date + -50%</t>
  </si>
  <si>
    <t>Hype</t>
  </si>
  <si>
    <t>BYND</t>
  </si>
  <si>
    <t>Squeeze</t>
  </si>
  <si>
    <t>TLRY</t>
  </si>
  <si>
    <t>Hype/fraud?</t>
  </si>
  <si>
    <t>OKLO</t>
  </si>
  <si>
    <t>IONQ (Q125)</t>
  </si>
  <si>
    <t>RGTI (Q125)</t>
  </si>
  <si>
    <t>RGTI (Q324)</t>
  </si>
  <si>
    <t>IPO</t>
  </si>
  <si>
    <t>RIVN</t>
  </si>
  <si>
    <t>ACB (Q317)</t>
  </si>
  <si>
    <t>FCEL (Q124)</t>
  </si>
  <si>
    <t>Hype?</t>
  </si>
  <si>
    <t>FCEL (Q114)</t>
  </si>
  <si>
    <t>PLUG</t>
  </si>
  <si>
    <t>SPCE (Q421)</t>
  </si>
  <si>
    <t>SPCE (Q120)</t>
  </si>
  <si>
    <t>AMC</t>
  </si>
  <si>
    <t>PTON</t>
  </si>
  <si>
    <t>LCID (Q121)</t>
  </si>
  <si>
    <t>NKLA</t>
  </si>
  <si>
    <t>Time to -90%</t>
  </si>
  <si>
    <t>1st 90% DD Date</t>
  </si>
  <si>
    <t>1st 90% DD</t>
  </si>
  <si>
    <t>Max Rebound</t>
  </si>
  <si>
    <t>Up Days</t>
  </si>
  <si>
    <t>Period Days</t>
  </si>
  <si>
    <t>Time to -75%</t>
  </si>
  <si>
    <t>1st 75% DD Date</t>
  </si>
  <si>
    <t>1st 75% DD</t>
  </si>
  <si>
    <t>Drawdown</t>
  </si>
  <si>
    <t>Trading Days</t>
  </si>
  <si>
    <t>Time to -50%</t>
  </si>
  <si>
    <t>1st 50% DD Date</t>
  </si>
  <si>
    <t>50% DD</t>
  </si>
  <si>
    <t>Time to -25%</t>
  </si>
  <si>
    <t>1st 25% DD Date</t>
  </si>
  <si>
    <t>25% DD</t>
  </si>
  <si>
    <t>Peak Close</t>
  </si>
  <si>
    <t>Time per Peak</t>
  </si>
  <si>
    <t>Time to Peak</t>
  </si>
  <si>
    <t>Peak Date</t>
  </si>
  <si>
    <t>No. of Peaks</t>
  </si>
  <si>
    <t>1st &gt;10% Day</t>
  </si>
  <si>
    <t>Reason</t>
  </si>
  <si>
    <t>Ticker</t>
  </si>
  <si>
    <t>Main</t>
  </si>
  <si>
    <t>IONQ (Q324)</t>
  </si>
  <si>
    <t>Hype/IPO</t>
  </si>
  <si>
    <t>BBAI (Q123)</t>
  </si>
  <si>
    <t>BBAI (Q122)</t>
  </si>
  <si>
    <t>BBAI (Q125)</t>
  </si>
  <si>
    <t>VOW</t>
  </si>
  <si>
    <t>GME (Q320)</t>
  </si>
  <si>
    <t>KTOS</t>
  </si>
  <si>
    <t>MSTR</t>
  </si>
  <si>
    <t>JOBY</t>
  </si>
  <si>
    <t>ACHR</t>
  </si>
  <si>
    <t>DUOL</t>
  </si>
  <si>
    <t>QBTS</t>
  </si>
  <si>
    <t>QUBT</t>
  </si>
  <si>
    <t>HOOD</t>
  </si>
  <si>
    <t>SOUN</t>
  </si>
  <si>
    <t>TEM</t>
  </si>
  <si>
    <t>Hype/fraud</t>
  </si>
  <si>
    <t>CRWV</t>
  </si>
  <si>
    <t>CRCL</t>
  </si>
  <si>
    <t>SYM</t>
  </si>
  <si>
    <t>SPY (Q225)</t>
  </si>
  <si>
    <t>QQQ (Q299)</t>
  </si>
  <si>
    <t>SPY (Q108)</t>
  </si>
  <si>
    <t>BTC</t>
  </si>
  <si>
    <t>XAU/USD</t>
  </si>
  <si>
    <t>PLTR</t>
  </si>
  <si>
    <t>can take very long for large mcap stocks to peak? (PLTR, PTON, DUOL) perhaps cause of beta and passive investing</t>
  </si>
  <si>
    <t>efficient to take profits at -25%? explore with more %'s</t>
  </si>
  <si>
    <t>UMAC</t>
  </si>
  <si>
    <t>RCAT</t>
  </si>
  <si>
    <t>Price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</si>
</sst>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x"/>
    <numFmt numFmtId="165" formatCode="0.0\x"/>
    <numFmt numFmtId="166" formatCode="#,##0.0"/>
  </numFmts>
  <fonts count="24"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u/>
      <sz val="11"/>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i/>
      <sz val="11"/>
      <color theme="0"/>
      <name val="Calibri"/>
      <family val="2"/>
      <scheme val="minor"/>
    </font>
    <font>
      <u/>
      <sz val="11"/>
      <color theme="0"/>
      <name val="Calibri"/>
      <family val="2"/>
      <scheme val="minor"/>
    </font>
    <font>
      <sz val="10"/>
      <color theme="1"/>
      <name val="Arial"/>
      <family val="2"/>
    </font>
    <font>
      <u/>
      <sz val="10"/>
      <color theme="10"/>
      <name val="Arial"/>
      <family val="2"/>
    </font>
    <font>
      <b/>
      <sz val="9"/>
      <color indexed="81"/>
      <name val="Tahoma"/>
      <family val="2"/>
    </font>
    <font>
      <sz val="9"/>
      <color indexed="81"/>
      <name val="Tahoma"/>
      <family val="2"/>
    </font>
    <font>
      <u/>
      <sz val="10"/>
      <color theme="0"/>
      <name val="Arial"/>
      <family val="2"/>
    </font>
    <font>
      <sz val="10"/>
      <color theme="0"/>
      <name val="Arial"/>
      <family val="2"/>
    </font>
    <font>
      <b/>
      <sz val="10"/>
      <color theme="0"/>
      <name val="Arial"/>
      <family val="2"/>
    </font>
    <font>
      <sz val="10"/>
      <color rgb="FFFF0000"/>
      <name val="Arial"/>
      <family val="2"/>
    </font>
    <font>
      <i/>
      <sz val="10"/>
      <color theme="0"/>
      <name val="Arial"/>
      <family val="2"/>
    </font>
    <font>
      <i/>
      <sz val="10"/>
      <color theme="5" tint="0.39997558519241921"/>
      <name val="Arial"/>
      <family val="2"/>
    </font>
    <font>
      <sz val="10"/>
      <color theme="5" tint="0.39997558519241921"/>
      <name val="Arial"/>
      <family val="2"/>
    </font>
    <font>
      <sz val="9"/>
      <color indexed="81"/>
      <name val="Tahoma"/>
      <charset val="1"/>
    </font>
    <font>
      <b/>
      <sz val="9"/>
      <color indexed="81"/>
      <name val="Tahoma"/>
      <charset val="1"/>
    </font>
    <font>
      <b/>
      <sz val="10"/>
      <color rgb="FFC00000"/>
      <name val="Arial"/>
      <family val="2"/>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theme="9" tint="-0.499984740745262"/>
        <bgColor indexed="64"/>
      </patternFill>
    </fill>
  </fills>
  <borders count="9">
    <border>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2" tint="-0.749992370372631"/>
      </left>
      <right style="thin">
        <color theme="2" tint="-0.749992370372631"/>
      </right>
      <top style="thin">
        <color theme="2" tint="-0.749992370372631"/>
      </top>
      <bottom style="thin">
        <color theme="2" tint="-0.749992370372631"/>
      </bottom>
      <diagonal/>
    </border>
  </borders>
  <cellStyleXfs count="7">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5" fillId="0" borderId="0" applyNumberFormat="0" applyFill="0" applyBorder="0" applyAlignment="0" applyProtection="0"/>
    <xf numFmtId="0" fontId="10" fillId="0" borderId="0"/>
    <xf numFmtId="0" fontId="11" fillId="0" borderId="0" applyNumberFormat="0" applyFill="0" applyBorder="0" applyAlignment="0" applyProtection="0"/>
  </cellStyleXfs>
  <cellXfs count="58">
    <xf numFmtId="0" fontId="0" fillId="0" borderId="0" xfId="0"/>
    <xf numFmtId="0" fontId="0" fillId="0" borderId="4" xfId="0" applyBorder="1"/>
    <xf numFmtId="0" fontId="0" fillId="5" borderId="0" xfId="0" applyFill="1"/>
    <xf numFmtId="0" fontId="0" fillId="6" borderId="0" xfId="0" applyFill="1"/>
    <xf numFmtId="0" fontId="0" fillId="7" borderId="0" xfId="0" applyFill="1"/>
    <xf numFmtId="0" fontId="0" fillId="8" borderId="0" xfId="0" applyFill="1"/>
    <xf numFmtId="0" fontId="1" fillId="2" borderId="2" xfId="1" applyBorder="1"/>
    <xf numFmtId="0" fontId="0" fillId="0" borderId="1" xfId="0" applyBorder="1"/>
    <xf numFmtId="0" fontId="1" fillId="2" borderId="3" xfId="1" applyBorder="1"/>
    <xf numFmtId="0" fontId="3" fillId="4" borderId="3" xfId="3" applyBorder="1"/>
    <xf numFmtId="0" fontId="2" fillId="3" borderId="3" xfId="2" applyBorder="1"/>
    <xf numFmtId="0" fontId="0" fillId="0" borderId="5" xfId="0" applyBorder="1"/>
    <xf numFmtId="0" fontId="4" fillId="0" borderId="6" xfId="0" applyFont="1" applyBorder="1"/>
    <xf numFmtId="0" fontId="7" fillId="9" borderId="7" xfId="0" applyFont="1" applyFill="1" applyBorder="1"/>
    <xf numFmtId="0" fontId="8" fillId="9" borderId="7" xfId="0" applyFont="1" applyFill="1" applyBorder="1" applyAlignment="1">
      <alignment horizontal="right"/>
    </xf>
    <xf numFmtId="14" fontId="8" fillId="9" borderId="7" xfId="0" applyNumberFormat="1" applyFont="1" applyFill="1" applyBorder="1" applyAlignment="1">
      <alignment horizontal="right"/>
    </xf>
    <xf numFmtId="0" fontId="6" fillId="9" borderId="7" xfId="0" applyFont="1" applyFill="1" applyBorder="1" applyAlignment="1">
      <alignment horizontal="center"/>
    </xf>
    <xf numFmtId="0" fontId="9" fillId="9" borderId="7" xfId="4" applyFont="1" applyFill="1" applyBorder="1" applyAlignment="1">
      <alignment horizontal="center"/>
    </xf>
    <xf numFmtId="1" fontId="7" fillId="9" borderId="7" xfId="0" applyNumberFormat="1" applyFont="1" applyFill="1" applyBorder="1" applyAlignment="1">
      <alignment horizontal="center"/>
    </xf>
    <xf numFmtId="9" fontId="7" fillId="9" borderId="7" xfId="0" applyNumberFormat="1" applyFont="1" applyFill="1" applyBorder="1" applyAlignment="1">
      <alignment horizontal="center"/>
    </xf>
    <xf numFmtId="0" fontId="7" fillId="9" borderId="7" xfId="0" applyFont="1" applyFill="1" applyBorder="1" applyAlignment="1">
      <alignment horizontal="center"/>
    </xf>
    <xf numFmtId="164" fontId="7" fillId="9" borderId="7" xfId="0" applyNumberFormat="1" applyFont="1" applyFill="1" applyBorder="1" applyAlignment="1">
      <alignment horizontal="center"/>
    </xf>
    <xf numFmtId="165" fontId="7" fillId="9" borderId="7" xfId="0" applyNumberFormat="1" applyFont="1" applyFill="1" applyBorder="1" applyAlignment="1">
      <alignment horizontal="center"/>
    </xf>
    <xf numFmtId="0" fontId="14" fillId="9" borderId="8" xfId="6" applyFont="1" applyFill="1" applyBorder="1"/>
    <xf numFmtId="0" fontId="15" fillId="9" borderId="8" xfId="5" applyFont="1" applyFill="1" applyBorder="1"/>
    <xf numFmtId="0" fontId="15" fillId="9" borderId="8" xfId="5" applyFont="1" applyFill="1" applyBorder="1" applyAlignment="1">
      <alignment horizontal="right"/>
    </xf>
    <xf numFmtId="3" fontId="16" fillId="9" borderId="8" xfId="5" applyNumberFormat="1" applyFont="1" applyFill="1" applyBorder="1" applyAlignment="1">
      <alignment horizontal="right"/>
    </xf>
    <xf numFmtId="14" fontId="15" fillId="9" borderId="8" xfId="5" applyNumberFormat="1" applyFont="1" applyFill="1" applyBorder="1" applyAlignment="1">
      <alignment horizontal="right"/>
    </xf>
    <xf numFmtId="3" fontId="15" fillId="9" borderId="8" xfId="5" applyNumberFormat="1" applyFont="1" applyFill="1" applyBorder="1" applyAlignment="1">
      <alignment horizontal="right"/>
    </xf>
    <xf numFmtId="4" fontId="15" fillId="9" borderId="8" xfId="5" applyNumberFormat="1" applyFont="1" applyFill="1" applyBorder="1" applyAlignment="1">
      <alignment horizontal="right"/>
    </xf>
    <xf numFmtId="9" fontId="15" fillId="9" borderId="8" xfId="5" applyNumberFormat="1" applyFont="1" applyFill="1" applyBorder="1" applyAlignment="1">
      <alignment horizontal="right"/>
    </xf>
    <xf numFmtId="4" fontId="15" fillId="9" borderId="8" xfId="5" applyNumberFormat="1" applyFont="1" applyFill="1" applyBorder="1"/>
    <xf numFmtId="14" fontId="15" fillId="9" borderId="8" xfId="5" applyNumberFormat="1" applyFont="1" applyFill="1" applyBorder="1"/>
    <xf numFmtId="3" fontId="15" fillId="9" borderId="8" xfId="5" applyNumberFormat="1" applyFont="1" applyFill="1" applyBorder="1"/>
    <xf numFmtId="1" fontId="15" fillId="9" borderId="8" xfId="5" applyNumberFormat="1" applyFont="1" applyFill="1" applyBorder="1" applyAlignment="1">
      <alignment horizontal="right"/>
    </xf>
    <xf numFmtId="0" fontId="16" fillId="9" borderId="8" xfId="5" applyFont="1" applyFill="1" applyBorder="1"/>
    <xf numFmtId="14" fontId="16" fillId="9" borderId="8" xfId="5" applyNumberFormat="1" applyFont="1" applyFill="1" applyBorder="1" applyAlignment="1">
      <alignment horizontal="right"/>
    </xf>
    <xf numFmtId="0" fontId="16" fillId="9" borderId="8" xfId="5" applyFont="1" applyFill="1" applyBorder="1" applyAlignment="1">
      <alignment horizontal="right"/>
    </xf>
    <xf numFmtId="4" fontId="16" fillId="9" borderId="8" xfId="5" applyNumberFormat="1" applyFont="1" applyFill="1" applyBorder="1" applyAlignment="1">
      <alignment horizontal="right"/>
    </xf>
    <xf numFmtId="3" fontId="17" fillId="9" borderId="8" xfId="5" applyNumberFormat="1" applyFont="1" applyFill="1" applyBorder="1" applyAlignment="1">
      <alignment horizontal="right"/>
    </xf>
    <xf numFmtId="0" fontId="17" fillId="9" borderId="8" xfId="5" applyFont="1" applyFill="1" applyBorder="1" applyAlignment="1">
      <alignment horizontal="right"/>
    </xf>
    <xf numFmtId="166" fontId="17" fillId="9" borderId="8" xfId="5" applyNumberFormat="1" applyFont="1" applyFill="1" applyBorder="1" applyAlignment="1">
      <alignment horizontal="right"/>
    </xf>
    <xf numFmtId="0" fontId="7" fillId="9" borderId="8" xfId="0" applyFont="1" applyFill="1" applyBorder="1"/>
    <xf numFmtId="0" fontId="7" fillId="10" borderId="8" xfId="0" applyFont="1" applyFill="1" applyBorder="1"/>
    <xf numFmtId="1" fontId="14" fillId="9" borderId="8" xfId="5" applyNumberFormat="1" applyFont="1" applyFill="1" applyBorder="1" applyAlignment="1">
      <alignment horizontal="right"/>
    </xf>
    <xf numFmtId="0" fontId="18" fillId="9" borderId="8" xfId="5" applyFont="1" applyFill="1" applyBorder="1" applyAlignment="1">
      <alignment horizontal="right"/>
    </xf>
    <xf numFmtId="14" fontId="18" fillId="9" borderId="8" xfId="5" applyNumberFormat="1" applyFont="1" applyFill="1" applyBorder="1" applyAlignment="1">
      <alignment horizontal="right"/>
    </xf>
    <xf numFmtId="3" fontId="18" fillId="9" borderId="8" xfId="5" applyNumberFormat="1" applyFont="1" applyFill="1" applyBorder="1" applyAlignment="1">
      <alignment horizontal="right"/>
    </xf>
    <xf numFmtId="1" fontId="18" fillId="9" borderId="8" xfId="5" applyNumberFormat="1" applyFont="1" applyFill="1" applyBorder="1" applyAlignment="1">
      <alignment horizontal="right"/>
    </xf>
    <xf numFmtId="4" fontId="18" fillId="9" borderId="8" xfId="5" applyNumberFormat="1" applyFont="1" applyFill="1" applyBorder="1" applyAlignment="1">
      <alignment horizontal="right"/>
    </xf>
    <xf numFmtId="0" fontId="19" fillId="9" borderId="8" xfId="5" applyFont="1" applyFill="1" applyBorder="1"/>
    <xf numFmtId="0" fontId="20" fillId="9" borderId="8" xfId="5" applyFont="1" applyFill="1" applyBorder="1"/>
    <xf numFmtId="14" fontId="19" fillId="9" borderId="8" xfId="5" applyNumberFormat="1" applyFont="1" applyFill="1" applyBorder="1" applyAlignment="1">
      <alignment horizontal="right"/>
    </xf>
    <xf numFmtId="14" fontId="20" fillId="9" borderId="8" xfId="5" applyNumberFormat="1" applyFont="1" applyFill="1" applyBorder="1" applyAlignment="1">
      <alignment horizontal="right"/>
    </xf>
    <xf numFmtId="0" fontId="15" fillId="9" borderId="8" xfId="0" applyFont="1" applyFill="1" applyBorder="1"/>
    <xf numFmtId="14" fontId="23" fillId="9" borderId="8" xfId="5" applyNumberFormat="1" applyFont="1" applyFill="1" applyBorder="1" applyAlignment="1">
      <alignment horizontal="right"/>
    </xf>
    <xf numFmtId="4" fontId="15" fillId="9" borderId="8" xfId="5" applyNumberFormat="1" applyFont="1" applyFill="1" applyBorder="1" applyAlignment="1">
      <alignment horizontal="left"/>
    </xf>
    <xf numFmtId="0" fontId="5" fillId="9" borderId="7" xfId="4" applyFill="1" applyBorder="1" applyAlignment="1">
      <alignment horizontal="center"/>
    </xf>
  </cellXfs>
  <cellStyles count="7">
    <cellStyle name="Bad" xfId="2" builtinId="27"/>
    <cellStyle name="Good" xfId="1" builtinId="26"/>
    <cellStyle name="Hyperlink" xfId="4" builtinId="8"/>
    <cellStyle name="Hyperlink 2" xfId="6" xr:uid="{2D3C89F8-AEE2-48DC-8478-074498FD1787}"/>
    <cellStyle name="Neutral" xfId="3" builtinId="28"/>
    <cellStyle name="Normal" xfId="0" builtinId="0"/>
    <cellStyle name="Normal 2" xfId="5" xr:uid="{6BCB83A4-1E91-4648-82AA-D35DEF998E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tos\Documents\GitHub\FinanceModels\Financial%20Analysis\Models%20(Tech).xlsx" TargetMode="External"/><Relationship Id="rId1" Type="http://schemas.openxmlformats.org/officeDocument/2006/relationships/externalLinkPath" Target="Models%20(Tech).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ntos\Documents\GitHub\FinanceModels\Financial%20Analysis\Models%20(Automotive).xlsx" TargetMode="External"/><Relationship Id="rId1" Type="http://schemas.openxmlformats.org/officeDocument/2006/relationships/externalLinkPath" Target="Models%20(Automotiv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ntos\Documents\GitHub\FinanceModels\Financial%20Analysis\Models%20(Retail)%20%7b2024%7d.xlsx" TargetMode="External"/><Relationship Id="rId1" Type="http://schemas.openxmlformats.org/officeDocument/2006/relationships/externalLinkPath" Target="Models%20(Retail)%20%7b2024%7d.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antos\Documents\GitHub\FinanceModels\Financial%20Analysis\Models%20(Defence).xlsx" TargetMode="External"/><Relationship Id="rId1" Type="http://schemas.openxmlformats.org/officeDocument/2006/relationships/externalLinkPath" Target="Models%20(Defence).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ntos\Documents\GitHub\FinanceModels\Financial%20Analysis\Models%20(Space).xlsx" TargetMode="External"/><Relationship Id="rId1" Type="http://schemas.openxmlformats.org/officeDocument/2006/relationships/externalLinkPath" Target="Models%20(Space).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antos\Documents\GitHub\FinanceModels\Financial%20Analysis\Models%20(Energy).xlsx" TargetMode="External"/><Relationship Id="rId1" Type="http://schemas.openxmlformats.org/officeDocument/2006/relationships/externalLinkPath" Target="Models%20(Energ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s"/>
      <sheetName val="Charts"/>
    </sheetNames>
    <sheetDataSet>
      <sheetData sheetId="0">
        <row r="3">
          <cell r="N3">
            <v>27.58173814816303</v>
          </cell>
          <cell r="T3">
            <v>4.6317001586310811</v>
          </cell>
          <cell r="Z3">
            <v>-0.29140664255030541</v>
          </cell>
        </row>
        <row r="5">
          <cell r="B5" t="str">
            <v>Microsoft</v>
          </cell>
        </row>
        <row r="6">
          <cell r="B6" t="str">
            <v>Apple</v>
          </cell>
        </row>
        <row r="7">
          <cell r="B7" t="str">
            <v>Alphabet</v>
          </cell>
        </row>
        <row r="8">
          <cell r="B8" t="str">
            <v>Amazon</v>
          </cell>
        </row>
        <row r="9">
          <cell r="B9" t="str">
            <v>Facebook</v>
          </cell>
        </row>
        <row r="10">
          <cell r="B10" t="str">
            <v>Tesla</v>
          </cell>
        </row>
        <row r="11">
          <cell r="B11" t="str">
            <v>Oracle</v>
          </cell>
        </row>
        <row r="12">
          <cell r="B12" t="str">
            <v>Tencent</v>
          </cell>
        </row>
        <row r="13">
          <cell r="B13" t="str">
            <v>Visa</v>
          </cell>
        </row>
        <row r="14">
          <cell r="B14" t="str">
            <v>Netflix</v>
          </cell>
        </row>
        <row r="15">
          <cell r="B15" t="str">
            <v>Mastercard</v>
          </cell>
        </row>
        <row r="16">
          <cell r="B16" t="str">
            <v>Palantir</v>
          </cell>
        </row>
        <row r="17">
          <cell r="B17" t="str">
            <v>AMD</v>
          </cell>
        </row>
        <row r="18">
          <cell r="B18" t="str">
            <v>American Express</v>
          </cell>
        </row>
        <row r="19">
          <cell r="B19" t="str">
            <v>Salesforce</v>
          </cell>
        </row>
        <row r="20">
          <cell r="B20" t="str">
            <v>Samsung</v>
          </cell>
        </row>
        <row r="21">
          <cell r="B21" t="str">
            <v>Intel</v>
          </cell>
        </row>
        <row r="22">
          <cell r="B22" t="str">
            <v>Adobe</v>
          </cell>
        </row>
        <row r="23">
          <cell r="B23" t="str">
            <v>Spotify</v>
          </cell>
        </row>
        <row r="24">
          <cell r="B24" t="str">
            <v>Fiserv</v>
          </cell>
        </row>
        <row r="25">
          <cell r="B25" t="str">
            <v>Roblox</v>
          </cell>
        </row>
        <row r="26">
          <cell r="B26" t="str">
            <v>Snowflake</v>
          </cell>
        </row>
        <row r="27">
          <cell r="B27" t="str">
            <v>Coinbase</v>
          </cell>
        </row>
        <row r="28">
          <cell r="B28" t="str">
            <v>Paypal</v>
          </cell>
        </row>
        <row r="29">
          <cell r="B29" t="str">
            <v>TakeTwo</v>
          </cell>
        </row>
        <row r="30">
          <cell r="B30" t="str">
            <v>Reddit</v>
          </cell>
        </row>
        <row r="31">
          <cell r="B31" t="str">
            <v>Block</v>
          </cell>
        </row>
        <row r="32">
          <cell r="B32" t="str">
            <v>Global Payments</v>
          </cell>
        </row>
        <row r="33">
          <cell r="B33" t="str">
            <v>Symbotic</v>
          </cell>
        </row>
        <row r="34">
          <cell r="B34" t="str">
            <v>SoFi</v>
          </cell>
        </row>
        <row r="35">
          <cell r="B35" t="str">
            <v>Zoom Video</v>
          </cell>
        </row>
        <row r="36">
          <cell r="B36" t="str">
            <v>Snap Inc</v>
          </cell>
        </row>
        <row r="37">
          <cell r="B37" t="str">
            <v>Logitech</v>
          </cell>
        </row>
        <row r="38">
          <cell r="B38" t="str">
            <v>Duolingo</v>
          </cell>
        </row>
        <row r="39">
          <cell r="B39" t="str">
            <v>Rigetti</v>
          </cell>
        </row>
        <row r="40">
          <cell r="B40" t="str">
            <v>IonQ</v>
          </cell>
        </row>
        <row r="41">
          <cell r="B41" t="str">
            <v>Roku</v>
          </cell>
        </row>
        <row r="42">
          <cell r="B42" t="str">
            <v>Shift4</v>
          </cell>
        </row>
        <row r="43">
          <cell r="B43" t="str">
            <v>Life360</v>
          </cell>
        </row>
        <row r="44">
          <cell r="B44" t="str">
            <v>EPAM</v>
          </cell>
        </row>
        <row r="45">
          <cell r="B45" t="str">
            <v>Novami</v>
          </cell>
        </row>
        <row r="46">
          <cell r="B46" t="str">
            <v>GameStop</v>
          </cell>
        </row>
        <row r="47">
          <cell r="B47" t="str">
            <v>StoneCo</v>
          </cell>
        </row>
        <row r="48">
          <cell r="B48" t="str">
            <v>Stride</v>
          </cell>
        </row>
        <row r="49">
          <cell r="B49" t="str">
            <v>Wise</v>
          </cell>
        </row>
        <row r="50">
          <cell r="B50" t="str">
            <v>PagSeguro</v>
          </cell>
        </row>
        <row r="51">
          <cell r="B51" t="str">
            <v>Paysafe</v>
          </cell>
        </row>
        <row r="52">
          <cell r="B52" t="str">
            <v>PlugPower</v>
          </cell>
        </row>
        <row r="53">
          <cell r="B53" t="str">
            <v>Opera</v>
          </cell>
        </row>
        <row r="54">
          <cell r="B54" t="str">
            <v>Sonos</v>
          </cell>
        </row>
        <row r="55">
          <cell r="B55" t="str">
            <v>Coursera</v>
          </cell>
        </row>
        <row r="56">
          <cell r="B56" t="str">
            <v>Corsair Gaming</v>
          </cell>
        </row>
        <row r="57">
          <cell r="B57" t="str">
            <v>Fiverr</v>
          </cell>
        </row>
        <row r="58">
          <cell r="B58" t="str">
            <v>Bandwidth</v>
          </cell>
        </row>
        <row r="59">
          <cell r="B59" t="str">
            <v>Ambiq Micro</v>
          </cell>
        </row>
        <row r="60">
          <cell r="B60" t="str">
            <v>Gambling.com</v>
          </cell>
        </row>
        <row r="61">
          <cell r="B61" t="str">
            <v>Inseego</v>
          </cell>
        </row>
        <row r="62">
          <cell r="B62" t="str">
            <v>Atari</v>
          </cell>
        </row>
        <row r="63">
          <cell r="B63" t="str">
            <v>Chegg</v>
          </cell>
        </row>
        <row r="64">
          <cell r="B64" t="str">
            <v>Roadzen</v>
          </cell>
        </row>
        <row r="65">
          <cell r="B65" t="str">
            <v>FuelCell</v>
          </cell>
        </row>
        <row r="66">
          <cell r="B66" t="str">
            <v>Koss</v>
          </cell>
        </row>
        <row r="67">
          <cell r="B67" t="str">
            <v>MicroAlgo</v>
          </cell>
        </row>
        <row r="68">
          <cell r="B68" t="str">
            <v>Skillz</v>
          </cell>
        </row>
        <row r="69">
          <cell r="B69" t="str">
            <v>Arqit Quantum</v>
          </cell>
        </row>
        <row r="70">
          <cell r="B70" t="str">
            <v>Hewlett-Packard</v>
          </cell>
        </row>
        <row r="71">
          <cell r="B71" t="str">
            <v>HP Enterprise</v>
          </cell>
        </row>
        <row r="72">
          <cell r="B72" t="str">
            <v>Dell</v>
          </cell>
        </row>
        <row r="73">
          <cell r="B73" t="str">
            <v>Electronic Arts</v>
          </cell>
        </row>
        <row r="74">
          <cell r="B74" t="str">
            <v>Shopify</v>
          </cell>
        </row>
        <row r="75">
          <cell r="B75" t="str">
            <v>IBM</v>
          </cell>
        </row>
        <row r="76">
          <cell r="B76" t="str">
            <v>Xiaomi</v>
          </cell>
        </row>
        <row r="77">
          <cell r="B77" t="str">
            <v>Uber</v>
          </cell>
        </row>
        <row r="78">
          <cell r="B78" t="str">
            <v>Disney</v>
          </cell>
        </row>
        <row r="79">
          <cell r="B79" t="str">
            <v>Pinterest</v>
          </cell>
        </row>
        <row r="80">
          <cell r="B80" t="str">
            <v>Freshworks</v>
          </cell>
        </row>
        <row r="81">
          <cell r="B81" t="str">
            <v>eBay</v>
          </cell>
        </row>
        <row r="82">
          <cell r="B82" t="str">
            <v>Xerox</v>
          </cell>
        </row>
        <row r="83">
          <cell r="B83" t="str">
            <v>Alibaba</v>
          </cell>
        </row>
        <row r="86">
          <cell r="B86" t="str">
            <v>Taiwan Semiconductor</v>
          </cell>
        </row>
        <row r="87">
          <cell r="B87" t="str">
            <v>ASML</v>
          </cell>
        </row>
        <row r="88">
          <cell r="B88" t="str">
            <v>Broadcom</v>
          </cell>
        </row>
        <row r="89">
          <cell r="B89" t="str">
            <v>Qualcomm</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s>
    <sheetDataSet>
      <sheetData sheetId="0">
        <row r="3">
          <cell r="O3">
            <v>16.412502823367006</v>
          </cell>
          <cell r="U3">
            <v>0.96851754398012357</v>
          </cell>
          <cell r="AA3">
            <v>-0.19797272187116063</v>
          </cell>
        </row>
        <row r="4">
          <cell r="B4" t="str">
            <v>Tesla</v>
          </cell>
        </row>
        <row r="5">
          <cell r="B5" t="str">
            <v>Toyota</v>
          </cell>
        </row>
        <row r="6">
          <cell r="B6" t="str">
            <v>Volkswagen</v>
          </cell>
        </row>
        <row r="7">
          <cell r="B7" t="str">
            <v>General Motors</v>
          </cell>
        </row>
        <row r="8">
          <cell r="B8" t="str">
            <v>Ford</v>
          </cell>
        </row>
        <row r="9">
          <cell r="B9" t="str">
            <v>Mercedes-Benz</v>
          </cell>
        </row>
        <row r="10">
          <cell r="B10" t="str">
            <v>BMW</v>
          </cell>
        </row>
        <row r="11">
          <cell r="B11" t="str">
            <v>Honda</v>
          </cell>
        </row>
        <row r="12">
          <cell r="B12" t="str">
            <v>Porsche</v>
          </cell>
        </row>
        <row r="13">
          <cell r="B13" t="str">
            <v>Stellantis</v>
          </cell>
        </row>
        <row r="14">
          <cell r="B14" t="str">
            <v>Ferrari</v>
          </cell>
        </row>
        <row r="15">
          <cell r="B15" t="str">
            <v>Rivian</v>
          </cell>
        </row>
        <row r="16">
          <cell r="B16" t="str">
            <v>Lucid</v>
          </cell>
        </row>
        <row r="17">
          <cell r="B17" t="str">
            <v>Aston Martin</v>
          </cell>
        </row>
        <row r="18">
          <cell r="B18" t="str">
            <v>Hyundai</v>
          </cell>
        </row>
        <row r="19">
          <cell r="B19" t="str">
            <v>Kia</v>
          </cell>
        </row>
        <row r="20">
          <cell r="B20" t="str">
            <v>Renault</v>
          </cell>
        </row>
        <row r="21">
          <cell r="B21" t="str">
            <v>PACCAR</v>
          </cell>
        </row>
        <row r="22">
          <cell r="B22" t="str">
            <v>Geely</v>
          </cell>
        </row>
        <row r="23">
          <cell r="B23" t="str">
            <v>NIO</v>
          </cell>
        </row>
        <row r="24">
          <cell r="B24" t="str">
            <v>Subaru</v>
          </cell>
        </row>
        <row r="25">
          <cell r="B25" t="str">
            <v>Nissan</v>
          </cell>
        </row>
        <row r="26">
          <cell r="B26" t="str">
            <v>BYD</v>
          </cell>
        </row>
        <row r="27">
          <cell r="B27" t="str">
            <v>Daimler Trucks</v>
          </cell>
        </row>
        <row r="28">
          <cell r="B28" t="str">
            <v>Volvo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s>
    <sheetDataSet>
      <sheetData sheetId="0">
        <row r="3">
          <cell r="O3">
            <v>30.068644764713405</v>
          </cell>
          <cell r="U3">
            <v>0.99923487105066666</v>
          </cell>
          <cell r="AA3">
            <v>-0.22397093414271882</v>
          </cell>
        </row>
        <row r="4">
          <cell r="B4" t="str">
            <v>Walmart</v>
          </cell>
        </row>
        <row r="5">
          <cell r="B5" t="str">
            <v>LVMH</v>
          </cell>
        </row>
        <row r="6">
          <cell r="B6" t="str">
            <v>TKMaxx</v>
          </cell>
        </row>
        <row r="7">
          <cell r="B7" t="str">
            <v>Nike</v>
          </cell>
        </row>
        <row r="8">
          <cell r="B8" t="str">
            <v>Hermès</v>
          </cell>
        </row>
        <row r="9">
          <cell r="B9" t="str">
            <v>Inditex</v>
          </cell>
        </row>
        <row r="10">
          <cell r="B10" t="str">
            <v>Kering</v>
          </cell>
        </row>
        <row r="11">
          <cell r="B11" t="str">
            <v>Adidas</v>
          </cell>
        </row>
        <row r="12">
          <cell r="B12" t="str">
            <v>H&amp;M</v>
          </cell>
        </row>
        <row r="13">
          <cell r="B13" t="str">
            <v>Tesco</v>
          </cell>
        </row>
        <row r="14">
          <cell r="B14" t="str">
            <v>Farfetch</v>
          </cell>
        </row>
        <row r="15">
          <cell r="B15" t="str">
            <v>Next</v>
          </cell>
        </row>
        <row r="16">
          <cell r="B16" t="str">
            <v>Levi's</v>
          </cell>
        </row>
        <row r="17">
          <cell r="B17" t="str">
            <v>Phillips-Van Heusen</v>
          </cell>
        </row>
        <row r="18">
          <cell r="B18" t="str">
            <v>Ralph Lauren</v>
          </cell>
        </row>
        <row r="19">
          <cell r="B19" t="str">
            <v>Burberry</v>
          </cell>
        </row>
        <row r="20">
          <cell r="B20" t="str">
            <v>Vanity Fair</v>
          </cell>
        </row>
        <row r="21">
          <cell r="B21" t="str">
            <v>Marks &amp; Spencer</v>
          </cell>
        </row>
        <row r="22">
          <cell r="B22" t="str">
            <v>Capri</v>
          </cell>
        </row>
        <row r="23">
          <cell r="B23" t="str">
            <v>Sainsbury's</v>
          </cell>
        </row>
        <row r="24">
          <cell r="B24" t="str">
            <v>Deliveroo</v>
          </cell>
        </row>
        <row r="25">
          <cell r="B25" t="str">
            <v>Foot Locker</v>
          </cell>
        </row>
        <row r="26">
          <cell r="B26" t="str">
            <v>Frasers</v>
          </cell>
        </row>
        <row r="27">
          <cell r="B27" t="str">
            <v>Hugo Boss</v>
          </cell>
        </row>
        <row r="28">
          <cell r="B28" t="str">
            <v>Guess</v>
          </cell>
        </row>
        <row r="29">
          <cell r="B29" t="str">
            <v>HelloFresh</v>
          </cell>
        </row>
        <row r="30">
          <cell r="B30" t="str">
            <v>Asos</v>
          </cell>
        </row>
        <row r="31">
          <cell r="B31" t="str">
            <v>Boohoo</v>
          </cell>
        </row>
        <row r="32">
          <cell r="B32" t="str">
            <v>Superdry</v>
          </cell>
        </row>
        <row r="33">
          <cell r="B33" t="str">
            <v>Joules</v>
          </cell>
        </row>
        <row r="34">
          <cell r="B34" t="str">
            <v>Mulberry</v>
          </cell>
        </row>
        <row r="35">
          <cell r="B35" t="str">
            <v>Gap</v>
          </cell>
        </row>
        <row r="36">
          <cell r="B36" t="str">
            <v>Puma</v>
          </cell>
        </row>
        <row r="37">
          <cell r="B37" t="str">
            <v>CostCo</v>
          </cell>
        </row>
        <row r="38">
          <cell r="B38" t="str">
            <v>A&amp;F</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FY2026 DoD Budget Materials"/>
      <sheetName val="DoD Products"/>
      <sheetName val="Future Products"/>
      <sheetName val="Global Revenue"/>
    </sheetNames>
    <sheetDataSet>
      <sheetData sheetId="0">
        <row r="3">
          <cell r="R3">
            <v>37.145030304683814</v>
          </cell>
          <cell r="AE3">
            <v>2.9293484226775894</v>
          </cell>
          <cell r="AL3">
            <v>-0.46900509315888117</v>
          </cell>
        </row>
        <row r="4">
          <cell r="B4" t="str">
            <v>Raytheon</v>
          </cell>
        </row>
        <row r="5">
          <cell r="B5" t="str">
            <v>Boeing</v>
          </cell>
        </row>
        <row r="6">
          <cell r="B6" t="str">
            <v>Honeywell</v>
          </cell>
        </row>
        <row r="7">
          <cell r="B7" t="str">
            <v>Airbus</v>
          </cell>
        </row>
        <row r="8">
          <cell r="B8" t="str">
            <v>Lockheed Martin</v>
          </cell>
        </row>
        <row r="9">
          <cell r="B9" t="str">
            <v>Safran</v>
          </cell>
        </row>
        <row r="10">
          <cell r="B10" t="str">
            <v>Northrop Grumman</v>
          </cell>
        </row>
        <row r="11">
          <cell r="B11" t="str">
            <v>General Dynamics</v>
          </cell>
        </row>
        <row r="12">
          <cell r="B12" t="str">
            <v>Rheinmetall</v>
          </cell>
        </row>
        <row r="13">
          <cell r="B13" t="str">
            <v>Rolls Royce</v>
          </cell>
        </row>
        <row r="14">
          <cell r="B14" t="str">
            <v>BAE</v>
          </cell>
        </row>
        <row r="15">
          <cell r="B15" t="str">
            <v>L3Harris</v>
          </cell>
        </row>
        <row r="16">
          <cell r="B16" t="str">
            <v>Thales</v>
          </cell>
        </row>
        <row r="17">
          <cell r="B17" t="str">
            <v>Anduril</v>
          </cell>
        </row>
        <row r="18">
          <cell r="B18" t="str">
            <v>Dassault</v>
          </cell>
        </row>
        <row r="19">
          <cell r="B19" t="str">
            <v>Leonardo</v>
          </cell>
        </row>
        <row r="20">
          <cell r="B20" t="str">
            <v>Leidos</v>
          </cell>
        </row>
        <row r="21">
          <cell r="B21" t="str">
            <v>Bombardier</v>
          </cell>
        </row>
        <row r="22">
          <cell r="B22" t="str">
            <v>Textron</v>
          </cell>
        </row>
        <row r="23">
          <cell r="B23" t="str">
            <v>Embraer</v>
          </cell>
        </row>
        <row r="24">
          <cell r="B24" t="str">
            <v>Hensoldt</v>
          </cell>
        </row>
        <row r="25">
          <cell r="B25" t="str">
            <v>Kratos</v>
          </cell>
        </row>
        <row r="26">
          <cell r="B26" t="str">
            <v>Norinco</v>
          </cell>
        </row>
        <row r="27">
          <cell r="B27" t="str">
            <v>Renk</v>
          </cell>
        </row>
        <row r="28">
          <cell r="B28" t="str">
            <v>Red Cat</v>
          </cell>
        </row>
        <row r="29">
          <cell r="B29" t="str">
            <v>Unusual Machines</v>
          </cell>
        </row>
        <row r="31">
          <cell r="B31" t="str">
            <v>SAAB</v>
          </cell>
        </row>
        <row r="32">
          <cell r="B32" t="str">
            <v>General Atomics</v>
          </cell>
        </row>
        <row r="33">
          <cell r="B33" t="str">
            <v>AeroVironment</v>
          </cell>
        </row>
        <row r="34">
          <cell r="B34" t="str">
            <v>Archer Aviation</v>
          </cell>
        </row>
        <row r="35">
          <cell r="B35" t="str">
            <v>Sierra Nevada</v>
          </cell>
        </row>
      </sheetData>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s"/>
    </sheetNames>
    <sheetDataSet>
      <sheetData sheetId="0">
        <row r="3">
          <cell r="V3">
            <v>28.725219298245612</v>
          </cell>
          <cell r="AB3">
            <v>-0.65411604990312666</v>
          </cell>
        </row>
        <row r="5">
          <cell r="B5" t="str">
            <v>Rocket Lab</v>
          </cell>
        </row>
        <row r="6">
          <cell r="B6" t="str">
            <v>AST SpaceMobile</v>
          </cell>
        </row>
        <row r="7">
          <cell r="B7" t="str">
            <v>Firefly Aerospace</v>
          </cell>
        </row>
        <row r="8">
          <cell r="B8" t="str">
            <v>Intuitive Machines</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s>
    <sheetDataSet>
      <sheetData sheetId="0">
        <row r="3">
          <cell r="AC3">
            <v>-0.83830827653230344</v>
          </cell>
        </row>
        <row r="4">
          <cell r="B4" t="str">
            <v>Constellation</v>
          </cell>
        </row>
        <row r="5">
          <cell r="B5" t="str">
            <v>Bloom</v>
          </cell>
        </row>
        <row r="6">
          <cell r="B6" t="str">
            <v>Oklo</v>
          </cell>
        </row>
        <row r="7">
          <cell r="B7" t="str">
            <v>PlugPower</v>
          </cell>
        </row>
        <row r="8">
          <cell r="B8" t="str">
            <v>FuelCell</v>
          </cell>
        </row>
        <row r="9">
          <cell r="B9" t="str">
            <v>NuScale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istorical%20Price%20Variance%20Template.xlsx" TargetMode="External"/><Relationship Id="rId3" Type="http://schemas.openxmlformats.org/officeDocument/2006/relationships/hyperlink" Target="Models%20(Retail)%20%7b2024%7d.xlsx" TargetMode="External"/><Relationship Id="rId7" Type="http://schemas.openxmlformats.org/officeDocument/2006/relationships/hyperlink" Target="Models%20Retired.xlsx" TargetMode="External"/><Relationship Id="rId2" Type="http://schemas.openxmlformats.org/officeDocument/2006/relationships/hyperlink" Target="Models%20(Automotive).xlsx" TargetMode="External"/><Relationship Id="rId1" Type="http://schemas.openxmlformats.org/officeDocument/2006/relationships/hyperlink" Target="Models%20(Tech).xlsx" TargetMode="External"/><Relationship Id="rId6" Type="http://schemas.openxmlformats.org/officeDocument/2006/relationships/hyperlink" Target="Models%20(Energy).xlsx" TargetMode="External"/><Relationship Id="rId5" Type="http://schemas.openxmlformats.org/officeDocument/2006/relationships/hyperlink" Target="Models%20(Space).xlsx" TargetMode="External"/><Relationship Id="rId4" Type="http://schemas.openxmlformats.org/officeDocument/2006/relationships/hyperlink" Target="Models%20(Defence).xls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DBC02-9223-4C08-9E62-C64832103121}">
  <dimension ref="B2:O19"/>
  <sheetViews>
    <sheetView tabSelected="1" workbookViewId="0">
      <pane xSplit="2" ySplit="2" topLeftCell="C3" activePane="bottomRight" state="frozen"/>
      <selection pane="topRight" activeCell="C1" sqref="C1"/>
      <selection pane="bottomLeft" activeCell="A3" sqref="A3"/>
      <selection pane="bottomRight" activeCell="B6" sqref="B6"/>
    </sheetView>
  </sheetViews>
  <sheetFormatPr defaultRowHeight="14.4" x14ac:dyDescent="0.3"/>
  <cols>
    <col min="1" max="1" width="8.88671875" style="13"/>
    <col min="2" max="2" width="10.5546875" style="13" bestFit="1" customWidth="1"/>
    <col min="3" max="6" width="8.88671875" style="13" customWidth="1"/>
    <col min="7" max="8" width="14.77734375" style="14" customWidth="1"/>
    <col min="9" max="10" width="8.88671875" style="13"/>
    <col min="11" max="11" width="24.109375" style="13" bestFit="1" customWidth="1"/>
    <col min="12" max="12" width="9.88671875" style="13" bestFit="1" customWidth="1"/>
    <col min="13" max="14" width="8.88671875" style="13"/>
    <col min="15" max="15" width="67.33203125" style="13" bestFit="1" customWidth="1"/>
    <col min="16" max="16384" width="8.88671875" style="13"/>
  </cols>
  <sheetData>
    <row r="2" spans="2:15" x14ac:dyDescent="0.3">
      <c r="B2" s="16" t="s">
        <v>1</v>
      </c>
      <c r="C2" s="16" t="s">
        <v>17</v>
      </c>
      <c r="D2" s="16" t="s">
        <v>18</v>
      </c>
      <c r="E2" s="16" t="s">
        <v>37</v>
      </c>
      <c r="F2" s="16" t="s">
        <v>38</v>
      </c>
      <c r="G2" s="14" t="s">
        <v>44</v>
      </c>
      <c r="H2" s="14" t="s">
        <v>16</v>
      </c>
    </row>
    <row r="3" spans="2:15" x14ac:dyDescent="0.3">
      <c r="B3" s="17" t="s">
        <v>0</v>
      </c>
      <c r="C3" s="18">
        <f>COUNTA([1]Models!$B$5:$B$1048576)</f>
        <v>83</v>
      </c>
      <c r="D3" s="19">
        <f>[1]Models!$Z$3</f>
        <v>-0.29140664255030541</v>
      </c>
      <c r="E3" s="21">
        <f>[1]Models!$N$3</f>
        <v>27.58173814816303</v>
      </c>
      <c r="F3" s="22">
        <f>[1]Models!$T$3</f>
        <v>4.6317001586310811</v>
      </c>
      <c r="G3" s="15">
        <v>45932</v>
      </c>
      <c r="H3" s="15">
        <f ca="1">TODAY()</f>
        <v>45940</v>
      </c>
      <c r="K3" s="17" t="s">
        <v>7</v>
      </c>
    </row>
    <row r="4" spans="2:15" x14ac:dyDescent="0.3">
      <c r="B4" s="17" t="s">
        <v>2</v>
      </c>
      <c r="C4" s="18">
        <f>COUNTA([2]Main!$B$4:$B$1048576)</f>
        <v>25</v>
      </c>
      <c r="D4" s="19">
        <f>[2]Main!$AA$3</f>
        <v>-0.19797272187116063</v>
      </c>
      <c r="E4" s="21">
        <f>[2]Main!$O$3</f>
        <v>16.412502823367006</v>
      </c>
      <c r="F4" s="22">
        <f>[2]Main!$U$3</f>
        <v>0.96851754398012357</v>
      </c>
      <c r="K4" s="57" t="s">
        <v>133</v>
      </c>
    </row>
    <row r="5" spans="2:15" x14ac:dyDescent="0.3">
      <c r="B5" s="17" t="s">
        <v>3</v>
      </c>
      <c r="C5" s="18">
        <f>COUNTA([3]Main!$B$4:$B$1048576)</f>
        <v>35</v>
      </c>
      <c r="D5" s="19">
        <f>[3]Main!$AA$3</f>
        <v>-0.22397093414271882</v>
      </c>
      <c r="E5" s="21">
        <f>[3]Main!$O$3</f>
        <v>30.068644764713405</v>
      </c>
      <c r="F5" s="22">
        <f>[3]Main!$U$3</f>
        <v>0.99923487105066666</v>
      </c>
    </row>
    <row r="6" spans="2:15" x14ac:dyDescent="0.3">
      <c r="B6" s="17" t="s">
        <v>4</v>
      </c>
      <c r="C6" s="18">
        <f>COUNTA([4]Main!$B$4:$B$1048576)</f>
        <v>31</v>
      </c>
      <c r="D6" s="19">
        <f>[4]Main!$AL$3</f>
        <v>-0.46900509315888117</v>
      </c>
      <c r="E6" s="21">
        <f>[4]Main!$R$3</f>
        <v>37.145030304683814</v>
      </c>
      <c r="F6" s="22">
        <f>[4]Main!$AE$3</f>
        <v>2.9293484226775894</v>
      </c>
      <c r="K6" s="12" t="s">
        <v>36</v>
      </c>
      <c r="L6" s="11"/>
    </row>
    <row r="7" spans="2:15" x14ac:dyDescent="0.3">
      <c r="B7" s="17" t="s">
        <v>5</v>
      </c>
      <c r="C7" s="18">
        <f>COUNTA([5]Models!$B$5:$B$1048576)</f>
        <v>4</v>
      </c>
      <c r="D7" s="19">
        <f>[5]Models!$AB$3</f>
        <v>-0.65411604990312666</v>
      </c>
      <c r="E7" s="21"/>
      <c r="F7" s="22">
        <f>[5]Models!$V$3</f>
        <v>28.725219298245612</v>
      </c>
      <c r="K7" s="1" t="s">
        <v>35</v>
      </c>
      <c r="L7" s="10" t="s">
        <v>25</v>
      </c>
    </row>
    <row r="8" spans="2:15" x14ac:dyDescent="0.3">
      <c r="B8" s="17" t="s">
        <v>6</v>
      </c>
      <c r="C8" s="18">
        <f>COUNTA([6]Main!$B$4:$B$1048576)</f>
        <v>6</v>
      </c>
      <c r="D8" s="19">
        <f>[6]Main!$AC$3</f>
        <v>-0.83830827653230344</v>
      </c>
      <c r="E8" s="21"/>
      <c r="F8" s="20"/>
      <c r="K8" s="1" t="s">
        <v>34</v>
      </c>
      <c r="L8" s="10" t="s">
        <v>27</v>
      </c>
      <c r="O8" t="s">
        <v>20</v>
      </c>
    </row>
    <row r="9" spans="2:15" x14ac:dyDescent="0.3">
      <c r="C9" s="18">
        <f>SUM(C3:C8)</f>
        <v>184</v>
      </c>
      <c r="D9" s="19">
        <f>AVERAGE(D3:D8)</f>
        <v>-0.44579661969308271</v>
      </c>
      <c r="E9" s="21">
        <f>AVERAGE(E3:E8)</f>
        <v>27.801979010231811</v>
      </c>
      <c r="F9" s="22">
        <f>AVERAGE(F3:F8)</f>
        <v>7.6508040589170152</v>
      </c>
      <c r="K9" s="1" t="s">
        <v>33</v>
      </c>
      <c r="L9" s="9" t="s">
        <v>29</v>
      </c>
      <c r="O9" t="s">
        <v>39</v>
      </c>
    </row>
    <row r="10" spans="2:15" x14ac:dyDescent="0.3">
      <c r="K10" s="1" t="s">
        <v>32</v>
      </c>
      <c r="L10" s="9" t="s">
        <v>31</v>
      </c>
      <c r="O10" t="s">
        <v>19</v>
      </c>
    </row>
    <row r="11" spans="2:15" x14ac:dyDescent="0.3">
      <c r="B11" s="20"/>
      <c r="K11" s="1" t="s">
        <v>30</v>
      </c>
      <c r="L11" s="9" t="s">
        <v>29</v>
      </c>
      <c r="O11" t="s">
        <v>40</v>
      </c>
    </row>
    <row r="12" spans="2:15" x14ac:dyDescent="0.3">
      <c r="K12" s="1" t="s">
        <v>28</v>
      </c>
      <c r="L12" s="8" t="s">
        <v>27</v>
      </c>
    </row>
    <row r="13" spans="2:15" x14ac:dyDescent="0.3">
      <c r="K13" s="7" t="s">
        <v>26</v>
      </c>
      <c r="L13" s="6" t="s">
        <v>25</v>
      </c>
    </row>
    <row r="16" spans="2:15" x14ac:dyDescent="0.3">
      <c r="K16" s="5" t="s">
        <v>24</v>
      </c>
    </row>
    <row r="17" spans="11:11" x14ac:dyDescent="0.3">
      <c r="K17" s="4" t="s">
        <v>23</v>
      </c>
    </row>
    <row r="18" spans="11:11" x14ac:dyDescent="0.3">
      <c r="K18" s="3" t="s">
        <v>22</v>
      </c>
    </row>
    <row r="19" spans="11:11" x14ac:dyDescent="0.3">
      <c r="K19" s="2" t="s">
        <v>21</v>
      </c>
    </row>
  </sheetData>
  <hyperlinks>
    <hyperlink ref="B3" r:id="rId1" xr:uid="{14C9F10C-4241-4381-9A58-C45CBE1D0EC1}"/>
    <hyperlink ref="B4" r:id="rId2" xr:uid="{956A622F-4129-49E8-B3F9-286229411C4E}"/>
    <hyperlink ref="B5" r:id="rId3" xr:uid="{89548BBF-66AA-4EED-8862-90CB1E3EFBBF}"/>
    <hyperlink ref="B6" r:id="rId4" xr:uid="{DE0AC776-4712-4CE4-A502-2FEC545FA729}"/>
    <hyperlink ref="B7" r:id="rId5" xr:uid="{A17DCD71-EE89-4DC1-A07D-05642306D744}"/>
    <hyperlink ref="B8" r:id="rId6" xr:uid="{8B455401-3CF0-478F-90EE-4BCE8AFD4668}"/>
    <hyperlink ref="K3" r:id="rId7" xr:uid="{119BFD1D-40CB-4E53-88E7-0B54106196A1}"/>
    <hyperlink ref="K4" r:id="rId8" xr:uid="{96C3EF73-BFB4-4813-A0FA-B46F9F5E512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D2D3-5236-4339-AF4C-11B73B17E08A}">
  <dimension ref="B3:B13"/>
  <sheetViews>
    <sheetView workbookViewId="0">
      <selection activeCell="B14" sqref="B14"/>
    </sheetView>
  </sheetViews>
  <sheetFormatPr defaultRowHeight="14.4" x14ac:dyDescent="0.3"/>
  <cols>
    <col min="1" max="1" width="8.88671875" style="42"/>
    <col min="2" max="2" width="105.44140625" style="42" bestFit="1" customWidth="1"/>
    <col min="3" max="16384" width="8.88671875" style="42"/>
  </cols>
  <sheetData>
    <row r="3" spans="2:2" x14ac:dyDescent="0.3">
      <c r="B3" s="43" t="s">
        <v>15</v>
      </c>
    </row>
    <row r="4" spans="2:2" x14ac:dyDescent="0.3">
      <c r="B4" s="43" t="s">
        <v>14</v>
      </c>
    </row>
    <row r="5" spans="2:2" x14ac:dyDescent="0.3">
      <c r="B5" s="43" t="s">
        <v>13</v>
      </c>
    </row>
    <row r="6" spans="2:2" x14ac:dyDescent="0.3">
      <c r="B6" s="43" t="s">
        <v>12</v>
      </c>
    </row>
    <row r="7" spans="2:2" x14ac:dyDescent="0.3">
      <c r="B7" s="42" t="s">
        <v>11</v>
      </c>
    </row>
    <row r="8" spans="2:2" x14ac:dyDescent="0.3">
      <c r="B8" s="42" t="s">
        <v>10</v>
      </c>
    </row>
    <row r="9" spans="2:2" x14ac:dyDescent="0.3">
      <c r="B9" s="43" t="s">
        <v>9</v>
      </c>
    </row>
    <row r="10" spans="2:2" x14ac:dyDescent="0.3">
      <c r="B10" s="43" t="s">
        <v>8</v>
      </c>
    </row>
    <row r="11" spans="2:2" x14ac:dyDescent="0.3">
      <c r="B11" s="42" t="s">
        <v>41</v>
      </c>
    </row>
    <row r="12" spans="2:2" x14ac:dyDescent="0.3">
      <c r="B12" s="42" t="s">
        <v>42</v>
      </c>
    </row>
    <row r="13" spans="2:2" x14ac:dyDescent="0.3">
      <c r="B13" s="42"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47068-271F-415A-A4EA-D0D6DE05E2E6}">
  <dimension ref="A1:AC57"/>
  <sheetViews>
    <sheetView zoomScaleNormal="100" workbookViewId="0">
      <pane xSplit="2" ySplit="2" topLeftCell="C15" activePane="bottomRight" state="frozen"/>
      <selection pane="topRight" activeCell="C1" sqref="C1"/>
      <selection pane="bottomLeft" activeCell="A3" sqref="A3"/>
      <selection pane="bottomRight" activeCell="F35" sqref="F35"/>
    </sheetView>
  </sheetViews>
  <sheetFormatPr defaultColWidth="8.88671875" defaultRowHeight="13.2" x14ac:dyDescent="0.25"/>
  <cols>
    <col min="1" max="1" width="4.44140625" style="24" bestFit="1" customWidth="1"/>
    <col min="2" max="2" width="12.21875" style="24" bestFit="1" customWidth="1"/>
    <col min="3" max="3" width="11.109375" style="25" customWidth="1"/>
    <col min="4" max="4" width="12.5546875" style="25" bestFit="1" customWidth="1"/>
    <col min="5" max="5" width="11.44140625" style="25" bestFit="1" customWidth="1"/>
    <col min="6" max="6" width="10.44140625" style="25" bestFit="1" customWidth="1"/>
    <col min="7" max="7" width="11.5546875" style="25" bestFit="1" customWidth="1"/>
    <col min="8" max="8" width="12.77734375" style="34" bestFit="1" customWidth="1"/>
    <col min="9" max="10" width="12.44140625" style="29" customWidth="1"/>
    <col min="11" max="11" width="15.21875" style="27" bestFit="1" customWidth="1"/>
    <col min="12" max="12" width="12.44140625" style="34" customWidth="1"/>
    <col min="13" max="13" width="10.44140625" style="29" bestFit="1" customWidth="1"/>
    <col min="14" max="14" width="15" style="25" bestFit="1" customWidth="1"/>
    <col min="15" max="15" width="13.44140625" style="25" customWidth="1"/>
    <col min="16" max="16" width="12" style="25" bestFit="1" customWidth="1"/>
    <col min="17" max="17" width="8.109375" style="25" bestFit="1" customWidth="1"/>
    <col min="18" max="18" width="8.109375" style="25" customWidth="1"/>
    <col min="19" max="19" width="10.88671875" style="25" customWidth="1"/>
    <col min="20" max="20" width="11.44140625" style="24" bestFit="1" customWidth="1"/>
    <col min="21" max="21" width="11.44140625" style="24" customWidth="1"/>
    <col min="22" max="22" width="11.44140625" style="24" bestFit="1" customWidth="1"/>
    <col min="23" max="23" width="11.109375" style="24" bestFit="1" customWidth="1"/>
    <col min="24" max="24" width="8.109375" style="24" bestFit="1" customWidth="1"/>
    <col min="25" max="25" width="11.44140625" style="24" customWidth="1"/>
    <col min="26" max="26" width="8.88671875" style="24"/>
    <col min="27" max="28" width="10.44140625" style="24" bestFit="1" customWidth="1"/>
    <col min="29" max="16384" width="8.88671875" style="24"/>
  </cols>
  <sheetData>
    <row r="1" spans="1:29" x14ac:dyDescent="0.25">
      <c r="A1" s="23" t="s">
        <v>101</v>
      </c>
      <c r="E1" s="41">
        <f>AVERAGE(E3:E105)</f>
        <v>4.1428571428571432</v>
      </c>
      <c r="F1" s="40"/>
      <c r="G1" s="39">
        <f>AVERAGE(G3:G105)</f>
        <v>116.25714285714285</v>
      </c>
      <c r="H1" s="39">
        <f>AVERAGE(H3:H105)</f>
        <v>26.695102040816327</v>
      </c>
      <c r="I1" s="40"/>
      <c r="J1" s="40"/>
      <c r="K1" s="40"/>
      <c r="L1" s="39">
        <f>AVERAGE(L3:L105)</f>
        <v>10.7</v>
      </c>
      <c r="M1" s="40"/>
      <c r="N1" s="40"/>
      <c r="O1" s="39">
        <f ca="1">AVERAGE(O3:O105)</f>
        <v>43.225806451612904</v>
      </c>
      <c r="P1" s="26"/>
      <c r="Q1" s="26"/>
      <c r="R1" s="26"/>
      <c r="V1" s="26">
        <f>AVERAGE(V4:V43)</f>
        <v>297.125</v>
      </c>
      <c r="W1" s="26"/>
      <c r="X1" s="26"/>
      <c r="Y1" s="26"/>
      <c r="AB1" s="26">
        <f>AVERAGE(AB4:AB43)</f>
        <v>705.5</v>
      </c>
      <c r="AC1" s="26"/>
    </row>
    <row r="2" spans="1:29" x14ac:dyDescent="0.25">
      <c r="B2" s="24" t="s">
        <v>100</v>
      </c>
      <c r="C2" s="25" t="s">
        <v>99</v>
      </c>
      <c r="D2" s="25" t="s">
        <v>98</v>
      </c>
      <c r="E2" s="25" t="s">
        <v>97</v>
      </c>
      <c r="F2" s="25" t="s">
        <v>96</v>
      </c>
      <c r="G2" s="25" t="s">
        <v>95</v>
      </c>
      <c r="H2" s="25" t="s">
        <v>94</v>
      </c>
      <c r="I2" s="25" t="s">
        <v>93</v>
      </c>
      <c r="J2" s="25" t="s">
        <v>92</v>
      </c>
      <c r="K2" s="25" t="s">
        <v>91</v>
      </c>
      <c r="L2" s="25" t="s">
        <v>90</v>
      </c>
      <c r="M2" s="25" t="s">
        <v>89</v>
      </c>
      <c r="N2" s="25" t="s">
        <v>88</v>
      </c>
      <c r="O2" s="25" t="s">
        <v>87</v>
      </c>
      <c r="P2" s="25" t="s">
        <v>86</v>
      </c>
      <c r="Q2" s="25" t="s">
        <v>80</v>
      </c>
      <c r="R2" s="25" t="s">
        <v>79</v>
      </c>
      <c r="S2" s="25" t="s">
        <v>85</v>
      </c>
      <c r="T2" s="25" t="s">
        <v>84</v>
      </c>
      <c r="U2" s="25" t="s">
        <v>83</v>
      </c>
      <c r="V2" s="25" t="s">
        <v>82</v>
      </c>
      <c r="W2" s="25" t="s">
        <v>81</v>
      </c>
      <c r="X2" s="25" t="s">
        <v>80</v>
      </c>
      <c r="Y2" s="25" t="s">
        <v>79</v>
      </c>
      <c r="Z2" s="25" t="s">
        <v>78</v>
      </c>
      <c r="AA2" s="25" t="s">
        <v>77</v>
      </c>
      <c r="AB2" s="25" t="s">
        <v>76</v>
      </c>
    </row>
    <row r="3" spans="1:29" x14ac:dyDescent="0.25">
      <c r="B3" s="24" t="s">
        <v>107</v>
      </c>
      <c r="C3" s="25" t="s">
        <v>56</v>
      </c>
      <c r="D3" s="27">
        <v>39707</v>
      </c>
      <c r="E3" s="25">
        <v>3</v>
      </c>
      <c r="F3" s="27">
        <v>39749</v>
      </c>
      <c r="G3" s="25">
        <f t="shared" ref="G3:G37" si="0">F3-D3</f>
        <v>42</v>
      </c>
      <c r="H3" s="25">
        <f t="shared" ref="H3:H37" si="1">G3/E3</f>
        <v>14</v>
      </c>
      <c r="I3" s="29">
        <v>945</v>
      </c>
      <c r="J3" s="29">
        <f t="shared" ref="J3:J37" si="2">I3*0.75</f>
        <v>708.75</v>
      </c>
      <c r="K3" s="27">
        <v>39750</v>
      </c>
      <c r="L3" s="25">
        <f t="shared" ref="L3:L28" si="3">K3-F3</f>
        <v>1</v>
      </c>
      <c r="M3" s="29">
        <f t="shared" ref="M3:M37" si="4">I3*0.5</f>
        <v>472.5</v>
      </c>
      <c r="N3" s="27">
        <v>39755</v>
      </c>
      <c r="O3" s="28">
        <f t="shared" ref="O3:O28" si="5">+N3-F3</f>
        <v>6</v>
      </c>
    </row>
    <row r="4" spans="1:29" x14ac:dyDescent="0.25">
      <c r="B4" s="24" t="s">
        <v>68</v>
      </c>
      <c r="C4" s="25" t="s">
        <v>67</v>
      </c>
      <c r="D4" s="27">
        <v>41642</v>
      </c>
      <c r="E4" s="25">
        <v>2</v>
      </c>
      <c r="F4" s="27">
        <v>41708</v>
      </c>
      <c r="G4" s="25">
        <f t="shared" si="0"/>
        <v>66</v>
      </c>
      <c r="H4" s="25">
        <f t="shared" si="1"/>
        <v>33</v>
      </c>
      <c r="I4" s="29">
        <v>16984.39</v>
      </c>
      <c r="J4" s="29">
        <f t="shared" si="2"/>
        <v>12738.2925</v>
      </c>
      <c r="K4" s="27">
        <v>41715</v>
      </c>
      <c r="L4" s="25">
        <f t="shared" si="3"/>
        <v>7</v>
      </c>
      <c r="M4" s="29">
        <f t="shared" si="4"/>
        <v>8492.1949999999997</v>
      </c>
      <c r="N4" s="27">
        <v>41767</v>
      </c>
      <c r="O4" s="28">
        <f t="shared" si="5"/>
        <v>59</v>
      </c>
      <c r="S4" s="30">
        <f t="shared" ref="S4:S11" si="6">+M4/I4-1</f>
        <v>-0.5</v>
      </c>
    </row>
    <row r="5" spans="1:29" x14ac:dyDescent="0.25">
      <c r="B5" s="24" t="s">
        <v>65</v>
      </c>
      <c r="C5" s="25" t="s">
        <v>54</v>
      </c>
      <c r="D5" s="27">
        <v>43045</v>
      </c>
      <c r="E5" s="25">
        <v>4</v>
      </c>
      <c r="F5" s="27">
        <v>43123</v>
      </c>
      <c r="G5" s="25">
        <f t="shared" si="0"/>
        <v>78</v>
      </c>
      <c r="H5" s="34">
        <f t="shared" si="1"/>
        <v>19.5</v>
      </c>
      <c r="I5" s="29">
        <v>1774.8</v>
      </c>
      <c r="J5" s="29">
        <f t="shared" si="2"/>
        <v>1331.1</v>
      </c>
      <c r="K5" s="27">
        <v>43132</v>
      </c>
      <c r="L5" s="25">
        <f t="shared" si="3"/>
        <v>9</v>
      </c>
      <c r="M5" s="29">
        <f t="shared" si="4"/>
        <v>887.4</v>
      </c>
      <c r="N5" s="27">
        <v>43136</v>
      </c>
      <c r="O5" s="25">
        <f t="shared" si="5"/>
        <v>13</v>
      </c>
      <c r="S5" s="25">
        <f t="shared" si="6"/>
        <v>-0.5</v>
      </c>
    </row>
    <row r="6" spans="1:29" x14ac:dyDescent="0.25">
      <c r="B6" s="24" t="s">
        <v>57</v>
      </c>
      <c r="C6" s="25" t="s">
        <v>103</v>
      </c>
      <c r="D6" s="27">
        <v>43327</v>
      </c>
      <c r="E6" s="25">
        <v>2</v>
      </c>
      <c r="F6" s="27">
        <v>43362</v>
      </c>
      <c r="G6" s="25">
        <f t="shared" si="0"/>
        <v>35</v>
      </c>
      <c r="H6" s="34">
        <f t="shared" si="1"/>
        <v>17.5</v>
      </c>
      <c r="I6" s="29">
        <v>214.06</v>
      </c>
      <c r="J6" s="29">
        <f t="shared" si="2"/>
        <v>160.54500000000002</v>
      </c>
      <c r="K6" s="27">
        <v>43364</v>
      </c>
      <c r="L6" s="34">
        <f t="shared" si="3"/>
        <v>2</v>
      </c>
      <c r="M6" s="29">
        <f t="shared" si="4"/>
        <v>107.03</v>
      </c>
      <c r="N6" s="27">
        <v>43367</v>
      </c>
      <c r="O6" s="28">
        <f t="shared" si="5"/>
        <v>5</v>
      </c>
      <c r="P6" s="28"/>
      <c r="Q6" s="28"/>
      <c r="R6" s="28"/>
      <c r="S6" s="30">
        <f t="shared" si="6"/>
        <v>-0.5</v>
      </c>
      <c r="T6" s="31">
        <v>53.52</v>
      </c>
      <c r="U6" s="32">
        <v>43566</v>
      </c>
      <c r="V6" s="33">
        <f t="shared" ref="V6:V11" si="7">+U6-F6</f>
        <v>204</v>
      </c>
      <c r="W6" s="33"/>
      <c r="X6" s="33"/>
      <c r="Y6" s="33"/>
      <c r="Z6" s="31">
        <v>20.65</v>
      </c>
      <c r="AA6" s="32">
        <v>43748</v>
      </c>
      <c r="AB6" s="33">
        <f>+AA6-F6</f>
        <v>386</v>
      </c>
    </row>
    <row r="7" spans="1:29" x14ac:dyDescent="0.25">
      <c r="B7" s="24" t="s">
        <v>55</v>
      </c>
      <c r="C7" s="25" t="s">
        <v>103</v>
      </c>
      <c r="D7" s="27">
        <v>43591</v>
      </c>
      <c r="E7" s="25">
        <v>6</v>
      </c>
      <c r="F7" s="27">
        <v>43642</v>
      </c>
      <c r="G7" s="25">
        <f t="shared" si="0"/>
        <v>51</v>
      </c>
      <c r="H7" s="34">
        <f t="shared" si="1"/>
        <v>8.5</v>
      </c>
      <c r="I7" s="29">
        <v>234.9</v>
      </c>
      <c r="J7" s="29">
        <f t="shared" si="2"/>
        <v>176.17500000000001</v>
      </c>
      <c r="K7" s="27">
        <v>43678</v>
      </c>
      <c r="L7" s="34">
        <f t="shared" si="3"/>
        <v>36</v>
      </c>
      <c r="M7" s="29">
        <f t="shared" si="4"/>
        <v>117.45</v>
      </c>
      <c r="N7" s="27">
        <v>43755</v>
      </c>
      <c r="O7" s="28">
        <f t="shared" si="5"/>
        <v>113</v>
      </c>
      <c r="P7" s="28"/>
      <c r="Q7" s="28"/>
      <c r="R7" s="28"/>
      <c r="S7" s="30">
        <f t="shared" si="6"/>
        <v>-0.5</v>
      </c>
      <c r="T7" s="24">
        <v>54.02</v>
      </c>
      <c r="U7" s="32">
        <v>43908</v>
      </c>
      <c r="V7" s="33">
        <f t="shared" si="7"/>
        <v>266</v>
      </c>
      <c r="W7" s="33"/>
      <c r="X7" s="33"/>
      <c r="Y7" s="33"/>
      <c r="Z7" s="24">
        <v>22.86</v>
      </c>
      <c r="AA7" s="32">
        <v>44721</v>
      </c>
      <c r="AB7" s="33">
        <f>+AA7-F7</f>
        <v>1079</v>
      </c>
    </row>
    <row r="8" spans="1:29" x14ac:dyDescent="0.25">
      <c r="B8" s="24" t="s">
        <v>71</v>
      </c>
      <c r="C8" s="25" t="s">
        <v>54</v>
      </c>
      <c r="D8" s="27">
        <v>43808</v>
      </c>
      <c r="E8" s="25">
        <v>2</v>
      </c>
      <c r="F8" s="27">
        <v>43880</v>
      </c>
      <c r="G8" s="28">
        <f t="shared" si="0"/>
        <v>72</v>
      </c>
      <c r="H8" s="28">
        <f t="shared" si="1"/>
        <v>36</v>
      </c>
      <c r="I8" s="29">
        <v>747</v>
      </c>
      <c r="J8" s="29">
        <f t="shared" si="2"/>
        <v>560.25</v>
      </c>
      <c r="K8" s="27">
        <v>43887</v>
      </c>
      <c r="L8" s="25">
        <f t="shared" si="3"/>
        <v>7</v>
      </c>
      <c r="M8" s="29">
        <f t="shared" si="4"/>
        <v>373.5</v>
      </c>
      <c r="N8" s="27">
        <v>43899</v>
      </c>
      <c r="O8" s="28">
        <f t="shared" si="5"/>
        <v>19</v>
      </c>
      <c r="P8" s="28"/>
      <c r="Q8" s="28"/>
      <c r="R8" s="28"/>
      <c r="S8" s="30">
        <f t="shared" si="6"/>
        <v>-0.5</v>
      </c>
      <c r="T8" s="31">
        <v>267.60000000000002</v>
      </c>
      <c r="U8" s="32">
        <v>44561</v>
      </c>
      <c r="V8" s="33">
        <f t="shared" si="7"/>
        <v>681</v>
      </c>
      <c r="W8" s="33"/>
      <c r="X8" s="33"/>
      <c r="Y8" s="33"/>
      <c r="Z8" s="31">
        <v>106.2</v>
      </c>
      <c r="AA8" s="32">
        <v>44820</v>
      </c>
      <c r="AB8" s="33">
        <f>+AA8-F8</f>
        <v>940</v>
      </c>
    </row>
    <row r="9" spans="1:29" x14ac:dyDescent="0.25">
      <c r="B9" s="24" t="s">
        <v>75</v>
      </c>
      <c r="C9" s="25" t="s">
        <v>50</v>
      </c>
      <c r="D9" s="27">
        <v>43893</v>
      </c>
      <c r="E9" s="25">
        <v>3</v>
      </c>
      <c r="F9" s="27">
        <v>43991</v>
      </c>
      <c r="G9" s="28">
        <f t="shared" si="0"/>
        <v>98</v>
      </c>
      <c r="H9" s="28">
        <f t="shared" si="1"/>
        <v>32.666666666666664</v>
      </c>
      <c r="I9" s="29">
        <v>2391.92</v>
      </c>
      <c r="J9" s="29">
        <f t="shared" si="2"/>
        <v>1793.94</v>
      </c>
      <c r="K9" s="27">
        <v>43993</v>
      </c>
      <c r="L9" s="25">
        <f t="shared" si="3"/>
        <v>2</v>
      </c>
      <c r="M9" s="29">
        <f t="shared" si="4"/>
        <v>1195.96</v>
      </c>
      <c r="N9" s="27">
        <v>44032</v>
      </c>
      <c r="O9" s="28">
        <f t="shared" si="5"/>
        <v>41</v>
      </c>
      <c r="P9" s="28"/>
      <c r="Q9" s="28"/>
      <c r="R9" s="28"/>
      <c r="S9" s="30">
        <f t="shared" si="6"/>
        <v>-0.5</v>
      </c>
      <c r="T9" s="31">
        <v>573.00570000000005</v>
      </c>
      <c r="U9" s="32">
        <v>44098</v>
      </c>
      <c r="V9" s="33">
        <f t="shared" si="7"/>
        <v>107</v>
      </c>
      <c r="W9" s="33"/>
      <c r="X9" s="33"/>
      <c r="Y9" s="33"/>
      <c r="Z9" s="31">
        <f>+I9*0.1</f>
        <v>239.19200000000001</v>
      </c>
    </row>
    <row r="10" spans="1:29" x14ac:dyDescent="0.25">
      <c r="B10" s="24" t="s">
        <v>73</v>
      </c>
      <c r="C10" s="25" t="s">
        <v>54</v>
      </c>
      <c r="D10" s="27">
        <v>43906</v>
      </c>
      <c r="E10" s="25">
        <v>6</v>
      </c>
      <c r="F10" s="27">
        <v>44209</v>
      </c>
      <c r="G10" s="28">
        <f t="shared" si="0"/>
        <v>303</v>
      </c>
      <c r="H10" s="28">
        <f t="shared" si="1"/>
        <v>50.5</v>
      </c>
      <c r="I10" s="29">
        <v>167.42</v>
      </c>
      <c r="J10" s="29">
        <f t="shared" si="2"/>
        <v>125.565</v>
      </c>
      <c r="K10" s="27">
        <v>44249</v>
      </c>
      <c r="L10" s="25">
        <f t="shared" si="3"/>
        <v>40</v>
      </c>
      <c r="M10" s="29">
        <f t="shared" si="4"/>
        <v>83.71</v>
      </c>
      <c r="N10" s="27">
        <v>44321</v>
      </c>
      <c r="O10" s="28">
        <f t="shared" si="5"/>
        <v>112</v>
      </c>
      <c r="P10" s="28"/>
      <c r="Q10" s="28"/>
      <c r="R10" s="28"/>
      <c r="S10" s="30">
        <f t="shared" si="6"/>
        <v>-0.5</v>
      </c>
      <c r="T10" s="24">
        <v>41.78</v>
      </c>
      <c r="U10" s="32">
        <v>44537</v>
      </c>
      <c r="V10" s="33">
        <f t="shared" si="7"/>
        <v>328</v>
      </c>
      <c r="W10" s="33"/>
      <c r="X10" s="33"/>
      <c r="Y10" s="33"/>
      <c r="Z10" s="31">
        <v>15.7</v>
      </c>
      <c r="AA10" s="32">
        <v>44687</v>
      </c>
      <c r="AB10" s="33">
        <f>+AA10-F10</f>
        <v>478</v>
      </c>
    </row>
    <row r="11" spans="1:29" x14ac:dyDescent="0.25">
      <c r="B11" s="24" t="s">
        <v>69</v>
      </c>
      <c r="C11" s="25" t="s">
        <v>54</v>
      </c>
      <c r="D11" s="27">
        <v>43986</v>
      </c>
      <c r="E11" s="25">
        <v>5</v>
      </c>
      <c r="F11" s="27">
        <v>44222</v>
      </c>
      <c r="G11" s="25">
        <f t="shared" si="0"/>
        <v>236</v>
      </c>
      <c r="H11" s="28">
        <f t="shared" si="1"/>
        <v>47.2</v>
      </c>
      <c r="I11" s="29">
        <v>73.180000000000007</v>
      </c>
      <c r="J11" s="29">
        <f t="shared" si="2"/>
        <v>54.885000000000005</v>
      </c>
      <c r="K11" s="27">
        <v>44243</v>
      </c>
      <c r="L11" s="25">
        <f t="shared" si="3"/>
        <v>21</v>
      </c>
      <c r="M11" s="29">
        <f t="shared" si="4"/>
        <v>36.590000000000003</v>
      </c>
      <c r="N11" s="27">
        <v>44260</v>
      </c>
      <c r="O11" s="28">
        <f t="shared" si="5"/>
        <v>38</v>
      </c>
      <c r="S11" s="30">
        <f t="shared" si="6"/>
        <v>-0.5</v>
      </c>
      <c r="U11" s="32">
        <v>44327</v>
      </c>
      <c r="V11" s="33">
        <f t="shared" si="7"/>
        <v>105</v>
      </c>
    </row>
    <row r="12" spans="1:29" x14ac:dyDescent="0.25">
      <c r="B12" s="24" t="s">
        <v>108</v>
      </c>
      <c r="C12" s="25" t="s">
        <v>56</v>
      </c>
      <c r="D12" s="27">
        <v>44074</v>
      </c>
      <c r="E12" s="25">
        <v>6</v>
      </c>
      <c r="F12" s="27">
        <v>44223</v>
      </c>
      <c r="G12" s="25">
        <f t="shared" si="0"/>
        <v>149</v>
      </c>
      <c r="H12" s="34">
        <f t="shared" si="1"/>
        <v>24.833333333333332</v>
      </c>
      <c r="I12" s="29">
        <v>86.88</v>
      </c>
      <c r="J12" s="29">
        <f t="shared" si="2"/>
        <v>65.16</v>
      </c>
      <c r="K12" s="27">
        <v>44229</v>
      </c>
      <c r="L12" s="34">
        <f t="shared" si="3"/>
        <v>6</v>
      </c>
      <c r="M12" s="29">
        <f t="shared" si="4"/>
        <v>43.44</v>
      </c>
      <c r="N12" s="27">
        <v>44229</v>
      </c>
      <c r="O12" s="28">
        <f t="shared" si="5"/>
        <v>6</v>
      </c>
      <c r="V12" s="33"/>
      <c r="W12" s="33"/>
      <c r="X12" s="33"/>
      <c r="Y12" s="33"/>
    </row>
    <row r="13" spans="1:29" x14ac:dyDescent="0.25">
      <c r="B13" s="24" t="s">
        <v>70</v>
      </c>
      <c r="C13" s="25" t="s">
        <v>54</v>
      </c>
      <c r="D13" s="27">
        <v>44098</v>
      </c>
      <c r="E13" s="25">
        <v>3</v>
      </c>
      <c r="F13" s="27">
        <v>44238</v>
      </c>
      <c r="G13" s="28">
        <f t="shared" si="0"/>
        <v>140</v>
      </c>
      <c r="H13" s="28">
        <f t="shared" si="1"/>
        <v>46.666666666666664</v>
      </c>
      <c r="I13" s="29">
        <v>1188.2</v>
      </c>
      <c r="J13" s="29">
        <f t="shared" si="2"/>
        <v>891.15000000000009</v>
      </c>
      <c r="K13" s="27">
        <v>44250</v>
      </c>
      <c r="L13" s="25">
        <f t="shared" si="3"/>
        <v>12</v>
      </c>
      <c r="M13" s="29">
        <f t="shared" si="4"/>
        <v>594.1</v>
      </c>
      <c r="N13" s="27">
        <v>44260</v>
      </c>
      <c r="O13" s="28">
        <f t="shared" si="5"/>
        <v>22</v>
      </c>
      <c r="P13" s="28"/>
      <c r="Q13" s="28"/>
      <c r="R13" s="28"/>
      <c r="S13" s="30"/>
      <c r="T13" s="31"/>
      <c r="U13" s="32"/>
      <c r="V13" s="33"/>
      <c r="W13" s="33"/>
      <c r="X13" s="33"/>
      <c r="Y13" s="33"/>
      <c r="Z13" s="31"/>
      <c r="AA13" s="32"/>
      <c r="AB13" s="33"/>
    </row>
    <row r="14" spans="1:29" x14ac:dyDescent="0.25">
      <c r="B14" s="24" t="s">
        <v>66</v>
      </c>
      <c r="C14" s="25" t="s">
        <v>54</v>
      </c>
      <c r="D14" s="27">
        <v>44111</v>
      </c>
      <c r="E14" s="25">
        <v>4</v>
      </c>
      <c r="F14" s="27">
        <v>44236</v>
      </c>
      <c r="G14" s="25">
        <f t="shared" si="0"/>
        <v>125</v>
      </c>
      <c r="H14" s="34">
        <f t="shared" si="1"/>
        <v>31.25</v>
      </c>
      <c r="I14" s="29">
        <v>838.8</v>
      </c>
      <c r="J14" s="29">
        <f t="shared" si="2"/>
        <v>629.09999999999991</v>
      </c>
      <c r="K14" s="27">
        <v>44245</v>
      </c>
      <c r="L14" s="25">
        <f t="shared" si="3"/>
        <v>9</v>
      </c>
      <c r="M14" s="29">
        <f t="shared" si="4"/>
        <v>419.4</v>
      </c>
      <c r="N14" s="27">
        <v>44250</v>
      </c>
      <c r="O14" s="28">
        <f t="shared" si="5"/>
        <v>14</v>
      </c>
      <c r="S14" s="30">
        <f>+M14/I14-1</f>
        <v>-0.5</v>
      </c>
    </row>
    <row r="15" spans="1:29" x14ac:dyDescent="0.25">
      <c r="B15" s="24" t="s">
        <v>74</v>
      </c>
      <c r="C15" s="25" t="s">
        <v>54</v>
      </c>
      <c r="D15" s="27">
        <v>44207</v>
      </c>
      <c r="E15" s="25">
        <v>1</v>
      </c>
      <c r="F15" s="27">
        <v>44245</v>
      </c>
      <c r="G15" s="28">
        <f t="shared" si="0"/>
        <v>38</v>
      </c>
      <c r="H15" s="28">
        <f t="shared" si="1"/>
        <v>38</v>
      </c>
      <c r="I15" s="29">
        <v>580.5</v>
      </c>
      <c r="J15" s="29">
        <f t="shared" si="2"/>
        <v>435.375</v>
      </c>
      <c r="K15" s="27">
        <v>44250</v>
      </c>
      <c r="L15" s="25">
        <f t="shared" si="3"/>
        <v>5</v>
      </c>
      <c r="M15" s="29">
        <f t="shared" si="4"/>
        <v>290.25</v>
      </c>
      <c r="N15" s="27">
        <v>44251</v>
      </c>
      <c r="O15" s="28">
        <f t="shared" si="5"/>
        <v>6</v>
      </c>
      <c r="P15" s="28"/>
      <c r="Q15" s="28"/>
      <c r="R15" s="28"/>
      <c r="S15" s="30">
        <f>+M15/I15-1</f>
        <v>-0.5</v>
      </c>
      <c r="T15" s="24">
        <v>138.6</v>
      </c>
      <c r="U15" s="32">
        <v>44692</v>
      </c>
      <c r="V15" s="33">
        <f>+U15-F15</f>
        <v>447</v>
      </c>
      <c r="W15" s="33"/>
      <c r="X15" s="33"/>
      <c r="Y15" s="33"/>
      <c r="Z15" s="24">
        <v>57.3</v>
      </c>
      <c r="AA15" s="32">
        <v>45099</v>
      </c>
      <c r="AB15" s="33">
        <f>+AA15-F15</f>
        <v>854</v>
      </c>
    </row>
    <row r="16" spans="1:29" x14ac:dyDescent="0.25">
      <c r="B16" s="24" t="s">
        <v>72</v>
      </c>
      <c r="C16" s="25" t="s">
        <v>56</v>
      </c>
      <c r="D16" s="27">
        <v>44215</v>
      </c>
      <c r="E16" s="25">
        <v>3</v>
      </c>
      <c r="F16" s="27">
        <v>44349</v>
      </c>
      <c r="G16" s="28">
        <f t="shared" si="0"/>
        <v>134</v>
      </c>
      <c r="H16" s="28">
        <f t="shared" si="1"/>
        <v>44.666666666666664</v>
      </c>
      <c r="I16" s="29">
        <v>339.05</v>
      </c>
      <c r="J16" s="29">
        <f t="shared" si="2"/>
        <v>254.28750000000002</v>
      </c>
      <c r="K16" s="27">
        <v>44357</v>
      </c>
      <c r="L16" s="25">
        <f t="shared" si="3"/>
        <v>8</v>
      </c>
      <c r="M16" s="29">
        <f t="shared" si="4"/>
        <v>169.52500000000001</v>
      </c>
      <c r="N16" s="27">
        <v>44396</v>
      </c>
      <c r="O16" s="28">
        <f t="shared" si="5"/>
        <v>47</v>
      </c>
      <c r="P16" s="28"/>
      <c r="Q16" s="28"/>
      <c r="R16" s="28"/>
      <c r="S16" s="30">
        <f>+M16/I16-1</f>
        <v>-0.5</v>
      </c>
      <c r="T16" s="31">
        <f>+I16*0.25</f>
        <v>84.762500000000003</v>
      </c>
      <c r="U16" s="32">
        <v>44588</v>
      </c>
      <c r="V16" s="33">
        <f>+U16-F16</f>
        <v>239</v>
      </c>
      <c r="W16" s="33"/>
      <c r="X16" s="33"/>
      <c r="Y16" s="33"/>
      <c r="Z16" s="31">
        <v>61.2</v>
      </c>
      <c r="AA16" s="32">
        <v>44845</v>
      </c>
      <c r="AB16" s="33">
        <f>+AA16-F16</f>
        <v>496</v>
      </c>
    </row>
    <row r="17" spans="2:28" x14ac:dyDescent="0.25">
      <c r="B17" s="24" t="s">
        <v>64</v>
      </c>
      <c r="C17" s="25" t="s">
        <v>63</v>
      </c>
      <c r="D17" s="27">
        <v>44510</v>
      </c>
      <c r="E17" s="25">
        <v>1</v>
      </c>
      <c r="F17" s="27">
        <v>44516</v>
      </c>
      <c r="G17" s="25">
        <f t="shared" si="0"/>
        <v>6</v>
      </c>
      <c r="H17" s="34">
        <f t="shared" si="1"/>
        <v>6</v>
      </c>
      <c r="I17" s="29">
        <v>172.01</v>
      </c>
      <c r="J17" s="29">
        <f t="shared" si="2"/>
        <v>129.00749999999999</v>
      </c>
      <c r="K17" s="27">
        <v>44518</v>
      </c>
      <c r="L17" s="25">
        <f t="shared" si="3"/>
        <v>2</v>
      </c>
      <c r="M17" s="29">
        <f t="shared" si="4"/>
        <v>86.004999999999995</v>
      </c>
      <c r="N17" s="27">
        <v>44567</v>
      </c>
      <c r="O17" s="28">
        <f t="shared" si="5"/>
        <v>51</v>
      </c>
      <c r="V17" s="33"/>
      <c r="W17" s="33"/>
      <c r="X17" s="33"/>
      <c r="Y17" s="33"/>
    </row>
    <row r="18" spans="2:28" x14ac:dyDescent="0.25">
      <c r="B18" s="24" t="s">
        <v>105</v>
      </c>
      <c r="C18" s="25" t="s">
        <v>67</v>
      </c>
      <c r="D18" s="27">
        <v>44617</v>
      </c>
      <c r="E18" s="25">
        <v>3</v>
      </c>
      <c r="F18" s="27">
        <v>44664</v>
      </c>
      <c r="G18" s="25">
        <f t="shared" si="0"/>
        <v>47</v>
      </c>
      <c r="H18" s="34">
        <f t="shared" si="1"/>
        <v>15.666666666666666</v>
      </c>
      <c r="I18" s="29">
        <v>12.69</v>
      </c>
      <c r="J18" s="29">
        <f t="shared" si="2"/>
        <v>9.5175000000000001</v>
      </c>
      <c r="K18" s="27">
        <v>44673</v>
      </c>
      <c r="L18" s="34">
        <f t="shared" si="3"/>
        <v>9</v>
      </c>
      <c r="M18" s="29">
        <f t="shared" si="4"/>
        <v>6.3449999999999998</v>
      </c>
      <c r="N18" s="27">
        <v>44705</v>
      </c>
      <c r="O18" s="28">
        <f t="shared" si="5"/>
        <v>41</v>
      </c>
      <c r="V18" s="33"/>
      <c r="W18" s="33"/>
      <c r="X18" s="33"/>
      <c r="Y18" s="33"/>
    </row>
    <row r="19" spans="2:28" x14ac:dyDescent="0.25">
      <c r="B19" s="24" t="s">
        <v>104</v>
      </c>
      <c r="C19" s="25" t="s">
        <v>67</v>
      </c>
      <c r="D19" s="27">
        <v>44938</v>
      </c>
      <c r="E19" s="25">
        <v>3</v>
      </c>
      <c r="F19" s="27">
        <v>44963</v>
      </c>
      <c r="G19" s="25">
        <f t="shared" si="0"/>
        <v>25</v>
      </c>
      <c r="H19" s="34">
        <f t="shared" si="1"/>
        <v>8.3333333333333339</v>
      </c>
      <c r="I19" s="29">
        <v>6.11</v>
      </c>
      <c r="J19" s="29">
        <f t="shared" si="2"/>
        <v>4.5825000000000005</v>
      </c>
      <c r="K19" s="27">
        <v>44970</v>
      </c>
      <c r="L19" s="34">
        <f t="shared" si="3"/>
        <v>7</v>
      </c>
      <c r="M19" s="29">
        <f t="shared" si="4"/>
        <v>3.0550000000000002</v>
      </c>
      <c r="N19" s="27">
        <v>44985</v>
      </c>
      <c r="O19" s="28">
        <f t="shared" si="5"/>
        <v>22</v>
      </c>
      <c r="V19" s="33"/>
      <c r="W19" s="33"/>
      <c r="X19" s="33"/>
      <c r="Y19" s="33"/>
    </row>
    <row r="20" spans="2:28" x14ac:dyDescent="0.25">
      <c r="B20" s="24" t="s">
        <v>132</v>
      </c>
      <c r="C20" s="25" t="s">
        <v>54</v>
      </c>
      <c r="D20" s="27">
        <v>45482</v>
      </c>
      <c r="E20" s="25">
        <v>5</v>
      </c>
      <c r="F20" s="27">
        <v>45663</v>
      </c>
      <c r="G20" s="25">
        <f t="shared" si="0"/>
        <v>181</v>
      </c>
      <c r="H20" s="34">
        <f t="shared" si="1"/>
        <v>36.200000000000003</v>
      </c>
      <c r="I20" s="29">
        <v>14.19</v>
      </c>
      <c r="J20" s="29">
        <f t="shared" si="2"/>
        <v>10.6425</v>
      </c>
      <c r="K20" s="27">
        <v>45667</v>
      </c>
      <c r="L20" s="34">
        <f t="shared" si="3"/>
        <v>4</v>
      </c>
      <c r="M20" s="29">
        <f t="shared" si="4"/>
        <v>7.0949999999999998</v>
      </c>
      <c r="N20" s="27">
        <v>45712</v>
      </c>
      <c r="O20" s="28">
        <f t="shared" si="5"/>
        <v>49</v>
      </c>
      <c r="V20" s="33"/>
      <c r="W20" s="33"/>
      <c r="X20" s="33"/>
      <c r="Y20" s="33"/>
    </row>
    <row r="21" spans="2:28" x14ac:dyDescent="0.25">
      <c r="B21" s="24" t="s">
        <v>110</v>
      </c>
      <c r="C21" s="25" t="s">
        <v>54</v>
      </c>
      <c r="D21" s="27">
        <v>45488</v>
      </c>
      <c r="E21" s="25">
        <v>5</v>
      </c>
      <c r="F21" s="27">
        <v>45616</v>
      </c>
      <c r="G21" s="25">
        <f t="shared" si="0"/>
        <v>128</v>
      </c>
      <c r="H21" s="34">
        <f t="shared" si="1"/>
        <v>25.6</v>
      </c>
      <c r="I21" s="29">
        <v>473.83</v>
      </c>
      <c r="J21" s="29">
        <f t="shared" si="2"/>
        <v>355.3725</v>
      </c>
      <c r="K21" s="27">
        <v>45622</v>
      </c>
      <c r="L21" s="34">
        <f t="shared" si="3"/>
        <v>6</v>
      </c>
      <c r="M21" s="29">
        <f t="shared" si="4"/>
        <v>236.91499999999999</v>
      </c>
      <c r="N21" s="27">
        <v>45716</v>
      </c>
      <c r="O21" s="25">
        <f t="shared" si="5"/>
        <v>100</v>
      </c>
    </row>
    <row r="22" spans="2:28" x14ac:dyDescent="0.25">
      <c r="B22" s="24" t="s">
        <v>113</v>
      </c>
      <c r="C22" s="25" t="s">
        <v>54</v>
      </c>
      <c r="D22" s="27">
        <v>45512</v>
      </c>
      <c r="E22" s="25">
        <v>6</v>
      </c>
      <c r="F22" s="27">
        <v>45791</v>
      </c>
      <c r="G22" s="25">
        <f t="shared" si="0"/>
        <v>279</v>
      </c>
      <c r="H22" s="34">
        <f t="shared" si="1"/>
        <v>46.5</v>
      </c>
      <c r="I22" s="29">
        <v>540.67999999999995</v>
      </c>
      <c r="J22" s="29">
        <f t="shared" si="2"/>
        <v>405.51</v>
      </c>
      <c r="K22" s="27">
        <v>45833</v>
      </c>
      <c r="L22" s="34">
        <f t="shared" si="3"/>
        <v>42</v>
      </c>
      <c r="M22" s="29">
        <f t="shared" si="4"/>
        <v>270.33999999999997</v>
      </c>
      <c r="N22" s="27">
        <v>45904</v>
      </c>
      <c r="O22" s="25">
        <f t="shared" si="5"/>
        <v>113</v>
      </c>
    </row>
    <row r="23" spans="2:28" x14ac:dyDescent="0.25">
      <c r="B23" s="24" t="s">
        <v>102</v>
      </c>
      <c r="C23" s="25" t="s">
        <v>119</v>
      </c>
      <c r="D23" s="27">
        <v>45562</v>
      </c>
      <c r="E23" s="25">
        <v>5</v>
      </c>
      <c r="F23" s="27">
        <v>45663</v>
      </c>
      <c r="G23" s="25">
        <f t="shared" si="0"/>
        <v>101</v>
      </c>
      <c r="H23" s="34">
        <f t="shared" si="1"/>
        <v>20.2</v>
      </c>
      <c r="I23" s="29">
        <v>51.07</v>
      </c>
      <c r="J23" s="29">
        <f t="shared" si="2"/>
        <v>38.302500000000002</v>
      </c>
      <c r="K23" s="27">
        <v>45665</v>
      </c>
      <c r="L23" s="34">
        <f t="shared" si="3"/>
        <v>2</v>
      </c>
      <c r="M23" s="29">
        <f t="shared" si="4"/>
        <v>25.535</v>
      </c>
      <c r="N23" s="27">
        <v>45715</v>
      </c>
      <c r="O23" s="28">
        <f t="shared" si="5"/>
        <v>52</v>
      </c>
      <c r="T23" s="25"/>
      <c r="U23" s="25"/>
      <c r="V23" s="25"/>
      <c r="W23" s="25"/>
      <c r="X23" s="25"/>
      <c r="Y23" s="25"/>
      <c r="Z23" s="25"/>
      <c r="AA23" s="25"/>
      <c r="AB23" s="25"/>
    </row>
    <row r="24" spans="2:28" x14ac:dyDescent="0.25">
      <c r="B24" s="24" t="s">
        <v>106</v>
      </c>
      <c r="C24" s="25" t="s">
        <v>67</v>
      </c>
      <c r="D24" s="27">
        <v>45579</v>
      </c>
      <c r="E24" s="25">
        <v>6</v>
      </c>
      <c r="F24" s="27">
        <v>45701</v>
      </c>
      <c r="G24" s="25">
        <f t="shared" si="0"/>
        <v>122</v>
      </c>
      <c r="H24" s="34">
        <f t="shared" si="1"/>
        <v>20.333333333333332</v>
      </c>
      <c r="I24" s="29">
        <v>9.7799999999999994</v>
      </c>
      <c r="J24" s="29">
        <f t="shared" si="2"/>
        <v>7.3349999999999991</v>
      </c>
      <c r="K24" s="27">
        <v>45708</v>
      </c>
      <c r="L24" s="34">
        <f t="shared" si="3"/>
        <v>7</v>
      </c>
      <c r="M24" s="29">
        <f t="shared" si="4"/>
        <v>4.8899999999999997</v>
      </c>
      <c r="N24" s="27">
        <v>45720</v>
      </c>
      <c r="O24" s="28">
        <f t="shared" si="5"/>
        <v>19</v>
      </c>
      <c r="V24" s="33"/>
      <c r="W24" s="33"/>
      <c r="X24" s="33"/>
      <c r="Y24" s="33"/>
    </row>
    <row r="25" spans="2:28" x14ac:dyDescent="0.25">
      <c r="B25" s="24" t="s">
        <v>62</v>
      </c>
      <c r="C25" s="25" t="s">
        <v>54</v>
      </c>
      <c r="D25" s="27">
        <v>45581</v>
      </c>
      <c r="E25" s="25">
        <v>4</v>
      </c>
      <c r="F25" s="27">
        <v>45659</v>
      </c>
      <c r="G25" s="25">
        <f t="shared" si="0"/>
        <v>78</v>
      </c>
      <c r="H25" s="34">
        <f t="shared" si="1"/>
        <v>19.5</v>
      </c>
      <c r="I25" s="29">
        <v>20</v>
      </c>
      <c r="J25" s="29">
        <f t="shared" si="2"/>
        <v>15</v>
      </c>
      <c r="K25" s="27">
        <v>45665</v>
      </c>
      <c r="L25" s="34">
        <f t="shared" si="3"/>
        <v>6</v>
      </c>
      <c r="M25" s="29">
        <f t="shared" si="4"/>
        <v>10</v>
      </c>
      <c r="N25" s="27">
        <v>45665</v>
      </c>
      <c r="O25" s="28">
        <f t="shared" si="5"/>
        <v>6</v>
      </c>
      <c r="T25" s="25"/>
      <c r="U25" s="25"/>
      <c r="V25" s="25"/>
      <c r="W25" s="25"/>
      <c r="X25" s="25"/>
      <c r="Y25" s="25"/>
      <c r="Z25" s="25"/>
      <c r="AA25" s="25"/>
      <c r="AB25" s="25"/>
    </row>
    <row r="26" spans="2:28" x14ac:dyDescent="0.25">
      <c r="B26" s="24" t="s">
        <v>115</v>
      </c>
      <c r="C26" s="25" t="s">
        <v>50</v>
      </c>
      <c r="D26" s="27">
        <v>45582</v>
      </c>
      <c r="E26" s="25">
        <v>5</v>
      </c>
      <c r="F26" s="27">
        <v>45644</v>
      </c>
      <c r="G26" s="25">
        <f t="shared" si="0"/>
        <v>62</v>
      </c>
      <c r="H26" s="34">
        <f t="shared" si="1"/>
        <v>12.4</v>
      </c>
      <c r="I26" s="29">
        <v>25.68</v>
      </c>
      <c r="J26" s="29">
        <f t="shared" si="2"/>
        <v>19.259999999999998</v>
      </c>
      <c r="K26" s="27">
        <v>45645</v>
      </c>
      <c r="L26" s="34">
        <f t="shared" si="3"/>
        <v>1</v>
      </c>
      <c r="M26" s="29">
        <f t="shared" si="4"/>
        <v>12.84</v>
      </c>
      <c r="N26" s="27">
        <v>45665</v>
      </c>
      <c r="O26" s="25">
        <f t="shared" si="5"/>
        <v>21</v>
      </c>
    </row>
    <row r="27" spans="2:28" x14ac:dyDescent="0.25">
      <c r="B27" s="24" t="s">
        <v>117</v>
      </c>
      <c r="C27" s="25" t="s">
        <v>67</v>
      </c>
      <c r="D27" s="27">
        <v>45593</v>
      </c>
      <c r="E27" s="25">
        <v>4</v>
      </c>
      <c r="F27" s="27">
        <v>45652</v>
      </c>
      <c r="G27" s="25">
        <f t="shared" si="0"/>
        <v>59</v>
      </c>
      <c r="H27" s="34">
        <f t="shared" si="1"/>
        <v>14.75</v>
      </c>
      <c r="I27" s="29">
        <v>24.23</v>
      </c>
      <c r="J27" s="29">
        <f t="shared" si="2"/>
        <v>18.172499999999999</v>
      </c>
      <c r="K27" s="27">
        <v>45664</v>
      </c>
      <c r="L27" s="34">
        <f t="shared" si="3"/>
        <v>12</v>
      </c>
      <c r="M27" s="29">
        <f t="shared" si="4"/>
        <v>12.115</v>
      </c>
      <c r="N27" s="27">
        <v>45702</v>
      </c>
      <c r="O27" s="25">
        <f t="shared" si="5"/>
        <v>50</v>
      </c>
    </row>
    <row r="28" spans="2:28" x14ac:dyDescent="0.25">
      <c r="B28" s="24" t="s">
        <v>131</v>
      </c>
      <c r="C28" s="25" t="s">
        <v>54</v>
      </c>
      <c r="D28" s="27">
        <v>45595</v>
      </c>
      <c r="E28" s="25">
        <v>3</v>
      </c>
      <c r="F28" s="27">
        <v>45625</v>
      </c>
      <c r="G28" s="25">
        <f t="shared" si="0"/>
        <v>30</v>
      </c>
      <c r="H28" s="34">
        <f t="shared" si="1"/>
        <v>10</v>
      </c>
      <c r="I28" s="29">
        <v>18.73</v>
      </c>
      <c r="J28" s="29">
        <f t="shared" si="2"/>
        <v>14.047499999999999</v>
      </c>
      <c r="K28" s="27">
        <v>45629</v>
      </c>
      <c r="L28" s="34">
        <f t="shared" si="3"/>
        <v>4</v>
      </c>
      <c r="M28" s="29">
        <f t="shared" si="4"/>
        <v>9.3650000000000002</v>
      </c>
      <c r="N28" s="27">
        <v>45630</v>
      </c>
      <c r="O28" s="25">
        <f t="shared" si="5"/>
        <v>5</v>
      </c>
    </row>
    <row r="29" spans="2:28" x14ac:dyDescent="0.25">
      <c r="B29" s="35" t="s">
        <v>128</v>
      </c>
      <c r="C29" s="25" t="s">
        <v>54</v>
      </c>
      <c r="D29" s="27">
        <v>45601</v>
      </c>
      <c r="E29" s="25">
        <v>6</v>
      </c>
      <c r="F29" s="36">
        <v>45881</v>
      </c>
      <c r="G29" s="25">
        <f>F29-D29</f>
        <v>280</v>
      </c>
      <c r="H29" s="34">
        <f>G29/E29</f>
        <v>46.666666666666664</v>
      </c>
      <c r="I29" s="29">
        <v>186.97</v>
      </c>
      <c r="J29" s="29">
        <f t="shared" si="2"/>
        <v>140.22749999999999</v>
      </c>
      <c r="K29" s="55">
        <f>F29+$L$1</f>
        <v>45891.7</v>
      </c>
      <c r="M29" s="29">
        <f t="shared" si="4"/>
        <v>93.484999999999999</v>
      </c>
      <c r="N29" s="36">
        <f t="shared" ref="N29:N35" ca="1" si="8">F29+$O$1</f>
        <v>45924.225806451614</v>
      </c>
      <c r="O29" s="44">
        <f ca="1">TODAY()-F29</f>
        <v>59</v>
      </c>
    </row>
    <row r="30" spans="2:28" x14ac:dyDescent="0.25">
      <c r="B30" s="35" t="s">
        <v>61</v>
      </c>
      <c r="C30" s="25" t="s">
        <v>54</v>
      </c>
      <c r="D30" s="27">
        <v>45671</v>
      </c>
      <c r="E30" s="25">
        <v>7</v>
      </c>
      <c r="F30" s="36">
        <v>45933</v>
      </c>
      <c r="G30" s="25">
        <f t="shared" si="0"/>
        <v>262</v>
      </c>
      <c r="H30" s="34">
        <f t="shared" si="1"/>
        <v>37.428571428571431</v>
      </c>
      <c r="I30" s="38">
        <v>37.57</v>
      </c>
      <c r="J30" s="29">
        <f t="shared" si="2"/>
        <v>28.177500000000002</v>
      </c>
      <c r="K30" s="36">
        <f>F30+$L$1</f>
        <v>45943.7</v>
      </c>
      <c r="M30" s="29">
        <f t="shared" si="4"/>
        <v>18.785</v>
      </c>
      <c r="N30" s="36">
        <f t="shared" ca="1" si="8"/>
        <v>45976.225806451614</v>
      </c>
      <c r="O30" s="28"/>
      <c r="T30" s="25"/>
      <c r="U30" s="25"/>
      <c r="V30" s="25"/>
      <c r="W30" s="25"/>
      <c r="X30" s="25"/>
      <c r="Y30" s="25"/>
      <c r="Z30" s="25"/>
      <c r="AA30" s="25"/>
      <c r="AB30" s="25"/>
    </row>
    <row r="31" spans="2:28" x14ac:dyDescent="0.25">
      <c r="B31" s="35" t="s">
        <v>60</v>
      </c>
      <c r="C31" s="25" t="s">
        <v>119</v>
      </c>
      <c r="D31" s="27">
        <v>45728</v>
      </c>
      <c r="E31" s="25">
        <v>5</v>
      </c>
      <c r="F31" s="36">
        <v>45923</v>
      </c>
      <c r="G31" s="25">
        <f t="shared" si="0"/>
        <v>195</v>
      </c>
      <c r="H31" s="34">
        <f t="shared" si="1"/>
        <v>39</v>
      </c>
      <c r="I31" s="38">
        <v>75.14</v>
      </c>
      <c r="J31" s="29">
        <f t="shared" si="2"/>
        <v>56.355000000000004</v>
      </c>
      <c r="K31" s="36">
        <f>F31+$L$1</f>
        <v>45933.7</v>
      </c>
      <c r="M31" s="29">
        <f t="shared" si="4"/>
        <v>37.57</v>
      </c>
      <c r="N31" s="36">
        <f t="shared" ca="1" si="8"/>
        <v>45966.225806451614</v>
      </c>
      <c r="T31" s="25"/>
      <c r="U31" s="25"/>
      <c r="V31" s="25"/>
      <c r="W31" s="25"/>
      <c r="X31" s="25"/>
      <c r="Y31" s="25"/>
      <c r="Z31" s="25"/>
      <c r="AA31" s="25"/>
      <c r="AB31" s="25"/>
    </row>
    <row r="32" spans="2:28" x14ac:dyDescent="0.25">
      <c r="B32" s="35" t="s">
        <v>59</v>
      </c>
      <c r="C32" s="25" t="s">
        <v>58</v>
      </c>
      <c r="D32" s="27">
        <v>45754</v>
      </c>
      <c r="E32" s="25">
        <v>6</v>
      </c>
      <c r="F32" s="36">
        <v>45923</v>
      </c>
      <c r="G32" s="25">
        <f t="shared" si="0"/>
        <v>169</v>
      </c>
      <c r="H32" s="34">
        <f t="shared" si="1"/>
        <v>28.166666666666668</v>
      </c>
      <c r="I32" s="29">
        <v>142.65</v>
      </c>
      <c r="J32" s="29">
        <f t="shared" si="2"/>
        <v>106.98750000000001</v>
      </c>
      <c r="K32" s="36">
        <f>F32+$L$1</f>
        <v>45933.7</v>
      </c>
      <c r="M32" s="29">
        <f t="shared" si="4"/>
        <v>71.325000000000003</v>
      </c>
      <c r="N32" s="36">
        <f t="shared" ca="1" si="8"/>
        <v>45966.225806451614</v>
      </c>
      <c r="T32" s="25"/>
      <c r="U32" s="25"/>
      <c r="V32" s="25"/>
      <c r="W32" s="25"/>
      <c r="X32" s="25"/>
      <c r="Y32" s="25"/>
      <c r="Z32" s="25"/>
      <c r="AA32" s="25"/>
      <c r="AB32" s="25"/>
    </row>
    <row r="33" spans="1:28" x14ac:dyDescent="0.25">
      <c r="B33" s="35" t="s">
        <v>122</v>
      </c>
      <c r="C33" s="25" t="s">
        <v>54</v>
      </c>
      <c r="D33" s="27">
        <v>45756</v>
      </c>
      <c r="E33" s="25">
        <v>6</v>
      </c>
      <c r="F33" s="36">
        <v>45874</v>
      </c>
      <c r="G33" s="25">
        <f t="shared" si="0"/>
        <v>118</v>
      </c>
      <c r="H33" s="34">
        <f t="shared" si="1"/>
        <v>19.666666666666668</v>
      </c>
      <c r="I33" s="29">
        <v>63.21</v>
      </c>
      <c r="J33" s="29">
        <f t="shared" si="2"/>
        <v>47.407499999999999</v>
      </c>
      <c r="K33" s="27">
        <v>45888</v>
      </c>
      <c r="L33" s="34">
        <f>K33-F33</f>
        <v>14</v>
      </c>
      <c r="M33" s="29">
        <f t="shared" si="4"/>
        <v>31.605</v>
      </c>
      <c r="N33" s="36">
        <f t="shared" ca="1" si="8"/>
        <v>45917.225806451614</v>
      </c>
      <c r="O33" s="44">
        <f ca="1">TODAY()-F33</f>
        <v>66</v>
      </c>
      <c r="T33" s="25"/>
      <c r="U33" s="25"/>
      <c r="V33" s="25"/>
      <c r="W33" s="25"/>
      <c r="X33" s="25"/>
      <c r="Y33" s="25"/>
      <c r="Z33" s="25"/>
      <c r="AA33" s="25"/>
      <c r="AB33" s="25"/>
    </row>
    <row r="34" spans="1:28" x14ac:dyDescent="0.25">
      <c r="B34" s="35" t="s">
        <v>111</v>
      </c>
      <c r="C34" s="25" t="s">
        <v>58</v>
      </c>
      <c r="D34" s="27">
        <v>45756</v>
      </c>
      <c r="E34" s="25">
        <v>5</v>
      </c>
      <c r="F34" s="27">
        <v>45873</v>
      </c>
      <c r="G34" s="25">
        <f t="shared" si="0"/>
        <v>117</v>
      </c>
      <c r="H34" s="34">
        <f t="shared" si="1"/>
        <v>23.4</v>
      </c>
      <c r="I34" s="29">
        <v>20.39</v>
      </c>
      <c r="J34" s="29">
        <f t="shared" si="2"/>
        <v>15.2925</v>
      </c>
      <c r="K34" s="27">
        <v>45888</v>
      </c>
      <c r="L34" s="34">
        <f>K34-F34</f>
        <v>15</v>
      </c>
      <c r="M34" s="29">
        <f t="shared" si="4"/>
        <v>10.195</v>
      </c>
      <c r="N34" s="36">
        <f t="shared" ca="1" si="8"/>
        <v>45916.225806451614</v>
      </c>
      <c r="O34" s="44">
        <f ca="1">TODAY()-F34</f>
        <v>67</v>
      </c>
    </row>
    <row r="35" spans="1:28" x14ac:dyDescent="0.25">
      <c r="B35" s="35" t="s">
        <v>109</v>
      </c>
      <c r="C35" s="25" t="s">
        <v>54</v>
      </c>
      <c r="D35" s="27">
        <v>45756</v>
      </c>
      <c r="E35" s="25">
        <v>5</v>
      </c>
      <c r="F35" s="36">
        <v>45933</v>
      </c>
      <c r="G35" s="25">
        <f t="shared" si="0"/>
        <v>177</v>
      </c>
      <c r="H35" s="34">
        <f t="shared" si="1"/>
        <v>35.4</v>
      </c>
      <c r="I35" s="29">
        <v>92.32</v>
      </c>
      <c r="J35" s="29">
        <f t="shared" si="2"/>
        <v>69.239999999999995</v>
      </c>
      <c r="K35" s="36">
        <f>F35+$L$1</f>
        <v>45943.7</v>
      </c>
      <c r="M35" s="29">
        <f t="shared" si="4"/>
        <v>46.16</v>
      </c>
      <c r="N35" s="36">
        <f t="shared" ca="1" si="8"/>
        <v>45976.225806451614</v>
      </c>
      <c r="T35" s="25"/>
      <c r="U35" s="25"/>
      <c r="V35" s="25"/>
      <c r="W35" s="25"/>
      <c r="X35" s="25"/>
      <c r="Y35" s="25"/>
      <c r="Z35" s="25"/>
      <c r="AA35" s="25"/>
      <c r="AB35" s="25"/>
    </row>
    <row r="36" spans="1:28" x14ac:dyDescent="0.25">
      <c r="B36" s="24" t="s">
        <v>120</v>
      </c>
      <c r="C36" s="25" t="s">
        <v>103</v>
      </c>
      <c r="D36" s="27">
        <v>45779</v>
      </c>
      <c r="E36" s="25">
        <v>3</v>
      </c>
      <c r="F36" s="27">
        <v>45828</v>
      </c>
      <c r="G36" s="25">
        <f t="shared" si="0"/>
        <v>49</v>
      </c>
      <c r="H36" s="34">
        <f t="shared" si="1"/>
        <v>16.333333333333332</v>
      </c>
      <c r="I36" s="29">
        <v>183.58</v>
      </c>
      <c r="J36" s="29">
        <f t="shared" si="2"/>
        <v>137.685</v>
      </c>
      <c r="K36" s="27">
        <v>45849</v>
      </c>
      <c r="L36" s="34">
        <f>K36-F36</f>
        <v>21</v>
      </c>
      <c r="M36" s="29">
        <f t="shared" si="4"/>
        <v>91.79</v>
      </c>
      <c r="N36" s="27">
        <v>45889</v>
      </c>
      <c r="O36" s="25">
        <f>+N36-F36</f>
        <v>61</v>
      </c>
      <c r="T36" s="25"/>
      <c r="U36" s="25"/>
      <c r="V36" s="25"/>
      <c r="W36" s="25"/>
      <c r="X36" s="25"/>
      <c r="Y36" s="25"/>
      <c r="Z36" s="25"/>
      <c r="AA36" s="25"/>
      <c r="AB36" s="25"/>
    </row>
    <row r="37" spans="1:28" x14ac:dyDescent="0.25">
      <c r="B37" s="24" t="s">
        <v>121</v>
      </c>
      <c r="C37" s="25" t="s">
        <v>103</v>
      </c>
      <c r="D37" s="27">
        <v>45814</v>
      </c>
      <c r="E37" s="25">
        <v>2</v>
      </c>
      <c r="F37" s="27">
        <v>45831</v>
      </c>
      <c r="G37" s="25">
        <f t="shared" si="0"/>
        <v>17</v>
      </c>
      <c r="H37" s="34">
        <f t="shared" si="1"/>
        <v>8.5</v>
      </c>
      <c r="I37" s="29">
        <v>263.45</v>
      </c>
      <c r="J37" s="29">
        <f t="shared" si="2"/>
        <v>197.58749999999998</v>
      </c>
      <c r="K37" s="27">
        <v>45835</v>
      </c>
      <c r="L37" s="34">
        <f>K37-F37</f>
        <v>4</v>
      </c>
      <c r="M37" s="29">
        <f t="shared" si="4"/>
        <v>131.72499999999999</v>
      </c>
      <c r="N37" s="27">
        <v>45888</v>
      </c>
      <c r="O37" s="25">
        <f>+N37-F37</f>
        <v>57</v>
      </c>
      <c r="T37" s="25"/>
      <c r="U37" s="25"/>
      <c r="V37" s="25"/>
      <c r="W37" s="25"/>
      <c r="X37" s="25"/>
      <c r="Y37" s="25"/>
      <c r="Z37" s="25"/>
      <c r="AA37" s="25"/>
      <c r="AB37" s="25"/>
    </row>
    <row r="38" spans="1:28" x14ac:dyDescent="0.25">
      <c r="B38" s="24" t="s">
        <v>49</v>
      </c>
    </row>
    <row r="39" spans="1:28" x14ac:dyDescent="0.25">
      <c r="B39" s="24" t="s">
        <v>48</v>
      </c>
    </row>
    <row r="40" spans="1:28" x14ac:dyDescent="0.25">
      <c r="B40" s="24" t="s">
        <v>47</v>
      </c>
      <c r="N40" s="25" t="s">
        <v>53</v>
      </c>
    </row>
    <row r="41" spans="1:28" s="35" customFormat="1" x14ac:dyDescent="0.25">
      <c r="A41" s="24"/>
      <c r="B41" s="24" t="s">
        <v>46</v>
      </c>
      <c r="C41" s="25"/>
      <c r="D41" s="25"/>
      <c r="E41" s="25"/>
      <c r="F41" s="25"/>
      <c r="G41" s="25"/>
      <c r="H41" s="34"/>
      <c r="I41" s="29"/>
      <c r="J41" s="29"/>
      <c r="K41" s="27"/>
      <c r="L41" s="34"/>
      <c r="M41" s="29"/>
      <c r="N41" s="25" t="s">
        <v>52</v>
      </c>
      <c r="O41" s="37"/>
      <c r="P41" s="37"/>
      <c r="Q41" s="37"/>
      <c r="R41" s="37"/>
      <c r="S41" s="37"/>
    </row>
    <row r="42" spans="1:28" x14ac:dyDescent="0.25">
      <c r="B42" s="24" t="s">
        <v>45</v>
      </c>
      <c r="N42" s="25" t="s">
        <v>51</v>
      </c>
      <c r="S42" s="30"/>
    </row>
    <row r="43" spans="1:28" x14ac:dyDescent="0.25">
      <c r="B43" s="24" t="s">
        <v>112</v>
      </c>
    </row>
    <row r="44" spans="1:28" x14ac:dyDescent="0.25">
      <c r="B44" s="24" t="s">
        <v>114</v>
      </c>
    </row>
    <row r="45" spans="1:28" x14ac:dyDescent="0.25">
      <c r="B45" s="24" t="s">
        <v>116</v>
      </c>
    </row>
    <row r="46" spans="1:28" x14ac:dyDescent="0.25">
      <c r="B46" s="24" t="s">
        <v>118</v>
      </c>
    </row>
    <row r="51" spans="9:9" x14ac:dyDescent="0.25">
      <c r="I51" s="56" t="s">
        <v>20</v>
      </c>
    </row>
    <row r="52" spans="9:9" x14ac:dyDescent="0.25">
      <c r="I52" s="56" t="s">
        <v>129</v>
      </c>
    </row>
    <row r="53" spans="9:9" x14ac:dyDescent="0.25">
      <c r="I53" s="56" t="s">
        <v>130</v>
      </c>
    </row>
    <row r="54" spans="9:9" x14ac:dyDescent="0.25">
      <c r="I54" s="56"/>
    </row>
    <row r="55" spans="9:9" x14ac:dyDescent="0.25">
      <c r="I55" s="56"/>
    </row>
    <row r="56" spans="9:9" x14ac:dyDescent="0.25">
      <c r="I56" s="56"/>
    </row>
    <row r="57" spans="9:9" x14ac:dyDescent="0.25">
      <c r="I57" s="56"/>
    </row>
  </sheetData>
  <sortState xmlns:xlrd2="http://schemas.microsoft.com/office/spreadsheetml/2017/richdata2" ref="A3:AB42">
    <sortCondition ref="D3:D42"/>
  </sortState>
  <hyperlinks>
    <hyperlink ref="A1" location="Main!A1" display="Main" xr:uid="{A9B13DF2-D48C-48B0-AA59-066687FD8A4D}"/>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5373-36E1-4041-B321-49E0FB572644}">
  <dimension ref="A1:AC7"/>
  <sheetViews>
    <sheetView workbookViewId="0">
      <pane xSplit="2" ySplit="2" topLeftCell="C3" activePane="bottomRight" state="frozen"/>
      <selection pane="topRight" activeCell="C1" sqref="C1"/>
      <selection pane="bottomLeft" activeCell="A3" sqref="A3"/>
      <selection pane="bottomRight" activeCell="H15" sqref="H15"/>
    </sheetView>
  </sheetViews>
  <sheetFormatPr defaultRowHeight="13.2" x14ac:dyDescent="0.25"/>
  <cols>
    <col min="1" max="1" width="4.88671875" style="54" bestFit="1" customWidth="1"/>
    <col min="2" max="2" width="11.6640625" style="54" bestFit="1" customWidth="1"/>
    <col min="3" max="3" width="7.109375" style="54" bestFit="1" customWidth="1"/>
    <col min="4" max="4" width="12.5546875" style="54" bestFit="1" customWidth="1"/>
    <col min="5" max="5" width="11.44140625" style="54" bestFit="1" customWidth="1"/>
    <col min="6" max="6" width="10.77734375" style="54" bestFit="1" customWidth="1"/>
    <col min="7" max="7" width="11.5546875" style="54" bestFit="1" customWidth="1"/>
    <col min="8" max="8" width="12.77734375" style="54" bestFit="1" customWidth="1"/>
    <col min="9" max="9" width="10.21875" style="54" bestFit="1" customWidth="1"/>
    <col min="10" max="10" width="7.88671875" style="54" bestFit="1" customWidth="1"/>
    <col min="11" max="11" width="15.21875" style="54" bestFit="1" customWidth="1"/>
    <col min="12" max="12" width="11.77734375" style="54" bestFit="1" customWidth="1"/>
    <col min="13" max="13" width="7.88671875" style="54" bestFit="1" customWidth="1"/>
    <col min="14" max="14" width="15.21875" style="54" bestFit="1" customWidth="1"/>
    <col min="15" max="15" width="11.77734375" style="54" bestFit="1" customWidth="1"/>
    <col min="16" max="16" width="11.88671875" style="54" bestFit="1" customWidth="1"/>
    <col min="17" max="17" width="8" style="54" bestFit="1" customWidth="1"/>
    <col min="18" max="18" width="12" style="54" bestFit="1" customWidth="1"/>
    <col min="19" max="19" width="9.44140625" style="54" bestFit="1" customWidth="1"/>
    <col min="20" max="20" width="10.77734375" style="54" bestFit="1" customWidth="1"/>
    <col min="21" max="21" width="15.21875" style="54" bestFit="1" customWidth="1"/>
    <col min="22" max="22" width="11.77734375" style="54" bestFit="1" customWidth="1"/>
    <col min="23" max="23" width="11.109375" style="54" bestFit="1" customWidth="1"/>
    <col min="24" max="24" width="8" style="54" bestFit="1" customWidth="1"/>
    <col min="25" max="25" width="12" style="54" bestFit="1" customWidth="1"/>
    <col min="26" max="26" width="10.77734375" style="54" bestFit="1" customWidth="1"/>
    <col min="27" max="27" width="15.21875" style="54" bestFit="1" customWidth="1"/>
    <col min="28" max="28" width="11.77734375" style="54" bestFit="1" customWidth="1"/>
    <col min="29" max="16384" width="8.88671875" style="54"/>
  </cols>
  <sheetData>
    <row r="1" spans="1:29" s="24" customFormat="1" x14ac:dyDescent="0.25">
      <c r="A1" s="23" t="s">
        <v>101</v>
      </c>
      <c r="C1" s="25"/>
      <c r="D1" s="25"/>
      <c r="E1" s="41">
        <f>AVERAGE(E3:E106)</f>
        <v>8</v>
      </c>
      <c r="F1" s="40"/>
      <c r="G1" s="39">
        <f ca="1">AVERAGE(G3:G106)</f>
        <v>233</v>
      </c>
      <c r="H1" s="39">
        <f ca="1">AVERAGE(H3:H106)</f>
        <v>29.125</v>
      </c>
      <c r="I1" s="40"/>
      <c r="J1" s="40"/>
      <c r="K1" s="40"/>
      <c r="L1" s="39">
        <f>AVERAGE(L3:L106)</f>
        <v>21</v>
      </c>
      <c r="M1" s="40"/>
      <c r="N1" s="40"/>
      <c r="O1" s="39">
        <f>AVERAGE(O3:O106)</f>
        <v>271</v>
      </c>
      <c r="P1" s="26"/>
      <c r="Q1" s="26"/>
      <c r="R1" s="26"/>
      <c r="S1" s="25"/>
      <c r="V1" s="26" t="e">
        <f>AVERAGE(V6:V43)</f>
        <v>#DIV/0!</v>
      </c>
      <c r="W1" s="26"/>
      <c r="X1" s="26"/>
      <c r="Y1" s="26"/>
      <c r="AB1" s="26" t="e">
        <f>AVERAGE(AB6:AB43)</f>
        <v>#DIV/0!</v>
      </c>
      <c r="AC1" s="26"/>
    </row>
    <row r="2" spans="1:29" s="24" customFormat="1" x14ac:dyDescent="0.25">
      <c r="B2" s="24" t="s">
        <v>100</v>
      </c>
      <c r="C2" s="25" t="s">
        <v>99</v>
      </c>
      <c r="D2" s="25" t="s">
        <v>98</v>
      </c>
      <c r="E2" s="25" t="s">
        <v>97</v>
      </c>
      <c r="F2" s="25" t="s">
        <v>96</v>
      </c>
      <c r="G2" s="25" t="s">
        <v>95</v>
      </c>
      <c r="H2" s="25" t="s">
        <v>94</v>
      </c>
      <c r="I2" s="25" t="s">
        <v>93</v>
      </c>
      <c r="J2" s="25" t="s">
        <v>92</v>
      </c>
      <c r="K2" s="25" t="s">
        <v>91</v>
      </c>
      <c r="L2" s="25" t="s">
        <v>90</v>
      </c>
      <c r="M2" s="25" t="s">
        <v>89</v>
      </c>
      <c r="N2" s="25" t="s">
        <v>88</v>
      </c>
      <c r="O2" s="25" t="s">
        <v>87</v>
      </c>
      <c r="P2" s="25" t="s">
        <v>86</v>
      </c>
      <c r="Q2" s="25" t="s">
        <v>80</v>
      </c>
      <c r="R2" s="25" t="s">
        <v>79</v>
      </c>
      <c r="S2" s="25" t="s">
        <v>85</v>
      </c>
      <c r="T2" s="25" t="s">
        <v>84</v>
      </c>
      <c r="U2" s="25" t="s">
        <v>83</v>
      </c>
      <c r="V2" s="25" t="s">
        <v>82</v>
      </c>
      <c r="W2" s="25" t="s">
        <v>81</v>
      </c>
      <c r="X2" s="25" t="s">
        <v>80</v>
      </c>
      <c r="Y2" s="25" t="s">
        <v>79</v>
      </c>
      <c r="Z2" s="25" t="s">
        <v>78</v>
      </c>
      <c r="AA2" s="25" t="s">
        <v>77</v>
      </c>
      <c r="AB2" s="25" t="s">
        <v>76</v>
      </c>
    </row>
    <row r="3" spans="1:29" s="24" customFormat="1" x14ac:dyDescent="0.25">
      <c r="B3" s="50" t="s">
        <v>123</v>
      </c>
      <c r="C3" s="45" t="s">
        <v>54</v>
      </c>
      <c r="D3" s="52">
        <v>45756</v>
      </c>
      <c r="E3" s="45">
        <v>8</v>
      </c>
      <c r="F3" s="46">
        <f>D3+'Equity Bubbles'!G1</f>
        <v>45872.257142857146</v>
      </c>
      <c r="G3" s="47">
        <f ca="1">TODAY()-D3</f>
        <v>184</v>
      </c>
      <c r="H3" s="48">
        <f ca="1">G3/E3</f>
        <v>23</v>
      </c>
      <c r="I3" s="49"/>
      <c r="J3" s="49"/>
      <c r="K3" s="46"/>
      <c r="L3" s="48"/>
      <c r="M3" s="49"/>
      <c r="N3" s="46"/>
      <c r="O3" s="45"/>
      <c r="P3" s="25"/>
      <c r="Q3" s="25"/>
      <c r="R3" s="25"/>
      <c r="S3" s="25"/>
      <c r="T3" s="25"/>
      <c r="U3" s="25"/>
      <c r="V3" s="25"/>
      <c r="W3" s="25"/>
      <c r="X3" s="25"/>
      <c r="Y3" s="25"/>
      <c r="Z3" s="25"/>
      <c r="AA3" s="25"/>
      <c r="AB3" s="25"/>
    </row>
    <row r="4" spans="1:29" s="24" customFormat="1" x14ac:dyDescent="0.25">
      <c r="B4" s="51" t="s">
        <v>124</v>
      </c>
      <c r="C4" s="25" t="s">
        <v>54</v>
      </c>
      <c r="D4" s="53">
        <v>36327</v>
      </c>
      <c r="E4" s="25">
        <v>8</v>
      </c>
      <c r="F4" s="27">
        <v>36609</v>
      </c>
      <c r="G4" s="25">
        <f>F4-D4</f>
        <v>282</v>
      </c>
      <c r="H4" s="34">
        <f>G4/E4</f>
        <v>35.25</v>
      </c>
      <c r="I4" s="29">
        <v>117.88</v>
      </c>
      <c r="J4" s="29">
        <f>I4*0.75</f>
        <v>88.41</v>
      </c>
      <c r="K4" s="27">
        <v>36630</v>
      </c>
      <c r="L4" s="34">
        <f>K4-F4</f>
        <v>21</v>
      </c>
      <c r="M4" s="29">
        <f>I4*0.5</f>
        <v>58.94</v>
      </c>
      <c r="N4" s="27">
        <v>36880</v>
      </c>
      <c r="O4" s="25">
        <f>+N4-F4</f>
        <v>271</v>
      </c>
      <c r="P4" s="25"/>
      <c r="Q4" s="25"/>
      <c r="R4" s="25"/>
      <c r="S4" s="25"/>
      <c r="T4" s="25"/>
      <c r="U4" s="25"/>
      <c r="V4" s="25"/>
      <c r="W4" s="25"/>
      <c r="X4" s="25"/>
      <c r="Y4" s="25"/>
      <c r="Z4" s="25"/>
      <c r="AA4" s="25"/>
      <c r="AB4" s="25"/>
    </row>
    <row r="5" spans="1:29" s="24" customFormat="1" x14ac:dyDescent="0.25">
      <c r="B5" s="51" t="s">
        <v>125</v>
      </c>
      <c r="C5" s="25" t="s">
        <v>50</v>
      </c>
      <c r="D5" s="27"/>
      <c r="E5" s="25"/>
      <c r="F5" s="27"/>
      <c r="G5" s="25"/>
      <c r="H5" s="34"/>
      <c r="I5" s="29"/>
      <c r="J5" s="29"/>
      <c r="K5" s="27"/>
      <c r="L5" s="34"/>
      <c r="M5" s="29"/>
      <c r="N5" s="27"/>
      <c r="O5" s="25"/>
      <c r="P5" s="25"/>
      <c r="Q5" s="25"/>
      <c r="R5" s="25"/>
      <c r="S5" s="25"/>
      <c r="T5" s="25"/>
      <c r="U5" s="25"/>
      <c r="V5" s="25"/>
      <c r="W5" s="25"/>
      <c r="X5" s="25"/>
      <c r="Y5" s="25"/>
      <c r="Z5" s="25"/>
      <c r="AA5" s="25"/>
      <c r="AB5" s="25"/>
    </row>
    <row r="6" spans="1:29" x14ac:dyDescent="0.25">
      <c r="B6" s="54" t="s">
        <v>126</v>
      </c>
    </row>
    <row r="7" spans="1:29" x14ac:dyDescent="0.25">
      <c r="B7" s="54" t="s">
        <v>127</v>
      </c>
    </row>
  </sheetData>
  <hyperlinks>
    <hyperlink ref="A1" location="Main!A1" display="Main" xr:uid="{A0A4EBEB-7FC1-46F7-A54D-9C6C97184B30}"/>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Upgrades</vt:lpstr>
      <vt:lpstr>Equity Bubbles</vt:lpstr>
      <vt:lpstr>Market Bubbles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 Mniszek</dc:creator>
  <cp:lastModifiedBy>Anton Mniszek</cp:lastModifiedBy>
  <dcterms:created xsi:type="dcterms:W3CDTF">2025-04-23T12:06:38Z</dcterms:created>
  <dcterms:modified xsi:type="dcterms:W3CDTF">2025-10-10T14:00:38Z</dcterms:modified>
</cp:coreProperties>
</file>