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2B9104A0-D0CC-42DE-8F61-5A0CA24CF7C1}" xr6:coauthVersionLast="47" xr6:coauthVersionMax="47" xr10:uidLastSave="{00000000-0000-0000-0000-000000000000}"/>
  <bookViews>
    <workbookView xWindow="-108" yWindow="-108" windowWidth="23256" windowHeight="12576" xr2:uid="{5EE3D269-52EC-4F93-A9AE-4AAFACF544BD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J16" i="2" l="1"/>
  <c r="AI16" i="2"/>
  <c r="AH16" i="2"/>
  <c r="AG16" i="2"/>
  <c r="AF16" i="2"/>
  <c r="AE16" i="2"/>
  <c r="AD16" i="2"/>
  <c r="AC16" i="2"/>
  <c r="AB16" i="2"/>
  <c r="AA16" i="2"/>
  <c r="R16" i="2"/>
  <c r="Q16" i="2"/>
  <c r="R7" i="2"/>
  <c r="Q7" i="2"/>
  <c r="Q24" i="2" s="1"/>
  <c r="AJ5" i="2"/>
  <c r="AI5" i="2"/>
  <c r="AH5" i="2"/>
  <c r="AG5" i="2"/>
  <c r="AF5" i="2"/>
  <c r="AE5" i="2"/>
  <c r="AD5" i="2"/>
  <c r="AC5" i="2"/>
  <c r="AB5" i="2"/>
  <c r="AA5" i="2"/>
  <c r="Q5" i="2"/>
  <c r="Q4" i="2" s="1"/>
  <c r="AC3" i="2"/>
  <c r="AB3" i="2"/>
  <c r="AA3" i="2"/>
  <c r="R3" i="2"/>
  <c r="R8" i="2" s="1"/>
  <c r="R25" i="2" s="1"/>
  <c r="Q3" i="2"/>
  <c r="Q6" i="2" s="1"/>
  <c r="Q23" i="2" s="1"/>
  <c r="AJ18" i="2"/>
  <c r="AI18" i="2"/>
  <c r="AH18" i="2"/>
  <c r="AG18" i="2"/>
  <c r="AF18" i="2"/>
  <c r="AE18" i="2"/>
  <c r="AD18" i="2"/>
  <c r="AC18" i="2"/>
  <c r="AB18" i="2"/>
  <c r="AA18" i="2"/>
  <c r="Z18" i="2"/>
  <c r="R18" i="2"/>
  <c r="Q18" i="2"/>
  <c r="P18" i="2"/>
  <c r="P5" i="2"/>
  <c r="D7" i="1"/>
  <c r="D6" i="1"/>
  <c r="D4" i="1"/>
  <c r="O5" i="2"/>
  <c r="O18" i="2"/>
  <c r="Z13" i="2"/>
  <c r="Z12" i="2"/>
  <c r="AA12" i="2" s="1"/>
  <c r="AB12" i="2" s="1"/>
  <c r="AC12" i="2" s="1"/>
  <c r="AD12" i="2" s="1"/>
  <c r="AE12" i="2" s="1"/>
  <c r="AF12" i="2" s="1"/>
  <c r="AG12" i="2" s="1"/>
  <c r="AH12" i="2" s="1"/>
  <c r="AI12" i="2" s="1"/>
  <c r="AJ12" i="2" s="1"/>
  <c r="Z11" i="2"/>
  <c r="Z10" i="2"/>
  <c r="AA10" i="2" s="1"/>
  <c r="Z3" i="2"/>
  <c r="Y14" i="2"/>
  <c r="Y13" i="2"/>
  <c r="Y12" i="2"/>
  <c r="Y11" i="2"/>
  <c r="Y10" i="2"/>
  <c r="R14" i="2"/>
  <c r="Q14" i="2"/>
  <c r="P14" i="2"/>
  <c r="O14" i="2"/>
  <c r="R13" i="2"/>
  <c r="Q13" i="2"/>
  <c r="R12" i="2"/>
  <c r="Q12" i="2"/>
  <c r="R11" i="2"/>
  <c r="Q11" i="2"/>
  <c r="R10" i="2"/>
  <c r="Q10" i="2"/>
  <c r="O25" i="2"/>
  <c r="P9" i="2"/>
  <c r="P26" i="2" s="1"/>
  <c r="Q8" i="2"/>
  <c r="Q25" i="2" s="1"/>
  <c r="R24" i="2"/>
  <c r="O24" i="2"/>
  <c r="R6" i="2"/>
  <c r="R23" i="2" s="1"/>
  <c r="P23" i="2"/>
  <c r="O23" i="2"/>
  <c r="R5" i="2"/>
  <c r="R4" i="2" s="1"/>
  <c r="P25" i="2"/>
  <c r="P24" i="2"/>
  <c r="P22" i="2"/>
  <c r="R21" i="2"/>
  <c r="Q21" i="2"/>
  <c r="P21" i="2"/>
  <c r="O21" i="2"/>
  <c r="N15" i="2"/>
  <c r="N14" i="2"/>
  <c r="N5" i="2"/>
  <c r="Y18" i="2"/>
  <c r="N18" i="2"/>
  <c r="M18" i="2"/>
  <c r="M14" i="2"/>
  <c r="M5" i="2"/>
  <c r="Z7" i="2" l="1"/>
  <c r="Z4" i="2"/>
  <c r="Z5" i="2" s="1"/>
  <c r="R9" i="2"/>
  <c r="R26" i="2" s="1"/>
  <c r="Q9" i="2"/>
  <c r="Q15" i="2" s="1"/>
  <c r="Q27" i="2" s="1"/>
  <c r="Z8" i="2"/>
  <c r="AB10" i="2"/>
  <c r="AA14" i="2"/>
  <c r="Z14" i="2"/>
  <c r="Z6" i="2"/>
  <c r="AD3" i="2"/>
  <c r="AE3" i="2" s="1"/>
  <c r="AF3" i="2" s="1"/>
  <c r="AG3" i="2" s="1"/>
  <c r="AH3" i="2" s="1"/>
  <c r="AI3" i="2" s="1"/>
  <c r="AJ3" i="2" s="1"/>
  <c r="O9" i="2"/>
  <c r="O26" i="2" s="1"/>
  <c r="P15" i="2"/>
  <c r="P28" i="2" s="1"/>
  <c r="R15" i="2"/>
  <c r="R22" i="2"/>
  <c r="Q22" i="2"/>
  <c r="O22" i="2"/>
  <c r="L14" i="2"/>
  <c r="L5" i="2"/>
  <c r="Q28" i="2" l="1"/>
  <c r="Q26" i="2"/>
  <c r="AC10" i="2"/>
  <c r="AB14" i="2"/>
  <c r="O15" i="2"/>
  <c r="P17" i="2"/>
  <c r="P19" i="2" s="1"/>
  <c r="P27" i="2"/>
  <c r="R27" i="2"/>
  <c r="R28" i="2"/>
  <c r="AM29" i="2"/>
  <c r="M25" i="2"/>
  <c r="N24" i="2"/>
  <c r="L18" i="2"/>
  <c r="V24" i="2"/>
  <c r="U24" i="2"/>
  <c r="V21" i="2"/>
  <c r="U23" i="2"/>
  <c r="U21" i="2"/>
  <c r="V25" i="2"/>
  <c r="U25" i="2"/>
  <c r="T25" i="2"/>
  <c r="V23" i="2"/>
  <c r="T23" i="2"/>
  <c r="X16" i="2"/>
  <c r="X13" i="2"/>
  <c r="X12" i="2"/>
  <c r="X11" i="2"/>
  <c r="X10" i="2"/>
  <c r="X8" i="2"/>
  <c r="X7" i="2"/>
  <c r="X6" i="2"/>
  <c r="X4" i="2"/>
  <c r="X3" i="2"/>
  <c r="X18" i="2"/>
  <c r="W16" i="2"/>
  <c r="W13" i="2"/>
  <c r="W12" i="2"/>
  <c r="W11" i="2"/>
  <c r="W10" i="2"/>
  <c r="W8" i="2"/>
  <c r="W7" i="2"/>
  <c r="W24" i="2" s="1"/>
  <c r="W6" i="2"/>
  <c r="W4" i="2"/>
  <c r="W3" i="2"/>
  <c r="W21" i="2" s="1"/>
  <c r="W18" i="2"/>
  <c r="V18" i="2"/>
  <c r="V14" i="2"/>
  <c r="V5" i="2"/>
  <c r="V9" i="2" s="1"/>
  <c r="V15" i="2" s="1"/>
  <c r="V17" i="2" s="1"/>
  <c r="V19" i="2" s="1"/>
  <c r="U18" i="2"/>
  <c r="U14" i="2"/>
  <c r="U5" i="2"/>
  <c r="U9" i="2" s="1"/>
  <c r="U26" i="2" s="1"/>
  <c r="T18" i="2"/>
  <c r="T14" i="2"/>
  <c r="T5" i="2"/>
  <c r="T9" i="2" s="1"/>
  <c r="T26" i="2" s="1"/>
  <c r="K25" i="2"/>
  <c r="J25" i="2"/>
  <c r="I25" i="2"/>
  <c r="H25" i="2"/>
  <c r="M24" i="2"/>
  <c r="L24" i="2"/>
  <c r="K24" i="2"/>
  <c r="J24" i="2"/>
  <c r="I24" i="2"/>
  <c r="H24" i="2"/>
  <c r="K23" i="2"/>
  <c r="J23" i="2"/>
  <c r="I23" i="2"/>
  <c r="H23" i="2"/>
  <c r="M22" i="2"/>
  <c r="M21" i="2"/>
  <c r="L21" i="2"/>
  <c r="K21" i="2"/>
  <c r="J21" i="2"/>
  <c r="I21" i="2"/>
  <c r="H21" i="2"/>
  <c r="F25" i="2"/>
  <c r="E25" i="2"/>
  <c r="D25" i="2"/>
  <c r="C25" i="2"/>
  <c r="F23" i="2"/>
  <c r="E23" i="2"/>
  <c r="D23" i="2"/>
  <c r="C23" i="2"/>
  <c r="G25" i="2"/>
  <c r="G24" i="2"/>
  <c r="G23" i="2"/>
  <c r="G21" i="2"/>
  <c r="C18" i="2"/>
  <c r="C14" i="2"/>
  <c r="C5" i="2"/>
  <c r="C9" i="2" s="1"/>
  <c r="C26" i="2" s="1"/>
  <c r="D18" i="2"/>
  <c r="D14" i="2"/>
  <c r="D5" i="2"/>
  <c r="D9" i="2" s="1"/>
  <c r="D26" i="2" s="1"/>
  <c r="H18" i="2"/>
  <c r="H14" i="2"/>
  <c r="H5" i="2"/>
  <c r="H9" i="2" s="1"/>
  <c r="H26" i="2" s="1"/>
  <c r="E18" i="2"/>
  <c r="E14" i="2"/>
  <c r="E5" i="2"/>
  <c r="E9" i="2" s="1"/>
  <c r="E26" i="2" s="1"/>
  <c r="Q17" i="2" l="1"/>
  <c r="AD10" i="2"/>
  <c r="AC14" i="2"/>
  <c r="O28" i="2"/>
  <c r="O27" i="2"/>
  <c r="P29" i="2"/>
  <c r="R17" i="2"/>
  <c r="Q19" i="2"/>
  <c r="Q29" i="2"/>
  <c r="C15" i="2"/>
  <c r="C28" i="2" s="1"/>
  <c r="W23" i="2"/>
  <c r="X21" i="2"/>
  <c r="V27" i="2"/>
  <c r="W25" i="2"/>
  <c r="X23" i="2"/>
  <c r="C22" i="2"/>
  <c r="X24" i="2"/>
  <c r="X25" i="2"/>
  <c r="E22" i="2"/>
  <c r="N21" i="2"/>
  <c r="Y3" i="2"/>
  <c r="V29" i="2"/>
  <c r="H22" i="2"/>
  <c r="T22" i="2"/>
  <c r="V26" i="2"/>
  <c r="C27" i="2"/>
  <c r="D22" i="2"/>
  <c r="N23" i="2"/>
  <c r="U22" i="2"/>
  <c r="N25" i="2"/>
  <c r="V22" i="2"/>
  <c r="V28" i="2"/>
  <c r="M9" i="2"/>
  <c r="L23" i="2"/>
  <c r="L25" i="2"/>
  <c r="Y7" i="2"/>
  <c r="M23" i="2"/>
  <c r="Y21" i="2"/>
  <c r="N27" i="2"/>
  <c r="X14" i="2"/>
  <c r="X5" i="2"/>
  <c r="W14" i="2"/>
  <c r="W5" i="2"/>
  <c r="U15" i="2"/>
  <c r="T15" i="2"/>
  <c r="D15" i="2"/>
  <c r="H15" i="2"/>
  <c r="E15" i="2"/>
  <c r="I18" i="2"/>
  <c r="I14" i="2"/>
  <c r="I5" i="2"/>
  <c r="F18" i="2"/>
  <c r="F14" i="2"/>
  <c r="F5" i="2"/>
  <c r="J18" i="2"/>
  <c r="J14" i="2"/>
  <c r="J5" i="2"/>
  <c r="G18" i="2"/>
  <c r="G14" i="2"/>
  <c r="G5" i="2"/>
  <c r="G22" i="2" s="1"/>
  <c r="K18" i="2"/>
  <c r="K14" i="2"/>
  <c r="K5" i="2"/>
  <c r="K22" i="2" s="1"/>
  <c r="F3" i="1"/>
  <c r="D8" i="1"/>
  <c r="AM26" i="2" s="1"/>
  <c r="D5" i="1"/>
  <c r="AE10" i="2" l="1"/>
  <c r="AD14" i="2"/>
  <c r="O17" i="2"/>
  <c r="Z16" i="2"/>
  <c r="R19" i="2"/>
  <c r="R29" i="2"/>
  <c r="C17" i="2"/>
  <c r="C19" i="2" s="1"/>
  <c r="G9" i="2"/>
  <c r="G26" i="2" s="1"/>
  <c r="T17" i="2"/>
  <c r="T27" i="2"/>
  <c r="T28" i="2"/>
  <c r="I9" i="2"/>
  <c r="I26" i="2" s="1"/>
  <c r="I22" i="2"/>
  <c r="W9" i="2"/>
  <c r="W26" i="2" s="1"/>
  <c r="W22" i="2"/>
  <c r="K9" i="2"/>
  <c r="J9" i="2"/>
  <c r="J26" i="2" s="1"/>
  <c r="J22" i="2"/>
  <c r="U17" i="2"/>
  <c r="U27" i="2"/>
  <c r="U28" i="2"/>
  <c r="E17" i="2"/>
  <c r="E28" i="2"/>
  <c r="E27" i="2"/>
  <c r="X9" i="2"/>
  <c r="X26" i="2" s="1"/>
  <c r="X22" i="2"/>
  <c r="H17" i="2"/>
  <c r="H28" i="2"/>
  <c r="H27" i="2"/>
  <c r="F9" i="2"/>
  <c r="F26" i="2" s="1"/>
  <c r="F22" i="2"/>
  <c r="D17" i="2"/>
  <c r="D28" i="2"/>
  <c r="D27" i="2"/>
  <c r="Y8" i="2"/>
  <c r="Y25" i="2" s="1"/>
  <c r="N22" i="2"/>
  <c r="N9" i="2"/>
  <c r="D9" i="1"/>
  <c r="Y6" i="2"/>
  <c r="Y23" i="2" s="1"/>
  <c r="M26" i="2"/>
  <c r="Y4" i="2"/>
  <c r="Y5" i="2" s="1"/>
  <c r="L9" i="2"/>
  <c r="L15" i="2" s="1"/>
  <c r="L28" i="2" s="1"/>
  <c r="L22" i="2"/>
  <c r="L17" i="2"/>
  <c r="L19" i="2" s="1"/>
  <c r="Y24" i="2"/>
  <c r="N17" i="2"/>
  <c r="N28" i="2"/>
  <c r="G15" i="2"/>
  <c r="AF10" i="2" l="1"/>
  <c r="AE14" i="2"/>
  <c r="O19" i="2"/>
  <c r="O29" i="2"/>
  <c r="C29" i="2"/>
  <c r="X15" i="2"/>
  <c r="T19" i="2"/>
  <c r="T29" i="2"/>
  <c r="E19" i="2"/>
  <c r="E29" i="2"/>
  <c r="X17" i="2"/>
  <c r="X27" i="2"/>
  <c r="X28" i="2"/>
  <c r="G17" i="2"/>
  <c r="G27" i="2"/>
  <c r="G28" i="2"/>
  <c r="J15" i="2"/>
  <c r="L27" i="2"/>
  <c r="H19" i="2"/>
  <c r="H29" i="2"/>
  <c r="U19" i="2"/>
  <c r="U29" i="2"/>
  <c r="F15" i="2"/>
  <c r="I15" i="2"/>
  <c r="N26" i="2"/>
  <c r="K26" i="2"/>
  <c r="K15" i="2"/>
  <c r="Z23" i="2"/>
  <c r="Z21" i="2"/>
  <c r="Z25" i="2"/>
  <c r="W15" i="2"/>
  <c r="D19" i="2"/>
  <c r="D29" i="2"/>
  <c r="Z24" i="2"/>
  <c r="Y22" i="2"/>
  <c r="Y9" i="2"/>
  <c r="Y26" i="2" s="1"/>
  <c r="L26" i="2"/>
  <c r="L29" i="2"/>
  <c r="N29" i="2"/>
  <c r="N19" i="2"/>
  <c r="AG10" i="2" l="1"/>
  <c r="AF14" i="2"/>
  <c r="X19" i="2"/>
  <c r="X29" i="2"/>
  <c r="W17" i="2"/>
  <c r="W27" i="2"/>
  <c r="W28" i="2"/>
  <c r="K28" i="2"/>
  <c r="K27" i="2"/>
  <c r="K17" i="2"/>
  <c r="J17" i="2"/>
  <c r="J28" i="2"/>
  <c r="J27" i="2"/>
  <c r="I17" i="2"/>
  <c r="I28" i="2"/>
  <c r="I27" i="2"/>
  <c r="Z22" i="2"/>
  <c r="Z9" i="2"/>
  <c r="F17" i="2"/>
  <c r="F28" i="2"/>
  <c r="F27" i="2"/>
  <c r="G19" i="2"/>
  <c r="G29" i="2"/>
  <c r="AA6" i="2"/>
  <c r="AA23" i="2" s="1"/>
  <c r="AA8" i="2"/>
  <c r="AA25" i="2" s="1"/>
  <c r="AA21" i="2"/>
  <c r="AB24" i="2"/>
  <c r="AA24" i="2"/>
  <c r="AH10" i="2" l="1"/>
  <c r="AG14" i="2"/>
  <c r="K29" i="2"/>
  <c r="K19" i="2"/>
  <c r="Z26" i="2"/>
  <c r="AA9" i="2"/>
  <c r="AB6" i="2"/>
  <c r="AB23" i="2" s="1"/>
  <c r="AB8" i="2"/>
  <c r="AB25" i="2" s="1"/>
  <c r="AB21" i="2"/>
  <c r="AB4" i="2"/>
  <c r="W19" i="2"/>
  <c r="W29" i="2"/>
  <c r="AA4" i="2"/>
  <c r="AA22" i="2"/>
  <c r="F19" i="2"/>
  <c r="F29" i="2"/>
  <c r="I19" i="2"/>
  <c r="I29" i="2"/>
  <c r="J19" i="2"/>
  <c r="J29" i="2"/>
  <c r="AC24" i="2"/>
  <c r="AI10" i="2" l="1"/>
  <c r="AH14" i="2"/>
  <c r="AA26" i="2"/>
  <c r="AA15" i="2"/>
  <c r="AB22" i="2"/>
  <c r="AB9" i="2"/>
  <c r="AB15" i="2" s="1"/>
  <c r="AC8" i="2"/>
  <c r="AC25" i="2" s="1"/>
  <c r="AC21" i="2"/>
  <c r="AC6" i="2"/>
  <c r="AC23" i="2" s="1"/>
  <c r="AD24" i="2"/>
  <c r="AJ10" i="2" l="1"/>
  <c r="AJ14" i="2" s="1"/>
  <c r="AI14" i="2"/>
  <c r="AB27" i="2"/>
  <c r="AA27" i="2"/>
  <c r="AD6" i="2"/>
  <c r="AD23" i="2" s="1"/>
  <c r="AD8" i="2"/>
  <c r="AD25" i="2" s="1"/>
  <c r="AD21" i="2"/>
  <c r="AB26" i="2"/>
  <c r="AC4" i="2"/>
  <c r="AC9" i="2"/>
  <c r="AC15" i="2" s="1"/>
  <c r="AC28" i="2" s="1"/>
  <c r="AC22" i="2"/>
  <c r="AB17" i="2"/>
  <c r="AB28" i="2"/>
  <c r="AE24" i="2"/>
  <c r="AC27" i="2" l="1"/>
  <c r="AA17" i="2"/>
  <c r="AA28" i="2"/>
  <c r="AB19" i="2"/>
  <c r="AB29" i="2"/>
  <c r="AC26" i="2"/>
  <c r="AC17" i="2"/>
  <c r="AD4" i="2"/>
  <c r="AD22" i="2"/>
  <c r="AD9" i="2"/>
  <c r="AD15" i="2" s="1"/>
  <c r="AD28" i="2" s="1"/>
  <c r="AE8" i="2"/>
  <c r="AE25" i="2" s="1"/>
  <c r="AE6" i="2"/>
  <c r="AE23" i="2" s="1"/>
  <c r="AE21" i="2"/>
  <c r="AF24" i="2"/>
  <c r="AA29" i="2" l="1"/>
  <c r="AA19" i="2"/>
  <c r="AD27" i="2"/>
  <c r="AD17" i="2"/>
  <c r="AD26" i="2"/>
  <c r="AC19" i="2"/>
  <c r="AC29" i="2"/>
  <c r="AE4" i="2"/>
  <c r="AE22" i="2"/>
  <c r="AE9" i="2"/>
  <c r="AE15" i="2" s="1"/>
  <c r="AE28" i="2" s="1"/>
  <c r="AF6" i="2"/>
  <c r="AF23" i="2" s="1"/>
  <c r="AF8" i="2"/>
  <c r="AF25" i="2" s="1"/>
  <c r="AF21" i="2"/>
  <c r="AG24" i="2"/>
  <c r="AE27" i="2" l="1"/>
  <c r="AE17" i="2"/>
  <c r="AD29" i="2"/>
  <c r="AD19" i="2"/>
  <c r="AG6" i="2"/>
  <c r="AG23" i="2" s="1"/>
  <c r="AG4" i="2"/>
  <c r="AG8" i="2"/>
  <c r="AG25" i="2" s="1"/>
  <c r="AG21" i="2"/>
  <c r="AF4" i="2"/>
  <c r="AF9" i="2"/>
  <c r="AF15" i="2" s="1"/>
  <c r="AF22" i="2"/>
  <c r="AE26" i="2"/>
  <c r="AH24" i="2"/>
  <c r="AF27" i="2" l="1"/>
  <c r="AE29" i="2"/>
  <c r="AE19" i="2"/>
  <c r="AF26" i="2"/>
  <c r="AH8" i="2"/>
  <c r="AH25" i="2" s="1"/>
  <c r="AH21" i="2"/>
  <c r="AH6" i="2"/>
  <c r="AH23" i="2" s="1"/>
  <c r="AF28" i="2"/>
  <c r="AF17" i="2"/>
  <c r="AG22" i="2"/>
  <c r="AG9" i="2"/>
  <c r="AG15" i="2" s="1"/>
  <c r="AG28" i="2" s="1"/>
  <c r="AJ24" i="2"/>
  <c r="AI24" i="2"/>
  <c r="AG27" i="2" l="1"/>
  <c r="AG17" i="2"/>
  <c r="AG19" i="2" s="1"/>
  <c r="AF19" i="2"/>
  <c r="AF29" i="2"/>
  <c r="AH4" i="2"/>
  <c r="AH9" i="2"/>
  <c r="AH15" i="2" s="1"/>
  <c r="AH22" i="2"/>
  <c r="AI21" i="2"/>
  <c r="AI6" i="2"/>
  <c r="AI23" i="2" s="1"/>
  <c r="AI8" i="2"/>
  <c r="AI25" i="2" s="1"/>
  <c r="AG26" i="2"/>
  <c r="AH27" i="2" l="1"/>
  <c r="AG29" i="2"/>
  <c r="AI9" i="2"/>
  <c r="AI15" i="2" s="1"/>
  <c r="AI22" i="2"/>
  <c r="AH17" i="2"/>
  <c r="AH28" i="2"/>
  <c r="AH26" i="2"/>
  <c r="AJ6" i="2"/>
  <c r="AJ23" i="2" s="1"/>
  <c r="AJ8" i="2"/>
  <c r="AJ25" i="2" s="1"/>
  <c r="AJ21" i="2"/>
  <c r="AI4" i="2"/>
  <c r="AI27" i="2" l="1"/>
  <c r="AJ22" i="2"/>
  <c r="AJ4" i="2"/>
  <c r="AJ9" i="2"/>
  <c r="AJ15" i="2" s="1"/>
  <c r="AI26" i="2"/>
  <c r="AI17" i="2"/>
  <c r="AI28" i="2"/>
  <c r="AH19" i="2"/>
  <c r="AH29" i="2"/>
  <c r="Y15" i="2"/>
  <c r="M15" i="2"/>
  <c r="M27" i="2" s="1"/>
  <c r="AJ27" i="2" l="1"/>
  <c r="AI19" i="2"/>
  <c r="AI29" i="2"/>
  <c r="AJ17" i="2"/>
  <c r="AJ28" i="2"/>
  <c r="AJ26" i="2"/>
  <c r="Y27" i="2"/>
  <c r="AJ19" i="2" l="1"/>
  <c r="AK17" i="2"/>
  <c r="AL17" i="2" s="1"/>
  <c r="AM17" i="2" s="1"/>
  <c r="AN17" i="2" s="1"/>
  <c r="AO17" i="2" s="1"/>
  <c r="AP17" i="2" s="1"/>
  <c r="AQ17" i="2" s="1"/>
  <c r="AR17" i="2" s="1"/>
  <c r="AS17" i="2" s="1"/>
  <c r="AT17" i="2" s="1"/>
  <c r="AU17" i="2" s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DZ17" i="2" s="1"/>
  <c r="EA17" i="2" s="1"/>
  <c r="EB17" i="2" s="1"/>
  <c r="EC17" i="2" s="1"/>
  <c r="ED17" i="2" s="1"/>
  <c r="EE17" i="2" s="1"/>
  <c r="EF17" i="2" s="1"/>
  <c r="EG17" i="2" s="1"/>
  <c r="EH17" i="2" s="1"/>
  <c r="EI17" i="2" s="1"/>
  <c r="EJ17" i="2" s="1"/>
  <c r="EK17" i="2" s="1"/>
  <c r="EL17" i="2" s="1"/>
  <c r="EM17" i="2" s="1"/>
  <c r="EN17" i="2" s="1"/>
  <c r="EO17" i="2" s="1"/>
  <c r="EP17" i="2" s="1"/>
  <c r="AJ29" i="2"/>
  <c r="Y16" i="2"/>
  <c r="M28" i="2"/>
  <c r="M17" i="2"/>
  <c r="M19" i="2" l="1"/>
  <c r="M29" i="2"/>
  <c r="Y28" i="2"/>
  <c r="Y17" i="2"/>
  <c r="Y19" i="2" l="1"/>
  <c r="Y29" i="2"/>
  <c r="Z15" i="2" l="1"/>
  <c r="Z27" i="2" s="1"/>
  <c r="Z28" i="2" l="1"/>
  <c r="Z17" i="2"/>
  <c r="Z19" i="2" l="1"/>
  <c r="AM25" i="2"/>
  <c r="AM27" i="2" s="1"/>
  <c r="AM28" i="2" s="1"/>
  <c r="AM30" i="2" s="1"/>
  <c r="Z29" i="2"/>
</calcChain>
</file>

<file path=xl/sharedStrings.xml><?xml version="1.0" encoding="utf-8"?>
<sst xmlns="http://schemas.openxmlformats.org/spreadsheetml/2006/main" count="66" uniqueCount="61">
  <si>
    <t>Price</t>
  </si>
  <si>
    <t>Shares</t>
  </si>
  <si>
    <t>MC</t>
  </si>
  <si>
    <t>Net Cash</t>
  </si>
  <si>
    <t>Cash</t>
  </si>
  <si>
    <t>Debt</t>
  </si>
  <si>
    <t>EV</t>
  </si>
  <si>
    <t>Last checked</t>
  </si>
  <si>
    <t>Today</t>
  </si>
  <si>
    <t>Earnings</t>
  </si>
  <si>
    <t>Revenue</t>
  </si>
  <si>
    <t>Cost of sales</t>
  </si>
  <si>
    <t>Gross profit</t>
  </si>
  <si>
    <t>S&amp;M</t>
  </si>
  <si>
    <t>D&amp;A</t>
  </si>
  <si>
    <t>Litigation</t>
  </si>
  <si>
    <t>Operating profit</t>
  </si>
  <si>
    <t>Investment income</t>
  </si>
  <si>
    <t>Interest expense</t>
  </si>
  <si>
    <t>Other income</t>
  </si>
  <si>
    <t>Pretax profit</t>
  </si>
  <si>
    <t>Taxes</t>
  </si>
  <si>
    <t>Net income</t>
  </si>
  <si>
    <t>EPS</t>
  </si>
  <si>
    <t>Financial income</t>
  </si>
  <si>
    <t>Total other expense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</si>
  <si>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</si>
  <si>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</si>
  <si>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</si>
  <si>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</si>
  <si>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</si>
  <si>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</si>
  <si>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</si>
  <si>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</si>
  <si>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</si>
  <si>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</si>
  <si>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</si>
  <si>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</si>
  <si>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Revenue y/y</t>
  </si>
  <si>
    <t>Gross Margin</t>
  </si>
  <si>
    <t>S&amp;M Margin</t>
  </si>
  <si>
    <t>D&amp;A y/y</t>
  </si>
  <si>
    <t>Litigation Margin</t>
  </si>
  <si>
    <t>Operating Margin</t>
  </si>
  <si>
    <t>Pretax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</si>
  <si>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</si>
  <si>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</si>
  <si>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</si>
  <si>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</si>
  <si>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</si>
  <si>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</si>
  <si>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</si>
  <si>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</si>
  <si>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</si>
  <si>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</si>
  <si>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Overvalued</t>
  </si>
  <si>
    <t>MA</t>
  </si>
  <si>
    <t>Q125</t>
  </si>
  <si>
    <t>Q225</t>
  </si>
  <si>
    <t>Q325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</si>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</sst>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3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/>
    <xf numFmtId="0" fontId="1" fillId="0" borderId="0" xfId="0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15240</xdr:colOff>
      <xdr:row>0</xdr:row>
      <xdr:rowOff>0</xdr:rowOff>
    </xdr:from>
    <xdr:to>
      <xdr:col>16</xdr:col>
      <xdr:colOff>15240</xdr:colOff>
      <xdr:row>33</xdr:row>
      <xdr:rowOff>83820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798A4A5F-FF55-134B-5517-9058C5C7D65D}"/>
            </a:ext>
          </a:extLst>
        </xdr:cNvPr>
        <xdr:cNvCxnSpPr/>
      </xdr:nvCxnSpPr>
      <xdr:spPr>
        <a:xfrm>
          <a:off x="10660380" y="0"/>
          <a:ext cx="0" cy="61188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</xdr:colOff>
      <xdr:row>0</xdr:row>
      <xdr:rowOff>0</xdr:rowOff>
    </xdr:from>
    <xdr:to>
      <xdr:col>25</xdr:col>
      <xdr:colOff>22860</xdr:colOff>
      <xdr:row>33</xdr:row>
      <xdr:rowOff>68580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B1887E10-B13F-37FC-29C7-DB7C01C4BB39}"/>
            </a:ext>
          </a:extLst>
        </xdr:cNvPr>
        <xdr:cNvCxnSpPr/>
      </xdr:nvCxnSpPr>
      <xdr:spPr>
        <a:xfrm>
          <a:off x="16154400" y="0"/>
          <a:ext cx="0" cy="61036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0C5A1-135E-423A-8FBB-E9030958B02F}">
  <dimension ref="B2:H9"/>
  <sheetViews>
    <sheetView tabSelected="1" workbookViewId="0">
      <selection activeCell="D4" sqref="D4"/>
    </sheetView>
  </sheetViews>
  <sheetFormatPr defaultRowHeight="14.4" x14ac:dyDescent="0.3"/>
  <cols>
    <col min="5" max="5" width="11.88671875" style="2" bestFit="1" customWidth="1"/>
    <col min="6" max="7" width="11.21875" style="2" bestFit="1" customWidth="1"/>
    <col min="8" max="8" width="8.88671875" style="2" customWidth="1"/>
  </cols>
  <sheetData>
    <row r="2" spans="2:7" x14ac:dyDescent="0.3">
      <c r="E2" s="2" t="s">
        <v>7</v>
      </c>
      <c r="F2" s="2" t="s">
        <v>8</v>
      </c>
      <c r="G2" s="2" t="s">
        <v>9</v>
      </c>
    </row>
    <row r="3" spans="2:7" x14ac:dyDescent="0.3">
      <c r="B3" s="6" t="s">
        <v>56</v>
      </c>
      <c r="C3" t="s">
        <v>0</v>
      </c>
      <c r="D3" s="10">
        <v>575.01</v>
      </c>
      <c r="E3" s="3">
        <v>45869</v>
      </c>
      <c r="F3" s="3">
        <f ca="1">TODAY()</f>
        <v>45869</v>
      </c>
      <c r="G3" s="3">
        <v>45953</v>
      </c>
    </row>
    <row r="4" spans="2:7" x14ac:dyDescent="0.3">
      <c r="C4" t="s">
        <v>1</v>
      </c>
      <c r="D4" s="1">
        <f>897.3+6.7</f>
        <v>904</v>
      </c>
      <c r="E4" s="2" t="s">
        <v>58</v>
      </c>
    </row>
    <row r="5" spans="2:7" x14ac:dyDescent="0.3">
      <c r="C5" t="s">
        <v>2</v>
      </c>
      <c r="D5" s="1">
        <f>D3*D4</f>
        <v>519809.04</v>
      </c>
    </row>
    <row r="6" spans="2:7" x14ac:dyDescent="0.3">
      <c r="C6" t="s">
        <v>4</v>
      </c>
      <c r="D6" s="1">
        <f>9031+336</f>
        <v>9367</v>
      </c>
      <c r="E6" s="2" t="s">
        <v>58</v>
      </c>
    </row>
    <row r="7" spans="2:7" x14ac:dyDescent="0.3">
      <c r="C7" t="s">
        <v>5</v>
      </c>
      <c r="D7" s="1">
        <f>18970</f>
        <v>18970</v>
      </c>
      <c r="E7" s="2" t="s">
        <v>58</v>
      </c>
    </row>
    <row r="8" spans="2:7" x14ac:dyDescent="0.3">
      <c r="C8" t="s">
        <v>3</v>
      </c>
      <c r="D8" s="1">
        <f>D6-D7</f>
        <v>-9603</v>
      </c>
    </row>
    <row r="9" spans="2:7" x14ac:dyDescent="0.3">
      <c r="C9" t="s">
        <v>6</v>
      </c>
      <c r="D9" s="1">
        <f>D5-D8</f>
        <v>529412.04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C8C74-C2DD-4DD7-A443-C53DE3D8276A}">
  <dimension ref="A2:EP31"/>
  <sheetViews>
    <sheetView workbookViewId="0">
      <pane xSplit="2" ySplit="2" topLeftCell="S3" activePane="bottomRight" state="frozen"/>
      <selection pane="topRight" activeCell="C1" sqref="C1"/>
      <selection pane="bottomLeft" activeCell="A3" sqref="A3"/>
      <selection pane="bottomRight" activeCell="AA1" sqref="AA1"/>
    </sheetView>
  </sheetViews>
  <sheetFormatPr defaultRowHeight="14.4" x14ac:dyDescent="0.3"/>
  <cols>
    <col min="2" max="2" width="21.88671875" bestFit="1" customWidth="1"/>
    <col min="38" max="38" width="13" customWidth="1"/>
    <col min="39" max="39" width="14.109375" customWidth="1"/>
  </cols>
  <sheetData>
    <row r="2" spans="1:36" x14ac:dyDescent="0.3">
      <c r="C2" s="4" t="s">
        <v>26</v>
      </c>
      <c r="D2" s="4" t="s">
        <v>27</v>
      </c>
      <c r="E2" s="4" t="s">
        <v>28</v>
      </c>
      <c r="F2" s="4" t="s">
        <v>29</v>
      </c>
      <c r="G2" s="4" t="s">
        <v>30</v>
      </c>
      <c r="H2" s="4" t="s">
        <v>31</v>
      </c>
      <c r="I2" s="4" t="s">
        <v>32</v>
      </c>
      <c r="J2" s="4" t="s">
        <v>33</v>
      </c>
      <c r="K2" s="4" t="s">
        <v>34</v>
      </c>
      <c r="L2" s="4" t="s">
        <v>35</v>
      </c>
      <c r="M2" s="4" t="s">
        <v>36</v>
      </c>
      <c r="N2" s="4" t="s">
        <v>37</v>
      </c>
      <c r="O2" s="4" t="s">
        <v>57</v>
      </c>
      <c r="P2" s="4" t="s">
        <v>58</v>
      </c>
      <c r="Q2" s="4" t="s">
        <v>59</v>
      </c>
      <c r="R2" s="4" t="s">
        <v>60</v>
      </c>
      <c r="T2">
        <v>2019</v>
      </c>
      <c r="U2">
        <v>2020</v>
      </c>
      <c r="V2">
        <v>2021</v>
      </c>
      <c r="W2">
        <v>2022</v>
      </c>
      <c r="X2">
        <v>2023</v>
      </c>
      <c r="Y2">
        <v>2024</v>
      </c>
      <c r="Z2">
        <v>2025</v>
      </c>
      <c r="AA2">
        <v>2026</v>
      </c>
      <c r="AB2">
        <v>2027</v>
      </c>
      <c r="AC2">
        <v>2028</v>
      </c>
      <c r="AD2">
        <v>2029</v>
      </c>
      <c r="AE2">
        <v>2030</v>
      </c>
      <c r="AF2">
        <v>2031</v>
      </c>
      <c r="AG2">
        <v>2032</v>
      </c>
      <c r="AH2">
        <v>2033</v>
      </c>
      <c r="AI2">
        <v>2034</v>
      </c>
      <c r="AJ2">
        <v>2035</v>
      </c>
    </row>
    <row r="3" spans="1:36" s="6" customFormat="1" x14ac:dyDescent="0.3">
      <c r="A3"/>
      <c r="B3" s="6" t="s">
        <v>10</v>
      </c>
      <c r="C3" s="7">
        <v>5167</v>
      </c>
      <c r="D3" s="7">
        <v>5497</v>
      </c>
      <c r="E3" s="7">
        <v>5756</v>
      </c>
      <c r="F3" s="7">
        <v>5817</v>
      </c>
      <c r="G3" s="7">
        <v>5748</v>
      </c>
      <c r="H3" s="7">
        <v>6269</v>
      </c>
      <c r="I3" s="7">
        <v>6533</v>
      </c>
      <c r="J3" s="7">
        <v>6548</v>
      </c>
      <c r="K3" s="7">
        <v>6348</v>
      </c>
      <c r="L3" s="7">
        <v>6961</v>
      </c>
      <c r="M3" s="7">
        <v>7369</v>
      </c>
      <c r="N3" s="7">
        <v>7489</v>
      </c>
      <c r="O3" s="7">
        <v>7250</v>
      </c>
      <c r="P3" s="7">
        <v>8133</v>
      </c>
      <c r="Q3" s="7">
        <f>M3*1.14</f>
        <v>8400.66</v>
      </c>
      <c r="R3" s="7">
        <f>N3*1.14</f>
        <v>8537.4599999999991</v>
      </c>
      <c r="T3" s="7">
        <v>16883</v>
      </c>
      <c r="U3" s="7">
        <v>15301</v>
      </c>
      <c r="V3" s="7">
        <v>18884</v>
      </c>
      <c r="W3" s="7">
        <f>SUM(C3:F3)</f>
        <v>22237</v>
      </c>
      <c r="X3" s="7">
        <f>SUM(G3:J3)</f>
        <v>25098</v>
      </c>
      <c r="Y3" s="7">
        <f>SUM(K3:N3)</f>
        <v>28167</v>
      </c>
      <c r="Z3" s="7">
        <f>SUM(O3:R3)</f>
        <v>32321.119999999999</v>
      </c>
      <c r="AA3" s="7">
        <f>Z3*1.12</f>
        <v>36199.654399999999</v>
      </c>
      <c r="AB3" s="7">
        <f>AA3*1.09</f>
        <v>39457.623296000005</v>
      </c>
      <c r="AC3" s="7">
        <f>AB3*1.07</f>
        <v>42219.65692672001</v>
      </c>
      <c r="AD3" s="7">
        <f>AC3*1.05</f>
        <v>44330.639773056013</v>
      </c>
      <c r="AE3" s="7">
        <f>AD3*1.04</f>
        <v>46103.865363978257</v>
      </c>
      <c r="AF3" s="7">
        <f>AE3*1.03</f>
        <v>47486.981324897606</v>
      </c>
      <c r="AG3" s="7">
        <f t="shared" ref="AG3:AJ3" si="0">AF3*1.03</f>
        <v>48911.590764644534</v>
      </c>
      <c r="AH3" s="7">
        <f t="shared" si="0"/>
        <v>50378.938487583873</v>
      </c>
      <c r="AI3" s="7">
        <f t="shared" si="0"/>
        <v>51890.306642211392</v>
      </c>
      <c r="AJ3" s="7">
        <f t="shared" si="0"/>
        <v>53447.015841477732</v>
      </c>
    </row>
    <row r="4" spans="1:36" x14ac:dyDescent="0.3">
      <c r="B4" t="s">
        <v>11</v>
      </c>
      <c r="C4" s="1">
        <v>1844</v>
      </c>
      <c r="D4" s="1">
        <v>1947</v>
      </c>
      <c r="E4" s="1">
        <v>2069</v>
      </c>
      <c r="F4" s="1">
        <v>2218</v>
      </c>
      <c r="G4" s="1">
        <v>2043</v>
      </c>
      <c r="H4" s="1">
        <v>2200</v>
      </c>
      <c r="I4" s="1">
        <v>2285</v>
      </c>
      <c r="J4" s="1">
        <v>2399</v>
      </c>
      <c r="K4" s="1">
        <v>2286</v>
      </c>
      <c r="L4" s="1">
        <v>2418</v>
      </c>
      <c r="M4" s="1">
        <v>2744</v>
      </c>
      <c r="N4" s="1">
        <v>2745</v>
      </c>
      <c r="O4" s="1">
        <v>2523</v>
      </c>
      <c r="P4" s="1">
        <v>2766</v>
      </c>
      <c r="Q4" s="1">
        <f t="shared" ref="Q4" si="1">Q3-Q5</f>
        <v>3024.2375999999995</v>
      </c>
      <c r="R4" s="1">
        <f t="shared" ref="R4" si="2">R3-R5</f>
        <v>3158.8602000000001</v>
      </c>
      <c r="T4" s="1">
        <v>5763</v>
      </c>
      <c r="U4" s="1">
        <v>5910</v>
      </c>
      <c r="V4" s="1">
        <v>7087</v>
      </c>
      <c r="W4" s="1">
        <f>SUM(C4:F4)</f>
        <v>8078</v>
      </c>
      <c r="X4" s="1">
        <f>SUM(G4:J4)</f>
        <v>8927</v>
      </c>
      <c r="Y4" s="1">
        <f>SUM(K4:N4)</f>
        <v>10193</v>
      </c>
      <c r="Z4" s="1">
        <f>SUM(O4:R4)</f>
        <v>11472.0978</v>
      </c>
      <c r="AA4" s="1">
        <f t="shared" ref="AA4:AJ4" si="3">AA3-AA5</f>
        <v>12669.87904</v>
      </c>
      <c r="AB4" s="1">
        <f t="shared" si="3"/>
        <v>13415.591920639999</v>
      </c>
      <c r="AC4" s="1">
        <f t="shared" si="3"/>
        <v>14354.683355084802</v>
      </c>
      <c r="AD4" s="1">
        <f t="shared" si="3"/>
        <v>15072.417522839041</v>
      </c>
      <c r="AE4" s="1">
        <f t="shared" si="3"/>
        <v>15675.314223752604</v>
      </c>
      <c r="AF4" s="1">
        <f t="shared" si="3"/>
        <v>16145.573650465183</v>
      </c>
      <c r="AG4" s="1">
        <f t="shared" si="3"/>
        <v>16629.940859979139</v>
      </c>
      <c r="AH4" s="1">
        <f t="shared" si="3"/>
        <v>17128.839085778513</v>
      </c>
      <c r="AI4" s="1">
        <f t="shared" si="3"/>
        <v>17642.704258351871</v>
      </c>
      <c r="AJ4" s="1">
        <f t="shared" si="3"/>
        <v>18171.985386102424</v>
      </c>
    </row>
    <row r="5" spans="1:36" s="6" customFormat="1" x14ac:dyDescent="0.3">
      <c r="A5"/>
      <c r="B5" s="6" t="s">
        <v>12</v>
      </c>
      <c r="C5" s="7">
        <f t="shared" ref="C5:P5" si="4">C3-C4</f>
        <v>3323</v>
      </c>
      <c r="D5" s="7">
        <f t="shared" si="4"/>
        <v>3550</v>
      </c>
      <c r="E5" s="7">
        <f t="shared" si="4"/>
        <v>3687</v>
      </c>
      <c r="F5" s="7">
        <f t="shared" si="4"/>
        <v>3599</v>
      </c>
      <c r="G5" s="7">
        <f t="shared" si="4"/>
        <v>3705</v>
      </c>
      <c r="H5" s="7">
        <f t="shared" si="4"/>
        <v>4069</v>
      </c>
      <c r="I5" s="7">
        <f t="shared" si="4"/>
        <v>4248</v>
      </c>
      <c r="J5" s="7">
        <f t="shared" si="4"/>
        <v>4149</v>
      </c>
      <c r="K5" s="7">
        <f t="shared" si="4"/>
        <v>4062</v>
      </c>
      <c r="L5" s="7">
        <f t="shared" si="4"/>
        <v>4543</v>
      </c>
      <c r="M5" s="7">
        <f t="shared" si="4"/>
        <v>4625</v>
      </c>
      <c r="N5" s="7">
        <f t="shared" si="4"/>
        <v>4744</v>
      </c>
      <c r="O5" s="7">
        <f t="shared" si="4"/>
        <v>4727</v>
      </c>
      <c r="P5" s="7">
        <f t="shared" si="4"/>
        <v>5367</v>
      </c>
      <c r="Q5" s="7">
        <f>Q3*0.64</f>
        <v>5376.4224000000004</v>
      </c>
      <c r="R5" s="7">
        <f>R3*0.63</f>
        <v>5378.599799999999</v>
      </c>
      <c r="T5" s="7">
        <f t="shared" ref="T5:Z5" si="5">T3-T4</f>
        <v>11120</v>
      </c>
      <c r="U5" s="7">
        <f t="shared" si="5"/>
        <v>9391</v>
      </c>
      <c r="V5" s="7">
        <f t="shared" si="5"/>
        <v>11797</v>
      </c>
      <c r="W5" s="7">
        <f t="shared" si="5"/>
        <v>14159</v>
      </c>
      <c r="X5" s="7">
        <f t="shared" si="5"/>
        <v>16171</v>
      </c>
      <c r="Y5" s="7">
        <f t="shared" si="5"/>
        <v>17974</v>
      </c>
      <c r="Z5" s="7">
        <f t="shared" si="5"/>
        <v>20849.022199999999</v>
      </c>
      <c r="AA5" s="7">
        <f>AA3*0.65</f>
        <v>23529.77536</v>
      </c>
      <c r="AB5" s="7">
        <f>AB3*0.66</f>
        <v>26042.031375360006</v>
      </c>
      <c r="AC5" s="7">
        <f t="shared" ref="AC5:AJ5" si="6">AC3*0.66</f>
        <v>27864.973571635208</v>
      </c>
      <c r="AD5" s="7">
        <f t="shared" si="6"/>
        <v>29258.222250216972</v>
      </c>
      <c r="AE5" s="7">
        <f t="shared" si="6"/>
        <v>30428.551140225652</v>
      </c>
      <c r="AF5" s="7">
        <f t="shared" si="6"/>
        <v>31341.407674432423</v>
      </c>
      <c r="AG5" s="7">
        <f t="shared" si="6"/>
        <v>32281.649904665395</v>
      </c>
      <c r="AH5" s="7">
        <f t="shared" si="6"/>
        <v>33250.099401805361</v>
      </c>
      <c r="AI5" s="7">
        <f t="shared" si="6"/>
        <v>34247.602383859521</v>
      </c>
      <c r="AJ5" s="7">
        <f t="shared" si="6"/>
        <v>35275.030455375309</v>
      </c>
    </row>
    <row r="6" spans="1:36" x14ac:dyDescent="0.3">
      <c r="B6" t="s">
        <v>13</v>
      </c>
      <c r="C6" s="1">
        <v>181</v>
      </c>
      <c r="D6" s="1">
        <v>210</v>
      </c>
      <c r="E6" s="1">
        <v>182</v>
      </c>
      <c r="F6" s="1">
        <v>216</v>
      </c>
      <c r="G6" s="1">
        <v>167</v>
      </c>
      <c r="H6" s="1">
        <v>201</v>
      </c>
      <c r="I6" s="1">
        <v>193</v>
      </c>
      <c r="J6" s="1">
        <v>264</v>
      </c>
      <c r="K6" s="1">
        <v>116</v>
      </c>
      <c r="L6" s="1">
        <v>184</v>
      </c>
      <c r="M6" s="1">
        <v>220</v>
      </c>
      <c r="N6" s="1">
        <v>295</v>
      </c>
      <c r="O6" s="1">
        <v>152</v>
      </c>
      <c r="P6" s="1">
        <v>213</v>
      </c>
      <c r="Q6" s="1">
        <f>Q3*0.03</f>
        <v>252.01979999999998</v>
      </c>
      <c r="R6" s="1">
        <f>R3*0.04</f>
        <v>341.49839999999995</v>
      </c>
      <c r="T6" s="1">
        <v>934</v>
      </c>
      <c r="U6" s="1">
        <v>657</v>
      </c>
      <c r="V6" s="1">
        <v>895</v>
      </c>
      <c r="W6" s="1">
        <f>SUM(C6:F6)</f>
        <v>789</v>
      </c>
      <c r="X6" s="1">
        <f>SUM(G6:J6)</f>
        <v>825</v>
      </c>
      <c r="Y6" s="1">
        <f>SUM(K6:N6)</f>
        <v>815</v>
      </c>
      <c r="Z6" s="1">
        <f>SUM(O6:R6)</f>
        <v>958.51819999999998</v>
      </c>
      <c r="AA6" s="1">
        <f t="shared" ref="AA6:AJ6" si="7">AA3*0.03</f>
        <v>1085.989632</v>
      </c>
      <c r="AB6" s="1">
        <f t="shared" si="7"/>
        <v>1183.7286988800001</v>
      </c>
      <c r="AC6" s="1">
        <f t="shared" si="7"/>
        <v>1266.5897078016003</v>
      </c>
      <c r="AD6" s="1">
        <f t="shared" si="7"/>
        <v>1329.9191931916803</v>
      </c>
      <c r="AE6" s="1">
        <f t="shared" si="7"/>
        <v>1383.1159609193476</v>
      </c>
      <c r="AF6" s="1">
        <f t="shared" si="7"/>
        <v>1424.609439746928</v>
      </c>
      <c r="AG6" s="1">
        <f t="shared" si="7"/>
        <v>1467.3477229393359</v>
      </c>
      <c r="AH6" s="1">
        <f t="shared" si="7"/>
        <v>1511.3681546275161</v>
      </c>
      <c r="AI6" s="1">
        <f t="shared" si="7"/>
        <v>1556.7091992663418</v>
      </c>
      <c r="AJ6" s="1">
        <f t="shared" si="7"/>
        <v>1603.410475244332</v>
      </c>
    </row>
    <row r="7" spans="1:36" x14ac:dyDescent="0.3">
      <c r="B7" t="s">
        <v>14</v>
      </c>
      <c r="C7" s="1">
        <v>192</v>
      </c>
      <c r="D7" s="1">
        <v>189</v>
      </c>
      <c r="E7" s="1">
        <v>185</v>
      </c>
      <c r="F7" s="1">
        <v>184</v>
      </c>
      <c r="G7" s="1">
        <v>191</v>
      </c>
      <c r="H7" s="1">
        <v>192</v>
      </c>
      <c r="I7" s="1">
        <v>211</v>
      </c>
      <c r="J7" s="1">
        <v>205</v>
      </c>
      <c r="K7" s="1">
        <v>216</v>
      </c>
      <c r="L7" s="1">
        <v>225</v>
      </c>
      <c r="M7" s="1">
        <v>225</v>
      </c>
      <c r="N7" s="1">
        <v>231</v>
      </c>
      <c r="O7" s="1">
        <v>275</v>
      </c>
      <c r="P7" s="1">
        <v>281</v>
      </c>
      <c r="Q7" s="1">
        <f>M7*1.25</f>
        <v>281.25</v>
      </c>
      <c r="R7" s="1">
        <f>N7*1.25</f>
        <v>288.75</v>
      </c>
      <c r="T7" s="1">
        <v>522</v>
      </c>
      <c r="U7" s="1">
        <v>580</v>
      </c>
      <c r="V7" s="1">
        <v>726</v>
      </c>
      <c r="W7" s="1">
        <f>SUM(C7:F7)</f>
        <v>750</v>
      </c>
      <c r="X7" s="1">
        <f>SUM(G7:J7)</f>
        <v>799</v>
      </c>
      <c r="Y7" s="1">
        <f>SUM(K7:N7)</f>
        <v>897</v>
      </c>
      <c r="Z7" s="1">
        <f>SUM(O7:R7)</f>
        <v>1126</v>
      </c>
      <c r="AA7" s="1"/>
      <c r="AB7" s="1"/>
      <c r="AC7" s="1"/>
      <c r="AD7" s="1"/>
      <c r="AE7" s="1"/>
      <c r="AF7" s="1"/>
      <c r="AG7" s="1"/>
      <c r="AH7" s="1"/>
      <c r="AI7" s="1"/>
      <c r="AJ7" s="1"/>
    </row>
    <row r="8" spans="1:36" x14ac:dyDescent="0.3">
      <c r="B8" t="s">
        <v>15</v>
      </c>
      <c r="C8" s="1">
        <v>0</v>
      </c>
      <c r="D8" s="1">
        <v>133</v>
      </c>
      <c r="E8" s="1">
        <v>208</v>
      </c>
      <c r="F8" s="1">
        <v>15</v>
      </c>
      <c r="G8" s="1">
        <v>211</v>
      </c>
      <c r="H8" s="1">
        <v>20</v>
      </c>
      <c r="I8" s="1">
        <v>0</v>
      </c>
      <c r="J8" s="1">
        <v>308</v>
      </c>
      <c r="K8" s="1">
        <v>126</v>
      </c>
      <c r="L8" s="1">
        <v>98</v>
      </c>
      <c r="M8" s="1">
        <v>176</v>
      </c>
      <c r="N8" s="1">
        <v>280</v>
      </c>
      <c r="O8" s="1">
        <v>151</v>
      </c>
      <c r="P8" s="1">
        <v>96</v>
      </c>
      <c r="Q8" s="1">
        <f t="shared" ref="Q8" si="8">Q3*0.02</f>
        <v>168.01320000000001</v>
      </c>
      <c r="R8" s="1">
        <f>R3*0.04</f>
        <v>341.49839999999995</v>
      </c>
      <c r="T8" s="1">
        <v>0</v>
      </c>
      <c r="U8" s="1">
        <v>73</v>
      </c>
      <c r="V8" s="1">
        <v>94</v>
      </c>
      <c r="W8" s="1">
        <f>SUM(C8:F8)</f>
        <v>356</v>
      </c>
      <c r="X8" s="1">
        <f>SUM(G8:J8)</f>
        <v>539</v>
      </c>
      <c r="Y8" s="1">
        <f>SUM(K8:N8)</f>
        <v>680</v>
      </c>
      <c r="Z8" s="1">
        <f>SUM(O8:R8)</f>
        <v>756.51159999999993</v>
      </c>
      <c r="AA8" s="1">
        <f t="shared" ref="AA8:AJ8" si="9">AA3*0.02</f>
        <v>723.99308800000006</v>
      </c>
      <c r="AB8" s="1">
        <f t="shared" si="9"/>
        <v>789.15246592000017</v>
      </c>
      <c r="AC8" s="1">
        <f t="shared" si="9"/>
        <v>844.39313853440024</v>
      </c>
      <c r="AD8" s="1">
        <f t="shared" si="9"/>
        <v>886.6127954611203</v>
      </c>
      <c r="AE8" s="1">
        <f t="shared" si="9"/>
        <v>922.07730727956516</v>
      </c>
      <c r="AF8" s="1">
        <f t="shared" si="9"/>
        <v>949.73962649795214</v>
      </c>
      <c r="AG8" s="1">
        <f t="shared" si="9"/>
        <v>978.2318152928907</v>
      </c>
      <c r="AH8" s="1">
        <f t="shared" si="9"/>
        <v>1007.5787697516774</v>
      </c>
      <c r="AI8" s="1">
        <f t="shared" si="9"/>
        <v>1037.8061328442279</v>
      </c>
      <c r="AJ8" s="1">
        <f t="shared" si="9"/>
        <v>1068.9403168295546</v>
      </c>
    </row>
    <row r="9" spans="1:36" s="6" customFormat="1" x14ac:dyDescent="0.3">
      <c r="A9"/>
      <c r="B9" s="6" t="s">
        <v>16</v>
      </c>
      <c r="C9" s="7">
        <f t="shared" ref="C9:K9" si="10">C5-C6-C7-C8</f>
        <v>2950</v>
      </c>
      <c r="D9" s="7">
        <f t="shared" si="10"/>
        <v>3018</v>
      </c>
      <c r="E9" s="7">
        <f t="shared" si="10"/>
        <v>3112</v>
      </c>
      <c r="F9" s="7">
        <f t="shared" si="10"/>
        <v>3184</v>
      </c>
      <c r="G9" s="7">
        <f t="shared" si="10"/>
        <v>3136</v>
      </c>
      <c r="H9" s="7">
        <f t="shared" si="10"/>
        <v>3656</v>
      </c>
      <c r="I9" s="7">
        <f t="shared" si="10"/>
        <v>3844</v>
      </c>
      <c r="J9" s="7">
        <f t="shared" si="10"/>
        <v>3372</v>
      </c>
      <c r="K9" s="7">
        <f t="shared" si="10"/>
        <v>3604</v>
      </c>
      <c r="L9" s="7">
        <f t="shared" ref="L9:R9" si="11">L5-L6-L7-L8</f>
        <v>4036</v>
      </c>
      <c r="M9" s="7">
        <f t="shared" si="11"/>
        <v>4004</v>
      </c>
      <c r="N9" s="7">
        <f t="shared" si="11"/>
        <v>3938</v>
      </c>
      <c r="O9" s="7">
        <f t="shared" si="11"/>
        <v>4149</v>
      </c>
      <c r="P9" s="7">
        <f t="shared" si="11"/>
        <v>4777</v>
      </c>
      <c r="Q9" s="7">
        <f t="shared" si="11"/>
        <v>4675.1394</v>
      </c>
      <c r="R9" s="7">
        <f t="shared" si="11"/>
        <v>4406.8529999999992</v>
      </c>
      <c r="S9" s="7"/>
      <c r="T9" s="7">
        <f t="shared" ref="T9:Z9" si="12">T5-T6-T7-T8</f>
        <v>9664</v>
      </c>
      <c r="U9" s="7">
        <f t="shared" si="12"/>
        <v>8081</v>
      </c>
      <c r="V9" s="7">
        <f t="shared" si="12"/>
        <v>10082</v>
      </c>
      <c r="W9" s="7">
        <f t="shared" si="12"/>
        <v>12264</v>
      </c>
      <c r="X9" s="7">
        <f t="shared" si="12"/>
        <v>14008</v>
      </c>
      <c r="Y9" s="7">
        <f t="shared" si="12"/>
        <v>15582</v>
      </c>
      <c r="Z9" s="7">
        <f t="shared" si="12"/>
        <v>18007.992399999999</v>
      </c>
      <c r="AA9" s="7">
        <f t="shared" ref="AA9:AJ9" si="13">AA5-AA6-AA7-AA8</f>
        <v>21719.79264</v>
      </c>
      <c r="AB9" s="7">
        <f t="shared" si="13"/>
        <v>24069.150210560005</v>
      </c>
      <c r="AC9" s="7">
        <f t="shared" si="13"/>
        <v>25753.990725299209</v>
      </c>
      <c r="AD9" s="7">
        <f t="shared" si="13"/>
        <v>27041.69026156417</v>
      </c>
      <c r="AE9" s="7">
        <f t="shared" si="13"/>
        <v>28123.35787202674</v>
      </c>
      <c r="AF9" s="7">
        <f t="shared" si="13"/>
        <v>28967.058608187544</v>
      </c>
      <c r="AG9" s="7">
        <f t="shared" si="13"/>
        <v>29836.07036643317</v>
      </c>
      <c r="AH9" s="7">
        <f t="shared" si="13"/>
        <v>30731.152477426167</v>
      </c>
      <c r="AI9" s="7">
        <f t="shared" si="13"/>
        <v>31653.087051748953</v>
      </c>
      <c r="AJ9" s="7">
        <f t="shared" si="13"/>
        <v>32602.679663301424</v>
      </c>
    </row>
    <row r="10" spans="1:36" x14ac:dyDescent="0.3">
      <c r="B10" t="s">
        <v>17</v>
      </c>
      <c r="C10" s="1">
        <v>-5</v>
      </c>
      <c r="D10" s="1">
        <v>-7</v>
      </c>
      <c r="E10" s="1">
        <v>-16</v>
      </c>
      <c r="F10" s="1">
        <v>-33</v>
      </c>
      <c r="G10" s="1">
        <v>-55</v>
      </c>
      <c r="H10" s="1">
        <v>-59</v>
      </c>
      <c r="I10" s="1">
        <v>-71</v>
      </c>
      <c r="J10" s="1">
        <v>-89</v>
      </c>
      <c r="K10" s="1">
        <v>-95</v>
      </c>
      <c r="L10" s="1">
        <v>-60</v>
      </c>
      <c r="M10" s="1">
        <v>-76</v>
      </c>
      <c r="N10" s="1">
        <v>-96</v>
      </c>
      <c r="O10" s="1">
        <v>-88</v>
      </c>
      <c r="P10" s="1">
        <v>-70</v>
      </c>
      <c r="Q10" s="1">
        <f t="shared" ref="Q10:R13" si="14">M10*1.02</f>
        <v>-77.52</v>
      </c>
      <c r="R10" s="1">
        <f t="shared" si="14"/>
        <v>-97.92</v>
      </c>
      <c r="T10" s="1">
        <v>-97</v>
      </c>
      <c r="U10" s="1">
        <v>-24</v>
      </c>
      <c r="V10" s="1">
        <v>-11</v>
      </c>
      <c r="W10" s="1">
        <f>SUM(C10:F10)</f>
        <v>-61</v>
      </c>
      <c r="X10" s="1">
        <f>SUM(G10:J10)</f>
        <v>-274</v>
      </c>
      <c r="Y10" s="1">
        <f t="shared" ref="Y10:Y13" si="15">SUM(K10:N10)</f>
        <v>-327</v>
      </c>
      <c r="Z10" s="1">
        <f>SUM(O10:R10)</f>
        <v>-333.44</v>
      </c>
      <c r="AA10" s="1">
        <f>Z10*1.03</f>
        <v>-343.44319999999999</v>
      </c>
      <c r="AB10" s="1">
        <f t="shared" ref="AB10:AJ10" si="16">AA10*1.03</f>
        <v>-353.74649599999998</v>
      </c>
      <c r="AC10" s="1">
        <f t="shared" si="16"/>
        <v>-364.35889087999999</v>
      </c>
      <c r="AD10" s="1">
        <f t="shared" si="16"/>
        <v>-375.2896576064</v>
      </c>
      <c r="AE10" s="1">
        <f t="shared" si="16"/>
        <v>-386.54834733459199</v>
      </c>
      <c r="AF10" s="1">
        <f t="shared" si="16"/>
        <v>-398.14479775462979</v>
      </c>
      <c r="AG10" s="1">
        <f t="shared" si="16"/>
        <v>-410.08914168726869</v>
      </c>
      <c r="AH10" s="1">
        <f t="shared" si="16"/>
        <v>-422.39181593788675</v>
      </c>
      <c r="AI10" s="1">
        <f t="shared" si="16"/>
        <v>-435.06357041602337</v>
      </c>
      <c r="AJ10" s="1">
        <f t="shared" si="16"/>
        <v>-448.11547752850407</v>
      </c>
    </row>
    <row r="11" spans="1:36" x14ac:dyDescent="0.3">
      <c r="B11" t="s">
        <v>24</v>
      </c>
      <c r="C11" s="1">
        <v>76</v>
      </c>
      <c r="D11" s="1">
        <v>117</v>
      </c>
      <c r="E11" s="1">
        <v>-60</v>
      </c>
      <c r="F11" s="1">
        <v>12</v>
      </c>
      <c r="G11" s="1">
        <v>212</v>
      </c>
      <c r="H11" s="1">
        <v>-123</v>
      </c>
      <c r="I11" s="1">
        <v>6</v>
      </c>
      <c r="J11" s="1">
        <v>-34</v>
      </c>
      <c r="K11" s="1">
        <v>-6</v>
      </c>
      <c r="L11" s="1">
        <v>13</v>
      </c>
      <c r="M11" s="1">
        <v>62</v>
      </c>
      <c r="N11" s="1">
        <v>-40</v>
      </c>
      <c r="O11" s="1">
        <v>29</v>
      </c>
      <c r="P11" s="1">
        <v>-4</v>
      </c>
      <c r="Q11" s="1">
        <f t="shared" si="14"/>
        <v>63.24</v>
      </c>
      <c r="R11" s="1">
        <f t="shared" si="14"/>
        <v>-40.799999999999997</v>
      </c>
      <c r="T11" s="1">
        <v>-167</v>
      </c>
      <c r="U11" s="1">
        <v>-30</v>
      </c>
      <c r="V11" s="1">
        <v>-645</v>
      </c>
      <c r="W11" s="1">
        <f>SUM(C11:F11)</f>
        <v>145</v>
      </c>
      <c r="X11" s="1">
        <f>SUM(G11:J11)</f>
        <v>61</v>
      </c>
      <c r="Y11" s="1">
        <f t="shared" si="15"/>
        <v>29</v>
      </c>
      <c r="Z11" s="1">
        <f>SUM(O11:R11)</f>
        <v>47.440000000000012</v>
      </c>
      <c r="AA11" s="1">
        <v>40</v>
      </c>
      <c r="AB11" s="1">
        <v>40</v>
      </c>
      <c r="AC11" s="1">
        <v>40</v>
      </c>
      <c r="AD11" s="1">
        <v>40</v>
      </c>
      <c r="AE11" s="1">
        <v>40</v>
      </c>
      <c r="AF11" s="1">
        <v>40</v>
      </c>
      <c r="AG11" s="1">
        <v>40</v>
      </c>
      <c r="AH11" s="1">
        <v>40</v>
      </c>
      <c r="AI11" s="1">
        <v>40</v>
      </c>
      <c r="AJ11" s="1">
        <v>40</v>
      </c>
    </row>
    <row r="12" spans="1:36" x14ac:dyDescent="0.3">
      <c r="B12" t="s">
        <v>18</v>
      </c>
      <c r="C12" s="1">
        <v>110</v>
      </c>
      <c r="D12" s="1">
        <v>114</v>
      </c>
      <c r="E12" s="1">
        <v>120</v>
      </c>
      <c r="F12" s="1">
        <v>127</v>
      </c>
      <c r="G12" s="1">
        <v>132</v>
      </c>
      <c r="H12" s="1">
        <v>144</v>
      </c>
      <c r="I12" s="1">
        <v>151</v>
      </c>
      <c r="J12" s="1">
        <v>148</v>
      </c>
      <c r="K12" s="1">
        <v>150</v>
      </c>
      <c r="L12" s="1">
        <v>153</v>
      </c>
      <c r="M12" s="1">
        <v>159</v>
      </c>
      <c r="N12" s="1">
        <v>184</v>
      </c>
      <c r="O12" s="1">
        <v>182</v>
      </c>
      <c r="P12" s="1">
        <v>195</v>
      </c>
      <c r="Q12" s="1">
        <f t="shared" si="14"/>
        <v>162.18</v>
      </c>
      <c r="R12" s="1">
        <f t="shared" si="14"/>
        <v>187.68</v>
      </c>
      <c r="T12" s="1">
        <v>224</v>
      </c>
      <c r="U12" s="1">
        <v>380</v>
      </c>
      <c r="V12" s="1">
        <v>431</v>
      </c>
      <c r="W12" s="1">
        <f>SUM(C12:F12)</f>
        <v>471</v>
      </c>
      <c r="X12" s="1">
        <f>SUM(G12:J12)</f>
        <v>575</v>
      </c>
      <c r="Y12" s="1">
        <f t="shared" si="15"/>
        <v>646</v>
      </c>
      <c r="Z12" s="1">
        <f>SUM(O12:R12)</f>
        <v>726.86000000000013</v>
      </c>
      <c r="AA12" s="1">
        <f>Z12*1.02</f>
        <v>741.39720000000011</v>
      </c>
      <c r="AB12" s="1">
        <f t="shared" ref="AB12:AJ12" si="17">AA12*1.02</f>
        <v>756.22514400000011</v>
      </c>
      <c r="AC12" s="1">
        <f t="shared" si="17"/>
        <v>771.34964688000014</v>
      </c>
      <c r="AD12" s="1">
        <f t="shared" si="17"/>
        <v>786.7766398176002</v>
      </c>
      <c r="AE12" s="1">
        <f t="shared" si="17"/>
        <v>802.5121726139522</v>
      </c>
      <c r="AF12" s="1">
        <f t="shared" si="17"/>
        <v>818.56241606623121</v>
      </c>
      <c r="AG12" s="1">
        <f t="shared" si="17"/>
        <v>834.93366438755584</v>
      </c>
      <c r="AH12" s="1">
        <f t="shared" si="17"/>
        <v>851.63233767530699</v>
      </c>
      <c r="AI12" s="1">
        <f t="shared" si="17"/>
        <v>868.66498442881311</v>
      </c>
      <c r="AJ12" s="1">
        <f t="shared" si="17"/>
        <v>886.03828411738937</v>
      </c>
    </row>
    <row r="13" spans="1:36" x14ac:dyDescent="0.3">
      <c r="B13" t="s">
        <v>19</v>
      </c>
      <c r="C13" s="1">
        <v>-4</v>
      </c>
      <c r="D13" s="1">
        <v>-4</v>
      </c>
      <c r="E13" s="1">
        <v>-4</v>
      </c>
      <c r="F13" s="1">
        <v>-11</v>
      </c>
      <c r="G13" s="1">
        <v>-6</v>
      </c>
      <c r="H13" s="1">
        <v>-10</v>
      </c>
      <c r="I13" s="1">
        <v>-3</v>
      </c>
      <c r="J13" s="1">
        <v>26</v>
      </c>
      <c r="K13" s="1">
        <v>-3</v>
      </c>
      <c r="L13" s="1">
        <v>-9</v>
      </c>
      <c r="M13" s="1">
        <v>-7</v>
      </c>
      <c r="N13" s="1">
        <v>-1</v>
      </c>
      <c r="O13" s="1">
        <v>-5</v>
      </c>
      <c r="P13" s="1">
        <v>-16</v>
      </c>
      <c r="Q13" s="1">
        <f t="shared" si="14"/>
        <v>-7.1400000000000006</v>
      </c>
      <c r="R13" s="1">
        <f t="shared" si="14"/>
        <v>-1.02</v>
      </c>
      <c r="T13" s="1">
        <v>-27</v>
      </c>
      <c r="U13" s="1">
        <v>-5</v>
      </c>
      <c r="V13" s="1">
        <v>0</v>
      </c>
      <c r="W13" s="1">
        <f>SUM(C13:F13)</f>
        <v>-23</v>
      </c>
      <c r="X13" s="1">
        <f>SUM(G13:J13)</f>
        <v>7</v>
      </c>
      <c r="Y13" s="1">
        <f t="shared" si="15"/>
        <v>-20</v>
      </c>
      <c r="Z13" s="1">
        <f>SUM(O13:R13)</f>
        <v>-29.16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</row>
    <row r="14" spans="1:36" x14ac:dyDescent="0.3">
      <c r="B14" t="s">
        <v>25</v>
      </c>
      <c r="C14" s="1">
        <f t="shared" ref="C14:N14" si="18">SUM(C10:C13)</f>
        <v>177</v>
      </c>
      <c r="D14" s="1">
        <f t="shared" si="18"/>
        <v>220</v>
      </c>
      <c r="E14" s="1">
        <f t="shared" si="18"/>
        <v>40</v>
      </c>
      <c r="F14" s="1">
        <f t="shared" si="18"/>
        <v>95</v>
      </c>
      <c r="G14" s="1">
        <f t="shared" si="18"/>
        <v>283</v>
      </c>
      <c r="H14" s="1">
        <f t="shared" si="18"/>
        <v>-48</v>
      </c>
      <c r="I14" s="1">
        <f t="shared" si="18"/>
        <v>83</v>
      </c>
      <c r="J14" s="1">
        <f t="shared" si="18"/>
        <v>51</v>
      </c>
      <c r="K14" s="1">
        <f t="shared" si="18"/>
        <v>46</v>
      </c>
      <c r="L14" s="1">
        <f t="shared" si="18"/>
        <v>97</v>
      </c>
      <c r="M14" s="1">
        <f t="shared" si="18"/>
        <v>138</v>
      </c>
      <c r="N14" s="1">
        <f t="shared" si="18"/>
        <v>47</v>
      </c>
      <c r="O14" s="1">
        <f t="shared" ref="O14:R14" si="19">SUM(O10:O13)</f>
        <v>118</v>
      </c>
      <c r="P14" s="1">
        <f t="shared" si="19"/>
        <v>105</v>
      </c>
      <c r="Q14" s="1">
        <f t="shared" si="19"/>
        <v>140.76</v>
      </c>
      <c r="R14" s="1">
        <f t="shared" si="19"/>
        <v>47.940000000000005</v>
      </c>
      <c r="T14" s="1">
        <f t="shared" ref="T14:AJ14" si="20">SUM(T10:T13)</f>
        <v>-67</v>
      </c>
      <c r="U14" s="1">
        <f t="shared" si="20"/>
        <v>321</v>
      </c>
      <c r="V14" s="1">
        <f t="shared" si="20"/>
        <v>-225</v>
      </c>
      <c r="W14" s="1">
        <f t="shared" si="20"/>
        <v>532</v>
      </c>
      <c r="X14" s="1">
        <f t="shared" si="20"/>
        <v>369</v>
      </c>
      <c r="Y14" s="1">
        <f t="shared" si="20"/>
        <v>328</v>
      </c>
      <c r="Z14" s="1">
        <f t="shared" si="20"/>
        <v>411.7000000000001</v>
      </c>
      <c r="AA14" s="1">
        <f t="shared" si="20"/>
        <v>437.95400000000012</v>
      </c>
      <c r="AB14" s="1">
        <f t="shared" si="20"/>
        <v>442.47864800000013</v>
      </c>
      <c r="AC14" s="1">
        <f t="shared" si="20"/>
        <v>446.99075600000015</v>
      </c>
      <c r="AD14" s="1">
        <f t="shared" si="20"/>
        <v>451.4869822112002</v>
      </c>
      <c r="AE14" s="1">
        <f t="shared" si="20"/>
        <v>455.96382527936021</v>
      </c>
      <c r="AF14" s="1">
        <f t="shared" si="20"/>
        <v>460.41761831160142</v>
      </c>
      <c r="AG14" s="1">
        <f t="shared" si="20"/>
        <v>464.84452270028714</v>
      </c>
      <c r="AH14" s="1">
        <f t="shared" si="20"/>
        <v>469.24052173742024</v>
      </c>
      <c r="AI14" s="1">
        <f t="shared" si="20"/>
        <v>473.60141401278975</v>
      </c>
      <c r="AJ14" s="1">
        <f t="shared" si="20"/>
        <v>477.92280658888529</v>
      </c>
    </row>
    <row r="15" spans="1:36" s="6" customFormat="1" x14ac:dyDescent="0.3">
      <c r="A15"/>
      <c r="B15" s="6" t="s">
        <v>20</v>
      </c>
      <c r="C15" s="7">
        <f t="shared" ref="C15:N15" si="21">C9-C14</f>
        <v>2773</v>
      </c>
      <c r="D15" s="7">
        <f t="shared" si="21"/>
        <v>2798</v>
      </c>
      <c r="E15" s="7">
        <f t="shared" si="21"/>
        <v>3072</v>
      </c>
      <c r="F15" s="7">
        <f t="shared" si="21"/>
        <v>3089</v>
      </c>
      <c r="G15" s="7">
        <f t="shared" si="21"/>
        <v>2853</v>
      </c>
      <c r="H15" s="7">
        <f t="shared" si="21"/>
        <v>3704</v>
      </c>
      <c r="I15" s="7">
        <f t="shared" si="21"/>
        <v>3761</v>
      </c>
      <c r="J15" s="7">
        <f t="shared" si="21"/>
        <v>3321</v>
      </c>
      <c r="K15" s="7">
        <f t="shared" si="21"/>
        <v>3558</v>
      </c>
      <c r="L15" s="7">
        <f t="shared" si="21"/>
        <v>3939</v>
      </c>
      <c r="M15" s="7">
        <f t="shared" si="21"/>
        <v>3866</v>
      </c>
      <c r="N15" s="7">
        <f t="shared" si="21"/>
        <v>3891</v>
      </c>
      <c r="O15" s="7">
        <f t="shared" ref="O15:R15" si="22">O9-O14</f>
        <v>4031</v>
      </c>
      <c r="P15" s="7">
        <f t="shared" si="22"/>
        <v>4672</v>
      </c>
      <c r="Q15" s="7">
        <f t="shared" si="22"/>
        <v>4534.3793999999998</v>
      </c>
      <c r="R15" s="7">
        <f t="shared" si="22"/>
        <v>4358.9129999999996</v>
      </c>
      <c r="T15" s="7">
        <f t="shared" ref="T15:AJ15" si="23">T9-T14</f>
        <v>9731</v>
      </c>
      <c r="U15" s="7">
        <f t="shared" si="23"/>
        <v>7760</v>
      </c>
      <c r="V15" s="7">
        <f t="shared" si="23"/>
        <v>10307</v>
      </c>
      <c r="W15" s="7">
        <f t="shared" si="23"/>
        <v>11732</v>
      </c>
      <c r="X15" s="7">
        <f t="shared" si="23"/>
        <v>13639</v>
      </c>
      <c r="Y15" s="7">
        <f t="shared" si="23"/>
        <v>15254</v>
      </c>
      <c r="Z15" s="7">
        <f t="shared" si="23"/>
        <v>17596.292399999998</v>
      </c>
      <c r="AA15" s="7">
        <f t="shared" si="23"/>
        <v>21281.838639999998</v>
      </c>
      <c r="AB15" s="7">
        <f t="shared" si="23"/>
        <v>23626.671562560005</v>
      </c>
      <c r="AC15" s="7">
        <f t="shared" si="23"/>
        <v>25306.99996929921</v>
      </c>
      <c r="AD15" s="7">
        <f t="shared" si="23"/>
        <v>26590.203279352969</v>
      </c>
      <c r="AE15" s="7">
        <f t="shared" si="23"/>
        <v>27667.39404674738</v>
      </c>
      <c r="AF15" s="7">
        <f t="shared" si="23"/>
        <v>28506.640989875945</v>
      </c>
      <c r="AG15" s="7">
        <f t="shared" si="23"/>
        <v>29371.225843732882</v>
      </c>
      <c r="AH15" s="7">
        <f t="shared" si="23"/>
        <v>30261.911955688745</v>
      </c>
      <c r="AI15" s="7">
        <f t="shared" si="23"/>
        <v>31179.485637736165</v>
      </c>
      <c r="AJ15" s="7">
        <f t="shared" si="23"/>
        <v>32124.756856712538</v>
      </c>
    </row>
    <row r="16" spans="1:36" x14ac:dyDescent="0.3">
      <c r="B16" t="s">
        <v>21</v>
      </c>
      <c r="C16" s="1">
        <v>142</v>
      </c>
      <c r="D16" s="1">
        <v>523</v>
      </c>
      <c r="E16" s="1">
        <v>573</v>
      </c>
      <c r="F16" s="1">
        <v>564</v>
      </c>
      <c r="G16" s="1">
        <v>492</v>
      </c>
      <c r="H16" s="1">
        <v>859</v>
      </c>
      <c r="I16" s="1">
        <v>563</v>
      </c>
      <c r="J16" s="1">
        <v>530</v>
      </c>
      <c r="K16" s="1">
        <v>547</v>
      </c>
      <c r="L16" s="1">
        <v>681</v>
      </c>
      <c r="M16" s="1">
        <v>603</v>
      </c>
      <c r="N16" s="1">
        <v>549</v>
      </c>
      <c r="O16" s="1">
        <v>751</v>
      </c>
      <c r="P16" s="1">
        <v>971</v>
      </c>
      <c r="Q16" s="1">
        <f>Q15*0.18</f>
        <v>816.18829199999993</v>
      </c>
      <c r="R16" s="1">
        <f>R15*0.18</f>
        <v>784.60433999999987</v>
      </c>
      <c r="T16" s="1">
        <v>1613</v>
      </c>
      <c r="U16" s="1">
        <v>1349</v>
      </c>
      <c r="V16" s="1">
        <v>1620</v>
      </c>
      <c r="W16" s="1">
        <f>SUM(C16:F16)</f>
        <v>1802</v>
      </c>
      <c r="X16" s="1">
        <f>SUM(G16:J16)</f>
        <v>2444</v>
      </c>
      <c r="Y16" s="1">
        <f>SUM(K16:N16)</f>
        <v>2380</v>
      </c>
      <c r="Z16" s="1">
        <f>SUM(O16:R16)</f>
        <v>3322.7926319999997</v>
      </c>
      <c r="AA16" s="1">
        <f>AA15*0.18</f>
        <v>3830.7309551999997</v>
      </c>
      <c r="AB16" s="1">
        <f t="shared" ref="AB16:AJ16" si="24">AB15*0.18</f>
        <v>4252.8008812608005</v>
      </c>
      <c r="AC16" s="1">
        <f t="shared" si="24"/>
        <v>4555.2599944738577</v>
      </c>
      <c r="AD16" s="1">
        <f t="shared" si="24"/>
        <v>4786.2365902835345</v>
      </c>
      <c r="AE16" s="1">
        <f t="shared" si="24"/>
        <v>4980.1309284145282</v>
      </c>
      <c r="AF16" s="1">
        <f t="shared" si="24"/>
        <v>5131.1953781776701</v>
      </c>
      <c r="AG16" s="1">
        <f t="shared" si="24"/>
        <v>5286.8206518719189</v>
      </c>
      <c r="AH16" s="1">
        <f t="shared" si="24"/>
        <v>5447.1441520239741</v>
      </c>
      <c r="AI16" s="1">
        <f t="shared" si="24"/>
        <v>5612.307414792509</v>
      </c>
      <c r="AJ16" s="1">
        <f t="shared" si="24"/>
        <v>5782.4562342082563</v>
      </c>
    </row>
    <row r="17" spans="1:146" s="6" customFormat="1" x14ac:dyDescent="0.3">
      <c r="A17"/>
      <c r="B17" s="6" t="s">
        <v>22</v>
      </c>
      <c r="C17" s="7">
        <f t="shared" ref="C17:L17" si="25">C15-C16</f>
        <v>2631</v>
      </c>
      <c r="D17" s="7">
        <f t="shared" si="25"/>
        <v>2275</v>
      </c>
      <c r="E17" s="7">
        <f t="shared" si="25"/>
        <v>2499</v>
      </c>
      <c r="F17" s="7">
        <f t="shared" si="25"/>
        <v>2525</v>
      </c>
      <c r="G17" s="7">
        <f t="shared" si="25"/>
        <v>2361</v>
      </c>
      <c r="H17" s="7">
        <f t="shared" si="25"/>
        <v>2845</v>
      </c>
      <c r="I17" s="7">
        <f t="shared" si="25"/>
        <v>3198</v>
      </c>
      <c r="J17" s="7">
        <f t="shared" si="25"/>
        <v>2791</v>
      </c>
      <c r="K17" s="7">
        <f t="shared" si="25"/>
        <v>3011</v>
      </c>
      <c r="L17" s="7">
        <f t="shared" si="25"/>
        <v>3258</v>
      </c>
      <c r="M17" s="7">
        <f t="shared" ref="M17:N17" si="26">M15-M16</f>
        <v>3263</v>
      </c>
      <c r="N17" s="7">
        <f t="shared" si="26"/>
        <v>3342</v>
      </c>
      <c r="O17" s="7">
        <f t="shared" ref="O17:R17" si="27">O15-O16</f>
        <v>3280</v>
      </c>
      <c r="P17" s="7">
        <f t="shared" si="27"/>
        <v>3701</v>
      </c>
      <c r="Q17" s="7">
        <f t="shared" si="27"/>
        <v>3718.191108</v>
      </c>
      <c r="R17" s="7">
        <f t="shared" si="27"/>
        <v>3574.3086599999997</v>
      </c>
      <c r="T17" s="7">
        <f t="shared" ref="T17:Z17" si="28">T15-T16</f>
        <v>8118</v>
      </c>
      <c r="U17" s="7">
        <f t="shared" si="28"/>
        <v>6411</v>
      </c>
      <c r="V17" s="7">
        <f t="shared" si="28"/>
        <v>8687</v>
      </c>
      <c r="W17" s="7">
        <f t="shared" si="28"/>
        <v>9930</v>
      </c>
      <c r="X17" s="7">
        <f t="shared" si="28"/>
        <v>11195</v>
      </c>
      <c r="Y17" s="7">
        <f t="shared" si="28"/>
        <v>12874</v>
      </c>
      <c r="Z17" s="7">
        <f t="shared" si="28"/>
        <v>14273.499767999998</v>
      </c>
      <c r="AA17" s="7">
        <f t="shared" ref="AA17:AJ17" si="29">AA15-AA16</f>
        <v>17451.107684799998</v>
      </c>
      <c r="AB17" s="7">
        <f t="shared" si="29"/>
        <v>19373.870681299202</v>
      </c>
      <c r="AC17" s="7">
        <f t="shared" si="29"/>
        <v>20751.739974825352</v>
      </c>
      <c r="AD17" s="7">
        <f t="shared" si="29"/>
        <v>21803.966689069435</v>
      </c>
      <c r="AE17" s="7">
        <f t="shared" si="29"/>
        <v>22687.263118332852</v>
      </c>
      <c r="AF17" s="7">
        <f t="shared" si="29"/>
        <v>23375.445611698276</v>
      </c>
      <c r="AG17" s="7">
        <f t="shared" si="29"/>
        <v>24084.405191860962</v>
      </c>
      <c r="AH17" s="7">
        <f t="shared" si="29"/>
        <v>24814.76780366477</v>
      </c>
      <c r="AI17" s="7">
        <f t="shared" si="29"/>
        <v>25567.178222943658</v>
      </c>
      <c r="AJ17" s="7">
        <f t="shared" si="29"/>
        <v>26342.300622504281</v>
      </c>
      <c r="AK17" s="6">
        <f>AJ17+(AJ17*$AM$23)</f>
        <v>26078.877616279238</v>
      </c>
      <c r="AL17" s="6">
        <f t="shared" ref="AL17:CW17" si="30">AK17+(AK17*$AM$23)</f>
        <v>25818.088840116445</v>
      </c>
      <c r="AM17" s="6">
        <f t="shared" si="30"/>
        <v>25559.907951715279</v>
      </c>
      <c r="AN17" s="6">
        <f t="shared" si="30"/>
        <v>25304.308872198126</v>
      </c>
      <c r="AO17" s="6">
        <f t="shared" si="30"/>
        <v>25051.265783476145</v>
      </c>
      <c r="AP17" s="6">
        <f t="shared" si="30"/>
        <v>24800.753125641382</v>
      </c>
      <c r="AQ17" s="6">
        <f t="shared" si="30"/>
        <v>24552.745594384967</v>
      </c>
      <c r="AR17" s="6">
        <f t="shared" si="30"/>
        <v>24307.218138441116</v>
      </c>
      <c r="AS17" s="6">
        <f t="shared" si="30"/>
        <v>24064.145957056706</v>
      </c>
      <c r="AT17" s="6">
        <f t="shared" si="30"/>
        <v>23823.504497486138</v>
      </c>
      <c r="AU17" s="6">
        <f t="shared" si="30"/>
        <v>23585.269452511275</v>
      </c>
      <c r="AV17" s="6">
        <f t="shared" si="30"/>
        <v>23349.416757986161</v>
      </c>
      <c r="AW17" s="6">
        <f t="shared" si="30"/>
        <v>23115.922590406299</v>
      </c>
      <c r="AX17" s="6">
        <f t="shared" si="30"/>
        <v>22884.763364502236</v>
      </c>
      <c r="AY17" s="6">
        <f t="shared" si="30"/>
        <v>22655.915730857214</v>
      </c>
      <c r="AZ17" s="6">
        <f t="shared" si="30"/>
        <v>22429.356573548641</v>
      </c>
      <c r="BA17" s="6">
        <f t="shared" si="30"/>
        <v>22205.063007813154</v>
      </c>
      <c r="BB17" s="6">
        <f t="shared" si="30"/>
        <v>21983.012377735024</v>
      </c>
      <c r="BC17" s="6">
        <f t="shared" si="30"/>
        <v>21763.182253957675</v>
      </c>
      <c r="BD17" s="6">
        <f t="shared" si="30"/>
        <v>21545.550431418098</v>
      </c>
      <c r="BE17" s="6">
        <f t="shared" si="30"/>
        <v>21330.094927103917</v>
      </c>
      <c r="BF17" s="6">
        <f t="shared" si="30"/>
        <v>21116.793977832876</v>
      </c>
      <c r="BG17" s="6">
        <f t="shared" si="30"/>
        <v>20905.626038054546</v>
      </c>
      <c r="BH17" s="6">
        <f t="shared" si="30"/>
        <v>20696.569777674002</v>
      </c>
      <c r="BI17" s="6">
        <f t="shared" si="30"/>
        <v>20489.604079897261</v>
      </c>
      <c r="BJ17" s="6">
        <f t="shared" si="30"/>
        <v>20284.708039098288</v>
      </c>
      <c r="BK17" s="6">
        <f t="shared" si="30"/>
        <v>20081.860958707304</v>
      </c>
      <c r="BL17" s="6">
        <f t="shared" si="30"/>
        <v>19881.042349120231</v>
      </c>
      <c r="BM17" s="6">
        <f t="shared" si="30"/>
        <v>19682.231925629028</v>
      </c>
      <c r="BN17" s="6">
        <f t="shared" si="30"/>
        <v>19485.409606372737</v>
      </c>
      <c r="BO17" s="6">
        <f t="shared" si="30"/>
        <v>19290.555510309012</v>
      </c>
      <c r="BP17" s="6">
        <f t="shared" si="30"/>
        <v>19097.649955205921</v>
      </c>
      <c r="BQ17" s="6">
        <f t="shared" si="30"/>
        <v>18906.673455653861</v>
      </c>
      <c r="BR17" s="6">
        <f t="shared" si="30"/>
        <v>18717.606721097323</v>
      </c>
      <c r="BS17" s="6">
        <f t="shared" si="30"/>
        <v>18530.430653886349</v>
      </c>
      <c r="BT17" s="6">
        <f t="shared" si="30"/>
        <v>18345.126347347486</v>
      </c>
      <c r="BU17" s="6">
        <f t="shared" si="30"/>
        <v>18161.675083874012</v>
      </c>
      <c r="BV17" s="6">
        <f t="shared" si="30"/>
        <v>17980.058333035271</v>
      </c>
      <c r="BW17" s="6">
        <f t="shared" si="30"/>
        <v>17800.257749704917</v>
      </c>
      <c r="BX17" s="6">
        <f t="shared" si="30"/>
        <v>17622.255172207868</v>
      </c>
      <c r="BY17" s="6">
        <f t="shared" si="30"/>
        <v>17446.032620485788</v>
      </c>
      <c r="BZ17" s="6">
        <f t="shared" si="30"/>
        <v>17271.57229428093</v>
      </c>
      <c r="CA17" s="6">
        <f t="shared" si="30"/>
        <v>17098.856571338121</v>
      </c>
      <c r="CB17" s="6">
        <f t="shared" si="30"/>
        <v>16927.868005624739</v>
      </c>
      <c r="CC17" s="6">
        <f t="shared" si="30"/>
        <v>16758.589325568493</v>
      </c>
      <c r="CD17" s="6">
        <f t="shared" si="30"/>
        <v>16591.003432312809</v>
      </c>
      <c r="CE17" s="6">
        <f t="shared" si="30"/>
        <v>16425.09339798968</v>
      </c>
      <c r="CF17" s="6">
        <f t="shared" si="30"/>
        <v>16260.842464009784</v>
      </c>
      <c r="CG17" s="6">
        <f t="shared" si="30"/>
        <v>16098.234039369687</v>
      </c>
      <c r="CH17" s="6">
        <f t="shared" si="30"/>
        <v>15937.25169897599</v>
      </c>
      <c r="CI17" s="6">
        <f t="shared" si="30"/>
        <v>15777.879181986229</v>
      </c>
      <c r="CJ17" s="6">
        <f t="shared" si="30"/>
        <v>15620.100390166366</v>
      </c>
      <c r="CK17" s="6">
        <f t="shared" si="30"/>
        <v>15463.899386264702</v>
      </c>
      <c r="CL17" s="6">
        <f t="shared" si="30"/>
        <v>15309.260392402055</v>
      </c>
      <c r="CM17" s="6">
        <f t="shared" si="30"/>
        <v>15156.167788478035</v>
      </c>
      <c r="CN17" s="6">
        <f t="shared" si="30"/>
        <v>15004.606110593255</v>
      </c>
      <c r="CO17" s="6">
        <f t="shared" si="30"/>
        <v>14854.560049487322</v>
      </c>
      <c r="CP17" s="6">
        <f t="shared" si="30"/>
        <v>14706.014448992448</v>
      </c>
      <c r="CQ17" s="6">
        <f t="shared" si="30"/>
        <v>14558.954304502524</v>
      </c>
      <c r="CR17" s="6">
        <f t="shared" si="30"/>
        <v>14413.364761457498</v>
      </c>
      <c r="CS17" s="6">
        <f t="shared" si="30"/>
        <v>14269.231113842923</v>
      </c>
      <c r="CT17" s="6">
        <f t="shared" si="30"/>
        <v>14126.538802704494</v>
      </c>
      <c r="CU17" s="6">
        <f t="shared" si="30"/>
        <v>13985.273414677449</v>
      </c>
      <c r="CV17" s="6">
        <f t="shared" si="30"/>
        <v>13845.420680530675</v>
      </c>
      <c r="CW17" s="6">
        <f t="shared" si="30"/>
        <v>13706.966473725368</v>
      </c>
      <c r="CX17" s="6">
        <f t="shared" ref="CX17:EP17" si="31">CW17+(CW17*$AM$23)</f>
        <v>13569.896808988115</v>
      </c>
      <c r="CY17" s="6">
        <f t="shared" si="31"/>
        <v>13434.197840898234</v>
      </c>
      <c r="CZ17" s="6">
        <f t="shared" si="31"/>
        <v>13299.855862489252</v>
      </c>
      <c r="DA17" s="6">
        <f t="shared" si="31"/>
        <v>13166.857303864359</v>
      </c>
      <c r="DB17" s="6">
        <f t="shared" si="31"/>
        <v>13035.188730825716</v>
      </c>
      <c r="DC17" s="6">
        <f t="shared" si="31"/>
        <v>12904.836843517458</v>
      </c>
      <c r="DD17" s="6">
        <f t="shared" si="31"/>
        <v>12775.788475082283</v>
      </c>
      <c r="DE17" s="6">
        <f t="shared" si="31"/>
        <v>12648.03059033146</v>
      </c>
      <c r="DF17" s="6">
        <f t="shared" si="31"/>
        <v>12521.550284428145</v>
      </c>
      <c r="DG17" s="6">
        <f t="shared" si="31"/>
        <v>12396.334781583864</v>
      </c>
      <c r="DH17" s="6">
        <f t="shared" si="31"/>
        <v>12272.371433768025</v>
      </c>
      <c r="DI17" s="6">
        <f t="shared" si="31"/>
        <v>12149.647719430344</v>
      </c>
      <c r="DJ17" s="6">
        <f t="shared" si="31"/>
        <v>12028.151242236041</v>
      </c>
      <c r="DK17" s="6">
        <f t="shared" si="31"/>
        <v>11907.869729813681</v>
      </c>
      <c r="DL17" s="6">
        <f t="shared" si="31"/>
        <v>11788.791032515544</v>
      </c>
      <c r="DM17" s="6">
        <f t="shared" si="31"/>
        <v>11670.90312219039</v>
      </c>
      <c r="DN17" s="6">
        <f t="shared" si="31"/>
        <v>11554.194090968485</v>
      </c>
      <c r="DO17" s="6">
        <f t="shared" si="31"/>
        <v>11438.652150058801</v>
      </c>
      <c r="DP17" s="6">
        <f t="shared" si="31"/>
        <v>11324.265628558212</v>
      </c>
      <c r="DQ17" s="6">
        <f t="shared" si="31"/>
        <v>11211.022972272631</v>
      </c>
      <c r="DR17" s="6">
        <f t="shared" si="31"/>
        <v>11098.912742549905</v>
      </c>
      <c r="DS17" s="6">
        <f t="shared" si="31"/>
        <v>10987.923615124406</v>
      </c>
      <c r="DT17" s="6">
        <f t="shared" si="31"/>
        <v>10878.044378973162</v>
      </c>
      <c r="DU17" s="6">
        <f t="shared" si="31"/>
        <v>10769.26393518343</v>
      </c>
      <c r="DV17" s="6">
        <f t="shared" si="31"/>
        <v>10661.571295831594</v>
      </c>
      <c r="DW17" s="6">
        <f t="shared" si="31"/>
        <v>10554.955582873279</v>
      </c>
      <c r="DX17" s="6">
        <f t="shared" si="31"/>
        <v>10449.406027044546</v>
      </c>
      <c r="DY17" s="6">
        <f t="shared" si="31"/>
        <v>10344.911966774102</v>
      </c>
      <c r="DZ17" s="6">
        <f t="shared" si="31"/>
        <v>10241.462847106361</v>
      </c>
      <c r="EA17" s="6">
        <f t="shared" si="31"/>
        <v>10139.048218635297</v>
      </c>
      <c r="EB17" s="6">
        <f t="shared" si="31"/>
        <v>10037.657736448944</v>
      </c>
      <c r="EC17" s="6">
        <f t="shared" si="31"/>
        <v>9937.281159084454</v>
      </c>
      <c r="ED17" s="6">
        <f t="shared" si="31"/>
        <v>9837.9083474936087</v>
      </c>
      <c r="EE17" s="6">
        <f t="shared" si="31"/>
        <v>9739.5292640186726</v>
      </c>
      <c r="EF17" s="6">
        <f t="shared" si="31"/>
        <v>9642.1339713784855</v>
      </c>
      <c r="EG17" s="6">
        <f t="shared" si="31"/>
        <v>9545.7126316647009</v>
      </c>
      <c r="EH17" s="6">
        <f t="shared" si="31"/>
        <v>9450.2555053480537</v>
      </c>
      <c r="EI17" s="6">
        <f t="shared" si="31"/>
        <v>9355.7529502945727</v>
      </c>
      <c r="EJ17" s="6">
        <f t="shared" si="31"/>
        <v>9262.1954207916278</v>
      </c>
      <c r="EK17" s="6">
        <f t="shared" si="31"/>
        <v>9169.5734665837117</v>
      </c>
      <c r="EL17" s="6">
        <f t="shared" si="31"/>
        <v>9077.8777319178753</v>
      </c>
      <c r="EM17" s="6">
        <f t="shared" si="31"/>
        <v>8987.0989545986959</v>
      </c>
      <c r="EN17" s="6">
        <f t="shared" si="31"/>
        <v>8897.2279650527089</v>
      </c>
      <c r="EO17" s="6">
        <f t="shared" si="31"/>
        <v>8808.2556854021823</v>
      </c>
      <c r="EP17" s="6">
        <f t="shared" si="31"/>
        <v>8720.1731285481601</v>
      </c>
    </row>
    <row r="18" spans="1:146" x14ac:dyDescent="0.3">
      <c r="B18" t="s">
        <v>1</v>
      </c>
      <c r="C18" s="1">
        <f t="shared" ref="C18:L18" si="32">922.5+7.1</f>
        <v>929.6</v>
      </c>
      <c r="D18" s="1">
        <f t="shared" si="32"/>
        <v>929.6</v>
      </c>
      <c r="E18" s="1">
        <f t="shared" si="32"/>
        <v>929.6</v>
      </c>
      <c r="F18" s="1">
        <f t="shared" si="32"/>
        <v>929.6</v>
      </c>
      <c r="G18" s="1">
        <f t="shared" si="32"/>
        <v>929.6</v>
      </c>
      <c r="H18" s="1">
        <f t="shared" si="32"/>
        <v>929.6</v>
      </c>
      <c r="I18" s="1">
        <f t="shared" si="32"/>
        <v>929.6</v>
      </c>
      <c r="J18" s="1">
        <f t="shared" si="32"/>
        <v>929.6</v>
      </c>
      <c r="K18" s="1">
        <f t="shared" si="32"/>
        <v>929.6</v>
      </c>
      <c r="L18" s="1">
        <f t="shared" si="32"/>
        <v>929.6</v>
      </c>
      <c r="M18" s="1">
        <f>910.8+7.1</f>
        <v>917.9</v>
      </c>
      <c r="N18" s="1">
        <f>904.9+6.8</f>
        <v>911.69999999999993</v>
      </c>
      <c r="O18" s="1">
        <f>901.3+6.8</f>
        <v>908.09999999999991</v>
      </c>
      <c r="P18" s="1">
        <f>897.3+6.7</f>
        <v>904</v>
      </c>
      <c r="Q18" s="1">
        <f>897.3+6.7</f>
        <v>904</v>
      </c>
      <c r="R18" s="1">
        <f>897.3+6.7</f>
        <v>904</v>
      </c>
      <c r="T18" s="1">
        <f t="shared" ref="T18:X18" si="33">922.5+7.1</f>
        <v>929.6</v>
      </c>
      <c r="U18" s="1">
        <f t="shared" si="33"/>
        <v>929.6</v>
      </c>
      <c r="V18" s="1">
        <f t="shared" si="33"/>
        <v>929.6</v>
      </c>
      <c r="W18" s="1">
        <f t="shared" si="33"/>
        <v>929.6</v>
      </c>
      <c r="X18" s="1">
        <f t="shared" si="33"/>
        <v>929.6</v>
      </c>
      <c r="Y18" s="1">
        <f t="shared" ref="Y18" si="34">904.9+6.8</f>
        <v>911.69999999999993</v>
      </c>
      <c r="Z18" s="1">
        <f t="shared" ref="Z18:AJ18" si="35">897.3+6.7</f>
        <v>904</v>
      </c>
      <c r="AA18" s="1">
        <f t="shared" si="35"/>
        <v>904</v>
      </c>
      <c r="AB18" s="1">
        <f t="shared" si="35"/>
        <v>904</v>
      </c>
      <c r="AC18" s="1">
        <f t="shared" si="35"/>
        <v>904</v>
      </c>
      <c r="AD18" s="1">
        <f t="shared" si="35"/>
        <v>904</v>
      </c>
      <c r="AE18" s="1">
        <f t="shared" si="35"/>
        <v>904</v>
      </c>
      <c r="AF18" s="1">
        <f t="shared" si="35"/>
        <v>904</v>
      </c>
      <c r="AG18" s="1">
        <f t="shared" si="35"/>
        <v>904</v>
      </c>
      <c r="AH18" s="1">
        <f t="shared" si="35"/>
        <v>904</v>
      </c>
      <c r="AI18" s="1">
        <f t="shared" si="35"/>
        <v>904</v>
      </c>
      <c r="AJ18" s="1">
        <f t="shared" si="35"/>
        <v>904</v>
      </c>
    </row>
    <row r="19" spans="1:146" x14ac:dyDescent="0.3">
      <c r="B19" t="s">
        <v>23</v>
      </c>
      <c r="C19" s="5">
        <f t="shared" ref="C19:L19" si="36">C17/C18</f>
        <v>2.830249569707401</v>
      </c>
      <c r="D19" s="5">
        <f t="shared" si="36"/>
        <v>2.447289156626506</v>
      </c>
      <c r="E19" s="5">
        <f t="shared" si="36"/>
        <v>2.6882530120481927</v>
      </c>
      <c r="F19" s="5">
        <f t="shared" si="36"/>
        <v>2.7162220309810672</v>
      </c>
      <c r="G19" s="5">
        <f t="shared" si="36"/>
        <v>2.5398020654044751</v>
      </c>
      <c r="H19" s="5">
        <f t="shared" si="36"/>
        <v>3.060456110154905</v>
      </c>
      <c r="I19" s="5">
        <f t="shared" si="36"/>
        <v>3.4401893287435454</v>
      </c>
      <c r="J19" s="5">
        <f t="shared" si="36"/>
        <v>3.0023666092943202</v>
      </c>
      <c r="K19" s="5">
        <f t="shared" si="36"/>
        <v>3.2390275387263339</v>
      </c>
      <c r="L19" s="5">
        <f t="shared" si="36"/>
        <v>3.5047332185886404</v>
      </c>
      <c r="M19" s="5">
        <f t="shared" ref="M19:N19" si="37">M17/M18</f>
        <v>3.554853469876893</v>
      </c>
      <c r="N19" s="5">
        <f t="shared" si="37"/>
        <v>3.6656794998354725</v>
      </c>
      <c r="O19" s="5">
        <f t="shared" ref="O19:R19" si="38">O17/O18</f>
        <v>3.6119370113423637</v>
      </c>
      <c r="P19" s="5">
        <f t="shared" si="38"/>
        <v>4.0940265486725664</v>
      </c>
      <c r="Q19" s="5">
        <f t="shared" si="38"/>
        <v>4.1130432610619465</v>
      </c>
      <c r="R19" s="5">
        <f t="shared" si="38"/>
        <v>3.9538812610619467</v>
      </c>
      <c r="T19" s="5">
        <f t="shared" ref="T19:Z19" si="39">T17/T18</f>
        <v>8.7327882960413081</v>
      </c>
      <c r="U19" s="5">
        <f t="shared" si="39"/>
        <v>6.8965146299483644</v>
      </c>
      <c r="V19" s="5">
        <f t="shared" si="39"/>
        <v>9.3448795180722897</v>
      </c>
      <c r="W19" s="5">
        <f t="shared" si="39"/>
        <v>10.682013769363166</v>
      </c>
      <c r="X19" s="5">
        <f t="shared" si="39"/>
        <v>12.042814113597245</v>
      </c>
      <c r="Y19" s="5">
        <f t="shared" si="39"/>
        <v>14.120873094219592</v>
      </c>
      <c r="Z19" s="5">
        <f t="shared" si="39"/>
        <v>15.789269654867255</v>
      </c>
      <c r="AA19" s="5">
        <f t="shared" ref="AA19:AJ19" si="40">AA17/AA18</f>
        <v>19.30432266017699</v>
      </c>
      <c r="AB19" s="5">
        <f t="shared" si="40"/>
        <v>21.431272877543364</v>
      </c>
      <c r="AC19" s="5">
        <f t="shared" si="40"/>
        <v>22.955464573921848</v>
      </c>
      <c r="AD19" s="5">
        <f t="shared" si="40"/>
        <v>24.119432178174154</v>
      </c>
      <c r="AE19" s="5">
        <f t="shared" si="40"/>
        <v>25.096529998155809</v>
      </c>
      <c r="AF19" s="5">
        <f t="shared" si="40"/>
        <v>25.857793818250308</v>
      </c>
      <c r="AG19" s="5">
        <f t="shared" si="40"/>
        <v>26.642041141439119</v>
      </c>
      <c r="AH19" s="5">
        <f t="shared" si="40"/>
        <v>27.449964384584923</v>
      </c>
      <c r="AI19" s="5">
        <f t="shared" si="40"/>
        <v>28.282276795291658</v>
      </c>
      <c r="AJ19" s="5">
        <f t="shared" si="40"/>
        <v>29.139713077991463</v>
      </c>
    </row>
    <row r="21" spans="1:146" x14ac:dyDescent="0.3">
      <c r="B21" t="s">
        <v>38</v>
      </c>
      <c r="C21" s="8"/>
      <c r="D21" s="8"/>
      <c r="E21" s="8"/>
      <c r="F21" s="8"/>
      <c r="G21" s="8">
        <f>G3/C3-1</f>
        <v>0.11244435842848843</v>
      </c>
      <c r="H21" s="8">
        <f t="shared" ref="H21:N21" si="41">H3/D3-1</f>
        <v>0.14044024013098055</v>
      </c>
      <c r="I21" s="8">
        <f t="shared" si="41"/>
        <v>0.13498957609451012</v>
      </c>
      <c r="J21" s="8">
        <f t="shared" si="41"/>
        <v>0.12566615093690903</v>
      </c>
      <c r="K21" s="8">
        <f t="shared" si="41"/>
        <v>0.10438413361169108</v>
      </c>
      <c r="L21" s="8">
        <f t="shared" si="41"/>
        <v>0.11038443132876052</v>
      </c>
      <c r="M21" s="8">
        <f t="shared" si="41"/>
        <v>0.1279657125363538</v>
      </c>
      <c r="N21" s="8">
        <f t="shared" si="41"/>
        <v>0.14370800244349424</v>
      </c>
      <c r="O21" s="8">
        <f t="shared" ref="O21" si="42">O3/K3-1</f>
        <v>0.14209199747952117</v>
      </c>
      <c r="P21" s="8">
        <f t="shared" ref="P21" si="43">P3/L3-1</f>
        <v>0.1683666139922424</v>
      </c>
      <c r="Q21" s="8">
        <f t="shared" ref="Q21" si="44">Q3/M3-1</f>
        <v>0.1399999999999999</v>
      </c>
      <c r="R21" s="8">
        <f t="shared" ref="R21" si="45">R3/N3-1</f>
        <v>0.1399999999999999</v>
      </c>
      <c r="T21" s="8"/>
      <c r="U21" s="8">
        <f>U3/T3-1</f>
        <v>-9.3703725641177571E-2</v>
      </c>
      <c r="V21" s="8">
        <f t="shared" ref="V21:AJ21" si="46">V3/U3-1</f>
        <v>0.23416770145742105</v>
      </c>
      <c r="W21" s="8">
        <f t="shared" si="46"/>
        <v>0.17755772082185972</v>
      </c>
      <c r="X21" s="8">
        <f t="shared" si="46"/>
        <v>0.1286594414714215</v>
      </c>
      <c r="Y21" s="8">
        <f t="shared" si="46"/>
        <v>0.12228065981353087</v>
      </c>
      <c r="Z21" s="8">
        <f t="shared" si="46"/>
        <v>0.14748180494905383</v>
      </c>
      <c r="AA21" s="8">
        <f t="shared" si="46"/>
        <v>0.12000000000000011</v>
      </c>
      <c r="AB21" s="8">
        <f t="shared" si="46"/>
        <v>9.000000000000008E-2</v>
      </c>
      <c r="AC21" s="8">
        <f t="shared" si="46"/>
        <v>7.0000000000000062E-2</v>
      </c>
      <c r="AD21" s="8">
        <f t="shared" si="46"/>
        <v>5.0000000000000044E-2</v>
      </c>
      <c r="AE21" s="8">
        <f t="shared" si="46"/>
        <v>4.0000000000000036E-2</v>
      </c>
      <c r="AF21" s="8">
        <f t="shared" si="46"/>
        <v>3.0000000000000027E-2</v>
      </c>
      <c r="AG21" s="8">
        <f t="shared" si="46"/>
        <v>3.0000000000000027E-2</v>
      </c>
      <c r="AH21" s="8">
        <f t="shared" si="46"/>
        <v>3.0000000000000027E-2</v>
      </c>
      <c r="AI21" s="8">
        <f t="shared" si="46"/>
        <v>3.0000000000000027E-2</v>
      </c>
      <c r="AJ21" s="8">
        <f t="shared" si="46"/>
        <v>3.0000000000000027E-2</v>
      </c>
    </row>
    <row r="22" spans="1:146" x14ac:dyDescent="0.3">
      <c r="B22" t="s">
        <v>39</v>
      </c>
      <c r="C22" s="8">
        <f t="shared" ref="C22:F22" si="47">C5/C3</f>
        <v>0.64311979872266301</v>
      </c>
      <c r="D22" s="8">
        <f t="shared" si="47"/>
        <v>0.64580680371111521</v>
      </c>
      <c r="E22" s="8">
        <f t="shared" si="47"/>
        <v>0.64054899235580265</v>
      </c>
      <c r="F22" s="8">
        <f t="shared" si="47"/>
        <v>0.61870379920921437</v>
      </c>
      <c r="G22" s="8">
        <f>G5/G3</f>
        <v>0.64457202505219202</v>
      </c>
      <c r="H22" s="8">
        <f t="shared" ref="H22:N22" si="48">H5/H3</f>
        <v>0.64906683681607913</v>
      </c>
      <c r="I22" s="8">
        <f t="shared" si="48"/>
        <v>0.65023725700290835</v>
      </c>
      <c r="J22" s="8">
        <f t="shared" si="48"/>
        <v>0.63362858888210138</v>
      </c>
      <c r="K22" s="8">
        <f t="shared" si="48"/>
        <v>0.63988657844990549</v>
      </c>
      <c r="L22" s="8">
        <f t="shared" si="48"/>
        <v>0.65263611550064649</v>
      </c>
      <c r="M22" s="8">
        <f t="shared" si="48"/>
        <v>0.62762925770118061</v>
      </c>
      <c r="N22" s="8">
        <f t="shared" si="48"/>
        <v>0.63346241153692084</v>
      </c>
      <c r="O22" s="8">
        <f t="shared" ref="O22:R22" si="49">O5/O3</f>
        <v>0.65200000000000002</v>
      </c>
      <c r="P22" s="8">
        <f t="shared" si="49"/>
        <v>0.65990409443009956</v>
      </c>
      <c r="Q22" s="8">
        <f t="shared" si="49"/>
        <v>0.64</v>
      </c>
      <c r="R22" s="8">
        <f t="shared" si="49"/>
        <v>0.63</v>
      </c>
      <c r="T22" s="8">
        <f t="shared" ref="T22:AJ22" si="50">T5/T3</f>
        <v>0.65865071373571049</v>
      </c>
      <c r="U22" s="8">
        <f t="shared" si="50"/>
        <v>0.61375073524606238</v>
      </c>
      <c r="V22" s="8">
        <f t="shared" si="50"/>
        <v>0.62470874814657906</v>
      </c>
      <c r="W22" s="8">
        <f t="shared" si="50"/>
        <v>0.63673157350362009</v>
      </c>
      <c r="X22" s="8">
        <f t="shared" si="50"/>
        <v>0.64431428799107504</v>
      </c>
      <c r="Y22" s="8">
        <f t="shared" si="50"/>
        <v>0.63812262576774237</v>
      </c>
      <c r="Z22" s="8">
        <f t="shared" si="50"/>
        <v>0.64505877890370134</v>
      </c>
      <c r="AA22" s="8">
        <f t="shared" si="50"/>
        <v>0.65</v>
      </c>
      <c r="AB22" s="8">
        <f t="shared" si="50"/>
        <v>0.66</v>
      </c>
      <c r="AC22" s="8">
        <f t="shared" si="50"/>
        <v>0.66</v>
      </c>
      <c r="AD22" s="8">
        <f t="shared" si="50"/>
        <v>0.66</v>
      </c>
      <c r="AE22" s="8">
        <f t="shared" si="50"/>
        <v>0.66</v>
      </c>
      <c r="AF22" s="8">
        <f t="shared" si="50"/>
        <v>0.66</v>
      </c>
      <c r="AG22" s="8">
        <f t="shared" si="50"/>
        <v>0.66</v>
      </c>
      <c r="AH22" s="8">
        <f t="shared" si="50"/>
        <v>0.66000000000000014</v>
      </c>
      <c r="AI22" s="8">
        <f t="shared" si="50"/>
        <v>0.66</v>
      </c>
      <c r="AJ22" s="8">
        <f t="shared" si="50"/>
        <v>0.66000000000000014</v>
      </c>
    </row>
    <row r="23" spans="1:146" x14ac:dyDescent="0.3">
      <c r="B23" t="s">
        <v>40</v>
      </c>
      <c r="C23" s="8">
        <f t="shared" ref="C23:F23" si="51">C6/C3</f>
        <v>3.5029998064640994E-2</v>
      </c>
      <c r="D23" s="8">
        <f t="shared" si="51"/>
        <v>3.8202655994178644E-2</v>
      </c>
      <c r="E23" s="8">
        <f t="shared" si="51"/>
        <v>3.1619179986101462E-2</v>
      </c>
      <c r="F23" s="8">
        <f t="shared" si="51"/>
        <v>3.7132542547705004E-2</v>
      </c>
      <c r="G23" s="8">
        <f>G6/G3</f>
        <v>2.9053583855254E-2</v>
      </c>
      <c r="H23" s="8">
        <f t="shared" ref="H23:N23" si="52">H6/H3</f>
        <v>3.2062529909076411E-2</v>
      </c>
      <c r="I23" s="8">
        <f t="shared" si="52"/>
        <v>2.9542323587938159E-2</v>
      </c>
      <c r="J23" s="8">
        <f t="shared" si="52"/>
        <v>4.0317654245571169E-2</v>
      </c>
      <c r="K23" s="8">
        <f t="shared" si="52"/>
        <v>1.8273471959672338E-2</v>
      </c>
      <c r="L23" s="8">
        <f t="shared" si="52"/>
        <v>2.6432983766700186E-2</v>
      </c>
      <c r="M23" s="8">
        <f t="shared" si="52"/>
        <v>2.9854797123083185E-2</v>
      </c>
      <c r="N23" s="8">
        <f t="shared" si="52"/>
        <v>3.9391106956870078E-2</v>
      </c>
      <c r="O23" s="8">
        <f t="shared" ref="O23:R23" si="53">O6/O3</f>
        <v>2.0965517241379312E-2</v>
      </c>
      <c r="P23" s="8">
        <f t="shared" si="53"/>
        <v>2.6189597934341571E-2</v>
      </c>
      <c r="Q23" s="8">
        <f t="shared" si="53"/>
        <v>0.03</v>
      </c>
      <c r="R23" s="8">
        <f t="shared" si="53"/>
        <v>0.04</v>
      </c>
      <c r="T23" s="8">
        <f t="shared" ref="T23:AJ23" si="54">T6/T3</f>
        <v>5.5321921459456261E-2</v>
      </c>
      <c r="U23" s="8">
        <f t="shared" si="54"/>
        <v>4.2938370041173776E-2</v>
      </c>
      <c r="V23" s="8">
        <f t="shared" si="54"/>
        <v>4.7394619783944082E-2</v>
      </c>
      <c r="W23" s="8">
        <f t="shared" si="54"/>
        <v>3.5481404865764267E-2</v>
      </c>
      <c r="X23" s="8">
        <f t="shared" si="54"/>
        <v>3.2871145111164235E-2</v>
      </c>
      <c r="Y23" s="8">
        <f t="shared" si="54"/>
        <v>2.893456882167075E-2</v>
      </c>
      <c r="Z23" s="8">
        <f t="shared" si="54"/>
        <v>2.9656094838297682E-2</v>
      </c>
      <c r="AA23" s="8">
        <f t="shared" si="54"/>
        <v>3.0000000000000002E-2</v>
      </c>
      <c r="AB23" s="8">
        <f t="shared" si="54"/>
        <v>0.03</v>
      </c>
      <c r="AC23" s="8">
        <f t="shared" si="54"/>
        <v>0.03</v>
      </c>
      <c r="AD23" s="8">
        <f t="shared" si="54"/>
        <v>0.03</v>
      </c>
      <c r="AE23" s="8">
        <f t="shared" si="54"/>
        <v>2.9999999999999995E-2</v>
      </c>
      <c r="AF23" s="8">
        <f t="shared" si="54"/>
        <v>2.9999999999999995E-2</v>
      </c>
      <c r="AG23" s="8">
        <f t="shared" si="54"/>
        <v>0.03</v>
      </c>
      <c r="AH23" s="8">
        <f t="shared" si="54"/>
        <v>0.03</v>
      </c>
      <c r="AI23" s="8">
        <f t="shared" si="54"/>
        <v>3.0000000000000002E-2</v>
      </c>
      <c r="AJ23" s="8">
        <f t="shared" si="54"/>
        <v>3.0000000000000002E-2</v>
      </c>
      <c r="AL23" t="s">
        <v>46</v>
      </c>
      <c r="AM23" s="8">
        <v>-0.01</v>
      </c>
    </row>
    <row r="24" spans="1:146" x14ac:dyDescent="0.3">
      <c r="B24" t="s">
        <v>41</v>
      </c>
      <c r="C24" s="8"/>
      <c r="D24" s="8"/>
      <c r="E24" s="8"/>
      <c r="F24" s="8"/>
      <c r="G24" s="8">
        <f>G7/C7-1</f>
        <v>-5.2083333333333703E-3</v>
      </c>
      <c r="H24" s="8">
        <f t="shared" ref="H24:N24" si="55">H7/D7-1</f>
        <v>1.5873015873015817E-2</v>
      </c>
      <c r="I24" s="8">
        <f t="shared" si="55"/>
        <v>0.14054054054054044</v>
      </c>
      <c r="J24" s="8">
        <f t="shared" si="55"/>
        <v>0.11413043478260865</v>
      </c>
      <c r="K24" s="8">
        <f t="shared" si="55"/>
        <v>0.13089005235602102</v>
      </c>
      <c r="L24" s="8">
        <f t="shared" si="55"/>
        <v>0.171875</v>
      </c>
      <c r="M24" s="8">
        <f t="shared" si="55"/>
        <v>6.6350710900473953E-2</v>
      </c>
      <c r="N24" s="8">
        <f t="shared" si="55"/>
        <v>0.12682926829268282</v>
      </c>
      <c r="O24" s="8">
        <f t="shared" ref="O24" si="56">O7/K7-1</f>
        <v>0.27314814814814814</v>
      </c>
      <c r="P24" s="8">
        <f t="shared" ref="P24" si="57">P7/L7-1</f>
        <v>0.24888888888888894</v>
      </c>
      <c r="Q24" s="8">
        <f t="shared" ref="Q24" si="58">Q7/M7-1</f>
        <v>0.25</v>
      </c>
      <c r="R24" s="8">
        <f t="shared" ref="R24" si="59">R7/N7-1</f>
        <v>0.25</v>
      </c>
      <c r="T24" s="8"/>
      <c r="U24" s="8">
        <f>U7/T7-1</f>
        <v>0.11111111111111116</v>
      </c>
      <c r="V24" s="8">
        <f t="shared" ref="V24:AJ24" si="60">V7/U7-1</f>
        <v>0.25172413793103443</v>
      </c>
      <c r="W24" s="8">
        <f t="shared" si="60"/>
        <v>3.3057851239669311E-2</v>
      </c>
      <c r="X24" s="8">
        <f t="shared" si="60"/>
        <v>6.5333333333333243E-2</v>
      </c>
      <c r="Y24" s="8">
        <f t="shared" si="60"/>
        <v>0.12265331664580725</v>
      </c>
      <c r="Z24" s="8">
        <f t="shared" si="60"/>
        <v>0.25529542920847259</v>
      </c>
      <c r="AA24" s="8">
        <f t="shared" si="60"/>
        <v>-1</v>
      </c>
      <c r="AB24" s="8" t="e">
        <f t="shared" si="60"/>
        <v>#DIV/0!</v>
      </c>
      <c r="AC24" s="8" t="e">
        <f t="shared" si="60"/>
        <v>#DIV/0!</v>
      </c>
      <c r="AD24" s="8" t="e">
        <f t="shared" si="60"/>
        <v>#DIV/0!</v>
      </c>
      <c r="AE24" s="8" t="e">
        <f t="shared" si="60"/>
        <v>#DIV/0!</v>
      </c>
      <c r="AF24" s="8" t="e">
        <f t="shared" si="60"/>
        <v>#DIV/0!</v>
      </c>
      <c r="AG24" s="8" t="e">
        <f t="shared" si="60"/>
        <v>#DIV/0!</v>
      </c>
      <c r="AH24" s="8" t="e">
        <f t="shared" si="60"/>
        <v>#DIV/0!</v>
      </c>
      <c r="AI24" s="8" t="e">
        <f t="shared" si="60"/>
        <v>#DIV/0!</v>
      </c>
      <c r="AJ24" s="8" t="e">
        <f t="shared" si="60"/>
        <v>#DIV/0!</v>
      </c>
      <c r="AL24" t="s">
        <v>47</v>
      </c>
      <c r="AM24" s="8">
        <v>0.06</v>
      </c>
    </row>
    <row r="25" spans="1:146" x14ac:dyDescent="0.3">
      <c r="B25" t="s">
        <v>42</v>
      </c>
      <c r="C25" s="8">
        <f t="shared" ref="C25:F25" si="61">C8/C3</f>
        <v>0</v>
      </c>
      <c r="D25" s="8">
        <f t="shared" si="61"/>
        <v>2.4195015462979808E-2</v>
      </c>
      <c r="E25" s="8">
        <f t="shared" si="61"/>
        <v>3.6136205698401667E-2</v>
      </c>
      <c r="F25" s="8">
        <f t="shared" si="61"/>
        <v>2.5786487880350697E-3</v>
      </c>
      <c r="G25" s="8">
        <f>G8/G3</f>
        <v>3.6708420320111346E-2</v>
      </c>
      <c r="H25" s="8">
        <f t="shared" ref="H25:N25" si="62">H8/H3</f>
        <v>3.1903014834901897E-3</v>
      </c>
      <c r="I25" s="8">
        <f t="shared" si="62"/>
        <v>0</v>
      </c>
      <c r="J25" s="8">
        <f t="shared" si="62"/>
        <v>4.7037263286499695E-2</v>
      </c>
      <c r="K25" s="8">
        <f t="shared" si="62"/>
        <v>1.9848771266540641E-2</v>
      </c>
      <c r="L25" s="8">
        <f t="shared" si="62"/>
        <v>1.4078437006177273E-2</v>
      </c>
      <c r="M25" s="8">
        <f t="shared" si="62"/>
        <v>2.388383769846655E-2</v>
      </c>
      <c r="N25" s="8">
        <f t="shared" si="62"/>
        <v>3.7388169314995327E-2</v>
      </c>
      <c r="O25" s="8">
        <f t="shared" ref="O25:R25" si="63">O8/O3</f>
        <v>2.0827586206896551E-2</v>
      </c>
      <c r="P25" s="8">
        <f t="shared" si="63"/>
        <v>1.1803762449280709E-2</v>
      </c>
      <c r="Q25" s="8">
        <f t="shared" si="63"/>
        <v>0.02</v>
      </c>
      <c r="R25" s="8">
        <f t="shared" si="63"/>
        <v>0.04</v>
      </c>
      <c r="T25" s="8">
        <f t="shared" ref="T25:AJ25" si="64">T8/T3</f>
        <v>0</v>
      </c>
      <c r="U25" s="8">
        <f t="shared" si="64"/>
        <v>4.7709300045748644E-3</v>
      </c>
      <c r="V25" s="8">
        <f t="shared" si="64"/>
        <v>4.977758949375132E-3</v>
      </c>
      <c r="W25" s="8">
        <f t="shared" si="64"/>
        <v>1.6009353779736474E-2</v>
      </c>
      <c r="X25" s="8">
        <f t="shared" si="64"/>
        <v>2.1475814805960634E-2</v>
      </c>
      <c r="Y25" s="8">
        <f t="shared" si="64"/>
        <v>2.4141726133418539E-2</v>
      </c>
      <c r="Z25" s="8">
        <f t="shared" si="64"/>
        <v>2.340610721410644E-2</v>
      </c>
      <c r="AA25" s="8">
        <f t="shared" si="64"/>
        <v>0.02</v>
      </c>
      <c r="AB25" s="8">
        <f t="shared" si="64"/>
        <v>0.02</v>
      </c>
      <c r="AC25" s="8">
        <f t="shared" si="64"/>
        <v>0.02</v>
      </c>
      <c r="AD25" s="8">
        <f t="shared" si="64"/>
        <v>0.02</v>
      </c>
      <c r="AE25" s="8">
        <f t="shared" si="64"/>
        <v>0.02</v>
      </c>
      <c r="AF25" s="8">
        <f t="shared" si="64"/>
        <v>0.02</v>
      </c>
      <c r="AG25" s="8">
        <f t="shared" si="64"/>
        <v>0.02</v>
      </c>
      <c r="AH25" s="8">
        <f t="shared" si="64"/>
        <v>0.02</v>
      </c>
      <c r="AI25" s="8">
        <f t="shared" si="64"/>
        <v>0.02</v>
      </c>
      <c r="AJ25" s="8">
        <f t="shared" si="64"/>
        <v>0.02</v>
      </c>
      <c r="AL25" t="s">
        <v>48</v>
      </c>
      <c r="AM25" s="1">
        <f>NPV(AM24,Z17:EP17)</f>
        <v>363636.47741468163</v>
      </c>
    </row>
    <row r="26" spans="1:146" x14ac:dyDescent="0.3">
      <c r="B26" t="s">
        <v>43</v>
      </c>
      <c r="C26" s="8">
        <f t="shared" ref="C26:F26" si="65">C9/C3</f>
        <v>0.57093090768337529</v>
      </c>
      <c r="D26" s="8">
        <f t="shared" si="65"/>
        <v>0.54902674185919598</v>
      </c>
      <c r="E26" s="8">
        <f t="shared" si="65"/>
        <v>0.54065323141070187</v>
      </c>
      <c r="F26" s="8">
        <f t="shared" si="65"/>
        <v>0.54736118274024415</v>
      </c>
      <c r="G26" s="8">
        <f>G9/G3</f>
        <v>0.54558107167710512</v>
      </c>
      <c r="H26" s="8">
        <f t="shared" ref="H26:N26" si="66">H9/H3</f>
        <v>0.58318711118200672</v>
      </c>
      <c r="I26" s="8">
        <f t="shared" si="66"/>
        <v>0.58839736721261293</v>
      </c>
      <c r="J26" s="8">
        <f t="shared" si="66"/>
        <v>0.51496640195479537</v>
      </c>
      <c r="K26" s="8">
        <f t="shared" si="66"/>
        <v>0.56773787019533717</v>
      </c>
      <c r="L26" s="8">
        <f t="shared" si="66"/>
        <v>0.57980175262174971</v>
      </c>
      <c r="M26" s="8">
        <f t="shared" si="66"/>
        <v>0.54335730764011403</v>
      </c>
      <c r="N26" s="8">
        <f t="shared" si="66"/>
        <v>0.52583789558018423</v>
      </c>
      <c r="O26" s="8">
        <f t="shared" ref="O26:R26" si="67">O9/O3</f>
        <v>0.57227586206896552</v>
      </c>
      <c r="P26" s="8">
        <f t="shared" si="67"/>
        <v>0.58736013771056195</v>
      </c>
      <c r="Q26" s="8">
        <f t="shared" si="67"/>
        <v>0.55652048767596829</v>
      </c>
      <c r="R26" s="8">
        <f t="shared" si="67"/>
        <v>0.51617846525781663</v>
      </c>
      <c r="T26" s="8">
        <f t="shared" ref="T26:AJ26" si="68">T9/T3</f>
        <v>0.57241011668542319</v>
      </c>
      <c r="U26" s="8">
        <f t="shared" si="68"/>
        <v>0.52813541598588332</v>
      </c>
      <c r="V26" s="8">
        <f t="shared" si="68"/>
        <v>0.53389112476170308</v>
      </c>
      <c r="W26" s="8">
        <f t="shared" si="68"/>
        <v>0.55151324369294419</v>
      </c>
      <c r="X26" s="8">
        <f t="shared" si="68"/>
        <v>0.55813212208144081</v>
      </c>
      <c r="Y26" s="8">
        <f t="shared" si="68"/>
        <v>0.55320055383959954</v>
      </c>
      <c r="Z26" s="8">
        <f t="shared" si="68"/>
        <v>0.55715867519442397</v>
      </c>
      <c r="AA26" s="8">
        <f t="shared" si="68"/>
        <v>0.6</v>
      </c>
      <c r="AB26" s="8">
        <f t="shared" si="68"/>
        <v>0.61</v>
      </c>
      <c r="AC26" s="8">
        <f t="shared" si="68"/>
        <v>0.6100000000000001</v>
      </c>
      <c r="AD26" s="8">
        <f t="shared" si="68"/>
        <v>0.6100000000000001</v>
      </c>
      <c r="AE26" s="8">
        <f t="shared" si="68"/>
        <v>0.6100000000000001</v>
      </c>
      <c r="AF26" s="8">
        <f t="shared" si="68"/>
        <v>0.6100000000000001</v>
      </c>
      <c r="AG26" s="8">
        <f t="shared" si="68"/>
        <v>0.6100000000000001</v>
      </c>
      <c r="AH26" s="8">
        <f t="shared" si="68"/>
        <v>0.6100000000000001</v>
      </c>
      <c r="AI26" s="8">
        <f t="shared" si="68"/>
        <v>0.6100000000000001</v>
      </c>
      <c r="AJ26" s="8">
        <f t="shared" si="68"/>
        <v>0.6100000000000001</v>
      </c>
      <c r="AL26" t="s">
        <v>49</v>
      </c>
      <c r="AM26" s="1">
        <f>Main!D8</f>
        <v>-9603</v>
      </c>
    </row>
    <row r="27" spans="1:146" x14ac:dyDescent="0.3">
      <c r="B27" t="s">
        <v>44</v>
      </c>
      <c r="C27" s="8">
        <f t="shared" ref="C27:F27" si="69">C15/C3</f>
        <v>0.53667505322237274</v>
      </c>
      <c r="D27" s="8">
        <f t="shared" si="69"/>
        <v>0.50900491177005636</v>
      </c>
      <c r="E27" s="8">
        <f t="shared" si="69"/>
        <v>0.53370396108408613</v>
      </c>
      <c r="F27" s="8">
        <f t="shared" si="69"/>
        <v>0.53102974041602202</v>
      </c>
      <c r="G27" s="8">
        <f>G15/G3</f>
        <v>0.49634655532359079</v>
      </c>
      <c r="H27" s="8">
        <f t="shared" ref="H27:N27" si="70">H15/H3</f>
        <v>0.59084383474238311</v>
      </c>
      <c r="I27" s="8">
        <f t="shared" si="70"/>
        <v>0.57569263737945808</v>
      </c>
      <c r="J27" s="8">
        <f t="shared" si="70"/>
        <v>0.50717776420281002</v>
      </c>
      <c r="K27" s="8">
        <f t="shared" si="70"/>
        <v>0.56049149338374293</v>
      </c>
      <c r="L27" s="8">
        <f t="shared" si="70"/>
        <v>0.56586697313604373</v>
      </c>
      <c r="M27" s="8">
        <f t="shared" si="70"/>
        <v>0.52463020762654367</v>
      </c>
      <c r="N27" s="8">
        <f t="shared" si="70"/>
        <v>0.51956202430231002</v>
      </c>
      <c r="O27" s="8">
        <f t="shared" ref="O27:R27" si="71">O15/O3</f>
        <v>0.55600000000000005</v>
      </c>
      <c r="P27" s="8">
        <f t="shared" si="71"/>
        <v>0.57444977253166118</v>
      </c>
      <c r="Q27" s="8">
        <f t="shared" si="71"/>
        <v>0.53976466134803691</v>
      </c>
      <c r="R27" s="8">
        <f t="shared" si="71"/>
        <v>0.51056321200919241</v>
      </c>
      <c r="T27" s="8">
        <f t="shared" ref="T27:AJ27" si="72">T15/T3</f>
        <v>0.57637860569803945</v>
      </c>
      <c r="U27" s="8">
        <f t="shared" si="72"/>
        <v>0.50715639500686227</v>
      </c>
      <c r="V27" s="8">
        <f t="shared" si="72"/>
        <v>0.54580597331073921</v>
      </c>
      <c r="W27" s="8">
        <f t="shared" si="72"/>
        <v>0.52758915321311328</v>
      </c>
      <c r="X27" s="8">
        <f t="shared" si="72"/>
        <v>0.54342975535899274</v>
      </c>
      <c r="Y27" s="8">
        <f t="shared" si="72"/>
        <v>0.54155572123406825</v>
      </c>
      <c r="Z27" s="8">
        <f t="shared" si="72"/>
        <v>0.54442087402911776</v>
      </c>
      <c r="AA27" s="8">
        <f t="shared" si="72"/>
        <v>0.58790170770249117</v>
      </c>
      <c r="AB27" s="8">
        <f t="shared" si="72"/>
        <v>0.5987859781953756</v>
      </c>
      <c r="AC27" s="8">
        <f t="shared" si="72"/>
        <v>0.59941273358104663</v>
      </c>
      <c r="AD27" s="8">
        <f t="shared" si="72"/>
        <v>0.59981546432619703</v>
      </c>
      <c r="AE27" s="8">
        <f t="shared" si="72"/>
        <v>0.60011007381529424</v>
      </c>
      <c r="AF27" s="8">
        <f t="shared" si="72"/>
        <v>0.60030434014827139</v>
      </c>
      <c r="AG27" s="8">
        <f t="shared" si="72"/>
        <v>0.60049622971910588</v>
      </c>
      <c r="AH27" s="8">
        <f t="shared" si="72"/>
        <v>0.60068577989484506</v>
      </c>
      <c r="AI27" s="8">
        <f t="shared" si="72"/>
        <v>0.60087302726348657</v>
      </c>
      <c r="AJ27" s="8">
        <f t="shared" si="72"/>
        <v>0.60105800765366613</v>
      </c>
      <c r="AL27" t="s">
        <v>50</v>
      </c>
      <c r="AM27" s="1">
        <f>AM25+AM26</f>
        <v>354033.47741468163</v>
      </c>
    </row>
    <row r="28" spans="1:146" x14ac:dyDescent="0.3">
      <c r="B28" t="s">
        <v>21</v>
      </c>
      <c r="C28" s="8">
        <f t="shared" ref="C28:F28" si="73">C16/C15</f>
        <v>5.120807789397764E-2</v>
      </c>
      <c r="D28" s="8">
        <f t="shared" si="73"/>
        <v>0.18691922802001429</v>
      </c>
      <c r="E28" s="8">
        <f t="shared" si="73"/>
        <v>0.1865234375</v>
      </c>
      <c r="F28" s="8">
        <f t="shared" si="73"/>
        <v>0.18258336031078018</v>
      </c>
      <c r="G28" s="8">
        <f>G16/G15</f>
        <v>0.17245005257623555</v>
      </c>
      <c r="H28" s="8">
        <f t="shared" ref="H28:N28" si="74">H16/H15</f>
        <v>0.23191144708423325</v>
      </c>
      <c r="I28" s="8">
        <f t="shared" si="74"/>
        <v>0.14969423025791012</v>
      </c>
      <c r="J28" s="8">
        <f t="shared" si="74"/>
        <v>0.15959048479373683</v>
      </c>
      <c r="K28" s="8">
        <f t="shared" si="74"/>
        <v>0.1537380550871276</v>
      </c>
      <c r="L28" s="8">
        <f t="shared" si="74"/>
        <v>0.17288651942117289</v>
      </c>
      <c r="M28" s="8">
        <f t="shared" si="74"/>
        <v>0.15597516813243661</v>
      </c>
      <c r="N28" s="8">
        <f t="shared" si="74"/>
        <v>0.14109483423284502</v>
      </c>
      <c r="O28" s="8">
        <f t="shared" ref="O28:R28" si="75">O16/O15</f>
        <v>0.18630612751178369</v>
      </c>
      <c r="P28" s="8">
        <f t="shared" si="75"/>
        <v>0.20783390410958905</v>
      </c>
      <c r="Q28" s="8">
        <f t="shared" si="75"/>
        <v>0.18</v>
      </c>
      <c r="R28" s="8">
        <f t="shared" si="75"/>
        <v>0.18</v>
      </c>
      <c r="T28" s="8">
        <f t="shared" ref="T28:AJ28" si="76">T16/T15</f>
        <v>0.16575891480834445</v>
      </c>
      <c r="U28" s="8">
        <f t="shared" si="76"/>
        <v>0.173840206185567</v>
      </c>
      <c r="V28" s="8">
        <f t="shared" si="76"/>
        <v>0.15717473561657128</v>
      </c>
      <c r="W28" s="8">
        <f t="shared" si="76"/>
        <v>0.15359699965905216</v>
      </c>
      <c r="X28" s="8">
        <f t="shared" si="76"/>
        <v>0.17919202287557739</v>
      </c>
      <c r="Y28" s="8">
        <f t="shared" si="76"/>
        <v>0.15602464927232201</v>
      </c>
      <c r="Z28" s="8">
        <f t="shared" si="76"/>
        <v>0.18883481567969398</v>
      </c>
      <c r="AA28" s="8">
        <f t="shared" si="76"/>
        <v>0.18</v>
      </c>
      <c r="AB28" s="8">
        <f t="shared" si="76"/>
        <v>0.18</v>
      </c>
      <c r="AC28" s="8">
        <f t="shared" si="76"/>
        <v>0.18</v>
      </c>
      <c r="AD28" s="8">
        <f t="shared" si="76"/>
        <v>0.18</v>
      </c>
      <c r="AE28" s="8">
        <f t="shared" si="76"/>
        <v>0.18</v>
      </c>
      <c r="AF28" s="8">
        <f t="shared" si="76"/>
        <v>0.18</v>
      </c>
      <c r="AG28" s="8">
        <f t="shared" si="76"/>
        <v>0.18</v>
      </c>
      <c r="AH28" s="8">
        <f t="shared" si="76"/>
        <v>0.18</v>
      </c>
      <c r="AI28" s="8">
        <f t="shared" si="76"/>
        <v>0.17999999999999997</v>
      </c>
      <c r="AJ28" s="8">
        <f t="shared" si="76"/>
        <v>0.18</v>
      </c>
      <c r="AL28" t="s">
        <v>51</v>
      </c>
      <c r="AM28" s="10">
        <f>AM27/AJ18</f>
        <v>391.62995289234692</v>
      </c>
    </row>
    <row r="29" spans="1:146" x14ac:dyDescent="0.3">
      <c r="B29" t="s">
        <v>45</v>
      </c>
      <c r="C29" s="8">
        <f t="shared" ref="C29:F29" si="77">C17/C3</f>
        <v>0.50919295529320685</v>
      </c>
      <c r="D29" s="8">
        <f t="shared" si="77"/>
        <v>0.41386210660360195</v>
      </c>
      <c r="E29" s="8">
        <f t="shared" si="77"/>
        <v>0.43415566365531622</v>
      </c>
      <c r="F29" s="8">
        <f t="shared" si="77"/>
        <v>0.43407254598590339</v>
      </c>
      <c r="G29" s="8">
        <f>G17/G3</f>
        <v>0.41075156576200417</v>
      </c>
      <c r="H29" s="8">
        <f t="shared" ref="H29:N29" si="78">H17/H3</f>
        <v>0.45382038602647951</v>
      </c>
      <c r="I29" s="8">
        <f t="shared" si="78"/>
        <v>0.48951477116179398</v>
      </c>
      <c r="J29" s="8">
        <f t="shared" si="78"/>
        <v>0.42623701893708005</v>
      </c>
      <c r="K29" s="8">
        <f t="shared" si="78"/>
        <v>0.47432262129804664</v>
      </c>
      <c r="L29" s="8">
        <f t="shared" si="78"/>
        <v>0.46803620169515875</v>
      </c>
      <c r="M29" s="8">
        <f t="shared" si="78"/>
        <v>0.44280092278463834</v>
      </c>
      <c r="N29" s="8">
        <f t="shared" si="78"/>
        <v>0.44625450660969423</v>
      </c>
      <c r="O29" s="8">
        <f t="shared" ref="O29:R29" si="79">O17/O3</f>
        <v>0.45241379310344826</v>
      </c>
      <c r="P29" s="8">
        <f t="shared" si="79"/>
        <v>0.45505963359154061</v>
      </c>
      <c r="Q29" s="8">
        <f t="shared" si="79"/>
        <v>0.44260702230539029</v>
      </c>
      <c r="R29" s="8">
        <f t="shared" si="79"/>
        <v>0.4186618338475378</v>
      </c>
      <c r="T29" s="8">
        <f t="shared" ref="T29:AJ29" si="80">T17/T3</f>
        <v>0.48083871349878576</v>
      </c>
      <c r="U29" s="8">
        <f t="shared" si="80"/>
        <v>0.41899222273054049</v>
      </c>
      <c r="V29" s="8">
        <f t="shared" si="80"/>
        <v>0.46001906375767848</v>
      </c>
      <c r="W29" s="8">
        <f t="shared" si="80"/>
        <v>0.44655304222691911</v>
      </c>
      <c r="X29" s="8">
        <f t="shared" si="80"/>
        <v>0.44605147820543467</v>
      </c>
      <c r="Y29" s="8">
        <f t="shared" si="80"/>
        <v>0.45705967976710332</v>
      </c>
      <c r="Z29" s="8">
        <f t="shared" si="80"/>
        <v>0.4416152586296514</v>
      </c>
      <c r="AA29" s="8">
        <f t="shared" si="80"/>
        <v>0.48207940031604274</v>
      </c>
      <c r="AB29" s="8">
        <f t="shared" si="80"/>
        <v>0.49100450212020796</v>
      </c>
      <c r="AC29" s="8">
        <f t="shared" si="80"/>
        <v>0.49151844153645818</v>
      </c>
      <c r="AD29" s="8">
        <f t="shared" si="80"/>
        <v>0.49184868074748156</v>
      </c>
      <c r="AE29" s="8">
        <f t="shared" si="80"/>
        <v>0.49209026052854132</v>
      </c>
      <c r="AF29" s="8">
        <f t="shared" si="80"/>
        <v>0.49224955892158262</v>
      </c>
      <c r="AG29" s="8">
        <f t="shared" si="80"/>
        <v>0.49240690836966683</v>
      </c>
      <c r="AH29" s="8">
        <f t="shared" si="80"/>
        <v>0.49256233951377293</v>
      </c>
      <c r="AI29" s="8">
        <f t="shared" si="80"/>
        <v>0.49271588235605907</v>
      </c>
      <c r="AJ29" s="8">
        <f t="shared" si="80"/>
        <v>0.4928675662760062</v>
      </c>
      <c r="AL29" t="s">
        <v>52</v>
      </c>
      <c r="AM29" s="10">
        <f>Main!D3</f>
        <v>575.01</v>
      </c>
    </row>
    <row r="30" spans="1:146" x14ac:dyDescent="0.3">
      <c r="AL30" s="6" t="s">
        <v>53</v>
      </c>
      <c r="AM30" s="9">
        <f>AM28/AM29-1</f>
        <v>-0.3189162746867934</v>
      </c>
    </row>
    <row r="31" spans="1:146" x14ac:dyDescent="0.3">
      <c r="AL31" t="s">
        <v>54</v>
      </c>
      <c r="AM31" s="4" t="s">
        <v>55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2024-07-19T06:48:35Z</dcterms:created>
  <dcterms:modified xsi:type="dcterms:W3CDTF">2025-07-31T15:38:32Z</dcterms:modified>
</cp:coreProperties>
</file>