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0F1D527E-CFD8-4609-875B-58A05CB0EBFF}" xr6:coauthVersionLast="47" xr6:coauthVersionMax="47" xr10:uidLastSave="{00000000-0000-0000-0000-000000000000}"/>
  <bookViews>
    <workbookView xWindow="-108" yWindow="-108" windowWidth="23256" windowHeight="12576" activeTab="1" xr2:uid="{5EE3D269-52EC-4F93-A9AE-4AAFACF544B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25" i="2" l="1"/>
  <c r="AE3" i="2"/>
  <c r="R5" i="2"/>
  <c r="D7" i="1"/>
  <c r="D6" i="1"/>
  <c r="R23" i="2"/>
  <c r="Q5" i="2"/>
  <c r="Q18" i="2"/>
  <c r="Q24" i="2"/>
  <c r="Q23" i="2"/>
  <c r="P18" i="2"/>
  <c r="P5" i="2"/>
  <c r="O5" i="2"/>
  <c r="O18" i="2"/>
  <c r="AC13" i="2"/>
  <c r="AC12" i="2"/>
  <c r="AC11" i="2"/>
  <c r="AC10" i="2"/>
  <c r="Q14" i="2"/>
  <c r="P14" i="2"/>
  <c r="O14" i="2"/>
  <c r="AD13" i="2"/>
  <c r="AD12" i="2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D11" i="2"/>
  <c r="O25" i="2"/>
  <c r="P9" i="2"/>
  <c r="P26" i="2" s="1"/>
  <c r="Q25" i="2"/>
  <c r="R24" i="2"/>
  <c r="O24" i="2"/>
  <c r="P23" i="2"/>
  <c r="O23" i="2"/>
  <c r="P25" i="2"/>
  <c r="P24" i="2"/>
  <c r="P22" i="2"/>
  <c r="Q21" i="2"/>
  <c r="P21" i="2"/>
  <c r="O21" i="2"/>
  <c r="N14" i="2"/>
  <c r="N5" i="2"/>
  <c r="AC18" i="2"/>
  <c r="N18" i="2"/>
  <c r="M18" i="2"/>
  <c r="M14" i="2"/>
  <c r="M5" i="2"/>
  <c r="R14" i="2" l="1"/>
  <c r="AC14" i="2"/>
  <c r="AD3" i="2"/>
  <c r="AE5" i="2" s="1"/>
  <c r="AD10" i="2"/>
  <c r="AE10" i="2" s="1"/>
  <c r="AE14" i="2" s="1"/>
  <c r="R21" i="2"/>
  <c r="R25" i="2"/>
  <c r="AD7" i="2"/>
  <c r="Q9" i="2"/>
  <c r="Q15" i="2" s="1"/>
  <c r="AD6" i="2"/>
  <c r="O9" i="2"/>
  <c r="O26" i="2" s="1"/>
  <c r="P15" i="2"/>
  <c r="P28" i="2" s="1"/>
  <c r="Q22" i="2"/>
  <c r="O22" i="2"/>
  <c r="L14" i="2"/>
  <c r="L5" i="2"/>
  <c r="AF3" i="2" l="1"/>
  <c r="AG3" i="2" s="1"/>
  <c r="AF10" i="2"/>
  <c r="AF14" i="2" s="1"/>
  <c r="AD14" i="2"/>
  <c r="AD8" i="2"/>
  <c r="Q27" i="2"/>
  <c r="Q28" i="2"/>
  <c r="Q26" i="2"/>
  <c r="AG10" i="2"/>
  <c r="O15" i="2"/>
  <c r="P17" i="2"/>
  <c r="P19" i="2" s="1"/>
  <c r="P27" i="2"/>
  <c r="AQ29" i="2"/>
  <c r="M25" i="2"/>
  <c r="N24" i="2"/>
  <c r="L18" i="2"/>
  <c r="Z24" i="2"/>
  <c r="Y24" i="2"/>
  <c r="Z21" i="2"/>
  <c r="Y23" i="2"/>
  <c r="Y21" i="2"/>
  <c r="Z25" i="2"/>
  <c r="Y25" i="2"/>
  <c r="X25" i="2"/>
  <c r="Z23" i="2"/>
  <c r="X23" i="2"/>
  <c r="AB16" i="2"/>
  <c r="AB13" i="2"/>
  <c r="AB12" i="2"/>
  <c r="AB11" i="2"/>
  <c r="AB10" i="2"/>
  <c r="AB8" i="2"/>
  <c r="AB7" i="2"/>
  <c r="AB6" i="2"/>
  <c r="AB4" i="2"/>
  <c r="AB3" i="2"/>
  <c r="AB18" i="2"/>
  <c r="AA16" i="2"/>
  <c r="AA13" i="2"/>
  <c r="AA12" i="2"/>
  <c r="AA11" i="2"/>
  <c r="AA10" i="2"/>
  <c r="AA8" i="2"/>
  <c r="AA7" i="2"/>
  <c r="AA24" i="2" s="1"/>
  <c r="AA6" i="2"/>
  <c r="AA4" i="2"/>
  <c r="AA3" i="2"/>
  <c r="AA21" i="2" s="1"/>
  <c r="AA18" i="2"/>
  <c r="Z18" i="2"/>
  <c r="Z14" i="2"/>
  <c r="Z5" i="2"/>
  <c r="Z9" i="2" s="1"/>
  <c r="Y18" i="2"/>
  <c r="Y14" i="2"/>
  <c r="Y5" i="2"/>
  <c r="Y9" i="2" s="1"/>
  <c r="Y26" i="2" s="1"/>
  <c r="X18" i="2"/>
  <c r="X14" i="2"/>
  <c r="X5" i="2"/>
  <c r="X9" i="2" s="1"/>
  <c r="X26" i="2" s="1"/>
  <c r="K25" i="2"/>
  <c r="J25" i="2"/>
  <c r="I25" i="2"/>
  <c r="H25" i="2"/>
  <c r="M24" i="2"/>
  <c r="L24" i="2"/>
  <c r="K24" i="2"/>
  <c r="J24" i="2"/>
  <c r="I24" i="2"/>
  <c r="H24" i="2"/>
  <c r="K23" i="2"/>
  <c r="J23" i="2"/>
  <c r="I23" i="2"/>
  <c r="H23" i="2"/>
  <c r="M22" i="2"/>
  <c r="M21" i="2"/>
  <c r="L21" i="2"/>
  <c r="K21" i="2"/>
  <c r="J21" i="2"/>
  <c r="I21" i="2"/>
  <c r="H21" i="2"/>
  <c r="F25" i="2"/>
  <c r="E25" i="2"/>
  <c r="D25" i="2"/>
  <c r="C25" i="2"/>
  <c r="F23" i="2"/>
  <c r="E23" i="2"/>
  <c r="D23" i="2"/>
  <c r="C23" i="2"/>
  <c r="G25" i="2"/>
  <c r="G24" i="2"/>
  <c r="G23" i="2"/>
  <c r="G21" i="2"/>
  <c r="C18" i="2"/>
  <c r="C14" i="2"/>
  <c r="C5" i="2"/>
  <c r="C9" i="2" s="1"/>
  <c r="C26" i="2" s="1"/>
  <c r="D18" i="2"/>
  <c r="D14" i="2"/>
  <c r="D5" i="2"/>
  <c r="D9" i="2" s="1"/>
  <c r="D26" i="2" s="1"/>
  <c r="H18" i="2"/>
  <c r="H14" i="2"/>
  <c r="H5" i="2"/>
  <c r="H9" i="2" s="1"/>
  <c r="H26" i="2" s="1"/>
  <c r="E18" i="2"/>
  <c r="E14" i="2"/>
  <c r="E5" i="2"/>
  <c r="E9" i="2" s="1"/>
  <c r="E26" i="2" s="1"/>
  <c r="AF5" i="2" l="1"/>
  <c r="Z15" i="2"/>
  <c r="Z17" i="2" s="1"/>
  <c r="Z29" i="2" s="1"/>
  <c r="Z19" i="2"/>
  <c r="AG5" i="2"/>
  <c r="AH3" i="2"/>
  <c r="Q17" i="2"/>
  <c r="Q19" i="2" s="1"/>
  <c r="AH10" i="2"/>
  <c r="AG14" i="2"/>
  <c r="O28" i="2"/>
  <c r="O27" i="2"/>
  <c r="P29" i="2"/>
  <c r="C15" i="2"/>
  <c r="C28" i="2" s="1"/>
  <c r="AA23" i="2"/>
  <c r="AB21" i="2"/>
  <c r="AA25" i="2"/>
  <c r="AB23" i="2"/>
  <c r="C22" i="2"/>
  <c r="AB24" i="2"/>
  <c r="AB25" i="2"/>
  <c r="E22" i="2"/>
  <c r="N21" i="2"/>
  <c r="AC3" i="2"/>
  <c r="AC21" i="2" s="1"/>
  <c r="H22" i="2"/>
  <c r="X22" i="2"/>
  <c r="Z26" i="2"/>
  <c r="C27" i="2"/>
  <c r="D22" i="2"/>
  <c r="N23" i="2"/>
  <c r="Y22" i="2"/>
  <c r="N25" i="2"/>
  <c r="Z22" i="2"/>
  <c r="Z28" i="2"/>
  <c r="M9" i="2"/>
  <c r="L23" i="2"/>
  <c r="L25" i="2"/>
  <c r="AC7" i="2"/>
  <c r="M23" i="2"/>
  <c r="AB14" i="2"/>
  <c r="AB5" i="2"/>
  <c r="AA14" i="2"/>
  <c r="AA5" i="2"/>
  <c r="Y15" i="2"/>
  <c r="X15" i="2"/>
  <c r="D15" i="2"/>
  <c r="H15" i="2"/>
  <c r="E15" i="2"/>
  <c r="I18" i="2"/>
  <c r="I14" i="2"/>
  <c r="I5" i="2"/>
  <c r="F18" i="2"/>
  <c r="F14" i="2"/>
  <c r="F5" i="2"/>
  <c r="J18" i="2"/>
  <c r="J14" i="2"/>
  <c r="J5" i="2"/>
  <c r="G18" i="2"/>
  <c r="G14" i="2"/>
  <c r="G5" i="2"/>
  <c r="G22" i="2" s="1"/>
  <c r="K18" i="2"/>
  <c r="K14" i="2"/>
  <c r="K5" i="2"/>
  <c r="K22" i="2" s="1"/>
  <c r="F3" i="1"/>
  <c r="D8" i="1"/>
  <c r="AQ26" i="2" s="1"/>
  <c r="D5" i="1"/>
  <c r="Z27" i="2" l="1"/>
  <c r="Q29" i="2"/>
  <c r="AI3" i="2"/>
  <c r="AH5" i="2"/>
  <c r="AI10" i="2"/>
  <c r="AH14" i="2"/>
  <c r="O17" i="2"/>
  <c r="C17" i="2"/>
  <c r="C19" i="2" s="1"/>
  <c r="G9" i="2"/>
  <c r="G26" i="2" s="1"/>
  <c r="X17" i="2"/>
  <c r="X27" i="2"/>
  <c r="X28" i="2"/>
  <c r="I9" i="2"/>
  <c r="I26" i="2" s="1"/>
  <c r="I22" i="2"/>
  <c r="AA9" i="2"/>
  <c r="AA26" i="2" s="1"/>
  <c r="AA22" i="2"/>
  <c r="K9" i="2"/>
  <c r="J9" i="2"/>
  <c r="J26" i="2" s="1"/>
  <c r="J22" i="2"/>
  <c r="Y17" i="2"/>
  <c r="Y27" i="2"/>
  <c r="Y28" i="2"/>
  <c r="E17" i="2"/>
  <c r="E28" i="2"/>
  <c r="E27" i="2"/>
  <c r="AB9" i="2"/>
  <c r="AB26" i="2" s="1"/>
  <c r="AB22" i="2"/>
  <c r="H17" i="2"/>
  <c r="H28" i="2"/>
  <c r="H27" i="2"/>
  <c r="F9" i="2"/>
  <c r="F26" i="2" s="1"/>
  <c r="F22" i="2"/>
  <c r="D17" i="2"/>
  <c r="D28" i="2"/>
  <c r="D27" i="2"/>
  <c r="AC8" i="2"/>
  <c r="AC25" i="2" s="1"/>
  <c r="N22" i="2"/>
  <c r="N9" i="2"/>
  <c r="N15" i="2" s="1"/>
  <c r="N27" i="2" s="1"/>
  <c r="D9" i="1"/>
  <c r="AC6" i="2"/>
  <c r="AC23" i="2" s="1"/>
  <c r="M26" i="2"/>
  <c r="AC4" i="2"/>
  <c r="AC5" i="2" s="1"/>
  <c r="L9" i="2"/>
  <c r="L15" i="2" s="1"/>
  <c r="L28" i="2" s="1"/>
  <c r="L22" i="2"/>
  <c r="AC24" i="2"/>
  <c r="G15" i="2" l="1"/>
  <c r="G28" i="2" s="1"/>
  <c r="L17" i="2"/>
  <c r="L19" i="2" s="1"/>
  <c r="N28" i="2"/>
  <c r="N17" i="2"/>
  <c r="N29" i="2" s="1"/>
  <c r="AJ3" i="2"/>
  <c r="AI5" i="2"/>
  <c r="AJ10" i="2"/>
  <c r="AI14" i="2"/>
  <c r="O19" i="2"/>
  <c r="O29" i="2"/>
  <c r="C29" i="2"/>
  <c r="AB15" i="2"/>
  <c r="AB27" i="2" s="1"/>
  <c r="X19" i="2"/>
  <c r="X29" i="2"/>
  <c r="E19" i="2"/>
  <c r="E29" i="2"/>
  <c r="J15" i="2"/>
  <c r="L27" i="2"/>
  <c r="H19" i="2"/>
  <c r="H29" i="2"/>
  <c r="Y19" i="2"/>
  <c r="Y29" i="2"/>
  <c r="F15" i="2"/>
  <c r="I15" i="2"/>
  <c r="N26" i="2"/>
  <c r="K26" i="2"/>
  <c r="K15" i="2"/>
  <c r="AD23" i="2"/>
  <c r="AD21" i="2"/>
  <c r="AD25" i="2"/>
  <c r="AA15" i="2"/>
  <c r="D19" i="2"/>
  <c r="D29" i="2"/>
  <c r="AD24" i="2"/>
  <c r="AC22" i="2"/>
  <c r="AC9" i="2"/>
  <c r="AC26" i="2" s="1"/>
  <c r="L26" i="2"/>
  <c r="G27" i="2" l="1"/>
  <c r="L29" i="2"/>
  <c r="G17" i="2"/>
  <c r="G19" i="2" s="1"/>
  <c r="AB17" i="2"/>
  <c r="AB19" i="2" s="1"/>
  <c r="AB28" i="2"/>
  <c r="N19" i="2"/>
  <c r="AK3" i="2"/>
  <c r="AJ5" i="2"/>
  <c r="AK10" i="2"/>
  <c r="AJ14" i="2"/>
  <c r="AB29" i="2"/>
  <c r="AA17" i="2"/>
  <c r="AA27" i="2"/>
  <c r="AA28" i="2"/>
  <c r="K28" i="2"/>
  <c r="K27" i="2"/>
  <c r="K17" i="2"/>
  <c r="J17" i="2"/>
  <c r="J28" i="2"/>
  <c r="J27" i="2"/>
  <c r="I17" i="2"/>
  <c r="I28" i="2"/>
  <c r="I27" i="2"/>
  <c r="F17" i="2"/>
  <c r="F28" i="2"/>
  <c r="F27" i="2"/>
  <c r="AE6" i="2"/>
  <c r="AE23" i="2" s="1"/>
  <c r="AE8" i="2"/>
  <c r="AE25" i="2" s="1"/>
  <c r="AE21" i="2"/>
  <c r="G29" i="2" l="1"/>
  <c r="AL3" i="2"/>
  <c r="AK5" i="2"/>
  <c r="AL10" i="2"/>
  <c r="AK14" i="2"/>
  <c r="K29" i="2"/>
  <c r="K19" i="2"/>
  <c r="AE9" i="2"/>
  <c r="AF6" i="2"/>
  <c r="AF23" i="2" s="1"/>
  <c r="AF8" i="2"/>
  <c r="AF25" i="2" s="1"/>
  <c r="AF21" i="2"/>
  <c r="AF4" i="2"/>
  <c r="AA19" i="2"/>
  <c r="AA29" i="2"/>
  <c r="AE4" i="2"/>
  <c r="AE22" i="2"/>
  <c r="F19" i="2"/>
  <c r="F29" i="2"/>
  <c r="I19" i="2"/>
  <c r="I29" i="2"/>
  <c r="J19" i="2"/>
  <c r="J29" i="2"/>
  <c r="AM3" i="2" l="1"/>
  <c r="AL5" i="2"/>
  <c r="AM10" i="2"/>
  <c r="AL14" i="2"/>
  <c r="AE26" i="2"/>
  <c r="AE15" i="2"/>
  <c r="AE16" i="2" s="1"/>
  <c r="AF22" i="2"/>
  <c r="AF9" i="2"/>
  <c r="AF15" i="2" s="1"/>
  <c r="AF16" i="2" s="1"/>
  <c r="AG8" i="2"/>
  <c r="AG25" i="2" s="1"/>
  <c r="AG21" i="2"/>
  <c r="AG6" i="2"/>
  <c r="AG23" i="2" s="1"/>
  <c r="AN3" i="2" l="1"/>
  <c r="AN5" i="2" s="1"/>
  <c r="AM5" i="2"/>
  <c r="AN10" i="2"/>
  <c r="AN14" i="2" s="1"/>
  <c r="AM14" i="2"/>
  <c r="AF27" i="2"/>
  <c r="AE27" i="2"/>
  <c r="AH6" i="2"/>
  <c r="AH23" i="2" s="1"/>
  <c r="AH8" i="2"/>
  <c r="AH25" i="2" s="1"/>
  <c r="AH21" i="2"/>
  <c r="AF26" i="2"/>
  <c r="AG4" i="2"/>
  <c r="AG9" i="2"/>
  <c r="AG15" i="2" s="1"/>
  <c r="AG22" i="2"/>
  <c r="AF17" i="2"/>
  <c r="AF28" i="2"/>
  <c r="AG16" i="2" l="1"/>
  <c r="AG28" i="2" s="1"/>
  <c r="AG27" i="2"/>
  <c r="AE17" i="2"/>
  <c r="AE28" i="2"/>
  <c r="AF19" i="2"/>
  <c r="AF29" i="2"/>
  <c r="AG26" i="2"/>
  <c r="AH4" i="2"/>
  <c r="AH22" i="2"/>
  <c r="AH9" i="2"/>
  <c r="AH15" i="2" s="1"/>
  <c r="AI8" i="2"/>
  <c r="AI25" i="2" s="1"/>
  <c r="AI6" i="2"/>
  <c r="AI23" i="2" s="1"/>
  <c r="AI21" i="2"/>
  <c r="AG17" i="2" l="1"/>
  <c r="AG19" i="2" s="1"/>
  <c r="AH16" i="2"/>
  <c r="AH28" i="2" s="1"/>
  <c r="AE29" i="2"/>
  <c r="AE19" i="2"/>
  <c r="AH27" i="2"/>
  <c r="AH26" i="2"/>
  <c r="AI4" i="2"/>
  <c r="AI22" i="2"/>
  <c r="AI9" i="2"/>
  <c r="AI15" i="2" s="1"/>
  <c r="AJ6" i="2"/>
  <c r="AJ23" i="2" s="1"/>
  <c r="AJ8" i="2"/>
  <c r="AJ25" i="2" s="1"/>
  <c r="AJ21" i="2"/>
  <c r="AH17" i="2" l="1"/>
  <c r="AH19" i="2" s="1"/>
  <c r="AG29" i="2"/>
  <c r="AI16" i="2"/>
  <c r="AI28" i="2" s="1"/>
  <c r="AI27" i="2"/>
  <c r="AK6" i="2"/>
  <c r="AK23" i="2" s="1"/>
  <c r="AK4" i="2"/>
  <c r="AK8" i="2"/>
  <c r="AK25" i="2" s="1"/>
  <c r="AK21" i="2"/>
  <c r="AJ4" i="2"/>
  <c r="AJ9" i="2"/>
  <c r="AJ15" i="2" s="1"/>
  <c r="AJ16" i="2" s="1"/>
  <c r="AJ22" i="2"/>
  <c r="AI26" i="2"/>
  <c r="AH29" i="2" l="1"/>
  <c r="AI17" i="2"/>
  <c r="AI29" i="2" s="1"/>
  <c r="AJ27" i="2"/>
  <c r="AJ26" i="2"/>
  <c r="AL8" i="2"/>
  <c r="AL25" i="2" s="1"/>
  <c r="AL21" i="2"/>
  <c r="AL6" i="2"/>
  <c r="AL23" i="2" s="1"/>
  <c r="AJ28" i="2"/>
  <c r="AJ17" i="2"/>
  <c r="AK22" i="2"/>
  <c r="AK9" i="2"/>
  <c r="AK15" i="2" s="1"/>
  <c r="AI19" i="2" l="1"/>
  <c r="AK16" i="2"/>
  <c r="AK28" i="2" s="1"/>
  <c r="AK27" i="2"/>
  <c r="AJ19" i="2"/>
  <c r="AJ29" i="2"/>
  <c r="AL4" i="2"/>
  <c r="AL9" i="2"/>
  <c r="AL15" i="2" s="1"/>
  <c r="AL16" i="2" s="1"/>
  <c r="AL22" i="2"/>
  <c r="AM21" i="2"/>
  <c r="AM6" i="2"/>
  <c r="AM23" i="2" s="1"/>
  <c r="AM8" i="2"/>
  <c r="AM25" i="2" s="1"/>
  <c r="AK26" i="2"/>
  <c r="AK17" i="2" l="1"/>
  <c r="AK19" i="2" s="1"/>
  <c r="AL27" i="2"/>
  <c r="AM9" i="2"/>
  <c r="AM15" i="2" s="1"/>
  <c r="AM16" i="2" s="1"/>
  <c r="AM22" i="2"/>
  <c r="AL17" i="2"/>
  <c r="AL28" i="2"/>
  <c r="AL26" i="2"/>
  <c r="AN6" i="2"/>
  <c r="AN23" i="2" s="1"/>
  <c r="AN8" i="2"/>
  <c r="AN25" i="2" s="1"/>
  <c r="AN21" i="2"/>
  <c r="AM4" i="2"/>
  <c r="AK29" i="2" l="1"/>
  <c r="AM27" i="2"/>
  <c r="AN22" i="2"/>
  <c r="AN4" i="2"/>
  <c r="AN9" i="2"/>
  <c r="AN15" i="2" s="1"/>
  <c r="AN16" i="2" s="1"/>
  <c r="AM26" i="2"/>
  <c r="AM17" i="2"/>
  <c r="AM28" i="2"/>
  <c r="AL19" i="2"/>
  <c r="AL29" i="2"/>
  <c r="AC15" i="2"/>
  <c r="M15" i="2"/>
  <c r="M27" i="2" s="1"/>
  <c r="AN27" i="2" l="1"/>
  <c r="AM19" i="2"/>
  <c r="AM29" i="2"/>
  <c r="AN17" i="2"/>
  <c r="AN28" i="2"/>
  <c r="AN26" i="2"/>
  <c r="AC27" i="2"/>
  <c r="AN19" i="2" l="1"/>
  <c r="AO17" i="2"/>
  <c r="AP17" i="2" s="1"/>
  <c r="AQ17" i="2" s="1"/>
  <c r="AR17" i="2" s="1"/>
  <c r="AS17" i="2" s="1"/>
  <c r="AT17" i="2" s="1"/>
  <c r="AU17" i="2" s="1"/>
  <c r="AV17" i="2" s="1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ED17" i="2" s="1"/>
  <c r="EE17" i="2" s="1"/>
  <c r="EF17" i="2" s="1"/>
  <c r="EG17" i="2" s="1"/>
  <c r="EH17" i="2" s="1"/>
  <c r="EI17" i="2" s="1"/>
  <c r="EJ17" i="2" s="1"/>
  <c r="EK17" i="2" s="1"/>
  <c r="EL17" i="2" s="1"/>
  <c r="EM17" i="2" s="1"/>
  <c r="EN17" i="2" s="1"/>
  <c r="EO17" i="2" s="1"/>
  <c r="EP17" i="2" s="1"/>
  <c r="EQ17" i="2" s="1"/>
  <c r="ER17" i="2" s="1"/>
  <c r="ES17" i="2" s="1"/>
  <c r="ET17" i="2" s="1"/>
  <c r="AN29" i="2"/>
  <c r="AC16" i="2"/>
  <c r="M28" i="2"/>
  <c r="M17" i="2"/>
  <c r="M19" i="2" l="1"/>
  <c r="M29" i="2"/>
  <c r="AC28" i="2"/>
  <c r="AC17" i="2"/>
  <c r="AC19" i="2" l="1"/>
  <c r="AC29" i="2"/>
  <c r="R9" i="2" l="1"/>
  <c r="R26" i="2" s="1"/>
  <c r="AD4" i="2"/>
  <c r="AD5" i="2" s="1"/>
  <c r="R22" i="2"/>
  <c r="AD22" i="2" l="1"/>
  <c r="AD9" i="2"/>
  <c r="R15" i="2"/>
  <c r="R27" i="2" l="1"/>
  <c r="AD26" i="2"/>
  <c r="AD15" i="2"/>
  <c r="AD27" i="2" l="1"/>
  <c r="R28" i="2"/>
  <c r="AD16" i="2"/>
  <c r="AD28" i="2" s="1"/>
  <c r="R17" i="2"/>
  <c r="R19" i="2" l="1"/>
  <c r="R29" i="2"/>
  <c r="AD17" i="2"/>
  <c r="AD19" i="2" l="1"/>
  <c r="AD29" i="2"/>
  <c r="AQ27" i="2"/>
  <c r="AQ28" i="2" s="1"/>
  <c r="AQ30" i="2" s="1"/>
</calcChain>
</file>

<file path=xl/sharedStrings.xml><?xml version="1.0" encoding="utf-8"?>
<sst xmlns="http://schemas.openxmlformats.org/spreadsheetml/2006/main" count="70" uniqueCount="66">
  <si>
    <t>Price</t>
  </si>
  <si>
    <t>Shares</t>
  </si>
  <si>
    <t>MC</t>
  </si>
  <si>
    <t>Net Cash</t>
  </si>
  <si>
    <t>Cash</t>
  </si>
  <si>
    <t>Debt</t>
  </si>
  <si>
    <t>EV</t>
  </si>
  <si>
    <t>Last checked</t>
  </si>
  <si>
    <t>Today</t>
  </si>
  <si>
    <t>Earnings</t>
  </si>
  <si>
    <t>Revenue</t>
  </si>
  <si>
    <t>Cost of sales</t>
  </si>
  <si>
    <t>Gross profit</t>
  </si>
  <si>
    <t>S&amp;M</t>
  </si>
  <si>
    <t>D&amp;A</t>
  </si>
  <si>
    <t>Litigation</t>
  </si>
  <si>
    <t>Operating profit</t>
  </si>
  <si>
    <t>Investment income</t>
  </si>
  <si>
    <t>Interest expense</t>
  </si>
  <si>
    <t>Other income</t>
  </si>
  <si>
    <t>Pretax profit</t>
  </si>
  <si>
    <t>Taxes</t>
  </si>
  <si>
    <t>Net income</t>
  </si>
  <si>
    <t>EPS</t>
  </si>
  <si>
    <t>Financial income</t>
  </si>
  <si>
    <t>Total other expense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</si>
  <si>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</si>
  <si>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</si>
  <si>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</si>
  <si>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</si>
  <si>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</si>
  <si>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</si>
  <si>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</si>
  <si>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</si>
  <si>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</si>
  <si>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</si>
  <si>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</si>
  <si>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</si>
  <si>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 y/y</t>
  </si>
  <si>
    <t>Gross Margin</t>
  </si>
  <si>
    <t>S&amp;M Margin</t>
  </si>
  <si>
    <t>D&amp;A y/y</t>
  </si>
  <si>
    <t>Litigation Margin</t>
  </si>
  <si>
    <t>Operating Margin</t>
  </si>
  <si>
    <t>Pretax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</si>
  <si>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</si>
  <si>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</si>
  <si>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</si>
  <si>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</si>
  <si>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</si>
  <si>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</si>
  <si>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</si>
  <si>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</si>
  <si>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</si>
  <si>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</si>
  <si>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MA</t>
  </si>
  <si>
    <t>Q125</t>
  </si>
  <si>
    <t>Q225</t>
  </si>
  <si>
    <t>Q325</t>
  </si>
  <si>
    <t>Q425</t>
  </si>
  <si>
    <t>Slightly overvalued</t>
  </si>
  <si>
    <t>Q425 8K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</si>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</sst>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</xdr:colOff>
      <xdr:row>0</xdr:row>
      <xdr:rowOff>0</xdr:rowOff>
    </xdr:from>
    <xdr:to>
      <xdr:col>18</xdr:col>
      <xdr:colOff>15240</xdr:colOff>
      <xdr:row>33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98A4A5F-FF55-134B-5517-9058C5C7D65D}"/>
            </a:ext>
          </a:extLst>
        </xdr:cNvPr>
        <xdr:cNvCxnSpPr/>
      </xdr:nvCxnSpPr>
      <xdr:spPr>
        <a:xfrm>
          <a:off x="11879580" y="0"/>
          <a:ext cx="0" cy="61188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22860</xdr:colOff>
      <xdr:row>0</xdr:row>
      <xdr:rowOff>0</xdr:rowOff>
    </xdr:from>
    <xdr:to>
      <xdr:col>30</xdr:col>
      <xdr:colOff>22860</xdr:colOff>
      <xdr:row>33</xdr:row>
      <xdr:rowOff>68580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1887E10-B13F-37FC-29C7-DB7C01C4BB39}"/>
            </a:ext>
          </a:extLst>
        </xdr:cNvPr>
        <xdr:cNvCxnSpPr/>
      </xdr:nvCxnSpPr>
      <xdr:spPr>
        <a:xfrm>
          <a:off x="19202400" y="0"/>
          <a:ext cx="0" cy="6103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C5A1-135E-423A-8FBB-E9030958B02F}">
  <dimension ref="B2:H9"/>
  <sheetViews>
    <sheetView workbookViewId="0">
      <selection activeCell="D4" sqref="D4"/>
    </sheetView>
  </sheetViews>
  <sheetFormatPr defaultRowHeight="14.4" x14ac:dyDescent="0.3"/>
  <cols>
    <col min="5" max="5" width="11.88671875" style="2" bestFit="1" customWidth="1"/>
    <col min="6" max="7" width="11.21875" style="2" bestFit="1" customWidth="1"/>
    <col min="8" max="8" width="8.88671875" style="2" customWidth="1"/>
  </cols>
  <sheetData>
    <row r="2" spans="2:7" x14ac:dyDescent="0.3">
      <c r="E2" s="2" t="s">
        <v>7</v>
      </c>
      <c r="F2" s="2" t="s">
        <v>8</v>
      </c>
      <c r="G2" s="2" t="s">
        <v>9</v>
      </c>
    </row>
    <row r="3" spans="2:7" x14ac:dyDescent="0.3">
      <c r="B3" s="6" t="s">
        <v>55</v>
      </c>
      <c r="C3" t="s">
        <v>0</v>
      </c>
      <c r="D3" s="10">
        <v>550.99</v>
      </c>
      <c r="E3" s="3">
        <v>46057</v>
      </c>
      <c r="F3" s="3">
        <f ca="1">TODAY()</f>
        <v>46059</v>
      </c>
      <c r="G3" s="3">
        <v>46135</v>
      </c>
    </row>
    <row r="4" spans="2:7" x14ac:dyDescent="0.3">
      <c r="C4" t="s">
        <v>1</v>
      </c>
      <c r="D4" s="1">
        <v>897</v>
      </c>
      <c r="E4" s="2" t="s">
        <v>61</v>
      </c>
    </row>
    <row r="5" spans="2:7" x14ac:dyDescent="0.3">
      <c r="C5" t="s">
        <v>2</v>
      </c>
      <c r="D5" s="1">
        <f>D3*D4</f>
        <v>494238.03</v>
      </c>
    </row>
    <row r="6" spans="2:7" x14ac:dyDescent="0.3">
      <c r="C6" t="s">
        <v>4</v>
      </c>
      <c r="D6" s="1">
        <f>10566+332</f>
        <v>10898</v>
      </c>
      <c r="E6" s="2" t="s">
        <v>59</v>
      </c>
    </row>
    <row r="7" spans="2:7" x14ac:dyDescent="0.3">
      <c r="C7" t="s">
        <v>5</v>
      </c>
      <c r="D7" s="1">
        <f>749+18251</f>
        <v>19000</v>
      </c>
      <c r="E7" s="2" t="s">
        <v>59</v>
      </c>
    </row>
    <row r="8" spans="2:7" x14ac:dyDescent="0.3">
      <c r="C8" t="s">
        <v>3</v>
      </c>
      <c r="D8" s="1">
        <f>D6-D7</f>
        <v>-8102</v>
      </c>
    </row>
    <row r="9" spans="2:7" x14ac:dyDescent="0.3">
      <c r="C9" t="s">
        <v>6</v>
      </c>
      <c r="D9" s="1">
        <f>D5-D8</f>
        <v>502340.03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8C74-C2DD-4DD7-A443-C53DE3D8276A}">
  <dimension ref="A2:ET31"/>
  <sheetViews>
    <sheetView tabSelected="1" workbookViewId="0">
      <pane xSplit="2" ySplit="2" topLeftCell="O5" activePane="bottomRight" state="frozen"/>
      <selection pane="topRight" activeCell="C1" sqref="C1"/>
      <selection pane="bottomLeft" activeCell="A3" sqref="A3"/>
      <selection pane="bottomRight" activeCell="AQ26" sqref="AQ26"/>
    </sheetView>
  </sheetViews>
  <sheetFormatPr defaultRowHeight="14.4" x14ac:dyDescent="0.3"/>
  <cols>
    <col min="2" max="2" width="21.88671875" bestFit="1" customWidth="1"/>
    <col min="42" max="42" width="13" customWidth="1"/>
    <col min="43" max="43" width="16.21875" bestFit="1" customWidth="1"/>
  </cols>
  <sheetData>
    <row r="2" spans="1:40" x14ac:dyDescent="0.3"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56</v>
      </c>
      <c r="P2" s="4" t="s">
        <v>57</v>
      </c>
      <c r="Q2" s="4" t="s">
        <v>58</v>
      </c>
      <c r="R2" s="4" t="s">
        <v>59</v>
      </c>
      <c r="S2" s="4" t="s">
        <v>62</v>
      </c>
      <c r="T2" s="4" t="s">
        <v>63</v>
      </c>
      <c r="U2" s="4" t="s">
        <v>64</v>
      </c>
      <c r="V2" s="4" t="s">
        <v>65</v>
      </c>
      <c r="X2">
        <v>2019</v>
      </c>
      <c r="Y2">
        <v>2020</v>
      </c>
      <c r="Z2">
        <v>2021</v>
      </c>
      <c r="AA2">
        <v>2022</v>
      </c>
      <c r="AB2">
        <v>2023</v>
      </c>
      <c r="AC2"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  <c r="AJ2">
        <v>2031</v>
      </c>
      <c r="AK2">
        <v>2032</v>
      </c>
      <c r="AL2">
        <v>2033</v>
      </c>
      <c r="AM2">
        <v>2034</v>
      </c>
      <c r="AN2">
        <v>2035</v>
      </c>
    </row>
    <row r="3" spans="1:40" s="6" customFormat="1" x14ac:dyDescent="0.3">
      <c r="A3"/>
      <c r="B3" s="6" t="s">
        <v>10</v>
      </c>
      <c r="C3" s="7">
        <v>5167</v>
      </c>
      <c r="D3" s="7">
        <v>5497</v>
      </c>
      <c r="E3" s="7">
        <v>5756</v>
      </c>
      <c r="F3" s="7">
        <v>5817</v>
      </c>
      <c r="G3" s="7">
        <v>5748</v>
      </c>
      <c r="H3" s="7">
        <v>6269</v>
      </c>
      <c r="I3" s="7">
        <v>6533</v>
      </c>
      <c r="J3" s="7">
        <v>6548</v>
      </c>
      <c r="K3" s="7">
        <v>6348</v>
      </c>
      <c r="L3" s="7">
        <v>6961</v>
      </c>
      <c r="M3" s="7">
        <v>7369</v>
      </c>
      <c r="N3" s="7">
        <v>7489</v>
      </c>
      <c r="O3" s="7">
        <v>7250</v>
      </c>
      <c r="P3" s="7">
        <v>8133</v>
      </c>
      <c r="Q3" s="7">
        <v>8602</v>
      </c>
      <c r="R3" s="7">
        <v>8806</v>
      </c>
      <c r="S3" s="7"/>
      <c r="T3" s="7"/>
      <c r="U3" s="7"/>
      <c r="V3" s="7"/>
      <c r="X3" s="7">
        <v>16883</v>
      </c>
      <c r="Y3" s="7">
        <v>15301</v>
      </c>
      <c r="Z3" s="7">
        <v>18884</v>
      </c>
      <c r="AA3" s="7">
        <f>SUM(C3:F3)</f>
        <v>22237</v>
      </c>
      <c r="AB3" s="7">
        <f>SUM(G3:J3)</f>
        <v>25098</v>
      </c>
      <c r="AC3" s="7">
        <f>SUM(K3:N3)</f>
        <v>28167</v>
      </c>
      <c r="AD3" s="7">
        <f>SUM(O3:R3)</f>
        <v>32791</v>
      </c>
      <c r="AE3" s="7">
        <f>AD3*1.15</f>
        <v>37709.649999999994</v>
      </c>
      <c r="AF3" s="7">
        <f>AE3*1.09</f>
        <v>41103.518499999998</v>
      </c>
      <c r="AG3" s="7">
        <f>AF3*1.07</f>
        <v>43980.764795000003</v>
      </c>
      <c r="AH3" s="7">
        <f>AG3*1.05</f>
        <v>46179.803034750003</v>
      </c>
      <c r="AI3" s="7">
        <f>AH3*1.04</f>
        <v>48026.995156140001</v>
      </c>
      <c r="AJ3" s="7">
        <f>AI3*1.03</f>
        <v>49467.805010824202</v>
      </c>
      <c r="AK3" s="7">
        <f t="shared" ref="AK3:AN3" si="0">AJ3*1.03</f>
        <v>50951.839161148928</v>
      </c>
      <c r="AL3" s="7">
        <f t="shared" si="0"/>
        <v>52480.394335983394</v>
      </c>
      <c r="AM3" s="7">
        <f t="shared" si="0"/>
        <v>54054.806166062895</v>
      </c>
      <c r="AN3" s="7">
        <f t="shared" si="0"/>
        <v>55676.450351044783</v>
      </c>
    </row>
    <row r="4" spans="1:40" x14ac:dyDescent="0.3">
      <c r="B4" t="s">
        <v>11</v>
      </c>
      <c r="C4" s="1">
        <v>1844</v>
      </c>
      <c r="D4" s="1">
        <v>1947</v>
      </c>
      <c r="E4" s="1">
        <v>2069</v>
      </c>
      <c r="F4" s="1">
        <v>2218</v>
      </c>
      <c r="G4" s="1">
        <v>2043</v>
      </c>
      <c r="H4" s="1">
        <v>2200</v>
      </c>
      <c r="I4" s="1">
        <v>2285</v>
      </c>
      <c r="J4" s="1">
        <v>2399</v>
      </c>
      <c r="K4" s="1">
        <v>2286</v>
      </c>
      <c r="L4" s="1">
        <v>2418</v>
      </c>
      <c r="M4" s="1">
        <v>2744</v>
      </c>
      <c r="N4" s="1">
        <v>2745</v>
      </c>
      <c r="O4" s="1">
        <v>2523</v>
      </c>
      <c r="P4" s="1">
        <v>2766</v>
      </c>
      <c r="Q4" s="1">
        <v>2923</v>
      </c>
      <c r="R4" s="1">
        <v>3106</v>
      </c>
      <c r="S4" s="1"/>
      <c r="T4" s="1"/>
      <c r="U4" s="1"/>
      <c r="V4" s="1"/>
      <c r="X4" s="1">
        <v>5763</v>
      </c>
      <c r="Y4" s="1">
        <v>5910</v>
      </c>
      <c r="Z4" s="1">
        <v>7087</v>
      </c>
      <c r="AA4" s="1">
        <f>SUM(C4:F4)</f>
        <v>8078</v>
      </c>
      <c r="AB4" s="1">
        <f>SUM(G4:J4)</f>
        <v>8927</v>
      </c>
      <c r="AC4" s="1">
        <f>SUM(K4:N4)</f>
        <v>10193</v>
      </c>
      <c r="AD4" s="1">
        <f>SUM(O4:R4)</f>
        <v>11318</v>
      </c>
      <c r="AE4" s="1">
        <f t="shared" ref="AE4:AN4" si="1">AE3-AE5</f>
        <v>13198.377499999999</v>
      </c>
      <c r="AF4" s="1">
        <f t="shared" si="1"/>
        <v>13975.19629</v>
      </c>
      <c r="AG4" s="1">
        <f t="shared" si="1"/>
        <v>14953.460030300001</v>
      </c>
      <c r="AH4" s="1">
        <f t="shared" si="1"/>
        <v>15701.133031814999</v>
      </c>
      <c r="AI4" s="1">
        <f t="shared" si="1"/>
        <v>16329.178353087598</v>
      </c>
      <c r="AJ4" s="1">
        <f t="shared" si="1"/>
        <v>16819.053703680227</v>
      </c>
      <c r="AK4" s="1">
        <f t="shared" si="1"/>
        <v>17323.625314790632</v>
      </c>
      <c r="AL4" s="1">
        <f t="shared" si="1"/>
        <v>17843.33407423435</v>
      </c>
      <c r="AM4" s="1">
        <f t="shared" si="1"/>
        <v>18378.634096461385</v>
      </c>
      <c r="AN4" s="1">
        <f t="shared" si="1"/>
        <v>18929.993119355226</v>
      </c>
    </row>
    <row r="5" spans="1:40" s="6" customFormat="1" x14ac:dyDescent="0.3">
      <c r="A5"/>
      <c r="B5" s="6" t="s">
        <v>12</v>
      </c>
      <c r="C5" s="7">
        <f t="shared" ref="C5:R5" si="2">C3-C4</f>
        <v>3323</v>
      </c>
      <c r="D5" s="7">
        <f t="shared" si="2"/>
        <v>3550</v>
      </c>
      <c r="E5" s="7">
        <f t="shared" si="2"/>
        <v>3687</v>
      </c>
      <c r="F5" s="7">
        <f t="shared" si="2"/>
        <v>3599</v>
      </c>
      <c r="G5" s="7">
        <f t="shared" si="2"/>
        <v>3705</v>
      </c>
      <c r="H5" s="7">
        <f t="shared" si="2"/>
        <v>4069</v>
      </c>
      <c r="I5" s="7">
        <f t="shared" si="2"/>
        <v>4248</v>
      </c>
      <c r="J5" s="7">
        <f t="shared" si="2"/>
        <v>4149</v>
      </c>
      <c r="K5" s="7">
        <f t="shared" si="2"/>
        <v>4062</v>
      </c>
      <c r="L5" s="7">
        <f t="shared" si="2"/>
        <v>4543</v>
      </c>
      <c r="M5" s="7">
        <f t="shared" si="2"/>
        <v>4625</v>
      </c>
      <c r="N5" s="7">
        <f t="shared" si="2"/>
        <v>4744</v>
      </c>
      <c r="O5" s="7">
        <f t="shared" si="2"/>
        <v>4727</v>
      </c>
      <c r="P5" s="7">
        <f t="shared" si="2"/>
        <v>5367</v>
      </c>
      <c r="Q5" s="7">
        <f t="shared" si="2"/>
        <v>5679</v>
      </c>
      <c r="R5" s="7">
        <f t="shared" si="2"/>
        <v>5700</v>
      </c>
      <c r="S5" s="7"/>
      <c r="T5" s="7"/>
      <c r="U5" s="7"/>
      <c r="V5" s="7"/>
      <c r="X5" s="7">
        <f t="shared" ref="X5:AD5" si="3">X3-X4</f>
        <v>11120</v>
      </c>
      <c r="Y5" s="7">
        <f t="shared" si="3"/>
        <v>9391</v>
      </c>
      <c r="Z5" s="7">
        <f t="shared" si="3"/>
        <v>11797</v>
      </c>
      <c r="AA5" s="7">
        <f t="shared" si="3"/>
        <v>14159</v>
      </c>
      <c r="AB5" s="7">
        <f t="shared" si="3"/>
        <v>16171</v>
      </c>
      <c r="AC5" s="7">
        <f t="shared" si="3"/>
        <v>17974</v>
      </c>
      <c r="AD5" s="7">
        <f t="shared" si="3"/>
        <v>21473</v>
      </c>
      <c r="AE5" s="7">
        <f>AE3*0.65</f>
        <v>24511.272499999995</v>
      </c>
      <c r="AF5" s="7">
        <f>AF3*0.66</f>
        <v>27128.322209999998</v>
      </c>
      <c r="AG5" s="7">
        <f t="shared" ref="AG5:AN5" si="4">AG3*0.66</f>
        <v>29027.304764700002</v>
      </c>
      <c r="AH5" s="7">
        <f t="shared" si="4"/>
        <v>30478.670002935003</v>
      </c>
      <c r="AI5" s="7">
        <f t="shared" si="4"/>
        <v>31697.816803052403</v>
      </c>
      <c r="AJ5" s="7">
        <f t="shared" si="4"/>
        <v>32648.751307143975</v>
      </c>
      <c r="AK5" s="7">
        <f t="shared" si="4"/>
        <v>33628.213846358296</v>
      </c>
      <c r="AL5" s="7">
        <f t="shared" si="4"/>
        <v>34637.060261749044</v>
      </c>
      <c r="AM5" s="7">
        <f t="shared" si="4"/>
        <v>35676.172069601511</v>
      </c>
      <c r="AN5" s="7">
        <f t="shared" si="4"/>
        <v>36746.457231689557</v>
      </c>
    </row>
    <row r="6" spans="1:40" x14ac:dyDescent="0.3">
      <c r="B6" t="s">
        <v>13</v>
      </c>
      <c r="C6" s="1">
        <v>181</v>
      </c>
      <c r="D6" s="1">
        <v>210</v>
      </c>
      <c r="E6" s="1">
        <v>182</v>
      </c>
      <c r="F6" s="1">
        <v>216</v>
      </c>
      <c r="G6" s="1">
        <v>167</v>
      </c>
      <c r="H6" s="1">
        <v>201</v>
      </c>
      <c r="I6" s="1">
        <v>193</v>
      </c>
      <c r="J6" s="1">
        <v>264</v>
      </c>
      <c r="K6" s="1">
        <v>116</v>
      </c>
      <c r="L6" s="1">
        <v>184</v>
      </c>
      <c r="M6" s="1">
        <v>220</v>
      </c>
      <c r="N6" s="1">
        <v>295</v>
      </c>
      <c r="O6" s="1">
        <v>152</v>
      </c>
      <c r="P6" s="1">
        <v>213</v>
      </c>
      <c r="Q6" s="1">
        <v>245</v>
      </c>
      <c r="R6" s="1">
        <v>319</v>
      </c>
      <c r="S6" s="1"/>
      <c r="T6" s="1"/>
      <c r="U6" s="1"/>
      <c r="V6" s="1"/>
      <c r="X6" s="1">
        <v>934</v>
      </c>
      <c r="Y6" s="1">
        <v>657</v>
      </c>
      <c r="Z6" s="1">
        <v>895</v>
      </c>
      <c r="AA6" s="1">
        <f>SUM(C6:F6)</f>
        <v>789</v>
      </c>
      <c r="AB6" s="1">
        <f>SUM(G6:J6)</f>
        <v>825</v>
      </c>
      <c r="AC6" s="1">
        <f>SUM(K6:N6)</f>
        <v>815</v>
      </c>
      <c r="AD6" s="1">
        <f>SUM(O6:R6)</f>
        <v>929</v>
      </c>
      <c r="AE6" s="1">
        <f t="shared" ref="AE6:AN6" si="5">AE3*0.03</f>
        <v>1131.2894999999999</v>
      </c>
      <c r="AF6" s="1">
        <f t="shared" si="5"/>
        <v>1233.1055549999999</v>
      </c>
      <c r="AG6" s="1">
        <f t="shared" si="5"/>
        <v>1319.4229438500001</v>
      </c>
      <c r="AH6" s="1">
        <f t="shared" si="5"/>
        <v>1385.3940910425001</v>
      </c>
      <c r="AI6" s="1">
        <f t="shared" si="5"/>
        <v>1440.8098546842</v>
      </c>
      <c r="AJ6" s="1">
        <f t="shared" si="5"/>
        <v>1484.0341503247259</v>
      </c>
      <c r="AK6" s="1">
        <f t="shared" si="5"/>
        <v>1528.5551748344678</v>
      </c>
      <c r="AL6" s="1">
        <f t="shared" si="5"/>
        <v>1574.4118300795017</v>
      </c>
      <c r="AM6" s="1">
        <f t="shared" si="5"/>
        <v>1621.6441849818868</v>
      </c>
      <c r="AN6" s="1">
        <f t="shared" si="5"/>
        <v>1670.2935105313434</v>
      </c>
    </row>
    <row r="7" spans="1:40" x14ac:dyDescent="0.3">
      <c r="B7" t="s">
        <v>14</v>
      </c>
      <c r="C7" s="1">
        <v>192</v>
      </c>
      <c r="D7" s="1">
        <v>189</v>
      </c>
      <c r="E7" s="1">
        <v>185</v>
      </c>
      <c r="F7" s="1">
        <v>184</v>
      </c>
      <c r="G7" s="1">
        <v>191</v>
      </c>
      <c r="H7" s="1">
        <v>192</v>
      </c>
      <c r="I7" s="1">
        <v>211</v>
      </c>
      <c r="J7" s="1">
        <v>205</v>
      </c>
      <c r="K7" s="1">
        <v>216</v>
      </c>
      <c r="L7" s="1">
        <v>225</v>
      </c>
      <c r="M7" s="1">
        <v>225</v>
      </c>
      <c r="N7" s="1">
        <v>231</v>
      </c>
      <c r="O7" s="1">
        <v>275</v>
      </c>
      <c r="P7" s="1">
        <v>281</v>
      </c>
      <c r="Q7" s="1">
        <v>290</v>
      </c>
      <c r="R7" s="1">
        <v>297</v>
      </c>
      <c r="S7" s="1"/>
      <c r="T7" s="1"/>
      <c r="U7" s="1"/>
      <c r="V7" s="1"/>
      <c r="X7" s="1">
        <v>522</v>
      </c>
      <c r="Y7" s="1">
        <v>580</v>
      </c>
      <c r="Z7" s="1">
        <v>726</v>
      </c>
      <c r="AA7" s="1">
        <f>SUM(C7:F7)</f>
        <v>750</v>
      </c>
      <c r="AB7" s="1">
        <f>SUM(G7:J7)</f>
        <v>799</v>
      </c>
      <c r="AC7" s="1">
        <f>SUM(K7:N7)</f>
        <v>897</v>
      </c>
      <c r="AD7" s="1">
        <f>SUM(O7:R7)</f>
        <v>1143</v>
      </c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3">
      <c r="B8" t="s">
        <v>15</v>
      </c>
      <c r="C8" s="1">
        <v>0</v>
      </c>
      <c r="D8" s="1">
        <v>133</v>
      </c>
      <c r="E8" s="1">
        <v>208</v>
      </c>
      <c r="F8" s="1">
        <v>15</v>
      </c>
      <c r="G8" s="1">
        <v>211</v>
      </c>
      <c r="H8" s="1">
        <v>20</v>
      </c>
      <c r="I8" s="1">
        <v>0</v>
      </c>
      <c r="J8" s="1">
        <v>308</v>
      </c>
      <c r="K8" s="1">
        <v>126</v>
      </c>
      <c r="L8" s="1">
        <v>98</v>
      </c>
      <c r="M8" s="1">
        <v>176</v>
      </c>
      <c r="N8" s="1">
        <v>280</v>
      </c>
      <c r="O8" s="1">
        <v>151</v>
      </c>
      <c r="P8" s="1">
        <v>96</v>
      </c>
      <c r="Q8" s="1">
        <v>83</v>
      </c>
      <c r="R8" s="1">
        <v>174</v>
      </c>
      <c r="S8" s="1"/>
      <c r="T8" s="1"/>
      <c r="U8" s="1"/>
      <c r="V8" s="1"/>
      <c r="X8" s="1">
        <v>0</v>
      </c>
      <c r="Y8" s="1">
        <v>73</v>
      </c>
      <c r="Z8" s="1">
        <v>94</v>
      </c>
      <c r="AA8" s="1">
        <f>SUM(C8:F8)</f>
        <v>356</v>
      </c>
      <c r="AB8" s="1">
        <f>SUM(G8:J8)</f>
        <v>539</v>
      </c>
      <c r="AC8" s="1">
        <f>SUM(K8:N8)</f>
        <v>680</v>
      </c>
      <c r="AD8" s="1">
        <f>SUM(O8:R8)</f>
        <v>504</v>
      </c>
      <c r="AE8" s="1">
        <f t="shared" ref="AE8:AN8" si="6">AE3*0.02</f>
        <v>754.19299999999987</v>
      </c>
      <c r="AF8" s="1">
        <f t="shared" si="6"/>
        <v>822.07037000000003</v>
      </c>
      <c r="AG8" s="1">
        <f t="shared" si="6"/>
        <v>879.61529590000009</v>
      </c>
      <c r="AH8" s="1">
        <f t="shared" si="6"/>
        <v>923.59606069500012</v>
      </c>
      <c r="AI8" s="1">
        <f t="shared" si="6"/>
        <v>960.53990312280007</v>
      </c>
      <c r="AJ8" s="1">
        <f t="shared" si="6"/>
        <v>989.35610021648404</v>
      </c>
      <c r="AK8" s="1">
        <f t="shared" si="6"/>
        <v>1019.0367832229786</v>
      </c>
      <c r="AL8" s="1">
        <f t="shared" si="6"/>
        <v>1049.6078867196679</v>
      </c>
      <c r="AM8" s="1">
        <f t="shared" si="6"/>
        <v>1081.0961233212579</v>
      </c>
      <c r="AN8" s="1">
        <f t="shared" si="6"/>
        <v>1113.5290070208957</v>
      </c>
    </row>
    <row r="9" spans="1:40" s="6" customFormat="1" x14ac:dyDescent="0.3">
      <c r="A9"/>
      <c r="B9" s="6" t="s">
        <v>16</v>
      </c>
      <c r="C9" s="7">
        <f t="shared" ref="C9:K9" si="7">C5-C6-C7-C8</f>
        <v>2950</v>
      </c>
      <c r="D9" s="7">
        <f t="shared" si="7"/>
        <v>3018</v>
      </c>
      <c r="E9" s="7">
        <f t="shared" si="7"/>
        <v>3112</v>
      </c>
      <c r="F9" s="7">
        <f t="shared" si="7"/>
        <v>3184</v>
      </c>
      <c r="G9" s="7">
        <f t="shared" si="7"/>
        <v>3136</v>
      </c>
      <c r="H9" s="7">
        <f t="shared" si="7"/>
        <v>3656</v>
      </c>
      <c r="I9" s="7">
        <f t="shared" si="7"/>
        <v>3844</v>
      </c>
      <c r="J9" s="7">
        <f t="shared" si="7"/>
        <v>3372</v>
      </c>
      <c r="K9" s="7">
        <f t="shared" si="7"/>
        <v>3604</v>
      </c>
      <c r="L9" s="7">
        <f t="shared" ref="L9:R9" si="8">L5-L6-L7-L8</f>
        <v>4036</v>
      </c>
      <c r="M9" s="7">
        <f t="shared" si="8"/>
        <v>4004</v>
      </c>
      <c r="N9" s="7">
        <f t="shared" si="8"/>
        <v>3938</v>
      </c>
      <c r="O9" s="7">
        <f t="shared" si="8"/>
        <v>4149</v>
      </c>
      <c r="P9" s="7">
        <f t="shared" si="8"/>
        <v>4777</v>
      </c>
      <c r="Q9" s="7">
        <f t="shared" si="8"/>
        <v>5061</v>
      </c>
      <c r="R9" s="7">
        <f t="shared" si="8"/>
        <v>4910</v>
      </c>
      <c r="S9" s="7"/>
      <c r="T9" s="7"/>
      <c r="U9" s="7"/>
      <c r="V9" s="7"/>
      <c r="W9" s="7"/>
      <c r="X9" s="7">
        <f t="shared" ref="X9:AD9" si="9">X5-X6-X7-X8</f>
        <v>9664</v>
      </c>
      <c r="Y9" s="7">
        <f t="shared" si="9"/>
        <v>8081</v>
      </c>
      <c r="Z9" s="7">
        <f t="shared" si="9"/>
        <v>10082</v>
      </c>
      <c r="AA9" s="7">
        <f t="shared" si="9"/>
        <v>12264</v>
      </c>
      <c r="AB9" s="7">
        <f t="shared" si="9"/>
        <v>14008</v>
      </c>
      <c r="AC9" s="7">
        <f t="shared" si="9"/>
        <v>15582</v>
      </c>
      <c r="AD9" s="7">
        <f t="shared" si="9"/>
        <v>18897</v>
      </c>
      <c r="AE9" s="7">
        <f t="shared" ref="AE9:AN9" si="10">AE5-AE6-AE7-AE8</f>
        <v>22625.789999999997</v>
      </c>
      <c r="AF9" s="7">
        <f t="shared" si="10"/>
        <v>25073.146284999999</v>
      </c>
      <c r="AG9" s="7">
        <f t="shared" si="10"/>
        <v>26828.266524950002</v>
      </c>
      <c r="AH9" s="7">
        <f t="shared" si="10"/>
        <v>28169.679851197503</v>
      </c>
      <c r="AI9" s="7">
        <f t="shared" si="10"/>
        <v>29296.467045245401</v>
      </c>
      <c r="AJ9" s="7">
        <f t="shared" si="10"/>
        <v>30175.361056602767</v>
      </c>
      <c r="AK9" s="7">
        <f t="shared" si="10"/>
        <v>31080.621888300851</v>
      </c>
      <c r="AL9" s="7">
        <f t="shared" si="10"/>
        <v>32013.040544949876</v>
      </c>
      <c r="AM9" s="7">
        <f t="shared" si="10"/>
        <v>32973.431761298365</v>
      </c>
      <c r="AN9" s="7">
        <f t="shared" si="10"/>
        <v>33962.634714137319</v>
      </c>
    </row>
    <row r="10" spans="1:40" x14ac:dyDescent="0.3">
      <c r="B10" t="s">
        <v>17</v>
      </c>
      <c r="C10" s="1">
        <v>-5</v>
      </c>
      <c r="D10" s="1">
        <v>-7</v>
      </c>
      <c r="E10" s="1">
        <v>-16</v>
      </c>
      <c r="F10" s="1">
        <v>-33</v>
      </c>
      <c r="G10" s="1">
        <v>-55</v>
      </c>
      <c r="H10" s="1">
        <v>-59</v>
      </c>
      <c r="I10" s="1">
        <v>-71</v>
      </c>
      <c r="J10" s="1">
        <v>-89</v>
      </c>
      <c r="K10" s="1">
        <v>-95</v>
      </c>
      <c r="L10" s="1">
        <v>-60</v>
      </c>
      <c r="M10" s="1">
        <v>-76</v>
      </c>
      <c r="N10" s="1">
        <v>-96</v>
      </c>
      <c r="O10" s="1">
        <v>-88</v>
      </c>
      <c r="P10" s="1">
        <v>-70</v>
      </c>
      <c r="Q10" s="1">
        <v>-81</v>
      </c>
      <c r="R10" s="1">
        <v>-86</v>
      </c>
      <c r="S10" s="1"/>
      <c r="T10" s="1"/>
      <c r="U10" s="1"/>
      <c r="V10" s="1"/>
      <c r="X10" s="1">
        <v>-97</v>
      </c>
      <c r="Y10" s="1">
        <v>-24</v>
      </c>
      <c r="Z10" s="1">
        <v>-11</v>
      </c>
      <c r="AA10" s="1">
        <f>SUM(C10:F10)</f>
        <v>-61</v>
      </c>
      <c r="AB10" s="1">
        <f>SUM(G10:J10)</f>
        <v>-274</v>
      </c>
      <c r="AC10" s="1">
        <f t="shared" ref="AC10:AC13" si="11">SUM(K10:N10)</f>
        <v>-327</v>
      </c>
      <c r="AD10" s="1">
        <f>SUM(O10:R10)</f>
        <v>-325</v>
      </c>
      <c r="AE10" s="1">
        <f>AD10*1.03</f>
        <v>-334.75</v>
      </c>
      <c r="AF10" s="1">
        <f t="shared" ref="AF10:AN10" si="12">AE10*1.03</f>
        <v>-344.79250000000002</v>
      </c>
      <c r="AG10" s="1">
        <f t="shared" si="12"/>
        <v>-355.13627500000001</v>
      </c>
      <c r="AH10" s="1">
        <f t="shared" si="12"/>
        <v>-365.79036325000004</v>
      </c>
      <c r="AI10" s="1">
        <f t="shared" si="12"/>
        <v>-376.76407414750003</v>
      </c>
      <c r="AJ10" s="1">
        <f t="shared" si="12"/>
        <v>-388.06699637192503</v>
      </c>
      <c r="AK10" s="1">
        <f t="shared" si="12"/>
        <v>-399.70900626308281</v>
      </c>
      <c r="AL10" s="1">
        <f t="shared" si="12"/>
        <v>-411.70027645097531</v>
      </c>
      <c r="AM10" s="1">
        <f t="shared" si="12"/>
        <v>-424.05128474450458</v>
      </c>
      <c r="AN10" s="1">
        <f t="shared" si="12"/>
        <v>-436.77282328683975</v>
      </c>
    </row>
    <row r="11" spans="1:40" x14ac:dyDescent="0.3">
      <c r="B11" t="s">
        <v>24</v>
      </c>
      <c r="C11" s="1">
        <v>76</v>
      </c>
      <c r="D11" s="1">
        <v>117</v>
      </c>
      <c r="E11" s="1">
        <v>-60</v>
      </c>
      <c r="F11" s="1">
        <v>12</v>
      </c>
      <c r="G11" s="1">
        <v>212</v>
      </c>
      <c r="H11" s="1">
        <v>-123</v>
      </c>
      <c r="I11" s="1">
        <v>6</v>
      </c>
      <c r="J11" s="1">
        <v>-34</v>
      </c>
      <c r="K11" s="1">
        <v>-6</v>
      </c>
      <c r="L11" s="1">
        <v>13</v>
      </c>
      <c r="M11" s="1">
        <v>62</v>
      </c>
      <c r="N11" s="1">
        <v>-40</v>
      </c>
      <c r="O11" s="1">
        <v>29</v>
      </c>
      <c r="P11" s="1">
        <v>-4</v>
      </c>
      <c r="Q11" s="1">
        <v>-41</v>
      </c>
      <c r="R11" s="1">
        <v>104</v>
      </c>
      <c r="S11" s="1"/>
      <c r="T11" s="1"/>
      <c r="U11" s="1"/>
      <c r="V11" s="1"/>
      <c r="X11" s="1">
        <v>-167</v>
      </c>
      <c r="Y11" s="1">
        <v>-30</v>
      </c>
      <c r="Z11" s="1">
        <v>-645</v>
      </c>
      <c r="AA11" s="1">
        <f>SUM(C11:F11)</f>
        <v>145</v>
      </c>
      <c r="AB11" s="1">
        <f>SUM(G11:J11)</f>
        <v>61</v>
      </c>
      <c r="AC11" s="1">
        <f t="shared" si="11"/>
        <v>29</v>
      </c>
      <c r="AD11" s="1">
        <f>SUM(O11:R11)</f>
        <v>88</v>
      </c>
      <c r="AE11" s="1">
        <v>40</v>
      </c>
      <c r="AF11" s="1">
        <v>40</v>
      </c>
      <c r="AG11" s="1">
        <v>40</v>
      </c>
      <c r="AH11" s="1">
        <v>40</v>
      </c>
      <c r="AI11" s="1">
        <v>40</v>
      </c>
      <c r="AJ11" s="1">
        <v>40</v>
      </c>
      <c r="AK11" s="1">
        <v>40</v>
      </c>
      <c r="AL11" s="1">
        <v>40</v>
      </c>
      <c r="AM11" s="1">
        <v>40</v>
      </c>
      <c r="AN11" s="1">
        <v>40</v>
      </c>
    </row>
    <row r="12" spans="1:40" x14ac:dyDescent="0.3">
      <c r="B12" t="s">
        <v>18</v>
      </c>
      <c r="C12" s="1">
        <v>110</v>
      </c>
      <c r="D12" s="1">
        <v>114</v>
      </c>
      <c r="E12" s="1">
        <v>120</v>
      </c>
      <c r="F12" s="1">
        <v>127</v>
      </c>
      <c r="G12" s="1">
        <v>132</v>
      </c>
      <c r="H12" s="1">
        <v>144</v>
      </c>
      <c r="I12" s="1">
        <v>151</v>
      </c>
      <c r="J12" s="1">
        <v>148</v>
      </c>
      <c r="K12" s="1">
        <v>150</v>
      </c>
      <c r="L12" s="1">
        <v>153</v>
      </c>
      <c r="M12" s="1">
        <v>159</v>
      </c>
      <c r="N12" s="1">
        <v>184</v>
      </c>
      <c r="O12" s="1">
        <v>182</v>
      </c>
      <c r="P12" s="1">
        <v>195</v>
      </c>
      <c r="Q12" s="1">
        <v>186</v>
      </c>
      <c r="R12" s="1">
        <v>159</v>
      </c>
      <c r="S12" s="1"/>
      <c r="T12" s="1"/>
      <c r="U12" s="1"/>
      <c r="V12" s="1"/>
      <c r="X12" s="1">
        <v>224</v>
      </c>
      <c r="Y12" s="1">
        <v>380</v>
      </c>
      <c r="Z12" s="1">
        <v>431</v>
      </c>
      <c r="AA12" s="1">
        <f>SUM(C12:F12)</f>
        <v>471</v>
      </c>
      <c r="AB12" s="1">
        <f>SUM(G12:J12)</f>
        <v>575</v>
      </c>
      <c r="AC12" s="1">
        <f t="shared" si="11"/>
        <v>646</v>
      </c>
      <c r="AD12" s="1">
        <f>SUM(O12:R12)</f>
        <v>722</v>
      </c>
      <c r="AE12" s="1">
        <f>AD12*1.02</f>
        <v>736.44</v>
      </c>
      <c r="AF12" s="1">
        <f t="shared" ref="AF12:AN12" si="13">AE12*1.02</f>
        <v>751.16880000000003</v>
      </c>
      <c r="AG12" s="1">
        <f t="shared" si="13"/>
        <v>766.19217600000002</v>
      </c>
      <c r="AH12" s="1">
        <f t="shared" si="13"/>
        <v>781.51601951999999</v>
      </c>
      <c r="AI12" s="1">
        <f t="shared" si="13"/>
        <v>797.1463399104</v>
      </c>
      <c r="AJ12" s="1">
        <f t="shared" si="13"/>
        <v>813.08926670860797</v>
      </c>
      <c r="AK12" s="1">
        <f t="shared" si="13"/>
        <v>829.35105204278011</v>
      </c>
      <c r="AL12" s="1">
        <f t="shared" si="13"/>
        <v>845.93807308363569</v>
      </c>
      <c r="AM12" s="1">
        <f t="shared" si="13"/>
        <v>862.8568345453084</v>
      </c>
      <c r="AN12" s="1">
        <f t="shared" si="13"/>
        <v>880.11397123621464</v>
      </c>
    </row>
    <row r="13" spans="1:40" x14ac:dyDescent="0.3">
      <c r="B13" t="s">
        <v>19</v>
      </c>
      <c r="C13" s="1">
        <v>-4</v>
      </c>
      <c r="D13" s="1">
        <v>-4</v>
      </c>
      <c r="E13" s="1">
        <v>-4</v>
      </c>
      <c r="F13" s="1">
        <v>-11</v>
      </c>
      <c r="G13" s="1">
        <v>-6</v>
      </c>
      <c r="H13" s="1">
        <v>-10</v>
      </c>
      <c r="I13" s="1">
        <v>-3</v>
      </c>
      <c r="J13" s="1">
        <v>26</v>
      </c>
      <c r="K13" s="1">
        <v>-3</v>
      </c>
      <c r="L13" s="1">
        <v>-9</v>
      </c>
      <c r="M13" s="1">
        <v>-7</v>
      </c>
      <c r="N13" s="1">
        <v>-1</v>
      </c>
      <c r="O13" s="1">
        <v>-5</v>
      </c>
      <c r="P13" s="1">
        <v>-16</v>
      </c>
      <c r="Q13" s="1">
        <v>2</v>
      </c>
      <c r="R13" s="1">
        <v>-143</v>
      </c>
      <c r="S13" s="1"/>
      <c r="T13" s="1"/>
      <c r="U13" s="1"/>
      <c r="V13" s="1"/>
      <c r="X13" s="1">
        <v>-27</v>
      </c>
      <c r="Y13" s="1">
        <v>-5</v>
      </c>
      <c r="Z13" s="1">
        <v>0</v>
      </c>
      <c r="AA13" s="1">
        <f>SUM(C13:F13)</f>
        <v>-23</v>
      </c>
      <c r="AB13" s="1">
        <f>SUM(G13:J13)</f>
        <v>7</v>
      </c>
      <c r="AC13" s="1">
        <f t="shared" si="11"/>
        <v>-20</v>
      </c>
      <c r="AD13" s="1">
        <f>SUM(O13:R13)</f>
        <v>-162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</row>
    <row r="14" spans="1:40" x14ac:dyDescent="0.3">
      <c r="B14" t="s">
        <v>25</v>
      </c>
      <c r="C14" s="1">
        <f t="shared" ref="C14:N14" si="14">SUM(C10:C13)</f>
        <v>177</v>
      </c>
      <c r="D14" s="1">
        <f t="shared" si="14"/>
        <v>220</v>
      </c>
      <c r="E14" s="1">
        <f t="shared" si="14"/>
        <v>40</v>
      </c>
      <c r="F14" s="1">
        <f t="shared" si="14"/>
        <v>95</v>
      </c>
      <c r="G14" s="1">
        <f t="shared" si="14"/>
        <v>283</v>
      </c>
      <c r="H14" s="1">
        <f t="shared" si="14"/>
        <v>-48</v>
      </c>
      <c r="I14" s="1">
        <f t="shared" si="14"/>
        <v>83</v>
      </c>
      <c r="J14" s="1">
        <f t="shared" si="14"/>
        <v>51</v>
      </c>
      <c r="K14" s="1">
        <f t="shared" si="14"/>
        <v>46</v>
      </c>
      <c r="L14" s="1">
        <f t="shared" si="14"/>
        <v>97</v>
      </c>
      <c r="M14" s="1">
        <f t="shared" si="14"/>
        <v>138</v>
      </c>
      <c r="N14" s="1">
        <f t="shared" si="14"/>
        <v>47</v>
      </c>
      <c r="O14" s="1">
        <f t="shared" ref="O14:R14" si="15">SUM(O10:O13)</f>
        <v>118</v>
      </c>
      <c r="P14" s="1">
        <f t="shared" si="15"/>
        <v>105</v>
      </c>
      <c r="Q14" s="1">
        <f t="shared" si="15"/>
        <v>66</v>
      </c>
      <c r="R14" s="1">
        <f t="shared" si="15"/>
        <v>34</v>
      </c>
      <c r="S14" s="1"/>
      <c r="T14" s="1"/>
      <c r="U14" s="1"/>
      <c r="V14" s="1"/>
      <c r="X14" s="1">
        <f t="shared" ref="X14:AN14" si="16">SUM(X10:X13)</f>
        <v>-67</v>
      </c>
      <c r="Y14" s="1">
        <f t="shared" si="16"/>
        <v>321</v>
      </c>
      <c r="Z14" s="1">
        <f t="shared" si="16"/>
        <v>-225</v>
      </c>
      <c r="AA14" s="1">
        <f t="shared" si="16"/>
        <v>532</v>
      </c>
      <c r="AB14" s="1">
        <f t="shared" si="16"/>
        <v>369</v>
      </c>
      <c r="AC14" s="1">
        <f t="shared" si="16"/>
        <v>328</v>
      </c>
      <c r="AD14" s="1">
        <f t="shared" si="16"/>
        <v>323</v>
      </c>
      <c r="AE14" s="1">
        <f t="shared" si="16"/>
        <v>441.69000000000005</v>
      </c>
      <c r="AF14" s="1">
        <f t="shared" si="16"/>
        <v>446.37630000000001</v>
      </c>
      <c r="AG14" s="1">
        <f t="shared" si="16"/>
        <v>451.05590100000001</v>
      </c>
      <c r="AH14" s="1">
        <f t="shared" si="16"/>
        <v>455.72565626999994</v>
      </c>
      <c r="AI14" s="1">
        <f t="shared" si="16"/>
        <v>460.38226576289998</v>
      </c>
      <c r="AJ14" s="1">
        <f t="shared" si="16"/>
        <v>465.02227033668294</v>
      </c>
      <c r="AK14" s="1">
        <f t="shared" si="16"/>
        <v>469.6420457796973</v>
      </c>
      <c r="AL14" s="1">
        <f t="shared" si="16"/>
        <v>474.23779663266038</v>
      </c>
      <c r="AM14" s="1">
        <f t="shared" si="16"/>
        <v>478.80554980080382</v>
      </c>
      <c r="AN14" s="1">
        <f t="shared" si="16"/>
        <v>483.34114794937489</v>
      </c>
    </row>
    <row r="15" spans="1:40" s="6" customFormat="1" x14ac:dyDescent="0.3">
      <c r="A15"/>
      <c r="B15" s="6" t="s">
        <v>20</v>
      </c>
      <c r="C15" s="7">
        <f t="shared" ref="C15:N15" si="17">C9-C14</f>
        <v>2773</v>
      </c>
      <c r="D15" s="7">
        <f t="shared" si="17"/>
        <v>2798</v>
      </c>
      <c r="E15" s="7">
        <f t="shared" si="17"/>
        <v>3072</v>
      </c>
      <c r="F15" s="7">
        <f t="shared" si="17"/>
        <v>3089</v>
      </c>
      <c r="G15" s="7">
        <f t="shared" si="17"/>
        <v>2853</v>
      </c>
      <c r="H15" s="7">
        <f t="shared" si="17"/>
        <v>3704</v>
      </c>
      <c r="I15" s="7">
        <f t="shared" si="17"/>
        <v>3761</v>
      </c>
      <c r="J15" s="7">
        <f t="shared" si="17"/>
        <v>3321</v>
      </c>
      <c r="K15" s="7">
        <f t="shared" si="17"/>
        <v>3558</v>
      </c>
      <c r="L15" s="7">
        <f t="shared" si="17"/>
        <v>3939</v>
      </c>
      <c r="M15" s="7">
        <f t="shared" si="17"/>
        <v>3866</v>
      </c>
      <c r="N15" s="7">
        <f t="shared" si="17"/>
        <v>3891</v>
      </c>
      <c r="O15" s="7">
        <f t="shared" ref="O15:R15" si="18">O9-O14</f>
        <v>4031</v>
      </c>
      <c r="P15" s="7">
        <f t="shared" si="18"/>
        <v>4672</v>
      </c>
      <c r="Q15" s="7">
        <f t="shared" si="18"/>
        <v>4995</v>
      </c>
      <c r="R15" s="7">
        <f t="shared" si="18"/>
        <v>4876</v>
      </c>
      <c r="S15" s="7"/>
      <c r="T15" s="7"/>
      <c r="U15" s="7"/>
      <c r="V15" s="7"/>
      <c r="X15" s="7">
        <f t="shared" ref="X15:AN15" si="19">X9-X14</f>
        <v>9731</v>
      </c>
      <c r="Y15" s="7">
        <f t="shared" si="19"/>
        <v>7760</v>
      </c>
      <c r="Z15" s="7">
        <f t="shared" si="19"/>
        <v>10307</v>
      </c>
      <c r="AA15" s="7">
        <f t="shared" si="19"/>
        <v>11732</v>
      </c>
      <c r="AB15" s="7">
        <f t="shared" si="19"/>
        <v>13639</v>
      </c>
      <c r="AC15" s="7">
        <f t="shared" si="19"/>
        <v>15254</v>
      </c>
      <c r="AD15" s="7">
        <f t="shared" si="19"/>
        <v>18574</v>
      </c>
      <c r="AE15" s="7">
        <f t="shared" si="19"/>
        <v>22184.1</v>
      </c>
      <c r="AF15" s="7">
        <f t="shared" si="19"/>
        <v>24626.769984999999</v>
      </c>
      <c r="AG15" s="7">
        <f t="shared" si="19"/>
        <v>26377.210623950003</v>
      </c>
      <c r="AH15" s="7">
        <f t="shared" si="19"/>
        <v>27713.954194927504</v>
      </c>
      <c r="AI15" s="7">
        <f t="shared" si="19"/>
        <v>28836.084779482502</v>
      </c>
      <c r="AJ15" s="7">
        <f t="shared" si="19"/>
        <v>29710.338786266086</v>
      </c>
      <c r="AK15" s="7">
        <f t="shared" si="19"/>
        <v>30610.979842521156</v>
      </c>
      <c r="AL15" s="7">
        <f t="shared" si="19"/>
        <v>31538.802748317215</v>
      </c>
      <c r="AM15" s="7">
        <f t="shared" si="19"/>
        <v>32494.626211497562</v>
      </c>
      <c r="AN15" s="7">
        <f t="shared" si="19"/>
        <v>33479.293566187946</v>
      </c>
    </row>
    <row r="16" spans="1:40" x14ac:dyDescent="0.3">
      <c r="B16" t="s">
        <v>21</v>
      </c>
      <c r="C16" s="1">
        <v>142</v>
      </c>
      <c r="D16" s="1">
        <v>523</v>
      </c>
      <c r="E16" s="1">
        <v>573</v>
      </c>
      <c r="F16" s="1">
        <v>564</v>
      </c>
      <c r="G16" s="1">
        <v>492</v>
      </c>
      <c r="H16" s="1">
        <v>859</v>
      </c>
      <c r="I16" s="1">
        <v>563</v>
      </c>
      <c r="J16" s="1">
        <v>530</v>
      </c>
      <c r="K16" s="1">
        <v>547</v>
      </c>
      <c r="L16" s="1">
        <v>681</v>
      </c>
      <c r="M16" s="1">
        <v>603</v>
      </c>
      <c r="N16" s="1">
        <v>549</v>
      </c>
      <c r="O16" s="1">
        <v>751</v>
      </c>
      <c r="P16" s="1">
        <v>971</v>
      </c>
      <c r="Q16" s="1">
        <v>1072</v>
      </c>
      <c r="R16" s="1">
        <v>816</v>
      </c>
      <c r="S16" s="1"/>
      <c r="T16" s="1"/>
      <c r="U16" s="1"/>
      <c r="V16" s="1"/>
      <c r="X16" s="1">
        <v>1613</v>
      </c>
      <c r="Y16" s="1">
        <v>1349</v>
      </c>
      <c r="Z16" s="1">
        <v>1620</v>
      </c>
      <c r="AA16" s="1">
        <f>SUM(C16:F16)</f>
        <v>1802</v>
      </c>
      <c r="AB16" s="1">
        <f>SUM(G16:J16)</f>
        <v>2444</v>
      </c>
      <c r="AC16" s="1">
        <f>SUM(K16:N16)</f>
        <v>2380</v>
      </c>
      <c r="AD16" s="1">
        <f>SUM(O16:R16)</f>
        <v>3610</v>
      </c>
      <c r="AE16" s="1">
        <f>AE15*0.18</f>
        <v>3993.1379999999995</v>
      </c>
      <c r="AF16" s="1">
        <f t="shared" ref="AF16:AN16" si="20">AF15*0.18</f>
        <v>4432.8185973</v>
      </c>
      <c r="AG16" s="1">
        <f t="shared" si="20"/>
        <v>4747.8979123110003</v>
      </c>
      <c r="AH16" s="1">
        <f t="shared" si="20"/>
        <v>4988.5117550869509</v>
      </c>
      <c r="AI16" s="1">
        <f t="shared" si="20"/>
        <v>5190.4952603068505</v>
      </c>
      <c r="AJ16" s="1">
        <f t="shared" si="20"/>
        <v>5347.8609815278951</v>
      </c>
      <c r="AK16" s="1">
        <f t="shared" si="20"/>
        <v>5509.9763716538082</v>
      </c>
      <c r="AL16" s="1">
        <f t="shared" si="20"/>
        <v>5676.9844946970989</v>
      </c>
      <c r="AM16" s="1">
        <f t="shared" si="20"/>
        <v>5849.0327180695613</v>
      </c>
      <c r="AN16" s="1">
        <f t="shared" si="20"/>
        <v>6026.2728419138302</v>
      </c>
    </row>
    <row r="17" spans="1:150" s="6" customFormat="1" x14ac:dyDescent="0.3">
      <c r="A17"/>
      <c r="B17" s="6" t="s">
        <v>22</v>
      </c>
      <c r="C17" s="7">
        <f t="shared" ref="C17:L17" si="21">C15-C16</f>
        <v>2631</v>
      </c>
      <c r="D17" s="7">
        <f t="shared" si="21"/>
        <v>2275</v>
      </c>
      <c r="E17" s="7">
        <f t="shared" si="21"/>
        <v>2499</v>
      </c>
      <c r="F17" s="7">
        <f t="shared" si="21"/>
        <v>2525</v>
      </c>
      <c r="G17" s="7">
        <f t="shared" si="21"/>
        <v>2361</v>
      </c>
      <c r="H17" s="7">
        <f t="shared" si="21"/>
        <v>2845</v>
      </c>
      <c r="I17" s="7">
        <f t="shared" si="21"/>
        <v>3198</v>
      </c>
      <c r="J17" s="7">
        <f t="shared" si="21"/>
        <v>2791</v>
      </c>
      <c r="K17" s="7">
        <f t="shared" si="21"/>
        <v>3011</v>
      </c>
      <c r="L17" s="7">
        <f t="shared" si="21"/>
        <v>3258</v>
      </c>
      <c r="M17" s="7">
        <f t="shared" ref="M17:N17" si="22">M15-M16</f>
        <v>3263</v>
      </c>
      <c r="N17" s="7">
        <f t="shared" si="22"/>
        <v>3342</v>
      </c>
      <c r="O17" s="7">
        <f t="shared" ref="O17:R17" si="23">O15-O16</f>
        <v>3280</v>
      </c>
      <c r="P17" s="7">
        <f t="shared" si="23"/>
        <v>3701</v>
      </c>
      <c r="Q17" s="7">
        <f t="shared" si="23"/>
        <v>3923</v>
      </c>
      <c r="R17" s="7">
        <f t="shared" si="23"/>
        <v>4060</v>
      </c>
      <c r="S17" s="7"/>
      <c r="T17" s="7"/>
      <c r="U17" s="7"/>
      <c r="V17" s="7"/>
      <c r="X17" s="7">
        <f t="shared" ref="X17:AD17" si="24">X15-X16</f>
        <v>8118</v>
      </c>
      <c r="Y17" s="7">
        <f t="shared" si="24"/>
        <v>6411</v>
      </c>
      <c r="Z17" s="7">
        <f t="shared" si="24"/>
        <v>8687</v>
      </c>
      <c r="AA17" s="7">
        <f t="shared" si="24"/>
        <v>9930</v>
      </c>
      <c r="AB17" s="7">
        <f t="shared" si="24"/>
        <v>11195</v>
      </c>
      <c r="AC17" s="7">
        <f t="shared" si="24"/>
        <v>12874</v>
      </c>
      <c r="AD17" s="7">
        <f t="shared" si="24"/>
        <v>14964</v>
      </c>
      <c r="AE17" s="7">
        <f t="shared" ref="AE17:AN17" si="25">AE15-AE16</f>
        <v>18190.962</v>
      </c>
      <c r="AF17" s="7">
        <f t="shared" si="25"/>
        <v>20193.951387699999</v>
      </c>
      <c r="AG17" s="7">
        <f t="shared" si="25"/>
        <v>21629.312711639002</v>
      </c>
      <c r="AH17" s="7">
        <f t="shared" si="25"/>
        <v>22725.442439840554</v>
      </c>
      <c r="AI17" s="7">
        <f t="shared" si="25"/>
        <v>23645.58951917565</v>
      </c>
      <c r="AJ17" s="7">
        <f t="shared" si="25"/>
        <v>24362.477804738191</v>
      </c>
      <c r="AK17" s="7">
        <f t="shared" si="25"/>
        <v>25101.003470867348</v>
      </c>
      <c r="AL17" s="7">
        <f t="shared" si="25"/>
        <v>25861.818253620117</v>
      </c>
      <c r="AM17" s="7">
        <f t="shared" si="25"/>
        <v>26645.593493428001</v>
      </c>
      <c r="AN17" s="7">
        <f t="shared" si="25"/>
        <v>27453.020724274116</v>
      </c>
      <c r="AO17" s="6">
        <f>AN17+(AN17*$AQ$23)</f>
        <v>27178.490517031376</v>
      </c>
      <c r="AP17" s="6">
        <f t="shared" ref="AP17:DA17" si="26">AO17+(AO17*$AQ$23)</f>
        <v>26906.705611861064</v>
      </c>
      <c r="AQ17" s="6">
        <f t="shared" si="26"/>
        <v>26637.638555742455</v>
      </c>
      <c r="AR17" s="6">
        <f t="shared" si="26"/>
        <v>26371.262170185029</v>
      </c>
      <c r="AS17" s="6">
        <f t="shared" si="26"/>
        <v>26107.549548483181</v>
      </c>
      <c r="AT17" s="6">
        <f t="shared" si="26"/>
        <v>25846.47405299835</v>
      </c>
      <c r="AU17" s="6">
        <f t="shared" si="26"/>
        <v>25588.009312468366</v>
      </c>
      <c r="AV17" s="6">
        <f t="shared" si="26"/>
        <v>25332.129219343682</v>
      </c>
      <c r="AW17" s="6">
        <f t="shared" si="26"/>
        <v>25078.807927150247</v>
      </c>
      <c r="AX17" s="6">
        <f t="shared" si="26"/>
        <v>24828.019847878742</v>
      </c>
      <c r="AY17" s="6">
        <f t="shared" si="26"/>
        <v>24579.739649399955</v>
      </c>
      <c r="AZ17" s="6">
        <f t="shared" si="26"/>
        <v>24333.942252905956</v>
      </c>
      <c r="BA17" s="6">
        <f t="shared" si="26"/>
        <v>24090.602830376894</v>
      </c>
      <c r="BB17" s="6">
        <f t="shared" si="26"/>
        <v>23849.696802073126</v>
      </c>
      <c r="BC17" s="6">
        <f t="shared" si="26"/>
        <v>23611.199834052393</v>
      </c>
      <c r="BD17" s="6">
        <f t="shared" si="26"/>
        <v>23375.087835711871</v>
      </c>
      <c r="BE17" s="6">
        <f t="shared" si="26"/>
        <v>23141.336957354753</v>
      </c>
      <c r="BF17" s="6">
        <f t="shared" si="26"/>
        <v>22909.923587781206</v>
      </c>
      <c r="BG17" s="6">
        <f t="shared" si="26"/>
        <v>22680.824351903393</v>
      </c>
      <c r="BH17" s="6">
        <f t="shared" si="26"/>
        <v>22454.01610838436</v>
      </c>
      <c r="BI17" s="6">
        <f t="shared" si="26"/>
        <v>22229.475947300514</v>
      </c>
      <c r="BJ17" s="6">
        <f t="shared" si="26"/>
        <v>22007.181187827508</v>
      </c>
      <c r="BK17" s="6">
        <f t="shared" si="26"/>
        <v>21787.109375949232</v>
      </c>
      <c r="BL17" s="6">
        <f t="shared" si="26"/>
        <v>21569.238282189741</v>
      </c>
      <c r="BM17" s="6">
        <f t="shared" si="26"/>
        <v>21353.545899367844</v>
      </c>
      <c r="BN17" s="6">
        <f t="shared" si="26"/>
        <v>21140.010440374164</v>
      </c>
      <c r="BO17" s="6">
        <f t="shared" si="26"/>
        <v>20928.610335970421</v>
      </c>
      <c r="BP17" s="6">
        <f t="shared" si="26"/>
        <v>20719.324232610717</v>
      </c>
      <c r="BQ17" s="6">
        <f t="shared" si="26"/>
        <v>20512.130990284611</v>
      </c>
      <c r="BR17" s="6">
        <f t="shared" si="26"/>
        <v>20307.009680381765</v>
      </c>
      <c r="BS17" s="6">
        <f t="shared" si="26"/>
        <v>20103.939583577947</v>
      </c>
      <c r="BT17" s="6">
        <f t="shared" si="26"/>
        <v>19902.900187742169</v>
      </c>
      <c r="BU17" s="6">
        <f t="shared" si="26"/>
        <v>19703.871185864748</v>
      </c>
      <c r="BV17" s="6">
        <f t="shared" si="26"/>
        <v>19506.8324740061</v>
      </c>
      <c r="BW17" s="6">
        <f t="shared" si="26"/>
        <v>19311.76414926604</v>
      </c>
      <c r="BX17" s="6">
        <f t="shared" si="26"/>
        <v>19118.646507773381</v>
      </c>
      <c r="BY17" s="6">
        <f t="shared" si="26"/>
        <v>18927.460042695646</v>
      </c>
      <c r="BZ17" s="6">
        <f t="shared" si="26"/>
        <v>18738.185442268688</v>
      </c>
      <c r="CA17" s="6">
        <f t="shared" si="26"/>
        <v>18550.803587846003</v>
      </c>
      <c r="CB17" s="6">
        <f t="shared" si="26"/>
        <v>18365.295551967542</v>
      </c>
      <c r="CC17" s="6">
        <f t="shared" si="26"/>
        <v>18181.642596447866</v>
      </c>
      <c r="CD17" s="6">
        <f t="shared" si="26"/>
        <v>17999.826170483386</v>
      </c>
      <c r="CE17" s="6">
        <f t="shared" si="26"/>
        <v>17819.827908778552</v>
      </c>
      <c r="CF17" s="6">
        <f t="shared" si="26"/>
        <v>17641.629629690768</v>
      </c>
      <c r="CG17" s="6">
        <f t="shared" si="26"/>
        <v>17465.213333393858</v>
      </c>
      <c r="CH17" s="6">
        <f t="shared" si="26"/>
        <v>17290.561200059921</v>
      </c>
      <c r="CI17" s="6">
        <f t="shared" si="26"/>
        <v>17117.655588059322</v>
      </c>
      <c r="CJ17" s="6">
        <f t="shared" si="26"/>
        <v>16946.47903217873</v>
      </c>
      <c r="CK17" s="6">
        <f t="shared" si="26"/>
        <v>16777.014241856941</v>
      </c>
      <c r="CL17" s="6">
        <f t="shared" si="26"/>
        <v>16609.244099438372</v>
      </c>
      <c r="CM17" s="6">
        <f t="shared" si="26"/>
        <v>16443.151658443989</v>
      </c>
      <c r="CN17" s="6">
        <f t="shared" si="26"/>
        <v>16278.720141859549</v>
      </c>
      <c r="CO17" s="6">
        <f t="shared" si="26"/>
        <v>16115.932940440953</v>
      </c>
      <c r="CP17" s="6">
        <f t="shared" si="26"/>
        <v>15954.773611036544</v>
      </c>
      <c r="CQ17" s="6">
        <f t="shared" si="26"/>
        <v>15795.225874926178</v>
      </c>
      <c r="CR17" s="6">
        <f t="shared" si="26"/>
        <v>15637.273616176917</v>
      </c>
      <c r="CS17" s="6">
        <f t="shared" si="26"/>
        <v>15480.900880015148</v>
      </c>
      <c r="CT17" s="6">
        <f t="shared" si="26"/>
        <v>15326.091871214996</v>
      </c>
      <c r="CU17" s="6">
        <f t="shared" si="26"/>
        <v>15172.830952502845</v>
      </c>
      <c r="CV17" s="6">
        <f t="shared" si="26"/>
        <v>15021.102642977818</v>
      </c>
      <c r="CW17" s="6">
        <f t="shared" si="26"/>
        <v>14870.891616548039</v>
      </c>
      <c r="CX17" s="6">
        <f t="shared" si="26"/>
        <v>14722.182700382558</v>
      </c>
      <c r="CY17" s="6">
        <f t="shared" si="26"/>
        <v>14574.960873378734</v>
      </c>
      <c r="CZ17" s="6">
        <f t="shared" si="26"/>
        <v>14429.211264644946</v>
      </c>
      <c r="DA17" s="6">
        <f t="shared" si="26"/>
        <v>14284.919151998496</v>
      </c>
      <c r="DB17" s="6">
        <f t="shared" ref="DB17:ET17" si="27">DA17+(DA17*$AQ$23)</f>
        <v>14142.069960478511</v>
      </c>
      <c r="DC17" s="6">
        <f t="shared" si="27"/>
        <v>14000.649260873726</v>
      </c>
      <c r="DD17" s="6">
        <f t="shared" si="27"/>
        <v>13860.642768264988</v>
      </c>
      <c r="DE17" s="6">
        <f t="shared" si="27"/>
        <v>13722.036340582339</v>
      </c>
      <c r="DF17" s="6">
        <f t="shared" si="27"/>
        <v>13584.815977176515</v>
      </c>
      <c r="DG17" s="6">
        <f t="shared" si="27"/>
        <v>13448.967817404749</v>
      </c>
      <c r="DH17" s="6">
        <f t="shared" si="27"/>
        <v>13314.478139230701</v>
      </c>
      <c r="DI17" s="6">
        <f t="shared" si="27"/>
        <v>13181.333357838394</v>
      </c>
      <c r="DJ17" s="6">
        <f t="shared" si="27"/>
        <v>13049.520024260009</v>
      </c>
      <c r="DK17" s="6">
        <f t="shared" si="27"/>
        <v>12919.02482401741</v>
      </c>
      <c r="DL17" s="6">
        <f t="shared" si="27"/>
        <v>12789.834575777235</v>
      </c>
      <c r="DM17" s="6">
        <f t="shared" si="27"/>
        <v>12661.936230019463</v>
      </c>
      <c r="DN17" s="6">
        <f t="shared" si="27"/>
        <v>12535.316867719268</v>
      </c>
      <c r="DO17" s="6">
        <f t="shared" si="27"/>
        <v>12409.963699042075</v>
      </c>
      <c r="DP17" s="6">
        <f t="shared" si="27"/>
        <v>12285.864062051654</v>
      </c>
      <c r="DQ17" s="6">
        <f t="shared" si="27"/>
        <v>12163.005421431139</v>
      </c>
      <c r="DR17" s="6">
        <f t="shared" si="27"/>
        <v>12041.375367216828</v>
      </c>
      <c r="DS17" s="6">
        <f t="shared" si="27"/>
        <v>11920.961613544659</v>
      </c>
      <c r="DT17" s="6">
        <f t="shared" si="27"/>
        <v>11801.751997409214</v>
      </c>
      <c r="DU17" s="6">
        <f t="shared" si="27"/>
        <v>11683.734477435122</v>
      </c>
      <c r="DV17" s="6">
        <f t="shared" si="27"/>
        <v>11566.897132660772</v>
      </c>
      <c r="DW17" s="6">
        <f t="shared" si="27"/>
        <v>11451.228161334164</v>
      </c>
      <c r="DX17" s="6">
        <f t="shared" si="27"/>
        <v>11336.715879720823</v>
      </c>
      <c r="DY17" s="6">
        <f t="shared" si="27"/>
        <v>11223.348720923615</v>
      </c>
      <c r="DZ17" s="6">
        <f t="shared" si="27"/>
        <v>11111.115233714379</v>
      </c>
      <c r="EA17" s="6">
        <f t="shared" si="27"/>
        <v>11000.004081377236</v>
      </c>
      <c r="EB17" s="6">
        <f t="shared" si="27"/>
        <v>10890.004040563463</v>
      </c>
      <c r="EC17" s="6">
        <f t="shared" si="27"/>
        <v>10781.104000157828</v>
      </c>
      <c r="ED17" s="6">
        <f t="shared" si="27"/>
        <v>10673.29296015625</v>
      </c>
      <c r="EE17" s="6">
        <f t="shared" si="27"/>
        <v>10566.560030554687</v>
      </c>
      <c r="EF17" s="6">
        <f t="shared" si="27"/>
        <v>10460.89443024914</v>
      </c>
      <c r="EG17" s="6">
        <f t="shared" si="27"/>
        <v>10356.285485946648</v>
      </c>
      <c r="EH17" s="6">
        <f t="shared" si="27"/>
        <v>10252.722631087181</v>
      </c>
      <c r="EI17" s="6">
        <f t="shared" si="27"/>
        <v>10150.19540477631</v>
      </c>
      <c r="EJ17" s="6">
        <f t="shared" si="27"/>
        <v>10048.693450728548</v>
      </c>
      <c r="EK17" s="6">
        <f t="shared" si="27"/>
        <v>9948.2065162212621</v>
      </c>
      <c r="EL17" s="6">
        <f t="shared" si="27"/>
        <v>9848.7244510590499</v>
      </c>
      <c r="EM17" s="6">
        <f t="shared" si="27"/>
        <v>9750.2372065484597</v>
      </c>
      <c r="EN17" s="6">
        <f t="shared" si="27"/>
        <v>9652.7348344829752</v>
      </c>
      <c r="EO17" s="6">
        <f t="shared" si="27"/>
        <v>9556.2074861381461</v>
      </c>
      <c r="EP17" s="6">
        <f t="shared" si="27"/>
        <v>9460.6454112767642</v>
      </c>
      <c r="EQ17" s="6">
        <f t="shared" si="27"/>
        <v>9366.0389571639971</v>
      </c>
      <c r="ER17" s="6">
        <f t="shared" si="27"/>
        <v>9272.3785675923573</v>
      </c>
      <c r="ES17" s="6">
        <f t="shared" si="27"/>
        <v>9179.6547819164334</v>
      </c>
      <c r="ET17" s="6">
        <f t="shared" si="27"/>
        <v>9087.8582340972698</v>
      </c>
    </row>
    <row r="18" spans="1:150" x14ac:dyDescent="0.3">
      <c r="B18" t="s">
        <v>1</v>
      </c>
      <c r="C18" s="1">
        <f t="shared" ref="C18:L18" si="28">922.5+7.1</f>
        <v>929.6</v>
      </c>
      <c r="D18" s="1">
        <f t="shared" si="28"/>
        <v>929.6</v>
      </c>
      <c r="E18" s="1">
        <f t="shared" si="28"/>
        <v>929.6</v>
      </c>
      <c r="F18" s="1">
        <f t="shared" si="28"/>
        <v>929.6</v>
      </c>
      <c r="G18" s="1">
        <f t="shared" si="28"/>
        <v>929.6</v>
      </c>
      <c r="H18" s="1">
        <f t="shared" si="28"/>
        <v>929.6</v>
      </c>
      <c r="I18" s="1">
        <f t="shared" si="28"/>
        <v>929.6</v>
      </c>
      <c r="J18" s="1">
        <f t="shared" si="28"/>
        <v>929.6</v>
      </c>
      <c r="K18" s="1">
        <f t="shared" si="28"/>
        <v>929.6</v>
      </c>
      <c r="L18" s="1">
        <f t="shared" si="28"/>
        <v>929.6</v>
      </c>
      <c r="M18" s="1">
        <f>910.8+7.1</f>
        <v>917.9</v>
      </c>
      <c r="N18" s="1">
        <f>904.9+6.8</f>
        <v>911.69999999999993</v>
      </c>
      <c r="O18" s="1">
        <f>901.3+6.8</f>
        <v>908.09999999999991</v>
      </c>
      <c r="P18" s="1">
        <f>897.3+6.7</f>
        <v>904</v>
      </c>
      <c r="Q18" s="1">
        <f>891.3+6.7</f>
        <v>898</v>
      </c>
      <c r="R18" s="1">
        <v>897</v>
      </c>
      <c r="S18" s="1"/>
      <c r="T18" s="1"/>
      <c r="U18" s="1"/>
      <c r="V18" s="1"/>
      <c r="X18" s="1">
        <f t="shared" ref="X18:AB18" si="29">922.5+7.1</f>
        <v>929.6</v>
      </c>
      <c r="Y18" s="1">
        <f t="shared" si="29"/>
        <v>929.6</v>
      </c>
      <c r="Z18" s="1">
        <f t="shared" si="29"/>
        <v>929.6</v>
      </c>
      <c r="AA18" s="1">
        <f t="shared" si="29"/>
        <v>929.6</v>
      </c>
      <c r="AB18" s="1">
        <f t="shared" si="29"/>
        <v>929.6</v>
      </c>
      <c r="AC18" s="1">
        <f t="shared" ref="AC18" si="30">904.9+6.8</f>
        <v>911.69999999999993</v>
      </c>
      <c r="AD18" s="1">
        <v>897</v>
      </c>
      <c r="AE18" s="1">
        <v>897</v>
      </c>
      <c r="AF18" s="1">
        <v>897</v>
      </c>
      <c r="AG18" s="1">
        <v>897</v>
      </c>
      <c r="AH18" s="1">
        <v>897</v>
      </c>
      <c r="AI18" s="1">
        <v>897</v>
      </c>
      <c r="AJ18" s="1">
        <v>897</v>
      </c>
      <c r="AK18" s="1">
        <v>897</v>
      </c>
      <c r="AL18" s="1">
        <v>897</v>
      </c>
      <c r="AM18" s="1">
        <v>897</v>
      </c>
      <c r="AN18" s="1">
        <v>897</v>
      </c>
    </row>
    <row r="19" spans="1:150" x14ac:dyDescent="0.3">
      <c r="B19" t="s">
        <v>23</v>
      </c>
      <c r="C19" s="5">
        <f t="shared" ref="C19:L19" si="31">C17/C18</f>
        <v>2.830249569707401</v>
      </c>
      <c r="D19" s="5">
        <f t="shared" si="31"/>
        <v>2.447289156626506</v>
      </c>
      <c r="E19" s="5">
        <f t="shared" si="31"/>
        <v>2.6882530120481927</v>
      </c>
      <c r="F19" s="5">
        <f t="shared" si="31"/>
        <v>2.7162220309810672</v>
      </c>
      <c r="G19" s="5">
        <f t="shared" si="31"/>
        <v>2.5398020654044751</v>
      </c>
      <c r="H19" s="5">
        <f t="shared" si="31"/>
        <v>3.060456110154905</v>
      </c>
      <c r="I19" s="5">
        <f t="shared" si="31"/>
        <v>3.4401893287435454</v>
      </c>
      <c r="J19" s="5">
        <f t="shared" si="31"/>
        <v>3.0023666092943202</v>
      </c>
      <c r="K19" s="5">
        <f t="shared" si="31"/>
        <v>3.2390275387263339</v>
      </c>
      <c r="L19" s="5">
        <f t="shared" si="31"/>
        <v>3.5047332185886404</v>
      </c>
      <c r="M19" s="5">
        <f t="shared" ref="M19:N19" si="32">M17/M18</f>
        <v>3.554853469876893</v>
      </c>
      <c r="N19" s="5">
        <f t="shared" si="32"/>
        <v>3.6656794998354725</v>
      </c>
      <c r="O19" s="5">
        <f t="shared" ref="O19:R19" si="33">O17/O18</f>
        <v>3.6119370113423637</v>
      </c>
      <c r="P19" s="5">
        <f t="shared" si="33"/>
        <v>4.0940265486725664</v>
      </c>
      <c r="Q19" s="5">
        <f t="shared" si="33"/>
        <v>4.3685968819599106</v>
      </c>
      <c r="R19" s="5">
        <f t="shared" si="33"/>
        <v>4.5261984392419174</v>
      </c>
      <c r="S19" s="5"/>
      <c r="T19" s="5"/>
      <c r="U19" s="5"/>
      <c r="V19" s="5"/>
      <c r="X19" s="5">
        <f t="shared" ref="X19:AD19" si="34">X17/X18</f>
        <v>8.7327882960413081</v>
      </c>
      <c r="Y19" s="5">
        <f t="shared" si="34"/>
        <v>6.8965146299483644</v>
      </c>
      <c r="Z19" s="5">
        <f t="shared" si="34"/>
        <v>9.3448795180722897</v>
      </c>
      <c r="AA19" s="5">
        <f t="shared" si="34"/>
        <v>10.682013769363166</v>
      </c>
      <c r="AB19" s="5">
        <f t="shared" si="34"/>
        <v>12.042814113597245</v>
      </c>
      <c r="AC19" s="5">
        <f t="shared" si="34"/>
        <v>14.120873094219592</v>
      </c>
      <c r="AD19" s="5">
        <f t="shared" si="34"/>
        <v>16.682274247491637</v>
      </c>
      <c r="AE19" s="5">
        <f t="shared" ref="AE19:AN19" si="35">AE17/AE18</f>
        <v>20.279779264214046</v>
      </c>
      <c r="AF19" s="5">
        <f t="shared" si="35"/>
        <v>22.512766318506131</v>
      </c>
      <c r="AG19" s="5">
        <f t="shared" si="35"/>
        <v>24.112946166821629</v>
      </c>
      <c r="AH19" s="5">
        <f t="shared" si="35"/>
        <v>25.334941404504519</v>
      </c>
      <c r="AI19" s="5">
        <f t="shared" si="35"/>
        <v>26.360746398189129</v>
      </c>
      <c r="AJ19" s="5">
        <f t="shared" si="35"/>
        <v>27.159952959574351</v>
      </c>
      <c r="AK19" s="5">
        <f t="shared" si="35"/>
        <v>27.983281461390579</v>
      </c>
      <c r="AL19" s="5">
        <f t="shared" si="35"/>
        <v>28.831458476722538</v>
      </c>
      <c r="AM19" s="5">
        <f t="shared" si="35"/>
        <v>29.705232434144929</v>
      </c>
      <c r="AN19" s="5">
        <f t="shared" si="35"/>
        <v>30.605374274553085</v>
      </c>
    </row>
    <row r="21" spans="1:150" x14ac:dyDescent="0.3">
      <c r="B21" t="s">
        <v>38</v>
      </c>
      <c r="C21" s="8"/>
      <c r="D21" s="8"/>
      <c r="E21" s="8"/>
      <c r="F21" s="8"/>
      <c r="G21" s="8">
        <f>G3/C3-1</f>
        <v>0.11244435842848843</v>
      </c>
      <c r="H21" s="8">
        <f t="shared" ref="H21:N21" si="36">H3/D3-1</f>
        <v>0.14044024013098055</v>
      </c>
      <c r="I21" s="8">
        <f t="shared" si="36"/>
        <v>0.13498957609451012</v>
      </c>
      <c r="J21" s="8">
        <f t="shared" si="36"/>
        <v>0.12566615093690903</v>
      </c>
      <c r="K21" s="8">
        <f t="shared" si="36"/>
        <v>0.10438413361169108</v>
      </c>
      <c r="L21" s="8">
        <f t="shared" si="36"/>
        <v>0.11038443132876052</v>
      </c>
      <c r="M21" s="8">
        <f t="shared" si="36"/>
        <v>0.1279657125363538</v>
      </c>
      <c r="N21" s="8">
        <f t="shared" si="36"/>
        <v>0.14370800244349424</v>
      </c>
      <c r="O21" s="8">
        <f t="shared" ref="O21" si="37">O3/K3-1</f>
        <v>0.14209199747952117</v>
      </c>
      <c r="P21" s="8">
        <f t="shared" ref="P21" si="38">P3/L3-1</f>
        <v>0.1683666139922424</v>
      </c>
      <c r="Q21" s="8">
        <f t="shared" ref="Q21" si="39">Q3/M3-1</f>
        <v>0.16732256751255248</v>
      </c>
      <c r="R21" s="8">
        <f t="shared" ref="R21" si="40">R3/N3-1</f>
        <v>0.17585792495660302</v>
      </c>
      <c r="S21" s="8"/>
      <c r="T21" s="8"/>
      <c r="U21" s="8"/>
      <c r="V21" s="8"/>
      <c r="X21" s="8"/>
      <c r="Y21" s="8">
        <f>Y3/X3-1</f>
        <v>-9.3703725641177571E-2</v>
      </c>
      <c r="Z21" s="8">
        <f t="shared" ref="Z21:AN21" si="41">Z3/Y3-1</f>
        <v>0.23416770145742105</v>
      </c>
      <c r="AA21" s="8">
        <f t="shared" si="41"/>
        <v>0.17755772082185972</v>
      </c>
      <c r="AB21" s="8">
        <f t="shared" si="41"/>
        <v>0.1286594414714215</v>
      </c>
      <c r="AC21" s="8">
        <f t="shared" si="41"/>
        <v>0.12228065981353087</v>
      </c>
      <c r="AD21" s="8">
        <f t="shared" si="41"/>
        <v>0.16416373770724602</v>
      </c>
      <c r="AE21" s="8">
        <f t="shared" si="41"/>
        <v>0.14999999999999991</v>
      </c>
      <c r="AF21" s="8">
        <f t="shared" si="41"/>
        <v>9.000000000000008E-2</v>
      </c>
      <c r="AG21" s="8">
        <f t="shared" si="41"/>
        <v>7.0000000000000062E-2</v>
      </c>
      <c r="AH21" s="8">
        <f t="shared" si="41"/>
        <v>5.0000000000000044E-2</v>
      </c>
      <c r="AI21" s="8">
        <f t="shared" si="41"/>
        <v>4.0000000000000036E-2</v>
      </c>
      <c r="AJ21" s="8">
        <f t="shared" si="41"/>
        <v>3.0000000000000027E-2</v>
      </c>
      <c r="AK21" s="8">
        <f t="shared" si="41"/>
        <v>3.0000000000000027E-2</v>
      </c>
      <c r="AL21" s="8">
        <f t="shared" si="41"/>
        <v>3.0000000000000027E-2</v>
      </c>
      <c r="AM21" s="8">
        <f t="shared" si="41"/>
        <v>3.0000000000000027E-2</v>
      </c>
      <c r="AN21" s="8">
        <f t="shared" si="41"/>
        <v>3.0000000000000027E-2</v>
      </c>
    </row>
    <row r="22" spans="1:150" x14ac:dyDescent="0.3">
      <c r="B22" t="s">
        <v>39</v>
      </c>
      <c r="C22" s="8">
        <f t="shared" ref="C22:F22" si="42">C5/C3</f>
        <v>0.64311979872266301</v>
      </c>
      <c r="D22" s="8">
        <f t="shared" si="42"/>
        <v>0.64580680371111521</v>
      </c>
      <c r="E22" s="8">
        <f t="shared" si="42"/>
        <v>0.64054899235580265</v>
      </c>
      <c r="F22" s="8">
        <f t="shared" si="42"/>
        <v>0.61870379920921437</v>
      </c>
      <c r="G22" s="8">
        <f>G5/G3</f>
        <v>0.64457202505219202</v>
      </c>
      <c r="H22" s="8">
        <f t="shared" ref="H22:N22" si="43">H5/H3</f>
        <v>0.64906683681607913</v>
      </c>
      <c r="I22" s="8">
        <f t="shared" si="43"/>
        <v>0.65023725700290835</v>
      </c>
      <c r="J22" s="8">
        <f t="shared" si="43"/>
        <v>0.63362858888210138</v>
      </c>
      <c r="K22" s="8">
        <f t="shared" si="43"/>
        <v>0.63988657844990549</v>
      </c>
      <c r="L22" s="8">
        <f t="shared" si="43"/>
        <v>0.65263611550064649</v>
      </c>
      <c r="M22" s="8">
        <f t="shared" si="43"/>
        <v>0.62762925770118061</v>
      </c>
      <c r="N22" s="8">
        <f t="shared" si="43"/>
        <v>0.63346241153692084</v>
      </c>
      <c r="O22" s="8">
        <f t="shared" ref="O22:R22" si="44">O5/O3</f>
        <v>0.65200000000000002</v>
      </c>
      <c r="P22" s="8">
        <f t="shared" si="44"/>
        <v>0.65990409443009956</v>
      </c>
      <c r="Q22" s="8">
        <f t="shared" si="44"/>
        <v>0.66019530341780985</v>
      </c>
      <c r="R22" s="8">
        <f t="shared" si="44"/>
        <v>0.64728594140358842</v>
      </c>
      <c r="S22" s="8"/>
      <c r="T22" s="8"/>
      <c r="U22" s="8"/>
      <c r="V22" s="8"/>
      <c r="X22" s="8">
        <f t="shared" ref="X22:AN22" si="45">X5/X3</f>
        <v>0.65865071373571049</v>
      </c>
      <c r="Y22" s="8">
        <f t="shared" si="45"/>
        <v>0.61375073524606238</v>
      </c>
      <c r="Z22" s="8">
        <f t="shared" si="45"/>
        <v>0.62470874814657906</v>
      </c>
      <c r="AA22" s="8">
        <f t="shared" si="45"/>
        <v>0.63673157350362009</v>
      </c>
      <c r="AB22" s="8">
        <f t="shared" si="45"/>
        <v>0.64431428799107504</v>
      </c>
      <c r="AC22" s="8">
        <f t="shared" si="45"/>
        <v>0.63812262576774237</v>
      </c>
      <c r="AD22" s="8">
        <f t="shared" si="45"/>
        <v>0.65484431703821167</v>
      </c>
      <c r="AE22" s="8">
        <f t="shared" si="45"/>
        <v>0.65</v>
      </c>
      <c r="AF22" s="8">
        <f t="shared" si="45"/>
        <v>0.66</v>
      </c>
      <c r="AG22" s="8">
        <f t="shared" si="45"/>
        <v>0.66</v>
      </c>
      <c r="AH22" s="8">
        <f t="shared" si="45"/>
        <v>0.66</v>
      </c>
      <c r="AI22" s="8">
        <f t="shared" si="45"/>
        <v>0.66</v>
      </c>
      <c r="AJ22" s="8">
        <f t="shared" si="45"/>
        <v>0.66</v>
      </c>
      <c r="AK22" s="8">
        <f t="shared" si="45"/>
        <v>0.66</v>
      </c>
      <c r="AL22" s="8">
        <f t="shared" si="45"/>
        <v>0.66</v>
      </c>
      <c r="AM22" s="8">
        <f t="shared" si="45"/>
        <v>0.66</v>
      </c>
      <c r="AN22" s="8">
        <f t="shared" si="45"/>
        <v>0.66</v>
      </c>
    </row>
    <row r="23" spans="1:150" x14ac:dyDescent="0.3">
      <c r="B23" t="s">
        <v>40</v>
      </c>
      <c r="C23" s="8">
        <f t="shared" ref="C23:F23" si="46">C6/C3</f>
        <v>3.5029998064640994E-2</v>
      </c>
      <c r="D23" s="8">
        <f t="shared" si="46"/>
        <v>3.8202655994178644E-2</v>
      </c>
      <c r="E23" s="8">
        <f t="shared" si="46"/>
        <v>3.1619179986101462E-2</v>
      </c>
      <c r="F23" s="8">
        <f t="shared" si="46"/>
        <v>3.7132542547705004E-2</v>
      </c>
      <c r="G23" s="8">
        <f>G6/G3</f>
        <v>2.9053583855254E-2</v>
      </c>
      <c r="H23" s="8">
        <f t="shared" ref="H23:N23" si="47">H6/H3</f>
        <v>3.2062529909076411E-2</v>
      </c>
      <c r="I23" s="8">
        <f t="shared" si="47"/>
        <v>2.9542323587938159E-2</v>
      </c>
      <c r="J23" s="8">
        <f t="shared" si="47"/>
        <v>4.0317654245571169E-2</v>
      </c>
      <c r="K23" s="8">
        <f t="shared" si="47"/>
        <v>1.8273471959672338E-2</v>
      </c>
      <c r="L23" s="8">
        <f t="shared" si="47"/>
        <v>2.6432983766700186E-2</v>
      </c>
      <c r="M23" s="8">
        <f t="shared" si="47"/>
        <v>2.9854797123083185E-2</v>
      </c>
      <c r="N23" s="8">
        <f t="shared" si="47"/>
        <v>3.9391106956870078E-2</v>
      </c>
      <c r="O23" s="8">
        <f t="shared" ref="O23:R23" si="48">O6/O3</f>
        <v>2.0965517241379312E-2</v>
      </c>
      <c r="P23" s="8">
        <f t="shared" si="48"/>
        <v>2.6189597934341571E-2</v>
      </c>
      <c r="Q23" s="8">
        <f t="shared" si="48"/>
        <v>2.8481748430597534E-2</v>
      </c>
      <c r="R23" s="8">
        <f t="shared" si="48"/>
        <v>3.6225300931183285E-2</v>
      </c>
      <c r="S23" s="8"/>
      <c r="T23" s="8"/>
      <c r="U23" s="8"/>
      <c r="V23" s="8"/>
      <c r="X23" s="8">
        <f t="shared" ref="X23:AN23" si="49">X6/X3</f>
        <v>5.5321921459456261E-2</v>
      </c>
      <c r="Y23" s="8">
        <f t="shared" si="49"/>
        <v>4.2938370041173776E-2</v>
      </c>
      <c r="Z23" s="8">
        <f t="shared" si="49"/>
        <v>4.7394619783944082E-2</v>
      </c>
      <c r="AA23" s="8">
        <f t="shared" si="49"/>
        <v>3.5481404865764267E-2</v>
      </c>
      <c r="AB23" s="8">
        <f t="shared" si="49"/>
        <v>3.2871145111164235E-2</v>
      </c>
      <c r="AC23" s="8">
        <f t="shared" si="49"/>
        <v>2.893456882167075E-2</v>
      </c>
      <c r="AD23" s="8">
        <f t="shared" si="49"/>
        <v>2.8330944466469457E-2</v>
      </c>
      <c r="AE23" s="8">
        <f t="shared" si="49"/>
        <v>3.0000000000000002E-2</v>
      </c>
      <c r="AF23" s="8">
        <f t="shared" si="49"/>
        <v>0.03</v>
      </c>
      <c r="AG23" s="8">
        <f t="shared" si="49"/>
        <v>3.0000000000000002E-2</v>
      </c>
      <c r="AH23" s="8">
        <f t="shared" si="49"/>
        <v>3.0000000000000002E-2</v>
      </c>
      <c r="AI23" s="8">
        <f t="shared" si="49"/>
        <v>0.03</v>
      </c>
      <c r="AJ23" s="8">
        <f t="shared" si="49"/>
        <v>0.03</v>
      </c>
      <c r="AK23" s="8">
        <f t="shared" si="49"/>
        <v>0.03</v>
      </c>
      <c r="AL23" s="8">
        <f t="shared" si="49"/>
        <v>0.03</v>
      </c>
      <c r="AM23" s="8">
        <f t="shared" si="49"/>
        <v>0.03</v>
      </c>
      <c r="AN23" s="8">
        <f t="shared" si="49"/>
        <v>0.03</v>
      </c>
      <c r="AP23" t="s">
        <v>46</v>
      </c>
      <c r="AQ23" s="8">
        <v>-0.01</v>
      </c>
    </row>
    <row r="24" spans="1:150" x14ac:dyDescent="0.3">
      <c r="B24" t="s">
        <v>41</v>
      </c>
      <c r="C24" s="8"/>
      <c r="D24" s="8"/>
      <c r="E24" s="8"/>
      <c r="F24" s="8"/>
      <c r="G24" s="8">
        <f>G7/C7-1</f>
        <v>-5.2083333333333703E-3</v>
      </c>
      <c r="H24" s="8">
        <f t="shared" ref="H24:N24" si="50">H7/D7-1</f>
        <v>1.5873015873015817E-2</v>
      </c>
      <c r="I24" s="8">
        <f t="shared" si="50"/>
        <v>0.14054054054054044</v>
      </c>
      <c r="J24" s="8">
        <f t="shared" si="50"/>
        <v>0.11413043478260865</v>
      </c>
      <c r="K24" s="8">
        <f t="shared" si="50"/>
        <v>0.13089005235602102</v>
      </c>
      <c r="L24" s="8">
        <f t="shared" si="50"/>
        <v>0.171875</v>
      </c>
      <c r="M24" s="8">
        <f t="shared" si="50"/>
        <v>6.6350710900473953E-2</v>
      </c>
      <c r="N24" s="8">
        <f t="shared" si="50"/>
        <v>0.12682926829268282</v>
      </c>
      <c r="O24" s="8">
        <f t="shared" ref="O24" si="51">O7/K7-1</f>
        <v>0.27314814814814814</v>
      </c>
      <c r="P24" s="8">
        <f t="shared" ref="P24" si="52">P7/L7-1</f>
        <v>0.24888888888888894</v>
      </c>
      <c r="Q24" s="8">
        <f t="shared" ref="Q24" si="53">Q7/M7-1</f>
        <v>0.28888888888888897</v>
      </c>
      <c r="R24" s="8">
        <f t="shared" ref="R24" si="54">R7/N7-1</f>
        <v>0.28571428571428581</v>
      </c>
      <c r="S24" s="8"/>
      <c r="T24" s="8"/>
      <c r="U24" s="8"/>
      <c r="V24" s="8"/>
      <c r="X24" s="8"/>
      <c r="Y24" s="8">
        <f>Y7/X7-1</f>
        <v>0.11111111111111116</v>
      </c>
      <c r="Z24" s="8">
        <f t="shared" ref="Z24:AD24" si="55">Z7/Y7-1</f>
        <v>0.25172413793103443</v>
      </c>
      <c r="AA24" s="8">
        <f t="shared" si="55"/>
        <v>3.3057851239669311E-2</v>
      </c>
      <c r="AB24" s="8">
        <f t="shared" si="55"/>
        <v>6.5333333333333243E-2</v>
      </c>
      <c r="AC24" s="8">
        <f t="shared" si="55"/>
        <v>0.12265331664580725</v>
      </c>
      <c r="AD24" s="8">
        <f t="shared" si="55"/>
        <v>0.27424749163879603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P24" t="s">
        <v>47</v>
      </c>
      <c r="AQ24" s="8">
        <v>0.06</v>
      </c>
    </row>
    <row r="25" spans="1:150" x14ac:dyDescent="0.3">
      <c r="B25" t="s">
        <v>42</v>
      </c>
      <c r="C25" s="8">
        <f t="shared" ref="C25:F25" si="56">C8/C3</f>
        <v>0</v>
      </c>
      <c r="D25" s="8">
        <f t="shared" si="56"/>
        <v>2.4195015462979808E-2</v>
      </c>
      <c r="E25" s="8">
        <f t="shared" si="56"/>
        <v>3.6136205698401667E-2</v>
      </c>
      <c r="F25" s="8">
        <f t="shared" si="56"/>
        <v>2.5786487880350697E-3</v>
      </c>
      <c r="G25" s="8">
        <f>G8/G3</f>
        <v>3.6708420320111346E-2</v>
      </c>
      <c r="H25" s="8">
        <f t="shared" ref="H25:N25" si="57">H8/H3</f>
        <v>3.1903014834901897E-3</v>
      </c>
      <c r="I25" s="8">
        <f t="shared" si="57"/>
        <v>0</v>
      </c>
      <c r="J25" s="8">
        <f t="shared" si="57"/>
        <v>4.7037263286499695E-2</v>
      </c>
      <c r="K25" s="8">
        <f t="shared" si="57"/>
        <v>1.9848771266540641E-2</v>
      </c>
      <c r="L25" s="8">
        <f t="shared" si="57"/>
        <v>1.4078437006177273E-2</v>
      </c>
      <c r="M25" s="8">
        <f t="shared" si="57"/>
        <v>2.388383769846655E-2</v>
      </c>
      <c r="N25" s="8">
        <f t="shared" si="57"/>
        <v>3.7388169314995327E-2</v>
      </c>
      <c r="O25" s="8">
        <f t="shared" ref="O25:R25" si="58">O8/O3</f>
        <v>2.0827586206896551E-2</v>
      </c>
      <c r="P25" s="8">
        <f t="shared" si="58"/>
        <v>1.1803762449280709E-2</v>
      </c>
      <c r="Q25" s="8">
        <f t="shared" si="58"/>
        <v>9.6489188560799806E-3</v>
      </c>
      <c r="R25" s="8">
        <f t="shared" si="58"/>
        <v>1.9759255053372702E-2</v>
      </c>
      <c r="S25" s="8"/>
      <c r="T25" s="8"/>
      <c r="U25" s="8"/>
      <c r="V25" s="8"/>
      <c r="X25" s="8">
        <f t="shared" ref="X25:AN25" si="59">X8/X3</f>
        <v>0</v>
      </c>
      <c r="Y25" s="8">
        <f t="shared" si="59"/>
        <v>4.7709300045748644E-3</v>
      </c>
      <c r="Z25" s="8">
        <f t="shared" si="59"/>
        <v>4.977758949375132E-3</v>
      </c>
      <c r="AA25" s="8">
        <f t="shared" si="59"/>
        <v>1.6009353779736474E-2</v>
      </c>
      <c r="AB25" s="8">
        <f t="shared" si="59"/>
        <v>2.1475814805960634E-2</v>
      </c>
      <c r="AC25" s="8">
        <f t="shared" si="59"/>
        <v>2.4141726133418539E-2</v>
      </c>
      <c r="AD25" s="8">
        <f t="shared" si="59"/>
        <v>1.5370071056082462E-2</v>
      </c>
      <c r="AE25" s="8">
        <f t="shared" si="59"/>
        <v>0.02</v>
      </c>
      <c r="AF25" s="8">
        <f t="shared" si="59"/>
        <v>0.02</v>
      </c>
      <c r="AG25" s="8">
        <f t="shared" si="59"/>
        <v>0.02</v>
      </c>
      <c r="AH25" s="8">
        <f t="shared" si="59"/>
        <v>0.02</v>
      </c>
      <c r="AI25" s="8">
        <f t="shared" si="59"/>
        <v>0.02</v>
      </c>
      <c r="AJ25" s="8">
        <f t="shared" si="59"/>
        <v>0.02</v>
      </c>
      <c r="AK25" s="8">
        <f t="shared" si="59"/>
        <v>0.02</v>
      </c>
      <c r="AL25" s="8">
        <f t="shared" si="59"/>
        <v>0.02</v>
      </c>
      <c r="AM25" s="8">
        <f t="shared" si="59"/>
        <v>0.02</v>
      </c>
      <c r="AN25" s="8">
        <f t="shared" si="59"/>
        <v>0.02</v>
      </c>
      <c r="AP25" t="s">
        <v>48</v>
      </c>
      <c r="AQ25" s="1">
        <f>NPV(AQ24,AE17:ET17)</f>
        <v>386846.1384696131</v>
      </c>
    </row>
    <row r="26" spans="1:150" x14ac:dyDescent="0.3">
      <c r="B26" t="s">
        <v>43</v>
      </c>
      <c r="C26" s="8">
        <f t="shared" ref="C26:F26" si="60">C9/C3</f>
        <v>0.57093090768337529</v>
      </c>
      <c r="D26" s="8">
        <f t="shared" si="60"/>
        <v>0.54902674185919598</v>
      </c>
      <c r="E26" s="8">
        <f t="shared" si="60"/>
        <v>0.54065323141070187</v>
      </c>
      <c r="F26" s="8">
        <f t="shared" si="60"/>
        <v>0.54736118274024415</v>
      </c>
      <c r="G26" s="8">
        <f>G9/G3</f>
        <v>0.54558107167710512</v>
      </c>
      <c r="H26" s="8">
        <f t="shared" ref="H26:N26" si="61">H9/H3</f>
        <v>0.58318711118200672</v>
      </c>
      <c r="I26" s="8">
        <f t="shared" si="61"/>
        <v>0.58839736721261293</v>
      </c>
      <c r="J26" s="8">
        <f t="shared" si="61"/>
        <v>0.51496640195479537</v>
      </c>
      <c r="K26" s="8">
        <f t="shared" si="61"/>
        <v>0.56773787019533717</v>
      </c>
      <c r="L26" s="8">
        <f t="shared" si="61"/>
        <v>0.57980175262174971</v>
      </c>
      <c r="M26" s="8">
        <f t="shared" si="61"/>
        <v>0.54335730764011403</v>
      </c>
      <c r="N26" s="8">
        <f t="shared" si="61"/>
        <v>0.52583789558018423</v>
      </c>
      <c r="O26" s="8">
        <f t="shared" ref="O26:R26" si="62">O9/O3</f>
        <v>0.57227586206896552</v>
      </c>
      <c r="P26" s="8">
        <f t="shared" si="62"/>
        <v>0.58736013771056195</v>
      </c>
      <c r="Q26" s="8">
        <f t="shared" si="62"/>
        <v>0.58835154615205765</v>
      </c>
      <c r="R26" s="8">
        <f t="shared" si="62"/>
        <v>0.55757438110379287</v>
      </c>
      <c r="S26" s="8"/>
      <c r="T26" s="8"/>
      <c r="U26" s="8"/>
      <c r="V26" s="8"/>
      <c r="X26" s="8">
        <f t="shared" ref="X26:AN26" si="63">X9/X3</f>
        <v>0.57241011668542319</v>
      </c>
      <c r="Y26" s="8">
        <f t="shared" si="63"/>
        <v>0.52813541598588332</v>
      </c>
      <c r="Z26" s="8">
        <f t="shared" si="63"/>
        <v>0.53389112476170308</v>
      </c>
      <c r="AA26" s="8">
        <f t="shared" si="63"/>
        <v>0.55151324369294419</v>
      </c>
      <c r="AB26" s="8">
        <f t="shared" si="63"/>
        <v>0.55813212208144081</v>
      </c>
      <c r="AC26" s="8">
        <f t="shared" si="63"/>
        <v>0.55320055383959954</v>
      </c>
      <c r="AD26" s="8">
        <f t="shared" si="63"/>
        <v>0.57628617608490129</v>
      </c>
      <c r="AE26" s="8">
        <f t="shared" si="63"/>
        <v>0.6</v>
      </c>
      <c r="AF26" s="8">
        <f t="shared" si="63"/>
        <v>0.61</v>
      </c>
      <c r="AG26" s="8">
        <f t="shared" si="63"/>
        <v>0.61</v>
      </c>
      <c r="AH26" s="8">
        <f t="shared" si="63"/>
        <v>0.61</v>
      </c>
      <c r="AI26" s="8">
        <f t="shared" si="63"/>
        <v>0.61</v>
      </c>
      <c r="AJ26" s="8">
        <f t="shared" si="63"/>
        <v>0.6100000000000001</v>
      </c>
      <c r="AK26" s="8">
        <f t="shared" si="63"/>
        <v>0.6100000000000001</v>
      </c>
      <c r="AL26" s="8">
        <f t="shared" si="63"/>
        <v>0.6100000000000001</v>
      </c>
      <c r="AM26" s="8">
        <f t="shared" si="63"/>
        <v>0.61</v>
      </c>
      <c r="AN26" s="8">
        <f t="shared" si="63"/>
        <v>0.61</v>
      </c>
      <c r="AP26" t="s">
        <v>49</v>
      </c>
      <c r="AQ26" s="1">
        <f>Main!D8</f>
        <v>-8102</v>
      </c>
    </row>
    <row r="27" spans="1:150" x14ac:dyDescent="0.3">
      <c r="B27" t="s">
        <v>44</v>
      </c>
      <c r="C27" s="8">
        <f t="shared" ref="C27:F27" si="64">C15/C3</f>
        <v>0.53667505322237274</v>
      </c>
      <c r="D27" s="8">
        <f t="shared" si="64"/>
        <v>0.50900491177005636</v>
      </c>
      <c r="E27" s="8">
        <f t="shared" si="64"/>
        <v>0.53370396108408613</v>
      </c>
      <c r="F27" s="8">
        <f t="shared" si="64"/>
        <v>0.53102974041602202</v>
      </c>
      <c r="G27" s="8">
        <f>G15/G3</f>
        <v>0.49634655532359079</v>
      </c>
      <c r="H27" s="8">
        <f t="shared" ref="H27:N27" si="65">H15/H3</f>
        <v>0.59084383474238311</v>
      </c>
      <c r="I27" s="8">
        <f t="shared" si="65"/>
        <v>0.57569263737945808</v>
      </c>
      <c r="J27" s="8">
        <f t="shared" si="65"/>
        <v>0.50717776420281002</v>
      </c>
      <c r="K27" s="8">
        <f t="shared" si="65"/>
        <v>0.56049149338374293</v>
      </c>
      <c r="L27" s="8">
        <f t="shared" si="65"/>
        <v>0.56586697313604373</v>
      </c>
      <c r="M27" s="8">
        <f t="shared" si="65"/>
        <v>0.52463020762654367</v>
      </c>
      <c r="N27" s="8">
        <f t="shared" si="65"/>
        <v>0.51956202430231002</v>
      </c>
      <c r="O27" s="8">
        <f t="shared" ref="O27:R27" si="66">O15/O3</f>
        <v>0.55600000000000005</v>
      </c>
      <c r="P27" s="8">
        <f t="shared" si="66"/>
        <v>0.57444977253166118</v>
      </c>
      <c r="Q27" s="8">
        <f t="shared" si="66"/>
        <v>0.58067891188095788</v>
      </c>
      <c r="R27" s="8">
        <f t="shared" si="66"/>
        <v>0.55371337724278902</v>
      </c>
      <c r="S27" s="8"/>
      <c r="T27" s="8"/>
      <c r="U27" s="8"/>
      <c r="V27" s="8"/>
      <c r="X27" s="8">
        <f t="shared" ref="X27:AN27" si="67">X15/X3</f>
        <v>0.57637860569803945</v>
      </c>
      <c r="Y27" s="8">
        <f t="shared" si="67"/>
        <v>0.50715639500686227</v>
      </c>
      <c r="Z27" s="8">
        <f t="shared" si="67"/>
        <v>0.54580597331073921</v>
      </c>
      <c r="AA27" s="8">
        <f t="shared" si="67"/>
        <v>0.52758915321311328</v>
      </c>
      <c r="AB27" s="8">
        <f t="shared" si="67"/>
        <v>0.54342975535899274</v>
      </c>
      <c r="AC27" s="8">
        <f t="shared" si="67"/>
        <v>0.54155572123406825</v>
      </c>
      <c r="AD27" s="8">
        <f t="shared" si="67"/>
        <v>0.56643591229300727</v>
      </c>
      <c r="AE27" s="8">
        <f t="shared" si="67"/>
        <v>0.58828708301456001</v>
      </c>
      <c r="AF27" s="8">
        <f t="shared" si="67"/>
        <v>0.59914019246308559</v>
      </c>
      <c r="AG27" s="8">
        <f t="shared" si="67"/>
        <v>0.5997442460788841</v>
      </c>
      <c r="AH27" s="8">
        <f t="shared" si="67"/>
        <v>0.60013149415282119</v>
      </c>
      <c r="AI27" s="8">
        <f t="shared" si="67"/>
        <v>0.60041409390143696</v>
      </c>
      <c r="AJ27" s="8">
        <f t="shared" si="67"/>
        <v>0.60059949657691658</v>
      </c>
      <c r="AK27" s="8">
        <f t="shared" si="67"/>
        <v>0.60078262819337447</v>
      </c>
      <c r="AL27" s="8">
        <f t="shared" si="67"/>
        <v>0.60096352451933666</v>
      </c>
      <c r="AM27" s="8">
        <f t="shared" si="67"/>
        <v>0.60114222057646727</v>
      </c>
      <c r="AN27" s="8">
        <f t="shared" si="67"/>
        <v>0.60131875065845852</v>
      </c>
      <c r="AP27" t="s">
        <v>50</v>
      </c>
      <c r="AQ27" s="1">
        <f>AQ25+AQ26</f>
        <v>378744.1384696131</v>
      </c>
    </row>
    <row r="28" spans="1:150" x14ac:dyDescent="0.3">
      <c r="B28" t="s">
        <v>21</v>
      </c>
      <c r="C28" s="8">
        <f t="shared" ref="C28:F28" si="68">C16/C15</f>
        <v>5.120807789397764E-2</v>
      </c>
      <c r="D28" s="8">
        <f t="shared" si="68"/>
        <v>0.18691922802001429</v>
      </c>
      <c r="E28" s="8">
        <f t="shared" si="68"/>
        <v>0.1865234375</v>
      </c>
      <c r="F28" s="8">
        <f t="shared" si="68"/>
        <v>0.18258336031078018</v>
      </c>
      <c r="G28" s="8">
        <f>G16/G15</f>
        <v>0.17245005257623555</v>
      </c>
      <c r="H28" s="8">
        <f t="shared" ref="H28:N28" si="69">H16/H15</f>
        <v>0.23191144708423325</v>
      </c>
      <c r="I28" s="8">
        <f t="shared" si="69"/>
        <v>0.14969423025791012</v>
      </c>
      <c r="J28" s="8">
        <f t="shared" si="69"/>
        <v>0.15959048479373683</v>
      </c>
      <c r="K28" s="8">
        <f t="shared" si="69"/>
        <v>0.1537380550871276</v>
      </c>
      <c r="L28" s="8">
        <f t="shared" si="69"/>
        <v>0.17288651942117289</v>
      </c>
      <c r="M28" s="8">
        <f t="shared" si="69"/>
        <v>0.15597516813243661</v>
      </c>
      <c r="N28" s="8">
        <f t="shared" si="69"/>
        <v>0.14109483423284502</v>
      </c>
      <c r="O28" s="8">
        <f t="shared" ref="O28:R28" si="70">O16/O15</f>
        <v>0.18630612751178369</v>
      </c>
      <c r="P28" s="8">
        <f t="shared" si="70"/>
        <v>0.20783390410958905</v>
      </c>
      <c r="Q28" s="8">
        <f t="shared" si="70"/>
        <v>0.21461461461461462</v>
      </c>
      <c r="R28" s="8">
        <f t="shared" si="70"/>
        <v>0.16735028712059064</v>
      </c>
      <c r="S28" s="8"/>
      <c r="T28" s="8"/>
      <c r="U28" s="8"/>
      <c r="V28" s="8"/>
      <c r="X28" s="8">
        <f t="shared" ref="X28:AN28" si="71">X16/X15</f>
        <v>0.16575891480834445</v>
      </c>
      <c r="Y28" s="8">
        <f t="shared" si="71"/>
        <v>0.173840206185567</v>
      </c>
      <c r="Z28" s="8">
        <f t="shared" si="71"/>
        <v>0.15717473561657128</v>
      </c>
      <c r="AA28" s="8">
        <f t="shared" si="71"/>
        <v>0.15359699965905216</v>
      </c>
      <c r="AB28" s="8">
        <f t="shared" si="71"/>
        <v>0.17919202287557739</v>
      </c>
      <c r="AC28" s="8">
        <f t="shared" si="71"/>
        <v>0.15602464927232201</v>
      </c>
      <c r="AD28" s="8">
        <f t="shared" si="71"/>
        <v>0.19435770431786367</v>
      </c>
      <c r="AE28" s="8">
        <f t="shared" si="71"/>
        <v>0.18</v>
      </c>
      <c r="AF28" s="8">
        <f t="shared" si="71"/>
        <v>0.18</v>
      </c>
      <c r="AG28" s="8">
        <f t="shared" si="71"/>
        <v>0.18</v>
      </c>
      <c r="AH28" s="8">
        <f t="shared" si="71"/>
        <v>0.18</v>
      </c>
      <c r="AI28" s="8">
        <f t="shared" si="71"/>
        <v>0.18</v>
      </c>
      <c r="AJ28" s="8">
        <f t="shared" si="71"/>
        <v>0.18</v>
      </c>
      <c r="AK28" s="8">
        <f t="shared" si="71"/>
        <v>0.18</v>
      </c>
      <c r="AL28" s="8">
        <f t="shared" si="71"/>
        <v>0.18</v>
      </c>
      <c r="AM28" s="8">
        <f t="shared" si="71"/>
        <v>0.18</v>
      </c>
      <c r="AN28" s="8">
        <f t="shared" si="71"/>
        <v>0.18</v>
      </c>
      <c r="AP28" t="s">
        <v>51</v>
      </c>
      <c r="AQ28" s="10">
        <f>AQ27/AN18</f>
        <v>422.23426808206591</v>
      </c>
    </row>
    <row r="29" spans="1:150" x14ac:dyDescent="0.3">
      <c r="B29" t="s">
        <v>45</v>
      </c>
      <c r="C29" s="8">
        <f t="shared" ref="C29:F29" si="72">C17/C3</f>
        <v>0.50919295529320685</v>
      </c>
      <c r="D29" s="8">
        <f t="shared" si="72"/>
        <v>0.41386210660360195</v>
      </c>
      <c r="E29" s="8">
        <f t="shared" si="72"/>
        <v>0.43415566365531622</v>
      </c>
      <c r="F29" s="8">
        <f t="shared" si="72"/>
        <v>0.43407254598590339</v>
      </c>
      <c r="G29" s="8">
        <f>G17/G3</f>
        <v>0.41075156576200417</v>
      </c>
      <c r="H29" s="8">
        <f t="shared" ref="H29:N29" si="73">H17/H3</f>
        <v>0.45382038602647951</v>
      </c>
      <c r="I29" s="8">
        <f t="shared" si="73"/>
        <v>0.48951477116179398</v>
      </c>
      <c r="J29" s="8">
        <f t="shared" si="73"/>
        <v>0.42623701893708005</v>
      </c>
      <c r="K29" s="8">
        <f t="shared" si="73"/>
        <v>0.47432262129804664</v>
      </c>
      <c r="L29" s="8">
        <f t="shared" si="73"/>
        <v>0.46803620169515875</v>
      </c>
      <c r="M29" s="8">
        <f t="shared" si="73"/>
        <v>0.44280092278463834</v>
      </c>
      <c r="N29" s="8">
        <f t="shared" si="73"/>
        <v>0.44625450660969423</v>
      </c>
      <c r="O29" s="8">
        <f t="shared" ref="O29:R29" si="74">O17/O3</f>
        <v>0.45241379310344826</v>
      </c>
      <c r="P29" s="8">
        <f t="shared" si="74"/>
        <v>0.45505963359154061</v>
      </c>
      <c r="Q29" s="8">
        <f t="shared" si="74"/>
        <v>0.45605673099279237</v>
      </c>
      <c r="R29" s="8">
        <f t="shared" si="74"/>
        <v>0.46104928457869632</v>
      </c>
      <c r="S29" s="8"/>
      <c r="T29" s="8"/>
      <c r="U29" s="8"/>
      <c r="V29" s="8"/>
      <c r="X29" s="8">
        <f t="shared" ref="X29:AN29" si="75">X17/X3</f>
        <v>0.48083871349878576</v>
      </c>
      <c r="Y29" s="8">
        <f t="shared" si="75"/>
        <v>0.41899222273054049</v>
      </c>
      <c r="Z29" s="8">
        <f t="shared" si="75"/>
        <v>0.46001906375767848</v>
      </c>
      <c r="AA29" s="8">
        <f t="shared" si="75"/>
        <v>0.44655304222691911</v>
      </c>
      <c r="AB29" s="8">
        <f t="shared" si="75"/>
        <v>0.44605147820543467</v>
      </c>
      <c r="AC29" s="8">
        <f t="shared" si="75"/>
        <v>0.45705967976710332</v>
      </c>
      <c r="AD29" s="8">
        <f t="shared" si="75"/>
        <v>0.45634472873654358</v>
      </c>
      <c r="AE29" s="8">
        <f t="shared" si="75"/>
        <v>0.4823954080719392</v>
      </c>
      <c r="AF29" s="8">
        <f t="shared" si="75"/>
        <v>0.4912949578197302</v>
      </c>
      <c r="AG29" s="8">
        <f t="shared" si="75"/>
        <v>0.49179028178468492</v>
      </c>
      <c r="AH29" s="8">
        <f t="shared" si="75"/>
        <v>0.49210782520531338</v>
      </c>
      <c r="AI29" s="8">
        <f t="shared" si="75"/>
        <v>0.49233955699917831</v>
      </c>
      <c r="AJ29" s="8">
        <f t="shared" si="75"/>
        <v>0.49249158719307157</v>
      </c>
      <c r="AK29" s="8">
        <f t="shared" si="75"/>
        <v>0.49264175511856712</v>
      </c>
      <c r="AL29" s="8">
        <f t="shared" si="75"/>
        <v>0.49279009010585612</v>
      </c>
      <c r="AM29" s="8">
        <f t="shared" si="75"/>
        <v>0.49293662087270312</v>
      </c>
      <c r="AN29" s="8">
        <f t="shared" si="75"/>
        <v>0.49308137553993603</v>
      </c>
      <c r="AP29" t="s">
        <v>52</v>
      </c>
      <c r="AQ29" s="10">
        <f>Main!D3</f>
        <v>550.99</v>
      </c>
    </row>
    <row r="30" spans="1:150" x14ac:dyDescent="0.3">
      <c r="AP30" s="6" t="s">
        <v>53</v>
      </c>
      <c r="AQ30" s="9">
        <f>AQ28/AQ29-1</f>
        <v>-0.2336807054899982</v>
      </c>
    </row>
    <row r="31" spans="1:150" x14ac:dyDescent="0.3">
      <c r="AP31" t="s">
        <v>54</v>
      </c>
      <c r="AQ31" s="4" t="s">
        <v>60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2024-07-19T06:48:35Z</dcterms:created>
  <dcterms:modified xsi:type="dcterms:W3CDTF">2026-02-06T10:44:17Z</dcterms:modified>
</cp:coreProperties>
</file>