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375DEA8-E54E-41D7-B359-4FAEDFA7BCDC}" xr6:coauthVersionLast="47" xr6:coauthVersionMax="47" xr10:uidLastSave="{00000000-0000-0000-0000-000000000000}"/>
  <bookViews>
    <workbookView xWindow="-108" yWindow="-108" windowWidth="23256" windowHeight="12576" activeTab="1" xr2:uid="{99FD0C39-1228-4528-9306-B2D51C30197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102" i="2" l="1"/>
  <c r="AN79" i="2"/>
  <c r="AO79" i="2" s="1"/>
  <c r="AP79" i="2" s="1"/>
  <c r="AQ79" i="2" s="1"/>
  <c r="AR79" i="2" s="1"/>
  <c r="AS79" i="2" s="1"/>
  <c r="AT79" i="2" s="1"/>
  <c r="AM79" i="2"/>
  <c r="AL79" i="2"/>
  <c r="AK79" i="2"/>
  <c r="W95" i="2"/>
  <c r="W93" i="2"/>
  <c r="W92" i="2"/>
  <c r="W91" i="2"/>
  <c r="W90" i="2"/>
  <c r="W89" i="2"/>
  <c r="W88" i="2"/>
  <c r="W87" i="2"/>
  <c r="W86" i="2"/>
  <c r="W85" i="2"/>
  <c r="W84" i="2"/>
  <c r="W83" i="2"/>
  <c r="W82" i="2"/>
  <c r="W81" i="2"/>
  <c r="W80" i="2"/>
  <c r="W79" i="2"/>
  <c r="AW39" i="2"/>
  <c r="AJ6" i="2"/>
  <c r="AJ8" i="2"/>
  <c r="AJ9" i="2"/>
  <c r="AJ10" i="2"/>
  <c r="AJ7" i="2"/>
  <c r="AK3" i="2"/>
  <c r="AL3" i="2"/>
  <c r="AM3" i="2"/>
  <c r="AN3" i="2"/>
  <c r="AO3" i="2" s="1"/>
  <c r="AP3" i="2" s="1"/>
  <c r="AQ3" i="2" s="1"/>
  <c r="AR3" i="2" s="1"/>
  <c r="AS3" i="2" s="1"/>
  <c r="AT3" i="2" s="1"/>
  <c r="AK4" i="2"/>
  <c r="AL4" i="2"/>
  <c r="AM4" i="2" s="1"/>
  <c r="AN4" i="2" s="1"/>
  <c r="AO4" i="2" s="1"/>
  <c r="AP4" i="2" s="1"/>
  <c r="AQ4" i="2" s="1"/>
  <c r="AR4" i="2" s="1"/>
  <c r="AS4" i="2" s="1"/>
  <c r="AT4" i="2" s="1"/>
  <c r="AK7" i="2"/>
  <c r="AL7" i="2" s="1"/>
  <c r="AM7" i="2" s="1"/>
  <c r="AN7" i="2" s="1"/>
  <c r="AO7" i="2" s="1"/>
  <c r="AP7" i="2" s="1"/>
  <c r="AQ7" i="2" s="1"/>
  <c r="AR7" i="2" s="1"/>
  <c r="AS7" i="2" s="1"/>
  <c r="AT7" i="2" s="1"/>
  <c r="AJ5" i="2"/>
  <c r="W47" i="2"/>
  <c r="W13" i="2"/>
  <c r="W35" i="2"/>
  <c r="W30" i="2"/>
  <c r="V56" i="2"/>
  <c r="V58" i="2" s="1"/>
  <c r="V74" i="2"/>
  <c r="V71" i="2"/>
  <c r="V64" i="2"/>
  <c r="V49" i="2"/>
  <c r="V85" i="2"/>
  <c r="V84" i="2"/>
  <c r="D7" i="1"/>
  <c r="D6" i="1"/>
  <c r="U47" i="2"/>
  <c r="R47" i="2"/>
  <c r="V47" i="2"/>
  <c r="W38" i="2"/>
  <c r="W37" i="2"/>
  <c r="V13" i="2"/>
  <c r="AT25" i="2"/>
  <c r="AS25" i="2"/>
  <c r="AR25" i="2"/>
  <c r="AQ25" i="2"/>
  <c r="AP25" i="2"/>
  <c r="AO25" i="2"/>
  <c r="AN25" i="2"/>
  <c r="AM25" i="2"/>
  <c r="AL25" i="2"/>
  <c r="AK25" i="2"/>
  <c r="AJ25" i="2"/>
  <c r="W25" i="2"/>
  <c r="V25" i="2"/>
  <c r="D4" i="1"/>
  <c r="U95" i="2"/>
  <c r="V95" i="2" s="1"/>
  <c r="U93" i="2"/>
  <c r="V93" i="2" s="1"/>
  <c r="U92" i="2"/>
  <c r="V92" i="2" s="1"/>
  <c r="U91" i="2"/>
  <c r="V91" i="2" s="1"/>
  <c r="U90" i="2"/>
  <c r="V90" i="2" s="1"/>
  <c r="U89" i="2"/>
  <c r="V89" i="2" s="1"/>
  <c r="U88" i="2"/>
  <c r="V88" i="2" s="1"/>
  <c r="U87" i="2"/>
  <c r="V87" i="2" s="1"/>
  <c r="U86" i="2"/>
  <c r="V86" i="2" s="1"/>
  <c r="U83" i="2"/>
  <c r="V83" i="2" s="1"/>
  <c r="U82" i="2"/>
  <c r="V82" i="2" s="1"/>
  <c r="U81" i="2"/>
  <c r="V81" i="2" s="1"/>
  <c r="U80" i="2"/>
  <c r="V80" i="2" s="1"/>
  <c r="U79" i="2"/>
  <c r="V79" i="2" s="1"/>
  <c r="T98" i="2"/>
  <c r="V37" i="2"/>
  <c r="V38" i="2"/>
  <c r="U25" i="2"/>
  <c r="U13" i="2"/>
  <c r="U36" i="2" s="1"/>
  <c r="T13" i="2"/>
  <c r="AJ20" i="2"/>
  <c r="AJ19" i="2"/>
  <c r="AJ16" i="2"/>
  <c r="AK16" i="2" s="1"/>
  <c r="U38" i="2"/>
  <c r="T38" i="2"/>
  <c r="U37" i="2"/>
  <c r="T37" i="2"/>
  <c r="W34" i="2"/>
  <c r="V34" i="2"/>
  <c r="U34" i="2"/>
  <c r="T34" i="2"/>
  <c r="W33" i="2"/>
  <c r="V33" i="2"/>
  <c r="U33" i="2"/>
  <c r="T33" i="2"/>
  <c r="W32" i="2"/>
  <c r="V32" i="2"/>
  <c r="U32" i="2"/>
  <c r="T32" i="2"/>
  <c r="W31" i="2"/>
  <c r="V31" i="2"/>
  <c r="U31" i="2"/>
  <c r="T31" i="2"/>
  <c r="U17" i="2"/>
  <c r="T17" i="2"/>
  <c r="S13" i="2"/>
  <c r="S34" i="2"/>
  <c r="S33" i="2"/>
  <c r="S32" i="2"/>
  <c r="S31" i="2"/>
  <c r="S30" i="2"/>
  <c r="S29" i="2"/>
  <c r="S28" i="2"/>
  <c r="AK80" i="2" l="1"/>
  <c r="AL80" i="2" s="1"/>
  <c r="AM80" i="2" s="1"/>
  <c r="AN80" i="2" s="1"/>
  <c r="AO80" i="2" s="1"/>
  <c r="AP80" i="2" s="1"/>
  <c r="AQ80" i="2" s="1"/>
  <c r="AR80" i="2" s="1"/>
  <c r="AS80" i="2" s="1"/>
  <c r="AT80" i="2" s="1"/>
  <c r="AK82" i="2"/>
  <c r="AL82" i="2" s="1"/>
  <c r="AM82" i="2" s="1"/>
  <c r="AN82" i="2" s="1"/>
  <c r="AO82" i="2" s="1"/>
  <c r="AP82" i="2" s="1"/>
  <c r="AQ82" i="2" s="1"/>
  <c r="AR82" i="2" s="1"/>
  <c r="AS82" i="2" s="1"/>
  <c r="AT82" i="2" s="1"/>
  <c r="AK87" i="2"/>
  <c r="AL87" i="2" s="1"/>
  <c r="AM87" i="2" s="1"/>
  <c r="AN87" i="2" s="1"/>
  <c r="AO87" i="2" s="1"/>
  <c r="AP87" i="2" s="1"/>
  <c r="AQ87" i="2" s="1"/>
  <c r="AR87" i="2" s="1"/>
  <c r="AS87" i="2" s="1"/>
  <c r="AT87" i="2" s="1"/>
  <c r="V65" i="2"/>
  <c r="V76" i="2"/>
  <c r="W17" i="2"/>
  <c r="AJ15" i="2"/>
  <c r="AK15" i="2" s="1"/>
  <c r="AJ14" i="2"/>
  <c r="AK14" i="2" s="1"/>
  <c r="AL14" i="2" s="1"/>
  <c r="AM14" i="2" s="1"/>
  <c r="AN14" i="2" s="1"/>
  <c r="AO14" i="2" s="1"/>
  <c r="AP14" i="2" s="1"/>
  <c r="AQ14" i="2" s="1"/>
  <c r="AR14" i="2" s="1"/>
  <c r="AS14" i="2" s="1"/>
  <c r="AT14" i="2" s="1"/>
  <c r="V17" i="2"/>
  <c r="T18" i="2"/>
  <c r="T36" i="2"/>
  <c r="U18" i="2"/>
  <c r="AI10" i="2"/>
  <c r="AK10" i="2" s="1"/>
  <c r="AL10" i="2" s="1"/>
  <c r="AM10" i="2" s="1"/>
  <c r="AN10" i="2" s="1"/>
  <c r="AO10" i="2" s="1"/>
  <c r="AP10" i="2" s="1"/>
  <c r="AQ10" i="2" s="1"/>
  <c r="AR10" i="2" s="1"/>
  <c r="AS10" i="2" s="1"/>
  <c r="AT10" i="2" s="1"/>
  <c r="AI9" i="2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I8" i="2"/>
  <c r="AK8" i="2" s="1"/>
  <c r="AL8" i="2" s="1"/>
  <c r="AM8" i="2" s="1"/>
  <c r="AN8" i="2" s="1"/>
  <c r="AO8" i="2" s="1"/>
  <c r="AP8" i="2" s="1"/>
  <c r="AQ8" i="2" s="1"/>
  <c r="AR8" i="2" s="1"/>
  <c r="AS8" i="2" s="1"/>
  <c r="AT8" i="2" s="1"/>
  <c r="AI7" i="2"/>
  <c r="AI6" i="2"/>
  <c r="AK6" i="2" s="1"/>
  <c r="AL6" i="2" s="1"/>
  <c r="AM6" i="2" s="1"/>
  <c r="AN6" i="2" s="1"/>
  <c r="AO6" i="2" s="1"/>
  <c r="AP6" i="2" s="1"/>
  <c r="AQ6" i="2" s="1"/>
  <c r="AR6" i="2" s="1"/>
  <c r="AS6" i="2" s="1"/>
  <c r="AT6" i="2" s="1"/>
  <c r="AI5" i="2"/>
  <c r="AK5" i="2" s="1"/>
  <c r="AL5" i="2" s="1"/>
  <c r="AM5" i="2" s="1"/>
  <c r="AN5" i="2" s="1"/>
  <c r="AO5" i="2" s="1"/>
  <c r="AP5" i="2" s="1"/>
  <c r="AQ5" i="2" s="1"/>
  <c r="AR5" i="2" s="1"/>
  <c r="AS5" i="2" s="1"/>
  <c r="AT5" i="2" s="1"/>
  <c r="AI4" i="2"/>
  <c r="AI3" i="2"/>
  <c r="AH10" i="2"/>
  <c r="AH9" i="2"/>
  <c r="AI34" i="2" s="1"/>
  <c r="AH8" i="2"/>
  <c r="AH7" i="2"/>
  <c r="AH6" i="2"/>
  <c r="AH5" i="2"/>
  <c r="AH4" i="2"/>
  <c r="AH3" i="2"/>
  <c r="Q34" i="2"/>
  <c r="P34" i="2"/>
  <c r="Q33" i="2"/>
  <c r="P33" i="2"/>
  <c r="Q32" i="2"/>
  <c r="P32" i="2"/>
  <c r="Q31" i="2"/>
  <c r="P31" i="2"/>
  <c r="Q30" i="2"/>
  <c r="P30" i="2"/>
  <c r="Q29" i="2"/>
  <c r="P29" i="2"/>
  <c r="Q28" i="2"/>
  <c r="P28" i="2"/>
  <c r="R34" i="2"/>
  <c r="R33" i="2"/>
  <c r="R32" i="2"/>
  <c r="R31" i="2"/>
  <c r="R30" i="2"/>
  <c r="R29" i="2"/>
  <c r="R28" i="2"/>
  <c r="L11" i="2"/>
  <c r="L35" i="2" s="1"/>
  <c r="P11" i="2"/>
  <c r="M11" i="2"/>
  <c r="M13" i="2" s="1"/>
  <c r="M36" i="2" s="1"/>
  <c r="Q11" i="2"/>
  <c r="AW106" i="2"/>
  <c r="AH98" i="2"/>
  <c r="P98" i="2"/>
  <c r="Q81" i="2"/>
  <c r="R81" i="2" s="1"/>
  <c r="S81" i="2" s="1"/>
  <c r="Q80" i="2"/>
  <c r="R80" i="2" s="1"/>
  <c r="S80" i="2" s="1"/>
  <c r="AG93" i="2"/>
  <c r="AG83" i="2"/>
  <c r="AH75" i="2"/>
  <c r="AH74" i="2"/>
  <c r="AH71" i="2"/>
  <c r="AH64" i="2"/>
  <c r="AH58" i="2"/>
  <c r="AH49" i="2"/>
  <c r="AG75" i="2"/>
  <c r="AG74" i="2"/>
  <c r="AG71" i="2"/>
  <c r="AG64" i="2"/>
  <c r="AG58" i="2"/>
  <c r="AG49" i="2"/>
  <c r="K75" i="2"/>
  <c r="K64" i="2"/>
  <c r="K74" i="2"/>
  <c r="K71" i="2"/>
  <c r="K58" i="2"/>
  <c r="K49" i="2"/>
  <c r="L87" i="2"/>
  <c r="M87" i="2" s="1"/>
  <c r="N87" i="2" s="1"/>
  <c r="O87" i="2" s="1"/>
  <c r="L86" i="2"/>
  <c r="M86" i="2" s="1"/>
  <c r="N86" i="2" s="1"/>
  <c r="O86" i="2" s="1"/>
  <c r="Q89" i="2"/>
  <c r="R89" i="2" s="1"/>
  <c r="S89" i="2" s="1"/>
  <c r="Q79" i="2"/>
  <c r="R79" i="2" s="1"/>
  <c r="S79" i="2" s="1"/>
  <c r="M95" i="2"/>
  <c r="N95" i="2" s="1"/>
  <c r="O95" i="2" s="1"/>
  <c r="M93" i="2"/>
  <c r="N93" i="2" s="1"/>
  <c r="O93" i="2" s="1"/>
  <c r="M92" i="2"/>
  <c r="N92" i="2" s="1"/>
  <c r="O92" i="2" s="1"/>
  <c r="M91" i="2"/>
  <c r="N91" i="2" s="1"/>
  <c r="O91" i="2" s="1"/>
  <c r="M90" i="2"/>
  <c r="N90" i="2" s="1"/>
  <c r="O90" i="2" s="1"/>
  <c r="M89" i="2"/>
  <c r="N89" i="2" s="1"/>
  <c r="O89" i="2" s="1"/>
  <c r="M88" i="2"/>
  <c r="N88" i="2" s="1"/>
  <c r="O88" i="2" s="1"/>
  <c r="M83" i="2"/>
  <c r="N83" i="2" s="1"/>
  <c r="O83" i="2" s="1"/>
  <c r="M82" i="2"/>
  <c r="N82" i="2" s="1"/>
  <c r="O82" i="2" s="1"/>
  <c r="M81" i="2"/>
  <c r="N81" i="2" s="1"/>
  <c r="O81" i="2" s="1"/>
  <c r="M80" i="2"/>
  <c r="N80" i="2" s="1"/>
  <c r="O80" i="2" s="1"/>
  <c r="M79" i="2"/>
  <c r="N79" i="2" s="1"/>
  <c r="O79" i="2" s="1"/>
  <c r="Q95" i="2"/>
  <c r="U98" i="2" s="1"/>
  <c r="Q93" i="2"/>
  <c r="R93" i="2" s="1"/>
  <c r="S93" i="2" s="1"/>
  <c r="Q88" i="2"/>
  <c r="R88" i="2" s="1"/>
  <c r="S88" i="2" s="1"/>
  <c r="Q83" i="2"/>
  <c r="R83" i="2" s="1"/>
  <c r="S83" i="2" s="1"/>
  <c r="Q82" i="2"/>
  <c r="R82" i="2" s="1"/>
  <c r="S82" i="2" s="1"/>
  <c r="Q75" i="2"/>
  <c r="Q74" i="2"/>
  <c r="Q71" i="2"/>
  <c r="Q64" i="2"/>
  <c r="Q58" i="2"/>
  <c r="Q49" i="2"/>
  <c r="N11" i="2"/>
  <c r="R11" i="2"/>
  <c r="O75" i="2"/>
  <c r="O74" i="2"/>
  <c r="O71" i="2"/>
  <c r="O64" i="2"/>
  <c r="O58" i="2"/>
  <c r="O49" i="2"/>
  <c r="R75" i="2"/>
  <c r="R74" i="2"/>
  <c r="R71" i="2"/>
  <c r="R64" i="2"/>
  <c r="R58" i="2"/>
  <c r="R49" i="2"/>
  <c r="AW43" i="2"/>
  <c r="AL16" i="2"/>
  <c r="AM16" i="2" s="1"/>
  <c r="AN16" i="2" s="1"/>
  <c r="AO16" i="2" s="1"/>
  <c r="AP16" i="2" s="1"/>
  <c r="AQ16" i="2" s="1"/>
  <c r="AR16" i="2" s="1"/>
  <c r="AS16" i="2" s="1"/>
  <c r="AT16" i="2" s="1"/>
  <c r="AT81" i="2" s="1"/>
  <c r="AE38" i="2"/>
  <c r="AE37" i="2"/>
  <c r="AE35" i="2"/>
  <c r="AD38" i="2"/>
  <c r="AD37" i="2"/>
  <c r="AD35" i="2"/>
  <c r="AI15" i="2"/>
  <c r="AC17" i="2"/>
  <c r="AI14" i="2"/>
  <c r="AI20" i="2"/>
  <c r="AK20" i="2" s="1"/>
  <c r="AL20" i="2" s="1"/>
  <c r="AM20" i="2" s="1"/>
  <c r="AN20" i="2" s="1"/>
  <c r="AO20" i="2" s="1"/>
  <c r="AP20" i="2" s="1"/>
  <c r="AQ20" i="2" s="1"/>
  <c r="AR20" i="2" s="1"/>
  <c r="AS20" i="2" s="1"/>
  <c r="AT20" i="2" s="1"/>
  <c r="AI19" i="2"/>
  <c r="AK19" i="2" s="1"/>
  <c r="AL19" i="2" s="1"/>
  <c r="AM19" i="2" s="1"/>
  <c r="AN19" i="2" s="1"/>
  <c r="AO19" i="2" s="1"/>
  <c r="AP19" i="2" s="1"/>
  <c r="AQ19" i="2" s="1"/>
  <c r="AR19" i="2" s="1"/>
  <c r="AS19" i="2" s="1"/>
  <c r="AT19" i="2" s="1"/>
  <c r="AI16" i="2"/>
  <c r="AH23" i="2"/>
  <c r="AH22" i="2"/>
  <c r="AH20" i="2"/>
  <c r="AH19" i="2"/>
  <c r="AH16" i="2"/>
  <c r="AH15" i="2"/>
  <c r="AH14" i="2"/>
  <c r="AH12" i="2"/>
  <c r="AG23" i="2"/>
  <c r="AG22" i="2"/>
  <c r="AG20" i="2"/>
  <c r="AG19" i="2"/>
  <c r="AG16" i="2"/>
  <c r="AG15" i="2"/>
  <c r="AG14" i="2"/>
  <c r="AG12" i="2"/>
  <c r="AG11" i="2"/>
  <c r="AF23" i="2"/>
  <c r="AF22" i="2"/>
  <c r="AF20" i="2"/>
  <c r="AF19" i="2"/>
  <c r="AF16" i="2"/>
  <c r="AF15" i="2"/>
  <c r="AF38" i="2" s="1"/>
  <c r="AF14" i="2"/>
  <c r="AF37" i="2" s="1"/>
  <c r="AF12" i="2"/>
  <c r="AF11" i="2"/>
  <c r="AF35" i="2" s="1"/>
  <c r="AC13" i="2"/>
  <c r="AC36" i="2" s="1"/>
  <c r="AD17" i="2"/>
  <c r="AD13" i="2"/>
  <c r="AD36" i="2" s="1"/>
  <c r="AE17" i="2"/>
  <c r="AE13" i="2"/>
  <c r="AE36" i="2" s="1"/>
  <c r="R38" i="2"/>
  <c r="Q38" i="2"/>
  <c r="P38" i="2"/>
  <c r="O38" i="2"/>
  <c r="N38" i="2"/>
  <c r="M38" i="2"/>
  <c r="L38" i="2"/>
  <c r="K38" i="2"/>
  <c r="J38" i="2"/>
  <c r="I38" i="2"/>
  <c r="H38" i="2"/>
  <c r="R37" i="2"/>
  <c r="Q37" i="2"/>
  <c r="P37" i="2"/>
  <c r="O37" i="2"/>
  <c r="N37" i="2"/>
  <c r="M37" i="2"/>
  <c r="L37" i="2"/>
  <c r="K37" i="2"/>
  <c r="J37" i="2"/>
  <c r="I37" i="2"/>
  <c r="H37" i="2"/>
  <c r="O35" i="2"/>
  <c r="K35" i="2"/>
  <c r="J35" i="2"/>
  <c r="I35" i="2"/>
  <c r="H35" i="2"/>
  <c r="G38" i="2"/>
  <c r="G37" i="2"/>
  <c r="G35" i="2"/>
  <c r="C17" i="2"/>
  <c r="C13" i="2"/>
  <c r="C36" i="2" s="1"/>
  <c r="G17" i="2"/>
  <c r="G13" i="2"/>
  <c r="G36" i="2" s="1"/>
  <c r="D17" i="2"/>
  <c r="D13" i="2"/>
  <c r="D36" i="2" s="1"/>
  <c r="H17" i="2"/>
  <c r="H13" i="2"/>
  <c r="H36" i="2" s="1"/>
  <c r="E17" i="2"/>
  <c r="E13" i="2"/>
  <c r="I17" i="2"/>
  <c r="I13" i="2"/>
  <c r="I36" i="2" s="1"/>
  <c r="F17" i="2"/>
  <c r="F13" i="2"/>
  <c r="F36" i="2" s="1"/>
  <c r="J17" i="2"/>
  <c r="J13" i="2"/>
  <c r="J36" i="2" s="1"/>
  <c r="K17" i="2"/>
  <c r="K13" i="2"/>
  <c r="K36" i="2" s="1"/>
  <c r="O17" i="2"/>
  <c r="O13" i="2"/>
  <c r="O36" i="2" s="1"/>
  <c r="L17" i="2"/>
  <c r="P17" i="2"/>
  <c r="M17" i="2"/>
  <c r="Q17" i="2"/>
  <c r="N17" i="2"/>
  <c r="R17" i="2"/>
  <c r="D8" i="1"/>
  <c r="AW103" i="2" s="1"/>
  <c r="F3" i="1"/>
  <c r="D5" i="1"/>
  <c r="AJ98" i="2" l="1"/>
  <c r="AK95" i="2"/>
  <c r="AI33" i="2"/>
  <c r="R13" i="2"/>
  <c r="R36" i="2" s="1"/>
  <c r="P13" i="2"/>
  <c r="P36" i="2" s="1"/>
  <c r="T35" i="2"/>
  <c r="Q13" i="2"/>
  <c r="Q36" i="2" s="1"/>
  <c r="U35" i="2"/>
  <c r="U39" i="2"/>
  <c r="U21" i="2"/>
  <c r="T39" i="2"/>
  <c r="T21" i="2"/>
  <c r="R95" i="2"/>
  <c r="D9" i="1"/>
  <c r="AW40" i="2"/>
  <c r="Q35" i="2"/>
  <c r="M35" i="2"/>
  <c r="AI28" i="2"/>
  <c r="AI32" i="2"/>
  <c r="AI31" i="2"/>
  <c r="AI30" i="2"/>
  <c r="AI29" i="2"/>
  <c r="AO81" i="2"/>
  <c r="AP81" i="2"/>
  <c r="AQ81" i="2"/>
  <c r="AR81" i="2"/>
  <c r="AK81" i="2"/>
  <c r="AS81" i="2"/>
  <c r="AL81" i="2"/>
  <c r="Q98" i="2"/>
  <c r="AM81" i="2"/>
  <c r="AN81" i="2"/>
  <c r="L13" i="2"/>
  <c r="L36" i="2" s="1"/>
  <c r="P35" i="2"/>
  <c r="AH11" i="2"/>
  <c r="AH13" i="2" s="1"/>
  <c r="Q87" i="2"/>
  <c r="R87" i="2" s="1"/>
  <c r="S87" i="2" s="1"/>
  <c r="AH65" i="2"/>
  <c r="AG76" i="2"/>
  <c r="AG65" i="2"/>
  <c r="AH76" i="2"/>
  <c r="Q86" i="2"/>
  <c r="R86" i="2" s="1"/>
  <c r="S86" i="2" s="1"/>
  <c r="Q90" i="2"/>
  <c r="R90" i="2" s="1"/>
  <c r="S90" i="2" s="1"/>
  <c r="Q91" i="2"/>
  <c r="R91" i="2" s="1"/>
  <c r="S91" i="2" s="1"/>
  <c r="Q92" i="2"/>
  <c r="R92" i="2" s="1"/>
  <c r="S92" i="2" s="1"/>
  <c r="K76" i="2"/>
  <c r="K65" i="2"/>
  <c r="Q76" i="2"/>
  <c r="Q65" i="2"/>
  <c r="N13" i="2"/>
  <c r="N36" i="2" s="1"/>
  <c r="N35" i="2"/>
  <c r="R35" i="2"/>
  <c r="AI11" i="2"/>
  <c r="O76" i="2"/>
  <c r="R76" i="2"/>
  <c r="O65" i="2"/>
  <c r="AH38" i="2"/>
  <c r="S17" i="2"/>
  <c r="AG35" i="2"/>
  <c r="AI38" i="2"/>
  <c r="R65" i="2"/>
  <c r="E18" i="2"/>
  <c r="E21" i="2" s="1"/>
  <c r="E24" i="2" s="1"/>
  <c r="E26" i="2" s="1"/>
  <c r="AG37" i="2"/>
  <c r="AH37" i="2"/>
  <c r="AJ37" i="2"/>
  <c r="AI37" i="2"/>
  <c r="S36" i="2"/>
  <c r="AJ17" i="2"/>
  <c r="AG38" i="2"/>
  <c r="E36" i="2"/>
  <c r="S38" i="2"/>
  <c r="S37" i="2"/>
  <c r="AI17" i="2"/>
  <c r="S35" i="2"/>
  <c r="AH17" i="2"/>
  <c r="AG17" i="2"/>
  <c r="AG13" i="2"/>
  <c r="AG36" i="2" s="1"/>
  <c r="AF17" i="2"/>
  <c r="AF13" i="2"/>
  <c r="AF36" i="2" s="1"/>
  <c r="AC18" i="2"/>
  <c r="AD18" i="2"/>
  <c r="AE18" i="2"/>
  <c r="C18" i="2"/>
  <c r="G18" i="2"/>
  <c r="D18" i="2"/>
  <c r="H18" i="2"/>
  <c r="I18" i="2"/>
  <c r="F18" i="2"/>
  <c r="J18" i="2"/>
  <c r="K18" i="2"/>
  <c r="O18" i="2"/>
  <c r="M18" i="2"/>
  <c r="AK98" i="2" l="1"/>
  <c r="AL95" i="2"/>
  <c r="AM95" i="2" s="1"/>
  <c r="AN95" i="2" s="1"/>
  <c r="AO95" i="2" s="1"/>
  <c r="AP95" i="2" s="1"/>
  <c r="AQ95" i="2" s="1"/>
  <c r="AR95" i="2" s="1"/>
  <c r="AS95" i="2" s="1"/>
  <c r="AT95" i="2" s="1"/>
  <c r="R98" i="2"/>
  <c r="V98" i="2"/>
  <c r="P18" i="2"/>
  <c r="P21" i="2" s="1"/>
  <c r="Q18" i="2"/>
  <c r="Q21" i="2" s="1"/>
  <c r="R18" i="2"/>
  <c r="R21" i="2" s="1"/>
  <c r="AJ11" i="2"/>
  <c r="V35" i="2"/>
  <c r="U41" i="2"/>
  <c r="U40" i="2"/>
  <c r="T40" i="2"/>
  <c r="T41" i="2"/>
  <c r="AH35" i="2"/>
  <c r="L18" i="2"/>
  <c r="L21" i="2" s="1"/>
  <c r="N18" i="2"/>
  <c r="N21" i="2" s="1"/>
  <c r="AI35" i="2"/>
  <c r="E40" i="2"/>
  <c r="AL37" i="2"/>
  <c r="E39" i="2"/>
  <c r="E41" i="2"/>
  <c r="S18" i="2"/>
  <c r="S21" i="2" s="1"/>
  <c r="E42" i="2"/>
  <c r="AI12" i="2"/>
  <c r="AI13" i="2" s="1"/>
  <c r="AI36" i="2" s="1"/>
  <c r="G21" i="2"/>
  <c r="G39" i="2"/>
  <c r="H21" i="2"/>
  <c r="H39" i="2"/>
  <c r="C21" i="2"/>
  <c r="C39" i="2"/>
  <c r="D21" i="2"/>
  <c r="D39" i="2"/>
  <c r="AJ38" i="2"/>
  <c r="AE21" i="2"/>
  <c r="AE39" i="2"/>
  <c r="AD21" i="2"/>
  <c r="AD39" i="2"/>
  <c r="O21" i="2"/>
  <c r="O39" i="2"/>
  <c r="K21" i="2"/>
  <c r="K39" i="2"/>
  <c r="J21" i="2"/>
  <c r="J39" i="2"/>
  <c r="F21" i="2"/>
  <c r="F39" i="2"/>
  <c r="M21" i="2"/>
  <c r="M39" i="2"/>
  <c r="I21" i="2"/>
  <c r="I39" i="2"/>
  <c r="AC21" i="2"/>
  <c r="AC39" i="2"/>
  <c r="AK37" i="2"/>
  <c r="AH18" i="2"/>
  <c r="AH39" i="2" s="1"/>
  <c r="AH36" i="2"/>
  <c r="AM37" i="2"/>
  <c r="AG18" i="2"/>
  <c r="AF18" i="2"/>
  <c r="AJ35" i="2" l="1"/>
  <c r="AK11" i="2"/>
  <c r="AL11" i="2" s="1"/>
  <c r="P39" i="2"/>
  <c r="R39" i="2"/>
  <c r="Q39" i="2"/>
  <c r="V36" i="2"/>
  <c r="V18" i="2"/>
  <c r="U24" i="2"/>
  <c r="T24" i="2"/>
  <c r="S40" i="2"/>
  <c r="L39" i="2"/>
  <c r="N39" i="2"/>
  <c r="AI18" i="2"/>
  <c r="AI21" i="2" s="1"/>
  <c r="S39" i="2"/>
  <c r="AI23" i="2"/>
  <c r="AH21" i="2"/>
  <c r="H24" i="2"/>
  <c r="H41" i="2"/>
  <c r="H40" i="2"/>
  <c r="N24" i="2"/>
  <c r="N41" i="2"/>
  <c r="N40" i="2"/>
  <c r="L24" i="2"/>
  <c r="L78" i="2" s="1"/>
  <c r="L94" i="2" s="1"/>
  <c r="L96" i="2" s="1"/>
  <c r="L40" i="2"/>
  <c r="L41" i="2"/>
  <c r="R24" i="2"/>
  <c r="R41" i="2"/>
  <c r="R40" i="2"/>
  <c r="O24" i="2"/>
  <c r="O78" i="2" s="1"/>
  <c r="O94" i="2" s="1"/>
  <c r="O96" i="2" s="1"/>
  <c r="O41" i="2"/>
  <c r="O40" i="2"/>
  <c r="AC24" i="2"/>
  <c r="AC41" i="2"/>
  <c r="AC40" i="2"/>
  <c r="AG21" i="2"/>
  <c r="AG39" i="2"/>
  <c r="I24" i="2"/>
  <c r="I41" i="2"/>
  <c r="I40" i="2"/>
  <c r="J24" i="2"/>
  <c r="J41" i="2"/>
  <c r="J40" i="2"/>
  <c r="AD24" i="2"/>
  <c r="AD41" i="2"/>
  <c r="AD40" i="2"/>
  <c r="AF21" i="2"/>
  <c r="AF39" i="2"/>
  <c r="D24" i="2"/>
  <c r="D40" i="2"/>
  <c r="D41" i="2"/>
  <c r="P24" i="2"/>
  <c r="P78" i="2" s="1"/>
  <c r="P94" i="2" s="1"/>
  <c r="P96" i="2" s="1"/>
  <c r="P41" i="2"/>
  <c r="P40" i="2"/>
  <c r="F24" i="2"/>
  <c r="F40" i="2"/>
  <c r="F41" i="2"/>
  <c r="G24" i="2"/>
  <c r="G40" i="2"/>
  <c r="G41" i="2"/>
  <c r="M24" i="2"/>
  <c r="M40" i="2"/>
  <c r="M41" i="2"/>
  <c r="K24" i="2"/>
  <c r="K40" i="2"/>
  <c r="K41" i="2"/>
  <c r="AE24" i="2"/>
  <c r="AE41" i="2"/>
  <c r="AE40" i="2"/>
  <c r="AL15" i="2"/>
  <c r="AK17" i="2"/>
  <c r="AK38" i="2"/>
  <c r="C24" i="2"/>
  <c r="C41" i="2"/>
  <c r="C40" i="2"/>
  <c r="Q24" i="2"/>
  <c r="Q41" i="2"/>
  <c r="Q40" i="2"/>
  <c r="AN37" i="2"/>
  <c r="AM11" i="2" l="1"/>
  <c r="AN11" i="2" s="1"/>
  <c r="AL13" i="2"/>
  <c r="U100" i="2"/>
  <c r="U116" i="2" s="1"/>
  <c r="U78" i="2"/>
  <c r="U94" i="2" s="1"/>
  <c r="U96" i="2" s="1"/>
  <c r="T26" i="2"/>
  <c r="T78" i="2"/>
  <c r="T94" i="2" s="1"/>
  <c r="T96" i="2" s="1"/>
  <c r="V21" i="2"/>
  <c r="V39" i="2"/>
  <c r="AK13" i="2"/>
  <c r="AK18" i="2" s="1"/>
  <c r="AK35" i="2"/>
  <c r="U42" i="2"/>
  <c r="U26" i="2"/>
  <c r="T42" i="2"/>
  <c r="AI22" i="2"/>
  <c r="AI24" i="2" s="1"/>
  <c r="AI78" i="2" s="1"/>
  <c r="AI94" i="2" s="1"/>
  <c r="S41" i="2"/>
  <c r="S24" i="2"/>
  <c r="S78" i="2" s="1"/>
  <c r="S94" i="2" s="1"/>
  <c r="M78" i="2"/>
  <c r="M94" i="2" s="1"/>
  <c r="M96" i="2" s="1"/>
  <c r="M100" i="2"/>
  <c r="M116" i="2" s="1"/>
  <c r="Q78" i="2"/>
  <c r="Q94" i="2" s="1"/>
  <c r="Q96" i="2" s="1"/>
  <c r="Q100" i="2"/>
  <c r="Q116" i="2" s="1"/>
  <c r="AI39" i="2"/>
  <c r="N100" i="2"/>
  <c r="N116" i="2" s="1"/>
  <c r="N78" i="2"/>
  <c r="N94" i="2" s="1"/>
  <c r="N96" i="2" s="1"/>
  <c r="R100" i="2"/>
  <c r="R116" i="2" s="1"/>
  <c r="C26" i="2"/>
  <c r="C42" i="2"/>
  <c r="H26" i="2"/>
  <c r="H42" i="2"/>
  <c r="F26" i="2"/>
  <c r="F42" i="2"/>
  <c r="J26" i="2"/>
  <c r="J42" i="2"/>
  <c r="AC26" i="2"/>
  <c r="AC42" i="2"/>
  <c r="AH24" i="2"/>
  <c r="AH78" i="2" s="1"/>
  <c r="AH94" i="2" s="1"/>
  <c r="AH96" i="2" s="1"/>
  <c r="AH40" i="2"/>
  <c r="AH41" i="2"/>
  <c r="AM15" i="2"/>
  <c r="AL17" i="2"/>
  <c r="AL38" i="2"/>
  <c r="L26" i="2"/>
  <c r="L42" i="2"/>
  <c r="K26" i="2"/>
  <c r="K42" i="2"/>
  <c r="M26" i="2"/>
  <c r="M42" i="2"/>
  <c r="Q26" i="2"/>
  <c r="Q42" i="2"/>
  <c r="P26" i="2"/>
  <c r="P42" i="2"/>
  <c r="I26" i="2"/>
  <c r="I42" i="2"/>
  <c r="O26" i="2"/>
  <c r="O42" i="2"/>
  <c r="AE26" i="2"/>
  <c r="AE42" i="2"/>
  <c r="N26" i="2"/>
  <c r="N42" i="2"/>
  <c r="R26" i="2"/>
  <c r="R78" i="2"/>
  <c r="R94" i="2" s="1"/>
  <c r="R96" i="2" s="1"/>
  <c r="R42" i="2"/>
  <c r="AF24" i="2"/>
  <c r="AF41" i="2"/>
  <c r="AF40" i="2"/>
  <c r="G26" i="2"/>
  <c r="G42" i="2"/>
  <c r="AD26" i="2"/>
  <c r="AD42" i="2"/>
  <c r="AG24" i="2"/>
  <c r="AG78" i="2" s="1"/>
  <c r="AG94" i="2" s="1"/>
  <c r="AG96" i="2" s="1"/>
  <c r="AG41" i="2"/>
  <c r="AG40" i="2"/>
  <c r="D26" i="2"/>
  <c r="D42" i="2"/>
  <c r="AI41" i="2"/>
  <c r="AO37" i="2"/>
  <c r="AK39" i="2" l="1"/>
  <c r="AK21" i="2"/>
  <c r="AK23" i="2" s="1"/>
  <c r="AK41" i="2" s="1"/>
  <c r="AL36" i="2"/>
  <c r="AL35" i="2"/>
  <c r="AK36" i="2"/>
  <c r="AK12" i="2"/>
  <c r="AI40" i="2"/>
  <c r="S42" i="2"/>
  <c r="S26" i="2"/>
  <c r="AN15" i="2"/>
  <c r="AM38" i="2"/>
  <c r="AM17" i="2"/>
  <c r="AG26" i="2"/>
  <c r="AG42" i="2"/>
  <c r="AH26" i="2"/>
  <c r="AH42" i="2"/>
  <c r="AF26" i="2"/>
  <c r="AF42" i="2"/>
  <c r="AI26" i="2"/>
  <c r="AI42" i="2"/>
  <c r="AP37" i="2"/>
  <c r="V24" i="2" l="1"/>
  <c r="V78" i="2" s="1"/>
  <c r="V94" i="2" s="1"/>
  <c r="V96" i="2" s="1"/>
  <c r="AK22" i="2"/>
  <c r="AK40" i="2" s="1"/>
  <c r="AM13" i="2"/>
  <c r="AM36" i="2" s="1"/>
  <c r="AM35" i="2"/>
  <c r="V41" i="2"/>
  <c r="AL18" i="2"/>
  <c r="V40" i="2"/>
  <c r="AL12" i="2"/>
  <c r="AO15" i="2"/>
  <c r="AP15" i="2" s="1"/>
  <c r="AQ15" i="2" s="1"/>
  <c r="AR15" i="2" s="1"/>
  <c r="AS15" i="2" s="1"/>
  <c r="AT15" i="2" s="1"/>
  <c r="AN17" i="2"/>
  <c r="AN38" i="2"/>
  <c r="AQ37" i="2"/>
  <c r="V42" i="2" l="1"/>
  <c r="V100" i="2"/>
  <c r="V116" i="2" s="1"/>
  <c r="AM12" i="2"/>
  <c r="V26" i="2"/>
  <c r="AK24" i="2"/>
  <c r="AK78" i="2" s="1"/>
  <c r="AK94" i="2" s="1"/>
  <c r="AL21" i="2"/>
  <c r="AL22" i="2" s="1"/>
  <c r="AL39" i="2"/>
  <c r="AM18" i="2"/>
  <c r="AO11" i="2"/>
  <c r="AN35" i="2"/>
  <c r="AN13" i="2"/>
  <c r="AN18" i="2" s="1"/>
  <c r="AN39" i="2" s="1"/>
  <c r="AO38" i="2"/>
  <c r="AO17" i="2"/>
  <c r="AR37" i="2"/>
  <c r="AK42" i="2" l="1"/>
  <c r="AK26" i="2"/>
  <c r="AN12" i="2"/>
  <c r="AN36" i="2"/>
  <c r="AN21" i="2"/>
  <c r="AP11" i="2"/>
  <c r="AO13" i="2"/>
  <c r="AO18" i="2" s="1"/>
  <c r="AO39" i="2" s="1"/>
  <c r="AO35" i="2"/>
  <c r="AL23" i="2"/>
  <c r="AL41" i="2" s="1"/>
  <c r="AL40" i="2"/>
  <c r="AM21" i="2"/>
  <c r="AM22" i="2" s="1"/>
  <c r="AM39" i="2"/>
  <c r="AP38" i="2"/>
  <c r="AP17" i="2"/>
  <c r="AS37" i="2"/>
  <c r="AL24" i="2" l="1"/>
  <c r="AL26" i="2" s="1"/>
  <c r="AN22" i="2"/>
  <c r="AN40" i="2" s="1"/>
  <c r="AN23" i="2"/>
  <c r="AN41" i="2" s="1"/>
  <c r="AO21" i="2"/>
  <c r="AQ11" i="2"/>
  <c r="AP35" i="2"/>
  <c r="AP13" i="2"/>
  <c r="AP18" i="2" s="1"/>
  <c r="AP21" i="2" s="1"/>
  <c r="AP22" i="2" s="1"/>
  <c r="AO36" i="2"/>
  <c r="AO12" i="2"/>
  <c r="AM40" i="2"/>
  <c r="AM23" i="2"/>
  <c r="AM41" i="2" s="1"/>
  <c r="AQ17" i="2"/>
  <c r="AQ38" i="2"/>
  <c r="AT37" i="2"/>
  <c r="AM24" i="2" l="1"/>
  <c r="AM78" i="2" s="1"/>
  <c r="AM94" i="2" s="1"/>
  <c r="AP39" i="2"/>
  <c r="AL78" i="2"/>
  <c r="AL94" i="2" s="1"/>
  <c r="AL42" i="2"/>
  <c r="AN24" i="2"/>
  <c r="AN78" i="2" s="1"/>
  <c r="AN94" i="2" s="1"/>
  <c r="AO23" i="2"/>
  <c r="AO41" i="2" s="1"/>
  <c r="AO22" i="2"/>
  <c r="AR11" i="2"/>
  <c r="AQ13" i="2"/>
  <c r="AQ36" i="2" s="1"/>
  <c r="AQ35" i="2"/>
  <c r="AP36" i="2"/>
  <c r="AP12" i="2"/>
  <c r="AP23" i="2"/>
  <c r="AP41" i="2" s="1"/>
  <c r="AP40" i="2"/>
  <c r="AR17" i="2"/>
  <c r="AR38" i="2"/>
  <c r="AO24" i="2" l="1"/>
  <c r="AO78" i="2" s="1"/>
  <c r="AO94" i="2" s="1"/>
  <c r="AQ12" i="2"/>
  <c r="AM42" i="2"/>
  <c r="AM26" i="2"/>
  <c r="AN42" i="2"/>
  <c r="AQ18" i="2"/>
  <c r="AQ39" i="2" s="1"/>
  <c r="AO40" i="2"/>
  <c r="AN26" i="2"/>
  <c r="AS11" i="2"/>
  <c r="AR35" i="2"/>
  <c r="AR13" i="2"/>
  <c r="AR36" i="2" s="1"/>
  <c r="AP24" i="2"/>
  <c r="AS38" i="2"/>
  <c r="AS17" i="2"/>
  <c r="AO26" i="2" l="1"/>
  <c r="AO42" i="2"/>
  <c r="AQ21" i="2"/>
  <c r="AQ22" i="2" s="1"/>
  <c r="AQ40" i="2" s="1"/>
  <c r="AT11" i="2"/>
  <c r="AS13" i="2"/>
  <c r="AS18" i="2" s="1"/>
  <c r="AS35" i="2"/>
  <c r="AR18" i="2"/>
  <c r="AR12" i="2"/>
  <c r="AP26" i="2"/>
  <c r="AP78" i="2"/>
  <c r="AP94" i="2" s="1"/>
  <c r="AP42" i="2"/>
  <c r="AT17" i="2"/>
  <c r="AT38" i="2"/>
  <c r="AQ23" i="2" l="1"/>
  <c r="AQ41" i="2" s="1"/>
  <c r="AS39" i="2"/>
  <c r="AS21" i="2"/>
  <c r="AS22" i="2" s="1"/>
  <c r="AS40" i="2" s="1"/>
  <c r="AR21" i="2"/>
  <c r="AR22" i="2" s="1"/>
  <c r="AR39" i="2"/>
  <c r="AS36" i="2"/>
  <c r="AS12" i="2"/>
  <c r="AT13" i="2"/>
  <c r="AT36" i="2" s="1"/>
  <c r="AT35" i="2"/>
  <c r="AQ24" i="2" l="1"/>
  <c r="AQ78" i="2" s="1"/>
  <c r="AQ94" i="2" s="1"/>
  <c r="AS23" i="2"/>
  <c r="AS41" i="2" s="1"/>
  <c r="AT12" i="2"/>
  <c r="AR40" i="2"/>
  <c r="AR23" i="2"/>
  <c r="AR41" i="2" s="1"/>
  <c r="AT18" i="2"/>
  <c r="AQ42" i="2" l="1"/>
  <c r="AQ26" i="2"/>
  <c r="AS24" i="2"/>
  <c r="AS78" i="2" s="1"/>
  <c r="AS94" i="2" s="1"/>
  <c r="AT39" i="2"/>
  <c r="AT21" i="2"/>
  <c r="AT22" i="2" s="1"/>
  <c r="AR24" i="2"/>
  <c r="AS42" i="2" l="1"/>
  <c r="AS26" i="2"/>
  <c r="AR42" i="2"/>
  <c r="AR26" i="2"/>
  <c r="AR78" i="2"/>
  <c r="AR94" i="2" s="1"/>
  <c r="AT23" i="2"/>
  <c r="AT41" i="2" s="1"/>
  <c r="AT40" i="2" l="1"/>
  <c r="AT24" i="2"/>
  <c r="AT78" i="2" l="1"/>
  <c r="AT94" i="2" s="1"/>
  <c r="AT26" i="2"/>
  <c r="AU24" i="2"/>
  <c r="AV24" i="2" s="1"/>
  <c r="AW24" i="2" s="1"/>
  <c r="AX24" i="2" s="1"/>
  <c r="AY24" i="2" s="1"/>
  <c r="AZ24" i="2" s="1"/>
  <c r="BA24" i="2" s="1"/>
  <c r="BB24" i="2" s="1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DP24" i="2" s="1"/>
  <c r="DQ24" i="2" s="1"/>
  <c r="DR24" i="2" s="1"/>
  <c r="DS24" i="2" s="1"/>
  <c r="DT24" i="2" s="1"/>
  <c r="DU24" i="2" s="1"/>
  <c r="DV24" i="2" s="1"/>
  <c r="DW24" i="2" s="1"/>
  <c r="DX24" i="2" s="1"/>
  <c r="DY24" i="2" s="1"/>
  <c r="DZ24" i="2" s="1"/>
  <c r="EA24" i="2" s="1"/>
  <c r="EB24" i="2" s="1"/>
  <c r="EC24" i="2" s="1"/>
  <c r="ED24" i="2" s="1"/>
  <c r="EE24" i="2" s="1"/>
  <c r="EF24" i="2" s="1"/>
  <c r="EG24" i="2" s="1"/>
  <c r="EH24" i="2" s="1"/>
  <c r="EI24" i="2" s="1"/>
  <c r="EJ24" i="2" s="1"/>
  <c r="EK24" i="2" s="1"/>
  <c r="EL24" i="2" s="1"/>
  <c r="EM24" i="2" s="1"/>
  <c r="EN24" i="2" s="1"/>
  <c r="EO24" i="2" s="1"/>
  <c r="EP24" i="2" s="1"/>
  <c r="EQ24" i="2" s="1"/>
  <c r="ER24" i="2" s="1"/>
  <c r="ES24" i="2" s="1"/>
  <c r="ET24" i="2" s="1"/>
  <c r="EU24" i="2" s="1"/>
  <c r="EV24" i="2" s="1"/>
  <c r="EW24" i="2" s="1"/>
  <c r="EX24" i="2" s="1"/>
  <c r="EY24" i="2" s="1"/>
  <c r="EZ24" i="2" s="1"/>
  <c r="AT42" i="2"/>
  <c r="AI98" i="2"/>
  <c r="S95" i="2"/>
  <c r="AI96" i="2"/>
  <c r="S96" i="2" l="1"/>
  <c r="W98" i="2"/>
  <c r="S98" i="2"/>
  <c r="AK96" i="2"/>
  <c r="AL96" i="2" l="1"/>
  <c r="AM96" i="2" l="1"/>
  <c r="AN96" i="2" l="1"/>
  <c r="AO96" i="2" l="1"/>
  <c r="AP96" i="2" l="1"/>
  <c r="AQ96" i="2" l="1"/>
  <c r="AR96" i="2" l="1"/>
  <c r="AS96" i="2" l="1"/>
  <c r="AT96" i="2"/>
  <c r="AU96" i="2" s="1"/>
  <c r="AV96" i="2" s="1"/>
  <c r="AW96" i="2" s="1"/>
  <c r="AX96" i="2" s="1"/>
  <c r="AY96" i="2" s="1"/>
  <c r="AZ96" i="2" s="1"/>
  <c r="BA96" i="2" s="1"/>
  <c r="BB96" i="2" s="1"/>
  <c r="BC96" i="2" s="1"/>
  <c r="BD96" i="2" s="1"/>
  <c r="BE96" i="2" s="1"/>
  <c r="BF96" i="2" s="1"/>
  <c r="BG96" i="2" s="1"/>
  <c r="BH96" i="2" s="1"/>
  <c r="BI96" i="2" s="1"/>
  <c r="BJ96" i="2" s="1"/>
  <c r="BK96" i="2" s="1"/>
  <c r="BL96" i="2" s="1"/>
  <c r="BM96" i="2" s="1"/>
  <c r="BN96" i="2" s="1"/>
  <c r="BO96" i="2" s="1"/>
  <c r="BP96" i="2" s="1"/>
  <c r="BQ96" i="2" s="1"/>
  <c r="BR96" i="2" s="1"/>
  <c r="BS96" i="2" s="1"/>
  <c r="BT96" i="2" s="1"/>
  <c r="BU96" i="2" s="1"/>
  <c r="BV96" i="2" s="1"/>
  <c r="BW96" i="2" s="1"/>
  <c r="BX96" i="2" s="1"/>
  <c r="BY96" i="2" s="1"/>
  <c r="BZ96" i="2" s="1"/>
  <c r="CA96" i="2" s="1"/>
  <c r="CB96" i="2" s="1"/>
  <c r="CC96" i="2" s="1"/>
  <c r="CD96" i="2" s="1"/>
  <c r="CE96" i="2" s="1"/>
  <c r="CF96" i="2" s="1"/>
  <c r="CG96" i="2" s="1"/>
  <c r="CH96" i="2" s="1"/>
  <c r="CI96" i="2" s="1"/>
  <c r="CJ96" i="2" s="1"/>
  <c r="CK96" i="2" s="1"/>
  <c r="CL96" i="2" s="1"/>
  <c r="CM96" i="2" s="1"/>
  <c r="CN96" i="2" s="1"/>
  <c r="CO96" i="2" s="1"/>
  <c r="CP96" i="2" s="1"/>
  <c r="CQ96" i="2" s="1"/>
  <c r="CR96" i="2" s="1"/>
  <c r="CS96" i="2" s="1"/>
  <c r="CT96" i="2" s="1"/>
  <c r="CU96" i="2" s="1"/>
  <c r="CV96" i="2" s="1"/>
  <c r="CW96" i="2" s="1"/>
  <c r="CX96" i="2" s="1"/>
  <c r="CY96" i="2" s="1"/>
  <c r="CZ96" i="2" s="1"/>
  <c r="DA96" i="2" s="1"/>
  <c r="DB96" i="2" s="1"/>
  <c r="DC96" i="2" s="1"/>
  <c r="DD96" i="2" s="1"/>
  <c r="DE96" i="2" s="1"/>
  <c r="DF96" i="2" s="1"/>
  <c r="DG96" i="2" s="1"/>
  <c r="DH96" i="2" s="1"/>
  <c r="DI96" i="2" s="1"/>
  <c r="DJ96" i="2" s="1"/>
  <c r="DK96" i="2" s="1"/>
  <c r="DL96" i="2" s="1"/>
  <c r="DM96" i="2" s="1"/>
  <c r="DN96" i="2" s="1"/>
  <c r="DO96" i="2" s="1"/>
  <c r="DP96" i="2" s="1"/>
  <c r="DQ96" i="2" s="1"/>
  <c r="DR96" i="2" s="1"/>
  <c r="DS96" i="2" s="1"/>
  <c r="DT96" i="2" s="1"/>
  <c r="DU96" i="2" s="1"/>
  <c r="DV96" i="2" s="1"/>
  <c r="DW96" i="2" s="1"/>
  <c r="DX96" i="2" s="1"/>
  <c r="DY96" i="2" s="1"/>
  <c r="DZ96" i="2" s="1"/>
  <c r="EA96" i="2" s="1"/>
  <c r="EB96" i="2" s="1"/>
  <c r="EC96" i="2" s="1"/>
  <c r="ED96" i="2" s="1"/>
  <c r="EE96" i="2" s="1"/>
  <c r="EF96" i="2" s="1"/>
  <c r="EG96" i="2" s="1"/>
  <c r="EH96" i="2" s="1"/>
  <c r="EI96" i="2" s="1"/>
  <c r="EJ96" i="2" s="1"/>
  <c r="EK96" i="2" s="1"/>
  <c r="EL96" i="2" s="1"/>
  <c r="EM96" i="2" s="1"/>
  <c r="EN96" i="2" s="1"/>
  <c r="EO96" i="2" s="1"/>
  <c r="EP96" i="2" s="1"/>
  <c r="EQ96" i="2" s="1"/>
  <c r="ER96" i="2" s="1"/>
  <c r="W18" i="2" l="1"/>
  <c r="W21" i="2" s="1"/>
  <c r="AJ12" i="2"/>
  <c r="AJ13" i="2" s="1"/>
  <c r="W36" i="2"/>
  <c r="W39" i="2" l="1"/>
  <c r="AJ36" i="2"/>
  <c r="AJ18" i="2"/>
  <c r="AJ21" i="2" l="1"/>
  <c r="AJ39" i="2"/>
  <c r="W40" i="2"/>
  <c r="AJ22" i="2"/>
  <c r="W24" i="2"/>
  <c r="W78" i="2" s="1"/>
  <c r="W94" i="2" s="1"/>
  <c r="W96" i="2" s="1"/>
  <c r="AJ23" i="2"/>
  <c r="W41" i="2"/>
  <c r="AJ41" i="2" l="1"/>
  <c r="AJ40" i="2"/>
  <c r="W42" i="2"/>
  <c r="W26" i="2"/>
  <c r="AJ24" i="2"/>
  <c r="AJ26" i="2" l="1"/>
  <c r="AJ78" i="2"/>
  <c r="AJ94" i="2" s="1"/>
  <c r="AJ96" i="2" s="1"/>
  <c r="AW104" i="2" s="1"/>
  <c r="AW105" i="2" s="1"/>
  <c r="AW41" i="2"/>
  <c r="AW42" i="2" s="1"/>
  <c r="AW44" i="2" s="1"/>
  <c r="AJ42" i="2"/>
</calcChain>
</file>

<file path=xl/sharedStrings.xml><?xml version="1.0" encoding="utf-8"?>
<sst xmlns="http://schemas.openxmlformats.org/spreadsheetml/2006/main" count="161" uniqueCount="117">
  <si>
    <t>INTC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</si>
  <si>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</si>
  <si>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</si>
  <si>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</si>
  <si>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</si>
  <si>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</si>
  <si>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</si>
  <si>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</si>
  <si>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</si>
  <si>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</si>
  <si>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</si>
  <si>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Q324</t>
  </si>
  <si>
    <t>Revenue</t>
  </si>
  <si>
    <t>Q124</t>
  </si>
  <si>
    <t>Q123</t>
  </si>
  <si>
    <t>Q223</t>
  </si>
  <si>
    <t>Q323</t>
  </si>
  <si>
    <t>Q423</t>
  </si>
  <si>
    <t>Q224</t>
  </si>
  <si>
    <t>Q424</t>
  </si>
  <si>
    <t>Cost of sales</t>
  </si>
  <si>
    <t>Gross profit</t>
  </si>
  <si>
    <t>R&amp;D</t>
  </si>
  <si>
    <t>SG&amp;A</t>
  </si>
  <si>
    <t>Restructuring</t>
  </si>
  <si>
    <t>Operating profit</t>
  </si>
  <si>
    <t>Total operating expenses</t>
  </si>
  <si>
    <t>Net interest expense</t>
  </si>
  <si>
    <t>Pretax profit</t>
  </si>
  <si>
    <t>Taxes</t>
  </si>
  <si>
    <t>MI</t>
  </si>
  <si>
    <t>Net profit</t>
  </si>
  <si>
    <t>EPS</t>
  </si>
  <si>
    <t>Net investment income</t>
  </si>
  <si>
    <t>Q121</t>
  </si>
  <si>
    <t>Q221</t>
  </si>
  <si>
    <t>Q321</t>
  </si>
  <si>
    <t>Q421</t>
  </si>
  <si>
    <t>Q122</t>
  </si>
  <si>
    <t>Q222</t>
  </si>
  <si>
    <t>Q322</t>
  </si>
  <si>
    <t>Q422</t>
  </si>
  <si>
    <t>Q420</t>
  </si>
  <si>
    <t>Gross Margin</t>
  </si>
  <si>
    <t>Revenue y/y</t>
  </si>
  <si>
    <t>R&amp;D y/y</t>
  </si>
  <si>
    <t>SG&amp;A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</si>
  <si>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</si>
  <si>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</si>
  <si>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</si>
  <si>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</si>
  <si>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</si>
  <si>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</si>
  <si>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</si>
  <si>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</si>
  <si>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</si>
  <si>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</si>
  <si>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</si>
  <si>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Investments</t>
  </si>
  <si>
    <t>A/R</t>
  </si>
  <si>
    <t>Inventories</t>
  </si>
  <si>
    <t>OCA</t>
  </si>
  <si>
    <t>Current assets</t>
  </si>
  <si>
    <t>PP&amp;E</t>
  </si>
  <si>
    <t>Goodwill</t>
  </si>
  <si>
    <t>Intangibles</t>
  </si>
  <si>
    <t>ONCA</t>
  </si>
  <si>
    <t>Non-current assets</t>
  </si>
  <si>
    <t>Total assets</t>
  </si>
  <si>
    <t>A/P</t>
  </si>
  <si>
    <t>A/L</t>
  </si>
  <si>
    <t>OCL</t>
  </si>
  <si>
    <t>Current liabilities</t>
  </si>
  <si>
    <t>ONCL</t>
  </si>
  <si>
    <t>Non-current liabilities</t>
  </si>
  <si>
    <t>S/E</t>
  </si>
  <si>
    <t>L+S/E</t>
  </si>
  <si>
    <t>Depreciation</t>
  </si>
  <si>
    <t>SBC</t>
  </si>
  <si>
    <t>Amortisation</t>
  </si>
  <si>
    <t>D/T</t>
  </si>
  <si>
    <t>Impairments</t>
  </si>
  <si>
    <t>Other</t>
  </si>
  <si>
    <t>CFFO</t>
  </si>
  <si>
    <t>FCF</t>
  </si>
  <si>
    <t>Cumulative income</t>
  </si>
  <si>
    <t>DC&amp;AI revenue</t>
  </si>
  <si>
    <t>Network revenue</t>
  </si>
  <si>
    <t>Foundry revenue</t>
  </si>
  <si>
    <t>Other revenue</t>
  </si>
  <si>
    <t>Desktop revenue</t>
  </si>
  <si>
    <t>Notebook revenue</t>
  </si>
  <si>
    <t>Other products revenue</t>
  </si>
  <si>
    <t>Eliminations</t>
  </si>
  <si>
    <t>PP&amp;E y/y</t>
  </si>
  <si>
    <t>NPV (FCF)</t>
  </si>
  <si>
    <t>Desktop revenue y/y</t>
  </si>
  <si>
    <t>Notebook revenue y/y</t>
  </si>
  <si>
    <t>Other products revenue y/y</t>
  </si>
  <si>
    <t>DC&amp;AI revenue y/y</t>
  </si>
  <si>
    <t>Network revenue y/y</t>
  </si>
  <si>
    <t>Foundry revenue y/y</t>
  </si>
  <si>
    <t>Other revenue y/y</t>
  </si>
  <si>
    <t>Q125</t>
  </si>
  <si>
    <t>Q225</t>
  </si>
  <si>
    <t>Q325</t>
  </si>
  <si>
    <t>Q425</t>
  </si>
  <si>
    <t>Intel</t>
  </si>
  <si>
    <t>Mobileye &amp; subsidiaries</t>
  </si>
  <si>
    <t>NAND</t>
  </si>
  <si>
    <t>Total employees</t>
  </si>
  <si>
    <t>Escrow</t>
  </si>
  <si>
    <t>Divestitures</t>
  </si>
  <si>
    <t>Raw materials</t>
  </si>
  <si>
    <t>WIP</t>
  </si>
  <si>
    <t>Finished goods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</si>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</sst>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164" fontId="0" fillId="0" borderId="0" xfId="0" applyNumberFormat="1"/>
    <xf numFmtId="9" fontId="1" fillId="0" borderId="0" xfId="0" applyNumberFormat="1" applyFont="1"/>
    <xf numFmtId="3" fontId="0" fillId="0" borderId="0" xfId="0" applyNumberFormat="1" applyAlignment="1">
      <alignment horizontal="right"/>
    </xf>
    <xf numFmtId="3" fontId="2" fillId="0" borderId="0" xfId="0" applyNumberFormat="1" applyFont="1"/>
    <xf numFmtId="9" fontId="0" fillId="0" borderId="0" xfId="0" applyNumberFormat="1" applyAlignment="1">
      <alignment horizontal="right"/>
    </xf>
    <xf numFmtId="9" fontId="2" fillId="0" borderId="0" xfId="0" applyNumberFormat="1" applyFont="1"/>
    <xf numFmtId="3" fontId="2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  <xf numFmtId="3" fontId="5" fillId="0" borderId="0" xfId="0" applyNumberFormat="1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38100</xdr:colOff>
      <xdr:row>0</xdr:row>
      <xdr:rowOff>0</xdr:rowOff>
    </xdr:from>
    <xdr:to>
      <xdr:col>23</xdr:col>
      <xdr:colOff>38100</xdr:colOff>
      <xdr:row>101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A14B44D-64DD-7375-83C3-B915FC222F94}"/>
            </a:ext>
          </a:extLst>
        </xdr:cNvPr>
        <xdr:cNvCxnSpPr/>
      </xdr:nvCxnSpPr>
      <xdr:spPr>
        <a:xfrm>
          <a:off x="15064740" y="0"/>
          <a:ext cx="0" cy="185623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15240</xdr:colOff>
      <xdr:row>0</xdr:row>
      <xdr:rowOff>15240</xdr:rowOff>
    </xdr:from>
    <xdr:to>
      <xdr:col>36</xdr:col>
      <xdr:colOff>15240</xdr:colOff>
      <xdr:row>101</xdr:row>
      <xdr:rowOff>99060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7CA3E3A9-F74A-A18E-DB57-18729AFCEE21}"/>
            </a:ext>
          </a:extLst>
        </xdr:cNvPr>
        <xdr:cNvCxnSpPr/>
      </xdr:nvCxnSpPr>
      <xdr:spPr>
        <a:xfrm>
          <a:off x="22966680" y="15240"/>
          <a:ext cx="0" cy="185547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526DC-ABF9-4BC6-BFBC-CD0DDBBA8D27}">
  <dimension ref="B2:G9"/>
  <sheetViews>
    <sheetView workbookViewId="0">
      <selection activeCell="D4" sqref="D4"/>
    </sheetView>
  </sheetViews>
  <sheetFormatPr defaultRowHeight="14.4" x14ac:dyDescent="0.3"/>
  <cols>
    <col min="5" max="7" width="12.55468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9">
        <v>48.81</v>
      </c>
      <c r="E3" s="4">
        <v>46056</v>
      </c>
      <c r="F3" s="4">
        <f ca="1">TODAY()</f>
        <v>46059</v>
      </c>
      <c r="G3" s="4">
        <v>46135</v>
      </c>
    </row>
    <row r="4" spans="2:7" x14ac:dyDescent="0.3">
      <c r="C4" t="s">
        <v>2</v>
      </c>
      <c r="D4" s="2">
        <f>4514</f>
        <v>4514</v>
      </c>
      <c r="E4" s="3" t="s">
        <v>105</v>
      </c>
    </row>
    <row r="5" spans="2:7" x14ac:dyDescent="0.3">
      <c r="C5" t="s">
        <v>3</v>
      </c>
      <c r="D5" s="2">
        <f>D3*D4</f>
        <v>220328.34</v>
      </c>
    </row>
    <row r="6" spans="2:7" x14ac:dyDescent="0.3">
      <c r="C6" t="s">
        <v>4</v>
      </c>
      <c r="D6" s="2">
        <f>11141+19794+8667</f>
        <v>39602</v>
      </c>
      <c r="E6" s="3" t="s">
        <v>105</v>
      </c>
    </row>
    <row r="7" spans="2:7" x14ac:dyDescent="0.3">
      <c r="C7" t="s">
        <v>5</v>
      </c>
      <c r="D7" s="2">
        <f>2496+44057</f>
        <v>46553</v>
      </c>
      <c r="E7" s="3" t="s">
        <v>105</v>
      </c>
    </row>
    <row r="8" spans="2:7" x14ac:dyDescent="0.3">
      <c r="C8" t="s">
        <v>6</v>
      </c>
      <c r="D8" s="2">
        <f>D6-D7</f>
        <v>-6951</v>
      </c>
    </row>
    <row r="9" spans="2:7" x14ac:dyDescent="0.3">
      <c r="C9" t="s">
        <v>7</v>
      </c>
      <c r="D9" s="2">
        <f>D5-D8</f>
        <v>227279.34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C3AC-BB2D-4FF6-A881-B7701DFB7046}">
  <sheetPr>
    <pageSetUpPr autoPageBreaks="0"/>
  </sheetPr>
  <dimension ref="B2:EZ117"/>
  <sheetViews>
    <sheetView tabSelected="1" workbookViewId="0">
      <pane xSplit="2" ySplit="2" topLeftCell="AG85" activePane="bottomRight" state="frozen"/>
      <selection pane="topRight" activeCell="C1" sqref="C1"/>
      <selection pane="bottomLeft" activeCell="A3" sqref="A3"/>
      <selection pane="bottomRight" activeCell="AJ95" sqref="AJ95"/>
    </sheetView>
  </sheetViews>
  <sheetFormatPr defaultRowHeight="14.4" x14ac:dyDescent="0.3"/>
  <cols>
    <col min="2" max="2" width="23.5546875" bestFit="1" customWidth="1"/>
    <col min="3" max="11" width="8.88671875" customWidth="1"/>
    <col min="48" max="48" width="13.21875" customWidth="1"/>
    <col min="49" max="49" width="17.44140625" customWidth="1"/>
  </cols>
  <sheetData>
    <row r="2" spans="2:46" x14ac:dyDescent="0.3">
      <c r="C2" s="5" t="s">
        <v>42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14</v>
      </c>
      <c r="M2" s="5" t="s">
        <v>15</v>
      </c>
      <c r="N2" s="5" t="s">
        <v>16</v>
      </c>
      <c r="O2" s="5" t="s">
        <v>17</v>
      </c>
      <c r="P2" s="5" t="s">
        <v>13</v>
      </c>
      <c r="Q2" s="5" t="s">
        <v>18</v>
      </c>
      <c r="R2" s="5" t="s">
        <v>11</v>
      </c>
      <c r="S2" s="5" t="s">
        <v>19</v>
      </c>
      <c r="T2" s="5" t="s">
        <v>103</v>
      </c>
      <c r="U2" s="5" t="s">
        <v>104</v>
      </c>
      <c r="V2" s="5" t="s">
        <v>105</v>
      </c>
      <c r="W2" s="5" t="s">
        <v>106</v>
      </c>
      <c r="X2" s="5"/>
      <c r="Y2" s="5"/>
      <c r="Z2" s="5"/>
      <c r="AA2" s="5"/>
      <c r="AC2">
        <v>2018</v>
      </c>
      <c r="AD2">
        <v>2019</v>
      </c>
      <c r="AE2">
        <v>2020</v>
      </c>
      <c r="AF2">
        <v>2021</v>
      </c>
      <c r="AG2">
        <v>2022</v>
      </c>
      <c r="AH2">
        <v>2023</v>
      </c>
      <c r="AI2">
        <v>2024</v>
      </c>
      <c r="AJ2">
        <v>2025</v>
      </c>
      <c r="AK2">
        <v>2026</v>
      </c>
      <c r="AL2">
        <v>2027</v>
      </c>
      <c r="AM2">
        <v>2028</v>
      </c>
      <c r="AN2">
        <v>2029</v>
      </c>
      <c r="AO2">
        <v>2030</v>
      </c>
      <c r="AP2">
        <v>2031</v>
      </c>
      <c r="AQ2">
        <v>2032</v>
      </c>
      <c r="AR2">
        <v>2033</v>
      </c>
      <c r="AS2">
        <v>2034</v>
      </c>
      <c r="AT2">
        <v>2035</v>
      </c>
    </row>
    <row r="3" spans="2:46" x14ac:dyDescent="0.3">
      <c r="B3" t="s">
        <v>90</v>
      </c>
      <c r="C3" s="11"/>
      <c r="D3" s="11"/>
      <c r="E3" s="11"/>
      <c r="F3" s="11"/>
      <c r="G3" s="11"/>
      <c r="H3" s="11"/>
      <c r="I3" s="11"/>
      <c r="J3" s="11"/>
      <c r="K3" s="11"/>
      <c r="L3" s="11">
        <v>1879</v>
      </c>
      <c r="M3" s="11">
        <v>2370</v>
      </c>
      <c r="N3" s="11">
        <v>2753</v>
      </c>
      <c r="O3" s="15"/>
      <c r="P3" s="11">
        <v>2461</v>
      </c>
      <c r="Q3" s="11">
        <v>2527</v>
      </c>
      <c r="R3" s="11">
        <v>2070</v>
      </c>
      <c r="S3" s="16"/>
      <c r="T3" s="11"/>
      <c r="U3" s="11"/>
      <c r="V3" s="11"/>
      <c r="W3" s="11"/>
      <c r="X3" s="11"/>
      <c r="Y3" s="11"/>
      <c r="Z3" s="11"/>
      <c r="AA3" s="11"/>
      <c r="AH3" s="12">
        <f>SUM(L3:O3)</f>
        <v>7002</v>
      </c>
      <c r="AI3" s="12">
        <f>SUM(P3:S3)</f>
        <v>7058</v>
      </c>
      <c r="AJ3" s="2"/>
      <c r="AK3" s="12">
        <f t="shared" ref="AK3:AT3" si="0">AJ3*(1+AK28)</f>
        <v>0</v>
      </c>
      <c r="AL3" s="12">
        <f t="shared" si="0"/>
        <v>0</v>
      </c>
      <c r="AM3" s="12">
        <f t="shared" si="0"/>
        <v>0</v>
      </c>
      <c r="AN3" s="12">
        <f t="shared" si="0"/>
        <v>0</v>
      </c>
      <c r="AO3" s="12">
        <f t="shared" si="0"/>
        <v>0</v>
      </c>
      <c r="AP3" s="12">
        <f t="shared" si="0"/>
        <v>0</v>
      </c>
      <c r="AQ3" s="12">
        <f t="shared" si="0"/>
        <v>0</v>
      </c>
      <c r="AR3" s="12">
        <f t="shared" si="0"/>
        <v>0</v>
      </c>
      <c r="AS3" s="12">
        <f t="shared" si="0"/>
        <v>0</v>
      </c>
      <c r="AT3" s="12">
        <f t="shared" si="0"/>
        <v>0</v>
      </c>
    </row>
    <row r="4" spans="2:46" x14ac:dyDescent="0.3">
      <c r="B4" t="s">
        <v>91</v>
      </c>
      <c r="C4" s="11"/>
      <c r="D4" s="11"/>
      <c r="E4" s="11"/>
      <c r="F4" s="11"/>
      <c r="G4" s="11"/>
      <c r="H4" s="11"/>
      <c r="I4" s="11"/>
      <c r="J4" s="11"/>
      <c r="K4" s="11"/>
      <c r="L4" s="11">
        <v>3407</v>
      </c>
      <c r="M4" s="11">
        <v>3896</v>
      </c>
      <c r="N4" s="11">
        <v>4503</v>
      </c>
      <c r="O4" s="15"/>
      <c r="P4" s="11">
        <v>4681</v>
      </c>
      <c r="Q4" s="11">
        <v>4480</v>
      </c>
      <c r="R4" s="11">
        <v>4888</v>
      </c>
      <c r="S4" s="16"/>
      <c r="T4" s="11"/>
      <c r="U4" s="11"/>
      <c r="V4" s="11"/>
      <c r="W4" s="11"/>
      <c r="X4" s="11"/>
      <c r="Y4" s="11"/>
      <c r="Z4" s="11"/>
      <c r="AA4" s="11"/>
      <c r="AH4" s="12">
        <f t="shared" ref="AH4:AH10" si="1">SUM(L4:O4)</f>
        <v>11806</v>
      </c>
      <c r="AI4" s="12">
        <f t="shared" ref="AI4:AI10" si="2">SUM(P4:S4)</f>
        <v>14049</v>
      </c>
      <c r="AJ4" s="2"/>
      <c r="AK4" s="12">
        <f t="shared" ref="AK4:AT4" si="3">AJ4*(1+AK29)</f>
        <v>0</v>
      </c>
      <c r="AL4" s="12">
        <f t="shared" si="3"/>
        <v>0</v>
      </c>
      <c r="AM4" s="12">
        <f t="shared" si="3"/>
        <v>0</v>
      </c>
      <c r="AN4" s="12">
        <f t="shared" si="3"/>
        <v>0</v>
      </c>
      <c r="AO4" s="12">
        <f t="shared" si="3"/>
        <v>0</v>
      </c>
      <c r="AP4" s="12">
        <f t="shared" si="3"/>
        <v>0</v>
      </c>
      <c r="AQ4" s="12">
        <f t="shared" si="3"/>
        <v>0</v>
      </c>
      <c r="AR4" s="12">
        <f t="shared" si="3"/>
        <v>0</v>
      </c>
      <c r="AS4" s="12">
        <f t="shared" si="3"/>
        <v>0</v>
      </c>
      <c r="AT4" s="12">
        <f t="shared" si="3"/>
        <v>0</v>
      </c>
    </row>
    <row r="5" spans="2:46" x14ac:dyDescent="0.3">
      <c r="B5" t="s">
        <v>92</v>
      </c>
      <c r="C5" s="11"/>
      <c r="D5" s="11"/>
      <c r="E5" s="11"/>
      <c r="F5" s="11"/>
      <c r="G5" s="11"/>
      <c r="H5" s="11"/>
      <c r="I5" s="11"/>
      <c r="J5" s="11"/>
      <c r="K5" s="11"/>
      <c r="L5" s="11">
        <v>481</v>
      </c>
      <c r="M5" s="11">
        <v>514</v>
      </c>
      <c r="N5" s="11">
        <v>611</v>
      </c>
      <c r="O5" s="16">
        <v>8844</v>
      </c>
      <c r="P5" s="11">
        <v>391</v>
      </c>
      <c r="Q5" s="11">
        <v>403</v>
      </c>
      <c r="R5" s="11">
        <v>372</v>
      </c>
      <c r="S5" s="16">
        <v>8017</v>
      </c>
      <c r="T5" s="16">
        <v>7629</v>
      </c>
      <c r="U5" s="16">
        <v>7871</v>
      </c>
      <c r="V5" s="16">
        <v>8500</v>
      </c>
      <c r="W5" s="16">
        <v>8200</v>
      </c>
      <c r="X5" s="15"/>
      <c r="Y5" s="15"/>
      <c r="Z5" s="15"/>
      <c r="AA5" s="15"/>
      <c r="AH5" s="12">
        <f t="shared" si="1"/>
        <v>10450</v>
      </c>
      <c r="AI5" s="12">
        <f t="shared" si="2"/>
        <v>9183</v>
      </c>
      <c r="AJ5" s="2">
        <f>SUM(T5:W5)</f>
        <v>32200</v>
      </c>
      <c r="AK5" s="12">
        <f t="shared" ref="AK5:AT5" si="4">AJ5*(1+AK30)</f>
        <v>30590</v>
      </c>
      <c r="AL5" s="12">
        <f t="shared" si="4"/>
        <v>29060.5</v>
      </c>
      <c r="AM5" s="12">
        <f t="shared" si="4"/>
        <v>27607.474999999999</v>
      </c>
      <c r="AN5" s="12">
        <f t="shared" si="4"/>
        <v>26227.101249999996</v>
      </c>
      <c r="AO5" s="12">
        <f t="shared" si="4"/>
        <v>24915.746187499994</v>
      </c>
      <c r="AP5" s="12">
        <f t="shared" si="4"/>
        <v>23669.958878124991</v>
      </c>
      <c r="AQ5" s="12">
        <f t="shared" si="4"/>
        <v>22486.46093421874</v>
      </c>
      <c r="AR5" s="12">
        <f t="shared" si="4"/>
        <v>21362.137887507801</v>
      </c>
      <c r="AS5" s="12">
        <f t="shared" si="4"/>
        <v>20294.030993132408</v>
      </c>
      <c r="AT5" s="12">
        <f t="shared" si="4"/>
        <v>19279.329443475788</v>
      </c>
    </row>
    <row r="6" spans="2:46" x14ac:dyDescent="0.3">
      <c r="B6" t="s">
        <v>86</v>
      </c>
      <c r="C6" s="11"/>
      <c r="D6" s="11"/>
      <c r="E6" s="11"/>
      <c r="F6" s="11"/>
      <c r="G6" s="11"/>
      <c r="H6" s="11"/>
      <c r="I6" s="11"/>
      <c r="J6" s="11"/>
      <c r="K6" s="11"/>
      <c r="L6" s="11">
        <v>2901</v>
      </c>
      <c r="M6" s="11">
        <v>3155</v>
      </c>
      <c r="N6" s="11">
        <v>3076</v>
      </c>
      <c r="O6" s="11">
        <v>3503</v>
      </c>
      <c r="P6" s="11">
        <v>3036</v>
      </c>
      <c r="Q6" s="11">
        <v>3045</v>
      </c>
      <c r="R6" s="11">
        <v>3349</v>
      </c>
      <c r="S6" s="11">
        <v>3387</v>
      </c>
      <c r="T6" s="11">
        <v>4126</v>
      </c>
      <c r="U6" s="11">
        <v>3939</v>
      </c>
      <c r="V6" s="11">
        <v>4100</v>
      </c>
      <c r="W6" s="11">
        <v>4700</v>
      </c>
      <c r="X6" s="15"/>
      <c r="Y6" s="15"/>
      <c r="Z6" s="15"/>
      <c r="AA6" s="15"/>
      <c r="AH6" s="12">
        <f t="shared" si="1"/>
        <v>12635</v>
      </c>
      <c r="AI6" s="12">
        <f t="shared" si="2"/>
        <v>12817</v>
      </c>
      <c r="AJ6" s="2">
        <f>SUM(T6:W6)</f>
        <v>16865</v>
      </c>
      <c r="AK6" s="12">
        <f t="shared" ref="AK6:AT6" si="5">AJ6*(1+AK31)</f>
        <v>18214.2</v>
      </c>
      <c r="AL6" s="12">
        <f t="shared" si="5"/>
        <v>19307.052000000003</v>
      </c>
      <c r="AM6" s="12">
        <f t="shared" si="5"/>
        <v>20079.334080000004</v>
      </c>
      <c r="AN6" s="12">
        <f t="shared" si="5"/>
        <v>20681.714102400005</v>
      </c>
      <c r="AO6" s="12">
        <f t="shared" si="5"/>
        <v>21302.165525472006</v>
      </c>
      <c r="AP6" s="12">
        <f t="shared" si="5"/>
        <v>21941.230491236169</v>
      </c>
      <c r="AQ6" s="12">
        <f t="shared" si="5"/>
        <v>22599.467405973253</v>
      </c>
      <c r="AR6" s="12">
        <f t="shared" si="5"/>
        <v>23277.45142815245</v>
      </c>
      <c r="AS6" s="12">
        <f t="shared" si="5"/>
        <v>23975.774970997023</v>
      </c>
      <c r="AT6" s="12">
        <f t="shared" si="5"/>
        <v>24695.048220126933</v>
      </c>
    </row>
    <row r="7" spans="2:46" x14ac:dyDescent="0.3">
      <c r="B7" t="s">
        <v>87</v>
      </c>
      <c r="C7" s="11"/>
      <c r="D7" s="11"/>
      <c r="E7" s="11"/>
      <c r="F7" s="11"/>
      <c r="G7" s="11"/>
      <c r="H7" s="11"/>
      <c r="I7" s="11"/>
      <c r="J7" s="11"/>
      <c r="K7" s="11"/>
      <c r="L7" s="11">
        <v>1489</v>
      </c>
      <c r="M7" s="11">
        <v>1364</v>
      </c>
      <c r="N7" s="11">
        <v>1450</v>
      </c>
      <c r="O7" s="11">
        <v>1471</v>
      </c>
      <c r="P7" s="11">
        <v>1364</v>
      </c>
      <c r="Q7" s="11">
        <v>1344</v>
      </c>
      <c r="R7" s="11">
        <v>1511</v>
      </c>
      <c r="S7" s="11">
        <v>1623</v>
      </c>
      <c r="T7" s="11"/>
      <c r="U7" s="11"/>
      <c r="V7" s="11"/>
      <c r="W7" s="11"/>
      <c r="X7" s="15"/>
      <c r="Y7" s="15"/>
      <c r="Z7" s="15"/>
      <c r="AA7" s="15"/>
      <c r="AH7" s="12">
        <f t="shared" si="1"/>
        <v>5774</v>
      </c>
      <c r="AI7" s="12">
        <f t="shared" si="2"/>
        <v>5842</v>
      </c>
      <c r="AJ7" s="12">
        <f t="shared" ref="AJ7:AT7" si="6">AI7*(1+AJ32)</f>
        <v>5725.16</v>
      </c>
      <c r="AK7" s="12">
        <f t="shared" si="6"/>
        <v>5610.6567999999997</v>
      </c>
      <c r="AL7" s="12">
        <f t="shared" si="6"/>
        <v>5498.4436639999994</v>
      </c>
      <c r="AM7" s="12">
        <f t="shared" si="6"/>
        <v>5388.474790719999</v>
      </c>
      <c r="AN7" s="12">
        <f t="shared" si="6"/>
        <v>5280.7052949055987</v>
      </c>
      <c r="AO7" s="12">
        <f t="shared" si="6"/>
        <v>5175.0911890074867</v>
      </c>
      <c r="AP7" s="12">
        <f t="shared" si="6"/>
        <v>5071.5893652273371</v>
      </c>
      <c r="AQ7" s="12">
        <f t="shared" si="6"/>
        <v>4970.1575779227906</v>
      </c>
      <c r="AR7" s="12">
        <f t="shared" si="6"/>
        <v>4870.7544263643349</v>
      </c>
      <c r="AS7" s="12">
        <f t="shared" si="6"/>
        <v>4773.3393378370483</v>
      </c>
      <c r="AT7" s="12">
        <f t="shared" si="6"/>
        <v>4677.8725510803069</v>
      </c>
    </row>
    <row r="8" spans="2:46" x14ac:dyDescent="0.3">
      <c r="B8" t="s">
        <v>88</v>
      </c>
      <c r="C8" s="11"/>
      <c r="D8" s="11"/>
      <c r="E8" s="11"/>
      <c r="F8" s="11"/>
      <c r="G8" s="11"/>
      <c r="H8" s="11"/>
      <c r="I8" s="11"/>
      <c r="J8" s="11"/>
      <c r="K8" s="11"/>
      <c r="L8" s="11">
        <v>4831</v>
      </c>
      <c r="M8" s="11">
        <v>4172</v>
      </c>
      <c r="N8" s="11">
        <v>4732</v>
      </c>
      <c r="O8" s="11">
        <v>5175</v>
      </c>
      <c r="P8" s="11">
        <v>4369</v>
      </c>
      <c r="Q8" s="11">
        <v>4320</v>
      </c>
      <c r="R8" s="11">
        <v>4352</v>
      </c>
      <c r="S8" s="11">
        <v>4502</v>
      </c>
      <c r="T8" s="11"/>
      <c r="U8" s="11"/>
      <c r="V8" s="11">
        <v>4200</v>
      </c>
      <c r="W8" s="11">
        <v>4500</v>
      </c>
      <c r="X8" s="15"/>
      <c r="Y8" s="15"/>
      <c r="Z8" s="15"/>
      <c r="AA8" s="15"/>
      <c r="AH8" s="12">
        <f t="shared" si="1"/>
        <v>18910</v>
      </c>
      <c r="AI8" s="12">
        <f t="shared" si="2"/>
        <v>17543</v>
      </c>
      <c r="AJ8" s="12">
        <f t="shared" ref="AJ8:AT8" si="7">AI8*(1+AJ33)</f>
        <v>18069.29</v>
      </c>
      <c r="AK8" s="12">
        <f t="shared" si="7"/>
        <v>19514.833200000001</v>
      </c>
      <c r="AL8" s="12">
        <f t="shared" si="7"/>
        <v>20685.723192000001</v>
      </c>
      <c r="AM8" s="12">
        <f t="shared" si="7"/>
        <v>21513.152119680002</v>
      </c>
      <c r="AN8" s="12">
        <f t="shared" si="7"/>
        <v>22158.546683270404</v>
      </c>
      <c r="AO8" s="12">
        <f t="shared" si="7"/>
        <v>22601.717616935814</v>
      </c>
      <c r="AP8" s="12">
        <f t="shared" si="7"/>
        <v>23053.75196927453</v>
      </c>
      <c r="AQ8" s="12">
        <f t="shared" si="7"/>
        <v>23514.827008660021</v>
      </c>
      <c r="AR8" s="12">
        <f t="shared" si="7"/>
        <v>23985.12354883322</v>
      </c>
      <c r="AS8" s="12">
        <f t="shared" si="7"/>
        <v>24464.826019809887</v>
      </c>
      <c r="AT8" s="12">
        <f t="shared" si="7"/>
        <v>24954.122540206085</v>
      </c>
    </row>
    <row r="9" spans="2:46" x14ac:dyDescent="0.3">
      <c r="B9" t="s">
        <v>89</v>
      </c>
      <c r="C9" s="11"/>
      <c r="D9" s="11"/>
      <c r="E9" s="11"/>
      <c r="F9" s="11"/>
      <c r="G9" s="11"/>
      <c r="H9" s="11"/>
      <c r="I9" s="11"/>
      <c r="J9" s="11"/>
      <c r="K9" s="11"/>
      <c r="L9" s="11">
        <v>1440</v>
      </c>
      <c r="M9" s="11">
        <v>1419</v>
      </c>
      <c r="N9" s="11">
        <v>1452</v>
      </c>
      <c r="O9" s="11">
        <v>1297</v>
      </c>
      <c r="P9" s="11">
        <v>775</v>
      </c>
      <c r="Q9" s="11">
        <v>968</v>
      </c>
      <c r="R9" s="11">
        <v>1039</v>
      </c>
      <c r="S9" s="11">
        <v>1042</v>
      </c>
      <c r="T9" s="11"/>
      <c r="U9" s="11"/>
      <c r="V9" s="11">
        <v>1000</v>
      </c>
      <c r="W9" s="11">
        <v>600</v>
      </c>
      <c r="X9" s="15"/>
      <c r="Y9" s="15"/>
      <c r="Z9" s="15"/>
      <c r="AA9" s="15"/>
      <c r="AH9" s="12">
        <f t="shared" si="1"/>
        <v>5608</v>
      </c>
      <c r="AI9" s="12">
        <f t="shared" si="2"/>
        <v>3824</v>
      </c>
      <c r="AJ9" s="12">
        <f t="shared" ref="AJ9:AT9" si="8">AI9*(1+AJ34)</f>
        <v>3632.7999999999997</v>
      </c>
      <c r="AK9" s="12">
        <f t="shared" si="8"/>
        <v>3451.1599999999994</v>
      </c>
      <c r="AL9" s="12">
        <f t="shared" si="8"/>
        <v>3278.6019999999994</v>
      </c>
      <c r="AM9" s="12">
        <f t="shared" si="8"/>
        <v>3114.6718999999994</v>
      </c>
      <c r="AN9" s="12">
        <f t="shared" si="8"/>
        <v>2958.9383049999992</v>
      </c>
      <c r="AO9" s="12">
        <f t="shared" si="8"/>
        <v>2810.9913897499991</v>
      </c>
      <c r="AP9" s="12">
        <f t="shared" si="8"/>
        <v>2670.4418202624993</v>
      </c>
      <c r="AQ9" s="12">
        <f t="shared" si="8"/>
        <v>2536.9197292493741</v>
      </c>
      <c r="AR9" s="12">
        <f t="shared" si="8"/>
        <v>2410.0737427869053</v>
      </c>
      <c r="AS9" s="12">
        <f t="shared" si="8"/>
        <v>2289.5700556475599</v>
      </c>
      <c r="AT9" s="12">
        <f t="shared" si="8"/>
        <v>2175.0915528651817</v>
      </c>
    </row>
    <row r="10" spans="2:46" x14ac:dyDescent="0.3">
      <c r="B10" t="s">
        <v>93</v>
      </c>
      <c r="C10" s="11"/>
      <c r="D10" s="11"/>
      <c r="E10" s="11"/>
      <c r="F10" s="11"/>
      <c r="G10" s="11"/>
      <c r="H10" s="11"/>
      <c r="I10" s="11"/>
      <c r="J10" s="11"/>
      <c r="K10" s="11"/>
      <c r="L10" s="11">
        <v>-4713</v>
      </c>
      <c r="M10" s="11">
        <v>-3941</v>
      </c>
      <c r="N10" s="11">
        <v>-4419</v>
      </c>
      <c r="O10" s="11">
        <v>-4884</v>
      </c>
      <c r="P10" s="11">
        <v>-4353</v>
      </c>
      <c r="Q10" s="11">
        <v>-4254</v>
      </c>
      <c r="R10" s="11">
        <v>-4297</v>
      </c>
      <c r="S10" s="11">
        <v>-4311</v>
      </c>
      <c r="T10" s="11"/>
      <c r="U10" s="11"/>
      <c r="V10" s="11">
        <v>-4200</v>
      </c>
      <c r="W10" s="11">
        <v>-4300</v>
      </c>
      <c r="X10" s="15"/>
      <c r="Y10" s="15"/>
      <c r="Z10" s="15"/>
      <c r="AA10" s="15"/>
      <c r="AH10" s="12">
        <f t="shared" si="1"/>
        <v>-17957</v>
      </c>
      <c r="AI10" s="12">
        <f t="shared" si="2"/>
        <v>-17215</v>
      </c>
      <c r="AJ10" s="12">
        <f t="shared" ref="AJ10" si="9">AI10*1.01</f>
        <v>-17387.150000000001</v>
      </c>
      <c r="AK10" s="12">
        <f>AJ10*0.99</f>
        <v>-17213.2785</v>
      </c>
      <c r="AL10" s="12">
        <f t="shared" ref="AL10:AT10" si="10">AK10*0.99</f>
        <v>-17041.145714999999</v>
      </c>
      <c r="AM10" s="12">
        <f t="shared" si="10"/>
        <v>-16870.734257849999</v>
      </c>
      <c r="AN10" s="12">
        <f t="shared" si="10"/>
        <v>-16702.026915271501</v>
      </c>
      <c r="AO10" s="12">
        <f t="shared" si="10"/>
        <v>-16535.006646118785</v>
      </c>
      <c r="AP10" s="12">
        <f t="shared" si="10"/>
        <v>-16369.656579657598</v>
      </c>
      <c r="AQ10" s="12">
        <f t="shared" si="10"/>
        <v>-16205.960013861022</v>
      </c>
      <c r="AR10" s="12">
        <f t="shared" si="10"/>
        <v>-16043.900413722411</v>
      </c>
      <c r="AS10" s="12">
        <f t="shared" si="10"/>
        <v>-15883.461409585187</v>
      </c>
      <c r="AT10" s="12">
        <f t="shared" si="10"/>
        <v>-15724.626795489334</v>
      </c>
    </row>
    <row r="11" spans="2:46" s="1" customFormat="1" x14ac:dyDescent="0.3">
      <c r="B11" s="1" t="s">
        <v>12</v>
      </c>
      <c r="C11" s="7">
        <v>19978</v>
      </c>
      <c r="D11" s="7">
        <v>19673</v>
      </c>
      <c r="E11" s="7">
        <v>19631</v>
      </c>
      <c r="F11" s="7">
        <v>19192</v>
      </c>
      <c r="G11" s="7">
        <v>20528</v>
      </c>
      <c r="H11" s="7">
        <v>18353</v>
      </c>
      <c r="I11" s="7">
        <v>15321</v>
      </c>
      <c r="J11" s="7">
        <v>15338</v>
      </c>
      <c r="K11" s="7">
        <v>14042</v>
      </c>
      <c r="L11" s="7">
        <f>SUM(L3:L10)</f>
        <v>11715</v>
      </c>
      <c r="M11" s="7">
        <f>SUM(M3:M10)</f>
        <v>12949</v>
      </c>
      <c r="N11" s="7">
        <f>SUM(N3:N10)</f>
        <v>14158</v>
      </c>
      <c r="O11" s="7">
        <v>15406</v>
      </c>
      <c r="P11" s="7">
        <f>SUM(P3:P10)</f>
        <v>12724</v>
      </c>
      <c r="Q11" s="7">
        <f>SUM(Q3:Q10)</f>
        <v>12833</v>
      </c>
      <c r="R11" s="7">
        <f>SUM(R3:R10)</f>
        <v>13284</v>
      </c>
      <c r="S11" s="7">
        <v>14260</v>
      </c>
      <c r="T11" s="7">
        <v>12667</v>
      </c>
      <c r="U11" s="7">
        <v>12859</v>
      </c>
      <c r="V11" s="7">
        <v>13653</v>
      </c>
      <c r="W11" s="7">
        <v>13674</v>
      </c>
      <c r="X11" s="7"/>
      <c r="Y11" s="7"/>
      <c r="Z11" s="7"/>
      <c r="AA11" s="7"/>
      <c r="AC11" s="7">
        <v>70848</v>
      </c>
      <c r="AD11" s="7">
        <v>71965</v>
      </c>
      <c r="AE11" s="7">
        <v>77867</v>
      </c>
      <c r="AF11" s="7">
        <f>SUM(D11:G11)</f>
        <v>79024</v>
      </c>
      <c r="AG11" s="7">
        <f>SUM(H11:K11)</f>
        <v>63054</v>
      </c>
      <c r="AH11" s="7">
        <f>SUM(L11:O11)</f>
        <v>54228</v>
      </c>
      <c r="AI11" s="7">
        <f>SUM(P11:S11)</f>
        <v>53101</v>
      </c>
      <c r="AJ11" s="7">
        <f>SUM(T11:W11)</f>
        <v>52853</v>
      </c>
      <c r="AK11" s="7">
        <f>AJ11*1.1</f>
        <v>58138.3</v>
      </c>
      <c r="AL11" s="7">
        <f>AK11*1.07</f>
        <v>62207.981000000007</v>
      </c>
      <c r="AM11" s="7">
        <f>AL11*1.05</f>
        <v>65318.380050000007</v>
      </c>
      <c r="AN11" s="7">
        <f>AM11*1.04</f>
        <v>67931.115252000003</v>
      </c>
      <c r="AO11" s="7">
        <f>AN11*1.03</f>
        <v>69969.048709560011</v>
      </c>
      <c r="AP11" s="7">
        <f t="shared" ref="AP11:AT11" si="11">AO11*1.03</f>
        <v>72068.120170846814</v>
      </c>
      <c r="AQ11" s="7">
        <f t="shared" si="11"/>
        <v>74230.163775972222</v>
      </c>
      <c r="AR11" s="7">
        <f t="shared" si="11"/>
        <v>76457.068689251391</v>
      </c>
      <c r="AS11" s="7">
        <f t="shared" si="11"/>
        <v>78750.780749928934</v>
      </c>
      <c r="AT11" s="7">
        <f t="shared" si="11"/>
        <v>81113.304172426797</v>
      </c>
    </row>
    <row r="12" spans="2:46" x14ac:dyDescent="0.3">
      <c r="B12" t="s">
        <v>20</v>
      </c>
      <c r="C12" s="2">
        <v>8630</v>
      </c>
      <c r="D12" s="2">
        <v>8819</v>
      </c>
      <c r="E12" s="2">
        <v>8425</v>
      </c>
      <c r="F12" s="2">
        <v>8446</v>
      </c>
      <c r="G12" s="2">
        <v>9519</v>
      </c>
      <c r="H12" s="2">
        <v>9109</v>
      </c>
      <c r="I12" s="2">
        <v>9734</v>
      </c>
      <c r="J12" s="2">
        <v>8803</v>
      </c>
      <c r="K12" s="2">
        <v>8542</v>
      </c>
      <c r="L12" s="2">
        <v>7707</v>
      </c>
      <c r="M12" s="2">
        <v>8311</v>
      </c>
      <c r="N12" s="2">
        <v>8140</v>
      </c>
      <c r="O12" s="2">
        <v>8359</v>
      </c>
      <c r="P12" s="2">
        <v>7507</v>
      </c>
      <c r="Q12" s="2">
        <v>8286</v>
      </c>
      <c r="R12" s="2">
        <v>11287</v>
      </c>
      <c r="S12" s="2">
        <v>8676</v>
      </c>
      <c r="T12" s="2">
        <v>7995</v>
      </c>
      <c r="U12" s="2">
        <v>9317</v>
      </c>
      <c r="V12" s="2">
        <v>8435</v>
      </c>
      <c r="W12" s="2">
        <v>8731</v>
      </c>
      <c r="X12" s="2"/>
      <c r="Y12" s="2"/>
      <c r="Z12" s="2"/>
      <c r="AA12" s="2"/>
      <c r="AC12" s="2">
        <v>27111</v>
      </c>
      <c r="AD12" s="2">
        <v>29825</v>
      </c>
      <c r="AE12" s="2">
        <v>34255</v>
      </c>
      <c r="AF12" s="2">
        <f>SUM(D12:G12)</f>
        <v>35209</v>
      </c>
      <c r="AG12" s="2">
        <f>SUM(H12:K12)</f>
        <v>36188</v>
      </c>
      <c r="AH12" s="2">
        <f>SUM(L12:O12)</f>
        <v>32517</v>
      </c>
      <c r="AI12" s="2">
        <f>SUM(P12:S12)</f>
        <v>35756</v>
      </c>
      <c r="AJ12" s="2">
        <f>SUM(T12:W12)</f>
        <v>34478</v>
      </c>
      <c r="AK12" s="2">
        <f t="shared" ref="AK12:AT12" si="12">AK11-AK13</f>
        <v>34882.979999999996</v>
      </c>
      <c r="AL12" s="2">
        <f t="shared" si="12"/>
        <v>36080.628980000009</v>
      </c>
      <c r="AM12" s="2">
        <f t="shared" si="12"/>
        <v>37884.66042900001</v>
      </c>
      <c r="AN12" s="2">
        <f t="shared" si="12"/>
        <v>39400.046846160003</v>
      </c>
      <c r="AO12" s="2">
        <f t="shared" si="12"/>
        <v>40582.048251544809</v>
      </c>
      <c r="AP12" s="2">
        <f t="shared" si="12"/>
        <v>41799.509699091155</v>
      </c>
      <c r="AQ12" s="2">
        <f t="shared" si="12"/>
        <v>43053.494990063889</v>
      </c>
      <c r="AR12" s="2">
        <f t="shared" si="12"/>
        <v>44345.099839765811</v>
      </c>
      <c r="AS12" s="2">
        <f t="shared" si="12"/>
        <v>45675.452834958785</v>
      </c>
      <c r="AT12" s="2">
        <f t="shared" si="12"/>
        <v>47045.716420007542</v>
      </c>
    </row>
    <row r="13" spans="2:46" s="1" customFormat="1" x14ac:dyDescent="0.3">
      <c r="B13" s="1" t="s">
        <v>21</v>
      </c>
      <c r="C13" s="7">
        <f t="shared" ref="C13:W13" si="13">C11-C12</f>
        <v>11348</v>
      </c>
      <c r="D13" s="7">
        <f t="shared" si="13"/>
        <v>10854</v>
      </c>
      <c r="E13" s="7">
        <f t="shared" si="13"/>
        <v>11206</v>
      </c>
      <c r="F13" s="7">
        <f t="shared" si="13"/>
        <v>10746</v>
      </c>
      <c r="G13" s="7">
        <f t="shared" si="13"/>
        <v>11009</v>
      </c>
      <c r="H13" s="7">
        <f t="shared" si="13"/>
        <v>9244</v>
      </c>
      <c r="I13" s="7">
        <f t="shared" si="13"/>
        <v>5587</v>
      </c>
      <c r="J13" s="7">
        <f t="shared" si="13"/>
        <v>6535</v>
      </c>
      <c r="K13" s="7">
        <f t="shared" si="13"/>
        <v>5500</v>
      </c>
      <c r="L13" s="7">
        <f t="shared" si="13"/>
        <v>4008</v>
      </c>
      <c r="M13" s="7">
        <f t="shared" si="13"/>
        <v>4638</v>
      </c>
      <c r="N13" s="7">
        <f t="shared" si="13"/>
        <v>6018</v>
      </c>
      <c r="O13" s="7">
        <f t="shared" si="13"/>
        <v>7047</v>
      </c>
      <c r="P13" s="7">
        <f t="shared" si="13"/>
        <v>5217</v>
      </c>
      <c r="Q13" s="7">
        <f t="shared" si="13"/>
        <v>4547</v>
      </c>
      <c r="R13" s="7">
        <f t="shared" si="13"/>
        <v>1997</v>
      </c>
      <c r="S13" s="7">
        <f t="shared" si="13"/>
        <v>5584</v>
      </c>
      <c r="T13" s="7">
        <f t="shared" si="13"/>
        <v>4672</v>
      </c>
      <c r="U13" s="7">
        <f t="shared" si="13"/>
        <v>3542</v>
      </c>
      <c r="V13" s="7">
        <f t="shared" si="13"/>
        <v>5218</v>
      </c>
      <c r="W13" s="7">
        <f t="shared" si="13"/>
        <v>4943</v>
      </c>
      <c r="X13" s="7"/>
      <c r="Y13" s="7"/>
      <c r="Z13" s="7"/>
      <c r="AA13" s="7"/>
      <c r="AC13" s="7">
        <f t="shared" ref="AC13:AJ13" si="14">AC11-AC12</f>
        <v>43737</v>
      </c>
      <c r="AD13" s="7">
        <f t="shared" si="14"/>
        <v>42140</v>
      </c>
      <c r="AE13" s="7">
        <f t="shared" si="14"/>
        <v>43612</v>
      </c>
      <c r="AF13" s="7">
        <f t="shared" si="14"/>
        <v>43815</v>
      </c>
      <c r="AG13" s="7">
        <f t="shared" si="14"/>
        <v>26866</v>
      </c>
      <c r="AH13" s="7">
        <f t="shared" si="14"/>
        <v>21711</v>
      </c>
      <c r="AI13" s="7">
        <f t="shared" si="14"/>
        <v>17345</v>
      </c>
      <c r="AJ13" s="7">
        <f t="shared" si="14"/>
        <v>18375</v>
      </c>
      <c r="AK13" s="7">
        <f>AK11*0.4</f>
        <v>23255.320000000003</v>
      </c>
      <c r="AL13" s="7">
        <f>AL11*0.42</f>
        <v>26127.352020000002</v>
      </c>
      <c r="AM13" s="7">
        <f t="shared" ref="AM13:AT13" si="15">AM11*0.42</f>
        <v>27433.719621</v>
      </c>
      <c r="AN13" s="7">
        <f t="shared" si="15"/>
        <v>28531.06840584</v>
      </c>
      <c r="AO13" s="7">
        <f t="shared" si="15"/>
        <v>29387.000458015205</v>
      </c>
      <c r="AP13" s="7">
        <f t="shared" si="15"/>
        <v>30268.610471755659</v>
      </c>
      <c r="AQ13" s="7">
        <f t="shared" si="15"/>
        <v>31176.668785908332</v>
      </c>
      <c r="AR13" s="7">
        <f t="shared" si="15"/>
        <v>32111.968849485584</v>
      </c>
      <c r="AS13" s="7">
        <f t="shared" si="15"/>
        <v>33075.327914970148</v>
      </c>
      <c r="AT13" s="7">
        <f t="shared" si="15"/>
        <v>34067.587752419255</v>
      </c>
    </row>
    <row r="14" spans="2:46" x14ac:dyDescent="0.3">
      <c r="B14" t="s">
        <v>22</v>
      </c>
      <c r="C14" s="2">
        <v>3655</v>
      </c>
      <c r="D14" s="2">
        <v>3623</v>
      </c>
      <c r="E14" s="2">
        <v>3715</v>
      </c>
      <c r="F14" s="2">
        <v>3803</v>
      </c>
      <c r="G14" s="2">
        <v>4049</v>
      </c>
      <c r="H14" s="2">
        <v>4362</v>
      </c>
      <c r="I14" s="2">
        <v>4400</v>
      </c>
      <c r="J14" s="2">
        <v>4302</v>
      </c>
      <c r="K14" s="2">
        <v>4464</v>
      </c>
      <c r="L14" s="2">
        <v>4109</v>
      </c>
      <c r="M14" s="2">
        <v>4080</v>
      </c>
      <c r="N14" s="2">
        <v>3870</v>
      </c>
      <c r="O14" s="2">
        <v>3987</v>
      </c>
      <c r="P14" s="2">
        <v>4382</v>
      </c>
      <c r="Q14" s="2">
        <v>4239</v>
      </c>
      <c r="R14" s="2">
        <v>4049</v>
      </c>
      <c r="S14" s="2">
        <v>3876</v>
      </c>
      <c r="T14" s="2">
        <v>3640</v>
      </c>
      <c r="U14" s="2">
        <v>3684</v>
      </c>
      <c r="V14" s="2">
        <v>3231</v>
      </c>
      <c r="W14" s="2">
        <v>3219</v>
      </c>
      <c r="X14" s="2"/>
      <c r="Y14" s="2"/>
      <c r="Z14" s="2"/>
      <c r="AA14" s="2"/>
      <c r="AC14" s="2">
        <v>13543</v>
      </c>
      <c r="AD14" s="2">
        <v>13362</v>
      </c>
      <c r="AE14" s="2">
        <v>13556</v>
      </c>
      <c r="AF14" s="2">
        <f>SUM(D14:G14)</f>
        <v>15190</v>
      </c>
      <c r="AG14" s="2">
        <f>SUM(H14:K14)</f>
        <v>17528</v>
      </c>
      <c r="AH14" s="2">
        <f>SUM(L14:O14)</f>
        <v>16046</v>
      </c>
      <c r="AI14" s="2">
        <f>SUM(P14:S14)</f>
        <v>16546</v>
      </c>
      <c r="AJ14" s="2">
        <f>SUM(T14:W14)</f>
        <v>13774</v>
      </c>
      <c r="AK14" s="2">
        <f>AJ14*0.98</f>
        <v>13498.52</v>
      </c>
      <c r="AL14" s="2">
        <f>AK14*1.02</f>
        <v>13768.490400000001</v>
      </c>
      <c r="AM14" s="2">
        <f>AL14*1.02</f>
        <v>14043.860208</v>
      </c>
      <c r="AN14" s="2">
        <f>AM14*1.02</f>
        <v>14324.737412160001</v>
      </c>
      <c r="AO14" s="2">
        <f t="shared" ref="AO14:AT15" si="16">AN14*1.01</f>
        <v>14467.9847862816</v>
      </c>
      <c r="AP14" s="2">
        <f t="shared" si="16"/>
        <v>14612.664634144418</v>
      </c>
      <c r="AQ14" s="2">
        <f t="shared" si="16"/>
        <v>14758.791280485862</v>
      </c>
      <c r="AR14" s="2">
        <f t="shared" si="16"/>
        <v>14906.379193290721</v>
      </c>
      <c r="AS14" s="2">
        <f t="shared" si="16"/>
        <v>15055.442985223628</v>
      </c>
      <c r="AT14" s="2">
        <f t="shared" si="16"/>
        <v>15205.997415075864</v>
      </c>
    </row>
    <row r="15" spans="2:46" x14ac:dyDescent="0.3">
      <c r="B15" t="s">
        <v>23</v>
      </c>
      <c r="C15" s="2">
        <v>1757</v>
      </c>
      <c r="D15" s="2">
        <v>1328</v>
      </c>
      <c r="E15" s="2">
        <v>1599</v>
      </c>
      <c r="F15" s="2">
        <v>1674</v>
      </c>
      <c r="G15" s="2">
        <v>1942</v>
      </c>
      <c r="H15" s="2">
        <v>1752</v>
      </c>
      <c r="I15" s="2">
        <v>1800</v>
      </c>
      <c r="J15" s="2">
        <v>1744</v>
      </c>
      <c r="K15" s="2">
        <v>1706</v>
      </c>
      <c r="L15" s="2">
        <v>1303</v>
      </c>
      <c r="M15" s="2">
        <v>1374</v>
      </c>
      <c r="N15" s="2">
        <v>1340</v>
      </c>
      <c r="O15" s="2">
        <v>1617</v>
      </c>
      <c r="P15" s="2">
        <v>1556</v>
      </c>
      <c r="Q15" s="2">
        <v>1329</v>
      </c>
      <c r="R15" s="2">
        <v>1383</v>
      </c>
      <c r="S15" s="2">
        <v>1239</v>
      </c>
      <c r="T15" s="2">
        <v>1177</v>
      </c>
      <c r="U15" s="2">
        <v>1144</v>
      </c>
      <c r="V15" s="2">
        <v>1129</v>
      </c>
      <c r="W15" s="2">
        <v>1174</v>
      </c>
      <c r="X15" s="2"/>
      <c r="Y15" s="2"/>
      <c r="Z15" s="2"/>
      <c r="AA15" s="2"/>
      <c r="AC15" s="2">
        <v>6950</v>
      </c>
      <c r="AD15" s="2">
        <v>6350</v>
      </c>
      <c r="AE15" s="2">
        <v>6180</v>
      </c>
      <c r="AF15" s="2">
        <f>SUM(D15:G15)</f>
        <v>6543</v>
      </c>
      <c r="AG15" s="2">
        <f>SUM(H15:K15)</f>
        <v>7002</v>
      </c>
      <c r="AH15" s="2">
        <f>SUM(L15:O15)</f>
        <v>5634</v>
      </c>
      <c r="AI15" s="2">
        <f>SUM(P15:S15)</f>
        <v>5507</v>
      </c>
      <c r="AJ15" s="2">
        <f>SUM(T15:W15)</f>
        <v>4624</v>
      </c>
      <c r="AK15" s="2">
        <f>AJ15*0.97</f>
        <v>4485.28</v>
      </c>
      <c r="AL15" s="2">
        <f t="shared" ref="AL15:AO15" si="17">AK15*1.02</f>
        <v>4574.9856</v>
      </c>
      <c r="AM15" s="2">
        <f t="shared" si="17"/>
        <v>4666.4853119999998</v>
      </c>
      <c r="AN15" s="2">
        <f t="shared" si="17"/>
        <v>4759.8150182399995</v>
      </c>
      <c r="AO15" s="2">
        <f t="shared" si="17"/>
        <v>4855.0113186047993</v>
      </c>
      <c r="AP15" s="2">
        <f>AO15*1.01</f>
        <v>4903.5614317908476</v>
      </c>
      <c r="AQ15" s="2">
        <f t="shared" si="16"/>
        <v>4952.5970461087563</v>
      </c>
      <c r="AR15" s="2">
        <f t="shared" si="16"/>
        <v>5002.1230165698444</v>
      </c>
      <c r="AS15" s="2">
        <f t="shared" si="16"/>
        <v>5052.1442467355428</v>
      </c>
      <c r="AT15" s="2">
        <f t="shared" si="16"/>
        <v>5102.6656892028986</v>
      </c>
    </row>
    <row r="16" spans="2:46" x14ac:dyDescent="0.3">
      <c r="B16" t="s">
        <v>24</v>
      </c>
      <c r="C16" s="2">
        <v>52</v>
      </c>
      <c r="D16" s="2">
        <v>2209</v>
      </c>
      <c r="E16" s="2">
        <v>346</v>
      </c>
      <c r="F16" s="2">
        <v>42</v>
      </c>
      <c r="G16" s="2">
        <v>29</v>
      </c>
      <c r="H16" s="2">
        <v>-1211</v>
      </c>
      <c r="I16" s="2">
        <v>87</v>
      </c>
      <c r="J16" s="2">
        <v>664</v>
      </c>
      <c r="K16" s="2">
        <v>462</v>
      </c>
      <c r="L16" s="2">
        <v>64</v>
      </c>
      <c r="M16" s="2">
        <v>200</v>
      </c>
      <c r="N16" s="2">
        <v>816</v>
      </c>
      <c r="O16" s="2">
        <v>-1412</v>
      </c>
      <c r="P16" s="2">
        <v>348</v>
      </c>
      <c r="Q16" s="2">
        <v>943</v>
      </c>
      <c r="R16" s="2">
        <v>5622</v>
      </c>
      <c r="S16" s="2">
        <v>57</v>
      </c>
      <c r="T16" s="2">
        <v>156</v>
      </c>
      <c r="U16" s="2">
        <v>1890</v>
      </c>
      <c r="V16" s="2">
        <v>175</v>
      </c>
      <c r="W16" s="2">
        <v>-30</v>
      </c>
      <c r="X16" s="2"/>
      <c r="Y16" s="2"/>
      <c r="Z16" s="2"/>
      <c r="AA16" s="2"/>
      <c r="AC16" s="2">
        <v>-72</v>
      </c>
      <c r="AD16" s="2">
        <v>393</v>
      </c>
      <c r="AE16" s="2">
        <v>198</v>
      </c>
      <c r="AF16" s="2">
        <f>SUM(D16:G16)</f>
        <v>2626</v>
      </c>
      <c r="AG16" s="2">
        <f>SUM(H16:K16)</f>
        <v>2</v>
      </c>
      <c r="AH16" s="2">
        <f>SUM(L16:O16)</f>
        <v>-332</v>
      </c>
      <c r="AI16" s="2">
        <f>SUM(P16:S16)</f>
        <v>6970</v>
      </c>
      <c r="AJ16" s="2">
        <f>SUM(T16:W16)</f>
        <v>2191</v>
      </c>
      <c r="AK16" s="2">
        <f>AJ16*0.7</f>
        <v>1533.6999999999998</v>
      </c>
      <c r="AL16" s="2">
        <f t="shared" ref="AL16:AT16" si="18">AK16*0.7</f>
        <v>1073.5899999999999</v>
      </c>
      <c r="AM16" s="2">
        <f t="shared" si="18"/>
        <v>751.51299999999992</v>
      </c>
      <c r="AN16" s="2">
        <f t="shared" si="18"/>
        <v>526.05909999999994</v>
      </c>
      <c r="AO16" s="2">
        <f t="shared" si="18"/>
        <v>368.24136999999996</v>
      </c>
      <c r="AP16" s="2">
        <f t="shared" si="18"/>
        <v>257.76895899999994</v>
      </c>
      <c r="AQ16" s="2">
        <f t="shared" si="18"/>
        <v>180.43827129999994</v>
      </c>
      <c r="AR16" s="2">
        <f t="shared" si="18"/>
        <v>126.30678990999995</v>
      </c>
      <c r="AS16" s="2">
        <f t="shared" si="18"/>
        <v>88.41475293699996</v>
      </c>
      <c r="AT16" s="2">
        <f t="shared" si="18"/>
        <v>61.890327055899967</v>
      </c>
    </row>
    <row r="17" spans="2:156" x14ac:dyDescent="0.3">
      <c r="B17" t="s">
        <v>26</v>
      </c>
      <c r="C17" s="2">
        <f t="shared" ref="C17:S17" si="19">SUM(C14:C16)</f>
        <v>5464</v>
      </c>
      <c r="D17" s="2">
        <f t="shared" si="19"/>
        <v>7160</v>
      </c>
      <c r="E17" s="2">
        <f t="shared" si="19"/>
        <v>5660</v>
      </c>
      <c r="F17" s="2">
        <f t="shared" si="19"/>
        <v>5519</v>
      </c>
      <c r="G17" s="2">
        <f t="shared" si="19"/>
        <v>6020</v>
      </c>
      <c r="H17" s="2">
        <f t="shared" si="19"/>
        <v>4903</v>
      </c>
      <c r="I17" s="2">
        <f t="shared" si="19"/>
        <v>6287</v>
      </c>
      <c r="J17" s="2">
        <f t="shared" si="19"/>
        <v>6710</v>
      </c>
      <c r="K17" s="2">
        <f t="shared" si="19"/>
        <v>6632</v>
      </c>
      <c r="L17" s="2">
        <f t="shared" si="19"/>
        <v>5476</v>
      </c>
      <c r="M17" s="2">
        <f t="shared" si="19"/>
        <v>5654</v>
      </c>
      <c r="N17" s="2">
        <f t="shared" si="19"/>
        <v>6026</v>
      </c>
      <c r="O17" s="2">
        <f t="shared" si="19"/>
        <v>4192</v>
      </c>
      <c r="P17" s="2">
        <f t="shared" si="19"/>
        <v>6286</v>
      </c>
      <c r="Q17" s="2">
        <f t="shared" si="19"/>
        <v>6511</v>
      </c>
      <c r="R17" s="2">
        <f t="shared" si="19"/>
        <v>11054</v>
      </c>
      <c r="S17" s="2">
        <f t="shared" si="19"/>
        <v>5172</v>
      </c>
      <c r="T17" s="2">
        <f t="shared" ref="T17:W17" si="20">SUM(T14:T16)</f>
        <v>4973</v>
      </c>
      <c r="U17" s="2">
        <f t="shared" si="20"/>
        <v>6718</v>
      </c>
      <c r="V17" s="2">
        <f t="shared" si="20"/>
        <v>4535</v>
      </c>
      <c r="W17" s="2">
        <f t="shared" si="20"/>
        <v>4363</v>
      </c>
      <c r="X17" s="2"/>
      <c r="Y17" s="2"/>
      <c r="Z17" s="2"/>
      <c r="AA17" s="2"/>
      <c r="AC17" s="2">
        <f t="shared" ref="AC17:AI17" si="21">SUM(AC14:AC16)</f>
        <v>20421</v>
      </c>
      <c r="AD17" s="2">
        <f t="shared" si="21"/>
        <v>20105</v>
      </c>
      <c r="AE17" s="2">
        <f t="shared" si="21"/>
        <v>19934</v>
      </c>
      <c r="AF17" s="2">
        <f t="shared" si="21"/>
        <v>24359</v>
      </c>
      <c r="AG17" s="2">
        <f t="shared" si="21"/>
        <v>24532</v>
      </c>
      <c r="AH17" s="2">
        <f t="shared" si="21"/>
        <v>21348</v>
      </c>
      <c r="AI17" s="2">
        <f t="shared" si="21"/>
        <v>29023</v>
      </c>
      <c r="AJ17" s="2">
        <f t="shared" ref="AJ17:AT17" si="22">SUM(AJ14:AJ16)</f>
        <v>20589</v>
      </c>
      <c r="AK17" s="2">
        <f t="shared" si="22"/>
        <v>19517.5</v>
      </c>
      <c r="AL17" s="2">
        <f t="shared" si="22"/>
        <v>19417.066000000003</v>
      </c>
      <c r="AM17" s="2">
        <f t="shared" si="22"/>
        <v>19461.858519999998</v>
      </c>
      <c r="AN17" s="2">
        <f t="shared" si="22"/>
        <v>19610.611530399998</v>
      </c>
      <c r="AO17" s="2">
        <f t="shared" si="22"/>
        <v>19691.237474886399</v>
      </c>
      <c r="AP17" s="2">
        <f t="shared" si="22"/>
        <v>19773.995024935266</v>
      </c>
      <c r="AQ17" s="2">
        <f t="shared" si="22"/>
        <v>19891.826597894622</v>
      </c>
      <c r="AR17" s="2">
        <f t="shared" si="22"/>
        <v>20034.808999770565</v>
      </c>
      <c r="AS17" s="2">
        <f t="shared" si="22"/>
        <v>20196.001984896171</v>
      </c>
      <c r="AT17" s="2">
        <f t="shared" si="22"/>
        <v>20370.553431334662</v>
      </c>
    </row>
    <row r="18" spans="2:156" s="1" customFormat="1" x14ac:dyDescent="0.3">
      <c r="B18" s="1" t="s">
        <v>25</v>
      </c>
      <c r="C18" s="7">
        <f t="shared" ref="C18:S18" si="23">C13-C17</f>
        <v>5884</v>
      </c>
      <c r="D18" s="7">
        <f t="shared" si="23"/>
        <v>3694</v>
      </c>
      <c r="E18" s="7">
        <f t="shared" si="23"/>
        <v>5546</v>
      </c>
      <c r="F18" s="7">
        <f t="shared" si="23"/>
        <v>5227</v>
      </c>
      <c r="G18" s="7">
        <f t="shared" si="23"/>
        <v>4989</v>
      </c>
      <c r="H18" s="7">
        <f t="shared" si="23"/>
        <v>4341</v>
      </c>
      <c r="I18" s="7">
        <f t="shared" si="23"/>
        <v>-700</v>
      </c>
      <c r="J18" s="7">
        <f t="shared" si="23"/>
        <v>-175</v>
      </c>
      <c r="K18" s="7">
        <f t="shared" si="23"/>
        <v>-1132</v>
      </c>
      <c r="L18" s="7">
        <f t="shared" si="23"/>
        <v>-1468</v>
      </c>
      <c r="M18" s="7">
        <f t="shared" si="23"/>
        <v>-1016</v>
      </c>
      <c r="N18" s="7">
        <f t="shared" si="23"/>
        <v>-8</v>
      </c>
      <c r="O18" s="7">
        <f t="shared" si="23"/>
        <v>2855</v>
      </c>
      <c r="P18" s="7">
        <f t="shared" si="23"/>
        <v>-1069</v>
      </c>
      <c r="Q18" s="7">
        <f t="shared" si="23"/>
        <v>-1964</v>
      </c>
      <c r="R18" s="7">
        <f t="shared" si="23"/>
        <v>-9057</v>
      </c>
      <c r="S18" s="7">
        <f t="shared" si="23"/>
        <v>412</v>
      </c>
      <c r="T18" s="7">
        <f t="shared" ref="T18:W18" si="24">T13-T17</f>
        <v>-301</v>
      </c>
      <c r="U18" s="7">
        <f t="shared" si="24"/>
        <v>-3176</v>
      </c>
      <c r="V18" s="7">
        <f t="shared" si="24"/>
        <v>683</v>
      </c>
      <c r="W18" s="7">
        <f t="shared" si="24"/>
        <v>580</v>
      </c>
      <c r="X18" s="7"/>
      <c r="Y18" s="7"/>
      <c r="Z18" s="7"/>
      <c r="AA18" s="7"/>
      <c r="AC18" s="7">
        <f t="shared" ref="AC18:AI18" si="25">AC13-AC17</f>
        <v>23316</v>
      </c>
      <c r="AD18" s="7">
        <f t="shared" si="25"/>
        <v>22035</v>
      </c>
      <c r="AE18" s="7">
        <f t="shared" si="25"/>
        <v>23678</v>
      </c>
      <c r="AF18" s="7">
        <f t="shared" si="25"/>
        <v>19456</v>
      </c>
      <c r="AG18" s="7">
        <f t="shared" si="25"/>
        <v>2334</v>
      </c>
      <c r="AH18" s="7">
        <f t="shared" si="25"/>
        <v>363</v>
      </c>
      <c r="AI18" s="7">
        <f t="shared" si="25"/>
        <v>-11678</v>
      </c>
      <c r="AJ18" s="7">
        <f t="shared" ref="AJ18:AT18" si="26">AJ13-AJ17</f>
        <v>-2214</v>
      </c>
      <c r="AK18" s="7">
        <f t="shared" si="26"/>
        <v>3737.8200000000033</v>
      </c>
      <c r="AL18" s="7">
        <f t="shared" si="26"/>
        <v>6710.2860199999996</v>
      </c>
      <c r="AM18" s="7">
        <f t="shared" si="26"/>
        <v>7971.8611010000022</v>
      </c>
      <c r="AN18" s="7">
        <f t="shared" si="26"/>
        <v>8920.4568754400025</v>
      </c>
      <c r="AO18" s="7">
        <f t="shared" si="26"/>
        <v>9695.7629831288068</v>
      </c>
      <c r="AP18" s="7">
        <f t="shared" si="26"/>
        <v>10494.615446820393</v>
      </c>
      <c r="AQ18" s="7">
        <f t="shared" si="26"/>
        <v>11284.84218801371</v>
      </c>
      <c r="AR18" s="7">
        <f t="shared" si="26"/>
        <v>12077.159849715019</v>
      </c>
      <c r="AS18" s="7">
        <f t="shared" si="26"/>
        <v>12879.325930073977</v>
      </c>
      <c r="AT18" s="7">
        <f t="shared" si="26"/>
        <v>13697.034321084593</v>
      </c>
    </row>
    <row r="19" spans="2:156" x14ac:dyDescent="0.3">
      <c r="B19" t="s">
        <v>33</v>
      </c>
      <c r="C19" s="2">
        <v>-1692</v>
      </c>
      <c r="D19" s="2">
        <v>-368</v>
      </c>
      <c r="E19" s="2">
        <v>-295</v>
      </c>
      <c r="F19" s="2">
        <v>-1707</v>
      </c>
      <c r="G19" s="2">
        <v>-359</v>
      </c>
      <c r="H19" s="2">
        <v>-4323</v>
      </c>
      <c r="I19" s="2">
        <v>90</v>
      </c>
      <c r="J19" s="2">
        <v>151</v>
      </c>
      <c r="K19" s="2">
        <v>-186</v>
      </c>
      <c r="L19" s="2">
        <v>-169</v>
      </c>
      <c r="M19" s="2">
        <v>24</v>
      </c>
      <c r="N19" s="2">
        <v>191</v>
      </c>
      <c r="O19" s="2">
        <v>-86</v>
      </c>
      <c r="P19" s="2">
        <v>-205</v>
      </c>
      <c r="Q19" s="2">
        <v>120</v>
      </c>
      <c r="R19" s="2">
        <v>159</v>
      </c>
      <c r="S19" s="2">
        <v>-316</v>
      </c>
      <c r="T19" s="2">
        <v>112</v>
      </c>
      <c r="U19" s="2">
        <v>-502</v>
      </c>
      <c r="V19" s="2">
        <v>-221</v>
      </c>
      <c r="W19" s="2">
        <v>97</v>
      </c>
      <c r="X19" s="2"/>
      <c r="Y19" s="2"/>
      <c r="Z19" s="2"/>
      <c r="AA19" s="2"/>
      <c r="AC19" s="2">
        <v>125</v>
      </c>
      <c r="AD19" s="2">
        <v>-1539</v>
      </c>
      <c r="AE19" s="2">
        <v>-1904</v>
      </c>
      <c r="AF19" s="2">
        <f>SUM(D19:G19)</f>
        <v>-2729</v>
      </c>
      <c r="AG19" s="2">
        <f>SUM(H19:K19)</f>
        <v>-4268</v>
      </c>
      <c r="AH19" s="2">
        <f>SUM(L19:O19)</f>
        <v>-40</v>
      </c>
      <c r="AI19" s="2">
        <f>SUM(P19:S19)</f>
        <v>-242</v>
      </c>
      <c r="AJ19" s="2">
        <f>SUM(T19:W19)</f>
        <v>-514</v>
      </c>
      <c r="AK19" s="2">
        <f t="shared" ref="AK19:AT19" si="27">AJ19*0.95</f>
        <v>-488.29999999999995</v>
      </c>
      <c r="AL19" s="2">
        <f t="shared" si="27"/>
        <v>-463.88499999999993</v>
      </c>
      <c r="AM19" s="2">
        <f t="shared" si="27"/>
        <v>-440.69074999999992</v>
      </c>
      <c r="AN19" s="2">
        <f t="shared" si="27"/>
        <v>-418.65621249999992</v>
      </c>
      <c r="AO19" s="2">
        <f t="shared" si="27"/>
        <v>-397.72340187499992</v>
      </c>
      <c r="AP19" s="2">
        <f t="shared" si="27"/>
        <v>-377.8372317812499</v>
      </c>
      <c r="AQ19" s="2">
        <f t="shared" si="27"/>
        <v>-358.9453701921874</v>
      </c>
      <c r="AR19" s="2">
        <f t="shared" si="27"/>
        <v>-340.99810168257801</v>
      </c>
      <c r="AS19" s="2">
        <f t="shared" si="27"/>
        <v>-323.9481965984491</v>
      </c>
      <c r="AT19" s="2">
        <f t="shared" si="27"/>
        <v>-307.75078676852661</v>
      </c>
    </row>
    <row r="20" spans="2:156" x14ac:dyDescent="0.3">
      <c r="B20" t="s">
        <v>27</v>
      </c>
      <c r="C20" s="2">
        <v>88</v>
      </c>
      <c r="D20" s="2">
        <v>156</v>
      </c>
      <c r="E20" s="2">
        <v>96</v>
      </c>
      <c r="F20" s="2">
        <v>76</v>
      </c>
      <c r="G20" s="2">
        <v>154</v>
      </c>
      <c r="H20" s="2">
        <v>-997</v>
      </c>
      <c r="I20" s="2">
        <v>119</v>
      </c>
      <c r="J20" s="2">
        <v>-138</v>
      </c>
      <c r="K20" s="2">
        <v>-150</v>
      </c>
      <c r="L20" s="2">
        <v>-141</v>
      </c>
      <c r="M20" s="2">
        <v>-224</v>
      </c>
      <c r="N20" s="2">
        <v>-147</v>
      </c>
      <c r="O20" s="2">
        <v>-117</v>
      </c>
      <c r="P20" s="2">
        <v>-145</v>
      </c>
      <c r="Q20" s="2">
        <v>-80</v>
      </c>
      <c r="R20" s="2">
        <v>-130</v>
      </c>
      <c r="S20" s="2">
        <v>129</v>
      </c>
      <c r="T20" s="2">
        <v>173</v>
      </c>
      <c r="U20" s="2">
        <v>95</v>
      </c>
      <c r="V20" s="2">
        <v>-3670</v>
      </c>
      <c r="W20" s="2">
        <v>145</v>
      </c>
      <c r="X20" s="2"/>
      <c r="Y20" s="2"/>
      <c r="Z20" s="2"/>
      <c r="AA20" s="2"/>
      <c r="AC20" s="2">
        <v>-126</v>
      </c>
      <c r="AD20" s="2">
        <v>-484</v>
      </c>
      <c r="AE20" s="2">
        <v>504</v>
      </c>
      <c r="AF20" s="2">
        <f>SUM(D20:G20)</f>
        <v>482</v>
      </c>
      <c r="AG20" s="2">
        <f>SUM(H20:K20)</f>
        <v>-1166</v>
      </c>
      <c r="AH20" s="2">
        <f>SUM(L20:O20)</f>
        <v>-629</v>
      </c>
      <c r="AI20" s="2">
        <f>SUM(P20:S20)</f>
        <v>-226</v>
      </c>
      <c r="AJ20" s="2">
        <f>SUM(T20:W20)</f>
        <v>-3257</v>
      </c>
      <c r="AK20" s="2">
        <f t="shared" ref="AK20:AT20" si="28">AJ20*1.01</f>
        <v>-3289.57</v>
      </c>
      <c r="AL20" s="2">
        <f t="shared" si="28"/>
        <v>-3322.4657000000002</v>
      </c>
      <c r="AM20" s="2">
        <f t="shared" si="28"/>
        <v>-3355.6903570000004</v>
      </c>
      <c r="AN20" s="2">
        <f t="shared" si="28"/>
        <v>-3389.2472605700004</v>
      </c>
      <c r="AO20" s="2">
        <f t="shared" si="28"/>
        <v>-3423.1397331757003</v>
      </c>
      <c r="AP20" s="2">
        <f t="shared" si="28"/>
        <v>-3457.3711305074571</v>
      </c>
      <c r="AQ20" s="2">
        <f t="shared" si="28"/>
        <v>-3491.9448418125316</v>
      </c>
      <c r="AR20" s="2">
        <f t="shared" si="28"/>
        <v>-3526.8642902306569</v>
      </c>
      <c r="AS20" s="2">
        <f t="shared" si="28"/>
        <v>-3562.1329331329634</v>
      </c>
      <c r="AT20" s="2">
        <f t="shared" si="28"/>
        <v>-3597.7542624642933</v>
      </c>
    </row>
    <row r="21" spans="2:156" s="1" customFormat="1" x14ac:dyDescent="0.3">
      <c r="B21" s="1" t="s">
        <v>28</v>
      </c>
      <c r="C21" s="7">
        <f t="shared" ref="C21:W21" si="29">C18-C19-C20</f>
        <v>7488</v>
      </c>
      <c r="D21" s="7">
        <f t="shared" si="29"/>
        <v>3906</v>
      </c>
      <c r="E21" s="7">
        <f t="shared" si="29"/>
        <v>5745</v>
      </c>
      <c r="F21" s="7">
        <f t="shared" si="29"/>
        <v>6858</v>
      </c>
      <c r="G21" s="7">
        <f t="shared" si="29"/>
        <v>5194</v>
      </c>
      <c r="H21" s="7">
        <f t="shared" si="29"/>
        <v>9661</v>
      </c>
      <c r="I21" s="7">
        <f t="shared" si="29"/>
        <v>-909</v>
      </c>
      <c r="J21" s="7">
        <f t="shared" si="29"/>
        <v>-188</v>
      </c>
      <c r="K21" s="7">
        <f t="shared" si="29"/>
        <v>-796</v>
      </c>
      <c r="L21" s="7">
        <f t="shared" si="29"/>
        <v>-1158</v>
      </c>
      <c r="M21" s="7">
        <f t="shared" si="29"/>
        <v>-816</v>
      </c>
      <c r="N21" s="7">
        <f t="shared" si="29"/>
        <v>-52</v>
      </c>
      <c r="O21" s="7">
        <f t="shared" si="29"/>
        <v>3058</v>
      </c>
      <c r="P21" s="7">
        <f t="shared" si="29"/>
        <v>-719</v>
      </c>
      <c r="Q21" s="7">
        <f t="shared" si="29"/>
        <v>-2004</v>
      </c>
      <c r="R21" s="7">
        <f t="shared" si="29"/>
        <v>-9086</v>
      </c>
      <c r="S21" s="7">
        <f t="shared" si="29"/>
        <v>599</v>
      </c>
      <c r="T21" s="7">
        <f t="shared" si="29"/>
        <v>-586</v>
      </c>
      <c r="U21" s="7">
        <f t="shared" si="29"/>
        <v>-2769</v>
      </c>
      <c r="V21" s="7">
        <f t="shared" si="29"/>
        <v>4574</v>
      </c>
      <c r="W21" s="7">
        <f t="shared" si="29"/>
        <v>338</v>
      </c>
      <c r="X21" s="7"/>
      <c r="Y21" s="7"/>
      <c r="Z21" s="7"/>
      <c r="AA21" s="7"/>
      <c r="AC21" s="7">
        <f t="shared" ref="AC21:AI21" si="30">AC18-AC19-AC20</f>
        <v>23317</v>
      </c>
      <c r="AD21" s="7">
        <f t="shared" si="30"/>
        <v>24058</v>
      </c>
      <c r="AE21" s="7">
        <f t="shared" si="30"/>
        <v>25078</v>
      </c>
      <c r="AF21" s="7">
        <f t="shared" si="30"/>
        <v>21703</v>
      </c>
      <c r="AG21" s="7">
        <f t="shared" si="30"/>
        <v>7768</v>
      </c>
      <c r="AH21" s="7">
        <f t="shared" si="30"/>
        <v>1032</v>
      </c>
      <c r="AI21" s="7">
        <f t="shared" si="30"/>
        <v>-11210</v>
      </c>
      <c r="AJ21" s="7">
        <f t="shared" ref="AJ21:AT21" si="31">AJ18-AJ19-AJ20</f>
        <v>1557</v>
      </c>
      <c r="AK21" s="7">
        <f t="shared" si="31"/>
        <v>7515.6900000000041</v>
      </c>
      <c r="AL21" s="7">
        <f t="shared" si="31"/>
        <v>10496.63672</v>
      </c>
      <c r="AM21" s="7">
        <f t="shared" si="31"/>
        <v>11768.242208000003</v>
      </c>
      <c r="AN21" s="7">
        <f t="shared" si="31"/>
        <v>12728.360348510003</v>
      </c>
      <c r="AO21" s="7">
        <f t="shared" si="31"/>
        <v>13516.626118179507</v>
      </c>
      <c r="AP21" s="7">
        <f t="shared" si="31"/>
        <v>14329.823809109101</v>
      </c>
      <c r="AQ21" s="7">
        <f t="shared" si="31"/>
        <v>15135.732400018429</v>
      </c>
      <c r="AR21" s="7">
        <f t="shared" si="31"/>
        <v>15945.022241628254</v>
      </c>
      <c r="AS21" s="7">
        <f t="shared" si="31"/>
        <v>16765.407059805388</v>
      </c>
      <c r="AT21" s="7">
        <f t="shared" si="31"/>
        <v>17602.539370317412</v>
      </c>
    </row>
    <row r="22" spans="2:156" x14ac:dyDescent="0.3">
      <c r="B22" t="s">
        <v>29</v>
      </c>
      <c r="C22" s="2">
        <v>1631</v>
      </c>
      <c r="D22" s="2">
        <v>545</v>
      </c>
      <c r="E22" s="2">
        <v>684</v>
      </c>
      <c r="F22" s="2">
        <v>35</v>
      </c>
      <c r="G22" s="2">
        <v>571</v>
      </c>
      <c r="H22" s="2">
        <v>1548</v>
      </c>
      <c r="I22" s="2">
        <v>-455</v>
      </c>
      <c r="J22" s="2">
        <v>-1207</v>
      </c>
      <c r="K22" s="2">
        <v>-135</v>
      </c>
      <c r="L22" s="2">
        <v>1610</v>
      </c>
      <c r="M22" s="2">
        <v>-2289</v>
      </c>
      <c r="N22" s="2">
        <v>-362</v>
      </c>
      <c r="O22" s="2">
        <v>128</v>
      </c>
      <c r="P22" s="2">
        <v>-282</v>
      </c>
      <c r="Q22" s="2">
        <v>-350</v>
      </c>
      <c r="R22" s="2">
        <v>7903</v>
      </c>
      <c r="S22" s="2">
        <v>752</v>
      </c>
      <c r="T22" s="2">
        <v>301</v>
      </c>
      <c r="U22" s="2">
        <v>255</v>
      </c>
      <c r="V22" s="2">
        <v>304</v>
      </c>
      <c r="W22" s="2">
        <v>671</v>
      </c>
      <c r="X22" s="2"/>
      <c r="Y22" s="2"/>
      <c r="Z22" s="2"/>
      <c r="AA22" s="2"/>
      <c r="AC22" s="2">
        <v>2264</v>
      </c>
      <c r="AD22" s="2">
        <v>3010</v>
      </c>
      <c r="AE22" s="2">
        <v>4179</v>
      </c>
      <c r="AF22" s="2">
        <f>SUM(D22:G22)</f>
        <v>1835</v>
      </c>
      <c r="AG22" s="2">
        <f>SUM(H22:K22)</f>
        <v>-249</v>
      </c>
      <c r="AH22" s="2">
        <f>SUM(L22:O22)</f>
        <v>-913</v>
      </c>
      <c r="AI22" s="2">
        <f>SUM(P22:S22)</f>
        <v>8023</v>
      </c>
      <c r="AJ22" s="2">
        <f>SUM(T22:W22)</f>
        <v>1531</v>
      </c>
      <c r="AK22" s="2">
        <f>AK21*0.2</f>
        <v>1503.1380000000008</v>
      </c>
      <c r="AL22" s="2">
        <f t="shared" ref="AL22:AT22" si="32">AL21*0.2</f>
        <v>2099.3273440000003</v>
      </c>
      <c r="AM22" s="2">
        <f t="shared" si="32"/>
        <v>2353.6484416000008</v>
      </c>
      <c r="AN22" s="2">
        <f t="shared" si="32"/>
        <v>2545.672069702001</v>
      </c>
      <c r="AO22" s="2">
        <f t="shared" si="32"/>
        <v>2703.3252236359017</v>
      </c>
      <c r="AP22" s="2">
        <f t="shared" si="32"/>
        <v>2865.9647618218205</v>
      </c>
      <c r="AQ22" s="2">
        <f t="shared" si="32"/>
        <v>3027.1464800036861</v>
      </c>
      <c r="AR22" s="2">
        <f t="shared" si="32"/>
        <v>3189.0044483256511</v>
      </c>
      <c r="AS22" s="2">
        <f t="shared" si="32"/>
        <v>3353.0814119610777</v>
      </c>
      <c r="AT22" s="2">
        <f t="shared" si="32"/>
        <v>3520.5078740634826</v>
      </c>
    </row>
    <row r="23" spans="2:156" x14ac:dyDescent="0.3">
      <c r="B23" t="s">
        <v>30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3</v>
      </c>
      <c r="L23" s="2">
        <v>-10</v>
      </c>
      <c r="M23" s="2">
        <v>-8</v>
      </c>
      <c r="N23" s="2">
        <v>13</v>
      </c>
      <c r="O23" s="2">
        <v>-9</v>
      </c>
      <c r="P23" s="2">
        <v>-56</v>
      </c>
      <c r="Q23" s="2">
        <v>-44</v>
      </c>
      <c r="R23" s="2">
        <v>-350</v>
      </c>
      <c r="S23" s="2">
        <v>-27</v>
      </c>
      <c r="T23" s="2">
        <v>-66</v>
      </c>
      <c r="U23" s="2">
        <v>-106</v>
      </c>
      <c r="V23" s="2">
        <v>207</v>
      </c>
      <c r="W23" s="2">
        <v>258</v>
      </c>
      <c r="X23" s="2"/>
      <c r="Y23" s="2"/>
      <c r="Z23" s="2"/>
      <c r="AA23" s="2"/>
      <c r="AC23" s="2">
        <v>0</v>
      </c>
      <c r="AD23" s="2">
        <v>0</v>
      </c>
      <c r="AE23" s="2">
        <v>0</v>
      </c>
      <c r="AF23" s="2">
        <f>SUM(D23:G23)</f>
        <v>0</v>
      </c>
      <c r="AG23" s="2">
        <f>SUM(H23:K23)</f>
        <v>3</v>
      </c>
      <c r="AH23" s="2">
        <f>SUM(L23:O23)</f>
        <v>-14</v>
      </c>
      <c r="AI23" s="2">
        <f>SUM(P23:S23)</f>
        <v>-477</v>
      </c>
      <c r="AJ23" s="2">
        <f>SUM(T23:W23)</f>
        <v>293</v>
      </c>
      <c r="AK23" s="2">
        <f t="shared" ref="AK23:AT23" si="33">AK21*0.03</f>
        <v>225.47070000000011</v>
      </c>
      <c r="AL23" s="2">
        <f t="shared" si="33"/>
        <v>314.89910159999999</v>
      </c>
      <c r="AM23" s="2">
        <f t="shared" si="33"/>
        <v>353.04726624000011</v>
      </c>
      <c r="AN23" s="2">
        <f t="shared" si="33"/>
        <v>381.85081045530006</v>
      </c>
      <c r="AO23" s="2">
        <f t="shared" si="33"/>
        <v>405.49878354538521</v>
      </c>
      <c r="AP23" s="2">
        <f t="shared" si="33"/>
        <v>429.894714273273</v>
      </c>
      <c r="AQ23" s="2">
        <f t="shared" si="33"/>
        <v>454.07197200055288</v>
      </c>
      <c r="AR23" s="2">
        <f t="shared" si="33"/>
        <v>478.35066724884763</v>
      </c>
      <c r="AS23" s="2">
        <f t="shared" si="33"/>
        <v>502.96221179416159</v>
      </c>
      <c r="AT23" s="2">
        <f t="shared" si="33"/>
        <v>528.07618110952239</v>
      </c>
    </row>
    <row r="24" spans="2:156" s="1" customFormat="1" x14ac:dyDescent="0.3">
      <c r="B24" s="1" t="s">
        <v>31</v>
      </c>
      <c r="C24" s="7">
        <f t="shared" ref="C24:S24" si="34">C21-C22-C23</f>
        <v>5857</v>
      </c>
      <c r="D24" s="7">
        <f t="shared" si="34"/>
        <v>3361</v>
      </c>
      <c r="E24" s="7">
        <f t="shared" si="34"/>
        <v>5061</v>
      </c>
      <c r="F24" s="7">
        <f t="shared" si="34"/>
        <v>6823</v>
      </c>
      <c r="G24" s="7">
        <f t="shared" si="34"/>
        <v>4623</v>
      </c>
      <c r="H24" s="7">
        <f t="shared" si="34"/>
        <v>8113</v>
      </c>
      <c r="I24" s="7">
        <f t="shared" si="34"/>
        <v>-454</v>
      </c>
      <c r="J24" s="7">
        <f t="shared" si="34"/>
        <v>1019</v>
      </c>
      <c r="K24" s="7">
        <f t="shared" si="34"/>
        <v>-664</v>
      </c>
      <c r="L24" s="7">
        <f t="shared" si="34"/>
        <v>-2758</v>
      </c>
      <c r="M24" s="7">
        <f t="shared" si="34"/>
        <v>1481</v>
      </c>
      <c r="N24" s="7">
        <f t="shared" si="34"/>
        <v>297</v>
      </c>
      <c r="O24" s="7">
        <f t="shared" si="34"/>
        <v>2939</v>
      </c>
      <c r="P24" s="7">
        <f t="shared" si="34"/>
        <v>-381</v>
      </c>
      <c r="Q24" s="7">
        <f t="shared" si="34"/>
        <v>-1610</v>
      </c>
      <c r="R24" s="7">
        <f t="shared" si="34"/>
        <v>-16639</v>
      </c>
      <c r="S24" s="7">
        <f t="shared" si="34"/>
        <v>-126</v>
      </c>
      <c r="T24" s="7">
        <f t="shared" ref="T24:W24" si="35">T21-T22-T23</f>
        <v>-821</v>
      </c>
      <c r="U24" s="7">
        <f t="shared" si="35"/>
        <v>-2918</v>
      </c>
      <c r="V24" s="7">
        <f t="shared" si="35"/>
        <v>4063</v>
      </c>
      <c r="W24" s="7">
        <f t="shared" si="35"/>
        <v>-591</v>
      </c>
      <c r="X24" s="7"/>
      <c r="Y24" s="7"/>
      <c r="Z24" s="7"/>
      <c r="AA24" s="7"/>
      <c r="AC24" s="7">
        <f t="shared" ref="AC24:AI24" si="36">AC21-AC22-AC23</f>
        <v>21053</v>
      </c>
      <c r="AD24" s="7">
        <f t="shared" si="36"/>
        <v>21048</v>
      </c>
      <c r="AE24" s="7">
        <f t="shared" si="36"/>
        <v>20899</v>
      </c>
      <c r="AF24" s="7">
        <f t="shared" si="36"/>
        <v>19868</v>
      </c>
      <c r="AG24" s="7">
        <f t="shared" si="36"/>
        <v>8014</v>
      </c>
      <c r="AH24" s="7">
        <f t="shared" si="36"/>
        <v>1959</v>
      </c>
      <c r="AI24" s="7">
        <f t="shared" si="36"/>
        <v>-18756</v>
      </c>
      <c r="AJ24" s="7">
        <f t="shared" ref="AJ24:AT24" si="37">AJ21-AJ22-AJ23</f>
        <v>-267</v>
      </c>
      <c r="AK24" s="7">
        <f t="shared" si="37"/>
        <v>5787.0813000000035</v>
      </c>
      <c r="AL24" s="7">
        <f t="shared" si="37"/>
        <v>8082.4102744000011</v>
      </c>
      <c r="AM24" s="7">
        <f t="shared" si="37"/>
        <v>9061.5465001600023</v>
      </c>
      <c r="AN24" s="7">
        <f t="shared" si="37"/>
        <v>9800.8374683527018</v>
      </c>
      <c r="AO24" s="7">
        <f t="shared" si="37"/>
        <v>10407.80211099822</v>
      </c>
      <c r="AP24" s="7">
        <f t="shared" si="37"/>
        <v>11033.964333014008</v>
      </c>
      <c r="AQ24" s="7">
        <f t="shared" si="37"/>
        <v>11654.51394801419</v>
      </c>
      <c r="AR24" s="7">
        <f t="shared" si="37"/>
        <v>12277.667126053755</v>
      </c>
      <c r="AS24" s="7">
        <f t="shared" si="37"/>
        <v>12909.363436050149</v>
      </c>
      <c r="AT24" s="7">
        <f t="shared" si="37"/>
        <v>13553.955315144409</v>
      </c>
      <c r="AU24" s="1">
        <f>AT24*(1+$AW$37)</f>
        <v>13418.415761992965</v>
      </c>
      <c r="AV24" s="1">
        <f t="shared" ref="AV24:DG24" si="38">AU24*(1+$AW$37)</f>
        <v>13284.231604373035</v>
      </c>
      <c r="AW24" s="1">
        <f t="shared" si="38"/>
        <v>13151.389288329305</v>
      </c>
      <c r="AX24" s="1">
        <f t="shared" si="38"/>
        <v>13019.875395446012</v>
      </c>
      <c r="AY24" s="1">
        <f t="shared" si="38"/>
        <v>12889.676641491551</v>
      </c>
      <c r="AZ24" s="1">
        <f t="shared" si="38"/>
        <v>12760.779875076636</v>
      </c>
      <c r="BA24" s="1">
        <f t="shared" si="38"/>
        <v>12633.172076325869</v>
      </c>
      <c r="BB24" s="1">
        <f t="shared" si="38"/>
        <v>12506.84035556261</v>
      </c>
      <c r="BC24" s="1">
        <f t="shared" si="38"/>
        <v>12381.771952006984</v>
      </c>
      <c r="BD24" s="1">
        <f t="shared" si="38"/>
        <v>12257.954232486914</v>
      </c>
      <c r="BE24" s="1">
        <f t="shared" si="38"/>
        <v>12135.374690162045</v>
      </c>
      <c r="BF24" s="1">
        <f t="shared" si="38"/>
        <v>12014.020943260424</v>
      </c>
      <c r="BG24" s="1">
        <f t="shared" si="38"/>
        <v>11893.88073382782</v>
      </c>
      <c r="BH24" s="1">
        <f t="shared" si="38"/>
        <v>11774.941926489542</v>
      </c>
      <c r="BI24" s="1">
        <f t="shared" si="38"/>
        <v>11657.192507224647</v>
      </c>
      <c r="BJ24" s="1">
        <f t="shared" si="38"/>
        <v>11540.6205821524</v>
      </c>
      <c r="BK24" s="1">
        <f t="shared" si="38"/>
        <v>11425.214376330876</v>
      </c>
      <c r="BL24" s="1">
        <f t="shared" si="38"/>
        <v>11310.962232567566</v>
      </c>
      <c r="BM24" s="1">
        <f t="shared" si="38"/>
        <v>11197.852610241891</v>
      </c>
      <c r="BN24" s="1">
        <f t="shared" si="38"/>
        <v>11085.874084139472</v>
      </c>
      <c r="BO24" s="1">
        <f t="shared" si="38"/>
        <v>10975.015343298077</v>
      </c>
      <c r="BP24" s="1">
        <f t="shared" si="38"/>
        <v>10865.265189865097</v>
      </c>
      <c r="BQ24" s="1">
        <f t="shared" si="38"/>
        <v>10756.612537966446</v>
      </c>
      <c r="BR24" s="1">
        <f t="shared" si="38"/>
        <v>10649.046412586782</v>
      </c>
      <c r="BS24" s="1">
        <f t="shared" si="38"/>
        <v>10542.555948460915</v>
      </c>
      <c r="BT24" s="1">
        <f t="shared" si="38"/>
        <v>10437.130388976306</v>
      </c>
      <c r="BU24" s="1">
        <f t="shared" si="38"/>
        <v>10332.759085086542</v>
      </c>
      <c r="BV24" s="1">
        <f t="shared" si="38"/>
        <v>10229.431494235676</v>
      </c>
      <c r="BW24" s="1">
        <f t="shared" si="38"/>
        <v>10127.137179293319</v>
      </c>
      <c r="BX24" s="1">
        <f t="shared" si="38"/>
        <v>10025.865807500386</v>
      </c>
      <c r="BY24" s="1">
        <f t="shared" si="38"/>
        <v>9925.6071494253829</v>
      </c>
      <c r="BZ24" s="1">
        <f t="shared" si="38"/>
        <v>9826.3510779311291</v>
      </c>
      <c r="CA24" s="1">
        <f t="shared" si="38"/>
        <v>9728.087567151817</v>
      </c>
      <c r="CB24" s="1">
        <f t="shared" si="38"/>
        <v>9630.8066914802985</v>
      </c>
      <c r="CC24" s="1">
        <f t="shared" si="38"/>
        <v>9534.4986245654945</v>
      </c>
      <c r="CD24" s="1">
        <f t="shared" si="38"/>
        <v>9439.15363831984</v>
      </c>
      <c r="CE24" s="1">
        <f t="shared" si="38"/>
        <v>9344.7621019366416</v>
      </c>
      <c r="CF24" s="1">
        <f t="shared" si="38"/>
        <v>9251.3144809172754</v>
      </c>
      <c r="CG24" s="1">
        <f t="shared" si="38"/>
        <v>9158.801336108103</v>
      </c>
      <c r="CH24" s="1">
        <f t="shared" si="38"/>
        <v>9067.2133227470222</v>
      </c>
      <c r="CI24" s="1">
        <f t="shared" si="38"/>
        <v>8976.5411895195521</v>
      </c>
      <c r="CJ24" s="1">
        <f t="shared" si="38"/>
        <v>8886.7757776243561</v>
      </c>
      <c r="CK24" s="1">
        <f t="shared" si="38"/>
        <v>8797.9080198481133</v>
      </c>
      <c r="CL24" s="1">
        <f t="shared" si="38"/>
        <v>8709.9289396496315</v>
      </c>
      <c r="CM24" s="1">
        <f t="shared" si="38"/>
        <v>8622.8296502531357</v>
      </c>
      <c r="CN24" s="1">
        <f t="shared" si="38"/>
        <v>8536.6013537506042</v>
      </c>
      <c r="CO24" s="1">
        <f t="shared" si="38"/>
        <v>8451.2353402130975</v>
      </c>
      <c r="CP24" s="1">
        <f t="shared" si="38"/>
        <v>8366.7229868109662</v>
      </c>
      <c r="CQ24" s="1">
        <f t="shared" si="38"/>
        <v>8283.0557569428565</v>
      </c>
      <c r="CR24" s="1">
        <f t="shared" si="38"/>
        <v>8200.225199373428</v>
      </c>
      <c r="CS24" s="1">
        <f t="shared" si="38"/>
        <v>8118.2229473796933</v>
      </c>
      <c r="CT24" s="1">
        <f t="shared" si="38"/>
        <v>8037.0407179058966</v>
      </c>
      <c r="CU24" s="1">
        <f t="shared" si="38"/>
        <v>7956.6703107268377</v>
      </c>
      <c r="CV24" s="1">
        <f t="shared" si="38"/>
        <v>7877.1036076195696</v>
      </c>
      <c r="CW24" s="1">
        <f t="shared" si="38"/>
        <v>7798.3325715433739</v>
      </c>
      <c r="CX24" s="1">
        <f t="shared" si="38"/>
        <v>7720.3492458279397</v>
      </c>
      <c r="CY24" s="1">
        <f t="shared" si="38"/>
        <v>7643.1457533696603</v>
      </c>
      <c r="CZ24" s="1">
        <f t="shared" si="38"/>
        <v>7566.7142958359636</v>
      </c>
      <c r="DA24" s="1">
        <f t="shared" si="38"/>
        <v>7491.0471528776043</v>
      </c>
      <c r="DB24" s="1">
        <f t="shared" si="38"/>
        <v>7416.1366813488285</v>
      </c>
      <c r="DC24" s="1">
        <f t="shared" si="38"/>
        <v>7341.9753145353397</v>
      </c>
      <c r="DD24" s="1">
        <f t="shared" si="38"/>
        <v>7268.555561389986</v>
      </c>
      <c r="DE24" s="1">
        <f t="shared" si="38"/>
        <v>7195.8700057760861</v>
      </c>
      <c r="DF24" s="1">
        <f t="shared" si="38"/>
        <v>7123.9113057183249</v>
      </c>
      <c r="DG24" s="1">
        <f t="shared" si="38"/>
        <v>7052.6721926611417</v>
      </c>
      <c r="DH24" s="1">
        <f t="shared" ref="DH24:EZ24" si="39">DG24*(1+$AW$37)</f>
        <v>6982.1454707345301</v>
      </c>
      <c r="DI24" s="1">
        <f t="shared" si="39"/>
        <v>6912.3240160271844</v>
      </c>
      <c r="DJ24" s="1">
        <f t="shared" si="39"/>
        <v>6843.2007758669124</v>
      </c>
      <c r="DK24" s="1">
        <f t="shared" si="39"/>
        <v>6774.7687681082434</v>
      </c>
      <c r="DL24" s="1">
        <f t="shared" si="39"/>
        <v>6707.021080427161</v>
      </c>
      <c r="DM24" s="1">
        <f t="shared" si="39"/>
        <v>6639.9508696228895</v>
      </c>
      <c r="DN24" s="1">
        <f t="shared" si="39"/>
        <v>6573.5513609266609</v>
      </c>
      <c r="DO24" s="1">
        <f t="shared" si="39"/>
        <v>6507.8158473173944</v>
      </c>
      <c r="DP24" s="1">
        <f t="shared" si="39"/>
        <v>6442.7376888442204</v>
      </c>
      <c r="DQ24" s="1">
        <f t="shared" si="39"/>
        <v>6378.3103119557782</v>
      </c>
      <c r="DR24" s="1">
        <f t="shared" si="39"/>
        <v>6314.5272088362199</v>
      </c>
      <c r="DS24" s="1">
        <f t="shared" si="39"/>
        <v>6251.3819367478573</v>
      </c>
      <c r="DT24" s="1">
        <f t="shared" si="39"/>
        <v>6188.8681173803789</v>
      </c>
      <c r="DU24" s="1">
        <f t="shared" si="39"/>
        <v>6126.979436206575</v>
      </c>
      <c r="DV24" s="1">
        <f t="shared" si="39"/>
        <v>6065.709641844509</v>
      </c>
      <c r="DW24" s="1">
        <f t="shared" si="39"/>
        <v>6005.0525454260642</v>
      </c>
      <c r="DX24" s="1">
        <f t="shared" si="39"/>
        <v>5945.0020199718037</v>
      </c>
      <c r="DY24" s="1">
        <f t="shared" si="39"/>
        <v>5885.5519997720858</v>
      </c>
      <c r="DZ24" s="1">
        <f t="shared" si="39"/>
        <v>5826.6964797743649</v>
      </c>
      <c r="EA24" s="1">
        <f t="shared" si="39"/>
        <v>5768.4295149766212</v>
      </c>
      <c r="EB24" s="1">
        <f t="shared" si="39"/>
        <v>5710.7452198268547</v>
      </c>
      <c r="EC24" s="1">
        <f t="shared" si="39"/>
        <v>5653.6377676285865</v>
      </c>
      <c r="ED24" s="1">
        <f t="shared" si="39"/>
        <v>5597.1013899523005</v>
      </c>
      <c r="EE24" s="1">
        <f t="shared" si="39"/>
        <v>5541.1303760527771</v>
      </c>
      <c r="EF24" s="1">
        <f t="shared" si="39"/>
        <v>5485.7190722922496</v>
      </c>
      <c r="EG24" s="1">
        <f t="shared" si="39"/>
        <v>5430.8618815693271</v>
      </c>
      <c r="EH24" s="1">
        <f t="shared" si="39"/>
        <v>5376.553262753634</v>
      </c>
      <c r="EI24" s="1">
        <f t="shared" si="39"/>
        <v>5322.7877301260978</v>
      </c>
      <c r="EJ24" s="1">
        <f t="shared" si="39"/>
        <v>5269.5598528248365</v>
      </c>
      <c r="EK24" s="1">
        <f t="shared" si="39"/>
        <v>5216.8642542965881</v>
      </c>
      <c r="EL24" s="1">
        <f t="shared" si="39"/>
        <v>5164.695611753622</v>
      </c>
      <c r="EM24" s="1">
        <f t="shared" si="39"/>
        <v>5113.0486556360856</v>
      </c>
      <c r="EN24" s="1">
        <f t="shared" si="39"/>
        <v>5061.918169079725</v>
      </c>
      <c r="EO24" s="1">
        <f t="shared" si="39"/>
        <v>5011.2989873889273</v>
      </c>
      <c r="EP24" s="1">
        <f t="shared" si="39"/>
        <v>4961.1859975150383</v>
      </c>
      <c r="EQ24" s="1">
        <f t="shared" si="39"/>
        <v>4911.5741375398875</v>
      </c>
      <c r="ER24" s="1">
        <f t="shared" si="39"/>
        <v>4862.4583961644885</v>
      </c>
      <c r="ES24" s="1">
        <f t="shared" si="39"/>
        <v>4813.8338122028435</v>
      </c>
      <c r="ET24" s="1">
        <f t="shared" si="39"/>
        <v>4765.6954740808151</v>
      </c>
      <c r="EU24" s="1">
        <f t="shared" si="39"/>
        <v>4718.038519340007</v>
      </c>
      <c r="EV24" s="1">
        <f t="shared" si="39"/>
        <v>4670.858134146607</v>
      </c>
      <c r="EW24" s="1">
        <f t="shared" si="39"/>
        <v>4624.149552805141</v>
      </c>
      <c r="EX24" s="1">
        <f t="shared" si="39"/>
        <v>4577.9080572770899</v>
      </c>
      <c r="EY24" s="1">
        <f t="shared" si="39"/>
        <v>4532.128976704319</v>
      </c>
      <c r="EZ24" s="1">
        <f t="shared" si="39"/>
        <v>4486.8076869372762</v>
      </c>
    </row>
    <row r="25" spans="2:156" x14ac:dyDescent="0.3">
      <c r="B25" t="s">
        <v>2</v>
      </c>
      <c r="C25" s="2">
        <v>4313</v>
      </c>
      <c r="D25" s="2">
        <v>4313</v>
      </c>
      <c r="E25" s="2">
        <v>4313</v>
      </c>
      <c r="F25" s="2">
        <v>4313</v>
      </c>
      <c r="G25" s="2">
        <v>4313</v>
      </c>
      <c r="H25" s="2">
        <v>4313</v>
      </c>
      <c r="I25" s="2">
        <v>4313</v>
      </c>
      <c r="J25" s="2">
        <v>4313</v>
      </c>
      <c r="K25" s="2">
        <v>4313</v>
      </c>
      <c r="L25" s="2">
        <v>4313</v>
      </c>
      <c r="M25" s="2">
        <v>4313</v>
      </c>
      <c r="N25" s="2">
        <v>4313</v>
      </c>
      <c r="O25" s="2">
        <v>4313</v>
      </c>
      <c r="P25" s="2">
        <v>4313</v>
      </c>
      <c r="Q25" s="2">
        <v>4313</v>
      </c>
      <c r="R25" s="2">
        <v>4313</v>
      </c>
      <c r="S25" s="2">
        <v>4319</v>
      </c>
      <c r="T25" s="2">
        <v>4343</v>
      </c>
      <c r="U25" s="2">
        <f>4369</f>
        <v>4369</v>
      </c>
      <c r="V25" s="2">
        <f>4514</f>
        <v>4514</v>
      </c>
      <c r="W25" s="2">
        <f>4514</f>
        <v>4514</v>
      </c>
      <c r="X25" s="2"/>
      <c r="Y25" s="2"/>
      <c r="Z25" s="2"/>
      <c r="AA25" s="2"/>
      <c r="AC25" s="2">
        <v>4313</v>
      </c>
      <c r="AD25" s="2">
        <v>4313</v>
      </c>
      <c r="AE25" s="2">
        <v>4313</v>
      </c>
      <c r="AF25" s="2">
        <v>4313</v>
      </c>
      <c r="AG25" s="2">
        <v>4313</v>
      </c>
      <c r="AH25" s="2">
        <v>4313</v>
      </c>
      <c r="AI25" s="2">
        <v>4319</v>
      </c>
      <c r="AJ25" s="2">
        <f>4514</f>
        <v>4514</v>
      </c>
      <c r="AK25" s="2">
        <f>4514</f>
        <v>4514</v>
      </c>
      <c r="AL25" s="2">
        <f>4514</f>
        <v>4514</v>
      </c>
      <c r="AM25" s="2">
        <f>4514</f>
        <v>4514</v>
      </c>
      <c r="AN25" s="2">
        <f>4514</f>
        <v>4514</v>
      </c>
      <c r="AO25" s="2">
        <f>4514</f>
        <v>4514</v>
      </c>
      <c r="AP25" s="2">
        <f>4514</f>
        <v>4514</v>
      </c>
      <c r="AQ25" s="2">
        <f>4514</f>
        <v>4514</v>
      </c>
      <c r="AR25" s="2">
        <f>4514</f>
        <v>4514</v>
      </c>
      <c r="AS25" s="2">
        <f>4514</f>
        <v>4514</v>
      </c>
      <c r="AT25" s="2">
        <f>4514</f>
        <v>4514</v>
      </c>
    </row>
    <row r="26" spans="2:156" x14ac:dyDescent="0.3">
      <c r="B26" t="s">
        <v>32</v>
      </c>
      <c r="C26" s="6">
        <f t="shared" ref="C26:S26" si="40">C24/C25</f>
        <v>1.3579874797124971</v>
      </c>
      <c r="D26" s="6">
        <f t="shared" si="40"/>
        <v>0.77927196846742408</v>
      </c>
      <c r="E26" s="6">
        <f t="shared" si="40"/>
        <v>1.1734291676327382</v>
      </c>
      <c r="F26" s="6">
        <f t="shared" si="40"/>
        <v>1.5819615117087873</v>
      </c>
      <c r="G26" s="6">
        <f t="shared" si="40"/>
        <v>1.071875724553675</v>
      </c>
      <c r="H26" s="6">
        <f t="shared" si="40"/>
        <v>1.8810572687224669</v>
      </c>
      <c r="I26" s="6">
        <f t="shared" si="40"/>
        <v>-0.10526315789473684</v>
      </c>
      <c r="J26" s="6">
        <f t="shared" si="40"/>
        <v>0.23626246232320891</v>
      </c>
      <c r="K26" s="6">
        <f t="shared" si="40"/>
        <v>-0.15395316485045213</v>
      </c>
      <c r="L26" s="6">
        <f t="shared" si="40"/>
        <v>-0.63946209135172738</v>
      </c>
      <c r="M26" s="6">
        <f t="shared" si="40"/>
        <v>0.3433804776257825</v>
      </c>
      <c r="N26" s="6">
        <f t="shared" si="40"/>
        <v>6.8861581265940178E-2</v>
      </c>
      <c r="O26" s="6">
        <f t="shared" si="40"/>
        <v>0.68142824020403436</v>
      </c>
      <c r="P26" s="6">
        <f t="shared" si="40"/>
        <v>-8.8337584048226295E-2</v>
      </c>
      <c r="Q26" s="6">
        <f t="shared" si="40"/>
        <v>-0.37329005332715048</v>
      </c>
      <c r="R26" s="6">
        <f t="shared" si="40"/>
        <v>-3.8578715511245072</v>
      </c>
      <c r="S26" s="6">
        <f t="shared" si="40"/>
        <v>-2.9173419773095625E-2</v>
      </c>
      <c r="T26" s="6">
        <f t="shared" ref="T26:W26" si="41">T24/T25</f>
        <v>-0.18903983421597972</v>
      </c>
      <c r="U26" s="6">
        <f t="shared" si="41"/>
        <v>-0.66788738841840234</v>
      </c>
      <c r="V26" s="6">
        <f t="shared" si="41"/>
        <v>0.9000886132033673</v>
      </c>
      <c r="W26" s="6">
        <f t="shared" si="41"/>
        <v>-0.1309260079751883</v>
      </c>
      <c r="X26" s="6"/>
      <c r="Y26" s="6"/>
      <c r="Z26" s="6"/>
      <c r="AA26" s="6"/>
      <c r="AC26" s="6">
        <f t="shared" ref="AC26:AI26" si="42">AC24/AC25</f>
        <v>4.881289125898447</v>
      </c>
      <c r="AD26" s="6">
        <f t="shared" si="42"/>
        <v>4.8801298400185482</v>
      </c>
      <c r="AE26" s="6">
        <f t="shared" si="42"/>
        <v>4.8455831207975884</v>
      </c>
      <c r="AF26" s="6">
        <f t="shared" si="42"/>
        <v>4.6065383723626248</v>
      </c>
      <c r="AG26" s="6">
        <f t="shared" si="42"/>
        <v>1.8581034083004868</v>
      </c>
      <c r="AH26" s="6">
        <f t="shared" si="42"/>
        <v>0.4542082077440297</v>
      </c>
      <c r="AI26" s="6">
        <f t="shared" si="42"/>
        <v>-4.3426719147950914</v>
      </c>
      <c r="AJ26" s="6">
        <f t="shared" ref="AJ26:AT26" si="43">AJ24/AJ25</f>
        <v>-5.9149313247673904E-2</v>
      </c>
      <c r="AK26" s="6">
        <f t="shared" si="43"/>
        <v>1.2820295303500229</v>
      </c>
      <c r="AL26" s="6">
        <f t="shared" si="43"/>
        <v>1.7905206633584407</v>
      </c>
      <c r="AM26" s="6">
        <f t="shared" si="43"/>
        <v>2.0074316571023489</v>
      </c>
      <c r="AN26" s="6">
        <f t="shared" si="43"/>
        <v>2.1712090093825216</v>
      </c>
      <c r="AO26" s="6">
        <f t="shared" si="43"/>
        <v>2.3056717126712938</v>
      </c>
      <c r="AP26" s="6">
        <f t="shared" si="43"/>
        <v>2.4443873134723102</v>
      </c>
      <c r="AQ26" s="6">
        <f t="shared" si="43"/>
        <v>2.5818595365560899</v>
      </c>
      <c r="AR26" s="6">
        <f t="shared" si="43"/>
        <v>2.7199085347925909</v>
      </c>
      <c r="AS26" s="6">
        <f t="shared" si="43"/>
        <v>2.859850118752802</v>
      </c>
      <c r="AT26" s="6">
        <f t="shared" si="43"/>
        <v>3.0026484969305294</v>
      </c>
    </row>
    <row r="27" spans="2:156" x14ac:dyDescent="0.3">
      <c r="R27" s="2"/>
    </row>
    <row r="28" spans="2:156" x14ac:dyDescent="0.3">
      <c r="B28" t="s">
        <v>96</v>
      </c>
      <c r="P28" s="8">
        <f t="shared" ref="P28:Q34" si="44">P3/L3-1</f>
        <v>0.30973922299095258</v>
      </c>
      <c r="Q28" s="8">
        <f t="shared" si="44"/>
        <v>6.6244725738396681E-2</v>
      </c>
      <c r="R28" s="8">
        <f>R3/N3-1</f>
        <v>-0.24809298946603708</v>
      </c>
      <c r="S28" s="14" t="e">
        <f>S3/O3-1</f>
        <v>#DIV/0!</v>
      </c>
      <c r="T28" s="14"/>
      <c r="U28" s="14"/>
      <c r="V28" s="14"/>
      <c r="W28" s="14"/>
      <c r="X28" s="14"/>
      <c r="Y28" s="14"/>
      <c r="Z28" s="14"/>
      <c r="AA28" s="14"/>
      <c r="AI28" s="14">
        <f>AI3/AH3-1</f>
        <v>7.9977149385890289E-3</v>
      </c>
      <c r="AJ28" s="8">
        <v>0.02</v>
      </c>
      <c r="AK28" s="14">
        <v>0.02</v>
      </c>
      <c r="AL28" s="8">
        <v>0.02</v>
      </c>
      <c r="AM28" s="8">
        <v>0.02</v>
      </c>
      <c r="AN28" s="8">
        <v>0.02</v>
      </c>
      <c r="AO28" s="8">
        <v>0.01</v>
      </c>
      <c r="AP28" s="8">
        <v>0.01</v>
      </c>
      <c r="AQ28" s="8">
        <v>0.01</v>
      </c>
      <c r="AR28" s="8">
        <v>0.01</v>
      </c>
      <c r="AS28" s="8">
        <v>0.01</v>
      </c>
      <c r="AT28" s="8">
        <v>0.01</v>
      </c>
    </row>
    <row r="29" spans="2:156" x14ac:dyDescent="0.3">
      <c r="B29" t="s">
        <v>97</v>
      </c>
      <c r="P29" s="8">
        <f t="shared" si="44"/>
        <v>0.37393601408864097</v>
      </c>
      <c r="Q29" s="8">
        <f t="shared" si="44"/>
        <v>0.14989733059548249</v>
      </c>
      <c r="R29" s="8">
        <f t="shared" ref="R29:S34" si="45">R4/N4-1</f>
        <v>8.5498556517876967E-2</v>
      </c>
      <c r="S29" s="14" t="e">
        <f t="shared" si="45"/>
        <v>#DIV/0!</v>
      </c>
      <c r="T29" s="14"/>
      <c r="U29" s="14"/>
      <c r="V29" s="14"/>
      <c r="W29" s="14"/>
      <c r="X29" s="14"/>
      <c r="Y29" s="14"/>
      <c r="Z29" s="14"/>
      <c r="AA29" s="14"/>
      <c r="AI29" s="14">
        <f t="shared" ref="AI29:AI34" si="46">AI4/AH4-1</f>
        <v>0.18998814162290367</v>
      </c>
      <c r="AJ29" s="8">
        <v>0.1</v>
      </c>
      <c r="AK29" s="14">
        <v>7.0000000000000007E-2</v>
      </c>
      <c r="AL29" s="8">
        <v>0.04</v>
      </c>
      <c r="AM29" s="8">
        <v>0.03</v>
      </c>
      <c r="AN29" s="8">
        <v>0.02</v>
      </c>
      <c r="AO29" s="8">
        <v>0.02</v>
      </c>
      <c r="AP29" s="8">
        <v>0.01</v>
      </c>
      <c r="AQ29" s="8">
        <v>0.01</v>
      </c>
      <c r="AR29" s="8">
        <v>0.01</v>
      </c>
      <c r="AS29" s="8">
        <v>0.01</v>
      </c>
      <c r="AT29" s="8">
        <v>0.01</v>
      </c>
    </row>
    <row r="30" spans="2:156" x14ac:dyDescent="0.3">
      <c r="B30" t="s">
        <v>98</v>
      </c>
      <c r="P30" s="8">
        <f t="shared" si="44"/>
        <v>-0.18711018711018712</v>
      </c>
      <c r="Q30" s="8">
        <f t="shared" si="44"/>
        <v>-0.21595330739299612</v>
      </c>
      <c r="R30" s="8">
        <f t="shared" si="45"/>
        <v>-0.39116202945990175</v>
      </c>
      <c r="S30" s="14">
        <f t="shared" si="45"/>
        <v>-9.3509724106739078E-2</v>
      </c>
      <c r="T30" s="14"/>
      <c r="U30" s="14"/>
      <c r="V30" s="14"/>
      <c r="W30" s="14">
        <f t="shared" ref="W30" si="47">W5/S5-1</f>
        <v>2.282649370088552E-2</v>
      </c>
      <c r="X30" s="14"/>
      <c r="Y30" s="14"/>
      <c r="Z30" s="14"/>
      <c r="AA30" s="14"/>
      <c r="AI30" s="14">
        <f t="shared" si="46"/>
        <v>-0.12124401913875593</v>
      </c>
      <c r="AJ30" s="8">
        <v>-0.05</v>
      </c>
      <c r="AK30" s="14">
        <v>-0.05</v>
      </c>
      <c r="AL30" s="8">
        <v>-0.05</v>
      </c>
      <c r="AM30" s="8">
        <v>-0.05</v>
      </c>
      <c r="AN30" s="8">
        <v>-0.05</v>
      </c>
      <c r="AO30" s="8">
        <v>-0.05</v>
      </c>
      <c r="AP30" s="8">
        <v>-0.05</v>
      </c>
      <c r="AQ30" s="8">
        <v>-0.05</v>
      </c>
      <c r="AR30" s="8">
        <v>-0.05</v>
      </c>
      <c r="AS30" s="8">
        <v>-0.05</v>
      </c>
      <c r="AT30" s="8">
        <v>-0.05</v>
      </c>
    </row>
    <row r="31" spans="2:156" x14ac:dyDescent="0.3">
      <c r="B31" t="s">
        <v>99</v>
      </c>
      <c r="P31" s="8">
        <f t="shared" si="44"/>
        <v>4.6535677352637084E-2</v>
      </c>
      <c r="Q31" s="8">
        <f t="shared" si="44"/>
        <v>-3.4865293185419977E-2</v>
      </c>
      <c r="R31" s="8">
        <f t="shared" si="45"/>
        <v>8.8751625487646368E-2</v>
      </c>
      <c r="S31" s="8">
        <f t="shared" si="45"/>
        <v>-3.3114473308592629E-2</v>
      </c>
      <c r="T31" s="8">
        <f t="shared" ref="T31:W34" si="48">T6/P6-1</f>
        <v>0.35902503293807642</v>
      </c>
      <c r="U31" s="8">
        <f t="shared" si="48"/>
        <v>0.29359605911330044</v>
      </c>
      <c r="V31" s="8">
        <f t="shared" si="48"/>
        <v>0.22424604359510303</v>
      </c>
      <c r="W31" s="8">
        <f t="shared" si="48"/>
        <v>0.38765869501033356</v>
      </c>
      <c r="X31" s="8"/>
      <c r="Y31" s="8"/>
      <c r="Z31" s="8"/>
      <c r="AA31" s="8"/>
      <c r="AI31" s="14">
        <f t="shared" si="46"/>
        <v>1.440443213296394E-2</v>
      </c>
      <c r="AJ31" s="8">
        <v>0.14000000000000001</v>
      </c>
      <c r="AK31" s="14">
        <v>0.08</v>
      </c>
      <c r="AL31" s="8">
        <v>0.06</v>
      </c>
      <c r="AM31" s="8">
        <v>0.04</v>
      </c>
      <c r="AN31" s="8">
        <v>0.03</v>
      </c>
      <c r="AO31" s="8">
        <v>0.03</v>
      </c>
      <c r="AP31" s="8">
        <v>0.03</v>
      </c>
      <c r="AQ31" s="8">
        <v>0.03</v>
      </c>
      <c r="AR31" s="8">
        <v>0.03</v>
      </c>
      <c r="AS31" s="8">
        <v>0.03</v>
      </c>
      <c r="AT31" s="8">
        <v>0.03</v>
      </c>
    </row>
    <row r="32" spans="2:156" x14ac:dyDescent="0.3">
      <c r="B32" t="s">
        <v>100</v>
      </c>
      <c r="P32" s="8">
        <f t="shared" si="44"/>
        <v>-8.3948959032907999E-2</v>
      </c>
      <c r="Q32" s="8">
        <f t="shared" si="44"/>
        <v>-1.4662756598240456E-2</v>
      </c>
      <c r="R32" s="8">
        <f t="shared" si="45"/>
        <v>4.2068965517241486E-2</v>
      </c>
      <c r="S32" s="8">
        <f t="shared" si="45"/>
        <v>0.1033310673011556</v>
      </c>
      <c r="T32" s="8">
        <f t="shared" si="48"/>
        <v>-1</v>
      </c>
      <c r="U32" s="8">
        <f t="shared" si="48"/>
        <v>-1</v>
      </c>
      <c r="V32" s="8">
        <f t="shared" si="48"/>
        <v>-1</v>
      </c>
      <c r="W32" s="8">
        <f t="shared" si="48"/>
        <v>-1</v>
      </c>
      <c r="X32" s="8"/>
      <c r="Y32" s="8"/>
      <c r="Z32" s="8"/>
      <c r="AA32" s="8"/>
      <c r="AI32" s="14">
        <f t="shared" si="46"/>
        <v>1.17769310703153E-2</v>
      </c>
      <c r="AJ32" s="8">
        <v>-0.02</v>
      </c>
      <c r="AK32" s="14">
        <v>-0.02</v>
      </c>
      <c r="AL32" s="8">
        <v>-0.02</v>
      </c>
      <c r="AM32" s="8">
        <v>-0.02</v>
      </c>
      <c r="AN32" s="8">
        <v>-0.02</v>
      </c>
      <c r="AO32" s="8">
        <v>-0.02</v>
      </c>
      <c r="AP32" s="8">
        <v>-0.02</v>
      </c>
      <c r="AQ32" s="8">
        <v>-0.02</v>
      </c>
      <c r="AR32" s="8">
        <v>-0.02</v>
      </c>
      <c r="AS32" s="8">
        <v>-0.02</v>
      </c>
      <c r="AT32" s="8">
        <v>-0.02</v>
      </c>
    </row>
    <row r="33" spans="2:49" x14ac:dyDescent="0.3">
      <c r="B33" t="s">
        <v>101</v>
      </c>
      <c r="P33" s="8">
        <f t="shared" si="44"/>
        <v>-9.5632374249637775E-2</v>
      </c>
      <c r="Q33" s="8">
        <f t="shared" si="44"/>
        <v>3.5474592521572479E-2</v>
      </c>
      <c r="R33" s="8">
        <f t="shared" si="45"/>
        <v>-8.0304311073541856E-2</v>
      </c>
      <c r="S33" s="8">
        <f t="shared" si="45"/>
        <v>-0.13004830917874399</v>
      </c>
      <c r="T33" s="8">
        <f t="shared" si="48"/>
        <v>-1</v>
      </c>
      <c r="U33" s="8">
        <f t="shared" si="48"/>
        <v>-1</v>
      </c>
      <c r="V33" s="8">
        <f t="shared" si="48"/>
        <v>-3.4926470588235281E-2</v>
      </c>
      <c r="W33" s="8">
        <f t="shared" si="48"/>
        <v>-4.4424700133272044E-4</v>
      </c>
      <c r="X33" s="8"/>
      <c r="Y33" s="8"/>
      <c r="Z33" s="8"/>
      <c r="AA33" s="8"/>
      <c r="AI33" s="14">
        <f t="shared" si="46"/>
        <v>-7.2289793759915399E-2</v>
      </c>
      <c r="AJ33" s="8">
        <v>0.03</v>
      </c>
      <c r="AK33" s="14">
        <v>0.08</v>
      </c>
      <c r="AL33" s="8">
        <v>0.06</v>
      </c>
      <c r="AM33" s="8">
        <v>0.04</v>
      </c>
      <c r="AN33" s="8">
        <v>0.03</v>
      </c>
      <c r="AO33" s="8">
        <v>0.02</v>
      </c>
      <c r="AP33" s="8">
        <v>0.02</v>
      </c>
      <c r="AQ33" s="8">
        <v>0.02</v>
      </c>
      <c r="AR33" s="8">
        <v>0.02</v>
      </c>
      <c r="AS33" s="8">
        <v>0.02</v>
      </c>
      <c r="AT33" s="8">
        <v>0.02</v>
      </c>
    </row>
    <row r="34" spans="2:49" x14ac:dyDescent="0.3">
      <c r="B34" t="s">
        <v>102</v>
      </c>
      <c r="P34" s="8">
        <f t="shared" si="44"/>
        <v>-0.46180555555555558</v>
      </c>
      <c r="Q34" s="8">
        <f t="shared" si="44"/>
        <v>-0.31782945736434109</v>
      </c>
      <c r="R34" s="8">
        <f t="shared" si="45"/>
        <v>-0.28443526170798894</v>
      </c>
      <c r="S34" s="8">
        <f t="shared" si="45"/>
        <v>-0.19660755589822665</v>
      </c>
      <c r="T34" s="8">
        <f t="shared" si="48"/>
        <v>-1</v>
      </c>
      <c r="U34" s="8">
        <f t="shared" si="48"/>
        <v>-1</v>
      </c>
      <c r="V34" s="8">
        <f t="shared" si="48"/>
        <v>-3.7536092396535103E-2</v>
      </c>
      <c r="W34" s="8">
        <f t="shared" si="48"/>
        <v>-0.42418426103646834</v>
      </c>
      <c r="X34" s="8"/>
      <c r="Y34" s="8"/>
      <c r="Z34" s="8"/>
      <c r="AA34" s="8"/>
      <c r="AI34" s="14">
        <f t="shared" si="46"/>
        <v>-0.31811697574893005</v>
      </c>
      <c r="AJ34" s="8">
        <v>-0.05</v>
      </c>
      <c r="AK34" s="14">
        <v>-0.05</v>
      </c>
      <c r="AL34" s="8">
        <v>-0.05</v>
      </c>
      <c r="AM34" s="8">
        <v>-0.05</v>
      </c>
      <c r="AN34" s="8">
        <v>-0.05</v>
      </c>
      <c r="AO34" s="8">
        <v>-0.05</v>
      </c>
      <c r="AP34" s="8">
        <v>-0.05</v>
      </c>
      <c r="AQ34" s="8">
        <v>-0.05</v>
      </c>
      <c r="AR34" s="8">
        <v>-0.05</v>
      </c>
      <c r="AS34" s="8">
        <v>-0.05</v>
      </c>
      <c r="AT34" s="8">
        <v>-0.05</v>
      </c>
    </row>
    <row r="35" spans="2:49" s="1" customFormat="1" x14ac:dyDescent="0.3">
      <c r="B35" s="1" t="s">
        <v>44</v>
      </c>
      <c r="G35" s="10">
        <f>G11/C11-1</f>
        <v>2.7530283311642867E-2</v>
      </c>
      <c r="H35" s="10">
        <f t="shared" ref="H35:S35" si="49">H11/D11-1</f>
        <v>-6.7097036547552502E-2</v>
      </c>
      <c r="I35" s="10">
        <f t="shared" si="49"/>
        <v>-0.2195507106107687</v>
      </c>
      <c r="J35" s="10">
        <f t="shared" si="49"/>
        <v>-0.20081283868278454</v>
      </c>
      <c r="K35" s="10">
        <f t="shared" si="49"/>
        <v>-0.31595869056897896</v>
      </c>
      <c r="L35" s="10">
        <f t="shared" si="49"/>
        <v>-0.36168473818994173</v>
      </c>
      <c r="M35" s="10">
        <f t="shared" si="49"/>
        <v>-0.15482018145029697</v>
      </c>
      <c r="N35" s="10">
        <f t="shared" si="49"/>
        <v>-7.6933107315164895E-2</v>
      </c>
      <c r="O35" s="10">
        <f t="shared" si="49"/>
        <v>9.7137159948725182E-2</v>
      </c>
      <c r="P35" s="10">
        <f t="shared" si="49"/>
        <v>8.6128894579598825E-2</v>
      </c>
      <c r="Q35" s="10">
        <f t="shared" si="49"/>
        <v>-8.9582207120241231E-3</v>
      </c>
      <c r="R35" s="10">
        <f t="shared" si="49"/>
        <v>-6.1731883034326862E-2</v>
      </c>
      <c r="S35" s="10">
        <f t="shared" si="49"/>
        <v>-7.4386602622354969E-2</v>
      </c>
      <c r="T35" s="10">
        <f t="shared" ref="T35" si="50">T11/P11-1</f>
        <v>-4.4797233574347395E-3</v>
      </c>
      <c r="U35" s="10">
        <f t="shared" ref="U35" si="51">U11/Q11-1</f>
        <v>2.0260266500429225E-3</v>
      </c>
      <c r="V35" s="10">
        <f t="shared" ref="V35" si="52">V11/R11-1</f>
        <v>2.7777777777777679E-2</v>
      </c>
      <c r="W35" s="10">
        <f t="shared" ref="W35" si="53">W11/S11-1</f>
        <v>-4.1093969144460063E-2</v>
      </c>
      <c r="X35" s="10"/>
      <c r="Y35" s="10"/>
      <c r="Z35" s="10"/>
      <c r="AA35" s="10"/>
      <c r="AD35" s="10">
        <f>AD11/AC11-1</f>
        <v>1.576614724480585E-2</v>
      </c>
      <c r="AE35" s="10">
        <f t="shared" ref="AE35:AT35" si="54">AE11/AD11-1</f>
        <v>8.2012089210032668E-2</v>
      </c>
      <c r="AF35" s="10">
        <f t="shared" si="54"/>
        <v>1.4858669269395275E-2</v>
      </c>
      <c r="AG35" s="10">
        <f t="shared" si="54"/>
        <v>-0.20209050415063778</v>
      </c>
      <c r="AH35" s="10">
        <f t="shared" si="54"/>
        <v>-0.13997525930155108</v>
      </c>
      <c r="AI35" s="10">
        <f t="shared" si="54"/>
        <v>-2.0782621523935951E-2</v>
      </c>
      <c r="AJ35" s="10">
        <f t="shared" si="54"/>
        <v>-4.6703451912393223E-3</v>
      </c>
      <c r="AK35" s="10">
        <f t="shared" si="54"/>
        <v>0.10000000000000009</v>
      </c>
      <c r="AL35" s="10">
        <f t="shared" si="54"/>
        <v>7.0000000000000062E-2</v>
      </c>
      <c r="AM35" s="10">
        <f t="shared" si="54"/>
        <v>5.0000000000000044E-2</v>
      </c>
      <c r="AN35" s="10">
        <f t="shared" si="54"/>
        <v>4.0000000000000036E-2</v>
      </c>
      <c r="AO35" s="10">
        <f t="shared" si="54"/>
        <v>3.0000000000000027E-2</v>
      </c>
      <c r="AP35" s="10">
        <f t="shared" si="54"/>
        <v>3.0000000000000027E-2</v>
      </c>
      <c r="AQ35" s="10">
        <f t="shared" si="54"/>
        <v>3.0000000000000027E-2</v>
      </c>
      <c r="AR35" s="10">
        <f t="shared" si="54"/>
        <v>3.0000000000000027E-2</v>
      </c>
      <c r="AS35" s="10">
        <f t="shared" si="54"/>
        <v>3.0000000000000027E-2</v>
      </c>
      <c r="AT35" s="10">
        <f t="shared" si="54"/>
        <v>3.0000000000000027E-2</v>
      </c>
    </row>
    <row r="36" spans="2:49" x14ac:dyDescent="0.3">
      <c r="B36" t="s">
        <v>43</v>
      </c>
      <c r="C36" s="8">
        <f t="shared" ref="C36:F36" si="55">C13/C11</f>
        <v>0.568024827310041</v>
      </c>
      <c r="D36" s="8">
        <f t="shared" si="55"/>
        <v>0.55172063233873836</v>
      </c>
      <c r="E36" s="8">
        <f t="shared" si="55"/>
        <v>0.57083184758799854</v>
      </c>
      <c r="F36" s="8">
        <f t="shared" si="55"/>
        <v>0.55992080033347225</v>
      </c>
      <c r="G36" s="8">
        <f>G13/G11</f>
        <v>0.53629189399844113</v>
      </c>
      <c r="H36" s="8">
        <f t="shared" ref="H36:S36" si="56">H13/H11</f>
        <v>0.50367787282733067</v>
      </c>
      <c r="I36" s="8">
        <f t="shared" si="56"/>
        <v>0.36466288101298872</v>
      </c>
      <c r="J36" s="8">
        <f t="shared" si="56"/>
        <v>0.42606597991915501</v>
      </c>
      <c r="K36" s="8">
        <f t="shared" si="56"/>
        <v>0.39168209656744052</v>
      </c>
      <c r="L36" s="8">
        <f t="shared" si="56"/>
        <v>0.34212548015364919</v>
      </c>
      <c r="M36" s="8">
        <f t="shared" si="56"/>
        <v>0.35817437639972199</v>
      </c>
      <c r="N36" s="8">
        <f t="shared" si="56"/>
        <v>0.42506003672835146</v>
      </c>
      <c r="O36" s="8">
        <f t="shared" si="56"/>
        <v>0.45741918732961184</v>
      </c>
      <c r="P36" s="8">
        <f t="shared" si="56"/>
        <v>0.41001257466205598</v>
      </c>
      <c r="Q36" s="8">
        <f t="shared" si="56"/>
        <v>0.35432089145172602</v>
      </c>
      <c r="R36" s="8">
        <f t="shared" si="56"/>
        <v>0.15033122553447756</v>
      </c>
      <c r="S36" s="8">
        <f t="shared" si="56"/>
        <v>0.39158485273492288</v>
      </c>
      <c r="T36" s="8">
        <f t="shared" ref="T36:W36" si="57">T13/T11</f>
        <v>0.36883239914739085</v>
      </c>
      <c r="U36" s="8">
        <f t="shared" si="57"/>
        <v>0.27544910179640719</v>
      </c>
      <c r="V36" s="8">
        <f t="shared" si="57"/>
        <v>0.38218706511389439</v>
      </c>
      <c r="W36" s="8">
        <f t="shared" si="57"/>
        <v>0.36148895714494661</v>
      </c>
      <c r="X36" s="8"/>
      <c r="Y36" s="8"/>
      <c r="Z36" s="8"/>
      <c r="AA36" s="8"/>
      <c r="AC36" s="8">
        <f t="shared" ref="AC36" si="58">AC13/AC11</f>
        <v>0.61733570460704612</v>
      </c>
      <c r="AD36" s="8">
        <f t="shared" ref="AD36:AT36" si="59">AD13/AD11</f>
        <v>0.5855624261793928</v>
      </c>
      <c r="AE36" s="8">
        <f t="shared" si="59"/>
        <v>0.5600832188218372</v>
      </c>
      <c r="AF36" s="8">
        <f t="shared" si="59"/>
        <v>0.5544518121077141</v>
      </c>
      <c r="AG36" s="8">
        <f t="shared" si="59"/>
        <v>0.42607923367272499</v>
      </c>
      <c r="AH36" s="8">
        <f t="shared" si="59"/>
        <v>0.40036512502766097</v>
      </c>
      <c r="AI36" s="8">
        <f t="shared" si="59"/>
        <v>0.32664168283083184</v>
      </c>
      <c r="AJ36" s="8">
        <f t="shared" si="59"/>
        <v>0.34766238434904356</v>
      </c>
      <c r="AK36" s="8">
        <f t="shared" si="59"/>
        <v>0.4</v>
      </c>
      <c r="AL36" s="8">
        <f t="shared" si="59"/>
        <v>0.42</v>
      </c>
      <c r="AM36" s="8">
        <f t="shared" si="59"/>
        <v>0.42</v>
      </c>
      <c r="AN36" s="8">
        <f t="shared" si="59"/>
        <v>0.42</v>
      </c>
      <c r="AO36" s="8">
        <f t="shared" si="59"/>
        <v>0.42</v>
      </c>
      <c r="AP36" s="8">
        <f t="shared" si="59"/>
        <v>0.42</v>
      </c>
      <c r="AQ36" s="8">
        <f t="shared" si="59"/>
        <v>0.42</v>
      </c>
      <c r="AR36" s="8">
        <f t="shared" si="59"/>
        <v>0.42</v>
      </c>
      <c r="AS36" s="8">
        <f t="shared" si="59"/>
        <v>0.41999999999999993</v>
      </c>
      <c r="AT36" s="8">
        <f t="shared" si="59"/>
        <v>0.42</v>
      </c>
    </row>
    <row r="37" spans="2:49" x14ac:dyDescent="0.3">
      <c r="B37" t="s">
        <v>45</v>
      </c>
      <c r="C37" s="8"/>
      <c r="D37" s="8"/>
      <c r="E37" s="8"/>
      <c r="F37" s="8"/>
      <c r="G37" s="8">
        <f>G14/C14-1</f>
        <v>0.10779753761969912</v>
      </c>
      <c r="H37" s="8">
        <f t="shared" ref="H37:S37" si="60">H14/D14-1</f>
        <v>0.20397460667954737</v>
      </c>
      <c r="I37" s="8">
        <f t="shared" si="60"/>
        <v>0.18438761776581436</v>
      </c>
      <c r="J37" s="8">
        <f t="shared" si="60"/>
        <v>0.13121220089403107</v>
      </c>
      <c r="K37" s="8">
        <f t="shared" si="60"/>
        <v>0.10249444307236355</v>
      </c>
      <c r="L37" s="8">
        <f t="shared" si="60"/>
        <v>-5.8000917010545661E-2</v>
      </c>
      <c r="M37" s="8">
        <f t="shared" si="60"/>
        <v>-7.2727272727272751E-2</v>
      </c>
      <c r="N37" s="8">
        <f t="shared" si="60"/>
        <v>-0.10041841004184104</v>
      </c>
      <c r="O37" s="8">
        <f t="shared" si="60"/>
        <v>-0.10685483870967738</v>
      </c>
      <c r="P37" s="8">
        <f t="shared" si="60"/>
        <v>6.6439522998296363E-2</v>
      </c>
      <c r="Q37" s="8">
        <f t="shared" si="60"/>
        <v>3.8970588235294201E-2</v>
      </c>
      <c r="R37" s="8">
        <f t="shared" si="60"/>
        <v>4.6253229974160259E-2</v>
      </c>
      <c r="S37" s="8">
        <f t="shared" si="60"/>
        <v>-2.7840481565086561E-2</v>
      </c>
      <c r="T37" s="8">
        <f t="shared" ref="T37:T38" si="61">T14/P14-1</f>
        <v>-0.16932907348242809</v>
      </c>
      <c r="U37" s="8">
        <f t="shared" ref="U37:U38" si="62">U14/Q14-1</f>
        <v>-0.13092710544939845</v>
      </c>
      <c r="V37" s="8">
        <f t="shared" ref="V37:V38" si="63">V14/R14-1</f>
        <v>-0.2020251914052853</v>
      </c>
      <c r="W37" s="8">
        <f t="shared" ref="W37:W38" si="64">W14/S14-1</f>
        <v>-0.16950464396284826</v>
      </c>
      <c r="X37" s="8"/>
      <c r="Y37" s="8"/>
      <c r="Z37" s="8"/>
      <c r="AA37" s="8"/>
      <c r="AC37" s="8"/>
      <c r="AD37" s="8">
        <f>AD14/AC14-1</f>
        <v>-1.3364837923650619E-2</v>
      </c>
      <c r="AE37" s="8">
        <f t="shared" ref="AE37:AT37" si="65">AE14/AD14-1</f>
        <v>1.451878461308187E-2</v>
      </c>
      <c r="AF37" s="8">
        <f t="shared" si="65"/>
        <v>0.12053703157273521</v>
      </c>
      <c r="AG37" s="8">
        <f t="shared" si="65"/>
        <v>0.15391705069124417</v>
      </c>
      <c r="AH37" s="8">
        <f t="shared" si="65"/>
        <v>-8.4550433591967122E-2</v>
      </c>
      <c r="AI37" s="8">
        <f t="shared" si="65"/>
        <v>3.116041381029544E-2</v>
      </c>
      <c r="AJ37" s="8">
        <f t="shared" si="65"/>
        <v>-0.16753293847455575</v>
      </c>
      <c r="AK37" s="8">
        <f t="shared" si="65"/>
        <v>-2.0000000000000018E-2</v>
      </c>
      <c r="AL37" s="8">
        <f t="shared" si="65"/>
        <v>2.0000000000000018E-2</v>
      </c>
      <c r="AM37" s="8">
        <f t="shared" si="65"/>
        <v>2.0000000000000018E-2</v>
      </c>
      <c r="AN37" s="8">
        <f t="shared" si="65"/>
        <v>2.0000000000000018E-2</v>
      </c>
      <c r="AO37" s="8">
        <f t="shared" si="65"/>
        <v>1.0000000000000009E-2</v>
      </c>
      <c r="AP37" s="8">
        <f t="shared" si="65"/>
        <v>1.0000000000000009E-2</v>
      </c>
      <c r="AQ37" s="8">
        <f t="shared" si="65"/>
        <v>1.0000000000000009E-2</v>
      </c>
      <c r="AR37" s="8">
        <f t="shared" si="65"/>
        <v>1.0000000000000009E-2</v>
      </c>
      <c r="AS37" s="8">
        <f t="shared" si="65"/>
        <v>1.0000000000000009E-2</v>
      </c>
      <c r="AT37" s="8">
        <f t="shared" si="65"/>
        <v>1.0000000000000009E-2</v>
      </c>
      <c r="AV37" t="s">
        <v>49</v>
      </c>
      <c r="AW37" s="8">
        <v>-0.01</v>
      </c>
    </row>
    <row r="38" spans="2:49" x14ac:dyDescent="0.3">
      <c r="B38" t="s">
        <v>46</v>
      </c>
      <c r="C38" s="8"/>
      <c r="D38" s="8"/>
      <c r="E38" s="8"/>
      <c r="F38" s="8"/>
      <c r="G38" s="8">
        <f>G15/C15-1</f>
        <v>0.10529311326124069</v>
      </c>
      <c r="H38" s="8">
        <f t="shared" ref="H38:S38" si="66">H15/D15-1</f>
        <v>0.31927710843373491</v>
      </c>
      <c r="I38" s="8">
        <f t="shared" si="66"/>
        <v>0.12570356472795496</v>
      </c>
      <c r="J38" s="8">
        <f t="shared" si="66"/>
        <v>4.1816009557944955E-2</v>
      </c>
      <c r="K38" s="8">
        <f t="shared" si="66"/>
        <v>-0.12152420185375901</v>
      </c>
      <c r="L38" s="8">
        <f t="shared" si="66"/>
        <v>-0.25627853881278539</v>
      </c>
      <c r="M38" s="8">
        <f t="shared" si="66"/>
        <v>-0.23666666666666669</v>
      </c>
      <c r="N38" s="8">
        <f t="shared" si="66"/>
        <v>-0.23165137614678899</v>
      </c>
      <c r="O38" s="8">
        <f t="shared" si="66"/>
        <v>-5.216881594372802E-2</v>
      </c>
      <c r="P38" s="8">
        <f t="shared" si="66"/>
        <v>0.19416730621642353</v>
      </c>
      <c r="Q38" s="8">
        <f t="shared" si="66"/>
        <v>-3.2751091703056789E-2</v>
      </c>
      <c r="R38" s="8">
        <f t="shared" si="66"/>
        <v>3.2089552238806052E-2</v>
      </c>
      <c r="S38" s="8">
        <f t="shared" si="66"/>
        <v>-0.23376623376623373</v>
      </c>
      <c r="T38" s="8">
        <f t="shared" si="61"/>
        <v>-0.24357326478149099</v>
      </c>
      <c r="U38" s="8">
        <f t="shared" si="62"/>
        <v>-0.13920240782543269</v>
      </c>
      <c r="V38" s="8">
        <f t="shared" si="63"/>
        <v>-0.18365871294287783</v>
      </c>
      <c r="W38" s="8">
        <f t="shared" si="64"/>
        <v>-5.2461662631154149E-2</v>
      </c>
      <c r="X38" s="8"/>
      <c r="Y38" s="8"/>
      <c r="Z38" s="8"/>
      <c r="AA38" s="8"/>
      <c r="AC38" s="8"/>
      <c r="AD38" s="8">
        <f>AD15/AC15-1</f>
        <v>-8.633093525179858E-2</v>
      </c>
      <c r="AE38" s="8">
        <f t="shared" ref="AE38:AT38" si="67">AE15/AD15-1</f>
        <v>-2.6771653543307128E-2</v>
      </c>
      <c r="AF38" s="8">
        <f t="shared" si="67"/>
        <v>5.8737864077669899E-2</v>
      </c>
      <c r="AG38" s="8">
        <f t="shared" si="67"/>
        <v>7.0151306740027453E-2</v>
      </c>
      <c r="AH38" s="8">
        <f t="shared" si="67"/>
        <v>-0.19537275064267356</v>
      </c>
      <c r="AI38" s="8">
        <f t="shared" si="67"/>
        <v>-2.2541711040113599E-2</v>
      </c>
      <c r="AJ38" s="8">
        <f t="shared" si="67"/>
        <v>-0.16034138369348105</v>
      </c>
      <c r="AK38" s="8">
        <f t="shared" si="67"/>
        <v>-3.0000000000000027E-2</v>
      </c>
      <c r="AL38" s="8">
        <f t="shared" si="67"/>
        <v>2.0000000000000018E-2</v>
      </c>
      <c r="AM38" s="8">
        <f t="shared" si="67"/>
        <v>2.0000000000000018E-2</v>
      </c>
      <c r="AN38" s="8">
        <f t="shared" si="67"/>
        <v>2.0000000000000018E-2</v>
      </c>
      <c r="AO38" s="8">
        <f t="shared" si="67"/>
        <v>2.0000000000000018E-2</v>
      </c>
      <c r="AP38" s="8">
        <f t="shared" si="67"/>
        <v>1.0000000000000009E-2</v>
      </c>
      <c r="AQ38" s="8">
        <f t="shared" si="67"/>
        <v>1.0000000000000009E-2</v>
      </c>
      <c r="AR38" s="8">
        <f t="shared" si="67"/>
        <v>1.0000000000000009E-2</v>
      </c>
      <c r="AS38" s="8">
        <f t="shared" si="67"/>
        <v>1.0000000000000009E-2</v>
      </c>
      <c r="AT38" s="8">
        <f t="shared" si="67"/>
        <v>1.0000000000000009E-2</v>
      </c>
      <c r="AV38" t="s">
        <v>50</v>
      </c>
      <c r="AW38" s="8">
        <v>4.4999999999999998E-2</v>
      </c>
    </row>
    <row r="39" spans="2:49" x14ac:dyDescent="0.3">
      <c r="B39" t="s">
        <v>47</v>
      </c>
      <c r="C39" s="8">
        <f t="shared" ref="C39:F39" si="68">C18/C11</f>
        <v>0.2945239763740114</v>
      </c>
      <c r="D39" s="8">
        <f t="shared" si="68"/>
        <v>0.18777004015655976</v>
      </c>
      <c r="E39" s="8">
        <f t="shared" si="68"/>
        <v>0.28251235291121185</v>
      </c>
      <c r="F39" s="8">
        <f t="shared" si="68"/>
        <v>0.27235306377657359</v>
      </c>
      <c r="G39" s="8">
        <f>G18/G11</f>
        <v>0.24303390491036633</v>
      </c>
      <c r="H39" s="8">
        <f t="shared" ref="H39:S39" si="69">H18/H11</f>
        <v>0.23652808805099984</v>
      </c>
      <c r="I39" s="8">
        <f t="shared" si="69"/>
        <v>-4.5688923699497425E-2</v>
      </c>
      <c r="J39" s="8">
        <f t="shared" si="69"/>
        <v>-1.1409571000130394E-2</v>
      </c>
      <c r="K39" s="8">
        <f t="shared" si="69"/>
        <v>-8.0615296966244129E-2</v>
      </c>
      <c r="L39" s="8">
        <f t="shared" si="69"/>
        <v>-0.12530943235168587</v>
      </c>
      <c r="M39" s="8">
        <f t="shared" si="69"/>
        <v>-7.8461657270831722E-2</v>
      </c>
      <c r="N39" s="8">
        <f t="shared" si="69"/>
        <v>-5.6505156095493713E-4</v>
      </c>
      <c r="O39" s="8">
        <f t="shared" si="69"/>
        <v>0.18531740880176556</v>
      </c>
      <c r="P39" s="8">
        <f t="shared" si="69"/>
        <v>-8.4014460861364354E-2</v>
      </c>
      <c r="Q39" s="8">
        <f t="shared" si="69"/>
        <v>-0.15304293618016052</v>
      </c>
      <c r="R39" s="8">
        <f t="shared" si="69"/>
        <v>-0.68179765130984649</v>
      </c>
      <c r="S39" s="8">
        <f t="shared" si="69"/>
        <v>2.8892005610098175E-2</v>
      </c>
      <c r="T39" s="8">
        <f t="shared" ref="T39:W39" si="70">T18/T11</f>
        <v>-2.3762532564932503E-2</v>
      </c>
      <c r="U39" s="8">
        <f t="shared" si="70"/>
        <v>-0.246986546387744</v>
      </c>
      <c r="V39" s="8">
        <f t="shared" si="70"/>
        <v>5.0025635391489048E-2</v>
      </c>
      <c r="W39" s="8">
        <f t="shared" si="70"/>
        <v>4.2416264443469361E-2</v>
      </c>
      <c r="X39" s="8"/>
      <c r="Y39" s="8"/>
      <c r="Z39" s="8"/>
      <c r="AA39" s="8"/>
      <c r="AC39" s="8">
        <f t="shared" ref="AC39" si="71">AC18/AC11</f>
        <v>0.32909891598915991</v>
      </c>
      <c r="AD39" s="8">
        <f t="shared" ref="AD39:AT39" si="72">AD18/AD11</f>
        <v>0.30619050927534219</v>
      </c>
      <c r="AE39" s="8">
        <f t="shared" si="72"/>
        <v>0.30408260238611995</v>
      </c>
      <c r="AF39" s="8">
        <f t="shared" si="72"/>
        <v>0.24620368495646891</v>
      </c>
      <c r="AG39" s="8">
        <f t="shared" si="72"/>
        <v>3.7015891140926828E-2</v>
      </c>
      <c r="AH39" s="8">
        <f t="shared" si="72"/>
        <v>6.6939588404514271E-3</v>
      </c>
      <c r="AI39" s="8">
        <f t="shared" si="72"/>
        <v>-0.21992052880360069</v>
      </c>
      <c r="AJ39" s="8">
        <f t="shared" si="72"/>
        <v>-4.1889769738709247E-2</v>
      </c>
      <c r="AK39" s="8">
        <f t="shared" si="72"/>
        <v>6.4291869559309489E-2</v>
      </c>
      <c r="AL39" s="8">
        <f t="shared" si="72"/>
        <v>0.1078685710761132</v>
      </c>
      <c r="AM39" s="8">
        <f t="shared" si="72"/>
        <v>0.12204621570372215</v>
      </c>
      <c r="AN39" s="8">
        <f t="shared" si="72"/>
        <v>0.13131621411408184</v>
      </c>
      <c r="AO39" s="8">
        <f t="shared" si="72"/>
        <v>0.13857217100915159</v>
      </c>
      <c r="AP39" s="8">
        <f t="shared" si="72"/>
        <v>0.14562077409458646</v>
      </c>
      <c r="AQ39" s="8">
        <f t="shared" si="72"/>
        <v>0.15202502074589971</v>
      </c>
      <c r="AR39" s="8">
        <f t="shared" si="72"/>
        <v>0.15796001673567783</v>
      </c>
      <c r="AS39" s="8">
        <f t="shared" si="72"/>
        <v>0.16354537450202486</v>
      </c>
      <c r="AT39" s="8">
        <f t="shared" si="72"/>
        <v>0.16886298075058181</v>
      </c>
      <c r="AV39" t="s">
        <v>51</v>
      </c>
      <c r="AW39" s="2">
        <f>NPV(AW38,AK24:EZ24)</f>
        <v>237224.51140517992</v>
      </c>
    </row>
    <row r="40" spans="2:49" x14ac:dyDescent="0.3">
      <c r="B40" t="s">
        <v>29</v>
      </c>
      <c r="C40" s="8">
        <f t="shared" ref="C40:F40" si="73">C22/C21</f>
        <v>0.21781517094017094</v>
      </c>
      <c r="D40" s="8">
        <f t="shared" si="73"/>
        <v>0.1395289298515105</v>
      </c>
      <c r="E40" s="8">
        <f t="shared" si="73"/>
        <v>0.11906005221932114</v>
      </c>
      <c r="F40" s="8">
        <f t="shared" si="73"/>
        <v>5.1035287255759695E-3</v>
      </c>
      <c r="G40" s="8">
        <f>G22/G21</f>
        <v>0.10993453985367732</v>
      </c>
      <c r="H40" s="8">
        <f t="shared" ref="H40:S40" si="74">H22/H21</f>
        <v>0.16023186005589485</v>
      </c>
      <c r="I40" s="8">
        <f t="shared" si="74"/>
        <v>0.50055005500550054</v>
      </c>
      <c r="J40" s="8">
        <f t="shared" si="74"/>
        <v>6.4202127659574471</v>
      </c>
      <c r="K40" s="8">
        <f t="shared" si="74"/>
        <v>0.16959798994974876</v>
      </c>
      <c r="L40" s="8">
        <f t="shared" si="74"/>
        <v>-1.390328151986183</v>
      </c>
      <c r="M40" s="8">
        <f t="shared" si="74"/>
        <v>2.8051470588235294</v>
      </c>
      <c r="N40" s="8">
        <f t="shared" si="74"/>
        <v>6.9615384615384617</v>
      </c>
      <c r="O40" s="8">
        <f t="shared" si="74"/>
        <v>4.1857423152387184E-2</v>
      </c>
      <c r="P40" s="8">
        <f t="shared" si="74"/>
        <v>0.39221140472878996</v>
      </c>
      <c r="Q40" s="8">
        <f t="shared" si="74"/>
        <v>0.17465069860279442</v>
      </c>
      <c r="R40" s="8">
        <f t="shared" si="74"/>
        <v>-0.86979969183359018</v>
      </c>
      <c r="S40" s="8">
        <f t="shared" si="74"/>
        <v>1.2554257095158599</v>
      </c>
      <c r="T40" s="8">
        <f t="shared" ref="T40:W40" si="75">T22/T21</f>
        <v>-0.51365187713310578</v>
      </c>
      <c r="U40" s="8">
        <f t="shared" si="75"/>
        <v>-9.2091007583965337E-2</v>
      </c>
      <c r="V40" s="8">
        <f t="shared" si="75"/>
        <v>6.6462614779186704E-2</v>
      </c>
      <c r="W40" s="8">
        <f t="shared" si="75"/>
        <v>1.985207100591716</v>
      </c>
      <c r="X40" s="8"/>
      <c r="Y40" s="8"/>
      <c r="Z40" s="8"/>
      <c r="AA40" s="8"/>
      <c r="AC40" s="8">
        <f t="shared" ref="AC40" si="76">AC22/AC21</f>
        <v>9.7096539005875546E-2</v>
      </c>
      <c r="AD40" s="8">
        <f t="shared" ref="AD40:AT40" si="77">AD22/AD21</f>
        <v>0.12511430709119628</v>
      </c>
      <c r="AE40" s="8">
        <f t="shared" si="77"/>
        <v>0.16664008294122337</v>
      </c>
      <c r="AF40" s="8">
        <f t="shared" si="77"/>
        <v>8.4550522969174771E-2</v>
      </c>
      <c r="AG40" s="8">
        <f t="shared" si="77"/>
        <v>-3.2054582904222452E-2</v>
      </c>
      <c r="AH40" s="8">
        <f t="shared" si="77"/>
        <v>-0.88468992248062017</v>
      </c>
      <c r="AI40" s="8">
        <f t="shared" si="77"/>
        <v>-0.71570026761819805</v>
      </c>
      <c r="AJ40" s="8">
        <f t="shared" si="77"/>
        <v>0.98330122029543998</v>
      </c>
      <c r="AK40" s="8">
        <f t="shared" si="77"/>
        <v>0.2</v>
      </c>
      <c r="AL40" s="8">
        <f t="shared" si="77"/>
        <v>0.2</v>
      </c>
      <c r="AM40" s="8">
        <f t="shared" si="77"/>
        <v>0.2</v>
      </c>
      <c r="AN40" s="8">
        <f t="shared" si="77"/>
        <v>0.20000000000000004</v>
      </c>
      <c r="AO40" s="8">
        <f t="shared" si="77"/>
        <v>0.2</v>
      </c>
      <c r="AP40" s="8">
        <f t="shared" si="77"/>
        <v>0.20000000000000004</v>
      </c>
      <c r="AQ40" s="8">
        <f t="shared" si="77"/>
        <v>0.2</v>
      </c>
      <c r="AR40" s="8">
        <f t="shared" si="77"/>
        <v>0.2</v>
      </c>
      <c r="AS40" s="8">
        <f t="shared" si="77"/>
        <v>0.2</v>
      </c>
      <c r="AT40" s="8">
        <f t="shared" si="77"/>
        <v>0.2</v>
      </c>
      <c r="AV40" t="s">
        <v>52</v>
      </c>
      <c r="AW40" s="2">
        <f>Main!D8</f>
        <v>-6951</v>
      </c>
    </row>
    <row r="41" spans="2:49" x14ac:dyDescent="0.3">
      <c r="B41" t="s">
        <v>30</v>
      </c>
      <c r="C41" s="8">
        <f t="shared" ref="C41:F41" si="78">C23/C21</f>
        <v>0</v>
      </c>
      <c r="D41" s="8">
        <f t="shared" si="78"/>
        <v>0</v>
      </c>
      <c r="E41" s="8">
        <f t="shared" si="78"/>
        <v>0</v>
      </c>
      <c r="F41" s="8">
        <f t="shared" si="78"/>
        <v>0</v>
      </c>
      <c r="G41" s="8">
        <f>G23/G21</f>
        <v>0</v>
      </c>
      <c r="H41" s="8">
        <f t="shared" ref="H41:S41" si="79">H23/H21</f>
        <v>0</v>
      </c>
      <c r="I41" s="8">
        <f t="shared" si="79"/>
        <v>0</v>
      </c>
      <c r="J41" s="8">
        <f t="shared" si="79"/>
        <v>0</v>
      </c>
      <c r="K41" s="8">
        <f t="shared" si="79"/>
        <v>-3.7688442211055275E-3</v>
      </c>
      <c r="L41" s="8">
        <f t="shared" si="79"/>
        <v>8.6355785837651123E-3</v>
      </c>
      <c r="M41" s="8">
        <f t="shared" si="79"/>
        <v>9.8039215686274508E-3</v>
      </c>
      <c r="N41" s="8">
        <f t="shared" si="79"/>
        <v>-0.25</v>
      </c>
      <c r="O41" s="8">
        <f t="shared" si="79"/>
        <v>-2.9431000654022237E-3</v>
      </c>
      <c r="P41" s="8">
        <f t="shared" si="79"/>
        <v>7.7885952712100137E-2</v>
      </c>
      <c r="Q41" s="8">
        <f t="shared" si="79"/>
        <v>2.1956087824351298E-2</v>
      </c>
      <c r="R41" s="8">
        <f t="shared" si="79"/>
        <v>3.8520801232665637E-2</v>
      </c>
      <c r="S41" s="8">
        <f t="shared" si="79"/>
        <v>-4.5075125208681135E-2</v>
      </c>
      <c r="T41" s="8">
        <f t="shared" ref="T41:W41" si="80">T23/T21</f>
        <v>0.11262798634812286</v>
      </c>
      <c r="U41" s="8">
        <f t="shared" si="80"/>
        <v>3.828096785843265E-2</v>
      </c>
      <c r="V41" s="8">
        <f t="shared" si="80"/>
        <v>4.5255793616090952E-2</v>
      </c>
      <c r="W41" s="8">
        <f t="shared" si="80"/>
        <v>0.76331360946745563</v>
      </c>
      <c r="X41" s="8"/>
      <c r="Y41" s="8"/>
      <c r="Z41" s="8"/>
      <c r="AA41" s="8"/>
      <c r="AC41" s="8">
        <f t="shared" ref="AC41" si="81">AC23/AC21</f>
        <v>0</v>
      </c>
      <c r="AD41" s="8">
        <f t="shared" ref="AD41:AT41" si="82">AD23/AD21</f>
        <v>0</v>
      </c>
      <c r="AE41" s="8">
        <f t="shared" si="82"/>
        <v>0</v>
      </c>
      <c r="AF41" s="8">
        <f t="shared" si="82"/>
        <v>0</v>
      </c>
      <c r="AG41" s="8">
        <f t="shared" si="82"/>
        <v>3.8619979402677651E-4</v>
      </c>
      <c r="AH41" s="8">
        <f t="shared" si="82"/>
        <v>-1.3565891472868217E-2</v>
      </c>
      <c r="AI41" s="8">
        <f t="shared" si="82"/>
        <v>4.2551293487957179E-2</v>
      </c>
      <c r="AJ41" s="8">
        <f t="shared" si="82"/>
        <v>0.18818240205523443</v>
      </c>
      <c r="AK41" s="8">
        <f t="shared" si="82"/>
        <v>0.03</v>
      </c>
      <c r="AL41" s="8">
        <f t="shared" si="82"/>
        <v>0.03</v>
      </c>
      <c r="AM41" s="8">
        <f t="shared" si="82"/>
        <v>3.0000000000000002E-2</v>
      </c>
      <c r="AN41" s="8">
        <f t="shared" si="82"/>
        <v>0.03</v>
      </c>
      <c r="AO41" s="8">
        <f t="shared" si="82"/>
        <v>0.03</v>
      </c>
      <c r="AP41" s="8">
        <f t="shared" si="82"/>
        <v>0.03</v>
      </c>
      <c r="AQ41" s="8">
        <f t="shared" si="82"/>
        <v>0.03</v>
      </c>
      <c r="AR41" s="8">
        <f t="shared" si="82"/>
        <v>0.03</v>
      </c>
      <c r="AS41" s="8">
        <f t="shared" si="82"/>
        <v>0.03</v>
      </c>
      <c r="AT41" s="8">
        <f t="shared" si="82"/>
        <v>3.0000000000000002E-2</v>
      </c>
      <c r="AV41" t="s">
        <v>53</v>
      </c>
      <c r="AW41" s="2">
        <f>AW39+AW40</f>
        <v>230273.51140517992</v>
      </c>
    </row>
    <row r="42" spans="2:49" x14ac:dyDescent="0.3">
      <c r="B42" t="s">
        <v>48</v>
      </c>
      <c r="C42" s="8">
        <f t="shared" ref="C42:F42" si="83">C24/C11</f>
        <v>0.29317248973871257</v>
      </c>
      <c r="D42" s="8">
        <f t="shared" si="83"/>
        <v>0.17084328775479082</v>
      </c>
      <c r="E42" s="8">
        <f t="shared" si="83"/>
        <v>0.25780653048749425</v>
      </c>
      <c r="F42" s="8">
        <f t="shared" si="83"/>
        <v>0.35551271363067943</v>
      </c>
      <c r="G42" s="8">
        <f>G24/G11</f>
        <v>0.2252045985970382</v>
      </c>
      <c r="H42" s="8">
        <f t="shared" ref="H42:S42" si="84">H24/H11</f>
        <v>0.44205307034272329</v>
      </c>
      <c r="I42" s="8">
        <f t="shared" si="84"/>
        <v>-2.9632530513674041E-2</v>
      </c>
      <c r="J42" s="8">
        <f t="shared" si="84"/>
        <v>6.643630199504498E-2</v>
      </c>
      <c r="K42" s="8">
        <f t="shared" si="84"/>
        <v>-4.7286711294687367E-2</v>
      </c>
      <c r="L42" s="8">
        <f t="shared" si="84"/>
        <v>-0.23542466922748612</v>
      </c>
      <c r="M42" s="8">
        <f t="shared" si="84"/>
        <v>0.114371766159549</v>
      </c>
      <c r="N42" s="8">
        <f t="shared" si="84"/>
        <v>2.097753920045204E-2</v>
      </c>
      <c r="O42" s="8">
        <f t="shared" si="84"/>
        <v>0.19076982993638841</v>
      </c>
      <c r="P42" s="8">
        <f t="shared" si="84"/>
        <v>-2.9943414020748193E-2</v>
      </c>
      <c r="Q42" s="8">
        <f t="shared" si="84"/>
        <v>-0.12545780409880777</v>
      </c>
      <c r="R42" s="8">
        <f t="shared" si="84"/>
        <v>-1.2525594700391449</v>
      </c>
      <c r="S42" s="8">
        <f t="shared" si="84"/>
        <v>-8.8359046283309952E-3</v>
      </c>
      <c r="T42" s="8">
        <f t="shared" ref="T42:W42" si="85">T24/T11</f>
        <v>-6.4814083839898951E-2</v>
      </c>
      <c r="U42" s="8">
        <f t="shared" si="85"/>
        <v>-0.22692277782098141</v>
      </c>
      <c r="V42" s="8">
        <f t="shared" si="85"/>
        <v>0.29759027320002929</v>
      </c>
      <c r="W42" s="8">
        <f t="shared" si="85"/>
        <v>-4.322071083808688E-2</v>
      </c>
      <c r="X42" s="8"/>
      <c r="Y42" s="8"/>
      <c r="Z42" s="8"/>
      <c r="AA42" s="8"/>
      <c r="AC42" s="8">
        <f t="shared" ref="AC42" si="86">AC24/AC11</f>
        <v>0.29715729448961159</v>
      </c>
      <c r="AD42" s="8">
        <f t="shared" ref="AD42:AT42" si="87">AD24/AD11</f>
        <v>0.2924755089279511</v>
      </c>
      <c r="AE42" s="8">
        <f t="shared" si="87"/>
        <v>0.26839354283586114</v>
      </c>
      <c r="AF42" s="8">
        <f t="shared" si="87"/>
        <v>0.25141729094958493</v>
      </c>
      <c r="AG42" s="8">
        <f t="shared" si="87"/>
        <v>0.1270974085704317</v>
      </c>
      <c r="AH42" s="8">
        <f t="shared" si="87"/>
        <v>3.6125248948882499E-2</v>
      </c>
      <c r="AI42" s="8">
        <f t="shared" si="87"/>
        <v>-0.35321368712453627</v>
      </c>
      <c r="AJ42" s="8">
        <f t="shared" si="87"/>
        <v>-5.0517472991126328E-3</v>
      </c>
      <c r="AK42" s="8">
        <f t="shared" si="87"/>
        <v>9.9539912587743418E-2</v>
      </c>
      <c r="AL42" s="8">
        <f t="shared" si="87"/>
        <v>0.12992561636745614</v>
      </c>
      <c r="AM42" s="8">
        <f t="shared" si="87"/>
        <v>0.1387288921314882</v>
      </c>
      <c r="AN42" s="8">
        <f t="shared" si="87"/>
        <v>0.14427611606250126</v>
      </c>
      <c r="AO42" s="8">
        <f t="shared" si="87"/>
        <v>0.14874865819886704</v>
      </c>
      <c r="AP42" s="8">
        <f t="shared" si="87"/>
        <v>0.15310465025113137</v>
      </c>
      <c r="AQ42" s="8">
        <f t="shared" si="87"/>
        <v>0.15700509543785587</v>
      </c>
      <c r="AR42" s="8">
        <f t="shared" si="87"/>
        <v>0.16058249860394913</v>
      </c>
      <c r="AS42" s="8">
        <f t="shared" si="87"/>
        <v>0.16392679936778656</v>
      </c>
      <c r="AT42" s="8">
        <f t="shared" si="87"/>
        <v>0.16709904069907022</v>
      </c>
      <c r="AV42" t="s">
        <v>54</v>
      </c>
      <c r="AW42" s="9">
        <f>AW41/AT25</f>
        <v>51.013183740624704</v>
      </c>
    </row>
    <row r="43" spans="2:49" x14ac:dyDescent="0.3">
      <c r="AV43" t="s">
        <v>55</v>
      </c>
      <c r="AW43" s="9">
        <f>Main!D3</f>
        <v>48.81</v>
      </c>
    </row>
    <row r="44" spans="2:49" x14ac:dyDescent="0.3">
      <c r="B44" t="s">
        <v>107</v>
      </c>
      <c r="R44" s="2">
        <v>115000</v>
      </c>
      <c r="U44" s="2">
        <v>96400</v>
      </c>
      <c r="V44" s="2">
        <v>83300</v>
      </c>
      <c r="W44" s="2">
        <v>80100</v>
      </c>
      <c r="X44" s="2"/>
      <c r="Y44" s="2"/>
      <c r="Z44" s="2"/>
      <c r="AA44" s="2"/>
      <c r="AV44" s="1" t="s">
        <v>56</v>
      </c>
      <c r="AW44" s="10">
        <f>AW42/AW43-1</f>
        <v>4.5137958218084417E-2</v>
      </c>
    </row>
    <row r="45" spans="2:49" x14ac:dyDescent="0.3">
      <c r="B45" t="s">
        <v>108</v>
      </c>
      <c r="R45" s="2">
        <v>5400</v>
      </c>
      <c r="U45" s="2">
        <v>5000</v>
      </c>
      <c r="V45" s="2">
        <v>5100</v>
      </c>
      <c r="W45" s="2">
        <v>5000</v>
      </c>
      <c r="X45" s="2"/>
      <c r="Y45" s="2"/>
      <c r="Z45" s="2"/>
      <c r="AA45" s="2"/>
      <c r="AV45" t="s">
        <v>57</v>
      </c>
      <c r="AW45" s="13" t="s">
        <v>116</v>
      </c>
    </row>
    <row r="46" spans="2:49" x14ac:dyDescent="0.3">
      <c r="B46" t="s">
        <v>109</v>
      </c>
      <c r="R46" s="2">
        <v>3700</v>
      </c>
      <c r="U46" s="2">
        <v>0</v>
      </c>
      <c r="V46" s="2">
        <v>0</v>
      </c>
      <c r="W46" s="2">
        <v>0</v>
      </c>
      <c r="X46" s="2"/>
      <c r="Y46" s="2"/>
      <c r="Z46" s="2"/>
      <c r="AA46" s="2"/>
    </row>
    <row r="47" spans="2:49" s="1" customFormat="1" x14ac:dyDescent="0.3">
      <c r="B47" s="1" t="s">
        <v>110</v>
      </c>
      <c r="R47" s="7">
        <f>SUM(R44:R46)</f>
        <v>124100</v>
      </c>
      <c r="U47" s="7">
        <f>SUM(U44:U46)</f>
        <v>101400</v>
      </c>
      <c r="V47" s="7">
        <f>SUM(V44:V46)</f>
        <v>88400</v>
      </c>
      <c r="W47" s="7">
        <f>SUM(W44:W46)</f>
        <v>85100</v>
      </c>
      <c r="X47" s="7"/>
      <c r="Y47" s="7"/>
      <c r="Z47" s="7"/>
      <c r="AA47" s="7"/>
      <c r="AV47"/>
      <c r="AW47"/>
    </row>
    <row r="49" spans="2:49" s="1" customFormat="1" x14ac:dyDescent="0.3">
      <c r="B49" s="1" t="s">
        <v>52</v>
      </c>
      <c r="K49" s="7">
        <f>K50+K51+K60-K68-K72</f>
        <v>-7518</v>
      </c>
      <c r="O49" s="7">
        <f>O50+O51+O60-O68-O72</f>
        <v>-18403</v>
      </c>
      <c r="Q49" s="7">
        <f>Q50+Q51+Q60-Q68-Q72</f>
        <v>-15888</v>
      </c>
      <c r="R49" s="7">
        <f>R50+R51+R60-R68-R72</f>
        <v>-20654</v>
      </c>
      <c r="V49" s="7">
        <f>V50+V51+V60-V68-V72</f>
        <v>-6951</v>
      </c>
      <c r="AG49" s="7">
        <f>AG50+AG51+AG60-AG68-AG72</f>
        <v>-7518</v>
      </c>
      <c r="AH49" s="7">
        <f>AH50+AH51+AH60-AH68-AH72</f>
        <v>-18403</v>
      </c>
      <c r="AV49"/>
      <c r="AW49"/>
    </row>
    <row r="50" spans="2:49" x14ac:dyDescent="0.3">
      <c r="B50" t="s">
        <v>4</v>
      </c>
      <c r="K50" s="2">
        <v>11144</v>
      </c>
      <c r="O50" s="2">
        <v>7079</v>
      </c>
      <c r="Q50" s="2">
        <v>11287</v>
      </c>
      <c r="R50" s="2">
        <v>8785</v>
      </c>
      <c r="V50" s="2">
        <v>11141</v>
      </c>
      <c r="AG50" s="2">
        <v>11144</v>
      </c>
      <c r="AH50" s="2">
        <v>7079</v>
      </c>
    </row>
    <row r="51" spans="2:49" x14ac:dyDescent="0.3">
      <c r="B51" t="s">
        <v>58</v>
      </c>
      <c r="K51" s="2">
        <v>17194</v>
      </c>
      <c r="O51" s="2">
        <v>17955</v>
      </c>
      <c r="Q51" s="2">
        <v>17986</v>
      </c>
      <c r="R51" s="2">
        <v>15301</v>
      </c>
      <c r="V51" s="2">
        <v>19794</v>
      </c>
      <c r="AG51" s="2">
        <v>17194</v>
      </c>
      <c r="AH51" s="2">
        <v>17955</v>
      </c>
    </row>
    <row r="52" spans="2:49" x14ac:dyDescent="0.3">
      <c r="B52" t="s">
        <v>59</v>
      </c>
      <c r="K52" s="2">
        <v>4133</v>
      </c>
      <c r="O52" s="2">
        <v>3402</v>
      </c>
      <c r="Q52" s="2">
        <v>3131</v>
      </c>
      <c r="R52" s="2">
        <v>3121</v>
      </c>
      <c r="V52" s="2">
        <v>3202</v>
      </c>
      <c r="AG52" s="2">
        <v>4133</v>
      </c>
      <c r="AH52" s="2">
        <v>3402</v>
      </c>
    </row>
    <row r="53" spans="2:49" x14ac:dyDescent="0.3">
      <c r="B53" t="s">
        <v>113</v>
      </c>
      <c r="K53" s="2"/>
      <c r="O53" s="2"/>
      <c r="Q53" s="2"/>
      <c r="R53" s="2"/>
      <c r="V53" s="2">
        <v>1135</v>
      </c>
      <c r="AG53" s="2"/>
      <c r="AH53" s="2"/>
      <c r="AV53" s="1"/>
      <c r="AW53" s="1"/>
    </row>
    <row r="54" spans="2:49" x14ac:dyDescent="0.3">
      <c r="B54" t="s">
        <v>114</v>
      </c>
      <c r="K54" s="2"/>
      <c r="O54" s="2"/>
      <c r="Q54" s="2"/>
      <c r="R54" s="2"/>
      <c r="V54" s="2">
        <v>6751</v>
      </c>
      <c r="AG54" s="2"/>
      <c r="AH54" s="2"/>
    </row>
    <row r="55" spans="2:49" x14ac:dyDescent="0.3">
      <c r="B55" t="s">
        <v>115</v>
      </c>
      <c r="K55" s="2"/>
      <c r="O55" s="2"/>
      <c r="Q55" s="2"/>
      <c r="R55" s="2"/>
      <c r="V55" s="2">
        <v>3603</v>
      </c>
      <c r="AG55" s="2"/>
      <c r="AH55" s="2"/>
    </row>
    <row r="56" spans="2:49" x14ac:dyDescent="0.3">
      <c r="B56" t="s">
        <v>60</v>
      </c>
      <c r="K56" s="2">
        <v>13224</v>
      </c>
      <c r="O56" s="2">
        <v>11127</v>
      </c>
      <c r="Q56" s="2">
        <v>11244</v>
      </c>
      <c r="R56" s="2">
        <v>12062</v>
      </c>
      <c r="V56" s="2">
        <f>SUM(V53:V55)</f>
        <v>11489</v>
      </c>
      <c r="AG56" s="2">
        <v>13224</v>
      </c>
      <c r="AH56" s="2">
        <v>11127</v>
      </c>
    </row>
    <row r="57" spans="2:49" x14ac:dyDescent="0.3">
      <c r="B57" t="s">
        <v>61</v>
      </c>
      <c r="K57" s="2">
        <v>4712</v>
      </c>
      <c r="O57" s="2">
        <v>3706</v>
      </c>
      <c r="Q57" s="2">
        <v>7181</v>
      </c>
      <c r="R57" s="2">
        <v>6868</v>
      </c>
      <c r="V57" s="2">
        <v>6105</v>
      </c>
      <c r="AG57" s="2">
        <v>4712</v>
      </c>
      <c r="AH57" s="2">
        <v>3706</v>
      </c>
    </row>
    <row r="58" spans="2:49" s="1" customFormat="1" x14ac:dyDescent="0.3">
      <c r="B58" s="1" t="s">
        <v>62</v>
      </c>
      <c r="K58" s="7">
        <f>SUM(K50:K57)</f>
        <v>50407</v>
      </c>
      <c r="O58" s="7">
        <f>SUM(O50:O57)</f>
        <v>43269</v>
      </c>
      <c r="Q58" s="7">
        <f>SUM(Q50:Q57)</f>
        <v>50829</v>
      </c>
      <c r="R58" s="7">
        <f>SUM(R50:R57)</f>
        <v>46137</v>
      </c>
      <c r="V58" s="7">
        <f>SUM(V50:V57)-V56</f>
        <v>51731</v>
      </c>
      <c r="AG58" s="7">
        <f>SUM(AG50:AG57)</f>
        <v>50407</v>
      </c>
      <c r="AH58" s="7">
        <f>SUM(AH50:AH57)</f>
        <v>43269</v>
      </c>
      <c r="AV58"/>
      <c r="AW58"/>
    </row>
    <row r="59" spans="2:49" x14ac:dyDescent="0.3">
      <c r="B59" t="s">
        <v>63</v>
      </c>
      <c r="K59" s="2">
        <v>80860</v>
      </c>
      <c r="O59" s="2">
        <v>96647</v>
      </c>
      <c r="Q59" s="2">
        <v>103398</v>
      </c>
      <c r="R59" s="2">
        <v>104248</v>
      </c>
      <c r="V59" s="2">
        <v>105047</v>
      </c>
      <c r="AG59" s="2">
        <v>80860</v>
      </c>
      <c r="AH59" s="2">
        <v>96647</v>
      </c>
      <c r="AV59" s="1"/>
      <c r="AW59" s="1"/>
    </row>
    <row r="60" spans="2:49" x14ac:dyDescent="0.3">
      <c r="B60" t="s">
        <v>58</v>
      </c>
      <c r="K60" s="2">
        <v>5912</v>
      </c>
      <c r="O60" s="2">
        <v>5829</v>
      </c>
      <c r="Q60" s="2">
        <v>5824</v>
      </c>
      <c r="R60" s="2">
        <v>5496</v>
      </c>
      <c r="V60" s="2">
        <v>8667</v>
      </c>
      <c r="AG60" s="2">
        <v>5912</v>
      </c>
      <c r="AH60" s="2">
        <v>5829</v>
      </c>
      <c r="AV60" s="1"/>
      <c r="AW60" s="1"/>
    </row>
    <row r="61" spans="2:49" x14ac:dyDescent="0.3">
      <c r="B61" t="s">
        <v>64</v>
      </c>
      <c r="K61" s="2">
        <v>27591</v>
      </c>
      <c r="O61" s="2">
        <v>27591</v>
      </c>
      <c r="Q61" s="2">
        <v>27442</v>
      </c>
      <c r="R61" s="2">
        <v>24680</v>
      </c>
      <c r="V61" s="2">
        <v>23912</v>
      </c>
      <c r="AG61" s="2">
        <v>27591</v>
      </c>
      <c r="AH61" s="2">
        <v>27591</v>
      </c>
    </row>
    <row r="62" spans="2:49" x14ac:dyDescent="0.3">
      <c r="B62" t="s">
        <v>65</v>
      </c>
      <c r="K62" s="2">
        <v>6018</v>
      </c>
      <c r="O62" s="2">
        <v>4589</v>
      </c>
      <c r="Q62" s="2">
        <v>4383</v>
      </c>
      <c r="R62" s="2">
        <v>3975</v>
      </c>
      <c r="V62" s="2">
        <v>2877</v>
      </c>
      <c r="AG62" s="2">
        <v>6018</v>
      </c>
      <c r="AH62" s="2">
        <v>4589</v>
      </c>
    </row>
    <row r="63" spans="2:49" x14ac:dyDescent="0.3">
      <c r="B63" t="s">
        <v>66</v>
      </c>
      <c r="K63" s="2">
        <v>11315</v>
      </c>
      <c r="O63" s="2">
        <v>13647</v>
      </c>
      <c r="Q63" s="2">
        <v>14329</v>
      </c>
      <c r="R63" s="2">
        <v>9006</v>
      </c>
      <c r="V63" s="2">
        <v>12280</v>
      </c>
      <c r="AG63" s="2">
        <v>11315</v>
      </c>
      <c r="AH63" s="2">
        <v>13647</v>
      </c>
    </row>
    <row r="64" spans="2:49" s="1" customFormat="1" x14ac:dyDescent="0.3">
      <c r="B64" s="1" t="s">
        <v>67</v>
      </c>
      <c r="K64" s="7">
        <f>SUM(K59:K63)</f>
        <v>131696</v>
      </c>
      <c r="O64" s="7">
        <f>SUM(O59:O63)</f>
        <v>148303</v>
      </c>
      <c r="Q64" s="7">
        <f>SUM(Q59:Q63)</f>
        <v>155376</v>
      </c>
      <c r="R64" s="7">
        <f>SUM(R59:R63)</f>
        <v>147405</v>
      </c>
      <c r="V64" s="7">
        <f>SUM(V59:V63)</f>
        <v>152783</v>
      </c>
      <c r="AG64" s="7">
        <f>SUM(AG59:AG63)</f>
        <v>131696</v>
      </c>
      <c r="AH64" s="7">
        <f>SUM(AH59:AH63)</f>
        <v>148303</v>
      </c>
      <c r="AV64"/>
      <c r="AW64"/>
    </row>
    <row r="65" spans="2:49" s="18" customFormat="1" x14ac:dyDescent="0.3">
      <c r="B65" s="18" t="s">
        <v>68</v>
      </c>
      <c r="K65" s="17">
        <f>K58+K64</f>
        <v>182103</v>
      </c>
      <c r="O65" s="17">
        <f>O58+O64</f>
        <v>191572</v>
      </c>
      <c r="Q65" s="17">
        <f>Q58+Q64</f>
        <v>206205</v>
      </c>
      <c r="R65" s="17">
        <f>R58+R64</f>
        <v>193542</v>
      </c>
      <c r="U65" s="17"/>
      <c r="V65" s="17">
        <f>V58+V64</f>
        <v>204514</v>
      </c>
      <c r="AG65" s="17">
        <f>AG58+AG64</f>
        <v>182103</v>
      </c>
      <c r="AH65" s="17">
        <f>AH58+AH64</f>
        <v>191572</v>
      </c>
      <c r="AJ65" s="17">
        <v>192520</v>
      </c>
      <c r="AV65" s="19"/>
      <c r="AW65" s="19"/>
    </row>
    <row r="66" spans="2:49" x14ac:dyDescent="0.3">
      <c r="B66" t="s">
        <v>69</v>
      </c>
      <c r="K66" s="2">
        <v>4367</v>
      </c>
      <c r="O66" s="2">
        <v>8578</v>
      </c>
      <c r="Q66" s="2">
        <v>4695</v>
      </c>
      <c r="R66" s="2">
        <v>11074</v>
      </c>
      <c r="V66" s="2">
        <v>10268</v>
      </c>
      <c r="AG66" s="2">
        <v>4367</v>
      </c>
      <c r="AH66" s="2">
        <v>8578</v>
      </c>
      <c r="AV66" s="1"/>
      <c r="AW66" s="1"/>
    </row>
    <row r="67" spans="2:49" x14ac:dyDescent="0.3">
      <c r="B67" t="s">
        <v>70</v>
      </c>
      <c r="K67" s="2">
        <v>9595</v>
      </c>
      <c r="O67" s="2">
        <v>3655</v>
      </c>
      <c r="Q67" s="2">
        <v>9618</v>
      </c>
      <c r="R67" s="2">
        <v>5015</v>
      </c>
      <c r="V67" s="2">
        <v>3756</v>
      </c>
      <c r="AG67" s="2">
        <v>9595</v>
      </c>
      <c r="AH67" s="2">
        <v>3655</v>
      </c>
    </row>
    <row r="68" spans="2:49" x14ac:dyDescent="0.3">
      <c r="B68" t="s">
        <v>5</v>
      </c>
      <c r="K68" s="2">
        <v>4084</v>
      </c>
      <c r="O68" s="2">
        <v>2288</v>
      </c>
      <c r="Q68" s="2">
        <v>2651</v>
      </c>
      <c r="R68" s="2">
        <v>3765</v>
      </c>
      <c r="V68" s="2">
        <v>2496</v>
      </c>
      <c r="AG68" s="2">
        <v>4084</v>
      </c>
      <c r="AH68" s="2">
        <v>2288</v>
      </c>
    </row>
    <row r="69" spans="2:49" x14ac:dyDescent="0.3">
      <c r="B69" t="s">
        <v>29</v>
      </c>
      <c r="K69" s="2">
        <v>2251</v>
      </c>
      <c r="O69" s="2">
        <v>1107</v>
      </c>
      <c r="Q69" s="2">
        <v>1856</v>
      </c>
      <c r="R69" s="2">
        <v>2440</v>
      </c>
      <c r="V69" s="2">
        <v>825</v>
      </c>
      <c r="AG69" s="2">
        <v>2251</v>
      </c>
      <c r="AH69" s="2">
        <v>1107</v>
      </c>
      <c r="AV69" s="1"/>
      <c r="AW69" s="1"/>
    </row>
    <row r="70" spans="2:49" x14ac:dyDescent="0.3">
      <c r="B70" t="s">
        <v>71</v>
      </c>
      <c r="K70" s="2">
        <v>11858</v>
      </c>
      <c r="O70" s="2">
        <v>12425</v>
      </c>
      <c r="Q70" s="2">
        <v>13207</v>
      </c>
      <c r="R70" s="2">
        <v>12865</v>
      </c>
      <c r="V70" s="2">
        <v>14952</v>
      </c>
      <c r="AG70" s="2">
        <v>11858</v>
      </c>
      <c r="AH70" s="2">
        <v>12425</v>
      </c>
      <c r="AV70" s="1"/>
      <c r="AW70" s="1"/>
    </row>
    <row r="71" spans="2:49" s="1" customFormat="1" x14ac:dyDescent="0.3">
      <c r="B71" s="1" t="s">
        <v>72</v>
      </c>
      <c r="K71" s="7">
        <f>SUM(K66:K70)</f>
        <v>32155</v>
      </c>
      <c r="O71" s="7">
        <f>SUM(O66:O70)</f>
        <v>28053</v>
      </c>
      <c r="Q71" s="7">
        <f>SUM(Q66:Q70)</f>
        <v>32027</v>
      </c>
      <c r="R71" s="7">
        <f>SUM(R66:R70)</f>
        <v>35159</v>
      </c>
      <c r="V71" s="7">
        <f>SUM(V66:V70)</f>
        <v>32297</v>
      </c>
      <c r="AG71" s="7">
        <f>SUM(AG66:AG70)</f>
        <v>32155</v>
      </c>
      <c r="AH71" s="7">
        <f>SUM(AH66:AH70)</f>
        <v>28053</v>
      </c>
    </row>
    <row r="72" spans="2:49" x14ac:dyDescent="0.3">
      <c r="B72" t="s">
        <v>5</v>
      </c>
      <c r="K72" s="2">
        <v>37684</v>
      </c>
      <c r="O72" s="2">
        <v>46978</v>
      </c>
      <c r="Q72" s="2">
        <v>48334</v>
      </c>
      <c r="R72" s="2">
        <v>46471</v>
      </c>
      <c r="V72" s="2">
        <v>44057</v>
      </c>
      <c r="AG72" s="2">
        <v>37684</v>
      </c>
      <c r="AH72" s="2">
        <v>46978</v>
      </c>
    </row>
    <row r="73" spans="2:49" x14ac:dyDescent="0.3">
      <c r="B73" t="s">
        <v>73</v>
      </c>
      <c r="K73" s="2">
        <v>8978</v>
      </c>
      <c r="O73" s="2">
        <v>6576</v>
      </c>
      <c r="Q73" s="2">
        <v>5410</v>
      </c>
      <c r="R73" s="2">
        <v>7048</v>
      </c>
      <c r="V73" s="2">
        <v>11430</v>
      </c>
      <c r="AG73" s="2">
        <v>8978</v>
      </c>
      <c r="AH73" s="2">
        <v>6576</v>
      </c>
      <c r="AV73" s="1"/>
      <c r="AW73" s="1"/>
    </row>
    <row r="74" spans="2:49" s="1" customFormat="1" x14ac:dyDescent="0.3">
      <c r="B74" s="1" t="s">
        <v>74</v>
      </c>
      <c r="K74" s="7">
        <f>SUM(K72:K73)</f>
        <v>46662</v>
      </c>
      <c r="O74" s="7">
        <f>SUM(O72:O73)</f>
        <v>53554</v>
      </c>
      <c r="Q74" s="7">
        <f>SUM(Q72:Q73)</f>
        <v>53744</v>
      </c>
      <c r="R74" s="7">
        <f>SUM(R72:R73)</f>
        <v>53519</v>
      </c>
      <c r="V74" s="7">
        <f>SUM(V72:V73)</f>
        <v>55487</v>
      </c>
      <c r="AG74" s="7">
        <f>SUM(AG72:AG73)</f>
        <v>46662</v>
      </c>
      <c r="AH74" s="7">
        <f>SUM(AH72:AH73)</f>
        <v>53554</v>
      </c>
      <c r="AV74"/>
      <c r="AW74"/>
    </row>
    <row r="75" spans="2:49" s="1" customFormat="1" x14ac:dyDescent="0.3">
      <c r="B75" s="1" t="s">
        <v>75</v>
      </c>
      <c r="K75" s="7">
        <f>101423+1863</f>
        <v>103286</v>
      </c>
      <c r="O75" s="7">
        <f>105590+4375</f>
        <v>109965</v>
      </c>
      <c r="Q75" s="7">
        <f>115229+5205</f>
        <v>120434</v>
      </c>
      <c r="R75" s="7">
        <f>99532+5332</f>
        <v>104864</v>
      </c>
      <c r="V75" s="7">
        <v>116730</v>
      </c>
      <c r="AG75" s="7">
        <f>101423+1863</f>
        <v>103286</v>
      </c>
      <c r="AH75" s="7">
        <f>105590+4375</f>
        <v>109965</v>
      </c>
      <c r="AV75"/>
      <c r="AW75"/>
    </row>
    <row r="76" spans="2:49" s="18" customFormat="1" x14ac:dyDescent="0.3">
      <c r="B76" s="18" t="s">
        <v>76</v>
      </c>
      <c r="K76" s="17">
        <f>K71+K74+K75</f>
        <v>182103</v>
      </c>
      <c r="O76" s="17">
        <f>O71+O74+O75</f>
        <v>191572</v>
      </c>
      <c r="Q76" s="17">
        <f>Q71+Q74+Q75</f>
        <v>206205</v>
      </c>
      <c r="R76" s="17">
        <f>R71+R74+R75</f>
        <v>193542</v>
      </c>
      <c r="V76" s="17">
        <f>V71+V74+V75</f>
        <v>204514</v>
      </c>
      <c r="AG76" s="17">
        <f>AG71+AG74+AG75</f>
        <v>182103</v>
      </c>
      <c r="AH76" s="17">
        <f>AH71+AH74+AH75</f>
        <v>191572</v>
      </c>
      <c r="AV76" s="19"/>
      <c r="AW76" s="19"/>
    </row>
    <row r="78" spans="2:49" s="1" customFormat="1" x14ac:dyDescent="0.3">
      <c r="B78" s="1" t="s">
        <v>31</v>
      </c>
      <c r="L78" s="7">
        <f t="shared" ref="L78:W78" si="88">L24</f>
        <v>-2758</v>
      </c>
      <c r="M78" s="7">
        <f t="shared" si="88"/>
        <v>1481</v>
      </c>
      <c r="N78" s="7">
        <f t="shared" si="88"/>
        <v>297</v>
      </c>
      <c r="O78" s="7">
        <f t="shared" si="88"/>
        <v>2939</v>
      </c>
      <c r="P78" s="7">
        <f t="shared" si="88"/>
        <v>-381</v>
      </c>
      <c r="Q78" s="7">
        <f t="shared" si="88"/>
        <v>-1610</v>
      </c>
      <c r="R78" s="7">
        <f t="shared" si="88"/>
        <v>-16639</v>
      </c>
      <c r="S78" s="7">
        <f t="shared" si="88"/>
        <v>-126</v>
      </c>
      <c r="T78" s="7">
        <f t="shared" si="88"/>
        <v>-821</v>
      </c>
      <c r="U78" s="7">
        <f t="shared" si="88"/>
        <v>-2918</v>
      </c>
      <c r="V78" s="7">
        <f t="shared" si="88"/>
        <v>4063</v>
      </c>
      <c r="W78" s="7">
        <f t="shared" si="88"/>
        <v>-591</v>
      </c>
      <c r="X78" s="7"/>
      <c r="Y78" s="7"/>
      <c r="Z78" s="7"/>
      <c r="AA78" s="7"/>
      <c r="AG78" s="7">
        <f t="shared" ref="AG78:AT78" si="89">AG24</f>
        <v>8014</v>
      </c>
      <c r="AH78" s="7">
        <f t="shared" si="89"/>
        <v>1959</v>
      </c>
      <c r="AI78" s="7">
        <f t="shared" si="89"/>
        <v>-18756</v>
      </c>
      <c r="AJ78" s="7">
        <f t="shared" si="89"/>
        <v>-267</v>
      </c>
      <c r="AK78" s="7">
        <f t="shared" si="89"/>
        <v>5787.0813000000035</v>
      </c>
      <c r="AL78" s="7">
        <f t="shared" si="89"/>
        <v>8082.4102744000011</v>
      </c>
      <c r="AM78" s="7">
        <f t="shared" si="89"/>
        <v>9061.5465001600023</v>
      </c>
      <c r="AN78" s="7">
        <f t="shared" si="89"/>
        <v>9800.8374683527018</v>
      </c>
      <c r="AO78" s="7">
        <f t="shared" si="89"/>
        <v>10407.80211099822</v>
      </c>
      <c r="AP78" s="7">
        <f t="shared" si="89"/>
        <v>11033.964333014008</v>
      </c>
      <c r="AQ78" s="7">
        <f t="shared" si="89"/>
        <v>11654.51394801419</v>
      </c>
      <c r="AR78" s="7">
        <f t="shared" si="89"/>
        <v>12277.667126053755</v>
      </c>
      <c r="AS78" s="7">
        <f t="shared" si="89"/>
        <v>12909.363436050149</v>
      </c>
      <c r="AT78" s="7">
        <f t="shared" si="89"/>
        <v>13553.955315144409</v>
      </c>
      <c r="AV78"/>
      <c r="AW78"/>
    </row>
    <row r="79" spans="2:49" x14ac:dyDescent="0.3">
      <c r="B79" t="s">
        <v>77</v>
      </c>
      <c r="L79" s="2">
        <v>1901</v>
      </c>
      <c r="M79" s="2">
        <f>M101-L79</f>
        <v>1832</v>
      </c>
      <c r="N79" s="2">
        <f>N101-M79-L79</f>
        <v>2020</v>
      </c>
      <c r="O79" s="2">
        <f>AH79-N79-M79-L79</f>
        <v>2094</v>
      </c>
      <c r="P79" s="2">
        <v>2200</v>
      </c>
      <c r="Q79" s="2">
        <f>Q101-P79</f>
        <v>2203</v>
      </c>
      <c r="R79" s="2">
        <f>R101-Q79-P79</f>
        <v>3248</v>
      </c>
      <c r="S79" s="2">
        <f>AI79-R79-Q79-P79</f>
        <v>2300</v>
      </c>
      <c r="T79" s="2">
        <v>2425</v>
      </c>
      <c r="U79" s="2">
        <f>U101-T79</f>
        <v>2788</v>
      </c>
      <c r="V79" s="2">
        <f>V101-U79-T79</f>
        <v>2758</v>
      </c>
      <c r="W79" s="2">
        <f>AJ79-V79-U79-T79</f>
        <v>2786</v>
      </c>
      <c r="X79" s="2"/>
      <c r="Y79" s="2"/>
      <c r="Z79" s="2"/>
      <c r="AA79" s="2"/>
      <c r="AG79" s="2">
        <v>11128</v>
      </c>
      <c r="AH79" s="2">
        <v>7847</v>
      </c>
      <c r="AI79" s="2">
        <v>9951</v>
      </c>
      <c r="AJ79" s="2">
        <v>10757</v>
      </c>
      <c r="AK79" s="2">
        <f>AJ79*1.02</f>
        <v>10972.14</v>
      </c>
      <c r="AL79" s="2">
        <f t="shared" ref="AL79:AT79" si="90">AK79*1.02</f>
        <v>11191.5828</v>
      </c>
      <c r="AM79" s="2">
        <f t="shared" si="90"/>
        <v>11415.414456</v>
      </c>
      <c r="AN79" s="2">
        <f t="shared" si="90"/>
        <v>11643.722745120001</v>
      </c>
      <c r="AO79" s="2">
        <f t="shared" si="90"/>
        <v>11876.597200022401</v>
      </c>
      <c r="AP79" s="2">
        <f t="shared" si="90"/>
        <v>12114.129144022849</v>
      </c>
      <c r="AQ79" s="2">
        <f t="shared" si="90"/>
        <v>12356.411726903307</v>
      </c>
      <c r="AR79" s="2">
        <f t="shared" si="90"/>
        <v>12603.539961441373</v>
      </c>
      <c r="AS79" s="2">
        <f t="shared" si="90"/>
        <v>12855.610760670201</v>
      </c>
      <c r="AT79" s="2">
        <f t="shared" si="90"/>
        <v>13112.722975883606</v>
      </c>
    </row>
    <row r="80" spans="2:49" x14ac:dyDescent="0.3">
      <c r="B80" t="s">
        <v>78</v>
      </c>
      <c r="L80" s="2">
        <v>739</v>
      </c>
      <c r="M80" s="2">
        <f>M102-L80</f>
        <v>922</v>
      </c>
      <c r="N80" s="2">
        <f>N102-M80-L80</f>
        <v>772</v>
      </c>
      <c r="O80" s="2">
        <f t="shared" ref="O80:O93" si="91">AH80-N80-M80-L80</f>
        <v>796</v>
      </c>
      <c r="P80" s="2">
        <v>1179</v>
      </c>
      <c r="Q80" s="2">
        <f>Q102-P80</f>
        <v>780</v>
      </c>
      <c r="R80" s="2">
        <f>R102-Q80-P80</f>
        <v>800</v>
      </c>
      <c r="S80" s="2">
        <f t="shared" ref="S80:S95" si="92">AI80-R80-Q80-P80</f>
        <v>651</v>
      </c>
      <c r="T80" s="2">
        <v>684</v>
      </c>
      <c r="U80" s="2">
        <f>U102-T80</f>
        <v>664</v>
      </c>
      <c r="V80" s="2">
        <f>V102-U80-T80</f>
        <v>548</v>
      </c>
      <c r="W80" s="2">
        <f t="shared" ref="W80:W93" si="93">AJ80-V80-U80-T80</f>
        <v>538</v>
      </c>
      <c r="X80" s="2"/>
      <c r="Y80" s="2"/>
      <c r="Z80" s="2"/>
      <c r="AA80" s="2"/>
      <c r="AG80" s="2">
        <v>3128</v>
      </c>
      <c r="AH80" s="2">
        <v>3229</v>
      </c>
      <c r="AI80" s="2">
        <v>3410</v>
      </c>
      <c r="AJ80" s="2">
        <v>2434</v>
      </c>
      <c r="AK80" s="2">
        <f>AJ80*0.98</f>
        <v>2385.3200000000002</v>
      </c>
      <c r="AL80" s="2">
        <f t="shared" ref="AL80:AT80" si="94">AK80*0.98</f>
        <v>2337.6136000000001</v>
      </c>
      <c r="AM80" s="2">
        <f t="shared" si="94"/>
        <v>2290.861328</v>
      </c>
      <c r="AN80" s="2">
        <f t="shared" si="94"/>
        <v>2245.0441014399998</v>
      </c>
      <c r="AO80" s="2">
        <f t="shared" si="94"/>
        <v>2200.1432194111999</v>
      </c>
      <c r="AP80" s="2">
        <f t="shared" si="94"/>
        <v>2156.1403550229757</v>
      </c>
      <c r="AQ80" s="2">
        <f t="shared" si="94"/>
        <v>2113.0175479225163</v>
      </c>
      <c r="AR80" s="2">
        <f t="shared" si="94"/>
        <v>2070.7571969640658</v>
      </c>
      <c r="AS80" s="2">
        <f t="shared" si="94"/>
        <v>2029.3420530247845</v>
      </c>
      <c r="AT80" s="2">
        <f t="shared" si="94"/>
        <v>1988.7552119642887</v>
      </c>
    </row>
    <row r="81" spans="2:148" x14ac:dyDescent="0.3">
      <c r="B81" t="s">
        <v>24</v>
      </c>
      <c r="L81" s="2">
        <v>55</v>
      </c>
      <c r="M81" s="2">
        <f>M103-L81</f>
        <v>200</v>
      </c>
      <c r="N81" s="2">
        <f>N103-M81-L81</f>
        <v>463</v>
      </c>
      <c r="O81" s="2">
        <f t="shared" si="91"/>
        <v>-1142</v>
      </c>
      <c r="P81" s="2">
        <v>348</v>
      </c>
      <c r="Q81" s="2">
        <f>Q103-P81</f>
        <v>943</v>
      </c>
      <c r="R81" s="2">
        <f>R103-Q81-P81</f>
        <v>2335</v>
      </c>
      <c r="S81" s="2">
        <f t="shared" si="92"/>
        <v>-135</v>
      </c>
      <c r="T81" s="2">
        <v>0</v>
      </c>
      <c r="U81" s="2">
        <f>U103-T81</f>
        <v>382</v>
      </c>
      <c r="V81" s="2">
        <f>V103-U81-T81</f>
        <v>-10</v>
      </c>
      <c r="W81" s="2">
        <f t="shared" si="93"/>
        <v>104</v>
      </c>
      <c r="X81" s="2"/>
      <c r="Y81" s="2"/>
      <c r="Z81" s="2"/>
      <c r="AA81" s="2"/>
      <c r="AG81" s="2">
        <v>1074</v>
      </c>
      <c r="AH81" s="2">
        <v>-424</v>
      </c>
      <c r="AI81" s="2">
        <v>3491</v>
      </c>
      <c r="AJ81" s="2">
        <v>476</v>
      </c>
      <c r="AK81" s="2">
        <f t="shared" ref="AK81:AT81" si="95">AK16</f>
        <v>1533.6999999999998</v>
      </c>
      <c r="AL81" s="2">
        <f t="shared" si="95"/>
        <v>1073.5899999999999</v>
      </c>
      <c r="AM81" s="2">
        <f t="shared" si="95"/>
        <v>751.51299999999992</v>
      </c>
      <c r="AN81" s="2">
        <f t="shared" si="95"/>
        <v>526.05909999999994</v>
      </c>
      <c r="AO81" s="2">
        <f t="shared" si="95"/>
        <v>368.24136999999996</v>
      </c>
      <c r="AP81" s="2">
        <f t="shared" si="95"/>
        <v>257.76895899999994</v>
      </c>
      <c r="AQ81" s="2">
        <f t="shared" si="95"/>
        <v>180.43827129999994</v>
      </c>
      <c r="AR81" s="2">
        <f t="shared" si="95"/>
        <v>126.30678990999995</v>
      </c>
      <c r="AS81" s="2">
        <f t="shared" si="95"/>
        <v>88.41475293699996</v>
      </c>
      <c r="AT81" s="2">
        <f t="shared" si="95"/>
        <v>61.890327055899967</v>
      </c>
    </row>
    <row r="82" spans="2:148" x14ac:dyDescent="0.3">
      <c r="B82" t="s">
        <v>79</v>
      </c>
      <c r="L82" s="2">
        <v>465</v>
      </c>
      <c r="M82" s="2">
        <f>M104-L82</f>
        <v>444</v>
      </c>
      <c r="N82" s="2">
        <f>N104-M82-L82</f>
        <v>427</v>
      </c>
      <c r="O82" s="2">
        <f t="shared" si="91"/>
        <v>419</v>
      </c>
      <c r="P82" s="2">
        <v>351</v>
      </c>
      <c r="Q82" s="2">
        <f>Q104-P82</f>
        <v>366</v>
      </c>
      <c r="R82" s="2">
        <f>R104-Q82-P82</f>
        <v>364</v>
      </c>
      <c r="S82" s="2">
        <f t="shared" si="92"/>
        <v>347</v>
      </c>
      <c r="T82" s="2">
        <v>249</v>
      </c>
      <c r="U82" s="2">
        <f>U104-T82</f>
        <v>225</v>
      </c>
      <c r="V82" s="2">
        <f>V104-U82-T82</f>
        <v>234</v>
      </c>
      <c r="W82" s="2">
        <f t="shared" si="93"/>
        <v>241</v>
      </c>
      <c r="X82" s="2"/>
      <c r="Y82" s="2"/>
      <c r="Z82" s="2"/>
      <c r="AA82" s="2"/>
      <c r="AG82" s="2">
        <v>1907</v>
      </c>
      <c r="AH82" s="2">
        <v>1755</v>
      </c>
      <c r="AI82" s="2">
        <v>1428</v>
      </c>
      <c r="AJ82" s="2">
        <v>949</v>
      </c>
      <c r="AK82" s="2">
        <f t="shared" ref="AK82:AT82" si="96">AJ82*1.02</f>
        <v>967.98</v>
      </c>
      <c r="AL82" s="2">
        <f t="shared" si="96"/>
        <v>987.33960000000002</v>
      </c>
      <c r="AM82" s="2">
        <f t="shared" si="96"/>
        <v>1007.086392</v>
      </c>
      <c r="AN82" s="2">
        <f t="shared" si="96"/>
        <v>1027.2281198400001</v>
      </c>
      <c r="AO82" s="2">
        <f t="shared" si="96"/>
        <v>1047.7726822368002</v>
      </c>
      <c r="AP82" s="2">
        <f t="shared" si="96"/>
        <v>1068.7281358815362</v>
      </c>
      <c r="AQ82" s="2">
        <f t="shared" si="96"/>
        <v>1090.1026985991671</v>
      </c>
      <c r="AR82" s="2">
        <f t="shared" si="96"/>
        <v>1111.9047525711505</v>
      </c>
      <c r="AS82" s="2">
        <f t="shared" si="96"/>
        <v>1134.1428476225735</v>
      </c>
      <c r="AT82" s="2">
        <f t="shared" si="96"/>
        <v>1156.8257045750249</v>
      </c>
    </row>
    <row r="83" spans="2:148" x14ac:dyDescent="0.3">
      <c r="B83" t="s">
        <v>58</v>
      </c>
      <c r="L83" s="2">
        <v>-167</v>
      </c>
      <c r="M83" s="2">
        <f>M105-L83</f>
        <v>21</v>
      </c>
      <c r="N83" s="2">
        <f>N105-M83-L83</f>
        <v>193</v>
      </c>
      <c r="O83" s="2">
        <f t="shared" si="91"/>
        <v>-89</v>
      </c>
      <c r="P83" s="2">
        <v>-208</v>
      </c>
      <c r="Q83" s="2">
        <f>Q105-P83</f>
        <v>124</v>
      </c>
      <c r="R83" s="2">
        <f>R105-Q83-P83</f>
        <v>159</v>
      </c>
      <c r="S83" s="2">
        <f t="shared" si="92"/>
        <v>-321</v>
      </c>
      <c r="T83" s="2">
        <v>112</v>
      </c>
      <c r="U83" s="2">
        <f>U105-T83</f>
        <v>-502</v>
      </c>
      <c r="V83" s="2">
        <f>V105-U83-T83</f>
        <v>-221</v>
      </c>
      <c r="W83" s="2">
        <f t="shared" si="93"/>
        <v>97</v>
      </c>
      <c r="X83" s="2"/>
      <c r="Y83" s="2"/>
      <c r="Z83" s="2"/>
      <c r="AA83" s="2"/>
      <c r="AG83" s="2">
        <f>-4254-1059</f>
        <v>-5313</v>
      </c>
      <c r="AH83" s="2">
        <v>-42</v>
      </c>
      <c r="AI83" s="2">
        <v>-246</v>
      </c>
      <c r="AJ83" s="2">
        <v>-514</v>
      </c>
      <c r="AK83" s="2">
        <v>0</v>
      </c>
      <c r="AL83" s="2">
        <v>0</v>
      </c>
      <c r="AM83" s="2">
        <v>0</v>
      </c>
      <c r="AN83" s="2">
        <v>0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</row>
    <row r="84" spans="2:148" x14ac:dyDescent="0.3">
      <c r="B84" t="s">
        <v>111</v>
      </c>
      <c r="L84" s="2"/>
      <c r="M84" s="2"/>
      <c r="N84" s="2"/>
      <c r="O84" s="2"/>
      <c r="P84" s="2"/>
      <c r="Q84" s="2"/>
      <c r="R84" s="2"/>
      <c r="S84" s="2"/>
      <c r="T84" s="2"/>
      <c r="U84" s="2"/>
      <c r="V84" s="2">
        <f t="shared" ref="V84:V85" si="97">V106-U84-T84</f>
        <v>1687</v>
      </c>
      <c r="W84" s="2">
        <f t="shared" si="93"/>
        <v>109</v>
      </c>
      <c r="X84" s="2"/>
      <c r="Y84" s="2"/>
      <c r="Z84" s="2"/>
      <c r="AA84" s="2"/>
      <c r="AG84" s="2"/>
      <c r="AH84" s="2"/>
      <c r="AI84" s="2"/>
      <c r="AJ84" s="2">
        <v>1796</v>
      </c>
      <c r="AK84" s="2">
        <v>0</v>
      </c>
      <c r="AL84" s="2">
        <v>0</v>
      </c>
      <c r="AM84" s="2">
        <v>0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</row>
    <row r="85" spans="2:148" x14ac:dyDescent="0.3">
      <c r="B85" t="s">
        <v>112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>
        <f t="shared" si="97"/>
        <v>-5355</v>
      </c>
      <c r="W85" s="2">
        <f t="shared" si="93"/>
        <v>32</v>
      </c>
      <c r="X85" s="2"/>
      <c r="Y85" s="2"/>
      <c r="Z85" s="2"/>
      <c r="AA85" s="2"/>
      <c r="AG85" s="2"/>
      <c r="AH85" s="2"/>
      <c r="AI85" s="2"/>
      <c r="AJ85" s="2">
        <v>-5323</v>
      </c>
      <c r="AK85" s="2">
        <v>0</v>
      </c>
      <c r="AL85" s="2">
        <v>0</v>
      </c>
      <c r="AM85" s="2">
        <v>0</v>
      </c>
      <c r="AN85" s="2">
        <v>0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</row>
    <row r="86" spans="2:148" x14ac:dyDescent="0.3">
      <c r="B86" t="s">
        <v>80</v>
      </c>
      <c r="L86" s="2">
        <f t="shared" ref="L86" si="98">L108-K86</f>
        <v>0</v>
      </c>
      <c r="M86" s="2">
        <f t="shared" ref="M86:M93" si="99">M108-L86</f>
        <v>0</v>
      </c>
      <c r="N86" s="2">
        <f t="shared" ref="N86:N93" si="100">N108-M86-L86</f>
        <v>-1376</v>
      </c>
      <c r="O86" s="2">
        <f t="shared" si="91"/>
        <v>1376</v>
      </c>
      <c r="P86" s="2">
        <v>0</v>
      </c>
      <c r="Q86" s="2">
        <f t="shared" ref="Q86:Q93" si="101">Q108-P86</f>
        <v>0</v>
      </c>
      <c r="R86" s="2">
        <f t="shared" ref="R86:R93" si="102">R108-Q86-P86</f>
        <v>6368</v>
      </c>
      <c r="S86" s="2">
        <f t="shared" si="92"/>
        <v>-236</v>
      </c>
      <c r="T86" s="2">
        <v>19</v>
      </c>
      <c r="U86" s="2">
        <f t="shared" ref="U86:U93" si="103">U108-T86</f>
        <v>87</v>
      </c>
      <c r="V86" s="2">
        <f t="shared" ref="V86:V93" si="104">V108-U86-T86</f>
        <v>17</v>
      </c>
      <c r="W86" s="2">
        <f t="shared" si="93"/>
        <v>205</v>
      </c>
      <c r="X86" s="2"/>
      <c r="Y86" s="2"/>
      <c r="Z86" s="2"/>
      <c r="AA86" s="2"/>
      <c r="AG86" s="2">
        <v>0</v>
      </c>
      <c r="AH86" s="2">
        <v>0</v>
      </c>
      <c r="AI86" s="2">
        <v>6132</v>
      </c>
      <c r="AJ86" s="2">
        <v>328</v>
      </c>
      <c r="AK86" s="2">
        <v>0</v>
      </c>
      <c r="AL86" s="2">
        <v>0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</row>
    <row r="87" spans="2:148" x14ac:dyDescent="0.3">
      <c r="B87" t="s">
        <v>81</v>
      </c>
      <c r="L87" s="2">
        <f t="shared" ref="L87" si="105">L109-K87</f>
        <v>0</v>
      </c>
      <c r="M87" s="2">
        <f t="shared" si="99"/>
        <v>0</v>
      </c>
      <c r="N87" s="2">
        <f t="shared" si="100"/>
        <v>-87</v>
      </c>
      <c r="O87" s="2">
        <f t="shared" si="91"/>
        <v>87</v>
      </c>
      <c r="P87" s="2">
        <v>0</v>
      </c>
      <c r="Q87" s="2">
        <f t="shared" si="101"/>
        <v>0</v>
      </c>
      <c r="R87" s="2">
        <f t="shared" si="102"/>
        <v>2290</v>
      </c>
      <c r="S87" s="2">
        <f t="shared" si="92"/>
        <v>-38</v>
      </c>
      <c r="T87" s="2">
        <v>0</v>
      </c>
      <c r="U87" s="2">
        <f t="shared" si="103"/>
        <v>482</v>
      </c>
      <c r="V87" s="2">
        <f t="shared" si="104"/>
        <v>-17</v>
      </c>
      <c r="W87" s="2">
        <f t="shared" si="93"/>
        <v>50</v>
      </c>
      <c r="X87" s="2"/>
      <c r="Y87" s="2"/>
      <c r="Z87" s="2"/>
      <c r="AA87" s="2"/>
      <c r="AG87" s="2">
        <v>0</v>
      </c>
      <c r="AH87" s="2">
        <v>0</v>
      </c>
      <c r="AI87" s="2">
        <v>2252</v>
      </c>
      <c r="AJ87" s="2">
        <v>515</v>
      </c>
      <c r="AK87" s="2">
        <f>AJ87*0.8</f>
        <v>412</v>
      </c>
      <c r="AL87" s="2">
        <f t="shared" ref="AL87:AT87" si="106">AK87*0.8</f>
        <v>329.6</v>
      </c>
      <c r="AM87" s="2">
        <f t="shared" si="106"/>
        <v>263.68</v>
      </c>
      <c r="AN87" s="2">
        <f t="shared" si="106"/>
        <v>210.94400000000002</v>
      </c>
      <c r="AO87" s="2">
        <f t="shared" si="106"/>
        <v>168.75520000000003</v>
      </c>
      <c r="AP87" s="2">
        <f t="shared" si="106"/>
        <v>135.00416000000004</v>
      </c>
      <c r="AQ87" s="2">
        <f t="shared" si="106"/>
        <v>108.00332800000004</v>
      </c>
      <c r="AR87" s="2">
        <f t="shared" si="106"/>
        <v>86.40266240000004</v>
      </c>
      <c r="AS87" s="2">
        <f t="shared" si="106"/>
        <v>69.122129920000035</v>
      </c>
      <c r="AT87" s="2">
        <f t="shared" si="106"/>
        <v>55.297703936000033</v>
      </c>
    </row>
    <row r="88" spans="2:148" x14ac:dyDescent="0.3">
      <c r="B88" t="s">
        <v>59</v>
      </c>
      <c r="L88" s="2">
        <v>286</v>
      </c>
      <c r="M88" s="2">
        <f t="shared" si="99"/>
        <v>851</v>
      </c>
      <c r="N88" s="2">
        <f t="shared" si="100"/>
        <v>153</v>
      </c>
      <c r="O88" s="2">
        <f t="shared" si="91"/>
        <v>-559</v>
      </c>
      <c r="P88" s="2">
        <v>80</v>
      </c>
      <c r="Q88" s="2">
        <f t="shared" si="101"/>
        <v>192</v>
      </c>
      <c r="R88" s="2">
        <f t="shared" si="102"/>
        <v>10</v>
      </c>
      <c r="S88" s="2">
        <f t="shared" si="92"/>
        <v>-357</v>
      </c>
      <c r="T88" s="2">
        <v>414</v>
      </c>
      <c r="U88" s="2">
        <f t="shared" si="103"/>
        <v>590</v>
      </c>
      <c r="V88" s="2">
        <f t="shared" si="104"/>
        <v>-842</v>
      </c>
      <c r="W88" s="2">
        <f t="shared" si="93"/>
        <v>-611</v>
      </c>
      <c r="X88" s="2"/>
      <c r="Y88" s="2"/>
      <c r="Z88" s="2"/>
      <c r="AA88" s="2"/>
      <c r="AG88" s="2">
        <v>5327</v>
      </c>
      <c r="AH88" s="2">
        <v>731</v>
      </c>
      <c r="AI88" s="2">
        <v>-75</v>
      </c>
      <c r="AJ88" s="2">
        <v>-449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</row>
    <row r="89" spans="2:148" x14ac:dyDescent="0.3">
      <c r="B89" t="s">
        <v>60</v>
      </c>
      <c r="L89" s="2">
        <v>231</v>
      </c>
      <c r="M89" s="2">
        <f t="shared" si="99"/>
        <v>1009</v>
      </c>
      <c r="N89" s="2">
        <f t="shared" si="100"/>
        <v>518</v>
      </c>
      <c r="O89" s="2">
        <f t="shared" si="91"/>
        <v>339</v>
      </c>
      <c r="P89" s="2">
        <v>-366</v>
      </c>
      <c r="Q89" s="2">
        <f t="shared" si="101"/>
        <v>250</v>
      </c>
      <c r="R89" s="2">
        <f t="shared" si="102"/>
        <v>-853</v>
      </c>
      <c r="S89" s="2">
        <f t="shared" si="92"/>
        <v>-136</v>
      </c>
      <c r="T89" s="2">
        <v>-83</v>
      </c>
      <c r="U89" s="2">
        <f t="shared" si="103"/>
        <v>182</v>
      </c>
      <c r="V89" s="2">
        <f t="shared" si="104"/>
        <v>-108</v>
      </c>
      <c r="W89" s="2">
        <f t="shared" si="93"/>
        <v>-129</v>
      </c>
      <c r="X89" s="2"/>
      <c r="Y89" s="2"/>
      <c r="Z89" s="2"/>
      <c r="AA89" s="2"/>
      <c r="AG89" s="2">
        <v>-2436</v>
      </c>
      <c r="AH89" s="2">
        <v>2097</v>
      </c>
      <c r="AI89" s="2">
        <v>-1105</v>
      </c>
      <c r="AJ89" s="2">
        <v>-138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V89" s="1"/>
      <c r="AW89" s="1"/>
    </row>
    <row r="90" spans="2:148" x14ac:dyDescent="0.3">
      <c r="B90" t="s">
        <v>69</v>
      </c>
      <c r="L90" s="2">
        <v>-771</v>
      </c>
      <c r="M90" s="2">
        <f t="shared" si="99"/>
        <v>-331</v>
      </c>
      <c r="N90" s="2">
        <f t="shared" si="100"/>
        <v>20</v>
      </c>
      <c r="O90" s="2">
        <f t="shared" si="91"/>
        <v>281</v>
      </c>
      <c r="P90" s="2">
        <v>-386</v>
      </c>
      <c r="Q90" s="2">
        <f t="shared" si="101"/>
        <v>570</v>
      </c>
      <c r="R90" s="2">
        <f t="shared" si="102"/>
        <v>382</v>
      </c>
      <c r="S90" s="2">
        <f t="shared" si="92"/>
        <v>68</v>
      </c>
      <c r="T90" s="2">
        <v>-240</v>
      </c>
      <c r="U90" s="2">
        <f t="shared" si="103"/>
        <v>354</v>
      </c>
      <c r="V90" s="2">
        <f t="shared" si="104"/>
        <v>-395</v>
      </c>
      <c r="W90" s="2">
        <f t="shared" si="93"/>
        <v>578</v>
      </c>
      <c r="X90" s="2"/>
      <c r="Y90" s="2"/>
      <c r="Z90" s="2"/>
      <c r="AA90" s="2"/>
      <c r="AG90" s="2">
        <v>-29</v>
      </c>
      <c r="AH90" s="2">
        <v>-801</v>
      </c>
      <c r="AI90" s="2">
        <v>634</v>
      </c>
      <c r="AJ90" s="2">
        <v>297</v>
      </c>
      <c r="AK90" s="2">
        <v>0</v>
      </c>
      <c r="AL90" s="2">
        <v>0</v>
      </c>
      <c r="AM90" s="2">
        <v>0</v>
      </c>
      <c r="AN90" s="2">
        <v>0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</row>
    <row r="91" spans="2:148" x14ac:dyDescent="0.3">
      <c r="B91" t="s">
        <v>70</v>
      </c>
      <c r="L91" s="2">
        <v>-1560</v>
      </c>
      <c r="M91" s="2">
        <f t="shared" si="99"/>
        <v>220</v>
      </c>
      <c r="N91" s="2">
        <f t="shared" si="100"/>
        <v>169</v>
      </c>
      <c r="O91" s="2">
        <f t="shared" si="91"/>
        <v>557</v>
      </c>
      <c r="P91" s="2">
        <v>-1289</v>
      </c>
      <c r="Q91" s="2">
        <f t="shared" si="101"/>
        <v>-20</v>
      </c>
      <c r="R91" s="2">
        <f t="shared" si="102"/>
        <v>2693</v>
      </c>
      <c r="S91" s="2">
        <f t="shared" si="92"/>
        <v>-1602</v>
      </c>
      <c r="T91" s="2">
        <v>-741</v>
      </c>
      <c r="U91" s="2">
        <f t="shared" si="103"/>
        <v>1763</v>
      </c>
      <c r="V91" s="2">
        <f t="shared" si="104"/>
        <v>-481</v>
      </c>
      <c r="W91" s="2">
        <f t="shared" si="93"/>
        <v>247</v>
      </c>
      <c r="X91" s="2"/>
      <c r="Y91" s="2"/>
      <c r="Z91" s="2"/>
      <c r="AA91" s="2"/>
      <c r="AG91" s="2">
        <v>-1533</v>
      </c>
      <c r="AH91" s="2">
        <v>-614</v>
      </c>
      <c r="AI91" s="2">
        <v>-218</v>
      </c>
      <c r="AJ91" s="2">
        <v>788</v>
      </c>
      <c r="AK91" s="2">
        <v>0</v>
      </c>
      <c r="AL91" s="2">
        <v>0</v>
      </c>
      <c r="AM91" s="2">
        <v>0</v>
      </c>
      <c r="AN91" s="2">
        <v>0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V91" s="1"/>
      <c r="AW91" s="1"/>
    </row>
    <row r="92" spans="2:148" x14ac:dyDescent="0.3">
      <c r="B92" t="s">
        <v>29</v>
      </c>
      <c r="L92" s="2">
        <v>1344</v>
      </c>
      <c r="M92" s="2">
        <f t="shared" si="99"/>
        <v>-3530</v>
      </c>
      <c r="N92" s="2">
        <f t="shared" si="100"/>
        <v>886</v>
      </c>
      <c r="O92" s="2">
        <f t="shared" si="91"/>
        <v>-2231</v>
      </c>
      <c r="P92" s="2">
        <v>-591</v>
      </c>
      <c r="Q92" s="2">
        <f t="shared" si="101"/>
        <v>-1583</v>
      </c>
      <c r="R92" s="2">
        <f t="shared" si="102"/>
        <v>1244</v>
      </c>
      <c r="S92" s="2">
        <f t="shared" si="92"/>
        <v>574</v>
      </c>
      <c r="T92" s="2">
        <v>67</v>
      </c>
      <c r="U92" s="2">
        <f t="shared" si="103"/>
        <v>-1405</v>
      </c>
      <c r="V92" s="2">
        <f t="shared" si="104"/>
        <v>142</v>
      </c>
      <c r="W92" s="2">
        <f t="shared" si="93"/>
        <v>201</v>
      </c>
      <c r="X92" s="2"/>
      <c r="Y92" s="2"/>
      <c r="Z92" s="2"/>
      <c r="AA92" s="2"/>
      <c r="AG92" s="2">
        <v>-4535</v>
      </c>
      <c r="AH92" s="2">
        <v>-3531</v>
      </c>
      <c r="AI92" s="2">
        <v>-356</v>
      </c>
      <c r="AJ92" s="2">
        <v>-995</v>
      </c>
      <c r="AK92" s="2">
        <v>0</v>
      </c>
      <c r="AL92" s="2">
        <v>0</v>
      </c>
      <c r="AM92" s="2">
        <v>0</v>
      </c>
      <c r="AN92" s="2">
        <v>0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V92" s="1"/>
      <c r="AW92" s="1"/>
    </row>
    <row r="93" spans="2:148" x14ac:dyDescent="0.3">
      <c r="B93" t="s">
        <v>82</v>
      </c>
      <c r="L93" s="2">
        <v>-1540</v>
      </c>
      <c r="M93" s="2">
        <f t="shared" si="99"/>
        <v>-303</v>
      </c>
      <c r="N93" s="2">
        <f t="shared" si="100"/>
        <v>1356</v>
      </c>
      <c r="O93" s="2">
        <f t="shared" si="91"/>
        <v>36</v>
      </c>
      <c r="P93" s="2">
        <v>-2104</v>
      </c>
      <c r="Q93" s="2">
        <f t="shared" si="101"/>
        <v>121</v>
      </c>
      <c r="R93" s="2">
        <f t="shared" si="102"/>
        <v>2003</v>
      </c>
      <c r="S93" s="2">
        <f t="shared" si="92"/>
        <v>2203</v>
      </c>
      <c r="T93" s="2">
        <v>-1206</v>
      </c>
      <c r="U93" s="2">
        <f t="shared" si="103"/>
        <v>-536</v>
      </c>
      <c r="V93" s="2">
        <f t="shared" si="104"/>
        <v>319</v>
      </c>
      <c r="W93" s="2">
        <f t="shared" si="93"/>
        <v>173</v>
      </c>
      <c r="X93" s="2"/>
      <c r="Y93" s="2"/>
      <c r="Z93" s="2"/>
      <c r="AA93" s="2"/>
      <c r="AG93" s="2">
        <f>-1278-24</f>
        <v>-1302</v>
      </c>
      <c r="AH93" s="2">
        <v>-451</v>
      </c>
      <c r="AI93" s="2">
        <v>2223</v>
      </c>
      <c r="AJ93" s="2">
        <v>-1250</v>
      </c>
      <c r="AK93" s="2">
        <v>0</v>
      </c>
      <c r="AL93" s="2">
        <v>0</v>
      </c>
      <c r="AM93" s="2">
        <v>0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</row>
    <row r="94" spans="2:148" s="1" customFormat="1" x14ac:dyDescent="0.3">
      <c r="B94" s="1" t="s">
        <v>83</v>
      </c>
      <c r="L94" s="7">
        <f t="shared" ref="L94:S94" si="107">L78+SUM(L79:L93)</f>
        <v>-1775</v>
      </c>
      <c r="M94" s="7">
        <f t="shared" si="107"/>
        <v>2816</v>
      </c>
      <c r="N94" s="7">
        <f t="shared" si="107"/>
        <v>5811</v>
      </c>
      <c r="O94" s="7">
        <f t="shared" si="107"/>
        <v>4903</v>
      </c>
      <c r="P94" s="7">
        <f t="shared" si="107"/>
        <v>-1167</v>
      </c>
      <c r="Q94" s="7">
        <f t="shared" si="107"/>
        <v>2336</v>
      </c>
      <c r="R94" s="7">
        <f t="shared" si="107"/>
        <v>4404</v>
      </c>
      <c r="S94" s="7">
        <f t="shared" si="107"/>
        <v>3192</v>
      </c>
      <c r="T94" s="7">
        <f t="shared" ref="T94" si="108">T78+SUM(T79:T93)</f>
        <v>879</v>
      </c>
      <c r="U94" s="7">
        <f t="shared" ref="U94" si="109">U78+SUM(U79:U93)</f>
        <v>2156</v>
      </c>
      <c r="V94" s="7">
        <f t="shared" ref="V94:W94" si="110">V78+SUM(V79:V93)</f>
        <v>2339</v>
      </c>
      <c r="W94" s="7">
        <f t="shared" si="110"/>
        <v>4030</v>
      </c>
      <c r="X94" s="7"/>
      <c r="Y94" s="7"/>
      <c r="Z94" s="7"/>
      <c r="AA94" s="7"/>
      <c r="AG94" s="7">
        <f>AG78+SUM(AG79:AG93)</f>
        <v>15430</v>
      </c>
      <c r="AH94" s="7">
        <f>AH78+SUM(AH79:AH93)</f>
        <v>11755</v>
      </c>
      <c r="AI94" s="7">
        <f>AI78+SUM(AI79:AI93)</f>
        <v>8765</v>
      </c>
      <c r="AJ94" s="7">
        <f>AJ78+SUM(AJ79:AJ93)</f>
        <v>9404</v>
      </c>
      <c r="AK94" s="7">
        <f t="shared" ref="AK94:AT94" si="111">AK78+SUM(AK79:AK93)</f>
        <v>22058.221300000005</v>
      </c>
      <c r="AL94" s="7">
        <f t="shared" si="111"/>
        <v>24002.1362744</v>
      </c>
      <c r="AM94" s="7">
        <f t="shared" si="111"/>
        <v>24790.101676160004</v>
      </c>
      <c r="AN94" s="7">
        <f t="shared" si="111"/>
        <v>25453.835534752703</v>
      </c>
      <c r="AO94" s="7">
        <f t="shared" si="111"/>
        <v>26069.311782668621</v>
      </c>
      <c r="AP94" s="7">
        <f t="shared" si="111"/>
        <v>26765.735086941368</v>
      </c>
      <c r="AQ94" s="7">
        <f t="shared" si="111"/>
        <v>27502.487520739181</v>
      </c>
      <c r="AR94" s="7">
        <f t="shared" si="111"/>
        <v>28276.578489340347</v>
      </c>
      <c r="AS94" s="7">
        <f t="shared" si="111"/>
        <v>29085.99598022471</v>
      </c>
      <c r="AT94" s="7">
        <f t="shared" si="111"/>
        <v>29929.447238559227</v>
      </c>
    </row>
    <row r="95" spans="2:148" x14ac:dyDescent="0.3">
      <c r="B95" t="s">
        <v>63</v>
      </c>
      <c r="L95" s="2">
        <v>7413</v>
      </c>
      <c r="M95" s="2">
        <f>M117-L95</f>
        <v>5888</v>
      </c>
      <c r="N95" s="2">
        <f>N117-M95-L95</f>
        <v>5753</v>
      </c>
      <c r="O95" s="2">
        <f>AH95-N95-M95-L95</f>
        <v>6696</v>
      </c>
      <c r="P95" s="2">
        <v>5970</v>
      </c>
      <c r="Q95" s="2">
        <f>Q117-P95</f>
        <v>5682</v>
      </c>
      <c r="R95" s="2">
        <f>R117-Q95-P95</f>
        <v>6458</v>
      </c>
      <c r="S95" s="2">
        <f t="shared" si="92"/>
        <v>5834</v>
      </c>
      <c r="T95" s="2">
        <v>5183</v>
      </c>
      <c r="U95" s="2">
        <f>U117-T95</f>
        <v>3550</v>
      </c>
      <c r="V95" s="2">
        <f>V117-U95-T95</f>
        <v>2785</v>
      </c>
      <c r="W95" s="2">
        <f>AJ95-V95-U95-T95</f>
        <v>3128</v>
      </c>
      <c r="X95" s="2"/>
      <c r="Y95" s="2"/>
      <c r="Z95" s="2"/>
      <c r="AA95" s="2"/>
      <c r="AG95" s="2">
        <v>24844</v>
      </c>
      <c r="AH95" s="2">
        <v>25750</v>
      </c>
      <c r="AI95" s="2">
        <v>23944</v>
      </c>
      <c r="AJ95" s="2">
        <v>14646</v>
      </c>
      <c r="AK95" s="2">
        <f>AJ95*1.05</f>
        <v>15378.300000000001</v>
      </c>
      <c r="AL95" s="2">
        <f>AK95*1.03</f>
        <v>15839.649000000001</v>
      </c>
      <c r="AM95" s="2">
        <f t="shared" ref="AM95:AN95" si="112">AL95*1.03</f>
        <v>16314.838470000002</v>
      </c>
      <c r="AN95" s="2">
        <f t="shared" si="112"/>
        <v>16804.283624100004</v>
      </c>
      <c r="AO95" s="2">
        <f>AN95*1.02</f>
        <v>17140.369296582005</v>
      </c>
      <c r="AP95" s="2">
        <f t="shared" ref="AP95:AT95" si="113">AO95*1.02</f>
        <v>17483.176682513644</v>
      </c>
      <c r="AQ95" s="2">
        <f t="shared" si="113"/>
        <v>17832.840216163917</v>
      </c>
      <c r="AR95" s="2">
        <f t="shared" si="113"/>
        <v>18189.497020487197</v>
      </c>
      <c r="AS95" s="2">
        <f t="shared" si="113"/>
        <v>18553.286960896941</v>
      </c>
      <c r="AT95" s="2">
        <f t="shared" si="113"/>
        <v>18924.35270011488</v>
      </c>
    </row>
    <row r="96" spans="2:148" s="1" customFormat="1" x14ac:dyDescent="0.3">
      <c r="B96" s="1" t="s">
        <v>84</v>
      </c>
      <c r="L96" s="7">
        <f>L94-L95</f>
        <v>-9188</v>
      </c>
      <c r="M96" s="7">
        <f t="shared" ref="M96:S96" si="114">M94-M95</f>
        <v>-3072</v>
      </c>
      <c r="N96" s="7">
        <f t="shared" si="114"/>
        <v>58</v>
      </c>
      <c r="O96" s="7">
        <f t="shared" si="114"/>
        <v>-1793</v>
      </c>
      <c r="P96" s="7">
        <f t="shared" si="114"/>
        <v>-7137</v>
      </c>
      <c r="Q96" s="7">
        <f t="shared" si="114"/>
        <v>-3346</v>
      </c>
      <c r="R96" s="7">
        <f t="shared" si="114"/>
        <v>-2054</v>
      </c>
      <c r="S96" s="7">
        <f t="shared" si="114"/>
        <v>-2642</v>
      </c>
      <c r="T96" s="7">
        <f t="shared" ref="T96:W96" si="115">T94-T95</f>
        <v>-4304</v>
      </c>
      <c r="U96" s="7">
        <f t="shared" si="115"/>
        <v>-1394</v>
      </c>
      <c r="V96" s="7">
        <f t="shared" si="115"/>
        <v>-446</v>
      </c>
      <c r="W96" s="7">
        <f t="shared" si="115"/>
        <v>902</v>
      </c>
      <c r="X96" s="7"/>
      <c r="Y96" s="7"/>
      <c r="Z96" s="7"/>
      <c r="AA96" s="7"/>
      <c r="AG96" s="7">
        <f t="shared" ref="AG96" si="116">AG94-AG95</f>
        <v>-9414</v>
      </c>
      <c r="AH96" s="7">
        <f t="shared" ref="AH96" si="117">AH94-AH95</f>
        <v>-13995</v>
      </c>
      <c r="AI96" s="7">
        <f t="shared" ref="AI96" si="118">AI94-AI95</f>
        <v>-15179</v>
      </c>
      <c r="AJ96" s="7">
        <f t="shared" ref="AJ96" si="119">AJ94-AJ95</f>
        <v>-5242</v>
      </c>
      <c r="AK96" s="7">
        <f t="shared" ref="AK96" si="120">AK94-AK95</f>
        <v>6679.9213000000036</v>
      </c>
      <c r="AL96" s="7">
        <f t="shared" ref="AL96" si="121">AL94-AL95</f>
        <v>8162.4872743999986</v>
      </c>
      <c r="AM96" s="7">
        <f t="shared" ref="AM96" si="122">AM94-AM95</f>
        <v>8475.2632061600016</v>
      </c>
      <c r="AN96" s="7">
        <f t="shared" ref="AN96" si="123">AN94-AN95</f>
        <v>8649.551910652699</v>
      </c>
      <c r="AO96" s="7">
        <f t="shared" ref="AO96" si="124">AO94-AO95</f>
        <v>8928.9424860866166</v>
      </c>
      <c r="AP96" s="7">
        <f t="shared" ref="AP96" si="125">AP94-AP95</f>
        <v>9282.5584044277239</v>
      </c>
      <c r="AQ96" s="7">
        <f t="shared" ref="AQ96" si="126">AQ94-AQ95</f>
        <v>9669.6473045752646</v>
      </c>
      <c r="AR96" s="7">
        <f t="shared" ref="AR96" si="127">AR94-AR95</f>
        <v>10087.08146885315</v>
      </c>
      <c r="AS96" s="7">
        <f t="shared" ref="AS96" si="128">AS94-AS95</f>
        <v>10532.709019327769</v>
      </c>
      <c r="AT96" s="7">
        <f t="shared" ref="AT96" si="129">AT94-AT95</f>
        <v>11005.094538444348</v>
      </c>
      <c r="AU96" s="1">
        <f>AT96*(1+$AW$100)</f>
        <v>10895.043593059903</v>
      </c>
      <c r="AV96" s="1">
        <f t="shared" ref="AV96:DG96" si="130">AU96*(1+$AW$100)</f>
        <v>10786.093157129304</v>
      </c>
      <c r="AW96" s="1">
        <f t="shared" si="130"/>
        <v>10678.232225558011</v>
      </c>
      <c r="AX96" s="1">
        <f t="shared" si="130"/>
        <v>10571.449903302431</v>
      </c>
      <c r="AY96" s="1">
        <f t="shared" si="130"/>
        <v>10465.735404269406</v>
      </c>
      <c r="AZ96" s="1">
        <f t="shared" si="130"/>
        <v>10361.078050226712</v>
      </c>
      <c r="BA96" s="1">
        <f t="shared" si="130"/>
        <v>10257.467269724444</v>
      </c>
      <c r="BB96" s="1">
        <f t="shared" si="130"/>
        <v>10154.892597027199</v>
      </c>
      <c r="BC96" s="1">
        <f t="shared" si="130"/>
        <v>10053.343671056928</v>
      </c>
      <c r="BD96" s="1">
        <f t="shared" si="130"/>
        <v>9952.8102343463579</v>
      </c>
      <c r="BE96" s="1">
        <f t="shared" si="130"/>
        <v>9853.2821320028943</v>
      </c>
      <c r="BF96" s="1">
        <f t="shared" si="130"/>
        <v>9754.7493106828661</v>
      </c>
      <c r="BG96" s="1">
        <f t="shared" si="130"/>
        <v>9657.2018175760368</v>
      </c>
      <c r="BH96" s="1">
        <f t="shared" si="130"/>
        <v>9560.6297994002762</v>
      </c>
      <c r="BI96" s="1">
        <f t="shared" si="130"/>
        <v>9465.0235014062728</v>
      </c>
      <c r="BJ96" s="1">
        <f t="shared" si="130"/>
        <v>9370.3732663922092</v>
      </c>
      <c r="BK96" s="1">
        <f t="shared" si="130"/>
        <v>9276.6695337282872</v>
      </c>
      <c r="BL96" s="1">
        <f t="shared" si="130"/>
        <v>9183.9028383910045</v>
      </c>
      <c r="BM96" s="1">
        <f t="shared" si="130"/>
        <v>9092.0638100070937</v>
      </c>
      <c r="BN96" s="1">
        <f t="shared" si="130"/>
        <v>9001.1431719070224</v>
      </c>
      <c r="BO96" s="1">
        <f t="shared" si="130"/>
        <v>8911.1317401879514</v>
      </c>
      <c r="BP96" s="1">
        <f t="shared" si="130"/>
        <v>8822.0204227860722</v>
      </c>
      <c r="BQ96" s="1">
        <f t="shared" si="130"/>
        <v>8733.8002185582118</v>
      </c>
      <c r="BR96" s="1">
        <f t="shared" si="130"/>
        <v>8646.462216372629</v>
      </c>
      <c r="BS96" s="1">
        <f t="shared" si="130"/>
        <v>8559.9975942089022</v>
      </c>
      <c r="BT96" s="1">
        <f t="shared" si="130"/>
        <v>8474.3976182668139</v>
      </c>
      <c r="BU96" s="1">
        <f t="shared" si="130"/>
        <v>8389.6536420841458</v>
      </c>
      <c r="BV96" s="1">
        <f t="shared" si="130"/>
        <v>8305.7571056633042</v>
      </c>
      <c r="BW96" s="1">
        <f t="shared" si="130"/>
        <v>8222.6995346066706</v>
      </c>
      <c r="BX96" s="1">
        <f t="shared" si="130"/>
        <v>8140.4725392606042</v>
      </c>
      <c r="BY96" s="1">
        <f t="shared" si="130"/>
        <v>8059.0678138679978</v>
      </c>
      <c r="BZ96" s="1">
        <f t="shared" si="130"/>
        <v>7978.4771357293175</v>
      </c>
      <c r="CA96" s="1">
        <f t="shared" si="130"/>
        <v>7898.6923643720247</v>
      </c>
      <c r="CB96" s="1">
        <f t="shared" si="130"/>
        <v>7819.705440728304</v>
      </c>
      <c r="CC96" s="1">
        <f t="shared" si="130"/>
        <v>7741.5083863210211</v>
      </c>
      <c r="CD96" s="1">
        <f t="shared" si="130"/>
        <v>7664.0933024578108</v>
      </c>
      <c r="CE96" s="1">
        <f t="shared" si="130"/>
        <v>7587.4523694332329</v>
      </c>
      <c r="CF96" s="1">
        <f t="shared" si="130"/>
        <v>7511.5778457389006</v>
      </c>
      <c r="CG96" s="1">
        <f t="shared" si="130"/>
        <v>7436.4620672815117</v>
      </c>
      <c r="CH96" s="1">
        <f t="shared" si="130"/>
        <v>7362.0974466086964</v>
      </c>
      <c r="CI96" s="1">
        <f t="shared" si="130"/>
        <v>7288.4764721426091</v>
      </c>
      <c r="CJ96" s="1">
        <f t="shared" si="130"/>
        <v>7215.5917074211829</v>
      </c>
      <c r="CK96" s="1">
        <f t="shared" si="130"/>
        <v>7143.4357903469709</v>
      </c>
      <c r="CL96" s="1">
        <f t="shared" si="130"/>
        <v>7072.0014324435015</v>
      </c>
      <c r="CM96" s="1">
        <f t="shared" si="130"/>
        <v>7001.2814181190661</v>
      </c>
      <c r="CN96" s="1">
        <f t="shared" si="130"/>
        <v>6931.268603937875</v>
      </c>
      <c r="CO96" s="1">
        <f t="shared" si="130"/>
        <v>6861.9559178984964</v>
      </c>
      <c r="CP96" s="1">
        <f t="shared" si="130"/>
        <v>6793.3363587195117</v>
      </c>
      <c r="CQ96" s="1">
        <f t="shared" si="130"/>
        <v>6725.4029951323164</v>
      </c>
      <c r="CR96" s="1">
        <f t="shared" si="130"/>
        <v>6658.1489651809934</v>
      </c>
      <c r="CS96" s="1">
        <f t="shared" si="130"/>
        <v>6591.567475529183</v>
      </c>
      <c r="CT96" s="1">
        <f t="shared" si="130"/>
        <v>6525.6518007738914</v>
      </c>
      <c r="CU96" s="1">
        <f t="shared" si="130"/>
        <v>6460.3952827661524</v>
      </c>
      <c r="CV96" s="1">
        <f t="shared" si="130"/>
        <v>6395.7913299384909</v>
      </c>
      <c r="CW96" s="1">
        <f t="shared" si="130"/>
        <v>6331.833416639106</v>
      </c>
      <c r="CX96" s="1">
        <f t="shared" si="130"/>
        <v>6268.5150824727152</v>
      </c>
      <c r="CY96" s="1">
        <f t="shared" si="130"/>
        <v>6205.8299316479879</v>
      </c>
      <c r="CZ96" s="1">
        <f t="shared" si="130"/>
        <v>6143.771632331508</v>
      </c>
      <c r="DA96" s="1">
        <f t="shared" si="130"/>
        <v>6082.3339160081932</v>
      </c>
      <c r="DB96" s="1">
        <f t="shared" si="130"/>
        <v>6021.5105768481117</v>
      </c>
      <c r="DC96" s="1">
        <f t="shared" si="130"/>
        <v>5961.2954710796303</v>
      </c>
      <c r="DD96" s="1">
        <f t="shared" si="130"/>
        <v>5901.6825163688336</v>
      </c>
      <c r="DE96" s="1">
        <f t="shared" si="130"/>
        <v>5842.6656912051449</v>
      </c>
      <c r="DF96" s="1">
        <f t="shared" si="130"/>
        <v>5784.239034293093</v>
      </c>
      <c r="DG96" s="1">
        <f t="shared" si="130"/>
        <v>5726.3966439501619</v>
      </c>
      <c r="DH96" s="1">
        <f t="shared" ref="DH96:ER96" si="131">DG96*(1+$AW$100)</f>
        <v>5669.13267751066</v>
      </c>
      <c r="DI96" s="1">
        <f t="shared" si="131"/>
        <v>5612.441350735553</v>
      </c>
      <c r="DJ96" s="1">
        <f t="shared" si="131"/>
        <v>5556.3169372281973</v>
      </c>
      <c r="DK96" s="1">
        <f t="shared" si="131"/>
        <v>5500.7537678559156</v>
      </c>
      <c r="DL96" s="1">
        <f t="shared" si="131"/>
        <v>5445.7462301773567</v>
      </c>
      <c r="DM96" s="1">
        <f t="shared" si="131"/>
        <v>5391.2887678755833</v>
      </c>
      <c r="DN96" s="1">
        <f t="shared" si="131"/>
        <v>5337.375880196827</v>
      </c>
      <c r="DO96" s="1">
        <f t="shared" si="131"/>
        <v>5284.0021213948585</v>
      </c>
      <c r="DP96" s="1">
        <f t="shared" si="131"/>
        <v>5231.1621001809099</v>
      </c>
      <c r="DQ96" s="1">
        <f t="shared" si="131"/>
        <v>5178.8504791791011</v>
      </c>
      <c r="DR96" s="1">
        <f t="shared" si="131"/>
        <v>5127.0619743873103</v>
      </c>
      <c r="DS96" s="1">
        <f t="shared" si="131"/>
        <v>5075.7913546434374</v>
      </c>
      <c r="DT96" s="1">
        <f t="shared" si="131"/>
        <v>5025.0334410970027</v>
      </c>
      <c r="DU96" s="1">
        <f t="shared" si="131"/>
        <v>4974.7831066860326</v>
      </c>
      <c r="DV96" s="1">
        <f t="shared" si="131"/>
        <v>4925.0352756191724</v>
      </c>
      <c r="DW96" s="1">
        <f t="shared" si="131"/>
        <v>4875.7849228629802</v>
      </c>
      <c r="DX96" s="1">
        <f t="shared" si="131"/>
        <v>4827.02707363435</v>
      </c>
      <c r="DY96" s="1">
        <f t="shared" si="131"/>
        <v>4778.7568028980068</v>
      </c>
      <c r="DZ96" s="1">
        <f t="shared" si="131"/>
        <v>4730.9692348690269</v>
      </c>
      <c r="EA96" s="1">
        <f t="shared" si="131"/>
        <v>4683.6595425203368</v>
      </c>
      <c r="EB96" s="1">
        <f t="shared" si="131"/>
        <v>4636.8229470951337</v>
      </c>
      <c r="EC96" s="1">
        <f t="shared" si="131"/>
        <v>4590.4547176241822</v>
      </c>
      <c r="ED96" s="1">
        <f t="shared" si="131"/>
        <v>4544.5501704479402</v>
      </c>
      <c r="EE96" s="1">
        <f t="shared" si="131"/>
        <v>4499.1046687434609</v>
      </c>
      <c r="EF96" s="1">
        <f t="shared" si="131"/>
        <v>4454.1136220560265</v>
      </c>
      <c r="EG96" s="1">
        <f t="shared" si="131"/>
        <v>4409.5724858354661</v>
      </c>
      <c r="EH96" s="1">
        <f t="shared" si="131"/>
        <v>4365.4767609771116</v>
      </c>
      <c r="EI96" s="1">
        <f t="shared" si="131"/>
        <v>4321.8219933673408</v>
      </c>
      <c r="EJ96" s="1">
        <f t="shared" si="131"/>
        <v>4278.6037734336678</v>
      </c>
      <c r="EK96" s="1">
        <f t="shared" si="131"/>
        <v>4235.817735699331</v>
      </c>
      <c r="EL96" s="1">
        <f t="shared" si="131"/>
        <v>4193.4595583423379</v>
      </c>
      <c r="EM96" s="1">
        <f t="shared" si="131"/>
        <v>4151.5249627589146</v>
      </c>
      <c r="EN96" s="1">
        <f t="shared" si="131"/>
        <v>4110.009713131325</v>
      </c>
      <c r="EO96" s="1">
        <f t="shared" si="131"/>
        <v>4068.9096160000117</v>
      </c>
      <c r="EP96" s="1">
        <f t="shared" si="131"/>
        <v>4028.2205198400115</v>
      </c>
      <c r="EQ96" s="1">
        <f t="shared" si="131"/>
        <v>3987.9383146416112</v>
      </c>
      <c r="ER96" s="1">
        <f t="shared" si="131"/>
        <v>3948.0589314951949</v>
      </c>
    </row>
    <row r="97" spans="2:49" s="1" customFormat="1" x14ac:dyDescent="0.3"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G97" s="7"/>
      <c r="AH97" s="7"/>
      <c r="AI97" s="7"/>
    </row>
    <row r="98" spans="2:49" s="1" customFormat="1" x14ac:dyDescent="0.3">
      <c r="B98" t="s">
        <v>94</v>
      </c>
      <c r="L98" s="7"/>
      <c r="M98" s="7"/>
      <c r="N98" s="7"/>
      <c r="O98" s="7"/>
      <c r="P98" s="8">
        <f t="shared" ref="P98:R98" si="132">P95/L95-1</f>
        <v>-0.19465803318494534</v>
      </c>
      <c r="Q98" s="8">
        <f t="shared" si="132"/>
        <v>-3.4986413043478271E-2</v>
      </c>
      <c r="R98" s="8">
        <f t="shared" si="132"/>
        <v>0.12254475925604025</v>
      </c>
      <c r="S98" s="8">
        <f>S95/O95-1</f>
        <v>-0.12873357228195936</v>
      </c>
      <c r="T98" s="8">
        <f t="shared" ref="T98:W98" si="133">T95/P95-1</f>
        <v>-0.13182579564489116</v>
      </c>
      <c r="U98" s="8">
        <f t="shared" si="133"/>
        <v>-0.37521999296022523</v>
      </c>
      <c r="V98" s="8">
        <f t="shared" si="133"/>
        <v>-0.56875193558377202</v>
      </c>
      <c r="W98" s="8">
        <f t="shared" si="133"/>
        <v>-0.46383270483373329</v>
      </c>
      <c r="X98" s="8"/>
      <c r="Y98" s="8"/>
      <c r="Z98" s="8"/>
      <c r="AA98" s="8"/>
      <c r="AG98" s="7"/>
      <c r="AH98" s="8">
        <f t="shared" ref="AH98" si="134">AH95/AG95-1</f>
        <v>3.6467557559169306E-2</v>
      </c>
      <c r="AI98" s="8">
        <f>AI95/AH95-1</f>
        <v>-7.0135922330097134E-2</v>
      </c>
      <c r="AJ98" s="8">
        <f>AJ95/AI95-1</f>
        <v>-0.38832275309054465</v>
      </c>
      <c r="AK98" s="8">
        <f>AK95/AJ95-1</f>
        <v>5.0000000000000044E-2</v>
      </c>
    </row>
    <row r="99" spans="2:49" s="1" customFormat="1" x14ac:dyDescent="0.3"/>
    <row r="100" spans="2:49" x14ac:dyDescent="0.3">
      <c r="B100" t="s">
        <v>85</v>
      </c>
      <c r="M100" s="2">
        <f>M24+L24</f>
        <v>-1277</v>
      </c>
      <c r="N100" s="2">
        <f>N24+M24+L24</f>
        <v>-980</v>
      </c>
      <c r="Q100" s="2">
        <f>Q24+P24</f>
        <v>-1991</v>
      </c>
      <c r="R100" s="2">
        <f>R24+Q24+P24</f>
        <v>-18630</v>
      </c>
      <c r="U100" s="2">
        <f>U24+T24</f>
        <v>-3739</v>
      </c>
      <c r="V100" s="2">
        <f>V24+U24+T24</f>
        <v>324</v>
      </c>
      <c r="AV100" t="s">
        <v>49</v>
      </c>
      <c r="AW100" s="8">
        <v>-0.01</v>
      </c>
    </row>
    <row r="101" spans="2:49" x14ac:dyDescent="0.3">
      <c r="B101" t="s">
        <v>77</v>
      </c>
      <c r="M101">
        <v>3733</v>
      </c>
      <c r="N101">
        <v>5753</v>
      </c>
      <c r="Q101">
        <v>4403</v>
      </c>
      <c r="R101">
        <v>7651</v>
      </c>
      <c r="U101">
        <v>5213</v>
      </c>
      <c r="V101">
        <v>7971</v>
      </c>
      <c r="AV101" t="s">
        <v>50</v>
      </c>
      <c r="AW101" s="8">
        <v>0.05</v>
      </c>
    </row>
    <row r="102" spans="2:49" x14ac:dyDescent="0.3">
      <c r="B102" t="s">
        <v>78</v>
      </c>
      <c r="M102">
        <v>1661</v>
      </c>
      <c r="N102">
        <v>2433</v>
      </c>
      <c r="Q102">
        <v>1959</v>
      </c>
      <c r="R102">
        <v>2759</v>
      </c>
      <c r="U102">
        <v>1348</v>
      </c>
      <c r="V102">
        <v>1896</v>
      </c>
      <c r="AV102" t="s">
        <v>95</v>
      </c>
      <c r="AW102" s="2">
        <f>NPV(AW101,AK96:ER96)</f>
        <v>180571.59176052589</v>
      </c>
    </row>
    <row r="103" spans="2:49" x14ac:dyDescent="0.3">
      <c r="B103" t="s">
        <v>24</v>
      </c>
      <c r="M103">
        <v>255</v>
      </c>
      <c r="N103">
        <v>718</v>
      </c>
      <c r="Q103">
        <v>1291</v>
      </c>
      <c r="R103">
        <v>3626</v>
      </c>
      <c r="U103">
        <v>382</v>
      </c>
      <c r="V103">
        <v>372</v>
      </c>
      <c r="AV103" t="s">
        <v>52</v>
      </c>
      <c r="AW103" s="2">
        <f>Main!D8</f>
        <v>-6951</v>
      </c>
    </row>
    <row r="104" spans="2:49" x14ac:dyDescent="0.3">
      <c r="B104" t="s">
        <v>79</v>
      </c>
      <c r="M104">
        <v>909</v>
      </c>
      <c r="N104">
        <v>1336</v>
      </c>
      <c r="Q104">
        <v>717</v>
      </c>
      <c r="R104">
        <v>1081</v>
      </c>
      <c r="U104">
        <v>474</v>
      </c>
      <c r="V104">
        <v>708</v>
      </c>
      <c r="AV104" t="s">
        <v>53</v>
      </c>
      <c r="AW104" s="2">
        <f>AW102+AW103</f>
        <v>173620.59176052589</v>
      </c>
    </row>
    <row r="105" spans="2:49" x14ac:dyDescent="0.3">
      <c r="B105" t="s">
        <v>58</v>
      </c>
      <c r="M105">
        <v>-146</v>
      </c>
      <c r="N105">
        <v>47</v>
      </c>
      <c r="Q105">
        <v>-84</v>
      </c>
      <c r="R105">
        <v>75</v>
      </c>
      <c r="U105">
        <v>-390</v>
      </c>
      <c r="V105">
        <v>-611</v>
      </c>
      <c r="AV105" t="s">
        <v>54</v>
      </c>
      <c r="AW105" s="9">
        <f>AW104/AT25</f>
        <v>38.462692016066875</v>
      </c>
    </row>
    <row r="106" spans="2:49" x14ac:dyDescent="0.3">
      <c r="B106" t="s">
        <v>111</v>
      </c>
      <c r="V106">
        <v>1687</v>
      </c>
      <c r="AV106" t="s">
        <v>55</v>
      </c>
      <c r="AW106" s="9">
        <f>Main!D3</f>
        <v>48.81</v>
      </c>
    </row>
    <row r="107" spans="2:49" x14ac:dyDescent="0.3">
      <c r="B107" t="s">
        <v>112</v>
      </c>
      <c r="V107">
        <v>-5355</v>
      </c>
    </row>
    <row r="108" spans="2:49" x14ac:dyDescent="0.3">
      <c r="B108" t="s">
        <v>80</v>
      </c>
      <c r="N108">
        <v>-1376</v>
      </c>
      <c r="R108">
        <v>6368</v>
      </c>
      <c r="U108">
        <v>106</v>
      </c>
      <c r="V108">
        <v>123</v>
      </c>
    </row>
    <row r="109" spans="2:49" x14ac:dyDescent="0.3">
      <c r="B109" t="s">
        <v>81</v>
      </c>
      <c r="N109">
        <v>-87</v>
      </c>
      <c r="R109">
        <v>2290</v>
      </c>
      <c r="U109">
        <v>482</v>
      </c>
      <c r="V109">
        <v>465</v>
      </c>
    </row>
    <row r="110" spans="2:49" x14ac:dyDescent="0.3">
      <c r="B110" t="s">
        <v>59</v>
      </c>
      <c r="M110">
        <v>1137</v>
      </c>
      <c r="N110">
        <v>1290</v>
      </c>
      <c r="Q110">
        <v>272</v>
      </c>
      <c r="R110">
        <v>282</v>
      </c>
      <c r="U110">
        <v>1004</v>
      </c>
      <c r="V110">
        <v>162</v>
      </c>
    </row>
    <row r="111" spans="2:49" x14ac:dyDescent="0.3">
      <c r="B111" t="s">
        <v>60</v>
      </c>
      <c r="M111">
        <v>1240</v>
      </c>
      <c r="N111">
        <v>1758</v>
      </c>
      <c r="Q111">
        <v>-116</v>
      </c>
      <c r="R111">
        <v>-969</v>
      </c>
      <c r="U111">
        <v>99</v>
      </c>
      <c r="V111">
        <v>-9</v>
      </c>
    </row>
    <row r="112" spans="2:49" x14ac:dyDescent="0.3">
      <c r="B112" t="s">
        <v>69</v>
      </c>
      <c r="M112">
        <v>-1102</v>
      </c>
      <c r="N112">
        <v>-1082</v>
      </c>
      <c r="Q112">
        <v>184</v>
      </c>
      <c r="R112">
        <v>566</v>
      </c>
      <c r="U112">
        <v>114</v>
      </c>
      <c r="V112">
        <v>-281</v>
      </c>
    </row>
    <row r="113" spans="2:22" x14ac:dyDescent="0.3">
      <c r="B113" t="s">
        <v>70</v>
      </c>
      <c r="M113">
        <v>-1340</v>
      </c>
      <c r="N113">
        <v>-1171</v>
      </c>
      <c r="Q113">
        <v>-1309</v>
      </c>
      <c r="R113">
        <v>1384</v>
      </c>
      <c r="U113">
        <v>1022</v>
      </c>
      <c r="V113">
        <v>541</v>
      </c>
    </row>
    <row r="114" spans="2:22" x14ac:dyDescent="0.3">
      <c r="B114" t="s">
        <v>29</v>
      </c>
      <c r="M114">
        <v>-2186</v>
      </c>
      <c r="N114">
        <v>-1300</v>
      </c>
      <c r="Q114">
        <v>-2174</v>
      </c>
      <c r="R114">
        <v>-930</v>
      </c>
      <c r="U114">
        <v>-1338</v>
      </c>
      <c r="V114">
        <v>-1196</v>
      </c>
    </row>
    <row r="115" spans="2:22" x14ac:dyDescent="0.3">
      <c r="B115" t="s">
        <v>82</v>
      </c>
      <c r="M115">
        <v>-1843</v>
      </c>
      <c r="N115">
        <v>-487</v>
      </c>
      <c r="Q115">
        <v>-1983</v>
      </c>
      <c r="R115">
        <v>20</v>
      </c>
      <c r="U115">
        <v>-1742</v>
      </c>
      <c r="V115">
        <v>-1423</v>
      </c>
    </row>
    <row r="116" spans="2:22" x14ac:dyDescent="0.3">
      <c r="B116" t="s">
        <v>83</v>
      </c>
      <c r="M116" s="2">
        <f>M100+SUM(M101:M115)</f>
        <v>1041</v>
      </c>
      <c r="N116" s="2">
        <f>N100+SUM(N101:N115)</f>
        <v>6852</v>
      </c>
      <c r="Q116" s="2">
        <f>Q100+SUM(Q101:Q115)</f>
        <v>1169</v>
      </c>
      <c r="R116" s="2">
        <f>R100+SUM(R101:R115)</f>
        <v>5573</v>
      </c>
      <c r="U116" s="2">
        <f>U100+SUM(U101:U115)</f>
        <v>3035</v>
      </c>
      <c r="V116" s="2">
        <f>V100+SUM(V101:V115)</f>
        <v>5374</v>
      </c>
    </row>
    <row r="117" spans="2:22" x14ac:dyDescent="0.3">
      <c r="B117" t="s">
        <v>63</v>
      </c>
      <c r="M117">
        <v>13301</v>
      </c>
      <c r="N117">
        <v>19054</v>
      </c>
      <c r="Q117">
        <v>11652</v>
      </c>
      <c r="R117">
        <v>18110</v>
      </c>
      <c r="U117">
        <v>8733</v>
      </c>
      <c r="V117">
        <v>11518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cp:lastPrinted>2024-12-08T10:28:41Z</cp:lastPrinted>
  <dcterms:created xsi:type="dcterms:W3CDTF">2024-12-07T19:43:43Z</dcterms:created>
  <dcterms:modified xsi:type="dcterms:W3CDTF">2026-02-06T10:51:25Z</dcterms:modified>
</cp:coreProperties>
</file>