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46FE059-1540-4718-9114-9E9AB2C1DF26}" xr6:coauthVersionLast="47" xr6:coauthVersionMax="47" xr10:uidLastSave="{00000000-0000-0000-0000-000000000000}"/>
  <bookViews>
    <workbookView xWindow="-108" yWindow="-108" windowWidth="23256" windowHeight="12576" activeTab="1" xr2:uid="{42CD1468-76D2-4D3B-B2D7-BE92B4A8E026}"/>
  </bookViews>
  <sheets>
    <sheet name="Main" sheetId="1" r:id="rId1"/>
    <sheet name="Model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21" i="4" l="1"/>
  <c r="AM21" i="4"/>
  <c r="AL21" i="4"/>
  <c r="AK21" i="4"/>
  <c r="AI7" i="4"/>
  <c r="V40" i="4"/>
  <c r="V39" i="4"/>
  <c r="V38" i="4"/>
  <c r="V37" i="4"/>
  <c r="V36" i="4"/>
  <c r="V31" i="4"/>
  <c r="D7" i="1"/>
  <c r="D6" i="1"/>
  <c r="V7" i="4"/>
  <c r="AS33" i="4"/>
  <c r="AR33" i="4"/>
  <c r="AQ33" i="4"/>
  <c r="AP33" i="4"/>
  <c r="AO33" i="4"/>
  <c r="AN33" i="4"/>
  <c r="AM33" i="4"/>
  <c r="AL33" i="4"/>
  <c r="AK33" i="4"/>
  <c r="AJ33" i="4"/>
  <c r="AI33" i="4"/>
  <c r="V33" i="4"/>
  <c r="D4" i="1"/>
  <c r="AH39" i="4"/>
  <c r="AH38" i="4"/>
  <c r="AH37" i="4"/>
  <c r="AI39" i="4"/>
  <c r="AI38" i="4"/>
  <c r="AI37" i="4"/>
  <c r="AI36" i="4"/>
  <c r="U7" i="4"/>
  <c r="AH7" i="4"/>
  <c r="AG7" i="4"/>
  <c r="AI40" i="4" l="1"/>
  <c r="AH40" i="4"/>
  <c r="AI96" i="4"/>
  <c r="AI84" i="4"/>
  <c r="AI83" i="4"/>
  <c r="AI79" i="4"/>
  <c r="AI85" i="4" s="1"/>
  <c r="AI72" i="4"/>
  <c r="AI60" i="4"/>
  <c r="AI58" i="4"/>
  <c r="AI57" i="4" s="1"/>
  <c r="U84" i="4"/>
  <c r="U96" i="4" s="1"/>
  <c r="U60" i="4"/>
  <c r="U58" i="4"/>
  <c r="U83" i="4"/>
  <c r="U79" i="4"/>
  <c r="U72" i="4"/>
  <c r="AI22" i="4"/>
  <c r="U39" i="4"/>
  <c r="U38" i="4"/>
  <c r="U37" i="4"/>
  <c r="U36" i="4"/>
  <c r="U31" i="4"/>
  <c r="Q7" i="4"/>
  <c r="U40" i="4" s="1"/>
  <c r="U63" i="4" l="1"/>
  <c r="U92" i="4" s="1"/>
  <c r="AI63" i="4"/>
  <c r="U85" i="4"/>
  <c r="U57" i="4"/>
  <c r="U73" i="4" l="1"/>
  <c r="U91" i="4"/>
  <c r="U90" i="4"/>
  <c r="U97" i="4"/>
  <c r="AI73" i="4"/>
  <c r="AI92" i="4"/>
  <c r="AI91" i="4"/>
  <c r="D8" i="1"/>
  <c r="AI97" i="4" l="1"/>
  <c r="AI90" i="4"/>
  <c r="AE60" i="4"/>
  <c r="AE84" i="4"/>
  <c r="AE96" i="4" s="1"/>
  <c r="AF84" i="4"/>
  <c r="AF96" i="4" s="1"/>
  <c r="AF60" i="4"/>
  <c r="AE58" i="4"/>
  <c r="AE57" i="4" s="1"/>
  <c r="AE83" i="4"/>
  <c r="AE79" i="4"/>
  <c r="AE72" i="4"/>
  <c r="AF58" i="4"/>
  <c r="AF57" i="4" s="1"/>
  <c r="AF83" i="4"/>
  <c r="AF79" i="4"/>
  <c r="AF72" i="4"/>
  <c r="S84" i="4"/>
  <c r="S96" i="4" s="1"/>
  <c r="S60" i="4"/>
  <c r="S58" i="4"/>
  <c r="S83" i="4"/>
  <c r="S79" i="4"/>
  <c r="S72" i="4"/>
  <c r="T84" i="4"/>
  <c r="T96" i="4" s="1"/>
  <c r="T60" i="4"/>
  <c r="T58" i="4"/>
  <c r="T83" i="4"/>
  <c r="T79" i="4"/>
  <c r="T72" i="4"/>
  <c r="T39" i="4"/>
  <c r="T38" i="4"/>
  <c r="T37" i="4"/>
  <c r="T36" i="4"/>
  <c r="P7" i="4"/>
  <c r="T7" i="4"/>
  <c r="T118" i="4"/>
  <c r="AI118" i="4" s="1"/>
  <c r="T117" i="4"/>
  <c r="AI117" i="4" s="1"/>
  <c r="T115" i="4"/>
  <c r="AI115" i="4" s="1"/>
  <c r="T114" i="4"/>
  <c r="AI114" i="4" s="1"/>
  <c r="T113" i="4"/>
  <c r="AI113" i="4" s="1"/>
  <c r="T112" i="4"/>
  <c r="AI112" i="4" s="1"/>
  <c r="T111" i="4"/>
  <c r="AI111" i="4" s="1"/>
  <c r="T109" i="4"/>
  <c r="AI109" i="4" s="1"/>
  <c r="T108" i="4"/>
  <c r="AI108" i="4" s="1"/>
  <c r="T107" i="4"/>
  <c r="AI107" i="4" s="1"/>
  <c r="T106" i="4"/>
  <c r="AI106" i="4" s="1"/>
  <c r="T105" i="4"/>
  <c r="AI105" i="4" s="1"/>
  <c r="T104" i="4"/>
  <c r="AI104" i="4" s="1"/>
  <c r="T102" i="4"/>
  <c r="AI102" i="4" s="1"/>
  <c r="AJ102" i="4" s="1"/>
  <c r="AK102" i="4" s="1"/>
  <c r="AL102" i="4" s="1"/>
  <c r="AM102" i="4" s="1"/>
  <c r="AN102" i="4" s="1"/>
  <c r="AO102" i="4" s="1"/>
  <c r="AP102" i="4" s="1"/>
  <c r="AQ102" i="4" s="1"/>
  <c r="AR102" i="4" s="1"/>
  <c r="AS102" i="4" s="1"/>
  <c r="T101" i="4"/>
  <c r="AI101" i="4" s="1"/>
  <c r="T134" i="4"/>
  <c r="T31" i="4"/>
  <c r="AW48" i="4"/>
  <c r="AI103" i="4"/>
  <c r="V119" i="4"/>
  <c r="U119" i="4"/>
  <c r="S110" i="4"/>
  <c r="S119" i="4"/>
  <c r="S63" i="4" l="1"/>
  <c r="S73" i="4" s="1"/>
  <c r="AE85" i="4"/>
  <c r="AE63" i="4"/>
  <c r="AF85" i="4"/>
  <c r="AF63" i="4"/>
  <c r="T110" i="4"/>
  <c r="AI110" i="4" s="1"/>
  <c r="T40" i="4"/>
  <c r="T119" i="4"/>
  <c r="S85" i="4"/>
  <c r="S57" i="4"/>
  <c r="T85" i="4"/>
  <c r="T63" i="4"/>
  <c r="T57" i="4"/>
  <c r="S39" i="4"/>
  <c r="S38" i="4"/>
  <c r="S37" i="4"/>
  <c r="S36" i="4"/>
  <c r="O7" i="4"/>
  <c r="S7" i="4"/>
  <c r="S90" i="4" l="1"/>
  <c r="S97" i="4"/>
  <c r="S40" i="4"/>
  <c r="AE73" i="4"/>
  <c r="AE92" i="4"/>
  <c r="AE91" i="4"/>
  <c r="T73" i="4"/>
  <c r="T92" i="4"/>
  <c r="T91" i="4"/>
  <c r="AF73" i="4"/>
  <c r="AF92" i="4"/>
  <c r="AF91" i="4"/>
  <c r="S92" i="4"/>
  <c r="S91" i="4"/>
  <c r="AJ118" i="4"/>
  <c r="AK118" i="4" s="1"/>
  <c r="AL118" i="4" s="1"/>
  <c r="AM118" i="4" s="1"/>
  <c r="AN118" i="4" s="1"/>
  <c r="AO118" i="4" s="1"/>
  <c r="AP118" i="4" s="1"/>
  <c r="AQ118" i="4" s="1"/>
  <c r="AR118" i="4" s="1"/>
  <c r="AS118" i="4" s="1"/>
  <c r="AJ117" i="4"/>
  <c r="AK117" i="4" s="1"/>
  <c r="AL117" i="4" s="1"/>
  <c r="AM117" i="4" s="1"/>
  <c r="AN117" i="4" s="1"/>
  <c r="AO117" i="4" s="1"/>
  <c r="AP117" i="4" s="1"/>
  <c r="AQ117" i="4" s="1"/>
  <c r="AR117" i="4" s="1"/>
  <c r="AS117" i="4" s="1"/>
  <c r="AF110" i="4"/>
  <c r="AF119" i="4"/>
  <c r="AW128" i="4"/>
  <c r="AH110" i="4"/>
  <c r="AI23" i="4"/>
  <c r="T90" i="4" l="1"/>
  <c r="T97" i="4"/>
  <c r="AE90" i="4"/>
  <c r="AE97" i="4"/>
  <c r="AF90" i="4"/>
  <c r="AF97" i="4"/>
  <c r="S13" i="4"/>
  <c r="V51" i="4"/>
  <c r="U51" i="4"/>
  <c r="S51" i="4"/>
  <c r="AI31" i="4"/>
  <c r="AI30" i="4"/>
  <c r="AI28" i="4"/>
  <c r="AI27" i="4"/>
  <c r="AI26" i="4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I21" i="4"/>
  <c r="AI9" i="4"/>
  <c r="AJ9" i="4" s="1"/>
  <c r="AK9" i="4" s="1"/>
  <c r="T42" i="4"/>
  <c r="S42" i="4"/>
  <c r="V52" i="4"/>
  <c r="U52" i="4"/>
  <c r="T52" i="4"/>
  <c r="S52" i="4"/>
  <c r="T51" i="4"/>
  <c r="S49" i="4"/>
  <c r="U46" i="4"/>
  <c r="T46" i="4"/>
  <c r="S46" i="4"/>
  <c r="U44" i="4"/>
  <c r="S44" i="4"/>
  <c r="T43" i="4"/>
  <c r="S43" i="4"/>
  <c r="V41" i="4"/>
  <c r="U41" i="4"/>
  <c r="T41" i="4"/>
  <c r="S41" i="4"/>
  <c r="U24" i="4"/>
  <c r="T24" i="4"/>
  <c r="U49" i="4"/>
  <c r="T47" i="4"/>
  <c r="S47" i="4"/>
  <c r="AI14" i="4"/>
  <c r="V42" i="4"/>
  <c r="U42" i="4"/>
  <c r="R39" i="4"/>
  <c r="R38" i="4"/>
  <c r="R37" i="4"/>
  <c r="R36" i="4"/>
  <c r="Q31" i="4"/>
  <c r="P31" i="4"/>
  <c r="O31" i="4"/>
  <c r="N31" i="4"/>
  <c r="AG31" i="4" s="1"/>
  <c r="AH84" i="4"/>
  <c r="AH96" i="4" s="1"/>
  <c r="AH83" i="4"/>
  <c r="AH79" i="4"/>
  <c r="AH72" i="4"/>
  <c r="AH60" i="4"/>
  <c r="AH58" i="4"/>
  <c r="AH57" i="4" s="1"/>
  <c r="AH23" i="4"/>
  <c r="AD24" i="4"/>
  <c r="AC24" i="4"/>
  <c r="AB24" i="4"/>
  <c r="R84" i="4"/>
  <c r="R96" i="4" s="1"/>
  <c r="R60" i="4"/>
  <c r="R58" i="4"/>
  <c r="R83" i="4"/>
  <c r="R79" i="4"/>
  <c r="R72" i="4"/>
  <c r="R31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R24" i="4"/>
  <c r="N7" i="4"/>
  <c r="R7" i="4"/>
  <c r="N134" i="4"/>
  <c r="N129" i="4"/>
  <c r="AG84" i="4"/>
  <c r="AG96" i="4" s="1"/>
  <c r="AG83" i="4"/>
  <c r="AG79" i="4"/>
  <c r="AG72" i="4"/>
  <c r="AG60" i="4"/>
  <c r="AG58" i="4"/>
  <c r="AG57" i="4" s="1"/>
  <c r="P84" i="4"/>
  <c r="P96" i="4" s="1"/>
  <c r="P60" i="4"/>
  <c r="P58" i="4"/>
  <c r="P83" i="4"/>
  <c r="P79" i="4"/>
  <c r="P72" i="4"/>
  <c r="O84" i="4"/>
  <c r="O96" i="4" s="1"/>
  <c r="O60" i="4"/>
  <c r="O58" i="4"/>
  <c r="O83" i="4"/>
  <c r="O79" i="4"/>
  <c r="O72" i="4"/>
  <c r="K110" i="4"/>
  <c r="O110" i="4"/>
  <c r="L118" i="4"/>
  <c r="L117" i="4"/>
  <c r="M117" i="4" s="1"/>
  <c r="N117" i="4" s="1"/>
  <c r="L115" i="4"/>
  <c r="L114" i="4"/>
  <c r="M114" i="4" s="1"/>
  <c r="N114" i="4" s="1"/>
  <c r="L113" i="4"/>
  <c r="M113" i="4" s="1"/>
  <c r="N113" i="4" s="1"/>
  <c r="L112" i="4"/>
  <c r="M112" i="4" s="1"/>
  <c r="N112" i="4" s="1"/>
  <c r="L111" i="4"/>
  <c r="M111" i="4" s="1"/>
  <c r="N111" i="4" s="1"/>
  <c r="L109" i="4"/>
  <c r="M109" i="4" s="1"/>
  <c r="N109" i="4" s="1"/>
  <c r="L108" i="4"/>
  <c r="M108" i="4" s="1"/>
  <c r="N108" i="4" s="1"/>
  <c r="L107" i="4"/>
  <c r="M107" i="4" s="1"/>
  <c r="N107" i="4" s="1"/>
  <c r="L106" i="4"/>
  <c r="M106" i="4" s="1"/>
  <c r="N106" i="4" s="1"/>
  <c r="L105" i="4"/>
  <c r="M105" i="4" s="1"/>
  <c r="L104" i="4"/>
  <c r="M104" i="4" s="1"/>
  <c r="N104" i="4" s="1"/>
  <c r="L103" i="4"/>
  <c r="M103" i="4" s="1"/>
  <c r="N103" i="4" s="1"/>
  <c r="L102" i="4"/>
  <c r="M102" i="4" s="1"/>
  <c r="N102" i="4" s="1"/>
  <c r="L101" i="4"/>
  <c r="M101" i="4" s="1"/>
  <c r="N101" i="4" s="1"/>
  <c r="K119" i="4"/>
  <c r="L134" i="4"/>
  <c r="P134" i="4"/>
  <c r="P118" i="4"/>
  <c r="Q118" i="4" s="1"/>
  <c r="R118" i="4" s="1"/>
  <c r="P117" i="4"/>
  <c r="O119" i="4"/>
  <c r="P115" i="4"/>
  <c r="Q115" i="4" s="1"/>
  <c r="R115" i="4" s="1"/>
  <c r="P114" i="4"/>
  <c r="Q114" i="4" s="1"/>
  <c r="R114" i="4" s="1"/>
  <c r="P113" i="4"/>
  <c r="Q113" i="4" s="1"/>
  <c r="R113" i="4" s="1"/>
  <c r="P112" i="4"/>
  <c r="Q112" i="4" s="1"/>
  <c r="R112" i="4" s="1"/>
  <c r="P111" i="4"/>
  <c r="Q111" i="4" s="1"/>
  <c r="R111" i="4" s="1"/>
  <c r="P109" i="4"/>
  <c r="Q109" i="4" s="1"/>
  <c r="R109" i="4" s="1"/>
  <c r="P108" i="4"/>
  <c r="Q108" i="4" s="1"/>
  <c r="R108" i="4" s="1"/>
  <c r="P107" i="4"/>
  <c r="Q107" i="4" s="1"/>
  <c r="R107" i="4" s="1"/>
  <c r="P106" i="4"/>
  <c r="Q106" i="4" s="1"/>
  <c r="R106" i="4" s="1"/>
  <c r="P105" i="4"/>
  <c r="Q105" i="4" s="1"/>
  <c r="R105" i="4" s="1"/>
  <c r="P104" i="4"/>
  <c r="Q104" i="4" s="1"/>
  <c r="R104" i="4" s="1"/>
  <c r="P103" i="4"/>
  <c r="Q103" i="4" s="1"/>
  <c r="R103" i="4" s="1"/>
  <c r="P102" i="4"/>
  <c r="Q102" i="4" s="1"/>
  <c r="R102" i="4" s="1"/>
  <c r="P101" i="4"/>
  <c r="M134" i="4"/>
  <c r="Q134" i="4"/>
  <c r="N84" i="4"/>
  <c r="N96" i="4" s="1"/>
  <c r="N60" i="4"/>
  <c r="N58" i="4"/>
  <c r="N57" i="4" s="1"/>
  <c r="N83" i="4"/>
  <c r="N79" i="4"/>
  <c r="N72" i="4"/>
  <c r="Q84" i="4"/>
  <c r="Q96" i="4" s="1"/>
  <c r="Q83" i="4"/>
  <c r="Q79" i="4"/>
  <c r="Q72" i="4"/>
  <c r="Q60" i="4"/>
  <c r="Q58" i="4"/>
  <c r="Q57" i="4" s="1"/>
  <c r="R51" i="4"/>
  <c r="AH21" i="4"/>
  <c r="R47" i="4"/>
  <c r="AH14" i="4"/>
  <c r="R43" i="4"/>
  <c r="AH12" i="4"/>
  <c r="AD52" i="4"/>
  <c r="AD51" i="4"/>
  <c r="AD49" i="4"/>
  <c r="AD48" i="4"/>
  <c r="AD47" i="4"/>
  <c r="AD46" i="4"/>
  <c r="AD44" i="4"/>
  <c r="AD43" i="4"/>
  <c r="AD42" i="4"/>
  <c r="AD41" i="4"/>
  <c r="AC52" i="4"/>
  <c r="AC51" i="4"/>
  <c r="AC44" i="4"/>
  <c r="AC43" i="4"/>
  <c r="AC42" i="4"/>
  <c r="AC41" i="4"/>
  <c r="AC49" i="4"/>
  <c r="AC48" i="4"/>
  <c r="AC47" i="4"/>
  <c r="AC46" i="4"/>
  <c r="AH30" i="4"/>
  <c r="AH28" i="4"/>
  <c r="AH27" i="4"/>
  <c r="AH26" i="4"/>
  <c r="AH10" i="4"/>
  <c r="AH9" i="4"/>
  <c r="AG30" i="4"/>
  <c r="AG27" i="4"/>
  <c r="AG26" i="4"/>
  <c r="AG21" i="4"/>
  <c r="AG20" i="4"/>
  <c r="AG17" i="4"/>
  <c r="AG16" i="4"/>
  <c r="AG15" i="4"/>
  <c r="AG14" i="4"/>
  <c r="AG12" i="4"/>
  <c r="AG11" i="4"/>
  <c r="AG10" i="4"/>
  <c r="AG9" i="4"/>
  <c r="AF31" i="4"/>
  <c r="AF30" i="4"/>
  <c r="AF28" i="4"/>
  <c r="AF27" i="4"/>
  <c r="AF26" i="4"/>
  <c r="AF21" i="4"/>
  <c r="AF20" i="4"/>
  <c r="AF17" i="4"/>
  <c r="AF16" i="4"/>
  <c r="AF15" i="4"/>
  <c r="AF14" i="4"/>
  <c r="AF12" i="4"/>
  <c r="AF11" i="4"/>
  <c r="AF10" i="4"/>
  <c r="AF9" i="4"/>
  <c r="AE31" i="4"/>
  <c r="AE30" i="4"/>
  <c r="AE27" i="4"/>
  <c r="AE26" i="4"/>
  <c r="AE21" i="4"/>
  <c r="AE52" i="4" s="1"/>
  <c r="AE20" i="4"/>
  <c r="AE51" i="4" s="1"/>
  <c r="AE17" i="4"/>
  <c r="AE16" i="4"/>
  <c r="AE15" i="4"/>
  <c r="AE14" i="4"/>
  <c r="AE12" i="4"/>
  <c r="AE44" i="4" s="1"/>
  <c r="AE11" i="4"/>
  <c r="AE10" i="4"/>
  <c r="AE9" i="4"/>
  <c r="AD28" i="4"/>
  <c r="AD18" i="4"/>
  <c r="AD13" i="4"/>
  <c r="AC18" i="4"/>
  <c r="AC13" i="4"/>
  <c r="AB18" i="4"/>
  <c r="AB13" i="4"/>
  <c r="Q52" i="4"/>
  <c r="P52" i="4"/>
  <c r="O52" i="4"/>
  <c r="N52" i="4"/>
  <c r="M52" i="4"/>
  <c r="L52" i="4"/>
  <c r="K52" i="4"/>
  <c r="J52" i="4"/>
  <c r="I52" i="4"/>
  <c r="H52" i="4"/>
  <c r="Q51" i="4"/>
  <c r="P51" i="4"/>
  <c r="O51" i="4"/>
  <c r="N51" i="4"/>
  <c r="M51" i="4"/>
  <c r="L51" i="4"/>
  <c r="K51" i="4"/>
  <c r="J51" i="4"/>
  <c r="I51" i="4"/>
  <c r="H51" i="4"/>
  <c r="Q49" i="4"/>
  <c r="P49" i="4"/>
  <c r="O49" i="4"/>
  <c r="N49" i="4"/>
  <c r="M49" i="4"/>
  <c r="L49" i="4"/>
  <c r="K49" i="4"/>
  <c r="J49" i="4"/>
  <c r="I49" i="4"/>
  <c r="H49" i="4"/>
  <c r="Q48" i="4"/>
  <c r="P48" i="4"/>
  <c r="O48" i="4"/>
  <c r="N48" i="4"/>
  <c r="M48" i="4"/>
  <c r="L48" i="4"/>
  <c r="K48" i="4"/>
  <c r="J48" i="4"/>
  <c r="I48" i="4"/>
  <c r="H48" i="4"/>
  <c r="Q47" i="4"/>
  <c r="P47" i="4"/>
  <c r="O47" i="4"/>
  <c r="N47" i="4"/>
  <c r="M47" i="4"/>
  <c r="L47" i="4"/>
  <c r="K47" i="4"/>
  <c r="J47" i="4"/>
  <c r="I47" i="4"/>
  <c r="H47" i="4"/>
  <c r="Q46" i="4"/>
  <c r="P46" i="4"/>
  <c r="O46" i="4"/>
  <c r="N46" i="4"/>
  <c r="M46" i="4"/>
  <c r="L46" i="4"/>
  <c r="K46" i="4"/>
  <c r="J46" i="4"/>
  <c r="I46" i="4"/>
  <c r="H46" i="4"/>
  <c r="Q44" i="4"/>
  <c r="P44" i="4"/>
  <c r="O44" i="4"/>
  <c r="N44" i="4"/>
  <c r="M44" i="4"/>
  <c r="L44" i="4"/>
  <c r="K44" i="4"/>
  <c r="J44" i="4"/>
  <c r="I44" i="4"/>
  <c r="H44" i="4"/>
  <c r="Q43" i="4"/>
  <c r="P43" i="4"/>
  <c r="O43" i="4"/>
  <c r="N43" i="4"/>
  <c r="M43" i="4"/>
  <c r="L43" i="4"/>
  <c r="K43" i="4"/>
  <c r="J43" i="4"/>
  <c r="I43" i="4"/>
  <c r="H43" i="4"/>
  <c r="Q42" i="4"/>
  <c r="P42" i="4"/>
  <c r="O42" i="4"/>
  <c r="N42" i="4"/>
  <c r="M42" i="4"/>
  <c r="L42" i="4"/>
  <c r="K42" i="4"/>
  <c r="J42" i="4"/>
  <c r="I42" i="4"/>
  <c r="H42" i="4"/>
  <c r="R41" i="4"/>
  <c r="O41" i="4"/>
  <c r="N41" i="4"/>
  <c r="M41" i="4"/>
  <c r="L41" i="4"/>
  <c r="K41" i="4"/>
  <c r="J41" i="4"/>
  <c r="I41" i="4"/>
  <c r="H41" i="4"/>
  <c r="F49" i="4"/>
  <c r="E49" i="4"/>
  <c r="D49" i="4"/>
  <c r="C49" i="4"/>
  <c r="F48" i="4"/>
  <c r="E48" i="4"/>
  <c r="D48" i="4"/>
  <c r="C48" i="4"/>
  <c r="F47" i="4"/>
  <c r="E47" i="4"/>
  <c r="D47" i="4"/>
  <c r="C47" i="4"/>
  <c r="F46" i="4"/>
  <c r="E46" i="4"/>
  <c r="D46" i="4"/>
  <c r="C46" i="4"/>
  <c r="G52" i="4"/>
  <c r="G51" i="4"/>
  <c r="G49" i="4"/>
  <c r="G48" i="4"/>
  <c r="G47" i="4"/>
  <c r="G46" i="4"/>
  <c r="G44" i="4"/>
  <c r="G43" i="4"/>
  <c r="G42" i="4"/>
  <c r="G41" i="4"/>
  <c r="F18" i="4"/>
  <c r="F13" i="4"/>
  <c r="C28" i="4"/>
  <c r="AE28" i="4" s="1"/>
  <c r="C18" i="4"/>
  <c r="C13" i="4"/>
  <c r="G18" i="4"/>
  <c r="G13" i="4"/>
  <c r="D18" i="4"/>
  <c r="D13" i="4"/>
  <c r="H18" i="4"/>
  <c r="H13" i="4"/>
  <c r="E18" i="4"/>
  <c r="E13" i="4"/>
  <c r="I18" i="4"/>
  <c r="I13" i="4"/>
  <c r="J18" i="4"/>
  <c r="J13" i="4"/>
  <c r="N18" i="4"/>
  <c r="N13" i="4"/>
  <c r="K18" i="4"/>
  <c r="K13" i="4"/>
  <c r="O18" i="4"/>
  <c r="O13" i="4"/>
  <c r="M28" i="4"/>
  <c r="AG28" i="4" s="1"/>
  <c r="M18" i="4"/>
  <c r="M13" i="4"/>
  <c r="Q18" i="4"/>
  <c r="Q13" i="4"/>
  <c r="L18" i="4"/>
  <c r="L13" i="4"/>
  <c r="P18" i="4"/>
  <c r="P13" i="4"/>
  <c r="D5" i="1"/>
  <c r="F3" i="1"/>
  <c r="U43" i="4" l="1"/>
  <c r="AI10" i="4"/>
  <c r="AJ10" i="4" s="1"/>
  <c r="AK10" i="4" s="1"/>
  <c r="AL10" i="4" s="1"/>
  <c r="AM10" i="4" s="1"/>
  <c r="AN10" i="4" s="1"/>
  <c r="S123" i="4"/>
  <c r="O123" i="4"/>
  <c r="R40" i="4"/>
  <c r="U18" i="4"/>
  <c r="V43" i="4"/>
  <c r="AI16" i="4"/>
  <c r="AL9" i="4"/>
  <c r="AM9" i="4" s="1"/>
  <c r="AN9" i="4" s="1"/>
  <c r="AO9" i="4" s="1"/>
  <c r="AP9" i="4" s="1"/>
  <c r="AQ9" i="4" s="1"/>
  <c r="AR9" i="4" s="1"/>
  <c r="AS9" i="4" s="1"/>
  <c r="AJ27" i="4"/>
  <c r="AK27" i="4" s="1"/>
  <c r="AL27" i="4" s="1"/>
  <c r="AM27" i="4" s="1"/>
  <c r="AN27" i="4" s="1"/>
  <c r="AO27" i="4" s="1"/>
  <c r="AP27" i="4" s="1"/>
  <c r="AQ27" i="4" s="1"/>
  <c r="AR27" i="4" s="1"/>
  <c r="AS27" i="4" s="1"/>
  <c r="AW45" i="4"/>
  <c r="AW125" i="4"/>
  <c r="V46" i="4"/>
  <c r="S24" i="4"/>
  <c r="AI20" i="4"/>
  <c r="AJ20" i="4" s="1"/>
  <c r="T13" i="4"/>
  <c r="T89" i="4" s="1"/>
  <c r="AI17" i="4"/>
  <c r="T18" i="4"/>
  <c r="T49" i="4"/>
  <c r="V13" i="4"/>
  <c r="T44" i="4"/>
  <c r="AI12" i="4"/>
  <c r="AJ12" i="4" s="1"/>
  <c r="AK12" i="4" s="1"/>
  <c r="V49" i="4"/>
  <c r="V44" i="4"/>
  <c r="T48" i="4"/>
  <c r="U48" i="4"/>
  <c r="U13" i="4"/>
  <c r="U89" i="4" s="1"/>
  <c r="AI11" i="4"/>
  <c r="AJ11" i="4" s="1"/>
  <c r="S45" i="4"/>
  <c r="V24" i="4"/>
  <c r="AF24" i="4"/>
  <c r="AG24" i="4"/>
  <c r="R63" i="4"/>
  <c r="AH63" i="4"/>
  <c r="AH85" i="4"/>
  <c r="AE24" i="4"/>
  <c r="R85" i="4"/>
  <c r="R57" i="4"/>
  <c r="AH31" i="4"/>
  <c r="P63" i="4"/>
  <c r="P57" i="4"/>
  <c r="M115" i="4"/>
  <c r="N115" i="4" s="1"/>
  <c r="AG117" i="4"/>
  <c r="AG102" i="4"/>
  <c r="AG113" i="4"/>
  <c r="AG85" i="4"/>
  <c r="AG103" i="4"/>
  <c r="AG111" i="4"/>
  <c r="AG104" i="4"/>
  <c r="AG112" i="4"/>
  <c r="O63" i="4"/>
  <c r="N105" i="4"/>
  <c r="AG105" i="4" s="1"/>
  <c r="AG106" i="4"/>
  <c r="AG114" i="4"/>
  <c r="AG63" i="4"/>
  <c r="AG107" i="4"/>
  <c r="AG108" i="4"/>
  <c r="AG101" i="4"/>
  <c r="AG109" i="4"/>
  <c r="L110" i="4"/>
  <c r="L119" i="4"/>
  <c r="D9" i="1"/>
  <c r="P85" i="4"/>
  <c r="O85" i="4"/>
  <c r="O57" i="4"/>
  <c r="M118" i="4"/>
  <c r="P110" i="4"/>
  <c r="Q110" i="4" s="1"/>
  <c r="R110" i="4" s="1"/>
  <c r="P119" i="4"/>
  <c r="R52" i="4"/>
  <c r="Q85" i="4"/>
  <c r="Q117" i="4"/>
  <c r="Q101" i="4"/>
  <c r="Q63" i="4"/>
  <c r="AD45" i="4"/>
  <c r="AG47" i="4"/>
  <c r="AE46" i="4"/>
  <c r="AF48" i="4"/>
  <c r="AG44" i="4"/>
  <c r="N85" i="4"/>
  <c r="L45" i="4"/>
  <c r="N63" i="4"/>
  <c r="AE47" i="4"/>
  <c r="AE48" i="4"/>
  <c r="AF47" i="4"/>
  <c r="N45" i="4"/>
  <c r="H45" i="4"/>
  <c r="AG51" i="4"/>
  <c r="K45" i="4"/>
  <c r="I45" i="4"/>
  <c r="AC45" i="4"/>
  <c r="AH15" i="4"/>
  <c r="AH47" i="4" s="1"/>
  <c r="AF51" i="4"/>
  <c r="AH41" i="4"/>
  <c r="M45" i="4"/>
  <c r="AG43" i="4"/>
  <c r="R44" i="4"/>
  <c r="AF44" i="4"/>
  <c r="R13" i="4"/>
  <c r="AE42" i="4"/>
  <c r="P45" i="4"/>
  <c r="J45" i="4"/>
  <c r="AG49" i="4"/>
  <c r="AG46" i="4"/>
  <c r="AH42" i="4"/>
  <c r="R49" i="4"/>
  <c r="O45" i="4"/>
  <c r="G45" i="4"/>
  <c r="AF46" i="4"/>
  <c r="AG42" i="4"/>
  <c r="AG52" i="4"/>
  <c r="AF42" i="4"/>
  <c r="AF52" i="4"/>
  <c r="AG48" i="4"/>
  <c r="AJ14" i="4"/>
  <c r="AI46" i="4"/>
  <c r="AI41" i="4"/>
  <c r="AK52" i="4"/>
  <c r="AE43" i="4"/>
  <c r="Q19" i="4"/>
  <c r="Q25" i="4" s="1"/>
  <c r="AF43" i="4"/>
  <c r="AE49" i="4"/>
  <c r="AF49" i="4"/>
  <c r="Q45" i="4"/>
  <c r="AH46" i="4"/>
  <c r="AE41" i="4"/>
  <c r="AF41" i="4"/>
  <c r="AH16" i="4"/>
  <c r="AG41" i="4"/>
  <c r="AH20" i="4"/>
  <c r="AH24" i="4" s="1"/>
  <c r="AI52" i="4"/>
  <c r="AH52" i="4"/>
  <c r="R46" i="4"/>
  <c r="AH11" i="4"/>
  <c r="AH44" i="4"/>
  <c r="AG18" i="4"/>
  <c r="AG95" i="4" s="1"/>
  <c r="AG13" i="4"/>
  <c r="AF18" i="4"/>
  <c r="AF95" i="4" s="1"/>
  <c r="AF13" i="4"/>
  <c r="AE18" i="4"/>
  <c r="AE95" i="4" s="1"/>
  <c r="AE13" i="4"/>
  <c r="AD19" i="4"/>
  <c r="AD25" i="4" s="1"/>
  <c r="AC19" i="4"/>
  <c r="AC25" i="4" s="1"/>
  <c r="AB19" i="4"/>
  <c r="F19" i="4"/>
  <c r="F25" i="4" s="1"/>
  <c r="C19" i="4"/>
  <c r="C25" i="4" s="1"/>
  <c r="G19" i="4"/>
  <c r="G25" i="4" s="1"/>
  <c r="D19" i="4"/>
  <c r="D25" i="4" s="1"/>
  <c r="H19" i="4"/>
  <c r="H25" i="4" s="1"/>
  <c r="E19" i="4"/>
  <c r="E25" i="4" s="1"/>
  <c r="I19" i="4"/>
  <c r="I25" i="4" s="1"/>
  <c r="P19" i="4"/>
  <c r="P25" i="4" s="1"/>
  <c r="J19" i="4"/>
  <c r="J25" i="4" s="1"/>
  <c r="N19" i="4"/>
  <c r="N25" i="4" s="1"/>
  <c r="K19" i="4"/>
  <c r="K25" i="4" s="1"/>
  <c r="O19" i="4"/>
  <c r="O25" i="4" s="1"/>
  <c r="M19" i="4"/>
  <c r="M25" i="4" s="1"/>
  <c r="L19" i="4"/>
  <c r="L25" i="4" s="1"/>
  <c r="AG94" i="4" l="1"/>
  <c r="AG93" i="4"/>
  <c r="AE94" i="4"/>
  <c r="AE89" i="4"/>
  <c r="AE93" i="4"/>
  <c r="AF94" i="4"/>
  <c r="AF93" i="4"/>
  <c r="AF89" i="4"/>
  <c r="AG73" i="4"/>
  <c r="AG92" i="4"/>
  <c r="AG91" i="4"/>
  <c r="O73" i="4"/>
  <c r="O97" i="4" s="1"/>
  <c r="O92" i="4"/>
  <c r="O91" i="4"/>
  <c r="AH73" i="4"/>
  <c r="AH92" i="4"/>
  <c r="AH91" i="4"/>
  <c r="N73" i="4"/>
  <c r="N97" i="4" s="1"/>
  <c r="N92" i="4"/>
  <c r="N91" i="4"/>
  <c r="Q73" i="4"/>
  <c r="Q91" i="4"/>
  <c r="Q92" i="4"/>
  <c r="R73" i="4"/>
  <c r="R97" i="4" s="1"/>
  <c r="R91" i="4"/>
  <c r="R92" i="4"/>
  <c r="P73" i="4"/>
  <c r="P97" i="4" s="1"/>
  <c r="P91" i="4"/>
  <c r="P92" i="4"/>
  <c r="T45" i="4"/>
  <c r="R45" i="4"/>
  <c r="AE45" i="4"/>
  <c r="AI15" i="4"/>
  <c r="AI47" i="4" s="1"/>
  <c r="V47" i="4"/>
  <c r="V48" i="4"/>
  <c r="AI42" i="4"/>
  <c r="T123" i="4"/>
  <c r="P123" i="4"/>
  <c r="U47" i="4"/>
  <c r="AJ101" i="4"/>
  <c r="AK101" i="4" s="1"/>
  <c r="AL101" i="4" s="1"/>
  <c r="AM101" i="4" s="1"/>
  <c r="AN101" i="4" s="1"/>
  <c r="AO101" i="4" s="1"/>
  <c r="AP101" i="4" s="1"/>
  <c r="AQ101" i="4" s="1"/>
  <c r="AR101" i="4" s="1"/>
  <c r="AS101" i="4" s="1"/>
  <c r="R101" i="4"/>
  <c r="Q119" i="4"/>
  <c r="R117" i="4"/>
  <c r="R119" i="4" s="1"/>
  <c r="AO10" i="4"/>
  <c r="AP10" i="4" s="1"/>
  <c r="AQ10" i="4" s="1"/>
  <c r="AR10" i="4" s="1"/>
  <c r="AS10" i="4" s="1"/>
  <c r="AJ15" i="4"/>
  <c r="AJ47" i="4" s="1"/>
  <c r="AO14" i="4"/>
  <c r="AM14" i="4"/>
  <c r="AK14" i="4"/>
  <c r="V18" i="4"/>
  <c r="V19" i="4" s="1"/>
  <c r="AK11" i="4"/>
  <c r="AL11" i="4" s="1"/>
  <c r="AM11" i="4" s="1"/>
  <c r="AN11" i="4" s="1"/>
  <c r="AO11" i="4" s="1"/>
  <c r="AP11" i="4" s="1"/>
  <c r="AQ11" i="4" s="1"/>
  <c r="AR11" i="4" s="1"/>
  <c r="AS11" i="4" s="1"/>
  <c r="S18" i="4"/>
  <c r="S19" i="4" s="1"/>
  <c r="S50" i="4" s="1"/>
  <c r="S48" i="4"/>
  <c r="AI44" i="4"/>
  <c r="AI49" i="4"/>
  <c r="AI13" i="4"/>
  <c r="T19" i="4"/>
  <c r="T50" i="4" s="1"/>
  <c r="V45" i="4"/>
  <c r="U45" i="4"/>
  <c r="U19" i="4"/>
  <c r="AB25" i="4"/>
  <c r="AB29" i="4" s="1"/>
  <c r="AB32" i="4" s="1"/>
  <c r="AG115" i="4"/>
  <c r="M110" i="4"/>
  <c r="N110" i="4" s="1"/>
  <c r="M119" i="4"/>
  <c r="N118" i="4"/>
  <c r="N119" i="4" s="1"/>
  <c r="AJ41" i="4"/>
  <c r="AJ46" i="4"/>
  <c r="AH17" i="4"/>
  <c r="AH49" i="4" s="1"/>
  <c r="R48" i="4"/>
  <c r="O50" i="4"/>
  <c r="D50" i="4"/>
  <c r="AH13" i="4"/>
  <c r="AL52" i="4"/>
  <c r="AJ52" i="4"/>
  <c r="K50" i="4"/>
  <c r="G50" i="4"/>
  <c r="AF45" i="4"/>
  <c r="M50" i="4"/>
  <c r="N50" i="4"/>
  <c r="J50" i="4"/>
  <c r="AG19" i="4"/>
  <c r="AG25" i="4" s="1"/>
  <c r="AG45" i="4"/>
  <c r="Q50" i="4"/>
  <c r="H50" i="4"/>
  <c r="C50" i="4"/>
  <c r="F50" i="4"/>
  <c r="P50" i="4"/>
  <c r="R18" i="4"/>
  <c r="R19" i="4" s="1"/>
  <c r="R25" i="4" s="1"/>
  <c r="I50" i="4"/>
  <c r="AC50" i="4"/>
  <c r="L50" i="4"/>
  <c r="E50" i="4"/>
  <c r="AD50" i="4"/>
  <c r="AH51" i="4"/>
  <c r="AH43" i="4"/>
  <c r="AH48" i="4"/>
  <c r="AF19" i="4"/>
  <c r="AF25" i="4" s="1"/>
  <c r="AE19" i="4"/>
  <c r="AE25" i="4" s="1"/>
  <c r="AI94" i="4" l="1"/>
  <c r="AI89" i="4"/>
  <c r="AI93" i="4"/>
  <c r="AH90" i="4"/>
  <c r="AH97" i="4"/>
  <c r="AG90" i="4"/>
  <c r="AG97" i="4"/>
  <c r="Q90" i="4"/>
  <c r="Q97" i="4"/>
  <c r="AB34" i="4"/>
  <c r="AH94" i="4"/>
  <c r="AH89" i="4"/>
  <c r="AH93" i="4"/>
  <c r="O90" i="4"/>
  <c r="P89" i="4"/>
  <c r="P90" i="4"/>
  <c r="Q89" i="4"/>
  <c r="N90" i="4"/>
  <c r="N89" i="4"/>
  <c r="O89" i="4"/>
  <c r="R90" i="4"/>
  <c r="S89" i="4"/>
  <c r="R89" i="4"/>
  <c r="AG89" i="4"/>
  <c r="AH45" i="4"/>
  <c r="U123" i="4"/>
  <c r="Q123" i="4"/>
  <c r="V123" i="4"/>
  <c r="R123" i="4"/>
  <c r="AJ44" i="4"/>
  <c r="AJ17" i="4"/>
  <c r="AJ49" i="4" s="1"/>
  <c r="AL12" i="4"/>
  <c r="AM12" i="4" s="1"/>
  <c r="AN12" i="4" s="1"/>
  <c r="AO12" i="4" s="1"/>
  <c r="AP12" i="4" s="1"/>
  <c r="AQ12" i="4" s="1"/>
  <c r="AR12" i="4" s="1"/>
  <c r="AS12" i="4" s="1"/>
  <c r="AK17" i="4"/>
  <c r="AK49" i="4" s="1"/>
  <c r="AK44" i="4"/>
  <c r="AK15" i="4"/>
  <c r="AK47" i="4" s="1"/>
  <c r="V50" i="4"/>
  <c r="V25" i="4"/>
  <c r="V29" i="4" s="1"/>
  <c r="V32" i="4" s="1"/>
  <c r="V100" i="4" s="1"/>
  <c r="V116" i="4" s="1"/>
  <c r="V120" i="4" s="1"/>
  <c r="S25" i="4"/>
  <c r="T25" i="4"/>
  <c r="T53" i="4" s="1"/>
  <c r="U50" i="4"/>
  <c r="U25" i="4"/>
  <c r="AI51" i="4"/>
  <c r="AI24" i="4"/>
  <c r="AG118" i="4"/>
  <c r="AG119" i="4" s="1"/>
  <c r="AG123" i="4" s="1"/>
  <c r="AG110" i="4"/>
  <c r="AH119" i="4"/>
  <c r="R50" i="4"/>
  <c r="AK41" i="4"/>
  <c r="AL14" i="4"/>
  <c r="AK46" i="4"/>
  <c r="AM52" i="4"/>
  <c r="AH18" i="4"/>
  <c r="AJ42" i="4"/>
  <c r="N29" i="4"/>
  <c r="N54" i="4" s="1"/>
  <c r="N53" i="4"/>
  <c r="K29" i="4"/>
  <c r="K32" i="4" s="1"/>
  <c r="K100" i="4" s="1"/>
  <c r="K116" i="4" s="1"/>
  <c r="K120" i="4" s="1"/>
  <c r="K53" i="4"/>
  <c r="L29" i="4"/>
  <c r="L32" i="4" s="1"/>
  <c r="L100" i="4" s="1"/>
  <c r="L116" i="4" s="1"/>
  <c r="L120" i="4" s="1"/>
  <c r="L53" i="4"/>
  <c r="O29" i="4"/>
  <c r="O32" i="4" s="1"/>
  <c r="O88" i="4" s="1"/>
  <c r="O53" i="4"/>
  <c r="Q29" i="4"/>
  <c r="Q54" i="4" s="1"/>
  <c r="Q53" i="4"/>
  <c r="C29" i="4"/>
  <c r="C54" i="4" s="1"/>
  <c r="C53" i="4"/>
  <c r="E29" i="4"/>
  <c r="E54" i="4" s="1"/>
  <c r="E53" i="4"/>
  <c r="D29" i="4"/>
  <c r="D32" i="4" s="1"/>
  <c r="D53" i="4"/>
  <c r="F29" i="4"/>
  <c r="F54" i="4" s="1"/>
  <c r="F53" i="4"/>
  <c r="AC29" i="4"/>
  <c r="AC32" i="4" s="1"/>
  <c r="AC53" i="4"/>
  <c r="AD29" i="4"/>
  <c r="AD32" i="4" s="1"/>
  <c r="AD53" i="4"/>
  <c r="I29" i="4"/>
  <c r="I32" i="4" s="1"/>
  <c r="I53" i="4"/>
  <c r="P29" i="4"/>
  <c r="P54" i="4" s="1"/>
  <c r="P53" i="4"/>
  <c r="M29" i="4"/>
  <c r="M54" i="4" s="1"/>
  <c r="M53" i="4"/>
  <c r="R29" i="4"/>
  <c r="R53" i="4"/>
  <c r="H29" i="4"/>
  <c r="H32" i="4" s="1"/>
  <c r="H53" i="4"/>
  <c r="J29" i="4"/>
  <c r="J32" i="4" s="1"/>
  <c r="J53" i="4"/>
  <c r="G29" i="4"/>
  <c r="G32" i="4" s="1"/>
  <c r="G53" i="4"/>
  <c r="AF50" i="4"/>
  <c r="AG50" i="4"/>
  <c r="AI18" i="4"/>
  <c r="AI95" i="4" s="1"/>
  <c r="AE50" i="4"/>
  <c r="AK42" i="4"/>
  <c r="AL15" i="4"/>
  <c r="AI43" i="4"/>
  <c r="AH19" i="4" l="1"/>
  <c r="AH25" i="4" s="1"/>
  <c r="AH29" i="4" s="1"/>
  <c r="AH95" i="4"/>
  <c r="AH123" i="4"/>
  <c r="AL44" i="4"/>
  <c r="AL17" i="4"/>
  <c r="AL49" i="4" s="1"/>
  <c r="V54" i="4"/>
  <c r="V53" i="4"/>
  <c r="S53" i="4"/>
  <c r="S29" i="4"/>
  <c r="T29" i="4"/>
  <c r="T32" i="4" s="1"/>
  <c r="V34" i="4"/>
  <c r="V55" i="4"/>
  <c r="U29" i="4"/>
  <c r="U53" i="4"/>
  <c r="AJ51" i="4"/>
  <c r="AJ24" i="4"/>
  <c r="AC54" i="4"/>
  <c r="AK20" i="4"/>
  <c r="O100" i="4"/>
  <c r="O116" i="4" s="1"/>
  <c r="O120" i="4" s="1"/>
  <c r="O122" i="4" s="1"/>
  <c r="AI119" i="4"/>
  <c r="AI123" i="4" s="1"/>
  <c r="AO21" i="4"/>
  <c r="AD54" i="4"/>
  <c r="E32" i="4"/>
  <c r="E34" i="4" s="1"/>
  <c r="I54" i="4"/>
  <c r="F32" i="4"/>
  <c r="F55" i="4" s="1"/>
  <c r="AL41" i="4"/>
  <c r="Q32" i="4"/>
  <c r="K54" i="4"/>
  <c r="AL46" i="4"/>
  <c r="D54" i="4"/>
  <c r="N32" i="4"/>
  <c r="J54" i="4"/>
  <c r="P32" i="4"/>
  <c r="P88" i="4" s="1"/>
  <c r="O54" i="4"/>
  <c r="H54" i="4"/>
  <c r="L54" i="4"/>
  <c r="M32" i="4"/>
  <c r="AE29" i="4"/>
  <c r="AE32" i="4" s="1"/>
  <c r="AE88" i="4" s="1"/>
  <c r="AE53" i="4"/>
  <c r="C32" i="4"/>
  <c r="C34" i="4" s="1"/>
  <c r="R54" i="4"/>
  <c r="R32" i="4"/>
  <c r="G54" i="4"/>
  <c r="AF29" i="4"/>
  <c r="AF54" i="4" s="1"/>
  <c r="AF53" i="4"/>
  <c r="AG29" i="4"/>
  <c r="AG32" i="4" s="1"/>
  <c r="AG53" i="4"/>
  <c r="H34" i="4"/>
  <c r="H55" i="4"/>
  <c r="K34" i="4"/>
  <c r="K55" i="4"/>
  <c r="I34" i="4"/>
  <c r="I55" i="4"/>
  <c r="G34" i="4"/>
  <c r="G55" i="4"/>
  <c r="AI45" i="4"/>
  <c r="AI19" i="4"/>
  <c r="AI25" i="4" s="1"/>
  <c r="AJ16" i="4"/>
  <c r="AJ18" i="4" s="1"/>
  <c r="AJ43" i="4"/>
  <c r="AJ13" i="4"/>
  <c r="AJ45" i="4" s="1"/>
  <c r="AL42" i="4"/>
  <c r="O34" i="4"/>
  <c r="O55" i="4"/>
  <c r="D34" i="4"/>
  <c r="D55" i="4"/>
  <c r="AI48" i="4"/>
  <c r="J34" i="4"/>
  <c r="J55" i="4"/>
  <c r="AD34" i="4"/>
  <c r="AD55" i="4"/>
  <c r="AM15" i="4"/>
  <c r="L34" i="4"/>
  <c r="L55" i="4"/>
  <c r="AL47" i="4"/>
  <c r="AC34" i="4"/>
  <c r="AC55" i="4"/>
  <c r="AH50" i="4" l="1"/>
  <c r="T100" i="4"/>
  <c r="T116" i="4" s="1"/>
  <c r="T120" i="4" s="1"/>
  <c r="T88" i="4"/>
  <c r="AG100" i="4"/>
  <c r="AG116" i="4" s="1"/>
  <c r="AG120" i="4" s="1"/>
  <c r="AG88" i="4"/>
  <c r="N100" i="4"/>
  <c r="N116" i="4" s="1"/>
  <c r="N120" i="4" s="1"/>
  <c r="N88" i="4"/>
  <c r="Q100" i="4"/>
  <c r="Q116" i="4" s="1"/>
  <c r="Q120" i="4" s="1"/>
  <c r="Q88" i="4"/>
  <c r="R100" i="4"/>
  <c r="R116" i="4" s="1"/>
  <c r="R120" i="4" s="1"/>
  <c r="R88" i="4"/>
  <c r="AM17" i="4"/>
  <c r="AM49" i="4" s="1"/>
  <c r="AM44" i="4"/>
  <c r="S32" i="4"/>
  <c r="S54" i="4"/>
  <c r="T54" i="4"/>
  <c r="U32" i="4"/>
  <c r="U54" i="4"/>
  <c r="T34" i="4"/>
  <c r="T55" i="4"/>
  <c r="AL20" i="4"/>
  <c r="AK24" i="4"/>
  <c r="AN52" i="4"/>
  <c r="AK51" i="4"/>
  <c r="AJ119" i="4"/>
  <c r="AJ123" i="4" s="1"/>
  <c r="Q34" i="4"/>
  <c r="F34" i="4"/>
  <c r="Q55" i="4"/>
  <c r="N55" i="4"/>
  <c r="AG54" i="4"/>
  <c r="N34" i="4"/>
  <c r="P34" i="4"/>
  <c r="P100" i="4"/>
  <c r="E55" i="4"/>
  <c r="M34" i="4"/>
  <c r="M100" i="4"/>
  <c r="M116" i="4" s="1"/>
  <c r="M120" i="4" s="1"/>
  <c r="AM41" i="4"/>
  <c r="C55" i="4"/>
  <c r="AM46" i="4"/>
  <c r="AN14" i="4"/>
  <c r="AN46" i="4" s="1"/>
  <c r="AF32" i="4"/>
  <c r="AF88" i="4" s="1"/>
  <c r="P55" i="4"/>
  <c r="AE54" i="4"/>
  <c r="AH54" i="4"/>
  <c r="AH32" i="4"/>
  <c r="AH88" i="4" s="1"/>
  <c r="AH53" i="4"/>
  <c r="AM42" i="4"/>
  <c r="M55" i="4"/>
  <c r="AN15" i="4"/>
  <c r="AJ19" i="4"/>
  <c r="R34" i="4"/>
  <c r="R55" i="4"/>
  <c r="AK16" i="4"/>
  <c r="AK18" i="4" s="1"/>
  <c r="AK43" i="4"/>
  <c r="AK13" i="4"/>
  <c r="AK45" i="4" s="1"/>
  <c r="AM47" i="4"/>
  <c r="AI50" i="4"/>
  <c r="AG34" i="4"/>
  <c r="AG55" i="4"/>
  <c r="AE34" i="4"/>
  <c r="AE55" i="4"/>
  <c r="AJ48" i="4"/>
  <c r="AP21" i="4"/>
  <c r="AO52" i="4"/>
  <c r="U100" i="4" l="1"/>
  <c r="U116" i="4" s="1"/>
  <c r="U120" i="4" s="1"/>
  <c r="U122" i="4" s="1"/>
  <c r="U88" i="4"/>
  <c r="S100" i="4"/>
  <c r="S116" i="4" s="1"/>
  <c r="S120" i="4" s="1"/>
  <c r="S122" i="4" s="1"/>
  <c r="S88" i="4"/>
  <c r="V122" i="4"/>
  <c r="R122" i="4"/>
  <c r="AF34" i="4"/>
  <c r="AF100" i="4"/>
  <c r="AF116" i="4" s="1"/>
  <c r="AF120" i="4" s="1"/>
  <c r="AG122" i="4" s="1"/>
  <c r="AN17" i="4"/>
  <c r="AN49" i="4" s="1"/>
  <c r="AN44" i="4"/>
  <c r="S34" i="4"/>
  <c r="S55" i="4"/>
  <c r="U34" i="4"/>
  <c r="U55" i="4"/>
  <c r="AJ50" i="4"/>
  <c r="AJ25" i="4"/>
  <c r="AJ29" i="4" s="1"/>
  <c r="AJ32" i="4" s="1"/>
  <c r="AL51" i="4"/>
  <c r="AL24" i="4"/>
  <c r="AM20" i="4"/>
  <c r="P116" i="4"/>
  <c r="P120" i="4" s="1"/>
  <c r="AK119" i="4"/>
  <c r="AK123" i="4" s="1"/>
  <c r="AH34" i="4"/>
  <c r="AH100" i="4"/>
  <c r="AH116" i="4" s="1"/>
  <c r="AH120" i="4" s="1"/>
  <c r="AH122" i="4" s="1"/>
  <c r="Q122" i="4"/>
  <c r="AN41" i="4"/>
  <c r="AH55" i="4"/>
  <c r="AO41" i="4"/>
  <c r="AF55" i="4"/>
  <c r="AN47" i="4"/>
  <c r="AN42" i="4"/>
  <c r="AO15" i="4"/>
  <c r="AI29" i="4"/>
  <c r="AI54" i="4" s="1"/>
  <c r="AI53" i="4"/>
  <c r="AK48" i="4"/>
  <c r="AK19" i="4"/>
  <c r="AK25" i="4" s="1"/>
  <c r="AL16" i="4"/>
  <c r="AL18" i="4" s="1"/>
  <c r="AL43" i="4"/>
  <c r="AL13" i="4"/>
  <c r="AP52" i="4"/>
  <c r="AQ21" i="4"/>
  <c r="AP14" i="4"/>
  <c r="P122" i="4" l="1"/>
  <c r="T122" i="4"/>
  <c r="AO17" i="4"/>
  <c r="AO49" i="4" s="1"/>
  <c r="AO44" i="4"/>
  <c r="AJ100" i="4"/>
  <c r="AJ116" i="4" s="1"/>
  <c r="AJ120" i="4" s="1"/>
  <c r="AM51" i="4"/>
  <c r="AM24" i="4"/>
  <c r="AN20" i="4"/>
  <c r="AJ53" i="4"/>
  <c r="AL119" i="4"/>
  <c r="AL123" i="4" s="1"/>
  <c r="AO46" i="4"/>
  <c r="AI32" i="4"/>
  <c r="AI88" i="4" s="1"/>
  <c r="AO42" i="4"/>
  <c r="AO47" i="4"/>
  <c r="AJ54" i="4"/>
  <c r="AP15" i="4"/>
  <c r="AK50" i="4"/>
  <c r="AM16" i="4"/>
  <c r="AM18" i="4" s="1"/>
  <c r="AM43" i="4"/>
  <c r="AM13" i="4"/>
  <c r="AJ34" i="4"/>
  <c r="AJ55" i="4"/>
  <c r="AL45" i="4"/>
  <c r="AL19" i="4"/>
  <c r="AL25" i="4" s="1"/>
  <c r="AL48" i="4"/>
  <c r="AQ52" i="4"/>
  <c r="AR21" i="4"/>
  <c r="AQ14" i="4"/>
  <c r="AP46" i="4"/>
  <c r="AP41" i="4"/>
  <c r="AP17" i="4" l="1"/>
  <c r="AP49" i="4" s="1"/>
  <c r="AP44" i="4"/>
  <c r="AM48" i="4"/>
  <c r="AN51" i="4"/>
  <c r="AN24" i="4"/>
  <c r="AO20" i="4"/>
  <c r="AM119" i="4"/>
  <c r="AM123" i="4" s="1"/>
  <c r="AI55" i="4"/>
  <c r="AI100" i="4"/>
  <c r="AI116" i="4" s="1"/>
  <c r="AI120" i="4" s="1"/>
  <c r="AI122" i="4" s="1"/>
  <c r="AI34" i="4"/>
  <c r="AP47" i="4"/>
  <c r="AP42" i="4"/>
  <c r="AQ15" i="4"/>
  <c r="AQ47" i="4" s="1"/>
  <c r="AK29" i="4"/>
  <c r="AK32" i="4" s="1"/>
  <c r="AK53" i="4"/>
  <c r="AL50" i="4"/>
  <c r="AN16" i="4"/>
  <c r="AN18" i="4" s="1"/>
  <c r="AN43" i="4"/>
  <c r="AN13" i="4"/>
  <c r="AM45" i="4"/>
  <c r="AM19" i="4"/>
  <c r="AM25" i="4" s="1"/>
  <c r="AR52" i="4"/>
  <c r="AS21" i="4"/>
  <c r="AS52" i="4" s="1"/>
  <c r="AR15" i="4"/>
  <c r="AQ46" i="4"/>
  <c r="AQ41" i="4"/>
  <c r="AR14" i="4"/>
  <c r="AQ17" i="4" l="1"/>
  <c r="AQ49" i="4" s="1"/>
  <c r="AQ44" i="4"/>
  <c r="AK100" i="4"/>
  <c r="AK116" i="4" s="1"/>
  <c r="AK120" i="4" s="1"/>
  <c r="AP20" i="4"/>
  <c r="AO24" i="4"/>
  <c r="AO51" i="4"/>
  <c r="AN119" i="4"/>
  <c r="AN123" i="4" s="1"/>
  <c r="AQ42" i="4"/>
  <c r="AK54" i="4"/>
  <c r="AL29" i="4"/>
  <c r="AL54" i="4" s="1"/>
  <c r="AL53" i="4"/>
  <c r="AN48" i="4"/>
  <c r="AN45" i="4"/>
  <c r="AN19" i="4"/>
  <c r="AN25" i="4" s="1"/>
  <c r="AM50" i="4"/>
  <c r="AO16" i="4"/>
  <c r="AO18" i="4" s="1"/>
  <c r="AO43" i="4"/>
  <c r="AO13" i="4"/>
  <c r="AO45" i="4" s="1"/>
  <c r="AK34" i="4"/>
  <c r="AK55" i="4"/>
  <c r="AR47" i="4"/>
  <c r="AS15" i="4"/>
  <c r="AR42" i="4"/>
  <c r="AR46" i="4"/>
  <c r="AR41" i="4"/>
  <c r="AS14" i="4"/>
  <c r="AR17" i="4" l="1"/>
  <c r="AR49" i="4" s="1"/>
  <c r="AR44" i="4"/>
  <c r="AP24" i="4"/>
  <c r="AP51" i="4"/>
  <c r="AQ20" i="4"/>
  <c r="AO119" i="4"/>
  <c r="AO123" i="4" s="1"/>
  <c r="AL32" i="4"/>
  <c r="AO19" i="4"/>
  <c r="AO48" i="4"/>
  <c r="AM29" i="4"/>
  <c r="AM32" i="4" s="1"/>
  <c r="AM100" i="4" s="1"/>
  <c r="AM116" i="4" s="1"/>
  <c r="AM120" i="4" s="1"/>
  <c r="AM53" i="4"/>
  <c r="AP16" i="4"/>
  <c r="AP18" i="4" s="1"/>
  <c r="AP43" i="4"/>
  <c r="AP13" i="4"/>
  <c r="AN50" i="4"/>
  <c r="AS47" i="4"/>
  <c r="AS42" i="4"/>
  <c r="AS46" i="4"/>
  <c r="AS41" i="4"/>
  <c r="AS17" i="4" l="1"/>
  <c r="AS49" i="4" s="1"/>
  <c r="AS44" i="4"/>
  <c r="AL100" i="4"/>
  <c r="AL116" i="4" s="1"/>
  <c r="AL120" i="4" s="1"/>
  <c r="AO50" i="4"/>
  <c r="AO25" i="4"/>
  <c r="AO29" i="4" s="1"/>
  <c r="AO32" i="4" s="1"/>
  <c r="AO100" i="4" s="1"/>
  <c r="AO116" i="4" s="1"/>
  <c r="AO120" i="4" s="1"/>
  <c r="AQ51" i="4"/>
  <c r="AQ24" i="4"/>
  <c r="AR20" i="4"/>
  <c r="AP119" i="4"/>
  <c r="AP123" i="4" s="1"/>
  <c r="AL55" i="4"/>
  <c r="AL34" i="4"/>
  <c r="AP48" i="4"/>
  <c r="AM54" i="4"/>
  <c r="AN29" i="4"/>
  <c r="AN54" i="4" s="1"/>
  <c r="AN53" i="4"/>
  <c r="AP45" i="4"/>
  <c r="AP19" i="4"/>
  <c r="AP25" i="4" s="1"/>
  <c r="AM34" i="4"/>
  <c r="AM55" i="4"/>
  <c r="AQ16" i="4"/>
  <c r="AQ18" i="4" s="1"/>
  <c r="AQ43" i="4"/>
  <c r="AQ13" i="4"/>
  <c r="AR24" i="4" l="1"/>
  <c r="AR51" i="4"/>
  <c r="AS20" i="4"/>
  <c r="AQ119" i="4"/>
  <c r="AQ123" i="4" s="1"/>
  <c r="AO53" i="4"/>
  <c r="AO54" i="4"/>
  <c r="AN32" i="4"/>
  <c r="AP50" i="4"/>
  <c r="AR16" i="4"/>
  <c r="AR18" i="4" s="1"/>
  <c r="AR43" i="4"/>
  <c r="AR13" i="4"/>
  <c r="AO34" i="4"/>
  <c r="AO55" i="4"/>
  <c r="AQ19" i="4"/>
  <c r="AQ25" i="4" s="1"/>
  <c r="AQ45" i="4"/>
  <c r="AQ48" i="4"/>
  <c r="AN100" i="4" l="1"/>
  <c r="AN116" i="4" s="1"/>
  <c r="AN120" i="4" s="1"/>
  <c r="AS51" i="4"/>
  <c r="AS24" i="4"/>
  <c r="AR119" i="4"/>
  <c r="AR123" i="4" s="1"/>
  <c r="AS119" i="4"/>
  <c r="AR48" i="4"/>
  <c r="AN34" i="4"/>
  <c r="AN55" i="4"/>
  <c r="AP29" i="4"/>
  <c r="AP32" i="4" s="1"/>
  <c r="AP100" i="4" s="1"/>
  <c r="AP116" i="4" s="1"/>
  <c r="AP120" i="4" s="1"/>
  <c r="AP53" i="4"/>
  <c r="AR45" i="4"/>
  <c r="AR19" i="4"/>
  <c r="AR25" i="4" s="1"/>
  <c r="AQ50" i="4"/>
  <c r="AS16" i="4"/>
  <c r="AS18" i="4" s="1"/>
  <c r="AS43" i="4"/>
  <c r="AS13" i="4"/>
  <c r="AS123" i="4" l="1"/>
  <c r="AP54" i="4"/>
  <c r="AQ29" i="4"/>
  <c r="AQ54" i="4" s="1"/>
  <c r="AQ53" i="4"/>
  <c r="AS48" i="4"/>
  <c r="AP34" i="4"/>
  <c r="AP55" i="4"/>
  <c r="AR50" i="4"/>
  <c r="AS19" i="4"/>
  <c r="AS25" i="4" s="1"/>
  <c r="AS45" i="4"/>
  <c r="AQ32" i="4" l="1"/>
  <c r="AQ100" i="4" s="1"/>
  <c r="AQ116" i="4" s="1"/>
  <c r="AQ120" i="4" s="1"/>
  <c r="AR29" i="4"/>
  <c r="AR32" i="4" s="1"/>
  <c r="AR100" i="4" s="1"/>
  <c r="AR116" i="4" s="1"/>
  <c r="AR120" i="4" s="1"/>
  <c r="AR53" i="4"/>
  <c r="AS50" i="4"/>
  <c r="AQ55" i="4" l="1"/>
  <c r="AQ34" i="4"/>
  <c r="AR54" i="4"/>
  <c r="AS29" i="4"/>
  <c r="AS32" i="4" s="1"/>
  <c r="AS53" i="4"/>
  <c r="AR34" i="4"/>
  <c r="AR55" i="4"/>
  <c r="AS54" i="4" l="1"/>
  <c r="AT32" i="4"/>
  <c r="AU32" i="4" s="1"/>
  <c r="AV32" i="4" s="1"/>
  <c r="AW32" i="4" s="1"/>
  <c r="AX32" i="4" s="1"/>
  <c r="AY32" i="4" s="1"/>
  <c r="AZ32" i="4" s="1"/>
  <c r="BA32" i="4" s="1"/>
  <c r="BB32" i="4" s="1"/>
  <c r="BC32" i="4" s="1"/>
  <c r="BD32" i="4" s="1"/>
  <c r="BE32" i="4" s="1"/>
  <c r="BF32" i="4" s="1"/>
  <c r="BG32" i="4" s="1"/>
  <c r="BH32" i="4" s="1"/>
  <c r="BI32" i="4" s="1"/>
  <c r="BJ32" i="4" s="1"/>
  <c r="BK32" i="4" s="1"/>
  <c r="BL32" i="4" s="1"/>
  <c r="BM32" i="4" s="1"/>
  <c r="BN32" i="4" s="1"/>
  <c r="BO32" i="4" s="1"/>
  <c r="BP32" i="4" s="1"/>
  <c r="BQ32" i="4" s="1"/>
  <c r="BR32" i="4" s="1"/>
  <c r="BS32" i="4" s="1"/>
  <c r="BT32" i="4" s="1"/>
  <c r="BU32" i="4" s="1"/>
  <c r="BV32" i="4" s="1"/>
  <c r="BW32" i="4" s="1"/>
  <c r="BX32" i="4" s="1"/>
  <c r="BY32" i="4" s="1"/>
  <c r="BZ32" i="4" s="1"/>
  <c r="CA32" i="4" s="1"/>
  <c r="CB32" i="4" s="1"/>
  <c r="CC32" i="4" s="1"/>
  <c r="CD32" i="4" s="1"/>
  <c r="CE32" i="4" s="1"/>
  <c r="CF32" i="4" s="1"/>
  <c r="CG32" i="4" s="1"/>
  <c r="CH32" i="4" s="1"/>
  <c r="CI32" i="4" s="1"/>
  <c r="CJ32" i="4" s="1"/>
  <c r="CK32" i="4" s="1"/>
  <c r="CL32" i="4" s="1"/>
  <c r="CM32" i="4" s="1"/>
  <c r="CN32" i="4" s="1"/>
  <c r="CO32" i="4" s="1"/>
  <c r="CP32" i="4" s="1"/>
  <c r="CQ32" i="4" s="1"/>
  <c r="CR32" i="4" s="1"/>
  <c r="CS32" i="4" s="1"/>
  <c r="CT32" i="4" s="1"/>
  <c r="CU32" i="4" s="1"/>
  <c r="CV32" i="4" s="1"/>
  <c r="CW32" i="4" s="1"/>
  <c r="CX32" i="4" s="1"/>
  <c r="CY32" i="4" s="1"/>
  <c r="CZ32" i="4" s="1"/>
  <c r="DA32" i="4" s="1"/>
  <c r="DB32" i="4" s="1"/>
  <c r="DC32" i="4" s="1"/>
  <c r="DD32" i="4" s="1"/>
  <c r="DE32" i="4" s="1"/>
  <c r="DF32" i="4" s="1"/>
  <c r="DG32" i="4" s="1"/>
  <c r="DH32" i="4" s="1"/>
  <c r="DI32" i="4" s="1"/>
  <c r="DJ32" i="4" s="1"/>
  <c r="DK32" i="4" s="1"/>
  <c r="DL32" i="4" s="1"/>
  <c r="DM32" i="4" s="1"/>
  <c r="DN32" i="4" s="1"/>
  <c r="DO32" i="4" s="1"/>
  <c r="DP32" i="4" s="1"/>
  <c r="DQ32" i="4" s="1"/>
  <c r="DR32" i="4" s="1"/>
  <c r="DS32" i="4" s="1"/>
  <c r="DT32" i="4" s="1"/>
  <c r="DU32" i="4" s="1"/>
  <c r="DV32" i="4" s="1"/>
  <c r="DW32" i="4" s="1"/>
  <c r="DX32" i="4" s="1"/>
  <c r="DY32" i="4" s="1"/>
  <c r="DZ32" i="4" s="1"/>
  <c r="EA32" i="4" s="1"/>
  <c r="EB32" i="4" s="1"/>
  <c r="EC32" i="4" s="1"/>
  <c r="ED32" i="4" s="1"/>
  <c r="EE32" i="4" s="1"/>
  <c r="EF32" i="4" s="1"/>
  <c r="EG32" i="4" s="1"/>
  <c r="EH32" i="4" s="1"/>
  <c r="EI32" i="4" s="1"/>
  <c r="EJ32" i="4" s="1"/>
  <c r="EK32" i="4" s="1"/>
  <c r="EL32" i="4" s="1"/>
  <c r="EM32" i="4" s="1"/>
  <c r="EN32" i="4" s="1"/>
  <c r="EO32" i="4" s="1"/>
  <c r="EP32" i="4" s="1"/>
  <c r="EQ32" i="4" s="1"/>
  <c r="ER32" i="4" s="1"/>
  <c r="ES32" i="4" s="1"/>
  <c r="ET32" i="4" s="1"/>
  <c r="EU32" i="4" s="1"/>
  <c r="EV32" i="4" s="1"/>
  <c r="AS100" i="4"/>
  <c r="AS116" i="4" s="1"/>
  <c r="AS120" i="4" s="1"/>
  <c r="AS34" i="4"/>
  <c r="AS55" i="4"/>
  <c r="AT120" i="4" l="1"/>
  <c r="AU120" i="4" s="1"/>
  <c r="AV120" i="4" s="1"/>
  <c r="AW120" i="4" s="1"/>
  <c r="AX120" i="4" s="1"/>
  <c r="AY120" i="4" s="1"/>
  <c r="AZ120" i="4" s="1"/>
  <c r="BA120" i="4" s="1"/>
  <c r="BB120" i="4" s="1"/>
  <c r="BC120" i="4" s="1"/>
  <c r="BD120" i="4" s="1"/>
  <c r="BE120" i="4" s="1"/>
  <c r="BF120" i="4" s="1"/>
  <c r="BG120" i="4" s="1"/>
  <c r="BH120" i="4" s="1"/>
  <c r="BI120" i="4" s="1"/>
  <c r="BJ120" i="4" s="1"/>
  <c r="BK120" i="4" s="1"/>
  <c r="BL120" i="4" s="1"/>
  <c r="BM120" i="4" s="1"/>
  <c r="BN120" i="4" s="1"/>
  <c r="BO120" i="4" s="1"/>
  <c r="BP120" i="4" s="1"/>
  <c r="BQ120" i="4" s="1"/>
  <c r="BR120" i="4" s="1"/>
  <c r="BS120" i="4" s="1"/>
  <c r="BT120" i="4" s="1"/>
  <c r="BU120" i="4" s="1"/>
  <c r="BV120" i="4" s="1"/>
  <c r="BW120" i="4" s="1"/>
  <c r="BX120" i="4" s="1"/>
  <c r="BY120" i="4" s="1"/>
  <c r="BZ120" i="4" s="1"/>
  <c r="CA120" i="4" s="1"/>
  <c r="CB120" i="4" s="1"/>
  <c r="CC120" i="4" s="1"/>
  <c r="CD120" i="4" s="1"/>
  <c r="CE120" i="4" s="1"/>
  <c r="CF120" i="4" s="1"/>
  <c r="CG120" i="4" s="1"/>
  <c r="CH120" i="4" s="1"/>
  <c r="CI120" i="4" s="1"/>
  <c r="CJ120" i="4" s="1"/>
  <c r="CK120" i="4" s="1"/>
  <c r="CL120" i="4" s="1"/>
  <c r="CM120" i="4" s="1"/>
  <c r="CN120" i="4" s="1"/>
  <c r="CO120" i="4" s="1"/>
  <c r="CP120" i="4" s="1"/>
  <c r="CQ120" i="4" s="1"/>
  <c r="CR120" i="4" s="1"/>
  <c r="CS120" i="4" s="1"/>
  <c r="CT120" i="4" s="1"/>
  <c r="CU120" i="4" s="1"/>
  <c r="CV120" i="4" s="1"/>
  <c r="CW120" i="4" s="1"/>
  <c r="CX120" i="4" s="1"/>
  <c r="CY120" i="4" s="1"/>
  <c r="CZ120" i="4" s="1"/>
  <c r="DA120" i="4" s="1"/>
  <c r="DB120" i="4" s="1"/>
  <c r="DC120" i="4" s="1"/>
  <c r="DD120" i="4" s="1"/>
  <c r="DE120" i="4" s="1"/>
  <c r="DF120" i="4" s="1"/>
  <c r="DG120" i="4" s="1"/>
  <c r="DH120" i="4" s="1"/>
  <c r="DI120" i="4" s="1"/>
  <c r="DJ120" i="4" s="1"/>
  <c r="DK120" i="4" s="1"/>
  <c r="DL120" i="4" s="1"/>
  <c r="DM120" i="4" s="1"/>
  <c r="DN120" i="4" s="1"/>
  <c r="DO120" i="4" s="1"/>
  <c r="DP120" i="4" s="1"/>
  <c r="DQ120" i="4" s="1"/>
  <c r="DR120" i="4" s="1"/>
  <c r="DS120" i="4" s="1"/>
  <c r="DT120" i="4" s="1"/>
  <c r="DU120" i="4" s="1"/>
  <c r="DV120" i="4" s="1"/>
  <c r="DW120" i="4" s="1"/>
  <c r="DX120" i="4" s="1"/>
  <c r="DY120" i="4" s="1"/>
  <c r="DZ120" i="4" s="1"/>
  <c r="EA120" i="4" s="1"/>
  <c r="EB120" i="4" s="1"/>
  <c r="EC120" i="4" s="1"/>
  <c r="ED120" i="4" s="1"/>
  <c r="EE120" i="4" s="1"/>
  <c r="EF120" i="4" s="1"/>
  <c r="EG120" i="4" s="1"/>
  <c r="EH120" i="4" s="1"/>
  <c r="EI120" i="4" s="1"/>
  <c r="EJ120" i="4" s="1"/>
  <c r="EK120" i="4" s="1"/>
  <c r="EL120" i="4" s="1"/>
  <c r="EM120" i="4" s="1"/>
  <c r="EN120" i="4" s="1"/>
  <c r="EO120" i="4" s="1"/>
  <c r="EP120" i="4" s="1"/>
  <c r="AW124" i="4" s="1"/>
  <c r="AW126" i="4" s="1"/>
  <c r="AW127" i="4" s="1"/>
  <c r="AW129" i="4" s="1"/>
  <c r="AW44" i="4"/>
  <c r="AW46" i="4" s="1"/>
  <c r="AW47" i="4" s="1"/>
  <c r="AW49" i="4" s="1"/>
</calcChain>
</file>

<file path=xl/sharedStrings.xml><?xml version="1.0" encoding="utf-8"?>
<sst xmlns="http://schemas.openxmlformats.org/spreadsheetml/2006/main" count="186" uniqueCount="141">
  <si>
    <t>FCEL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</si>
  <si>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</si>
  <si>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</si>
  <si>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</si>
  <si>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</si>
  <si>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</si>
  <si>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</si>
  <si>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</si>
  <si>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</si>
  <si>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</si>
  <si>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</si>
  <si>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</si>
  <si>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</si>
  <si>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</si>
  <si>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</si>
  <si>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</si>
  <si>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</si>
  <si>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</si>
  <si>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</si>
  <si>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</si>
  <si>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</si>
  <si>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</si>
  <si>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</si>
  <si>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 revenue</t>
  </si>
  <si>
    <t>Service revenue</t>
  </si>
  <si>
    <t>Generation revenue</t>
  </si>
  <si>
    <t>Technology revenue</t>
  </si>
  <si>
    <t>Total revenue</t>
  </si>
  <si>
    <t>Product cost</t>
  </si>
  <si>
    <t>Service cost</t>
  </si>
  <si>
    <t>Generation cost</t>
  </si>
  <si>
    <t>Technology cost</t>
  </si>
  <si>
    <t>Total cost of sales</t>
  </si>
  <si>
    <t>Gross profit</t>
  </si>
  <si>
    <t>SG&amp;A</t>
  </si>
  <si>
    <t>R&amp;D</t>
  </si>
  <si>
    <t>Operating profit</t>
  </si>
  <si>
    <t>Interest expense</t>
  </si>
  <si>
    <t>Interest income</t>
  </si>
  <si>
    <t>Other income</t>
  </si>
  <si>
    <t>Pretax profit</t>
  </si>
  <si>
    <t>Taxes</t>
  </si>
  <si>
    <t>MI</t>
  </si>
  <si>
    <t>Net profit</t>
  </si>
  <si>
    <t>EPS</t>
  </si>
  <si>
    <t>Q121</t>
  </si>
  <si>
    <t>Q221</t>
  </si>
  <si>
    <t>Q321</t>
  </si>
  <si>
    <t>Q421</t>
  </si>
  <si>
    <t>Revenue y/y</t>
  </si>
  <si>
    <t>Product revenue y/y</t>
  </si>
  <si>
    <t>Service revenue y/y</t>
  </si>
  <si>
    <t>Generation revenue y/y</t>
  </si>
  <si>
    <t>Technology revenue y/y</t>
  </si>
  <si>
    <t>Product Margin</t>
  </si>
  <si>
    <t>Service Margin</t>
  </si>
  <si>
    <t>Generation Margin</t>
  </si>
  <si>
    <t>Technology Margin</t>
  </si>
  <si>
    <t>Gross Margin</t>
  </si>
  <si>
    <t>SG&amp;A y/y</t>
  </si>
  <si>
    <t>R&amp;D y/y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</si>
  <si>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</si>
  <si>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</si>
  <si>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</si>
  <si>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</si>
  <si>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</si>
  <si>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</si>
  <si>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</si>
  <si>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</si>
  <si>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</si>
  <si>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</si>
  <si>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</si>
  <si>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</si>
  <si>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</si>
  <si>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</si>
  <si>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</si>
  <si>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PP&amp;E</t>
  </si>
  <si>
    <t>Leases</t>
  </si>
  <si>
    <t>Goodwill</t>
  </si>
  <si>
    <t>Intangibles</t>
  </si>
  <si>
    <t>ONCA</t>
  </si>
  <si>
    <t>A/P</t>
  </si>
  <si>
    <t>A/L</t>
  </si>
  <si>
    <t>D/R</t>
  </si>
  <si>
    <t>S/E</t>
  </si>
  <si>
    <t>L+S/E</t>
  </si>
  <si>
    <t>Current assets</t>
  </si>
  <si>
    <t>Non-current assets</t>
  </si>
  <si>
    <t>Current liabilities</t>
  </si>
  <si>
    <t>Non-current liabilities</t>
  </si>
  <si>
    <t>Total assets</t>
  </si>
  <si>
    <t>Project assets</t>
  </si>
  <si>
    <t>SBC</t>
  </si>
  <si>
    <t>D&amp;A</t>
  </si>
  <si>
    <t>Debt expense</t>
  </si>
  <si>
    <t>Non-cash interest expense</t>
  </si>
  <si>
    <t>Loss on derivatives</t>
  </si>
  <si>
    <t>Operating lease expense</t>
  </si>
  <si>
    <t>Operating lease income</t>
  </si>
  <si>
    <t>Impairment</t>
  </si>
  <si>
    <t>Other</t>
  </si>
  <si>
    <t>Other assets</t>
  </si>
  <si>
    <t>CFFO</t>
  </si>
  <si>
    <t>FCF</t>
  </si>
  <si>
    <t>Total CapEx</t>
  </si>
  <si>
    <t>FCF y/y</t>
  </si>
  <si>
    <t>Backlog</t>
  </si>
  <si>
    <t>Product backlog</t>
  </si>
  <si>
    <t>Service backlog</t>
  </si>
  <si>
    <t>Generation backlog</t>
  </si>
  <si>
    <t>Technology backlog</t>
  </si>
  <si>
    <t>Restructuring</t>
  </si>
  <si>
    <t>Total operating expenses</t>
  </si>
  <si>
    <t>Product backlog y/y</t>
  </si>
  <si>
    <t>Service backlog y/y</t>
  </si>
  <si>
    <t>Generation backlog y/y</t>
  </si>
  <si>
    <t>Technology backlog y/y</t>
  </si>
  <si>
    <t>Backlog y/y</t>
  </si>
  <si>
    <t>Q125</t>
  </si>
  <si>
    <t>Q225</t>
  </si>
  <si>
    <t>Q325</t>
  </si>
  <si>
    <t>Q425</t>
  </si>
  <si>
    <t>CapEx y/y</t>
  </si>
  <si>
    <t>NPV (FCF)</t>
  </si>
  <si>
    <t>Return on equity</t>
  </si>
  <si>
    <t>Asset turnover</t>
  </si>
  <si>
    <t>Equity multiplier</t>
  </si>
  <si>
    <t>Current ratio</t>
  </si>
  <si>
    <t>Quick ratio</t>
  </si>
  <si>
    <t>A/R period (days)</t>
  </si>
  <si>
    <t>A/P period (days)</t>
  </si>
  <si>
    <t>Inventory turnover (days)</t>
  </si>
  <si>
    <t>Debt/equity</t>
  </si>
  <si>
    <t>Asset cover</t>
  </si>
  <si>
    <t>Price to book</t>
  </si>
  <si>
    <t>Fairly valued</t>
  </si>
  <si>
    <t>Q126</t>
  </si>
  <si>
    <t>Q226</t>
  </si>
  <si>
    <t>Q326</t>
  </si>
  <si>
    <t>Q426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</si>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</sst>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\x"/>
    <numFmt numFmtId="166" formatCode="0.00\x"/>
    <numFmt numFmtId="167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5" fillId="0" borderId="0" xfId="0" applyNumberFormat="1" applyFont="1"/>
    <xf numFmtId="3" fontId="2" fillId="0" borderId="0" xfId="0" applyNumberFormat="1" applyFont="1"/>
    <xf numFmtId="3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15240</xdr:rowOff>
    </xdr:from>
    <xdr:to>
      <xdr:col>21</xdr:col>
      <xdr:colOff>15240</xdr:colOff>
      <xdr:row>127</xdr:row>
      <xdr:rowOff>44450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EFCC3-D72C-6DA4-0C76-CB5638E49903}"/>
            </a:ext>
          </a:extLst>
        </xdr:cNvPr>
        <xdr:cNvCxnSpPr/>
      </xdr:nvCxnSpPr>
      <xdr:spPr>
        <a:xfrm>
          <a:off x="16002000" y="15240"/>
          <a:ext cx="0" cy="230720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</xdr:colOff>
      <xdr:row>0</xdr:row>
      <xdr:rowOff>15240</xdr:rowOff>
    </xdr:from>
    <xdr:to>
      <xdr:col>35</xdr:col>
      <xdr:colOff>15240</xdr:colOff>
      <xdr:row>127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F558B8C-7B5B-8137-06F6-438D8DF62E84}"/>
            </a:ext>
          </a:extLst>
        </xdr:cNvPr>
        <xdr:cNvCxnSpPr/>
      </xdr:nvCxnSpPr>
      <xdr:spPr>
        <a:xfrm>
          <a:off x="26083260" y="15240"/>
          <a:ext cx="0" cy="2322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9BDF6-399A-4F35-8EEB-3531DF80C250}">
  <dimension ref="B2:G9"/>
  <sheetViews>
    <sheetView workbookViewId="0">
      <selection activeCell="D8" sqref="D8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8.34</v>
      </c>
      <c r="E3" s="4">
        <v>46012</v>
      </c>
      <c r="F3" s="4">
        <f ca="1">TODAY()</f>
        <v>46052</v>
      </c>
      <c r="G3" s="4">
        <v>46091</v>
      </c>
    </row>
    <row r="4" spans="2:7" x14ac:dyDescent="0.3">
      <c r="C4" t="s">
        <v>2</v>
      </c>
      <c r="D4" s="6">
        <f>47.7</f>
        <v>47.7</v>
      </c>
      <c r="E4" s="3" t="s">
        <v>121</v>
      </c>
    </row>
    <row r="5" spans="2:7" x14ac:dyDescent="0.3">
      <c r="C5" t="s">
        <v>3</v>
      </c>
      <c r="D5" s="6">
        <f>D3*D4</f>
        <v>397.81800000000004</v>
      </c>
    </row>
    <row r="6" spans="2:7" x14ac:dyDescent="0.3">
      <c r="C6" t="s">
        <v>4</v>
      </c>
      <c r="D6" s="6">
        <f>278.1+16.6+47.1</f>
        <v>341.80000000000007</v>
      </c>
      <c r="E6" s="3" t="s">
        <v>121</v>
      </c>
    </row>
    <row r="7" spans="2:7" x14ac:dyDescent="0.3">
      <c r="C7" t="s">
        <v>5</v>
      </c>
      <c r="D7" s="6">
        <f>15.8+115.2</f>
        <v>131</v>
      </c>
      <c r="E7" s="3" t="s">
        <v>121</v>
      </c>
    </row>
    <row r="8" spans="2:7" x14ac:dyDescent="0.3">
      <c r="C8" t="s">
        <v>6</v>
      </c>
      <c r="D8" s="6">
        <f>D6-D7</f>
        <v>210.80000000000007</v>
      </c>
    </row>
    <row r="9" spans="2:7" x14ac:dyDescent="0.3">
      <c r="C9" t="s">
        <v>7</v>
      </c>
      <c r="D9" s="6">
        <f>D5-D8</f>
        <v>187.01799999999997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109B-7A3A-4569-ACD4-C92D661A6DC9}">
  <dimension ref="B1:EV141"/>
  <sheetViews>
    <sheetView tabSelected="1" zoomScaleNormal="100" workbookViewId="0">
      <pane xSplit="2" ySplit="2" topLeftCell="AJ26" activePane="bottomRight" state="frozen"/>
      <selection pane="topRight" activeCell="C1" sqref="C1"/>
      <selection pane="bottomLeft" activeCell="A3" sqref="A3"/>
      <selection pane="bottomRight" activeCell="AI100" sqref="AI100"/>
    </sheetView>
  </sheetViews>
  <sheetFormatPr defaultRowHeight="14.4" x14ac:dyDescent="0.3"/>
  <cols>
    <col min="2" max="2" width="23.5546875" bestFit="1" customWidth="1"/>
    <col min="3" max="16" width="10.5546875" bestFit="1" customWidth="1"/>
    <col min="17" max="17" width="10.6640625" bestFit="1" customWidth="1"/>
    <col min="18" max="18" width="10.5546875" bestFit="1" customWidth="1"/>
    <col min="19" max="26" width="10.5546875" customWidth="1"/>
    <col min="28" max="45" width="10.6640625" bestFit="1" customWidth="1"/>
    <col min="48" max="48" width="11.88671875" bestFit="1" customWidth="1"/>
    <col min="49" max="49" width="18.44140625" bestFit="1" customWidth="1"/>
  </cols>
  <sheetData>
    <row r="1" spans="2:45" x14ac:dyDescent="0.3">
      <c r="C1" s="2">
        <v>44227</v>
      </c>
      <c r="D1" s="2">
        <v>44316</v>
      </c>
      <c r="E1" s="2">
        <v>44408</v>
      </c>
      <c r="F1" s="2">
        <v>44500</v>
      </c>
      <c r="G1" s="2">
        <v>44592</v>
      </c>
      <c r="H1" s="2">
        <v>44681</v>
      </c>
      <c r="I1" s="2">
        <v>44773</v>
      </c>
      <c r="J1" s="2">
        <v>44865</v>
      </c>
      <c r="K1" s="2">
        <v>44957</v>
      </c>
      <c r="L1" s="2">
        <v>45046</v>
      </c>
      <c r="M1" s="2">
        <v>45138</v>
      </c>
      <c r="N1" s="2">
        <v>45230</v>
      </c>
      <c r="O1" s="2">
        <v>45322</v>
      </c>
      <c r="P1" s="2">
        <v>45412</v>
      </c>
      <c r="Q1" s="2">
        <v>45504</v>
      </c>
      <c r="R1" s="2">
        <v>45596</v>
      </c>
      <c r="S1" s="2">
        <v>45688</v>
      </c>
      <c r="T1" s="2">
        <v>45777</v>
      </c>
      <c r="U1" s="2">
        <v>45869</v>
      </c>
      <c r="V1" s="2">
        <v>45961</v>
      </c>
      <c r="W1" s="2">
        <v>46053</v>
      </c>
      <c r="X1" s="2">
        <v>46142</v>
      </c>
      <c r="Y1" s="2">
        <v>46234</v>
      </c>
      <c r="Z1" s="2">
        <v>46326</v>
      </c>
      <c r="AB1" s="2">
        <v>43404</v>
      </c>
      <c r="AC1" s="2">
        <v>43769</v>
      </c>
      <c r="AD1" s="2">
        <v>44135</v>
      </c>
      <c r="AE1" s="2">
        <v>44500</v>
      </c>
      <c r="AF1" s="2">
        <v>44865</v>
      </c>
      <c r="AG1" s="2">
        <v>45230</v>
      </c>
      <c r="AH1" s="2">
        <v>45596</v>
      </c>
      <c r="AI1" s="2">
        <v>45961</v>
      </c>
      <c r="AJ1" s="2">
        <v>46326</v>
      </c>
      <c r="AK1" s="2">
        <v>46691</v>
      </c>
      <c r="AL1" s="2">
        <v>47057</v>
      </c>
      <c r="AM1" s="2">
        <v>47422</v>
      </c>
      <c r="AN1" s="2">
        <v>47787</v>
      </c>
      <c r="AO1" s="2">
        <v>48152</v>
      </c>
      <c r="AP1" s="2">
        <v>48518</v>
      </c>
      <c r="AQ1" s="2">
        <v>48883</v>
      </c>
      <c r="AR1" s="2">
        <v>49248</v>
      </c>
      <c r="AS1" s="2">
        <v>49613</v>
      </c>
    </row>
    <row r="2" spans="2:45" x14ac:dyDescent="0.3">
      <c r="C2" s="7" t="s">
        <v>45</v>
      </c>
      <c r="D2" s="7" t="s">
        <v>46</v>
      </c>
      <c r="E2" s="7" t="s">
        <v>47</v>
      </c>
      <c r="F2" s="7" t="s">
        <v>48</v>
      </c>
      <c r="G2" s="7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118</v>
      </c>
      <c r="T2" s="7" t="s">
        <v>119</v>
      </c>
      <c r="U2" s="7" t="s">
        <v>120</v>
      </c>
      <c r="V2" s="7" t="s">
        <v>121</v>
      </c>
      <c r="W2" s="7" t="s">
        <v>136</v>
      </c>
      <c r="X2" s="7" t="s">
        <v>137</v>
      </c>
      <c r="Y2" s="7" t="s">
        <v>138</v>
      </c>
      <c r="Z2" s="7" t="s">
        <v>139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x14ac:dyDescent="0.3">
      <c r="B3" t="s">
        <v>107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3">
        <v>0</v>
      </c>
      <c r="O3" s="13">
        <v>0</v>
      </c>
      <c r="P3" s="13">
        <v>12.3</v>
      </c>
      <c r="Q3" s="13">
        <v>136.69999999999999</v>
      </c>
      <c r="R3" s="13">
        <v>111.3</v>
      </c>
      <c r="S3" s="13">
        <v>111.2</v>
      </c>
      <c r="T3" s="13">
        <v>98.2</v>
      </c>
      <c r="U3" s="13">
        <v>96.2</v>
      </c>
      <c r="V3" s="13">
        <v>66.2</v>
      </c>
      <c r="W3" s="13"/>
      <c r="X3" s="13"/>
      <c r="Y3" s="13"/>
      <c r="Z3" s="13"/>
      <c r="AG3" s="13">
        <v>0</v>
      </c>
      <c r="AH3" s="13">
        <v>111.3</v>
      </c>
      <c r="AI3" s="13">
        <v>66.2</v>
      </c>
    </row>
    <row r="4" spans="2:45" x14ac:dyDescent="0.3">
      <c r="B4" t="s">
        <v>108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3">
        <v>140.80000000000001</v>
      </c>
      <c r="O4" s="13">
        <v>140.4</v>
      </c>
      <c r="P4" s="13">
        <v>145.1</v>
      </c>
      <c r="Q4" s="13">
        <v>178.4</v>
      </c>
      <c r="R4" s="13">
        <v>174.2</v>
      </c>
      <c r="S4" s="13">
        <v>172.3</v>
      </c>
      <c r="T4" s="13">
        <v>164.4</v>
      </c>
      <c r="U4" s="13">
        <v>169.4</v>
      </c>
      <c r="V4" s="13">
        <v>162.4</v>
      </c>
      <c r="W4" s="13"/>
      <c r="X4" s="13"/>
      <c r="Y4" s="13"/>
      <c r="Z4" s="13"/>
      <c r="AG4" s="13">
        <v>140.80000000000001</v>
      </c>
      <c r="AH4" s="13">
        <v>174.2</v>
      </c>
      <c r="AI4" s="13">
        <v>162.4</v>
      </c>
    </row>
    <row r="5" spans="2:45" x14ac:dyDescent="0.3">
      <c r="B5" t="s">
        <v>109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3">
        <v>872.1</v>
      </c>
      <c r="O5" s="13">
        <v>861.6</v>
      </c>
      <c r="P5" s="13">
        <v>852.9</v>
      </c>
      <c r="Q5" s="13">
        <v>839.5</v>
      </c>
      <c r="R5" s="13">
        <v>841.4</v>
      </c>
      <c r="S5" s="13">
        <v>997.4</v>
      </c>
      <c r="T5" s="13">
        <v>967.4</v>
      </c>
      <c r="U5" s="13">
        <v>955</v>
      </c>
      <c r="V5" s="13">
        <v>945.2</v>
      </c>
      <c r="W5" s="13"/>
      <c r="X5" s="13"/>
      <c r="Y5" s="13"/>
      <c r="Z5" s="13"/>
      <c r="AG5" s="13">
        <v>872.1</v>
      </c>
      <c r="AH5" s="13">
        <v>841.4</v>
      </c>
      <c r="AI5" s="13">
        <v>945.2</v>
      </c>
    </row>
    <row r="6" spans="2:45" x14ac:dyDescent="0.3">
      <c r="B6" t="s">
        <v>110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3">
        <v>15.3</v>
      </c>
      <c r="O6" s="13">
        <v>23.4</v>
      </c>
      <c r="P6" s="13">
        <v>51.1</v>
      </c>
      <c r="Q6" s="13">
        <v>42.5</v>
      </c>
      <c r="R6" s="13">
        <v>36</v>
      </c>
      <c r="S6" s="13">
        <v>31.6</v>
      </c>
      <c r="T6" s="13">
        <v>29.6</v>
      </c>
      <c r="U6" s="13">
        <v>24.3</v>
      </c>
      <c r="V6" s="13">
        <v>19.5</v>
      </c>
      <c r="W6" s="13"/>
      <c r="X6" s="13"/>
      <c r="Y6" s="13"/>
      <c r="Z6" s="13"/>
      <c r="AG6" s="13">
        <v>15.3</v>
      </c>
      <c r="AH6" s="13">
        <v>36</v>
      </c>
      <c r="AI6" s="13">
        <v>19.5</v>
      </c>
    </row>
    <row r="7" spans="2:45" s="1" customFormat="1" x14ac:dyDescent="0.3">
      <c r="B7" s="1" t="s">
        <v>106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>
        <f t="shared" ref="N7:U7" si="0">SUM(N3:N6)</f>
        <v>1028.2</v>
      </c>
      <c r="O7" s="15">
        <f t="shared" si="0"/>
        <v>1025.4000000000001</v>
      </c>
      <c r="P7" s="15">
        <f t="shared" si="0"/>
        <v>1061.3999999999999</v>
      </c>
      <c r="Q7" s="15">
        <f t="shared" si="0"/>
        <v>1197.0999999999999</v>
      </c>
      <c r="R7" s="15">
        <f t="shared" si="0"/>
        <v>1162.9000000000001</v>
      </c>
      <c r="S7" s="15">
        <f t="shared" si="0"/>
        <v>1312.5</v>
      </c>
      <c r="T7" s="15">
        <f t="shared" si="0"/>
        <v>1259.5999999999999</v>
      </c>
      <c r="U7" s="15">
        <f t="shared" si="0"/>
        <v>1244.8999999999999</v>
      </c>
      <c r="V7" s="15">
        <f t="shared" ref="V7" si="1">SUM(V3:V6)</f>
        <v>1193.3000000000002</v>
      </c>
      <c r="W7" s="15"/>
      <c r="X7" s="15"/>
      <c r="Y7" s="15"/>
      <c r="Z7" s="15"/>
      <c r="AG7" s="15">
        <f t="shared" ref="AG7:AH7" si="2">SUM(AG3:AG6)</f>
        <v>1028.2</v>
      </c>
      <c r="AH7" s="15">
        <f t="shared" si="2"/>
        <v>1162.9000000000001</v>
      </c>
      <c r="AI7" s="15">
        <f t="shared" ref="AI7" si="3">SUM(AI3:AI6)</f>
        <v>1193.3000000000002</v>
      </c>
    </row>
    <row r="8" spans="2:45" s="1" customFormat="1" x14ac:dyDescent="0.3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2:45" x14ac:dyDescent="0.3">
      <c r="B9" t="s">
        <v>23</v>
      </c>
      <c r="C9" s="6">
        <v>0</v>
      </c>
      <c r="D9" s="6">
        <v>0</v>
      </c>
      <c r="E9" s="6">
        <v>0</v>
      </c>
      <c r="F9" s="6">
        <v>0</v>
      </c>
      <c r="G9" s="6">
        <v>18</v>
      </c>
      <c r="H9" s="6">
        <v>0</v>
      </c>
      <c r="I9" s="6">
        <v>18</v>
      </c>
      <c r="J9" s="6">
        <v>24</v>
      </c>
      <c r="K9" s="6">
        <v>9.1</v>
      </c>
      <c r="L9" s="6">
        <v>0</v>
      </c>
      <c r="M9" s="6">
        <v>0</v>
      </c>
      <c r="N9" s="6">
        <v>10.5</v>
      </c>
      <c r="O9" s="6">
        <v>0</v>
      </c>
      <c r="P9" s="6">
        <v>0</v>
      </c>
      <c r="Q9" s="6">
        <v>0.3</v>
      </c>
      <c r="R9" s="6">
        <v>25.4</v>
      </c>
      <c r="S9" s="6">
        <v>0.1</v>
      </c>
      <c r="T9" s="6">
        <v>13</v>
      </c>
      <c r="U9" s="6">
        <v>26</v>
      </c>
      <c r="V9" s="6">
        <v>30</v>
      </c>
      <c r="W9" s="6"/>
      <c r="X9" s="6"/>
      <c r="Y9" s="6"/>
      <c r="Z9" s="6"/>
      <c r="AB9" s="6">
        <v>52.5</v>
      </c>
      <c r="AC9" s="6">
        <v>0.5</v>
      </c>
      <c r="AD9" s="6">
        <v>0</v>
      </c>
      <c r="AE9" s="6">
        <f>SUM(C9:F9)</f>
        <v>0</v>
      </c>
      <c r="AF9" s="6">
        <f>SUM(G9:J9)</f>
        <v>60</v>
      </c>
      <c r="AG9" s="6">
        <f>SUM(K9:N9)</f>
        <v>19.600000000000001</v>
      </c>
      <c r="AH9" s="6">
        <f>SUM(O9:R9)</f>
        <v>25.7</v>
      </c>
      <c r="AI9" s="6">
        <f t="shared" ref="AI9:AI17" si="4">SUM(S9:V9)</f>
        <v>69.099999999999994</v>
      </c>
      <c r="AJ9" s="6">
        <f>AI9*1.45</f>
        <v>100.19499999999999</v>
      </c>
      <c r="AK9" s="6">
        <f>AJ9*1.3</f>
        <v>130.2535</v>
      </c>
      <c r="AL9" s="6">
        <f>AK9*1.2</f>
        <v>156.30420000000001</v>
      </c>
      <c r="AM9" s="6">
        <f>AL9*1.15</f>
        <v>179.74983</v>
      </c>
      <c r="AN9" s="6">
        <f>AM9*1.1</f>
        <v>197.72481300000001</v>
      </c>
      <c r="AO9" s="6">
        <f t="shared" ref="AO9:AS9" si="5">AN9*1.1</f>
        <v>217.49729430000002</v>
      </c>
      <c r="AP9" s="6">
        <f t="shared" si="5"/>
        <v>239.24702373000005</v>
      </c>
      <c r="AQ9" s="6">
        <f t="shared" si="5"/>
        <v>263.17172610300008</v>
      </c>
      <c r="AR9" s="6">
        <f t="shared" si="5"/>
        <v>289.4888987133001</v>
      </c>
      <c r="AS9" s="6">
        <f t="shared" si="5"/>
        <v>318.43778858463014</v>
      </c>
    </row>
    <row r="10" spans="2:45" x14ac:dyDescent="0.3">
      <c r="B10" t="s">
        <v>24</v>
      </c>
      <c r="C10" s="6">
        <v>4.9000000000000004</v>
      </c>
      <c r="D10" s="6">
        <v>0.7</v>
      </c>
      <c r="E10" s="6">
        <v>14.3</v>
      </c>
      <c r="F10" s="6">
        <v>-0.1</v>
      </c>
      <c r="G10" s="6">
        <v>2.2000000000000002</v>
      </c>
      <c r="H10" s="6">
        <v>2.6</v>
      </c>
      <c r="I10" s="6">
        <v>9.1</v>
      </c>
      <c r="J10" s="6">
        <v>-1.1000000000000001</v>
      </c>
      <c r="K10" s="6">
        <v>13.9</v>
      </c>
      <c r="L10" s="6">
        <v>26.2</v>
      </c>
      <c r="M10" s="6">
        <v>9.8000000000000007</v>
      </c>
      <c r="N10" s="6">
        <v>-0.8</v>
      </c>
      <c r="O10" s="6">
        <v>1.6</v>
      </c>
      <c r="P10" s="6">
        <v>1.4</v>
      </c>
      <c r="Q10" s="6">
        <v>1.4</v>
      </c>
      <c r="R10" s="6">
        <v>5.6</v>
      </c>
      <c r="S10" s="6">
        <v>1.8</v>
      </c>
      <c r="T10" s="6">
        <v>8.1</v>
      </c>
      <c r="U10" s="6">
        <v>3.1</v>
      </c>
      <c r="V10" s="6">
        <v>7.3</v>
      </c>
      <c r="W10" s="6"/>
      <c r="X10" s="6"/>
      <c r="Y10" s="6"/>
      <c r="Z10" s="6"/>
      <c r="AB10" s="6">
        <v>15.8</v>
      </c>
      <c r="AC10" s="6">
        <v>26.6</v>
      </c>
      <c r="AD10" s="6">
        <v>25.1</v>
      </c>
      <c r="AE10" s="6">
        <f>SUM(C10:F10)</f>
        <v>19.8</v>
      </c>
      <c r="AF10" s="6">
        <f>SUM(G10:J10)</f>
        <v>12.8</v>
      </c>
      <c r="AG10" s="6">
        <f>SUM(K10:N10)</f>
        <v>49.100000000000009</v>
      </c>
      <c r="AH10" s="6">
        <f>SUM(O10:R10)</f>
        <v>10</v>
      </c>
      <c r="AI10" s="6">
        <f t="shared" si="4"/>
        <v>20.3</v>
      </c>
      <c r="AJ10" s="6">
        <f>AI10*1.6</f>
        <v>32.480000000000004</v>
      </c>
      <c r="AK10" s="6">
        <f>AJ10*1.3</f>
        <v>42.224000000000004</v>
      </c>
      <c r="AL10" s="6">
        <f>AK10*1.2</f>
        <v>50.668800000000005</v>
      </c>
      <c r="AM10" s="6">
        <f>AL10*1.15</f>
        <v>58.269120000000001</v>
      </c>
      <c r="AN10" s="6">
        <f>AM10*1.12</f>
        <v>65.261414400000007</v>
      </c>
      <c r="AO10" s="6">
        <f t="shared" ref="AO10:AS10" si="6">AN10*1.08</f>
        <v>70.482327552000015</v>
      </c>
      <c r="AP10" s="6">
        <f t="shared" si="6"/>
        <v>76.120913756160022</v>
      </c>
      <c r="AQ10" s="6">
        <f t="shared" si="6"/>
        <v>82.210586856652824</v>
      </c>
      <c r="AR10" s="6">
        <f t="shared" si="6"/>
        <v>88.78743380518506</v>
      </c>
      <c r="AS10" s="6">
        <f t="shared" si="6"/>
        <v>95.890428509599872</v>
      </c>
    </row>
    <row r="11" spans="2:45" x14ac:dyDescent="0.3">
      <c r="B11" t="s">
        <v>25</v>
      </c>
      <c r="C11" s="6">
        <v>4.9000000000000004</v>
      </c>
      <c r="D11" s="6">
        <v>6.2</v>
      </c>
      <c r="E11" s="6">
        <v>6.2</v>
      </c>
      <c r="F11" s="6">
        <v>6.7</v>
      </c>
      <c r="G11" s="6">
        <v>7.5</v>
      </c>
      <c r="H11" s="6">
        <v>9.1</v>
      </c>
      <c r="I11" s="6">
        <v>10.9</v>
      </c>
      <c r="J11" s="6">
        <v>8.8000000000000007</v>
      </c>
      <c r="K11" s="6">
        <v>9.6</v>
      </c>
      <c r="L11" s="6">
        <v>8.4</v>
      </c>
      <c r="M11" s="6">
        <v>11</v>
      </c>
      <c r="N11" s="6">
        <v>8.5</v>
      </c>
      <c r="O11" s="6">
        <v>10.5</v>
      </c>
      <c r="P11" s="6">
        <v>14.1</v>
      </c>
      <c r="Q11" s="6">
        <v>13.4</v>
      </c>
      <c r="R11" s="6">
        <v>12</v>
      </c>
      <c r="S11" s="6">
        <v>11.3</v>
      </c>
      <c r="T11" s="6">
        <v>12.1</v>
      </c>
      <c r="U11" s="6">
        <v>12.4</v>
      </c>
      <c r="V11" s="6">
        <v>12.2</v>
      </c>
      <c r="W11" s="6"/>
      <c r="X11" s="6"/>
      <c r="Y11" s="6"/>
      <c r="Z11" s="6"/>
      <c r="AB11" s="6">
        <v>7.2</v>
      </c>
      <c r="AC11" s="6">
        <v>14</v>
      </c>
      <c r="AD11" s="6">
        <v>19.899999999999999</v>
      </c>
      <c r="AE11" s="6">
        <f>SUM(C11:F11)</f>
        <v>24</v>
      </c>
      <c r="AF11" s="6">
        <f>SUM(G11:J11)</f>
        <v>36.299999999999997</v>
      </c>
      <c r="AG11" s="6">
        <f>SUM(K11:N11)</f>
        <v>37.5</v>
      </c>
      <c r="AH11" s="6">
        <f>SUM(O11:R11)</f>
        <v>50</v>
      </c>
      <c r="AI11" s="6">
        <f t="shared" si="4"/>
        <v>48</v>
      </c>
      <c r="AJ11" s="6">
        <f>AI11*1.21</f>
        <v>58.08</v>
      </c>
      <c r="AK11" s="6">
        <f>AJ11*1.15</f>
        <v>66.791999999999987</v>
      </c>
      <c r="AL11" s="6">
        <f t="shared" ref="AL11:AS11" si="7">AK11*1.15</f>
        <v>76.810799999999986</v>
      </c>
      <c r="AM11" s="6">
        <f t="shared" si="7"/>
        <v>88.332419999999971</v>
      </c>
      <c r="AN11" s="6">
        <f t="shared" si="7"/>
        <v>101.58228299999996</v>
      </c>
      <c r="AO11" s="6">
        <f t="shared" si="7"/>
        <v>116.81962544999995</v>
      </c>
      <c r="AP11" s="6">
        <f t="shared" si="7"/>
        <v>134.34256926749993</v>
      </c>
      <c r="AQ11" s="6">
        <f t="shared" si="7"/>
        <v>154.4939546576249</v>
      </c>
      <c r="AR11" s="6">
        <f t="shared" si="7"/>
        <v>177.66804785626863</v>
      </c>
      <c r="AS11" s="6">
        <f t="shared" si="7"/>
        <v>204.3182550347089</v>
      </c>
    </row>
    <row r="12" spans="2:45" x14ac:dyDescent="0.3">
      <c r="B12" t="s">
        <v>26</v>
      </c>
      <c r="C12" s="6">
        <v>5.0999999999999996</v>
      </c>
      <c r="D12" s="6">
        <v>7.1</v>
      </c>
      <c r="E12" s="6">
        <v>6.2</v>
      </c>
      <c r="F12" s="6">
        <v>7.3</v>
      </c>
      <c r="G12" s="6">
        <v>4.0999999999999996</v>
      </c>
      <c r="H12" s="6">
        <v>4.7</v>
      </c>
      <c r="I12" s="6">
        <v>5.2</v>
      </c>
      <c r="J12" s="6">
        <v>7.5</v>
      </c>
      <c r="K12" s="6">
        <v>4.5</v>
      </c>
      <c r="L12" s="6">
        <v>3.7</v>
      </c>
      <c r="M12" s="6">
        <v>4.7</v>
      </c>
      <c r="N12" s="6">
        <v>4.3</v>
      </c>
      <c r="O12" s="6">
        <v>4.5999999999999996</v>
      </c>
      <c r="P12" s="6">
        <v>6.9</v>
      </c>
      <c r="Q12" s="6">
        <v>8.6</v>
      </c>
      <c r="R12" s="6">
        <v>6.4</v>
      </c>
      <c r="S12" s="6">
        <v>5.7</v>
      </c>
      <c r="T12" s="6">
        <v>4.0999999999999996</v>
      </c>
      <c r="U12" s="6">
        <v>5.3</v>
      </c>
      <c r="V12" s="6">
        <v>5.5</v>
      </c>
      <c r="W12" s="6"/>
      <c r="X12" s="6"/>
      <c r="Y12" s="6"/>
      <c r="Z12" s="6"/>
      <c r="AB12" s="6">
        <v>14</v>
      </c>
      <c r="AC12" s="6">
        <v>19.600000000000001</v>
      </c>
      <c r="AD12" s="6">
        <v>25.8</v>
      </c>
      <c r="AE12" s="6">
        <f>SUM(C12:F12)</f>
        <v>25.7</v>
      </c>
      <c r="AF12" s="6">
        <f>SUM(G12:J12)</f>
        <v>21.5</v>
      </c>
      <c r="AG12" s="6">
        <f>SUM(K12:N12)</f>
        <v>17.2</v>
      </c>
      <c r="AH12" s="6">
        <f>SUM(O12:R12)</f>
        <v>26.5</v>
      </c>
      <c r="AI12" s="6">
        <f t="shared" si="4"/>
        <v>20.6</v>
      </c>
      <c r="AJ12" s="6">
        <f>AI12*1.15</f>
        <v>23.69</v>
      </c>
      <c r="AK12" s="6">
        <f>AJ12*1.1</f>
        <v>26.059000000000005</v>
      </c>
      <c r="AL12" s="6">
        <f>AK12*1.15</f>
        <v>29.967850000000002</v>
      </c>
      <c r="AM12" s="6">
        <f t="shared" ref="AM12" si="8">AL12*1.15</f>
        <v>34.463027500000003</v>
      </c>
      <c r="AN12" s="6">
        <f>AM12*1.2</f>
        <v>41.355633000000005</v>
      </c>
      <c r="AO12" s="6">
        <f t="shared" ref="AO12:AS12" si="9">AN12*1.2</f>
        <v>49.626759600000007</v>
      </c>
      <c r="AP12" s="6">
        <f t="shared" si="9"/>
        <v>59.552111520000004</v>
      </c>
      <c r="AQ12" s="6">
        <f t="shared" si="9"/>
        <v>71.462533824000005</v>
      </c>
      <c r="AR12" s="6">
        <f t="shared" si="9"/>
        <v>85.7550405888</v>
      </c>
      <c r="AS12" s="6">
        <f t="shared" si="9"/>
        <v>102.90604870656</v>
      </c>
    </row>
    <row r="13" spans="2:45" s="1" customFormat="1" x14ac:dyDescent="0.3">
      <c r="B13" s="1" t="s">
        <v>27</v>
      </c>
      <c r="C13" s="8">
        <f t="shared" ref="C13:V13" si="10">SUM(C9:C12)</f>
        <v>14.9</v>
      </c>
      <c r="D13" s="8">
        <f t="shared" si="10"/>
        <v>14</v>
      </c>
      <c r="E13" s="8">
        <f t="shared" si="10"/>
        <v>26.7</v>
      </c>
      <c r="F13" s="8">
        <f t="shared" si="10"/>
        <v>13.9</v>
      </c>
      <c r="G13" s="8">
        <f t="shared" si="10"/>
        <v>31.799999999999997</v>
      </c>
      <c r="H13" s="8">
        <f t="shared" si="10"/>
        <v>16.399999999999999</v>
      </c>
      <c r="I13" s="8">
        <f t="shared" si="10"/>
        <v>43.2</v>
      </c>
      <c r="J13" s="8">
        <f t="shared" si="10"/>
        <v>39.200000000000003</v>
      </c>
      <c r="K13" s="8">
        <f t="shared" si="10"/>
        <v>37.1</v>
      </c>
      <c r="L13" s="8">
        <f t="shared" si="10"/>
        <v>38.300000000000004</v>
      </c>
      <c r="M13" s="8">
        <f t="shared" si="10"/>
        <v>25.5</v>
      </c>
      <c r="N13" s="8">
        <f t="shared" si="10"/>
        <v>22.5</v>
      </c>
      <c r="O13" s="8">
        <f t="shared" si="10"/>
        <v>16.7</v>
      </c>
      <c r="P13" s="8">
        <f t="shared" si="10"/>
        <v>22.4</v>
      </c>
      <c r="Q13" s="8">
        <f t="shared" si="10"/>
        <v>23.7</v>
      </c>
      <c r="R13" s="8">
        <f t="shared" si="10"/>
        <v>49.4</v>
      </c>
      <c r="S13" s="8">
        <f t="shared" si="10"/>
        <v>18.900000000000002</v>
      </c>
      <c r="T13" s="8">
        <f t="shared" si="10"/>
        <v>37.300000000000004</v>
      </c>
      <c r="U13" s="8">
        <f t="shared" si="10"/>
        <v>46.8</v>
      </c>
      <c r="V13" s="8">
        <f t="shared" si="10"/>
        <v>55</v>
      </c>
      <c r="W13" s="8"/>
      <c r="X13" s="8"/>
      <c r="Y13" s="8"/>
      <c r="Z13" s="8"/>
      <c r="AB13" s="8">
        <f t="shared" ref="AB13:AH13" si="11">SUM(AB9:AB12)</f>
        <v>89.5</v>
      </c>
      <c r="AC13" s="8">
        <f t="shared" si="11"/>
        <v>60.7</v>
      </c>
      <c r="AD13" s="8">
        <f t="shared" si="11"/>
        <v>70.8</v>
      </c>
      <c r="AE13" s="8">
        <f t="shared" si="11"/>
        <v>69.5</v>
      </c>
      <c r="AF13" s="8">
        <f t="shared" si="11"/>
        <v>130.6</v>
      </c>
      <c r="AG13" s="8">
        <f t="shared" si="11"/>
        <v>123.40000000000002</v>
      </c>
      <c r="AH13" s="8">
        <f t="shared" si="11"/>
        <v>112.2</v>
      </c>
      <c r="AI13" s="8">
        <f t="shared" si="4"/>
        <v>158</v>
      </c>
      <c r="AJ13" s="8">
        <f t="shared" ref="AJ13:AS13" si="12">SUM(AJ9:AJ12)</f>
        <v>214.44499999999999</v>
      </c>
      <c r="AK13" s="8">
        <f t="shared" si="12"/>
        <v>265.32850000000002</v>
      </c>
      <c r="AL13" s="8">
        <f t="shared" si="12"/>
        <v>313.75164999999998</v>
      </c>
      <c r="AM13" s="8">
        <f t="shared" si="12"/>
        <v>360.81439749999998</v>
      </c>
      <c r="AN13" s="8">
        <f t="shared" si="12"/>
        <v>405.92414339999999</v>
      </c>
      <c r="AO13" s="8">
        <f t="shared" si="12"/>
        <v>454.42600690199998</v>
      </c>
      <c r="AP13" s="8">
        <f t="shared" si="12"/>
        <v>509.26261827366</v>
      </c>
      <c r="AQ13" s="8">
        <f t="shared" si="12"/>
        <v>571.33880144127784</v>
      </c>
      <c r="AR13" s="8">
        <f t="shared" si="12"/>
        <v>641.69942096355385</v>
      </c>
      <c r="AS13" s="8">
        <f t="shared" si="12"/>
        <v>721.55252083549897</v>
      </c>
    </row>
    <row r="14" spans="2:45" x14ac:dyDescent="0.3">
      <c r="B14" t="s">
        <v>28</v>
      </c>
      <c r="C14" s="6">
        <v>2.4</v>
      </c>
      <c r="D14" s="6">
        <v>1.9</v>
      </c>
      <c r="E14" s="6">
        <v>1.9</v>
      </c>
      <c r="F14" s="6">
        <v>1.8</v>
      </c>
      <c r="G14" s="6">
        <v>18.2</v>
      </c>
      <c r="H14" s="6">
        <v>3</v>
      </c>
      <c r="I14" s="6">
        <v>17.899999999999999</v>
      </c>
      <c r="J14" s="6">
        <v>25.3</v>
      </c>
      <c r="K14" s="6">
        <v>1</v>
      </c>
      <c r="L14" s="6">
        <v>3.5</v>
      </c>
      <c r="M14" s="6">
        <v>2.9</v>
      </c>
      <c r="N14" s="6">
        <v>5.5</v>
      </c>
      <c r="O14" s="6">
        <v>2.4</v>
      </c>
      <c r="P14" s="6">
        <v>2.9</v>
      </c>
      <c r="Q14" s="6">
        <v>4.2</v>
      </c>
      <c r="R14" s="6">
        <v>30.1</v>
      </c>
      <c r="S14" s="6">
        <v>3</v>
      </c>
      <c r="T14" s="6">
        <v>16.3</v>
      </c>
      <c r="U14" s="6">
        <v>29.1</v>
      </c>
      <c r="V14" s="6">
        <v>34.5</v>
      </c>
      <c r="W14" s="6"/>
      <c r="X14" s="6"/>
      <c r="Y14" s="6"/>
      <c r="Z14" s="6"/>
      <c r="AB14" s="6">
        <v>54.5</v>
      </c>
      <c r="AC14" s="6">
        <v>18.600000000000001</v>
      </c>
      <c r="AD14" s="6">
        <v>9.9</v>
      </c>
      <c r="AE14" s="6">
        <f>SUM(C14:F14)</f>
        <v>7.9999999999999991</v>
      </c>
      <c r="AF14" s="6">
        <f>SUM(G14:J14)</f>
        <v>64.399999999999991</v>
      </c>
      <c r="AG14" s="6">
        <f>SUM(K14:N14)</f>
        <v>12.9</v>
      </c>
      <c r="AH14" s="6">
        <f>SUM(O14:R14)</f>
        <v>39.6</v>
      </c>
      <c r="AI14" s="6">
        <f t="shared" si="4"/>
        <v>82.9</v>
      </c>
      <c r="AJ14" s="6">
        <f>AJ9*1</f>
        <v>100.19499999999999</v>
      </c>
      <c r="AK14" s="6">
        <f>AK9*0.95</f>
        <v>123.740825</v>
      </c>
      <c r="AL14" s="6">
        <f>AL9*0.9</f>
        <v>140.67378000000002</v>
      </c>
      <c r="AM14" s="6">
        <f>AM9*0.85</f>
        <v>152.78735549999999</v>
      </c>
      <c r="AN14" s="6">
        <f t="shared" ref="AN14:AS14" si="13">AN9*0.8</f>
        <v>158.17985040000002</v>
      </c>
      <c r="AO14" s="6">
        <f t="shared" si="13"/>
        <v>173.99783544000002</v>
      </c>
      <c r="AP14" s="6">
        <f t="shared" si="13"/>
        <v>191.39761898400005</v>
      </c>
      <c r="AQ14" s="6">
        <f t="shared" si="13"/>
        <v>210.53738088240007</v>
      </c>
      <c r="AR14" s="6">
        <f t="shared" si="13"/>
        <v>231.59111897064008</v>
      </c>
      <c r="AS14" s="6">
        <f t="shared" si="13"/>
        <v>254.75023086770412</v>
      </c>
    </row>
    <row r="15" spans="2:45" x14ac:dyDescent="0.3">
      <c r="B15" t="s">
        <v>29</v>
      </c>
      <c r="C15" s="6">
        <v>5.0999999999999996</v>
      </c>
      <c r="D15" s="6">
        <v>2.9</v>
      </c>
      <c r="E15" s="6">
        <v>13</v>
      </c>
      <c r="F15" s="6">
        <v>3.7</v>
      </c>
      <c r="G15" s="6">
        <v>2.4</v>
      </c>
      <c r="H15" s="6">
        <v>3</v>
      </c>
      <c r="I15" s="6">
        <v>7.7</v>
      </c>
      <c r="J15" s="6">
        <v>4.0999999999999996</v>
      </c>
      <c r="K15" s="6">
        <v>10.9</v>
      </c>
      <c r="L15" s="6">
        <v>20.100000000000001</v>
      </c>
      <c r="M15" s="6">
        <v>9.6</v>
      </c>
      <c r="N15" s="6">
        <v>4.3</v>
      </c>
      <c r="O15" s="6">
        <v>1.9</v>
      </c>
      <c r="P15" s="6">
        <v>1.3</v>
      </c>
      <c r="Q15" s="6">
        <v>1.1000000000000001</v>
      </c>
      <c r="R15" s="6">
        <v>6.8</v>
      </c>
      <c r="S15" s="6">
        <v>1.7</v>
      </c>
      <c r="T15" s="6">
        <v>9.1</v>
      </c>
      <c r="U15" s="6">
        <v>3.6</v>
      </c>
      <c r="V15" s="6">
        <v>8.3000000000000007</v>
      </c>
      <c r="W15" s="6"/>
      <c r="X15" s="6"/>
      <c r="Y15" s="6"/>
      <c r="Z15" s="6"/>
      <c r="AB15" s="6">
        <v>15.1</v>
      </c>
      <c r="AC15" s="6">
        <v>18.899999999999999</v>
      </c>
      <c r="AD15" s="6">
        <v>14.5</v>
      </c>
      <c r="AE15" s="6">
        <f>SUM(C15:F15)</f>
        <v>24.7</v>
      </c>
      <c r="AF15" s="6">
        <f>SUM(G15:J15)</f>
        <v>17.200000000000003</v>
      </c>
      <c r="AG15" s="6">
        <f>SUM(K15:N15)</f>
        <v>44.9</v>
      </c>
      <c r="AH15" s="6">
        <f>SUM(O15:R15)</f>
        <v>11.100000000000001</v>
      </c>
      <c r="AI15" s="6">
        <f t="shared" si="4"/>
        <v>22.7</v>
      </c>
      <c r="AJ15" s="6">
        <f>AJ10*0.9</f>
        <v>29.232000000000003</v>
      </c>
      <c r="AK15" s="6">
        <f t="shared" ref="AK15:AS15" si="14">AK10*0.8</f>
        <v>33.779200000000003</v>
      </c>
      <c r="AL15" s="6">
        <f t="shared" si="14"/>
        <v>40.535040000000009</v>
      </c>
      <c r="AM15" s="6">
        <f t="shared" si="14"/>
        <v>46.615296000000001</v>
      </c>
      <c r="AN15" s="6">
        <f t="shared" si="14"/>
        <v>52.209131520000007</v>
      </c>
      <c r="AO15" s="6">
        <f t="shared" si="14"/>
        <v>56.385862041600014</v>
      </c>
      <c r="AP15" s="6">
        <f t="shared" si="14"/>
        <v>60.896731004928021</v>
      </c>
      <c r="AQ15" s="6">
        <f t="shared" si="14"/>
        <v>65.768469485322257</v>
      </c>
      <c r="AR15" s="6">
        <f t="shared" si="14"/>
        <v>71.029947044148045</v>
      </c>
      <c r="AS15" s="6">
        <f t="shared" si="14"/>
        <v>76.712342807679903</v>
      </c>
    </row>
    <row r="16" spans="2:45" x14ac:dyDescent="0.3">
      <c r="B16" t="s">
        <v>30</v>
      </c>
      <c r="C16" s="6">
        <v>7.1</v>
      </c>
      <c r="D16" s="6">
        <v>9.4</v>
      </c>
      <c r="E16" s="6">
        <v>6.7</v>
      </c>
      <c r="F16" s="6">
        <v>12.8</v>
      </c>
      <c r="G16" s="6">
        <v>10.7</v>
      </c>
      <c r="H16" s="6">
        <v>14.1</v>
      </c>
      <c r="I16" s="6">
        <v>18.100000000000001</v>
      </c>
      <c r="J16" s="6">
        <v>20.2</v>
      </c>
      <c r="K16" s="6">
        <v>16.600000000000001</v>
      </c>
      <c r="L16" s="6">
        <v>17.100000000000001</v>
      </c>
      <c r="M16" s="6">
        <v>17.5</v>
      </c>
      <c r="N16" s="6">
        <v>11.7</v>
      </c>
      <c r="O16" s="6">
        <v>20.9</v>
      </c>
      <c r="P16" s="6">
        <v>21.4</v>
      </c>
      <c r="Q16" s="6">
        <v>18.8</v>
      </c>
      <c r="R16" s="6">
        <v>18.8</v>
      </c>
      <c r="S16" s="6">
        <v>15.3</v>
      </c>
      <c r="T16" s="6">
        <v>18.399999999999999</v>
      </c>
      <c r="U16" s="6">
        <v>15.3</v>
      </c>
      <c r="V16" s="6">
        <v>14.9</v>
      </c>
      <c r="W16" s="6"/>
      <c r="X16" s="6"/>
      <c r="Y16" s="6"/>
      <c r="Z16" s="6"/>
      <c r="AB16" s="6">
        <v>6.4</v>
      </c>
      <c r="AC16" s="6">
        <v>31.6</v>
      </c>
      <c r="AD16" s="6">
        <v>27.9</v>
      </c>
      <c r="AE16" s="6">
        <f>SUM(C16:F16)</f>
        <v>36</v>
      </c>
      <c r="AF16" s="6">
        <f>SUM(G16:J16)</f>
        <v>63.099999999999994</v>
      </c>
      <c r="AG16" s="6">
        <f>SUM(K16:N16)</f>
        <v>62.900000000000006</v>
      </c>
      <c r="AH16" s="6">
        <f>SUM(O16:R16)</f>
        <v>79.899999999999991</v>
      </c>
      <c r="AI16" s="6">
        <f t="shared" si="4"/>
        <v>63.9</v>
      </c>
      <c r="AJ16" s="6">
        <f>AJ11*1.1</f>
        <v>63.888000000000005</v>
      </c>
      <c r="AK16" s="6">
        <f>AK11*0.9</f>
        <v>60.112799999999993</v>
      </c>
      <c r="AL16" s="6">
        <f>AL11*0.8</f>
        <v>61.44863999999999</v>
      </c>
      <c r="AM16" s="6">
        <f>AM11*0.8</f>
        <v>70.665935999999974</v>
      </c>
      <c r="AN16" s="6">
        <f>AN11*0.77</f>
        <v>78.218357909999966</v>
      </c>
      <c r="AO16" s="6">
        <f>AO11*0.75</f>
        <v>87.614719087499964</v>
      </c>
      <c r="AP16" s="6">
        <f t="shared" ref="AP16:AS16" si="15">AP11*0.74</f>
        <v>99.413501257949946</v>
      </c>
      <c r="AQ16" s="6">
        <f t="shared" si="15"/>
        <v>114.32552644664243</v>
      </c>
      <c r="AR16" s="6">
        <f t="shared" si="15"/>
        <v>131.47435541363879</v>
      </c>
      <c r="AS16" s="6">
        <f t="shared" si="15"/>
        <v>151.19550872568459</v>
      </c>
    </row>
    <row r="17" spans="2:152" x14ac:dyDescent="0.3">
      <c r="B17" t="s">
        <v>31</v>
      </c>
      <c r="C17" s="6">
        <v>3.9</v>
      </c>
      <c r="D17" s="6">
        <v>4.5</v>
      </c>
      <c r="E17" s="6">
        <v>4.0999999999999996</v>
      </c>
      <c r="F17" s="6">
        <v>4</v>
      </c>
      <c r="G17" s="6">
        <v>3.4</v>
      </c>
      <c r="H17" s="6">
        <v>3.5</v>
      </c>
      <c r="I17" s="6">
        <v>3.5</v>
      </c>
      <c r="J17" s="6">
        <v>4.8</v>
      </c>
      <c r="K17" s="6">
        <v>3.3</v>
      </c>
      <c r="L17" s="6">
        <v>3.8</v>
      </c>
      <c r="M17" s="6">
        <v>3.8</v>
      </c>
      <c r="N17" s="6">
        <v>2.4</v>
      </c>
      <c r="O17" s="6">
        <v>3.2</v>
      </c>
      <c r="P17" s="6">
        <v>3.9</v>
      </c>
      <c r="Q17" s="6">
        <v>5.8</v>
      </c>
      <c r="R17" s="6">
        <v>4.5999999999999996</v>
      </c>
      <c r="S17" s="6">
        <v>4.2</v>
      </c>
      <c r="T17" s="6">
        <v>3.1</v>
      </c>
      <c r="U17" s="6">
        <v>3.8</v>
      </c>
      <c r="V17" s="6">
        <v>4</v>
      </c>
      <c r="W17" s="6"/>
      <c r="X17" s="6"/>
      <c r="Y17" s="6"/>
      <c r="Z17" s="6"/>
      <c r="AB17" s="6">
        <v>10.4</v>
      </c>
      <c r="AC17" s="6">
        <v>12.9</v>
      </c>
      <c r="AD17" s="6">
        <v>16.3</v>
      </c>
      <c r="AE17" s="6">
        <f>SUM(C17:F17)</f>
        <v>16.5</v>
      </c>
      <c r="AF17" s="6">
        <f>SUM(G17:J17)</f>
        <v>15.2</v>
      </c>
      <c r="AG17" s="6">
        <f>SUM(K17:N17)</f>
        <v>13.299999999999999</v>
      </c>
      <c r="AH17" s="6">
        <f>SUM(O17:R17)</f>
        <v>17.5</v>
      </c>
      <c r="AI17" s="6">
        <f t="shared" si="4"/>
        <v>15.100000000000001</v>
      </c>
      <c r="AJ17" s="6">
        <f>AJ12*0.45</f>
        <v>10.660500000000001</v>
      </c>
      <c r="AK17" s="6">
        <f>AK12*0.4</f>
        <v>10.423600000000002</v>
      </c>
      <c r="AL17" s="6">
        <f>AL12*0.38</f>
        <v>11.387783000000001</v>
      </c>
      <c r="AM17" s="6">
        <f>AM12*0.37</f>
        <v>12.751320175</v>
      </c>
      <c r="AN17" s="6">
        <f t="shared" ref="AN17:AS17" si="16">AN12*0.37</f>
        <v>15.301584210000001</v>
      </c>
      <c r="AO17" s="6">
        <f t="shared" si="16"/>
        <v>18.361901052000004</v>
      </c>
      <c r="AP17" s="6">
        <f t="shared" si="16"/>
        <v>22.0342812624</v>
      </c>
      <c r="AQ17" s="6">
        <f t="shared" si="16"/>
        <v>26.441137514880001</v>
      </c>
      <c r="AR17" s="6">
        <f t="shared" si="16"/>
        <v>31.729365017856001</v>
      </c>
      <c r="AS17" s="6">
        <f t="shared" si="16"/>
        <v>38.075238021427197</v>
      </c>
    </row>
    <row r="18" spans="2:152" x14ac:dyDescent="0.3">
      <c r="B18" t="s">
        <v>32</v>
      </c>
      <c r="C18" s="6">
        <f t="shared" ref="C18:V18" si="17">SUM(C14:C17)</f>
        <v>18.5</v>
      </c>
      <c r="D18" s="6">
        <f t="shared" si="17"/>
        <v>18.7</v>
      </c>
      <c r="E18" s="6">
        <f t="shared" si="17"/>
        <v>25.700000000000003</v>
      </c>
      <c r="F18" s="6">
        <f t="shared" si="17"/>
        <v>22.3</v>
      </c>
      <c r="G18" s="6">
        <f t="shared" si="17"/>
        <v>34.699999999999996</v>
      </c>
      <c r="H18" s="6">
        <f t="shared" si="17"/>
        <v>23.6</v>
      </c>
      <c r="I18" s="6">
        <f t="shared" si="17"/>
        <v>47.2</v>
      </c>
      <c r="J18" s="6">
        <f t="shared" si="17"/>
        <v>54.399999999999991</v>
      </c>
      <c r="K18" s="6">
        <f t="shared" si="17"/>
        <v>31.8</v>
      </c>
      <c r="L18" s="6">
        <f t="shared" si="17"/>
        <v>44.5</v>
      </c>
      <c r="M18" s="6">
        <f t="shared" si="17"/>
        <v>33.799999999999997</v>
      </c>
      <c r="N18" s="6">
        <f t="shared" si="17"/>
        <v>23.9</v>
      </c>
      <c r="O18" s="6">
        <f t="shared" si="17"/>
        <v>28.4</v>
      </c>
      <c r="P18" s="6">
        <f t="shared" si="17"/>
        <v>29.499999999999996</v>
      </c>
      <c r="Q18" s="6">
        <f t="shared" si="17"/>
        <v>29.900000000000002</v>
      </c>
      <c r="R18" s="6">
        <f t="shared" si="17"/>
        <v>60.300000000000004</v>
      </c>
      <c r="S18" s="6">
        <f t="shared" si="17"/>
        <v>24.2</v>
      </c>
      <c r="T18" s="6">
        <f t="shared" si="17"/>
        <v>46.9</v>
      </c>
      <c r="U18" s="6">
        <f t="shared" si="17"/>
        <v>51.8</v>
      </c>
      <c r="V18" s="6">
        <f t="shared" si="17"/>
        <v>61.699999999999996</v>
      </c>
      <c r="W18" s="6"/>
      <c r="X18" s="6"/>
      <c r="Y18" s="6"/>
      <c r="Z18" s="6"/>
      <c r="AB18" s="6">
        <f t="shared" ref="AB18:AI18" si="18">SUM(AB14:AB17)</f>
        <v>86.4</v>
      </c>
      <c r="AC18" s="6">
        <f t="shared" si="18"/>
        <v>82</v>
      </c>
      <c r="AD18" s="6">
        <f t="shared" si="18"/>
        <v>68.599999999999994</v>
      </c>
      <c r="AE18" s="6">
        <f t="shared" si="18"/>
        <v>85.199999999999989</v>
      </c>
      <c r="AF18" s="6">
        <f t="shared" si="18"/>
        <v>159.89999999999998</v>
      </c>
      <c r="AG18" s="6">
        <f t="shared" si="18"/>
        <v>134</v>
      </c>
      <c r="AH18" s="6">
        <f t="shared" si="18"/>
        <v>148.1</v>
      </c>
      <c r="AI18" s="6">
        <f t="shared" si="18"/>
        <v>184.6</v>
      </c>
      <c r="AJ18" s="6">
        <f t="shared" ref="AJ18:AS18" si="19">SUM(AJ14:AJ17)</f>
        <v>203.97550000000001</v>
      </c>
      <c r="AK18" s="6">
        <f t="shared" si="19"/>
        <v>228.05642499999999</v>
      </c>
      <c r="AL18" s="6">
        <f t="shared" si="19"/>
        <v>254.04524300000003</v>
      </c>
      <c r="AM18" s="6">
        <f t="shared" si="19"/>
        <v>282.81990767499997</v>
      </c>
      <c r="AN18" s="6">
        <f t="shared" si="19"/>
        <v>303.90892403999999</v>
      </c>
      <c r="AO18" s="6">
        <f t="shared" si="19"/>
        <v>336.36031762109997</v>
      </c>
      <c r="AP18" s="6">
        <f t="shared" si="19"/>
        <v>373.74213250927801</v>
      </c>
      <c r="AQ18" s="6">
        <f t="shared" si="19"/>
        <v>417.07251432924471</v>
      </c>
      <c r="AR18" s="6">
        <f t="shared" si="19"/>
        <v>465.82478644628293</v>
      </c>
      <c r="AS18" s="6">
        <f t="shared" si="19"/>
        <v>520.73332042249581</v>
      </c>
    </row>
    <row r="19" spans="2:152" s="1" customFormat="1" x14ac:dyDescent="0.3">
      <c r="B19" s="1" t="s">
        <v>33</v>
      </c>
      <c r="C19" s="8">
        <f t="shared" ref="C19:V19" si="20">C13-C18</f>
        <v>-3.5999999999999996</v>
      </c>
      <c r="D19" s="8">
        <f t="shared" si="20"/>
        <v>-4.6999999999999993</v>
      </c>
      <c r="E19" s="8">
        <f t="shared" si="20"/>
        <v>0.99999999999999645</v>
      </c>
      <c r="F19" s="8">
        <f t="shared" si="20"/>
        <v>-8.4</v>
      </c>
      <c r="G19" s="8">
        <f t="shared" si="20"/>
        <v>-2.8999999999999986</v>
      </c>
      <c r="H19" s="8">
        <f t="shared" si="20"/>
        <v>-7.2000000000000028</v>
      </c>
      <c r="I19" s="8">
        <f t="shared" si="20"/>
        <v>-4</v>
      </c>
      <c r="J19" s="8">
        <f t="shared" si="20"/>
        <v>-15.199999999999989</v>
      </c>
      <c r="K19" s="8">
        <f t="shared" si="20"/>
        <v>5.3000000000000007</v>
      </c>
      <c r="L19" s="8">
        <f t="shared" si="20"/>
        <v>-6.1999999999999957</v>
      </c>
      <c r="M19" s="8">
        <f t="shared" si="20"/>
        <v>-8.2999999999999972</v>
      </c>
      <c r="N19" s="8">
        <f t="shared" si="20"/>
        <v>-1.3999999999999986</v>
      </c>
      <c r="O19" s="8">
        <f t="shared" si="20"/>
        <v>-11.7</v>
      </c>
      <c r="P19" s="8">
        <f t="shared" si="20"/>
        <v>-7.0999999999999979</v>
      </c>
      <c r="Q19" s="8">
        <f t="shared" si="20"/>
        <v>-6.2000000000000028</v>
      </c>
      <c r="R19" s="8">
        <f t="shared" si="20"/>
        <v>-10.900000000000006</v>
      </c>
      <c r="S19" s="8">
        <f t="shared" si="20"/>
        <v>-5.2999999999999972</v>
      </c>
      <c r="T19" s="8">
        <f t="shared" si="20"/>
        <v>-9.5999999999999943</v>
      </c>
      <c r="U19" s="8">
        <f t="shared" si="20"/>
        <v>-5</v>
      </c>
      <c r="V19" s="8">
        <f t="shared" si="20"/>
        <v>-6.6999999999999957</v>
      </c>
      <c r="W19" s="8"/>
      <c r="X19" s="8"/>
      <c r="Y19" s="8"/>
      <c r="Z19" s="8"/>
      <c r="AB19" s="8">
        <f t="shared" ref="AB19:AI19" si="21">AB13-AB18</f>
        <v>3.0999999999999943</v>
      </c>
      <c r="AC19" s="8">
        <f t="shared" si="21"/>
        <v>-21.299999999999997</v>
      </c>
      <c r="AD19" s="8">
        <f t="shared" si="21"/>
        <v>2.2000000000000028</v>
      </c>
      <c r="AE19" s="8">
        <f t="shared" si="21"/>
        <v>-15.699999999999989</v>
      </c>
      <c r="AF19" s="8">
        <f t="shared" si="21"/>
        <v>-29.299999999999983</v>
      </c>
      <c r="AG19" s="8">
        <f t="shared" si="21"/>
        <v>-10.59999999999998</v>
      </c>
      <c r="AH19" s="8">
        <f t="shared" si="21"/>
        <v>-35.899999999999991</v>
      </c>
      <c r="AI19" s="8">
        <f t="shared" si="21"/>
        <v>-26.599999999999994</v>
      </c>
      <c r="AJ19" s="8">
        <f t="shared" ref="AJ19:AS19" si="22">AJ13-AJ18</f>
        <v>10.469499999999982</v>
      </c>
      <c r="AK19" s="8">
        <f t="shared" si="22"/>
        <v>37.272075000000029</v>
      </c>
      <c r="AL19" s="8">
        <f t="shared" si="22"/>
        <v>59.706406999999956</v>
      </c>
      <c r="AM19" s="8">
        <f t="shared" si="22"/>
        <v>77.994489825000016</v>
      </c>
      <c r="AN19" s="8">
        <f t="shared" si="22"/>
        <v>102.01521936</v>
      </c>
      <c r="AO19" s="8">
        <f t="shared" si="22"/>
        <v>118.06568928090002</v>
      </c>
      <c r="AP19" s="8">
        <f t="shared" si="22"/>
        <v>135.52048576438199</v>
      </c>
      <c r="AQ19" s="8">
        <f t="shared" si="22"/>
        <v>154.26628711203313</v>
      </c>
      <c r="AR19" s="8">
        <f t="shared" si="22"/>
        <v>175.87463451727092</v>
      </c>
      <c r="AS19" s="8">
        <f t="shared" si="22"/>
        <v>200.81920041300316</v>
      </c>
    </row>
    <row r="20" spans="2:152" x14ac:dyDescent="0.3">
      <c r="B20" t="s">
        <v>34</v>
      </c>
      <c r="C20" s="6">
        <v>8.9</v>
      </c>
      <c r="D20" s="6">
        <v>9.6999999999999993</v>
      </c>
      <c r="E20" s="6">
        <v>8.6999999999999993</v>
      </c>
      <c r="F20" s="6">
        <v>10.7</v>
      </c>
      <c r="G20" s="6">
        <v>37</v>
      </c>
      <c r="H20" s="6">
        <v>13.2</v>
      </c>
      <c r="I20" s="6">
        <v>14.2</v>
      </c>
      <c r="J20" s="6">
        <v>15.3</v>
      </c>
      <c r="K20" s="6">
        <v>15</v>
      </c>
      <c r="L20" s="6">
        <v>15.1</v>
      </c>
      <c r="M20" s="6">
        <v>17.600000000000001</v>
      </c>
      <c r="N20" s="6">
        <v>16.899999999999999</v>
      </c>
      <c r="O20" s="6">
        <v>16.399999999999999</v>
      </c>
      <c r="P20" s="6">
        <v>17.7</v>
      </c>
      <c r="Q20" s="6">
        <v>14.6</v>
      </c>
      <c r="R20" s="6">
        <v>15.9</v>
      </c>
      <c r="S20" s="6">
        <v>15</v>
      </c>
      <c r="T20" s="6">
        <v>16.5</v>
      </c>
      <c r="U20" s="6">
        <v>14.1</v>
      </c>
      <c r="V20" s="6">
        <v>15.2</v>
      </c>
      <c r="W20" s="6"/>
      <c r="X20" s="6"/>
      <c r="Y20" s="6"/>
      <c r="Z20" s="6"/>
      <c r="AB20" s="6">
        <v>24.9</v>
      </c>
      <c r="AC20" s="6">
        <v>31.9</v>
      </c>
      <c r="AD20" s="6">
        <v>26.6</v>
      </c>
      <c r="AE20" s="6">
        <f>SUM(C20:F20)</f>
        <v>38</v>
      </c>
      <c r="AF20" s="6">
        <f>SUM(G20:J20)</f>
        <v>79.7</v>
      </c>
      <c r="AG20" s="6">
        <f>SUM(K20:N20)</f>
        <v>64.599999999999994</v>
      </c>
      <c r="AH20" s="6">
        <f>SUM(O20:R20)</f>
        <v>64.599999999999994</v>
      </c>
      <c r="AI20" s="6">
        <f>SUM(S20:V20)</f>
        <v>60.8</v>
      </c>
      <c r="AJ20" s="6">
        <f>AI20*1.01</f>
        <v>61.407999999999994</v>
      </c>
      <c r="AK20" s="6">
        <f t="shared" ref="AK20:AS20" si="23">AJ20*1.02</f>
        <v>62.636159999999997</v>
      </c>
      <c r="AL20" s="6">
        <f t="shared" si="23"/>
        <v>63.888883199999995</v>
      </c>
      <c r="AM20" s="6">
        <f t="shared" si="23"/>
        <v>65.166660863999994</v>
      </c>
      <c r="AN20" s="6">
        <f t="shared" si="23"/>
        <v>66.469994081279992</v>
      </c>
      <c r="AO20" s="6">
        <f t="shared" si="23"/>
        <v>67.799393962905597</v>
      </c>
      <c r="AP20" s="6">
        <f t="shared" si="23"/>
        <v>69.155381842163706</v>
      </c>
      <c r="AQ20" s="6">
        <f t="shared" si="23"/>
        <v>70.538489479006984</v>
      </c>
      <c r="AR20" s="6">
        <f t="shared" si="23"/>
        <v>71.949259268587127</v>
      </c>
      <c r="AS20" s="6">
        <f t="shared" si="23"/>
        <v>73.388244453958876</v>
      </c>
      <c r="AT20" s="6"/>
    </row>
    <row r="21" spans="2:152" x14ac:dyDescent="0.3">
      <c r="B21" t="s">
        <v>35</v>
      </c>
      <c r="C21" s="6">
        <v>1.8</v>
      </c>
      <c r="D21" s="6">
        <v>3</v>
      </c>
      <c r="E21" s="6">
        <v>3</v>
      </c>
      <c r="F21" s="6">
        <v>3.5</v>
      </c>
      <c r="G21" s="6">
        <v>5</v>
      </c>
      <c r="H21" s="6">
        <v>7.7</v>
      </c>
      <c r="I21" s="6">
        <v>9.6999999999999993</v>
      </c>
      <c r="J21" s="6">
        <v>12.2</v>
      </c>
      <c r="K21" s="6">
        <v>12.7</v>
      </c>
      <c r="L21" s="6">
        <v>14.7</v>
      </c>
      <c r="M21" s="6">
        <v>15.6</v>
      </c>
      <c r="N21" s="6">
        <v>18</v>
      </c>
      <c r="O21" s="6">
        <v>14.4</v>
      </c>
      <c r="P21" s="6">
        <v>16.600000000000001</v>
      </c>
      <c r="Q21" s="6">
        <v>12.8</v>
      </c>
      <c r="R21" s="6">
        <v>11.6</v>
      </c>
      <c r="S21" s="6">
        <v>11.1</v>
      </c>
      <c r="T21" s="6">
        <v>9.9</v>
      </c>
      <c r="U21" s="6">
        <v>7.6</v>
      </c>
      <c r="V21" s="6">
        <v>5.5</v>
      </c>
      <c r="W21" s="6"/>
      <c r="X21" s="6"/>
      <c r="Y21" s="6"/>
      <c r="Z21" s="6"/>
      <c r="AB21" s="6">
        <v>22.8</v>
      </c>
      <c r="AC21" s="6">
        <v>13.8</v>
      </c>
      <c r="AD21" s="6">
        <v>4.8</v>
      </c>
      <c r="AE21" s="6">
        <f>SUM(C21:F21)</f>
        <v>11.3</v>
      </c>
      <c r="AF21" s="6">
        <f>SUM(G21:J21)</f>
        <v>34.599999999999994</v>
      </c>
      <c r="AG21" s="6">
        <f>SUM(K21:N21)</f>
        <v>61</v>
      </c>
      <c r="AH21" s="6">
        <f>SUM(O21:R21)</f>
        <v>55.4</v>
      </c>
      <c r="AI21" s="6">
        <f>SUM(S21:V21)</f>
        <v>34.1</v>
      </c>
      <c r="AJ21" s="6">
        <v>27</v>
      </c>
      <c r="AK21" s="6">
        <f>AJ21*1.1</f>
        <v>29.700000000000003</v>
      </c>
      <c r="AL21" s="6">
        <f>AK21*1.05</f>
        <v>31.185000000000006</v>
      </c>
      <c r="AM21" s="6">
        <f>AL21*1.04</f>
        <v>32.432400000000008</v>
      </c>
      <c r="AN21" s="6">
        <f>AM21*1.03</f>
        <v>33.405372000000007</v>
      </c>
      <c r="AO21" s="6">
        <f t="shared" ref="AO21:AS21" si="24">AN21*1.02</f>
        <v>34.073479440000007</v>
      </c>
      <c r="AP21" s="6">
        <f t="shared" si="24"/>
        <v>34.754949028800006</v>
      </c>
      <c r="AQ21" s="6">
        <f t="shared" si="24"/>
        <v>35.450048009376005</v>
      </c>
      <c r="AR21" s="6">
        <f t="shared" si="24"/>
        <v>36.159048969563528</v>
      </c>
      <c r="AS21" s="6">
        <f t="shared" si="24"/>
        <v>36.882229948954802</v>
      </c>
    </row>
    <row r="22" spans="2:152" x14ac:dyDescent="0.3">
      <c r="B22" t="s">
        <v>99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>
        <v>64.5</v>
      </c>
      <c r="V22" s="6">
        <v>1.3</v>
      </c>
      <c r="W22" s="6"/>
      <c r="X22" s="6"/>
      <c r="Y22" s="6"/>
      <c r="Z22" s="6"/>
      <c r="AB22" s="6"/>
      <c r="AC22" s="6"/>
      <c r="AD22" s="6"/>
      <c r="AE22" s="6"/>
      <c r="AF22" s="6"/>
      <c r="AG22" s="6"/>
      <c r="AH22" s="6"/>
      <c r="AI22" s="6">
        <f>SUM(S22:V22)</f>
        <v>65.8</v>
      </c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 spans="2:152" x14ac:dyDescent="0.3">
      <c r="B23" t="s">
        <v>111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>
        <v>2.6</v>
      </c>
      <c r="S23" s="6">
        <v>1.5</v>
      </c>
      <c r="T23" s="6">
        <v>0</v>
      </c>
      <c r="U23" s="6">
        <v>4.0999999999999996</v>
      </c>
      <c r="V23" s="6">
        <v>-0.3</v>
      </c>
      <c r="W23" s="6"/>
      <c r="X23" s="6"/>
      <c r="Y23" s="6"/>
      <c r="Z23" s="6"/>
      <c r="AB23" s="6"/>
      <c r="AC23" s="6"/>
      <c r="AD23" s="6"/>
      <c r="AE23" s="6"/>
      <c r="AF23" s="6"/>
      <c r="AG23" s="6"/>
      <c r="AH23" s="6">
        <f>SUM(O23:R23)</f>
        <v>2.6</v>
      </c>
      <c r="AI23" s="6">
        <f>SUM(S23:V23)</f>
        <v>5.3</v>
      </c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 spans="2:152" x14ac:dyDescent="0.3">
      <c r="B24" t="s">
        <v>112</v>
      </c>
      <c r="C24" s="6">
        <f t="shared" ref="C24:Q24" si="25">SUM(C20:C23)</f>
        <v>10.700000000000001</v>
      </c>
      <c r="D24" s="6">
        <f t="shared" si="25"/>
        <v>12.7</v>
      </c>
      <c r="E24" s="6">
        <f t="shared" si="25"/>
        <v>11.7</v>
      </c>
      <c r="F24" s="6">
        <f t="shared" si="25"/>
        <v>14.2</v>
      </c>
      <c r="G24" s="6">
        <f t="shared" si="25"/>
        <v>42</v>
      </c>
      <c r="H24" s="6">
        <f t="shared" si="25"/>
        <v>20.9</v>
      </c>
      <c r="I24" s="6">
        <f t="shared" si="25"/>
        <v>23.9</v>
      </c>
      <c r="J24" s="6">
        <f t="shared" si="25"/>
        <v>27.5</v>
      </c>
      <c r="K24" s="6">
        <f t="shared" si="25"/>
        <v>27.7</v>
      </c>
      <c r="L24" s="6">
        <f t="shared" si="25"/>
        <v>29.799999999999997</v>
      </c>
      <c r="M24" s="6">
        <f t="shared" si="25"/>
        <v>33.200000000000003</v>
      </c>
      <c r="N24" s="6">
        <f t="shared" si="25"/>
        <v>34.9</v>
      </c>
      <c r="O24" s="6">
        <f t="shared" si="25"/>
        <v>30.799999999999997</v>
      </c>
      <c r="P24" s="6">
        <f t="shared" si="25"/>
        <v>34.299999999999997</v>
      </c>
      <c r="Q24" s="6">
        <f t="shared" si="25"/>
        <v>27.4</v>
      </c>
      <c r="R24" s="6">
        <f>SUM(R20:R23)</f>
        <v>30.1</v>
      </c>
      <c r="S24" s="6">
        <f t="shared" ref="S24:V24" si="26">SUM(S20:S23)</f>
        <v>27.6</v>
      </c>
      <c r="T24" s="6">
        <f t="shared" si="26"/>
        <v>26.4</v>
      </c>
      <c r="U24" s="6">
        <f t="shared" si="26"/>
        <v>90.3</v>
      </c>
      <c r="V24" s="6">
        <f t="shared" si="26"/>
        <v>21.7</v>
      </c>
      <c r="W24" s="6"/>
      <c r="X24" s="6"/>
      <c r="Y24" s="6"/>
      <c r="Z24" s="6"/>
      <c r="AB24" s="6">
        <f t="shared" ref="AB24:AS24" si="27">SUM(AB20:AB23)</f>
        <v>47.7</v>
      </c>
      <c r="AC24" s="6">
        <f t="shared" si="27"/>
        <v>45.7</v>
      </c>
      <c r="AD24" s="6">
        <f t="shared" si="27"/>
        <v>31.400000000000002</v>
      </c>
      <c r="AE24" s="6">
        <f t="shared" si="27"/>
        <v>49.3</v>
      </c>
      <c r="AF24" s="6">
        <f t="shared" si="27"/>
        <v>114.3</v>
      </c>
      <c r="AG24" s="6">
        <f t="shared" si="27"/>
        <v>125.6</v>
      </c>
      <c r="AH24" s="6">
        <f t="shared" si="27"/>
        <v>122.6</v>
      </c>
      <c r="AI24" s="6">
        <f t="shared" si="27"/>
        <v>166</v>
      </c>
      <c r="AJ24" s="6">
        <f t="shared" si="27"/>
        <v>88.407999999999987</v>
      </c>
      <c r="AK24" s="6">
        <f t="shared" si="27"/>
        <v>92.336160000000007</v>
      </c>
      <c r="AL24" s="6">
        <f t="shared" si="27"/>
        <v>95.073883199999997</v>
      </c>
      <c r="AM24" s="6">
        <f t="shared" si="27"/>
        <v>97.599060863999995</v>
      </c>
      <c r="AN24" s="6">
        <f t="shared" si="27"/>
        <v>99.875366081279992</v>
      </c>
      <c r="AO24" s="6">
        <f t="shared" si="27"/>
        <v>101.87287340290561</v>
      </c>
      <c r="AP24" s="6">
        <f t="shared" si="27"/>
        <v>103.91033087096372</v>
      </c>
      <c r="AQ24" s="6">
        <f t="shared" si="27"/>
        <v>105.98853748838299</v>
      </c>
      <c r="AR24" s="6">
        <f t="shared" si="27"/>
        <v>108.10830823815066</v>
      </c>
      <c r="AS24" s="6">
        <f t="shared" si="27"/>
        <v>110.27047440291368</v>
      </c>
    </row>
    <row r="25" spans="2:152" s="1" customFormat="1" x14ac:dyDescent="0.3">
      <c r="B25" s="1" t="s">
        <v>36</v>
      </c>
      <c r="C25" s="8">
        <f t="shared" ref="C25:Q25" si="28">C19-C24</f>
        <v>-14.3</v>
      </c>
      <c r="D25" s="8">
        <f t="shared" si="28"/>
        <v>-17.399999999999999</v>
      </c>
      <c r="E25" s="8">
        <f t="shared" si="28"/>
        <v>-10.700000000000003</v>
      </c>
      <c r="F25" s="8">
        <f t="shared" si="28"/>
        <v>-22.6</v>
      </c>
      <c r="G25" s="8">
        <f t="shared" si="28"/>
        <v>-44.9</v>
      </c>
      <c r="H25" s="8">
        <f t="shared" si="28"/>
        <v>-28.1</v>
      </c>
      <c r="I25" s="8">
        <f t="shared" si="28"/>
        <v>-27.9</v>
      </c>
      <c r="J25" s="8">
        <f t="shared" si="28"/>
        <v>-42.699999999999989</v>
      </c>
      <c r="K25" s="8">
        <f t="shared" si="28"/>
        <v>-22.4</v>
      </c>
      <c r="L25" s="8">
        <f t="shared" si="28"/>
        <v>-35.999999999999993</v>
      </c>
      <c r="M25" s="8">
        <f t="shared" si="28"/>
        <v>-41.5</v>
      </c>
      <c r="N25" s="8">
        <f t="shared" si="28"/>
        <v>-36.299999999999997</v>
      </c>
      <c r="O25" s="8">
        <f t="shared" si="28"/>
        <v>-42.5</v>
      </c>
      <c r="P25" s="8">
        <f t="shared" si="28"/>
        <v>-41.399999999999991</v>
      </c>
      <c r="Q25" s="8">
        <f t="shared" si="28"/>
        <v>-33.6</v>
      </c>
      <c r="R25" s="8">
        <f>R19-R24</f>
        <v>-41.000000000000007</v>
      </c>
      <c r="S25" s="8">
        <f t="shared" ref="S25:V25" si="29">S19-S24</f>
        <v>-32.9</v>
      </c>
      <c r="T25" s="8">
        <f t="shared" si="29"/>
        <v>-35.999999999999993</v>
      </c>
      <c r="U25" s="8">
        <f t="shared" si="29"/>
        <v>-95.3</v>
      </c>
      <c r="V25" s="8">
        <f t="shared" si="29"/>
        <v>-28.399999999999995</v>
      </c>
      <c r="W25" s="8"/>
      <c r="X25" s="8"/>
      <c r="Y25" s="8"/>
      <c r="Z25" s="8"/>
      <c r="AB25" s="8">
        <f t="shared" ref="AB25:AS25" si="30">AB19-AB24</f>
        <v>-44.600000000000009</v>
      </c>
      <c r="AC25" s="8">
        <f t="shared" si="30"/>
        <v>-67</v>
      </c>
      <c r="AD25" s="8">
        <f t="shared" si="30"/>
        <v>-29.2</v>
      </c>
      <c r="AE25" s="8">
        <f t="shared" si="30"/>
        <v>-64.999999999999986</v>
      </c>
      <c r="AF25" s="8">
        <f t="shared" si="30"/>
        <v>-143.59999999999997</v>
      </c>
      <c r="AG25" s="8">
        <f t="shared" si="30"/>
        <v>-136.19999999999999</v>
      </c>
      <c r="AH25" s="8">
        <f t="shared" si="30"/>
        <v>-158.5</v>
      </c>
      <c r="AI25" s="8">
        <f t="shared" si="30"/>
        <v>-192.6</v>
      </c>
      <c r="AJ25" s="8">
        <f t="shared" si="30"/>
        <v>-77.938500000000005</v>
      </c>
      <c r="AK25" s="8">
        <f t="shared" si="30"/>
        <v>-55.064084999999977</v>
      </c>
      <c r="AL25" s="8">
        <f t="shared" si="30"/>
        <v>-35.367476200000041</v>
      </c>
      <c r="AM25" s="8">
        <f t="shared" si="30"/>
        <v>-19.604571038999978</v>
      </c>
      <c r="AN25" s="8">
        <f t="shared" si="30"/>
        <v>2.1398532787200111</v>
      </c>
      <c r="AO25" s="8">
        <f t="shared" si="30"/>
        <v>16.192815877994406</v>
      </c>
      <c r="AP25" s="8">
        <f t="shared" si="30"/>
        <v>31.610154893418269</v>
      </c>
      <c r="AQ25" s="8">
        <f t="shared" si="30"/>
        <v>48.277749623650138</v>
      </c>
      <c r="AR25" s="8">
        <f t="shared" si="30"/>
        <v>67.766326279120264</v>
      </c>
      <c r="AS25" s="8">
        <f t="shared" si="30"/>
        <v>90.548726010089482</v>
      </c>
    </row>
    <row r="26" spans="2:152" x14ac:dyDescent="0.3">
      <c r="B26" t="s">
        <v>37</v>
      </c>
      <c r="C26" s="6">
        <v>2.5</v>
      </c>
      <c r="D26" s="6">
        <v>1.6</v>
      </c>
      <c r="E26" s="6">
        <v>1.6</v>
      </c>
      <c r="F26" s="6">
        <v>1.7</v>
      </c>
      <c r="G26" s="6">
        <v>1.4</v>
      </c>
      <c r="H26" s="6">
        <v>1.7</v>
      </c>
      <c r="I26" s="6">
        <v>1.6</v>
      </c>
      <c r="J26" s="6">
        <v>1.6</v>
      </c>
      <c r="K26" s="6">
        <v>1.5</v>
      </c>
      <c r="L26" s="6">
        <v>1.5</v>
      </c>
      <c r="M26" s="6">
        <v>1.9</v>
      </c>
      <c r="N26" s="6">
        <v>2.2999999999999998</v>
      </c>
      <c r="O26" s="6">
        <v>2.2999999999999998</v>
      </c>
      <c r="P26" s="6">
        <v>2.2999999999999998</v>
      </c>
      <c r="Q26" s="6">
        <v>2.6</v>
      </c>
      <c r="R26" s="6">
        <v>2.5</v>
      </c>
      <c r="S26" s="6">
        <v>2.6</v>
      </c>
      <c r="T26" s="6">
        <v>2.5</v>
      </c>
      <c r="U26" s="6">
        <v>2.5</v>
      </c>
      <c r="V26" s="6">
        <v>2.7</v>
      </c>
      <c r="W26" s="6"/>
      <c r="X26" s="6"/>
      <c r="Y26" s="6"/>
      <c r="Z26" s="6"/>
      <c r="AB26" s="6">
        <v>9.1</v>
      </c>
      <c r="AC26" s="6">
        <v>10.6</v>
      </c>
      <c r="AD26" s="6">
        <v>15.3</v>
      </c>
      <c r="AE26" s="6">
        <f>SUM(C26:F26)</f>
        <v>7.3999999999999995</v>
      </c>
      <c r="AF26" s="6">
        <f>SUM(G26:J26)</f>
        <v>6.2999999999999989</v>
      </c>
      <c r="AG26" s="6">
        <f>SUM(K26:N26)</f>
        <v>7.2</v>
      </c>
      <c r="AH26" s="6">
        <f>SUM(O26:R26)</f>
        <v>9.6999999999999993</v>
      </c>
      <c r="AI26" s="6">
        <f>SUM(S26:V26)</f>
        <v>10.3</v>
      </c>
      <c r="AJ26" s="6">
        <f>AI26*1.03</f>
        <v>10.609000000000002</v>
      </c>
      <c r="AK26" s="6">
        <f t="shared" ref="AK26:AS26" si="31">AJ26*1.03</f>
        <v>10.927270000000002</v>
      </c>
      <c r="AL26" s="6">
        <f t="shared" si="31"/>
        <v>11.255088100000002</v>
      </c>
      <c r="AM26" s="6">
        <f t="shared" si="31"/>
        <v>11.592740743000002</v>
      </c>
      <c r="AN26" s="6">
        <f t="shared" si="31"/>
        <v>11.940522965290002</v>
      </c>
      <c r="AO26" s="6">
        <f t="shared" si="31"/>
        <v>12.298738654248703</v>
      </c>
      <c r="AP26" s="6">
        <f t="shared" si="31"/>
        <v>12.667700813876165</v>
      </c>
      <c r="AQ26" s="6">
        <f t="shared" si="31"/>
        <v>13.047731838292449</v>
      </c>
      <c r="AR26" s="6">
        <f t="shared" si="31"/>
        <v>13.439163793441223</v>
      </c>
      <c r="AS26" s="6">
        <f t="shared" si="31"/>
        <v>13.84233870724446</v>
      </c>
    </row>
    <row r="27" spans="2:152" x14ac:dyDescent="0.3">
      <c r="B27" t="s">
        <v>38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-2.4</v>
      </c>
      <c r="K27" s="6">
        <v>-3.4</v>
      </c>
      <c r="L27" s="6">
        <v>-3.7</v>
      </c>
      <c r="M27" s="6">
        <v>-4</v>
      </c>
      <c r="N27" s="6">
        <v>-4.7</v>
      </c>
      <c r="O27" s="6">
        <v>-4.0999999999999996</v>
      </c>
      <c r="P27" s="6">
        <v>-3.4</v>
      </c>
      <c r="Q27" s="6">
        <v>-3.3</v>
      </c>
      <c r="R27" s="6">
        <v>-3</v>
      </c>
      <c r="S27" s="6">
        <v>-2.4</v>
      </c>
      <c r="T27" s="6">
        <v>-1.8</v>
      </c>
      <c r="U27" s="6">
        <v>-2.1</v>
      </c>
      <c r="V27" s="6">
        <v>-2</v>
      </c>
      <c r="W27" s="6"/>
      <c r="X27" s="6"/>
      <c r="Y27" s="6"/>
      <c r="Z27" s="6"/>
      <c r="AB27" s="6">
        <v>0</v>
      </c>
      <c r="AC27" s="6">
        <v>0</v>
      </c>
      <c r="AD27" s="6">
        <v>-1.8</v>
      </c>
      <c r="AE27" s="6">
        <f>SUM(C27:F27)</f>
        <v>0</v>
      </c>
      <c r="AF27" s="6">
        <f>SUM(G27:J27)</f>
        <v>-2.4</v>
      </c>
      <c r="AG27" s="6">
        <f>SUM(K27:N27)</f>
        <v>-15.8</v>
      </c>
      <c r="AH27" s="6">
        <f>SUM(O27:R27)</f>
        <v>-13.8</v>
      </c>
      <c r="AI27" s="6">
        <f>SUM(S27:V27)</f>
        <v>-8.3000000000000007</v>
      </c>
      <c r="AJ27" s="6">
        <f t="shared" ref="AJ27:AS27" si="32">AI27*1.03</f>
        <v>-8.5490000000000013</v>
      </c>
      <c r="AK27" s="6">
        <f t="shared" si="32"/>
        <v>-8.8054700000000015</v>
      </c>
      <c r="AL27" s="6">
        <f t="shared" si="32"/>
        <v>-9.0696341000000018</v>
      </c>
      <c r="AM27" s="6">
        <f t="shared" si="32"/>
        <v>-9.3417231230000013</v>
      </c>
      <c r="AN27" s="6">
        <f t="shared" si="32"/>
        <v>-9.6219748166900008</v>
      </c>
      <c r="AO27" s="6">
        <f t="shared" si="32"/>
        <v>-9.9106340611907005</v>
      </c>
      <c r="AP27" s="6">
        <f t="shared" si="32"/>
        <v>-10.207953083026421</v>
      </c>
      <c r="AQ27" s="6">
        <f t="shared" si="32"/>
        <v>-10.514191675517214</v>
      </c>
      <c r="AR27" s="6">
        <f t="shared" si="32"/>
        <v>-10.829617425782731</v>
      </c>
      <c r="AS27" s="6">
        <f t="shared" si="32"/>
        <v>-11.154505948556213</v>
      </c>
    </row>
    <row r="28" spans="2:152" x14ac:dyDescent="0.3">
      <c r="B28" t="s">
        <v>39</v>
      </c>
      <c r="C28" s="6">
        <f>16+11.2+0.9+1</f>
        <v>29.099999999999998</v>
      </c>
      <c r="D28" s="6">
        <v>0</v>
      </c>
      <c r="E28" s="6">
        <v>-0.2</v>
      </c>
      <c r="F28" s="6">
        <v>-0.1</v>
      </c>
      <c r="G28" s="6">
        <v>-0.2</v>
      </c>
      <c r="H28" s="6">
        <v>0.2</v>
      </c>
      <c r="I28" s="6">
        <v>-1.1000000000000001</v>
      </c>
      <c r="J28" s="6">
        <v>-0.2</v>
      </c>
      <c r="K28" s="6">
        <v>-0.1</v>
      </c>
      <c r="L28" s="6">
        <v>0.2</v>
      </c>
      <c r="M28" s="6">
        <f>-15.3-0.4</f>
        <v>-15.700000000000001</v>
      </c>
      <c r="N28" s="6">
        <v>-4.5</v>
      </c>
      <c r="O28" s="6">
        <v>3.7</v>
      </c>
      <c r="P28" s="6">
        <v>-2.6</v>
      </c>
      <c r="Q28" s="6">
        <v>2.2000000000000002</v>
      </c>
      <c r="R28" s="6">
        <v>-1</v>
      </c>
      <c r="S28" s="6">
        <v>-0.7</v>
      </c>
      <c r="T28" s="6">
        <v>1.1000000000000001</v>
      </c>
      <c r="U28" s="6">
        <v>-3.9</v>
      </c>
      <c r="V28" s="6">
        <v>0.3</v>
      </c>
      <c r="W28" s="6"/>
      <c r="X28" s="6"/>
      <c r="Y28" s="6"/>
      <c r="Z28" s="6"/>
      <c r="AB28" s="6">
        <v>0</v>
      </c>
      <c r="AC28" s="6">
        <v>-0.1</v>
      </c>
      <c r="AD28" s="6">
        <f>37.1-0.7</f>
        <v>36.4</v>
      </c>
      <c r="AE28" s="6">
        <f>SUM(C28:F28)</f>
        <v>28.799999999999997</v>
      </c>
      <c r="AF28" s="6">
        <f>SUM(G28:J28)</f>
        <v>-1.3</v>
      </c>
      <c r="AG28" s="6">
        <f>SUM(K28:N28)</f>
        <v>-20.100000000000001</v>
      </c>
      <c r="AH28" s="6">
        <f>SUM(O28:R28)</f>
        <v>2.3000000000000003</v>
      </c>
      <c r="AI28" s="6">
        <f>SUM(S28:V28)</f>
        <v>-3.2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</row>
    <row r="29" spans="2:152" s="1" customFormat="1" x14ac:dyDescent="0.3">
      <c r="B29" s="1" t="s">
        <v>40</v>
      </c>
      <c r="C29" s="8">
        <f t="shared" ref="C29:V29" si="33">C25-C26-C27-C28</f>
        <v>-45.9</v>
      </c>
      <c r="D29" s="8">
        <f t="shared" si="33"/>
        <v>-19</v>
      </c>
      <c r="E29" s="8">
        <f t="shared" si="33"/>
        <v>-12.100000000000003</v>
      </c>
      <c r="F29" s="8">
        <f t="shared" si="33"/>
        <v>-24.2</v>
      </c>
      <c r="G29" s="8">
        <f t="shared" si="33"/>
        <v>-46.099999999999994</v>
      </c>
      <c r="H29" s="8">
        <f t="shared" si="33"/>
        <v>-30</v>
      </c>
      <c r="I29" s="8">
        <f t="shared" si="33"/>
        <v>-28.4</v>
      </c>
      <c r="J29" s="8">
        <f t="shared" si="33"/>
        <v>-41.699999999999989</v>
      </c>
      <c r="K29" s="8">
        <f t="shared" si="33"/>
        <v>-20.399999999999999</v>
      </c>
      <c r="L29" s="8">
        <f t="shared" si="33"/>
        <v>-33.999999999999993</v>
      </c>
      <c r="M29" s="8">
        <f t="shared" si="33"/>
        <v>-23.699999999999996</v>
      </c>
      <c r="N29" s="8">
        <f t="shared" si="33"/>
        <v>-29.399999999999991</v>
      </c>
      <c r="O29" s="8">
        <f t="shared" si="33"/>
        <v>-44.4</v>
      </c>
      <c r="P29" s="8">
        <f t="shared" si="33"/>
        <v>-37.699999999999989</v>
      </c>
      <c r="Q29" s="8">
        <f t="shared" si="33"/>
        <v>-35.100000000000009</v>
      </c>
      <c r="R29" s="8">
        <f t="shared" si="33"/>
        <v>-39.500000000000007</v>
      </c>
      <c r="S29" s="8">
        <f t="shared" si="33"/>
        <v>-32.4</v>
      </c>
      <c r="T29" s="8">
        <f t="shared" si="33"/>
        <v>-37.799999999999997</v>
      </c>
      <c r="U29" s="8">
        <f t="shared" si="33"/>
        <v>-91.8</v>
      </c>
      <c r="V29" s="8">
        <f t="shared" si="33"/>
        <v>-29.399999999999995</v>
      </c>
      <c r="W29" s="8"/>
      <c r="X29" s="8"/>
      <c r="Y29" s="8"/>
      <c r="Z29" s="8"/>
      <c r="AB29" s="8">
        <f t="shared" ref="AB29:AI29" si="34">AB25-AB26-AB27-AB28</f>
        <v>-53.70000000000001</v>
      </c>
      <c r="AC29" s="8">
        <f t="shared" si="34"/>
        <v>-77.5</v>
      </c>
      <c r="AD29" s="8">
        <f t="shared" si="34"/>
        <v>-79.099999999999994</v>
      </c>
      <c r="AE29" s="8">
        <f t="shared" si="34"/>
        <v>-101.19999999999999</v>
      </c>
      <c r="AF29" s="8">
        <f t="shared" si="34"/>
        <v>-146.19999999999996</v>
      </c>
      <c r="AG29" s="8">
        <f t="shared" si="34"/>
        <v>-107.49999999999997</v>
      </c>
      <c r="AH29" s="8">
        <f t="shared" si="34"/>
        <v>-156.69999999999999</v>
      </c>
      <c r="AI29" s="8">
        <f t="shared" si="34"/>
        <v>-191.4</v>
      </c>
      <c r="AJ29" s="8">
        <f t="shared" ref="AJ29:AS29" si="35">AJ25-AJ26-AJ27-AJ28</f>
        <v>-79.998500000000007</v>
      </c>
      <c r="AK29" s="8">
        <f t="shared" si="35"/>
        <v>-57.185884999999985</v>
      </c>
      <c r="AL29" s="8">
        <f t="shared" si="35"/>
        <v>-37.552930200000041</v>
      </c>
      <c r="AM29" s="8">
        <f t="shared" si="35"/>
        <v>-21.855588658999977</v>
      </c>
      <c r="AN29" s="8">
        <f t="shared" si="35"/>
        <v>-0.17869486987999039</v>
      </c>
      <c r="AO29" s="8">
        <f t="shared" si="35"/>
        <v>13.804711284936403</v>
      </c>
      <c r="AP29" s="8">
        <f t="shared" si="35"/>
        <v>29.150407162568523</v>
      </c>
      <c r="AQ29" s="8">
        <f t="shared" si="35"/>
        <v>45.744209460874899</v>
      </c>
      <c r="AR29" s="8">
        <f t="shared" si="35"/>
        <v>65.156779911461769</v>
      </c>
      <c r="AS29" s="8">
        <f t="shared" si="35"/>
        <v>87.860893251401222</v>
      </c>
    </row>
    <row r="30" spans="2:152" x14ac:dyDescent="0.3">
      <c r="B30" t="s">
        <v>41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0.5</v>
      </c>
      <c r="J30" s="6">
        <v>0.3</v>
      </c>
      <c r="K30" s="6">
        <v>0.6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0.1</v>
      </c>
      <c r="U30" s="6">
        <v>0</v>
      </c>
      <c r="V30" s="6">
        <v>0</v>
      </c>
      <c r="W30" s="6"/>
      <c r="X30" s="6"/>
      <c r="Y30" s="6"/>
      <c r="Z30" s="6"/>
      <c r="AB30" s="6">
        <v>-3</v>
      </c>
      <c r="AC30" s="6">
        <v>0.1</v>
      </c>
      <c r="AD30" s="6">
        <v>0.1</v>
      </c>
      <c r="AE30" s="6">
        <f>SUM(C30:F30)</f>
        <v>0</v>
      </c>
      <c r="AF30" s="6">
        <f>SUM(G30:J30)</f>
        <v>0.8</v>
      </c>
      <c r="AG30" s="6">
        <f>SUM(K30:N30)</f>
        <v>0.6</v>
      </c>
      <c r="AH30" s="6">
        <f>SUM(O30:R30)</f>
        <v>0</v>
      </c>
      <c r="AI30" s="6">
        <f>SUM(S30:V30)</f>
        <v>0.1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</row>
    <row r="31" spans="2:152" x14ac:dyDescent="0.3">
      <c r="B31" t="s">
        <v>42</v>
      </c>
      <c r="C31" s="6">
        <v>0</v>
      </c>
      <c r="D31" s="6">
        <v>0</v>
      </c>
      <c r="E31" s="6">
        <v>0</v>
      </c>
      <c r="F31" s="6">
        <v>0</v>
      </c>
      <c r="G31" s="6">
        <v>-5.5</v>
      </c>
      <c r="H31" s="6">
        <v>-0.1</v>
      </c>
      <c r="I31" s="6">
        <v>0.4</v>
      </c>
      <c r="J31" s="6">
        <v>0.5</v>
      </c>
      <c r="K31" s="6">
        <v>-2.5</v>
      </c>
      <c r="L31" s="6">
        <v>0.4</v>
      </c>
      <c r="M31" s="6">
        <v>0.7</v>
      </c>
      <c r="N31" s="6">
        <f>0.9+0.8</f>
        <v>1.7000000000000002</v>
      </c>
      <c r="O31" s="6">
        <f>-24.6+0.8</f>
        <v>-23.8</v>
      </c>
      <c r="P31" s="6">
        <f>-5.5+0.8</f>
        <v>-4.7</v>
      </c>
      <c r="Q31" s="6">
        <f>-2.5+0.8</f>
        <v>-1.7</v>
      </c>
      <c r="R31" s="6">
        <f>1.8+0.8</f>
        <v>2.6</v>
      </c>
      <c r="S31" s="6">
        <v>-4.0999999999999996</v>
      </c>
      <c r="T31" s="6">
        <f>0.3+0.8</f>
        <v>1.1000000000000001</v>
      </c>
      <c r="U31" s="6">
        <f>0.2+0.8</f>
        <v>1</v>
      </c>
      <c r="V31" s="6">
        <f>0.5+0.8</f>
        <v>1.3</v>
      </c>
      <c r="W31" s="6"/>
      <c r="X31" s="6"/>
      <c r="Y31" s="6"/>
      <c r="Z31" s="6"/>
      <c r="AB31" s="6">
        <v>0</v>
      </c>
      <c r="AC31" s="6">
        <v>0</v>
      </c>
      <c r="AD31" s="6">
        <v>0</v>
      </c>
      <c r="AE31" s="6">
        <f>SUM(C31:F31)</f>
        <v>0</v>
      </c>
      <c r="AF31" s="6">
        <f>SUM(G31:J31)</f>
        <v>-4.6999999999999993</v>
      </c>
      <c r="AG31" s="6">
        <f>SUM(K31:N31)</f>
        <v>0.30000000000000004</v>
      </c>
      <c r="AH31" s="6">
        <f>SUM(O31:R31)</f>
        <v>-27.599999999999998</v>
      </c>
      <c r="AI31" s="6">
        <f>SUM(S31:V31)</f>
        <v>-0.69999999999999951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</row>
    <row r="32" spans="2:152" s="1" customFormat="1" x14ac:dyDescent="0.3">
      <c r="B32" s="1" t="s">
        <v>43</v>
      </c>
      <c r="C32" s="8">
        <f t="shared" ref="C32:R32" si="36">C29-C30-C31</f>
        <v>-45.9</v>
      </c>
      <c r="D32" s="8">
        <f t="shared" si="36"/>
        <v>-19</v>
      </c>
      <c r="E32" s="8">
        <f t="shared" si="36"/>
        <v>-12.100000000000003</v>
      </c>
      <c r="F32" s="8">
        <f t="shared" si="36"/>
        <v>-24.2</v>
      </c>
      <c r="G32" s="8">
        <f t="shared" si="36"/>
        <v>-40.599999999999994</v>
      </c>
      <c r="H32" s="8">
        <f t="shared" si="36"/>
        <v>-29.9</v>
      </c>
      <c r="I32" s="8">
        <f t="shared" si="36"/>
        <v>-29.299999999999997</v>
      </c>
      <c r="J32" s="8">
        <f t="shared" si="36"/>
        <v>-42.499999999999986</v>
      </c>
      <c r="K32" s="8">
        <f t="shared" si="36"/>
        <v>-18.5</v>
      </c>
      <c r="L32" s="8">
        <f t="shared" si="36"/>
        <v>-34.399999999999991</v>
      </c>
      <c r="M32" s="8">
        <f t="shared" si="36"/>
        <v>-24.399999999999995</v>
      </c>
      <c r="N32" s="8">
        <f t="shared" si="36"/>
        <v>-31.099999999999991</v>
      </c>
      <c r="O32" s="8">
        <f t="shared" si="36"/>
        <v>-20.599999999999998</v>
      </c>
      <c r="P32" s="8">
        <f t="shared" si="36"/>
        <v>-32.999999999999986</v>
      </c>
      <c r="Q32" s="8">
        <f t="shared" si="36"/>
        <v>-33.400000000000006</v>
      </c>
      <c r="R32" s="8">
        <f t="shared" si="36"/>
        <v>-42.100000000000009</v>
      </c>
      <c r="S32" s="8">
        <f t="shared" ref="S32:V32" si="37">S29-S30-S31</f>
        <v>-28.299999999999997</v>
      </c>
      <c r="T32" s="8">
        <f t="shared" si="37"/>
        <v>-39</v>
      </c>
      <c r="U32" s="8">
        <f t="shared" si="37"/>
        <v>-92.8</v>
      </c>
      <c r="V32" s="8">
        <f t="shared" si="37"/>
        <v>-30.699999999999996</v>
      </c>
      <c r="W32" s="8"/>
      <c r="X32" s="8"/>
      <c r="Y32" s="8"/>
      <c r="Z32" s="8"/>
      <c r="AB32" s="8">
        <f t="shared" ref="AB32:AI32" si="38">AB29-AB30-AB31</f>
        <v>-50.70000000000001</v>
      </c>
      <c r="AC32" s="8">
        <f t="shared" si="38"/>
        <v>-77.599999999999994</v>
      </c>
      <c r="AD32" s="8">
        <f t="shared" si="38"/>
        <v>-79.199999999999989</v>
      </c>
      <c r="AE32" s="8">
        <f t="shared" si="38"/>
        <v>-101.19999999999999</v>
      </c>
      <c r="AF32" s="8">
        <f t="shared" si="38"/>
        <v>-142.29999999999998</v>
      </c>
      <c r="AG32" s="8">
        <f t="shared" si="38"/>
        <v>-108.39999999999996</v>
      </c>
      <c r="AH32" s="8">
        <f t="shared" si="38"/>
        <v>-129.1</v>
      </c>
      <c r="AI32" s="8">
        <f t="shared" si="38"/>
        <v>-190.8</v>
      </c>
      <c r="AJ32" s="8">
        <f t="shared" ref="AJ32:AS32" si="39">AJ29-AJ30-AJ31</f>
        <v>-79.998500000000007</v>
      </c>
      <c r="AK32" s="8">
        <f t="shared" si="39"/>
        <v>-57.185884999999985</v>
      </c>
      <c r="AL32" s="8">
        <f t="shared" si="39"/>
        <v>-37.552930200000041</v>
      </c>
      <c r="AM32" s="8">
        <f t="shared" si="39"/>
        <v>-21.855588658999977</v>
      </c>
      <c r="AN32" s="8">
        <f t="shared" si="39"/>
        <v>-0.17869486987999039</v>
      </c>
      <c r="AO32" s="8">
        <f t="shared" si="39"/>
        <v>13.804711284936403</v>
      </c>
      <c r="AP32" s="8">
        <f t="shared" si="39"/>
        <v>29.150407162568523</v>
      </c>
      <c r="AQ32" s="8">
        <f t="shared" si="39"/>
        <v>45.744209460874899</v>
      </c>
      <c r="AR32" s="8">
        <f t="shared" si="39"/>
        <v>65.156779911461769</v>
      </c>
      <c r="AS32" s="8">
        <f t="shared" si="39"/>
        <v>87.860893251401222</v>
      </c>
      <c r="AT32" s="1">
        <f>AS32*(1+$AW$42)</f>
        <v>86.98228431888721</v>
      </c>
      <c r="AU32" s="1">
        <f t="shared" ref="AU32:DF32" si="40">AT32*(1+$AW$42)</f>
        <v>86.112461475698339</v>
      </c>
      <c r="AV32" s="1">
        <f t="shared" si="40"/>
        <v>85.25133686094135</v>
      </c>
      <c r="AW32" s="1">
        <f t="shared" si="40"/>
        <v>84.398823492331942</v>
      </c>
      <c r="AX32" s="1">
        <f t="shared" si="40"/>
        <v>83.554835257408627</v>
      </c>
      <c r="AY32" s="1">
        <f t="shared" si="40"/>
        <v>82.719286904834533</v>
      </c>
      <c r="AZ32" s="1">
        <f t="shared" si="40"/>
        <v>81.892094035786187</v>
      </c>
      <c r="BA32" s="1">
        <f t="shared" si="40"/>
        <v>81.073173095428331</v>
      </c>
      <c r="BB32" s="1">
        <f t="shared" si="40"/>
        <v>80.262441364474043</v>
      </c>
      <c r="BC32" s="1">
        <f t="shared" si="40"/>
        <v>79.459816950829307</v>
      </c>
      <c r="BD32" s="1">
        <f t="shared" si="40"/>
        <v>78.665218781321016</v>
      </c>
      <c r="BE32" s="1">
        <f t="shared" si="40"/>
        <v>77.878566593507799</v>
      </c>
      <c r="BF32" s="1">
        <f t="shared" si="40"/>
        <v>77.099780927572723</v>
      </c>
      <c r="BG32" s="1">
        <f t="shared" si="40"/>
        <v>76.328783118296997</v>
      </c>
      <c r="BH32" s="1">
        <f t="shared" si="40"/>
        <v>75.565495287114032</v>
      </c>
      <c r="BI32" s="1">
        <f t="shared" si="40"/>
        <v>74.809840334242892</v>
      </c>
      <c r="BJ32" s="1">
        <f t="shared" si="40"/>
        <v>74.061741930900467</v>
      </c>
      <c r="BK32" s="1">
        <f t="shared" si="40"/>
        <v>73.321124511591464</v>
      </c>
      <c r="BL32" s="1">
        <f t="shared" si="40"/>
        <v>72.587913266475553</v>
      </c>
      <c r="BM32" s="1">
        <f t="shared" si="40"/>
        <v>71.862034133810795</v>
      </c>
      <c r="BN32" s="1">
        <f t="shared" si="40"/>
        <v>71.143413792472685</v>
      </c>
      <c r="BO32" s="1">
        <f t="shared" si="40"/>
        <v>70.431979654547959</v>
      </c>
      <c r="BP32" s="1">
        <f t="shared" si="40"/>
        <v>69.727659858002482</v>
      </c>
      <c r="BQ32" s="1">
        <f t="shared" si="40"/>
        <v>69.03038325942245</v>
      </c>
      <c r="BR32" s="1">
        <f t="shared" si="40"/>
        <v>68.340079426828225</v>
      </c>
      <c r="BS32" s="1">
        <f t="shared" si="40"/>
        <v>67.656678632559945</v>
      </c>
      <c r="BT32" s="1">
        <f t="shared" si="40"/>
        <v>66.980111846234351</v>
      </c>
      <c r="BU32" s="1">
        <f t="shared" si="40"/>
        <v>66.310310727772006</v>
      </c>
      <c r="BV32" s="1">
        <f t="shared" si="40"/>
        <v>65.647207620494285</v>
      </c>
      <c r="BW32" s="1">
        <f t="shared" si="40"/>
        <v>64.990735544289336</v>
      </c>
      <c r="BX32" s="1">
        <f t="shared" si="40"/>
        <v>64.340828188846444</v>
      </c>
      <c r="BY32" s="1">
        <f t="shared" si="40"/>
        <v>63.697419906957983</v>
      </c>
      <c r="BZ32" s="1">
        <f t="shared" si="40"/>
        <v>63.060445707888405</v>
      </c>
      <c r="CA32" s="1">
        <f t="shared" si="40"/>
        <v>62.429841250809524</v>
      </c>
      <c r="CB32" s="1">
        <f t="shared" si="40"/>
        <v>61.805542838301427</v>
      </c>
      <c r="CC32" s="1">
        <f t="shared" si="40"/>
        <v>61.187487409918411</v>
      </c>
      <c r="CD32" s="1">
        <f t="shared" si="40"/>
        <v>60.575612535819225</v>
      </c>
      <c r="CE32" s="1">
        <f t="shared" si="40"/>
        <v>59.969856410461034</v>
      </c>
      <c r="CF32" s="1">
        <f t="shared" si="40"/>
        <v>59.37015784635642</v>
      </c>
      <c r="CG32" s="1">
        <f t="shared" si="40"/>
        <v>58.776456267892854</v>
      </c>
      <c r="CH32" s="1">
        <f t="shared" si="40"/>
        <v>58.188691705213927</v>
      </c>
      <c r="CI32" s="1">
        <f t="shared" si="40"/>
        <v>57.606804788161789</v>
      </c>
      <c r="CJ32" s="1">
        <f t="shared" si="40"/>
        <v>57.030736740280169</v>
      </c>
      <c r="CK32" s="1">
        <f t="shared" si="40"/>
        <v>56.460429372877364</v>
      </c>
      <c r="CL32" s="1">
        <f t="shared" si="40"/>
        <v>55.895825079148587</v>
      </c>
      <c r="CM32" s="1">
        <f t="shared" si="40"/>
        <v>55.336866828357103</v>
      </c>
      <c r="CN32" s="1">
        <f t="shared" si="40"/>
        <v>54.783498160073528</v>
      </c>
      <c r="CO32" s="1">
        <f t="shared" si="40"/>
        <v>54.235663178472791</v>
      </c>
      <c r="CP32" s="1">
        <f t="shared" si="40"/>
        <v>53.693306546688063</v>
      </c>
      <c r="CQ32" s="1">
        <f t="shared" si="40"/>
        <v>53.156373481221181</v>
      </c>
      <c r="CR32" s="1">
        <f t="shared" si="40"/>
        <v>52.624809746408971</v>
      </c>
      <c r="CS32" s="1">
        <f t="shared" si="40"/>
        <v>52.09856164894488</v>
      </c>
      <c r="CT32" s="1">
        <f t="shared" si="40"/>
        <v>51.577576032455433</v>
      </c>
      <c r="CU32" s="1">
        <f t="shared" si="40"/>
        <v>51.061800272130881</v>
      </c>
      <c r="CV32" s="1">
        <f t="shared" si="40"/>
        <v>50.551182269409573</v>
      </c>
      <c r="CW32" s="1">
        <f t="shared" si="40"/>
        <v>50.045670446715476</v>
      </c>
      <c r="CX32" s="1">
        <f t="shared" si="40"/>
        <v>49.545213742248322</v>
      </c>
      <c r="CY32" s="1">
        <f t="shared" si="40"/>
        <v>49.049761604825839</v>
      </c>
      <c r="CZ32" s="1">
        <f t="shared" si="40"/>
        <v>48.55926398877758</v>
      </c>
      <c r="DA32" s="1">
        <f t="shared" si="40"/>
        <v>48.073671348889803</v>
      </c>
      <c r="DB32" s="1">
        <f t="shared" si="40"/>
        <v>47.592934635400908</v>
      </c>
      <c r="DC32" s="1">
        <f t="shared" si="40"/>
        <v>47.117005289046901</v>
      </c>
      <c r="DD32" s="1">
        <f t="shared" si="40"/>
        <v>46.645835236156429</v>
      </c>
      <c r="DE32" s="1">
        <f t="shared" si="40"/>
        <v>46.179376883794866</v>
      </c>
      <c r="DF32" s="1">
        <f t="shared" si="40"/>
        <v>45.717583114956916</v>
      </c>
      <c r="DG32" s="1">
        <f t="shared" ref="DG32:EV32" si="41">DF32*(1+$AW$42)</f>
        <v>45.260407283807346</v>
      </c>
      <c r="DH32" s="1">
        <f t="shared" si="41"/>
        <v>44.807803210969276</v>
      </c>
      <c r="DI32" s="1">
        <f t="shared" si="41"/>
        <v>44.359725178859584</v>
      </c>
      <c r="DJ32" s="1">
        <f t="shared" si="41"/>
        <v>43.916127927070988</v>
      </c>
      <c r="DK32" s="1">
        <f t="shared" si="41"/>
        <v>43.476966647800275</v>
      </c>
      <c r="DL32" s="1">
        <f t="shared" si="41"/>
        <v>43.04219698132227</v>
      </c>
      <c r="DM32" s="1">
        <f t="shared" si="41"/>
        <v>42.611775011509046</v>
      </c>
      <c r="DN32" s="1">
        <f t="shared" si="41"/>
        <v>42.185657261393956</v>
      </c>
      <c r="DO32" s="1">
        <f t="shared" si="41"/>
        <v>41.763800688780016</v>
      </c>
      <c r="DP32" s="1">
        <f t="shared" si="41"/>
        <v>41.346162681892217</v>
      </c>
      <c r="DQ32" s="1">
        <f t="shared" si="41"/>
        <v>40.932701055073295</v>
      </c>
      <c r="DR32" s="1">
        <f t="shared" si="41"/>
        <v>40.523374044522562</v>
      </c>
      <c r="DS32" s="1">
        <f t="shared" si="41"/>
        <v>40.118140304077336</v>
      </c>
      <c r="DT32" s="1">
        <f t="shared" si="41"/>
        <v>39.716958901036563</v>
      </c>
      <c r="DU32" s="1">
        <f t="shared" si="41"/>
        <v>39.319789312026195</v>
      </c>
      <c r="DV32" s="1">
        <f t="shared" si="41"/>
        <v>38.926591418905936</v>
      </c>
      <c r="DW32" s="1">
        <f t="shared" si="41"/>
        <v>38.537325504716875</v>
      </c>
      <c r="DX32" s="1">
        <f t="shared" si="41"/>
        <v>38.151952249669705</v>
      </c>
      <c r="DY32" s="1">
        <f t="shared" si="41"/>
        <v>37.770432727173009</v>
      </c>
      <c r="DZ32" s="1">
        <f t="shared" si="41"/>
        <v>37.39272839990128</v>
      </c>
      <c r="EA32" s="1">
        <f t="shared" si="41"/>
        <v>37.018801115902264</v>
      </c>
      <c r="EB32" s="1">
        <f t="shared" si="41"/>
        <v>36.648613104743241</v>
      </c>
      <c r="EC32" s="1">
        <f t="shared" si="41"/>
        <v>36.28212697369581</v>
      </c>
      <c r="ED32" s="1">
        <f t="shared" si="41"/>
        <v>35.919305703958848</v>
      </c>
      <c r="EE32" s="1">
        <f t="shared" si="41"/>
        <v>35.560112646919258</v>
      </c>
      <c r="EF32" s="1">
        <f t="shared" si="41"/>
        <v>35.204511520450062</v>
      </c>
      <c r="EG32" s="1">
        <f t="shared" si="41"/>
        <v>34.852466405245558</v>
      </c>
      <c r="EH32" s="1">
        <f t="shared" si="41"/>
        <v>34.503941741193103</v>
      </c>
      <c r="EI32" s="1">
        <f t="shared" si="41"/>
        <v>34.15890232378117</v>
      </c>
      <c r="EJ32" s="1">
        <f t="shared" si="41"/>
        <v>33.817313300543361</v>
      </c>
      <c r="EK32" s="1">
        <f t="shared" si="41"/>
        <v>33.479140167537928</v>
      </c>
      <c r="EL32" s="1">
        <f t="shared" si="41"/>
        <v>33.144348765862546</v>
      </c>
      <c r="EM32" s="1">
        <f t="shared" si="41"/>
        <v>32.812905278203921</v>
      </c>
      <c r="EN32" s="1">
        <f t="shared" si="41"/>
        <v>32.484776225421882</v>
      </c>
      <c r="EO32" s="1">
        <f t="shared" si="41"/>
        <v>32.15992846316766</v>
      </c>
      <c r="EP32" s="1">
        <f t="shared" si="41"/>
        <v>31.838329178535982</v>
      </c>
      <c r="EQ32" s="1">
        <f t="shared" si="41"/>
        <v>31.519945886750623</v>
      </c>
      <c r="ER32" s="1">
        <f t="shared" si="41"/>
        <v>31.204746427883116</v>
      </c>
      <c r="ES32" s="1">
        <f t="shared" si="41"/>
        <v>30.892698963604285</v>
      </c>
      <c r="ET32" s="1">
        <f t="shared" si="41"/>
        <v>30.583771973968243</v>
      </c>
      <c r="EU32" s="1">
        <f t="shared" si="41"/>
        <v>30.277934254228562</v>
      </c>
      <c r="EV32" s="1">
        <f t="shared" si="41"/>
        <v>29.975154911686275</v>
      </c>
    </row>
    <row r="33" spans="2:49" x14ac:dyDescent="0.3">
      <c r="B33" t="s">
        <v>2</v>
      </c>
      <c r="C33" s="6">
        <v>497</v>
      </c>
      <c r="D33" s="6">
        <v>497</v>
      </c>
      <c r="E33" s="6">
        <v>497</v>
      </c>
      <c r="F33" s="6">
        <v>497</v>
      </c>
      <c r="G33" s="6">
        <v>497</v>
      </c>
      <c r="H33" s="6">
        <v>497</v>
      </c>
      <c r="I33" s="6">
        <v>497</v>
      </c>
      <c r="J33" s="6">
        <v>497</v>
      </c>
      <c r="K33" s="6">
        <v>497</v>
      </c>
      <c r="L33" s="6">
        <v>497</v>
      </c>
      <c r="M33" s="6">
        <v>497</v>
      </c>
      <c r="N33" s="6">
        <v>497</v>
      </c>
      <c r="O33" s="6">
        <v>497</v>
      </c>
      <c r="P33" s="6">
        <v>497</v>
      </c>
      <c r="Q33" s="6">
        <v>497</v>
      </c>
      <c r="R33" s="6">
        <v>20.399999999999999</v>
      </c>
      <c r="S33" s="6">
        <v>21.1</v>
      </c>
      <c r="T33" s="6">
        <v>22.8</v>
      </c>
      <c r="U33" s="6">
        <v>24.4</v>
      </c>
      <c r="V33" s="6">
        <f>47.7</f>
        <v>47.7</v>
      </c>
      <c r="W33" s="6"/>
      <c r="X33" s="6"/>
      <c r="Y33" s="6"/>
      <c r="Z33" s="6"/>
      <c r="AB33" s="6">
        <v>497</v>
      </c>
      <c r="AC33" s="6">
        <v>497</v>
      </c>
      <c r="AD33" s="6">
        <v>497</v>
      </c>
      <c r="AE33" s="6">
        <v>497</v>
      </c>
      <c r="AF33" s="6">
        <v>497</v>
      </c>
      <c r="AG33" s="6">
        <v>497</v>
      </c>
      <c r="AH33" s="6">
        <v>20.399999999999999</v>
      </c>
      <c r="AI33" s="6">
        <f t="shared" ref="AI33:AS33" si="42">47.7</f>
        <v>47.7</v>
      </c>
      <c r="AJ33" s="6">
        <f t="shared" si="42"/>
        <v>47.7</v>
      </c>
      <c r="AK33" s="6">
        <f t="shared" si="42"/>
        <v>47.7</v>
      </c>
      <c r="AL33" s="6">
        <f t="shared" si="42"/>
        <v>47.7</v>
      </c>
      <c r="AM33" s="6">
        <f t="shared" si="42"/>
        <v>47.7</v>
      </c>
      <c r="AN33" s="6">
        <f t="shared" si="42"/>
        <v>47.7</v>
      </c>
      <c r="AO33" s="6">
        <f t="shared" si="42"/>
        <v>47.7</v>
      </c>
      <c r="AP33" s="6">
        <f t="shared" si="42"/>
        <v>47.7</v>
      </c>
      <c r="AQ33" s="6">
        <f t="shared" si="42"/>
        <v>47.7</v>
      </c>
      <c r="AR33" s="6">
        <f t="shared" si="42"/>
        <v>47.7</v>
      </c>
      <c r="AS33" s="6">
        <f t="shared" si="42"/>
        <v>47.7</v>
      </c>
    </row>
    <row r="34" spans="2:49" x14ac:dyDescent="0.3">
      <c r="B34" t="s">
        <v>44</v>
      </c>
      <c r="C34" s="9">
        <f t="shared" ref="C34:R34" si="43">C32/C33</f>
        <v>-9.2354124748490946E-2</v>
      </c>
      <c r="D34" s="9">
        <f t="shared" si="43"/>
        <v>-3.8229376257545272E-2</v>
      </c>
      <c r="E34" s="9">
        <f t="shared" si="43"/>
        <v>-2.434607645875252E-2</v>
      </c>
      <c r="F34" s="9">
        <f t="shared" si="43"/>
        <v>-4.8692152917505026E-2</v>
      </c>
      <c r="G34" s="9">
        <f t="shared" si="43"/>
        <v>-8.1690140845070411E-2</v>
      </c>
      <c r="H34" s="9">
        <f t="shared" si="43"/>
        <v>-6.0160965794768609E-2</v>
      </c>
      <c r="I34" s="9">
        <f t="shared" si="43"/>
        <v>-5.8953722334004019E-2</v>
      </c>
      <c r="J34" s="9">
        <f t="shared" si="43"/>
        <v>-8.5513078470824927E-2</v>
      </c>
      <c r="K34" s="9">
        <f t="shared" si="43"/>
        <v>-3.722334004024145E-2</v>
      </c>
      <c r="L34" s="9">
        <f t="shared" si="43"/>
        <v>-6.9215291750503005E-2</v>
      </c>
      <c r="M34" s="9">
        <f t="shared" si="43"/>
        <v>-4.9094567404426546E-2</v>
      </c>
      <c r="N34" s="9">
        <f t="shared" si="43"/>
        <v>-6.2575452716297775E-2</v>
      </c>
      <c r="O34" s="9">
        <f t="shared" si="43"/>
        <v>-4.14486921529175E-2</v>
      </c>
      <c r="P34" s="9">
        <f t="shared" si="43"/>
        <v>-6.6398390342052291E-2</v>
      </c>
      <c r="Q34" s="9">
        <f t="shared" si="43"/>
        <v>-6.7203219315895388E-2</v>
      </c>
      <c r="R34" s="9">
        <f t="shared" si="43"/>
        <v>-2.0637254901960791</v>
      </c>
      <c r="S34" s="9">
        <f t="shared" ref="S34:V34" si="44">S32/S33</f>
        <v>-1.3412322274881514</v>
      </c>
      <c r="T34" s="9">
        <f t="shared" si="44"/>
        <v>-1.7105263157894737</v>
      </c>
      <c r="U34" s="9">
        <f t="shared" si="44"/>
        <v>-3.8032786885245904</v>
      </c>
      <c r="V34" s="9">
        <f t="shared" si="44"/>
        <v>-0.64360587002096425</v>
      </c>
      <c r="W34" s="9"/>
      <c r="X34" s="9"/>
      <c r="Y34" s="9"/>
      <c r="Z34" s="9"/>
      <c r="AB34" s="9">
        <f t="shared" ref="AB34:AI34" si="45">AB32/AB33</f>
        <v>-0.10201207243460766</v>
      </c>
      <c r="AC34" s="9">
        <f t="shared" si="45"/>
        <v>-0.15613682092555331</v>
      </c>
      <c r="AD34" s="9">
        <f t="shared" si="45"/>
        <v>-0.15935613682092553</v>
      </c>
      <c r="AE34" s="9">
        <f t="shared" si="45"/>
        <v>-0.20362173038229375</v>
      </c>
      <c r="AF34" s="9">
        <f t="shared" si="45"/>
        <v>-0.28631790744466795</v>
      </c>
      <c r="AG34" s="9">
        <f t="shared" si="45"/>
        <v>-0.21810865191146875</v>
      </c>
      <c r="AH34" s="9">
        <f t="shared" si="45"/>
        <v>-6.3284313725490193</v>
      </c>
      <c r="AI34" s="9">
        <f t="shared" si="45"/>
        <v>-4</v>
      </c>
      <c r="AJ34" s="9">
        <f t="shared" ref="AJ34:AS34" si="46">AJ32/AJ33</f>
        <v>-1.6771174004192873</v>
      </c>
      <c r="AK34" s="9">
        <f t="shared" si="46"/>
        <v>-1.198865513626834</v>
      </c>
      <c r="AL34" s="9">
        <f t="shared" si="46"/>
        <v>-0.78727316981132156</v>
      </c>
      <c r="AM34" s="9">
        <f t="shared" si="46"/>
        <v>-0.4581884414884691</v>
      </c>
      <c r="AN34" s="9">
        <f t="shared" si="46"/>
        <v>-3.7462236872115385E-3</v>
      </c>
      <c r="AO34" s="9">
        <f t="shared" si="46"/>
        <v>0.28940694517686377</v>
      </c>
      <c r="AP34" s="9">
        <f t="shared" si="46"/>
        <v>0.61111964701401511</v>
      </c>
      <c r="AQ34" s="9">
        <f t="shared" si="46"/>
        <v>0.95899810190513413</v>
      </c>
      <c r="AR34" s="9">
        <f t="shared" si="46"/>
        <v>1.3659702287518189</v>
      </c>
      <c r="AS34" s="9">
        <f t="shared" si="46"/>
        <v>1.8419474476184741</v>
      </c>
    </row>
    <row r="36" spans="2:49" x14ac:dyDescent="0.3">
      <c r="B36" t="s">
        <v>113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 t="e">
        <f t="shared" ref="R36:V36" si="47">R3/N3-1</f>
        <v>#DIV/0!</v>
      </c>
      <c r="S36" s="10" t="e">
        <f t="shared" si="47"/>
        <v>#DIV/0!</v>
      </c>
      <c r="T36" s="10">
        <f t="shared" si="47"/>
        <v>6.9837398373983737</v>
      </c>
      <c r="U36" s="10">
        <f t="shared" si="47"/>
        <v>-0.29626920263350398</v>
      </c>
      <c r="V36" s="10">
        <f t="shared" si="47"/>
        <v>-0.40521114106019762</v>
      </c>
      <c r="W36" s="10"/>
      <c r="X36" s="10"/>
      <c r="Y36" s="10"/>
      <c r="Z36" s="10"/>
      <c r="AH36" s="10"/>
      <c r="AI36" s="10">
        <f>AI3/AH3-1</f>
        <v>-0.40521114106019762</v>
      </c>
    </row>
    <row r="37" spans="2:49" x14ac:dyDescent="0.3">
      <c r="B37" t="s">
        <v>114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>
        <f t="shared" ref="R37:V37" si="48">R4/N4-1</f>
        <v>0.23721590909090895</v>
      </c>
      <c r="S37" s="10">
        <f t="shared" si="48"/>
        <v>0.22720797720797714</v>
      </c>
      <c r="T37" s="10">
        <f t="shared" si="48"/>
        <v>0.13301171605789119</v>
      </c>
      <c r="U37" s="10">
        <f t="shared" si="48"/>
        <v>-5.0448430493273522E-2</v>
      </c>
      <c r="V37" s="10">
        <f t="shared" si="48"/>
        <v>-6.77382319173363E-2</v>
      </c>
      <c r="W37" s="10"/>
      <c r="X37" s="10"/>
      <c r="Y37" s="10"/>
      <c r="Z37" s="10"/>
      <c r="AH37" s="10">
        <f t="shared" ref="AH37:AI40" si="49">AH4/AG4-1</f>
        <v>0.23721590909090895</v>
      </c>
      <c r="AI37" s="10">
        <f t="shared" si="49"/>
        <v>-6.77382319173363E-2</v>
      </c>
    </row>
    <row r="38" spans="2:49" x14ac:dyDescent="0.3">
      <c r="B38" t="s">
        <v>115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>
        <f t="shared" ref="R38:V38" si="50">R5/N5-1</f>
        <v>-3.5202385047586326E-2</v>
      </c>
      <c r="S38" s="10">
        <f t="shared" si="50"/>
        <v>0.1576137418755803</v>
      </c>
      <c r="T38" s="10">
        <f t="shared" si="50"/>
        <v>0.1342478602415289</v>
      </c>
      <c r="U38" s="10">
        <f t="shared" si="50"/>
        <v>0.13758189398451459</v>
      </c>
      <c r="V38" s="10">
        <f t="shared" si="50"/>
        <v>0.12336581887330644</v>
      </c>
      <c r="W38" s="10"/>
      <c r="X38" s="10"/>
      <c r="Y38" s="10"/>
      <c r="Z38" s="10"/>
      <c r="AH38" s="10">
        <f t="shared" si="49"/>
        <v>-3.5202385047586326E-2</v>
      </c>
      <c r="AI38" s="10">
        <f t="shared" si="49"/>
        <v>0.12336581887330644</v>
      </c>
    </row>
    <row r="39" spans="2:49" x14ac:dyDescent="0.3">
      <c r="B39" t="s">
        <v>116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>
        <f t="shared" ref="R39:V39" si="51">R6/N6-1</f>
        <v>1.3529411764705883</v>
      </c>
      <c r="S39" s="10">
        <f t="shared" si="51"/>
        <v>0.35042735042735051</v>
      </c>
      <c r="T39" s="10">
        <f t="shared" si="51"/>
        <v>-0.42074363992172215</v>
      </c>
      <c r="U39" s="10">
        <f t="shared" si="51"/>
        <v>-0.42823529411764705</v>
      </c>
      <c r="V39" s="10">
        <f t="shared" si="51"/>
        <v>-0.45833333333333337</v>
      </c>
      <c r="W39" s="10"/>
      <c r="X39" s="10"/>
      <c r="Y39" s="10"/>
      <c r="Z39" s="10"/>
      <c r="AH39" s="10">
        <f t="shared" si="49"/>
        <v>1.3529411764705883</v>
      </c>
      <c r="AI39" s="10">
        <f t="shared" si="49"/>
        <v>-0.45833333333333337</v>
      </c>
    </row>
    <row r="40" spans="2:49" s="1" customFormat="1" x14ac:dyDescent="0.3">
      <c r="B40" s="1" t="s">
        <v>117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>
        <f>R7/N7-1</f>
        <v>0.13100564092588995</v>
      </c>
      <c r="S40" s="11">
        <f>S7/O7-1</f>
        <v>0.27998829724985352</v>
      </c>
      <c r="T40" s="11">
        <f>T7/P7-1</f>
        <v>0.18673450160165816</v>
      </c>
      <c r="U40" s="11">
        <f>U7/Q7-1</f>
        <v>3.9929830423523383E-2</v>
      </c>
      <c r="V40" s="11">
        <f>V7/R7-1</f>
        <v>2.6141542694986697E-2</v>
      </c>
      <c r="W40" s="11"/>
      <c r="X40" s="11"/>
      <c r="Y40" s="11"/>
      <c r="Z40" s="11"/>
      <c r="AH40" s="11">
        <f t="shared" si="49"/>
        <v>0.13100564092588995</v>
      </c>
      <c r="AI40" s="11">
        <f t="shared" si="49"/>
        <v>2.6141542694986697E-2</v>
      </c>
    </row>
    <row r="41" spans="2:49" x14ac:dyDescent="0.3">
      <c r="B41" t="s">
        <v>50</v>
      </c>
      <c r="G41" s="10" t="e">
        <f t="shared" ref="G41:O45" si="52">G9/C9-1</f>
        <v>#DIV/0!</v>
      </c>
      <c r="H41" s="10" t="e">
        <f t="shared" si="52"/>
        <v>#DIV/0!</v>
      </c>
      <c r="I41" s="10" t="e">
        <f t="shared" si="52"/>
        <v>#DIV/0!</v>
      </c>
      <c r="J41" s="10" t="e">
        <f t="shared" si="52"/>
        <v>#DIV/0!</v>
      </c>
      <c r="K41" s="10">
        <f t="shared" si="52"/>
        <v>-0.49444444444444446</v>
      </c>
      <c r="L41" s="10" t="e">
        <f t="shared" si="52"/>
        <v>#DIV/0!</v>
      </c>
      <c r="M41" s="10">
        <f t="shared" si="52"/>
        <v>-1</v>
      </c>
      <c r="N41" s="10">
        <f t="shared" si="52"/>
        <v>-0.5625</v>
      </c>
      <c r="O41" s="10">
        <f t="shared" si="52"/>
        <v>-1</v>
      </c>
      <c r="P41" s="10"/>
      <c r="Q41" s="10"/>
      <c r="R41" s="10">
        <f>R9/N9-1</f>
        <v>1.4190476190476189</v>
      </c>
      <c r="S41" s="10" t="e">
        <f t="shared" ref="S41:V41" si="53">S9/O9-1</f>
        <v>#DIV/0!</v>
      </c>
      <c r="T41" s="10" t="e">
        <f t="shared" si="53"/>
        <v>#DIV/0!</v>
      </c>
      <c r="U41" s="10">
        <f t="shared" si="53"/>
        <v>85.666666666666671</v>
      </c>
      <c r="V41" s="10">
        <f t="shared" si="53"/>
        <v>0.18110236220472453</v>
      </c>
      <c r="W41" s="10"/>
      <c r="X41" s="10"/>
      <c r="Y41" s="10"/>
      <c r="Z41" s="10"/>
      <c r="AC41" s="10">
        <f>AC9/AB9-1</f>
        <v>-0.99047619047619051</v>
      </c>
      <c r="AD41" s="10">
        <f t="shared" ref="AD41:AS41" si="54">AD9/AC9-1</f>
        <v>-1</v>
      </c>
      <c r="AE41" s="10" t="e">
        <f t="shared" si="54"/>
        <v>#DIV/0!</v>
      </c>
      <c r="AF41" s="10" t="e">
        <f t="shared" si="54"/>
        <v>#DIV/0!</v>
      </c>
      <c r="AG41" s="10">
        <f t="shared" si="54"/>
        <v>-0.67333333333333334</v>
      </c>
      <c r="AH41" s="10">
        <f t="shared" si="54"/>
        <v>0.31122448979591821</v>
      </c>
      <c r="AI41" s="10">
        <f t="shared" si="54"/>
        <v>1.6887159533073928</v>
      </c>
      <c r="AJ41" s="10">
        <f t="shared" si="54"/>
        <v>0.44999999999999996</v>
      </c>
      <c r="AK41" s="10">
        <f t="shared" si="54"/>
        <v>0.30000000000000004</v>
      </c>
      <c r="AL41" s="10">
        <f t="shared" si="54"/>
        <v>0.19999999999999996</v>
      </c>
      <c r="AM41" s="10">
        <f t="shared" si="54"/>
        <v>0.14999999999999991</v>
      </c>
      <c r="AN41" s="10">
        <f t="shared" si="54"/>
        <v>0.10000000000000009</v>
      </c>
      <c r="AO41" s="10">
        <f t="shared" si="54"/>
        <v>0.10000000000000009</v>
      </c>
      <c r="AP41" s="10">
        <f t="shared" si="54"/>
        <v>0.10000000000000009</v>
      </c>
      <c r="AQ41" s="10">
        <f t="shared" si="54"/>
        <v>0.10000000000000009</v>
      </c>
      <c r="AR41" s="10">
        <f t="shared" si="54"/>
        <v>0.10000000000000009</v>
      </c>
      <c r="AS41" s="10">
        <f t="shared" si="54"/>
        <v>0.10000000000000009</v>
      </c>
    </row>
    <row r="42" spans="2:49" x14ac:dyDescent="0.3">
      <c r="B42" t="s">
        <v>51</v>
      </c>
      <c r="G42" s="10">
        <f t="shared" si="52"/>
        <v>-0.55102040816326525</v>
      </c>
      <c r="H42" s="10">
        <f t="shared" si="52"/>
        <v>2.7142857142857149</v>
      </c>
      <c r="I42" s="10">
        <f t="shared" si="52"/>
        <v>-0.36363636363636365</v>
      </c>
      <c r="J42" s="10">
        <f t="shared" si="52"/>
        <v>10</v>
      </c>
      <c r="K42" s="10">
        <f t="shared" si="52"/>
        <v>5.3181818181818175</v>
      </c>
      <c r="L42" s="10">
        <f t="shared" si="52"/>
        <v>9.0769230769230766</v>
      </c>
      <c r="M42" s="10">
        <f t="shared" si="52"/>
        <v>7.6923076923077094E-2</v>
      </c>
      <c r="N42" s="10">
        <f t="shared" si="52"/>
        <v>-0.27272727272727271</v>
      </c>
      <c r="O42" s="10">
        <f t="shared" si="52"/>
        <v>-0.8848920863309353</v>
      </c>
      <c r="P42" s="10">
        <f t="shared" ref="P42:Q45" si="55">P10/L10-1</f>
        <v>-0.94656488549618323</v>
      </c>
      <c r="Q42" s="10">
        <f t="shared" si="55"/>
        <v>-0.85714285714285721</v>
      </c>
      <c r="R42" s="10"/>
      <c r="S42" s="10">
        <f t="shared" ref="S42:V42" si="56">S10/O10-1</f>
        <v>0.125</v>
      </c>
      <c r="T42" s="10">
        <f t="shared" si="56"/>
        <v>4.7857142857142856</v>
      </c>
      <c r="U42" s="10">
        <f t="shared" si="56"/>
        <v>1.2142857142857144</v>
      </c>
      <c r="V42" s="10">
        <f t="shared" si="56"/>
        <v>0.3035714285714286</v>
      </c>
      <c r="W42" s="10"/>
      <c r="X42" s="10"/>
      <c r="Y42" s="10"/>
      <c r="Z42" s="10"/>
      <c r="AC42" s="10">
        <f>AC10/AB10-1</f>
        <v>0.68354430379746844</v>
      </c>
      <c r="AD42" s="10">
        <f t="shared" ref="AD42:AS42" si="57">AD10/AC10-1</f>
        <v>-5.6390977443608992E-2</v>
      </c>
      <c r="AE42" s="10">
        <f t="shared" si="57"/>
        <v>-0.21115537848605581</v>
      </c>
      <c r="AF42" s="10">
        <f t="shared" si="57"/>
        <v>-0.35353535353535348</v>
      </c>
      <c r="AG42" s="10">
        <f t="shared" si="57"/>
        <v>2.8359375000000004</v>
      </c>
      <c r="AH42" s="10">
        <f t="shared" si="57"/>
        <v>-0.79633401221995936</v>
      </c>
      <c r="AI42" s="10">
        <f t="shared" si="57"/>
        <v>1.0300000000000002</v>
      </c>
      <c r="AJ42" s="10">
        <f t="shared" si="57"/>
        <v>0.60000000000000009</v>
      </c>
      <c r="AK42" s="10">
        <f t="shared" si="57"/>
        <v>0.30000000000000004</v>
      </c>
      <c r="AL42" s="10">
        <f t="shared" si="57"/>
        <v>0.19999999999999996</v>
      </c>
      <c r="AM42" s="10">
        <f t="shared" si="57"/>
        <v>0.14999999999999991</v>
      </c>
      <c r="AN42" s="10">
        <f t="shared" si="57"/>
        <v>0.12000000000000011</v>
      </c>
      <c r="AO42" s="10">
        <f t="shared" si="57"/>
        <v>8.0000000000000071E-2</v>
      </c>
      <c r="AP42" s="10">
        <f t="shared" si="57"/>
        <v>8.0000000000000071E-2</v>
      </c>
      <c r="AQ42" s="10">
        <f t="shared" si="57"/>
        <v>8.0000000000000071E-2</v>
      </c>
      <c r="AR42" s="10">
        <f t="shared" si="57"/>
        <v>8.0000000000000071E-2</v>
      </c>
      <c r="AS42" s="10">
        <f t="shared" si="57"/>
        <v>8.0000000000000071E-2</v>
      </c>
      <c r="AV42" t="s">
        <v>63</v>
      </c>
      <c r="AW42" s="10">
        <v>-0.01</v>
      </c>
    </row>
    <row r="43" spans="2:49" x14ac:dyDescent="0.3">
      <c r="B43" t="s">
        <v>52</v>
      </c>
      <c r="G43" s="10">
        <f t="shared" si="52"/>
        <v>0.53061224489795911</v>
      </c>
      <c r="H43" s="10">
        <f t="shared" si="52"/>
        <v>0.46774193548387077</v>
      </c>
      <c r="I43" s="10">
        <f t="shared" si="52"/>
        <v>0.75806451612903225</v>
      </c>
      <c r="J43" s="10">
        <f t="shared" si="52"/>
        <v>0.31343283582089554</v>
      </c>
      <c r="K43" s="10">
        <f t="shared" si="52"/>
        <v>0.28000000000000003</v>
      </c>
      <c r="L43" s="10">
        <f t="shared" si="52"/>
        <v>-7.6923076923076872E-2</v>
      </c>
      <c r="M43" s="10">
        <f t="shared" si="52"/>
        <v>9.1743119266054496E-3</v>
      </c>
      <c r="N43" s="10">
        <f t="shared" si="52"/>
        <v>-3.4090909090909172E-2</v>
      </c>
      <c r="O43" s="10">
        <f t="shared" si="52"/>
        <v>9.375E-2</v>
      </c>
      <c r="P43" s="10">
        <f t="shared" si="55"/>
        <v>0.67857142857142838</v>
      </c>
      <c r="Q43" s="10">
        <f t="shared" si="55"/>
        <v>0.21818181818181825</v>
      </c>
      <c r="R43" s="10">
        <f>R11/N11-1</f>
        <v>0.41176470588235303</v>
      </c>
      <c r="S43" s="10">
        <f t="shared" ref="S43:V43" si="58">S11/O11-1</f>
        <v>7.6190476190476364E-2</v>
      </c>
      <c r="T43" s="10">
        <f t="shared" si="58"/>
        <v>-0.14184397163120566</v>
      </c>
      <c r="U43" s="10">
        <f t="shared" si="58"/>
        <v>-7.4626865671641784E-2</v>
      </c>
      <c r="V43" s="10">
        <f t="shared" si="58"/>
        <v>1.6666666666666607E-2</v>
      </c>
      <c r="W43" s="10"/>
      <c r="X43" s="10"/>
      <c r="Y43" s="10"/>
      <c r="Z43" s="10"/>
      <c r="AC43" s="10">
        <f>AC11/AB11-1</f>
        <v>0.94444444444444442</v>
      </c>
      <c r="AD43" s="10">
        <f t="shared" ref="AD43:AS43" si="59">AD11/AC11-1</f>
        <v>0.42142857142857126</v>
      </c>
      <c r="AE43" s="10">
        <f t="shared" si="59"/>
        <v>0.20603015075376896</v>
      </c>
      <c r="AF43" s="10">
        <f t="shared" si="59"/>
        <v>0.51249999999999996</v>
      </c>
      <c r="AG43" s="10">
        <f t="shared" si="59"/>
        <v>3.3057851239669533E-2</v>
      </c>
      <c r="AH43" s="10">
        <f t="shared" si="59"/>
        <v>0.33333333333333326</v>
      </c>
      <c r="AI43" s="10">
        <f t="shared" si="59"/>
        <v>-4.0000000000000036E-2</v>
      </c>
      <c r="AJ43" s="10">
        <f t="shared" si="59"/>
        <v>0.20999999999999996</v>
      </c>
      <c r="AK43" s="10">
        <f t="shared" si="59"/>
        <v>0.14999999999999991</v>
      </c>
      <c r="AL43" s="10">
        <f t="shared" si="59"/>
        <v>0.14999999999999991</v>
      </c>
      <c r="AM43" s="10">
        <f t="shared" si="59"/>
        <v>0.14999999999999991</v>
      </c>
      <c r="AN43" s="10">
        <f t="shared" si="59"/>
        <v>0.14999999999999991</v>
      </c>
      <c r="AO43" s="10">
        <f t="shared" si="59"/>
        <v>0.14999999999999991</v>
      </c>
      <c r="AP43" s="10">
        <f t="shared" si="59"/>
        <v>0.14999999999999991</v>
      </c>
      <c r="AQ43" s="10">
        <f t="shared" si="59"/>
        <v>0.14999999999999991</v>
      </c>
      <c r="AR43" s="10">
        <f t="shared" si="59"/>
        <v>0.14999999999999991</v>
      </c>
      <c r="AS43" s="10">
        <f t="shared" si="59"/>
        <v>0.14999999999999991</v>
      </c>
      <c r="AV43" t="s">
        <v>64</v>
      </c>
      <c r="AW43" s="10">
        <v>0.12</v>
      </c>
    </row>
    <row r="44" spans="2:49" x14ac:dyDescent="0.3">
      <c r="B44" t="s">
        <v>53</v>
      </c>
      <c r="G44" s="10">
        <f t="shared" si="52"/>
        <v>-0.19607843137254899</v>
      </c>
      <c r="H44" s="10">
        <f t="shared" si="52"/>
        <v>-0.3380281690140845</v>
      </c>
      <c r="I44" s="10">
        <f t="shared" si="52"/>
        <v>-0.16129032258064513</v>
      </c>
      <c r="J44" s="10">
        <f t="shared" si="52"/>
        <v>2.7397260273972712E-2</v>
      </c>
      <c r="K44" s="10">
        <f t="shared" si="52"/>
        <v>9.7560975609756184E-2</v>
      </c>
      <c r="L44" s="10">
        <f t="shared" si="52"/>
        <v>-0.21276595744680848</v>
      </c>
      <c r="M44" s="10">
        <f t="shared" si="52"/>
        <v>-9.6153846153846145E-2</v>
      </c>
      <c r="N44" s="10">
        <f t="shared" si="52"/>
        <v>-0.42666666666666664</v>
      </c>
      <c r="O44" s="10">
        <f t="shared" si="52"/>
        <v>2.2222222222222143E-2</v>
      </c>
      <c r="P44" s="10">
        <f t="shared" si="55"/>
        <v>0.86486486486486491</v>
      </c>
      <c r="Q44" s="10">
        <f t="shared" si="55"/>
        <v>0.82978723404255295</v>
      </c>
      <c r="R44" s="10">
        <f>R12/N12-1</f>
        <v>0.48837209302325602</v>
      </c>
      <c r="S44" s="10">
        <f t="shared" ref="S44:V44" si="60">S12/O12-1</f>
        <v>0.23913043478260887</v>
      </c>
      <c r="T44" s="10">
        <f t="shared" si="60"/>
        <v>-0.4057971014492755</v>
      </c>
      <c r="U44" s="10">
        <f t="shared" si="60"/>
        <v>-0.38372093023255816</v>
      </c>
      <c r="V44" s="10">
        <f t="shared" si="60"/>
        <v>-0.140625</v>
      </c>
      <c r="W44" s="10"/>
      <c r="X44" s="10"/>
      <c r="Y44" s="10"/>
      <c r="Z44" s="10"/>
      <c r="AC44" s="10">
        <f>AC12/AB12-1</f>
        <v>0.40000000000000013</v>
      </c>
      <c r="AD44" s="10">
        <f t="shared" ref="AD44:AS44" si="61">AD12/AC12-1</f>
        <v>0.31632653061224492</v>
      </c>
      <c r="AE44" s="10">
        <f t="shared" si="61"/>
        <v>-3.8759689922480689E-3</v>
      </c>
      <c r="AF44" s="10">
        <f t="shared" si="61"/>
        <v>-0.16342412451361865</v>
      </c>
      <c r="AG44" s="10">
        <f t="shared" si="61"/>
        <v>-0.20000000000000007</v>
      </c>
      <c r="AH44" s="10">
        <f t="shared" si="61"/>
        <v>0.54069767441860472</v>
      </c>
      <c r="AI44" s="10">
        <f t="shared" si="61"/>
        <v>-0.22264150943396221</v>
      </c>
      <c r="AJ44" s="10">
        <f t="shared" si="61"/>
        <v>0.14999999999999991</v>
      </c>
      <c r="AK44" s="10">
        <f t="shared" si="61"/>
        <v>0.10000000000000009</v>
      </c>
      <c r="AL44" s="10">
        <f t="shared" si="61"/>
        <v>0.14999999999999991</v>
      </c>
      <c r="AM44" s="10">
        <f t="shared" si="61"/>
        <v>0.14999999999999991</v>
      </c>
      <c r="AN44" s="10">
        <f t="shared" si="61"/>
        <v>0.19999999999999996</v>
      </c>
      <c r="AO44" s="10">
        <f t="shared" si="61"/>
        <v>0.19999999999999996</v>
      </c>
      <c r="AP44" s="10">
        <f t="shared" si="61"/>
        <v>0.19999999999999996</v>
      </c>
      <c r="AQ44" s="10">
        <f t="shared" si="61"/>
        <v>0.19999999999999996</v>
      </c>
      <c r="AR44" s="10">
        <f t="shared" si="61"/>
        <v>0.19999999999999996</v>
      </c>
      <c r="AS44" s="10">
        <f t="shared" si="61"/>
        <v>0.19999999999999996</v>
      </c>
      <c r="AV44" t="s">
        <v>65</v>
      </c>
      <c r="AW44" s="6">
        <f>NPV(AW43,AI32:EV32)</f>
        <v>-38.094085836629063</v>
      </c>
    </row>
    <row r="45" spans="2:49" s="1" customFormat="1" x14ac:dyDescent="0.3">
      <c r="B45" s="1" t="s">
        <v>49</v>
      </c>
      <c r="G45" s="11">
        <f t="shared" si="52"/>
        <v>1.1342281879194629</v>
      </c>
      <c r="H45" s="11">
        <f t="shared" si="52"/>
        <v>0.17142857142857126</v>
      </c>
      <c r="I45" s="11">
        <f t="shared" si="52"/>
        <v>0.61797752808988782</v>
      </c>
      <c r="J45" s="11">
        <f t="shared" si="52"/>
        <v>1.8201438848920866</v>
      </c>
      <c r="K45" s="11">
        <f t="shared" si="52"/>
        <v>0.16666666666666674</v>
      </c>
      <c r="L45" s="11">
        <f t="shared" si="52"/>
        <v>1.3353658536585371</v>
      </c>
      <c r="M45" s="11">
        <f t="shared" si="52"/>
        <v>-0.40972222222222221</v>
      </c>
      <c r="N45" s="11">
        <f t="shared" si="52"/>
        <v>-0.42602040816326536</v>
      </c>
      <c r="O45" s="11">
        <f t="shared" si="52"/>
        <v>-0.54986522911051217</v>
      </c>
      <c r="P45" s="11">
        <f t="shared" si="55"/>
        <v>-0.41514360313315934</v>
      </c>
      <c r="Q45" s="11">
        <f t="shared" si="55"/>
        <v>-7.0588235294117729E-2</v>
      </c>
      <c r="R45" s="11">
        <f>R13/N13-1</f>
        <v>1.1955555555555555</v>
      </c>
      <c r="S45" s="11">
        <f t="shared" ref="S45:V45" si="62">S13/O13-1</f>
        <v>0.13173652694610793</v>
      </c>
      <c r="T45" s="11">
        <f t="shared" si="62"/>
        <v>0.66517857142857162</v>
      </c>
      <c r="U45" s="11">
        <f t="shared" si="62"/>
        <v>0.97468354430379733</v>
      </c>
      <c r="V45" s="11">
        <f t="shared" si="62"/>
        <v>0.11336032388663964</v>
      </c>
      <c r="W45" s="11"/>
      <c r="X45" s="11"/>
      <c r="Y45" s="11"/>
      <c r="Z45" s="11"/>
      <c r="AC45" s="11">
        <f>AC13/AB13-1</f>
        <v>-0.3217877094972067</v>
      </c>
      <c r="AD45" s="11">
        <f t="shared" ref="AD45:AS45" si="63">AD13/AC13-1</f>
        <v>0.16639209225700147</v>
      </c>
      <c r="AE45" s="11">
        <f t="shared" si="63"/>
        <v>-1.8361581920903869E-2</v>
      </c>
      <c r="AF45" s="11">
        <f t="shared" si="63"/>
        <v>0.87913669064748201</v>
      </c>
      <c r="AG45" s="11">
        <f t="shared" si="63"/>
        <v>-5.5130168453292328E-2</v>
      </c>
      <c r="AH45" s="11">
        <f t="shared" si="63"/>
        <v>-9.0761750405186525E-2</v>
      </c>
      <c r="AI45" s="11">
        <f t="shared" si="63"/>
        <v>0.40819964349376114</v>
      </c>
      <c r="AJ45" s="11">
        <f t="shared" si="63"/>
        <v>0.35724683544303804</v>
      </c>
      <c r="AK45" s="11">
        <f t="shared" si="63"/>
        <v>0.23727995523327672</v>
      </c>
      <c r="AL45" s="11">
        <f t="shared" si="63"/>
        <v>0.18250263352787188</v>
      </c>
      <c r="AM45" s="11">
        <f t="shared" si="63"/>
        <v>0.14999999999999991</v>
      </c>
      <c r="AN45" s="11">
        <f t="shared" si="63"/>
        <v>0.12502202299175158</v>
      </c>
      <c r="AO45" s="11">
        <f t="shared" si="63"/>
        <v>0.11948504244106006</v>
      </c>
      <c r="AP45" s="11">
        <f t="shared" si="63"/>
        <v>0.12067225585415464</v>
      </c>
      <c r="AQ45" s="11">
        <f t="shared" si="63"/>
        <v>0.12189424658351866</v>
      </c>
      <c r="AR45" s="11">
        <f t="shared" si="63"/>
        <v>0.12315043078604493</v>
      </c>
      <c r="AS45" s="11">
        <f t="shared" si="63"/>
        <v>0.12444003728730268</v>
      </c>
      <c r="AV45" t="s">
        <v>66</v>
      </c>
      <c r="AW45" s="6">
        <f>Main!D8</f>
        <v>210.80000000000007</v>
      </c>
    </row>
    <row r="46" spans="2:49" x14ac:dyDescent="0.3">
      <c r="B46" t="s">
        <v>54</v>
      </c>
      <c r="C46" s="10" t="e">
        <f t="shared" ref="C46:G49" si="64">(C9-C14)/C9</f>
        <v>#DIV/0!</v>
      </c>
      <c r="D46" s="10" t="e">
        <f t="shared" si="64"/>
        <v>#DIV/0!</v>
      </c>
      <c r="E46" s="10" t="e">
        <f t="shared" si="64"/>
        <v>#DIV/0!</v>
      </c>
      <c r="F46" s="10" t="e">
        <f t="shared" si="64"/>
        <v>#DIV/0!</v>
      </c>
      <c r="G46" s="10">
        <f t="shared" si="64"/>
        <v>-1.1111111111111072E-2</v>
      </c>
      <c r="H46" s="10" t="e">
        <f t="shared" ref="H46:R46" si="65">(H9-H14)/H9</f>
        <v>#DIV/0!</v>
      </c>
      <c r="I46" s="10">
        <f t="shared" si="65"/>
        <v>5.5555555555556347E-3</v>
      </c>
      <c r="J46" s="10">
        <f t="shared" si="65"/>
        <v>-5.4166666666666696E-2</v>
      </c>
      <c r="K46" s="10">
        <f t="shared" si="65"/>
        <v>0.89010989010989006</v>
      </c>
      <c r="L46" s="10" t="e">
        <f t="shared" si="65"/>
        <v>#DIV/0!</v>
      </c>
      <c r="M46" s="10" t="e">
        <f t="shared" si="65"/>
        <v>#DIV/0!</v>
      </c>
      <c r="N46" s="10">
        <f t="shared" si="65"/>
        <v>0.47619047619047616</v>
      </c>
      <c r="O46" s="10" t="e">
        <f t="shared" si="65"/>
        <v>#DIV/0!</v>
      </c>
      <c r="P46" s="10" t="e">
        <f t="shared" si="65"/>
        <v>#DIV/0!</v>
      </c>
      <c r="Q46" s="10">
        <f t="shared" si="65"/>
        <v>-13.000000000000002</v>
      </c>
      <c r="R46" s="10">
        <f t="shared" si="65"/>
        <v>-0.18503937007874027</v>
      </c>
      <c r="S46" s="10">
        <f t="shared" ref="S46:V46" si="66">(S9-S14)/S9</f>
        <v>-28.999999999999996</v>
      </c>
      <c r="T46" s="10">
        <f t="shared" si="66"/>
        <v>-0.25384615384615389</v>
      </c>
      <c r="U46" s="10">
        <f t="shared" si="66"/>
        <v>-0.11923076923076928</v>
      </c>
      <c r="V46" s="10">
        <f t="shared" si="66"/>
        <v>-0.15</v>
      </c>
      <c r="W46" s="10"/>
      <c r="X46" s="10"/>
      <c r="Y46" s="10"/>
      <c r="Z46" s="10"/>
      <c r="AC46" s="10">
        <f t="shared" ref="AC46:AS46" si="67">(AC9-AC14)/AC9</f>
        <v>-36.200000000000003</v>
      </c>
      <c r="AD46" s="10" t="e">
        <f t="shared" si="67"/>
        <v>#DIV/0!</v>
      </c>
      <c r="AE46" s="10" t="e">
        <f t="shared" si="67"/>
        <v>#DIV/0!</v>
      </c>
      <c r="AF46" s="10">
        <f t="shared" si="67"/>
        <v>-7.3333333333333195E-2</v>
      </c>
      <c r="AG46" s="10">
        <f t="shared" si="67"/>
        <v>0.3418367346938776</v>
      </c>
      <c r="AH46" s="10">
        <f t="shared" si="67"/>
        <v>-0.54085603112840475</v>
      </c>
      <c r="AI46" s="10">
        <f t="shared" si="67"/>
        <v>-0.19971056439942131</v>
      </c>
      <c r="AJ46" s="10">
        <f t="shared" si="67"/>
        <v>0</v>
      </c>
      <c r="AK46" s="10">
        <f t="shared" si="67"/>
        <v>5.000000000000001E-2</v>
      </c>
      <c r="AL46" s="10">
        <f t="shared" si="67"/>
        <v>9.9999999999999908E-2</v>
      </c>
      <c r="AM46" s="10">
        <f t="shared" si="67"/>
        <v>0.15000000000000008</v>
      </c>
      <c r="AN46" s="10">
        <f t="shared" si="67"/>
        <v>0.19999999999999996</v>
      </c>
      <c r="AO46" s="10">
        <f t="shared" si="67"/>
        <v>0.2</v>
      </c>
      <c r="AP46" s="10">
        <f t="shared" si="67"/>
        <v>0.19999999999999998</v>
      </c>
      <c r="AQ46" s="10">
        <f t="shared" si="67"/>
        <v>0.19999999999999998</v>
      </c>
      <c r="AR46" s="10">
        <f t="shared" si="67"/>
        <v>0.2</v>
      </c>
      <c r="AS46" s="10">
        <f t="shared" si="67"/>
        <v>0.19999999999999998</v>
      </c>
      <c r="AV46" t="s">
        <v>67</v>
      </c>
      <c r="AW46" s="6">
        <f>AW44+AW45</f>
        <v>172.70591416337101</v>
      </c>
    </row>
    <row r="47" spans="2:49" x14ac:dyDescent="0.3">
      <c r="B47" t="s">
        <v>55</v>
      </c>
      <c r="C47" s="10">
        <f t="shared" si="64"/>
        <v>-4.0816326530612096E-2</v>
      </c>
      <c r="D47" s="10">
        <f t="shared" si="64"/>
        <v>-3.1428571428571432</v>
      </c>
      <c r="E47" s="10">
        <f t="shared" si="64"/>
        <v>9.0909090909090953E-2</v>
      </c>
      <c r="F47" s="10">
        <f t="shared" si="64"/>
        <v>38</v>
      </c>
      <c r="G47" s="10">
        <f t="shared" si="64"/>
        <v>-9.0909090909090787E-2</v>
      </c>
      <c r="H47" s="10">
        <f t="shared" ref="H47:R47" si="68">(H10-H15)/H10</f>
        <v>-0.1538461538461538</v>
      </c>
      <c r="I47" s="10">
        <f t="shared" si="68"/>
        <v>0.1538461538461538</v>
      </c>
      <c r="J47" s="10">
        <f t="shared" si="68"/>
        <v>4.7272727272727266</v>
      </c>
      <c r="K47" s="10">
        <f t="shared" si="68"/>
        <v>0.21582733812949639</v>
      </c>
      <c r="L47" s="10">
        <f t="shared" si="68"/>
        <v>0.23282442748091595</v>
      </c>
      <c r="M47" s="10">
        <f t="shared" si="68"/>
        <v>2.0408163265306228E-2</v>
      </c>
      <c r="N47" s="10">
        <f t="shared" si="68"/>
        <v>6.3749999999999991</v>
      </c>
      <c r="O47" s="10">
        <f t="shared" si="68"/>
        <v>-0.18749999999999989</v>
      </c>
      <c r="P47" s="10">
        <f t="shared" si="68"/>
        <v>7.1428571428571341E-2</v>
      </c>
      <c r="Q47" s="10">
        <f t="shared" si="68"/>
        <v>0.21428571428571416</v>
      </c>
      <c r="R47" s="10">
        <f t="shared" si="68"/>
        <v>-0.21428571428571433</v>
      </c>
      <c r="S47" s="10">
        <f t="shared" ref="S47:V47" si="69">(S10-S15)/S10</f>
        <v>5.5555555555555601E-2</v>
      </c>
      <c r="T47" s="10">
        <f t="shared" si="69"/>
        <v>-0.1234567901234568</v>
      </c>
      <c r="U47" s="10">
        <f t="shared" si="69"/>
        <v>-0.16129032258064516</v>
      </c>
      <c r="V47" s="10">
        <f t="shared" si="69"/>
        <v>-0.13698630136986314</v>
      </c>
      <c r="W47" s="10"/>
      <c r="X47" s="10"/>
      <c r="Y47" s="10"/>
      <c r="Z47" s="10"/>
      <c r="AC47" s="10">
        <f t="shared" ref="AC47:AS47" si="70">(AC10-AC15)/AC10</f>
        <v>0.28947368421052638</v>
      </c>
      <c r="AD47" s="10">
        <f t="shared" si="70"/>
        <v>0.42231075697211157</v>
      </c>
      <c r="AE47" s="10">
        <f t="shared" si="70"/>
        <v>-0.2474747474747474</v>
      </c>
      <c r="AF47" s="10">
        <f t="shared" si="70"/>
        <v>-0.34375000000000017</v>
      </c>
      <c r="AG47" s="10">
        <f t="shared" si="70"/>
        <v>8.55397148676173E-2</v>
      </c>
      <c r="AH47" s="10">
        <f t="shared" si="70"/>
        <v>-0.11000000000000014</v>
      </c>
      <c r="AI47" s="10">
        <f t="shared" si="70"/>
        <v>-0.1182266009852216</v>
      </c>
      <c r="AJ47" s="10">
        <f>(AJ10-AJ15)/AJ10</f>
        <v>0.10000000000000002</v>
      </c>
      <c r="AK47" s="10">
        <f t="shared" si="70"/>
        <v>0.2</v>
      </c>
      <c r="AL47" s="10">
        <f t="shared" si="70"/>
        <v>0.1999999999999999</v>
      </c>
      <c r="AM47" s="10">
        <f t="shared" si="70"/>
        <v>0.2</v>
      </c>
      <c r="AN47" s="10">
        <f t="shared" si="70"/>
        <v>0.19999999999999998</v>
      </c>
      <c r="AO47" s="10">
        <f t="shared" si="70"/>
        <v>0.19999999999999998</v>
      </c>
      <c r="AP47" s="10">
        <f t="shared" si="70"/>
        <v>0.19999999999999996</v>
      </c>
      <c r="AQ47" s="10">
        <f t="shared" si="70"/>
        <v>0.20000000000000004</v>
      </c>
      <c r="AR47" s="10">
        <f t="shared" si="70"/>
        <v>0.20000000000000004</v>
      </c>
      <c r="AS47" s="10">
        <f t="shared" si="70"/>
        <v>0.19999999999999993</v>
      </c>
      <c r="AV47" t="s">
        <v>68</v>
      </c>
      <c r="AW47" s="5">
        <f>AW46/AS33</f>
        <v>3.6206690600287419</v>
      </c>
    </row>
    <row r="48" spans="2:49" x14ac:dyDescent="0.3">
      <c r="B48" t="s">
        <v>56</v>
      </c>
      <c r="C48" s="10">
        <f t="shared" si="64"/>
        <v>-0.44897959183673453</v>
      </c>
      <c r="D48" s="10">
        <f t="shared" si="64"/>
        <v>-0.5161290322580645</v>
      </c>
      <c r="E48" s="10">
        <f t="shared" si="64"/>
        <v>-8.0645161290322578E-2</v>
      </c>
      <c r="F48" s="10">
        <f t="shared" si="64"/>
        <v>-0.91044776119402993</v>
      </c>
      <c r="G48" s="10">
        <f t="shared" si="64"/>
        <v>-0.42666666666666658</v>
      </c>
      <c r="H48" s="10">
        <f t="shared" ref="H48:R48" si="71">(H11-H16)/H11</f>
        <v>-0.5494505494505495</v>
      </c>
      <c r="I48" s="10">
        <f t="shared" si="71"/>
        <v>-0.66055045871559637</v>
      </c>
      <c r="J48" s="10">
        <f t="shared" si="71"/>
        <v>-1.2954545454545452</v>
      </c>
      <c r="K48" s="10">
        <f t="shared" si="71"/>
        <v>-0.72916666666666685</v>
      </c>
      <c r="L48" s="10">
        <f t="shared" si="71"/>
        <v>-1.0357142857142858</v>
      </c>
      <c r="M48" s="10">
        <f t="shared" si="71"/>
        <v>-0.59090909090909094</v>
      </c>
      <c r="N48" s="10">
        <f t="shared" si="71"/>
        <v>-0.37647058823529406</v>
      </c>
      <c r="O48" s="10">
        <f t="shared" si="71"/>
        <v>-0.99047619047619029</v>
      </c>
      <c r="P48" s="10">
        <f t="shared" si="71"/>
        <v>-0.51773049645390068</v>
      </c>
      <c r="Q48" s="10">
        <f t="shared" si="71"/>
        <v>-0.40298507462686567</v>
      </c>
      <c r="R48" s="10">
        <f t="shared" si="71"/>
        <v>-0.56666666666666676</v>
      </c>
      <c r="S48" s="10">
        <f t="shared" ref="S48:V48" si="72">(S11-S16)/S11</f>
        <v>-0.35398230088495575</v>
      </c>
      <c r="T48" s="10">
        <f t="shared" si="72"/>
        <v>-0.52066115702479332</v>
      </c>
      <c r="U48" s="10">
        <f t="shared" si="72"/>
        <v>-0.2338709677419355</v>
      </c>
      <c r="V48" s="10">
        <f t="shared" si="72"/>
        <v>-0.22131147540983617</v>
      </c>
      <c r="W48" s="10"/>
      <c r="X48" s="10"/>
      <c r="Y48" s="10"/>
      <c r="Z48" s="10"/>
      <c r="AC48" s="10">
        <f t="shared" ref="AC48:AS48" si="73">(AC11-AC16)/AC11</f>
        <v>-1.2571428571428573</v>
      </c>
      <c r="AD48" s="10">
        <f t="shared" si="73"/>
        <v>-0.4020100502512563</v>
      </c>
      <c r="AE48" s="10">
        <f t="shared" si="73"/>
        <v>-0.5</v>
      </c>
      <c r="AF48" s="10">
        <f t="shared" si="73"/>
        <v>-0.73829201101928377</v>
      </c>
      <c r="AG48" s="10">
        <f t="shared" si="73"/>
        <v>-0.67733333333333345</v>
      </c>
      <c r="AH48" s="10">
        <f t="shared" si="73"/>
        <v>-0.59799999999999986</v>
      </c>
      <c r="AI48" s="10">
        <f t="shared" si="73"/>
        <v>-0.33124999999999999</v>
      </c>
      <c r="AJ48" s="10">
        <f t="shared" si="73"/>
        <v>-0.10000000000000012</v>
      </c>
      <c r="AK48" s="10">
        <f t="shared" si="73"/>
        <v>9.9999999999999936E-2</v>
      </c>
      <c r="AL48" s="10">
        <f t="shared" si="73"/>
        <v>0.19999999999999998</v>
      </c>
      <c r="AM48" s="10">
        <f t="shared" si="73"/>
        <v>0.20000000000000004</v>
      </c>
      <c r="AN48" s="10">
        <f t="shared" si="73"/>
        <v>0.23000000000000004</v>
      </c>
      <c r="AO48" s="10">
        <f t="shared" si="73"/>
        <v>0.24999999999999997</v>
      </c>
      <c r="AP48" s="10">
        <f t="shared" si="73"/>
        <v>0.26</v>
      </c>
      <c r="AQ48" s="10">
        <f t="shared" si="73"/>
        <v>0.25999999999999995</v>
      </c>
      <c r="AR48" s="10">
        <f t="shared" si="73"/>
        <v>0.25999999999999995</v>
      </c>
      <c r="AS48" s="10">
        <f t="shared" si="73"/>
        <v>0.25999999999999995</v>
      </c>
      <c r="AV48" t="s">
        <v>69</v>
      </c>
      <c r="AW48" s="5">
        <f>Main!D3</f>
        <v>8.34</v>
      </c>
    </row>
    <row r="49" spans="2:49" x14ac:dyDescent="0.3">
      <c r="B49" t="s">
        <v>57</v>
      </c>
      <c r="C49" s="10">
        <f t="shared" si="64"/>
        <v>0.23529411764705879</v>
      </c>
      <c r="D49" s="10">
        <f t="shared" si="64"/>
        <v>0.36619718309859151</v>
      </c>
      <c r="E49" s="10">
        <f t="shared" si="64"/>
        <v>0.33870967741935493</v>
      </c>
      <c r="F49" s="10">
        <f t="shared" si="64"/>
        <v>0.45205479452054792</v>
      </c>
      <c r="G49" s="10">
        <f t="shared" si="64"/>
        <v>0.17073170731707313</v>
      </c>
      <c r="H49" s="10">
        <f t="shared" ref="H49:R49" si="74">(H12-H17)/H12</f>
        <v>0.25531914893617025</v>
      </c>
      <c r="I49" s="10">
        <f t="shared" si="74"/>
        <v>0.32692307692307693</v>
      </c>
      <c r="J49" s="10">
        <f t="shared" si="74"/>
        <v>0.36000000000000004</v>
      </c>
      <c r="K49" s="10">
        <f t="shared" si="74"/>
        <v>0.26666666666666672</v>
      </c>
      <c r="L49" s="10">
        <f t="shared" si="74"/>
        <v>-2.7027027027026931E-2</v>
      </c>
      <c r="M49" s="10">
        <f t="shared" si="74"/>
        <v>0.19148936170212774</v>
      </c>
      <c r="N49" s="10">
        <f t="shared" si="74"/>
        <v>0.44186046511627908</v>
      </c>
      <c r="O49" s="10">
        <f t="shared" si="74"/>
        <v>0.30434782608695643</v>
      </c>
      <c r="P49" s="10">
        <f t="shared" si="74"/>
        <v>0.43478260869565222</v>
      </c>
      <c r="Q49" s="10">
        <f t="shared" si="74"/>
        <v>0.32558139534883718</v>
      </c>
      <c r="R49" s="10">
        <f t="shared" si="74"/>
        <v>0.28125000000000011</v>
      </c>
      <c r="S49" s="10">
        <f t="shared" ref="S49:V49" si="75">(S12-S17)/S12</f>
        <v>0.26315789473684209</v>
      </c>
      <c r="T49" s="10">
        <f t="shared" si="75"/>
        <v>0.24390243902439016</v>
      </c>
      <c r="U49" s="10">
        <f t="shared" si="75"/>
        <v>0.28301886792452829</v>
      </c>
      <c r="V49" s="10">
        <f t="shared" si="75"/>
        <v>0.27272727272727271</v>
      </c>
      <c r="W49" s="10"/>
      <c r="X49" s="10"/>
      <c r="Y49" s="10"/>
      <c r="Z49" s="10"/>
      <c r="AC49" s="10">
        <f t="shared" ref="AC49:AS49" si="76">(AC12-AC17)/AC12</f>
        <v>0.3418367346938776</v>
      </c>
      <c r="AD49" s="10">
        <f t="shared" si="76"/>
        <v>0.36821705426356588</v>
      </c>
      <c r="AE49" s="10">
        <f t="shared" si="76"/>
        <v>0.35797665369649806</v>
      </c>
      <c r="AF49" s="10">
        <f t="shared" si="76"/>
        <v>0.2930232558139535</v>
      </c>
      <c r="AG49" s="10">
        <f t="shared" si="76"/>
        <v>0.22674418604651167</v>
      </c>
      <c r="AH49" s="10">
        <f t="shared" si="76"/>
        <v>0.33962264150943394</v>
      </c>
      <c r="AI49" s="10">
        <f t="shared" si="76"/>
        <v>0.26699029126213591</v>
      </c>
      <c r="AJ49" s="10">
        <f t="shared" si="76"/>
        <v>0.55000000000000004</v>
      </c>
      <c r="AK49" s="10">
        <f t="shared" si="76"/>
        <v>0.6</v>
      </c>
      <c r="AL49" s="10">
        <f t="shared" si="76"/>
        <v>0.62</v>
      </c>
      <c r="AM49" s="10">
        <f t="shared" si="76"/>
        <v>0.63</v>
      </c>
      <c r="AN49" s="10">
        <f t="shared" si="76"/>
        <v>0.63</v>
      </c>
      <c r="AO49" s="10">
        <f t="shared" si="76"/>
        <v>0.63</v>
      </c>
      <c r="AP49" s="10">
        <f t="shared" si="76"/>
        <v>0.63</v>
      </c>
      <c r="AQ49" s="10">
        <f t="shared" si="76"/>
        <v>0.63</v>
      </c>
      <c r="AR49" s="10">
        <f t="shared" si="76"/>
        <v>0.63</v>
      </c>
      <c r="AS49" s="10">
        <f t="shared" si="76"/>
        <v>0.63</v>
      </c>
      <c r="AV49" s="1" t="s">
        <v>70</v>
      </c>
      <c r="AW49" s="11">
        <f>AW47/AW48-1</f>
        <v>-0.56586701918120608</v>
      </c>
    </row>
    <row r="50" spans="2:49" s="1" customFormat="1" x14ac:dyDescent="0.3">
      <c r="B50" s="1" t="s">
        <v>58</v>
      </c>
      <c r="C50" s="11">
        <f t="shared" ref="C50:F50" si="77">C19/C13</f>
        <v>-0.24161073825503351</v>
      </c>
      <c r="D50" s="11">
        <f t="shared" si="77"/>
        <v>-0.33571428571428569</v>
      </c>
      <c r="E50" s="11">
        <f t="shared" si="77"/>
        <v>3.745318352059912E-2</v>
      </c>
      <c r="F50" s="11">
        <f t="shared" si="77"/>
        <v>-0.60431654676258995</v>
      </c>
      <c r="G50" s="11">
        <f>G19/G13</f>
        <v>-9.1194968553459085E-2</v>
      </c>
      <c r="H50" s="11">
        <f t="shared" ref="H50:R50" si="78">H19/H13</f>
        <v>-0.43902439024390266</v>
      </c>
      <c r="I50" s="11">
        <f t="shared" si="78"/>
        <v>-9.2592592592592587E-2</v>
      </c>
      <c r="J50" s="11">
        <f t="shared" si="78"/>
        <v>-0.38775510204081604</v>
      </c>
      <c r="K50" s="11">
        <f t="shared" si="78"/>
        <v>0.14285714285714288</v>
      </c>
      <c r="L50" s="11">
        <f t="shared" si="78"/>
        <v>-0.16187989556135757</v>
      </c>
      <c r="M50" s="11">
        <f t="shared" si="78"/>
        <v>-0.32549019607843127</v>
      </c>
      <c r="N50" s="11">
        <f t="shared" si="78"/>
        <v>-6.2222222222222158E-2</v>
      </c>
      <c r="O50" s="11">
        <f t="shared" si="78"/>
        <v>-0.70059880239520955</v>
      </c>
      <c r="P50" s="11">
        <f t="shared" si="78"/>
        <v>-0.31696428571428564</v>
      </c>
      <c r="Q50" s="11">
        <f t="shared" si="78"/>
        <v>-0.2616033755274263</v>
      </c>
      <c r="R50" s="11">
        <f t="shared" si="78"/>
        <v>-0.22064777327935234</v>
      </c>
      <c r="S50" s="11">
        <f t="shared" ref="S50:V50" si="79">S19/S13</f>
        <v>-0.28042328042328024</v>
      </c>
      <c r="T50" s="11">
        <f t="shared" si="79"/>
        <v>-0.25737265415549582</v>
      </c>
      <c r="U50" s="11">
        <f t="shared" si="79"/>
        <v>-0.10683760683760685</v>
      </c>
      <c r="V50" s="11">
        <f t="shared" si="79"/>
        <v>-0.12181818181818174</v>
      </c>
      <c r="W50" s="11"/>
      <c r="X50" s="11"/>
      <c r="Y50" s="11"/>
      <c r="Z50" s="11"/>
      <c r="AC50" s="11">
        <f t="shared" ref="AC50:AS50" si="80">AC19/AC13</f>
        <v>-0.3509060955518945</v>
      </c>
      <c r="AD50" s="11">
        <f t="shared" si="80"/>
        <v>3.1073446327683656E-2</v>
      </c>
      <c r="AE50" s="11">
        <f t="shared" si="80"/>
        <v>-0.2258992805755394</v>
      </c>
      <c r="AF50" s="11">
        <f t="shared" si="80"/>
        <v>-0.22434915773353739</v>
      </c>
      <c r="AG50" s="11">
        <f t="shared" si="80"/>
        <v>-8.5899513776336936E-2</v>
      </c>
      <c r="AH50" s="11">
        <f t="shared" si="80"/>
        <v>-0.31996434937611401</v>
      </c>
      <c r="AI50" s="11">
        <f t="shared" si="80"/>
        <v>-0.16835443037974679</v>
      </c>
      <c r="AJ50" s="11">
        <f t="shared" si="80"/>
        <v>4.8821376110424503E-2</v>
      </c>
      <c r="AK50" s="11">
        <f t="shared" si="80"/>
        <v>0.14047520337996117</v>
      </c>
      <c r="AL50" s="11">
        <f t="shared" si="80"/>
        <v>0.19029830440732332</v>
      </c>
      <c r="AM50" s="11">
        <f t="shared" si="80"/>
        <v>0.21616235484339291</v>
      </c>
      <c r="AN50" s="11">
        <f t="shared" si="80"/>
        <v>0.25131596880521989</v>
      </c>
      <c r="AO50" s="11">
        <f t="shared" si="80"/>
        <v>0.25981279127442564</v>
      </c>
      <c r="AP50" s="11">
        <f t="shared" si="80"/>
        <v>0.26611119862632054</v>
      </c>
      <c r="AQ50" s="11">
        <f t="shared" si="80"/>
        <v>0.27000842008782877</v>
      </c>
      <c r="AR50" s="11">
        <f t="shared" si="80"/>
        <v>0.2740763490999939</v>
      </c>
      <c r="AS50" s="11">
        <f t="shared" si="80"/>
        <v>0.27831543042836426</v>
      </c>
      <c r="AV50" t="s">
        <v>71</v>
      </c>
      <c r="AW50" s="7" t="s">
        <v>140</v>
      </c>
    </row>
    <row r="51" spans="2:49" x14ac:dyDescent="0.3">
      <c r="B51" t="s">
        <v>59</v>
      </c>
      <c r="G51" s="10">
        <f>G20/C20-1</f>
        <v>3.1573033707865168</v>
      </c>
      <c r="H51" s="10">
        <f t="shared" ref="H51:R51" si="81">H20/D20-1</f>
        <v>0.36082474226804129</v>
      </c>
      <c r="I51" s="10">
        <f t="shared" si="81"/>
        <v>0.63218390804597702</v>
      </c>
      <c r="J51" s="10">
        <f t="shared" si="81"/>
        <v>0.42990654205607504</v>
      </c>
      <c r="K51" s="10">
        <f t="shared" si="81"/>
        <v>-0.59459459459459452</v>
      </c>
      <c r="L51" s="10">
        <f t="shared" si="81"/>
        <v>0.14393939393939403</v>
      </c>
      <c r="M51" s="10">
        <f t="shared" si="81"/>
        <v>0.23943661971830998</v>
      </c>
      <c r="N51" s="10">
        <f t="shared" si="81"/>
        <v>0.10457516339869266</v>
      </c>
      <c r="O51" s="10">
        <f t="shared" si="81"/>
        <v>9.3333333333333268E-2</v>
      </c>
      <c r="P51" s="10">
        <f t="shared" si="81"/>
        <v>0.17218543046357615</v>
      </c>
      <c r="Q51" s="10">
        <f t="shared" si="81"/>
        <v>-0.17045454545454553</v>
      </c>
      <c r="R51" s="10">
        <f t="shared" si="81"/>
        <v>-5.9171597633135953E-2</v>
      </c>
      <c r="S51" s="10">
        <f t="shared" ref="S51:V52" si="82">S20/O20-1</f>
        <v>-8.536585365853655E-2</v>
      </c>
      <c r="T51" s="10">
        <f t="shared" si="82"/>
        <v>-6.7796610169491456E-2</v>
      </c>
      <c r="U51" s="10">
        <f t="shared" si="82"/>
        <v>-3.4246575342465779E-2</v>
      </c>
      <c r="V51" s="10">
        <f t="shared" si="82"/>
        <v>-4.4025157232704504E-2</v>
      </c>
      <c r="W51" s="10"/>
      <c r="X51" s="10"/>
      <c r="Y51" s="10"/>
      <c r="Z51" s="10"/>
      <c r="AC51" s="10">
        <f>AC20/AB20-1</f>
        <v>0.28112449799196781</v>
      </c>
      <c r="AD51" s="10">
        <f t="shared" ref="AD51:AS51" si="83">AD20/AC20-1</f>
        <v>-0.16614420062695912</v>
      </c>
      <c r="AE51" s="10">
        <f t="shared" si="83"/>
        <v>0.4285714285714286</v>
      </c>
      <c r="AF51" s="10">
        <f t="shared" si="83"/>
        <v>1.0973684210526318</v>
      </c>
      <c r="AG51" s="10">
        <f t="shared" si="83"/>
        <v>-0.18946047678795497</v>
      </c>
      <c r="AH51" s="10">
        <f t="shared" si="83"/>
        <v>0</v>
      </c>
      <c r="AI51" s="10">
        <f t="shared" si="83"/>
        <v>-5.8823529411764719E-2</v>
      </c>
      <c r="AJ51" s="10">
        <f t="shared" si="83"/>
        <v>1.0000000000000009E-2</v>
      </c>
      <c r="AK51" s="10">
        <f t="shared" si="83"/>
        <v>2.0000000000000018E-2</v>
      </c>
      <c r="AL51" s="10">
        <f t="shared" si="83"/>
        <v>2.0000000000000018E-2</v>
      </c>
      <c r="AM51" s="10">
        <f t="shared" si="83"/>
        <v>2.0000000000000018E-2</v>
      </c>
      <c r="AN51" s="10">
        <f t="shared" si="83"/>
        <v>2.0000000000000018E-2</v>
      </c>
      <c r="AO51" s="10">
        <f t="shared" si="83"/>
        <v>2.0000000000000018E-2</v>
      </c>
      <c r="AP51" s="10">
        <f t="shared" si="83"/>
        <v>2.0000000000000018E-2</v>
      </c>
      <c r="AQ51" s="10">
        <f t="shared" si="83"/>
        <v>2.0000000000000018E-2</v>
      </c>
      <c r="AR51" s="10">
        <f t="shared" si="83"/>
        <v>2.0000000000000018E-2</v>
      </c>
      <c r="AS51" s="10">
        <f t="shared" si="83"/>
        <v>2.0000000000000018E-2</v>
      </c>
    </row>
    <row r="52" spans="2:49" x14ac:dyDescent="0.3">
      <c r="B52" t="s">
        <v>60</v>
      </c>
      <c r="G52" s="10">
        <f>G21/C21-1</f>
        <v>1.7777777777777777</v>
      </c>
      <c r="H52" s="10">
        <f t="shared" ref="H52:R52" si="84">H21/D21-1</f>
        <v>1.5666666666666669</v>
      </c>
      <c r="I52" s="10">
        <f t="shared" si="84"/>
        <v>2.2333333333333329</v>
      </c>
      <c r="J52" s="10">
        <f t="shared" si="84"/>
        <v>2.4857142857142853</v>
      </c>
      <c r="K52" s="10">
        <f t="shared" si="84"/>
        <v>1.54</v>
      </c>
      <c r="L52" s="10">
        <f t="shared" si="84"/>
        <v>0.90909090909090895</v>
      </c>
      <c r="M52" s="10">
        <f t="shared" si="84"/>
        <v>0.60824742268041243</v>
      </c>
      <c r="N52" s="10">
        <f t="shared" si="84"/>
        <v>0.47540983606557385</v>
      </c>
      <c r="O52" s="10">
        <f t="shared" si="84"/>
        <v>0.13385826771653542</v>
      </c>
      <c r="P52" s="10">
        <f t="shared" si="84"/>
        <v>0.12925170068027225</v>
      </c>
      <c r="Q52" s="10">
        <f t="shared" si="84"/>
        <v>-0.1794871794871794</v>
      </c>
      <c r="R52" s="10">
        <f t="shared" si="84"/>
        <v>-0.35555555555555562</v>
      </c>
      <c r="S52" s="10">
        <f t="shared" si="82"/>
        <v>-0.22916666666666674</v>
      </c>
      <c r="T52" s="10">
        <f t="shared" si="82"/>
        <v>-0.40361445783132532</v>
      </c>
      <c r="U52" s="10">
        <f t="shared" si="82"/>
        <v>-0.40625000000000011</v>
      </c>
      <c r="V52" s="10">
        <f t="shared" si="82"/>
        <v>-0.52586206896551724</v>
      </c>
      <c r="W52" s="10"/>
      <c r="X52" s="10"/>
      <c r="Y52" s="10"/>
      <c r="Z52" s="10"/>
      <c r="AC52" s="10">
        <f>AC21/AB21-1</f>
        <v>-0.39473684210526316</v>
      </c>
      <c r="AD52" s="10">
        <f t="shared" ref="AD52:AS52" si="85">AD21/AC21-1</f>
        <v>-0.65217391304347827</v>
      </c>
      <c r="AE52" s="10">
        <f t="shared" si="85"/>
        <v>1.354166666666667</v>
      </c>
      <c r="AF52" s="10">
        <f t="shared" si="85"/>
        <v>2.0619469026548667</v>
      </c>
      <c r="AG52" s="10">
        <f t="shared" si="85"/>
        <v>0.76300578034682109</v>
      </c>
      <c r="AH52" s="10">
        <f t="shared" si="85"/>
        <v>-9.1803278688524559E-2</v>
      </c>
      <c r="AI52" s="10">
        <f t="shared" si="85"/>
        <v>-0.38447653429602879</v>
      </c>
      <c r="AJ52" s="10">
        <f t="shared" si="85"/>
        <v>-0.2082111436950147</v>
      </c>
      <c r="AK52" s="10">
        <f t="shared" si="85"/>
        <v>0.10000000000000009</v>
      </c>
      <c r="AL52" s="10">
        <f t="shared" si="85"/>
        <v>5.0000000000000044E-2</v>
      </c>
      <c r="AM52" s="10">
        <f t="shared" si="85"/>
        <v>4.0000000000000036E-2</v>
      </c>
      <c r="AN52" s="10">
        <f t="shared" si="85"/>
        <v>3.0000000000000027E-2</v>
      </c>
      <c r="AO52" s="10">
        <f t="shared" si="85"/>
        <v>2.0000000000000018E-2</v>
      </c>
      <c r="AP52" s="10">
        <f t="shared" si="85"/>
        <v>2.0000000000000018E-2</v>
      </c>
      <c r="AQ52" s="10">
        <f t="shared" si="85"/>
        <v>2.0000000000000018E-2</v>
      </c>
      <c r="AR52" s="10">
        <f t="shared" si="85"/>
        <v>2.0000000000000018E-2</v>
      </c>
      <c r="AS52" s="10">
        <f t="shared" si="85"/>
        <v>2.0000000000000018E-2</v>
      </c>
    </row>
    <row r="53" spans="2:49" x14ac:dyDescent="0.3">
      <c r="B53" s="1" t="s">
        <v>62</v>
      </c>
      <c r="C53" s="11">
        <f>C25/C13</f>
        <v>-0.95973154362416113</v>
      </c>
      <c r="D53" s="11">
        <f t="shared" ref="D53:R53" si="86">D25/D13</f>
        <v>-1.2428571428571427</v>
      </c>
      <c r="E53" s="11">
        <f t="shared" si="86"/>
        <v>-0.40074906367041208</v>
      </c>
      <c r="F53" s="11">
        <f t="shared" si="86"/>
        <v>-1.6258992805755397</v>
      </c>
      <c r="G53" s="11">
        <f t="shared" si="86"/>
        <v>-1.4119496855345912</v>
      </c>
      <c r="H53" s="11">
        <f t="shared" si="86"/>
        <v>-1.7134146341463417</v>
      </c>
      <c r="I53" s="11">
        <f t="shared" si="86"/>
        <v>-0.64583333333333326</v>
      </c>
      <c r="J53" s="11">
        <f t="shared" si="86"/>
        <v>-1.089285714285714</v>
      </c>
      <c r="K53" s="11">
        <f t="shared" si="86"/>
        <v>-0.60377358490566035</v>
      </c>
      <c r="L53" s="11">
        <f t="shared" si="86"/>
        <v>-0.93994778067885087</v>
      </c>
      <c r="M53" s="11">
        <f t="shared" si="86"/>
        <v>-1.6274509803921569</v>
      </c>
      <c r="N53" s="11">
        <f t="shared" si="86"/>
        <v>-1.6133333333333333</v>
      </c>
      <c r="O53" s="11">
        <f t="shared" si="86"/>
        <v>-2.5449101796407185</v>
      </c>
      <c r="P53" s="11">
        <f t="shared" si="86"/>
        <v>-1.8482142857142854</v>
      </c>
      <c r="Q53" s="11">
        <f t="shared" si="86"/>
        <v>-1.4177215189873418</v>
      </c>
      <c r="R53" s="11">
        <f t="shared" si="86"/>
        <v>-0.82995951417004066</v>
      </c>
      <c r="S53" s="11">
        <f t="shared" ref="S53:V53" si="87">S25/S13</f>
        <v>-1.7407407407407405</v>
      </c>
      <c r="T53" s="11">
        <f t="shared" si="87"/>
        <v>-0.96514745308310956</v>
      </c>
      <c r="U53" s="11">
        <f t="shared" si="87"/>
        <v>-2.0363247863247862</v>
      </c>
      <c r="V53" s="11">
        <f t="shared" si="87"/>
        <v>-0.51636363636363625</v>
      </c>
      <c r="W53" s="11"/>
      <c r="X53" s="11"/>
      <c r="Y53" s="11"/>
      <c r="Z53" s="11"/>
      <c r="AA53" s="1"/>
      <c r="AB53" s="1"/>
      <c r="AC53" s="11">
        <f t="shared" ref="AC53:AS53" si="88">AC25/AC13</f>
        <v>-1.1037891268533773</v>
      </c>
      <c r="AD53" s="11">
        <f t="shared" si="88"/>
        <v>-0.41242937853107348</v>
      </c>
      <c r="AE53" s="11">
        <f t="shared" si="88"/>
        <v>-0.93525179856115093</v>
      </c>
      <c r="AF53" s="11">
        <f t="shared" si="88"/>
        <v>-1.0995405819295556</v>
      </c>
      <c r="AG53" s="11">
        <f t="shared" si="88"/>
        <v>-1.1037277147487841</v>
      </c>
      <c r="AH53" s="11">
        <f t="shared" si="88"/>
        <v>-1.4126559714795008</v>
      </c>
      <c r="AI53" s="11">
        <f t="shared" si="88"/>
        <v>-1.218987341772152</v>
      </c>
      <c r="AJ53" s="11">
        <f t="shared" si="88"/>
        <v>-0.36344284082165595</v>
      </c>
      <c r="AK53" s="11">
        <f t="shared" si="88"/>
        <v>-0.20753173895755628</v>
      </c>
      <c r="AL53" s="11">
        <f t="shared" si="88"/>
        <v>-0.11272443093127971</v>
      </c>
      <c r="AM53" s="11">
        <f t="shared" si="88"/>
        <v>-5.4334226058703708E-2</v>
      </c>
      <c r="AN53" s="11">
        <f t="shared" si="88"/>
        <v>5.2715595105940457E-3</v>
      </c>
      <c r="AO53" s="11">
        <f t="shared" si="88"/>
        <v>3.5633558889789717E-2</v>
      </c>
      <c r="AP53" s="11">
        <f t="shared" si="88"/>
        <v>6.2070440199543712E-2</v>
      </c>
      <c r="AQ53" s="11">
        <f t="shared" si="88"/>
        <v>8.4499336474020526E-2</v>
      </c>
      <c r="AR53" s="11">
        <f t="shared" si="88"/>
        <v>0.1056044684867639</v>
      </c>
      <c r="AS53" s="11">
        <f t="shared" si="88"/>
        <v>0.12549152472676756</v>
      </c>
    </row>
    <row r="54" spans="2:49" x14ac:dyDescent="0.3">
      <c r="B54" t="s">
        <v>41</v>
      </c>
      <c r="C54" s="10">
        <f t="shared" ref="C54:F54" si="89">C30/C29</f>
        <v>0</v>
      </c>
      <c r="D54" s="10">
        <f t="shared" si="89"/>
        <v>0</v>
      </c>
      <c r="E54" s="10">
        <f t="shared" si="89"/>
        <v>0</v>
      </c>
      <c r="F54" s="10">
        <f t="shared" si="89"/>
        <v>0</v>
      </c>
      <c r="G54" s="10">
        <f>G30/G29</f>
        <v>0</v>
      </c>
      <c r="H54" s="10">
        <f t="shared" ref="H54:R54" si="90">H30/H29</f>
        <v>0</v>
      </c>
      <c r="I54" s="10">
        <f t="shared" si="90"/>
        <v>-1.7605633802816902E-2</v>
      </c>
      <c r="J54" s="10">
        <f t="shared" si="90"/>
        <v>-7.1942446043165489E-3</v>
      </c>
      <c r="K54" s="10">
        <f t="shared" si="90"/>
        <v>-2.9411764705882353E-2</v>
      </c>
      <c r="L54" s="10">
        <f t="shared" si="90"/>
        <v>0</v>
      </c>
      <c r="M54" s="10">
        <f t="shared" si="90"/>
        <v>0</v>
      </c>
      <c r="N54" s="10">
        <f t="shared" si="90"/>
        <v>0</v>
      </c>
      <c r="O54" s="10">
        <f t="shared" si="90"/>
        <v>0</v>
      </c>
      <c r="P54" s="10">
        <f t="shared" si="90"/>
        <v>0</v>
      </c>
      <c r="Q54" s="10">
        <f t="shared" si="90"/>
        <v>0</v>
      </c>
      <c r="R54" s="10">
        <f t="shared" si="90"/>
        <v>0</v>
      </c>
      <c r="S54" s="10">
        <f t="shared" ref="S54:V54" si="91">S30/S29</f>
        <v>0</v>
      </c>
      <c r="T54" s="10">
        <f t="shared" si="91"/>
        <v>-2.6455026455026458E-3</v>
      </c>
      <c r="U54" s="10">
        <f t="shared" si="91"/>
        <v>0</v>
      </c>
      <c r="V54" s="10">
        <f t="shared" si="91"/>
        <v>0</v>
      </c>
      <c r="W54" s="10"/>
      <c r="X54" s="10"/>
      <c r="Y54" s="10"/>
      <c r="Z54" s="10"/>
      <c r="AC54" s="10">
        <f t="shared" ref="AC54:AS54" si="92">AC30/AC29</f>
        <v>-1.2903225806451613E-3</v>
      </c>
      <c r="AD54" s="10">
        <f t="shared" si="92"/>
        <v>-1.2642225031605564E-3</v>
      </c>
      <c r="AE54" s="10">
        <f t="shared" si="92"/>
        <v>0</v>
      </c>
      <c r="AF54" s="10">
        <f t="shared" si="92"/>
        <v>-5.4719562243502069E-3</v>
      </c>
      <c r="AG54" s="10">
        <f t="shared" si="92"/>
        <v>-5.5813953488372103E-3</v>
      </c>
      <c r="AH54" s="10">
        <f t="shared" si="92"/>
        <v>0</v>
      </c>
      <c r="AI54" s="10">
        <f t="shared" si="92"/>
        <v>-5.2246603970741907E-4</v>
      </c>
      <c r="AJ54" s="10">
        <f t="shared" si="92"/>
        <v>0</v>
      </c>
      <c r="AK54" s="10">
        <f t="shared" si="92"/>
        <v>0</v>
      </c>
      <c r="AL54" s="10">
        <f t="shared" si="92"/>
        <v>0</v>
      </c>
      <c r="AM54" s="10">
        <f t="shared" si="92"/>
        <v>0</v>
      </c>
      <c r="AN54" s="10">
        <f t="shared" si="92"/>
        <v>0</v>
      </c>
      <c r="AO54" s="10">
        <f t="shared" si="92"/>
        <v>0</v>
      </c>
      <c r="AP54" s="10">
        <f t="shared" si="92"/>
        <v>0</v>
      </c>
      <c r="AQ54" s="10">
        <f t="shared" si="92"/>
        <v>0</v>
      </c>
      <c r="AR54" s="10">
        <f t="shared" si="92"/>
        <v>0</v>
      </c>
      <c r="AS54" s="10">
        <f t="shared" si="92"/>
        <v>0</v>
      </c>
    </row>
    <row r="55" spans="2:49" s="1" customFormat="1" x14ac:dyDescent="0.3">
      <c r="B55" s="1" t="s">
        <v>61</v>
      </c>
      <c r="C55" s="11">
        <f t="shared" ref="C55:F55" si="93">C32/C13</f>
        <v>-3.0805369127516777</v>
      </c>
      <c r="D55" s="11">
        <f t="shared" si="93"/>
        <v>-1.3571428571428572</v>
      </c>
      <c r="E55" s="11">
        <f t="shared" si="93"/>
        <v>-0.45318352059925104</v>
      </c>
      <c r="F55" s="11">
        <f t="shared" si="93"/>
        <v>-1.7410071942446042</v>
      </c>
      <c r="G55" s="11">
        <f>G32/G13</f>
        <v>-1.2767295597484276</v>
      </c>
      <c r="H55" s="11">
        <f t="shared" ref="H55:R55" si="94">H32/H13</f>
        <v>-1.8231707317073171</v>
      </c>
      <c r="I55" s="11">
        <f t="shared" si="94"/>
        <v>-0.67824074074074059</v>
      </c>
      <c r="J55" s="11">
        <f t="shared" si="94"/>
        <v>-1.0841836734693873</v>
      </c>
      <c r="K55" s="11">
        <f t="shared" si="94"/>
        <v>-0.49865229110512127</v>
      </c>
      <c r="L55" s="11">
        <f t="shared" si="94"/>
        <v>-0.89817232375979084</v>
      </c>
      <c r="M55" s="11">
        <f t="shared" si="94"/>
        <v>-0.95686274509803904</v>
      </c>
      <c r="N55" s="11">
        <f t="shared" si="94"/>
        <v>-1.3822222222222218</v>
      </c>
      <c r="O55" s="11">
        <f t="shared" si="94"/>
        <v>-1.2335329341317365</v>
      </c>
      <c r="P55" s="11">
        <f t="shared" si="94"/>
        <v>-1.4732142857142851</v>
      </c>
      <c r="Q55" s="11">
        <f t="shared" si="94"/>
        <v>-1.4092827004219413</v>
      </c>
      <c r="R55" s="11">
        <f t="shared" si="94"/>
        <v>-0.85222672064777349</v>
      </c>
      <c r="S55" s="11">
        <f t="shared" ref="S55:V55" si="95">S32/S13</f>
        <v>-1.497354497354497</v>
      </c>
      <c r="T55" s="11">
        <f t="shared" si="95"/>
        <v>-1.0455764075067022</v>
      </c>
      <c r="U55" s="11">
        <f t="shared" si="95"/>
        <v>-1.982905982905983</v>
      </c>
      <c r="V55" s="11">
        <f t="shared" si="95"/>
        <v>-0.55818181818181811</v>
      </c>
      <c r="W55" s="11"/>
      <c r="X55" s="11"/>
      <c r="Y55" s="11"/>
      <c r="Z55" s="11"/>
      <c r="AC55" s="11">
        <f t="shared" ref="AC55:AS55" si="96">AC32/AC13</f>
        <v>-1.2784184514003294</v>
      </c>
      <c r="AD55" s="11">
        <f t="shared" si="96"/>
        <v>-1.1186440677966101</v>
      </c>
      <c r="AE55" s="11">
        <f t="shared" si="96"/>
        <v>-1.4561151079136689</v>
      </c>
      <c r="AF55" s="11">
        <f t="shared" si="96"/>
        <v>-1.0895865237366003</v>
      </c>
      <c r="AG55" s="11">
        <f t="shared" si="96"/>
        <v>-0.87844408427876775</v>
      </c>
      <c r="AH55" s="11">
        <f t="shared" si="96"/>
        <v>-1.1506238859180036</v>
      </c>
      <c r="AI55" s="11">
        <f t="shared" si="96"/>
        <v>-1.2075949367088608</v>
      </c>
      <c r="AJ55" s="11">
        <f t="shared" si="96"/>
        <v>-0.37304903355172658</v>
      </c>
      <c r="AK55" s="11">
        <f t="shared" si="96"/>
        <v>-0.21552861829769504</v>
      </c>
      <c r="AL55" s="11">
        <f t="shared" si="96"/>
        <v>-0.11968998473792901</v>
      </c>
      <c r="AM55" s="11">
        <f t="shared" si="96"/>
        <v>-6.0572939468137431E-2</v>
      </c>
      <c r="AN55" s="11">
        <f t="shared" si="96"/>
        <v>-4.4021739722907647E-4</v>
      </c>
      <c r="AO55" s="11">
        <f t="shared" si="96"/>
        <v>3.0378347795383731E-2</v>
      </c>
      <c r="AP55" s="11">
        <f t="shared" si="96"/>
        <v>5.7240421968109412E-2</v>
      </c>
      <c r="AQ55" s="11">
        <f t="shared" si="96"/>
        <v>8.0064944557378337E-2</v>
      </c>
      <c r="AR55" s="11">
        <f t="shared" si="96"/>
        <v>0.10153785056191041</v>
      </c>
      <c r="AS55" s="11">
        <f t="shared" si="96"/>
        <v>0.12176645596035819</v>
      </c>
    </row>
    <row r="57" spans="2:49" s="1" customFormat="1" x14ac:dyDescent="0.3">
      <c r="B57" s="1" t="s">
        <v>66</v>
      </c>
      <c r="N57" s="8">
        <f t="shared" ref="N57:U57" si="97">N58+N59+N64-N74-N82</f>
        <v>273.79999999999995</v>
      </c>
      <c r="O57" s="8">
        <f t="shared" si="97"/>
        <v>221</v>
      </c>
      <c r="P57" s="8">
        <f t="shared" si="97"/>
        <v>171.50000000000006</v>
      </c>
      <c r="Q57" s="8">
        <f t="shared" si="97"/>
        <v>187.00000000000006</v>
      </c>
      <c r="R57" s="8">
        <f t="shared" si="97"/>
        <v>171.20000000000002</v>
      </c>
      <c r="S57" s="8">
        <f t="shared" si="97"/>
        <v>127.99999999999999</v>
      </c>
      <c r="T57" s="8">
        <f t="shared" si="97"/>
        <v>98.800000000000011</v>
      </c>
      <c r="U57" s="8">
        <f t="shared" si="97"/>
        <v>100.89999999999999</v>
      </c>
      <c r="V57" s="8"/>
      <c r="W57" s="8"/>
      <c r="X57" s="8"/>
      <c r="Y57" s="8"/>
      <c r="Z57" s="8"/>
      <c r="AE57" s="8">
        <f>AE58+AE59+AE64-AE74-AE82</f>
        <v>371.5</v>
      </c>
      <c r="AF57" s="8">
        <f>AF58+AF59+AF64-AF74-AF82</f>
        <v>385</v>
      </c>
      <c r="AG57" s="8">
        <f>AG58+AG59+AG64-AG74-AG82</f>
        <v>273.79999999999995</v>
      </c>
      <c r="AH57" s="8">
        <f>AH58+AH59+AH64-AH74-AH82</f>
        <v>171.20000000000002</v>
      </c>
      <c r="AI57" s="19">
        <f t="shared" ref="AI57" si="98">AI58+AI59+AI64-AI74-AI82</f>
        <v>100.89999999999999</v>
      </c>
    </row>
    <row r="58" spans="2:49" x14ac:dyDescent="0.3">
      <c r="B58" t="s">
        <v>4</v>
      </c>
      <c r="N58" s="6">
        <f>250+5.2</f>
        <v>255.2</v>
      </c>
      <c r="O58" s="6">
        <f>297.5+6</f>
        <v>303.5</v>
      </c>
      <c r="P58" s="6">
        <f>158.8+5</f>
        <v>163.80000000000001</v>
      </c>
      <c r="Q58" s="6">
        <f>159.3+9.7</f>
        <v>169</v>
      </c>
      <c r="R58" s="6">
        <f>148.1+12.2</f>
        <v>160.29999999999998</v>
      </c>
      <c r="S58" s="6">
        <f>98.1+12.6</f>
        <v>110.69999999999999</v>
      </c>
      <c r="T58" s="6">
        <f>116.1+12.3</f>
        <v>128.4</v>
      </c>
      <c r="U58" s="6">
        <f>174.7+16.1</f>
        <v>190.79999999999998</v>
      </c>
      <c r="V58" s="6"/>
      <c r="W58" s="6"/>
      <c r="X58" s="6"/>
      <c r="Y58" s="6"/>
      <c r="Z58" s="6"/>
      <c r="AE58" s="6">
        <f>432.2+11.3</f>
        <v>443.5</v>
      </c>
      <c r="AF58" s="6">
        <f>458.1+4.4</f>
        <v>462.5</v>
      </c>
      <c r="AG58" s="6">
        <f>250+5.2</f>
        <v>255.2</v>
      </c>
      <c r="AH58" s="6">
        <f>148.1+12.2</f>
        <v>160.29999999999998</v>
      </c>
      <c r="AI58" s="20">
        <f>174.7+16.1</f>
        <v>190.79999999999998</v>
      </c>
    </row>
    <row r="59" spans="2:49" x14ac:dyDescent="0.3">
      <c r="B59" t="s">
        <v>72</v>
      </c>
      <c r="N59" s="6">
        <v>103.8</v>
      </c>
      <c r="O59" s="6">
        <v>0</v>
      </c>
      <c r="P59" s="6">
        <v>101.3</v>
      </c>
      <c r="Q59" s="6">
        <v>107.8</v>
      </c>
      <c r="R59" s="6">
        <v>109.1</v>
      </c>
      <c r="S59" s="6">
        <v>110.3</v>
      </c>
      <c r="T59" s="6">
        <v>60.9</v>
      </c>
      <c r="U59" s="6">
        <v>0</v>
      </c>
      <c r="V59" s="6"/>
      <c r="W59" s="6"/>
      <c r="X59" s="6"/>
      <c r="Y59" s="6"/>
      <c r="Z59" s="6"/>
      <c r="AE59" s="6">
        <v>0</v>
      </c>
      <c r="AF59" s="6">
        <v>0</v>
      </c>
      <c r="AG59" s="6">
        <v>103.8</v>
      </c>
      <c r="AH59" s="6">
        <v>109.1</v>
      </c>
      <c r="AI59" s="20">
        <v>0</v>
      </c>
    </row>
    <row r="60" spans="2:49" x14ac:dyDescent="0.3">
      <c r="B60" t="s">
        <v>73</v>
      </c>
      <c r="N60" s="6">
        <f>3.8+16.3</f>
        <v>20.100000000000001</v>
      </c>
      <c r="O60" s="6">
        <f>3.3+22.5</f>
        <v>25.8</v>
      </c>
      <c r="P60" s="6">
        <f>7.2+26.4</f>
        <v>33.6</v>
      </c>
      <c r="Q60" s="6">
        <f>11.2+30.2</f>
        <v>41.4</v>
      </c>
      <c r="R60" s="6">
        <f>11.8+36.9</f>
        <v>48.7</v>
      </c>
      <c r="S60" s="6">
        <f>9.2+41.9</f>
        <v>51.099999999999994</v>
      </c>
      <c r="T60" s="6">
        <f>10+45.4</f>
        <v>55.4</v>
      </c>
      <c r="U60" s="6">
        <f>10+44.7</f>
        <v>54.7</v>
      </c>
      <c r="V60" s="6"/>
      <c r="W60" s="6"/>
      <c r="X60" s="6"/>
      <c r="Y60" s="6"/>
      <c r="Z60" s="6"/>
      <c r="AE60" s="6">
        <f>14.7+8.9</f>
        <v>23.6</v>
      </c>
      <c r="AF60" s="6">
        <f>4.9+11</f>
        <v>15.9</v>
      </c>
      <c r="AG60" s="6">
        <f>3.8+16.3</f>
        <v>20.100000000000001</v>
      </c>
      <c r="AH60" s="6">
        <f>11.8+36.9</f>
        <v>48.7</v>
      </c>
      <c r="AI60" s="20">
        <f>10+44.7</f>
        <v>54.7</v>
      </c>
    </row>
    <row r="61" spans="2:49" x14ac:dyDescent="0.3">
      <c r="B61" t="s">
        <v>74</v>
      </c>
      <c r="N61" s="6">
        <v>84.5</v>
      </c>
      <c r="O61" s="6">
        <v>102.9</v>
      </c>
      <c r="P61" s="6">
        <v>113.9</v>
      </c>
      <c r="Q61" s="6">
        <v>129.30000000000001</v>
      </c>
      <c r="R61" s="6">
        <v>113.7</v>
      </c>
      <c r="S61" s="6">
        <v>125.8</v>
      </c>
      <c r="T61" s="6">
        <v>123.5</v>
      </c>
      <c r="U61" s="6">
        <v>104.6</v>
      </c>
      <c r="V61" s="6"/>
      <c r="W61" s="6"/>
      <c r="X61" s="6"/>
      <c r="Y61" s="6"/>
      <c r="Z61" s="6"/>
      <c r="AE61" s="6">
        <v>67.099999999999994</v>
      </c>
      <c r="AF61" s="6">
        <v>90.9</v>
      </c>
      <c r="AG61" s="6">
        <v>84.5</v>
      </c>
      <c r="AH61" s="6">
        <v>113.7</v>
      </c>
      <c r="AI61" s="20">
        <v>104.6</v>
      </c>
    </row>
    <row r="62" spans="2:49" x14ac:dyDescent="0.3">
      <c r="B62" t="s">
        <v>75</v>
      </c>
      <c r="N62" s="6">
        <v>12.9</v>
      </c>
      <c r="O62" s="6">
        <v>13.2</v>
      </c>
      <c r="P62" s="6">
        <v>13.3</v>
      </c>
      <c r="Q62" s="6">
        <v>12.4</v>
      </c>
      <c r="R62" s="6">
        <v>12.7</v>
      </c>
      <c r="S62" s="6">
        <v>13.4</v>
      </c>
      <c r="T62" s="6">
        <v>16.2</v>
      </c>
      <c r="U62" s="6">
        <v>20.399999999999999</v>
      </c>
      <c r="V62" s="6"/>
      <c r="W62" s="6"/>
      <c r="X62" s="6"/>
      <c r="Y62" s="6"/>
      <c r="Z62" s="6"/>
      <c r="AE62" s="6">
        <v>9.1999999999999993</v>
      </c>
      <c r="AF62" s="6">
        <v>11</v>
      </c>
      <c r="AG62" s="6">
        <v>12.9</v>
      </c>
      <c r="AH62" s="6">
        <v>12.7</v>
      </c>
      <c r="AI62" s="20">
        <v>20.399999999999999</v>
      </c>
    </row>
    <row r="63" spans="2:49" s="1" customFormat="1" x14ac:dyDescent="0.3">
      <c r="B63" s="1" t="s">
        <v>86</v>
      </c>
      <c r="N63" s="8">
        <f t="shared" ref="N63:U63" si="99">SUM(N58:N62)</f>
        <v>476.5</v>
      </c>
      <c r="O63" s="8">
        <f t="shared" si="99"/>
        <v>445.40000000000003</v>
      </c>
      <c r="P63" s="8">
        <f t="shared" si="99"/>
        <v>425.90000000000003</v>
      </c>
      <c r="Q63" s="8">
        <f t="shared" si="99"/>
        <v>459.9</v>
      </c>
      <c r="R63" s="8">
        <f t="shared" si="99"/>
        <v>444.49999999999994</v>
      </c>
      <c r="S63" s="8">
        <f t="shared" si="99"/>
        <v>411.3</v>
      </c>
      <c r="T63" s="8">
        <f t="shared" si="99"/>
        <v>384.40000000000003</v>
      </c>
      <c r="U63" s="8">
        <f t="shared" si="99"/>
        <v>370.5</v>
      </c>
      <c r="V63" s="8"/>
      <c r="W63" s="8"/>
      <c r="X63" s="8"/>
      <c r="Y63" s="8"/>
      <c r="Z63" s="8"/>
      <c r="AE63" s="8">
        <f>SUM(AE58:AE62)</f>
        <v>543.40000000000009</v>
      </c>
      <c r="AF63" s="8">
        <f>SUM(AF58:AF62)</f>
        <v>580.29999999999995</v>
      </c>
      <c r="AG63" s="8">
        <f>SUM(AG58:AG62)</f>
        <v>476.5</v>
      </c>
      <c r="AH63" s="8">
        <f>SUM(AH58:AH62)</f>
        <v>444.49999999999994</v>
      </c>
      <c r="AI63" s="19">
        <f t="shared" ref="AI63" si="100">SUM(AI58:AI62)</f>
        <v>370.5</v>
      </c>
    </row>
    <row r="64" spans="2:49" x14ac:dyDescent="0.3">
      <c r="B64" t="s">
        <v>4</v>
      </c>
      <c r="N64" s="6">
        <v>44.5</v>
      </c>
      <c r="O64" s="6">
        <v>45.4</v>
      </c>
      <c r="P64" s="6">
        <v>48.1</v>
      </c>
      <c r="Q64" s="6">
        <v>49.1</v>
      </c>
      <c r="R64" s="6">
        <v>48.6</v>
      </c>
      <c r="S64" s="6">
        <v>49.7</v>
      </c>
      <c r="T64" s="6">
        <v>50.7</v>
      </c>
      <c r="U64" s="6">
        <v>46.1</v>
      </c>
      <c r="V64" s="6"/>
      <c r="W64" s="6"/>
      <c r="X64" s="6"/>
      <c r="Y64" s="6"/>
      <c r="Z64" s="6"/>
      <c r="AE64" s="6">
        <v>16.7</v>
      </c>
      <c r="AF64" s="6">
        <v>18.600000000000001</v>
      </c>
      <c r="AG64" s="6">
        <v>44.5</v>
      </c>
      <c r="AH64" s="6">
        <v>48.6</v>
      </c>
      <c r="AI64" s="20">
        <v>46.1</v>
      </c>
    </row>
    <row r="65" spans="2:35" x14ac:dyDescent="0.3">
      <c r="B65" t="s">
        <v>74</v>
      </c>
      <c r="N65" s="6">
        <v>7.3</v>
      </c>
      <c r="O65" s="6">
        <v>2.7</v>
      </c>
      <c r="P65" s="6">
        <v>2.7</v>
      </c>
      <c r="Q65" s="6">
        <v>2.7</v>
      </c>
      <c r="R65" s="6">
        <v>2.7</v>
      </c>
      <c r="S65" s="6">
        <v>2.7</v>
      </c>
      <c r="T65" s="6">
        <v>2.7</v>
      </c>
      <c r="U65" s="6">
        <v>2.7</v>
      </c>
      <c r="V65" s="6"/>
      <c r="W65" s="6"/>
      <c r="X65" s="6"/>
      <c r="Y65" s="6"/>
      <c r="Z65" s="6"/>
      <c r="AE65" s="6">
        <v>4.5999999999999996</v>
      </c>
      <c r="AF65" s="6">
        <v>7.5</v>
      </c>
      <c r="AG65" s="6">
        <v>7.3</v>
      </c>
      <c r="AH65" s="6">
        <v>2.7</v>
      </c>
      <c r="AI65" s="20">
        <v>2.7</v>
      </c>
    </row>
    <row r="66" spans="2:35" x14ac:dyDescent="0.3">
      <c r="B66" t="s">
        <v>91</v>
      </c>
      <c r="N66" s="6">
        <v>258.10000000000002</v>
      </c>
      <c r="O66" s="6">
        <v>260.8</v>
      </c>
      <c r="P66" s="6">
        <v>256.60000000000002</v>
      </c>
      <c r="Q66" s="6">
        <v>248.8</v>
      </c>
      <c r="R66" s="6">
        <v>242.1</v>
      </c>
      <c r="S66" s="6">
        <v>236.7</v>
      </c>
      <c r="T66" s="6">
        <v>228.2</v>
      </c>
      <c r="U66" s="6">
        <v>224.5</v>
      </c>
      <c r="V66" s="6"/>
      <c r="W66" s="6"/>
      <c r="X66" s="6"/>
      <c r="Y66" s="6"/>
      <c r="Z66" s="6"/>
      <c r="AE66" s="6">
        <v>223.3</v>
      </c>
      <c r="AF66" s="6">
        <v>232.9</v>
      </c>
      <c r="AG66" s="6">
        <v>258.10000000000002</v>
      </c>
      <c r="AH66" s="6">
        <v>242.1</v>
      </c>
      <c r="AI66" s="20">
        <v>224.5</v>
      </c>
    </row>
    <row r="67" spans="2:35" x14ac:dyDescent="0.3">
      <c r="B67" t="s">
        <v>76</v>
      </c>
      <c r="N67" s="6">
        <v>89.7</v>
      </c>
      <c r="O67" s="6">
        <v>97.9</v>
      </c>
      <c r="P67" s="6">
        <v>111.6</v>
      </c>
      <c r="Q67" s="6">
        <v>121.4</v>
      </c>
      <c r="R67" s="6">
        <v>130.69999999999999</v>
      </c>
      <c r="S67" s="6">
        <v>135.30000000000001</v>
      </c>
      <c r="T67" s="6">
        <v>138.19999999999999</v>
      </c>
      <c r="U67" s="6">
        <v>97.8</v>
      </c>
      <c r="V67" s="6"/>
      <c r="W67" s="6"/>
      <c r="X67" s="6"/>
      <c r="Y67" s="6"/>
      <c r="Z67" s="6"/>
      <c r="AE67" s="6">
        <v>39.4</v>
      </c>
      <c r="AF67" s="6">
        <v>58.1</v>
      </c>
      <c r="AG67" s="6">
        <v>89.7</v>
      </c>
      <c r="AH67" s="6">
        <v>130.69999999999999</v>
      </c>
      <c r="AI67" s="20">
        <v>97.8</v>
      </c>
    </row>
    <row r="68" spans="2:35" x14ac:dyDescent="0.3">
      <c r="B68" t="s">
        <v>77</v>
      </c>
      <c r="N68" s="6">
        <v>8.4</v>
      </c>
      <c r="O68" s="6">
        <v>8.1999999999999993</v>
      </c>
      <c r="P68" s="6">
        <v>8</v>
      </c>
      <c r="Q68" s="6">
        <v>7.9</v>
      </c>
      <c r="R68" s="6">
        <v>8.1</v>
      </c>
      <c r="S68" s="6">
        <v>8</v>
      </c>
      <c r="T68" s="6">
        <v>7.6</v>
      </c>
      <c r="U68" s="6">
        <v>10.9</v>
      </c>
      <c r="V68" s="6"/>
      <c r="W68" s="6"/>
      <c r="X68" s="6"/>
      <c r="Y68" s="6"/>
      <c r="Z68" s="6"/>
      <c r="AE68" s="6">
        <v>8.1</v>
      </c>
      <c r="AF68" s="6">
        <v>7.2</v>
      </c>
      <c r="AG68" s="6">
        <v>8.4</v>
      </c>
      <c r="AH68" s="6">
        <v>8.1</v>
      </c>
      <c r="AI68" s="20">
        <v>10.9</v>
      </c>
    </row>
    <row r="69" spans="2:35" x14ac:dyDescent="0.3">
      <c r="B69" t="s">
        <v>78</v>
      </c>
      <c r="N69" s="6">
        <v>4.0999999999999996</v>
      </c>
      <c r="O69" s="6">
        <v>4.0999999999999996</v>
      </c>
      <c r="P69" s="6">
        <v>4.0999999999999996</v>
      </c>
      <c r="Q69" s="6">
        <v>4.0999999999999996</v>
      </c>
      <c r="R69" s="6">
        <v>4.0999999999999996</v>
      </c>
      <c r="S69" s="6">
        <v>4.0999999999999996</v>
      </c>
      <c r="T69" s="6">
        <v>4.0999999999999996</v>
      </c>
      <c r="U69" s="6">
        <v>0</v>
      </c>
      <c r="V69" s="6"/>
      <c r="W69" s="6"/>
      <c r="X69" s="6"/>
      <c r="Y69" s="6"/>
      <c r="Z69" s="6"/>
      <c r="AE69" s="6">
        <v>4.0999999999999996</v>
      </c>
      <c r="AF69" s="6">
        <v>4.0999999999999996</v>
      </c>
      <c r="AG69" s="6">
        <v>4.0999999999999996</v>
      </c>
      <c r="AH69" s="6">
        <v>4.0999999999999996</v>
      </c>
      <c r="AI69" s="20">
        <v>0</v>
      </c>
    </row>
    <row r="70" spans="2:35" x14ac:dyDescent="0.3">
      <c r="B70" t="s">
        <v>79</v>
      </c>
      <c r="N70" s="6">
        <v>16.100000000000001</v>
      </c>
      <c r="O70" s="6">
        <v>15.8</v>
      </c>
      <c r="P70" s="6">
        <v>15.4</v>
      </c>
      <c r="Q70" s="6">
        <v>15.1</v>
      </c>
      <c r="R70" s="6">
        <v>14.8</v>
      </c>
      <c r="S70" s="6">
        <v>14.5</v>
      </c>
      <c r="T70" s="6">
        <v>14.1</v>
      </c>
      <c r="U70" s="6">
        <v>4.2</v>
      </c>
      <c r="V70" s="6"/>
      <c r="W70" s="6"/>
      <c r="X70" s="6"/>
      <c r="Y70" s="6"/>
      <c r="Z70" s="6"/>
      <c r="AE70" s="6">
        <v>18.7</v>
      </c>
      <c r="AF70" s="6">
        <v>17.399999999999999</v>
      </c>
      <c r="AG70" s="6">
        <v>16.100000000000001</v>
      </c>
      <c r="AH70" s="6">
        <v>14.8</v>
      </c>
      <c r="AI70" s="20">
        <v>4.2</v>
      </c>
    </row>
    <row r="71" spans="2:35" x14ac:dyDescent="0.3">
      <c r="B71" t="s">
        <v>80</v>
      </c>
      <c r="N71" s="6">
        <v>51.2</v>
      </c>
      <c r="O71" s="6">
        <v>43.1</v>
      </c>
      <c r="P71" s="6">
        <v>44.4</v>
      </c>
      <c r="Q71" s="6">
        <v>39.799999999999997</v>
      </c>
      <c r="R71" s="6">
        <v>48.5</v>
      </c>
      <c r="S71" s="6">
        <v>45.4</v>
      </c>
      <c r="T71" s="6">
        <v>53.8</v>
      </c>
      <c r="U71" s="6">
        <v>73.900000000000006</v>
      </c>
      <c r="V71" s="6"/>
      <c r="W71" s="6"/>
      <c r="X71" s="6"/>
      <c r="Y71" s="6"/>
      <c r="Z71" s="6"/>
      <c r="AE71" s="6">
        <v>17</v>
      </c>
      <c r="AF71" s="6">
        <v>13.7</v>
      </c>
      <c r="AG71" s="6">
        <v>51.2</v>
      </c>
      <c r="AH71" s="6">
        <v>48.5</v>
      </c>
      <c r="AI71" s="20">
        <v>73.900000000000006</v>
      </c>
    </row>
    <row r="72" spans="2:35" s="1" customFormat="1" x14ac:dyDescent="0.3">
      <c r="B72" s="1" t="s">
        <v>87</v>
      </c>
      <c r="N72" s="8">
        <f t="shared" ref="N72:U72" si="101">SUM(N64:N71)</f>
        <v>479.40000000000003</v>
      </c>
      <c r="O72" s="8">
        <f t="shared" si="101"/>
        <v>478.00000000000011</v>
      </c>
      <c r="P72" s="8">
        <f t="shared" si="101"/>
        <v>490.9</v>
      </c>
      <c r="Q72" s="8">
        <f t="shared" si="101"/>
        <v>488.90000000000003</v>
      </c>
      <c r="R72" s="8">
        <f t="shared" si="101"/>
        <v>499.6</v>
      </c>
      <c r="S72" s="8">
        <f t="shared" si="101"/>
        <v>496.40000000000003</v>
      </c>
      <c r="T72" s="8">
        <f t="shared" si="101"/>
        <v>499.40000000000009</v>
      </c>
      <c r="U72" s="8">
        <f t="shared" si="101"/>
        <v>460.1</v>
      </c>
      <c r="V72" s="8"/>
      <c r="W72" s="8"/>
      <c r="X72" s="8"/>
      <c r="Y72" s="8"/>
      <c r="Z72" s="8"/>
      <c r="AE72" s="8">
        <f>SUM(AE64:AE71)</f>
        <v>331.90000000000003</v>
      </c>
      <c r="AF72" s="8">
        <f>SUM(AF64:AF71)</f>
        <v>359.5</v>
      </c>
      <c r="AG72" s="8">
        <f>SUM(AG64:AG71)</f>
        <v>479.40000000000003</v>
      </c>
      <c r="AH72" s="8">
        <f>SUM(AH64:AH71)</f>
        <v>499.6</v>
      </c>
      <c r="AI72" s="19">
        <f t="shared" ref="AI72" si="102">SUM(AI64:AI71)</f>
        <v>460.1</v>
      </c>
    </row>
    <row r="73" spans="2:35" s="1" customFormat="1" x14ac:dyDescent="0.3">
      <c r="B73" s="1" t="s">
        <v>90</v>
      </c>
      <c r="N73" s="12">
        <f t="shared" ref="N73:U73" si="103">N63+N72</f>
        <v>955.90000000000009</v>
      </c>
      <c r="O73" s="12">
        <f t="shared" si="103"/>
        <v>923.40000000000009</v>
      </c>
      <c r="P73" s="12">
        <f t="shared" si="103"/>
        <v>916.8</v>
      </c>
      <c r="Q73" s="12">
        <f t="shared" si="103"/>
        <v>948.8</v>
      </c>
      <c r="R73" s="12">
        <f t="shared" si="103"/>
        <v>944.09999999999991</v>
      </c>
      <c r="S73" s="12">
        <f t="shared" si="103"/>
        <v>907.7</v>
      </c>
      <c r="T73" s="12">
        <f t="shared" si="103"/>
        <v>883.80000000000018</v>
      </c>
      <c r="U73" s="12">
        <f t="shared" si="103"/>
        <v>830.6</v>
      </c>
      <c r="V73" s="12"/>
      <c r="W73" s="12"/>
      <c r="X73" s="12"/>
      <c r="Y73" s="12"/>
      <c r="Z73" s="12"/>
      <c r="AE73" s="12">
        <f>AE63+AE72</f>
        <v>875.30000000000018</v>
      </c>
      <c r="AF73" s="12">
        <f>AF63+AF72</f>
        <v>939.8</v>
      </c>
      <c r="AG73" s="12">
        <f>AG63+AG72</f>
        <v>955.90000000000009</v>
      </c>
      <c r="AH73" s="12">
        <f>AH63+AH72</f>
        <v>944.09999999999991</v>
      </c>
      <c r="AI73" s="21">
        <f t="shared" ref="AI73" si="104">AI63+AI72</f>
        <v>830.6</v>
      </c>
    </row>
    <row r="74" spans="2:35" x14ac:dyDescent="0.3">
      <c r="B74" t="s">
        <v>5</v>
      </c>
      <c r="N74" s="6">
        <v>10.1</v>
      </c>
      <c r="O74" s="6">
        <v>10.199999999999999</v>
      </c>
      <c r="P74" s="6">
        <v>11.7</v>
      </c>
      <c r="Q74" s="6">
        <v>12.2</v>
      </c>
      <c r="R74" s="6">
        <v>15.9</v>
      </c>
      <c r="S74" s="6">
        <v>16.899999999999999</v>
      </c>
      <c r="T74" s="6">
        <v>17.100000000000001</v>
      </c>
      <c r="U74" s="6">
        <v>16.7</v>
      </c>
      <c r="V74" s="6"/>
      <c r="W74" s="6"/>
      <c r="X74" s="6"/>
      <c r="Y74" s="6"/>
      <c r="Z74" s="6"/>
      <c r="AE74" s="6">
        <v>10.1</v>
      </c>
      <c r="AF74" s="6">
        <v>13.2</v>
      </c>
      <c r="AG74" s="6">
        <v>10.1</v>
      </c>
      <c r="AH74" s="6">
        <v>15.9</v>
      </c>
      <c r="AI74" s="20">
        <v>16.7</v>
      </c>
    </row>
    <row r="75" spans="2:35" x14ac:dyDescent="0.3">
      <c r="B75" t="s">
        <v>77</v>
      </c>
      <c r="N75" s="6">
        <v>0.6</v>
      </c>
      <c r="O75" s="6">
        <v>0.7</v>
      </c>
      <c r="P75" s="6">
        <v>0.8</v>
      </c>
      <c r="Q75" s="6">
        <v>0.8</v>
      </c>
      <c r="R75" s="6">
        <v>0.8</v>
      </c>
      <c r="S75" s="6">
        <v>0.8</v>
      </c>
      <c r="T75" s="6">
        <v>0.8</v>
      </c>
      <c r="U75" s="6">
        <v>0.8</v>
      </c>
      <c r="V75" s="6"/>
      <c r="W75" s="6"/>
      <c r="X75" s="6"/>
      <c r="Y75" s="6"/>
      <c r="Z75" s="6"/>
      <c r="AE75" s="6">
        <v>1</v>
      </c>
      <c r="AF75" s="6">
        <v>0.7</v>
      </c>
      <c r="AG75" s="6">
        <v>0.6</v>
      </c>
      <c r="AH75" s="6">
        <v>0.8</v>
      </c>
      <c r="AI75" s="20">
        <v>0.8</v>
      </c>
    </row>
    <row r="76" spans="2:35" x14ac:dyDescent="0.3">
      <c r="B76" t="s">
        <v>81</v>
      </c>
      <c r="N76" s="6">
        <v>26.5</v>
      </c>
      <c r="O76" s="6">
        <v>17.100000000000001</v>
      </c>
      <c r="P76" s="6">
        <v>21.6</v>
      </c>
      <c r="Q76" s="6">
        <v>16.899999999999999</v>
      </c>
      <c r="R76" s="6">
        <v>22.6</v>
      </c>
      <c r="S76" s="6">
        <v>18.399999999999999</v>
      </c>
      <c r="T76" s="6">
        <v>22.6</v>
      </c>
      <c r="U76" s="6">
        <v>16.399999999999999</v>
      </c>
      <c r="V76" s="6"/>
      <c r="W76" s="6"/>
      <c r="X76" s="6"/>
      <c r="Y76" s="6"/>
      <c r="Z76" s="6"/>
      <c r="AE76" s="6">
        <v>19.3</v>
      </c>
      <c r="AF76" s="6">
        <v>28.2</v>
      </c>
      <c r="AG76" s="6">
        <v>26.5</v>
      </c>
      <c r="AH76" s="6">
        <v>22.6</v>
      </c>
      <c r="AI76" s="20">
        <v>16.399999999999999</v>
      </c>
    </row>
    <row r="77" spans="2:35" x14ac:dyDescent="0.3">
      <c r="B77" t="s">
        <v>82</v>
      </c>
      <c r="N77" s="6">
        <v>26.3</v>
      </c>
      <c r="O77" s="6">
        <v>22.3</v>
      </c>
      <c r="P77" s="6">
        <v>24.1</v>
      </c>
      <c r="Q77" s="6">
        <v>26</v>
      </c>
      <c r="R77" s="6">
        <v>30.4</v>
      </c>
      <c r="S77" s="6">
        <v>23.6</v>
      </c>
      <c r="T77" s="6">
        <v>25</v>
      </c>
      <c r="U77" s="6">
        <v>29.9</v>
      </c>
      <c r="V77" s="6"/>
      <c r="W77" s="6"/>
      <c r="X77" s="6"/>
      <c r="Y77" s="6"/>
      <c r="Z77" s="6"/>
      <c r="AE77" s="6">
        <v>16.100000000000001</v>
      </c>
      <c r="AF77" s="6">
        <v>27.4</v>
      </c>
      <c r="AG77" s="6">
        <v>26.3</v>
      </c>
      <c r="AH77" s="6">
        <v>30.4</v>
      </c>
      <c r="AI77" s="20">
        <v>29.9</v>
      </c>
    </row>
    <row r="78" spans="2:35" x14ac:dyDescent="0.3">
      <c r="B78" t="s">
        <v>83</v>
      </c>
      <c r="N78" s="6">
        <v>2.4</v>
      </c>
      <c r="O78" s="6">
        <v>3.6</v>
      </c>
      <c r="P78" s="6">
        <v>6.8</v>
      </c>
      <c r="Q78" s="6">
        <v>10.6</v>
      </c>
      <c r="R78" s="6">
        <v>4.2</v>
      </c>
      <c r="S78" s="6">
        <v>5.2</v>
      </c>
      <c r="T78" s="6">
        <v>2.9</v>
      </c>
      <c r="U78" s="6">
        <v>5.3</v>
      </c>
      <c r="V78" s="6"/>
      <c r="W78" s="6"/>
      <c r="X78" s="6"/>
      <c r="Y78" s="6"/>
      <c r="Z78" s="6"/>
      <c r="AE78" s="6">
        <v>6.3</v>
      </c>
      <c r="AF78" s="6">
        <v>16.3</v>
      </c>
      <c r="AG78" s="6">
        <v>2.4</v>
      </c>
      <c r="AH78" s="6">
        <v>4.2</v>
      </c>
      <c r="AI78" s="20">
        <v>5.3</v>
      </c>
    </row>
    <row r="79" spans="2:35" s="1" customFormat="1" x14ac:dyDescent="0.3">
      <c r="B79" s="1" t="s">
        <v>88</v>
      </c>
      <c r="N79" s="8">
        <f t="shared" ref="N79:U79" si="105">SUM(N74:N78)</f>
        <v>65.900000000000006</v>
      </c>
      <c r="O79" s="8">
        <f t="shared" si="105"/>
        <v>53.9</v>
      </c>
      <c r="P79" s="8">
        <f t="shared" si="105"/>
        <v>65</v>
      </c>
      <c r="Q79" s="8">
        <f t="shared" si="105"/>
        <v>66.5</v>
      </c>
      <c r="R79" s="8">
        <f t="shared" si="105"/>
        <v>73.899999999999991</v>
      </c>
      <c r="S79" s="8">
        <f t="shared" si="105"/>
        <v>64.899999999999991</v>
      </c>
      <c r="T79" s="8">
        <f t="shared" si="105"/>
        <v>68.400000000000006</v>
      </c>
      <c r="U79" s="8">
        <f t="shared" si="105"/>
        <v>69.099999999999994</v>
      </c>
      <c r="V79" s="8"/>
      <c r="W79" s="8"/>
      <c r="X79" s="8"/>
      <c r="Y79" s="8"/>
      <c r="Z79" s="8"/>
      <c r="AE79" s="8">
        <f>SUM(AE74:AE78)</f>
        <v>52.8</v>
      </c>
      <c r="AF79" s="8">
        <f>SUM(AF74:AF78)</f>
        <v>85.8</v>
      </c>
      <c r="AG79" s="8">
        <f>SUM(AG74:AG78)</f>
        <v>65.900000000000006</v>
      </c>
      <c r="AH79" s="8">
        <f>SUM(AH74:AH78)</f>
        <v>73.899999999999991</v>
      </c>
      <c r="AI79" s="19">
        <f t="shared" ref="AI79" si="106">SUM(AI74:AI78)</f>
        <v>69.099999999999994</v>
      </c>
    </row>
    <row r="80" spans="2:35" x14ac:dyDescent="0.3">
      <c r="B80" t="s">
        <v>83</v>
      </c>
      <c r="N80" s="6">
        <v>0.7</v>
      </c>
      <c r="O80" s="6">
        <v>0.7</v>
      </c>
      <c r="P80" s="6">
        <v>1</v>
      </c>
      <c r="Q80" s="6">
        <v>2</v>
      </c>
      <c r="R80" s="6">
        <v>3</v>
      </c>
      <c r="S80" s="6">
        <v>3.1</v>
      </c>
      <c r="T80" s="6">
        <v>4.2</v>
      </c>
      <c r="U80" s="6">
        <v>5.4</v>
      </c>
      <c r="V80" s="6"/>
      <c r="W80" s="6"/>
      <c r="X80" s="6"/>
      <c r="Y80" s="6"/>
      <c r="Z80" s="6"/>
      <c r="AE80" s="6">
        <v>30.4</v>
      </c>
      <c r="AF80" s="6">
        <v>9.1</v>
      </c>
      <c r="AG80" s="6">
        <v>0.7</v>
      </c>
      <c r="AH80" s="6">
        <v>3</v>
      </c>
      <c r="AI80" s="20">
        <v>5.4</v>
      </c>
    </row>
    <row r="81" spans="2:35" x14ac:dyDescent="0.3">
      <c r="B81" t="s">
        <v>77</v>
      </c>
      <c r="N81" s="6">
        <v>9</v>
      </c>
      <c r="O81" s="6">
        <v>8.9</v>
      </c>
      <c r="P81" s="6">
        <v>8.9</v>
      </c>
      <c r="Q81" s="6">
        <v>8.6999999999999993</v>
      </c>
      <c r="R81" s="6">
        <v>8.9</v>
      </c>
      <c r="S81" s="6">
        <v>8.6999999999999993</v>
      </c>
      <c r="T81" s="6">
        <v>8.4</v>
      </c>
      <c r="U81" s="6">
        <v>11.7</v>
      </c>
      <c r="V81" s="6"/>
      <c r="W81" s="6"/>
      <c r="X81" s="6"/>
      <c r="Y81" s="6"/>
      <c r="Z81" s="6"/>
      <c r="AE81" s="6">
        <v>8.1</v>
      </c>
      <c r="AF81" s="6">
        <v>7.6</v>
      </c>
      <c r="AG81" s="6">
        <v>9</v>
      </c>
      <c r="AH81" s="6">
        <v>8.9</v>
      </c>
      <c r="AI81" s="20">
        <v>11.7</v>
      </c>
    </row>
    <row r="82" spans="2:35" x14ac:dyDescent="0.3">
      <c r="B82" t="s">
        <v>5</v>
      </c>
      <c r="N82" s="6">
        <v>119.6</v>
      </c>
      <c r="O82" s="6">
        <v>117.7</v>
      </c>
      <c r="P82" s="6">
        <v>130</v>
      </c>
      <c r="Q82" s="6">
        <v>126.7</v>
      </c>
      <c r="R82" s="6">
        <v>130.9</v>
      </c>
      <c r="S82" s="6">
        <v>125.8</v>
      </c>
      <c r="T82" s="6">
        <v>124.1</v>
      </c>
      <c r="U82" s="6">
        <v>119.3</v>
      </c>
      <c r="V82" s="6"/>
      <c r="W82" s="6"/>
      <c r="X82" s="6"/>
      <c r="Y82" s="6"/>
      <c r="Z82" s="6"/>
      <c r="AE82" s="6">
        <v>78.599999999999994</v>
      </c>
      <c r="AF82" s="6">
        <v>82.9</v>
      </c>
      <c r="AG82" s="6">
        <v>119.6</v>
      </c>
      <c r="AH82" s="6">
        <v>130.9</v>
      </c>
      <c r="AI82" s="20">
        <v>119.3</v>
      </c>
    </row>
    <row r="83" spans="2:35" s="1" customFormat="1" x14ac:dyDescent="0.3">
      <c r="B83" s="1" t="s">
        <v>89</v>
      </c>
      <c r="N83" s="8">
        <f t="shared" ref="N83:U83" si="107">SUM(N80:N82)</f>
        <v>129.29999999999998</v>
      </c>
      <c r="O83" s="8">
        <f t="shared" si="107"/>
        <v>127.3</v>
      </c>
      <c r="P83" s="8">
        <f t="shared" si="107"/>
        <v>139.9</v>
      </c>
      <c r="Q83" s="8">
        <f t="shared" si="107"/>
        <v>137.4</v>
      </c>
      <c r="R83" s="8">
        <f t="shared" si="107"/>
        <v>142.80000000000001</v>
      </c>
      <c r="S83" s="8">
        <f t="shared" si="107"/>
        <v>137.6</v>
      </c>
      <c r="T83" s="8">
        <f t="shared" si="107"/>
        <v>136.69999999999999</v>
      </c>
      <c r="U83" s="8">
        <f t="shared" si="107"/>
        <v>136.4</v>
      </c>
      <c r="V83" s="8"/>
      <c r="W83" s="8"/>
      <c r="X83" s="8"/>
      <c r="Y83" s="8"/>
      <c r="Z83" s="8"/>
      <c r="AE83" s="8">
        <f>SUM(AE80:AE82)</f>
        <v>117.1</v>
      </c>
      <c r="AF83" s="8">
        <f>SUM(AF80:AF82)</f>
        <v>99.600000000000009</v>
      </c>
      <c r="AG83" s="8">
        <f>SUM(AG80:AG82)</f>
        <v>129.29999999999998</v>
      </c>
      <c r="AH83" s="8">
        <f>SUM(AH80:AH82)</f>
        <v>142.80000000000001</v>
      </c>
      <c r="AI83" s="19">
        <f t="shared" ref="AI83" si="108">SUM(AI80:AI82)</f>
        <v>136.4</v>
      </c>
    </row>
    <row r="84" spans="2:35" s="1" customFormat="1" x14ac:dyDescent="0.3">
      <c r="B84" s="1" t="s">
        <v>84</v>
      </c>
      <c r="N84" s="8">
        <f>60+700.4</f>
        <v>760.4</v>
      </c>
      <c r="O84" s="8">
        <f>60+682.2</f>
        <v>742.2</v>
      </c>
      <c r="P84" s="8">
        <f>60+652</f>
        <v>712</v>
      </c>
      <c r="Q84" s="8">
        <f>685.1+60</f>
        <v>745.1</v>
      </c>
      <c r="R84" s="8">
        <f>59.9+667.6</f>
        <v>727.5</v>
      </c>
      <c r="S84" s="8">
        <f>59.9+645.2</f>
        <v>705.1</v>
      </c>
      <c r="T84" s="8">
        <f>59.9+618.9</f>
        <v>678.8</v>
      </c>
      <c r="U84" s="8">
        <f>59.9+565.2</f>
        <v>625.1</v>
      </c>
      <c r="V84" s="8"/>
      <c r="W84" s="8"/>
      <c r="X84" s="8"/>
      <c r="Y84" s="8"/>
      <c r="Z84" s="8"/>
      <c r="AE84" s="8">
        <f>59.9+3+642.4</f>
        <v>705.3</v>
      </c>
      <c r="AF84" s="8">
        <f>59.9+3+691.5</f>
        <v>754.4</v>
      </c>
      <c r="AG84" s="8">
        <f>60+700.4</f>
        <v>760.4</v>
      </c>
      <c r="AH84" s="8">
        <f>59.9+667.6</f>
        <v>727.5</v>
      </c>
      <c r="AI84" s="19">
        <f>59.9+565.2</f>
        <v>625.1</v>
      </c>
    </row>
    <row r="85" spans="2:35" s="1" customFormat="1" x14ac:dyDescent="0.3">
      <c r="B85" s="1" t="s">
        <v>85</v>
      </c>
      <c r="N85" s="12">
        <f t="shared" ref="N85:U85" si="109">N79+N83+N84</f>
        <v>955.59999999999991</v>
      </c>
      <c r="O85" s="12">
        <f t="shared" si="109"/>
        <v>923.40000000000009</v>
      </c>
      <c r="P85" s="12">
        <f t="shared" si="109"/>
        <v>916.9</v>
      </c>
      <c r="Q85" s="12">
        <f t="shared" si="109"/>
        <v>949</v>
      </c>
      <c r="R85" s="12">
        <f t="shared" si="109"/>
        <v>944.2</v>
      </c>
      <c r="S85" s="12">
        <f t="shared" si="109"/>
        <v>907.6</v>
      </c>
      <c r="T85" s="12">
        <f t="shared" si="109"/>
        <v>883.9</v>
      </c>
      <c r="U85" s="12">
        <f t="shared" si="109"/>
        <v>830.6</v>
      </c>
      <c r="V85" s="12"/>
      <c r="W85" s="12"/>
      <c r="X85" s="12"/>
      <c r="Y85" s="12"/>
      <c r="Z85" s="12"/>
      <c r="AE85" s="12">
        <f>AE79+AE83+AE84</f>
        <v>875.19999999999993</v>
      </c>
      <c r="AF85" s="12">
        <f>AF79+AF83+AF84</f>
        <v>939.8</v>
      </c>
      <c r="AG85" s="12">
        <f>AG79+AG83+AG84</f>
        <v>955.59999999999991</v>
      </c>
      <c r="AH85" s="12">
        <f>AH79+AH83+AH84</f>
        <v>944.2</v>
      </c>
      <c r="AI85" s="21">
        <f t="shared" ref="AI85" si="110">AI79+AI83+AI84</f>
        <v>830.6</v>
      </c>
    </row>
    <row r="87" spans="2:35" x14ac:dyDescent="0.3">
      <c r="B87" t="s">
        <v>134</v>
      </c>
      <c r="T87" s="17"/>
      <c r="U87" s="17"/>
    </row>
    <row r="88" spans="2:35" x14ac:dyDescent="0.3">
      <c r="B88" t="s">
        <v>124</v>
      </c>
      <c r="N88" s="10">
        <f t="shared" ref="N88:S88" si="111">N32/N84</f>
        <v>-4.0899526564965795E-2</v>
      </c>
      <c r="O88" s="10">
        <f t="shared" si="111"/>
        <v>-2.7755322015629205E-2</v>
      </c>
      <c r="P88" s="10">
        <f t="shared" si="111"/>
        <v>-4.6348314606741554E-2</v>
      </c>
      <c r="Q88" s="10">
        <f t="shared" si="111"/>
        <v>-4.4826197825795201E-2</v>
      </c>
      <c r="R88" s="10">
        <f t="shared" si="111"/>
        <v>-5.7869415807560151E-2</v>
      </c>
      <c r="S88" s="10">
        <f t="shared" si="111"/>
        <v>-4.0136150900581473E-2</v>
      </c>
      <c r="T88" s="10">
        <f>T32/T84</f>
        <v>-5.7454331172657636E-2</v>
      </c>
      <c r="U88" s="10">
        <f>U32/U84</f>
        <v>-0.14845624700047991</v>
      </c>
      <c r="AE88" s="10">
        <f t="shared" ref="AE88:AH88" si="112">AE32/AE84</f>
        <v>-0.14348504182617325</v>
      </c>
      <c r="AF88" s="10">
        <f t="shared" si="112"/>
        <v>-0.18862672322375396</v>
      </c>
      <c r="AG88" s="10">
        <f t="shared" si="112"/>
        <v>-0.14255654918463961</v>
      </c>
      <c r="AH88" s="10">
        <f t="shared" si="112"/>
        <v>-0.17745704467353951</v>
      </c>
      <c r="AI88" s="10">
        <f t="shared" ref="AI88" si="113">AI32/AI84</f>
        <v>-0.30523116301391778</v>
      </c>
    </row>
    <row r="89" spans="2:35" x14ac:dyDescent="0.3">
      <c r="B89" t="s">
        <v>125</v>
      </c>
      <c r="N89" s="17">
        <f t="shared" ref="N89:S89" si="114">N13/(AVERAGE(M73:N73))</f>
        <v>2.3538026990270945E-2</v>
      </c>
      <c r="O89" s="17">
        <f t="shared" si="114"/>
        <v>1.7772574894907675E-2</v>
      </c>
      <c r="P89" s="17">
        <f t="shared" si="114"/>
        <v>2.4345179871753067E-2</v>
      </c>
      <c r="Q89" s="17">
        <f t="shared" si="114"/>
        <v>2.5407375643224699E-2</v>
      </c>
      <c r="R89" s="17">
        <f t="shared" si="114"/>
        <v>5.2195044640498706E-2</v>
      </c>
      <c r="S89" s="17">
        <f t="shared" si="114"/>
        <v>2.0412571552003458E-2</v>
      </c>
      <c r="T89" s="17">
        <f>T13/(AVERAGE(S73:T73))</f>
        <v>4.1641082891431758E-2</v>
      </c>
      <c r="U89" s="17">
        <f>U13/(AVERAGE(T73:U73))</f>
        <v>5.4596360242650487E-2</v>
      </c>
      <c r="AE89" s="17">
        <f t="shared" ref="AE89:AI89" si="115">AE13/(AVERAGE(AD73:AE73))</f>
        <v>7.9401348109219685E-2</v>
      </c>
      <c r="AF89" s="17">
        <f t="shared" si="115"/>
        <v>0.14390391713955153</v>
      </c>
      <c r="AG89" s="17">
        <f t="shared" si="115"/>
        <v>0.13018937595611121</v>
      </c>
      <c r="AH89" s="17">
        <f t="shared" si="115"/>
        <v>0.11810526315789474</v>
      </c>
      <c r="AI89" s="17">
        <f t="shared" si="115"/>
        <v>0.17805826336845665</v>
      </c>
    </row>
    <row r="90" spans="2:35" x14ac:dyDescent="0.3">
      <c r="B90" t="s">
        <v>126</v>
      </c>
      <c r="N90" s="18">
        <f t="shared" ref="N90:S90" si="116">N73/N84</f>
        <v>1.2571015255128881</v>
      </c>
      <c r="O90" s="18">
        <f t="shared" si="116"/>
        <v>1.2441390460792239</v>
      </c>
      <c r="P90" s="18">
        <f t="shared" si="116"/>
        <v>1.2876404494382021</v>
      </c>
      <c r="Q90" s="18">
        <f t="shared" si="116"/>
        <v>1.2733861226680983</v>
      </c>
      <c r="R90" s="18">
        <f t="shared" si="116"/>
        <v>1.2977319587628864</v>
      </c>
      <c r="S90" s="18">
        <f t="shared" si="116"/>
        <v>1.2873351297688271</v>
      </c>
      <c r="T90" s="18">
        <f>T73/T84</f>
        <v>1.3020035356511495</v>
      </c>
      <c r="U90" s="18">
        <f>U73/U84</f>
        <v>1.3287474004159334</v>
      </c>
      <c r="AE90" s="18">
        <f t="shared" ref="AE90:AH90" si="117">AE73/AE84</f>
        <v>1.2410321848858645</v>
      </c>
      <c r="AF90" s="18">
        <f t="shared" si="117"/>
        <v>1.2457582184517497</v>
      </c>
      <c r="AG90" s="18">
        <f t="shared" si="117"/>
        <v>1.2571015255128881</v>
      </c>
      <c r="AH90" s="18">
        <f t="shared" si="117"/>
        <v>1.2977319587628864</v>
      </c>
      <c r="AI90" s="18">
        <f t="shared" ref="AI90" si="118">AI73/AI84</f>
        <v>1.3287474004159334</v>
      </c>
    </row>
    <row r="91" spans="2:35" x14ac:dyDescent="0.3">
      <c r="B91" t="s">
        <v>127</v>
      </c>
      <c r="N91" s="16">
        <f t="shared" ref="N91:S91" si="119">N63/N79</f>
        <v>7.2306525037936265</v>
      </c>
      <c r="O91" s="16">
        <f t="shared" si="119"/>
        <v>8.2634508348794071</v>
      </c>
      <c r="P91" s="16">
        <f t="shared" si="119"/>
        <v>6.5523076923076928</v>
      </c>
      <c r="Q91" s="16">
        <f t="shared" si="119"/>
        <v>6.9157894736842103</v>
      </c>
      <c r="R91" s="16">
        <f t="shared" si="119"/>
        <v>6.0148849797023001</v>
      </c>
      <c r="S91" s="16">
        <f t="shared" si="119"/>
        <v>6.3374422187981523</v>
      </c>
      <c r="T91" s="16">
        <f>T63/T79</f>
        <v>5.6198830409356724</v>
      </c>
      <c r="U91" s="16">
        <f>U63/U79</f>
        <v>5.3617945007235894</v>
      </c>
      <c r="AE91" s="16">
        <f t="shared" ref="AE91:AH91" si="120">AE63/AE79</f>
        <v>10.29166666666667</v>
      </c>
      <c r="AF91" s="16">
        <f t="shared" si="120"/>
        <v>6.763403263403263</v>
      </c>
      <c r="AG91" s="16">
        <f t="shared" si="120"/>
        <v>7.2306525037936265</v>
      </c>
      <c r="AH91" s="16">
        <f t="shared" si="120"/>
        <v>6.0148849797023001</v>
      </c>
      <c r="AI91" s="16">
        <f t="shared" ref="AI91" si="121">AI63/AI79</f>
        <v>5.3617945007235894</v>
      </c>
    </row>
    <row r="92" spans="2:35" x14ac:dyDescent="0.3">
      <c r="B92" t="s">
        <v>128</v>
      </c>
      <c r="N92" s="16">
        <f t="shared" ref="N92:S92" si="122">(N63-N61)/N79</f>
        <v>5.9484066767830042</v>
      </c>
      <c r="O92" s="16">
        <f t="shared" si="122"/>
        <v>6.3543599257884971</v>
      </c>
      <c r="P92" s="16">
        <f t="shared" si="122"/>
        <v>4.8</v>
      </c>
      <c r="Q92" s="16">
        <f t="shared" si="122"/>
        <v>4.9714285714285706</v>
      </c>
      <c r="R92" s="16">
        <f t="shared" si="122"/>
        <v>4.476319350473613</v>
      </c>
      <c r="S92" s="16">
        <f t="shared" si="122"/>
        <v>4.399075500770417</v>
      </c>
      <c r="T92" s="16">
        <f>(T63-T61)/T79</f>
        <v>3.814327485380117</v>
      </c>
      <c r="U92" s="16">
        <f>(U63-U61)/U79</f>
        <v>3.8480463096960924</v>
      </c>
      <c r="AE92" s="16">
        <f t="shared" ref="AE92:AH92" si="123">(AE63-AE61)/AE79</f>
        <v>9.0208333333333357</v>
      </c>
      <c r="AF92" s="16">
        <f t="shared" si="123"/>
        <v>5.7039627039627039</v>
      </c>
      <c r="AG92" s="16">
        <f t="shared" si="123"/>
        <v>5.9484066767830042</v>
      </c>
      <c r="AH92" s="16">
        <f t="shared" si="123"/>
        <v>4.476319350473613</v>
      </c>
      <c r="AI92" s="16">
        <f t="shared" ref="AI92" si="124">(AI63-AI61)/AI79</f>
        <v>3.8480463096960924</v>
      </c>
    </row>
    <row r="93" spans="2:35" x14ac:dyDescent="0.3">
      <c r="B93" t="s">
        <v>129</v>
      </c>
      <c r="N93" s="6"/>
      <c r="O93" s="6"/>
      <c r="P93" s="6"/>
      <c r="Q93" s="6"/>
      <c r="R93" s="6"/>
      <c r="S93" s="6"/>
      <c r="T93" s="6"/>
      <c r="AE93" s="6">
        <f t="shared" ref="AE93:AH93" si="125">(AE60/AE13)*365</f>
        <v>123.94244604316548</v>
      </c>
      <c r="AF93" s="6">
        <f t="shared" si="125"/>
        <v>44.437212863705973</v>
      </c>
      <c r="AG93" s="6">
        <f t="shared" si="125"/>
        <v>59.452998379254453</v>
      </c>
      <c r="AH93" s="6">
        <f t="shared" si="125"/>
        <v>158.42691622103388</v>
      </c>
      <c r="AI93" s="6">
        <f t="shared" ref="AI93" si="126">(AI60/AI13)*365</f>
        <v>126.36392405063292</v>
      </c>
    </row>
    <row r="94" spans="2:35" x14ac:dyDescent="0.3">
      <c r="B94" t="s">
        <v>130</v>
      </c>
      <c r="N94" s="16"/>
      <c r="O94" s="16"/>
      <c r="P94" s="16"/>
      <c r="Q94" s="16"/>
      <c r="R94" s="16"/>
      <c r="S94" s="16"/>
      <c r="T94" s="16"/>
      <c r="AE94" s="6">
        <f t="shared" ref="AE94:AG94" si="127">(AE76/AE13)*365</f>
        <v>101.35971223021583</v>
      </c>
      <c r="AF94" s="6">
        <f t="shared" si="127"/>
        <v>78.81316998468607</v>
      </c>
      <c r="AG94" s="6">
        <f t="shared" si="127"/>
        <v>78.383306320907607</v>
      </c>
      <c r="AH94" s="6">
        <f>(AH76/AH13)*365</f>
        <v>73.520499108734413</v>
      </c>
      <c r="AI94" s="6">
        <f>(AI76/AI13)*365</f>
        <v>37.886075949367083</v>
      </c>
    </row>
    <row r="95" spans="2:35" x14ac:dyDescent="0.3">
      <c r="B95" t="s">
        <v>131</v>
      </c>
      <c r="N95" s="16"/>
      <c r="O95" s="16"/>
      <c r="P95" s="16"/>
      <c r="Q95" s="16"/>
      <c r="R95" s="16"/>
      <c r="S95" s="16"/>
      <c r="T95" s="16"/>
      <c r="AE95" s="6">
        <f t="shared" ref="AE95:AG95" si="128">(AE61/AE18)*365</f>
        <v>287.45892018779341</v>
      </c>
      <c r="AF95" s="6">
        <f t="shared" si="128"/>
        <v>207.49530956848037</v>
      </c>
      <c r="AG95" s="6">
        <f t="shared" si="128"/>
        <v>230.16791044776119</v>
      </c>
      <c r="AH95" s="6">
        <f>(AH61/AH18)*365</f>
        <v>280.21944632005403</v>
      </c>
      <c r="AI95" s="6">
        <f>(AI61/AI18)*365</f>
        <v>206.82015167930658</v>
      </c>
    </row>
    <row r="96" spans="2:35" x14ac:dyDescent="0.3">
      <c r="B96" t="s">
        <v>132</v>
      </c>
      <c r="N96" s="10">
        <f t="shared" ref="N96:T96" si="129">(N74+N82+59.9)/N84</f>
        <v>0.24934245134139926</v>
      </c>
      <c r="O96" s="10">
        <f t="shared" si="129"/>
        <v>0.25303152789005656</v>
      </c>
      <c r="P96" s="10">
        <f t="shared" si="129"/>
        <v>0.28314606741573034</v>
      </c>
      <c r="Q96" s="10">
        <f t="shared" si="129"/>
        <v>0.26680982418467319</v>
      </c>
      <c r="R96" s="10">
        <f t="shared" si="129"/>
        <v>0.2841237113402062</v>
      </c>
      <c r="S96" s="10">
        <f t="shared" si="129"/>
        <v>0.28733512976882708</v>
      </c>
      <c r="T96" s="10">
        <f t="shared" si="129"/>
        <v>0.29625810253388335</v>
      </c>
      <c r="U96" s="10">
        <f t="shared" ref="U96" si="130">(U74+U82+59.9)/U84</f>
        <v>0.31338985762278038</v>
      </c>
      <c r="AE96" s="10">
        <f t="shared" ref="AE96:AG96" si="131">(AE74+AE82+59.9)/AE84</f>
        <v>0.21069048631787893</v>
      </c>
      <c r="AF96" s="10">
        <f t="shared" si="131"/>
        <v>0.20678685047720044</v>
      </c>
      <c r="AG96" s="10">
        <f t="shared" si="131"/>
        <v>0.24934245134139926</v>
      </c>
      <c r="AH96" s="10">
        <f>(AH74+AH82+59.9)/AH84</f>
        <v>0.2841237113402062</v>
      </c>
      <c r="AI96" s="10">
        <f>(AI74+AI82+59.9)/AI84</f>
        <v>0.31338985762278038</v>
      </c>
    </row>
    <row r="97" spans="2:45" x14ac:dyDescent="0.3">
      <c r="B97" t="s">
        <v>133</v>
      </c>
      <c r="N97" s="17">
        <f t="shared" ref="N97:T97" si="132">(N73-N79)/(N74+N82)</f>
        <v>6.8619892058596781</v>
      </c>
      <c r="O97" s="17">
        <f t="shared" si="132"/>
        <v>6.7982799061767007</v>
      </c>
      <c r="P97" s="17">
        <f t="shared" si="132"/>
        <v>6.0112914608327452</v>
      </c>
      <c r="Q97" s="17">
        <f t="shared" si="132"/>
        <v>6.352051835853131</v>
      </c>
      <c r="R97" s="17">
        <f t="shared" si="132"/>
        <v>5.9277929155313345</v>
      </c>
      <c r="S97" s="17">
        <f t="shared" si="132"/>
        <v>5.9060967063770153</v>
      </c>
      <c r="T97" s="17">
        <f t="shared" si="132"/>
        <v>5.7747875354107672</v>
      </c>
      <c r="U97" s="17">
        <f t="shared" ref="U97" si="133">(U73-U79)/(U74+U82)</f>
        <v>5.5992647058823533</v>
      </c>
      <c r="AE97" s="17">
        <f t="shared" ref="AE97:AG97" si="134">(AE73-AE79)/(AE74+AE82)</f>
        <v>9.2728297632469037</v>
      </c>
      <c r="AF97" s="17">
        <f t="shared" si="134"/>
        <v>8.8865764828303835</v>
      </c>
      <c r="AG97" s="17">
        <f t="shared" si="134"/>
        <v>6.8619892058596781</v>
      </c>
      <c r="AH97" s="17">
        <f>(AH73-AH79)/(AH74+AH82)</f>
        <v>5.9277929155313345</v>
      </c>
      <c r="AI97" s="17">
        <f>(AI73-AI79)/(AI74+AI82)</f>
        <v>5.5992647058823533</v>
      </c>
    </row>
    <row r="98" spans="2:45" x14ac:dyDescent="0.3">
      <c r="N98" s="10"/>
      <c r="O98" s="10"/>
      <c r="P98" s="10"/>
      <c r="Q98" s="10"/>
      <c r="R98" s="10"/>
      <c r="S98" s="10"/>
      <c r="T98" s="10"/>
      <c r="AE98" s="10"/>
      <c r="AF98" s="10"/>
      <c r="AG98" s="10"/>
      <c r="AH98" s="10"/>
    </row>
    <row r="100" spans="2:45" s="1" customFormat="1" x14ac:dyDescent="0.3">
      <c r="B100" s="1" t="s">
        <v>43</v>
      </c>
      <c r="K100" s="8">
        <f t="shared" ref="K100:V100" si="135">K32</f>
        <v>-18.5</v>
      </c>
      <c r="L100" s="8">
        <f t="shared" si="135"/>
        <v>-34.399999999999991</v>
      </c>
      <c r="M100" s="8">
        <f t="shared" si="135"/>
        <v>-24.399999999999995</v>
      </c>
      <c r="N100" s="8">
        <f t="shared" si="135"/>
        <v>-31.099999999999991</v>
      </c>
      <c r="O100" s="8">
        <f t="shared" si="135"/>
        <v>-20.599999999999998</v>
      </c>
      <c r="P100" s="8">
        <f t="shared" si="135"/>
        <v>-32.999999999999986</v>
      </c>
      <c r="Q100" s="8">
        <f t="shared" si="135"/>
        <v>-33.400000000000006</v>
      </c>
      <c r="R100" s="8">
        <f t="shared" si="135"/>
        <v>-42.100000000000009</v>
      </c>
      <c r="S100" s="8">
        <f t="shared" si="135"/>
        <v>-28.299999999999997</v>
      </c>
      <c r="T100" s="8">
        <f t="shared" si="135"/>
        <v>-39</v>
      </c>
      <c r="U100" s="19">
        <f t="shared" si="135"/>
        <v>-92.8</v>
      </c>
      <c r="V100" s="19">
        <f t="shared" si="135"/>
        <v>-30.699999999999996</v>
      </c>
      <c r="W100" s="8"/>
      <c r="X100" s="8"/>
      <c r="Y100" s="8"/>
      <c r="Z100" s="8"/>
      <c r="AF100" s="8">
        <f t="shared" ref="AF100:AS100" si="136">AF32</f>
        <v>-142.29999999999998</v>
      </c>
      <c r="AG100" s="8">
        <f t="shared" si="136"/>
        <v>-108.39999999999996</v>
      </c>
      <c r="AH100" s="8">
        <f t="shared" si="136"/>
        <v>-129.1</v>
      </c>
      <c r="AI100" s="8">
        <f t="shared" si="136"/>
        <v>-190.8</v>
      </c>
      <c r="AJ100" s="8">
        <f t="shared" si="136"/>
        <v>-79.998500000000007</v>
      </c>
      <c r="AK100" s="8">
        <f t="shared" si="136"/>
        <v>-57.185884999999985</v>
      </c>
      <c r="AL100" s="8">
        <f t="shared" si="136"/>
        <v>-37.552930200000041</v>
      </c>
      <c r="AM100" s="8">
        <f t="shared" si="136"/>
        <v>-21.855588658999977</v>
      </c>
      <c r="AN100" s="8">
        <f t="shared" si="136"/>
        <v>-0.17869486987999039</v>
      </c>
      <c r="AO100" s="8">
        <f t="shared" si="136"/>
        <v>13.804711284936403</v>
      </c>
      <c r="AP100" s="8">
        <f t="shared" si="136"/>
        <v>29.150407162568523</v>
      </c>
      <c r="AQ100" s="8">
        <f t="shared" si="136"/>
        <v>45.744209460874899</v>
      </c>
      <c r="AR100" s="8">
        <f t="shared" si="136"/>
        <v>65.156779911461769</v>
      </c>
      <c r="AS100" s="8">
        <f t="shared" si="136"/>
        <v>87.860893251401222</v>
      </c>
    </row>
    <row r="101" spans="2:45" x14ac:dyDescent="0.3">
      <c r="B101" t="s">
        <v>92</v>
      </c>
      <c r="K101" s="6">
        <v>2.6</v>
      </c>
      <c r="L101" s="6">
        <f>L125-K101</f>
        <v>3.1999999999999997</v>
      </c>
      <c r="M101" s="6">
        <f t="shared" ref="M101:M115" si="137">M125-L101-K101</f>
        <v>3.2000000000000006</v>
      </c>
      <c r="N101" s="6">
        <f>N125-M101-L101-K101</f>
        <v>2.9999999999999996</v>
      </c>
      <c r="O101" s="6">
        <v>2.9</v>
      </c>
      <c r="P101" s="6">
        <f>P125-O101</f>
        <v>3.0000000000000004</v>
      </c>
      <c r="Q101" s="6">
        <f t="shared" ref="Q101:Q115" si="138">Q125-P101-O101</f>
        <v>3.2999999999999994</v>
      </c>
      <c r="R101" s="6">
        <f>AH101-Q101-P101-O101</f>
        <v>2.6000000000000019</v>
      </c>
      <c r="S101" s="6">
        <v>2.1</v>
      </c>
      <c r="T101" s="6">
        <f>T125-S101</f>
        <v>4.9000000000000004</v>
      </c>
      <c r="U101" s="20">
        <v>2.1</v>
      </c>
      <c r="V101" s="20">
        <v>2.1</v>
      </c>
      <c r="W101" s="6"/>
      <c r="X101" s="6"/>
      <c r="Y101" s="6"/>
      <c r="Z101" s="6"/>
      <c r="AF101" s="6">
        <v>6.8</v>
      </c>
      <c r="AG101" s="6">
        <f>SUM(K101:N101)</f>
        <v>12</v>
      </c>
      <c r="AH101" s="6">
        <v>11.8</v>
      </c>
      <c r="AI101" s="6">
        <f>SUM(S101:V101)</f>
        <v>11.2</v>
      </c>
      <c r="AJ101" s="6">
        <f t="shared" ref="AJ101:AS102" si="139">AI101*1.02</f>
        <v>11.423999999999999</v>
      </c>
      <c r="AK101" s="6">
        <f t="shared" si="139"/>
        <v>11.652479999999999</v>
      </c>
      <c r="AL101" s="6">
        <f t="shared" si="139"/>
        <v>11.885529599999998</v>
      </c>
      <c r="AM101" s="6">
        <f t="shared" si="139"/>
        <v>12.123240191999999</v>
      </c>
      <c r="AN101" s="6">
        <f t="shared" si="139"/>
        <v>12.36570499584</v>
      </c>
      <c r="AO101" s="6">
        <f t="shared" si="139"/>
        <v>12.613019095756799</v>
      </c>
      <c r="AP101" s="6">
        <f t="shared" si="139"/>
        <v>12.865279477671935</v>
      </c>
      <c r="AQ101" s="6">
        <f t="shared" si="139"/>
        <v>13.122585067225375</v>
      </c>
      <c r="AR101" s="6">
        <f t="shared" si="139"/>
        <v>13.385036768569883</v>
      </c>
      <c r="AS101" s="6">
        <f t="shared" si="139"/>
        <v>13.65273750394128</v>
      </c>
    </row>
    <row r="102" spans="2:45" x14ac:dyDescent="0.3">
      <c r="B102" t="s">
        <v>93</v>
      </c>
      <c r="K102" s="6">
        <v>5.4</v>
      </c>
      <c r="L102" s="6">
        <f t="shared" ref="L102:L115" si="140">L126-K102</f>
        <v>6.6</v>
      </c>
      <c r="M102" s="6">
        <f t="shared" si="137"/>
        <v>6.6999999999999993</v>
      </c>
      <c r="N102" s="6">
        <f t="shared" ref="N102:N115" si="141">N126-M102-L102-K102</f>
        <v>6.6999999999999993</v>
      </c>
      <c r="O102" s="6">
        <v>8.6</v>
      </c>
      <c r="P102" s="6">
        <f t="shared" ref="P102:P110" si="142">P126-O102</f>
        <v>9.6</v>
      </c>
      <c r="Q102" s="6">
        <f t="shared" si="138"/>
        <v>9.1999999999999975</v>
      </c>
      <c r="R102" s="6">
        <f t="shared" ref="R102:R115" si="143">AH102-Q102-P102-O102</f>
        <v>8.800000000000006</v>
      </c>
      <c r="S102" s="6">
        <v>9.9</v>
      </c>
      <c r="T102" s="6">
        <f t="shared" ref="T102:T110" si="144">T126-S102</f>
        <v>10.9</v>
      </c>
      <c r="U102" s="20">
        <v>11</v>
      </c>
      <c r="V102" s="20">
        <v>11</v>
      </c>
      <c r="W102" s="6"/>
      <c r="X102" s="6"/>
      <c r="Y102" s="6"/>
      <c r="Z102" s="6"/>
      <c r="AF102" s="6">
        <v>21.3</v>
      </c>
      <c r="AG102" s="6">
        <f t="shared" ref="AG102:AG118" si="145">SUM(K102:N102)</f>
        <v>25.4</v>
      </c>
      <c r="AH102" s="6">
        <v>36.200000000000003</v>
      </c>
      <c r="AI102" s="6">
        <f t="shared" ref="AI102:AI115" si="146">SUM(S102:V102)</f>
        <v>42.8</v>
      </c>
      <c r="AJ102" s="6">
        <f>AI102*1.02</f>
        <v>43.655999999999999</v>
      </c>
      <c r="AK102" s="6">
        <f t="shared" si="139"/>
        <v>44.529119999999999</v>
      </c>
      <c r="AL102" s="6">
        <f t="shared" si="139"/>
        <v>45.419702399999998</v>
      </c>
      <c r="AM102" s="6">
        <f t="shared" si="139"/>
        <v>46.328096447999997</v>
      </c>
      <c r="AN102" s="6">
        <f t="shared" si="139"/>
        <v>47.254658376959995</v>
      </c>
      <c r="AO102" s="6">
        <f t="shared" si="139"/>
        <v>48.199751544499193</v>
      </c>
      <c r="AP102" s="6">
        <f t="shared" si="139"/>
        <v>49.163746575389176</v>
      </c>
      <c r="AQ102" s="6">
        <f t="shared" si="139"/>
        <v>50.147021506896962</v>
      </c>
      <c r="AR102" s="6">
        <f t="shared" si="139"/>
        <v>51.149961937034902</v>
      </c>
      <c r="AS102" s="6">
        <f t="shared" si="139"/>
        <v>52.172961175775605</v>
      </c>
    </row>
    <row r="103" spans="2:45" x14ac:dyDescent="0.3">
      <c r="B103" t="s">
        <v>94</v>
      </c>
      <c r="K103" s="6">
        <v>0</v>
      </c>
      <c r="L103" s="6">
        <f t="shared" si="140"/>
        <v>0</v>
      </c>
      <c r="M103" s="6">
        <f t="shared" si="137"/>
        <v>-15.3</v>
      </c>
      <c r="N103" s="6">
        <f t="shared" si="141"/>
        <v>15.3</v>
      </c>
      <c r="O103" s="6">
        <v>0</v>
      </c>
      <c r="P103" s="6">
        <f t="shared" si="142"/>
        <v>0</v>
      </c>
      <c r="Q103" s="6">
        <f t="shared" si="138"/>
        <v>0</v>
      </c>
      <c r="R103" s="6">
        <f t="shared" si="143"/>
        <v>0</v>
      </c>
      <c r="S103" s="6"/>
      <c r="T103" s="6"/>
      <c r="U103" s="20"/>
      <c r="V103" s="20"/>
      <c r="W103" s="6"/>
      <c r="X103" s="6"/>
      <c r="Y103" s="6"/>
      <c r="Z103" s="6"/>
      <c r="AF103" s="6">
        <v>4.2</v>
      </c>
      <c r="AG103" s="6">
        <f t="shared" si="145"/>
        <v>0</v>
      </c>
      <c r="AH103" s="6">
        <v>0</v>
      </c>
      <c r="AI103" s="6">
        <f t="shared" si="146"/>
        <v>0</v>
      </c>
      <c r="AJ103" s="6">
        <v>0</v>
      </c>
      <c r="AK103" s="6">
        <v>0</v>
      </c>
      <c r="AL103" s="6">
        <v>0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6">
        <v>0</v>
      </c>
      <c r="AS103" s="6">
        <v>0</v>
      </c>
    </row>
    <row r="104" spans="2:45" x14ac:dyDescent="0.3">
      <c r="B104" t="s">
        <v>95</v>
      </c>
      <c r="K104" s="6">
        <v>1.1000000000000001</v>
      </c>
      <c r="L104" s="6">
        <f t="shared" si="140"/>
        <v>1</v>
      </c>
      <c r="M104" s="6">
        <f t="shared" si="137"/>
        <v>0.5</v>
      </c>
      <c r="N104" s="6">
        <f t="shared" si="141"/>
        <v>0.60000000000000009</v>
      </c>
      <c r="O104" s="6">
        <v>0.5</v>
      </c>
      <c r="P104" s="6">
        <f t="shared" si="142"/>
        <v>0.60000000000000009</v>
      </c>
      <c r="Q104" s="6">
        <f t="shared" si="138"/>
        <v>0.5</v>
      </c>
      <c r="R104" s="6">
        <f t="shared" si="143"/>
        <v>0.60000000000000009</v>
      </c>
      <c r="S104" s="6">
        <v>0.6</v>
      </c>
      <c r="T104" s="6">
        <f t="shared" si="144"/>
        <v>0.6</v>
      </c>
      <c r="U104" s="20">
        <v>1</v>
      </c>
      <c r="V104" s="20">
        <v>1</v>
      </c>
      <c r="W104" s="6"/>
      <c r="X104" s="6"/>
      <c r="Y104" s="6"/>
      <c r="Z104" s="6"/>
      <c r="AF104" s="6">
        <v>-0.8</v>
      </c>
      <c r="AG104" s="6">
        <f t="shared" si="145"/>
        <v>3.2</v>
      </c>
      <c r="AH104" s="6">
        <v>2.2000000000000002</v>
      </c>
      <c r="AI104" s="6">
        <f t="shared" si="146"/>
        <v>3.2</v>
      </c>
      <c r="AJ104" s="6">
        <v>0</v>
      </c>
      <c r="AK104" s="6">
        <v>0</v>
      </c>
      <c r="AL104" s="6">
        <v>0</v>
      </c>
      <c r="AM104" s="6">
        <v>0</v>
      </c>
      <c r="AN104" s="6">
        <v>0</v>
      </c>
      <c r="AO104" s="6">
        <v>0</v>
      </c>
      <c r="AP104" s="6">
        <v>0</v>
      </c>
      <c r="AQ104" s="6">
        <v>0</v>
      </c>
      <c r="AR104" s="6">
        <v>0</v>
      </c>
      <c r="AS104" s="6">
        <v>0</v>
      </c>
    </row>
    <row r="105" spans="2:45" x14ac:dyDescent="0.3">
      <c r="B105" t="s">
        <v>96</v>
      </c>
      <c r="K105" s="6">
        <v>0</v>
      </c>
      <c r="L105" s="6">
        <f t="shared" si="140"/>
        <v>0.1</v>
      </c>
      <c r="M105" s="6">
        <f t="shared" si="137"/>
        <v>-0.6</v>
      </c>
      <c r="N105" s="6">
        <f t="shared" si="141"/>
        <v>-22.200000000000003</v>
      </c>
      <c r="O105" s="6">
        <v>5.4</v>
      </c>
      <c r="P105" s="6">
        <f t="shared" si="142"/>
        <v>-0.40000000000000036</v>
      </c>
      <c r="Q105" s="6">
        <f t="shared" si="138"/>
        <v>3.3000000000000007</v>
      </c>
      <c r="R105" s="6">
        <f t="shared" si="143"/>
        <v>1.5999999999999996</v>
      </c>
      <c r="S105" s="6">
        <v>-2.7</v>
      </c>
      <c r="T105" s="6">
        <f t="shared" si="144"/>
        <v>2.4000000000000004</v>
      </c>
      <c r="U105" s="20">
        <v>0</v>
      </c>
      <c r="V105" s="20">
        <v>0</v>
      </c>
      <c r="W105" s="6"/>
      <c r="X105" s="6"/>
      <c r="Y105" s="6"/>
      <c r="Z105" s="6"/>
      <c r="AF105" s="6">
        <v>1.5</v>
      </c>
      <c r="AG105" s="6">
        <f t="shared" si="145"/>
        <v>-22.700000000000003</v>
      </c>
      <c r="AH105" s="6">
        <v>9.9</v>
      </c>
      <c r="AI105" s="6">
        <f t="shared" si="146"/>
        <v>-0.29999999999999982</v>
      </c>
      <c r="AJ105" s="6">
        <v>0</v>
      </c>
      <c r="AK105" s="6">
        <v>0</v>
      </c>
      <c r="AL105" s="6">
        <v>0</v>
      </c>
      <c r="AM105" s="6">
        <v>0</v>
      </c>
      <c r="AN105" s="6">
        <v>0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</row>
    <row r="106" spans="2:45" x14ac:dyDescent="0.3">
      <c r="B106" t="s">
        <v>97</v>
      </c>
      <c r="K106" s="6">
        <v>0.3</v>
      </c>
      <c r="L106" s="6">
        <f t="shared" si="140"/>
        <v>0.39999999999999997</v>
      </c>
      <c r="M106" s="6">
        <f t="shared" si="137"/>
        <v>0.5</v>
      </c>
      <c r="N106" s="6">
        <f t="shared" si="141"/>
        <v>0.3000000000000001</v>
      </c>
      <c r="O106" s="6">
        <v>0.4</v>
      </c>
      <c r="P106" s="6">
        <f t="shared" si="142"/>
        <v>0.29999999999999993</v>
      </c>
      <c r="Q106" s="6">
        <f t="shared" si="138"/>
        <v>0.40000000000000013</v>
      </c>
      <c r="R106" s="6">
        <f t="shared" si="143"/>
        <v>0.29999999999999982</v>
      </c>
      <c r="S106" s="6">
        <v>0.3</v>
      </c>
      <c r="T106" s="6">
        <f t="shared" si="144"/>
        <v>0.39999999999999997</v>
      </c>
      <c r="U106" s="20">
        <v>0</v>
      </c>
      <c r="V106" s="20">
        <v>0</v>
      </c>
      <c r="W106" s="6"/>
      <c r="X106" s="6"/>
      <c r="Y106" s="6"/>
      <c r="Z106" s="6"/>
      <c r="AF106" s="6">
        <v>-1.4</v>
      </c>
      <c r="AG106" s="6">
        <f t="shared" si="145"/>
        <v>1.5</v>
      </c>
      <c r="AH106" s="6">
        <v>1.4</v>
      </c>
      <c r="AI106" s="6">
        <f t="shared" si="146"/>
        <v>0.7</v>
      </c>
      <c r="AJ106" s="6">
        <v>0</v>
      </c>
      <c r="AK106" s="6">
        <v>0</v>
      </c>
      <c r="AL106" s="6">
        <v>0</v>
      </c>
      <c r="AM106" s="6">
        <v>0</v>
      </c>
      <c r="AN106" s="6">
        <v>0</v>
      </c>
      <c r="AO106" s="6">
        <v>0</v>
      </c>
      <c r="AP106" s="6">
        <v>0</v>
      </c>
      <c r="AQ106" s="6">
        <v>0</v>
      </c>
      <c r="AR106" s="6">
        <v>0</v>
      </c>
      <c r="AS106" s="6">
        <v>0</v>
      </c>
    </row>
    <row r="107" spans="2:45" x14ac:dyDescent="0.3">
      <c r="B107" t="s">
        <v>98</v>
      </c>
      <c r="K107" s="6">
        <v>-0.3</v>
      </c>
      <c r="L107" s="6">
        <f t="shared" si="140"/>
        <v>-0.3</v>
      </c>
      <c r="M107" s="6">
        <f t="shared" si="137"/>
        <v>-0.3000000000000001</v>
      </c>
      <c r="N107" s="6">
        <f t="shared" si="141"/>
        <v>-0.29999999999999988</v>
      </c>
      <c r="O107" s="6">
        <v>-0.2</v>
      </c>
      <c r="P107" s="6">
        <f t="shared" si="142"/>
        <v>-0.49999999999999994</v>
      </c>
      <c r="Q107" s="6">
        <f t="shared" si="138"/>
        <v>-0.20000000000000007</v>
      </c>
      <c r="R107" s="6">
        <f t="shared" si="143"/>
        <v>-0.40000000000000008</v>
      </c>
      <c r="S107" s="6">
        <v>-0.3</v>
      </c>
      <c r="T107" s="6">
        <f t="shared" si="144"/>
        <v>-0.39999999999999997</v>
      </c>
      <c r="U107" s="20">
        <v>0</v>
      </c>
      <c r="V107" s="20">
        <v>0</v>
      </c>
      <c r="W107" s="6"/>
      <c r="X107" s="6"/>
      <c r="Y107" s="6"/>
      <c r="Z107" s="6"/>
      <c r="AF107" s="6">
        <v>1.8</v>
      </c>
      <c r="AG107" s="6">
        <f t="shared" si="145"/>
        <v>-1.2</v>
      </c>
      <c r="AH107" s="6">
        <v>-1.3</v>
      </c>
      <c r="AI107" s="6">
        <f t="shared" si="146"/>
        <v>-0.7</v>
      </c>
      <c r="AJ107" s="6">
        <v>0</v>
      </c>
      <c r="AK107" s="6">
        <v>0</v>
      </c>
      <c r="AL107" s="6">
        <v>0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6">
        <v>0</v>
      </c>
      <c r="AS107" s="6">
        <v>0</v>
      </c>
    </row>
    <row r="108" spans="2:45" x14ac:dyDescent="0.3">
      <c r="B108" t="s">
        <v>99</v>
      </c>
      <c r="K108" s="6">
        <v>0</v>
      </c>
      <c r="L108" s="6">
        <f t="shared" si="140"/>
        <v>2.4</v>
      </c>
      <c r="M108" s="6">
        <f t="shared" si="137"/>
        <v>0</v>
      </c>
      <c r="N108" s="6">
        <f t="shared" si="141"/>
        <v>0</v>
      </c>
      <c r="O108" s="6">
        <v>0</v>
      </c>
      <c r="P108" s="6">
        <f t="shared" si="142"/>
        <v>0</v>
      </c>
      <c r="Q108" s="6">
        <f t="shared" si="138"/>
        <v>1.1000000000000001</v>
      </c>
      <c r="R108" s="6">
        <f t="shared" si="143"/>
        <v>-1.1000000000000001</v>
      </c>
      <c r="S108" s="6">
        <v>0</v>
      </c>
      <c r="T108" s="6">
        <f t="shared" si="144"/>
        <v>0</v>
      </c>
      <c r="U108" s="6">
        <v>64.5</v>
      </c>
      <c r="V108" s="20">
        <v>0</v>
      </c>
      <c r="W108" s="6"/>
      <c r="X108" s="6"/>
      <c r="Y108" s="6"/>
      <c r="Z108" s="6"/>
      <c r="AF108" s="6">
        <v>0.6</v>
      </c>
      <c r="AG108" s="6">
        <f t="shared" si="145"/>
        <v>2.4</v>
      </c>
      <c r="AH108" s="6">
        <v>0</v>
      </c>
      <c r="AI108" s="6">
        <f t="shared" si="146"/>
        <v>64.5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>
        <v>0</v>
      </c>
      <c r="AS108" s="6">
        <v>0</v>
      </c>
    </row>
    <row r="109" spans="2:45" x14ac:dyDescent="0.3">
      <c r="B109" t="s">
        <v>100</v>
      </c>
      <c r="K109" s="6">
        <v>0.1</v>
      </c>
      <c r="L109" s="6">
        <f t="shared" si="140"/>
        <v>-0.2</v>
      </c>
      <c r="M109" s="6">
        <f t="shared" si="137"/>
        <v>0.30000000000000004</v>
      </c>
      <c r="N109" s="6">
        <f t="shared" si="141"/>
        <v>0.19999999999999998</v>
      </c>
      <c r="O109" s="6">
        <v>0.1</v>
      </c>
      <c r="P109" s="6">
        <f t="shared" si="142"/>
        <v>-0.1</v>
      </c>
      <c r="Q109" s="6">
        <f t="shared" si="138"/>
        <v>0.20000000000000004</v>
      </c>
      <c r="R109" s="6">
        <f t="shared" si="143"/>
        <v>0</v>
      </c>
      <c r="S109" s="6">
        <v>0.1</v>
      </c>
      <c r="T109" s="6">
        <f t="shared" si="144"/>
        <v>0.1</v>
      </c>
      <c r="U109" s="20">
        <v>0</v>
      </c>
      <c r="V109" s="20">
        <v>0</v>
      </c>
      <c r="W109" s="6"/>
      <c r="X109" s="6"/>
      <c r="Y109" s="6"/>
      <c r="Z109" s="6"/>
      <c r="AF109" s="6">
        <v>2.6</v>
      </c>
      <c r="AG109" s="6">
        <f t="shared" si="145"/>
        <v>0.4</v>
      </c>
      <c r="AH109" s="6">
        <v>0.2</v>
      </c>
      <c r="AI109" s="6">
        <f t="shared" si="146"/>
        <v>0.2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</row>
    <row r="110" spans="2:45" x14ac:dyDescent="0.3">
      <c r="B110" t="s">
        <v>73</v>
      </c>
      <c r="K110" s="6">
        <f>1.7-5</f>
        <v>-3.3</v>
      </c>
      <c r="L110" s="6">
        <f t="shared" si="140"/>
        <v>-19.5</v>
      </c>
      <c r="M110" s="6">
        <f t="shared" si="137"/>
        <v>-8</v>
      </c>
      <c r="N110" s="6">
        <f t="shared" si="141"/>
        <v>10.000000000000004</v>
      </c>
      <c r="O110" s="6">
        <f>0.4-3</f>
        <v>-2.6</v>
      </c>
      <c r="P110" s="6">
        <f t="shared" si="142"/>
        <v>-6.4</v>
      </c>
      <c r="Q110" s="6">
        <f t="shared" si="138"/>
        <v>-6.4</v>
      </c>
      <c r="R110" s="6">
        <f t="shared" si="143"/>
        <v>-15.500000000000002</v>
      </c>
      <c r="S110" s="6">
        <f>2.5-0.7</f>
        <v>1.8</v>
      </c>
      <c r="T110" s="6">
        <f t="shared" si="144"/>
        <v>-13.8</v>
      </c>
      <c r="U110" s="20">
        <v>0</v>
      </c>
      <c r="V110" s="20">
        <v>0</v>
      </c>
      <c r="W110" s="6"/>
      <c r="X110" s="6"/>
      <c r="Y110" s="6"/>
      <c r="Z110" s="6"/>
      <c r="AF110" s="6">
        <f>9.2-0.2</f>
        <v>9</v>
      </c>
      <c r="AG110" s="6">
        <f t="shared" si="145"/>
        <v>-20.799999999999997</v>
      </c>
      <c r="AH110" s="6">
        <f>-7.9-23</f>
        <v>-30.9</v>
      </c>
      <c r="AI110" s="6">
        <f t="shared" si="146"/>
        <v>-12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</row>
    <row r="111" spans="2:45" x14ac:dyDescent="0.3">
      <c r="B111" t="s">
        <v>74</v>
      </c>
      <c r="K111" s="6">
        <v>-10.3</v>
      </c>
      <c r="L111" s="6">
        <f t="shared" si="140"/>
        <v>13.9</v>
      </c>
      <c r="M111" s="6">
        <f t="shared" si="137"/>
        <v>1.6999999999999993</v>
      </c>
      <c r="N111" s="6">
        <f t="shared" si="141"/>
        <v>-0.59999999999999787</v>
      </c>
      <c r="O111" s="6">
        <v>-18.399999999999999</v>
      </c>
      <c r="P111" s="6">
        <f>P135-O111</f>
        <v>-11.100000000000001</v>
      </c>
      <c r="Q111" s="6">
        <f t="shared" si="138"/>
        <v>-15.399999999999999</v>
      </c>
      <c r="R111" s="6">
        <f t="shared" si="143"/>
        <v>15.7</v>
      </c>
      <c r="S111" s="6">
        <v>-14.2</v>
      </c>
      <c r="T111" s="6">
        <f>T135-S111</f>
        <v>2.1999999999999993</v>
      </c>
      <c r="U111" s="20">
        <v>0</v>
      </c>
      <c r="V111" s="20">
        <v>0</v>
      </c>
      <c r="W111" s="6"/>
      <c r="X111" s="6"/>
      <c r="Y111" s="6"/>
      <c r="Z111" s="6"/>
      <c r="AF111" s="6">
        <v>-28.1</v>
      </c>
      <c r="AG111" s="6">
        <f t="shared" si="145"/>
        <v>4.7000000000000011</v>
      </c>
      <c r="AH111" s="6">
        <v>-29.2</v>
      </c>
      <c r="AI111" s="6">
        <f t="shared" si="146"/>
        <v>-12</v>
      </c>
      <c r="AJ111" s="6">
        <v>0</v>
      </c>
      <c r="AK111" s="6">
        <v>0</v>
      </c>
      <c r="AL111" s="6">
        <v>0</v>
      </c>
      <c r="AM111" s="6">
        <v>0</v>
      </c>
      <c r="AN111" s="6">
        <v>0</v>
      </c>
      <c r="AO111" s="6">
        <v>0</v>
      </c>
      <c r="AP111" s="6">
        <v>0</v>
      </c>
      <c r="AQ111" s="6">
        <v>0</v>
      </c>
      <c r="AR111" s="6">
        <v>0</v>
      </c>
      <c r="AS111" s="6">
        <v>0</v>
      </c>
    </row>
    <row r="112" spans="2:45" x14ac:dyDescent="0.3">
      <c r="B112" t="s">
        <v>101</v>
      </c>
      <c r="K112" s="6">
        <v>-1.7</v>
      </c>
      <c r="L112" s="6">
        <f t="shared" si="140"/>
        <v>-8.9</v>
      </c>
      <c r="M112" s="6">
        <f t="shared" si="137"/>
        <v>-1.3999999999999997</v>
      </c>
      <c r="N112" s="6">
        <f t="shared" si="141"/>
        <v>-1.099999999999999</v>
      </c>
      <c r="O112" s="6">
        <v>-1.6</v>
      </c>
      <c r="P112" s="6">
        <f>P136-O112</f>
        <v>-0.69999999999999973</v>
      </c>
      <c r="Q112" s="6">
        <f t="shared" si="138"/>
        <v>-30.999999999999993</v>
      </c>
      <c r="R112" s="6">
        <f t="shared" si="143"/>
        <v>27.899999999999995</v>
      </c>
      <c r="S112" s="6">
        <v>-2</v>
      </c>
      <c r="T112" s="6">
        <f>T136-S112</f>
        <v>-4.4000000000000004</v>
      </c>
      <c r="U112" s="20">
        <v>0</v>
      </c>
      <c r="V112" s="20">
        <v>0</v>
      </c>
      <c r="W112" s="6"/>
      <c r="X112" s="6"/>
      <c r="Y112" s="6"/>
      <c r="Z112" s="6"/>
      <c r="AF112" s="6">
        <v>-2.1</v>
      </c>
      <c r="AG112" s="6">
        <f t="shared" si="145"/>
        <v>-13.1</v>
      </c>
      <c r="AH112" s="6">
        <v>-5.4</v>
      </c>
      <c r="AI112" s="6">
        <f t="shared" si="146"/>
        <v>-6.4</v>
      </c>
      <c r="AJ112" s="6">
        <v>0</v>
      </c>
      <c r="AK112" s="6">
        <v>0</v>
      </c>
      <c r="AL112" s="6">
        <v>0</v>
      </c>
      <c r="AM112" s="6">
        <v>0</v>
      </c>
      <c r="AN112" s="6">
        <v>0</v>
      </c>
      <c r="AO112" s="6">
        <v>0</v>
      </c>
      <c r="AP112" s="6">
        <v>0</v>
      </c>
      <c r="AQ112" s="6">
        <v>0</v>
      </c>
      <c r="AR112" s="6">
        <v>0</v>
      </c>
      <c r="AS112" s="6">
        <v>0</v>
      </c>
    </row>
    <row r="113" spans="2:146" x14ac:dyDescent="0.3">
      <c r="B113" t="s">
        <v>81</v>
      </c>
      <c r="K113" s="6">
        <v>-1.1000000000000001</v>
      </c>
      <c r="L113" s="6">
        <f t="shared" si="140"/>
        <v>-0.39999999999999991</v>
      </c>
      <c r="M113" s="6">
        <f t="shared" si="137"/>
        <v>2.4</v>
      </c>
      <c r="N113" s="6">
        <f t="shared" si="141"/>
        <v>2.1</v>
      </c>
      <c r="O113" s="6">
        <v>-6</v>
      </c>
      <c r="P113" s="6">
        <f>P137-O113</f>
        <v>-0.29999999999999982</v>
      </c>
      <c r="Q113" s="6">
        <f t="shared" si="138"/>
        <v>0.29999999999999982</v>
      </c>
      <c r="R113" s="6">
        <f t="shared" si="143"/>
        <v>5</v>
      </c>
      <c r="S113" s="6">
        <v>-3.3</v>
      </c>
      <c r="T113" s="6">
        <f>T137-S113</f>
        <v>4.3</v>
      </c>
      <c r="U113" s="20">
        <v>0</v>
      </c>
      <c r="V113" s="20">
        <v>0</v>
      </c>
      <c r="W113" s="6"/>
      <c r="X113" s="6"/>
      <c r="Y113" s="6"/>
      <c r="Z113" s="6"/>
      <c r="AF113" s="6">
        <v>6.3</v>
      </c>
      <c r="AG113" s="6">
        <f t="shared" si="145"/>
        <v>3</v>
      </c>
      <c r="AH113" s="6">
        <v>-1</v>
      </c>
      <c r="AI113" s="6">
        <f t="shared" si="146"/>
        <v>1</v>
      </c>
      <c r="AJ113" s="6">
        <v>0</v>
      </c>
      <c r="AK113" s="6">
        <v>0</v>
      </c>
      <c r="AL113" s="6">
        <v>0</v>
      </c>
      <c r="AM113" s="6">
        <v>0</v>
      </c>
      <c r="AN113" s="6">
        <v>0</v>
      </c>
      <c r="AO113" s="6">
        <v>0</v>
      </c>
      <c r="AP113" s="6">
        <v>0</v>
      </c>
      <c r="AQ113" s="6">
        <v>0</v>
      </c>
      <c r="AR113" s="6">
        <v>0</v>
      </c>
      <c r="AS113" s="6">
        <v>0</v>
      </c>
    </row>
    <row r="114" spans="2:146" x14ac:dyDescent="0.3">
      <c r="B114" t="s">
        <v>82</v>
      </c>
      <c r="K114" s="6">
        <v>-7.1</v>
      </c>
      <c r="L114" s="6">
        <f t="shared" si="140"/>
        <v>2.8</v>
      </c>
      <c r="M114" s="6">
        <f t="shared" si="137"/>
        <v>9.9999999999999645E-2</v>
      </c>
      <c r="N114" s="6">
        <f t="shared" si="141"/>
        <v>-0.29999999999999982</v>
      </c>
      <c r="O114" s="6">
        <v>-4</v>
      </c>
      <c r="P114" s="6">
        <f>P138-O114</f>
        <v>3</v>
      </c>
      <c r="Q114" s="6">
        <f t="shared" si="138"/>
        <v>1.5</v>
      </c>
      <c r="R114" s="6">
        <f t="shared" si="143"/>
        <v>4.2</v>
      </c>
      <c r="S114" s="6">
        <v>-6.7</v>
      </c>
      <c r="T114" s="6">
        <f>T138-S114</f>
        <v>1.9000000000000004</v>
      </c>
      <c r="U114" s="20">
        <v>0</v>
      </c>
      <c r="V114" s="20">
        <v>0</v>
      </c>
      <c r="W114" s="6"/>
      <c r="X114" s="6"/>
      <c r="Y114" s="6"/>
      <c r="Z114" s="6"/>
      <c r="AF114" s="6">
        <v>24.6</v>
      </c>
      <c r="AG114" s="6">
        <f t="shared" si="145"/>
        <v>-4.5</v>
      </c>
      <c r="AH114" s="6">
        <v>4.7</v>
      </c>
      <c r="AI114" s="6">
        <f t="shared" si="146"/>
        <v>-4.8</v>
      </c>
      <c r="AJ114" s="6">
        <v>0</v>
      </c>
      <c r="AK114" s="6">
        <v>0</v>
      </c>
      <c r="AL114" s="6">
        <v>0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6">
        <v>0</v>
      </c>
      <c r="AS114" s="6">
        <v>0</v>
      </c>
    </row>
    <row r="115" spans="2:146" x14ac:dyDescent="0.3">
      <c r="B115" t="s">
        <v>83</v>
      </c>
      <c r="K115" s="6">
        <v>-18.100000000000001</v>
      </c>
      <c r="L115" s="6">
        <f t="shared" si="140"/>
        <v>-2.5999999999999979</v>
      </c>
      <c r="M115" s="6">
        <f t="shared" si="137"/>
        <v>-1.6000000000000014</v>
      </c>
      <c r="N115" s="6">
        <f t="shared" si="141"/>
        <v>0</v>
      </c>
      <c r="O115" s="6">
        <v>1.2</v>
      </c>
      <c r="P115" s="6">
        <f>P139-O115</f>
        <v>3.3999999999999995</v>
      </c>
      <c r="Q115" s="6">
        <f t="shared" si="138"/>
        <v>4.9000000000000004</v>
      </c>
      <c r="R115" s="6">
        <f t="shared" si="143"/>
        <v>-5.4</v>
      </c>
      <c r="S115" s="6">
        <v>1</v>
      </c>
      <c r="T115" s="6">
        <f>T139-S115</f>
        <v>-1.1000000000000001</v>
      </c>
      <c r="U115" s="20">
        <v>0</v>
      </c>
      <c r="V115" s="20">
        <v>0</v>
      </c>
      <c r="W115" s="6"/>
      <c r="X115" s="6"/>
      <c r="Y115" s="6"/>
      <c r="Z115" s="6"/>
      <c r="AF115" s="6">
        <v>-11.3</v>
      </c>
      <c r="AG115" s="6">
        <f t="shared" si="145"/>
        <v>-22.3</v>
      </c>
      <c r="AH115" s="6">
        <v>4.0999999999999996</v>
      </c>
      <c r="AI115" s="6">
        <f t="shared" si="146"/>
        <v>-0.10000000000000009</v>
      </c>
      <c r="AJ115" s="6">
        <v>0</v>
      </c>
      <c r="AK115" s="6">
        <v>0</v>
      </c>
      <c r="AL115" s="6">
        <v>0</v>
      </c>
      <c r="AM115" s="6">
        <v>0</v>
      </c>
      <c r="AN115" s="6">
        <v>0</v>
      </c>
      <c r="AO115" s="6">
        <v>0</v>
      </c>
      <c r="AP115" s="6">
        <v>0</v>
      </c>
      <c r="AQ115" s="6">
        <v>0</v>
      </c>
      <c r="AR115" s="6">
        <v>0</v>
      </c>
      <c r="AS115" s="6">
        <v>0</v>
      </c>
    </row>
    <row r="116" spans="2:146" s="1" customFormat="1" x14ac:dyDescent="0.3">
      <c r="B116" s="1" t="s">
        <v>102</v>
      </c>
      <c r="K116" s="8">
        <f t="shared" ref="K116:N116" si="147">K100+SUM(K101:K115)</f>
        <v>-50.900000000000006</v>
      </c>
      <c r="L116" s="8">
        <f t="shared" si="147"/>
        <v>-35.899999999999991</v>
      </c>
      <c r="M116" s="8">
        <f t="shared" si="147"/>
        <v>-36.199999999999996</v>
      </c>
      <c r="N116" s="8">
        <f t="shared" si="147"/>
        <v>-17.399999999999984</v>
      </c>
      <c r="O116" s="8">
        <f>O100+SUM(O101:O115)</f>
        <v>-34.299999999999997</v>
      </c>
      <c r="P116" s="8">
        <f t="shared" ref="P116:R116" si="148">P100+SUM(P101:P115)</f>
        <v>-32.599999999999987</v>
      </c>
      <c r="Q116" s="8">
        <f t="shared" si="148"/>
        <v>-61.7</v>
      </c>
      <c r="R116" s="8">
        <f t="shared" si="148"/>
        <v>2.1999999999999957</v>
      </c>
      <c r="S116" s="8">
        <f t="shared" ref="S116:V116" si="149">S100+SUM(S101:S115)</f>
        <v>-41.699999999999996</v>
      </c>
      <c r="T116" s="8">
        <f t="shared" si="149"/>
        <v>-30.999999999999993</v>
      </c>
      <c r="U116" s="19">
        <f t="shared" si="149"/>
        <v>-14.200000000000003</v>
      </c>
      <c r="V116" s="19">
        <f t="shared" si="149"/>
        <v>-16.599999999999994</v>
      </c>
      <c r="W116" s="8"/>
      <c r="X116" s="8"/>
      <c r="Y116" s="8"/>
      <c r="Z116" s="8"/>
      <c r="AF116" s="8">
        <f t="shared" ref="AF116" si="150">AF100+SUM(AF101:AF115)</f>
        <v>-107.29999999999998</v>
      </c>
      <c r="AG116" s="8">
        <f t="shared" ref="AG116:AI116" si="151">AG100+SUM(AG101:AG115)</f>
        <v>-140.39999999999998</v>
      </c>
      <c r="AH116" s="8">
        <f t="shared" si="151"/>
        <v>-126.39999999999999</v>
      </c>
      <c r="AI116" s="8">
        <f t="shared" si="151"/>
        <v>-103.5</v>
      </c>
      <c r="AJ116" s="8">
        <f t="shared" ref="AJ116" si="152">AJ100+SUM(AJ101:AJ115)</f>
        <v>-24.918500000000009</v>
      </c>
      <c r="AK116" s="8">
        <f t="shared" ref="AK116" si="153">AK100+SUM(AK101:AK115)</f>
        <v>-1.0042849999999888</v>
      </c>
      <c r="AL116" s="8">
        <f t="shared" ref="AL116" si="154">AL100+SUM(AL101:AL115)</f>
        <v>19.752301799999955</v>
      </c>
      <c r="AM116" s="8">
        <f t="shared" ref="AM116" si="155">AM100+SUM(AM101:AM115)</f>
        <v>36.595747981000017</v>
      </c>
      <c r="AN116" s="8">
        <f t="shared" ref="AN116" si="156">AN100+SUM(AN101:AN115)</f>
        <v>59.441668502920002</v>
      </c>
      <c r="AO116" s="8">
        <f t="shared" ref="AO116" si="157">AO100+SUM(AO101:AO115)</f>
        <v>74.617481925192394</v>
      </c>
      <c r="AP116" s="8">
        <f t="shared" ref="AP116" si="158">AP100+SUM(AP101:AP115)</f>
        <v>91.179433215629629</v>
      </c>
      <c r="AQ116" s="8">
        <f t="shared" ref="AQ116" si="159">AQ100+SUM(AQ101:AQ115)</f>
        <v>109.01381603499723</v>
      </c>
      <c r="AR116" s="8">
        <f t="shared" ref="AR116" si="160">AR100+SUM(AR101:AR115)</f>
        <v>129.69177861706655</v>
      </c>
      <c r="AS116" s="8">
        <f t="shared" ref="AS116" si="161">AS100+SUM(AS101:AS115)</f>
        <v>153.6865919311181</v>
      </c>
    </row>
    <row r="117" spans="2:146" x14ac:dyDescent="0.3">
      <c r="B117" t="s">
        <v>76</v>
      </c>
      <c r="K117" s="6">
        <v>7.8</v>
      </c>
      <c r="L117" s="6">
        <f>L140-K117</f>
        <v>9.0999999999999979</v>
      </c>
      <c r="M117" s="6">
        <f t="shared" ref="M117:M118" si="162">M140-L117-K117</f>
        <v>11.200000000000003</v>
      </c>
      <c r="N117" s="6">
        <f>N140-M117-L117-K117</f>
        <v>11.299999999999997</v>
      </c>
      <c r="O117" s="6">
        <v>10.6</v>
      </c>
      <c r="P117" s="6">
        <f>P140-O117</f>
        <v>13.200000000000001</v>
      </c>
      <c r="Q117" s="6">
        <f>Q140-P117-O117</f>
        <v>13.4</v>
      </c>
      <c r="R117" s="6">
        <f t="shared" ref="R117:R118" si="163">AH117-Q117-P117-O117</f>
        <v>10.500000000000002</v>
      </c>
      <c r="S117" s="6">
        <v>7.1</v>
      </c>
      <c r="T117" s="6">
        <f>T140-S117</f>
        <v>5.2000000000000011</v>
      </c>
      <c r="U117" s="20">
        <v>5</v>
      </c>
      <c r="V117" s="20">
        <v>5</v>
      </c>
      <c r="W117" s="6"/>
      <c r="X117" s="6"/>
      <c r="Y117" s="6"/>
      <c r="Z117" s="6"/>
      <c r="AF117" s="6">
        <v>21.1</v>
      </c>
      <c r="AG117" s="6">
        <f t="shared" si="145"/>
        <v>39.4</v>
      </c>
      <c r="AH117" s="6">
        <v>47.7</v>
      </c>
      <c r="AI117" s="6">
        <f t="shared" ref="AI117:AI118" si="164">SUM(S117:V117)</f>
        <v>22.3</v>
      </c>
      <c r="AJ117" s="6">
        <f>AI117*1.15</f>
        <v>25.645</v>
      </c>
      <c r="AK117" s="6">
        <f t="shared" ref="AK117:AO117" si="165">AJ117*1.1</f>
        <v>28.209500000000002</v>
      </c>
      <c r="AL117" s="6">
        <f t="shared" si="165"/>
        <v>31.030450000000005</v>
      </c>
      <c r="AM117" s="6">
        <f t="shared" si="165"/>
        <v>34.133495000000011</v>
      </c>
      <c r="AN117" s="6">
        <f t="shared" si="165"/>
        <v>37.546844500000013</v>
      </c>
      <c r="AO117" s="6">
        <f t="shared" si="165"/>
        <v>41.301528950000019</v>
      </c>
      <c r="AP117" s="6">
        <f t="shared" ref="AP117" si="166">AO117*1.05</f>
        <v>43.366605397500024</v>
      </c>
      <c r="AQ117" s="6">
        <f>AP117*1.05</f>
        <v>45.534935667375024</v>
      </c>
      <c r="AR117" s="6">
        <f t="shared" ref="AR117:AS117" si="167">AQ117*1.05</f>
        <v>47.811682450743774</v>
      </c>
      <c r="AS117" s="6">
        <f t="shared" si="167"/>
        <v>50.202266573280966</v>
      </c>
    </row>
    <row r="118" spans="2:146" x14ac:dyDescent="0.3">
      <c r="B118" t="s">
        <v>91</v>
      </c>
      <c r="K118" s="6">
        <v>2.1</v>
      </c>
      <c r="L118" s="6">
        <f>L141-K118</f>
        <v>17.7</v>
      </c>
      <c r="M118" s="6">
        <f t="shared" si="162"/>
        <v>15.6</v>
      </c>
      <c r="N118" s="6">
        <f>N141-M118-L118-K118</f>
        <v>17.599999999999998</v>
      </c>
      <c r="O118" s="6">
        <v>7.5</v>
      </c>
      <c r="P118" s="6">
        <f>P141-O118</f>
        <v>0.69999999999999929</v>
      </c>
      <c r="Q118" s="6">
        <f>Q141-P118-O118</f>
        <v>3.6000000000000014</v>
      </c>
      <c r="R118" s="6">
        <f t="shared" si="163"/>
        <v>0</v>
      </c>
      <c r="S118" s="6">
        <v>0.3</v>
      </c>
      <c r="T118" s="6">
        <f>T141-S118</f>
        <v>-9.9999999999999978E-2</v>
      </c>
      <c r="U118" s="20">
        <v>0.4</v>
      </c>
      <c r="V118" s="20">
        <v>0.4</v>
      </c>
      <c r="W118" s="6"/>
      <c r="X118" s="6"/>
      <c r="Y118" s="6"/>
      <c r="Z118" s="6"/>
      <c r="AF118" s="6">
        <v>25.6</v>
      </c>
      <c r="AG118" s="6">
        <f t="shared" si="145"/>
        <v>53</v>
      </c>
      <c r="AH118" s="6">
        <v>11.8</v>
      </c>
      <c r="AI118" s="6">
        <f t="shared" si="164"/>
        <v>1</v>
      </c>
      <c r="AJ118" s="6">
        <f>AI118*1.5</f>
        <v>1.5</v>
      </c>
      <c r="AK118" s="6">
        <f>AJ118*1.4</f>
        <v>2.0999999999999996</v>
      </c>
      <c r="AL118" s="6">
        <f>AK118*1.3</f>
        <v>2.7299999999999995</v>
      </c>
      <c r="AM118" s="6">
        <f>AL118*1.2</f>
        <v>3.2759999999999994</v>
      </c>
      <c r="AN118" s="6">
        <f>AM118*1.15</f>
        <v>3.767399999999999</v>
      </c>
      <c r="AO118" s="6">
        <f>AN118*1.1</f>
        <v>4.1441399999999993</v>
      </c>
      <c r="AP118" s="6">
        <f>AO118*1.05</f>
        <v>4.3513469999999996</v>
      </c>
      <c r="AQ118" s="6">
        <f t="shared" ref="AQ118:AS118" si="168">AP118*1.05</f>
        <v>4.56891435</v>
      </c>
      <c r="AR118" s="6">
        <f t="shared" si="168"/>
        <v>4.7973600675000005</v>
      </c>
      <c r="AS118" s="6">
        <f t="shared" si="168"/>
        <v>5.0372280708750008</v>
      </c>
    </row>
    <row r="119" spans="2:146" x14ac:dyDescent="0.3">
      <c r="B119" t="s">
        <v>104</v>
      </c>
      <c r="K119" s="6">
        <f t="shared" ref="K119:L119" si="169">K117+K118</f>
        <v>9.9</v>
      </c>
      <c r="L119" s="6">
        <f t="shared" si="169"/>
        <v>26.799999999999997</v>
      </c>
      <c r="M119" s="6">
        <f>M117+M118</f>
        <v>26.800000000000004</v>
      </c>
      <c r="N119" s="6">
        <f t="shared" ref="N119:P119" si="170">N117+N118</f>
        <v>28.899999999999995</v>
      </c>
      <c r="O119" s="6">
        <f t="shared" si="170"/>
        <v>18.100000000000001</v>
      </c>
      <c r="P119" s="6">
        <f t="shared" si="170"/>
        <v>13.9</v>
      </c>
      <c r="Q119" s="6">
        <f>Q117+Q118</f>
        <v>17</v>
      </c>
      <c r="R119" s="6">
        <f>R117+R118</f>
        <v>10.500000000000002</v>
      </c>
      <c r="S119" s="6">
        <f>S117+S118</f>
        <v>7.3999999999999995</v>
      </c>
      <c r="T119" s="6">
        <f t="shared" ref="T119" si="171">T117+T118</f>
        <v>5.1000000000000014</v>
      </c>
      <c r="U119" s="20">
        <f t="shared" ref="U119:V119" si="172">U117+U118</f>
        <v>5.4</v>
      </c>
      <c r="V119" s="20">
        <f t="shared" si="172"/>
        <v>5.4</v>
      </c>
      <c r="W119" s="6"/>
      <c r="X119" s="6"/>
      <c r="Y119" s="6"/>
      <c r="Z119" s="6"/>
      <c r="AF119" s="6">
        <f>AF117+AF118</f>
        <v>46.7</v>
      </c>
      <c r="AG119" s="6">
        <f>AG117+AG118</f>
        <v>92.4</v>
      </c>
      <c r="AH119" s="6">
        <f>AH117+AH118</f>
        <v>59.5</v>
      </c>
      <c r="AI119" s="6">
        <f>AI117+AI118</f>
        <v>23.3</v>
      </c>
      <c r="AJ119" s="6">
        <f t="shared" ref="AJ119:AS119" si="173">AJ117+AJ118</f>
        <v>27.145</v>
      </c>
      <c r="AK119" s="6">
        <f t="shared" si="173"/>
        <v>30.3095</v>
      </c>
      <c r="AL119" s="6">
        <f t="shared" si="173"/>
        <v>33.760450000000006</v>
      </c>
      <c r="AM119" s="6">
        <f t="shared" si="173"/>
        <v>37.409495000000007</v>
      </c>
      <c r="AN119" s="6">
        <f t="shared" si="173"/>
        <v>41.314244500000015</v>
      </c>
      <c r="AO119" s="6">
        <f t="shared" si="173"/>
        <v>45.445668950000019</v>
      </c>
      <c r="AP119" s="6">
        <f t="shared" si="173"/>
        <v>47.717952397500021</v>
      </c>
      <c r="AQ119" s="6">
        <f t="shared" si="173"/>
        <v>50.103850017375024</v>
      </c>
      <c r="AR119" s="6">
        <f t="shared" si="173"/>
        <v>52.609042518243776</v>
      </c>
      <c r="AS119" s="6">
        <f t="shared" si="173"/>
        <v>55.239494644155968</v>
      </c>
    </row>
    <row r="120" spans="2:146" s="1" customFormat="1" x14ac:dyDescent="0.3">
      <c r="B120" s="1" t="s">
        <v>103</v>
      </c>
      <c r="K120" s="8">
        <f>K116-K119</f>
        <v>-60.800000000000004</v>
      </c>
      <c r="L120" s="8">
        <f t="shared" ref="L120:R120" si="174">L116-L119</f>
        <v>-62.699999999999989</v>
      </c>
      <c r="M120" s="8">
        <f t="shared" si="174"/>
        <v>-63</v>
      </c>
      <c r="N120" s="8">
        <f t="shared" si="174"/>
        <v>-46.299999999999983</v>
      </c>
      <c r="O120" s="8">
        <f t="shared" si="174"/>
        <v>-52.4</v>
      </c>
      <c r="P120" s="8">
        <f t="shared" si="174"/>
        <v>-46.499999999999986</v>
      </c>
      <c r="Q120" s="8">
        <f t="shared" si="174"/>
        <v>-78.7</v>
      </c>
      <c r="R120" s="8">
        <f t="shared" si="174"/>
        <v>-8.300000000000006</v>
      </c>
      <c r="S120" s="8">
        <f t="shared" ref="S120:V120" si="175">S116-S119</f>
        <v>-49.099999999999994</v>
      </c>
      <c r="T120" s="8">
        <f t="shared" si="175"/>
        <v>-36.099999999999994</v>
      </c>
      <c r="U120" s="19">
        <f t="shared" si="175"/>
        <v>-19.600000000000001</v>
      </c>
      <c r="V120" s="19">
        <f t="shared" si="175"/>
        <v>-21.999999999999993</v>
      </c>
      <c r="W120" s="8"/>
      <c r="X120" s="8"/>
      <c r="Y120" s="8"/>
      <c r="Z120" s="8"/>
      <c r="AF120" s="8">
        <f t="shared" ref="AF120" si="176">AF116-AF119</f>
        <v>-154</v>
      </c>
      <c r="AG120" s="8">
        <f t="shared" ref="AG120:AI120" si="177">AG116-AG119</f>
        <v>-232.79999999999998</v>
      </c>
      <c r="AH120" s="8">
        <f t="shared" si="177"/>
        <v>-185.89999999999998</v>
      </c>
      <c r="AI120" s="8">
        <f t="shared" si="177"/>
        <v>-126.8</v>
      </c>
      <c r="AJ120" s="8">
        <f t="shared" ref="AJ120" si="178">AJ116-AJ119</f>
        <v>-52.063500000000005</v>
      </c>
      <c r="AK120" s="8">
        <f t="shared" ref="AK120" si="179">AK116-AK119</f>
        <v>-31.313784999999989</v>
      </c>
      <c r="AL120" s="8">
        <f t="shared" ref="AL120" si="180">AL116-AL119</f>
        <v>-14.008148200000051</v>
      </c>
      <c r="AM120" s="8">
        <f t="shared" ref="AM120" si="181">AM116-AM119</f>
        <v>-0.81374701899999025</v>
      </c>
      <c r="AN120" s="8">
        <f t="shared" ref="AN120" si="182">AN116-AN119</f>
        <v>18.127424002919987</v>
      </c>
      <c r="AO120" s="8">
        <f t="shared" ref="AO120" si="183">AO116-AO119</f>
        <v>29.171812975192374</v>
      </c>
      <c r="AP120" s="8">
        <f t="shared" ref="AP120" si="184">AP116-AP119</f>
        <v>43.461480818129608</v>
      </c>
      <c r="AQ120" s="8">
        <f t="shared" ref="AQ120" si="185">AQ116-AQ119</f>
        <v>58.90996601762221</v>
      </c>
      <c r="AR120" s="8">
        <f t="shared" ref="AR120:AS120" si="186">AR116-AR119</f>
        <v>77.082736098822778</v>
      </c>
      <c r="AS120" s="8">
        <f t="shared" si="186"/>
        <v>98.447097286962133</v>
      </c>
      <c r="AT120" s="1">
        <f>AS120*(1+$AW$42)</f>
        <v>97.462626314092518</v>
      </c>
      <c r="AU120" s="1">
        <f t="shared" ref="AU120:DF120" si="187">AT120*(1+$AW$42)</f>
        <v>96.488000050951598</v>
      </c>
      <c r="AV120" s="1">
        <f t="shared" si="187"/>
        <v>95.523120050442074</v>
      </c>
      <c r="AW120" s="1">
        <f t="shared" si="187"/>
        <v>94.567888849937646</v>
      </c>
      <c r="AX120" s="1">
        <f t="shared" si="187"/>
        <v>93.622209961438273</v>
      </c>
      <c r="AY120" s="1">
        <f t="shared" si="187"/>
        <v>92.685987861823889</v>
      </c>
      <c r="AZ120" s="1">
        <f t="shared" si="187"/>
        <v>91.759127983205644</v>
      </c>
      <c r="BA120" s="1">
        <f t="shared" si="187"/>
        <v>90.841536703373592</v>
      </c>
      <c r="BB120" s="1">
        <f t="shared" si="187"/>
        <v>89.933121336339852</v>
      </c>
      <c r="BC120" s="1">
        <f t="shared" si="187"/>
        <v>89.033790122976455</v>
      </c>
      <c r="BD120" s="1">
        <f t="shared" si="187"/>
        <v>88.143452221746685</v>
      </c>
      <c r="BE120" s="1">
        <f t="shared" si="187"/>
        <v>87.262017699529224</v>
      </c>
      <c r="BF120" s="1">
        <f t="shared" si="187"/>
        <v>86.389397522533926</v>
      </c>
      <c r="BG120" s="1">
        <f t="shared" si="187"/>
        <v>85.525503547308588</v>
      </c>
      <c r="BH120" s="1">
        <f t="shared" si="187"/>
        <v>84.670248511835496</v>
      </c>
      <c r="BI120" s="1">
        <f t="shared" si="187"/>
        <v>83.823546026717139</v>
      </c>
      <c r="BJ120" s="1">
        <f t="shared" si="187"/>
        <v>82.985310566449968</v>
      </c>
      <c r="BK120" s="1">
        <f t="shared" si="187"/>
        <v>82.15545746078547</v>
      </c>
      <c r="BL120" s="1">
        <f t="shared" si="187"/>
        <v>81.333902886177611</v>
      </c>
      <c r="BM120" s="1">
        <f t="shared" si="187"/>
        <v>80.520563857315835</v>
      </c>
      <c r="BN120" s="1">
        <f t="shared" si="187"/>
        <v>79.715358218742679</v>
      </c>
      <c r="BO120" s="1">
        <f t="shared" si="187"/>
        <v>78.918204636555245</v>
      </c>
      <c r="BP120" s="1">
        <f t="shared" si="187"/>
        <v>78.129022590189692</v>
      </c>
      <c r="BQ120" s="1">
        <f t="shared" si="187"/>
        <v>77.347732364287793</v>
      </c>
      <c r="BR120" s="1">
        <f t="shared" si="187"/>
        <v>76.574255040644914</v>
      </c>
      <c r="BS120" s="1">
        <f t="shared" si="187"/>
        <v>75.808512490238471</v>
      </c>
      <c r="BT120" s="1">
        <f t="shared" si="187"/>
        <v>75.050427365336091</v>
      </c>
      <c r="BU120" s="1">
        <f t="shared" si="187"/>
        <v>74.299923091682729</v>
      </c>
      <c r="BV120" s="1">
        <f t="shared" si="187"/>
        <v>73.556923860765906</v>
      </c>
      <c r="BW120" s="1">
        <f t="shared" si="187"/>
        <v>72.821354622158253</v>
      </c>
      <c r="BX120" s="1">
        <f t="shared" si="187"/>
        <v>72.093141075936671</v>
      </c>
      <c r="BY120" s="1">
        <f t="shared" si="187"/>
        <v>71.372209665177309</v>
      </c>
      <c r="BZ120" s="1">
        <f t="shared" si="187"/>
        <v>70.65848756852553</v>
      </c>
      <c r="CA120" s="1">
        <f t="shared" si="187"/>
        <v>69.951902692840278</v>
      </c>
      <c r="CB120" s="1">
        <f t="shared" si="187"/>
        <v>69.252383665911879</v>
      </c>
      <c r="CC120" s="1">
        <f t="shared" si="187"/>
        <v>68.559859829252758</v>
      </c>
      <c r="CD120" s="1">
        <f t="shared" si="187"/>
        <v>67.874261230960229</v>
      </c>
      <c r="CE120" s="1">
        <f t="shared" si="187"/>
        <v>67.195518618650624</v>
      </c>
      <c r="CF120" s="1">
        <f t="shared" si="187"/>
        <v>66.523563432464115</v>
      </c>
      <c r="CG120" s="1">
        <f t="shared" si="187"/>
        <v>65.85832779813947</v>
      </c>
      <c r="CH120" s="1">
        <f t="shared" si="187"/>
        <v>65.199744520158077</v>
      </c>
      <c r="CI120" s="1">
        <f t="shared" si="187"/>
        <v>64.54774707495649</v>
      </c>
      <c r="CJ120" s="1">
        <f t="shared" si="187"/>
        <v>63.902269604206921</v>
      </c>
      <c r="CK120" s="1">
        <f t="shared" si="187"/>
        <v>63.263246908164852</v>
      </c>
      <c r="CL120" s="1">
        <f t="shared" si="187"/>
        <v>62.630614439083203</v>
      </c>
      <c r="CM120" s="1">
        <f t="shared" si="187"/>
        <v>62.004308294692372</v>
      </c>
      <c r="CN120" s="1">
        <f t="shared" si="187"/>
        <v>61.384265211745451</v>
      </c>
      <c r="CO120" s="1">
        <f t="shared" si="187"/>
        <v>60.770422559627995</v>
      </c>
      <c r="CP120" s="1">
        <f t="shared" si="187"/>
        <v>60.162718334031716</v>
      </c>
      <c r="CQ120" s="1">
        <f t="shared" si="187"/>
        <v>59.561091150691396</v>
      </c>
      <c r="CR120" s="1">
        <f t="shared" si="187"/>
        <v>58.96548023918448</v>
      </c>
      <c r="CS120" s="1">
        <f t="shared" si="187"/>
        <v>58.375825436792631</v>
      </c>
      <c r="CT120" s="1">
        <f t="shared" si="187"/>
        <v>57.792067182424702</v>
      </c>
      <c r="CU120" s="1">
        <f t="shared" si="187"/>
        <v>57.214146510600457</v>
      </c>
      <c r="CV120" s="1">
        <f t="shared" si="187"/>
        <v>56.64200504549445</v>
      </c>
      <c r="CW120" s="1">
        <f t="shared" si="187"/>
        <v>56.075584995039506</v>
      </c>
      <c r="CX120" s="1">
        <f t="shared" si="187"/>
        <v>55.514829145089109</v>
      </c>
      <c r="CY120" s="1">
        <f t="shared" si="187"/>
        <v>54.959680853638218</v>
      </c>
      <c r="CZ120" s="1">
        <f t="shared" si="187"/>
        <v>54.410084045101833</v>
      </c>
      <c r="DA120" s="1">
        <f t="shared" si="187"/>
        <v>53.865983204650817</v>
      </c>
      <c r="DB120" s="1">
        <f t="shared" si="187"/>
        <v>53.327323372604312</v>
      </c>
      <c r="DC120" s="1">
        <f t="shared" si="187"/>
        <v>52.794050138878269</v>
      </c>
      <c r="DD120" s="1">
        <f t="shared" si="187"/>
        <v>52.266109637489485</v>
      </c>
      <c r="DE120" s="1">
        <f t="shared" si="187"/>
        <v>51.743448541114589</v>
      </c>
      <c r="DF120" s="1">
        <f t="shared" si="187"/>
        <v>51.226014055703445</v>
      </c>
      <c r="DG120" s="1">
        <f t="shared" ref="DG120:EP120" si="188">DF120*(1+$AW$42)</f>
        <v>50.713753915146413</v>
      </c>
      <c r="DH120" s="1">
        <f t="shared" si="188"/>
        <v>50.206616375994948</v>
      </c>
      <c r="DI120" s="1">
        <f t="shared" si="188"/>
        <v>49.704550212234999</v>
      </c>
      <c r="DJ120" s="1">
        <f t="shared" si="188"/>
        <v>49.207504710112651</v>
      </c>
      <c r="DK120" s="1">
        <f t="shared" si="188"/>
        <v>48.715429663011527</v>
      </c>
      <c r="DL120" s="1">
        <f t="shared" si="188"/>
        <v>48.228275366381411</v>
      </c>
      <c r="DM120" s="1">
        <f t="shared" si="188"/>
        <v>47.745992612717593</v>
      </c>
      <c r="DN120" s="1">
        <f t="shared" si="188"/>
        <v>47.268532686590419</v>
      </c>
      <c r="DO120" s="1">
        <f t="shared" si="188"/>
        <v>46.795847359724512</v>
      </c>
      <c r="DP120" s="1">
        <f t="shared" si="188"/>
        <v>46.327888886127269</v>
      </c>
      <c r="DQ120" s="1">
        <f t="shared" si="188"/>
        <v>45.864609997265994</v>
      </c>
      <c r="DR120" s="1">
        <f t="shared" si="188"/>
        <v>45.405963897293333</v>
      </c>
      <c r="DS120" s="1">
        <f t="shared" si="188"/>
        <v>44.951904258320397</v>
      </c>
      <c r="DT120" s="1">
        <f t="shared" si="188"/>
        <v>44.502385215737192</v>
      </c>
      <c r="DU120" s="1">
        <f t="shared" si="188"/>
        <v>44.057361363579822</v>
      </c>
      <c r="DV120" s="1">
        <f t="shared" si="188"/>
        <v>43.616787749944024</v>
      </c>
      <c r="DW120" s="1">
        <f t="shared" si="188"/>
        <v>43.180619872444581</v>
      </c>
      <c r="DX120" s="1">
        <f t="shared" si="188"/>
        <v>42.748813673720136</v>
      </c>
      <c r="DY120" s="1">
        <f t="shared" si="188"/>
        <v>42.321325536982933</v>
      </c>
      <c r="DZ120" s="1">
        <f t="shared" si="188"/>
        <v>41.898112281613102</v>
      </c>
      <c r="EA120" s="1">
        <f t="shared" si="188"/>
        <v>41.479131158796967</v>
      </c>
      <c r="EB120" s="1">
        <f t="shared" si="188"/>
        <v>41.064339847208998</v>
      </c>
      <c r="EC120" s="1">
        <f t="shared" si="188"/>
        <v>40.653696448736909</v>
      </c>
      <c r="ED120" s="1">
        <f t="shared" si="188"/>
        <v>40.247159484249536</v>
      </c>
      <c r="EE120" s="1">
        <f t="shared" si="188"/>
        <v>39.844687889407041</v>
      </c>
      <c r="EF120" s="1">
        <f t="shared" si="188"/>
        <v>39.446241010512971</v>
      </c>
      <c r="EG120" s="1">
        <f t="shared" si="188"/>
        <v>39.051778600407843</v>
      </c>
      <c r="EH120" s="1">
        <f t="shared" si="188"/>
        <v>38.661260814403761</v>
      </c>
      <c r="EI120" s="1">
        <f t="shared" si="188"/>
        <v>38.27464820625972</v>
      </c>
      <c r="EJ120" s="1">
        <f t="shared" si="188"/>
        <v>37.891901724197119</v>
      </c>
      <c r="EK120" s="1">
        <f t="shared" si="188"/>
        <v>37.51298270695515</v>
      </c>
      <c r="EL120" s="1">
        <f t="shared" si="188"/>
        <v>37.1378528798856</v>
      </c>
      <c r="EM120" s="1">
        <f t="shared" si="188"/>
        <v>36.766474351086742</v>
      </c>
      <c r="EN120" s="1">
        <f t="shared" si="188"/>
        <v>36.398809607575878</v>
      </c>
      <c r="EO120" s="1">
        <f t="shared" si="188"/>
        <v>36.03482151150012</v>
      </c>
      <c r="EP120" s="1">
        <f t="shared" si="188"/>
        <v>35.674473296385116</v>
      </c>
    </row>
    <row r="122" spans="2:146" x14ac:dyDescent="0.3">
      <c r="B122" t="s">
        <v>105</v>
      </c>
      <c r="K122" s="10"/>
      <c r="L122" s="10"/>
      <c r="M122" s="10"/>
      <c r="N122" s="10"/>
      <c r="O122" s="10">
        <f t="shared" ref="O122:Q122" si="189">K120/O120-1</f>
        <v>0.16030534351145054</v>
      </c>
      <c r="P122" s="10">
        <f t="shared" si="189"/>
        <v>0.34838709677419377</v>
      </c>
      <c r="Q122" s="10">
        <f t="shared" si="189"/>
        <v>-0.19949174078780185</v>
      </c>
      <c r="R122" s="10">
        <f>N120/R120-1</f>
        <v>4.5783132530120421</v>
      </c>
      <c r="S122" s="10">
        <f>O120/S120-1</f>
        <v>6.720977596741351E-2</v>
      </c>
      <c r="T122" s="10">
        <f t="shared" ref="T122:V122" si="190">P120/T120-1</f>
        <v>0.28808864265927969</v>
      </c>
      <c r="U122" s="10">
        <f t="shared" si="190"/>
        <v>3.0153061224489797</v>
      </c>
      <c r="V122" s="10">
        <f t="shared" si="190"/>
        <v>-0.62272727272727235</v>
      </c>
      <c r="W122" s="10"/>
      <c r="X122" s="10"/>
      <c r="Y122" s="10"/>
      <c r="Z122" s="10"/>
      <c r="AG122" s="10">
        <f>AF120/AG120-1</f>
        <v>-0.33848797250859097</v>
      </c>
      <c r="AH122" s="10">
        <f>AG120/AH120-1</f>
        <v>0.2522861753630985</v>
      </c>
      <c r="AI122" s="10">
        <f>AH120/AI120-1</f>
        <v>0.46608832807570955</v>
      </c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</row>
    <row r="123" spans="2:146" x14ac:dyDescent="0.3">
      <c r="B123" t="s">
        <v>122</v>
      </c>
      <c r="O123" s="10">
        <f>O119/K119-1</f>
        <v>0.82828282828282829</v>
      </c>
      <c r="P123" s="10">
        <f t="shared" ref="P123:S123" si="191">P119/L119-1</f>
        <v>-0.48134328358208944</v>
      </c>
      <c r="Q123" s="10">
        <f t="shared" si="191"/>
        <v>-0.36567164179104483</v>
      </c>
      <c r="R123" s="10">
        <f t="shared" si="191"/>
        <v>-0.6366782006920414</v>
      </c>
      <c r="S123" s="10">
        <f t="shared" si="191"/>
        <v>-0.59116022099447518</v>
      </c>
      <c r="T123" s="10">
        <f t="shared" ref="T123" si="192">T119/P119-1</f>
        <v>-0.63309352517985595</v>
      </c>
      <c r="U123" s="10">
        <f t="shared" ref="U123" si="193">U119/Q119-1</f>
        <v>-0.68235294117647061</v>
      </c>
      <c r="V123" s="10">
        <f t="shared" ref="V123" si="194">V119/R119-1</f>
        <v>-0.48571428571428577</v>
      </c>
      <c r="W123" s="10"/>
      <c r="X123" s="10"/>
      <c r="Y123" s="10"/>
      <c r="Z123" s="10"/>
      <c r="AG123" s="10">
        <f>AG119/AF119-1</f>
        <v>0.97858672376873668</v>
      </c>
      <c r="AH123" s="10">
        <f>AH119/AG119-1</f>
        <v>-0.35606060606060608</v>
      </c>
      <c r="AI123" s="10">
        <f t="shared" ref="AI123:AS123" si="195">AI119/AH119-1</f>
        <v>-0.60840336134453787</v>
      </c>
      <c r="AJ123" s="10">
        <f t="shared" si="195"/>
        <v>0.16502145922746769</v>
      </c>
      <c r="AK123" s="10">
        <f t="shared" si="195"/>
        <v>0.11657763860747838</v>
      </c>
      <c r="AL123" s="10">
        <f t="shared" si="195"/>
        <v>0.11385704152163534</v>
      </c>
      <c r="AM123" s="10">
        <f t="shared" si="195"/>
        <v>0.108086385104464</v>
      </c>
      <c r="AN123" s="10">
        <f t="shared" si="195"/>
        <v>0.10437856752677388</v>
      </c>
      <c r="AO123" s="10">
        <f t="shared" si="195"/>
        <v>0.10000000000000009</v>
      </c>
      <c r="AP123" s="10">
        <f t="shared" si="195"/>
        <v>5.0000000000000044E-2</v>
      </c>
      <c r="AQ123" s="10">
        <f t="shared" si="195"/>
        <v>5.0000000000000044E-2</v>
      </c>
      <c r="AR123" s="10">
        <f t="shared" si="195"/>
        <v>5.0000000000000044E-2</v>
      </c>
      <c r="AS123" s="10">
        <f t="shared" si="195"/>
        <v>5.0000000000000044E-2</v>
      </c>
    </row>
    <row r="124" spans="2:146" x14ac:dyDescent="0.3">
      <c r="AV124" t="s">
        <v>123</v>
      </c>
      <c r="AW124" s="6">
        <f>NPV(AW43,AI120:EP120)</f>
        <v>143.44831791687216</v>
      </c>
    </row>
    <row r="125" spans="2:146" x14ac:dyDescent="0.3">
      <c r="B125" t="s">
        <v>92</v>
      </c>
      <c r="L125">
        <v>5.8</v>
      </c>
      <c r="M125">
        <v>9</v>
      </c>
      <c r="N125">
        <v>12</v>
      </c>
      <c r="P125">
        <v>5.9</v>
      </c>
      <c r="Q125" s="6">
        <v>9.1999999999999993</v>
      </c>
      <c r="T125">
        <v>7</v>
      </c>
      <c r="AV125" t="s">
        <v>66</v>
      </c>
      <c r="AW125" s="6">
        <f>Main!D8</f>
        <v>210.80000000000007</v>
      </c>
    </row>
    <row r="126" spans="2:146" x14ac:dyDescent="0.3">
      <c r="B126" t="s">
        <v>93</v>
      </c>
      <c r="L126">
        <v>12</v>
      </c>
      <c r="M126">
        <v>18.7</v>
      </c>
      <c r="N126">
        <v>25.4</v>
      </c>
      <c r="P126">
        <v>18.2</v>
      </c>
      <c r="Q126" s="6">
        <v>27.4</v>
      </c>
      <c r="T126">
        <v>20.8</v>
      </c>
      <c r="AV126" t="s">
        <v>67</v>
      </c>
      <c r="AW126" s="6">
        <f>AW124+AW125</f>
        <v>354.24831791687222</v>
      </c>
    </row>
    <row r="127" spans="2:146" x14ac:dyDescent="0.3">
      <c r="B127" t="s">
        <v>94</v>
      </c>
      <c r="L127">
        <v>0</v>
      </c>
      <c r="M127">
        <v>-15.3</v>
      </c>
      <c r="N127">
        <v>0</v>
      </c>
      <c r="P127">
        <v>0</v>
      </c>
      <c r="Q127" s="6">
        <v>0</v>
      </c>
      <c r="T127">
        <v>0</v>
      </c>
      <c r="AV127" t="s">
        <v>68</v>
      </c>
      <c r="AW127" s="5">
        <f>AW126/AS33</f>
        <v>7.4265894741482645</v>
      </c>
    </row>
    <row r="128" spans="2:146" x14ac:dyDescent="0.3">
      <c r="B128" t="s">
        <v>95</v>
      </c>
      <c r="L128">
        <v>2.1</v>
      </c>
      <c r="M128">
        <v>2.6</v>
      </c>
      <c r="N128">
        <v>3.2</v>
      </c>
      <c r="P128">
        <v>1.1000000000000001</v>
      </c>
      <c r="Q128" s="6">
        <v>1.6</v>
      </c>
      <c r="T128">
        <v>1.2</v>
      </c>
      <c r="AV128" t="s">
        <v>69</v>
      </c>
      <c r="AW128" s="5">
        <f>Main!D3</f>
        <v>8.34</v>
      </c>
    </row>
    <row r="129" spans="2:49" x14ac:dyDescent="0.3">
      <c r="B129" t="s">
        <v>96</v>
      </c>
      <c r="L129">
        <v>0.1</v>
      </c>
      <c r="M129">
        <v>-0.5</v>
      </c>
      <c r="N129">
        <f>-15.3-7.4</f>
        <v>-22.700000000000003</v>
      </c>
      <c r="P129">
        <v>5</v>
      </c>
      <c r="Q129" s="6">
        <v>8.3000000000000007</v>
      </c>
      <c r="T129">
        <v>-0.3</v>
      </c>
      <c r="AV129" s="1" t="s">
        <v>70</v>
      </c>
      <c r="AW129" s="11">
        <f>AW127/AW128-1</f>
        <v>-0.10952164578557977</v>
      </c>
    </row>
    <row r="130" spans="2:49" x14ac:dyDescent="0.3">
      <c r="B130" t="s">
        <v>97</v>
      </c>
      <c r="L130">
        <v>0.7</v>
      </c>
      <c r="M130">
        <v>1.2</v>
      </c>
      <c r="N130">
        <v>1.5</v>
      </c>
      <c r="P130">
        <v>0.7</v>
      </c>
      <c r="Q130" s="6">
        <v>1.1000000000000001</v>
      </c>
      <c r="T130">
        <v>0.7</v>
      </c>
      <c r="AW130" s="7" t="s">
        <v>135</v>
      </c>
    </row>
    <row r="131" spans="2:49" x14ac:dyDescent="0.3">
      <c r="B131" t="s">
        <v>98</v>
      </c>
      <c r="L131">
        <v>-0.6</v>
      </c>
      <c r="M131">
        <v>-0.9</v>
      </c>
      <c r="N131">
        <v>-1.2</v>
      </c>
      <c r="P131">
        <v>-0.7</v>
      </c>
      <c r="Q131" s="6">
        <v>-0.9</v>
      </c>
      <c r="T131">
        <v>-0.7</v>
      </c>
    </row>
    <row r="132" spans="2:49" x14ac:dyDescent="0.3">
      <c r="B132" t="s">
        <v>99</v>
      </c>
      <c r="L132">
        <v>2.4</v>
      </c>
      <c r="M132">
        <v>2.4</v>
      </c>
      <c r="N132">
        <v>2.4</v>
      </c>
      <c r="P132">
        <v>0</v>
      </c>
      <c r="Q132" s="6">
        <v>1.1000000000000001</v>
      </c>
      <c r="T132">
        <v>0</v>
      </c>
    </row>
    <row r="133" spans="2:49" x14ac:dyDescent="0.3">
      <c r="B133" t="s">
        <v>100</v>
      </c>
      <c r="L133">
        <v>-0.1</v>
      </c>
      <c r="M133">
        <v>0.2</v>
      </c>
      <c r="N133">
        <v>0.4</v>
      </c>
      <c r="P133">
        <v>0</v>
      </c>
      <c r="Q133" s="6">
        <v>0.2</v>
      </c>
      <c r="T133">
        <v>0.2</v>
      </c>
    </row>
    <row r="134" spans="2:49" x14ac:dyDescent="0.3">
      <c r="B134" t="s">
        <v>73</v>
      </c>
      <c r="L134">
        <f>-1.6-21.2</f>
        <v>-22.8</v>
      </c>
      <c r="M134">
        <f>-5.2-25.6</f>
        <v>-30.8</v>
      </c>
      <c r="N134">
        <f>1.1-21.9</f>
        <v>-20.799999999999997</v>
      </c>
      <c r="P134">
        <f>-3.3-5.7</f>
        <v>-9</v>
      </c>
      <c r="Q134" s="6">
        <f>-7.4-8</f>
        <v>-15.4</v>
      </c>
      <c r="T134">
        <f>1.7-13.7</f>
        <v>-12</v>
      </c>
    </row>
    <row r="135" spans="2:49" x14ac:dyDescent="0.3">
      <c r="B135" t="s">
        <v>74</v>
      </c>
      <c r="L135">
        <v>3.6</v>
      </c>
      <c r="M135">
        <v>5.3</v>
      </c>
      <c r="N135">
        <v>4.7</v>
      </c>
      <c r="P135">
        <v>-29.5</v>
      </c>
      <c r="Q135" s="6">
        <v>-44.9</v>
      </c>
      <c r="T135">
        <v>-12</v>
      </c>
    </row>
    <row r="136" spans="2:49" x14ac:dyDescent="0.3">
      <c r="B136" t="s">
        <v>101</v>
      </c>
      <c r="L136">
        <v>-10.6</v>
      </c>
      <c r="M136">
        <v>-12</v>
      </c>
      <c r="N136">
        <v>-13.1</v>
      </c>
      <c r="P136">
        <v>-2.2999999999999998</v>
      </c>
      <c r="Q136" s="6">
        <v>-33.299999999999997</v>
      </c>
      <c r="T136">
        <v>-6.4</v>
      </c>
    </row>
    <row r="137" spans="2:49" x14ac:dyDescent="0.3">
      <c r="B137" t="s">
        <v>81</v>
      </c>
      <c r="L137">
        <v>-1.5</v>
      </c>
      <c r="M137">
        <v>0.9</v>
      </c>
      <c r="N137">
        <v>3</v>
      </c>
      <c r="P137">
        <v>-6.3</v>
      </c>
      <c r="Q137" s="6">
        <v>-6</v>
      </c>
      <c r="T137">
        <v>1</v>
      </c>
    </row>
    <row r="138" spans="2:49" x14ac:dyDescent="0.3">
      <c r="B138" t="s">
        <v>82</v>
      </c>
      <c r="L138">
        <v>-4.3</v>
      </c>
      <c r="M138">
        <v>-4.2</v>
      </c>
      <c r="N138">
        <v>-4.5</v>
      </c>
      <c r="P138">
        <v>-1</v>
      </c>
      <c r="Q138" s="6">
        <v>0.5</v>
      </c>
      <c r="T138">
        <v>-4.8</v>
      </c>
    </row>
    <row r="139" spans="2:49" x14ac:dyDescent="0.3">
      <c r="B139" t="s">
        <v>83</v>
      </c>
      <c r="L139">
        <v>-20.7</v>
      </c>
      <c r="M139">
        <v>-22.3</v>
      </c>
      <c r="N139">
        <v>-22.3</v>
      </c>
      <c r="P139">
        <v>4.5999999999999996</v>
      </c>
      <c r="Q139" s="6">
        <v>9.5</v>
      </c>
      <c r="T139">
        <v>-0.1</v>
      </c>
    </row>
    <row r="140" spans="2:49" x14ac:dyDescent="0.3">
      <c r="B140" t="s">
        <v>76</v>
      </c>
      <c r="L140">
        <v>16.899999999999999</v>
      </c>
      <c r="M140">
        <v>28.1</v>
      </c>
      <c r="N140">
        <v>39.4</v>
      </c>
      <c r="P140">
        <v>23.8</v>
      </c>
      <c r="Q140" s="6">
        <v>37.200000000000003</v>
      </c>
      <c r="T140">
        <v>12.3</v>
      </c>
    </row>
    <row r="141" spans="2:49" x14ac:dyDescent="0.3">
      <c r="B141" t="s">
        <v>91</v>
      </c>
      <c r="L141">
        <v>19.8</v>
      </c>
      <c r="M141">
        <v>35.4</v>
      </c>
      <c r="N141">
        <v>53</v>
      </c>
      <c r="P141">
        <v>8.1999999999999993</v>
      </c>
      <c r="Q141" s="6">
        <v>11.8</v>
      </c>
      <c r="T141">
        <v>0.2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2024-09-28T09:50:14Z</dcterms:created>
  <dcterms:modified xsi:type="dcterms:W3CDTF">2026-01-30T11:01:16Z</dcterms:modified>
</cp:coreProperties>
</file>